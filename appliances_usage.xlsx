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dianadanilenko/Desktop/appliances_analysis/usage/"/>
    </mc:Choice>
  </mc:AlternateContent>
  <xr:revisionPtr revIDLastSave="0" documentId="13_ncr:1_{4BEB5E0A-CB96-E442-AABD-1D851636CD31}" xr6:coauthVersionLast="47" xr6:coauthVersionMax="47" xr10:uidLastSave="{00000000-0000-0000-0000-000000000000}"/>
  <bookViews>
    <workbookView xWindow="-5280" yWindow="-21100" windowWidth="38400" windowHeight="19400" activeTab="1" xr2:uid="{00000000-000D-0000-FFFF-FFFF00000000}"/>
  </bookViews>
  <sheets>
    <sheet name="Usage" sheetId="5" state="hidden" r:id="rId1"/>
    <sheet name="Appliances" sheetId="4" r:id="rId2"/>
    <sheet name="Summary" sheetId="7" r:id="rId3"/>
    <sheet name="Lists for variables" sheetId="3" r:id="rId4"/>
  </sheets>
  <definedNames>
    <definedName name="_xlnm._FilterDatabase" localSheetId="1" hidden="1">Appliances!$AR$1:$AR$46</definedName>
    <definedName name="_xlnm._FilterDatabase" localSheetId="0" hidden="1">Usage!$A$1:$BN$53</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X13" i="4" l="1"/>
  <c r="CC37" i="4"/>
  <c r="AZ37" i="4" s="1"/>
  <c r="BX37" i="4" s="1"/>
  <c r="BY37" i="4" s="1"/>
  <c r="BZ37" i="4" s="1"/>
  <c r="CC36" i="4"/>
  <c r="AZ36" i="4" s="1"/>
  <c r="BX36" i="4" s="1"/>
  <c r="BY36" i="4" s="1"/>
  <c r="BZ36" i="4" s="1"/>
  <c r="CA36" i="4"/>
  <c r="CA37" i="4"/>
  <c r="CA11" i="4"/>
  <c r="BA29" i="4" l="1"/>
  <c r="BA30" i="4"/>
  <c r="BA31" i="4"/>
  <c r="BI4" i="4"/>
  <c r="CA4" i="4" s="1"/>
  <c r="BI5" i="4"/>
  <c r="CA5" i="4" s="1"/>
  <c r="BI6" i="4"/>
  <c r="BX6" i="4" s="1"/>
  <c r="BY6" i="4" s="1"/>
  <c r="BZ6" i="4" s="1"/>
  <c r="BI3" i="4"/>
  <c r="CA3" i="4" s="1"/>
  <c r="BA11" i="4"/>
  <c r="BA32" i="4"/>
  <c r="BA33" i="4"/>
  <c r="BA12" i="4"/>
  <c r="BA13" i="4"/>
  <c r="BA14" i="4"/>
  <c r="BA17" i="4"/>
  <c r="BA18" i="4"/>
  <c r="BA19" i="4"/>
  <c r="BA20" i="4"/>
  <c r="BA21" i="4"/>
  <c r="BA22" i="4"/>
  <c r="BA23" i="4"/>
  <c r="BA24" i="4"/>
  <c r="BA25" i="4"/>
  <c r="BA26" i="4"/>
  <c r="BA27" i="4"/>
  <c r="BA28" i="4"/>
  <c r="BA4" i="4"/>
  <c r="BA5" i="4"/>
  <c r="BA6" i="4"/>
  <c r="BA3" i="4"/>
  <c r="CA2" i="4"/>
  <c r="CA16" i="4"/>
  <c r="CA15" i="4"/>
  <c r="CA10" i="4"/>
  <c r="CA9" i="4"/>
  <c r="CA31" i="4"/>
  <c r="CA30" i="4"/>
  <c r="CA29" i="4"/>
  <c r="CA14" i="4"/>
  <c r="CA13" i="4"/>
  <c r="CA12" i="4"/>
  <c r="CA35" i="4"/>
  <c r="CA34" i="4"/>
  <c r="CA8" i="4"/>
  <c r="CA7" i="4"/>
  <c r="CA28" i="4"/>
  <c r="CA27" i="4"/>
  <c r="CA26" i="4"/>
  <c r="CA25" i="4"/>
  <c r="CA24" i="4"/>
  <c r="CA23" i="4"/>
  <c r="CA22" i="4"/>
  <c r="CA21" i="4"/>
  <c r="CA20" i="4"/>
  <c r="CA19" i="4"/>
  <c r="CA18" i="4"/>
  <c r="CA17" i="4"/>
  <c r="BX2" i="4"/>
  <c r="BY2" i="4" s="1"/>
  <c r="BZ2" i="4" s="1"/>
  <c r="CA6" i="4" l="1"/>
  <c r="BX4" i="4"/>
  <c r="BY4" i="4" s="1"/>
  <c r="BZ4" i="4" s="1"/>
  <c r="BX5" i="4"/>
  <c r="BY5" i="4" s="1"/>
  <c r="BZ5" i="4" s="1"/>
  <c r="BX3" i="4"/>
  <c r="BY3" i="4" s="1"/>
  <c r="BZ3" i="4" s="1"/>
  <c r="AZ10" i="4" l="1"/>
  <c r="BX10" i="4" s="1"/>
  <c r="BY10" i="4" s="1"/>
  <c r="BZ10" i="4" s="1"/>
  <c r="AZ15" i="4"/>
  <c r="BX15" i="4" s="1"/>
  <c r="BY15" i="4" s="1"/>
  <c r="BZ15" i="4" s="1"/>
  <c r="AZ16" i="4"/>
  <c r="BX16" i="4" s="1"/>
  <c r="BY16" i="4" s="1"/>
  <c r="BZ16" i="4" s="1"/>
  <c r="AZ9" i="4"/>
  <c r="AW2" i="4"/>
  <c r="BX9" i="4" l="1"/>
  <c r="BY9" i="4" s="1"/>
  <c r="BZ9" i="4" s="1"/>
  <c r="AZ31" i="4" l="1"/>
  <c r="BX31" i="4" s="1"/>
  <c r="BY31" i="4" s="1"/>
  <c r="BZ31" i="4" s="1"/>
  <c r="AZ30" i="4"/>
  <c r="BX30" i="4" s="1"/>
  <c r="BY30" i="4" s="1"/>
  <c r="BZ30" i="4" s="1"/>
  <c r="AZ29" i="4"/>
  <c r="BX29" i="4" s="1"/>
  <c r="BY29" i="4" s="1"/>
  <c r="BZ29" i="4" s="1"/>
  <c r="AZ12" i="4"/>
  <c r="BX12" i="4" s="1"/>
  <c r="BY12" i="4" s="1"/>
  <c r="BZ12" i="4" s="1"/>
  <c r="AZ13" i="4"/>
  <c r="BY13" i="4" s="1"/>
  <c r="BZ13" i="4" s="1"/>
  <c r="AZ14" i="4"/>
  <c r="BX14" i="4" s="1"/>
  <c r="BY14" i="4" s="1"/>
  <c r="BZ14" i="4" s="1"/>
  <c r="AZ11" i="4"/>
  <c r="BX11" i="4" s="1"/>
  <c r="BI33" i="4"/>
  <c r="BI32" i="4"/>
  <c r="BJ33" i="4"/>
  <c r="BJ32" i="4"/>
  <c r="AW33" i="4"/>
  <c r="AW32" i="4"/>
  <c r="BY11" i="4" l="1"/>
  <c r="BZ11" i="4" s="1"/>
  <c r="BX32" i="4"/>
  <c r="BY32" i="4" s="1"/>
  <c r="BZ32" i="4" s="1"/>
  <c r="CA32" i="4"/>
  <c r="BX33" i="4"/>
  <c r="BY33" i="4" s="1"/>
  <c r="BZ33" i="4" s="1"/>
  <c r="CA33" i="4"/>
  <c r="AW6" i="4"/>
  <c r="AW5" i="4"/>
  <c r="AW4" i="4"/>
  <c r="AW3" i="4"/>
  <c r="AZ8" i="4" l="1"/>
  <c r="BX8" i="4" s="1"/>
  <c r="BY8" i="4" s="1"/>
  <c r="BZ8" i="4" s="1"/>
  <c r="AZ34" i="4"/>
  <c r="BX34" i="4" s="1"/>
  <c r="BY34" i="4" s="1"/>
  <c r="BZ34" i="4" s="1"/>
  <c r="AZ35" i="4"/>
  <c r="BX35" i="4" s="1"/>
  <c r="BY35" i="4" s="1"/>
  <c r="BZ35" i="4" s="1"/>
  <c r="AZ7" i="4"/>
  <c r="BX7" i="4" s="1"/>
  <c r="BY7" i="4" s="1"/>
  <c r="BZ7" i="4" s="1"/>
  <c r="AZ28" i="4" l="1"/>
  <c r="BX28" i="4" s="1"/>
  <c r="BY28" i="4" s="1"/>
  <c r="BZ28" i="4" s="1"/>
  <c r="AZ27" i="4"/>
  <c r="BX27" i="4" s="1"/>
  <c r="BY27" i="4" s="1"/>
  <c r="BZ27" i="4" s="1"/>
  <c r="AZ26" i="4"/>
  <c r="BX26" i="4" s="1"/>
  <c r="BY26" i="4" s="1"/>
  <c r="BZ26" i="4" s="1"/>
  <c r="AZ25" i="4"/>
  <c r="BX25" i="4" s="1"/>
  <c r="BY25" i="4" s="1"/>
  <c r="BZ25" i="4" s="1"/>
  <c r="AZ24" i="4"/>
  <c r="BX24" i="4" s="1"/>
  <c r="BY24" i="4" s="1"/>
  <c r="BZ24" i="4" s="1"/>
  <c r="AZ23" i="4"/>
  <c r="BX23" i="4" s="1"/>
  <c r="BY23" i="4" s="1"/>
  <c r="BZ23" i="4" s="1"/>
  <c r="AZ18" i="4"/>
  <c r="BX18" i="4" s="1"/>
  <c r="BY18" i="4" s="1"/>
  <c r="BZ18" i="4" s="1"/>
  <c r="AZ19" i="4"/>
  <c r="BX19" i="4" s="1"/>
  <c r="BY19" i="4" s="1"/>
  <c r="BZ19" i="4" s="1"/>
  <c r="AZ20" i="4"/>
  <c r="BX20" i="4" s="1"/>
  <c r="BY20" i="4" s="1"/>
  <c r="BZ20" i="4" s="1"/>
  <c r="AZ21" i="4"/>
  <c r="BX21" i="4" s="1"/>
  <c r="BY21" i="4" s="1"/>
  <c r="BZ21" i="4" s="1"/>
  <c r="AZ22" i="4"/>
  <c r="BX22" i="4" s="1"/>
  <c r="BY22" i="4" s="1"/>
  <c r="BZ22" i="4" s="1"/>
  <c r="AZ17" i="4"/>
  <c r="BX17" i="4" s="1"/>
  <c r="BY17" i="4" s="1"/>
  <c r="BZ17" i="4" s="1"/>
  <c r="BM53" i="5" l="1"/>
  <c r="BJ53" i="5"/>
  <c r="BK53" i="5" s="1"/>
  <c r="BL53" i="5" s="1"/>
  <c r="BI53" i="5"/>
  <c r="BG53" i="5"/>
  <c r="BK52" i="5"/>
  <c r="BG52" i="5"/>
  <c r="AL52" i="5"/>
  <c r="BM52" i="5" s="1"/>
  <c r="BM51" i="5"/>
  <c r="AP51" i="5"/>
  <c r="BM50" i="5"/>
  <c r="AP50" i="5"/>
  <c r="B50" i="5"/>
  <c r="B51" i="5" s="1"/>
  <c r="B52" i="5" s="1"/>
  <c r="BM49" i="5"/>
  <c r="BK49" i="5"/>
  <c r="BL49" i="5" s="1"/>
  <c r="AP49" i="5"/>
  <c r="BM48" i="5"/>
  <c r="AP48" i="5"/>
  <c r="BM47" i="5"/>
  <c r="AP47" i="5"/>
  <c r="BM46" i="5"/>
  <c r="AP46" i="5"/>
  <c r="B46" i="5"/>
  <c r="B47" i="5" s="1"/>
  <c r="B48" i="5" s="1"/>
  <c r="BM45" i="5"/>
  <c r="AP45" i="5"/>
  <c r="BM44" i="5"/>
  <c r="AP44" i="5"/>
  <c r="BM43" i="5"/>
  <c r="AP43" i="5"/>
  <c r="BN42" i="5"/>
  <c r="BJ42" i="5" s="1"/>
  <c r="BK42" i="5" s="1"/>
  <c r="BG42" i="5"/>
  <c r="AQ42" i="5"/>
  <c r="AL42" i="5"/>
  <c r="BM42" i="5" s="1"/>
  <c r="B42" i="5"/>
  <c r="B43" i="5" s="1"/>
  <c r="B44" i="5" s="1"/>
  <c r="BN41" i="5"/>
  <c r="BJ41" i="5" s="1"/>
  <c r="BK41" i="5" s="1"/>
  <c r="BG41" i="5"/>
  <c r="AQ41" i="5"/>
  <c r="AL41" i="5"/>
  <c r="BM41" i="5" s="1"/>
  <c r="BK40" i="5"/>
  <c r="BG40" i="5"/>
  <c r="AQ40" i="5"/>
  <c r="AL40" i="5"/>
  <c r="BM40" i="5" s="1"/>
  <c r="BK39" i="5"/>
  <c r="BG39" i="5"/>
  <c r="AQ39" i="5"/>
  <c r="AL39" i="5"/>
  <c r="BM39" i="5" s="1"/>
  <c r="BM38" i="5"/>
  <c r="AP38" i="5"/>
  <c r="B38" i="5"/>
  <c r="B39" i="5" s="1"/>
  <c r="B40" i="5" s="1"/>
  <c r="BM37" i="5"/>
  <c r="AP37" i="5"/>
  <c r="BM36" i="5"/>
  <c r="BK36" i="5"/>
  <c r="BL36" i="5" s="1"/>
  <c r="BG36" i="5"/>
  <c r="BM35" i="5"/>
  <c r="BK35" i="5"/>
  <c r="BL35" i="5" s="1"/>
  <c r="BG35" i="5"/>
  <c r="BM34" i="5"/>
  <c r="BJ34" i="5"/>
  <c r="BK34" i="5" s="1"/>
  <c r="BL34" i="5" s="1"/>
  <c r="BI34" i="5"/>
  <c r="BG34" i="5"/>
  <c r="BM33" i="5"/>
  <c r="BK33" i="5"/>
  <c r="BL33" i="5" s="1"/>
  <c r="BG33" i="5"/>
  <c r="BM32" i="5"/>
  <c r="BG32" i="5"/>
  <c r="AZ32" i="5"/>
  <c r="AP32" i="5"/>
  <c r="BM31" i="5"/>
  <c r="BG31" i="5"/>
  <c r="AZ31" i="5"/>
  <c r="AP31" i="5"/>
  <c r="BM30" i="5"/>
  <c r="BG30" i="5"/>
  <c r="AZ30" i="5"/>
  <c r="AP30" i="5"/>
  <c r="B30" i="5"/>
  <c r="B31" i="5" s="1"/>
  <c r="BM29" i="5"/>
  <c r="BG29" i="5"/>
  <c r="AZ29" i="5"/>
  <c r="AP29" i="5"/>
  <c r="BM28" i="5"/>
  <c r="AP28" i="5"/>
  <c r="BM27" i="5"/>
  <c r="AP27" i="5"/>
  <c r="BM26" i="5"/>
  <c r="AP26" i="5"/>
  <c r="BM25" i="5"/>
  <c r="AP25" i="5"/>
  <c r="BM24" i="5"/>
  <c r="AP24" i="5"/>
  <c r="BM23" i="5"/>
  <c r="AP23" i="5"/>
  <c r="BM22" i="5"/>
  <c r="BI22" i="5"/>
  <c r="BH22" i="5"/>
  <c r="BG22" i="5"/>
  <c r="AM22" i="5"/>
  <c r="BJ22" i="5" s="1"/>
  <c r="BK22" i="5" s="1"/>
  <c r="BL22" i="5" s="1"/>
  <c r="BM21" i="5"/>
  <c r="BI21" i="5"/>
  <c r="BH21" i="5"/>
  <c r="BG21" i="5"/>
  <c r="AM21" i="5"/>
  <c r="BJ21" i="5" s="1"/>
  <c r="BK21" i="5" s="1"/>
  <c r="BL21" i="5" s="1"/>
  <c r="BM20" i="5"/>
  <c r="BI20" i="5"/>
  <c r="BH20" i="5"/>
  <c r="BG20" i="5"/>
  <c r="AM20" i="5"/>
  <c r="BJ20" i="5" s="1"/>
  <c r="BK20" i="5" s="1"/>
  <c r="BL20" i="5" s="1"/>
  <c r="BM19" i="5"/>
  <c r="BK19" i="5"/>
  <c r="BL19" i="5" s="1"/>
  <c r="AQ19" i="5"/>
  <c r="AM19" i="5"/>
  <c r="BM18" i="5"/>
  <c r="BK18" i="5"/>
  <c r="BL18" i="5" s="1"/>
  <c r="AQ18" i="5"/>
  <c r="AM18" i="5"/>
  <c r="B18" i="5"/>
  <c r="B19" i="5" s="1"/>
  <c r="BM17" i="5"/>
  <c r="BK17" i="5"/>
  <c r="BL17" i="5" s="1"/>
  <c r="AQ17" i="5"/>
  <c r="AM17" i="5"/>
  <c r="BM16" i="5"/>
  <c r="BI16" i="5"/>
  <c r="AM16" i="5"/>
  <c r="BJ16" i="5" s="1"/>
  <c r="BK16" i="5" s="1"/>
  <c r="BL16" i="5" s="1"/>
  <c r="BM15" i="5"/>
  <c r="BK15" i="5"/>
  <c r="BL15" i="5" s="1"/>
  <c r="AM15" i="5"/>
  <c r="B15" i="5"/>
  <c r="B16" i="5" s="1"/>
  <c r="BM14" i="5"/>
  <c r="BK14" i="5"/>
  <c r="BL14" i="5" s="1"/>
  <c r="AM14" i="5"/>
  <c r="BM13" i="5"/>
  <c r="BI13" i="5"/>
  <c r="AM13" i="5"/>
  <c r="BJ13" i="5" s="1"/>
  <c r="BK13" i="5" s="1"/>
  <c r="BL13" i="5" s="1"/>
  <c r="BM12" i="5"/>
  <c r="AP12" i="5"/>
  <c r="AF12" i="5"/>
  <c r="BM11" i="5"/>
  <c r="AP11" i="5"/>
  <c r="AF11" i="5"/>
  <c r="B11" i="5"/>
  <c r="B12" i="5" s="1"/>
  <c r="BM10" i="5"/>
  <c r="AP10" i="5"/>
  <c r="AF10" i="5"/>
  <c r="BM9" i="5"/>
  <c r="BH9" i="5"/>
  <c r="BG9" i="5"/>
  <c r="AP9" i="5"/>
  <c r="BN9" i="5" s="1"/>
  <c r="BM8" i="5"/>
  <c r="BH8" i="5"/>
  <c r="BG8" i="5"/>
  <c r="AP8" i="5"/>
  <c r="BN8" i="5" s="1"/>
  <c r="BM7" i="5"/>
  <c r="BH7" i="5"/>
  <c r="BG7" i="5"/>
  <c r="AP7" i="5"/>
  <c r="BN7" i="5" s="1"/>
  <c r="BM6" i="5"/>
  <c r="BH6" i="5"/>
  <c r="BG6" i="5"/>
  <c r="AP6" i="5"/>
  <c r="BN6" i="5" s="1"/>
  <c r="BM5" i="5"/>
  <c r="BH5" i="5"/>
  <c r="BG5" i="5"/>
  <c r="AP5" i="5"/>
  <c r="BN5" i="5" s="1"/>
  <c r="BM4" i="5"/>
  <c r="BH4" i="5"/>
  <c r="BG4" i="5"/>
  <c r="AP4" i="5"/>
  <c r="BN4" i="5" s="1"/>
  <c r="BM3" i="5"/>
  <c r="BH3" i="5"/>
  <c r="BG3" i="5"/>
  <c r="AP3" i="5"/>
  <c r="BN3" i="5" s="1"/>
  <c r="BM2" i="5"/>
  <c r="BH2" i="5"/>
  <c r="BG2" i="5"/>
  <c r="AP2" i="5"/>
  <c r="BN2" i="5" s="1"/>
  <c r="B2" i="5"/>
  <c r="B3" i="5" s="1"/>
  <c r="B4" i="5" s="1"/>
  <c r="B5" i="5" s="1"/>
  <c r="B6" i="5" s="1"/>
  <c r="B7" i="5" s="1"/>
  <c r="B8" i="5" s="1"/>
  <c r="B9" i="5" s="1"/>
  <c r="BI41" i="5" l="1"/>
  <c r="BI42" i="5"/>
  <c r="BJ2" i="5"/>
  <c r="BK2" i="5" s="1"/>
  <c r="BL2" i="5" s="1"/>
  <c r="BI2" i="5"/>
  <c r="BJ3" i="5"/>
  <c r="BK3" i="5" s="1"/>
  <c r="BL3" i="5" s="1"/>
  <c r="BI3" i="5"/>
  <c r="BJ4" i="5"/>
  <c r="BK4" i="5" s="1"/>
  <c r="BL4" i="5" s="1"/>
  <c r="BI4" i="5"/>
  <c r="BJ5" i="5"/>
  <c r="BK5" i="5" s="1"/>
  <c r="BL5" i="5" s="1"/>
  <c r="BI5" i="5"/>
  <c r="BJ6" i="5"/>
  <c r="BK6" i="5" s="1"/>
  <c r="BL6" i="5" s="1"/>
  <c r="BI6" i="5"/>
  <c r="BJ7" i="5"/>
  <c r="BK7" i="5" s="1"/>
  <c r="BL7" i="5" s="1"/>
  <c r="BI7" i="5"/>
  <c r="BJ8" i="5"/>
  <c r="BK8" i="5" s="1"/>
  <c r="BL8" i="5" s="1"/>
  <c r="BI8" i="5"/>
  <c r="BJ9" i="5"/>
  <c r="BK9" i="5" s="1"/>
  <c r="BL9" i="5" s="1"/>
  <c r="BI9" i="5"/>
  <c r="BJ10" i="5"/>
  <c r="BK10" i="5" s="1"/>
  <c r="BL10" i="5" s="1"/>
  <c r="BI10" i="5"/>
  <c r="BJ11" i="5"/>
  <c r="BK11" i="5" s="1"/>
  <c r="BL11" i="5" s="1"/>
  <c r="BI11" i="5"/>
  <c r="BJ12" i="5"/>
  <c r="BK12" i="5" s="1"/>
  <c r="BL12" i="5" s="1"/>
  <c r="BI12" i="5"/>
  <c r="BJ23" i="5"/>
  <c r="BK23" i="5" s="1"/>
  <c r="BL23" i="5" s="1"/>
  <c r="BI23" i="5"/>
  <c r="BJ24" i="5"/>
  <c r="BK24" i="5" s="1"/>
  <c r="BL24" i="5" s="1"/>
  <c r="BI24" i="5"/>
  <c r="BJ25" i="5"/>
  <c r="BK25" i="5" s="1"/>
  <c r="BL25" i="5" s="1"/>
  <c r="BI25" i="5"/>
  <c r="BJ26" i="5"/>
  <c r="BK26" i="5" s="1"/>
  <c r="BL26" i="5" s="1"/>
  <c r="BI26" i="5"/>
  <c r="BJ27" i="5"/>
  <c r="BK27" i="5" s="1"/>
  <c r="BL27" i="5" s="1"/>
  <c r="BI27" i="5"/>
  <c r="BJ28" i="5"/>
  <c r="BK28" i="5" s="1"/>
  <c r="BL28" i="5" s="1"/>
  <c r="BI28" i="5"/>
  <c r="BJ29" i="5"/>
  <c r="BK29" i="5" s="1"/>
  <c r="BL29" i="5" s="1"/>
  <c r="BI29" i="5"/>
  <c r="BJ30" i="5"/>
  <c r="BK30" i="5" s="1"/>
  <c r="BL30" i="5" s="1"/>
  <c r="BI30" i="5"/>
  <c r="BJ31" i="5"/>
  <c r="BK31" i="5" s="1"/>
  <c r="BL31" i="5" s="1"/>
  <c r="BI31" i="5"/>
  <c r="BJ32" i="5"/>
  <c r="BK32" i="5" s="1"/>
  <c r="BL32" i="5" s="1"/>
  <c r="BI32" i="5"/>
  <c r="BJ37" i="5"/>
  <c r="BK37" i="5" s="1"/>
  <c r="BL37" i="5" s="1"/>
  <c r="BI37" i="5"/>
  <c r="BJ38" i="5"/>
  <c r="BK38" i="5" s="1"/>
  <c r="BL38" i="5" s="1"/>
  <c r="BI38" i="5"/>
  <c r="BL39" i="5"/>
  <c r="BL40" i="5"/>
  <c r="BL41" i="5"/>
  <c r="BL42" i="5"/>
  <c r="BJ43" i="5"/>
  <c r="BK43" i="5" s="1"/>
  <c r="BL43" i="5" s="1"/>
  <c r="BI43" i="5"/>
  <c r="BJ44" i="5"/>
  <c r="BK44" i="5" s="1"/>
  <c r="BL44" i="5" s="1"/>
  <c r="BI44" i="5"/>
  <c r="BJ45" i="5"/>
  <c r="BK45" i="5" s="1"/>
  <c r="BL45" i="5" s="1"/>
  <c r="BI45" i="5"/>
  <c r="BJ46" i="5"/>
  <c r="BK46" i="5" s="1"/>
  <c r="BL46" i="5" s="1"/>
  <c r="BI46" i="5"/>
  <c r="BJ47" i="5"/>
  <c r="BK47" i="5" s="1"/>
  <c r="BL47" i="5" s="1"/>
  <c r="BI47" i="5"/>
  <c r="BJ48" i="5"/>
  <c r="BK48" i="5" s="1"/>
  <c r="BL48" i="5" s="1"/>
  <c r="BI48" i="5"/>
  <c r="BJ50" i="5"/>
  <c r="BK50" i="5" s="1"/>
  <c r="BL50" i="5" s="1"/>
  <c r="BI50" i="5"/>
  <c r="BJ51" i="5"/>
  <c r="BK51" i="5" s="1"/>
  <c r="BL51" i="5" s="1"/>
  <c r="BI51" i="5"/>
  <c r="BL5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tc={73C2226C-6106-4DC2-88CF-9C0A06F48311}</author>
    <author>tc={CEE78422-255C-40DC-AFED-5AA185CC03E1}</author>
    <author>tc={C7CEED71-5EFE-4791-84D8-7010C40A69F0}</author>
  </authors>
  <commentList>
    <comment ref="AQ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is this supposed to capture mean difference between control and treatment or ?</t>
      </text>
    </comment>
    <comment ref="AZ1"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daily kWh</t>
      </text>
    </comment>
    <comment ref="AQ22"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in kWh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tc={1DD52412-77C6-1E43-B8CC-07AD562D2C6E}</author>
  </authors>
  <commentList>
    <comment ref="A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check label studies from srmt for label type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tc={CF36070F-7893-4948-8AB8-1CADF6EBBFD9}</author>
  </authors>
  <commentList>
    <comment ref="D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 bit confused as of where it’s correlation and where - quasi-experimental
Reply:
    the way i reassessed this was - market statistics - correlation, whereas hypothetical choice - quasi-experimental</t>
      </text>
    </comment>
  </commentList>
</comments>
</file>

<file path=xl/sharedStrings.xml><?xml version="1.0" encoding="utf-8"?>
<sst xmlns="http://schemas.openxmlformats.org/spreadsheetml/2006/main" count="3165" uniqueCount="614">
  <si>
    <t>Coder</t>
  </si>
  <si>
    <t>sr_no</t>
  </si>
  <si>
    <t>study_ID</t>
  </si>
  <si>
    <t>Authors</t>
  </si>
  <si>
    <t>doc_title</t>
  </si>
  <si>
    <t>abstract</t>
  </si>
  <si>
    <t>year_data_study</t>
  </si>
  <si>
    <t>exclusion_reason</t>
  </si>
  <si>
    <t>page</t>
  </si>
  <si>
    <t>statistical_technique</t>
  </si>
  <si>
    <t>study_design</t>
  </si>
  <si>
    <t>study_type</t>
  </si>
  <si>
    <t>feedback</t>
  </si>
  <si>
    <t>rebate</t>
  </si>
  <si>
    <t>information</t>
  </si>
  <si>
    <t>label</t>
  </si>
  <si>
    <t>tax_credit</t>
  </si>
  <si>
    <t>washing_machine</t>
  </si>
  <si>
    <t>diswasher</t>
  </si>
  <si>
    <t>refrigerator</t>
  </si>
  <si>
    <t>heat_pump</t>
  </si>
  <si>
    <t>lighting</t>
  </si>
  <si>
    <t>water_heater</t>
  </si>
  <si>
    <t>air_conditioning</t>
  </si>
  <si>
    <t>tv</t>
  </si>
  <si>
    <t>Notes</t>
  </si>
  <si>
    <t>dep_variable usage</t>
  </si>
  <si>
    <t xml:space="preserve">coefficient </t>
  </si>
  <si>
    <t>effect_direction</t>
  </si>
  <si>
    <t>coefficient_se</t>
  </si>
  <si>
    <t>PercentChange</t>
  </si>
  <si>
    <t>control_mean</t>
  </si>
  <si>
    <t>control_sample_size</t>
  </si>
  <si>
    <t>control_sd</t>
  </si>
  <si>
    <t>treated_mean</t>
  </si>
  <si>
    <t>treatment_sample_size</t>
  </si>
  <si>
    <t>treated_sd</t>
  </si>
  <si>
    <t>total_sample_size</t>
  </si>
  <si>
    <t>total_observations</t>
  </si>
  <si>
    <t>p_value</t>
  </si>
  <si>
    <t>significance_bound</t>
  </si>
  <si>
    <t>test_statistic</t>
  </si>
  <si>
    <t>diff_mean</t>
  </si>
  <si>
    <t>pooled_sd</t>
  </si>
  <si>
    <t>controls Electricity use</t>
  </si>
  <si>
    <t>controls Environmental attitudes</t>
  </si>
  <si>
    <t>controls HH controls (demographics)</t>
  </si>
  <si>
    <t>controls Residence controls</t>
  </si>
  <si>
    <t>controls Seasonal controls</t>
  </si>
  <si>
    <t>controls Weather controls</t>
  </si>
  <si>
    <t>country</t>
  </si>
  <si>
    <t>Baseline Consumption</t>
  </si>
  <si>
    <t>Notes_BaselineConsumption</t>
  </si>
  <si>
    <t>randomisation_dummy</t>
  </si>
  <si>
    <t>Opt_in</t>
  </si>
  <si>
    <t>outOfSampleBias</t>
  </si>
  <si>
    <t>reportingBiases</t>
  </si>
  <si>
    <t>Notes_Biases</t>
  </si>
  <si>
    <t>interventionDuration</t>
  </si>
  <si>
    <t>interventionTreatmentPeriod</t>
  </si>
  <si>
    <t>r_effect_size_sample</t>
  </si>
  <si>
    <t>r_effect_size_obsversation</t>
  </si>
  <si>
    <t>z_value</t>
  </si>
  <si>
    <t>r_variance</t>
  </si>
  <si>
    <t>z_variance</t>
  </si>
  <si>
    <t>d_value</t>
  </si>
  <si>
    <t>Significance in Original study</t>
  </si>
  <si>
    <t>note</t>
  </si>
  <si>
    <t>DD</t>
  </si>
  <si>
    <t>Asensio, Delmas, 2015</t>
  </si>
  <si>
    <t>Nonprice incentives and energy conservation</t>
  </si>
  <si>
    <t>In the electricity sector, energy conservation through technological and behavioral change is estimated to have a savings potential of 123 million metric tons of carbon per year, which represents 20% of US household direct emissions in the United States. In this article, we investigate the effectiveness of nonprice information strategies to motivate conservation behavior. We introduce environment and health-based messaging as a behavioral strategy to reduce energy use in the home and promote energy conserva- tion. In a randomized controlled trial with real-time appliance- level energy metering, we find that environment and health-based information strategies, which communicate the environmental and public health externalities of electricity production, such as pounds of pollutants, childhood asthma, and cancer, outperform monetary savings information to drive behavioral change in the home. Environment and health-based information treatments motivated 8% energy savings versus control and were particularly effective on families with children, who achieved up to 19% energy savings. Our results are based on a panel of 3.4 million hourly appliance-level kilowatt–hour observations for 118 residen- ces over 8 mo. We discuss the relative impacts of both cost-savings information and environmental health messaging strategies with residential consumers.</t>
  </si>
  <si>
    <t>2011-2012</t>
  </si>
  <si>
    <t>NA</t>
  </si>
  <si>
    <t>SI Appendix</t>
  </si>
  <si>
    <t>RCT</t>
  </si>
  <si>
    <t>Control &amp; Treatment</t>
  </si>
  <si>
    <t>info - monetary, reported as heating/cooling</t>
  </si>
  <si>
    <t>electricity consumption</t>
  </si>
  <si>
    <t>?</t>
  </si>
  <si>
    <t>increase</t>
  </si>
  <si>
    <t>US</t>
  </si>
  <si>
    <t>slightly below the national average</t>
  </si>
  <si>
    <t>Probably No</t>
  </si>
  <si>
    <t>significant</t>
  </si>
  <si>
    <t>info - health, reported as heating/cooling</t>
  </si>
  <si>
    <t>decrease</t>
  </si>
  <si>
    <t>not significant</t>
  </si>
  <si>
    <t>info - monetary</t>
  </si>
  <si>
    <t>info - health</t>
  </si>
  <si>
    <t>Brülisauer, Goette, Jiang, Schmitz, Schubert, 2018</t>
  </si>
  <si>
    <t>Appliance specific feedback and social comparisons: Evidence from a field experiment on electricity saving</t>
  </si>
  <si>
    <t>Feedback about individual electricity consumption relative to others in the popu- lation is widely used to steer behavior and reduce electricity consumption. This feedback usually informs households about their aggregate electricity consumption relative to others. While aggregate consumption feedback already translates into significant energy savings, it may leave potential savings untapped because house- holds lack the knowledge where to save most efficiently. In this paper, we provide households with detailed feedback about their consumption of a specific high energy use appliance (air-conditioning) relative to other households. We thereby also exo- genously vary a households’ reference group about which they receive the appliance specific consumption information. We find that our appliance specific feedback is a powerful tool to curb electricity consumption. Households significantly reduce their average air-conditioning consumption by 17% in our treatment groups. Our effects are not driven by comparative feedback to specific reference groups. We interpret this as encouraging evidence to promote the use of appliance specific consumption feedback to realize electricity savings.</t>
  </si>
  <si>
    <t>linear probability model</t>
  </si>
  <si>
    <t>Diff in Diff</t>
  </si>
  <si>
    <t>average peers</t>
  </si>
  <si>
    <t>Singapore</t>
  </si>
  <si>
    <t>identifiable peers</t>
  </si>
  <si>
    <t>unidentifiable peers</t>
  </si>
  <si>
    <t>Delmas, Lessem, 2012</t>
  </si>
  <si>
    <t>SAVING POWER TO CONSERVE YOUR REPUTATION?
THE EFFECTIVENESS OF PRIVATE VERSUS PUBLIC INFORMATION</t>
  </si>
  <si>
    <t xml:space="preserve">
Environmental damage is often an unseen byproduct of other activities. Disclosing environmental impact privately to consumers can reduce the costs and/or increase the moral benefits of conservation behaviors, while publicly disclosing such information can provide an additional motivation for conservation - cultivating a green reputation. In a unique field experiment in the residence halls at the University of California – Los Angeles, we test the efficacy of detailed private and public information on electricity conservation. Private information was given through real-time appliance level feedback and social norms over usage, and public information was given through a publicly visible conservation rating. Our analysis is based on 7,120 daily observations about energy use from heating and cooling, lights and plug load for 66 rooms collected over an academic year. Our results suggest that while private information alone was ineffective, public information combined with private information motivated a 20 percent reduction in electricity consumption achieved through lower use of heating and cooling. Public information was particularly effective for above median energy users.</t>
  </si>
  <si>
    <t>2010-2011</t>
  </si>
  <si>
    <t>private</t>
  </si>
  <si>
    <t>public</t>
  </si>
  <si>
    <t>Becker, Seligman 1978</t>
  </si>
  <si>
    <t>Reducing Air Conditioning Waste by Signalling it is Cool Outside</t>
  </si>
  <si>
    <t>diff of means</t>
  </si>
  <si>
    <t>electricity consumption (daily)</t>
  </si>
  <si>
    <t>Herter, Wood, Blozis, 2013</t>
  </si>
  <si>
    <t xml:space="preserve">
The effects of combining dynamic pricing, AC load control, and real-time energy feedback: SMUD’S 2011 Residential Summer Solutions Study</t>
  </si>
  <si>
    <t>The 2011 Residential Summer Solutions Study compared the hourly load effects of three dif- ferent real-time information treatments and two pro- gram options. The information treatments included: Baseline information (no real-time data), real-time Home information (whole-house data), and real-time Appliance information (data for the whole house plus three individual appliances). Compared to the Baseline group, real-time Home information lowered overall energy use by about 4 %. Real-time information at both the Home and Appliance levels had a significant effect on non-event peak loads: compared to the Baseline group, real-time Home data lowered peak load by 5 %, while Appliance data lowered peak load by 7 %. All three information treatments averaged a 1-kW (40 %) load shed during events. The customer-chosen program options included a dynamic time-of-use rate and a load 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t>
  </si>
  <si>
    <t>pre and post</t>
  </si>
  <si>
    <t>house electricity consumption (overall 24 hours)</t>
  </si>
  <si>
    <t>house electricity consumption (non-event peak load)</t>
  </si>
  <si>
    <t>house electricity consumption (event peak load)</t>
  </si>
  <si>
    <t>Ito, Ida, Tanaka, 2018</t>
  </si>
  <si>
    <t>Moral Suasion and Economic Incentives: Field Experimental Evidence from Energy Demand</t>
  </si>
  <si>
    <t>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t>
  </si>
  <si>
    <t>2012-2013</t>
  </si>
  <si>
    <t>OLS</t>
  </si>
  <si>
    <t>moral</t>
  </si>
  <si>
    <t>energy-efficient use of appliance (dummy)</t>
  </si>
  <si>
    <t>not reported</t>
  </si>
  <si>
    <t>Japan</t>
  </si>
  <si>
    <t>economic</t>
  </si>
  <si>
    <t>Davis, Fuchs, Gertler, 2014</t>
  </si>
  <si>
    <t>Cash for Coolers: Evaluating a Large-Scale Appliance Replacement Program in Mexico</t>
  </si>
  <si>
    <t>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
  </si>
  <si>
    <t>2009-2012</t>
  </si>
  <si>
    <t>electricity consumption (monthly)</t>
  </si>
  <si>
    <t>Mexico</t>
  </si>
  <si>
    <t>DECC, 2014</t>
  </si>
  <si>
    <t>Evaluation of the DECC/John Lewis energy labelling trial</t>
  </si>
  <si>
    <t>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
  </si>
  <si>
    <t>2013-2014</t>
  </si>
  <si>
    <t>washing machine</t>
  </si>
  <si>
    <t>electricity consumption (yearly)</t>
  </si>
  <si>
    <t>UK</t>
  </si>
  <si>
    <t>Probably Yes</t>
  </si>
  <si>
    <t xml:space="preserve">self-selected sample of stores, training of personnel </t>
  </si>
  <si>
    <t>washer dryer</t>
  </si>
  <si>
    <t>tumble dryer condenser</t>
  </si>
  <si>
    <t>tumble dryer vented</t>
  </si>
  <si>
    <t>Deutsch, 2010</t>
  </si>
  <si>
    <t>Life Cycle Cost Disclosure, Consumer Behavior, and Business Implications</t>
  </si>
  <si>
    <t>Comprehensive assessments of final consumption have iden- tified “housing” as a major contributor to total environmental impacts. Within this category, electrical-energy-using products are important. Do consumers opt for more energy-efficient household appliances if they are provided with life cycle cost (LCC)—that is, the sum of purchase price and operating cost estimated over the life span of the appliance? And what con- sequences does LCC disclosure have for business? Physical energy figures shown on appliance labels may be cognitively demanding for consumers, whereas monetary information promises to simplify the decision problem. Despite the rising interest in monetary cost disclosure, its effectiveness relative to physical cost disclosure has not been rigorously evaluated. This research approached the question of effectiveness with an online field experiment for washing machines. Customers of a commercially operating online shop were randomly assigned to two groups. The control group was provided with regular product price information; the treatment group received addi- tional LCC information. A total of 2,065 clicks were recorded and analyzed with multiple regression that controlled for sev- eral product characteristics. The evidence suggests that LCC disclosure decreases the mean specific energy use of chosen washing machines by 0.8% (p &lt; 0.01) and their mean specific water use by 0.7% (p &lt; 0.05). As to business implications, LCC disclosure had no effect on the indicator of retail vol- ume, which makes it unattractive for retailers to provide LCC on their own initiative.</t>
  </si>
  <si>
    <t>electricity consumption (per cycle)</t>
  </si>
  <si>
    <t>Germany</t>
  </si>
  <si>
    <t>control</t>
  </si>
  <si>
    <t>limited appliance selection on the website, the actual effect size probably higher</t>
  </si>
  <si>
    <t>SR</t>
  </si>
  <si>
    <t>Sammer, Wustenhagen, 2006</t>
  </si>
  <si>
    <t xml:space="preserve">The Influence of Eco-Labelling on Consumer Behaviour – Results of a Discrete Choice Analysis for Washing Machines </t>
  </si>
  <si>
    <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t>
  </si>
  <si>
    <t>logit</t>
  </si>
  <si>
    <t>Switzerland</t>
  </si>
  <si>
    <t>Study chooses surveyors who are already at supermarket and only 6 supermarkets most of which are in suburban areas</t>
  </si>
  <si>
    <t>Stadelmann, Schubert, 2018</t>
  </si>
  <si>
    <r>
      <t>How Do Di</t>
    </r>
    <r>
      <rPr>
        <sz val="13"/>
        <color theme="1"/>
        <rFont val="AdvOT596495f2+fb"/>
      </rPr>
      <t>ff</t>
    </r>
    <r>
      <rPr>
        <sz val="13"/>
        <color theme="1"/>
        <rFont val="AdvOT596495f2"/>
      </rPr>
      <t>erent Designs of Energy Labels In</t>
    </r>
    <r>
      <rPr>
        <sz val="13"/>
        <color theme="1"/>
        <rFont val="AdvOT596495f2+fb"/>
      </rPr>
      <t>fl</t>
    </r>
    <r>
      <rPr>
        <sz val="13"/>
        <color theme="1"/>
        <rFont val="AdvOT596495f2"/>
      </rPr>
      <t xml:space="preserve">uence Purchases of Household Appliances? A Field Study in Switzerland </t>
    </r>
  </si>
  <si>
    <r>
      <t>Energy labels are a key element of energy e</t>
    </r>
    <r>
      <rPr>
        <sz val="7"/>
        <color theme="1"/>
        <rFont val="AdvOT596495f2+fb"/>
      </rPr>
      <t>ffi</t>
    </r>
    <r>
      <rPr>
        <sz val="7"/>
        <color theme="1"/>
        <rFont val="AdvOT596495f2"/>
      </rPr>
      <t xml:space="preserve">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t>
    </r>
    <r>
      <rPr>
        <sz val="7"/>
        <color theme="1"/>
        <rFont val="AdvOT596495f2+fb"/>
      </rPr>
      <t>fi</t>
    </r>
    <r>
      <rPr>
        <sz val="7"/>
        <color theme="1"/>
        <rFont val="AdvOT596495f2"/>
      </rPr>
      <t xml:space="preserve">eld. We analyze private purchases of household appliances, especially freezers, vacuum cleaners and tumble dryers. We </t>
    </r>
    <r>
      <rPr>
        <sz val="7"/>
        <color theme="1"/>
        <rFont val="AdvOT596495f2+fb"/>
      </rPr>
      <t>fi</t>
    </r>
    <r>
      <rPr>
        <sz val="7"/>
        <color theme="1"/>
        <rFont val="AdvOT596495f2"/>
      </rPr>
      <t>nd that the display of any of the two energy labels increases the sales proportion of energy-e</t>
    </r>
    <r>
      <rPr>
        <sz val="7"/>
        <color theme="1"/>
        <rFont val="AdvOT596495f2+fb"/>
      </rPr>
      <t>ffi</t>
    </r>
    <r>
      <rPr>
        <sz val="7"/>
        <color theme="1"/>
        <rFont val="AdvOT596495f2"/>
      </rPr>
      <t>cient appliances compared to the absence of any energy label. At the same time, we observe a volume-e</t>
    </r>
    <r>
      <rPr>
        <sz val="7"/>
        <color theme="1"/>
        <rFont val="AdvOT596495f2+fb"/>
      </rPr>
      <t>ff</t>
    </r>
    <r>
      <rPr>
        <sz val="7"/>
        <color theme="1"/>
        <rFont val="AdvOT596495f2"/>
      </rPr>
      <t>ect for freezers: The average size of purchased freezers is larger when any of the two energy labels is displayed compared to the absence of any energy label. The in</t>
    </r>
    <r>
      <rPr>
        <sz val="7"/>
        <color theme="1"/>
        <rFont val="AdvOT596495f2+fb"/>
      </rPr>
      <t>fl</t>
    </r>
    <r>
      <rPr>
        <sz val="7"/>
        <color theme="1"/>
        <rFont val="AdvOT596495f2"/>
      </rPr>
      <t>uence of the two di</t>
    </r>
    <r>
      <rPr>
        <sz val="7"/>
        <color theme="1"/>
        <rFont val="AdvOT596495f2+fb"/>
      </rPr>
      <t>ff</t>
    </r>
    <r>
      <rPr>
        <sz val="7"/>
        <color theme="1"/>
        <rFont val="AdvOT596495f2"/>
      </rPr>
      <t>erent energy labels is similar except for vacuum cleaners, for which monetary information might have an adverse e</t>
    </r>
    <r>
      <rPr>
        <sz val="7"/>
        <color theme="1"/>
        <rFont val="AdvOT596495f2+fb"/>
      </rPr>
      <t>ff</t>
    </r>
    <r>
      <rPr>
        <sz val="7"/>
        <color theme="1"/>
        <rFont val="AdvOT596495f2"/>
      </rPr>
      <t xml:space="preserve">ect. </t>
    </r>
  </si>
  <si>
    <t>freezer</t>
  </si>
  <si>
    <t>mean expected annual electricity consumption</t>
  </si>
  <si>
    <t>country specific?</t>
  </si>
  <si>
    <t>dryer</t>
  </si>
  <si>
    <t>Houde, Aldy, 2017</t>
  </si>
  <si>
    <t>Consumers' Response to State Energy Efficient Appliance Rebate Programs.</t>
  </si>
  <si>
    <r>
      <t xml:space="preserve">Through an evaluation of the 2009 Recovery Act's State Energy </t>
    </r>
    <r>
      <rPr>
        <sz val="12"/>
        <color theme="1"/>
        <rFont val="Code2000"/>
      </rPr>
      <t xml:space="preserve">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t>
    </r>
  </si>
  <si>
    <t xml:space="preserve">log of kWh </t>
  </si>
  <si>
    <t>Kallbekken, Saelen, Hermansen, 2013</t>
  </si>
  <si>
    <t xml:space="preserve">Bridging the Energy Efficiency Gap: A Field Experiment on Lifetime Energy Costs and Household Appliances </t>
  </si>
  <si>
    <r>
      <t xml:space="preserve">Abstract </t>
    </r>
    <r>
      <rPr>
        <sz val="9"/>
        <color rgb="FF111111"/>
        <rFont val="AdvTT3713a231"/>
      </rPr>
      <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t>
    </r>
  </si>
  <si>
    <t>synthetic control method</t>
  </si>
  <si>
    <t>average energy use</t>
  </si>
  <si>
    <t>Norway</t>
  </si>
  <si>
    <t>Alberini, Gans, Towe, 2016</t>
  </si>
  <si>
    <t>Free Riding, Upsizing, and Energy Efficiency Incentives in Maryland Homes</t>
  </si>
  <si>
    <t>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
  </si>
  <si>
    <t>energy consumption</t>
  </si>
  <si>
    <t>per billing period (i.e. monthly)</t>
  </si>
  <si>
    <t>Our sampling frame is a mix of stratified and choice-based sampling (see table 1), which means that it is necessary to calculate and use appropriate weights when extrapolating sample statistics to the population.</t>
  </si>
  <si>
    <t>coder</t>
  </si>
  <si>
    <t>study_ID_purchaseprobability</t>
  </si>
  <si>
    <t>authors</t>
  </si>
  <si>
    <t>year_publication</t>
  </si>
  <si>
    <t>incentive_follow_through</t>
  </si>
  <si>
    <t>experimental_setting</t>
  </si>
  <si>
    <t>participant_type</t>
  </si>
  <si>
    <t>aware_of_study</t>
  </si>
  <si>
    <t>opt_in</t>
  </si>
  <si>
    <t>notes_bias</t>
  </si>
  <si>
    <t>subsidy</t>
  </si>
  <si>
    <t>loan</t>
  </si>
  <si>
    <t>choice_architecture</t>
  </si>
  <si>
    <t>notes_intervention</t>
  </si>
  <si>
    <t>clothes_dryer</t>
  </si>
  <si>
    <t>ac</t>
  </si>
  <si>
    <t>notes_dep_var</t>
  </si>
  <si>
    <t>dep_variable_purchase_category</t>
  </si>
  <si>
    <t>dep_var_original_study</t>
  </si>
  <si>
    <t>dep_var_transformation</t>
  </si>
  <si>
    <t>t_stat</t>
  </si>
  <si>
    <t>percent_change</t>
  </si>
  <si>
    <t>percent_change(binary predictor)</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</si>
  <si>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</si>
  <si>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</si>
  <si>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</si>
  <si>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</si>
  <si>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</si>
  <si>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</si>
  <si>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</si>
  <si>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</si>
  <si>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</si>
  <si>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</si>
  <si>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</si>
  <si>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df</t>
  </si>
  <si>
    <t>Allcott, Sweeney</t>
  </si>
  <si>
    <t>ITT</t>
  </si>
  <si>
    <t>revealed preference</t>
  </si>
  <si>
    <t>sales agent</t>
  </si>
  <si>
    <t>no such option</t>
  </si>
  <si>
    <t>probably no</t>
  </si>
  <si>
    <t>purschase (probability) of efficient appliance</t>
  </si>
  <si>
    <t>dummy (0/1)</t>
  </si>
  <si>
    <t>Alberini, Bigano, Boeri</t>
  </si>
  <si>
    <t>Italy</t>
  </si>
  <si>
    <t>self-reported behaviour</t>
  </si>
  <si>
    <t>household</t>
  </si>
  <si>
    <t>homeowners</t>
  </si>
  <si>
    <t>delayed</t>
  </si>
  <si>
    <t xml:space="preserve">current </t>
  </si>
  <si>
    <t>Datta, Filippini</t>
  </si>
  <si>
    <t>pre-recorded (no experiment)</t>
  </si>
  <si>
    <t>residents</t>
  </si>
  <si>
    <t>market share of efficient appliance</t>
  </si>
  <si>
    <t>2SLS</t>
  </si>
  <si>
    <t>IV</t>
  </si>
  <si>
    <t>Kenya</t>
  </si>
  <si>
    <t>probably yes</t>
  </si>
  <si>
    <t>Allcott, Taubinsky</t>
  </si>
  <si>
    <t>Evaluating Behaviorally Motivated Policy: Experimental Evidence from the Lightbulb Market</t>
  </si>
  <si>
    <t>control &amp; treatment</t>
  </si>
  <si>
    <t>online</t>
  </si>
  <si>
    <t>Neves, Oliveira</t>
  </si>
  <si>
    <t>structural model</t>
  </si>
  <si>
    <t>quasi-experimental</t>
  </si>
  <si>
    <t>stated preference</t>
  </si>
  <si>
    <t>individuals</t>
  </si>
  <si>
    <t>log scale</t>
  </si>
  <si>
    <t>AN</t>
  </si>
  <si>
    <t>Spain</t>
  </si>
  <si>
    <t>retailer</t>
  </si>
  <si>
    <t>store visitors</t>
  </si>
  <si>
    <t>WTP for efficient appliance</t>
  </si>
  <si>
    <t>alphabetical with +</t>
  </si>
  <si>
    <t>Gana, Hoppe</t>
  </si>
  <si>
    <t>uncertainty / sample size missing</t>
  </si>
  <si>
    <t>Nigeria</t>
  </si>
  <si>
    <t>Revelt, Train</t>
  </si>
  <si>
    <t>MIXED LOGIT WITH REPEATED CHOICES: HOUSEHOLDS’ CHOICES
OF APPLIANCE EFFICIENCY LEVEL</t>
  </si>
  <si>
    <t>Goto H, Goto M, Sueyoshi</t>
  </si>
  <si>
    <t>Consumer choice on ecologically efficient water heaters: Marketing strategy and policy implications in Japan</t>
  </si>
  <si>
    <t>nested logit</t>
  </si>
  <si>
    <t>correlation</t>
  </si>
  <si>
    <t>Aydin, Kok, Brounen</t>
  </si>
  <si>
    <t>Energy efficiency and household behavior: the rebound effect in the residential sector</t>
  </si>
  <si>
    <t>dep_var</t>
  </si>
  <si>
    <t>Berman, Cooper, Geller</t>
  </si>
  <si>
    <t>COMPENDIUM OF UTILITY-SPONSORED ENERGY EFFICIENCY REBATE PROGRAMS.</t>
  </si>
  <si>
    <t>review</t>
  </si>
  <si>
    <t>Dong, Futawatari</t>
  </si>
  <si>
    <t>The study of low-carbon policy influence on consumers' energy efficiency household appliance purchase behavior</t>
  </si>
  <si>
    <t>quality</t>
  </si>
  <si>
    <t>ANOVA</t>
  </si>
  <si>
    <t>China</t>
  </si>
  <si>
    <t>mixed logit</t>
  </si>
  <si>
    <t>Kallbekken, Saelen, Hermansen</t>
  </si>
  <si>
    <t>Bridging the Energy Efficiency Gap: A Field Experiment on Lifetime Energy Costs and Household Appliances</t>
  </si>
  <si>
    <t>del Mar Sola, de Ayala, Galarraga</t>
  </si>
  <si>
    <t>The Effect of Providing Monetary Information on Energy Savings for Household Appliances: A Field Trial in Spain</t>
  </si>
  <si>
    <t>London Economics</t>
  </si>
  <si>
    <t>Study on the impact of the energy label – and potential changes to it – on consumer understanding and on purchase decisions</t>
  </si>
  <si>
    <t xml:space="preserve">France, Slovenia, Szech Republic, Portugal </t>
  </si>
  <si>
    <t>opt_out</t>
  </si>
  <si>
    <t>other</t>
  </si>
  <si>
    <t>LT</t>
  </si>
  <si>
    <t>Household adoption of energy and water-efficient appliances: An analysis of attitudes, labelling and complementary green behaviours in selected OECD countries</t>
  </si>
  <si>
    <t>probit</t>
  </si>
  <si>
    <t>Australia, Canada, Chile, France, Israel, Korea, Japan, Netherlands, Spain, Sweden, Switzerland</t>
  </si>
  <si>
    <t>Liddle, Loi, Owen, Tao</t>
  </si>
  <si>
    <t>Evaluating consumption and cost savings from new air-conditioner purchases: The case of Singapore</t>
  </si>
  <si>
    <t>Air conditioning (AC) is a major source of household electricity consumption in Singapore and there is evidence
that the efficiency of ACs could be improved substantially. Employing 45 months of energy bills and survey data
and the Fixed Effects difference-in-differences estimator, we calculated a savings of 7.8% of total energy consumption
after the purchase of a more efficient AC compared to an estimated expected savings of 12.6%. This
suggests a rebound or take-back of savings around 38.2%. Such a less-than-100% of theoretical savings achieved
is in line with other (outside Singapore) estimates and economic/behavioural theory since after purchasing a new
AC, households may (i) use a lower temperature setting or (ii) use the AC longer in order to (1) fulfil (previously)
unmet demand and/or (2) respond to the effective lower costs of running the AC. Our results have implications
for both energy efficiency labelling policies and for Singapore’s recently implemented carbon tax.</t>
  </si>
  <si>
    <t>2015-2017</t>
  </si>
  <si>
    <t>OLS - FE</t>
  </si>
  <si>
    <t>mandatory energy labelling scheme and mandatory energy performance standard</t>
  </si>
  <si>
    <t>energy use after switching to a more efficient appliance</t>
  </si>
  <si>
    <t>electricity savings from the purchase of a new air-conditioner as an Average Treatment on the Treated Effect</t>
  </si>
  <si>
    <t>OLS - RE</t>
  </si>
  <si>
    <t>coarsened exact matching</t>
  </si>
  <si>
    <t>Nakano, Zusman, Nugroho, Kaswanto, Arifin N, Munandar, Arifin HS, Muchtar, Gomi, Fujita</t>
  </si>
  <si>
    <t>France</t>
  </si>
  <si>
    <t>Mahlia, Masjuki, Choudhury, Ghazali</t>
  </si>
  <si>
    <t>Economical and environmental impact of room air conditioners energy labels in Malaysia</t>
  </si>
  <si>
    <t>simulation</t>
  </si>
  <si>
    <t>Malaysia</t>
  </si>
  <si>
    <t>Liu, Jin</t>
  </si>
  <si>
    <t>ordered probit</t>
  </si>
  <si>
    <t>Webber, Brown, Koomey</t>
  </si>
  <si>
    <t>Savings estimates for the ENERGY STAR (R) voluntary labeling program</t>
  </si>
  <si>
    <t>Hirst, Carney, O'Neal</t>
  </si>
  <si>
    <t>Alternative technologies for US residential water heating. Energy savings and economic benefits</t>
  </si>
  <si>
    <t>Davis, Metcalf</t>
  </si>
  <si>
    <t>DOES BETTER INFORMATION LEAD TO BETTER CHOICES? EVIDENCE FROM
ENERGY-EFFICIENCY LABELS</t>
  </si>
  <si>
    <t>numerical</t>
  </si>
  <si>
    <t>Wasi, Carson</t>
  </si>
  <si>
    <t>The influence of rebate programs on the demand for water heaters: The case of New South Wales</t>
  </si>
  <si>
    <t>diff-in-diff</t>
  </si>
  <si>
    <t>Australia</t>
  </si>
  <si>
    <t>alphabetical</t>
  </si>
  <si>
    <t>Deutsch</t>
  </si>
  <si>
    <t>The effect of life-cycle cost disclosure on consumer behavior: evidence from a field experiment with cooling appliances</t>
  </si>
  <si>
    <t>negative binomial regression</t>
  </si>
  <si>
    <t>Andor, Gerster, Goette</t>
  </si>
  <si>
    <t>How effective is the European Union energy label? Evidence from a real-stakes experiment</t>
  </si>
  <si>
    <t>Datta, Gulati</t>
  </si>
  <si>
    <t>Utility rebates for ENERGY STAR appliances: Are they effective?</t>
  </si>
  <si>
    <t>Houde, Aldy</t>
  </si>
  <si>
    <t>Belt and suspenders and more: the incremental impact of energy efficiency subsidies in the presence of existing policy instruments</t>
  </si>
  <si>
    <t>Ward, Clark, Jensen, Yen, Russell</t>
  </si>
  <si>
    <t>Factors influencing willingness-to-pay for the ENERGY STAR (R) label</t>
  </si>
  <si>
    <t>Sammer, Wuestenhagen</t>
  </si>
  <si>
    <t>The influence of eco-labelling on consumer behaviour – results of a discrete choice analysis for washing machines</t>
  </si>
  <si>
    <t>Jeong, Kim</t>
  </si>
  <si>
    <t>The effects of energy efficiency and environmental labels on appliance choice in South Korea</t>
  </si>
  <si>
    <t>South Korea</t>
  </si>
  <si>
    <t>multinomial logit</t>
  </si>
  <si>
    <t>Zha, Yang, Wang, Zhou</t>
  </si>
  <si>
    <t>Appliance energy labels and consumer heterogeneity: A latent class approach based on a discrete choice experiment in China</t>
  </si>
  <si>
    <t>Carroll, Denny, Lyons</t>
  </si>
  <si>
    <t>The Effects of Energy Cost Labelling on Appliance Purchasing Decisions: Trial Results from Ireland</t>
  </si>
  <si>
    <t>negative binomial count model</t>
  </si>
  <si>
    <t>Ireland</t>
  </si>
  <si>
    <t>Li, Cao</t>
  </si>
  <si>
    <t>Effectiveness of China's Labeling and Incentive Programs for Household Energy Conservation and Policy Implications</t>
  </si>
  <si>
    <t>Ito, Ida, Tanaka</t>
  </si>
  <si>
    <t>Skourtos, Damigos, Tourkolias, Kontogianni</t>
  </si>
  <si>
    <t>Efficient energy labelling: the impact of information content and style on product choice</t>
  </si>
  <si>
    <t>Greece</t>
  </si>
  <si>
    <t>Train, Atherton</t>
  </si>
  <si>
    <t>REBATES, LOANS, AND CUSTOMERS CHOICE OF APPLIANCE EFFICIENCY LEVEL - COMBINING STATED AND REVEALED-PREFERENCE DATA</t>
  </si>
  <si>
    <t>Jain, Rao, Patwardhan</t>
  </si>
  <si>
    <t>Consumer preference for labels in the purchase decisions of air conditioners in India</t>
  </si>
  <si>
    <t>India</t>
  </si>
  <si>
    <t>Ma, Yu, Urban</t>
  </si>
  <si>
    <t>Green transition of energy systems in rural China: National survey evidence of households' discrete choices on water heaters</t>
  </si>
  <si>
    <t>Harrington</t>
  </si>
  <si>
    <t>Quantifying energy savings from replacement of old refrigerators</t>
  </si>
  <si>
    <t>case study</t>
  </si>
  <si>
    <t>Sun</t>
  </si>
  <si>
    <t>Heterogeneous direct rebound effect: Theory and evidence from the Energy Star program</t>
  </si>
  <si>
    <t>Improvements in energy efficiency change the relative prices of energy services and thus the consumption
of those services. This so-called direct rebound effect changes the energy savings that improved efficiency
might otherwise achieve. This paper develops a theoretical model that shows the sign of the direct
rebound effect depends on the type of energy service. Empirical evidence from the 2009 Residential
Energy Consumption Survey data shows a negative direct rebound effect for Energy Star dishwashers and a
potentially positive direct rebound effect for Energy Star air conditioners. Negative rebound effects amplify
energy savings, while positive rebound effects offset energy savings from using more efficient technologies.</t>
  </si>
  <si>
    <t>effect of energy efficiency in itself rather than label</t>
  </si>
  <si>
    <t>for owners of ES dishwasher</t>
  </si>
  <si>
    <t>annual electricity consumption, excluding space heating and cooling,
water heating and refrigeration.</t>
  </si>
  <si>
    <t>for owners of ES AC</t>
  </si>
  <si>
    <t xml:space="preserve">for owners of ES AC </t>
  </si>
  <si>
    <t>Ren, Tibbs, McLauchlan, Ma, Harrington</t>
  </si>
  <si>
    <t>Refrigerator cost trap for low-income households: Developments in measurement and verification of appliance replacements</t>
  </si>
  <si>
    <t>Olsthoorn, Schleich, Gassmann, Faure</t>
  </si>
  <si>
    <t>Free riding and rebates for residential energy efficiency upgrades: A multi-country contingent valuation experiment</t>
  </si>
  <si>
    <t>Raynaud, Osso, Bourges, Duplessis, Adnot</t>
  </si>
  <si>
    <t>Evidence of an indirect rebound effect with reveresible heat pumps: having air conditioning but not using it?</t>
  </si>
  <si>
    <t>Alberini, Towe</t>
  </si>
  <si>
    <t>Information v. energy efficiency incentives: Evidence from residential electricity consumption in Maryland</t>
  </si>
  <si>
    <t>We focus on two utility programs intended to reduce energy usage and the associated CO2 emissions—a home
energy audit and rebates on the purchase of high-efficiency air-source heat pumps. We use a unique panel
dataset from participating and non-participating households to estimate the average treatment effect of participating
in either program on electricity usage. We fit models with household-by-season, season-by-year, and
household-by-year fixed effects to account for all possible confounders that might influence energy usage.
Since the programs are voluntary, we seek to restore near-exogeneity of the program “treatment” by matching
participating households with control households. We deploy coarsened exact matching (CEM; Iacus et al.,
2011) as our main matching method.We ask whether it is sufficient tomatch households based on past electricity
usage, or if we gain by adding structural characteristics of the home, including heating system type.We find
that the two programs reduce electricity usage by 5% on average. The effects are strong in both winter and summer
for the energy audit groups but appear to be stronger in the winter for the heat pump rebate group. Adding
house characteristics to thematching variables does seemto affect results, suggesting that using past usage alone,
or house characteristics alone, may not be sufficient to identify the effects of program participation.</t>
  </si>
  <si>
    <t>2008-2012</t>
  </si>
  <si>
    <t>S37</t>
  </si>
  <si>
    <t>weighted least squares</t>
  </si>
  <si>
    <t>QHEC - quick house electricity checkup - free audit</t>
  </si>
  <si>
    <t>ln electricity use</t>
  </si>
  <si>
    <t>from 200 to 400</t>
  </si>
  <si>
    <t>with CEM</t>
  </si>
  <si>
    <t>S38</t>
  </si>
  <si>
    <t>Ridge</t>
  </si>
  <si>
    <t>Energy Conservation for Low-Income Households: The Evaporative Cooler Experience</t>
  </si>
  <si>
    <t>Since November 1983, the Southern California Edison Company (SCE) has been offering
a free evaporative cooler to low-income customers who alreadypossess an air conditioner.
To qualify for a free cooler, a cooler must first be recommended in an SCEenergy audit as
being cost-effective. The cooler, which has a much lower k W demand than a typical air
conditioner, is to be used not as a replacement for one’s air conditioner but rather to
supplant it during certain parts of the day, thus reducing k Wh consumption. The research
design used is the nonequivalent control group. The econometric analysis indicates that
the net reduction due to the installation of a cooler is 2.64 kWh per day.</t>
  </si>
  <si>
    <t>offering a free evaporative cooler to low-income customers who already possess an air-conditioner</t>
  </si>
  <si>
    <t>average daily kWh consumption within a given billing period</t>
  </si>
  <si>
    <t>interaction with LN(cooling deegree days)</t>
  </si>
  <si>
    <t>Chun, Jiang</t>
  </si>
  <si>
    <t>How households in Pakistan take on energy efficient lighting technology</t>
  </si>
  <si>
    <t>A household survey in Pakistan is used to examine drivers of more efficient compact fluorescent light bulb (CFL)
adoption and the impact of CFL adoption on the demand for lighting services. Higher price of a CFL to an incandescent
bulb (IB) and limited knowledge about the life span of CFLs versus IBs are found to lower adoption rates
by as much as 20%.While CFL adoption increases the technical efficiency of household lighting, the lower cost for
lighting services results in estimated rebound effects that decrease potential energy savings by 23% to 35% due to
increased brightness and extended hours of use. These findings have important implications for household welfare
and cost-benefit tradeoffs for CFL projects.</t>
  </si>
  <si>
    <t>Pakistan</t>
  </si>
  <si>
    <t>no behavioural incentive per se</t>
  </si>
  <si>
    <t>log avg wattage</t>
  </si>
  <si>
    <t>no behavioural incentive per se - switch to CFL from IB</t>
  </si>
  <si>
    <t>log lumen adjusted wattage</t>
  </si>
  <si>
    <t>Mizobuchi, Takeuchi</t>
  </si>
  <si>
    <t>Replacement or additional purchase: The impact of energy-efficient appliances on household electricity saving under public pressures</t>
  </si>
  <si>
    <t>This study examined the influence of additional and replacement purchases of energy-efficient airconditioners
on power savings. We used a questionnaire survey and measured electricity use data from
339 Japanese households, collected from two city areas with different level of government-requested
electricity-saving rates, namely, Osaka (10%) and Matsuyama (5%). The main findings of our study are as
follows: (1) Households that purchased energy-efficient air-conditioners saved more electricity than
those that did not. (2) “Additional-purchase households” showed significant energy savings, whereas
“replacement households” did not. The rebound effect may negate the energy-saving effects of a new airconditioner.
(3) Altruistic attitude is associated with more active participation in power saving.
(4) Households in Osaka saved more electricity than those in Matsuyama, probably because the government
call to save electricity was more forceful.</t>
  </si>
  <si>
    <t>government calls for energy savings due to shortage</t>
  </si>
  <si>
    <t>Due to the Top Runner Program by the Japanese government, air-conditioner companies must continue to upgrade the energy efficiency of their air-conditioners on a yearly basis.</t>
  </si>
  <si>
    <t>after purchase of energy efficient air-conditioner</t>
  </si>
  <si>
    <t>the logarithmic value of the electricity
consumption (kWh)</t>
  </si>
  <si>
    <t>after replacement</t>
  </si>
  <si>
    <t>after additional purchase</t>
  </si>
  <si>
    <t>Bjerregaard, Møller</t>
  </si>
  <si>
    <t>The Impact of EU's energy labeling policy: An econometric analysis of inceased transparency in the market of cold appliances in Denmark</t>
  </si>
  <si>
    <t>VAR</t>
  </si>
  <si>
    <t>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</si>
  <si>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</si>
  <si>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</si>
  <si>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</si>
  <si>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</si>
  <si>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</si>
  <si>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</si>
  <si>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random parameter logit</t>
  </si>
  <si>
    <t>Li, Clark, Jensen, Yen</t>
  </si>
  <si>
    <t>The Effect of Mail-in Utility Rebates on Willingness-to-Pay for ENERGY STAR® Certified Refrigerators</t>
  </si>
  <si>
    <t>Kusaka, Kojima, Watanabe</t>
  </si>
  <si>
    <t>no appliance breakdown</t>
  </si>
  <si>
    <t>Liang, Liu, Qiu, Wang, Xing</t>
  </si>
  <si>
    <t>Time-of-Use Electricity Pricing and Residential Low-carbon Energy Technology Adoption</t>
  </si>
  <si>
    <t>intervention</t>
  </si>
  <si>
    <t>Schleich, Durand, Brugger</t>
  </si>
  <si>
    <t>How effective are energy-efficiency incentive programs? Evidence from Italian homeowners</t>
  </si>
  <si>
    <t>Poland</t>
  </si>
  <si>
    <t>Romania</t>
  </si>
  <si>
    <t>Sweden</t>
  </si>
  <si>
    <t xml:space="preserve">Wang B, Deng, Liu, Sun, Wang ZH </t>
  </si>
  <si>
    <t>Effect of energy efficiency labels on household appliance choice in China: Sustainable consumption or irrational intertemporal choice?</t>
  </si>
  <si>
    <t>Mills, Schleich</t>
  </si>
  <si>
    <t>Hafner, Elmes, Read, White</t>
  </si>
  <si>
    <t>Exploring the role of normative, financial and environmental information in promoting uptake of energy efficient technologies</t>
  </si>
  <si>
    <t>odds ratio</t>
  </si>
  <si>
    <t>Min, Azevedo, Michalek, de Bruin</t>
  </si>
  <si>
    <t>Labeling energy cost on light bulbs lowers implicit discount rates</t>
  </si>
  <si>
    <t>lab</t>
  </si>
  <si>
    <t>Heinzle, Wüstenhagen</t>
  </si>
  <si>
    <t>Disimproving the European Energy Label's value for consumers? Results from a consumer survey</t>
  </si>
  <si>
    <t>Anderson, Claxton</t>
  </si>
  <si>
    <t>Barriers to Consumer Choice of Energy Efficient Products</t>
  </si>
  <si>
    <t>Canada</t>
  </si>
  <si>
    <t>Stadelmann, Schubert</t>
  </si>
  <si>
    <t>How Do Different Designs of Energy Labels Influence Purchases of Household Appliances? A Field Study in Switzerland</t>
  </si>
  <si>
    <t>DECC</t>
  </si>
  <si>
    <t>Galarraga, Gonzalez-Eguino, Markandya</t>
  </si>
  <si>
    <t>Willingness to pay and price elasticities of demand for energy-efficient appliances: Combining the hedonic approach and demand systems</t>
  </si>
  <si>
    <t>binary</t>
  </si>
  <si>
    <t>Schultz, Colehour, Vohr, Bonn, Bullock, Sadler</t>
  </si>
  <si>
    <t>Using Social Marketing to Spur Residential Adoption of ENERGY STAR®-Certified LED Lighting</t>
  </si>
  <si>
    <t>Davis</t>
  </si>
  <si>
    <t>Durable goods and residential demand for energy and water: evidence from a field trial</t>
  </si>
  <si>
    <t>Faure, Guetlein, Schleich</t>
  </si>
  <si>
    <t>Effects of rescaling the EU energy label on household preferences for top-rated appliances</t>
  </si>
  <si>
    <t>Nishijima, Kagawa, Nansai, Oguchi</t>
  </si>
  <si>
    <t>Effects of product replacement programs on climate change</t>
  </si>
  <si>
    <t>Hlakotsa, Lencwe, Ngobeni, Chowdhury</t>
  </si>
  <si>
    <t>Energy Efficient Water Heating using Air Source Heat Pumps</t>
  </si>
  <si>
    <t>Orset</t>
  </si>
  <si>
    <t>Is information a good policy instrument to influence the energy behaviour of households?</t>
  </si>
  <si>
    <t>Harajli, Chalak</t>
  </si>
  <si>
    <t>Willingness to Pay for Energy Efficient Appliances: The Case of Lebanese Consumers</t>
  </si>
  <si>
    <t>Asinyaka</t>
  </si>
  <si>
    <t>Willingness to Pay for Energy Efficient Refrigerating Appliances in Accra, Ghana: A Choice Experiment Approach</t>
  </si>
  <si>
    <t>unclear</t>
  </si>
  <si>
    <t>Dynamic Adjustment of Eco-labeling Schemes and Consumer Choice - the Revision of the EU Energy Label as a Missed Opportunity?: Dynamic Adjustment of Eco-labelling Schemes &amp; Consumer Choice</t>
  </si>
  <si>
    <t>Alberini, Gans, Towe</t>
  </si>
  <si>
    <t>Free Riding, Upsizing, and Energy Efﬁciency Incentives in Maryland Homes</t>
  </si>
  <si>
    <t>the percentage change in energy use that occurs when a heat pump is replaced with a
new, more efficient one</t>
  </si>
  <si>
    <t>energy consumption (monthly)</t>
  </si>
  <si>
    <t>200 to 500$</t>
  </si>
  <si>
    <t>Davis, Fuchs, Gertler</t>
  </si>
  <si>
    <t>the effect
of refrigerator and air conditioner replacement on household electricity consumption</t>
  </si>
  <si>
    <t>30 to 170$</t>
  </si>
  <si>
    <t>controlls</t>
  </si>
  <si>
    <t>rebate_timeframe</t>
  </si>
  <si>
    <t>dep_var_category</t>
  </si>
  <si>
    <t>bias</t>
  </si>
  <si>
    <t>students</t>
  </si>
  <si>
    <t>Alberini, Bigano</t>
  </si>
  <si>
    <t>PoC</t>
  </si>
  <si>
    <t>Looking for free riding: energy efficiency incentives and Italian homeowners</t>
  </si>
  <si>
    <t>RDD</t>
  </si>
  <si>
    <t>tenants</t>
  </si>
  <si>
    <t>The Role of Sales Agents in Information Disclosure: Evidence from a Field Experiment</t>
  </si>
  <si>
    <t>propensity score matching</t>
  </si>
  <si>
    <t>callers</t>
  </si>
  <si>
    <t>Russia</t>
  </si>
  <si>
    <t>Caldwell, Vaughn, Harrod E, Harrod J</t>
  </si>
  <si>
    <t>Social Marketing-Enhanced Home Energy Education Encourages Adoption of Energy-Saving Practices</t>
  </si>
  <si>
    <t>Analysing the impact of ENERGY STAR rebate policies in the US</t>
  </si>
  <si>
    <t>log-linear model</t>
  </si>
  <si>
    <t>EU</t>
  </si>
  <si>
    <t>Austria</t>
  </si>
  <si>
    <t>Life Cycle Cost Disclosure, Consumer Behavior, and Business Implications: Evidence From an Online Field Experiment</t>
  </si>
  <si>
    <t>France, Germany, Italy, Poland, Romania, Spain, Sweden, UK</t>
  </si>
  <si>
    <t>Dieu-Hang, Grafton, Martinez-Espineira, Garcia-Valinas</t>
  </si>
  <si>
    <t>double bounded contingent valuation model</t>
  </si>
  <si>
    <t>difference-in-difference-in-difference</t>
  </si>
  <si>
    <t>Figueroa, de Moliere, Pegels, Never, Kutzner</t>
  </si>
  <si>
    <t>Show me (more than) the money! Assessing the social and psychological dimensions to energy efficient lighting in Kenya</t>
  </si>
  <si>
    <t>Galaraga, Heres, Gonzalez, Eguino</t>
  </si>
  <si>
    <t>Price premium for high-efficiency refrigerators and calculation of price-elasticities for close-substitutes: a methodology using hedonic pricing and demand systems</t>
  </si>
  <si>
    <t>Assessment of the Governance System Regarding Adoption of Energy Efficient Appliances by Households in Nigeria</t>
  </si>
  <si>
    <t>generalised linear mixed modelling</t>
  </si>
  <si>
    <t>Ghozali, Kaneko</t>
  </si>
  <si>
    <t>Consumer behavior and ecolabeling</t>
  </si>
  <si>
    <t>Granda, Birner, Aron, Woodward</t>
  </si>
  <si>
    <t>The IFC/GEF Poland Efficient Lighting Project (PELP) final results</t>
  </si>
  <si>
    <t>Haas</t>
  </si>
  <si>
    <t>Some empirical findings of an Austrian appliance turn-in program</t>
  </si>
  <si>
    <t>Heinzle</t>
  </si>
  <si>
    <t>Disclosure of energy operating cost information: A silver bullet for overcoming the energy-efficiency gap?</t>
  </si>
  <si>
    <t>Consumers' Response to State Energy Efficient Appliance Rebate Programs</t>
  </si>
  <si>
    <t>Environmental consciousness, economic gain and consumer choice of energy efficient appliances in Thailand, China and India</t>
  </si>
  <si>
    <t>Visualisation approach and economic incentives toward low carbon practices in households: A survey study in Hyogo, Japan</t>
  </si>
  <si>
    <t>Menita, Domingos, Domingues, Alves, Calixto, Garcia, Faria, Miguel</t>
  </si>
  <si>
    <t>Measurement and verification in energy efficiency projects involving solar water heating systems in homes of low-income families - Case studies</t>
  </si>
  <si>
    <t>What's driving energy efficient appliance label awareness and purchase propensity?</t>
  </si>
  <si>
    <t>Modic</t>
  </si>
  <si>
    <t>Energy use in households</t>
  </si>
  <si>
    <t>Determinants of energy savings in Indonesia: The case of LED lighting in Bogor</t>
  </si>
  <si>
    <t>Drivers of consumers' change to an energy-efficient heating appliance (EEHA) in households: Evidence from five European countries</t>
  </si>
  <si>
    <t>Ohler, Loomis, Ilves</t>
  </si>
  <si>
    <t>A study of electricity savings from energy star appliances using household survey data</t>
  </si>
  <si>
    <t>Onuma, Matsumoto, Arimura</t>
  </si>
  <si>
    <t>How much household electricity consumption is actually saved by replacement with Light-Emitting Diodes (LEDs)?</t>
  </si>
  <si>
    <t>Peters, McWhinnie</t>
  </si>
  <si>
    <t>On the rebound: estimating direct rebound effects for Australian households</t>
  </si>
  <si>
    <t>Radpour, Mondal, Kumar</t>
  </si>
  <si>
    <t>Market penetration modeling of high energy efficiency appliances in the residential sector</t>
  </si>
  <si>
    <t>Mixed logit with repeated choices: households' choices of appliance efficiency level</t>
  </si>
  <si>
    <t>How effective are EU minimum energy performance standards and energy labels for cold appliances?</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</si>
  <si>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</si>
  <si>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</si>
  <si>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</si>
  <si>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</si>
  <si>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Turdaliev</t>
  </si>
  <si>
    <t>Increasing Block Rate Electricity Pricing and Propensity to Purchase Electrical Appliances: Evidence from a Natural Experiment in Russia</t>
  </si>
  <si>
    <t>Yao, Liu, Yan</t>
  </si>
  <si>
    <t>A quantile approach to assess the effectiveness of the subsidy policy for energy-efficient home appliances: Evidence from Rizhao, China</t>
  </si>
  <si>
    <t>Oländer, Thogersen</t>
  </si>
  <si>
    <t>Informing Versus Nudging in Environmental Policy</t>
  </si>
  <si>
    <t>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t>
  </si>
  <si>
    <t>Standard errors, implied t-statistics and p-values do not match. There must be something wrong</t>
  </si>
  <si>
    <t>Significance stars and t-values do not match</t>
  </si>
  <si>
    <t>kWh</t>
  </si>
  <si>
    <t>16-64 USD</t>
  </si>
  <si>
    <t>comments</t>
  </si>
  <si>
    <t>Row Labels</t>
  </si>
  <si>
    <t>Grand Total</t>
  </si>
  <si>
    <t>Count of sr_no</t>
  </si>
  <si>
    <t>Count of statistical_technique</t>
  </si>
  <si>
    <t>Count of study_design</t>
  </si>
  <si>
    <t>Count of country</t>
  </si>
  <si>
    <t>Count of study_ID</t>
  </si>
  <si>
    <t>Count of incentive_follow_through</t>
  </si>
  <si>
    <t>Count of experimental_setting</t>
  </si>
  <si>
    <t>Count of participant_type</t>
  </si>
  <si>
    <t>Count of aware_of_study</t>
  </si>
  <si>
    <t>Count of opt_in</t>
  </si>
  <si>
    <t>Count of randomisation_dummy</t>
  </si>
  <si>
    <t>Count of outOfSampleBias</t>
  </si>
  <si>
    <t>Count of reportingBiases</t>
  </si>
  <si>
    <t>Sum of feedback</t>
  </si>
  <si>
    <t>Sum of information</t>
  </si>
  <si>
    <t>Sum of label</t>
  </si>
  <si>
    <t>Sum of rebate</t>
  </si>
  <si>
    <t>Sum of tax_credit</t>
  </si>
  <si>
    <t>Sum of subsidy</t>
  </si>
  <si>
    <t>Sum of loan</t>
  </si>
  <si>
    <t>Sum of choice_architecture</t>
  </si>
  <si>
    <t>Sum of washing_machine</t>
  </si>
  <si>
    <t>Sum of clothes_dryer</t>
  </si>
  <si>
    <t>Sum of diswasher</t>
  </si>
  <si>
    <t>Sum of refrigerator</t>
  </si>
  <si>
    <t>Sum of heat_pump</t>
  </si>
  <si>
    <t>Sum of lighting</t>
  </si>
  <si>
    <t>Sum of water_heater</t>
  </si>
  <si>
    <t>Sum of ac</t>
  </si>
  <si>
    <t>Sum of tv</t>
  </si>
  <si>
    <t>Count of dep_variable_purchase_category</t>
  </si>
  <si>
    <t>Count of dep_var_transformation</t>
  </si>
  <si>
    <t xml:space="preserve">Count of coefficient </t>
  </si>
  <si>
    <t>Count of effect_direction</t>
  </si>
  <si>
    <t>Count of coefficient_se</t>
  </si>
  <si>
    <t>Count of p_value</t>
  </si>
  <si>
    <t>Count of t_stat</t>
  </si>
  <si>
    <t>Count of significance_bound</t>
  </si>
  <si>
    <t>Count of percent_change</t>
  </si>
  <si>
    <t>Count of percent_change(binary predictor)</t>
  </si>
  <si>
    <t>Count of total_sample_size</t>
  </si>
  <si>
    <t>Sum of controls energy prices</t>
  </si>
  <si>
    <t>Sum of controls environmental attitudes</t>
  </si>
  <si>
    <t>Sum of controls demographics</t>
  </si>
  <si>
    <t>Count of label_scale</t>
  </si>
  <si>
    <t>Count of label_consumption</t>
  </si>
  <si>
    <t>Count of label_monetary</t>
  </si>
  <si>
    <t>Count of monetary_incentive_size</t>
  </si>
  <si>
    <t>Count of monetary_incentive_relative</t>
  </si>
  <si>
    <t>Count of monetary_incentive_timeframe</t>
  </si>
  <si>
    <t>Count of diff_mean</t>
  </si>
  <si>
    <t>Count of year_publication</t>
  </si>
  <si>
    <t>Count of exclusion_reason</t>
  </si>
  <si>
    <t>Average of df</t>
  </si>
  <si>
    <t>Count of study_design2</t>
  </si>
  <si>
    <t>Count of country2</t>
  </si>
  <si>
    <t>Average of d_value2</t>
  </si>
  <si>
    <t>Average of z_variance2</t>
  </si>
  <si>
    <t>Average of r_variance2</t>
  </si>
  <si>
    <t>Average of z_value2</t>
  </si>
  <si>
    <t>Average of r_effect_size_sample2</t>
  </si>
  <si>
    <t>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</si>
</sst>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_);[Red]\(0.00\)"/>
    <numFmt numFmtId="165" formatCode="#,##0.000"/>
    <numFmt numFmtId="166" formatCode="0.000"/>
    <numFmt numFmtId="167" formatCode="0.000_);[Red]\(0.000\)"/>
    <numFmt numFmtId="168" formatCode="0.0000_);[Red]\(0.0000\)"/>
    <numFmt numFmtId="169" formatCode="0.00000_);[Red]\(0.00000\)"/>
    <numFmt numFmtId="170" formatCode="0.0000000"/>
    <numFmt numFmtId="171" formatCode="0.0%"/>
    <numFmt numFmtId="172" formatCode="0.0000;[Red]0.0000"/>
  </numFmts>
  <fonts count="33">
    <font>
      <sz val="12"/>
      <color theme="1"/>
      <name val="Calibri"/>
      <family val="2"/>
      <scheme val="minor"/>
    </font>
    <font>
      <b/>
      <sz val="11"/>
      <name val="Calibri"/>
      <family val="2"/>
      <scheme val="minor"/>
    </font>
    <font>
      <b/>
      <sz val="12"/>
      <color theme="1"/>
      <name val="Calibri (Body)"/>
    </font>
    <font>
      <b/>
      <sz val="12"/>
      <name val="Calibri (Body)"/>
    </font>
    <font>
      <b/>
      <sz val="11"/>
      <color theme="1"/>
      <name val="Calibri"/>
      <family val="2"/>
      <scheme val="minor"/>
    </font>
    <font>
      <sz val="12"/>
      <color theme="1"/>
      <name val="Calibri"/>
      <family val="2"/>
    </font>
    <font>
      <sz val="12"/>
      <color rgb="FF000000"/>
      <name val="Calibri"/>
      <family val="2"/>
      <charset val="1"/>
    </font>
    <font>
      <sz val="12"/>
      <color rgb="FF000000"/>
      <name val="Calibri"/>
      <family val="2"/>
    </font>
    <font>
      <sz val="11"/>
      <color rgb="FF444444"/>
      <name val="Calibri"/>
      <family val="2"/>
    </font>
    <font>
      <sz val="11"/>
      <color rgb="FF202124"/>
      <name val="Calibri"/>
      <family val="2"/>
    </font>
    <font>
      <sz val="11"/>
      <color rgb="FF444444"/>
      <name val="Calibri"/>
      <family val="2"/>
      <charset val="1"/>
    </font>
    <font>
      <sz val="12"/>
      <color rgb="FF000000"/>
      <name val="Calibri"/>
      <family val="2"/>
      <scheme val="minor"/>
    </font>
    <font>
      <sz val="12"/>
      <color theme="1"/>
      <name val="TimesNewRoman"/>
    </font>
    <font>
      <sz val="9"/>
      <color rgb="FF111111"/>
      <name val="AdvTT3713a231"/>
    </font>
    <font>
      <sz val="13"/>
      <color theme="1"/>
      <name val="AdvOT596495f2"/>
    </font>
    <font>
      <sz val="13"/>
      <color theme="1"/>
      <name val="AdvOT596495f2+fb"/>
    </font>
    <font>
      <sz val="7"/>
      <color theme="1"/>
      <name val="AdvOT596495f2"/>
    </font>
    <font>
      <sz val="7"/>
      <color theme="1"/>
      <name val="AdvOT596495f2+fb"/>
    </font>
    <font>
      <b/>
      <sz val="12"/>
      <name val="Calibri"/>
      <family val="2"/>
      <scheme val="minor"/>
    </font>
    <font>
      <sz val="12"/>
      <color theme="1"/>
      <name val="Code2000"/>
    </font>
    <font>
      <sz val="12"/>
      <color theme="1"/>
      <name val="Calibri (Body)"/>
    </font>
    <font>
      <b/>
      <sz val="12"/>
      <color theme="1"/>
      <name val="Calibri"/>
      <family val="2"/>
      <scheme val="minor"/>
    </font>
    <font>
      <sz val="11"/>
      <color theme="1"/>
      <name val="Calibri"/>
      <family val="2"/>
      <scheme val="minor"/>
    </font>
    <font>
      <sz val="12"/>
      <name val="Calibri"/>
      <family val="2"/>
      <scheme val="minor"/>
    </font>
    <font>
      <sz val="8"/>
      <name val="Calibri"/>
      <family val="2"/>
      <scheme val="minor"/>
    </font>
    <font>
      <sz val="12"/>
      <color theme="1"/>
      <name val="Calibri"/>
      <family val="2"/>
      <scheme val="minor"/>
    </font>
    <font>
      <sz val="11"/>
      <name val="Calibri"/>
      <family val="2"/>
      <scheme val="minor"/>
    </font>
    <font>
      <sz val="12"/>
      <name val="Calibri"/>
      <family val="2"/>
      <charset val="1"/>
    </font>
    <font>
      <sz val="12"/>
      <name val="Calibri"/>
      <family val="2"/>
      <charset val="1"/>
      <scheme val="minor"/>
    </font>
    <font>
      <sz val="11"/>
      <color rgb="FF000000"/>
      <name val="Calibri"/>
      <family val="2"/>
      <scheme val="minor"/>
    </font>
    <font>
      <sz val="12"/>
      <color theme="1"/>
      <name val="Calibri"/>
      <family val="2"/>
      <charset val="1"/>
    </font>
    <font>
      <sz val="11"/>
      <color theme="1"/>
      <name val="Calibri (Body)"/>
    </font>
    <font>
      <u/>
      <sz val="12"/>
      <color theme="10"/>
      <name val="Calibri"/>
      <family val="2"/>
      <scheme val="minor"/>
    </font>
  </fonts>
  <fills count="20">
    <fill>
      <patternFill patternType="none"/>
    </fill>
    <fill>
      <patternFill patternType="gray125"/>
    </fill>
    <fill>
      <patternFill patternType="solid">
        <fgColor theme="0"/>
        <bgColor theme="9"/>
      </patternFill>
    </fill>
    <fill>
      <patternFill patternType="solid">
        <fgColor rgb="FFF2F2F2"/>
        <bgColor indexed="64"/>
      </patternFill>
    </fill>
    <fill>
      <patternFill patternType="solid">
        <fgColor rgb="FFFFF2CC"/>
        <bgColor indexed="64"/>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2"/>
        <bgColor indexed="64"/>
      </patternFill>
    </fill>
    <fill>
      <patternFill patternType="solid">
        <fgColor theme="5" tint="0.59999389629810485"/>
        <bgColor indexed="64"/>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style="thin">
        <color indexed="64"/>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3">
    <xf numFmtId="0" fontId="0" fillId="0" borderId="0"/>
    <xf numFmtId="9" fontId="25" fillId="0" borderId="0" applyFont="0" applyFill="0" applyBorder="0" applyAlignment="0" applyProtection="0"/>
    <xf numFmtId="0" fontId="32" fillId="0" borderId="0" applyNumberFormat="0" applyFill="0" applyBorder="0" applyAlignment="0" applyProtection="0"/>
  </cellStyleXfs>
  <cellXfs count="121">
    <xf numFmtId="0" fontId="0" fillId="0" borderId="0" xfId="0"/>
    <xf numFmtId="0" fontId="1" fillId="2" borderId="1" xfId="0" applyFont="1" applyFill="1" applyBorder="1" applyAlignment="1">
      <alignment wrapText="1"/>
    </xf>
    <xf numFmtId="0" fontId="2" fillId="0" borderId="0" xfId="0" applyFont="1"/>
    <xf numFmtId="0" fontId="3" fillId="2" borderId="1" xfId="0" applyFont="1" applyFill="1" applyBorder="1" applyAlignment="1">
      <alignment wrapText="1"/>
    </xf>
    <xf numFmtId="0" fontId="2" fillId="0" borderId="2" xfId="0" applyFont="1" applyBorder="1"/>
    <xf numFmtId="0" fontId="2" fillId="0" borderId="0" xfId="0" applyFont="1" applyAlignment="1">
      <alignment wrapText="1"/>
    </xf>
    <xf numFmtId="0" fontId="2" fillId="0" borderId="3" xfId="0" applyFont="1" applyBorder="1"/>
    <xf numFmtId="164" fontId="0" fillId="0" borderId="0" xfId="0" applyNumberFormat="1"/>
    <xf numFmtId="0" fontId="1" fillId="2" borderId="4" xfId="0" applyFont="1" applyFill="1" applyBorder="1" applyAlignment="1">
      <alignment wrapText="1"/>
    </xf>
    <xf numFmtId="0" fontId="4" fillId="0" borderId="5" xfId="0" applyFont="1" applyBorder="1"/>
    <xf numFmtId="0" fontId="5" fillId="0" borderId="0" xfId="0" applyFont="1"/>
    <xf numFmtId="0" fontId="6" fillId="0" borderId="0" xfId="0" applyFont="1"/>
    <xf numFmtId="0" fontId="0" fillId="3" borderId="0" xfId="0" applyFill="1"/>
    <xf numFmtId="0" fontId="2" fillId="3" borderId="2" xfId="0" applyFont="1" applyFill="1" applyBorder="1"/>
    <xf numFmtId="0" fontId="0" fillId="4" borderId="0" xfId="0" applyFill="1"/>
    <xf numFmtId="0" fontId="6" fillId="5" borderId="0" xfId="0" applyFont="1" applyFill="1"/>
    <xf numFmtId="166" fontId="0" fillId="0" borderId="0" xfId="0" applyNumberFormat="1"/>
    <xf numFmtId="0" fontId="0" fillId="5" borderId="0" xfId="0" applyFill="1"/>
    <xf numFmtId="0" fontId="7" fillId="0" borderId="0" xfId="0" applyFont="1"/>
    <xf numFmtId="0" fontId="10" fillId="0" borderId="0" xfId="0" quotePrefix="1" applyFont="1"/>
    <xf numFmtId="164" fontId="0" fillId="5" borderId="0" xfId="0" applyNumberFormat="1" applyFill="1"/>
    <xf numFmtId="168" fontId="0" fillId="0" borderId="0" xfId="0" applyNumberFormat="1"/>
    <xf numFmtId="0" fontId="12" fillId="0" borderId="0" xfId="0" applyFont="1"/>
    <xf numFmtId="0" fontId="1" fillId="0" borderId="1" xfId="0" applyFont="1" applyBorder="1" applyAlignment="1">
      <alignment wrapText="1"/>
    </xf>
    <xf numFmtId="0" fontId="1" fillId="5" borderId="1" xfId="0" applyFont="1" applyFill="1" applyBorder="1" applyAlignment="1">
      <alignment wrapText="1"/>
    </xf>
    <xf numFmtId="169" fontId="0" fillId="0" borderId="0" xfId="0" applyNumberFormat="1"/>
    <xf numFmtId="0" fontId="0" fillId="0" borderId="0" xfId="0" applyAlignment="1">
      <alignment wrapText="1"/>
    </xf>
    <xf numFmtId="0" fontId="0" fillId="0" borderId="0" xfId="0" applyAlignment="1">
      <alignment horizontal="right"/>
    </xf>
    <xf numFmtId="170" fontId="4" fillId="0" borderId="5" xfId="0" applyNumberFormat="1" applyFont="1" applyBorder="1"/>
    <xf numFmtId="170" fontId="18" fillId="2" borderId="0" xfId="0" applyNumberFormat="1" applyFont="1" applyFill="1" applyAlignment="1">
      <alignment wrapText="1"/>
    </xf>
    <xf numFmtId="170" fontId="0" fillId="0" borderId="0" xfId="0" applyNumberFormat="1"/>
    <xf numFmtId="0" fontId="9" fillId="0" borderId="0" xfId="0" applyFont="1"/>
    <xf numFmtId="0" fontId="11" fillId="0" borderId="0" xfId="0" applyFont="1"/>
    <xf numFmtId="164" fontId="11" fillId="0" borderId="0" xfId="0" applyNumberFormat="1" applyFont="1"/>
    <xf numFmtId="0" fontId="10" fillId="0" borderId="0" xfId="0" applyFont="1"/>
    <xf numFmtId="165" fontId="0" fillId="0" borderId="0" xfId="0" applyNumberFormat="1"/>
    <xf numFmtId="0" fontId="8" fillId="0" borderId="0" xfId="0" applyFont="1"/>
    <xf numFmtId="0" fontId="21" fillId="0" borderId="0" xfId="0" applyFont="1" applyAlignment="1">
      <alignment wrapText="1"/>
    </xf>
    <xf numFmtId="0" fontId="18" fillId="2" borderId="1" xfId="0" applyFont="1" applyFill="1" applyBorder="1"/>
    <xf numFmtId="0" fontId="21" fillId="0" borderId="0" xfId="0" applyFont="1"/>
    <xf numFmtId="0" fontId="0" fillId="15" borderId="0" xfId="0" applyFill="1" applyAlignment="1">
      <alignment wrapText="1"/>
    </xf>
    <xf numFmtId="0" fontId="0" fillId="15" borderId="0" xfId="0" applyFill="1"/>
    <xf numFmtId="0" fontId="2" fillId="15" borderId="0" xfId="0" applyFont="1" applyFill="1"/>
    <xf numFmtId="0" fontId="7" fillId="15" borderId="0" xfId="0" applyFont="1" applyFill="1"/>
    <xf numFmtId="0" fontId="22" fillId="0" borderId="0" xfId="0" applyFont="1" applyAlignment="1">
      <alignment vertical="center"/>
    </xf>
    <xf numFmtId="0" fontId="5" fillId="15" borderId="0" xfId="0" applyFont="1" applyFill="1"/>
    <xf numFmtId="0" fontId="26" fillId="0" borderId="0" xfId="0" applyFont="1"/>
    <xf numFmtId="0" fontId="26" fillId="15" borderId="0" xfId="0" applyFont="1" applyFill="1"/>
    <xf numFmtId="164" fontId="0" fillId="15" borderId="0" xfId="0" applyNumberFormat="1" applyFill="1"/>
    <xf numFmtId="168" fontId="0" fillId="15" borderId="0" xfId="0" applyNumberFormat="1" applyFill="1"/>
    <xf numFmtId="0" fontId="11" fillId="15" borderId="0" xfId="0" applyFont="1" applyFill="1"/>
    <xf numFmtId="170" fontId="0" fillId="15" borderId="0" xfId="0" applyNumberFormat="1" applyFill="1"/>
    <xf numFmtId="0" fontId="10" fillId="15" borderId="0" xfId="0" quotePrefix="1" applyFont="1" applyFill="1"/>
    <xf numFmtId="167" fontId="0" fillId="15" borderId="0" xfId="0" applyNumberFormat="1" applyFill="1"/>
    <xf numFmtId="0" fontId="6" fillId="15" borderId="0" xfId="0" applyFont="1" applyFill="1"/>
    <xf numFmtId="0" fontId="12" fillId="15" borderId="0" xfId="0" applyFont="1" applyFill="1"/>
    <xf numFmtId="0" fontId="21" fillId="15" borderId="0" xfId="0" applyFont="1" applyFill="1"/>
    <xf numFmtId="0" fontId="29" fillId="0" borderId="0" xfId="0" applyFont="1"/>
    <xf numFmtId="0" fontId="31" fillId="0" borderId="0" xfId="0" applyFont="1" applyAlignment="1">
      <alignment vertical="center"/>
    </xf>
    <xf numFmtId="0" fontId="2" fillId="10" borderId="0" xfId="0" applyFont="1" applyFill="1"/>
    <xf numFmtId="0" fontId="3" fillId="10" borderId="1" xfId="0" applyFont="1" applyFill="1" applyBorder="1"/>
    <xf numFmtId="0" fontId="3" fillId="10" borderId="0" xfId="0" applyFont="1" applyFill="1"/>
    <xf numFmtId="0" fontId="21" fillId="10" borderId="0" xfId="0" applyFont="1" applyFill="1"/>
    <xf numFmtId="0" fontId="2" fillId="10" borderId="6" xfId="0" applyFont="1" applyFill="1" applyBorder="1"/>
    <xf numFmtId="0" fontId="2" fillId="7" borderId="0" xfId="0" applyFont="1" applyFill="1"/>
    <xf numFmtId="0" fontId="21" fillId="13" borderId="4" xfId="0" applyFont="1" applyFill="1" applyBorder="1"/>
    <xf numFmtId="0" fontId="21" fillId="17" borderId="9" xfId="0" applyFont="1" applyFill="1" applyBorder="1"/>
    <xf numFmtId="0" fontId="21" fillId="17" borderId="1" xfId="0" applyFont="1" applyFill="1" applyBorder="1"/>
    <xf numFmtId="0" fontId="21" fillId="9" borderId="1" xfId="0" applyFont="1" applyFill="1" applyBorder="1"/>
    <xf numFmtId="0" fontId="21" fillId="17" borderId="0" xfId="0" applyFont="1" applyFill="1"/>
    <xf numFmtId="0" fontId="21" fillId="17" borderId="4" xfId="0" applyFont="1" applyFill="1" applyBorder="1"/>
    <xf numFmtId="0" fontId="21" fillId="17" borderId="8" xfId="0" applyFont="1" applyFill="1" applyBorder="1"/>
    <xf numFmtId="0" fontId="2" fillId="6" borderId="2" xfId="0" applyFont="1" applyFill="1" applyBorder="1"/>
    <xf numFmtId="0" fontId="2" fillId="6" borderId="0" xfId="0" applyFont="1" applyFill="1"/>
    <xf numFmtId="0" fontId="2" fillId="8" borderId="2" xfId="0" applyFont="1" applyFill="1" applyBorder="1"/>
    <xf numFmtId="0" fontId="2" fillId="8" borderId="0" xfId="0" applyFont="1" applyFill="1"/>
    <xf numFmtId="0" fontId="2" fillId="10" borderId="2" xfId="0" applyFont="1" applyFill="1" applyBorder="1"/>
    <xf numFmtId="0" fontId="3" fillId="14" borderId="1" xfId="0" applyFont="1" applyFill="1" applyBorder="1"/>
    <xf numFmtId="0" fontId="18" fillId="14" borderId="1" xfId="0" applyFont="1" applyFill="1" applyBorder="1"/>
    <xf numFmtId="0" fontId="18" fillId="14" borderId="7" xfId="0" applyFont="1" applyFill="1" applyBorder="1"/>
    <xf numFmtId="0" fontId="18" fillId="14" borderId="4" xfId="0" applyFont="1" applyFill="1" applyBorder="1"/>
    <xf numFmtId="0" fontId="18" fillId="7" borderId="4" xfId="0" applyFont="1" applyFill="1" applyBorder="1"/>
    <xf numFmtId="0" fontId="18" fillId="7" borderId="1" xfId="0" applyFont="1" applyFill="1" applyBorder="1"/>
    <xf numFmtId="0" fontId="18" fillId="7" borderId="7" xfId="0" applyFont="1" applyFill="1" applyBorder="1"/>
    <xf numFmtId="0" fontId="18" fillId="11" borderId="4" xfId="0" applyFont="1" applyFill="1" applyBorder="1"/>
    <xf numFmtId="0" fontId="18" fillId="11" borderId="1" xfId="0" applyFont="1" applyFill="1" applyBorder="1"/>
    <xf numFmtId="0" fontId="18" fillId="11" borderId="7" xfId="0" applyFont="1" applyFill="1" applyBorder="1"/>
    <xf numFmtId="0" fontId="18" fillId="12" borderId="4" xfId="0" applyFont="1" applyFill="1" applyBorder="1"/>
    <xf numFmtId="0" fontId="18" fillId="12" borderId="1" xfId="0" applyFont="1" applyFill="1" applyBorder="1"/>
    <xf numFmtId="0" fontId="21" fillId="16" borderId="4" xfId="0" applyFont="1" applyFill="1" applyBorder="1"/>
    <xf numFmtId="0" fontId="21" fillId="16" borderId="1" xfId="0" applyFont="1" applyFill="1" applyBorder="1"/>
    <xf numFmtId="0" fontId="21" fillId="16" borderId="7" xfId="0" applyFont="1" applyFill="1" applyBorder="1"/>
    <xf numFmtId="170" fontId="18" fillId="2" borderId="0" xfId="0" applyNumberFormat="1" applyFont="1" applyFill="1"/>
    <xf numFmtId="170" fontId="21" fillId="0" borderId="0" xfId="0" applyNumberFormat="1" applyFont="1"/>
    <xf numFmtId="0" fontId="20" fillId="0" borderId="0" xfId="0" applyFont="1"/>
    <xf numFmtId="164" fontId="20" fillId="0" borderId="0" xfId="0" applyNumberFormat="1" applyFont="1"/>
    <xf numFmtId="0" fontId="20" fillId="19" borderId="0" xfId="0" applyFont="1" applyFill="1"/>
    <xf numFmtId="0" fontId="31" fillId="0" borderId="0" xfId="0" applyFont="1"/>
    <xf numFmtId="168" fontId="20" fillId="0" borderId="0" xfId="0" applyNumberFormat="1" applyFont="1"/>
    <xf numFmtId="9" fontId="20" fillId="19" borderId="0" xfId="0" applyNumberFormat="1" applyFont="1" applyFill="1"/>
    <xf numFmtId="0" fontId="27" fillId="0" borderId="0" xfId="0" applyFont="1"/>
    <xf numFmtId="0" fontId="28" fillId="0" borderId="0" xfId="0" applyFont="1"/>
    <xf numFmtId="10" fontId="0" fillId="0" borderId="0" xfId="1" applyNumberFormat="1" applyFont="1" applyAlignment="1"/>
    <xf numFmtId="0" fontId="23" fillId="0" borderId="0" xfId="0" applyFont="1"/>
    <xf numFmtId="3" fontId="0" fillId="0" borderId="0" xfId="0" applyNumberFormat="1"/>
    <xf numFmtId="0" fontId="0" fillId="8" borderId="0" xfId="0" applyFill="1"/>
    <xf numFmtId="0" fontId="30" fillId="0" borderId="0" xfId="0" applyFont="1"/>
    <xf numFmtId="0" fontId="0" fillId="18" borderId="0" xfId="0" applyFill="1"/>
    <xf numFmtId="167" fontId="0" fillId="0" borderId="0" xfId="0" applyNumberFormat="1"/>
    <xf numFmtId="10" fontId="0" fillId="9" borderId="0" xfId="1" applyNumberFormat="1" applyFont="1" applyFill="1" applyAlignment="1"/>
    <xf numFmtId="164" fontId="20" fillId="15" borderId="0" xfId="0" applyNumberFormat="1" applyFont="1" applyFill="1"/>
    <xf numFmtId="171" fontId="20" fillId="15" borderId="0" xfId="1" applyNumberFormat="1" applyFont="1" applyFill="1" applyAlignment="1"/>
    <xf numFmtId="0" fontId="20" fillId="5" borderId="0" xfId="0" applyFont="1" applyFill="1"/>
    <xf numFmtId="167" fontId="20" fillId="15" borderId="0" xfId="0" applyNumberFormat="1" applyFont="1" applyFill="1"/>
    <xf numFmtId="10" fontId="0" fillId="15" borderId="0" xfId="1" applyNumberFormat="1" applyFont="1" applyFill="1" applyAlignment="1"/>
    <xf numFmtId="3" fontId="20" fillId="0" borderId="0" xfId="0" applyNumberFormat="1" applyFont="1"/>
    <xf numFmtId="166" fontId="20" fillId="0" borderId="0" xfId="0" applyNumberFormat="1" applyFont="1"/>
    <xf numFmtId="172" fontId="0" fillId="0" borderId="0" xfId="0" applyNumberFormat="1"/>
    <xf numFmtId="0" fontId="32" fillId="0" borderId="0" xfId="2" applyAlignment="1"/>
    <xf numFmtId="0" fontId="0" fillId="0" borderId="0" xfId="0" pivotButton="1"/>
    <xf numFmtId="0" fontId="0" fillId="0" borderId="0" xfId="0" applyAlignment="1">
      <alignment horizontal="left"/>
    </xf>
  </cellXfs>
  <cellStyles count="3">
    <cellStyle name="Hyperlink" xfId="2" builtinId="8"/>
    <cellStyle name="Normal" xfId="0" builtinId="0"/>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iana Danilenko" id="{30BB1996-8EFC-476E-8528-976729F6D7F5}" userId="5bdd78ed22bf5b4c" providerId="Windows Live"/>
  <person displayName="Diana Danilenko" id="{07E012BB-865F-6142-9A86-EDCC0A8503F7}" userId="S::Diana.Danilenko@cmsa3.onmicrosoft.com::e115ff8c-f9a3-4954-929e-3e7023cc489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57.552441087966" createdVersion="8" refreshedVersion="8" minRefreshableVersion="3" recordCount="334" xr:uid="{D639B32B-9019-CA48-8E24-1BEF7DE87CE6}">
  <cacheSource type="worksheet">
    <worksheetSource ref="A1:CD1048576" sheet="Appliances"/>
  </cacheSource>
  <cacheFields count="92">
    <cacheField name="coder" numFmtId="0">
      <sharedItems containsBlank="1" count="6">
        <s v="DD"/>
        <s v="all"/>
        <s v="SH"/>
        <s v="LT"/>
        <s v="TK"/>
        <m/>
      </sharedItems>
    </cacheField>
    <cacheField name="study_ID_purchaseprobability" numFmtId="0">
      <sharedItems containsString="0" containsBlank="1" containsNumber="1" containsInteger="1" minValue="1" maxValue="30"/>
    </cacheField>
    <cacheField name="sr_no" numFmtId="0">
      <sharedItems containsBlank="1" containsMixedTypes="1" containsNumber="1" containsInteger="1" minValue="1001" maxValue="3050"/>
    </cacheField>
    <cacheField name="study_ID" numFmtId="0">
      <sharedItems containsBlank="1" containsMixedTypes="1" containsNumber="1" containsInteger="1" minValue="101" maxValue="407"/>
    </cacheField>
    <cacheField name="authors" numFmtId="0">
      <sharedItems containsBlank="1"/>
    </cacheField>
    <cacheField name="year_publication" numFmtId="0">
      <sharedItems containsString="0" containsBlank="1" containsNumber="1" containsInteger="1" minValue="1979" maxValue="2021"/>
    </cacheField>
    <cacheField name="doc_title" numFmtId="0">
      <sharedItems containsBlank="1"/>
    </cacheField>
    <cacheField name="abstract" numFmtId="0">
      <sharedItems containsBlank="1" longText="1"/>
    </cacheField>
    <cacheField name="study_type" numFmtId="0">
      <sharedItems containsString="0" containsBlank="1" containsNumber="1" containsInteger="1" minValue="1" maxValue="2"/>
    </cacheField>
    <cacheField name="year_data_study" numFmtId="0">
      <sharedItems containsBlank="1" containsMixedTypes="1" containsNumber="1" containsInteger="1" minValue="1982" maxValue="2020"/>
    </cacheField>
    <cacheField name="exclusion_reason" numFmtId="0">
      <sharedItems containsBlank="1" count="16">
        <s v="NA"/>
        <s v="dep_var"/>
        <s v="review"/>
        <s v="uncertainty / sample size missing"/>
        <s v="no clear uncertainty measure"/>
        <s v="No energy but water efficiency? (see notes_dep_var)"/>
        <s v="quality"/>
        <s v="stated preferences"/>
        <s v="case study"/>
        <s v="simulation"/>
        <s v="no appliance breakdown"/>
        <s v="intervention"/>
        <s v="stated preferences; there is no real intervention. They measure the effect of knowledge about policies and labels on the willingness to adopt efficient lighting"/>
        <s v="no clear uncertainty measure / household level use"/>
        <s v="Standard errors, implied t-statistics and p-values do not match. There must be something wrong"/>
        <m/>
      </sharedItems>
    </cacheField>
    <cacheField name="page" numFmtId="0">
      <sharedItems containsBlank="1" containsMixedTypes="1" containsNumber="1" containsInteger="1" minValue="4" maxValue="3571"/>
    </cacheField>
    <cacheField name="statistical_technique" numFmtId="0">
      <sharedItems containsBlank="1" count="28">
        <s v="linear probability model"/>
        <s v="weighted least squares"/>
        <s v="ITT"/>
        <s v="diff of means"/>
        <s v="OLS"/>
        <s v="logit"/>
        <m/>
        <s v="VAR"/>
        <s v="negative binomial count model"/>
        <s v="IV"/>
        <s v="2SLS"/>
        <s v="negative binomial regression"/>
        <s v="probit"/>
        <s v="ANOVA"/>
        <s v="mixed logit"/>
        <s v="nested logit"/>
        <s v="tobit"/>
        <s v="descriptive statistics"/>
        <s v="multinomial logit"/>
        <s v="synthetic control method"/>
        <s v="OLS - FE"/>
        <s v="OLS - RE"/>
        <s v="coarsened exact matching"/>
        <s v="ordered probit"/>
        <s v="ordinal logit"/>
        <s v="structural model"/>
        <s v="random parameter logit"/>
        <s v="conditional logit"/>
      </sharedItems>
    </cacheField>
    <cacheField name="study_design" numFmtId="0">
      <sharedItems containsBlank="1" count="8">
        <s v="pre and post"/>
        <s v="diff-in-diff"/>
        <s v="control &amp; treatment"/>
        <s v="quasi-experimental"/>
        <m/>
        <s v="correlation"/>
        <s v="Diff in Diff"/>
        <s v="choice experiment"/>
      </sharedItems>
    </cacheField>
    <cacheField name="country" numFmtId="0">
      <sharedItems containsBlank="1" count="36">
        <s v="Italy"/>
        <s v="US"/>
        <s v="Canada"/>
        <s v="Germany"/>
        <s v="Ghana"/>
        <m/>
        <s v="Denmark"/>
        <s v="Ireland"/>
        <s v="Pakistan"/>
        <s v="Mexico"/>
        <s v="UK"/>
        <s v="Spain"/>
        <s v="Australia, Canada, Chile, France, Israel, Korea, Japan, Netherlands, Spain, Sweden, Switzerland"/>
        <s v="China"/>
        <s v="Kenya"/>
        <s v="Nigeria"/>
        <s v="Japan"/>
        <s v="Lebanon"/>
        <s v="South Africa"/>
        <s v="India"/>
        <s v="South Korea"/>
        <s v="Norway"/>
        <s v="Singapore"/>
        <s v="France, Slovenia, Szech Republic, Portugal "/>
        <s v="Malaysia"/>
        <s v="Brazil"/>
        <s v="Indonesia"/>
        <s v="France, Germany, Italy, Portugal, Spain"/>
        <s v="Portugal"/>
        <s v="France"/>
        <s v="Australia"/>
        <s v="Switzerland"/>
        <s v="Poland"/>
        <s v="Romania"/>
        <s v="Sweden"/>
        <s v="Greece"/>
      </sharedItems>
    </cacheField>
    <cacheField name="incentive_follow_through" numFmtId="0">
      <sharedItems containsBlank="1"/>
    </cacheField>
    <cacheField name="experimental_setting" numFmtId="0">
      <sharedItems containsBlank="1"/>
    </cacheField>
    <cacheField name="participant_type" numFmtId="0">
      <sharedItems containsBlank="1"/>
    </cacheField>
    <cacheField name="aware_of_study" numFmtId="0">
      <sharedItems containsBlank="1" containsMixedTypes="1" containsNumber="1" containsInteger="1" minValue="0" maxValue="1"/>
    </cacheField>
    <cacheField name="opt_in" numFmtId="0">
      <sharedItems containsBlank="1"/>
    </cacheField>
    <cacheField name="randomisation_dummy" numFmtId="0">
      <sharedItems containsBlank="1" containsMixedTypes="1" containsNumber="1" containsInteger="1" minValue="0" maxValue="1"/>
    </cacheField>
    <cacheField name="outOfSampleBias" numFmtId="0">
      <sharedItems containsBlank="1"/>
    </cacheField>
    <cacheField name="reportingBiases" numFmtId="0">
      <sharedItems containsBlank="1"/>
    </cacheField>
    <cacheField name="notes_bias" numFmtId="0">
      <sharedItems containsBlank="1" longText="1"/>
    </cacheField>
    <cacheField name="feedback" numFmtId="0">
      <sharedItems containsString="0" containsBlank="1" containsNumber="1" containsInteger="1" minValue="0" maxValue="1" count="3">
        <n v="0"/>
        <n v="1"/>
        <m/>
      </sharedItems>
    </cacheField>
    <cacheField name="information" numFmtId="0">
      <sharedItems containsString="0" containsBlank="1" containsNumber="1" containsInteger="1" minValue="0" maxValue="1" count="3">
        <n v="1"/>
        <n v="0"/>
        <m/>
      </sharedItems>
    </cacheField>
    <cacheField name="label" numFmtId="0">
      <sharedItems containsString="0" containsBlank="1" containsNumber="1" containsInteger="1" minValue="0" maxValue="1"/>
    </cacheField>
    <cacheField name="rebate" numFmtId="0">
      <sharedItems containsString="0" containsBlank="1" containsNumber="1" containsInteger="1" minValue="0" maxValue="1"/>
    </cacheField>
    <cacheField name="tax_credit" numFmtId="0">
      <sharedItems containsString="0" containsBlank="1" containsNumber="1" containsInteger="1" minValue="0" maxValue="1"/>
    </cacheField>
    <cacheField name="subsidy" numFmtId="0">
      <sharedItems containsString="0" containsBlank="1" containsNumber="1" containsInteger="1" minValue="0" maxValue="1"/>
    </cacheField>
    <cacheField name="loan" numFmtId="0">
      <sharedItems containsString="0" containsBlank="1" containsNumber="1" containsInteger="1" minValue="0" maxValue="1"/>
    </cacheField>
    <cacheField name="choice_architecture" numFmtId="0">
      <sharedItems containsString="0" containsBlank="1" containsNumber="1" containsInteger="1" minValue="0" maxValue="1"/>
    </cacheField>
    <cacheField name="notes_intervention" numFmtId="0">
      <sharedItems containsBlank="1"/>
    </cacheField>
    <cacheField name="washing_machine" numFmtId="0">
      <sharedItems containsString="0" containsBlank="1" containsNumber="1" containsInteger="1" minValue="0" maxValue="1"/>
    </cacheField>
    <cacheField name="clothes_dryer" numFmtId="0">
      <sharedItems containsString="0" containsBlank="1" containsNumber="1" containsInteger="1" minValue="0" maxValue="1"/>
    </cacheField>
    <cacheField name="diswasher" numFmtId="0">
      <sharedItems containsString="0" containsBlank="1" containsNumber="1" containsInteger="1" minValue="0" maxValue="1"/>
    </cacheField>
    <cacheField name="refrigerator" numFmtId="0">
      <sharedItems containsString="0" containsBlank="1" containsNumber="1" containsInteger="1" minValue="0" maxValue="1"/>
    </cacheField>
    <cacheField name="heat_pump" numFmtId="0">
      <sharedItems containsString="0" containsBlank="1" containsNumber="1" containsInteger="1" minValue="0" maxValue="1"/>
    </cacheField>
    <cacheField name="lighting" numFmtId="0">
      <sharedItems containsString="0" containsBlank="1" containsNumber="1" containsInteger="1" minValue="0" maxValue="1"/>
    </cacheField>
    <cacheField name="water_heater" numFmtId="0">
      <sharedItems containsString="0" containsBlank="1" containsNumber="1" containsInteger="1" minValue="0" maxValue="1"/>
    </cacheField>
    <cacheField name="ac" numFmtId="0">
      <sharedItems containsString="0" containsBlank="1" containsNumber="1" containsInteger="1" minValue="0" maxValue="1"/>
    </cacheField>
    <cacheField name="tv" numFmtId="0">
      <sharedItems containsString="0" containsBlank="1" containsNumber="1" containsInteger="1" minValue="0" maxValue="1"/>
    </cacheField>
    <cacheField name="notes_dep_var" numFmtId="0">
      <sharedItems containsBlank="1"/>
    </cacheField>
    <cacheField name="dep_variable_purchase_category" numFmtId="0">
      <sharedItems containsBlank="1" count="5">
        <s v="purschase (probability) of efficient appliance"/>
        <s v="energy use after switching to a more efficient appliance"/>
        <s v="WTP for efficient appliance"/>
        <m/>
        <s v="market share of efficient appliance"/>
      </sharedItems>
    </cacheField>
    <cacheField name="dep_var_original_study" numFmtId="0">
      <sharedItems containsBlank="1"/>
    </cacheField>
    <cacheField name="dep_var_transformation" numFmtId="0">
      <sharedItems containsBlank="1"/>
    </cacheField>
    <cacheField name="coefficient " numFmtId="0">
      <sharedItems containsBlank="1" containsMixedTypes="1" containsNumber="1" minValue="0" maxValue="3586.4569999999999"/>
    </cacheField>
    <cacheField name="effect_direction" numFmtId="0">
      <sharedItems containsBlank="1"/>
    </cacheField>
    <cacheField name="coefficient_se" numFmtId="0">
      <sharedItems containsBlank="1" containsMixedTypes="1" containsNumber="1" minValue="4.0000000000000002E-4" maxValue="2082.6759999999999"/>
    </cacheField>
    <cacheField name="p_value" numFmtId="0">
      <sharedItems containsBlank="1" containsMixedTypes="1" containsNumber="1" minValue="0" maxValue="0.99199999999999999"/>
    </cacheField>
    <cacheField name="significance_bound" numFmtId="0">
      <sharedItems containsBlank="1" containsMixedTypes="1" containsNumber="1" containsInteger="1" minValue="1" maxValue="3"/>
    </cacheField>
    <cacheField name="t_stat" numFmtId="0">
      <sharedItems containsBlank="1" containsMixedTypes="1" containsNumber="1" minValue="0" maxValue="960"/>
    </cacheField>
    <cacheField name="percent_change" numFmtId="0">
      <sharedItems containsBlank="1" containsMixedTypes="1" containsNumber="1" minValue="0" maxValue="796.11582942023051"/>
    </cacheField>
    <cacheField name="percent_change(binary predictor)" numFmtId="0">
      <sharedItems containsBlank="1" containsMixedTypes="1" containsNumber="1" minValue="0.5" maxValue="0.9758729785823308"/>
    </cacheField>
    <cacheField name="control_mean" numFmtId="0">
      <sharedItems containsBlank="1" containsMixedTypes="1" containsNumber="1" minValue="0.27" maxValue="959"/>
    </cacheField>
    <cacheField name="control_sample_size" numFmtId="0">
      <sharedItems containsBlank="1" containsMixedTypes="1" containsNumber="1" containsInteger="1" minValue="3" maxValue="13471"/>
    </cacheField>
    <cacheField name="control_sd" numFmtId="0">
      <sharedItems containsBlank="1" containsMixedTypes="1" containsNumber="1" minValue="2.1" maxValue="7.5"/>
    </cacheField>
    <cacheField name="treated_mean" numFmtId="0">
      <sharedItems containsBlank="1" containsMixedTypes="1" containsNumber="1" minValue="0.5" maxValue="8593"/>
    </cacheField>
    <cacheField name="treatment_sample_size" numFmtId="0">
      <sharedItems containsBlank="1" containsMixedTypes="1" containsNumber="1" minValue="1" maxValue="5672"/>
    </cacheField>
    <cacheField name="treated_sd" numFmtId="0">
      <sharedItems containsBlank="1" containsMixedTypes="1" containsNumber="1" minValue="0" maxValue="6.2"/>
    </cacheField>
    <cacheField name="total_sample_size" numFmtId="0">
      <sharedItems containsBlank="1" containsMixedTypes="1" containsNumber="1" containsInteger="1" minValue="1" maxValue="957080"/>
    </cacheField>
    <cacheField name="total_observations" numFmtId="0">
      <sharedItems containsBlank="1" containsMixedTypes="1" containsNumber="1" containsInteger="1" minValue="1" maxValue="957080"/>
    </cacheField>
    <cacheField name="diff_mean" numFmtId="0">
      <sharedItems containsBlank="1" containsMixedTypes="1" containsNumber="1" minValue="0" maxValue="8352"/>
    </cacheField>
    <cacheField name="pooled_sd" numFmtId="0">
      <sharedItems containsBlank="1"/>
    </cacheField>
    <cacheField name="monetary_incentive_size" numFmtId="0">
      <sharedItems containsBlank="1" containsMixedTypes="1" containsNumber="1" minValue="0" maxValue="10000"/>
    </cacheField>
    <cacheField name="monetary_incentive_relative" numFmtId="0">
      <sharedItems containsBlank="1" containsMixedTypes="1" containsNumber="1" minValue="0" maxValue="1"/>
    </cacheField>
    <cacheField name="monetary_incentive_timeframe" numFmtId="0">
      <sharedItems containsBlank="1"/>
    </cacheField>
    <cacheField name="label_monetary" numFmtId="0">
      <sharedItems containsBlank="1" containsMixedTypes="1" containsNumber="1" containsInteger="1" minValue="0" maxValue="1"/>
    </cacheField>
    <cacheField name="label_monetary_size" numFmtId="0">
      <sharedItems containsBlank="1" containsMixedTypes="1" containsNumber="1" minValue="0" maxValue="486"/>
    </cacheField>
    <cacheField name="label_consumption" numFmtId="0">
      <sharedItems containsBlank="1" containsMixedTypes="1" containsNumber="1" containsInteger="1" minValue="0" maxValue="1"/>
    </cacheField>
    <cacheField name="label_consumption_size" numFmtId="0">
      <sharedItems containsBlank="1" containsMixedTypes="1" containsNumber="1" minValue="0" maxValue="2560"/>
    </cacheField>
    <cacheField name="label_scale" numFmtId="0">
      <sharedItems containsBlank="1" containsMixedTypes="1" containsNumber="1" minValue="3.8627414089036701E-4" maxValue="3.8627414089036701E-4"/>
    </cacheField>
    <cacheField name="controls energy prices" numFmtId="0">
      <sharedItems containsString="0" containsBlank="1" containsNumber="1" containsInteger="1" minValue="0" maxValue="1"/>
    </cacheField>
    <cacheField name="controls environmental attitudes" numFmtId="0">
      <sharedItems containsString="0" containsBlank="1" containsNumber="1" containsInteger="1" minValue="0" maxValue="1"/>
    </cacheField>
    <cacheField name="controls demographics" numFmtId="0">
      <sharedItems containsString="0" containsBlank="1" containsNumber="1" containsInteger="1" minValue="0" maxValue="1"/>
    </cacheField>
    <cacheField name="r_effect_size_sample" numFmtId="0">
      <sharedItems containsString="0" containsBlank="1" containsNumber="1" containsInteger="1" minValue="0" maxValue="0"/>
    </cacheField>
    <cacheField name="r_effect_size_obsversation" numFmtId="0">
      <sharedItems containsString="0" containsBlank="1" containsNumber="1" containsInteger="1" minValue="1" maxValue="1"/>
    </cacheField>
    <cacheField name="z_value" numFmtId="0">
      <sharedItems containsNonDate="0" containsString="0" containsBlank="1"/>
    </cacheField>
    <cacheField name="r_variance" numFmtId="0">
      <sharedItems containsNonDate="0" containsString="0" containsBlank="1"/>
    </cacheField>
    <cacheField name="z_variance" numFmtId="0">
      <sharedItems containsNonDate="0" containsString="0" containsBlank="1"/>
    </cacheField>
    <cacheField name="d_value" numFmtId="0">
      <sharedItems containsNonDate="0" containsString="0" containsBlank="1"/>
    </cacheField>
    <cacheField name="z_value_sample" numFmtId="0">
      <sharedItems containsNonDate="0" containsString="0" containsBlank="1"/>
    </cacheField>
    <cacheField name="z_variance_sample" numFmtId="0">
      <sharedItems containsNonDate="0" containsString="0" containsBlank="1"/>
    </cacheField>
    <cacheField name="Significance from Original Study" numFmtId="0">
      <sharedItems containsNonDate="0" containsString="0" containsBlank="1"/>
    </cacheField>
    <cacheField name="Did intervention have desired effect (positive/decrease)" numFmtId="0">
      <sharedItems containsNonDate="0" containsString="0" containsBlank="1"/>
    </cacheField>
    <cacheField name="r_effect_size_sample2" numFmtId="0">
      <sharedItems containsBlank="1" containsMixedTypes="1" containsNumber="1" minValue="0" maxValue="0.99999997132859308"/>
    </cacheField>
    <cacheField name="z_value2" numFmtId="0">
      <sharedItems containsBlank="1" containsMixedTypes="1" containsNumber="1" minValue="0" maxValue="9.0302563258721591"/>
    </cacheField>
    <cacheField name="r_variance2" numFmtId="0">
      <sharedItems containsBlank="1" containsMixedTypes="1" containsNumber="1" minValue="-1329.7346701207366" maxValue="2.822476458784471E-2"/>
    </cacheField>
    <cacheField name="z_variance2" numFmtId="0">
      <sharedItems containsBlank="1" containsMixedTypes="1" containsNumber="1" minValue="1.0448480111840532E-6" maxValue="0.33333333333333331"/>
    </cacheField>
    <cacheField name="d_value2" numFmtId="0">
      <sharedItems containsBlank="1" containsMixedTypes="1" containsNumber="1" minValue="0" maxValue="8352"/>
    </cacheField>
    <cacheField name="df" numFmtId="0">
      <sharedItems containsString="0" containsBlank="1" containsNumber="1" containsInteger="1" minValue="4" maxValue="81094"/>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x v="0"/>
    <x v="0"/>
    <n v="0"/>
    <n v="0"/>
    <n v="1"/>
    <n v="0"/>
    <n v="0"/>
    <n v="0"/>
    <s v="NA"/>
    <n v="0"/>
    <n v="0"/>
    <n v="0"/>
    <n v="0"/>
    <n v="1"/>
    <n v="0"/>
    <n v="0"/>
    <n v="0"/>
    <n v="0"/>
    <s v="NA"/>
    <x v="0"/>
    <s v="likelihood of replacing the heating system"/>
    <s v="dummy (0/1)"/>
    <n v="1.6000000000000001E-4"/>
    <s v="decrease"/>
    <n v="1.4545454545454547E-3"/>
    <s v="NA"/>
    <n v="3"/>
    <n v="0.11"/>
    <n v="1.6001280068267398E-4"/>
    <n v="0.50003999999991466"/>
    <s v="NA"/>
    <s v="NA"/>
    <s v="NA"/>
    <s v="NA"/>
    <s v="NA"/>
    <s v="NA"/>
    <n v="81095"/>
    <n v="81095"/>
    <s v="NA"/>
    <s v="NA"/>
    <s v="NA"/>
    <n v="0.55000000000000004"/>
    <s v="delayed"/>
    <n v="0"/>
    <n v="0"/>
    <n v="1"/>
    <n v="3.8627412167859866E-4"/>
    <n v="3.8627414089036701E-4"/>
    <n v="0"/>
    <n v="0"/>
    <n v="1"/>
    <m/>
    <m/>
    <m/>
    <m/>
    <m/>
    <m/>
    <m/>
    <m/>
    <m/>
    <m/>
    <n v="3.8627412167859866E-4"/>
    <n v="3.8627414089036701E-4"/>
    <n v="1.233136853527977E-5"/>
    <n v="1.2331672668080699E-5"/>
    <s v="NA"/>
    <n v="81094"/>
    <s v="NA"/>
  </r>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x v="0"/>
    <x v="0"/>
    <n v="0"/>
    <n v="0"/>
    <n v="1"/>
    <n v="0"/>
    <n v="0"/>
    <n v="0"/>
    <s v="NA"/>
    <n v="0"/>
    <n v="0"/>
    <n v="0"/>
    <n v="0"/>
    <n v="1"/>
    <n v="0"/>
    <n v="0"/>
    <n v="0"/>
    <n v="0"/>
    <s v="NA"/>
    <x v="0"/>
    <s v="likelihood of replacing the heating system"/>
    <s v="dummy (0/1)"/>
    <n v="3.8500000000000001E-3"/>
    <s v="decrease"/>
    <n v="2.3765432098765433E-3"/>
    <s v="NA"/>
    <n v="3"/>
    <n v="1.62"/>
    <n v="3.8574207702657404E-3"/>
    <n v="0.50096249881111377"/>
    <s v="NA"/>
    <s v="NA"/>
    <s v="NA"/>
    <s v="NA"/>
    <s v="NA"/>
    <s v="NA"/>
    <n v="81095"/>
    <n v="81095"/>
    <s v="NA"/>
    <s v="NA"/>
    <s v="NA"/>
    <n v="0.55000000000000004"/>
    <s v="delayed"/>
    <s v="NA"/>
    <s v="NA"/>
    <s v="NA"/>
    <s v="NA"/>
    <s v="NA"/>
    <n v="0"/>
    <n v="0"/>
    <n v="1"/>
    <m/>
    <m/>
    <m/>
    <m/>
    <m/>
    <m/>
    <m/>
    <m/>
    <m/>
    <m/>
    <n v="5.6886727140571178E-3"/>
    <n v="5.688734078955906E-3"/>
    <n v="1.2331368522365657E-5"/>
    <n v="1.2331672668080699E-5"/>
    <s v="NA"/>
    <n v="81094"/>
    <s v="NA"/>
  </r>
  <r>
    <x v="0"/>
    <m/>
    <n v="1290"/>
    <n v="148"/>
    <s v="Alberini, Gans, Towe"/>
    <n v="2016"/>
    <s v="Free Riding, Upsizing, and Energy Efﬁciency Incentives in Maryland Homes"/>
    <s v="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
    <n v="1"/>
    <n v="2011"/>
    <x v="0"/>
    <n v="280"/>
    <x v="0"/>
    <x v="1"/>
    <x v="1"/>
    <s v="revealed preference"/>
    <s v="household"/>
    <s v="homeowners"/>
    <n v="0"/>
    <s v="opt_in"/>
    <n v="0"/>
    <s v="probably yes"/>
    <s v="probably no"/>
    <s v="Our sampling frame is a mix of stratified and choice-based sampling (see table 1), which means that it is necessary to calculate and use appropriate weights when extrapolating sample statistics to the population."/>
    <x v="0"/>
    <x v="1"/>
    <n v="0"/>
    <n v="1"/>
    <n v="0"/>
    <n v="0"/>
    <n v="0"/>
    <n v="0"/>
    <s v="NA"/>
    <n v="0"/>
    <n v="0"/>
    <n v="0"/>
    <n v="0"/>
    <n v="1"/>
    <n v="0"/>
    <n v="0"/>
    <n v="0"/>
    <n v="0"/>
    <s v="the percentage change in energy use that occurs when a heat pump is replaced with a_x000a_new, more efficient one"/>
    <x v="1"/>
    <s v="energy consumption (monthly)"/>
    <s v="log scale"/>
    <n v="3.5900000000000001E-2"/>
    <s v="decrease"/>
    <n v="3.5544554455445548E-2"/>
    <s v="NA"/>
    <n v="3"/>
    <n v="1.01"/>
    <n v="0.08"/>
    <m/>
    <s v="NA"/>
    <s v="NA"/>
    <s v="NA"/>
    <s v="NA"/>
    <s v="NA"/>
    <s v="NA"/>
    <n v="1153"/>
    <n v="13923"/>
    <s v="NA"/>
    <s v="NA"/>
    <s v="200 to 500$"/>
    <s v="NA"/>
    <s v="delayed"/>
    <s v="NA"/>
    <s v="NA"/>
    <s v="NA"/>
    <s v="NA"/>
    <s v="NA"/>
    <n v="1"/>
    <n v="1"/>
    <n v="1"/>
    <m/>
    <m/>
    <m/>
    <m/>
    <m/>
    <m/>
    <m/>
    <m/>
    <m/>
    <m/>
    <n v="2.9731353950735877E-2"/>
    <n v="2.9740118977144511E-2"/>
    <n v="8.6805487647964076E-4"/>
    <n v="8.6956521739130438E-4"/>
    <m/>
    <m/>
    <m/>
  </r>
  <r>
    <x v="0"/>
    <m/>
    <n v="1159"/>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x v="1"/>
    <x v="1"/>
    <n v="0"/>
    <n v="0"/>
    <n v="0"/>
    <n v="0"/>
    <n v="0"/>
    <n v="0"/>
    <s v="QHEC - quick house electricity checkup - free audit"/>
    <n v="0"/>
    <n v="0"/>
    <n v="0"/>
    <n v="0"/>
    <n v="1"/>
    <n v="0"/>
    <n v="0"/>
    <n v="0"/>
    <n v="0"/>
    <s v="NA"/>
    <x v="1"/>
    <s v="ln electricity use"/>
    <s v="log scale"/>
    <n v="2.7799999999999998E-2"/>
    <s v="decrease"/>
    <n v="1.3627450980392156E-2"/>
    <n v="2.0687000000000001E-2"/>
    <n v="3"/>
    <n v="2.04"/>
    <n v="2.8190025851083211E-2"/>
    <m/>
    <s v="NA"/>
    <n v="10676"/>
    <s v="NA"/>
    <s v="NA"/>
    <n v="378"/>
    <s v="NA"/>
    <n v="11054"/>
    <n v="108387"/>
    <s v="NA"/>
    <s v="NA"/>
    <s v="from 200 to 400"/>
    <n v="0.1"/>
    <s v="current "/>
    <s v="NA"/>
    <s v="NA"/>
    <s v="NA"/>
    <s v="NA"/>
    <s v="NA"/>
    <n v="0"/>
    <n v="0"/>
    <n v="1"/>
    <m/>
    <m/>
    <m/>
    <m/>
    <m/>
    <m/>
    <m/>
    <m/>
    <m/>
    <m/>
    <n v="1.9399418017388252E-2"/>
    <n v="1.9401852142681517E-2"/>
    <n v="9.0473161883565525E-5"/>
    <n v="9.0489548457153195E-5"/>
    <m/>
    <m/>
    <m/>
  </r>
  <r>
    <x v="0"/>
    <m/>
    <n v="1160"/>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x v="1"/>
    <x v="1"/>
    <n v="0"/>
    <n v="0"/>
    <n v="0"/>
    <n v="0"/>
    <n v="0"/>
    <n v="0"/>
    <s v="QHEC - quick house electricity checkup - free audit"/>
    <n v="0"/>
    <n v="0"/>
    <n v="0"/>
    <n v="0"/>
    <n v="1"/>
    <n v="0"/>
    <n v="0"/>
    <n v="0"/>
    <n v="0"/>
    <s v="with CEM"/>
    <x v="1"/>
    <s v="ln electricity use"/>
    <s v="log scale"/>
    <n v="5.4399999999999997E-2"/>
    <s v="decrease"/>
    <n v="1.4986225895316804E-2"/>
    <n v="1.4200000000000001E-4"/>
    <n v="3"/>
    <n v="3.63"/>
    <n v="5.590688044596992E-2"/>
    <m/>
    <s v="NA"/>
    <n v="10676"/>
    <s v="NA"/>
    <s v="NA"/>
    <n v="378"/>
    <s v="NA"/>
    <n v="11054"/>
    <n v="37511"/>
    <s v="NA"/>
    <s v="NA"/>
    <s v="from 200 to 400"/>
    <n v="0.1"/>
    <s v="current "/>
    <s v="NA"/>
    <s v="NA"/>
    <s v="NA"/>
    <s v="NA"/>
    <s v="NA"/>
    <n v="0"/>
    <n v="0"/>
    <n v="1"/>
    <m/>
    <m/>
    <m/>
    <m/>
    <m/>
    <m/>
    <m/>
    <m/>
    <m/>
    <m/>
    <n v="3.4505490005142594E-2"/>
    <n v="3.4519194206964816E-2"/>
    <n v="9.0473046245324396E-5"/>
    <n v="9.0489548457153195E-5"/>
    <m/>
    <m/>
    <m/>
  </r>
  <r>
    <x v="0"/>
    <m/>
    <n v="1161"/>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x v="0"/>
    <x v="1"/>
    <n v="0"/>
    <n v="1"/>
    <n v="0"/>
    <n v="0"/>
    <n v="0"/>
    <n v="0"/>
    <s v="QHEC - quick house electricity checkup - free audit"/>
    <n v="0"/>
    <n v="0"/>
    <n v="0"/>
    <n v="0"/>
    <n v="1"/>
    <n v="0"/>
    <n v="0"/>
    <n v="0"/>
    <n v="0"/>
    <s v="NA"/>
    <x v="1"/>
    <s v="ln electricity use"/>
    <s v="log scale"/>
    <n v="5.4600000000000003E-2"/>
    <s v="decrease"/>
    <n v="1.7333333333333336E-2"/>
    <n v="8.1899999999999996E-4"/>
    <n v="3"/>
    <n v="3.15"/>
    <n v="5.6118082941604586E-2"/>
    <m/>
    <s v="NA"/>
    <n v="10676"/>
    <s v="NA"/>
    <s v="NA"/>
    <n v="430"/>
    <s v="NA"/>
    <n v="11106"/>
    <n v="68754"/>
    <s v="NA"/>
    <s v="NA"/>
    <s v="from 200 to 400"/>
    <n v="0.1"/>
    <s v="current "/>
    <s v="NA"/>
    <s v="NA"/>
    <s v="NA"/>
    <s v="NA"/>
    <s v="NA"/>
    <n v="0"/>
    <n v="0"/>
    <n v="1"/>
    <m/>
    <m/>
    <m/>
    <m/>
    <m/>
    <m/>
    <m/>
    <m/>
    <m/>
    <m/>
    <n v="2.9877055832671907E-2"/>
    <n v="2.9885950400025899E-2"/>
    <n v="9.0049455402728065E-5"/>
    <n v="9.0065747996037111E-5"/>
    <m/>
    <m/>
    <m/>
  </r>
  <r>
    <x v="0"/>
    <m/>
    <n v="1162"/>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x v="0"/>
    <x v="1"/>
    <n v="0"/>
    <n v="1"/>
    <n v="0"/>
    <n v="0"/>
    <n v="0"/>
    <n v="0"/>
    <s v="QHEC - quick house electricity checkup - free audit"/>
    <n v="0"/>
    <n v="0"/>
    <n v="0"/>
    <n v="0"/>
    <n v="1"/>
    <n v="0"/>
    <n v="0"/>
    <n v="0"/>
    <n v="0"/>
    <s v="with CEM"/>
    <x v="1"/>
    <s v="ln electricity use"/>
    <s v="log scale"/>
    <n v="4.19E-2"/>
    <s v="decrease"/>
    <n v="1.682730923694779E-2"/>
    <n v="6.3940000000000004E-3"/>
    <n v="3"/>
    <n v="2.4900000000000002"/>
    <n v="4.2790194517186686E-2"/>
    <m/>
    <s v="NA"/>
    <n v="10676"/>
    <s v="NA"/>
    <s v="NA"/>
    <n v="430"/>
    <s v="NA"/>
    <n v="11106"/>
    <n v="33268"/>
    <s v="NA"/>
    <s v="NA"/>
    <s v="from 200 to 400"/>
    <n v="0.1"/>
    <s v="current "/>
    <s v="NA"/>
    <s v="NA"/>
    <s v="NA"/>
    <s v="NA"/>
    <s v="NA"/>
    <n v="0"/>
    <n v="0"/>
    <n v="1"/>
    <m/>
    <m/>
    <m/>
    <m/>
    <m/>
    <m/>
    <m/>
    <m/>
    <m/>
    <m/>
    <n v="2.3621056611749961E-2"/>
    <n v="2.3625451239868967E-2"/>
    <n v="9.0049499185523786E-5"/>
    <n v="9.0065747996037111E-5"/>
    <m/>
    <m/>
    <m/>
  </r>
  <r>
    <x v="1"/>
    <n v="2"/>
    <n v="1003"/>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x v="0"/>
    <x v="0"/>
    <n v="0"/>
    <n v="0"/>
    <n v="0"/>
    <n v="0"/>
    <n v="0"/>
    <n v="0"/>
    <s v="focus on phase 1 as there the effect is separated from agent incentivisation"/>
    <n v="0"/>
    <n v="0"/>
    <n v="0"/>
    <n v="0"/>
    <n v="0"/>
    <n v="0"/>
    <n v="1"/>
    <n v="0"/>
    <n v="0"/>
    <s v="NA"/>
    <x v="0"/>
    <s v="whether the consumer purchases an Energy Star model"/>
    <s v="dummy (0/1)"/>
    <n v="0"/>
    <s v="increase"/>
    <n v="2E-3"/>
    <n v="0.1"/>
    <n v="2"/>
    <n v="0"/>
    <n v="0"/>
    <n v="0.5"/>
    <s v="NA"/>
    <s v="NA"/>
    <s v="NA"/>
    <s v="NA"/>
    <n v="2525.8000000000002"/>
    <s v="NA"/>
    <n v="23347"/>
    <n v="23347"/>
    <s v="NA"/>
    <s v="NA"/>
    <s v="NA"/>
    <s v="NA"/>
    <s v="NA"/>
    <s v="NA"/>
    <s v="NA"/>
    <s v="NA"/>
    <s v="NA"/>
    <s v="NA"/>
    <n v="0"/>
    <n v="1"/>
    <n v="1"/>
    <m/>
    <m/>
    <m/>
    <m/>
    <m/>
    <m/>
    <m/>
    <m/>
    <m/>
    <m/>
    <n v="0"/>
    <n v="0"/>
    <n v="4.2833890173905597E-5"/>
    <n v="4.2837559972583965E-5"/>
    <s v="NA"/>
    <n v="23345"/>
    <s v="NA"/>
  </r>
  <r>
    <x v="1"/>
    <n v="2"/>
    <n v="1002"/>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x v="0"/>
    <x v="1"/>
    <n v="0"/>
    <n v="1"/>
    <n v="0"/>
    <n v="0"/>
    <n v="0"/>
    <n v="0"/>
    <s v="focus on phase 1 as there the effect is separated from agent incentivisation"/>
    <n v="0"/>
    <n v="0"/>
    <n v="0"/>
    <n v="0"/>
    <n v="0"/>
    <n v="0"/>
    <n v="1"/>
    <n v="0"/>
    <n v="0"/>
    <s v="NA"/>
    <x v="0"/>
    <s v="whether the consumer purchases an Energy Star model"/>
    <s v="dummy (0/1)"/>
    <n v="1E-3"/>
    <s v="increase"/>
    <n v="1E-3"/>
    <n v="0.1"/>
    <n v="2"/>
    <n v="1"/>
    <n v="1.0005001667083846E-3"/>
    <n v="0.50024999997916664"/>
    <s v="NA"/>
    <s v="NA"/>
    <s v="NA"/>
    <s v="NA"/>
    <n v="2525.8000000000002"/>
    <s v="NA"/>
    <n v="23347"/>
    <n v="23347"/>
    <s v="NA"/>
    <s v="NA"/>
    <n v="25"/>
    <s v="NA"/>
    <s v="current "/>
    <s v="NA"/>
    <s v="NA"/>
    <s v="NA"/>
    <s v="NA"/>
    <s v="NA"/>
    <n v="0"/>
    <n v="1"/>
    <n v="1"/>
    <m/>
    <m/>
    <m/>
    <m/>
    <m/>
    <m/>
    <m/>
    <m/>
    <m/>
    <m/>
    <n v="6.5444801935631517E-3"/>
    <n v="6.5445736298086485E-3"/>
    <n v="4.2833890095325423E-5"/>
    <n v="4.2837559972583965E-5"/>
    <s v="NA"/>
    <n v="23345"/>
    <s v="NA"/>
  </r>
  <r>
    <x v="1"/>
    <n v="2"/>
    <n v="1001"/>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x v="0"/>
    <x v="1"/>
    <n v="0"/>
    <n v="1"/>
    <n v="0"/>
    <n v="0"/>
    <n v="0"/>
    <n v="0"/>
    <s v="focus on phase 1 as there the effect is separated from agent incentivisation"/>
    <n v="0"/>
    <n v="0"/>
    <n v="0"/>
    <n v="0"/>
    <n v="0"/>
    <n v="0"/>
    <n v="1"/>
    <n v="0"/>
    <n v="0"/>
    <s v="NA"/>
    <x v="0"/>
    <s v="whether the consumer purchases an Energy Star model"/>
    <s v="dummy (0/1)"/>
    <n v="6.0000000000000001E-3"/>
    <s v="increase"/>
    <n v="3.0000000000000001E-3"/>
    <n v="0.05"/>
    <n v="1"/>
    <n v="2"/>
    <n v="6.0180360540649236E-3"/>
    <n v="0.50149999550001623"/>
    <s v="NA"/>
    <s v="NA"/>
    <s v="NA"/>
    <s v="NA"/>
    <n v="2525.8000000000002"/>
    <s v="NA"/>
    <n v="23347"/>
    <n v="23347"/>
    <s v="NA"/>
    <s v="NA"/>
    <n v="100"/>
    <s v="NA"/>
    <s v="current "/>
    <s v="NA"/>
    <s v="NA"/>
    <s v="NA"/>
    <s v="NA"/>
    <s v="NA"/>
    <n v="0"/>
    <n v="1"/>
    <n v="1"/>
    <m/>
    <m/>
    <m/>
    <m/>
    <m/>
    <m/>
    <m/>
    <m/>
    <m/>
    <m/>
    <n v="1.308811956355478E-2"/>
    <n v="1.3088866967087377E-2"/>
    <n v="4.2833888916730603E-5"/>
    <n v="4.2837559972583965E-5"/>
    <s v="NA"/>
    <n v="23345"/>
    <s v="NA"/>
  </r>
  <r>
    <x v="0"/>
    <n v="3"/>
    <n v="1087"/>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x v="0"/>
    <x v="0"/>
    <n v="0"/>
    <n v="0"/>
    <n v="0"/>
    <n v="0"/>
    <n v="0"/>
    <n v="0"/>
    <s v="NA"/>
    <n v="0"/>
    <n v="0"/>
    <n v="0"/>
    <n v="0"/>
    <n v="0"/>
    <n v="1"/>
    <n v="0"/>
    <n v="0"/>
    <n v="0"/>
    <s v="NA"/>
    <x v="0"/>
    <s v="purchased CFL"/>
    <s v="dummy (0/1)"/>
    <n v="4.0000000000000001E-3"/>
    <s v="increase"/>
    <n v="3.3000000000000002E-2"/>
    <n v="0.1"/>
    <n v="2"/>
    <n v="0.12121212121212122"/>
    <n v="4.0080106773419111E-3"/>
    <n v="0.50099999866666878"/>
    <s v="NA"/>
    <s v="NA"/>
    <s v="NA"/>
    <s v="NA"/>
    <s v="NA"/>
    <s v="NA"/>
    <n v="1087"/>
    <n v="1087"/>
    <s v="NA"/>
    <s v="NA"/>
    <s v="NA"/>
    <s v="NA"/>
    <s v="NA"/>
    <s v="NA"/>
    <s v="NA"/>
    <s v="NA"/>
    <s v="NA"/>
    <s v="NA"/>
    <n v="0"/>
    <n v="0"/>
    <n v="1"/>
    <m/>
    <m/>
    <m/>
    <m/>
    <m/>
    <m/>
    <m/>
    <m/>
    <m/>
    <m/>
    <n v="3.6764472949663419E-3"/>
    <n v="3.6764638590456372E-3"/>
    <n v="9.2081031290728113E-4"/>
    <n v="9.225092250922509E-4"/>
    <s v="NA"/>
    <n v="1085"/>
    <s v="NA"/>
  </r>
  <r>
    <x v="0"/>
    <n v="3"/>
    <n v="1086"/>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x v="0"/>
    <x v="0"/>
    <n v="0"/>
    <n v="0"/>
    <n v="0"/>
    <n v="0"/>
    <n v="0"/>
    <n v="0"/>
    <s v="NA"/>
    <n v="0"/>
    <n v="0"/>
    <n v="0"/>
    <n v="0"/>
    <n v="0"/>
    <n v="1"/>
    <n v="0"/>
    <n v="0"/>
    <n v="0"/>
    <s v="NA"/>
    <x v="0"/>
    <s v="purchased CFL"/>
    <s v="NA"/>
    <n v="8.0000000000000002E-3"/>
    <s v="decrease"/>
    <n v="2.7E-2"/>
    <n v="0.1"/>
    <n v="2"/>
    <n v="0.29629629629629628"/>
    <s v="NA"/>
    <m/>
    <s v="NA"/>
    <n v="294"/>
    <s v="NA"/>
    <s v="NA"/>
    <n v="793"/>
    <s v="NA"/>
    <n v="1087"/>
    <n v="1087"/>
    <n v="8.0000000000000002E-3"/>
    <s v="NA"/>
    <s v="NA"/>
    <s v="NA"/>
    <s v="NA"/>
    <s v="NA"/>
    <s v="NA"/>
    <s v="NA"/>
    <s v="NA"/>
    <s v="NA"/>
    <n v="0"/>
    <n v="0"/>
    <n v="1"/>
    <m/>
    <m/>
    <m/>
    <m/>
    <m/>
    <m/>
    <m/>
    <m/>
    <m/>
    <m/>
    <n v="0.14654866108946232"/>
    <n v="0.14761150876627599"/>
    <n v="9.2037314237067909E-4"/>
    <n v="9.225092250922509E-4"/>
    <n v="0.29629629629629628"/>
    <n v="1085"/>
    <s v="NA"/>
  </r>
  <r>
    <x v="0"/>
    <n v="3"/>
    <n v="1085"/>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x v="0"/>
    <x v="0"/>
    <n v="0"/>
    <n v="0"/>
    <n v="0"/>
    <n v="0"/>
    <n v="0"/>
    <n v="0"/>
    <s v="NA"/>
    <n v="0"/>
    <n v="0"/>
    <n v="0"/>
    <n v="0"/>
    <n v="0"/>
    <n v="1"/>
    <n v="0"/>
    <n v="0"/>
    <n v="0"/>
    <s v="NA"/>
    <x v="0"/>
    <s v="purchased CFL"/>
    <s v="NA"/>
    <n v="1.0999999999999999E-2"/>
    <s v="increase"/>
    <n v="2.5000000000000001E-2"/>
    <n v="0.1"/>
    <n v="2"/>
    <n v="0.43999999999999995"/>
    <s v="NA"/>
    <m/>
    <s v="NA"/>
    <n v="294"/>
    <s v="NA"/>
    <s v="NA"/>
    <n v="793"/>
    <s v="NA"/>
    <n v="1087"/>
    <n v="1087"/>
    <n v="1.0999999999999999E-2"/>
    <s v="NA"/>
    <s v="NA"/>
    <s v="NA"/>
    <s v="NA"/>
    <s v="NA"/>
    <s v="NA"/>
    <s v="NA"/>
    <s v="NA"/>
    <s v="NA"/>
    <n v="0"/>
    <n v="0"/>
    <n v="1"/>
    <m/>
    <m/>
    <m/>
    <m/>
    <m/>
    <m/>
    <m/>
    <m/>
    <m/>
    <m/>
    <n v="0.21486178267511974"/>
    <n v="0.21826290743988225"/>
    <n v="9.1872058431916861E-4"/>
    <n v="9.225092250922509E-4"/>
    <n v="0.43999999999999995"/>
    <n v="1085"/>
    <s v="NA"/>
  </r>
  <r>
    <x v="0"/>
    <n v="3"/>
    <n v="1089"/>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x v="0"/>
    <x v="0"/>
    <n v="0"/>
    <n v="1"/>
    <n v="0"/>
    <n v="0"/>
    <n v="0"/>
    <n v="0"/>
    <s v="NA"/>
    <n v="0"/>
    <n v="0"/>
    <n v="0"/>
    <n v="0"/>
    <n v="0"/>
    <n v="1"/>
    <n v="0"/>
    <n v="0"/>
    <n v="0"/>
    <s v="NA"/>
    <x v="0"/>
    <s v="purchased CFL"/>
    <s v="dummy (0/1)"/>
    <n v="5.3999999999999999E-2"/>
    <s v="increase"/>
    <n v="6.6000000000000003E-2"/>
    <n v="0.1"/>
    <n v="2"/>
    <n v="0.81818181818181812"/>
    <n v="5.5484602155080109E-2"/>
    <n v="0.51349672045631156"/>
    <s v="NA"/>
    <s v="NA"/>
    <s v="NA"/>
    <s v="NA"/>
    <s v="NA"/>
    <s v="NA"/>
    <n v="1087"/>
    <n v="1087"/>
    <s v="NA"/>
    <s v="NA"/>
    <s v="NA"/>
    <s v="NA"/>
    <s v="current "/>
    <s v="NA"/>
    <s v="NA"/>
    <s v="NA"/>
    <s v="NA"/>
    <s v="NA"/>
    <n v="0"/>
    <n v="0"/>
    <n v="1"/>
    <m/>
    <m/>
    <m/>
    <m/>
    <m/>
    <m/>
    <m/>
    <m/>
    <m/>
    <m/>
    <n v="2.4808549041116852E-2"/>
    <n v="2.4813640511901335E-2"/>
    <n v="9.2080996398975789E-4"/>
    <n v="9.225092250922509E-4"/>
    <s v="NA"/>
    <n v="1085"/>
    <s v="NA"/>
  </r>
  <r>
    <x v="0"/>
    <n v="3"/>
    <n v="1088"/>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x v="0"/>
    <x v="1"/>
    <n v="0"/>
    <n v="1"/>
    <n v="0"/>
    <n v="0"/>
    <n v="0"/>
    <n v="0"/>
    <s v="NA"/>
    <n v="0"/>
    <n v="0"/>
    <n v="0"/>
    <n v="0"/>
    <n v="0"/>
    <n v="1"/>
    <n v="0"/>
    <n v="0"/>
    <n v="0"/>
    <s v="NA"/>
    <x v="0"/>
    <s v="purchased CFL"/>
    <s v="dummy (0/1)"/>
    <n v="0.105"/>
    <s v="increase"/>
    <n v="3.3000000000000002E-2"/>
    <n v="0.01"/>
    <n v="1"/>
    <n v="3.1818181818181817"/>
    <n v="0.11071061035570517"/>
    <n v="0.5262259093720687"/>
    <s v="NA"/>
    <s v="NA"/>
    <s v="NA"/>
    <s v="NA"/>
    <s v="NA"/>
    <s v="NA"/>
    <n v="1087"/>
    <n v="1087"/>
    <s v="NA"/>
    <s v="NA"/>
    <s v="NA"/>
    <s v="NA"/>
    <s v="current "/>
    <s v="NA"/>
    <s v="NA"/>
    <s v="NA"/>
    <s v="NA"/>
    <s v="NA"/>
    <n v="0"/>
    <n v="0"/>
    <n v="1"/>
    <m/>
    <m/>
    <m/>
    <m/>
    <m/>
    <m/>
    <m/>
    <m/>
    <m/>
    <m/>
    <n v="9.6061089497837926E-2"/>
    <n v="9.6358211658461979E-2"/>
    <n v="9.2073093051564905E-4"/>
    <n v="9.225092250922509E-4"/>
    <s v="NA"/>
    <n v="1085"/>
    <s v="NA"/>
  </r>
  <r>
    <x v="0"/>
    <n v="4"/>
    <n v="1112"/>
    <n v="121"/>
    <s v="Anderson, Claxton"/>
    <n v="1982"/>
    <s v="Barriers to Consumer Choice of Energy Efficient Products"/>
    <s v="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
    <n v="2"/>
    <n v="1982"/>
    <x v="0"/>
    <n v="167"/>
    <x v="3"/>
    <x v="2"/>
    <x v="2"/>
    <s v="revealed preference"/>
    <s v="retailer"/>
    <s v="store visitors"/>
    <n v="0"/>
    <s v="no such option"/>
    <n v="0"/>
    <s v="probably no"/>
    <s v="probably no"/>
    <s v="can't disentangle scepific effects for each intervention ?"/>
    <x v="0"/>
    <x v="0"/>
    <n v="1"/>
    <n v="0"/>
    <n v="0"/>
    <n v="0"/>
    <n v="0"/>
    <n v="0"/>
    <s v="can't disentangle scepific effects for each intervention - emphasis on energy information and label "/>
    <n v="0"/>
    <n v="0"/>
    <n v="0"/>
    <n v="1"/>
    <n v="0"/>
    <n v="0"/>
    <n v="0"/>
    <n v="0"/>
    <n v="0"/>
    <s v="treatments effect not differentiated"/>
    <x v="0"/>
    <s v="NA"/>
    <s v="odds ratio"/>
    <s v="NA"/>
    <s v="increase"/>
    <n v="2.287361707025994"/>
    <n v="0.05"/>
    <n v="2"/>
    <n v="4.53"/>
    <n v="0.85185185185185175"/>
    <m/>
    <n v="0.27"/>
    <n v="26"/>
    <s v="NA"/>
    <n v="0.5"/>
    <n v="16"/>
    <s v="NA"/>
    <n v="119"/>
    <n v="1116"/>
    <n v="0.22999999999999998"/>
    <s v="NA"/>
    <s v="NA"/>
    <s v="NA"/>
    <s v="NA"/>
    <n v="1"/>
    <n v="43"/>
    <n v="1"/>
    <n v="123"/>
    <s v="other"/>
    <n v="0"/>
    <n v="0"/>
    <n v="0"/>
    <m/>
    <m/>
    <m/>
    <m/>
    <m/>
    <m/>
    <m/>
    <m/>
    <m/>
    <m/>
    <n v="5.0212842027547909E-2"/>
    <n v="5.0255107024421791E-2"/>
    <n v="8.4745222158217736E-3"/>
    <n v="8.6206896551724137E-3"/>
    <n v="0.1005525270854708"/>
    <n v="117"/>
    <s v="NA"/>
  </r>
  <r>
    <x v="0"/>
    <m/>
    <n v="1071"/>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x v="0"/>
    <x v="1"/>
    <n v="1"/>
    <n v="0"/>
    <n v="0"/>
    <n v="0"/>
    <n v="0"/>
    <n v="0"/>
    <s v="NA"/>
    <n v="0"/>
    <n v="0"/>
    <n v="0"/>
    <n v="0"/>
    <n v="0"/>
    <n v="1"/>
    <n v="0"/>
    <n v="0"/>
    <n v="0"/>
    <s v="NA"/>
    <x v="2"/>
    <s v="relative WTP for LED vs CFL (diff experimental conditions)"/>
    <s v="NA"/>
    <n v="0.14099999999999999"/>
    <s v="increase"/>
    <n v="0.32"/>
    <n v="0.1"/>
    <n v="2"/>
    <n v="0.44062499999999993"/>
    <s v="NA"/>
    <m/>
    <s v="NA"/>
    <n v="216"/>
    <s v="NA"/>
    <s v="NA"/>
    <n v="119"/>
    <s v="NA"/>
    <n v="335"/>
    <n v="335"/>
    <s v="NA"/>
    <s v="NA"/>
    <s v="NA"/>
    <s v="NA"/>
    <s v="NA"/>
    <n v="0"/>
    <s v="NA"/>
    <n v="1"/>
    <n v="7"/>
    <s v="alphabetical with +"/>
    <n v="1"/>
    <n v="0"/>
    <n v="1"/>
    <m/>
    <m/>
    <m/>
    <m/>
    <m/>
    <m/>
    <m/>
    <m/>
    <m/>
    <m/>
    <n v="2.4066942415906588E-2"/>
    <n v="2.4071590697916326E-2"/>
    <n v="2.9940109708011158E-3"/>
    <n v="3.0120481927710845E-3"/>
    <m/>
    <m/>
    <m/>
  </r>
  <r>
    <x v="0"/>
    <m/>
    <n v="1072"/>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x v="0"/>
    <x v="1"/>
    <n v="1"/>
    <n v="0"/>
    <n v="0"/>
    <n v="0"/>
    <n v="0"/>
    <n v="0"/>
    <s v="NA"/>
    <n v="0"/>
    <n v="0"/>
    <n v="0"/>
    <n v="0"/>
    <n v="0"/>
    <n v="1"/>
    <n v="0"/>
    <n v="0"/>
    <n v="0"/>
    <s v="NA"/>
    <x v="2"/>
    <s v="relative WTP for LED vs CFL (diff experimental conditions)"/>
    <s v="NA"/>
    <n v="1.331"/>
    <s v="increase"/>
    <n v="0.34499999999999997"/>
    <n v="0.01"/>
    <n v="1"/>
    <n v="3.8579710144927537"/>
    <s v="NA"/>
    <m/>
    <s v="NA"/>
    <n v="216"/>
    <s v="NA"/>
    <s v="NA"/>
    <n v="224"/>
    <s v="NA"/>
    <n v="440"/>
    <n v="440"/>
    <s v="NA"/>
    <s v="NA"/>
    <s v="NA"/>
    <s v="NA"/>
    <s v="NA"/>
    <n v="1"/>
    <n v="32.4771"/>
    <n v="0"/>
    <s v="NA"/>
    <s v="NA"/>
    <n v="1"/>
    <n v="0"/>
    <n v="1"/>
    <m/>
    <m/>
    <m/>
    <m/>
    <m/>
    <m/>
    <m/>
    <m/>
    <m/>
    <m/>
    <n v="0.18088754235543161"/>
    <n v="0.18290010196181533"/>
    <n v="2.2753552022091081E-3"/>
    <n v="2.2883295194508009E-3"/>
    <m/>
    <m/>
    <m/>
  </r>
  <r>
    <x v="2"/>
    <m/>
    <n v="1266"/>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x v="0"/>
    <x v="0"/>
    <n v="1"/>
    <n v="0"/>
    <n v="0"/>
    <n v="0"/>
    <n v="0"/>
    <n v="0"/>
    <s v="NA"/>
    <n v="0"/>
    <n v="0"/>
    <n v="1"/>
    <n v="0"/>
    <n v="0"/>
    <n v="0"/>
    <n v="0"/>
    <n v="0"/>
    <n v="0"/>
    <s v="dummy choice for a refrigerator"/>
    <x v="2"/>
    <s v="dummy choice for a refrigerator"/>
    <s v="dummy (0/1)"/>
    <n v="1.6379999999999999"/>
    <s v="increase"/>
    <s v="NA"/>
    <n v="0.01"/>
    <n v="1"/>
    <s v="NA"/>
    <s v="NA"/>
    <m/>
    <s v="NA"/>
    <s v="NA"/>
    <s v="NA"/>
    <s v="NA"/>
    <s v="NA"/>
    <s v="NA"/>
    <n v="165"/>
    <n v="2673"/>
    <s v="NA"/>
    <s v="NA"/>
    <s v="NA"/>
    <s v="NA"/>
    <s v="NA"/>
    <s v="NA"/>
    <s v="NA"/>
    <s v="NA"/>
    <s v="NA"/>
    <s v="NA"/>
    <n v="0"/>
    <n v="0"/>
    <n v="0"/>
    <m/>
    <m/>
    <m/>
    <m/>
    <m/>
    <m/>
    <m/>
    <m/>
    <m/>
    <m/>
    <e v="#VALUE!"/>
    <e v="#VALUE!"/>
    <e v="#VALUE!"/>
    <n v="6.1728395061728392E-3"/>
    <m/>
    <m/>
    <m/>
  </r>
  <r>
    <x v="2"/>
    <m/>
    <n v="1267"/>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x v="0"/>
    <x v="0"/>
    <n v="1"/>
    <n v="0"/>
    <n v="0"/>
    <n v="0"/>
    <n v="0"/>
    <n v="0"/>
    <s v="NA"/>
    <n v="0"/>
    <n v="0"/>
    <n v="1"/>
    <n v="0"/>
    <n v="0"/>
    <n v="0"/>
    <n v="0"/>
    <n v="0"/>
    <n v="0"/>
    <s v="dummy choice for a refrigerator"/>
    <x v="2"/>
    <s v="dummy choice for a refrigerator"/>
    <s v="dummy (0/1)"/>
    <n v="1.246"/>
    <s v="increase"/>
    <s v="NA"/>
    <n v="0.05"/>
    <n v="1"/>
    <s v="NA"/>
    <s v="NA"/>
    <m/>
    <s v="NA"/>
    <s v="NA"/>
    <s v="NA"/>
    <s v="NA"/>
    <s v="NA"/>
    <s v="NA"/>
    <n v="165"/>
    <n v="2232"/>
    <s v="NA"/>
    <s v="NA"/>
    <s v="NA"/>
    <s v="NA"/>
    <s v="NA"/>
    <s v="NA"/>
    <s v="NA"/>
    <s v="NA"/>
    <s v="NA"/>
    <s v="NA"/>
    <n v="0"/>
    <n v="0"/>
    <n v="0"/>
    <m/>
    <m/>
    <m/>
    <m/>
    <m/>
    <m/>
    <m/>
    <m/>
    <m/>
    <m/>
    <e v="#VALUE!"/>
    <e v="#VALUE!"/>
    <e v="#VALUE!"/>
    <n v="6.1728395061728392E-3"/>
    <m/>
    <m/>
    <m/>
  </r>
  <r>
    <x v="2"/>
    <m/>
    <n v="1268"/>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x v="0"/>
    <x v="0"/>
    <n v="1"/>
    <n v="0"/>
    <n v="0"/>
    <n v="0"/>
    <n v="0"/>
    <n v="0"/>
    <s v="NA"/>
    <n v="0"/>
    <n v="0"/>
    <n v="1"/>
    <n v="0"/>
    <n v="0"/>
    <n v="0"/>
    <n v="0"/>
    <n v="0"/>
    <n v="0"/>
    <s v="dummy choice for a refrigerator"/>
    <x v="2"/>
    <s v="dummy choice for a refrigerator"/>
    <s v="dummy (0/1)"/>
    <n v="1.86"/>
    <s v="increase"/>
    <s v="NA"/>
    <n v="0.01"/>
    <n v="1"/>
    <s v="NA"/>
    <s v="NA"/>
    <m/>
    <s v="NA"/>
    <s v="NA"/>
    <s v="NA"/>
    <s v="NA"/>
    <s v="NA"/>
    <s v="NA"/>
    <n v="165"/>
    <n v="2673"/>
    <s v="NA"/>
    <s v="NA"/>
    <s v="NA"/>
    <s v="NA"/>
    <s v="NA"/>
    <s v="NA"/>
    <s v="NA"/>
    <s v="NA"/>
    <s v="NA"/>
    <s v="NA"/>
    <n v="0"/>
    <n v="0"/>
    <n v="0"/>
    <m/>
    <m/>
    <m/>
    <m/>
    <m/>
    <m/>
    <m/>
    <m/>
    <m/>
    <m/>
    <e v="#VALUE!"/>
    <e v="#VALUE!"/>
    <e v="#VALUE!"/>
    <n v="6.1728395061728392E-3"/>
    <m/>
    <m/>
    <m/>
  </r>
  <r>
    <x v="2"/>
    <m/>
    <n v="1269"/>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x v="0"/>
    <x v="0"/>
    <n v="1"/>
    <n v="0"/>
    <n v="0"/>
    <n v="0"/>
    <n v="0"/>
    <n v="0"/>
    <s v="NA"/>
    <n v="0"/>
    <n v="0"/>
    <n v="1"/>
    <n v="0"/>
    <n v="0"/>
    <n v="0"/>
    <n v="0"/>
    <n v="0"/>
    <n v="0"/>
    <s v="dummy choice for a refrigerator"/>
    <x v="2"/>
    <s v="dummy choice for a refrigerator"/>
    <s v="dummy (0/1)"/>
    <n v="1.7370000000000001"/>
    <s v="increase"/>
    <s v="NA"/>
    <n v="0.05"/>
    <n v="1"/>
    <s v="NA"/>
    <s v="NA"/>
    <m/>
    <s v="NA"/>
    <s v="NA"/>
    <s v="NA"/>
    <s v="NA"/>
    <s v="NA"/>
    <s v="NA"/>
    <n v="165"/>
    <n v="2232"/>
    <s v="NA"/>
    <s v="NA"/>
    <s v="NA"/>
    <s v="NA"/>
    <s v="NA"/>
    <s v="NA"/>
    <s v="NA"/>
    <s v="NA"/>
    <s v="NA"/>
    <s v="NA"/>
    <n v="0"/>
    <n v="0"/>
    <n v="0"/>
    <m/>
    <m/>
    <m/>
    <m/>
    <m/>
    <m/>
    <m/>
    <m/>
    <m/>
    <m/>
    <e v="#VALUE!"/>
    <e v="#VALUE!"/>
    <e v="#VALUE!"/>
    <n v="6.1728395061728392E-3"/>
    <m/>
    <m/>
    <m/>
  </r>
  <r>
    <x v="0"/>
    <m/>
    <s v="NA"/>
    <s v="NA"/>
    <s v="Aydin, Kok, Brounen"/>
    <n v="2017"/>
    <s v="Energy efficiency and household behavior: the rebound effect in the residential sector"/>
    <s v="This article investigates the rebound effect in residential heating, using a sample of 563,000_x000a_households in the Netherlands. Using instrumental variable and fixed-effects approaches, we_x000a_address potential endogeneity concerns. The results show a rebound effect of 26.7% among_x000a_homeowners, and 41.3% among tenants.We corroborate the findings through a quasiexperimental_x000a_analysis, using a large retrofit subsidy program.We also document significant heterogeneity in the_x000a_rebound effect, determined by household wealth and income, and the actual energy use intensity._x000a_The findings in this article confirm the important role of household behavior in determining the_x000a_outcomes of energy efficiency improvement programs."/>
    <n v="1"/>
    <s v="2008-2011"/>
    <x v="1"/>
    <m/>
    <x v="6"/>
    <x v="3"/>
    <x v="5"/>
    <m/>
    <m/>
    <s v="homeowners"/>
    <m/>
    <m/>
    <m/>
    <m/>
    <m/>
    <m/>
    <x v="2"/>
    <x v="2"/>
    <m/>
    <m/>
    <m/>
    <m/>
    <m/>
    <m/>
    <m/>
    <m/>
    <m/>
    <m/>
    <m/>
    <m/>
    <m/>
    <m/>
    <m/>
    <m/>
    <m/>
    <x v="3"/>
    <m/>
    <m/>
    <m/>
    <m/>
    <m/>
    <m/>
    <m/>
    <m/>
    <m/>
    <m/>
    <m/>
    <m/>
    <m/>
    <m/>
    <m/>
    <m/>
    <m/>
    <m/>
    <m/>
    <m/>
    <m/>
    <m/>
    <m/>
    <m/>
    <m/>
    <m/>
    <m/>
    <m/>
    <m/>
    <m/>
    <m/>
    <m/>
    <m/>
    <m/>
    <m/>
    <m/>
    <m/>
    <m/>
    <m/>
    <m/>
    <m/>
    <m/>
    <m/>
    <m/>
    <m/>
    <m/>
    <m/>
    <m/>
  </r>
  <r>
    <x v="0"/>
    <m/>
    <s v="NA"/>
    <s v="NA"/>
    <s v="Berman, Cooper, Geller"/>
    <n v="1987"/>
    <s v="COMPENDIUM OF UTILITY-SPONSORED ENERGY EFFICIENCY REBATE PROGRAMS."/>
    <s v="Rebate programs are becoming increasingly popular among utilities across the_x000a_country as a method to persuade customers to purchase more energy efficient_x000a_appliances, space conditioning systems, lighting products and motors~ While there_x000a_is substantial experience with and interest in utility rebate programs, utilities_x000a_and other organizations lack comprehensive information on other utility-sponsored_x000a_energy efficient rebate programs~ The authors developed this Compendium to fill_x000a_that gape_x000a_This Compendium contains information on 59 energy efficiency rebate programs, based_x000a_upon a survey of 157 utilitieso The information on each rebate program has been_x000a_cross-tabulated and analyzed to identify such variables as program characteristics,_x000a_products included, efficiency levels, rebate amounts, funding levels, energy and_x000a_peak power savings, and the cost of peak demand reductione Summary conclusions_x000a_about these variables are also presentede"/>
    <n v="2"/>
    <m/>
    <x v="2"/>
    <m/>
    <x v="6"/>
    <x v="4"/>
    <x v="5"/>
    <m/>
    <m/>
    <m/>
    <m/>
    <m/>
    <m/>
    <m/>
    <m/>
    <m/>
    <x v="2"/>
    <x v="2"/>
    <m/>
    <m/>
    <m/>
    <m/>
    <m/>
    <m/>
    <m/>
    <m/>
    <m/>
    <m/>
    <m/>
    <m/>
    <m/>
    <m/>
    <m/>
    <m/>
    <m/>
    <x v="3"/>
    <m/>
    <m/>
    <m/>
    <m/>
    <m/>
    <m/>
    <m/>
    <m/>
    <m/>
    <m/>
    <m/>
    <m/>
    <m/>
    <m/>
    <m/>
    <m/>
    <m/>
    <m/>
    <m/>
    <m/>
    <m/>
    <m/>
    <m/>
    <m/>
    <m/>
    <m/>
    <m/>
    <m/>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x v="0"/>
    <x v="1"/>
    <n v="1"/>
    <n v="0"/>
    <n v="0"/>
    <n v="0"/>
    <n v="0"/>
    <n v="0"/>
    <s v="announcement - label compared to old and not absence of label"/>
    <n v="0"/>
    <n v="0"/>
    <n v="0"/>
    <n v="1"/>
    <n v="0"/>
    <n v="0"/>
    <n v="0"/>
    <n v="0"/>
    <n v="0"/>
    <s v="market statistics"/>
    <x v="4"/>
    <m/>
    <s v="NA"/>
    <m/>
    <m/>
    <m/>
    <m/>
    <m/>
    <m/>
    <n v="0.55000000000000004"/>
    <m/>
    <m/>
    <m/>
    <m/>
    <m/>
    <m/>
    <m/>
    <m/>
    <m/>
    <m/>
    <m/>
    <s v="NA"/>
    <s v="NA"/>
    <s v="NA"/>
    <n v="0"/>
    <s v="NA"/>
    <n v="1"/>
    <s v="NA"/>
    <s v="alphabetical with +"/>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x v="0"/>
    <x v="1"/>
    <n v="1"/>
    <n v="0"/>
    <n v="0"/>
    <n v="0"/>
    <n v="0"/>
    <n v="0"/>
    <s v="implementation label compared to old and not absence of label"/>
    <n v="0"/>
    <n v="0"/>
    <n v="0"/>
    <n v="1"/>
    <n v="0"/>
    <n v="0"/>
    <n v="0"/>
    <n v="0"/>
    <n v="0"/>
    <s v="market statistics"/>
    <x v="4"/>
    <m/>
    <s v="NA"/>
    <m/>
    <m/>
    <m/>
    <m/>
    <m/>
    <m/>
    <n v="0.42"/>
    <m/>
    <m/>
    <m/>
    <m/>
    <m/>
    <m/>
    <m/>
    <m/>
    <m/>
    <m/>
    <m/>
    <s v="NA"/>
    <s v="NA"/>
    <s v="NA"/>
    <n v="0"/>
    <s v="NA"/>
    <n v="1"/>
    <s v="NA"/>
    <s v="alphabetical with +"/>
    <m/>
    <m/>
    <m/>
    <m/>
    <m/>
    <m/>
    <m/>
    <m/>
    <m/>
    <m/>
    <m/>
    <m/>
    <m/>
    <m/>
    <m/>
    <m/>
    <m/>
    <m/>
    <m/>
    <m/>
  </r>
  <r>
    <x v="2"/>
    <n v="5"/>
    <n v="1274"/>
    <n v="401"/>
    <s v="Caldwell, Vaughan, Harrod, Harrod"/>
    <n v="2019"/>
    <s v="Social Marketing–Enhanced Home Energy Education Encourages Adoption of Energy-Saving Practices"/>
    <s v="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
    <n v="2"/>
    <s v="NA"/>
    <x v="0"/>
    <n v="4"/>
    <x v="3"/>
    <x v="2"/>
    <x v="1"/>
    <s v="self-reported behaviour"/>
    <s v="household"/>
    <s v="homeowners"/>
    <n v="0"/>
    <s v="no such option"/>
    <n v="0"/>
    <s v="probably yes"/>
    <s v="probably no"/>
    <s v="small sample size, outcome reported in percentage of households"/>
    <x v="0"/>
    <x v="0"/>
    <n v="0"/>
    <n v="0"/>
    <n v="0"/>
    <n v="0"/>
    <n v="0"/>
    <n v="0"/>
    <s v="Intervention is combination of energy audit + energy education visit vs. audit only. Customers qualify for the study by requesting an  audit."/>
    <n v="0"/>
    <n v="0"/>
    <n v="0"/>
    <n v="0"/>
    <n v="0"/>
    <n v="1"/>
    <n v="0"/>
    <n v="0"/>
    <n v="0"/>
    <s v="percentage of households who purchased efficient lighting"/>
    <x v="0"/>
    <s v="probability of appliance purchase"/>
    <s v="NA"/>
    <s v="NA"/>
    <s v="increase"/>
    <s v="NA"/>
    <n v="0.16600000000000001"/>
    <s v="NA"/>
    <s v="NA"/>
    <n v="0.18"/>
    <m/>
    <s v="NA"/>
    <n v="54"/>
    <s v="NA"/>
    <s v="NA"/>
    <n v="53"/>
    <s v="NA"/>
    <n v="107"/>
    <n v="107"/>
    <s v="NA"/>
    <s v="NA"/>
    <s v="NA"/>
    <s v="NA"/>
    <s v="NA"/>
    <s v="NA"/>
    <s v="NA"/>
    <s v="NA"/>
    <s v="NA"/>
    <s v="NA"/>
    <n v="0"/>
    <n v="0"/>
    <n v="0"/>
    <m/>
    <m/>
    <m/>
    <m/>
    <m/>
    <m/>
    <m/>
    <m/>
    <m/>
    <m/>
    <e v="#VALUE!"/>
    <e v="#VALUE!"/>
    <e v="#VALUE!"/>
    <n v="9.6153846153846159E-3"/>
    <e v="#VALUE!"/>
    <n v="105"/>
    <s v="these have only % change reported and no absolute diff of means"/>
  </r>
  <r>
    <x v="0"/>
    <m/>
    <n v="1113"/>
    <n v="122"/>
    <s v="Carroll, Denny, Lyons"/>
    <n v="2016"/>
    <s v="The Effects of Energy Cost Labelling on Appliance Purchasing Decisions: Trial Results from Ireland"/>
    <s v="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
    <n v="2"/>
    <n v="2013"/>
    <x v="0"/>
    <n v="33"/>
    <x v="8"/>
    <x v="1"/>
    <x v="7"/>
    <s v="revealed preference"/>
    <s v="retailer"/>
    <s v="store visitors"/>
    <n v="0"/>
    <s v="no such option"/>
    <n v="0"/>
    <s v="probably no"/>
    <s v="probably no"/>
    <s v="NA"/>
    <x v="0"/>
    <x v="1"/>
    <n v="1"/>
    <n v="0"/>
    <n v="0"/>
    <n v="0"/>
    <n v="0"/>
    <n v="0"/>
    <s v="mandatory energy labelling scheme and mandatory energy performance standard"/>
    <n v="0"/>
    <n v="1"/>
    <n v="0"/>
    <n v="0"/>
    <n v="0"/>
    <n v="0"/>
    <n v="0"/>
    <n v="0"/>
    <n v="0"/>
    <s v="NA"/>
    <x v="4"/>
    <s v="log of a model's sales"/>
    <s v="log scale"/>
    <n v="1.24"/>
    <s v="increase"/>
    <n v="0.53400000000000003"/>
    <s v="NA"/>
    <n v="3"/>
    <s v="=TINV(AW3,CM3)"/>
    <s v="NA"/>
    <m/>
    <s v="NA"/>
    <s v="NA"/>
    <s v="NA"/>
    <s v="NA"/>
    <s v="NA"/>
    <s v="NA"/>
    <n v="1620"/>
    <n v="1620"/>
    <s v="NA"/>
    <s v="NA"/>
    <s v="NA"/>
    <s v="NA"/>
    <s v="NA"/>
    <n v="1"/>
    <n v="486"/>
    <n v="1"/>
    <n v="2560"/>
    <s v="other"/>
    <n v="0"/>
    <n v="0"/>
    <n v="1"/>
    <m/>
    <m/>
    <m/>
    <m/>
    <m/>
    <m/>
    <m/>
    <m/>
    <m/>
    <m/>
    <e v="#VALUE!"/>
    <e v="#VALUE!"/>
    <e v="#VALUE!"/>
    <n v="6.1842918985776133E-4"/>
    <m/>
    <m/>
    <m/>
  </r>
  <r>
    <x v="0"/>
    <m/>
    <n v="1165"/>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x v="0"/>
    <x v="1"/>
    <n v="0"/>
    <n v="0"/>
    <n v="0"/>
    <n v="0"/>
    <n v="0"/>
    <n v="1"/>
    <s v="no behavioural incentive per se"/>
    <n v="0"/>
    <n v="0"/>
    <n v="0"/>
    <n v="0"/>
    <n v="0"/>
    <n v="1"/>
    <n v="0"/>
    <n v="0"/>
    <n v="0"/>
    <s v="NA"/>
    <x v="1"/>
    <s v="log avg wattage"/>
    <s v="log scale"/>
    <n v="0.77300000000000002"/>
    <s v="decrease"/>
    <n v="3.7999999999999999E-2"/>
    <n v="0.01"/>
    <n v="1"/>
    <n v="20.342105263157897"/>
    <n v="1.1662552812206535"/>
    <m/>
    <s v="NA"/>
    <s v="NA"/>
    <s v="NA"/>
    <s v="NA"/>
    <s v="NA"/>
    <s v="NA"/>
    <n v="2445"/>
    <n v="2445"/>
    <s v="NA"/>
    <s v="NA"/>
    <s v="NA"/>
    <s v="NA"/>
    <s v="NA"/>
    <s v="NA"/>
    <s v="NA"/>
    <s v="NA"/>
    <s v="NA"/>
    <s v="NA"/>
    <n v="0"/>
    <n v="0"/>
    <n v="0"/>
    <m/>
    <m/>
    <m/>
    <m/>
    <m/>
    <m/>
    <m/>
    <m/>
    <m/>
    <m/>
    <n v="0.38045554301813767"/>
    <n v="0.40059218306919919"/>
    <n v="3.9862850415234801E-4"/>
    <n v="4.0950040950040953E-4"/>
    <m/>
    <m/>
    <m/>
  </r>
  <r>
    <x v="0"/>
    <m/>
    <n v="1166"/>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x v="0"/>
    <x v="1"/>
    <n v="0"/>
    <n v="0"/>
    <n v="0"/>
    <n v="0"/>
    <n v="0"/>
    <n v="1"/>
    <s v="no behavioural incentive per se - switch to CFL from IB"/>
    <n v="0"/>
    <n v="0"/>
    <n v="0"/>
    <n v="0"/>
    <n v="0"/>
    <n v="1"/>
    <n v="0"/>
    <n v="0"/>
    <n v="0"/>
    <s v="NA"/>
    <x v="1"/>
    <s v="log avg wattage"/>
    <s v="log scale"/>
    <n v="0.84"/>
    <s v="decrease"/>
    <n v="6.0999999999999999E-2"/>
    <n v="0.01"/>
    <n v="1"/>
    <n v="13.770491803278688"/>
    <n v="1.3163669767810915"/>
    <m/>
    <s v="NA"/>
    <s v="NA"/>
    <s v="NA"/>
    <s v="NA"/>
    <s v="NA"/>
    <s v="NA"/>
    <n v="2433"/>
    <n v="2433"/>
    <s v="NA"/>
    <s v="NA"/>
    <s v="NA"/>
    <s v="NA"/>
    <s v="NA"/>
    <s v="NA"/>
    <s v="NA"/>
    <s v="NA"/>
    <s v="NA"/>
    <s v="NA"/>
    <n v="1"/>
    <n v="1"/>
    <n v="1"/>
    <m/>
    <m/>
    <m/>
    <m/>
    <m/>
    <m/>
    <m/>
    <m/>
    <m/>
    <m/>
    <n v="0.26889407517381664"/>
    <n v="0.27567131993753202"/>
    <n v="4.0880954322490722E-4"/>
    <n v="4.1152263374485596E-4"/>
    <m/>
    <m/>
    <m/>
  </r>
  <r>
    <x v="0"/>
    <m/>
    <n v="1167"/>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x v="0"/>
    <x v="1"/>
    <n v="0"/>
    <n v="0"/>
    <n v="0"/>
    <n v="0"/>
    <n v="0"/>
    <n v="1"/>
    <s v="no behavioural incentive per se - switch to CFL from IB"/>
    <n v="0"/>
    <n v="0"/>
    <n v="0"/>
    <n v="0"/>
    <n v="0"/>
    <n v="1"/>
    <n v="0"/>
    <n v="0"/>
    <n v="0"/>
    <s v="NA"/>
    <x v="1"/>
    <s v="log lumen adjusted wattage"/>
    <s v="log scale"/>
    <n v="1.0999999999999999E-2"/>
    <s v="decrease"/>
    <n v="0.03"/>
    <n v="0.1"/>
    <n v="2"/>
    <n v="0.36666666666666664"/>
    <n v="1.1060722444719451E-2"/>
    <m/>
    <s v="NA"/>
    <s v="NA"/>
    <s v="NA"/>
    <s v="NA"/>
    <s v="NA"/>
    <s v="NA"/>
    <n v="2445"/>
    <n v="2445"/>
    <s v="NA"/>
    <s v="NA"/>
    <s v="NA"/>
    <s v="NA"/>
    <s v="NA"/>
    <s v="NA"/>
    <s v="NA"/>
    <s v="NA"/>
    <s v="NA"/>
    <s v="NA"/>
    <n v="0"/>
    <n v="0"/>
    <n v="0"/>
    <m/>
    <m/>
    <m/>
    <m/>
    <m/>
    <m/>
    <m/>
    <m/>
    <m/>
    <m/>
    <n v="7.4151520133472265E-3"/>
    <n v="7.4152879239220478E-3"/>
    <n v="4.0916530154520679E-4"/>
    <n v="4.0950040950040953E-4"/>
    <m/>
    <m/>
    <m/>
  </r>
  <r>
    <x v="0"/>
    <m/>
    <n v="1168"/>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x v="0"/>
    <x v="1"/>
    <n v="0"/>
    <n v="0"/>
    <n v="0"/>
    <n v="0"/>
    <n v="0"/>
    <n v="1"/>
    <s v="no behavioural incentive per se - switch to CFL from IB"/>
    <n v="0"/>
    <n v="0"/>
    <n v="0"/>
    <n v="0"/>
    <n v="0"/>
    <n v="1"/>
    <n v="0"/>
    <n v="0"/>
    <n v="0"/>
    <s v="NA"/>
    <x v="1"/>
    <s v="log lumen adjusted wattage"/>
    <s v="log scale"/>
    <n v="9.5000000000000001E-2"/>
    <s v="increase"/>
    <n v="5.6000000000000001E-2"/>
    <n v="0.1"/>
    <n v="1"/>
    <n v="1.6964285714285714"/>
    <n v="9.9658855126102841E-2"/>
    <m/>
    <s v="NA"/>
    <s v="NA"/>
    <s v="NA"/>
    <s v="NA"/>
    <s v="NA"/>
    <s v="NA"/>
    <n v="2433"/>
    <n v="2433"/>
    <s v="NA"/>
    <s v="NA"/>
    <s v="NA"/>
    <s v="NA"/>
    <s v="NA"/>
    <s v="NA"/>
    <s v="NA"/>
    <s v="NA"/>
    <s v="NA"/>
    <s v="NA"/>
    <n v="1"/>
    <n v="1"/>
    <n v="1"/>
    <m/>
    <m/>
    <m/>
    <m/>
    <m/>
    <m/>
    <m/>
    <m/>
    <m/>
    <m/>
    <n v="3.4372239036265163E-2"/>
    <n v="3.4385785009859983E-2"/>
    <n v="4.1118363567940286E-4"/>
    <n v="4.1152263374485596E-4"/>
    <m/>
    <m/>
    <m/>
  </r>
  <r>
    <x v="1"/>
    <m/>
    <n v="1004"/>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0"/>
    <x v="6"/>
    <x v="1"/>
    <s v="revealed preference"/>
    <s v="pre-recorded (no experiment)"/>
    <s v="residents"/>
    <n v="0"/>
    <s v="no such option"/>
    <n v="0"/>
    <s v="probably no"/>
    <s v="probably no"/>
    <s v="NA"/>
    <x v="0"/>
    <x v="1"/>
    <n v="0"/>
    <n v="1"/>
    <n v="0"/>
    <n v="0"/>
    <n v="0"/>
    <n v="0"/>
    <s v="NA"/>
    <n v="1"/>
    <n v="0"/>
    <n v="1"/>
    <n v="1"/>
    <n v="0"/>
    <n v="0"/>
    <n v="0"/>
    <n v="1"/>
    <n v="0"/>
    <s v="not reported separately for each appliance"/>
    <x v="4"/>
    <s v="share of ENERGY STAR household_x000a_appliance type"/>
    <s v="NA"/>
    <n v="3.3000000000000002E-2"/>
    <s v="increase"/>
    <n v="1.7000000000000001E-2"/>
    <n v="0.05"/>
    <n v="1"/>
    <n v="1.9411764705882353"/>
    <s v="NA"/>
    <m/>
    <s v="NA"/>
    <s v="NA"/>
    <s v="NA"/>
    <s v="NA"/>
    <s v="NA"/>
    <s v="NA"/>
    <s v="NA"/>
    <n v="1128"/>
    <s v="NA"/>
    <s v="NA"/>
    <s v="NA"/>
    <s v="NA"/>
    <s v="NA"/>
    <s v="NA"/>
    <s v="NA"/>
    <s v="NA"/>
    <s v="NA"/>
    <s v="NA"/>
    <n v="1"/>
    <n v="1"/>
    <n v="1"/>
    <m/>
    <m/>
    <m/>
    <m/>
    <m/>
    <m/>
    <m/>
    <m/>
    <m/>
    <m/>
    <e v="#VALUE!"/>
    <e v="#VALUE!"/>
    <e v="#VALUE!"/>
    <e v="#VALUE!"/>
    <m/>
    <m/>
    <m/>
  </r>
  <r>
    <x v="1"/>
    <m/>
    <n v="1005"/>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10"/>
    <x v="6"/>
    <x v="1"/>
    <s v="revealed preference"/>
    <s v="pre-recorded (no experiment)"/>
    <s v="residents"/>
    <n v="0"/>
    <s v="no such option"/>
    <n v="0"/>
    <s v="probably no"/>
    <s v="probably no"/>
    <s v="NA"/>
    <x v="0"/>
    <x v="1"/>
    <n v="0"/>
    <n v="1"/>
    <n v="0"/>
    <n v="0"/>
    <n v="0"/>
    <n v="0"/>
    <s v="NA"/>
    <n v="1"/>
    <n v="0"/>
    <n v="1"/>
    <n v="1"/>
    <n v="0"/>
    <n v="0"/>
    <n v="0"/>
    <n v="1"/>
    <n v="0"/>
    <s v="not reported separately for each appliance"/>
    <x v="4"/>
    <s v="share of ENERGY STAR household_x000a_appliance type"/>
    <s v="NA"/>
    <n v="0.107"/>
    <s v="increase"/>
    <n v="0.124"/>
    <n v="0.1"/>
    <n v="2"/>
    <n v="0.86290322580645162"/>
    <s v="NA"/>
    <m/>
    <s v="NA"/>
    <s v="NA"/>
    <s v="NA"/>
    <s v="NA"/>
    <s v="NA"/>
    <s v="NA"/>
    <s v="NA"/>
    <n v="1104"/>
    <s v="NA"/>
    <s v="NA"/>
    <s v="NA"/>
    <s v="NA"/>
    <s v="NA"/>
    <s v="NA"/>
    <s v="NA"/>
    <s v="NA"/>
    <s v="NA"/>
    <s v="NA"/>
    <n v="1"/>
    <n v="1"/>
    <n v="1"/>
    <m/>
    <m/>
    <m/>
    <m/>
    <m/>
    <m/>
    <m/>
    <m/>
    <m/>
    <m/>
    <e v="#VALUE!"/>
    <e v="#VALUE!"/>
    <e v="#VALUE!"/>
    <e v="#VALUE!"/>
    <m/>
    <m/>
    <m/>
  </r>
  <r>
    <x v="1"/>
    <m/>
    <n v="1006"/>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9"/>
    <x v="6"/>
    <x v="1"/>
    <s v="revealed preference"/>
    <s v="pre-recorded (no experiment)"/>
    <s v="residents"/>
    <n v="0"/>
    <s v="no such option"/>
    <n v="0"/>
    <s v="probably no"/>
    <s v="probably no"/>
    <s v="NA"/>
    <x v="0"/>
    <x v="1"/>
    <n v="0"/>
    <n v="1"/>
    <n v="0"/>
    <n v="0"/>
    <n v="0"/>
    <n v="0"/>
    <s v="NA"/>
    <n v="1"/>
    <n v="0"/>
    <n v="1"/>
    <n v="1"/>
    <n v="0"/>
    <n v="0"/>
    <n v="0"/>
    <n v="1"/>
    <n v="0"/>
    <s v="not reported separately for each appliance"/>
    <x v="4"/>
    <s v="share of ENERGY STAR household_x000a_appliance type"/>
    <s v="NA"/>
    <n v="6.6000000000000003E-2"/>
    <s v="increase"/>
    <n v="3.1E-2"/>
    <n v="0.05"/>
    <n v="1"/>
    <n v="2.1290322580645165"/>
    <s v="NA"/>
    <m/>
    <s v="NA"/>
    <s v="NA"/>
    <s v="NA"/>
    <s v="NA"/>
    <s v="NA"/>
    <s v="NA"/>
    <s v="NA"/>
    <n v="1128"/>
    <s v="NA"/>
    <s v="NA"/>
    <s v="NA"/>
    <s v="NA"/>
    <s v="NA"/>
    <s v="NA"/>
    <s v="NA"/>
    <s v="NA"/>
    <s v="NA"/>
    <s v="NA"/>
    <n v="1"/>
    <n v="1"/>
    <n v="1"/>
    <m/>
    <m/>
    <m/>
    <m/>
    <m/>
    <m/>
    <m/>
    <m/>
    <m/>
    <m/>
    <e v="#VALUE!"/>
    <e v="#VALUE!"/>
    <e v="#VALUE!"/>
    <e v="#VALUE!"/>
    <m/>
    <m/>
    <m/>
  </r>
  <r>
    <x v="0"/>
    <m/>
    <n v="107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1"/>
    <n v="0"/>
    <n v="0"/>
    <n v="0"/>
    <n v="0"/>
    <n v="0"/>
    <n v="0"/>
    <n v="0"/>
    <n v="0"/>
    <s v="NA"/>
    <x v="4"/>
    <s v="share of energy star appliance vs non energy star appliance"/>
    <s v="log scale"/>
    <n v="1.181"/>
    <s v="increase"/>
    <n v="0.161"/>
    <n v="0.01"/>
    <n v="1"/>
    <n v="7.3354037267080745"/>
    <s v="NA"/>
    <m/>
    <s v="NA"/>
    <s v="NA"/>
    <s v="NA"/>
    <s v="NA"/>
    <s v="NA"/>
    <s v="NA"/>
    <n v="1200"/>
    <n v="1200"/>
    <s v="NA"/>
    <s v="NA"/>
    <n v="68.653999999999996"/>
    <s v="NA"/>
    <s v="delayed"/>
    <s v="NA"/>
    <s v="NA"/>
    <s v="NA"/>
    <s v="NA"/>
    <s v="NA"/>
    <n v="0"/>
    <n v="0"/>
    <n v="1"/>
    <m/>
    <m/>
    <m/>
    <m/>
    <m/>
    <m/>
    <m/>
    <m/>
    <m/>
    <m/>
    <n v="0.20716122845709467"/>
    <n v="0.21020345181527472"/>
    <n v="8.3240003533893779E-4"/>
    <n v="8.3542188805346695E-4"/>
    <m/>
    <m/>
    <m/>
  </r>
  <r>
    <x v="0"/>
    <m/>
    <n v="107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1"/>
    <n v="0"/>
    <n v="0"/>
    <n v="0"/>
    <n v="0"/>
    <n v="0"/>
    <n v="0"/>
    <n v="0"/>
    <n v="0"/>
    <s v="NA"/>
    <x v="4"/>
    <s v="share of energy star appliance vs non energy star appliance"/>
    <s v="log scale"/>
    <n v="1.1559999999999999"/>
    <s v="increase"/>
    <n v="0.16500000000000001"/>
    <n v="0.01"/>
    <n v="1"/>
    <n v="7.006060606060605"/>
    <s v="NA"/>
    <m/>
    <s v="NA"/>
    <s v="NA"/>
    <s v="NA"/>
    <s v="NA"/>
    <s v="NA"/>
    <s v="NA"/>
    <n v="1200"/>
    <n v="1200"/>
    <s v="NA"/>
    <s v="NA"/>
    <n v="68.653999999999996"/>
    <s v="NA"/>
    <s v="delayed"/>
    <s v="NA"/>
    <s v="NA"/>
    <s v="NA"/>
    <s v="NA"/>
    <s v="NA"/>
    <n v="0"/>
    <n v="0"/>
    <n v="1"/>
    <m/>
    <m/>
    <m/>
    <m/>
    <m/>
    <m/>
    <m/>
    <m/>
    <m/>
    <m/>
    <n v="0.19823389455053378"/>
    <n v="0.20089353544961"/>
    <n v="8.3266990381727121E-4"/>
    <n v="8.3542188805346695E-4"/>
    <m/>
    <m/>
    <m/>
  </r>
  <r>
    <x v="0"/>
    <m/>
    <n v="1075"/>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1"/>
    <n v="0"/>
    <n v="0"/>
    <n v="0"/>
    <n v="0"/>
    <n v="0"/>
    <n v="0"/>
    <n v="0"/>
    <n v="0"/>
    <s v="NA"/>
    <x v="4"/>
    <s v="share of energy star appliance vs non energy star appliance"/>
    <s v="log scale"/>
    <n v="0.23599999999999999"/>
    <s v="increase"/>
    <n v="7.6999999999999999E-2"/>
    <n v="0.01"/>
    <n v="1"/>
    <n v="3.0649350649350646"/>
    <s v="NA"/>
    <m/>
    <s v="NA"/>
    <s v="NA"/>
    <s v="NA"/>
    <s v="NA"/>
    <s v="NA"/>
    <s v="NA"/>
    <n v="1200"/>
    <n v="1200"/>
    <s v="NA"/>
    <s v="NA"/>
    <n v="68.653999999999996"/>
    <s v="NA"/>
    <s v="delayed"/>
    <s v="NA"/>
    <s v="NA"/>
    <s v="NA"/>
    <s v="NA"/>
    <s v="NA"/>
    <n v="0"/>
    <n v="0"/>
    <n v="1"/>
    <m/>
    <m/>
    <m/>
    <m/>
    <m/>
    <m/>
    <m/>
    <m/>
    <m/>
    <m/>
    <n v="8.8132766729768969E-2"/>
    <n v="8.8362023146500421E-2"/>
    <n v="8.3397751252971112E-4"/>
    <n v="8.3542188805346695E-4"/>
    <m/>
    <m/>
    <m/>
  </r>
  <r>
    <x v="0"/>
    <m/>
    <n v="1076"/>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1"/>
    <n v="0"/>
    <n v="0"/>
    <n v="0"/>
    <n v="0"/>
    <n v="0"/>
    <n v="0"/>
    <n v="0"/>
    <n v="0"/>
    <s v="NA"/>
    <x v="4"/>
    <s v="share of energy star appliance vs non energy star appliance"/>
    <s v="log scale"/>
    <n v="0.39500000000000002"/>
    <s v="increase"/>
    <n v="0.13200000000000001"/>
    <n v="0.01"/>
    <n v="1"/>
    <n v="2.9924242424242422"/>
    <s v="NA"/>
    <m/>
    <s v="NA"/>
    <s v="NA"/>
    <s v="NA"/>
    <s v="NA"/>
    <s v="NA"/>
    <s v="NA"/>
    <n v="1200"/>
    <n v="1200"/>
    <s v="NA"/>
    <s v="NA"/>
    <n v="68.653999999999996"/>
    <s v="NA"/>
    <s v="delayed"/>
    <s v="NA"/>
    <s v="NA"/>
    <s v="NA"/>
    <s v="NA"/>
    <s v="NA"/>
    <n v="0"/>
    <n v="0"/>
    <n v="1"/>
    <m/>
    <m/>
    <m/>
    <m/>
    <m/>
    <m/>
    <m/>
    <m/>
    <m/>
    <m/>
    <n v="8.6063334338985817E-2"/>
    <n v="8.6276771120091189E-2"/>
    <n v="8.3398214479539034E-4"/>
    <n v="8.3542188805346695E-4"/>
    <m/>
    <m/>
    <m/>
  </r>
  <r>
    <x v="0"/>
    <m/>
    <n v="1077"/>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1"/>
    <n v="0"/>
    <n v="0"/>
    <n v="0"/>
    <n v="0"/>
    <n v="0"/>
    <n v="0"/>
    <s v="NA"/>
    <x v="4"/>
    <s v="share of energy star appliance vs non energy star appliance"/>
    <s v="log scale"/>
    <n v="2.6779999999999999"/>
    <s v="increase"/>
    <n v="0.45"/>
    <n v="0.01"/>
    <n v="1"/>
    <n v="5.9511111111111106"/>
    <s v="NA"/>
    <m/>
    <s v="NA"/>
    <s v="NA"/>
    <s v="NA"/>
    <s v="NA"/>
    <s v="NA"/>
    <s v="NA"/>
    <n v="1199"/>
    <n v="1199"/>
    <s v="NA"/>
    <s v="NA"/>
    <n v="34.347999999999999"/>
    <s v="NA"/>
    <s v="delayed"/>
    <s v="NA"/>
    <s v="NA"/>
    <s v="NA"/>
    <s v="NA"/>
    <s v="NA"/>
    <n v="0"/>
    <n v="0"/>
    <n v="1"/>
    <m/>
    <m/>
    <m/>
    <m/>
    <m/>
    <m/>
    <m/>
    <m/>
    <m/>
    <m/>
    <n v="0.16938203115368139"/>
    <n v="0.17103037260946002"/>
    <n v="8.3401031408957341E-4"/>
    <n v="8.3612040133779263E-4"/>
    <m/>
    <m/>
    <m/>
  </r>
  <r>
    <x v="0"/>
    <m/>
    <n v="1078"/>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1"/>
    <n v="0"/>
    <n v="0"/>
    <n v="0"/>
    <n v="0"/>
    <n v="0"/>
    <n v="0"/>
    <s v="NA"/>
    <x v="4"/>
    <s v="share of energy star appliance vs non energy star appliance"/>
    <s v="log scale"/>
    <n v="2.617"/>
    <s v="increase"/>
    <n v="0.45600000000000002"/>
    <n v="0.01"/>
    <n v="1"/>
    <n v="5.7390350877192979"/>
    <s v="NA"/>
    <m/>
    <s v="NA"/>
    <s v="NA"/>
    <s v="NA"/>
    <s v="NA"/>
    <s v="NA"/>
    <s v="NA"/>
    <n v="1199"/>
    <n v="1199"/>
    <s v="NA"/>
    <s v="NA"/>
    <n v="34.347999999999999"/>
    <s v="NA"/>
    <s v="delayed"/>
    <s v="NA"/>
    <s v="NA"/>
    <s v="NA"/>
    <s v="NA"/>
    <s v="NA"/>
    <n v="0"/>
    <n v="0"/>
    <n v="1"/>
    <m/>
    <m/>
    <m/>
    <m/>
    <m/>
    <m/>
    <m/>
    <m/>
    <m/>
    <m/>
    <n v="0.16351014904569258"/>
    <n v="0.16499115897987898"/>
    <n v="8.3410597514365812E-4"/>
    <n v="8.3612040133779263E-4"/>
    <m/>
    <m/>
    <m/>
  </r>
  <r>
    <x v="0"/>
    <m/>
    <n v="1079"/>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1"/>
    <n v="0"/>
    <n v="0"/>
    <n v="0"/>
    <n v="0"/>
    <n v="0"/>
    <n v="0"/>
    <s v="NA"/>
    <x v="4"/>
    <s v="share of energy star appliance vs non energy star appliance"/>
    <s v="log scale"/>
    <n v="1.1240000000000001"/>
    <s v="decrease"/>
    <n v="0.42899999999999999"/>
    <n v="0.05"/>
    <n v="1"/>
    <n v="2.6200466200466201"/>
    <s v="NA"/>
    <m/>
    <s v="NA"/>
    <s v="NA"/>
    <s v="NA"/>
    <s v="NA"/>
    <s v="NA"/>
    <s v="NA"/>
    <n v="1199"/>
    <n v="1199"/>
    <s v="NA"/>
    <s v="NA"/>
    <n v="34.347999999999999"/>
    <s v="NA"/>
    <s v="delayed"/>
    <s v="NA"/>
    <s v="NA"/>
    <s v="NA"/>
    <s v="NA"/>
    <s v="NA"/>
    <n v="0"/>
    <n v="0"/>
    <n v="1"/>
    <m/>
    <m/>
    <m/>
    <m/>
    <m/>
    <m/>
    <m/>
    <m/>
    <m/>
    <m/>
    <n v="7.545008581866168E-2"/>
    <n v="7.5593748794722831E-2"/>
    <n v="8.3469728335796656E-4"/>
    <n v="8.3612040133779263E-4"/>
    <m/>
    <m/>
    <m/>
  </r>
  <r>
    <x v="0"/>
    <m/>
    <n v="1080"/>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1"/>
    <n v="0"/>
    <n v="0"/>
    <n v="0"/>
    <n v="0"/>
    <n v="0"/>
    <n v="0"/>
    <s v="NA"/>
    <x v="4"/>
    <s v="share of energy star appliance vs non energy star appliance"/>
    <s v="log scale"/>
    <n v="0.60399999999999998"/>
    <s v="decrease"/>
    <n v="0.41699999999999998"/>
    <n v="0.1"/>
    <n v="2"/>
    <n v="1.4484412470023982"/>
    <s v="NA"/>
    <m/>
    <s v="NA"/>
    <s v="NA"/>
    <s v="NA"/>
    <s v="NA"/>
    <s v="NA"/>
    <s v="NA"/>
    <n v="1199"/>
    <n v="1199"/>
    <s v="NA"/>
    <s v="NA"/>
    <n v="34.347999999999999"/>
    <s v="NA"/>
    <s v="delayed"/>
    <s v="NA"/>
    <s v="NA"/>
    <s v="NA"/>
    <s v="NA"/>
    <s v="NA"/>
    <n v="0"/>
    <n v="0"/>
    <n v="1"/>
    <m/>
    <m/>
    <m/>
    <m/>
    <m/>
    <m/>
    <m/>
    <m/>
    <m/>
    <m/>
    <n v="4.1793781222559251E-2"/>
    <n v="4.1818140770501222E-2"/>
    <n v="8.3472198818807463E-4"/>
    <n v="8.3612040133779263E-4"/>
    <m/>
    <m/>
    <m/>
  </r>
  <r>
    <x v="0"/>
    <m/>
    <n v="1081"/>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0"/>
    <n v="1"/>
    <n v="0"/>
    <n v="0"/>
    <n v="0"/>
    <n v="0"/>
    <n v="0"/>
    <s v="NA"/>
    <x v="4"/>
    <s v="share of energy star appliance vs non energy star appliance"/>
    <s v="log scale"/>
    <n v="1.171"/>
    <s v="increase"/>
    <n v="0.26900000000000002"/>
    <n v="0.01"/>
    <n v="1"/>
    <n v="4.3531598513011147"/>
    <s v="NA"/>
    <m/>
    <s v="NA"/>
    <s v="NA"/>
    <s v="NA"/>
    <s v="NA"/>
    <s v="NA"/>
    <s v="NA"/>
    <n v="1200"/>
    <n v="1200"/>
    <s v="NA"/>
    <s v="NA"/>
    <n v="49.061999999999998"/>
    <s v="NA"/>
    <s v="delayed"/>
    <s v="NA"/>
    <s v="NA"/>
    <s v="NA"/>
    <s v="NA"/>
    <s v="NA"/>
    <n v="0"/>
    <n v="0"/>
    <n v="1"/>
    <m/>
    <m/>
    <m/>
    <m/>
    <m/>
    <m/>
    <m/>
    <m/>
    <m/>
    <m/>
    <n v="0.12468427062360037"/>
    <n v="0.12533648603448228"/>
    <n v="8.3382253539962601E-4"/>
    <n v="8.3542188805346695E-4"/>
    <m/>
    <m/>
    <m/>
  </r>
  <r>
    <x v="0"/>
    <m/>
    <n v="1082"/>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0"/>
    <n v="1"/>
    <n v="0"/>
    <n v="0"/>
    <n v="0"/>
    <n v="0"/>
    <n v="0"/>
    <s v="NA"/>
    <x v="4"/>
    <s v="share of energy star appliance vs non energy star appliance"/>
    <s v="log scale"/>
    <n v="1.03"/>
    <s v="increase"/>
    <n v="0.27200000000000002"/>
    <n v="0.01"/>
    <n v="1"/>
    <n v="3.7867647058823528"/>
    <s v="NA"/>
    <m/>
    <s v="NA"/>
    <s v="NA"/>
    <s v="NA"/>
    <s v="NA"/>
    <s v="NA"/>
    <s v="NA"/>
    <n v="1200"/>
    <n v="1200"/>
    <s v="NA"/>
    <s v="NA"/>
    <n v="49.061999999999998"/>
    <s v="NA"/>
    <s v="delayed"/>
    <s v="NA"/>
    <s v="NA"/>
    <s v="NA"/>
    <s v="NA"/>
    <s v="NA"/>
    <n v="0"/>
    <n v="0"/>
    <n v="1"/>
    <m/>
    <m/>
    <m/>
    <m/>
    <m/>
    <m/>
    <m/>
    <m/>
    <m/>
    <m/>
    <n v="0.10866714177304562"/>
    <n v="0.10909793182920374"/>
    <n v="8.3391020338338315E-4"/>
    <n v="8.3542188805346695E-4"/>
    <m/>
    <m/>
    <m/>
  </r>
  <r>
    <x v="0"/>
    <m/>
    <n v="108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0"/>
    <n v="1"/>
    <n v="0"/>
    <n v="0"/>
    <n v="0"/>
    <n v="0"/>
    <n v="0"/>
    <s v="NA"/>
    <x v="4"/>
    <s v="share of energy star appliance vs non energy star appliance"/>
    <s v="log scale"/>
    <n v="1.2E-2"/>
    <s v="increase"/>
    <n v="0.113"/>
    <n v="0.1"/>
    <n v="2"/>
    <n v="0.10619469026548672"/>
    <s v="NA"/>
    <m/>
    <s v="NA"/>
    <s v="NA"/>
    <s v="NA"/>
    <s v="NA"/>
    <s v="NA"/>
    <s v="NA"/>
    <n v="1200"/>
    <n v="1200"/>
    <s v="NA"/>
    <s v="NA"/>
    <n v="49.061999999999998"/>
    <s v="NA"/>
    <s v="delayed"/>
    <s v="NA"/>
    <s v="NA"/>
    <s v="NA"/>
    <s v="NA"/>
    <s v="NA"/>
    <n v="0"/>
    <n v="0"/>
    <n v="1"/>
    <m/>
    <m/>
    <m/>
    <m/>
    <m/>
    <m/>
    <m/>
    <m/>
    <m/>
    <m/>
    <n v="3.0655622458887941E-3"/>
    <n v="3.0655718489923326E-3"/>
    <n v="8.3402835689047757E-4"/>
    <n v="8.3542188805346695E-4"/>
    <m/>
    <m/>
    <m/>
  </r>
  <r>
    <x v="0"/>
    <m/>
    <n v="108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x v="0"/>
    <x v="1"/>
    <n v="0"/>
    <n v="1"/>
    <n v="0"/>
    <n v="0"/>
    <n v="0"/>
    <n v="0"/>
    <s v="NA"/>
    <n v="0"/>
    <n v="0"/>
    <n v="0"/>
    <n v="1"/>
    <n v="0"/>
    <n v="0"/>
    <n v="0"/>
    <n v="0"/>
    <n v="0"/>
    <s v="NA"/>
    <x v="4"/>
    <s v="share of energy star appliance vs non energy star appliance"/>
    <s v="log scale"/>
    <n v="0.28199999999999997"/>
    <s v="increase"/>
    <n v="0.15"/>
    <n v="0.1"/>
    <n v="1"/>
    <n v="1.88"/>
    <s v="NA"/>
    <m/>
    <s v="NA"/>
    <s v="NA"/>
    <s v="NA"/>
    <s v="NA"/>
    <s v="NA"/>
    <s v="NA"/>
    <n v="1200"/>
    <n v="1200"/>
    <s v="NA"/>
    <s v="NA"/>
    <n v="49.061999999999998"/>
    <s v="NA"/>
    <s v="delayed"/>
    <s v="NA"/>
    <s v="NA"/>
    <s v="NA"/>
    <s v="NA"/>
    <s v="NA"/>
    <n v="0"/>
    <n v="0"/>
    <n v="1"/>
    <m/>
    <m/>
    <m/>
    <m/>
    <m/>
    <m/>
    <m/>
    <m/>
    <m/>
    <m/>
    <n v="5.4191178438811397E-2"/>
    <n v="5.4244319557796482E-2"/>
    <n v="8.3402113595524175E-4"/>
    <n v="8.3542188805346695E-4"/>
    <m/>
    <m/>
    <m/>
  </r>
  <r>
    <x v="3"/>
    <m/>
    <n v="1234"/>
    <n v="310"/>
    <s v="Davis"/>
    <n v="2008"/>
    <s v="Durable goods and residential demand for energy and water: evidence from a field trial"/>
    <s v="This article describes a household production model in which energy-efficient durable goods cost less to operate so households may use them more. The model is estimated using household_x0002_level data from a field trial in which participants received high-efficiency clothes washers free of charge. The estimation strategy exploits this quasi-random replacement of washers to derive precise estimates of the household production technology and a demand function for clothes washing. During the field trial, households increased clothes washing on average by 5.6% after receiving a high-efficiency washer, implying a price elasticity of −.06. The complete model is used to evaluate the cost-effectiveness of recent changes in minimum efficiency standards for clothes washers."/>
    <n v="1"/>
    <n v="1997"/>
    <x v="4"/>
    <n v="535"/>
    <x v="3"/>
    <x v="0"/>
    <x v="1"/>
    <s v="self-reported behavior"/>
    <s v="household"/>
    <s v="residents"/>
    <n v="1"/>
    <s v="opt_in"/>
    <n v="0"/>
    <s v="probably yes"/>
    <s v="probably yes"/>
    <s v="some important controls were not implemented in the analyses, so the effects might be overestimated (see p. 537)"/>
    <x v="0"/>
    <x v="1"/>
    <n v="0"/>
    <n v="0"/>
    <n v="0"/>
    <n v="0"/>
    <n v="0"/>
    <n v="0"/>
    <s v="NA"/>
    <n v="1"/>
    <n v="0"/>
    <n v="0"/>
    <n v="0"/>
    <n v="0"/>
    <n v="0"/>
    <n v="0"/>
    <n v="0"/>
    <n v="0"/>
    <s v="NA"/>
    <x v="1"/>
    <s v="energy use of washing calculated from Table 1"/>
    <s v="NA"/>
    <n v="0.37445148468642925"/>
    <s v="decrease"/>
    <e v="#VALUE!"/>
    <s v="NA"/>
    <s v="NA"/>
    <s v="NA"/>
    <n v="0.45419354838709675"/>
    <m/>
    <n v="7.75"/>
    <n v="95"/>
    <s v="NA"/>
    <n v="4.2300000000000004"/>
    <n v="95"/>
    <s v="NA"/>
    <n v="95"/>
    <n v="18233"/>
    <s v="NA"/>
    <s v="NA"/>
    <s v="NA"/>
    <s v="NA"/>
    <s v="NA"/>
    <s v="NA"/>
    <s v="NA"/>
    <s v="NA"/>
    <s v="NA"/>
    <s v="NA"/>
    <n v="0"/>
    <n v="0"/>
    <n v="0"/>
    <m/>
    <m/>
    <m/>
    <m/>
    <m/>
    <m/>
    <m/>
    <m/>
    <m/>
    <m/>
    <m/>
    <n v="0"/>
    <n v="1.0638297872340425E-2"/>
    <n v="1.0869565217391304E-2"/>
    <e v="#VALUE!"/>
    <m/>
    <m/>
  </r>
  <r>
    <x v="0"/>
    <m/>
    <n v="1292"/>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x v="0"/>
    <x v="1"/>
    <n v="0"/>
    <n v="1"/>
    <n v="0"/>
    <n v="0"/>
    <n v="0"/>
    <n v="0"/>
    <s v="NA"/>
    <n v="0"/>
    <n v="0"/>
    <n v="0"/>
    <n v="1"/>
    <n v="0"/>
    <n v="0"/>
    <n v="0"/>
    <n v="0"/>
    <n v="0"/>
    <s v="the effect_x000a_of refrigerator and air conditioner replacement on household electricity consumption"/>
    <x v="1"/>
    <s v="electricity consumption (monthly)"/>
    <s v="NA"/>
    <n v="11.4"/>
    <s v="decrease"/>
    <n v="0.7"/>
    <n v="0.05"/>
    <n v="1"/>
    <n v="16.285714285714288"/>
    <s v="NA"/>
    <m/>
    <s v="NA"/>
    <s v="NA"/>
    <s v="NA"/>
    <s v="NA"/>
    <s v="NA"/>
    <s v="NA"/>
    <n v="957080"/>
    <n v="957080"/>
    <s v="NA"/>
    <s v="NA"/>
    <s v="30 to 170$"/>
    <s v="NA"/>
    <s v="current "/>
    <s v="NA"/>
    <s v="NA"/>
    <s v="NA"/>
    <s v="NA"/>
    <s v="NA"/>
    <n v="1"/>
    <n v="0"/>
    <n v="1"/>
    <m/>
    <m/>
    <m/>
    <m/>
    <m/>
    <m/>
    <m/>
    <m/>
    <m/>
    <m/>
    <n v="1.6644567843645545E-2"/>
    <n v="1.6646105178647452E-2"/>
    <n v="1.0448457475501714E-6"/>
    <n v="1.0448480111840532E-6"/>
    <m/>
    <m/>
    <m/>
  </r>
  <r>
    <x v="0"/>
    <m/>
    <n v="1293"/>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x v="0"/>
    <x v="1"/>
    <n v="0"/>
    <n v="1"/>
    <n v="0"/>
    <n v="0"/>
    <n v="0"/>
    <n v="0"/>
    <s v="NA"/>
    <n v="0"/>
    <n v="0"/>
    <n v="0"/>
    <n v="1"/>
    <n v="0"/>
    <n v="0"/>
    <n v="0"/>
    <n v="0"/>
    <n v="0"/>
    <s v="the effect_x000a_of refrigerator and air conditioner replacement on household electricity consumption"/>
    <x v="1"/>
    <s v="electricity consumption (monthly)"/>
    <s v="NA"/>
    <n v="11.9"/>
    <s v="decrease"/>
    <n v="0.75"/>
    <n v="0.05"/>
    <n v="1"/>
    <n v="15.866666666666667"/>
    <s v="NA"/>
    <m/>
    <s v="NA"/>
    <s v="NA"/>
    <s v="NA"/>
    <s v="NA"/>
    <s v="NA"/>
    <s v="NA"/>
    <n v="957080"/>
    <n v="957080"/>
    <s v="NA"/>
    <s v="NA"/>
    <s v="30 to 170$"/>
    <s v="NA"/>
    <s v="current "/>
    <s v="NA"/>
    <s v="NA"/>
    <s v="NA"/>
    <s v="NA"/>
    <s v="NA"/>
    <n v="1"/>
    <n v="0"/>
    <n v="1"/>
    <m/>
    <m/>
    <m/>
    <m/>
    <m/>
    <m/>
    <m/>
    <m/>
    <m/>
    <m/>
    <n v="1.6216400678486488E-2"/>
    <n v="1.6217822387367728E-2"/>
    <n v="1.0448457554931792E-6"/>
    <n v="1.0448480111840532E-6"/>
    <m/>
    <m/>
    <m/>
  </r>
  <r>
    <x v="0"/>
    <m/>
    <n v="1294"/>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x v="0"/>
    <x v="1"/>
    <n v="0"/>
    <n v="1"/>
    <n v="0"/>
    <n v="0"/>
    <n v="0"/>
    <n v="0"/>
    <s v="NA"/>
    <n v="0"/>
    <n v="0"/>
    <n v="0"/>
    <n v="0"/>
    <n v="0"/>
    <n v="0"/>
    <n v="0"/>
    <n v="1"/>
    <n v="0"/>
    <s v="the effect_x000a_of refrigerator and air conditioner replacement on household electricity consumption"/>
    <x v="1"/>
    <s v="electricity consumption (monthly)"/>
    <s v="NA"/>
    <n v="1.4"/>
    <s v="increase"/>
    <n v="1.2"/>
    <n v="0.1"/>
    <n v="2"/>
    <n v="1.1666666666666667"/>
    <s v="NA"/>
    <m/>
    <s v="NA"/>
    <s v="NA"/>
    <s v="NA"/>
    <s v="NA"/>
    <s v="NA"/>
    <s v="NA"/>
    <n v="957080"/>
    <n v="957080"/>
    <s v="NA"/>
    <s v="NA"/>
    <s v="30 to 170$"/>
    <s v="NA"/>
    <s v="current "/>
    <s v="NA"/>
    <s v="NA"/>
    <s v="NA"/>
    <s v="NA"/>
    <s v="NA"/>
    <n v="1"/>
    <n v="0"/>
    <n v="1"/>
    <m/>
    <m/>
    <m/>
    <m/>
    <m/>
    <m/>
    <m/>
    <m/>
    <m/>
    <m/>
    <n v="1.1925383671592018E-3"/>
    <n v="1.1925389324815921E-3"/>
    <n v="1.0448458277717697E-6"/>
    <n v="1.0448480111840532E-6"/>
    <m/>
    <m/>
    <m/>
  </r>
  <r>
    <x v="0"/>
    <m/>
    <n v="1295"/>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x v="0"/>
    <x v="1"/>
    <n v="0"/>
    <n v="1"/>
    <n v="0"/>
    <n v="0"/>
    <n v="0"/>
    <n v="0"/>
    <s v="NA"/>
    <n v="0"/>
    <n v="0"/>
    <n v="0"/>
    <n v="0"/>
    <n v="0"/>
    <n v="0"/>
    <n v="0"/>
    <n v="1"/>
    <n v="0"/>
    <s v="the effect_x000a_of refrigerator and air conditioner replacement on household electricity consumption"/>
    <x v="1"/>
    <s v="electricity consumption (monthly)"/>
    <s v="NA"/>
    <n v="1.2"/>
    <s v="increase"/>
    <n v="1.3"/>
    <n v="0.1"/>
    <n v="2"/>
    <n v="0.92307692307692302"/>
    <s v="NA"/>
    <m/>
    <s v="NA"/>
    <s v="NA"/>
    <s v="NA"/>
    <s v="NA"/>
    <s v="NA"/>
    <s v="NA"/>
    <n v="957080"/>
    <n v="957080"/>
    <s v="NA"/>
    <s v="NA"/>
    <s v="30 to 170$"/>
    <s v="NA"/>
    <s v="current "/>
    <s v="NA"/>
    <s v="NA"/>
    <s v="NA"/>
    <s v="NA"/>
    <s v="NA"/>
    <n v="1"/>
    <n v="0"/>
    <n v="1"/>
    <m/>
    <m/>
    <m/>
    <m/>
    <m/>
    <m/>
    <m/>
    <m/>
    <m/>
    <m/>
    <n v="9.4354709087100688E-4"/>
    <n v="9.4354737087855463E-4"/>
    <n v="1.0448458277730546E-6"/>
    <n v="1.0448480111840532E-6"/>
    <m/>
    <m/>
    <m/>
  </r>
  <r>
    <x v="0"/>
    <m/>
    <n v="1059"/>
    <n v="110"/>
    <s v="Davis, Metcalf"/>
    <n v="2014"/>
    <s v="DOES BETTER INFORMATION LEAD TO BETTER CHOICES? EVIDENCE FROM_x000a_ENERGY-EFFICIENCY LABELS"/>
    <s v="Information provision is a key element of government energy-efficiency policy, but the information_x000a_that is provided is often too coarse to allow consumers to make efficient decisions. An important example_x000a_is the ubiquitous yellow “EnergyGuide” label, which is required by law to be displayed on all major_x000a_appliances sold in the United States. These labels report energy cost information based on average_x000a_national usage and energy prices. We conduct an online randomized controlled trial to measure the_x000a_potential benefits from providing more accurate information. We find that state-specific labels lead_x000a_to significantly better choices. Consumers invest about the same amount overall in energy-efficiency,_x000a_but the allocation is much better with more investment in high-usage high-price states and less investment_x000a_in low-usage low-price states. The implied aggregate cost savings are larger than any reasonable estimate_x000a_of the cost of implementing state-specific labels."/>
    <n v="2"/>
    <n v="2014"/>
    <x v="0"/>
    <n v="35"/>
    <x v="4"/>
    <x v="2"/>
    <x v="1"/>
    <s v="stated preference"/>
    <s v="household"/>
    <s v="residents"/>
    <n v="1"/>
    <s v="no such option"/>
    <n v="1"/>
    <s v="probably no"/>
    <s v="probably no"/>
    <s v="NA"/>
    <x v="0"/>
    <x v="1"/>
    <n v="1"/>
    <n v="0"/>
    <n v="0"/>
    <n v="0"/>
    <n v="0"/>
    <n v="0"/>
    <s v="comparison of two different labels (one with operation costs based on national-level energy price, the other with OC based on state-level energy price)"/>
    <n v="0"/>
    <n v="0"/>
    <n v="0"/>
    <n v="0"/>
    <n v="0"/>
    <n v="0"/>
    <n v="0"/>
    <n v="1"/>
    <n v="0"/>
    <s v="difference between labels and not absence / presence of a label"/>
    <x v="2"/>
    <s v="purchase price (investment in energy efficiency)"/>
    <s v="NA"/>
    <n v="3.4359999999999999"/>
    <s v="increase"/>
    <n v="4.9960000000000004"/>
    <s v="NA"/>
    <n v="3"/>
    <n v="0.687750200160128"/>
    <s v="NA"/>
    <m/>
    <s v="NA"/>
    <s v="NA"/>
    <s v="NA"/>
    <s v="NA"/>
    <s v="NA"/>
    <s v="NA"/>
    <n v="2440"/>
    <n v="7275"/>
    <s v="NA"/>
    <s v="NA"/>
    <s v="NA"/>
    <s v="NA"/>
    <s v="NA"/>
    <n v="1"/>
    <s v="NA"/>
    <n v="0"/>
    <n v="0"/>
    <s v="numerical"/>
    <n v="1"/>
    <n v="0"/>
    <n v="1"/>
    <m/>
    <m/>
    <m/>
    <m/>
    <m/>
    <m/>
    <m/>
    <m/>
    <m/>
    <m/>
    <n v="1.3921746511164878E-2"/>
    <n v="1.3922646030325031E-2"/>
    <n v="4.1000408463551713E-4"/>
    <n v="4.103405826836274E-4"/>
    <m/>
    <m/>
    <m/>
  </r>
  <r>
    <x v="0"/>
    <n v="6"/>
    <n v="1210"/>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x v="0"/>
    <x v="1"/>
    <n v="1"/>
    <n v="0"/>
    <n v="0"/>
    <n v="0"/>
    <n v="0"/>
    <n v="0"/>
    <s v="NA"/>
    <n v="1"/>
    <n v="0"/>
    <n v="0"/>
    <n v="0"/>
    <n v="0"/>
    <n v="0"/>
    <n v="0"/>
    <n v="0"/>
    <n v="0"/>
    <s v="interval outcome measure denoting the kWh/year for a given product type purchased"/>
    <x v="0"/>
    <s v="energy consumption (in kWh/year) of appliance sold"/>
    <s v="NA"/>
    <s v="NA"/>
    <s v="increase"/>
    <n v="1"/>
    <n v="0.1"/>
    <n v="2"/>
    <n v="1.671552762454859"/>
    <n v="0.21"/>
    <m/>
    <s v="NA"/>
    <n v="19"/>
    <s v="NA"/>
    <s v="NA"/>
    <n v="19"/>
    <s v="NA"/>
    <n v="60"/>
    <n v="51591"/>
    <s v="NA"/>
    <s v="NA"/>
    <s v="NA"/>
    <s v="NA"/>
    <s v="NA"/>
    <n v="1"/>
    <n v="185"/>
    <s v="NA"/>
    <s v="NA"/>
    <s v="NA"/>
    <n v="0"/>
    <n v="0"/>
    <n v="0"/>
    <m/>
    <m/>
    <m/>
    <m/>
    <m/>
    <m/>
    <m/>
    <m/>
    <m/>
    <m/>
    <e v="#VALUE!"/>
    <e v="#VALUE!"/>
    <e v="#VALUE!"/>
    <n v="1.7543859649122806E-2"/>
    <e v="#VALUE!"/>
    <n v="58"/>
    <s v="these have only % change reported and no absolute diff of means"/>
  </r>
  <r>
    <x v="0"/>
    <n v="6"/>
    <n v="1211"/>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x v="0"/>
    <x v="1"/>
    <n v="1"/>
    <n v="0"/>
    <n v="0"/>
    <n v="0"/>
    <n v="0"/>
    <n v="0"/>
    <s v="NA"/>
    <n v="0"/>
    <n v="1"/>
    <n v="0"/>
    <n v="0"/>
    <n v="0"/>
    <n v="0"/>
    <n v="0"/>
    <n v="0"/>
    <n v="0"/>
    <s v="interval outcome measure denoting the kWh/year for a given product type purchased"/>
    <x v="0"/>
    <s v="energy consumption (in kWh/year) of appliance sold"/>
    <s v="NA"/>
    <s v="NA"/>
    <s v="decrease"/>
    <n v="0.98275932949058287"/>
    <n v="0.06"/>
    <n v="1"/>
    <n v="2.06"/>
    <n v="0.71"/>
    <m/>
    <s v="NA"/>
    <n v="19"/>
    <s v="NA"/>
    <s v="NA"/>
    <n v="19"/>
    <s v="NA"/>
    <n v="13"/>
    <n v="51591"/>
    <s v="NA"/>
    <s v="NA"/>
    <s v="NA"/>
    <s v="NA"/>
    <s v="NA"/>
    <n v="1"/>
    <n v="185"/>
    <s v="NA"/>
    <s v="NA"/>
    <s v="NA"/>
    <n v="0"/>
    <n v="0"/>
    <n v="0"/>
    <m/>
    <m/>
    <m/>
    <m/>
    <m/>
    <m/>
    <m/>
    <m/>
    <m/>
    <m/>
    <e v="#VALUE!"/>
    <e v="#VALUE!"/>
    <e v="#VALUE!"/>
    <n v="0.1"/>
    <e v="#VALUE!"/>
    <n v="11"/>
    <s v="these have only % change reported and no absolute diff of means"/>
  </r>
  <r>
    <x v="0"/>
    <n v="6"/>
    <n v="1212"/>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x v="0"/>
    <x v="1"/>
    <n v="1"/>
    <n v="0"/>
    <n v="0"/>
    <n v="0"/>
    <n v="0"/>
    <n v="0"/>
    <s v="NA"/>
    <n v="0"/>
    <n v="1"/>
    <n v="0"/>
    <n v="0"/>
    <n v="0"/>
    <n v="0"/>
    <n v="0"/>
    <n v="0"/>
    <n v="0"/>
    <s v="interval outcome measure denoting the kWh/year for a given product type purchased"/>
    <x v="0"/>
    <s v="energy consumption (in kWh/year) of appliance sold"/>
    <s v="NA"/>
    <s v="NA"/>
    <s v="increase"/>
    <n v="1"/>
    <n v="0.1"/>
    <n v="2"/>
    <n v="1.6938887483837093"/>
    <n v="0.08"/>
    <m/>
    <s v="NA"/>
    <n v="19"/>
    <s v="NA"/>
    <s v="NA"/>
    <n v="19"/>
    <s v="NA"/>
    <n v="34"/>
    <n v="51591"/>
    <s v="NA"/>
    <s v="NA"/>
    <s v="NA"/>
    <s v="NA"/>
    <s v="NA"/>
    <n v="1"/>
    <n v="185"/>
    <s v="NA"/>
    <s v="NA"/>
    <s v="NA"/>
    <n v="0"/>
    <n v="0"/>
    <n v="0"/>
    <m/>
    <m/>
    <m/>
    <m/>
    <m/>
    <m/>
    <m/>
    <m/>
    <m/>
    <m/>
    <e v="#VALUE!"/>
    <e v="#VALUE!"/>
    <e v="#VALUE!"/>
    <n v="3.2258064516129031E-2"/>
    <e v="#VALUE!"/>
    <n v="32"/>
    <s v="these have only % change reported and no absolute diff of means"/>
  </r>
  <r>
    <x v="0"/>
    <n v="6"/>
    <n v="1214"/>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x v="0"/>
    <x v="1"/>
    <n v="1"/>
    <n v="0"/>
    <n v="0"/>
    <n v="0"/>
    <n v="0"/>
    <n v="0"/>
    <s v="NA"/>
    <n v="0"/>
    <n v="1"/>
    <n v="0"/>
    <n v="0"/>
    <n v="0"/>
    <n v="0"/>
    <n v="0"/>
    <n v="0"/>
    <n v="0"/>
    <s v="interval outcome measure denoting the kWh/year for a given product type purchased"/>
    <x v="0"/>
    <s v="energy consumption (in kWh/year) of appliance sold"/>
    <s v="NA"/>
    <s v="NA"/>
    <s v="decrease"/>
    <n v="1"/>
    <n v="0.1"/>
    <n v="2"/>
    <n v="1.9431802805153031"/>
    <n v="0.08"/>
    <m/>
    <s v="NA"/>
    <n v="19"/>
    <s v="NA"/>
    <s v="NA"/>
    <n v="19"/>
    <s v="NA"/>
    <n v="8"/>
    <n v="51591"/>
    <s v="NA"/>
    <s v="NA"/>
    <s v="NA"/>
    <s v="NA"/>
    <s v="NA"/>
    <n v="1"/>
    <n v="185"/>
    <s v="NA"/>
    <s v="NA"/>
    <s v="NA"/>
    <n v="0"/>
    <n v="0"/>
    <n v="0"/>
    <m/>
    <m/>
    <m/>
    <m/>
    <m/>
    <m/>
    <m/>
    <m/>
    <m/>
    <m/>
    <e v="#VALUE!"/>
    <e v="#VALUE!"/>
    <e v="#VALUE!"/>
    <n v="0.2"/>
    <e v="#VALUE!"/>
    <n v="6"/>
    <s v="these have only % change reported and no absolute diff of means"/>
  </r>
  <r>
    <x v="0"/>
    <n v="7"/>
    <n v="1103"/>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1"/>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3.1600000000000003E-2"/>
    <s v="increase"/>
    <n v="1.66E-2"/>
    <n v="0.1"/>
    <n v="1"/>
    <n v="1.9036144578313254"/>
    <n v="3.1600000000000003E-2"/>
    <n v="0.5078993426803039"/>
    <s v="NA"/>
    <s v="NA"/>
    <s v="NA"/>
    <s v="NA"/>
    <s v="NA"/>
    <s v="NA"/>
    <n v="1350"/>
    <n v="1350"/>
    <s v="NA"/>
    <s v="NA"/>
    <s v="NA"/>
    <s v="NA"/>
    <s v="NA"/>
    <n v="1"/>
    <s v="NA"/>
    <n v="0"/>
    <s v="NA"/>
    <s v="NA"/>
    <n v="0"/>
    <n v="0"/>
    <n v="1"/>
    <m/>
    <m/>
    <m/>
    <m/>
    <m/>
    <m/>
    <m/>
    <m/>
    <m/>
    <m/>
    <n v="5.1740427422851322E-2"/>
    <n v="5.1786672673630553E-2"/>
    <n v="7.4128451269814776E-4"/>
    <n v="7.4239049740163323E-4"/>
    <s v="NA"/>
    <n v="1349"/>
    <s v="NA"/>
  </r>
  <r>
    <x v="0"/>
    <n v="7"/>
    <n v="1104"/>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0"/>
    <n v="0"/>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9.8500000000000004E-2"/>
    <s v="decrease"/>
    <n v="0.13600000000000001"/>
    <n v="0.1"/>
    <n v="2"/>
    <n v="0.72426470588235292"/>
    <n v="9.8500000000000004E-2"/>
    <n v="0.52460510947254324"/>
    <s v="NA"/>
    <s v="NA"/>
    <s v="NA"/>
    <s v="NA"/>
    <s v="NA"/>
    <s v="NA"/>
    <n v="1350"/>
    <n v="1350"/>
    <s v="NA"/>
    <s v="NA"/>
    <s v="NA"/>
    <s v="NA"/>
    <s v="NA"/>
    <n v="0"/>
    <s v="NA"/>
    <n v="1"/>
    <s v="NA"/>
    <s v="NA"/>
    <n v="0"/>
    <n v="0"/>
    <n v="1"/>
    <m/>
    <m/>
    <m/>
    <m/>
    <m/>
    <m/>
    <m/>
    <m/>
    <m/>
    <m/>
    <n v="1.97081599806469E-2"/>
    <n v="1.9710712201246074E-2"/>
    <n v="7.4128973243757566E-4"/>
    <n v="7.4239049740163323E-4"/>
    <s v="NA"/>
    <n v="1349"/>
    <s v="NA"/>
  </r>
  <r>
    <x v="0"/>
    <n v="7"/>
    <n v="1106"/>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1"/>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9.98E-2"/>
    <s v="increase"/>
    <n v="0.14899999999999999"/>
    <n v="0.1"/>
    <n v="2"/>
    <n v="0.66979865771812086"/>
    <n v="9.98E-2"/>
    <n v="0.52492931202189808"/>
    <s v="NA"/>
    <s v="NA"/>
    <s v="NA"/>
    <s v="NA"/>
    <s v="NA"/>
    <s v="NA"/>
    <n v="827"/>
    <n v="827"/>
    <s v="NA"/>
    <s v="NA"/>
    <s v="NA"/>
    <s v="NA"/>
    <s v="NA"/>
    <n v="1"/>
    <s v="NA"/>
    <n v="0"/>
    <s v="NA"/>
    <s v="NA"/>
    <n v="0"/>
    <n v="0"/>
    <n v="1"/>
    <m/>
    <m/>
    <m/>
    <m/>
    <m/>
    <m/>
    <m/>
    <m/>
    <m/>
    <m/>
    <n v="2.3284866493189758E-2"/>
    <n v="2.3289076097877604E-2"/>
    <n v="1.2106533968798787E-3"/>
    <n v="1.2135922330097086E-3"/>
    <s v="NA"/>
    <n v="826"/>
    <s v="NA"/>
  </r>
  <r>
    <x v="0"/>
    <n v="7"/>
    <n v="1111"/>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0"/>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21199999999999999"/>
    <s v="increase"/>
    <n v="0.42499999999999999"/>
    <n v="0.1"/>
    <n v="2"/>
    <n v="0.49882352941176472"/>
    <n v="0.21199999999999999"/>
    <n v="0.55280238544469362"/>
    <s v="NA"/>
    <s v="NA"/>
    <s v="NA"/>
    <s v="NA"/>
    <s v="NA"/>
    <s v="NA"/>
    <n v="421"/>
    <n v="421"/>
    <s v="NA"/>
    <s v="NA"/>
    <s v="NA"/>
    <s v="NA"/>
    <s v="NA"/>
    <n v="1"/>
    <s v="NA"/>
    <n v="1"/>
    <s v="NA"/>
    <s v="NA"/>
    <n v="0"/>
    <n v="0"/>
    <n v="1"/>
    <m/>
    <m/>
    <m/>
    <m/>
    <m/>
    <m/>
    <m/>
    <m/>
    <m/>
    <m/>
    <n v="2.4303990103568901E-2"/>
    <n v="2.4308777125756856E-2"/>
    <n v="2.3809515495655199E-3"/>
    <n v="2.3923444976076554E-3"/>
    <s v="NA"/>
    <n v="420"/>
    <s v="NA"/>
  </r>
  <r>
    <x v="0"/>
    <n v="7"/>
    <n v="1110"/>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0"/>
    <n v="0"/>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33300000000000002"/>
    <s v="decrease"/>
    <n v="0.85399999999999998"/>
    <n v="0.1"/>
    <n v="2"/>
    <n v="0.38992974238875883"/>
    <n v="0.33300000000000002"/>
    <n v="0.58248914351160219"/>
    <s v="NA"/>
    <s v="NA"/>
    <s v="NA"/>
    <s v="NA"/>
    <s v="NA"/>
    <s v="NA"/>
    <n v="421"/>
    <n v="421"/>
    <s v="NA"/>
    <s v="NA"/>
    <s v="NA"/>
    <s v="NA"/>
    <s v="NA"/>
    <n v="0"/>
    <s v="NA"/>
    <n v="1"/>
    <s v="NA"/>
    <s v="NA"/>
    <n v="0"/>
    <n v="0"/>
    <n v="1"/>
    <m/>
    <m/>
    <m/>
    <m/>
    <m/>
    <m/>
    <m/>
    <m/>
    <m/>
    <m/>
    <n v="1.9000582083692302E-2"/>
    <n v="1.900286912258764E-2"/>
    <n v="2.380952070476821E-3"/>
    <n v="2.3923444976076554E-3"/>
    <s v="NA"/>
    <n v="420"/>
    <s v="NA"/>
  </r>
  <r>
    <x v="0"/>
    <n v="7"/>
    <n v="1108"/>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0"/>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371"/>
    <s v="increase"/>
    <n v="0.20799999999999999"/>
    <n v="0.1"/>
    <n v="1"/>
    <n v="1.7836538461538463"/>
    <n v="0.371"/>
    <n v="0.59170059157021893"/>
    <s v="NA"/>
    <s v="NA"/>
    <s v="NA"/>
    <s v="NA"/>
    <s v="NA"/>
    <s v="NA"/>
    <n v="827"/>
    <n v="827"/>
    <s v="NA"/>
    <s v="NA"/>
    <s v="NA"/>
    <s v="NA"/>
    <s v="NA"/>
    <n v="1"/>
    <s v="NA"/>
    <n v="1"/>
    <s v="NA"/>
    <s v="NA"/>
    <n v="0"/>
    <n v="0"/>
    <n v="1"/>
    <m/>
    <m/>
    <m/>
    <m/>
    <m/>
    <m/>
    <m/>
    <m/>
    <m/>
    <m/>
    <n v="6.1904763633413101E-2"/>
    <n v="6.1984023096366379E-2"/>
    <n v="1.2106358824323096E-3"/>
    <n v="1.2135922330097086E-3"/>
    <s v="NA"/>
    <n v="826"/>
    <s v="NA"/>
  </r>
  <r>
    <x v="0"/>
    <n v="7"/>
    <n v="1107"/>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0"/>
    <n v="0"/>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48599999999999999"/>
    <s v="increase"/>
    <n v="0.20399999999999999"/>
    <n v="0.05"/>
    <n v="1"/>
    <n v="2.3823529411764706"/>
    <n v="0.48599999999999999"/>
    <n v="0.61916368289936063"/>
    <s v="NA"/>
    <s v="NA"/>
    <s v="NA"/>
    <s v="NA"/>
    <s v="NA"/>
    <s v="NA"/>
    <n v="827"/>
    <n v="827"/>
    <s v="NA"/>
    <s v="NA"/>
    <s v="NA"/>
    <s v="NA"/>
    <s v="NA"/>
    <n v="0"/>
    <s v="NA"/>
    <n v="1"/>
    <s v="NA"/>
    <s v="NA"/>
    <n v="0"/>
    <n v="0"/>
    <n v="1"/>
    <m/>
    <m/>
    <m/>
    <m/>
    <m/>
    <m/>
    <m/>
    <m/>
    <m/>
    <m/>
    <n v="8.2559714236340495E-2"/>
    <n v="8.2748063723839957E-2"/>
    <n v="1.2105969918599373E-3"/>
    <n v="1.2135922330097086E-3"/>
    <s v="NA"/>
    <n v="826"/>
    <s v="NA"/>
  </r>
  <r>
    <x v="0"/>
    <n v="7"/>
    <n v="1105"/>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0"/>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0.48899999999999999"/>
    <s v="decrease"/>
    <n v="0.30299999999999999"/>
    <n v="0.1"/>
    <n v="2"/>
    <n v="1.613861386138614"/>
    <n v="0.48899999999999999"/>
    <n v="0.6198708296204114"/>
    <s v="NA"/>
    <s v="NA"/>
    <s v="NA"/>
    <s v="NA"/>
    <s v="NA"/>
    <s v="NA"/>
    <n v="1350"/>
    <n v="1350"/>
    <s v="NA"/>
    <s v="NA"/>
    <s v="NA"/>
    <s v="NA"/>
    <s v="NA"/>
    <n v="1"/>
    <s v="NA"/>
    <n v="1"/>
    <s v="NA"/>
    <s v="NA"/>
    <n v="0"/>
    <n v="0"/>
    <n v="1"/>
    <m/>
    <m/>
    <m/>
    <m/>
    <m/>
    <m/>
    <m/>
    <m/>
    <m/>
    <m/>
    <n v="4.3881433738989228E-2"/>
    <n v="4.3909632065429631E-2"/>
    <n v="7.4128708865891613E-4"/>
    <n v="7.4239049740163323E-4"/>
    <s v="NA"/>
    <n v="1349"/>
    <s v="NA"/>
  </r>
  <r>
    <x v="0"/>
    <n v="7"/>
    <n v="1109"/>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x v="0"/>
    <x v="1"/>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65100000000000002"/>
    <s v="decrease"/>
    <n v="0.57399999999999995"/>
    <n v="0.1"/>
    <n v="2"/>
    <n v="1.1341463414634148"/>
    <n v="0.65100000000000002"/>
    <n v="0.65723577499294228"/>
    <s v="NA"/>
    <s v="NA"/>
    <s v="NA"/>
    <s v="NA"/>
    <s v="NA"/>
    <s v="NA"/>
    <n v="421"/>
    <n v="421"/>
    <s v="NA"/>
    <s v="NA"/>
    <s v="NA"/>
    <s v="NA"/>
    <s v="NA"/>
    <n v="1"/>
    <s v="NA"/>
    <n v="0"/>
    <s v="NA"/>
    <s v="NA"/>
    <n v="0"/>
    <n v="0"/>
    <n v="1"/>
    <m/>
    <m/>
    <m/>
    <m/>
    <m/>
    <m/>
    <m/>
    <m/>
    <m/>
    <m/>
    <n v="5.5190662378218035E-2"/>
    <n v="5.5246802103969622E-2"/>
    <n v="2.3809302000460694E-3"/>
    <n v="2.3923444976076554E-3"/>
    <s v="NA"/>
    <n v="420"/>
    <s v="NA"/>
  </r>
  <r>
    <x v="0"/>
    <n v="8"/>
    <n v="1157"/>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s v="NA"/>
    <x v="0"/>
    <x v="0"/>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19"/>
    <s v="decrease"/>
    <n v="7.8512396694214878E-2"/>
    <n v="1.4999999999999999E-2"/>
    <n v="3"/>
    <n v="2.42"/>
    <n v="0.20924959765725148"/>
    <n v="0.54735761814308925"/>
    <s v="NA"/>
    <s v="NA"/>
    <s v="NA"/>
    <s v="NA"/>
    <s v="NA"/>
    <s v="NA"/>
    <n v="2910"/>
    <n v="2910"/>
    <s v="NA"/>
    <s v="NA"/>
    <s v="NA"/>
    <s v="NA"/>
    <s v="NA"/>
    <s v="NA"/>
    <s v="NA"/>
    <s v="NA"/>
    <s v="NA"/>
    <s v="NA"/>
    <n v="0"/>
    <n v="0"/>
    <n v="0"/>
    <m/>
    <m/>
    <m/>
    <m/>
    <m/>
    <m/>
    <m/>
    <m/>
    <m/>
    <m/>
    <n v="4.4815918320490998E-2"/>
    <n v="4.4845958286761807E-2"/>
    <n v="3.4375935209197533E-4"/>
    <n v="3.4399724802201581E-4"/>
    <s v="NA"/>
    <n v="2908"/>
    <s v="NA"/>
  </r>
  <r>
    <x v="0"/>
    <n v="8"/>
    <n v="1158"/>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
    <s v="NA"/>
    <x v="0"/>
    <x v="0"/>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21"/>
    <s v="decrease"/>
    <n v="7.6363636363636356E-2"/>
    <n v="6.0000000000000001E-3"/>
    <n v="3"/>
    <n v="2.75"/>
    <n v="0.23367805995674318"/>
    <n v="0.5523079095743253"/>
    <s v="NA"/>
    <s v="NA"/>
    <s v="NA"/>
    <s v="NA"/>
    <s v="NA"/>
    <s v="NA"/>
    <n v="2910"/>
    <n v="2910"/>
    <s v="NA"/>
    <s v="NA"/>
    <s v="NA"/>
    <s v="NA"/>
    <s v="NA"/>
    <s v="NA"/>
    <s v="NA"/>
    <s v="NA"/>
    <s v="NA"/>
    <s v="NA"/>
    <n v="0"/>
    <n v="0"/>
    <n v="0"/>
    <m/>
    <m/>
    <m/>
    <m/>
    <m/>
    <m/>
    <m/>
    <m/>
    <m/>
    <m/>
    <n v="5.0912287415050349E-2"/>
    <n v="5.0956345207376796E-2"/>
    <n v="3.4375842486513699E-4"/>
    <n v="3.4399724802201581E-4"/>
    <s v="NA"/>
    <n v="2908"/>
    <s v="NA"/>
  </r>
  <r>
    <x v="3"/>
    <n v="9"/>
    <n v="1248"/>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yes"/>
    <s v="unclear N sample size for this specification"/>
    <x v="0"/>
    <x v="1"/>
    <n v="1"/>
    <n v="0"/>
    <n v="0"/>
    <n v="0"/>
    <n v="0"/>
    <n v="0"/>
    <s v="&quot;Recognize&quot; Energy Label"/>
    <n v="0"/>
    <n v="0"/>
    <n v="0"/>
    <n v="0"/>
    <n v="0"/>
    <n v="1"/>
    <n v="0"/>
    <n v="0"/>
    <n v="0"/>
    <s v="investing in energy-efficient appliances; coefficients are marginal effects"/>
    <x v="0"/>
    <s v="investing in energy-efficient appliances"/>
    <s v="dummy (0/1)"/>
    <n v="0.05"/>
    <s v="increase"/>
    <s v="NA"/>
    <n v="0.01"/>
    <n v="1"/>
    <n v="2.5764354463748322"/>
    <n v="5.1271096376024117E-2"/>
    <n v="0.51249739648421033"/>
    <s v="NA"/>
    <s v="NA"/>
    <s v="NA"/>
    <s v="NA"/>
    <s v="NA"/>
    <s v="NA"/>
    <n v="8115"/>
    <n v="8115"/>
    <s v="NA"/>
    <s v="NA"/>
    <s v="NA"/>
    <s v="NA"/>
    <s v="NA"/>
    <s v="NA"/>
    <s v="NA"/>
    <n v="1"/>
    <s v="NA"/>
    <s v="NA"/>
    <n v="0"/>
    <n v="1"/>
    <n v="1"/>
    <m/>
    <m/>
    <m/>
    <m/>
    <m/>
    <m/>
    <m/>
    <m/>
    <m/>
    <m/>
    <n v="2.8588900354369999E-2"/>
    <n v="2.8596692985986098E-2"/>
    <n v="1.2324369377013031E-4"/>
    <n v="1.232741617357002E-4"/>
    <s v="NA"/>
    <n v="8113"/>
    <s v="NA"/>
  </r>
  <r>
    <x v="3"/>
    <n v="9"/>
    <n v="1247"/>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x v="0"/>
    <x v="1"/>
    <n v="1"/>
    <n v="0"/>
    <n v="0"/>
    <n v="0"/>
    <n v="0"/>
    <n v="0"/>
    <s v="&quot;Recognize&quot; Energy Label"/>
    <n v="1"/>
    <n v="0"/>
    <n v="0"/>
    <n v="1"/>
    <n v="0"/>
    <n v="0"/>
    <n v="0"/>
    <n v="0"/>
    <n v="0"/>
    <s v="investing in energy-efficient appliances; coefficients are marginal effects"/>
    <x v="0"/>
    <s v="investing in energy-efficient appliances"/>
    <s v="dummy (0/1)"/>
    <n v="7.4999999999999997E-2"/>
    <s v="increase"/>
    <s v="NA"/>
    <n v="0.01"/>
    <n v="1"/>
    <n v="2.5764354463748322"/>
    <n v="7.788415088463152E-2"/>
    <n v="0.51874121587853528"/>
    <s v="NA"/>
    <s v="NA"/>
    <s v="NA"/>
    <s v="NA"/>
    <s v="NA"/>
    <s v="NA"/>
    <n v="8115"/>
    <n v="8115"/>
    <s v="NA"/>
    <s v="NA"/>
    <s v="NA"/>
    <s v="NA"/>
    <s v="NA"/>
    <s v="NA"/>
    <s v="NA"/>
    <n v="1"/>
    <s v="NA"/>
    <s v="NA"/>
    <n v="0"/>
    <n v="1"/>
    <n v="1"/>
    <m/>
    <m/>
    <m/>
    <m/>
    <m/>
    <m/>
    <m/>
    <m/>
    <m/>
    <m/>
    <n v="2.8588900354369999E-2"/>
    <n v="2.8596692985986098E-2"/>
    <n v="1.2324369377013031E-4"/>
    <n v="1.232741617357002E-4"/>
    <s v="NA"/>
    <n v="8113"/>
    <s v="NA"/>
  </r>
  <r>
    <x v="3"/>
    <n v="9"/>
    <n v="124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x v="0"/>
    <x v="1"/>
    <n v="1"/>
    <n v="0"/>
    <n v="0"/>
    <n v="0"/>
    <n v="0"/>
    <n v="0"/>
    <s v="&quot;Trust&quot; Energy Label"/>
    <n v="1"/>
    <n v="0"/>
    <n v="0"/>
    <n v="1"/>
    <n v="0"/>
    <n v="0"/>
    <n v="0"/>
    <n v="0"/>
    <n v="0"/>
    <s v="investing in energy-efficient appliances; coefficients are marginal effects"/>
    <x v="0"/>
    <s v="investing in energy-efficient appliances"/>
    <s v="dummy (0/1)"/>
    <n v="8.6999999999999994E-2"/>
    <s v="increase"/>
    <s v="NA"/>
    <n v="0.01"/>
    <n v="1"/>
    <n v="2.5776085962794295"/>
    <n v="9.0896679718277751E-2"/>
    <n v="0.52173629156332213"/>
    <s v="NA"/>
    <s v="NA"/>
    <s v="NA"/>
    <s v="NA"/>
    <s v="NA"/>
    <s v="NA"/>
    <n v="2767"/>
    <n v="2767"/>
    <s v="NA"/>
    <s v="NA"/>
    <s v="NA"/>
    <s v="NA"/>
    <s v="NA"/>
    <s v="NA"/>
    <s v="NA"/>
    <n v="1"/>
    <s v="NA"/>
    <s v="NA"/>
    <n v="0"/>
    <n v="1"/>
    <n v="1"/>
    <m/>
    <m/>
    <m/>
    <m/>
    <m/>
    <m/>
    <m/>
    <m/>
    <m/>
    <m/>
    <n v="4.8943115053431581E-2"/>
    <n v="4.8982251228669553E-2"/>
    <n v="3.6153081834669693E-4"/>
    <n v="3.6179450072358897E-4"/>
    <s v="NA"/>
    <n v="2765"/>
    <s v="NA"/>
  </r>
  <r>
    <x v="3"/>
    <n v="9"/>
    <n v="1231"/>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x v="0"/>
    <x v="1"/>
    <n v="1"/>
    <n v="0"/>
    <n v="0"/>
    <n v="0"/>
    <n v="0"/>
    <n v="0"/>
    <s v="NA"/>
    <n v="0"/>
    <n v="0"/>
    <n v="0"/>
    <n v="0"/>
    <n v="0"/>
    <n v="0"/>
    <n v="0"/>
    <n v="0"/>
    <n v="0"/>
    <s v="Water tank to collect rain water"/>
    <x v="0"/>
    <s v="Water tank to collect rain water"/>
    <s v="dummy (0/1)"/>
    <n v="9.5000000000000001E-2"/>
    <s v="increase"/>
    <s v="NA"/>
    <n v="0.01"/>
    <n v="1"/>
    <n v="2.5767673605962078"/>
    <n v="9.9658855126102841E-2"/>
    <n v="0.52373215412656104"/>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30"/>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x v="0"/>
    <x v="1"/>
    <n v="1"/>
    <n v="0"/>
    <n v="0"/>
    <n v="0"/>
    <n v="0"/>
    <n v="0"/>
    <s v="NA"/>
    <n v="0"/>
    <n v="0"/>
    <n v="0"/>
    <n v="0"/>
    <n v="0"/>
    <n v="0"/>
    <n v="0"/>
    <n v="0"/>
    <n v="0"/>
    <s v="Water flow restrictor taps/low flow shower head"/>
    <x v="0"/>
    <s v="Water flow restrictor taps/low flow shower head"/>
    <s v="dummy (0/1)"/>
    <n v="0.18099999999999999"/>
    <s v="increase"/>
    <s v="NA"/>
    <n v="0.01"/>
    <n v="1"/>
    <n v="2.5767673605962078"/>
    <n v="0.19841517929319963"/>
    <n v="0.5451268671091033"/>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2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x v="0"/>
    <x v="1"/>
    <n v="1"/>
    <n v="0"/>
    <n v="0"/>
    <n v="0"/>
    <n v="0"/>
    <n v="0"/>
    <s v="NA"/>
    <n v="0"/>
    <n v="0"/>
    <n v="0"/>
    <n v="0"/>
    <n v="0"/>
    <n v="0"/>
    <n v="0"/>
    <n v="0"/>
    <n v="0"/>
    <s v="Low volume or dual flush toilets"/>
    <x v="0"/>
    <s v="Low volume or dual flush toilets"/>
    <s v="dummy (0/1)"/>
    <n v="0.191"/>
    <s v="increase"/>
    <s v="NA"/>
    <n v="0.01"/>
    <n v="1"/>
    <n v="2.5767673605962078"/>
    <n v="0.21045945208129946"/>
    <n v="0.54760536364581069"/>
    <s v="NA"/>
    <s v="NA"/>
    <s v="NA"/>
    <s v="NA"/>
    <s v="NA"/>
    <s v="NA"/>
    <n v="5245"/>
    <n v="5245"/>
    <s v="NA"/>
    <s v="NA"/>
    <s v="NA"/>
    <s v="NA"/>
    <s v="NA"/>
    <s v="NA"/>
    <s v="NA"/>
    <n v="1"/>
    <s v="NA"/>
    <s v="NA"/>
    <n v="0"/>
    <n v="1"/>
    <n v="1"/>
    <m/>
    <m/>
    <m/>
    <m/>
    <m/>
    <m/>
    <m/>
    <m/>
    <m/>
    <m/>
    <n v="3.5557215848955014E-2"/>
    <n v="3.5572212407713834E-2"/>
    <n v="1.9069382128292258E-4"/>
    <n v="1.9076688286913393E-4"/>
    <s v="NA"/>
    <n v="5243"/>
    <s v="odd dep_var"/>
  </r>
  <r>
    <x v="0"/>
    <m/>
    <s v="NA"/>
    <s v="NA"/>
    <s v="Dong, Futawatari"/>
    <n v="2013"/>
    <s v="The study of low-carbon policy influence on consumers' energy efficiency household appliance purchase behavior"/>
    <s v="Sequences of low carbon policies are aimed at reducing greenhouse gases and increasing energy_x000a_efficiency—also in the household sector in China. However, not all the policies are useful to guideconsumers’_x000a_purchase behavior. Consumer’s environmental friendly purchase behavior is affected not only by personal_x000a_influence but also by external environmental forces. While information provision policies may be effective in_x000a_encouraging certain consumers to understand the energy effiency household appliance, but not promote_x000a_purchases; fiscal incentive may be more attractive during pre-purchase period (information collection);_x000a_regulation instrument regards as the most effectivelyinstrument to influence consumers’ energy efficiency_x000a_household appliance purchase behavior, but useless to advance citizen’s environmental awareness. Analysis of a_x000a_survey dataset of Chinese households observes considerable heterogeneity in terms of influence of three policy_x000a_instruments, in line with our conjectures."/>
    <n v="2"/>
    <n v="2012"/>
    <x v="6"/>
    <m/>
    <x v="13"/>
    <x v="4"/>
    <x v="13"/>
    <s v="stated preference"/>
    <s v="household"/>
    <m/>
    <n v="1"/>
    <s v="opt_in"/>
    <n v="1"/>
    <s v="probably no"/>
    <s v="probably no"/>
    <s v="no appliance breakdown, some data dropped from the study halfway through, no uncertainty specifications"/>
    <x v="2"/>
    <x v="2"/>
    <m/>
    <m/>
    <m/>
    <m/>
    <m/>
    <m/>
    <m/>
    <m/>
    <m/>
    <m/>
    <m/>
    <m/>
    <m/>
    <m/>
    <m/>
    <m/>
    <m/>
    <x v="3"/>
    <m/>
    <m/>
    <m/>
    <m/>
    <m/>
    <m/>
    <m/>
    <m/>
    <m/>
    <m/>
    <m/>
    <m/>
    <m/>
    <m/>
    <m/>
    <m/>
    <m/>
    <m/>
    <m/>
    <m/>
    <m/>
    <m/>
    <m/>
    <m/>
    <m/>
    <m/>
    <m/>
    <m/>
    <n v="0"/>
    <n v="1"/>
    <n v="1"/>
    <m/>
    <m/>
    <m/>
    <m/>
    <m/>
    <m/>
    <m/>
    <m/>
    <m/>
    <m/>
    <m/>
    <m/>
    <m/>
    <m/>
    <m/>
    <m/>
    <m/>
  </r>
  <r>
    <x v="3"/>
    <m/>
    <n v="1241"/>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x v="0"/>
    <x v="1"/>
    <n v="1"/>
    <n v="0"/>
    <n v="0"/>
    <n v="0"/>
    <n v="0"/>
    <n v="0"/>
    <s v="here it is possible to differentiate the label from actual efficiency"/>
    <n v="0"/>
    <n v="0"/>
    <n v="0"/>
    <n v="1"/>
    <n v="0"/>
    <n v="0"/>
    <n v="0"/>
    <n v="0"/>
    <n v="0"/>
    <s v="dummy choice for a refrigerator"/>
    <x v="2"/>
    <s v="dummy choice for a refrigerator"/>
    <s v="dummy (0/1)"/>
    <n v="0.55700000000000005"/>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2"/>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x v="0"/>
    <x v="1"/>
    <n v="1"/>
    <n v="0"/>
    <n v="0"/>
    <n v="0"/>
    <n v="0"/>
    <n v="0"/>
    <s v="here it is possible to differentiate the label from actual efficiency"/>
    <n v="0"/>
    <n v="0"/>
    <n v="0"/>
    <n v="1"/>
    <n v="0"/>
    <n v="0"/>
    <n v="0"/>
    <n v="0"/>
    <n v="0"/>
    <s v="dummy choice for a refrigerator"/>
    <x v="2"/>
    <s v="dummy choice for a refrigerator"/>
    <s v="dummy (0/1)"/>
    <n v="1.58"/>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3"/>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x v="0"/>
    <x v="1"/>
    <n v="1"/>
    <n v="0"/>
    <n v="0"/>
    <n v="0"/>
    <n v="0"/>
    <n v="0"/>
    <s v="here it is possible to differentiate the label from actual efficiency"/>
    <n v="0"/>
    <n v="0"/>
    <n v="0"/>
    <n v="1"/>
    <n v="0"/>
    <n v="0"/>
    <n v="0"/>
    <n v="0"/>
    <n v="0"/>
    <s v="dummy choice for a refrigerator"/>
    <x v="2"/>
    <s v="dummy choice for a refrigerator"/>
    <s v="dummy (0/1)"/>
    <n v="0.17"/>
    <s v="increase"/>
    <e v="#VALUE!"/>
    <n v="0.311"/>
    <n v="3"/>
    <s v="NA"/>
    <s v="NA"/>
    <m/>
    <s v="NA"/>
    <s v="NA"/>
    <s v="NA"/>
    <s v="NA"/>
    <s v="NA"/>
    <s v="NA"/>
    <n v="1099"/>
    <n v="13188"/>
    <s v="NA"/>
    <s v="NA"/>
    <s v="NA"/>
    <s v="NA"/>
    <s v="NA"/>
    <s v="NA"/>
    <s v="NA"/>
    <n v="1"/>
    <n v="1"/>
    <s v="alphabetical with +"/>
    <n v="0"/>
    <n v="0"/>
    <n v="0"/>
    <m/>
    <m/>
    <m/>
    <m/>
    <m/>
    <m/>
    <m/>
    <m/>
    <m/>
    <m/>
    <e v="#VALUE!"/>
    <e v="#VALUE!"/>
    <e v="#VALUE!"/>
    <n v="9.1240875912408756E-4"/>
    <e v="#VALUE!"/>
    <m/>
    <m/>
  </r>
  <r>
    <x v="3"/>
    <m/>
    <n v="1244"/>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x v="0"/>
    <x v="1"/>
    <n v="1"/>
    <n v="0"/>
    <n v="0"/>
    <n v="0"/>
    <n v="0"/>
    <n v="0"/>
    <s v="here it is possible to differentiate the label from actual efficiency"/>
    <n v="0"/>
    <n v="0"/>
    <n v="0"/>
    <n v="1"/>
    <n v="0"/>
    <n v="0"/>
    <n v="0"/>
    <n v="0"/>
    <n v="0"/>
    <s v="dummy choice for a refrigerator"/>
    <x v="2"/>
    <s v="dummy choice for a refrigerator"/>
    <s v="dummy (0/1)"/>
    <n v="1.1140000000000001"/>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5"/>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x v="0"/>
    <x v="1"/>
    <n v="1"/>
    <n v="0"/>
    <n v="0"/>
    <n v="0"/>
    <n v="0"/>
    <n v="0"/>
    <s v="here it is possible to differentiate the label from actual efficiency"/>
    <n v="0"/>
    <n v="0"/>
    <n v="0"/>
    <n v="1"/>
    <n v="0"/>
    <n v="0"/>
    <n v="0"/>
    <n v="0"/>
    <n v="0"/>
    <s v="dummy choice for a refrigerator"/>
    <x v="2"/>
    <s v="dummy choice for a refrigerator"/>
    <s v="dummy (0/1)"/>
    <n v="6.0999999999999999E-2"/>
    <s v="decrease"/>
    <e v="#VALUE!"/>
    <n v="0.71299999999999997"/>
    <n v="3"/>
    <s v="NA"/>
    <s v="NA"/>
    <m/>
    <s v="NA"/>
    <s v="NA"/>
    <s v="NA"/>
    <s v="NA"/>
    <s v="NA"/>
    <s v="NA"/>
    <n v="1099"/>
    <n v="13188"/>
    <s v="NA"/>
    <s v="NA"/>
    <s v="NA"/>
    <s v="NA"/>
    <s v="NA"/>
    <s v="NA"/>
    <s v="NA"/>
    <n v="1"/>
    <n v="1"/>
    <s v="alphabetical with +"/>
    <n v="0"/>
    <n v="0"/>
    <n v="0"/>
    <m/>
    <m/>
    <m/>
    <m/>
    <m/>
    <m/>
    <m/>
    <m/>
    <m/>
    <m/>
    <e v="#VALUE!"/>
    <e v="#VALUE!"/>
    <e v="#VALUE!"/>
    <n v="9.1240875912408756E-4"/>
    <e v="#VALUE!"/>
    <m/>
    <m/>
  </r>
  <r>
    <x v="3"/>
    <m/>
    <n v="1246"/>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x v="0"/>
    <x v="1"/>
    <n v="1"/>
    <n v="0"/>
    <n v="0"/>
    <n v="0"/>
    <n v="0"/>
    <n v="0"/>
    <s v="here it is possible to differentiate the label from actual efficiency"/>
    <n v="0"/>
    <n v="0"/>
    <n v="0"/>
    <n v="1"/>
    <n v="0"/>
    <n v="0"/>
    <n v="0"/>
    <n v="0"/>
    <n v="0"/>
    <s v="dummy choice for a refrigerator"/>
    <x v="2"/>
    <s v="dummy choice for a refrigerator"/>
    <s v="dummy (0/1)"/>
    <n v="2E-3"/>
    <s v="decrease"/>
    <e v="#VALUE!"/>
    <n v="0.99199999999999999"/>
    <n v="3"/>
    <s v="NA"/>
    <s v="NA"/>
    <m/>
    <s v="NA"/>
    <s v="NA"/>
    <s v="NA"/>
    <s v="NA"/>
    <s v="NA"/>
    <s v="NA"/>
    <n v="1099"/>
    <n v="13188"/>
    <s v="NA"/>
    <s v="NA"/>
    <s v="NA"/>
    <s v="NA"/>
    <s v="NA"/>
    <s v="NA"/>
    <s v="NA"/>
    <n v="1"/>
    <n v="1"/>
    <s v="alphabetical with +"/>
    <n v="0"/>
    <n v="0"/>
    <n v="0"/>
    <m/>
    <m/>
    <m/>
    <m/>
    <m/>
    <m/>
    <m/>
    <m/>
    <m/>
    <m/>
    <e v="#VALUE!"/>
    <e v="#VALUE!"/>
    <e v="#VALUE!"/>
    <n v="9.1240875912408756E-4"/>
    <e v="#VALUE!"/>
    <m/>
    <m/>
  </r>
  <r>
    <x v="0"/>
    <n v="10"/>
    <n v="1017"/>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x v="0"/>
    <x v="0"/>
    <n v="0"/>
    <n v="0"/>
    <n v="0"/>
    <n v="0"/>
    <n v="0"/>
    <n v="0"/>
    <s v="NA"/>
    <n v="0"/>
    <n v="0"/>
    <n v="0"/>
    <n v="0"/>
    <n v="0"/>
    <n v="1"/>
    <n v="0"/>
    <n v="0"/>
    <n v="0"/>
    <s v="NA"/>
    <x v="0"/>
    <s v="CFL uptake"/>
    <s v="dummy (0/1)"/>
    <n v="4.0000000000000001E-3"/>
    <s v="increase"/>
    <n v="0.121"/>
    <n v="0.1"/>
    <n v="2"/>
    <n v="3.3057851239669422E-2"/>
    <n v="4.0080106773419111E-3"/>
    <n v="0.50099999866666878"/>
    <s v="NA"/>
    <n v="71"/>
    <s v="NA"/>
    <s v="NA"/>
    <n v="85"/>
    <s v="NA"/>
    <n v="156"/>
    <n v="156"/>
    <s v="NA"/>
    <s v="NA"/>
    <s v="NA"/>
    <s v="NA"/>
    <s v="NA"/>
    <s v="NA"/>
    <s v="NA"/>
    <s v="NA"/>
    <s v="NA"/>
    <s v="NA"/>
    <n v="1"/>
    <n v="0"/>
    <n v="1"/>
    <m/>
    <m/>
    <m/>
    <m/>
    <m/>
    <m/>
    <m/>
    <m/>
    <m/>
    <m/>
    <n v="2.646737073353082E-3"/>
    <n v="2.6467432537016708E-3"/>
    <n v="6.4516129029092029E-3"/>
    <n v="6.5359477124183009E-3"/>
    <s v="NA"/>
    <n v="154"/>
    <s v="NA"/>
  </r>
  <r>
    <x v="0"/>
    <n v="10"/>
    <n v="1014"/>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x v="0"/>
    <x v="0"/>
    <n v="0"/>
    <n v="0"/>
    <n v="0"/>
    <n v="0"/>
    <n v="0"/>
    <n v="0"/>
    <s v="NA"/>
    <n v="0"/>
    <n v="0"/>
    <n v="0"/>
    <n v="0"/>
    <n v="0"/>
    <n v="1"/>
    <n v="0"/>
    <n v="0"/>
    <n v="0"/>
    <s v="NA"/>
    <x v="0"/>
    <s v="CFL uptake"/>
    <s v="dummy (0/1)"/>
    <n v="5.0000000000000001E-3"/>
    <s v="decrease"/>
    <n v="0.109"/>
    <n v="0.1"/>
    <n v="2"/>
    <n v="4.5871559633027525E-2"/>
    <n v="5.0125208594009596E-3"/>
    <n v="0.50124999739583986"/>
    <s v="NA"/>
    <n v="71"/>
    <s v="NA"/>
    <s v="NA"/>
    <n v="85"/>
    <s v="NA"/>
    <n v="156"/>
    <n v="156"/>
    <s v="NA"/>
    <s v="NA"/>
    <s v="NA"/>
    <s v="NA"/>
    <s v="NA"/>
    <s v="NA"/>
    <s v="NA"/>
    <s v="NA"/>
    <s v="NA"/>
    <s v="NA"/>
    <n v="0"/>
    <n v="0"/>
    <n v="0"/>
    <m/>
    <m/>
    <m/>
    <m/>
    <m/>
    <m/>
    <m/>
    <m/>
    <m/>
    <m/>
    <n v="3.6726393090550187E-3"/>
    <n v="3.6726558217171222E-3"/>
    <n v="6.4516129020520197E-3"/>
    <n v="6.5359477124183009E-3"/>
    <s v="NA"/>
    <n v="154"/>
    <s v="NA"/>
  </r>
  <r>
    <x v="0"/>
    <n v="10"/>
    <n v="1016"/>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x v="0"/>
    <x v="1"/>
    <n v="0"/>
    <n v="0"/>
    <n v="0"/>
    <n v="1"/>
    <n v="0"/>
    <n v="0"/>
    <s v="NA"/>
    <n v="0"/>
    <n v="0"/>
    <n v="0"/>
    <n v="0"/>
    <n v="0"/>
    <n v="1"/>
    <n v="0"/>
    <n v="0"/>
    <n v="0"/>
    <s v="NA"/>
    <x v="0"/>
    <s v="CFL uptake"/>
    <s v="dummy (0/1)"/>
    <n v="0.214"/>
    <s v="increase"/>
    <n v="8.7999999999999995E-2"/>
    <n v="0.05"/>
    <n v="1"/>
    <n v="2.4318181818181821"/>
    <n v="0.23862265479345224"/>
    <n v="0.55329675688810287"/>
    <s v="NA"/>
    <n v="71"/>
    <s v="NA"/>
    <s v="NA"/>
    <n v="84"/>
    <s v="NA"/>
    <n v="155"/>
    <n v="155"/>
    <s v="NA"/>
    <s v="NA"/>
    <s v="NA"/>
    <s v="NA"/>
    <s v="NA"/>
    <s v="NA"/>
    <s v="NA"/>
    <s v="NA"/>
    <s v="NA"/>
    <s v="NA"/>
    <n v="0"/>
    <n v="0"/>
    <n v="0"/>
    <m/>
    <m/>
    <m/>
    <m/>
    <m/>
    <m/>
    <m/>
    <m/>
    <m/>
    <m/>
    <n v="0.19170548423159203"/>
    <n v="0.1941071241446195"/>
    <n v="6.4842883135948935E-3"/>
    <n v="6.5789473684210523E-3"/>
    <s v="NA"/>
    <n v="153"/>
    <s v="NA"/>
  </r>
  <r>
    <x v="0"/>
    <n v="10"/>
    <n v="1019"/>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x v="0"/>
    <x v="1"/>
    <n v="0"/>
    <n v="0"/>
    <n v="0"/>
    <n v="1"/>
    <n v="0"/>
    <n v="0"/>
    <s v="NA"/>
    <n v="0"/>
    <n v="0"/>
    <n v="0"/>
    <n v="0"/>
    <n v="0"/>
    <n v="1"/>
    <n v="0"/>
    <n v="0"/>
    <n v="0"/>
    <s v="NA"/>
    <x v="0"/>
    <s v="CFL uptake"/>
    <s v="dummy (0/1)"/>
    <n v="0.22500000000000001"/>
    <s v="increase"/>
    <n v="8.5999999999999993E-2"/>
    <n v="0.01"/>
    <n v="1"/>
    <n v="2.6162790697674421"/>
    <n v="0.25232271619186442"/>
    <n v="0.55601389054461992"/>
    <s v="NA"/>
    <n v="71"/>
    <s v="NA"/>
    <s v="NA"/>
    <n v="84"/>
    <s v="NA"/>
    <n v="155"/>
    <n v="155"/>
    <s v="NA"/>
    <s v="NA"/>
    <s v="NA"/>
    <s v="NA"/>
    <s v="NA"/>
    <s v="NA"/>
    <s v="NA"/>
    <s v="NA"/>
    <s v="NA"/>
    <s v="NA"/>
    <n v="1"/>
    <n v="0"/>
    <n v="1"/>
    <m/>
    <m/>
    <m/>
    <m/>
    <m/>
    <m/>
    <m/>
    <m/>
    <m/>
    <m/>
    <n v="0.2056527568985681"/>
    <n v="0.20862785334941172"/>
    <n v="6.4812046998817896E-3"/>
    <n v="6.5789473684210523E-3"/>
    <s v="NA"/>
    <n v="153"/>
    <s v="NA"/>
  </r>
  <r>
    <x v="0"/>
    <n v="10"/>
    <n v="1015"/>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x v="0"/>
    <x v="0"/>
    <n v="0"/>
    <n v="0"/>
    <n v="0"/>
    <n v="1"/>
    <n v="0"/>
    <n v="0"/>
    <s v="NA"/>
    <n v="0"/>
    <n v="0"/>
    <n v="0"/>
    <n v="0"/>
    <n v="0"/>
    <n v="1"/>
    <n v="0"/>
    <n v="0"/>
    <n v="0"/>
    <s v="NA"/>
    <x v="0"/>
    <s v="CFL uptake"/>
    <s v="dummy (0/1)"/>
    <n v="0.61699999999999999"/>
    <s v="increase"/>
    <n v="0.121"/>
    <n v="0.01"/>
    <n v="1"/>
    <n v="5.0991735537190079"/>
    <n v="0.85335961453808529"/>
    <n v="0.64953593830061807"/>
    <s v="NA"/>
    <n v="71"/>
    <s v="NA"/>
    <s v="NA"/>
    <n v="77"/>
    <s v="NA"/>
    <n v="148"/>
    <n v="148"/>
    <s v="NA"/>
    <s v="NA"/>
    <s v="NA"/>
    <s v="NA"/>
    <s v="NA"/>
    <s v="NA"/>
    <s v="NA"/>
    <s v="NA"/>
    <s v="NA"/>
    <s v="NA"/>
    <n v="0"/>
    <n v="0"/>
    <n v="0"/>
    <m/>
    <m/>
    <m/>
    <m/>
    <m/>
    <m/>
    <m/>
    <m/>
    <m/>
    <m/>
    <n v="0.38656560447568655"/>
    <n v="0.40775592843557701"/>
    <n v="6.6146665576027192E-3"/>
    <n v="6.8965517241379309E-3"/>
    <s v="NA"/>
    <n v="146"/>
    <s v="NA"/>
  </r>
  <r>
    <x v="0"/>
    <n v="10"/>
    <n v="1018"/>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x v="0"/>
    <x v="0"/>
    <n v="0"/>
    <n v="0"/>
    <n v="0"/>
    <n v="1"/>
    <n v="0"/>
    <n v="0"/>
    <s v="NA"/>
    <n v="0"/>
    <n v="0"/>
    <n v="0"/>
    <n v="0"/>
    <n v="0"/>
    <n v="1"/>
    <n v="0"/>
    <n v="0"/>
    <n v="0"/>
    <s v="NA"/>
    <x v="0"/>
    <s v="CFL uptake"/>
    <s v="dummy (0/1)"/>
    <n v="0.629"/>
    <s v="increase"/>
    <n v="0.121"/>
    <n v="0.01"/>
    <n v="1"/>
    <n v="5.1983471074380168"/>
    <n v="0.87573390717751165"/>
    <n v="0.65226268066592974"/>
    <s v="NA"/>
    <n v="71"/>
    <s v="NA"/>
    <s v="NA"/>
    <n v="77"/>
    <s v="NA"/>
    <n v="148"/>
    <n v="148"/>
    <s v="NA"/>
    <s v="NA"/>
    <s v="NA"/>
    <s v="NA"/>
    <s v="NA"/>
    <s v="NA"/>
    <s v="NA"/>
    <s v="NA"/>
    <s v="NA"/>
    <s v="NA"/>
    <n v="1"/>
    <n v="0"/>
    <n v="1"/>
    <m/>
    <m/>
    <m/>
    <m/>
    <m/>
    <m/>
    <m/>
    <m/>
    <m/>
    <m/>
    <n v="0.3929324948845429"/>
    <n v="0.41526325821269588"/>
    <n v="6.6004300266440307E-3"/>
    <n v="6.8965517241379309E-3"/>
    <s v="NA"/>
    <n v="146"/>
    <s v="NA"/>
  </r>
  <r>
    <x v="3"/>
    <m/>
    <n v="1232"/>
    <n v="304"/>
    <s v="Galarraga, Gonzalez-Eguino, Markandya"/>
    <n v="2011"/>
    <s v="Willingness to pay and price elasticities of demand for energy-efficient appliances: Combining the hedonic approach and demand systems"/>
    <s v="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
    <n v="2"/>
    <n v="2009"/>
    <x v="0"/>
    <s v="S69"/>
    <x v="4"/>
    <x v="5"/>
    <x v="11"/>
    <s v="revealed preference"/>
    <s v="retailer"/>
    <s v="store visitors"/>
    <n v="0"/>
    <s v="no such option"/>
    <n v="0"/>
    <s v="probably yes"/>
    <s v="probably no"/>
    <s v="Market prices do not reveal much on consumer behavior"/>
    <x v="0"/>
    <x v="1"/>
    <n v="1"/>
    <n v="0"/>
    <n v="0"/>
    <n v="0"/>
    <n v="0"/>
    <n v="0"/>
    <s v="impossible to separate the effect of the label from energy efficiency"/>
    <n v="0"/>
    <n v="0"/>
    <n v="1"/>
    <n v="0"/>
    <n v="0"/>
    <n v="0"/>
    <n v="0"/>
    <n v="0"/>
    <n v="0"/>
    <s v="lprice"/>
    <x v="2"/>
    <s v="estimated price-premium for the most energy-efficient refrigerators"/>
    <s v="log scale"/>
    <n v="0.156"/>
    <s v="increase"/>
    <e v="#VALUE!"/>
    <n v="0.08"/>
    <n v="3"/>
    <s v="NA"/>
    <s v="NA"/>
    <m/>
    <s v="NA"/>
    <s v="NA"/>
    <s v="NA"/>
    <s v="NA"/>
    <s v="NA"/>
    <s v="NA"/>
    <n v="318"/>
    <n v="318"/>
    <s v="NA"/>
    <s v="NA"/>
    <s v="NA"/>
    <s v="NA"/>
    <s v="NA"/>
    <s v="NA"/>
    <s v="NA"/>
    <n v="1"/>
    <s v="NA"/>
    <s v="binary"/>
    <n v="0"/>
    <n v="0"/>
    <n v="0"/>
    <m/>
    <m/>
    <m/>
    <m/>
    <m/>
    <m/>
    <m/>
    <m/>
    <m/>
    <m/>
    <e v="#VALUE!"/>
    <e v="#VALUE!"/>
    <e v="#VALUE!"/>
    <n v="3.1746031746031746E-3"/>
    <e v="#VALUE!"/>
    <m/>
    <m/>
  </r>
  <r>
    <x v="0"/>
    <m/>
    <n v="1013"/>
    <n v="104"/>
    <s v="Galarraga, Heres, Gonzalez-Eguino"/>
    <n v="2011"/>
    <s v="Price premium for high-efficiency refrigerators and calculation of price-elasticities_x000a_for close-substitutes: a methodology using hedonic pricing and demand systems"/>
    <s v="This article uses the hedonic method to estimate the price premium paid for the highest energyefficiency_x000a_label (Aþ) in the refrigerators market of the Basque Autonomous Community (Spain). The_x000a_estimated figure is 8.9% of the final price or about 60 euro, which represents one third of the energy_x000a_savings that a consumer obtains during the lifetime of a refrigerator with the highest energy-efficiency_x000a_label. This figure is then combined with the linear version of the Almost Ideal Demand System (LA/AIDS)_x000a_to obtain own and cross-price elasticities of demand. The method presented here could be useful for_x000a_policy design and analysis. Our results indicate that the demand for refrigerators with the highest_x000a_energy-efficiency label is highly sensitive to price variations."/>
    <n v="2"/>
    <n v="2009"/>
    <x v="0"/>
    <n v="2077"/>
    <x v="4"/>
    <x v="3"/>
    <x v="11"/>
    <s v="revealed preference"/>
    <s v="retailer"/>
    <s v="store visitors"/>
    <n v="0"/>
    <s v="no such option"/>
    <n v="0"/>
    <s v="probably no"/>
    <s v="probably no"/>
    <s v="not in meta regression - ? dynamics rather than demand"/>
    <x v="0"/>
    <x v="1"/>
    <n v="1"/>
    <n v="0"/>
    <n v="0"/>
    <n v="0"/>
    <n v="0"/>
    <n v="0"/>
    <s v="impossible to separate the effect of the label from energy efficiency"/>
    <n v="0"/>
    <n v="0"/>
    <n v="0"/>
    <n v="1"/>
    <n v="0"/>
    <n v="0"/>
    <n v="0"/>
    <n v="0"/>
    <n v="0"/>
    <s v="lprice"/>
    <x v="2"/>
    <s v="estimated price-premium for the most energy-efficient refrigerators"/>
    <s v="log scale"/>
    <n v="8.8999999999999996E-2"/>
    <s v="increase"/>
    <n v="2.1999999999999999E-2"/>
    <n v="0.01"/>
    <n v="1"/>
    <n v="4.0454545454545459"/>
    <s v="NA"/>
    <m/>
    <s v="NA"/>
    <s v="NA"/>
    <s v="NA"/>
    <s v="NA"/>
    <s v="NA"/>
    <s v="NA"/>
    <n v="676"/>
    <n v="676"/>
    <s v="NA"/>
    <s v="NA"/>
    <s v="NA"/>
    <s v="NA"/>
    <s v="NA"/>
    <s v="NA"/>
    <s v="NA"/>
    <s v="NA"/>
    <s v="NA"/>
    <s v="alphabetical with +"/>
    <n v="0"/>
    <n v="0"/>
    <n v="0"/>
    <m/>
    <m/>
    <m/>
    <m/>
    <m/>
    <m/>
    <m/>
    <m/>
    <m/>
    <m/>
    <n v="0.15374448735583945"/>
    <n v="0.15497333468721167"/>
    <n v="1.4806269577269365E-3"/>
    <n v="1.4858841010401188E-3"/>
    <m/>
    <m/>
    <m/>
  </r>
  <r>
    <x v="0"/>
    <m/>
    <s v="NA"/>
    <s v="NA"/>
    <s v="Gana, Hoppe"/>
    <n v="2017"/>
    <s v="Assessment of the Governance System Regarding_x000a_Adoption of Energy Efficient Appliances by_x000a_Households in Nigeria"/>
    <s v="The adoption of energy efficient electrical appliances by households has a great potential_x000a_to reduce electricity consumption in Nigeria. A well-formulated and implemented policy (mix) to_x000a_spur adoption is said to be required to drive this process. This article presents an assessment_x000a_of policies that aim to spur adoption among households, and the related governance system._x000a_The analytical framework used for this analysis is the Governance Assessment Tool (GAT). Data_x000a_collection involved semi-structured interviews, a review of policy documents, and secondary_x000a_quantitative data. The results show that policies in Nigeria had little effect in meeting pre-set_x000a_goals. The governance system was found to be weakly developed due to a lack of policy, the_x000a_overlapping work of different governmental organizations, a lack of appropriate resources, and a_x000a_lack of householders’ involvement in agenda-setting and decision-making processes. Current actions_x000a_mostly depend on local programmes that run via donor aid. They include the free exchange of CFL_x000a_bulbs and metering studies of end user energy consumption. The results add further insight in the_x000a_fields of governance and policy on energy efficiency issues in developing countries. This article also_x000a_provides suggestions for the design of policies that target the adoption of energy efficient electrical_x000a_appliances among households in Nigeria."/>
    <n v="2"/>
    <n v="2009"/>
    <x v="3"/>
    <n v="9"/>
    <x v="3"/>
    <x v="0"/>
    <x v="15"/>
    <s v="revealed preference"/>
    <s v="household"/>
    <m/>
    <m/>
    <m/>
    <m/>
    <m/>
    <m/>
    <m/>
    <x v="0"/>
    <x v="1"/>
    <n v="0"/>
    <n v="0"/>
    <n v="0"/>
    <n v="1"/>
    <n v="0"/>
    <n v="0"/>
    <s v="free exchange for a CFL - full subsidy"/>
    <n v="0"/>
    <n v="0"/>
    <n v="0"/>
    <n v="0"/>
    <n v="0"/>
    <n v="1"/>
    <n v="0"/>
    <n v="0"/>
    <n v="0"/>
    <m/>
    <x v="3"/>
    <m/>
    <m/>
    <m/>
    <m/>
    <m/>
    <m/>
    <m/>
    <m/>
    <m/>
    <m/>
    <m/>
    <m/>
    <m/>
    <m/>
    <m/>
    <m/>
    <m/>
    <m/>
    <m/>
    <m/>
    <m/>
    <m/>
    <m/>
    <m/>
    <m/>
    <m/>
    <m/>
    <m/>
    <n v="0"/>
    <m/>
    <n v="0"/>
    <m/>
    <m/>
    <m/>
    <m/>
    <m/>
    <m/>
    <m/>
    <m/>
    <m/>
    <m/>
    <m/>
    <m/>
    <m/>
    <m/>
    <m/>
    <m/>
    <m/>
  </r>
  <r>
    <x v="0"/>
    <n v="11"/>
    <n v="1026"/>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x v="0"/>
    <x v="1"/>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1.7999999999999999E-2"/>
    <s v="increase"/>
    <s v="NA"/>
    <n v="0.05"/>
    <n v="2"/>
    <n v="1.962795497038498"/>
    <n v="1.8162976389793695E-2"/>
    <n v="0.50449987850393641"/>
    <s v="NA"/>
    <s v="NA"/>
    <s v="NA"/>
    <s v="NA"/>
    <n v="40"/>
    <s v="NA"/>
    <n v="841"/>
    <n v="841"/>
    <s v="NA"/>
    <s v="NA"/>
    <n v="235.29"/>
    <s v="from 0,05 to 0,1"/>
    <s v="NA"/>
    <s v="NA"/>
    <s v="NA"/>
    <s v="NA"/>
    <s v="NA"/>
    <s v="NA"/>
    <n v="1"/>
    <n v="1"/>
    <n v="1"/>
    <m/>
    <m/>
    <m/>
    <m/>
    <m/>
    <m/>
    <m/>
    <m/>
    <m/>
    <m/>
    <n v="6.7528109143524445E-2"/>
    <n v="6.7631034648244742E-2"/>
    <n v="1.190451284427091E-3"/>
    <n v="1.1933174224343676E-3"/>
    <s v="NA"/>
    <n v="839"/>
    <s v="NA"/>
  </r>
  <r>
    <x v="0"/>
    <n v="11"/>
    <n v="103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x v="0"/>
    <x v="1"/>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1999999999999998E-2"/>
    <s v="decrease"/>
    <s v="NA"/>
    <n v="0.05"/>
    <n v="2"/>
    <n v="1.962795497038498"/>
    <n v="5.3375742513364743E-2"/>
    <n v="0.51299707145854179"/>
    <s v="NA"/>
    <s v="NA"/>
    <s v="NA"/>
    <s v="NA"/>
    <n v="66"/>
    <s v="NA"/>
    <n v="841"/>
    <n v="841"/>
    <s v="NA"/>
    <s v="NA"/>
    <n v="0"/>
    <n v="0"/>
    <s v="NA"/>
    <s v="NA"/>
    <s v="NA"/>
    <s v="NA"/>
    <s v="NA"/>
    <s v="NA"/>
    <n v="1"/>
    <n v="1"/>
    <n v="1"/>
    <m/>
    <m/>
    <m/>
    <m/>
    <m/>
    <m/>
    <m/>
    <m/>
    <m/>
    <m/>
    <n v="6.7528109143524445E-2"/>
    <n v="6.7631034648244742E-2"/>
    <n v="1.190451284427091E-3"/>
    <n v="1.1933174224343676E-3"/>
    <s v="NA"/>
    <n v="839"/>
    <s v="NA"/>
  </r>
  <r>
    <x v="0"/>
    <n v="11"/>
    <n v="103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x v="0"/>
    <x v="1"/>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2999999999999999E-2"/>
    <s v="increase"/>
    <s v="NA"/>
    <n v="0.05"/>
    <n v="2"/>
    <n v="1.962795497038498"/>
    <n v="5.4429645119355996E-2"/>
    <n v="0.51324689926682643"/>
    <s v="NA"/>
    <s v="NA"/>
    <s v="NA"/>
    <s v="NA"/>
    <n v="60"/>
    <s v="NA"/>
    <n v="841"/>
    <n v="841"/>
    <s v="NA"/>
    <s v="NA"/>
    <n v="0"/>
    <n v="0"/>
    <s v="NA"/>
    <s v="NA"/>
    <s v="NA"/>
    <s v="NA"/>
    <s v="NA"/>
    <s v="NA"/>
    <n v="1"/>
    <n v="1"/>
    <n v="1"/>
    <m/>
    <m/>
    <m/>
    <m/>
    <m/>
    <m/>
    <m/>
    <m/>
    <m/>
    <m/>
    <n v="6.7528109143524445E-2"/>
    <n v="6.7631034648244742E-2"/>
    <n v="1.190451284427091E-3"/>
    <n v="1.1933174224343676E-3"/>
    <s v="NA"/>
    <n v="839"/>
    <s v="NA"/>
  </r>
  <r>
    <x v="0"/>
    <n v="11"/>
    <n v="102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x v="0"/>
    <x v="1"/>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0499999999999999"/>
    <s v="increase"/>
    <s v="NA"/>
    <n v="0.05"/>
    <n v="2"/>
    <n v="1.962795497038498"/>
    <n v="0.2275250649631777"/>
    <n v="0.55107126930734196"/>
    <s v="NA"/>
    <s v="NA"/>
    <s v="NA"/>
    <s v="NA"/>
    <n v="54"/>
    <s v="NA"/>
    <n v="841"/>
    <n v="841"/>
    <s v="NA"/>
    <s v="NA"/>
    <n v="235.29"/>
    <s v="from 0,05 to 0,1"/>
    <s v="NA"/>
    <s v="NA"/>
    <s v="NA"/>
    <s v="NA"/>
    <s v="NA"/>
    <s v="NA"/>
    <n v="1"/>
    <n v="1"/>
    <n v="1"/>
    <m/>
    <m/>
    <m/>
    <m/>
    <m/>
    <m/>
    <m/>
    <m/>
    <m/>
    <m/>
    <n v="6.7528109143524445E-2"/>
    <n v="6.7631034648244742E-2"/>
    <n v="1.190451284427091E-3"/>
    <n v="1.1933174224343676E-3"/>
    <s v="NA"/>
    <n v="839"/>
    <s v="NA"/>
  </r>
  <r>
    <x v="0"/>
    <n v="11"/>
    <n v="102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x v="0"/>
    <x v="1"/>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18"/>
    <s v="increase"/>
    <s v="NA"/>
    <n v="0.05"/>
    <n v="2"/>
    <n v="1.962795497038498"/>
    <n v="0.2435870676190619"/>
    <n v="0.55428518267346782"/>
    <s v="NA"/>
    <s v="NA"/>
    <s v="NA"/>
    <s v="NA"/>
    <n v="48"/>
    <s v="NA"/>
    <n v="841"/>
    <n v="841"/>
    <s v="NA"/>
    <s v="NA"/>
    <n v="235.29"/>
    <s v="from 0,05 to 0,1"/>
    <s v="NA"/>
    <s v="NA"/>
    <s v="NA"/>
    <s v="NA"/>
    <s v="NA"/>
    <s v="NA"/>
    <n v="1"/>
    <n v="1"/>
    <n v="1"/>
    <m/>
    <m/>
    <m/>
    <m/>
    <m/>
    <m/>
    <m/>
    <m/>
    <m/>
    <m/>
    <n v="6.7528109143524445E-2"/>
    <n v="6.7631034648244742E-2"/>
    <n v="1.190451284427091E-3"/>
    <n v="1.1933174224343676E-3"/>
    <s v="NA"/>
    <n v="839"/>
    <s v="NA"/>
  </r>
  <r>
    <x v="0"/>
    <n v="11"/>
    <n v="103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x v="0"/>
    <x v="1"/>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35199999999999998"/>
    <s v="decrease"/>
    <s v="NA"/>
    <n v="0.05"/>
    <n v="2"/>
    <n v="1.962795497038498"/>
    <n v="0.42190852371857734"/>
    <n v="0.58710248954216959"/>
    <s v="NA"/>
    <s v="NA"/>
    <s v="NA"/>
    <s v="NA"/>
    <n v="60"/>
    <s v="NA"/>
    <n v="841"/>
    <n v="841"/>
    <s v="NA"/>
    <s v="NA"/>
    <n v="235.29"/>
    <s v="from 0,05 to 0,1"/>
    <s v="NA"/>
    <s v="NA"/>
    <s v="NA"/>
    <s v="NA"/>
    <s v="NA"/>
    <s v="NA"/>
    <n v="1"/>
    <n v="1"/>
    <n v="1"/>
    <m/>
    <m/>
    <m/>
    <m/>
    <m/>
    <m/>
    <m/>
    <m/>
    <m/>
    <m/>
    <n v="6.7528109143524445E-2"/>
    <n v="6.7631034648244742E-2"/>
    <n v="1.190451284427091E-3"/>
    <n v="1.1933174224343676E-3"/>
    <s v="NA"/>
    <n v="839"/>
    <s v="NA"/>
  </r>
  <r>
    <x v="0"/>
    <n v="11"/>
    <n v="102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x v="0"/>
    <x v="1"/>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6899999999999997"/>
    <s v="increase"/>
    <s v="NA"/>
    <n v="0.05"/>
    <n v="2"/>
    <n v="1.962795497038498"/>
    <n v="0.59839499875464042"/>
    <n v="0.61514704250921037"/>
    <s v="NA"/>
    <s v="NA"/>
    <s v="NA"/>
    <s v="NA"/>
    <n v="48"/>
    <s v="NA"/>
    <n v="841"/>
    <n v="841"/>
    <s v="NA"/>
    <s v="NA"/>
    <n v="0"/>
    <n v="0"/>
    <s v="NA"/>
    <s v="NA"/>
    <s v="NA"/>
    <s v="NA"/>
    <s v="NA"/>
    <s v="NA"/>
    <n v="1"/>
    <n v="1"/>
    <n v="1"/>
    <m/>
    <m/>
    <m/>
    <m/>
    <m/>
    <m/>
    <m/>
    <m/>
    <m/>
    <m/>
    <n v="6.7528109143524445E-2"/>
    <n v="6.7631034648244742E-2"/>
    <n v="1.190451284427091E-3"/>
    <n v="1.1933174224343676E-3"/>
    <s v="NA"/>
    <n v="839"/>
    <s v="NA"/>
  </r>
  <r>
    <x v="0"/>
    <n v="11"/>
    <n v="1029"/>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x v="0"/>
    <x v="1"/>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47199999999999998"/>
    <s v="decrease"/>
    <s v="NA"/>
    <n v="0.05"/>
    <n v="2"/>
    <n v="1.962795497038498"/>
    <n v="0.60319738372657405"/>
    <n v="0.61585702019703836"/>
    <s v="NA"/>
    <s v="NA"/>
    <s v="NA"/>
    <s v="NA"/>
    <n v="66"/>
    <s v="NA"/>
    <n v="841"/>
    <n v="841"/>
    <s v="NA"/>
    <s v="NA"/>
    <n v="235.29"/>
    <s v="from 0,05 to 0,1"/>
    <s v="NA"/>
    <s v="NA"/>
    <s v="NA"/>
    <s v="NA"/>
    <s v="NA"/>
    <s v="NA"/>
    <n v="1"/>
    <n v="1"/>
    <n v="1"/>
    <m/>
    <m/>
    <m/>
    <m/>
    <m/>
    <m/>
    <m/>
    <m/>
    <m/>
    <m/>
    <n v="6.7528109143524445E-2"/>
    <n v="6.7631034648244742E-2"/>
    <n v="1.190451284427091E-3"/>
    <n v="1.1933174224343676E-3"/>
    <s v="NA"/>
    <n v="839"/>
    <s v="NA"/>
  </r>
  <r>
    <x v="0"/>
    <n v="11"/>
    <n v="102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x v="0"/>
    <x v="1"/>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7799999999999998"/>
    <s v="increase"/>
    <s v="NA"/>
    <n v="0.05"/>
    <n v="2"/>
    <n v="1.962795497038498"/>
    <n v="0.61284548338362299"/>
    <n v="0.61727549280679062"/>
    <s v="NA"/>
    <s v="NA"/>
    <s v="NA"/>
    <s v="NA"/>
    <n v="54"/>
    <s v="NA"/>
    <n v="841"/>
    <n v="841"/>
    <s v="NA"/>
    <s v="NA"/>
    <n v="0"/>
    <n v="0"/>
    <s v="NA"/>
    <s v="NA"/>
    <s v="NA"/>
    <s v="NA"/>
    <s v="NA"/>
    <s v="NA"/>
    <n v="1"/>
    <n v="1"/>
    <n v="1"/>
    <m/>
    <m/>
    <m/>
    <m/>
    <m/>
    <m/>
    <m/>
    <m/>
    <m/>
    <m/>
    <n v="6.7528109143524445E-2"/>
    <n v="6.7631034648244742E-2"/>
    <n v="1.190451284427091E-3"/>
    <n v="1.1933174224343676E-3"/>
    <s v="NA"/>
    <n v="839"/>
    <s v="NA"/>
  </r>
  <r>
    <x v="0"/>
    <n v="11"/>
    <n v="1027"/>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x v="0"/>
    <x v="1"/>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84799999999999998"/>
    <s v="increase"/>
    <s v="NA"/>
    <n v="0.05"/>
    <n v="2"/>
    <n v="1.962795497038498"/>
    <n v="1.3349722343978727"/>
    <n v="0.70014742860953705"/>
    <s v="NA"/>
    <s v="NA"/>
    <s v="NA"/>
    <s v="NA"/>
    <n v="40"/>
    <s v="NA"/>
    <n v="841"/>
    <n v="841"/>
    <s v="NA"/>
    <s v="NA"/>
    <n v="0"/>
    <n v="0"/>
    <s v="NA"/>
    <s v="NA"/>
    <s v="NA"/>
    <s v="NA"/>
    <s v="NA"/>
    <s v="NA"/>
    <n v="1"/>
    <n v="1"/>
    <n v="1"/>
    <m/>
    <m/>
    <m/>
    <m/>
    <m/>
    <m/>
    <m/>
    <m/>
    <m/>
    <m/>
    <n v="6.7528109143524445E-2"/>
    <n v="6.7631034648244742E-2"/>
    <n v="1.190451284427091E-3"/>
    <n v="1.1933174224343676E-3"/>
    <s v="NA"/>
    <n v="839"/>
    <s v="NA"/>
  </r>
  <r>
    <x v="0"/>
    <n v="11"/>
    <n v="103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x v="0"/>
    <x v="1"/>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28"/>
    <s v="increase"/>
    <s v="NA"/>
    <n v="0.01"/>
    <n v="1"/>
    <n v="2.5817018839793482"/>
    <n v="1.7954693014284624"/>
    <n v="0.73652797043473905"/>
    <s v="NA"/>
    <s v="NA"/>
    <s v="NA"/>
    <s v="NA"/>
    <n v="66"/>
    <s v="NA"/>
    <n v="841"/>
    <n v="841"/>
    <s v="NA"/>
    <s v="NA"/>
    <n v="470.59"/>
    <s v="from 0,04 to 0,07 "/>
    <s v="NA"/>
    <s v="NA"/>
    <s v="NA"/>
    <s v="NA"/>
    <s v="NA"/>
    <s v="NA"/>
    <n v="1"/>
    <n v="1"/>
    <n v="1"/>
    <m/>
    <m/>
    <m/>
    <m/>
    <m/>
    <m/>
    <m/>
    <m/>
    <m/>
    <m/>
    <n v="8.8673513868765694E-2"/>
    <n v="8.890702958732373E-2"/>
    <n v="1.1904018089446793E-3"/>
    <n v="1.1933174224343676E-3"/>
    <s v="NA"/>
    <n v="839"/>
    <s v="NA"/>
  </r>
  <r>
    <x v="0"/>
    <n v="11"/>
    <n v="103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x v="0"/>
    <x v="1"/>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34"/>
    <s v="increase"/>
    <s v="NA"/>
    <n v="0.01"/>
    <n v="1"/>
    <n v="2.5817018839793482"/>
    <n v="1.8122925364724907"/>
    <n v="0.73769064403297369"/>
    <s v="NA"/>
    <s v="NA"/>
    <s v="NA"/>
    <s v="NA"/>
    <n v="60"/>
    <s v="NA"/>
    <n v="841"/>
    <n v="841"/>
    <s v="NA"/>
    <s v="NA"/>
    <n v="470.59"/>
    <s v="from 0,04 to 0,07 "/>
    <s v="NA"/>
    <s v="NA"/>
    <s v="NA"/>
    <s v="NA"/>
    <s v="NA"/>
    <s v="NA"/>
    <n v="1"/>
    <n v="1"/>
    <n v="1"/>
    <m/>
    <m/>
    <m/>
    <m/>
    <m/>
    <m/>
    <m/>
    <m/>
    <m/>
    <m/>
    <n v="8.8673513868765694E-2"/>
    <n v="8.890702958732373E-2"/>
    <n v="1.1904018089446793E-3"/>
    <n v="1.1933174224343676E-3"/>
    <s v="NA"/>
    <n v="839"/>
    <s v="NA"/>
  </r>
  <r>
    <x v="0"/>
    <n v="11"/>
    <n v="1025"/>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x v="0"/>
    <x v="1"/>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39999999999999"/>
    <s v="increase"/>
    <s v="NA"/>
    <n v="0.01"/>
    <n v="1"/>
    <n v="2.5817018839793482"/>
    <n v="4.3870611767441066"/>
    <n v="0.84343347083615006"/>
    <s v="NA"/>
    <s v="NA"/>
    <s v="NA"/>
    <s v="NA"/>
    <n v="48"/>
    <s v="NA"/>
    <n v="841"/>
    <n v="841"/>
    <s v="NA"/>
    <s v="NA"/>
    <n v="470.59"/>
    <s v="from 0,04 to 0,07 "/>
    <s v="NA"/>
    <s v="NA"/>
    <s v="NA"/>
    <s v="NA"/>
    <s v="NA"/>
    <s v="NA"/>
    <n v="1"/>
    <n v="1"/>
    <n v="1"/>
    <m/>
    <m/>
    <m/>
    <m/>
    <m/>
    <m/>
    <m/>
    <m/>
    <m/>
    <m/>
    <n v="8.8673513868765694E-2"/>
    <n v="8.890702958732373E-2"/>
    <n v="1.1904018089446793E-3"/>
    <n v="1.1933174224343676E-3"/>
    <s v="NA"/>
    <n v="839"/>
    <s v="NA"/>
  </r>
  <r>
    <x v="0"/>
    <n v="11"/>
    <n v="102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x v="0"/>
    <x v="1"/>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79999999999999"/>
    <s v="increase"/>
    <s v="NA"/>
    <n v="0.01"/>
    <n v="1"/>
    <n v="2.5817018839793482"/>
    <n v="4.4086525754599908"/>
    <n v="0.84396095930848247"/>
    <s v="NA"/>
    <s v="NA"/>
    <s v="NA"/>
    <s v="NA"/>
    <n v="54"/>
    <s v="NA"/>
    <n v="841"/>
    <n v="841"/>
    <s v="NA"/>
    <s v="NA"/>
    <n v="470.59"/>
    <s v="from 0,04 to 0,07 "/>
    <s v="NA"/>
    <s v="NA"/>
    <s v="NA"/>
    <s v="NA"/>
    <s v="NA"/>
    <s v="NA"/>
    <n v="1"/>
    <n v="1"/>
    <n v="1"/>
    <m/>
    <m/>
    <m/>
    <m/>
    <m/>
    <m/>
    <m/>
    <m/>
    <m/>
    <m/>
    <n v="8.8673513868765694E-2"/>
    <n v="8.890702958732373E-2"/>
    <n v="1.1904018089446793E-3"/>
    <n v="1.1933174224343676E-3"/>
    <s v="NA"/>
    <n v="839"/>
    <s v="NA"/>
  </r>
  <r>
    <x v="0"/>
    <n v="11"/>
    <n v="1028"/>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x v="0"/>
    <x v="1"/>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8759999999999999"/>
    <s v="increase"/>
    <s v="NA"/>
    <n v="0.01"/>
    <n v="1"/>
    <n v="2.5817018839793482"/>
    <n v="5.5273432009470769"/>
    <n v="0.86715100224549591"/>
    <s v="NA"/>
    <s v="NA"/>
    <s v="NA"/>
    <s v="NA"/>
    <n v="40"/>
    <s v="NA"/>
    <n v="841"/>
    <n v="841"/>
    <s v="NA"/>
    <s v="NA"/>
    <n v="470.59"/>
    <s v="from 0,04 to 0,07 "/>
    <s v="NA"/>
    <s v="NA"/>
    <s v="NA"/>
    <s v="NA"/>
    <s v="NA"/>
    <s v="NA"/>
    <n v="1"/>
    <n v="1"/>
    <n v="1"/>
    <m/>
    <m/>
    <m/>
    <m/>
    <m/>
    <m/>
    <m/>
    <m/>
    <m/>
    <m/>
    <n v="8.8673513868765694E-2"/>
    <n v="8.890702958732373E-2"/>
    <n v="1.1904018089446793E-3"/>
    <n v="1.1933174224343676E-3"/>
    <s v="NA"/>
    <n v="839"/>
    <s v="NA"/>
  </r>
  <r>
    <x v="0"/>
    <n v="12"/>
    <n v="1149"/>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x v="1"/>
    <x v="1"/>
    <n v="0"/>
    <n v="0"/>
    <n v="0"/>
    <n v="0"/>
    <n v="0"/>
    <n v="0"/>
    <s v="environment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1.33"/>
    <s v="increase"/>
    <s v="NA"/>
    <n v="0.01"/>
    <n v="2"/>
    <n v="2.5840895721013624"/>
    <s v="NA"/>
    <m/>
    <s v="NA"/>
    <s v="NA"/>
    <s v="NA"/>
    <s v="NA"/>
    <s v="NA"/>
    <s v="NA"/>
    <n v="599"/>
    <n v="599"/>
    <s v="NA"/>
    <s v="NA"/>
    <s v="NA"/>
    <s v="NA"/>
    <s v="NA"/>
    <s v="NA"/>
    <s v="NA"/>
    <s v="NA"/>
    <s v="NA"/>
    <s v="NA"/>
    <n v="0"/>
    <n v="0"/>
    <n v="1"/>
    <m/>
    <m/>
    <m/>
    <m/>
    <m/>
    <m/>
    <m/>
    <m/>
    <m/>
    <m/>
    <n v="0.10499940460515129"/>
    <n v="0.10538784580628262"/>
    <n v="1.6720345208693912E-3"/>
    <n v="1.6778523489932886E-3"/>
    <s v="NA"/>
    <n v="597"/>
    <s v="NA"/>
  </r>
  <r>
    <x v="0"/>
    <n v="12"/>
    <n v="1150"/>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x v="1"/>
    <x v="1"/>
    <n v="0"/>
    <n v="0"/>
    <n v="0"/>
    <n v="0"/>
    <n v="0"/>
    <n v="0"/>
    <s v="financi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2.82"/>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1"/>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x v="1"/>
    <x v="0"/>
    <n v="0"/>
    <n v="0"/>
    <n v="0"/>
    <n v="0"/>
    <n v="0"/>
    <n v="0"/>
    <s v="environment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09"/>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2"/>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x v="1"/>
    <x v="0"/>
    <n v="0"/>
    <n v="0"/>
    <n v="0"/>
    <n v="0"/>
    <n v="0"/>
    <n v="0"/>
    <s v="financi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63"/>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2"/>
    <m/>
    <n v="1261"/>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x v="0"/>
    <x v="0"/>
    <n v="0"/>
    <n v="0"/>
    <n v="0"/>
    <n v="0"/>
    <n v="0"/>
    <n v="0"/>
    <s v="in the model, the treated group is the reference category, therefore the results are counterintuitive. "/>
    <n v="1"/>
    <n v="0"/>
    <n v="0"/>
    <n v="0"/>
    <n v="0"/>
    <n v="0"/>
    <n v="0"/>
    <n v="0"/>
    <n v="0"/>
    <s v="WTP"/>
    <x v="2"/>
    <s v="WTP"/>
    <s v="NA"/>
    <n v="0.66400000000000003"/>
    <s v="decrease"/>
    <s v="NA"/>
    <n v="0.1"/>
    <n v="2"/>
    <s v="NA"/>
    <s v="NA"/>
    <m/>
    <s v="NA"/>
    <s v="NA"/>
    <s v="NA"/>
    <s v="NA"/>
    <s v="NA"/>
    <s v="NA"/>
    <n v="605"/>
    <n v="605"/>
    <s v="NA"/>
    <s v="NA"/>
    <s v="NA"/>
    <s v="NA"/>
    <s v="NA"/>
    <s v="NA"/>
    <s v="NA"/>
    <s v="NA"/>
    <s v="NA"/>
    <s v="NA"/>
    <n v="0"/>
    <n v="1"/>
    <n v="0"/>
    <m/>
    <m/>
    <m/>
    <m/>
    <m/>
    <m/>
    <m/>
    <m/>
    <m/>
    <m/>
    <e v="#VALUE!"/>
    <e v="#VALUE!"/>
    <e v="#VALUE!"/>
    <n v="1.6611295681063123E-3"/>
    <m/>
    <m/>
    <m/>
  </r>
  <r>
    <x v="2"/>
    <m/>
    <n v="1262"/>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x v="0"/>
    <x v="0"/>
    <n v="0"/>
    <n v="0"/>
    <n v="0"/>
    <n v="0"/>
    <n v="0"/>
    <n v="0"/>
    <s v="in the model, the treated group is the reference category, therefore the results are counterintuitive. "/>
    <n v="0"/>
    <n v="0"/>
    <n v="0"/>
    <n v="0"/>
    <n v="0"/>
    <n v="0"/>
    <n v="0"/>
    <n v="1"/>
    <n v="0"/>
    <s v="WTP"/>
    <x v="2"/>
    <s v="WTP"/>
    <s v="NA"/>
    <n v="6.96"/>
    <s v="increase"/>
    <s v="NA"/>
    <n v="0.05"/>
    <n v="1"/>
    <s v="NA"/>
    <s v="NA"/>
    <m/>
    <s v="NA"/>
    <s v="NA"/>
    <s v="NA"/>
    <s v="NA"/>
    <s v="NA"/>
    <s v="NA"/>
    <n v="605"/>
    <n v="605"/>
    <s v="NA"/>
    <s v="NA"/>
    <s v="NA"/>
    <s v="NA"/>
    <s v="NA"/>
    <s v="NA"/>
    <s v="NA"/>
    <s v="NA"/>
    <s v="NA"/>
    <s v="NA"/>
    <n v="0"/>
    <n v="1"/>
    <n v="0"/>
    <m/>
    <m/>
    <m/>
    <m/>
    <m/>
    <m/>
    <m/>
    <m/>
    <m/>
    <m/>
    <e v="#VALUE!"/>
    <e v="#VALUE!"/>
    <e v="#VALUE!"/>
    <n v="1.6611295681063123E-3"/>
    <m/>
    <m/>
    <m/>
  </r>
  <r>
    <x v="2"/>
    <m/>
    <n v="1263"/>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x v="0"/>
    <x v="0"/>
    <n v="0"/>
    <n v="0"/>
    <n v="0"/>
    <n v="0"/>
    <n v="0"/>
    <n v="0"/>
    <s v="in the model, the treated group is the reference category, therefore the results are counterintuitive. "/>
    <n v="0"/>
    <n v="0"/>
    <n v="0"/>
    <n v="0"/>
    <n v="0"/>
    <n v="0"/>
    <n v="0"/>
    <n v="0"/>
    <n v="1"/>
    <s v="WTP"/>
    <x v="2"/>
    <s v="WTP"/>
    <s v="NA"/>
    <n v="1.591"/>
    <s v="increase"/>
    <s v="NA"/>
    <n v="0.1"/>
    <n v="2"/>
    <s v="NA"/>
    <s v="NA"/>
    <m/>
    <s v="NA"/>
    <s v="NA"/>
    <s v="NA"/>
    <s v="NA"/>
    <s v="NA"/>
    <s v="NA"/>
    <n v="605"/>
    <n v="605"/>
    <s v="NA"/>
    <s v="NA"/>
    <s v="NA"/>
    <s v="NA"/>
    <s v="NA"/>
    <s v="NA"/>
    <s v="NA"/>
    <s v="NA"/>
    <s v="NA"/>
    <s v="NA"/>
    <n v="0"/>
    <n v="1"/>
    <n v="0"/>
    <m/>
    <m/>
    <m/>
    <m/>
    <m/>
    <m/>
    <m/>
    <m/>
    <m/>
    <m/>
    <e v="#VALUE!"/>
    <e v="#VALUE!"/>
    <e v="#VALUE!"/>
    <n v="1.6611295681063123E-3"/>
    <m/>
    <m/>
    <m/>
  </r>
  <r>
    <x v="2"/>
    <m/>
    <n v="1264"/>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x v="0"/>
    <x v="0"/>
    <n v="0"/>
    <n v="0"/>
    <n v="0"/>
    <n v="0"/>
    <n v="0"/>
    <n v="0"/>
    <s v="in the model, the treated group is the reference category, therefore the results are counterintuitive. "/>
    <n v="0"/>
    <n v="0"/>
    <n v="0"/>
    <n v="0"/>
    <n v="0"/>
    <n v="1"/>
    <n v="0"/>
    <n v="0"/>
    <n v="0"/>
    <s v="WTP"/>
    <x v="2"/>
    <s v="WTP"/>
    <s v="NA"/>
    <n v="1.585"/>
    <s v="increase"/>
    <s v="NA"/>
    <n v="0.01"/>
    <n v="1"/>
    <s v="NA"/>
    <s v="NA"/>
    <m/>
    <s v="NA"/>
    <s v="NA"/>
    <s v="NA"/>
    <s v="NA"/>
    <s v="NA"/>
    <s v="NA"/>
    <n v="605"/>
    <n v="605"/>
    <s v="NA"/>
    <s v="NA"/>
    <s v="NA"/>
    <s v="NA"/>
    <s v="NA"/>
    <s v="NA"/>
    <s v="NA"/>
    <s v="NA"/>
    <s v="NA"/>
    <s v="NA"/>
    <n v="0"/>
    <n v="1"/>
    <n v="0"/>
    <m/>
    <m/>
    <m/>
    <m/>
    <m/>
    <m/>
    <m/>
    <m/>
    <m/>
    <m/>
    <e v="#VALUE!"/>
    <e v="#VALUE!"/>
    <e v="#VALUE!"/>
    <n v="1.6611295681063123E-3"/>
    <m/>
    <m/>
    <m/>
  </r>
  <r>
    <x v="2"/>
    <m/>
    <n v="1265"/>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x v="0"/>
    <x v="0"/>
    <n v="0"/>
    <n v="0"/>
    <n v="0"/>
    <n v="0"/>
    <n v="0"/>
    <n v="0"/>
    <s v="in the model, the treated group is the reference category, therefore the results are counterintuitive. "/>
    <n v="0"/>
    <n v="0"/>
    <n v="0"/>
    <n v="1"/>
    <n v="0"/>
    <n v="0"/>
    <n v="0"/>
    <n v="0"/>
    <n v="0"/>
    <s v="WTP"/>
    <x v="2"/>
    <s v="WTP"/>
    <s v="NA"/>
    <n v="1.7"/>
    <s v="decrease"/>
    <s v="NA"/>
    <n v="0.1"/>
    <n v="2"/>
    <s v="NA"/>
    <s v="NA"/>
    <m/>
    <s v="NA"/>
    <s v="NA"/>
    <s v="NA"/>
    <s v="NA"/>
    <s v="NA"/>
    <s v="NA"/>
    <n v="605"/>
    <n v="605"/>
    <s v="NA"/>
    <s v="NA"/>
    <s v="NA"/>
    <s v="NA"/>
    <s v="NA"/>
    <s v="NA"/>
    <s v="NA"/>
    <s v="NA"/>
    <s v="NA"/>
    <s v="NA"/>
    <n v="0"/>
    <n v="1"/>
    <n v="0"/>
    <m/>
    <m/>
    <m/>
    <m/>
    <m/>
    <m/>
    <m/>
    <m/>
    <m/>
    <m/>
    <e v="#VALUE!"/>
    <e v="#VALUE!"/>
    <e v="#VALUE!"/>
    <n v="1.6611295681063123E-3"/>
    <m/>
    <m/>
    <m/>
  </r>
  <r>
    <x v="0"/>
    <m/>
    <s v="NA"/>
    <s v="NA"/>
    <s v="Harrington"/>
    <n v="2017"/>
    <s v="Quantifying energy savings from replacement of old refrigerators"/>
    <s v="energy consumption of refrigerating appliances in the field, the data is very complex and difficult to interpret. Field data _x000a_measured in houses has constantly fluctuating room temperatures and is subject to somewhat random interactions with _x000a_householders through door openings and the placement of food and drinks to be cooled. Another problem with field data is that _x000a_household indoor temperatures are quite seasonal and significant periods of data are required to quantify these effects. _x000a_This paper analyses the results of 21 refrigerator replacements that have occurred in Melbourne, Gippsland (Victoria) and"/>
    <n v="1"/>
    <m/>
    <x v="8"/>
    <s v="check maybe they have aggregate results in supplementary materials?"/>
    <x v="6"/>
    <x v="4"/>
    <x v="5"/>
    <m/>
    <m/>
    <m/>
    <m/>
    <m/>
    <m/>
    <m/>
    <m/>
    <s v="small sample size, no statistical analysis of the results, only descriptive statistics for each household"/>
    <x v="2"/>
    <x v="2"/>
    <m/>
    <m/>
    <m/>
    <m/>
    <m/>
    <m/>
    <m/>
    <m/>
    <m/>
    <m/>
    <m/>
    <m/>
    <m/>
    <m/>
    <m/>
    <m/>
    <m/>
    <x v="3"/>
    <m/>
    <m/>
    <m/>
    <m/>
    <m/>
    <m/>
    <m/>
    <m/>
    <m/>
    <m/>
    <m/>
    <m/>
    <m/>
    <m/>
    <m/>
    <m/>
    <m/>
    <m/>
    <m/>
    <m/>
    <m/>
    <m/>
    <m/>
    <m/>
    <m/>
    <m/>
    <m/>
    <m/>
    <m/>
    <m/>
    <m/>
    <m/>
    <m/>
    <m/>
    <m/>
    <m/>
    <m/>
    <m/>
    <m/>
    <m/>
    <m/>
    <m/>
    <m/>
    <m/>
    <m/>
    <m/>
    <m/>
    <m/>
  </r>
  <r>
    <x v="0"/>
    <n v="13"/>
    <n v="1121"/>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x v="0"/>
    <x v="1"/>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2.17"/>
    <s v="increase"/>
    <n v="0.11"/>
    <n v="0.01"/>
    <n v="1"/>
    <n v="19.727272727272727"/>
    <n v="7.7582840407408344"/>
    <n v="0.89752296655590269"/>
    <s v="NA"/>
    <s v="NA"/>
    <s v="NA"/>
    <s v="NA"/>
    <s v="NA"/>
    <s v="NA"/>
    <n v="97"/>
    <n v="1164"/>
    <s v="NA"/>
    <s v="NA"/>
    <s v="NA"/>
    <s v="NA"/>
    <s v="NA"/>
    <n v="0"/>
    <s v="NA"/>
    <n v="0"/>
    <s v="NA"/>
    <s v="alphabetical with +"/>
    <n v="0"/>
    <n v="0"/>
    <n v="1"/>
    <m/>
    <m/>
    <m/>
    <m/>
    <m/>
    <m/>
    <m/>
    <m/>
    <m/>
    <m/>
    <n v="0.89469513235852893"/>
    <n v="1.4449767900329058"/>
    <n v="-3.4995503034195442E-2"/>
    <n v="1.0638297872340425E-2"/>
    <s v="NA"/>
    <n v="96"/>
    <s v="NA"/>
  </r>
  <r>
    <x v="0"/>
    <n v="13"/>
    <n v="1120"/>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x v="0"/>
    <x v="1"/>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3.18"/>
    <s v="increase"/>
    <n v="0.13"/>
    <n v="0.01"/>
    <n v="1"/>
    <n v="24.461538461538463"/>
    <n v="23.046753552064498"/>
    <n v="0.96007466604718616"/>
    <s v="NA"/>
    <s v="NA"/>
    <s v="NA"/>
    <s v="NA"/>
    <s v="NA"/>
    <s v="NA"/>
    <n v="90"/>
    <n v="1080"/>
    <s v="NA"/>
    <s v="NA"/>
    <s v="NA"/>
    <s v="NA"/>
    <s v="NA"/>
    <n v="0"/>
    <s v="NA"/>
    <n v="0"/>
    <s v="NA"/>
    <s v="alphabetical"/>
    <n v="0"/>
    <n v="0"/>
    <n v="1"/>
    <m/>
    <m/>
    <m/>
    <m/>
    <m/>
    <m/>
    <m/>
    <m/>
    <m/>
    <m/>
    <n v="0.93233886735311322"/>
    <n v="1.6759872465436003"/>
    <n v="-7.7416921417931925E-2"/>
    <n v="1.1494252873563218E-2"/>
    <s v="NA"/>
    <n v="89"/>
    <s v="NA"/>
  </r>
  <r>
    <x v="0"/>
    <n v="13"/>
    <n v="1134"/>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4"/>
    <s v="NA"/>
    <s v="NA"/>
    <e v="#VALUE!"/>
    <n v="0.33700000000000002"/>
    <e v="#NUM!"/>
    <s v="NA"/>
    <s v="NA"/>
    <s v="NA"/>
    <s v="NA"/>
    <s v="NA"/>
    <s v="NA"/>
    <n v="90"/>
    <n v="1080"/>
    <s v="NA"/>
    <s v="NA"/>
    <s v="NA"/>
    <s v="NA"/>
    <s v="NA"/>
    <n v="0"/>
    <s v="NA"/>
    <n v="0"/>
    <s v="NA"/>
    <s v="alphabetical"/>
    <n v="0"/>
    <n v="0"/>
    <n v="0"/>
    <m/>
    <m/>
    <m/>
    <m/>
    <m/>
    <m/>
    <m/>
    <m/>
    <m/>
    <m/>
    <n v="4.2087673934074338E-2"/>
    <n v="4.2112551359627833E-2"/>
    <n v="1.123591971702094E-2"/>
    <n v="1.1494252873563218E-2"/>
    <n v="8.4250000000000005E-2"/>
    <n v="89"/>
    <s v="NA"/>
  </r>
  <r>
    <x v="0"/>
    <n v="13"/>
    <n v="1135"/>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2.1"/>
    <s v="NA"/>
    <s v="NA"/>
    <e v="#VALUE!"/>
    <n v="7.4999999999999997E-2"/>
    <e v="#NUM!"/>
    <s v="NA"/>
    <s v="NA"/>
    <s v="NA"/>
    <s v="NA"/>
    <s v="NA"/>
    <s v="NA"/>
    <n v="97"/>
    <n v="1164"/>
    <s v="NA"/>
    <s v="NA"/>
    <s v="NA"/>
    <s v="NA"/>
    <s v="NA"/>
    <n v="0"/>
    <s v="NA"/>
    <n v="0"/>
    <s v="NA"/>
    <s v="alphabetical with +"/>
    <n v="0"/>
    <n v="0"/>
    <n v="0"/>
    <m/>
    <m/>
    <m/>
    <m/>
    <m/>
    <m/>
    <m/>
    <m/>
    <m/>
    <m/>
    <n v="1.785429641688294E-2"/>
    <n v="1.7856193952969043E-2"/>
    <n v="1.0416665607694988E-2"/>
    <n v="1.0638297872340425E-2"/>
    <n v="3.5714285714285712E-2"/>
    <n v="96"/>
    <s v="NA"/>
  </r>
  <r>
    <x v="0"/>
    <n v="13"/>
    <n v="1136"/>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2.6"/>
    <s v="NA"/>
    <s v="NA"/>
    <e v="#VALUE!"/>
    <n v="0.191"/>
    <e v="#NUM!"/>
    <s v="NA"/>
    <s v="NA"/>
    <s v="NA"/>
    <s v="NA"/>
    <s v="NA"/>
    <s v="NA"/>
    <n v="90"/>
    <n v="1080"/>
    <s v="NA"/>
    <s v="NA"/>
    <s v="NA"/>
    <s v="NA"/>
    <s v="NA"/>
    <n v="0"/>
    <s v="NA"/>
    <n v="0"/>
    <s v="NA"/>
    <s v="alphabetical"/>
    <n v="0"/>
    <n v="0"/>
    <n v="0"/>
    <m/>
    <m/>
    <m/>
    <m/>
    <m/>
    <m/>
    <m/>
    <m/>
    <m/>
    <m/>
    <n v="3.6706016626389615E-2"/>
    <n v="3.6722515025129569E-2"/>
    <n v="1.1235934622825631E-2"/>
    <n v="1.1494252873563218E-2"/>
    <n v="7.3461538461538467E-2"/>
    <n v="89"/>
    <s v="NA"/>
  </r>
  <r>
    <x v="0"/>
    <n v="13"/>
    <n v="1137"/>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3.1"/>
    <s v="NA"/>
    <s v="NA"/>
    <e v="#VALUE!"/>
    <n v="0.214"/>
    <e v="#NUM!"/>
    <s v="NA"/>
    <s v="NA"/>
    <s v="NA"/>
    <s v="NA"/>
    <s v="NA"/>
    <s v="NA"/>
    <n v="97"/>
    <n v="1164"/>
    <s v="NA"/>
    <s v="NA"/>
    <s v="NA"/>
    <s v="NA"/>
    <s v="NA"/>
    <n v="0"/>
    <s v="NA"/>
    <n v="0"/>
    <s v="NA"/>
    <s v="alphabetical with +"/>
    <n v="0"/>
    <n v="0"/>
    <n v="0"/>
    <m/>
    <m/>
    <m/>
    <m/>
    <m/>
    <m/>
    <m/>
    <m/>
    <m/>
    <m/>
    <n v="3.4495586763078345E-2"/>
    <n v="3.4509279163151156E-2"/>
    <n v="1.0416651893543523E-2"/>
    <n v="1.0638297872340425E-2"/>
    <n v="6.9032258064516128E-2"/>
    <n v="96"/>
    <s v="NA"/>
  </r>
  <r>
    <x v="0"/>
    <n v="13"/>
    <n v="1138"/>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2.8"/>
    <s v="NA"/>
    <s v="NA"/>
    <e v="#VALUE!"/>
    <n v="0.16500000000000001"/>
    <e v="#NUM!"/>
    <s v="NA"/>
    <s v="NA"/>
    <s v="NA"/>
    <s v="NA"/>
    <s v="NA"/>
    <s v="NA"/>
    <n v="90"/>
    <n v="1080"/>
    <s v="NA"/>
    <s v="NA"/>
    <s v="NA"/>
    <s v="NA"/>
    <s v="NA"/>
    <n v="0"/>
    <s v="NA"/>
    <n v="0"/>
    <s v="NA"/>
    <s v="alphabetical"/>
    <n v="0"/>
    <n v="0"/>
    <n v="0"/>
    <m/>
    <m/>
    <m/>
    <m/>
    <m/>
    <m/>
    <m/>
    <m/>
    <m/>
    <m/>
    <n v="2.9451504412310325E-2"/>
    <n v="2.946002417111681E-2"/>
    <n v="1.1235946592828075E-2"/>
    <n v="1.1494252873563218E-2"/>
    <n v="5.8928571428571434E-2"/>
    <n v="89"/>
    <s v="NA"/>
  </r>
  <r>
    <x v="0"/>
    <n v="13"/>
    <n v="1139"/>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3.2"/>
    <s v="NA"/>
    <s v="NA"/>
    <e v="#VALUE!"/>
    <n v="0.254"/>
    <e v="#NUM!"/>
    <s v="NA"/>
    <s v="NA"/>
    <s v="NA"/>
    <s v="NA"/>
    <s v="NA"/>
    <s v="NA"/>
    <n v="97"/>
    <n v="1164"/>
    <s v="NA"/>
    <s v="NA"/>
    <s v="NA"/>
    <s v="NA"/>
    <s v="NA"/>
    <n v="0"/>
    <s v="NA"/>
    <n v="0"/>
    <s v="NA"/>
    <s v="alphabetical with +"/>
    <n v="0"/>
    <n v="0"/>
    <n v="0"/>
    <m/>
    <m/>
    <m/>
    <m/>
    <m/>
    <m/>
    <m/>
    <m/>
    <m/>
    <m/>
    <n v="3.9656281030740814E-2"/>
    <n v="3.9677088763029514E-2"/>
    <n v="1.0416640850725469E-2"/>
    <n v="1.0638297872340425E-2"/>
    <n v="7.9375000000000001E-2"/>
    <n v="96"/>
    <s v="NA"/>
  </r>
  <r>
    <x v="0"/>
    <n v="13"/>
    <n v="1140"/>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4.0999999999999996"/>
    <s v="NA"/>
    <s v="NA"/>
    <e v="#VALUE!"/>
    <n v="0.30880000000000002"/>
    <e v="#NUM!"/>
    <s v="NA"/>
    <s v="NA"/>
    <s v="NA"/>
    <s v="NA"/>
    <s v="NA"/>
    <s v="NA"/>
    <n v="90"/>
    <n v="1080"/>
    <s v="NA"/>
    <s v="NA"/>
    <s v="NA"/>
    <s v="NA"/>
    <s v="NA"/>
    <n v="0"/>
    <s v="NA"/>
    <n v="0"/>
    <s v="NA"/>
    <s v="alphabetical"/>
    <n v="0"/>
    <n v="0"/>
    <n v="0"/>
    <m/>
    <m/>
    <m/>
    <m/>
    <m/>
    <m/>
    <m/>
    <m/>
    <m/>
    <m/>
    <n v="3.7631861937430795E-2"/>
    <n v="3.7649641255509014E-2"/>
    <n v="1.1235932479848823E-2"/>
    <n v="1.1494252873563218E-2"/>
    <n v="7.5317073170731719E-2"/>
    <n v="89"/>
    <s v="NA"/>
  </r>
  <r>
    <x v="0"/>
    <n v="13"/>
    <n v="1141"/>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x v="0"/>
    <x v="1"/>
    <n v="1"/>
    <n v="0"/>
    <n v="0"/>
    <n v="0"/>
    <n v="0"/>
    <n v="0"/>
    <s v="NA"/>
    <n v="0"/>
    <n v="0"/>
    <n v="0"/>
    <n v="0"/>
    <n v="0"/>
    <n v="0"/>
    <n v="0"/>
    <n v="0"/>
    <n v="1"/>
    <s v="Baysian Hierarchical modeling"/>
    <x v="0"/>
    <s v="choice of a high-efficiency appliance"/>
    <s v="dummy (0/1)"/>
    <e v="#NUM!"/>
    <s v="increase"/>
    <n v="4.3"/>
    <s v="NA"/>
    <s v="NA"/>
    <e v="#VALUE!"/>
    <n v="0.45700000000000002"/>
    <e v="#NUM!"/>
    <s v="NA"/>
    <s v="NA"/>
    <s v="NA"/>
    <s v="NA"/>
    <s v="NA"/>
    <s v="NA"/>
    <n v="97"/>
    <n v="1164"/>
    <s v="NA"/>
    <s v="NA"/>
    <s v="NA"/>
    <s v="NA"/>
    <s v="NA"/>
    <n v="0"/>
    <s v="NA"/>
    <n v="0"/>
    <s v="NA"/>
    <s v="alphabetical with +"/>
    <n v="0"/>
    <n v="0"/>
    <n v="0"/>
    <m/>
    <m/>
    <m/>
    <m/>
    <m/>
    <m/>
    <m/>
    <m/>
    <m/>
    <m/>
    <n v="5.306466542985009E-2"/>
    <n v="5.3114557283637655E-2"/>
    <n v="1.0416583761226261E-2"/>
    <n v="1.0638297872340425E-2"/>
    <n v="0.10627906976744186"/>
    <n v="96"/>
    <s v="NA"/>
  </r>
  <r>
    <x v="0"/>
    <m/>
    <s v="NA"/>
    <s v="NA"/>
    <s v="Hirst, Carney, O'Neal"/>
    <n v="1979"/>
    <s v="Alternative technologies for US residential water heating. Energy savings and economic benefits"/>
    <m/>
    <m/>
    <m/>
    <x v="9"/>
    <m/>
    <x v="6"/>
    <x v="4"/>
    <x v="5"/>
    <m/>
    <m/>
    <m/>
    <m/>
    <m/>
    <m/>
    <m/>
    <m/>
    <m/>
    <x v="2"/>
    <x v="2"/>
    <m/>
    <m/>
    <m/>
    <m/>
    <m/>
    <m/>
    <m/>
    <m/>
    <m/>
    <m/>
    <m/>
    <m/>
    <m/>
    <m/>
    <m/>
    <m/>
    <m/>
    <x v="3"/>
    <m/>
    <m/>
    <m/>
    <m/>
    <m/>
    <m/>
    <m/>
    <m/>
    <m/>
    <m/>
    <m/>
    <m/>
    <m/>
    <m/>
    <m/>
    <m/>
    <m/>
    <m/>
    <m/>
    <m/>
    <m/>
    <m/>
    <m/>
    <m/>
    <m/>
    <m/>
    <m/>
    <m/>
    <m/>
    <m/>
    <m/>
    <m/>
    <m/>
    <m/>
    <m/>
    <m/>
    <m/>
    <m/>
    <m/>
    <m/>
    <m/>
    <m/>
    <m/>
    <m/>
    <m/>
    <m/>
    <m/>
    <m/>
  </r>
  <r>
    <x v="2"/>
    <m/>
    <n v="1254"/>
    <n v="402"/>
    <s v="Hlakotsa, Lencwe, Ngobeni, Chowdhury"/>
    <n v="2019"/>
    <s v="Energy Efficient Water Heating using Air Source Heat Pumps"/>
    <s v="The objective of the project is to save electricity on water heating by means of measuring, verifying the energy consumption, demand and energy cost savings, as well as emission impacts. Calculations for sizing the heat pumps to match the electricity boilers output were conducted. Measured data was captured in Microsoft excel toolkit to calculate the electricity energy savings. These were achieved through replacement of conventional water heating electrical boilers with heat pumps, which is an energy efficient water heating technology at Ben Eden Ben Avon residential complex. The complex consist of 153 apartments at Benmore Gardens, Parkmore. Therefore, the contribution of these paper is to determine the energy savings and achieve Demand Side Management for Eskom, thus, ensuring clients benefit financially through reduced monthly electricity consumption. Furthermore, strain will be reduced from the electricity utility network system. The project is classified as an Energy Efficiency and the targeted equipment is of a 140 kW and 180 kW element water boilers at the Ben Avon Ben Eden residential buildings basement."/>
    <n v="1"/>
    <s v="NA"/>
    <x v="8"/>
    <n v="6"/>
    <x v="17"/>
    <x v="0"/>
    <x v="18"/>
    <s v="revealed preference"/>
    <s v="household"/>
    <s v="residents"/>
    <n v="1"/>
    <s v="no such option"/>
    <n v="0"/>
    <s v="probably yes"/>
    <s v="probably no"/>
    <s v="conducted in an apartment complex, no random selection"/>
    <x v="0"/>
    <x v="1"/>
    <n v="0"/>
    <n v="0"/>
    <n v="0"/>
    <n v="0"/>
    <n v="0"/>
    <n v="0"/>
    <s v="Replacement of water heaters"/>
    <n v="0"/>
    <n v="0"/>
    <n v="0"/>
    <n v="0"/>
    <n v="0"/>
    <n v="0"/>
    <n v="1"/>
    <n v="0"/>
    <n v="0"/>
    <s v="average savings reported in conclusion"/>
    <x v="1"/>
    <s v="monthly energy savings in kW"/>
    <s v="NA"/>
    <n v="100"/>
    <s v="increase"/>
    <s v="NA"/>
    <s v="NA"/>
    <s v="NA"/>
    <s v="NA"/>
    <s v="NA"/>
    <m/>
    <s v="NA"/>
    <s v="NA"/>
    <s v="NA"/>
    <s v="NA"/>
    <n v="1"/>
    <n v="0"/>
    <n v="1"/>
    <n v="1"/>
    <s v="NA"/>
    <s v="NA"/>
    <s v="NA"/>
    <s v="NA"/>
    <s v="NA"/>
    <s v="NA"/>
    <s v="NA"/>
    <s v="NA"/>
    <s v="NA"/>
    <s v="NA"/>
    <n v="0"/>
    <n v="0"/>
    <n v="0"/>
    <m/>
    <m/>
    <m/>
    <m/>
    <m/>
    <m/>
    <m/>
    <m/>
    <m/>
    <m/>
    <m/>
    <m/>
    <m/>
    <m/>
    <m/>
    <m/>
    <m/>
  </r>
  <r>
    <x v="0"/>
    <m/>
    <n v="1090"/>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0"/>
    <n v="0"/>
    <n v="0"/>
    <n v="1"/>
    <n v="0"/>
    <n v="0"/>
    <n v="0"/>
    <n v="0"/>
    <n v="0"/>
    <s v="NA"/>
    <x v="4"/>
    <s v="energy star market share"/>
    <s v="log scale"/>
    <n v="0.1"/>
    <s v="increase"/>
    <n v="2.1000000000000001E-2"/>
    <s v="NA"/>
    <n v="3"/>
    <n v="4.7619047619047619"/>
    <s v="NA"/>
    <m/>
    <s v="NA"/>
    <s v="NA"/>
    <s v="NA"/>
    <s v="NA"/>
    <s v="NA"/>
    <s v="NA"/>
    <n v="12450"/>
    <n v="12450"/>
    <s v="NA"/>
    <s v="NA"/>
    <n v="128"/>
    <n v="0.1"/>
    <s v="delayed"/>
    <s v="NA"/>
    <s v="NA"/>
    <s v="NA"/>
    <s v="NA"/>
    <s v="NA"/>
    <n v="0"/>
    <n v="1"/>
    <n v="0"/>
    <m/>
    <m/>
    <m/>
    <m/>
    <m/>
    <m/>
    <m/>
    <m/>
    <m/>
    <m/>
    <n v="4.2638399008658186E-2"/>
    <n v="4.2664266571193814E-2"/>
    <n v="8.0327471019973139E-5"/>
    <n v="8.0340644331967548E-5"/>
    <m/>
    <m/>
    <m/>
  </r>
  <r>
    <x v="0"/>
    <m/>
    <n v="1091"/>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0"/>
    <n v="0"/>
    <n v="0"/>
    <n v="1"/>
    <n v="0"/>
    <n v="0"/>
    <n v="0"/>
    <n v="0"/>
    <n v="0"/>
    <s v="NA"/>
    <x v="4"/>
    <s v="energy star market share"/>
    <s v="log scale"/>
    <n v="1.2E-2"/>
    <s v="increase"/>
    <n v="6.0000000000000001E-3"/>
    <s v="NA"/>
    <n v="3"/>
    <n v="2"/>
    <s v="NA"/>
    <m/>
    <s v="NA"/>
    <s v="NA"/>
    <s v="NA"/>
    <s v="NA"/>
    <s v="NA"/>
    <s v="NA"/>
    <n v="12450"/>
    <n v="12450"/>
    <s v="NA"/>
    <s v="NA"/>
    <n v="128"/>
    <n v="0.1"/>
    <s v="delayed"/>
    <s v="NA"/>
    <s v="NA"/>
    <s v="NA"/>
    <s v="NA"/>
    <s v="NA"/>
    <n v="0"/>
    <n v="1"/>
    <n v="0"/>
    <m/>
    <m/>
    <m/>
    <m/>
    <m/>
    <m/>
    <m/>
    <m/>
    <m/>
    <m/>
    <n v="1.7921549865299986E-2"/>
    <n v="1.7923468927909639E-2"/>
    <n v="8.0327728877657888E-5"/>
    <n v="8.0340644331967548E-5"/>
    <m/>
    <m/>
    <m/>
  </r>
  <r>
    <x v="0"/>
    <m/>
    <n v="1092"/>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0"/>
    <n v="0"/>
    <n v="0"/>
    <n v="1"/>
    <n v="0"/>
    <n v="0"/>
    <n v="0"/>
    <n v="0"/>
    <n v="0"/>
    <s v="NA"/>
    <x v="4"/>
    <s v="energy star market share"/>
    <s v="log scale"/>
    <n v="8.5000000000000006E-3"/>
    <s v="decrease"/>
    <n v="5.0000000000000001E-3"/>
    <s v="NA"/>
    <n v="3"/>
    <n v="1.7000000000000002"/>
    <s v="NA"/>
    <m/>
    <s v="NA"/>
    <s v="NA"/>
    <s v="NA"/>
    <s v="NA"/>
    <s v="NA"/>
    <s v="NA"/>
    <n v="12450"/>
    <n v="12450"/>
    <s v="NA"/>
    <s v="NA"/>
    <n v="128"/>
    <n v="0.1"/>
    <s v="delayed"/>
    <s v="NA"/>
    <s v="NA"/>
    <s v="NA"/>
    <s v="NA"/>
    <s v="NA"/>
    <n v="0"/>
    <n v="1"/>
    <n v="0"/>
    <m/>
    <m/>
    <m/>
    <m/>
    <m/>
    <m/>
    <m/>
    <m/>
    <m/>
    <m/>
    <n v="1.5233996288374733E-2"/>
    <n v="1.5235174927247961E-2"/>
    <n v="8.0327732839962263E-5"/>
    <n v="8.0340644331967548E-5"/>
    <m/>
    <m/>
    <m/>
  </r>
  <r>
    <x v="0"/>
    <m/>
    <n v="1093"/>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1"/>
    <n v="0"/>
    <n v="0"/>
    <n v="0"/>
    <n v="0"/>
    <n v="0"/>
    <n v="0"/>
    <n v="0"/>
    <n v="0"/>
    <s v="NA"/>
    <x v="4"/>
    <s v="energy star market share"/>
    <s v="log scale"/>
    <n v="6.7000000000000004E-2"/>
    <s v="increase"/>
    <n v="1.6E-2"/>
    <s v="NA"/>
    <n v="3"/>
    <n v="0.53125"/>
    <s v="NA"/>
    <m/>
    <s v="NA"/>
    <s v="NA"/>
    <s v="NA"/>
    <s v="NA"/>
    <s v="NA"/>
    <s v="NA"/>
    <n v="12100"/>
    <n v="12100"/>
    <s v="NA"/>
    <s v="NA"/>
    <n v="128"/>
    <n v="0.1"/>
    <s v="delayed"/>
    <s v="NA"/>
    <s v="NA"/>
    <s v="NA"/>
    <s v="NA"/>
    <s v="NA"/>
    <n v="0"/>
    <n v="1"/>
    <n v="0"/>
    <m/>
    <m/>
    <m/>
    <m/>
    <m/>
    <m/>
    <m/>
    <m/>
    <m/>
    <m/>
    <n v="4.8294891321417933E-3"/>
    <n v="4.8295266802795347E-3"/>
    <n v="8.2651458753283386E-5"/>
    <n v="8.2665123584359755E-5"/>
    <m/>
    <m/>
    <m/>
  </r>
  <r>
    <x v="0"/>
    <m/>
    <n v="1094"/>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1"/>
    <n v="0"/>
    <n v="0"/>
    <n v="0"/>
    <n v="0"/>
    <n v="0"/>
    <n v="0"/>
    <n v="0"/>
    <n v="0"/>
    <s v="NA"/>
    <x v="4"/>
    <s v="energy star market share"/>
    <s v="log scale"/>
    <n v="9.7000000000000003E-3"/>
    <s v="increase"/>
    <n v="3.0000000000000001E-3"/>
    <s v="NA"/>
    <n v="3"/>
    <n v="1.6666666666666667"/>
    <s v="NA"/>
    <m/>
    <s v="NA"/>
    <s v="NA"/>
    <s v="NA"/>
    <s v="NA"/>
    <s v="NA"/>
    <s v="NA"/>
    <n v="12100"/>
    <n v="12100"/>
    <s v="NA"/>
    <s v="NA"/>
    <n v="128"/>
    <n v="0.1"/>
    <s v="delayed"/>
    <s v="NA"/>
    <s v="NA"/>
    <s v="NA"/>
    <s v="NA"/>
    <s v="NA"/>
    <n v="0"/>
    <n v="1"/>
    <n v="0"/>
    <m/>
    <m/>
    <m/>
    <m/>
    <m/>
    <m/>
    <m/>
    <m/>
    <m/>
    <m/>
    <n v="1.5149776296267388E-2"/>
    <n v="1.5150935493184629E-2"/>
    <n v="8.2651454443045618E-5"/>
    <n v="8.2665123584359755E-5"/>
    <m/>
    <m/>
    <m/>
  </r>
  <r>
    <x v="0"/>
    <m/>
    <n v="1095"/>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1"/>
    <n v="0"/>
    <n v="0"/>
    <n v="0"/>
    <n v="0"/>
    <n v="0"/>
    <n v="0"/>
    <n v="0"/>
    <n v="0"/>
    <s v="NA"/>
    <x v="4"/>
    <s v="energy star market share"/>
    <s v="log scale"/>
    <n v="7.0000000000000001E-3"/>
    <s v="decrease"/>
    <n v="4.0000000000000001E-3"/>
    <s v="NA"/>
    <n v="3"/>
    <n v="1.75"/>
    <s v="NA"/>
    <m/>
    <s v="NA"/>
    <s v="NA"/>
    <s v="NA"/>
    <s v="NA"/>
    <s v="NA"/>
    <s v="NA"/>
    <n v="12100"/>
    <n v="12100"/>
    <s v="NA"/>
    <s v="NA"/>
    <n v="128"/>
    <n v="0.1"/>
    <s v="delayed"/>
    <s v="NA"/>
    <s v="NA"/>
    <s v="NA"/>
    <s v="NA"/>
    <s v="NA"/>
    <n v="0"/>
    <n v="1"/>
    <n v="0"/>
    <m/>
    <m/>
    <m/>
    <m/>
    <m/>
    <m/>
    <m/>
    <m/>
    <m/>
    <m/>
    <n v="1.5907078002301091E-2"/>
    <n v="1.5908419889220204E-2"/>
    <n v="8.2651453504555366E-5"/>
    <n v="8.2665123584359755E-5"/>
    <m/>
    <m/>
    <m/>
  </r>
  <r>
    <x v="0"/>
    <m/>
    <n v="1096"/>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0"/>
    <n v="0"/>
    <n v="1"/>
    <n v="0"/>
    <n v="0"/>
    <n v="0"/>
    <n v="0"/>
    <n v="0"/>
    <n v="0"/>
    <s v="NA"/>
    <x v="4"/>
    <s v="energy star market share"/>
    <s v="log scale"/>
    <n v="9.6000000000000002E-2"/>
    <s v="increase"/>
    <n v="1.7999999999999999E-2"/>
    <s v="NA"/>
    <n v="3"/>
    <n v="5.3333333333333339"/>
    <s v="NA"/>
    <m/>
    <s v="NA"/>
    <s v="NA"/>
    <s v="NA"/>
    <s v="NA"/>
    <s v="NA"/>
    <s v="NA"/>
    <n v="12600"/>
    <n v="12600"/>
    <s v="NA"/>
    <s v="NA"/>
    <n v="128"/>
    <n v="0.1"/>
    <s v="delayed"/>
    <s v="NA"/>
    <s v="NA"/>
    <s v="NA"/>
    <s v="NA"/>
    <s v="NA"/>
    <n v="0"/>
    <n v="1"/>
    <n v="0"/>
    <m/>
    <m/>
    <m/>
    <m/>
    <m/>
    <m/>
    <m/>
    <m/>
    <m/>
    <m/>
    <n v="4.7459569987691901E-2"/>
    <n v="4.7495251036885983E-2"/>
    <n v="7.9370974789384351E-5"/>
    <n v="7.9383980312772889E-5"/>
    <m/>
    <m/>
    <m/>
  </r>
  <r>
    <x v="0"/>
    <m/>
    <n v="1097"/>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0"/>
    <n v="0"/>
    <n v="1"/>
    <n v="0"/>
    <n v="0"/>
    <n v="0"/>
    <n v="0"/>
    <n v="0"/>
    <n v="0"/>
    <s v="NA"/>
    <x v="4"/>
    <s v="energy star market share"/>
    <s v="log scale"/>
    <n v="2.1000000000000001E-2"/>
    <s v="decrease"/>
    <n v="7.0000000000000001E-3"/>
    <s v="NA"/>
    <n v="3"/>
    <n v="3"/>
    <s v="NA"/>
    <m/>
    <s v="NA"/>
    <s v="NA"/>
    <s v="NA"/>
    <s v="NA"/>
    <s v="NA"/>
    <s v="NA"/>
    <n v="12600"/>
    <n v="12600"/>
    <s v="NA"/>
    <s v="NA"/>
    <n v="128"/>
    <n v="0.1"/>
    <s v="delayed"/>
    <s v="NA"/>
    <s v="NA"/>
    <s v="NA"/>
    <s v="NA"/>
    <s v="NA"/>
    <n v="0"/>
    <n v="1"/>
    <n v="0"/>
    <m/>
    <m/>
    <m/>
    <m/>
    <m/>
    <m/>
    <m/>
    <m/>
    <m/>
    <m/>
    <n v="2.6716584257263244E-2"/>
    <n v="2.672294353203979E-2"/>
    <n v="7.9371338204520307E-5"/>
    <n v="7.9383980312772889E-5"/>
    <m/>
    <m/>
    <m/>
  </r>
  <r>
    <x v="0"/>
    <m/>
    <n v="1098"/>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x v="0"/>
    <x v="1"/>
    <n v="0"/>
    <n v="1"/>
    <n v="0"/>
    <n v="0"/>
    <n v="0"/>
    <n v="0"/>
    <s v="NA"/>
    <n v="0"/>
    <n v="0"/>
    <n v="1"/>
    <n v="0"/>
    <n v="0"/>
    <n v="0"/>
    <n v="0"/>
    <n v="0"/>
    <n v="0"/>
    <s v="NA"/>
    <x v="4"/>
    <s v="energy star market share"/>
    <s v="log scale"/>
    <n v="2.3999999999999998E-3"/>
    <s v="decrease"/>
    <n v="5.0000000000000001E-3"/>
    <s v="NA"/>
    <n v="3"/>
    <n v="0.47999999999999993"/>
    <s v="NA"/>
    <m/>
    <s v="NA"/>
    <s v="NA"/>
    <s v="NA"/>
    <s v="NA"/>
    <s v="NA"/>
    <s v="NA"/>
    <n v="12600"/>
    <n v="12600"/>
    <s v="NA"/>
    <s v="NA"/>
    <n v="128"/>
    <n v="0.1"/>
    <s v="delayed"/>
    <s v="NA"/>
    <s v="NA"/>
    <s v="NA"/>
    <s v="NA"/>
    <s v="NA"/>
    <n v="0"/>
    <n v="1"/>
    <n v="0"/>
    <m/>
    <m/>
    <m/>
    <m/>
    <m/>
    <m/>
    <m/>
    <m/>
    <m/>
    <m/>
    <n v="4.2761407746332884E-3"/>
    <n v="4.2761668385387485E-3"/>
    <n v="7.9371378654308805E-5"/>
    <n v="7.9383980312772889E-5"/>
    <m/>
    <m/>
    <m/>
  </r>
  <r>
    <x v="0"/>
    <m/>
    <n v="1281"/>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0"/>
    <n v="0"/>
    <n v="0"/>
    <n v="1"/>
    <n v="0"/>
    <n v="0"/>
    <n v="0"/>
    <n v="0"/>
    <n v="0"/>
    <s v="NA"/>
    <x v="4"/>
    <s v="Behavior intention to change to Energy efficient household appliance"/>
    <s v="log scale"/>
    <n v="2.1000000000000001E-2"/>
    <s v="increase"/>
    <n v="5.0000000000000001E-3"/>
    <s v="NA"/>
    <n v="3"/>
    <n v="4.2"/>
    <n v="2.1000000000000001E-2"/>
    <m/>
    <s v="NA"/>
    <s v="NA"/>
    <s v="NA"/>
    <s v="NA"/>
    <s v="NA"/>
    <s v="NA"/>
    <n v="12450"/>
    <n v="12450"/>
    <s v="NA"/>
    <s v="NA"/>
    <n v="100"/>
    <s v="NA"/>
    <s v="delayed"/>
    <s v="NA"/>
    <s v="NA"/>
    <s v="NA"/>
    <s v="NA"/>
    <s v="NA"/>
    <n v="0"/>
    <n v="1"/>
    <n v="0"/>
    <m/>
    <m/>
    <m/>
    <m/>
    <m/>
    <m/>
    <m/>
    <m/>
    <m/>
    <m/>
    <n v="3.7614661992478114E-2"/>
    <n v="3.7632416929352756E-2"/>
    <n v="8.0327576060803895E-5"/>
    <n v="8.0340644331967548E-5"/>
    <m/>
    <m/>
    <m/>
  </r>
  <r>
    <x v="0"/>
    <m/>
    <n v="1282"/>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0"/>
    <n v="0"/>
    <n v="0"/>
    <n v="1"/>
    <n v="0"/>
    <n v="0"/>
    <n v="0"/>
    <n v="0"/>
    <n v="0"/>
    <s v="NA"/>
    <x v="4"/>
    <s v="ES market share"/>
    <s v="log scale"/>
    <n v="2.3999999999999998E-3"/>
    <s v="increase"/>
    <n v="2E-3"/>
    <s v="NA"/>
    <n v="3"/>
    <n v="1.2"/>
    <n v="2.3999999999999998E-3"/>
    <m/>
    <s v="NA"/>
    <s v="NA"/>
    <s v="NA"/>
    <s v="NA"/>
    <s v="NA"/>
    <s v="NA"/>
    <n v="12450"/>
    <n v="12450"/>
    <s v="NA"/>
    <s v="NA"/>
    <n v="100"/>
    <s v="NA"/>
    <s v="delayed"/>
    <s v="NA"/>
    <s v="NA"/>
    <s v="NA"/>
    <s v="NA"/>
    <s v="NA"/>
    <n v="0"/>
    <n v="1"/>
    <n v="0"/>
    <m/>
    <m/>
    <m/>
    <m/>
    <m/>
    <m/>
    <m/>
    <m/>
    <m/>
    <m/>
    <n v="1.0754035256628266E-2"/>
    <n v="1.0754449850854842E-2"/>
    <n v="8.0327736093114527E-5"/>
    <n v="8.0340644331967548E-5"/>
    <m/>
    <m/>
    <m/>
  </r>
  <r>
    <x v="0"/>
    <m/>
    <n v="1283"/>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0"/>
    <n v="0"/>
    <n v="0"/>
    <n v="1"/>
    <n v="0"/>
    <n v="0"/>
    <n v="0"/>
    <n v="0"/>
    <n v="0"/>
    <s v="NA"/>
    <x v="4"/>
    <s v="ES market share"/>
    <s v="log scale"/>
    <n v="3.1E-4"/>
    <s v="decrease"/>
    <n v="1E-3"/>
    <s v="NA"/>
    <n v="3"/>
    <n v="0.31"/>
    <n v="3.1E-4"/>
    <m/>
    <s v="NA"/>
    <s v="NA"/>
    <s v="NA"/>
    <s v="NA"/>
    <s v="NA"/>
    <s v="NA"/>
    <n v="12450"/>
    <n v="12450"/>
    <s v="NA"/>
    <s v="NA"/>
    <n v="100"/>
    <s v="NA"/>
    <s v="delayed"/>
    <s v="NA"/>
    <s v="NA"/>
    <s v="NA"/>
    <s v="NA"/>
    <s v="NA"/>
    <n v="0"/>
    <n v="1"/>
    <n v="0"/>
    <m/>
    <m/>
    <m/>
    <m/>
    <m/>
    <m/>
    <m/>
    <m/>
    <m/>
    <m/>
    <n v="2.7782757101175023E-3"/>
    <n v="2.7782828584835876E-3"/>
    <n v="8.0327737162857996E-5"/>
    <n v="8.0340644331967548E-5"/>
    <m/>
    <m/>
    <m/>
  </r>
  <r>
    <x v="0"/>
    <m/>
    <n v="1284"/>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1"/>
    <n v="0"/>
    <n v="0"/>
    <n v="0"/>
    <n v="0"/>
    <n v="0"/>
    <n v="0"/>
    <n v="0"/>
    <n v="0"/>
    <s v="NA"/>
    <x v="4"/>
    <s v="ES market share"/>
    <s v="log scale"/>
    <n v="2.1000000000000001E-2"/>
    <s v="increase"/>
    <n v="5.0000000000000001E-3"/>
    <s v="NA"/>
    <n v="3"/>
    <n v="4.2"/>
    <n v="2.1000000000000001E-2"/>
    <m/>
    <s v="NA"/>
    <s v="NA"/>
    <s v="NA"/>
    <s v="NA"/>
    <s v="NA"/>
    <s v="NA"/>
    <n v="12100"/>
    <n v="12100"/>
    <s v="NA"/>
    <s v="NA"/>
    <n v="100"/>
    <s v="NA"/>
    <s v="delayed"/>
    <s v="NA"/>
    <s v="NA"/>
    <s v="NA"/>
    <s v="NA"/>
    <s v="NA"/>
    <n v="0"/>
    <n v="1"/>
    <n v="0"/>
    <m/>
    <m/>
    <m/>
    <m/>
    <m/>
    <m/>
    <m/>
    <m/>
    <m/>
    <m/>
    <n v="3.8154016870275712E-2"/>
    <n v="3.8172547027553468E-2"/>
    <n v="8.2651283307154936E-5"/>
    <n v="8.2665123584359755E-5"/>
    <m/>
    <m/>
    <m/>
  </r>
  <r>
    <x v="0"/>
    <m/>
    <n v="1285"/>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1"/>
    <n v="0"/>
    <n v="0"/>
    <n v="0"/>
    <n v="0"/>
    <n v="0"/>
    <n v="0"/>
    <n v="0"/>
    <n v="0"/>
    <s v="NA"/>
    <x v="4"/>
    <s v="ES market share"/>
    <s v="log scale"/>
    <n v="8.7000000000000001E-4"/>
    <s v="increase"/>
    <n v="1E-3"/>
    <s v="NA"/>
    <n v="3"/>
    <n v="0.87"/>
    <n v="8.7000000000000001E-4"/>
    <m/>
    <s v="NA"/>
    <s v="NA"/>
    <s v="NA"/>
    <s v="NA"/>
    <s v="NA"/>
    <s v="NA"/>
    <n v="12100"/>
    <n v="12100"/>
    <s v="NA"/>
    <s v="NA"/>
    <n v="100"/>
    <s v="NA"/>
    <s v="delayed"/>
    <s v="NA"/>
    <s v="NA"/>
    <s v="NA"/>
    <s v="NA"/>
    <s v="NA"/>
    <n v="0"/>
    <n v="1"/>
    <n v="0"/>
    <m/>
    <m/>
    <m/>
    <m/>
    <m/>
    <m/>
    <m/>
    <m/>
    <m/>
    <m/>
    <n v="7.9088435491706417E-3"/>
    <n v="7.9090084542367822E-3"/>
    <n v="8.2651458474848776E-5"/>
    <n v="8.2665123584359755E-5"/>
    <m/>
    <m/>
    <m/>
  </r>
  <r>
    <x v="0"/>
    <m/>
    <n v="1286"/>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1"/>
    <n v="0"/>
    <n v="0"/>
    <n v="0"/>
    <n v="0"/>
    <n v="0"/>
    <n v="0"/>
    <n v="0"/>
    <n v="0"/>
    <s v="NA"/>
    <x v="4"/>
    <s v="ES market share"/>
    <s v="log scale"/>
    <n v="6.3000000000000003E-4"/>
    <s v="decrease"/>
    <n v="1E-3"/>
    <s v="NA"/>
    <n v="3"/>
    <n v="0.63"/>
    <n v="6.3000000000000003E-4"/>
    <m/>
    <s v="NA"/>
    <s v="NA"/>
    <s v="NA"/>
    <s v="NA"/>
    <s v="NA"/>
    <s v="NA"/>
    <n v="12100"/>
    <n v="12100"/>
    <s v="NA"/>
    <s v="NA"/>
    <n v="100"/>
    <s v="NA"/>
    <s v="delayed"/>
    <s v="NA"/>
    <s v="NA"/>
    <s v="NA"/>
    <s v="NA"/>
    <s v="NA"/>
    <n v="0"/>
    <n v="1"/>
    <n v="0"/>
    <m/>
    <m/>
    <m/>
    <m/>
    <m/>
    <m/>
    <m/>
    <m/>
    <m/>
    <m/>
    <n v="5.7271787975774974E-3"/>
    <n v="5.7272414170662115E-3"/>
    <n v="8.2651458709321021E-5"/>
    <n v="8.2665123584359755E-5"/>
    <m/>
    <m/>
    <m/>
  </r>
  <r>
    <x v="0"/>
    <m/>
    <n v="1287"/>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0"/>
    <n v="0"/>
    <n v="1"/>
    <n v="0"/>
    <n v="0"/>
    <n v="0"/>
    <n v="0"/>
    <n v="0"/>
    <n v="0"/>
    <s v="NA"/>
    <x v="4"/>
    <s v="ES market share"/>
    <s v="log scale"/>
    <n v="7.3000000000000001E-3"/>
    <s v="increase"/>
    <n v="3.0000000000000001E-3"/>
    <s v="NA"/>
    <n v="3"/>
    <n v="2.4333333333333331"/>
    <n v="7.3000000000000001E-3"/>
    <m/>
    <s v="NA"/>
    <s v="NA"/>
    <s v="NA"/>
    <s v="NA"/>
    <s v="NA"/>
    <s v="NA"/>
    <n v="12600"/>
    <n v="12600"/>
    <s v="NA"/>
    <s v="NA"/>
    <n v="100"/>
    <s v="NA"/>
    <s v="delayed"/>
    <s v="NA"/>
    <s v="NA"/>
    <s v="NA"/>
    <s v="NA"/>
    <s v="NA"/>
    <n v="0"/>
    <n v="1"/>
    <n v="0"/>
    <m/>
    <m/>
    <m/>
    <m/>
    <m/>
    <m/>
    <m/>
    <m/>
    <m/>
    <m/>
    <n v="2.1672764551373083E-2"/>
    <n v="2.1676158803532894E-2"/>
    <n v="7.9371361158462602E-5"/>
    <n v="7.9383980312772889E-5"/>
    <m/>
    <m/>
    <m/>
  </r>
  <r>
    <x v="0"/>
    <m/>
    <n v="1288"/>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0"/>
    <n v="0"/>
    <n v="1"/>
    <n v="0"/>
    <n v="0"/>
    <n v="0"/>
    <n v="0"/>
    <n v="0"/>
    <n v="0"/>
    <s v="NA"/>
    <x v="4"/>
    <s v="ES market share"/>
    <s v="log scale"/>
    <n v="2.5999999999999998E-4"/>
    <s v="decrease"/>
    <n v="1E-3"/>
    <s v="NA"/>
    <n v="3"/>
    <n v="0.25999999999999995"/>
    <n v="2.5999999999999998E-4"/>
    <m/>
    <s v="NA"/>
    <s v="NA"/>
    <s v="NA"/>
    <s v="NA"/>
    <s v="NA"/>
    <s v="NA"/>
    <n v="12600"/>
    <n v="12600"/>
    <s v="NA"/>
    <s v="NA"/>
    <n v="100"/>
    <s v="NA"/>
    <s v="delayed"/>
    <s v="NA"/>
    <s v="NA"/>
    <s v="NA"/>
    <s v="NA"/>
    <s v="NA"/>
    <n v="0"/>
    <n v="1"/>
    <n v="0"/>
    <m/>
    <m/>
    <m/>
    <m/>
    <m/>
    <m/>
    <m/>
    <m/>
    <m/>
    <m/>
    <n v="2.3162578831289918E-3"/>
    <n v="2.3162620254225598E-3"/>
    <n v="7.9371378678563058E-5"/>
    <n v="7.9383980312772889E-5"/>
    <m/>
    <m/>
    <m/>
  </r>
  <r>
    <x v="0"/>
    <m/>
    <n v="1289"/>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x v="0"/>
    <x v="1"/>
    <n v="0"/>
    <n v="1"/>
    <n v="0"/>
    <n v="0"/>
    <n v="0"/>
    <n v="0"/>
    <s v="NA"/>
    <n v="0"/>
    <n v="0"/>
    <n v="1"/>
    <n v="0"/>
    <n v="0"/>
    <n v="0"/>
    <n v="0"/>
    <n v="0"/>
    <n v="0"/>
    <s v="NA"/>
    <x v="4"/>
    <s v="ES market share"/>
    <s v="log scale"/>
    <n v="6.9999999999999999E-4"/>
    <s v="decrease"/>
    <n v="2E-3"/>
    <s v="NA"/>
    <n v="3"/>
    <n v="0.35"/>
    <n v="6.9999999999999999E-4"/>
    <m/>
    <s v="NA"/>
    <s v="NA"/>
    <s v="NA"/>
    <s v="NA"/>
    <s v="NA"/>
    <s v="NA"/>
    <n v="12600"/>
    <n v="12600"/>
    <s v="NA"/>
    <s v="NA"/>
    <n v="100"/>
    <s v="NA"/>
    <s v="delayed"/>
    <s v="NA"/>
    <s v="NA"/>
    <s v="NA"/>
    <s v="NA"/>
    <s v="NA"/>
    <n v="0"/>
    <n v="1"/>
    <n v="0"/>
    <m/>
    <m/>
    <m/>
    <m/>
    <m/>
    <m/>
    <m/>
    <m/>
    <m/>
    <m/>
    <n v="3.1180326652452241E-3"/>
    <n v="3.1180427699413972E-3"/>
    <n v="7.937137867334543E-5"/>
    <n v="7.9383980312772889E-5"/>
    <m/>
    <m/>
    <m/>
  </r>
  <r>
    <x v="0"/>
    <m/>
    <s v="NA"/>
    <s v="NA"/>
    <s v="Ito, Ida, Tanaka"/>
    <n v="2018"/>
    <s v="Moral Suasion and Economic Incentives: Field Experimental Evidence from Energy Demand"/>
    <s v="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
    <n v="2"/>
    <s v="2012-2013"/>
    <x v="1"/>
    <m/>
    <x v="6"/>
    <x v="4"/>
    <x v="5"/>
    <m/>
    <m/>
    <m/>
    <m/>
    <s v="opt_out"/>
    <m/>
    <m/>
    <m/>
    <m/>
    <x v="2"/>
    <x v="2"/>
    <m/>
    <m/>
    <m/>
    <m/>
    <m/>
    <m/>
    <m/>
    <m/>
    <m/>
    <m/>
    <m/>
    <m/>
    <m/>
    <m/>
    <m/>
    <m/>
    <m/>
    <x v="3"/>
    <m/>
    <m/>
    <m/>
    <m/>
    <m/>
    <m/>
    <m/>
    <m/>
    <m/>
    <m/>
    <m/>
    <m/>
    <m/>
    <m/>
    <m/>
    <m/>
    <m/>
    <m/>
    <m/>
    <m/>
    <m/>
    <m/>
    <m/>
    <m/>
    <m/>
    <m/>
    <m/>
    <m/>
    <m/>
    <m/>
    <m/>
    <m/>
    <m/>
    <m/>
    <m/>
    <m/>
    <m/>
    <m/>
    <m/>
    <m/>
    <m/>
    <m/>
    <m/>
    <m/>
    <m/>
    <m/>
    <m/>
    <m/>
  </r>
  <r>
    <x v="0"/>
    <n v="14"/>
    <n v="1118"/>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x v="0"/>
    <x v="1"/>
    <n v="1"/>
    <n v="0"/>
    <n v="0"/>
    <n v="0"/>
    <n v="0"/>
    <n v="0"/>
    <s v="base - no label for not efficient"/>
    <n v="0"/>
    <n v="0"/>
    <n v="0"/>
    <n v="0"/>
    <n v="0"/>
    <n v="0"/>
    <n v="0"/>
    <n v="1"/>
    <n v="0"/>
    <s v="3-star rating"/>
    <x v="0"/>
    <s v="choice of a high-efficiency appliance"/>
    <s v="dummy (0/1)"/>
    <n v="0.53"/>
    <s v="increase"/>
    <n v="0.26"/>
    <s v="NA"/>
    <n v="3"/>
    <n v="2.0384615384615383"/>
    <n v="0.6989323086185506"/>
    <n v="0.62948311196739493"/>
    <s v="NA"/>
    <s v="NA"/>
    <s v="NA"/>
    <s v="NA"/>
    <s v="NA"/>
    <s v="NA"/>
    <n v="148"/>
    <n v="1184"/>
    <s v="NA"/>
    <s v="NA"/>
    <s v="NA"/>
    <s v="NA"/>
    <s v="NA"/>
    <n v="0"/>
    <s v="NA"/>
    <n v="0"/>
    <s v="NA"/>
    <s v="numerical"/>
    <n v="0"/>
    <n v="0"/>
    <n v="1"/>
    <m/>
    <m/>
    <m/>
    <m/>
    <m/>
    <m/>
    <m/>
    <m/>
    <m/>
    <m/>
    <n v="0.16525664934411763"/>
    <n v="0.16678616424140319"/>
    <n v="6.7974570051877199E-3"/>
    <n v="6.8965517241379309E-3"/>
    <s v="NA"/>
    <n v="147"/>
    <s v="NA"/>
  </r>
  <r>
    <x v="0"/>
    <n v="14"/>
    <n v="1119"/>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x v="0"/>
    <x v="1"/>
    <n v="1"/>
    <n v="0"/>
    <n v="0"/>
    <n v="0"/>
    <n v="0"/>
    <n v="0"/>
    <s v="base - no label for not efficient"/>
    <n v="0"/>
    <n v="0"/>
    <n v="0"/>
    <n v="0"/>
    <n v="0"/>
    <n v="0"/>
    <n v="0"/>
    <n v="1"/>
    <n v="0"/>
    <s v="5-star rating"/>
    <x v="0"/>
    <s v="choice of a high-efficiency appliance"/>
    <s v="dummy (0/1)"/>
    <n v="1.0900000000000001"/>
    <s v="increase"/>
    <n v="0.39"/>
    <s v="NA"/>
    <n v="3"/>
    <n v="2.7948717948717952"/>
    <n v="1.9742740725630656"/>
    <n v="0.74838172160706429"/>
    <s v="NA"/>
    <s v="NA"/>
    <s v="NA"/>
    <s v="NA"/>
    <s v="NA"/>
    <s v="NA"/>
    <n v="148"/>
    <n v="1184"/>
    <s v="NA"/>
    <s v="NA"/>
    <s v="NA"/>
    <s v="NA"/>
    <s v="NA"/>
    <n v="0"/>
    <s v="NA"/>
    <n v="0"/>
    <s v="NA"/>
    <s v="numerical"/>
    <n v="0"/>
    <n v="0"/>
    <n v="1"/>
    <m/>
    <m/>
    <m/>
    <m/>
    <m/>
    <m/>
    <m/>
    <m/>
    <m/>
    <m/>
    <n v="0.22390428433112008"/>
    <n v="0.22776270171385027"/>
    <n v="6.7844142609794983E-3"/>
    <n v="6.8965517241379309E-3"/>
    <s v="NA"/>
    <n v="147"/>
    <s v="NA"/>
  </r>
  <r>
    <x v="0"/>
    <n v="15"/>
    <n v="1154"/>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4"/>
    <x v="3"/>
    <x v="20"/>
    <s v="stated preference"/>
    <s v="online"/>
    <s v="individuals"/>
    <n v="0"/>
    <s v="opt_out"/>
    <n v="0"/>
    <s v="probably no"/>
    <s v="probably no"/>
    <s v="NA"/>
    <x v="0"/>
    <x v="1"/>
    <n v="1"/>
    <n v="0"/>
    <n v="0"/>
    <n v="0"/>
    <n v="0"/>
    <n v="0"/>
    <s v="effect of energy efficiency in itself rather than label (the Energy Efficiency Grade Label)"/>
    <n v="0"/>
    <n v="0"/>
    <n v="0"/>
    <n v="1"/>
    <n v="0"/>
    <n v="0"/>
    <n v="0"/>
    <n v="0"/>
    <n v="0"/>
    <s v="NA"/>
    <x v="0"/>
    <s v="estimation results for refrigerator choice (highest efficiency grade)"/>
    <s v="dummy (0/1)"/>
    <n v="0.25530000000000003"/>
    <s v="increase"/>
    <s v="NA"/>
    <n v="1.23E-2"/>
    <n v="3"/>
    <n v="2.5125829401851192"/>
    <n v="0.29084881743573221"/>
    <n v="0.56348057873179402"/>
    <s v="NA"/>
    <s v="NA"/>
    <s v="NA"/>
    <s v="NA"/>
    <s v="NA"/>
    <s v="NA"/>
    <n v="500"/>
    <n v="2000"/>
    <s v="NA"/>
    <s v="NA"/>
    <s v="NA"/>
    <s v="NA"/>
    <s v="NA"/>
    <n v="0"/>
    <s v="NA"/>
    <n v="1"/>
    <s v="NA"/>
    <s v="numerical"/>
    <n v="0"/>
    <n v="0"/>
    <n v="1"/>
    <m/>
    <m/>
    <m/>
    <m/>
    <m/>
    <m/>
    <m/>
    <m/>
    <m/>
    <m/>
    <n v="0.11166339711480726"/>
    <n v="0.11213100003996684"/>
    <n v="2.0036912035849494E-3"/>
    <n v="2.012072434607646E-3"/>
    <s v="NA"/>
    <n v="498"/>
    <s v="NA"/>
  </r>
  <r>
    <x v="0"/>
    <n v="15"/>
    <n v="1153"/>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8"/>
    <x v="3"/>
    <x v="20"/>
    <s v="stated preference"/>
    <s v="online"/>
    <s v="individuals"/>
    <n v="0"/>
    <s v="opt_out"/>
    <n v="0"/>
    <s v="probably no"/>
    <s v="probably no"/>
    <s v="NA"/>
    <x v="0"/>
    <x v="1"/>
    <n v="1"/>
    <n v="0"/>
    <n v="0"/>
    <n v="0"/>
    <n v="0"/>
    <n v="0"/>
    <s v="effect of energy efficiency in itself rather than label (the Energy Efficiency Grade Label)"/>
    <n v="0"/>
    <n v="0"/>
    <n v="0"/>
    <n v="1"/>
    <n v="0"/>
    <n v="0"/>
    <n v="0"/>
    <n v="0"/>
    <n v="0"/>
    <s v="NA"/>
    <x v="0"/>
    <s v="estimation results for refrigerator choice (highest efficiency grade)"/>
    <s v="dummy (0/1)"/>
    <n v="0.30480000000000002"/>
    <s v="increase"/>
    <s v="NA"/>
    <n v="1.6999999999999999E-3"/>
    <n v="3"/>
    <n v="3.1553563075360742"/>
    <n v="0.35635370513631415"/>
    <n v="0.5756154953221887"/>
    <s v="NA"/>
    <s v="NA"/>
    <s v="NA"/>
    <s v="NA"/>
    <s v="NA"/>
    <s v="NA"/>
    <n v="500"/>
    <n v="2000"/>
    <s v="NA"/>
    <s v="NA"/>
    <s v="NA"/>
    <s v="NA"/>
    <s v="NA"/>
    <n v="0"/>
    <s v="NA"/>
    <n v="1"/>
    <s v="NA"/>
    <s v="numerical"/>
    <n v="0"/>
    <n v="0"/>
    <n v="1"/>
    <m/>
    <m/>
    <m/>
    <m/>
    <m/>
    <m/>
    <m/>
    <m/>
    <m/>
    <m/>
    <n v="0.13972751589048554"/>
    <n v="0.14064765530909937"/>
    <n v="2.0032238113323235E-3"/>
    <n v="2.012072434607646E-3"/>
    <s v="NA"/>
    <n v="498"/>
    <s v="NA"/>
  </r>
  <r>
    <x v="0"/>
    <m/>
    <n v="1155"/>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8"/>
    <x v="3"/>
    <x v="20"/>
    <s v="stated preference"/>
    <s v="online"/>
    <s v="individuals"/>
    <n v="0"/>
    <s v="opt_out"/>
    <n v="0"/>
    <s v="probably no"/>
    <s v="probably no"/>
    <s v="NA"/>
    <x v="0"/>
    <x v="1"/>
    <n v="1"/>
    <n v="0"/>
    <n v="0"/>
    <n v="0"/>
    <n v="0"/>
    <n v="0"/>
    <s v="effect of energy efficiency in itself rather than label (the Energy Efficiency Grade Label)"/>
    <n v="0"/>
    <n v="0"/>
    <n v="0"/>
    <n v="1"/>
    <n v="0"/>
    <n v="0"/>
    <n v="0"/>
    <n v="0"/>
    <n v="0"/>
    <s v="in 10,000 KRW"/>
    <x v="2"/>
    <s v="MWTP estimation results for refrigerator choice (highest efficiency grade)"/>
    <s v="NA"/>
    <n v="15.91"/>
    <s v="increase"/>
    <s v="NA"/>
    <n v="0"/>
    <n v="1"/>
    <s v="NA"/>
    <s v="NA"/>
    <m/>
    <s v="NA"/>
    <s v="NA"/>
    <s v="NA"/>
    <s v="NA"/>
    <s v="NA"/>
    <s v="NA"/>
    <n v="500"/>
    <n v="2000"/>
    <s v="NA"/>
    <s v="NA"/>
    <s v="NA"/>
    <s v="NA"/>
    <s v="NA"/>
    <n v="0"/>
    <s v="NA"/>
    <n v="1"/>
    <s v="NA"/>
    <s v="numerical"/>
    <n v="0"/>
    <n v="0"/>
    <n v="1"/>
    <m/>
    <m/>
    <m/>
    <m/>
    <m/>
    <m/>
    <m/>
    <m/>
    <m/>
    <m/>
    <e v="#VALUE!"/>
    <e v="#VALUE!"/>
    <e v="#VALUE!"/>
    <n v="2.012072434607646E-3"/>
    <m/>
    <m/>
    <m/>
  </r>
  <r>
    <x v="0"/>
    <m/>
    <n v="1156"/>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4"/>
    <x v="3"/>
    <x v="20"/>
    <s v="stated preference"/>
    <s v="online"/>
    <s v="individuals"/>
    <n v="0"/>
    <s v="opt_out"/>
    <n v="0"/>
    <s v="probably no"/>
    <s v="probably no"/>
    <s v="NA"/>
    <x v="0"/>
    <x v="1"/>
    <n v="1"/>
    <n v="0"/>
    <n v="0"/>
    <n v="0"/>
    <n v="0"/>
    <n v="0"/>
    <s v="effect of energy efficiency in itself rather than label (the Energy Efficiency Grade Label)"/>
    <n v="0"/>
    <n v="0"/>
    <n v="0"/>
    <n v="1"/>
    <n v="0"/>
    <n v="0"/>
    <n v="0"/>
    <n v="0"/>
    <n v="0"/>
    <s v="in 10,000 KRW"/>
    <x v="2"/>
    <s v="MWTP estimation results for refrigerator choice (highest efficiency grade)"/>
    <s v="NA"/>
    <n v="13.19"/>
    <s v="increase"/>
    <s v="NA"/>
    <n v="0.01"/>
    <n v="3"/>
    <s v="NA"/>
    <s v="NA"/>
    <m/>
    <s v="NA"/>
    <s v="NA"/>
    <s v="NA"/>
    <s v="NA"/>
    <s v="NA"/>
    <s v="NA"/>
    <n v="500"/>
    <n v="2000"/>
    <s v="NA"/>
    <s v="NA"/>
    <s v="NA"/>
    <s v="NA"/>
    <s v="NA"/>
    <n v="0"/>
    <s v="NA"/>
    <n v="1"/>
    <s v="NA"/>
    <s v="numerical"/>
    <n v="0"/>
    <n v="0"/>
    <n v="1"/>
    <m/>
    <m/>
    <m/>
    <m/>
    <m/>
    <m/>
    <m/>
    <m/>
    <m/>
    <m/>
    <e v="#VALUE!"/>
    <e v="#VALUE!"/>
    <e v="#VALUE!"/>
    <n v="2.012072434607646E-3"/>
    <m/>
    <m/>
    <m/>
  </r>
  <r>
    <x v="0"/>
    <n v="16"/>
    <n v="1209"/>
    <n v="149"/>
    <s v="Kallbekken, Saelen, Hermansen"/>
    <n v="2013"/>
    <s v="Bridging the Energy Efficiency Gap: A Field Experiment on Lifetime Energy Costs and Household Appliances"/>
    <s v="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
    <n v="1"/>
    <n v="2011"/>
    <x v="0"/>
    <n v="11"/>
    <x v="19"/>
    <x v="2"/>
    <x v="21"/>
    <s v="revealed preference"/>
    <s v="retailer"/>
    <s v="store visitors"/>
    <n v="0"/>
    <s v="no such option"/>
    <n v="0"/>
    <s v="probably no"/>
    <s v="probably no"/>
    <s v="NA"/>
    <x v="0"/>
    <x v="1"/>
    <n v="1"/>
    <n v="0"/>
    <n v="0"/>
    <n v="0"/>
    <n v="0"/>
    <n v="0"/>
    <s v="additional label - compared to the EU A+++ label scale"/>
    <n v="0"/>
    <n v="1"/>
    <n v="0"/>
    <n v="0"/>
    <n v="0"/>
    <n v="0"/>
    <n v="0"/>
    <n v="0"/>
    <n v="0"/>
    <s v="NA"/>
    <x v="0"/>
    <s v="average energy use of the appliance sold"/>
    <s v="NA"/>
    <n v="2.3E-2"/>
    <s v="increase"/>
    <s v="NA"/>
    <n v="0.1"/>
    <n v="2"/>
    <n v="1.6449332384326785"/>
    <n v="2.326653954721758E-2"/>
    <n v="0.50574974653424165"/>
    <s v="NA"/>
    <n v="13471"/>
    <s v="NA"/>
    <s v="NA"/>
    <n v="5672"/>
    <s v="NA"/>
    <n v="19143"/>
    <n v="19143"/>
    <s v="NA"/>
    <s v="NA"/>
    <s v="NA"/>
    <s v="NA"/>
    <s v="NA"/>
    <n v="1"/>
    <n v="371.17189999999999"/>
    <n v="0"/>
    <s v="NA"/>
    <s v="alphabetical with +"/>
    <n v="0"/>
    <n v="0"/>
    <n v="0"/>
    <m/>
    <m/>
    <m/>
    <m/>
    <m/>
    <m/>
    <m/>
    <m/>
    <m/>
    <m/>
    <n v="1.1888103724369721E-2"/>
    <n v="1.1888663808582136E-2"/>
    <n v="5.2241144082275201E-5"/>
    <n v="5.2246603970741903E-5"/>
    <s v="NA"/>
    <n v="19141"/>
    <s v="dep_var - energy use of the appliance sold - opposite sign"/>
  </r>
  <r>
    <x v="0"/>
    <m/>
    <s v="NA"/>
    <s v="NA"/>
    <s v="Kusaka, Kojima, Watanabe"/>
    <m/>
    <m/>
    <m/>
    <n v="2"/>
    <m/>
    <x v="10"/>
    <m/>
    <x v="6"/>
    <x v="5"/>
    <x v="5"/>
    <s v="revealed preference"/>
    <m/>
    <m/>
    <n v="0"/>
    <s v="no such option"/>
    <m/>
    <m/>
    <m/>
    <m/>
    <x v="0"/>
    <x v="1"/>
    <n v="1"/>
    <n v="0"/>
    <n v="0"/>
    <n v="0"/>
    <n v="0"/>
    <n v="1"/>
    <s v="here choice architecture refers to the MANDATORY phasing out of low energy effieicncy appliances "/>
    <n v="0"/>
    <n v="0"/>
    <n v="0"/>
    <n v="0"/>
    <n v="0"/>
    <m/>
    <m/>
    <m/>
    <m/>
    <m/>
    <x v="3"/>
    <m/>
    <m/>
    <m/>
    <m/>
    <m/>
    <m/>
    <m/>
    <m/>
    <m/>
    <m/>
    <m/>
    <m/>
    <m/>
    <m/>
    <m/>
    <m/>
    <m/>
    <m/>
    <m/>
    <m/>
    <m/>
    <m/>
    <m/>
    <m/>
    <m/>
    <m/>
    <m/>
    <m/>
    <m/>
    <m/>
    <m/>
    <m/>
    <m/>
    <m/>
    <m/>
    <m/>
    <m/>
    <m/>
    <m/>
    <m/>
    <m/>
    <m/>
    <m/>
    <m/>
    <m/>
    <m/>
    <m/>
    <m/>
  </r>
  <r>
    <x v="4"/>
    <n v="17"/>
    <n v="1217"/>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x v="0"/>
    <x v="1"/>
    <n v="1"/>
    <n v="0"/>
    <n v="0"/>
    <n v="0"/>
    <n v="0"/>
    <n v="0"/>
    <s v="NA"/>
    <n v="1"/>
    <n v="0"/>
    <n v="0"/>
    <n v="0"/>
    <n v="0"/>
    <n v="0"/>
    <n v="0"/>
    <n v="0"/>
    <n v="0"/>
    <s v="NA"/>
    <x v="0"/>
    <s v="y represents the possession of energy-efficient"/>
    <s v="dummy (0/1)"/>
    <n v="0.35299999999999998"/>
    <s v="increase"/>
    <n v="7.0999999999999994E-2"/>
    <n v="0"/>
    <n v="3"/>
    <n v="3.2990742119196153"/>
    <n v="0.42333114343360179"/>
    <n v="0.58734488156533704"/>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5"/>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x v="0"/>
    <x v="1"/>
    <n v="1"/>
    <n v="0"/>
    <n v="0"/>
    <n v="0"/>
    <n v="0"/>
    <n v="0"/>
    <s v="NA"/>
    <n v="0"/>
    <n v="0"/>
    <n v="0"/>
    <n v="0"/>
    <n v="0"/>
    <n v="0"/>
    <n v="0"/>
    <n v="1"/>
    <n v="0"/>
    <s v="NA"/>
    <x v="0"/>
    <s v="y represents the possession of energy-efficient"/>
    <s v="dummy (0/1)"/>
    <n v="0.39400000000000002"/>
    <s v="increase"/>
    <n v="7.0999999999999994E-2"/>
    <n v="0"/>
    <n v="3"/>
    <n v="3.2990742119196153"/>
    <n v="0.48290054867475307"/>
    <n v="0.59724524587432648"/>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6"/>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x v="0"/>
    <x v="1"/>
    <n v="0"/>
    <n v="0"/>
    <n v="0"/>
    <n v="1"/>
    <n v="0"/>
    <n v="0"/>
    <s v="NA"/>
    <n v="0"/>
    <n v="0"/>
    <n v="0"/>
    <n v="0"/>
    <n v="0"/>
    <n v="0"/>
    <n v="0"/>
    <n v="1"/>
    <n v="0"/>
    <s v="NA"/>
    <x v="0"/>
    <s v="y represents the possession of energy-efficient"/>
    <s v="dummy (0/1)"/>
    <n v="0.45500000000000002"/>
    <s v="increase"/>
    <n v="0.22"/>
    <n v="3.7999999999999999E-2"/>
    <n v="3"/>
    <n v="2.0772692016703491"/>
    <n v="0.57617338303399124"/>
    <n v="0.61182736900173718"/>
    <s v="NA"/>
    <s v="NA"/>
    <s v="NA"/>
    <s v="NA"/>
    <s v="NA"/>
    <s v="NA"/>
    <n v="1143"/>
    <n v="1143"/>
    <s v="NA"/>
    <s v="NA"/>
    <s v="NA"/>
    <s v="NA"/>
    <s v="NA"/>
    <s v="NA"/>
    <s v="NA"/>
    <s v="NA"/>
    <s v="NA"/>
    <s v="NA"/>
    <n v="0"/>
    <n v="0"/>
    <n v="1"/>
    <n v="0"/>
    <n v="1"/>
    <m/>
    <m/>
    <m/>
    <m/>
    <m/>
    <m/>
    <m/>
    <m/>
    <n v="6.1326960044274084E-2"/>
    <n v="6.1404017491195166E-2"/>
    <n v="8.7564429394170699E-4"/>
    <n v="8.7719298245614037E-4"/>
    <s v="NA"/>
    <n v="1141"/>
    <s v="NA"/>
  </r>
  <r>
    <x v="4"/>
    <n v="17"/>
    <n v="1218"/>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x v="0"/>
    <x v="1"/>
    <n v="0"/>
    <n v="0"/>
    <n v="0"/>
    <n v="1"/>
    <n v="0"/>
    <n v="0"/>
    <s v="NA"/>
    <n v="1"/>
    <n v="0"/>
    <n v="0"/>
    <n v="0"/>
    <n v="0"/>
    <n v="0"/>
    <n v="0"/>
    <n v="0"/>
    <n v="0"/>
    <s v="NA"/>
    <x v="0"/>
    <s v="y represents the possession of energy-efficient"/>
    <s v="dummy (0/1)"/>
    <n v="0.64200000000000002"/>
    <s v="increase"/>
    <n v="0.21199999999999999"/>
    <n v="2E-3"/>
    <n v="3"/>
    <n v="3.0973904269614785"/>
    <n v="0.90027763655522586"/>
    <n v="0.65520542330294296"/>
    <s v="NA"/>
    <s v="NA"/>
    <s v="NA"/>
    <s v="NA"/>
    <s v="NA"/>
    <s v="NA"/>
    <n v="1143"/>
    <n v="1143"/>
    <s v="NA"/>
    <s v="NA"/>
    <s v="NA"/>
    <s v="NA"/>
    <s v="NA"/>
    <s v="NA"/>
    <s v="NA"/>
    <s v="NA"/>
    <s v="NA"/>
    <s v="NA"/>
    <n v="0"/>
    <n v="0"/>
    <n v="1"/>
    <n v="0"/>
    <n v="1"/>
    <m/>
    <m/>
    <m/>
    <m/>
    <m/>
    <m/>
    <m/>
    <m/>
    <n v="9.1234229157469829E-2"/>
    <n v="9.1488635914083044E-2"/>
    <n v="8.7559539426075063E-4"/>
    <n v="8.7719298245614037E-4"/>
    <s v="NA"/>
    <n v="1141"/>
    <s v="NA"/>
  </r>
  <r>
    <x v="0"/>
    <m/>
    <n v="1191"/>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x v="0"/>
    <x v="1"/>
    <n v="1"/>
    <n v="1"/>
    <n v="0"/>
    <n v="0"/>
    <n v="0"/>
    <n v="0"/>
    <s v="Energy Star label with a rebate"/>
    <n v="0"/>
    <n v="0"/>
    <n v="0"/>
    <n v="1"/>
    <n v="0"/>
    <n v="0"/>
    <n v="0"/>
    <n v="0"/>
    <n v="0"/>
    <s v="NA"/>
    <x v="2"/>
    <s v="Maximum simulated likelihood estimates: ES refrigerator choice"/>
    <s v="log scale"/>
    <n v="2.08"/>
    <s v="increase"/>
    <n v="0.22900000000000001"/>
    <n v="0.01"/>
    <n v="1"/>
    <n v="9.0829694323144103"/>
    <s v="NA"/>
    <m/>
    <s v="NA"/>
    <s v="NA"/>
    <s v="NA"/>
    <s v="NA"/>
    <s v="NA"/>
    <s v="NA"/>
    <n v="355"/>
    <n v="19860"/>
    <s v="NA"/>
    <s v="NA"/>
    <n v="50"/>
    <s v="NA"/>
    <s v="delayed"/>
    <n v="1"/>
    <n v="14"/>
    <n v="1"/>
    <n v="0.2"/>
    <s v="NA"/>
    <n v="0"/>
    <n v="0"/>
    <n v="1"/>
    <m/>
    <m/>
    <m/>
    <m/>
    <m/>
    <m/>
    <m/>
    <m/>
    <m/>
    <m/>
    <n v="0.43424883131426489"/>
    <n v="0.46512108920045175"/>
    <n v="2.6926498047349623E-3"/>
    <n v="2.840909090909091E-3"/>
    <m/>
    <m/>
    <m/>
  </r>
  <r>
    <x v="0"/>
    <m/>
    <n v="1192"/>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x v="0"/>
    <x v="1"/>
    <n v="1"/>
    <n v="0"/>
    <n v="0"/>
    <n v="0"/>
    <n v="0"/>
    <n v="0"/>
    <s v="Energy Star label without rebate"/>
    <n v="0"/>
    <n v="0"/>
    <n v="0"/>
    <n v="1"/>
    <n v="0"/>
    <n v="0"/>
    <n v="0"/>
    <n v="0"/>
    <n v="0"/>
    <s v="NA"/>
    <x v="2"/>
    <s v="Maximum simulated likelihood estimates: ES refrigerator choice"/>
    <s v="log scale"/>
    <n v="2.3839999999999999"/>
    <s v="increase"/>
    <n v="0.18"/>
    <n v="0.01"/>
    <n v="1"/>
    <n v="13.244444444444444"/>
    <s v="NA"/>
    <m/>
    <s v="NA"/>
    <s v="NA"/>
    <s v="NA"/>
    <s v="NA"/>
    <s v="NA"/>
    <s v="NA"/>
    <n v="349"/>
    <n v="19452"/>
    <s v="NA"/>
    <s v="NA"/>
    <s v="NA"/>
    <s v="NA"/>
    <s v="NA"/>
    <n v="1"/>
    <n v="14"/>
    <n v="1"/>
    <n v="0.2"/>
    <s v="NA"/>
    <n v="0"/>
    <n v="0"/>
    <n v="1"/>
    <m/>
    <m/>
    <m/>
    <m/>
    <m/>
    <m/>
    <m/>
    <m/>
    <m/>
    <m/>
    <n v="0.57835709203923469"/>
    <n v="0.65999050186206398"/>
    <n v="2.3283435703186023E-3"/>
    <n v="2.8901734104046241E-3"/>
    <m/>
    <m/>
    <m/>
  </r>
  <r>
    <x v="4"/>
    <m/>
    <s v="NA"/>
    <s v="NA"/>
    <s v="Liang, Liu, Qiu, Wang, Xing"/>
    <n v="2020"/>
    <s v="Time-of-Use Electricity Pricing and Residential Low-carbon Energy Technology Adoption"/>
    <s v="This paper provides the first empirical evidence on the correlation between Time-_x000a_Of-Use (TOU) electricity pricing and the adoption of energy efficient appliances_x000a_and solar panels. We use household-level data in Phoenix, Arizona from an appliance_x000a_saturation survey of about 16,000 customers conducted by a major electric_x000a_utility. Our empirical results show that TOU consumers are associated with 27%_x000a_higher likelihood to install solar panels but not more likely to adopt energy-efficient_x000a_air conditioning based on the propensity score matching and coarsened exact_x000a_matching methods. The findings highlight that policy makers could combine TOU_x000a_and solar panels when implementing educational programs or when giving out_x000a_financial incentives to consumers. Our results imply that TOU is associated with_x000a_a similar impact of the incentive offered by $2,070~$10,472 tax credits or rebates_x000a_on solar adoption."/>
    <n v="2"/>
    <n v="2020"/>
    <x v="11"/>
    <m/>
    <x v="6"/>
    <x v="4"/>
    <x v="5"/>
    <m/>
    <m/>
    <m/>
    <m/>
    <s v="NA"/>
    <m/>
    <m/>
    <m/>
    <s v="the intervention is time of use pricing. Not really included in the scope of the study"/>
    <x v="2"/>
    <x v="2"/>
    <m/>
    <m/>
    <m/>
    <m/>
    <m/>
    <m/>
    <m/>
    <m/>
    <m/>
    <m/>
    <m/>
    <m/>
    <m/>
    <m/>
    <m/>
    <m/>
    <m/>
    <x v="3"/>
    <m/>
    <m/>
    <m/>
    <m/>
    <m/>
    <m/>
    <m/>
    <m/>
    <m/>
    <m/>
    <m/>
    <m/>
    <m/>
    <m/>
    <m/>
    <m/>
    <m/>
    <m/>
    <m/>
    <m/>
    <m/>
    <m/>
    <m/>
    <m/>
    <s v="NA"/>
    <m/>
    <s v="NA"/>
    <m/>
    <m/>
    <m/>
    <m/>
    <m/>
    <m/>
    <m/>
    <m/>
    <m/>
    <m/>
    <m/>
    <m/>
    <m/>
    <m/>
    <m/>
    <m/>
    <m/>
    <m/>
    <m/>
    <m/>
    <m/>
  </r>
  <r>
    <x v="0"/>
    <m/>
    <n v="103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8000000000000003E-2"/>
    <s v="decrease"/>
    <n v="2.1000000000000001E-2"/>
    <n v="0.01"/>
    <n v="1"/>
    <n v="2.7619047619047619"/>
    <n v="5.9714995710287599E-2"/>
    <m/>
    <s v="NA"/>
    <n v="378"/>
    <s v="NA"/>
    <s v="NA"/>
    <n v="193"/>
    <s v="NA"/>
    <n v="571"/>
    <n v="25685"/>
    <s v="NA"/>
    <s v="NA"/>
    <s v="NA"/>
    <s v="NA"/>
    <s v="NA"/>
    <s v="NA"/>
    <s v="NA"/>
    <s v="NA"/>
    <s v="NA"/>
    <s v="NA"/>
    <n v="1"/>
    <n v="0"/>
    <n v="1"/>
    <m/>
    <m/>
    <m/>
    <m/>
    <m/>
    <m/>
    <m/>
    <m/>
    <m/>
    <m/>
    <n v="0.11481772350402021"/>
    <n v="0.11532630395472614"/>
    <n v="1.754075624280991E-3"/>
    <n v="1.7605633802816902E-3"/>
    <m/>
    <m/>
    <m/>
  </r>
  <r>
    <x v="0"/>
    <m/>
    <n v="103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5"/>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7"/>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1"/>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8"/>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1999999999999998E-2"/>
    <s v="decrease"/>
    <n v="2.1000000000000001E-2"/>
    <n v="0.05"/>
    <n v="1"/>
    <n v="2.4761904761904758"/>
    <n v="5.3375742513364743E-2"/>
    <m/>
    <s v="NA"/>
    <n v="378"/>
    <s v="NA"/>
    <s v="NA"/>
    <n v="193"/>
    <s v="NA"/>
    <n v="571"/>
    <n v="25685"/>
    <s v="NA"/>
    <s v="NA"/>
    <s v="NA"/>
    <s v="NA"/>
    <s v="NA"/>
    <s v="NA"/>
    <s v="NA"/>
    <s v="NA"/>
    <s v="NA"/>
    <s v="NA"/>
    <n v="1"/>
    <n v="0"/>
    <n v="1"/>
    <m/>
    <m/>
    <m/>
    <m/>
    <m/>
    <m/>
    <m/>
    <m/>
    <m/>
    <m/>
    <n v="0.10307341191556092"/>
    <n v="0.10344077825830729"/>
    <n v="1.7541851054656437E-3"/>
    <n v="1.7605633802816902E-3"/>
    <m/>
    <m/>
    <m/>
  </r>
  <r>
    <x v="0"/>
    <m/>
    <n v="1039"/>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6000000000000001E-2"/>
    <s v="decrease"/>
    <n v="2.1000000000000001E-2"/>
    <n v="0.01"/>
    <n v="1"/>
    <n v="2.6666666666666665"/>
    <n v="5.7597683736611227E-2"/>
    <m/>
    <s v="NA"/>
    <n v="378"/>
    <s v="NA"/>
    <s v="NA"/>
    <n v="193"/>
    <s v="NA"/>
    <n v="571"/>
    <n v="24920"/>
    <s v="NA"/>
    <s v="NA"/>
    <s v="NA"/>
    <s v="NA"/>
    <s v="NA"/>
    <s v="NA"/>
    <s v="NA"/>
    <s v="NA"/>
    <s v="NA"/>
    <s v="NA"/>
    <n v="1"/>
    <n v="0"/>
    <n v="1"/>
    <m/>
    <m/>
    <m/>
    <m/>
    <m/>
    <m/>
    <m/>
    <m/>
    <m/>
    <m/>
    <n v="0.1109080511509852"/>
    <n v="0.11136618214120936"/>
    <n v="1.7541161049408759E-3"/>
    <n v="1.7605633802816902E-3"/>
    <m/>
    <m/>
    <m/>
  </r>
  <r>
    <x v="0"/>
    <m/>
    <n v="1040"/>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4.4999999999999998E-2"/>
    <s v="decrease"/>
    <n v="2.1999999999999999E-2"/>
    <n v="0.05"/>
    <n v="1"/>
    <n v="2.0454545454545454"/>
    <n v="4.6027859908716939E-2"/>
    <m/>
    <s v="NA"/>
    <n v="378"/>
    <s v="NA"/>
    <s v="NA"/>
    <n v="193"/>
    <s v="NA"/>
    <n v="571"/>
    <n v="22626"/>
    <s v="NA"/>
    <s v="NA"/>
    <s v="NA"/>
    <s v="NA"/>
    <s v="NA"/>
    <s v="NA"/>
    <s v="NA"/>
    <s v="NA"/>
    <s v="NA"/>
    <s v="NA"/>
    <n v="1"/>
    <n v="0"/>
    <n v="1"/>
    <m/>
    <m/>
    <m/>
    <m/>
    <m/>
    <m/>
    <m/>
    <m/>
    <m/>
    <m/>
    <n v="8.5287714841797826E-2"/>
    <n v="8.5495416206607486E-2"/>
    <n v="1.7542922310596193E-3"/>
    <n v="1.7605633802816902E-3"/>
    <m/>
    <m/>
    <m/>
  </r>
  <r>
    <x v="0"/>
    <m/>
    <n v="1041"/>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7000000000000002E-2"/>
    <s v="decrease"/>
    <n v="2.9000000000000001E-2"/>
    <n v="0.01"/>
    <n v="1"/>
    <n v="1.9655172413793103"/>
    <n v="5.8655810395500163E-2"/>
    <m/>
    <s v="NA"/>
    <n v="378"/>
    <s v="NA"/>
    <s v="NA"/>
    <n v="193"/>
    <s v="NA"/>
    <n v="571"/>
    <n v="25685"/>
    <s v="NA"/>
    <s v="NA"/>
    <s v="NA"/>
    <s v="NA"/>
    <s v="NA"/>
    <s v="NA"/>
    <s v="NA"/>
    <s v="NA"/>
    <s v="NA"/>
    <s v="NA"/>
    <n v="1"/>
    <n v="0"/>
    <n v="1"/>
    <m/>
    <m/>
    <m/>
    <m/>
    <m/>
    <m/>
    <m/>
    <m/>
    <m/>
    <m/>
    <n v="8.1977483380554009E-2"/>
    <n v="8.2161865388990771E-2"/>
    <n v="1.7543060171508703E-3"/>
    <n v="1.7605633802816902E-3"/>
    <m/>
    <m/>
    <m/>
  </r>
  <r>
    <x v="0"/>
    <m/>
    <n v="1042"/>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4000000000000001E-2"/>
    <s v="decrease"/>
    <n v="2.1000000000000001E-2"/>
    <n v="0.05"/>
    <n v="1"/>
    <n v="3.0476190476190474"/>
    <n v="6.6092398761505189E-2"/>
    <m/>
    <s v="NA"/>
    <n v="378"/>
    <s v="NA"/>
    <s v="NA"/>
    <n v="193"/>
    <s v="NA"/>
    <n v="571"/>
    <n v="25685"/>
    <s v="NA"/>
    <s v="NA"/>
    <s v="NA"/>
    <s v="NA"/>
    <s v="NA"/>
    <s v="NA"/>
    <s v="NA"/>
    <s v="NA"/>
    <s v="NA"/>
    <s v="NA"/>
    <n v="1"/>
    <n v="0"/>
    <n v="1"/>
    <m/>
    <m/>
    <m/>
    <m/>
    <m/>
    <m/>
    <m/>
    <m/>
    <m/>
    <m/>
    <n v="0.12651408859229724"/>
    <n v="0.12719563288286462"/>
    <n v="1.7539267521528995E-3"/>
    <n v="1.7605633802816902E-3"/>
    <m/>
    <m/>
    <m/>
  </r>
  <r>
    <x v="0"/>
    <m/>
    <n v="1043"/>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1"/>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5000000000000002E-2"/>
    <s v="decrease"/>
    <n v="2.1000000000000001E-2"/>
    <n v="0.01"/>
    <n v="1"/>
    <n v="3.0952380952380953"/>
    <n v="6.7159024384192634E-2"/>
    <m/>
    <s v="NA"/>
    <n v="378"/>
    <s v="NA"/>
    <s v="NA"/>
    <n v="193"/>
    <s v="NA"/>
    <n v="571"/>
    <n v="24920"/>
    <s v="NA"/>
    <s v="NA"/>
    <s v="NA"/>
    <s v="NA"/>
    <s v="NA"/>
    <s v="NA"/>
    <s v="NA"/>
    <s v="NA"/>
    <s v="NA"/>
    <s v="NA"/>
    <n v="1"/>
    <n v="0"/>
    <n v="1"/>
    <m/>
    <m/>
    <m/>
    <m/>
    <m/>
    <m/>
    <m/>
    <m/>
    <m/>
    <m/>
    <n v="0.12845849802371542"/>
    <n v="0.12917216710458213"/>
    <n v="1.7538975364909846E-3"/>
    <n v="1.7605633802816902E-3"/>
    <m/>
    <m/>
    <m/>
  </r>
  <r>
    <x v="0"/>
    <m/>
    <n v="1044"/>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2"/>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x v="0"/>
    <x v="1"/>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9000000000000006E-2"/>
    <s v="decrease"/>
    <n v="2.5999999999999999E-2"/>
    <n v="0.01"/>
    <n v="1"/>
    <n v="2.6538461538461542"/>
    <n v="7.1436209148346252E-2"/>
    <m/>
    <s v="NA"/>
    <n v="378"/>
    <s v="NA"/>
    <s v="NA"/>
    <n v="193"/>
    <s v="NA"/>
    <n v="571"/>
    <n v="20600"/>
    <s v="NA"/>
    <s v="NA"/>
    <s v="NA"/>
    <s v="NA"/>
    <s v="NA"/>
    <s v="NA"/>
    <s v="NA"/>
    <s v="NA"/>
    <s v="NA"/>
    <s v="NA"/>
    <n v="1"/>
    <n v="0"/>
    <n v="1"/>
    <m/>
    <m/>
    <m/>
    <m/>
    <m/>
    <m/>
    <m/>
    <m/>
    <m/>
    <m/>
    <n v="0.11038135154213211"/>
    <n v="0.11083295461476669"/>
    <n v="1.7541212363579208E-3"/>
    <n v="1.7605633802816902E-3"/>
    <m/>
    <m/>
    <m/>
  </r>
  <r>
    <x v="1"/>
    <n v="18"/>
    <n v="1010"/>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x v="0"/>
    <x v="1"/>
    <n v="0"/>
    <n v="0"/>
    <n v="0"/>
    <n v="1"/>
    <n v="0"/>
    <n v="0"/>
    <s v="NA"/>
    <n v="0"/>
    <n v="0"/>
    <n v="0"/>
    <n v="0"/>
    <n v="0"/>
    <n v="0"/>
    <n v="1"/>
    <n v="0"/>
    <n v="0"/>
    <s v="aggregated already implemented and planned installations together?"/>
    <x v="0"/>
    <s v="adoption of renewable and energy saving appliances"/>
    <s v="dummy (0/1)"/>
    <n v="0.105"/>
    <s v="increase"/>
    <s v="NA"/>
    <n v="0.1"/>
    <n v="2"/>
    <n v="1.6540291281334114"/>
    <n v="4.2000000000000003E-2"/>
    <n v="0.5262259093720687"/>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9"/>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x v="0"/>
    <x v="1"/>
    <n v="0"/>
    <n v="0"/>
    <n v="0"/>
    <n v="1"/>
    <n v="0"/>
    <n v="0"/>
    <s v="NA"/>
    <n v="0"/>
    <n v="0"/>
    <n v="0"/>
    <n v="0"/>
    <n v="0"/>
    <n v="0"/>
    <n v="0"/>
    <n v="1"/>
    <n v="0"/>
    <s v="aggregated already implemented and planned installations together?"/>
    <x v="0"/>
    <s v="adoption of renewable and energy saving appliances"/>
    <s v="dummy (0/1)"/>
    <n v="0.42199999999999999"/>
    <s v="increase"/>
    <s v="NA"/>
    <n v="0.01"/>
    <n v="1"/>
    <n v="2.6014087465590463"/>
    <n v="0.16600000000000001"/>
    <n v="0.60396173310922441"/>
    <s v="NA"/>
    <s v="NA"/>
    <s v="NA"/>
    <s v="NA"/>
    <s v="NA"/>
    <s v="NA"/>
    <n v="196"/>
    <n v="196"/>
    <s v="NA"/>
    <s v="NA"/>
    <s v="NA"/>
    <s v="NA"/>
    <s v="current "/>
    <s v="NA"/>
    <s v="NA"/>
    <s v="NA"/>
    <s v="NA"/>
    <s v="NA"/>
    <n v="0"/>
    <n v="0"/>
    <n v="1"/>
    <m/>
    <m/>
    <m/>
    <m/>
    <m/>
    <m/>
    <m/>
    <m/>
    <m/>
    <m/>
    <n v="0.18268782595451913"/>
    <n v="0.18476191295756308"/>
    <n v="5.1222290649031235E-3"/>
    <n v="5.1813471502590676E-3"/>
    <s v="NA"/>
    <n v="194"/>
    <s v="NA"/>
  </r>
  <r>
    <x v="1"/>
    <n v="18"/>
    <n v="1011"/>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x v="0"/>
    <x v="1"/>
    <n v="0"/>
    <n v="0"/>
    <n v="0"/>
    <n v="0"/>
    <n v="1"/>
    <n v="0"/>
    <s v="NA"/>
    <n v="0"/>
    <n v="0"/>
    <n v="0"/>
    <n v="0"/>
    <n v="0"/>
    <n v="0"/>
    <n v="0"/>
    <n v="1"/>
    <n v="0"/>
    <s v="aggregated already implemented and planned installations together?"/>
    <x v="0"/>
    <s v="adoption of renewable and energy saving appliances"/>
    <s v="dummy (0/1)"/>
    <n v="0.60199999999999998"/>
    <s v="decrease"/>
    <s v="NA"/>
    <n v="0.05"/>
    <n v="1"/>
    <n v="1.9722675325821368"/>
    <n v="0.23599999999999999"/>
    <n v="0.64611374129762467"/>
    <s v="NA"/>
    <s v="NA"/>
    <s v="NA"/>
    <s v="NA"/>
    <s v="NA"/>
    <s v="NA"/>
    <n v="196"/>
    <n v="196"/>
    <s v="NA"/>
    <s v="NA"/>
    <s v="NA"/>
    <s v="NA"/>
    <s v="current "/>
    <s v="NA"/>
    <s v="NA"/>
    <s v="NA"/>
    <s v="NA"/>
    <s v="NA"/>
    <n v="0"/>
    <n v="0"/>
    <n v="1"/>
    <m/>
    <m/>
    <m/>
    <m/>
    <m/>
    <m/>
    <m/>
    <m/>
    <m/>
    <m/>
    <n v="0.13949879819299352"/>
    <n v="0.14041439085865218"/>
    <n v="5.126211648265694E-3"/>
    <n v="5.1813471502590676E-3"/>
    <s v="NA"/>
    <n v="194"/>
    <s v="NA"/>
  </r>
  <r>
    <x v="1"/>
    <n v="18"/>
    <n v="1008"/>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x v="1"/>
    <x v="1"/>
    <n v="0"/>
    <n v="0"/>
    <n v="0"/>
    <n v="0"/>
    <n v="0"/>
    <n v="0"/>
    <s v="NA"/>
    <n v="0"/>
    <n v="0"/>
    <n v="0"/>
    <n v="0"/>
    <n v="0"/>
    <n v="0"/>
    <n v="1"/>
    <n v="0"/>
    <n v="0"/>
    <s v="aggregated already implemented and planned installations together?"/>
    <x v="0"/>
    <s v="adoption of renewable and energy saving appliances"/>
    <s v="dummy (0/1)"/>
    <n v="0.65300000000000002"/>
    <s v="increase"/>
    <s v="NA"/>
    <n v="0.05"/>
    <n v="1"/>
    <n v="1.9742709570280526"/>
    <n v="0.25600000000000001"/>
    <n v="0.6576861870231604"/>
    <s v="NA"/>
    <s v="NA"/>
    <s v="NA"/>
    <s v="NA"/>
    <s v="NA"/>
    <s v="NA"/>
    <n v="169"/>
    <n v="169"/>
    <s v="NA"/>
    <s v="NA"/>
    <s v="NA"/>
    <s v="NA"/>
    <s v="NA"/>
    <s v="NA"/>
    <s v="NA"/>
    <s v="NA"/>
    <s v="NA"/>
    <s v="NA"/>
    <n v="0"/>
    <n v="0"/>
    <n v="1"/>
    <m/>
    <m/>
    <m/>
    <m/>
    <m/>
    <m/>
    <m/>
    <m/>
    <m/>
    <m/>
    <n v="0.15014542072566855"/>
    <n v="0.15128920726322537"/>
    <n v="5.9492626192623162E-3"/>
    <n v="6.024096385542169E-3"/>
    <s v="NA"/>
    <n v="167"/>
    <s v="NA"/>
  </r>
  <r>
    <x v="1"/>
    <n v="18"/>
    <n v="1012"/>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x v="0"/>
    <x v="1"/>
    <n v="0"/>
    <n v="0"/>
    <n v="0"/>
    <n v="0"/>
    <n v="1"/>
    <n v="0"/>
    <s v="NA"/>
    <n v="0"/>
    <n v="0"/>
    <n v="0"/>
    <n v="0"/>
    <n v="0"/>
    <n v="0"/>
    <n v="1"/>
    <n v="0"/>
    <n v="0"/>
    <s v="aggregated already implemented and planned installations together?"/>
    <x v="0"/>
    <s v="adoption of renewable and energy saving appliances"/>
    <s v="dummy (0/1)"/>
    <n v="0.70499999999999996"/>
    <s v="increase"/>
    <s v="NA"/>
    <n v="0.1"/>
    <n v="1"/>
    <n v="1.6540291281334114"/>
    <n v="0.26200000000000001"/>
    <n v="0.66929540277744604"/>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7"/>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x v="1"/>
    <x v="1"/>
    <n v="0"/>
    <n v="0"/>
    <n v="0"/>
    <n v="0"/>
    <n v="0"/>
    <n v="0"/>
    <s v="NA"/>
    <n v="0"/>
    <n v="0"/>
    <n v="0"/>
    <n v="0"/>
    <n v="0"/>
    <n v="0"/>
    <n v="0"/>
    <n v="1"/>
    <n v="0"/>
    <s v="aggregated already implemented and planned installations together?"/>
    <x v="0"/>
    <s v="adoption of renewable and energy saving appliances "/>
    <s v="dummy (0/1)"/>
    <n v="0.80900000000000005"/>
    <s v="increase"/>
    <s v="NA"/>
    <n v="0.01"/>
    <n v="1"/>
    <n v="2.6014087465590463"/>
    <n v="0.31"/>
    <n v="0.69189636943595911"/>
    <s v="NA"/>
    <s v="NA"/>
    <s v="NA"/>
    <s v="NA"/>
    <s v="NA"/>
    <s v="NA"/>
    <n v="196"/>
    <n v="196"/>
    <s v="NA"/>
    <s v="NA"/>
    <s v="NA"/>
    <s v="NA"/>
    <s v="NA"/>
    <s v="NA"/>
    <s v="NA"/>
    <s v="NA"/>
    <s v="NA"/>
    <s v="NA"/>
    <n v="0"/>
    <n v="0"/>
    <n v="1"/>
    <m/>
    <m/>
    <m/>
    <m/>
    <m/>
    <m/>
    <m/>
    <m/>
    <m/>
    <m/>
    <n v="0.18268782595451913"/>
    <n v="0.18476191295756308"/>
    <n v="5.1222290649031235E-3"/>
    <n v="5.1813471502590676E-3"/>
    <s v="NA"/>
    <n v="194"/>
    <s v="NA"/>
  </r>
  <r>
    <x v="0"/>
    <n v="19"/>
    <n v="1130"/>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x v="0"/>
    <x v="1"/>
    <n v="1"/>
    <n v="0"/>
    <n v="0"/>
    <n v="0"/>
    <n v="0"/>
    <n v="0"/>
    <s v="baseline is the existing EU labelling programme"/>
    <n v="0"/>
    <n v="0"/>
    <n v="0"/>
    <n v="0"/>
    <n v="0"/>
    <n v="0"/>
    <n v="0"/>
    <n v="0"/>
    <n v="1"/>
    <s v="NA"/>
    <x v="0"/>
    <s v="choice of a high-efficiency appliance"/>
    <s v="dummy (0/1)"/>
    <n v="4.4999999999999998E-2"/>
    <s v="increase"/>
    <n v="0.27100000000000002"/>
    <s v="NA"/>
    <n v="3"/>
    <n v="0.16605166051660514"/>
    <n v="4.6027859908716939E-2"/>
    <n v="0.51124810194685477"/>
    <s v="NA"/>
    <s v="NA"/>
    <s v="NA"/>
    <s v="NA"/>
    <s v="NA"/>
    <s v="NA"/>
    <n v="504"/>
    <n v="504"/>
    <s v="NA"/>
    <s v="NA"/>
    <s v="NA"/>
    <s v="NA"/>
    <s v="NA"/>
    <n v="0"/>
    <s v="NA"/>
    <n v="0"/>
    <s v="NA"/>
    <s v="other"/>
    <n v="0"/>
    <n v="0"/>
    <n v="1"/>
    <m/>
    <m/>
    <m/>
    <m/>
    <m/>
    <m/>
    <m/>
    <m/>
    <m/>
    <m/>
    <n v="7.3963265165038466E-3"/>
    <n v="7.396461394537558E-3"/>
    <n v="1.9880715646263896E-3"/>
    <n v="1.996007984031936E-3"/>
    <s v="NA"/>
    <n v="502"/>
    <s v="NA"/>
  </r>
  <r>
    <x v="0"/>
    <n v="19"/>
    <n v="1131"/>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x v="0"/>
    <x v="1"/>
    <n v="1"/>
    <n v="0"/>
    <n v="0"/>
    <n v="0"/>
    <n v="0"/>
    <n v="0"/>
    <s v="baseline is the existing EU labelling programme"/>
    <n v="1"/>
    <n v="0"/>
    <n v="0"/>
    <n v="0"/>
    <n v="0"/>
    <n v="0"/>
    <n v="0"/>
    <n v="0"/>
    <n v="0"/>
    <s v="NA"/>
    <x v="0"/>
    <s v="choice of a high-efficiency appliance"/>
    <s v="dummy (0/1)"/>
    <n v="0.184"/>
    <s v="increase"/>
    <n v="0.26900000000000002"/>
    <s v="NA"/>
    <n v="3"/>
    <n v="0.68401486988847582"/>
    <n v="0.20201582309630139"/>
    <n v="0.54587065655419365"/>
    <s v="NA"/>
    <s v="NA"/>
    <s v="NA"/>
    <s v="NA"/>
    <s v="NA"/>
    <s v="NA"/>
    <n v="504"/>
    <n v="504"/>
    <s v="NA"/>
    <s v="NA"/>
    <s v="NA"/>
    <s v="NA"/>
    <s v="NA"/>
    <n v="0"/>
    <s v="NA"/>
    <n v="0"/>
    <s v="NA"/>
    <s v="alphabetical"/>
    <n v="0"/>
    <n v="0"/>
    <n v="1"/>
    <m/>
    <m/>
    <m/>
    <m/>
    <m/>
    <m/>
    <m/>
    <m/>
    <m/>
    <m/>
    <n v="3.0454311448901306E-2"/>
    <n v="3.0463731795209874E-2"/>
    <n v="1.988069858337372E-3"/>
    <n v="1.996007984031936E-3"/>
    <s v="NA"/>
    <n v="502"/>
    <s v="NA"/>
  </r>
  <r>
    <x v="0"/>
    <n v="19"/>
    <n v="1129"/>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x v="0"/>
    <x v="1"/>
    <n v="1"/>
    <n v="0"/>
    <n v="0"/>
    <n v="0"/>
    <n v="0"/>
    <n v="0"/>
    <s v="baseline is the existing EU labelling programme"/>
    <n v="0"/>
    <n v="0"/>
    <n v="0"/>
    <n v="0"/>
    <n v="0"/>
    <n v="0"/>
    <n v="0"/>
    <n v="0"/>
    <n v="1"/>
    <s v="NA"/>
    <x v="0"/>
    <s v="choice of a high-efficiency appliance"/>
    <s v="dummy (0/1)"/>
    <n v="0.22800000000000001"/>
    <s v="increase"/>
    <n v="0.26900000000000002"/>
    <s v="NA"/>
    <n v="3"/>
    <n v="0.84758364312267653"/>
    <n v="0.25608532543234408"/>
    <n v="0.55675435289294073"/>
    <s v="NA"/>
    <s v="NA"/>
    <s v="NA"/>
    <s v="NA"/>
    <s v="NA"/>
    <s v="NA"/>
    <n v="504"/>
    <n v="504"/>
    <s v="NA"/>
    <s v="NA"/>
    <s v="NA"/>
    <s v="NA"/>
    <s v="NA"/>
    <n v="0"/>
    <s v="NA"/>
    <n v="0"/>
    <s v="NA"/>
    <s v="numerical"/>
    <n v="0"/>
    <n v="0"/>
    <n v="1"/>
    <m/>
    <m/>
    <m/>
    <m/>
    <m/>
    <m/>
    <m/>
    <m/>
    <m/>
    <m/>
    <n v="3.7727497501766814E-2"/>
    <n v="3.7745412792349338E-2"/>
    <n v="1.9880675351566339E-3"/>
    <n v="1.996007984031936E-3"/>
    <s v="NA"/>
    <n v="502"/>
    <s v="NA"/>
  </r>
  <r>
    <x v="0"/>
    <n v="19"/>
    <n v="1132"/>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x v="0"/>
    <x v="1"/>
    <n v="1"/>
    <n v="0"/>
    <n v="0"/>
    <n v="0"/>
    <n v="0"/>
    <n v="0"/>
    <s v="baseline is the existing EU labelling programme"/>
    <n v="1"/>
    <n v="0"/>
    <n v="0"/>
    <n v="0"/>
    <n v="0"/>
    <n v="0"/>
    <n v="0"/>
    <n v="0"/>
    <n v="0"/>
    <s v="NA"/>
    <x v="0"/>
    <s v="choice of a high-efficiency appliance"/>
    <s v="dummy (0/1)"/>
    <n v="0.26500000000000001"/>
    <s v="decrease"/>
    <n v="0.27300000000000002"/>
    <s v="NA"/>
    <n v="3"/>
    <n v="0.97069597069597069"/>
    <n v="0.30343097577836886"/>
    <n v="0.56586500289548169"/>
    <s v="NA"/>
    <s v="NA"/>
    <s v="NA"/>
    <s v="NA"/>
    <s v="NA"/>
    <s v="NA"/>
    <n v="504"/>
    <n v="504"/>
    <s v="NA"/>
    <s v="NA"/>
    <s v="NA"/>
    <s v="NA"/>
    <s v="NA"/>
    <n v="0"/>
    <s v="NA"/>
    <n v="0"/>
    <s v="NA"/>
    <s v="numerical"/>
    <n v="0"/>
    <n v="0"/>
    <n v="1"/>
    <m/>
    <m/>
    <m/>
    <m/>
    <m/>
    <m/>
    <m/>
    <m/>
    <m/>
    <m/>
    <n v="4.3197873779519926E-2"/>
    <n v="4.322477379226973E-2"/>
    <n v="1.9880646305212315E-3"/>
    <n v="1.996007984031936E-3"/>
    <s v="NA"/>
    <n v="502"/>
    <s v="NA"/>
  </r>
  <r>
    <x v="0"/>
    <n v="19"/>
    <n v="1133"/>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x v="0"/>
    <x v="1"/>
    <n v="1"/>
    <n v="0"/>
    <n v="0"/>
    <n v="0"/>
    <n v="0"/>
    <n v="0"/>
    <s v="baseline is the existing EU labelling programme"/>
    <n v="1"/>
    <n v="0"/>
    <n v="0"/>
    <n v="0"/>
    <n v="0"/>
    <n v="0"/>
    <n v="0"/>
    <n v="0"/>
    <n v="0"/>
    <s v="NA"/>
    <x v="0"/>
    <s v="choice of a high-efficiency appliance"/>
    <s v="dummy (0/1)"/>
    <n v="0.34599999999999997"/>
    <s v="increase"/>
    <n v="0.26800000000000002"/>
    <s v="NA"/>
    <n v="3"/>
    <n v="1.2910447761194028"/>
    <n v="0.41340261581767712"/>
    <n v="0.58564725444237853"/>
    <s v="NA"/>
    <s v="NA"/>
    <s v="NA"/>
    <s v="NA"/>
    <s v="NA"/>
    <s v="NA"/>
    <n v="504"/>
    <n v="504"/>
    <s v="NA"/>
    <s v="NA"/>
    <s v="NA"/>
    <s v="NA"/>
    <s v="NA"/>
    <n v="0"/>
    <s v="NA"/>
    <n v="0"/>
    <s v="NA"/>
    <s v="other"/>
    <n v="0"/>
    <n v="0"/>
    <n v="1"/>
    <m/>
    <m/>
    <m/>
    <m/>
    <m/>
    <m/>
    <m/>
    <m/>
    <m/>
    <m/>
    <n v="5.7412847349308176E-2"/>
    <n v="5.7476054483562668E-2"/>
    <n v="1.9880498745698505E-3"/>
    <n v="1.996007984031936E-3"/>
    <s v="NA"/>
    <n v="502"/>
    <s v="NA"/>
  </r>
  <r>
    <x v="0"/>
    <n v="19"/>
    <n v="1128"/>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x v="0"/>
    <x v="1"/>
    <n v="1"/>
    <n v="0"/>
    <n v="0"/>
    <n v="0"/>
    <n v="0"/>
    <n v="0"/>
    <s v="baseline is the existing EU labelling programme"/>
    <n v="0"/>
    <n v="0"/>
    <n v="0"/>
    <n v="0"/>
    <n v="0"/>
    <n v="0"/>
    <n v="0"/>
    <n v="0"/>
    <n v="1"/>
    <s v="NA"/>
    <x v="0"/>
    <s v="choice of a high-efficiency appliance"/>
    <s v="dummy (0/1)"/>
    <n v="0.47499999999999998"/>
    <s v="increase"/>
    <n v="0.26700000000000002"/>
    <n v="0.1"/>
    <n v="1"/>
    <n v="1.7790262172284643"/>
    <n v="0.60801419748578289"/>
    <n v="0.61656650452131923"/>
    <s v="NA"/>
    <s v="NA"/>
    <s v="NA"/>
    <s v="NA"/>
    <s v="NA"/>
    <s v="NA"/>
    <n v="504"/>
    <n v="504"/>
    <s v="NA"/>
    <s v="NA"/>
    <s v="NA"/>
    <s v="NA"/>
    <s v="NA"/>
    <n v="0"/>
    <s v="NA"/>
    <n v="0"/>
    <s v="NA"/>
    <s v="alphabetical"/>
    <n v="0"/>
    <n v="0"/>
    <n v="1"/>
    <m/>
    <m/>
    <m/>
    <m/>
    <m/>
    <m/>
    <m/>
    <m/>
    <m/>
    <m/>
    <n v="7.8996479816553555E-2"/>
    <n v="7.9161422211521337E-2"/>
    <n v="1.9879935001832043E-3"/>
    <n v="1.996007984031936E-3"/>
    <s v="NA"/>
    <n v="502"/>
    <s v="NA"/>
  </r>
  <r>
    <x v="0"/>
    <n v="20"/>
    <n v="1048"/>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x v="0"/>
    <x v="1"/>
    <n v="0"/>
    <n v="0"/>
    <n v="0"/>
    <n v="1"/>
    <n v="0"/>
    <n v="0"/>
    <s v="NA"/>
    <n v="0"/>
    <n v="0"/>
    <n v="0"/>
    <n v="0"/>
    <n v="0"/>
    <n v="0"/>
    <n v="1"/>
    <n v="0"/>
    <n v="0"/>
    <s v="solar, base elc."/>
    <x v="0"/>
    <s v="water heater usage (electricity, LPG, solar, others)"/>
    <s v="dummy (0/1)"/>
    <n v="0.57299999999999995"/>
    <s v="decrease"/>
    <n v="0.29399999999999998"/>
    <n v="0.1"/>
    <n v="1"/>
    <n v="1.9489795918367347"/>
    <n v="0.77357981775294093"/>
    <n v="0.63945512092377221"/>
    <s v="NA"/>
    <s v="NA"/>
    <s v="NA"/>
    <s v="NA"/>
    <n v="36"/>
    <s v="NA"/>
    <n v="3404"/>
    <n v="3404"/>
    <s v="NA"/>
    <s v="NA"/>
    <s v="NA"/>
    <n v="0.13"/>
    <s v="NA"/>
    <s v="NA"/>
    <s v="NA"/>
    <s v="NA"/>
    <s v="NA"/>
    <s v="NA"/>
    <n v="1"/>
    <n v="1"/>
    <n v="1"/>
    <m/>
    <m/>
    <m/>
    <m/>
    <m/>
    <m/>
    <m/>
    <m/>
    <m/>
    <m/>
    <n v="3.3386457206729767E-2"/>
    <n v="3.339887030924775E-2"/>
    <n v="2.9385799462070103E-4"/>
    <n v="2.9403116730373417E-4"/>
    <s v="NA"/>
    <n v="3402"/>
    <s v="NA"/>
  </r>
  <r>
    <x v="0"/>
    <n v="20"/>
    <n v="1051"/>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x v="0"/>
    <x v="1"/>
    <n v="0"/>
    <n v="0"/>
    <n v="0"/>
    <n v="1"/>
    <n v="0"/>
    <n v="0"/>
    <s v="NA"/>
    <n v="0"/>
    <n v="0"/>
    <n v="0"/>
    <n v="0"/>
    <n v="0"/>
    <n v="0"/>
    <n v="1"/>
    <n v="0"/>
    <n v="0"/>
    <s v="solar, base elc."/>
    <x v="0"/>
    <s v="water heater usage (electricity, LPG, solar, others)"/>
    <s v="dummy (0/1)"/>
    <n v="0.77300000000000002"/>
    <s v="decrease"/>
    <n v="0.65300000000000002"/>
    <n v="0.1"/>
    <n v="2"/>
    <n v="1.1837672281776417"/>
    <n v="1.1662552812206535"/>
    <n v="0.68416949639812985"/>
    <s v="NA"/>
    <s v="NA"/>
    <s v="NA"/>
    <s v="NA"/>
    <s v="NA"/>
    <s v="NA"/>
    <n v="3404"/>
    <n v="3404"/>
    <s v="NA"/>
    <s v="NA"/>
    <s v="NA"/>
    <n v="0.13"/>
    <s v="NA"/>
    <s v="NA"/>
    <s v="NA"/>
    <s v="NA"/>
    <s v="NA"/>
    <s v="NA"/>
    <n v="1"/>
    <n v="1"/>
    <n v="1"/>
    <m/>
    <m/>
    <m/>
    <m/>
    <m/>
    <m/>
    <m/>
    <m/>
    <m/>
    <m/>
    <n v="2.0285334036980945E-2"/>
    <n v="2.0288117160492912E-2"/>
    <n v="2.9385831048460269E-4"/>
    <n v="2.9403116730373417E-4"/>
    <s v="NA"/>
    <n v="3402"/>
    <s v="NA"/>
  </r>
  <r>
    <x v="0"/>
    <n v="20"/>
    <n v="1049"/>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x v="0"/>
    <x v="1"/>
    <n v="0"/>
    <n v="0"/>
    <n v="0"/>
    <n v="1"/>
    <n v="0"/>
    <n v="0"/>
    <s v="NA"/>
    <n v="0"/>
    <n v="0"/>
    <n v="0"/>
    <n v="0"/>
    <n v="0"/>
    <n v="0"/>
    <n v="1"/>
    <n v="0"/>
    <n v="0"/>
    <s v="solar, base elc."/>
    <x v="0"/>
    <s v="water heater usage (electricity, LPG, solar, others)"/>
    <s v="dummy (0/1)"/>
    <n v="1.0780000000000001"/>
    <s v="increase"/>
    <n v="0.55600000000000005"/>
    <n v="0.1"/>
    <n v="1"/>
    <n v="1.9388489208633093"/>
    <n v="1.938796077398218"/>
    <n v="0.7461153153527682"/>
    <s v="NA"/>
    <s v="NA"/>
    <s v="NA"/>
    <s v="NA"/>
    <s v="NA"/>
    <s v="NA"/>
    <n v="3404"/>
    <n v="3404"/>
    <s v="NA"/>
    <s v="NA"/>
    <s v="NA"/>
    <n v="0.13"/>
    <s v="NA"/>
    <s v="NA"/>
    <s v="NA"/>
    <s v="NA"/>
    <s v="NA"/>
    <s v="NA"/>
    <n v="1"/>
    <n v="1"/>
    <n v="1"/>
    <m/>
    <m/>
    <m/>
    <m/>
    <m/>
    <m/>
    <m/>
    <m/>
    <m/>
    <m/>
    <n v="3.3213108476623197E-2"/>
    <n v="3.3225329143150836E-2"/>
    <n v="2.9385800216136389E-4"/>
    <n v="2.9403116730373417E-4"/>
    <s v="NA"/>
    <n v="3402"/>
    <s v="NA"/>
  </r>
  <r>
    <x v="0"/>
    <n v="20"/>
    <n v="1052"/>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x v="0"/>
    <x v="1"/>
    <n v="0"/>
    <n v="0"/>
    <n v="0"/>
    <n v="1"/>
    <n v="0"/>
    <n v="0"/>
    <s v="NA"/>
    <n v="0"/>
    <n v="0"/>
    <n v="0"/>
    <n v="0"/>
    <n v="0"/>
    <n v="0"/>
    <n v="1"/>
    <n v="0"/>
    <n v="0"/>
    <s v="solar, base LPG"/>
    <x v="0"/>
    <s v="water heater usage (electricity, LPG, solar, others)"/>
    <s v="dummy (0/1)"/>
    <n v="1.107"/>
    <s v="increase"/>
    <n v="0.83799999999999997"/>
    <n v="0.1"/>
    <n v="2"/>
    <n v="1.3210023866348448"/>
    <n v="2.0252689602207656"/>
    <n v="0.75156939576401494"/>
    <s v="NA"/>
    <s v="NA"/>
    <s v="NA"/>
    <s v="NA"/>
    <s v="NA"/>
    <s v="NA"/>
    <n v="3404"/>
    <n v="3404"/>
    <s v="NA"/>
    <s v="NA"/>
    <s v="NA"/>
    <n v="0.13"/>
    <s v="NA"/>
    <s v="NA"/>
    <s v="NA"/>
    <s v="NA"/>
    <s v="NA"/>
    <s v="NA"/>
    <n v="1"/>
    <n v="1"/>
    <n v="1"/>
    <m/>
    <m/>
    <m/>
    <m/>
    <m/>
    <m/>
    <m/>
    <m/>
    <m/>
    <m/>
    <n v="2.263588794559478E-2"/>
    <n v="2.2639755219163907E-2"/>
    <n v="2.9385828306898831E-4"/>
    <n v="2.9403116730373417E-4"/>
    <s v="NA"/>
    <n v="3402"/>
    <s v="NA"/>
  </r>
  <r>
    <x v="0"/>
    <n v="20"/>
    <n v="1047"/>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x v="0"/>
    <x v="1"/>
    <n v="0"/>
    <n v="0"/>
    <n v="0"/>
    <n v="1"/>
    <n v="0"/>
    <n v="0"/>
    <s v="NA"/>
    <n v="0"/>
    <n v="0"/>
    <n v="0"/>
    <n v="0"/>
    <n v="0"/>
    <n v="0"/>
    <n v="1"/>
    <n v="0"/>
    <n v="0"/>
    <s v="LPG, base elec."/>
    <x v="0"/>
    <s v="water heater usage (electricity, LPG, solar, others)"/>
    <s v="dummy (0/1)"/>
    <n v="1.651"/>
    <s v="decrease"/>
    <n v="0.58599999999999997"/>
    <n v="0.01"/>
    <n v="1"/>
    <n v="2.81740614334471"/>
    <n v="4.2121894113649896"/>
    <n v="0.83902615748152587"/>
    <s v="NA"/>
    <s v="NA"/>
    <s v="NA"/>
    <s v="NA"/>
    <n v="36"/>
    <s v="NA"/>
    <n v="3404"/>
    <n v="3404"/>
    <s v="NA"/>
    <s v="NA"/>
    <s v="NA"/>
    <n v="0.13"/>
    <s v="NA"/>
    <s v="NA"/>
    <s v="NA"/>
    <s v="NA"/>
    <s v="NA"/>
    <s v="NA"/>
    <n v="1"/>
    <n v="1"/>
    <n v="1"/>
    <m/>
    <m/>
    <m/>
    <m/>
    <m/>
    <m/>
    <m/>
    <m/>
    <m/>
    <m/>
    <n v="4.823351432140318E-2"/>
    <n v="4.8270971259459908E-2"/>
    <n v="2.9385676482401629E-4"/>
    <n v="2.9403116730373417E-4"/>
    <s v="NA"/>
    <n v="3402"/>
    <s v="NA"/>
  </r>
  <r>
    <x v="0"/>
    <n v="20"/>
    <n v="1050"/>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x v="0"/>
    <x v="1"/>
    <n v="0"/>
    <n v="0"/>
    <n v="0"/>
    <n v="1"/>
    <n v="0"/>
    <n v="0"/>
    <s v="NA"/>
    <n v="0"/>
    <n v="0"/>
    <n v="0"/>
    <n v="0"/>
    <n v="0"/>
    <n v="0"/>
    <n v="1"/>
    <n v="0"/>
    <n v="0"/>
    <s v="LPG, base elec."/>
    <x v="0"/>
    <s v="water heater usage (electricity, LPG, solar, others)"/>
    <s v="dummy (0/1)"/>
    <n v="1.881"/>
    <s v="decrease"/>
    <n v="1.145"/>
    <n v="0.1"/>
    <n v="2"/>
    <n v="1.6427947598253274"/>
    <n v="5.5600616448982949"/>
    <n v="0.86772594629901956"/>
    <s v="NA"/>
    <s v="NA"/>
    <s v="NA"/>
    <s v="NA"/>
    <s v="NA"/>
    <s v="NA"/>
    <n v="3404"/>
    <n v="3404"/>
    <s v="NA"/>
    <s v="NA"/>
    <s v="NA"/>
    <n v="0.13"/>
    <s v="NA"/>
    <s v="NA"/>
    <s v="NA"/>
    <s v="NA"/>
    <s v="NA"/>
    <s v="NA"/>
    <n v="1"/>
    <n v="1"/>
    <n v="1"/>
    <m/>
    <m/>
    <m/>
    <m/>
    <m/>
    <m/>
    <m/>
    <m/>
    <m/>
    <m/>
    <n v="2.8145984341816754E-2"/>
    <n v="2.8153420259375738E-2"/>
    <n v="2.9385817565716929E-4"/>
    <n v="2.9403116730373417E-4"/>
    <s v="NA"/>
    <n v="3402"/>
    <s v="NA"/>
  </r>
  <r>
    <x v="0"/>
    <m/>
    <s v="NA"/>
    <s v="NA"/>
    <s v="Mahlia, Masjuki, Choudhury, Ghazali"/>
    <n v="2002"/>
    <s v="Economical and environmental impact of room air conditioners energy labels in Malaysia"/>
    <s v="The usage of residential electrical appliances for the last two decades has increased rapidly in Malaysia_x000a_together with the increasing income per capita. Like other developing countries with hot and humid climates,_x000a_Malaysia has been experiencing dramatic growth in the number of use of air conditioners, and the_x000a_usage will be higher in the future. In order to reduce energy consumption in the residential sector, the_x000a_Department of Electricity and Gas Supply considers implementing energy labels for room air conditioners_x000a_sometime in the coming year. This study attempts to calculate the economical and environmental impact of_x000a_implementing this program in Malaysia. The study found the savings has exceeded the investment cost and_x000a_the program has reduced the emissions caused by burning fossil fuel."/>
    <n v="1"/>
    <m/>
    <x v="9"/>
    <m/>
    <x v="6"/>
    <x v="4"/>
    <x v="24"/>
    <m/>
    <m/>
    <m/>
    <m/>
    <m/>
    <m/>
    <m/>
    <m/>
    <m/>
    <x v="2"/>
    <x v="2"/>
    <m/>
    <m/>
    <m/>
    <m/>
    <m/>
    <m/>
    <m/>
    <m/>
    <m/>
    <m/>
    <m/>
    <m/>
    <m/>
    <m/>
    <m/>
    <m/>
    <m/>
    <x v="3"/>
    <m/>
    <m/>
    <m/>
    <m/>
    <m/>
    <m/>
    <m/>
    <m/>
    <m/>
    <m/>
    <m/>
    <m/>
    <m/>
    <m/>
    <m/>
    <m/>
    <m/>
    <m/>
    <m/>
    <m/>
    <m/>
    <m/>
    <m/>
    <m/>
    <m/>
    <m/>
    <m/>
    <m/>
    <m/>
    <m/>
    <m/>
    <m/>
    <m/>
    <m/>
    <m/>
    <m/>
    <m/>
    <m/>
    <m/>
    <m/>
    <m/>
    <m/>
    <m/>
    <m/>
    <m/>
    <m/>
    <m/>
    <m/>
  </r>
  <r>
    <x v="2"/>
    <m/>
    <n v="1255"/>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x v="0"/>
    <x v="1"/>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544"/>
    <s v="NA"/>
    <s v="NA"/>
    <n v="544"/>
    <s v="NA"/>
    <n v="544"/>
    <s v="NA"/>
    <n v="7.96"/>
    <s v="NA"/>
    <s v="NA"/>
    <s v="NA"/>
    <s v="NA"/>
    <s v="NA"/>
    <s v="NA"/>
    <s v="NA"/>
    <s v="NA"/>
    <s v="NA"/>
    <n v="0"/>
    <n v="0"/>
    <n v="0"/>
    <m/>
    <m/>
    <m/>
    <m/>
    <m/>
    <m/>
    <m/>
    <m/>
    <m/>
    <m/>
    <m/>
    <m/>
    <m/>
    <m/>
    <m/>
    <m/>
    <m/>
  </r>
  <r>
    <x v="2"/>
    <m/>
    <n v="1256"/>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x v="0"/>
    <x v="1"/>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478"/>
    <s v="NA"/>
    <s v="NA"/>
    <n v="478"/>
    <s v="NA"/>
    <n v="478"/>
    <s v="NA"/>
    <n v="46.36"/>
    <s v="NA"/>
    <s v="NA"/>
    <s v="NA"/>
    <s v="NA"/>
    <s v="NA"/>
    <s v="NA"/>
    <s v="NA"/>
    <s v="NA"/>
    <s v="NA"/>
    <n v="0"/>
    <n v="0"/>
    <n v="0"/>
    <m/>
    <m/>
    <m/>
    <m/>
    <m/>
    <m/>
    <m/>
    <m/>
    <m/>
    <m/>
    <m/>
    <m/>
    <m/>
    <m/>
    <m/>
    <m/>
    <m/>
  </r>
  <r>
    <x v="2"/>
    <m/>
    <n v="1257"/>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x v="0"/>
    <x v="1"/>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1081"/>
    <s v="NA"/>
    <s v="NA"/>
    <n v="1081"/>
    <s v="NA"/>
    <n v="1081"/>
    <s v="NA"/>
    <n v="48.18"/>
    <s v="NA"/>
    <s v="NA"/>
    <s v="NA"/>
    <s v="NA"/>
    <s v="NA"/>
    <s v="NA"/>
    <s v="NA"/>
    <s v="NA"/>
    <s v="NA"/>
    <n v="0"/>
    <n v="0"/>
    <n v="0"/>
    <m/>
    <m/>
    <m/>
    <m/>
    <m/>
    <m/>
    <m/>
    <m/>
    <m/>
    <m/>
    <m/>
    <m/>
    <m/>
    <m/>
    <m/>
    <m/>
    <m/>
  </r>
  <r>
    <x v="4"/>
    <m/>
    <s v="NA"/>
    <s v="NA"/>
    <s v="Mills, Schleich"/>
    <n v="2010"/>
    <s v="What’s Driving Energy Efficient Appliance Label Awareness and Purchase Propensity?"/>
    <s v="The EU appliance energy consumption labeling scheme is a key component of efforts to increase the diffusion of energy-efficient household appliances. In this paper, the determinants of consumer knowledge of the energy label for house-hold appliances and the choice of class-A energy-efficient appliances are jointly estimated using data from a large survey of more than 20,000 German house-holds. The results for five major appliances suggest that lack of knowledge of the energy label can generate considerable bias in both estimates of rates of uptake of class-A appliances and in estimates of the underlying determinants of choice of class-A appliance. Simulations of the choice to purchase a class-A appliance, given knowledge of the labeling framework, reveal that residence characteristics and, in several cases, regional electricity prices strongly increase the propensity to purchase a class-A appliance, but socio-economic characteris-tics have surprisingly little impact on appliance energy-class choice."/>
    <n v="2"/>
    <n v="2002"/>
    <x v="1"/>
    <m/>
    <x v="6"/>
    <x v="4"/>
    <x v="5"/>
    <m/>
    <m/>
    <m/>
    <m/>
    <m/>
    <m/>
    <m/>
    <m/>
    <m/>
    <x v="2"/>
    <x v="2"/>
    <m/>
    <m/>
    <m/>
    <m/>
    <m/>
    <m/>
    <m/>
    <m/>
    <m/>
    <m/>
    <m/>
    <m/>
    <m/>
    <m/>
    <m/>
    <m/>
    <m/>
    <x v="3"/>
    <m/>
    <m/>
    <m/>
    <m/>
    <m/>
    <m/>
    <m/>
    <m/>
    <m/>
    <m/>
    <m/>
    <m/>
    <m/>
    <m/>
    <m/>
    <m/>
    <m/>
    <m/>
    <m/>
    <m/>
    <m/>
    <m/>
    <m/>
    <m/>
    <m/>
    <m/>
    <s v="NA"/>
    <m/>
    <m/>
    <m/>
    <m/>
    <m/>
    <m/>
    <m/>
    <m/>
    <m/>
    <m/>
    <m/>
    <m/>
    <m/>
    <m/>
    <m/>
    <m/>
    <m/>
    <m/>
    <m/>
    <m/>
    <m/>
  </r>
  <r>
    <x v="0"/>
    <m/>
    <n v="1213"/>
    <n v="146"/>
    <s v="Min, Azevedo, Michalek, de Bruin"/>
    <n v="2014"/>
    <s v="Labeling energy cost on light bulbs lowers implicit discount rates"/>
    <s v="Lighting accounts for nearly 20% of overall U.S. electricity consumption and 18% of U.S. residential electricity_x000a_consumption. A transition to alternative energy-efficient technologies could reduce this energy consumption_x000a_considerably. To quantify the influence of factors that drive consumer choices for light bulbs, we conducted a_x000a_choice-based conjoint field experiment with 183 participants. We estimated discrete choice models from the_x000a_data, and found that politically liberal consumers have a stronger preference for compact fluorescent lighting_x000a_technology and for low energy consumption. Greater willingness to pay for lower energy consumption and longer_x000a_lifewas observed in conditions where estimated operating cost information was provided. Providing estimated_x000a_annual cost information to consumers reduced their implicit discount rate by a factor of five, lowering barriers_x000a_to adoption of energy efficient alternativeswith higher up-front costs; however, evenwith cost information provided,_x000a_consumers continued to use implicit discount rates of around 100%, which is larger than that experienced_x000a_for other energy technologies."/>
    <n v="2"/>
    <n v="2014"/>
    <x v="0"/>
    <n v="46"/>
    <x v="0"/>
    <x v="2"/>
    <x v="1"/>
    <s v="stated preference"/>
    <s v="lab"/>
    <s v="individuals"/>
    <n v="1"/>
    <s v="opt_out"/>
    <n v="1"/>
    <s v="probably no"/>
    <s v="probably yes"/>
    <s v="only report IDR without WTP - available upon request"/>
    <x v="0"/>
    <x v="0"/>
    <n v="0"/>
    <n v="0"/>
    <n v="0"/>
    <n v="0"/>
    <n v="0"/>
    <n v="0"/>
    <s v="operating cost information (baseline - no such information)"/>
    <n v="0"/>
    <n v="0"/>
    <n v="0"/>
    <n v="0"/>
    <n v="0"/>
    <n v="1"/>
    <n v="0"/>
    <n v="0"/>
    <n v="0"/>
    <s v="NA"/>
    <x v="2"/>
    <s v="WTP for CFL"/>
    <s v="log scale"/>
    <m/>
    <m/>
    <m/>
    <m/>
    <m/>
    <m/>
    <m/>
    <m/>
    <s v="NA"/>
    <s v="NA"/>
    <s v="NA"/>
    <s v="NA"/>
    <s v="NA"/>
    <s v="NA"/>
    <s v="NA"/>
    <n v="6652"/>
    <s v="NA"/>
    <s v="NA"/>
    <s v="NA"/>
    <s v="NA"/>
    <s v="NA"/>
    <s v="NA"/>
    <s v="NA"/>
    <s v="NA"/>
    <s v="NA"/>
    <s v="NA"/>
    <n v="0"/>
    <n v="1"/>
    <n v="1"/>
    <m/>
    <m/>
    <m/>
    <m/>
    <m/>
    <m/>
    <m/>
    <m/>
    <m/>
    <m/>
    <e v="#VALUE!"/>
    <e v="#VALUE!"/>
    <e v="#VALUE!"/>
    <e v="#VALUE!"/>
    <m/>
    <m/>
    <m/>
  </r>
  <r>
    <x v="0"/>
    <m/>
    <n v="1169"/>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x v="0"/>
    <x v="1"/>
    <n v="0"/>
    <n v="0"/>
    <n v="0"/>
    <n v="0"/>
    <n v="0"/>
    <n v="1"/>
    <s v="Due to the Top Runner Program by the Japanese government, air-conditioner companies must continue to upgrade the energy efficiency of their air-conditioners on a yearly basis."/>
    <n v="0"/>
    <n v="0"/>
    <n v="0"/>
    <n v="0"/>
    <n v="0"/>
    <n v="0"/>
    <n v="0"/>
    <n v="1"/>
    <n v="0"/>
    <s v="after purchase of energy efficient air-conditioner"/>
    <x v="1"/>
    <s v="the logarithmic value of the electricity_x000a_consumption (kWh)"/>
    <s v="log scale"/>
    <n v="3.8109999999999999"/>
    <s v="decrease"/>
    <n v="2.3719999999999999"/>
    <n v="0.1"/>
    <n v="2"/>
    <n v="1.6066610455311974"/>
    <n v="44.19561188793142"/>
    <m/>
    <s v="NA"/>
    <s v="NA"/>
    <s v="NA"/>
    <s v="NA"/>
    <s v="NA"/>
    <s v="NA"/>
    <n v="310"/>
    <n v="310"/>
    <s v="NA"/>
    <s v="NA"/>
    <s v="NA"/>
    <s v="NA"/>
    <s v="NA"/>
    <s v="NA"/>
    <s v="NA"/>
    <s v="NA"/>
    <s v="NA"/>
    <s v="NA"/>
    <n v="1"/>
    <n v="1"/>
    <n v="1"/>
    <m/>
    <m/>
    <m/>
    <m/>
    <m/>
    <m/>
    <m/>
    <m/>
    <m/>
    <m/>
    <n v="9.0874644742587773E-2"/>
    <n v="9.112604528874467E-2"/>
    <n v="3.2360227971281281E-3"/>
    <n v="3.2573289902280132E-3"/>
    <m/>
    <m/>
    <m/>
  </r>
  <r>
    <x v="0"/>
    <m/>
    <n v="1170"/>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x v="0"/>
    <x v="1"/>
    <n v="0"/>
    <n v="0"/>
    <n v="0"/>
    <n v="0"/>
    <n v="0"/>
    <n v="1"/>
    <s v="Due to the Top Runner Program by the Japanese government, air-conditioner companies must continue to upgrade the energy efficiency of their air-conditioners on a yearly basis."/>
    <n v="0"/>
    <n v="0"/>
    <n v="0"/>
    <n v="0"/>
    <n v="0"/>
    <n v="0"/>
    <n v="0"/>
    <n v="1"/>
    <n v="0"/>
    <s v="after replacement"/>
    <x v="1"/>
    <s v="the logarithmic value of the electricity_x000a_consumption (kWh)"/>
    <s v="log scale"/>
    <n v="1.9039999999999999"/>
    <s v="decrease"/>
    <n v="2.82"/>
    <n v="0.1"/>
    <n v="2"/>
    <n v="0.67517730496453898"/>
    <n v="5.7126915785915049"/>
    <m/>
    <s v="NA"/>
    <s v="NA"/>
    <s v="NA"/>
    <s v="NA"/>
    <s v="NA"/>
    <s v="NA"/>
    <n v="310"/>
    <n v="310"/>
    <s v="NA"/>
    <s v="NA"/>
    <s v="NA"/>
    <s v="NA"/>
    <s v="NA"/>
    <s v="NA"/>
    <s v="NA"/>
    <s v="NA"/>
    <s v="NA"/>
    <s v="NA"/>
    <n v="1"/>
    <n v="1"/>
    <n v="1"/>
    <m/>
    <m/>
    <m/>
    <m/>
    <m/>
    <m/>
    <m/>
    <m/>
    <m/>
    <m/>
    <n v="3.8319329539764628E-2"/>
    <n v="3.8338101745567565E-2"/>
    <n v="3.2362389632958908E-3"/>
    <n v="3.2573289902280132E-3"/>
    <m/>
    <m/>
    <m/>
  </r>
  <r>
    <x v="0"/>
    <m/>
    <n v="1171"/>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x v="0"/>
    <x v="1"/>
    <n v="0"/>
    <n v="0"/>
    <n v="0"/>
    <n v="0"/>
    <n v="0"/>
    <n v="1"/>
    <s v="Due to the Top Runner Program by the Japanese government, air-conditioner companies must continue to upgrade the energy efficiency of their air-conditioners on a yearly basis."/>
    <n v="0"/>
    <n v="0"/>
    <n v="0"/>
    <n v="0"/>
    <n v="0"/>
    <n v="0"/>
    <n v="0"/>
    <n v="1"/>
    <n v="0"/>
    <s v="after additional purchase"/>
    <x v="1"/>
    <s v="the logarithmic value of the electricity_x000a_consumption (kWh)"/>
    <s v="log scale"/>
    <n v="6.681"/>
    <s v="decrease"/>
    <n v="3.4260000000000002"/>
    <n v="0.1"/>
    <n v="1"/>
    <n v="1.9500875656742556"/>
    <n v="796.11582942023051"/>
    <m/>
    <s v="NA"/>
    <s v="NA"/>
    <s v="NA"/>
    <s v="NA"/>
    <s v="NA"/>
    <s v="NA"/>
    <n v="310"/>
    <n v="310"/>
    <s v="NA"/>
    <s v="NA"/>
    <s v="NA"/>
    <s v="NA"/>
    <s v="NA"/>
    <s v="NA"/>
    <s v="NA"/>
    <s v="NA"/>
    <s v="NA"/>
    <s v="NA"/>
    <n v="1"/>
    <n v="1"/>
    <n v="1"/>
    <m/>
    <m/>
    <m/>
    <m/>
    <m/>
    <m/>
    <m/>
    <m/>
    <m/>
    <m/>
    <n v="0.11008437401907406"/>
    <n v="0.11053232404190938"/>
    <n v="3.235762897306693E-3"/>
    <n v="3.2573289902280132E-3"/>
    <m/>
    <m/>
    <m/>
  </r>
  <r>
    <x v="3"/>
    <n v="21"/>
    <n v="1270"/>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x v="0"/>
    <x v="0"/>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09"/>
    <s v="increase"/>
    <n v="0.12"/>
    <n v="0.05"/>
    <n v="2"/>
    <n v="1.6474057119344734"/>
    <n v="9.4174283705210415E-2"/>
    <n v="0.52248482479180014"/>
    <s v="NA"/>
    <s v="NA"/>
    <s v="NA"/>
    <s v="NA"/>
    <s v="NA"/>
    <s v="NA"/>
    <n v="600"/>
    <n v="600"/>
    <s v="NA"/>
    <s v="NA"/>
    <s v="NA"/>
    <s v="NA"/>
    <s v="NA"/>
    <s v="NA"/>
    <s v="NA"/>
    <s v="NA"/>
    <s v="NA"/>
    <s v="NA"/>
    <n v="0"/>
    <n v="1"/>
    <n v="1"/>
    <m/>
    <m/>
    <m/>
    <m/>
    <m/>
    <m/>
    <m/>
    <m/>
    <m/>
    <m/>
    <n v="6.7103465160314887E-2"/>
    <n v="6.7204457661064573E-2"/>
    <n v="1.6694150280093312E-3"/>
    <n v="1.6750418760469012E-3"/>
    <s v="NA"/>
    <n v="598"/>
    <s v="NA"/>
  </r>
  <r>
    <x v="3"/>
    <n v="21"/>
    <n v="1271"/>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x v="0"/>
    <x v="0"/>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1"/>
    <s v="increase"/>
    <n v="0.11"/>
    <n v="0.05"/>
    <n v="2"/>
    <n v="1.6474057119344734"/>
    <n v="0.10517091807564771"/>
    <n v="0.52497918747894001"/>
    <s v="NA"/>
    <s v="NA"/>
    <s v="NA"/>
    <s v="NA"/>
    <s v="NA"/>
    <s v="NA"/>
    <n v="600"/>
    <n v="600"/>
    <s v="NA"/>
    <s v="NA"/>
    <s v="NA"/>
    <s v="NA"/>
    <s v="NA"/>
    <s v="NA"/>
    <s v="NA"/>
    <s v="NA"/>
    <s v="NA"/>
    <s v="NA"/>
    <n v="0"/>
    <n v="1"/>
    <n v="1"/>
    <m/>
    <m/>
    <m/>
    <m/>
    <m/>
    <m/>
    <m/>
    <m/>
    <m/>
    <m/>
    <n v="6.7103465160314887E-2"/>
    <n v="6.7204457661064573E-2"/>
    <n v="1.6694150280093312E-3"/>
    <n v="1.6750418760469012E-3"/>
    <s v="NA"/>
    <n v="598"/>
    <s v="NA"/>
  </r>
  <r>
    <x v="3"/>
    <n v="21"/>
    <n v="125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x v="0"/>
    <x v="0"/>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1"/>
    <s v="increase"/>
    <n v="0.03"/>
    <n v="0.05"/>
    <n v="1"/>
    <n v="1.9639388980555066"/>
    <n v="0.23367805995674318"/>
    <n v="0.5523079095743253"/>
    <s v="NA"/>
    <s v="NA"/>
    <s v="NA"/>
    <s v="NA"/>
    <s v="NA"/>
    <s v="NA"/>
    <n v="600"/>
    <n v="600"/>
    <s v="NA"/>
    <s v="NA"/>
    <s v="NA"/>
    <s v="NA"/>
    <s v="NA"/>
    <s v="NA"/>
    <s v="NA"/>
    <s v="NA"/>
    <s v="NA"/>
    <s v="NA"/>
    <n v="0"/>
    <n v="1"/>
    <n v="1"/>
    <m/>
    <m/>
    <m/>
    <m/>
    <m/>
    <m/>
    <m/>
    <m/>
    <m/>
    <m/>
    <n v="7.9920998150068992E-2"/>
    <n v="8.0091814824645752E-2"/>
    <n v="1.6693803867099848E-3"/>
    <n v="1.6750418760469012E-3"/>
    <s v="NA"/>
    <n v="598"/>
    <s v="NA"/>
  </r>
  <r>
    <x v="3"/>
    <n v="21"/>
    <n v="125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x v="0"/>
    <x v="0"/>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7"/>
    <s v="increase"/>
    <n v="0.05"/>
    <n v="0.05"/>
    <n v="1"/>
    <n v="1.9639388980555066"/>
    <n v="0.3099644507332473"/>
    <n v="0.56709290496545439"/>
    <s v="NA"/>
    <s v="NA"/>
    <s v="NA"/>
    <s v="NA"/>
    <s v="NA"/>
    <s v="NA"/>
    <n v="600"/>
    <n v="600"/>
    <s v="NA"/>
    <s v="NA"/>
    <s v="NA"/>
    <s v="NA"/>
    <s v="NA"/>
    <s v="NA"/>
    <s v="NA"/>
    <s v="NA"/>
    <s v="NA"/>
    <s v="NA"/>
    <n v="0"/>
    <n v="1"/>
    <n v="1"/>
    <m/>
    <m/>
    <m/>
    <m/>
    <m/>
    <m/>
    <m/>
    <m/>
    <m/>
    <m/>
    <n v="7.9920998150068992E-2"/>
    <n v="8.0091814824645752E-2"/>
    <n v="1.6693803867099848E-3"/>
    <n v="1.6750418760469012E-3"/>
    <s v="NA"/>
    <n v="598"/>
    <s v="NA"/>
  </r>
  <r>
    <x v="3"/>
    <n v="21"/>
    <n v="127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x v="0"/>
    <x v="0"/>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5"/>
    <s v="increase"/>
    <n v="0.11"/>
    <n v="0.05"/>
    <n v="1"/>
    <n v="1.9639388980555066"/>
    <n v="1.3396468519259908"/>
    <n v="0.70056714247397289"/>
    <s v="NA"/>
    <s v="NA"/>
    <s v="NA"/>
    <s v="NA"/>
    <s v="NA"/>
    <s v="NA"/>
    <n v="600"/>
    <n v="600"/>
    <s v="NA"/>
    <s v="NA"/>
    <s v="NA"/>
    <s v="NA"/>
    <s v="NA"/>
    <s v="NA"/>
    <s v="NA"/>
    <s v="NA"/>
    <s v="NA"/>
    <s v="NA"/>
    <n v="0"/>
    <n v="1"/>
    <n v="1"/>
    <m/>
    <m/>
    <m/>
    <m/>
    <m/>
    <m/>
    <m/>
    <m/>
    <m/>
    <m/>
    <n v="7.9920998150068992E-2"/>
    <n v="8.0091814824645752E-2"/>
    <n v="1.6693803867099848E-3"/>
    <n v="1.6750418760469012E-3"/>
    <s v="NA"/>
    <n v="598"/>
    <s v="NA"/>
  </r>
  <r>
    <x v="3"/>
    <n v="21"/>
    <n v="127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x v="0"/>
    <x v="0"/>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7"/>
    <s v="increase"/>
    <n v="0.1"/>
    <n v="0.05"/>
    <n v="1"/>
    <n v="1.9639388980555066"/>
    <n v="1.3869108535242765"/>
    <n v="0.70474569799809106"/>
    <s v="NA"/>
    <s v="NA"/>
    <s v="NA"/>
    <s v="NA"/>
    <s v="NA"/>
    <s v="NA"/>
    <n v="600"/>
    <n v="600"/>
    <s v="NA"/>
    <s v="NA"/>
    <s v="NA"/>
    <s v="NA"/>
    <s v="NA"/>
    <s v="NA"/>
    <s v="NA"/>
    <s v="NA"/>
    <s v="NA"/>
    <s v="NA"/>
    <n v="0"/>
    <n v="1"/>
    <n v="1"/>
    <m/>
    <m/>
    <m/>
    <m/>
    <m/>
    <m/>
    <m/>
    <m/>
    <m/>
    <m/>
    <n v="7.9920998150068992E-2"/>
    <n v="8.0091814824645752E-2"/>
    <n v="1.6693803867099848E-3"/>
    <n v="1.6750418760469012E-3"/>
    <s v="NA"/>
    <n v="598"/>
    <s v="NA"/>
  </r>
  <r>
    <x v="2"/>
    <n v="22"/>
    <n v="127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x v="0"/>
    <x v="1"/>
    <n v="1"/>
    <n v="0"/>
    <n v="0"/>
    <n v="0"/>
    <n v="0"/>
    <n v="0"/>
    <s v="NA"/>
    <n v="0"/>
    <n v="0"/>
    <n v="0"/>
    <n v="0"/>
    <n v="0"/>
    <n v="0"/>
    <n v="0"/>
    <n v="0"/>
    <n v="0"/>
    <s v="Behavior intention to change to Energy efficient household appliance"/>
    <x v="0"/>
    <s v="attitude on heating equipment use - behavior change"/>
    <s v="log scale"/>
    <n v="7.0000000000000001E-3"/>
    <s v="increase"/>
    <s v="NA"/>
    <n v="0.1"/>
    <n v="2"/>
    <n v="1.6458012044463048"/>
    <n v="7.0245572668485856E-3"/>
    <n v="0.50174999285420174"/>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80"/>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x v="0"/>
    <x v="1"/>
    <n v="1"/>
    <n v="0"/>
    <n v="0"/>
    <n v="0"/>
    <n v="0"/>
    <n v="0"/>
    <s v="NA"/>
    <n v="0"/>
    <n v="0"/>
    <n v="0"/>
    <n v="0"/>
    <n v="0"/>
    <n v="0"/>
    <n v="0"/>
    <n v="0"/>
    <n v="0"/>
    <s v="Behavior intention to change to Energy efficient household appliance"/>
    <x v="0"/>
    <s v="attitude on heating equipment use - behavior change"/>
    <s v="log scale"/>
    <n v="1.2999999999999999E-2"/>
    <s v="decrease"/>
    <s v="NA"/>
    <n v="0.1"/>
    <n v="2"/>
    <n v="1.6458012044463048"/>
    <n v="1.3084867359809182E-2"/>
    <n v="0.5032499542299402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x v="0"/>
    <x v="1"/>
    <n v="1"/>
    <n v="0"/>
    <n v="0"/>
    <n v="0"/>
    <n v="0"/>
    <n v="0"/>
    <s v="NA"/>
    <n v="0"/>
    <n v="0"/>
    <n v="0"/>
    <n v="0"/>
    <n v="0"/>
    <n v="0"/>
    <n v="0"/>
    <n v="0"/>
    <n v="0"/>
    <s v="attitude on heating equipment use"/>
    <x v="0"/>
    <s v="Behavior intention to change to Energy efficient household appliance"/>
    <s v="log scale"/>
    <n v="1.4E-2"/>
    <s v="decrease"/>
    <s v="NA"/>
    <n v="0.1"/>
    <n v="2"/>
    <n v="1.6458012044463048"/>
    <n v="1.4098458938492264E-2"/>
    <n v="0.50349994283445376"/>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x v="0"/>
    <x v="1"/>
    <n v="1"/>
    <n v="0"/>
    <n v="0"/>
    <n v="0"/>
    <n v="0"/>
    <n v="0"/>
    <s v="NA"/>
    <n v="0"/>
    <n v="0"/>
    <n v="0"/>
    <n v="0"/>
    <n v="0"/>
    <n v="0"/>
    <n v="0"/>
    <n v="0"/>
    <n v="0"/>
    <s v="attitude on heating equipment use"/>
    <x v="0"/>
    <s v="Behavior intention to change to Energy efficient household appliance"/>
    <s v="log scale"/>
    <n v="0.04"/>
    <s v="increase"/>
    <s v="NA"/>
    <n v="0.1"/>
    <n v="1"/>
    <n v="1.6458012044463048"/>
    <n v="4.0810774192388211E-2"/>
    <n v="0.5099986668799655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x v="0"/>
    <x v="1"/>
    <n v="1"/>
    <n v="0"/>
    <n v="0"/>
    <n v="0"/>
    <n v="0"/>
    <n v="0"/>
    <s v="NA"/>
    <n v="0"/>
    <n v="0"/>
    <n v="0"/>
    <n v="0"/>
    <n v="0"/>
    <n v="0"/>
    <n v="0"/>
    <n v="0"/>
    <n v="0"/>
    <s v="Behavior intention to change to Energy efficient household appliance"/>
    <x v="0"/>
    <s v="attitude on heating equipment use - behavior change"/>
    <s v="log scale"/>
    <n v="4.1000000000000002E-2"/>
    <s v="decrease"/>
    <s v="NA"/>
    <n v="0.1"/>
    <n v="1"/>
    <n v="1.6458012044463048"/>
    <n v="4.1852105545479468E-2"/>
    <n v="0.51024856438715938"/>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1"/>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x v="0"/>
    <x v="1"/>
    <n v="1"/>
    <n v="0"/>
    <n v="0"/>
    <n v="0"/>
    <n v="0"/>
    <n v="0"/>
    <s v="NA"/>
    <n v="0"/>
    <n v="0"/>
    <n v="0"/>
    <n v="0"/>
    <n v="0"/>
    <n v="0"/>
    <n v="0"/>
    <n v="0"/>
    <n v="0"/>
    <s v="attitude on heating equipment use"/>
    <x v="0"/>
    <s v="Behavior intention to change to Energy efficient household appliance"/>
    <s v="log scale"/>
    <n v="5.8999999999999997E-2"/>
    <s v="increase"/>
    <s v="NA"/>
    <n v="0.1"/>
    <n v="2"/>
    <n v="1.6458012044463048"/>
    <n v="6.0775240740158942E-2"/>
    <n v="0.51474572275973451"/>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x v="0"/>
    <x v="1"/>
    <n v="1"/>
    <n v="0"/>
    <n v="0"/>
    <n v="0"/>
    <n v="0"/>
    <n v="0"/>
    <s v="NA"/>
    <n v="0"/>
    <n v="0"/>
    <n v="0"/>
    <n v="0"/>
    <n v="0"/>
    <n v="0"/>
    <n v="0"/>
    <n v="0"/>
    <n v="0"/>
    <s v="attitude on heating equipment use"/>
    <x v="0"/>
    <s v="attitude on heating equipment use - behavior change"/>
    <s v="log scale"/>
    <n v="6.4000000000000001E-2"/>
    <s v="decrease"/>
    <s v="NA"/>
    <n v="0.05"/>
    <n v="1"/>
    <n v="1.9614394515458273"/>
    <n v="6.6092398761505189E-2"/>
    <n v="0.5159945409027020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x v="0"/>
    <x v="1"/>
    <n v="1"/>
    <n v="0"/>
    <n v="0"/>
    <n v="0"/>
    <n v="0"/>
    <n v="0"/>
    <s v="NA"/>
    <n v="0"/>
    <n v="0"/>
    <n v="0"/>
    <n v="0"/>
    <n v="0"/>
    <n v="0"/>
    <n v="0"/>
    <n v="0"/>
    <n v="0"/>
    <s v="attitude on heating equipment use"/>
    <x v="0"/>
    <s v="attitude on heating equipment use - behavior change"/>
    <s v="log scale"/>
    <n v="6.7000000000000004E-2"/>
    <s v="decrease"/>
    <s v="NA"/>
    <n v="0.05"/>
    <n v="1"/>
    <n v="1.9614394515458273"/>
    <n v="6.9295478174600245E-2"/>
    <n v="0.5167437369156502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9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x v="0"/>
    <x v="1"/>
    <n v="1"/>
    <n v="0"/>
    <n v="0"/>
    <n v="0"/>
    <n v="0"/>
    <n v="0"/>
    <s v="NA"/>
    <n v="0"/>
    <n v="0"/>
    <n v="0"/>
    <n v="0"/>
    <n v="0"/>
    <n v="0"/>
    <n v="0"/>
    <n v="0"/>
    <n v="0"/>
    <s v="Behavior intention to change to Energy efficient household appliance"/>
    <x v="0"/>
    <s v="attitude on heating equipment use - behavior change"/>
    <s v="log scale"/>
    <n v="7.2999999999999995E-2"/>
    <s v="de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x v="0"/>
    <x v="1"/>
    <n v="1"/>
    <n v="0"/>
    <n v="0"/>
    <n v="0"/>
    <n v="0"/>
    <n v="0"/>
    <s v="NA"/>
    <n v="0"/>
    <n v="0"/>
    <n v="0"/>
    <n v="0"/>
    <n v="0"/>
    <n v="0"/>
    <n v="0"/>
    <n v="0"/>
    <n v="0"/>
    <s v="attitude on heating equipment use"/>
    <x v="0"/>
    <s v="Behavior intention to change to Energy efficient household appliance"/>
    <s v="log scale"/>
    <n v="7.2999999999999995E-2"/>
    <s v="in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9"/>
    <s v="stated preference"/>
    <s v="online"/>
    <s v="individuals"/>
    <n v="1"/>
    <s v="NA"/>
    <n v="0"/>
    <s v="probably no"/>
    <s v="probably no"/>
    <s v="NA"/>
    <x v="0"/>
    <x v="1"/>
    <n v="1"/>
    <n v="0"/>
    <n v="0"/>
    <n v="0"/>
    <n v="0"/>
    <n v="0"/>
    <s v="NA"/>
    <n v="0"/>
    <n v="0"/>
    <n v="0"/>
    <n v="0"/>
    <n v="0"/>
    <n v="0"/>
    <n v="0"/>
    <n v="0"/>
    <n v="0"/>
    <s v="attitude on heating equipment use"/>
    <x v="0"/>
    <s v="Behavior intention to change to Energy efficient household appliance"/>
    <s v="log scale"/>
    <n v="9.9000000000000005E-2"/>
    <s v="increase"/>
    <s v="NA"/>
    <n v="0.05"/>
    <n v="1"/>
    <n v="1.9614394515458273"/>
    <n v="0.10406629955888191"/>
    <n v="0.5247298052301629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9"/>
    <s v="stated preference"/>
    <s v="online"/>
    <s v="individuals"/>
    <n v="1"/>
    <s v="NA"/>
    <n v="0"/>
    <s v="probably no"/>
    <s v="probably no"/>
    <s v="NA"/>
    <x v="0"/>
    <x v="1"/>
    <n v="1"/>
    <n v="0"/>
    <n v="0"/>
    <n v="0"/>
    <n v="0"/>
    <n v="0"/>
    <s v="NA"/>
    <n v="0"/>
    <n v="0"/>
    <n v="0"/>
    <n v="0"/>
    <n v="0"/>
    <n v="0"/>
    <n v="0"/>
    <n v="0"/>
    <n v="0"/>
    <s v="Behavior intention to change to Energy efficient household appliance"/>
    <x v="0"/>
    <s v="attitude on heating equipment use - behavior change"/>
    <s v="log scale"/>
    <n v="0.161"/>
    <s v="decrease"/>
    <s v="NA"/>
    <n v="0.01"/>
    <n v="1"/>
    <n v="2.5788883732398911"/>
    <n v="0.17468496881387163"/>
    <n v="0.54016328142212455"/>
    <s v="NA"/>
    <s v="NA"/>
    <s v="AN"/>
    <s v="NA"/>
    <s v="NA"/>
    <s v="NA"/>
    <n v="1611"/>
    <n v="1611"/>
    <s v="NA"/>
    <s v="NA"/>
    <s v="NA"/>
    <s v="NA"/>
    <s v="NA"/>
    <s v="NA"/>
    <s v="NA"/>
    <s v="NA"/>
    <s v="NA"/>
    <s v="NA"/>
    <n v="0"/>
    <n v="1"/>
    <n v="1"/>
    <m/>
    <m/>
    <m/>
    <m/>
    <m/>
    <m/>
    <m/>
    <m/>
    <m/>
    <m/>
    <n v="6.411950690189884E-2"/>
    <n v="6.4207596049565968E-2"/>
    <n v="6.2110745592692065E-4"/>
    <n v="6.2189054726368158E-4"/>
    <s v="NA"/>
    <n v="1609"/>
    <s v="NA"/>
  </r>
  <r>
    <x v="0"/>
    <m/>
    <n v="1180"/>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0"/>
    <n v="1"/>
    <n v="0"/>
    <n v="0"/>
    <n v="0"/>
    <n v="0"/>
    <n v="0"/>
    <s v="operating cost information (baseline - current EnergyGuide label)"/>
    <n v="0"/>
    <n v="0"/>
    <n v="0"/>
    <n v="0"/>
    <n v="0"/>
    <n v="0"/>
    <n v="1"/>
    <n v="0"/>
    <n v="0"/>
    <s v="individual discount rate"/>
    <x v="2"/>
    <s v="WTP for reduced present value operating cost"/>
    <s v="NA"/>
    <n v="0.7"/>
    <s v="increase"/>
    <n v="9.8591549295774641E-2"/>
    <n v="0.1"/>
    <n v="1"/>
    <n v="7.1"/>
    <s v="NA"/>
    <m/>
    <s v="NA"/>
    <s v="NA"/>
    <s v="NA"/>
    <s v="NA"/>
    <s v="NA"/>
    <s v="NA"/>
    <n v="1184"/>
    <n v="1184"/>
    <s v="NA"/>
    <s v="NA"/>
    <s v="NA"/>
    <s v="NA"/>
    <s v="NA"/>
    <n v="1"/>
    <n v="288"/>
    <n v="0"/>
    <s v="NA"/>
    <s v="NA"/>
    <n v="1"/>
    <n v="0"/>
    <n v="1"/>
    <m/>
    <m/>
    <m/>
    <m/>
    <m/>
    <m/>
    <m/>
    <m/>
    <m/>
    <m/>
    <n v="0.2020824660717096"/>
    <n v="0.20490273447739515"/>
    <n v="8.4381846898462422E-4"/>
    <n v="8.4674005080440302E-4"/>
    <m/>
    <m/>
    <m/>
  </r>
  <r>
    <x v="0"/>
    <m/>
    <n v="1181"/>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0"/>
    <n v="1"/>
    <n v="0"/>
    <n v="0"/>
    <n v="0"/>
    <n v="0"/>
    <n v="0"/>
    <s v="operating cost relative to range (baseline - current EnergyGuide label)"/>
    <n v="0"/>
    <n v="0"/>
    <n v="0"/>
    <n v="0"/>
    <n v="0"/>
    <n v="0"/>
    <n v="1"/>
    <n v="0"/>
    <n v="0"/>
    <s v="individual discount rate"/>
    <x v="2"/>
    <s v="WTP for reduced present value operating cost"/>
    <s v="NA"/>
    <n v="0.111"/>
    <s v="increase"/>
    <n v="0.15416666666666667"/>
    <n v="0.1"/>
    <n v="2"/>
    <n v="0.72"/>
    <s v="NA"/>
    <m/>
    <s v="NA"/>
    <s v="NA"/>
    <s v="NA"/>
    <s v="NA"/>
    <s v="NA"/>
    <s v="NA"/>
    <n v="1184"/>
    <n v="1184"/>
    <s v="NA"/>
    <s v="NA"/>
    <s v="NA"/>
    <s v="NA"/>
    <s v="NA"/>
    <n v="1"/>
    <n v="288"/>
    <n v="0"/>
    <s v="NA"/>
    <s v="NA"/>
    <n v="1"/>
    <n v="0"/>
    <n v="1"/>
    <m/>
    <m/>
    <m/>
    <m/>
    <m/>
    <m/>
    <m/>
    <m/>
    <m/>
    <m/>
    <n v="2.0919995692237577E-2"/>
    <n v="2.0923048346211292E-2"/>
    <n v="8.453083756162019E-4"/>
    <n v="8.4674005080440302E-4"/>
    <m/>
    <m/>
    <m/>
  </r>
  <r>
    <x v="0"/>
    <m/>
    <n v="1182"/>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1"/>
    <n v="1"/>
    <n v="0"/>
    <n v="0"/>
    <n v="0"/>
    <n v="0"/>
    <n v="0"/>
    <s v="EnergyGuide image"/>
    <n v="0"/>
    <n v="0"/>
    <n v="0"/>
    <n v="0"/>
    <n v="0"/>
    <n v="0"/>
    <n v="1"/>
    <n v="0"/>
    <n v="0"/>
    <s v="individual discount rate"/>
    <x v="2"/>
    <s v="WTP for reduced present value operating cost"/>
    <s v="NA"/>
    <n v="0.13200000000000001"/>
    <s v="decrease"/>
    <n v="0.11478260869565218"/>
    <n v="0.1"/>
    <n v="2"/>
    <n v="1.1499999999999999"/>
    <s v="NA"/>
    <m/>
    <s v="NA"/>
    <s v="NA"/>
    <s v="NA"/>
    <s v="NA"/>
    <s v="NA"/>
    <s v="NA"/>
    <n v="1184"/>
    <n v="1184"/>
    <s v="NA"/>
    <s v="NA"/>
    <s v="NA"/>
    <s v="NA"/>
    <s v="NA"/>
    <n v="1"/>
    <n v="288"/>
    <n v="0"/>
    <s v="NA"/>
    <s v="NA"/>
    <n v="1"/>
    <n v="0"/>
    <n v="1"/>
    <m/>
    <m/>
    <m/>
    <m/>
    <m/>
    <m/>
    <m/>
    <m/>
    <m/>
    <m/>
    <n v="3.3402546418006968E-2"/>
    <n v="3.341497748312889E-2"/>
    <n v="8.4530748376344727E-4"/>
    <n v="8.4674005080440302E-4"/>
    <m/>
    <m/>
    <m/>
  </r>
  <r>
    <x v="0"/>
    <m/>
    <n v="1183"/>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1"/>
    <n v="1"/>
    <n v="0"/>
    <n v="0"/>
    <n v="0"/>
    <n v="0"/>
    <n v="0"/>
    <s v="Energy Star logo (baseline - current EnergyGuide label)"/>
    <n v="0"/>
    <n v="0"/>
    <n v="0"/>
    <n v="0"/>
    <n v="0"/>
    <n v="0"/>
    <n v="1"/>
    <n v="0"/>
    <n v="0"/>
    <s v="individual discount rate"/>
    <x v="2"/>
    <s v="WTP for reduced present value operating cost"/>
    <s v="NA"/>
    <n v="0.152"/>
    <s v="decrease"/>
    <n v="0.14476190476190476"/>
    <n v="0.1"/>
    <n v="2"/>
    <n v="1.05"/>
    <s v="NA"/>
    <m/>
    <s v="NA"/>
    <s v="NA"/>
    <s v="NA"/>
    <s v="NA"/>
    <s v="NA"/>
    <s v="NA"/>
    <n v="1184"/>
    <n v="1184"/>
    <s v="NA"/>
    <s v="NA"/>
    <s v="NA"/>
    <s v="NA"/>
    <s v="NA"/>
    <n v="1"/>
    <n v="288"/>
    <n v="0"/>
    <s v="NA"/>
    <s v="NA"/>
    <n v="1"/>
    <n v="0"/>
    <n v="1"/>
    <m/>
    <m/>
    <m/>
    <m/>
    <m/>
    <m/>
    <m/>
    <m/>
    <m/>
    <m/>
    <n v="3.050080782390133E-2"/>
    <n v="3.0510271400002755E-2"/>
    <n v="8.453078051298751E-4"/>
    <n v="8.4674005080440302E-4"/>
    <m/>
    <m/>
    <m/>
  </r>
  <r>
    <x v="0"/>
    <m/>
    <n v="1184"/>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0"/>
    <n v="1"/>
    <n v="0"/>
    <n v="0"/>
    <n v="0"/>
    <n v="0"/>
    <n v="0"/>
    <s v="physical energy info (baseline - current EnergyGuide label)"/>
    <n v="0"/>
    <n v="0"/>
    <n v="0"/>
    <n v="0"/>
    <n v="0"/>
    <n v="0"/>
    <n v="1"/>
    <n v="0"/>
    <n v="0"/>
    <s v="individual discount rate"/>
    <x v="2"/>
    <s v="WTP for reduced present value operating cost"/>
    <s v="NA"/>
    <n v="0.34"/>
    <s v="increase"/>
    <n v="0.15044247787610621"/>
    <n v="0.1"/>
    <n v="1"/>
    <n v="2.2599999999999998"/>
    <s v="NA"/>
    <m/>
    <s v="NA"/>
    <s v="NA"/>
    <s v="NA"/>
    <s v="NA"/>
    <s v="NA"/>
    <s v="NA"/>
    <n v="1184"/>
    <n v="1184"/>
    <s v="NA"/>
    <s v="NA"/>
    <s v="NA"/>
    <s v="NA"/>
    <s v="NA"/>
    <n v="1"/>
    <n v="288"/>
    <n v="0"/>
    <s v="NA"/>
    <s v="NA"/>
    <n v="1"/>
    <n v="0"/>
    <n v="1"/>
    <m/>
    <m/>
    <m/>
    <m/>
    <m/>
    <m/>
    <m/>
    <m/>
    <m/>
    <m/>
    <n v="6.5538705898597463E-2"/>
    <n v="6.563278509260187E-2"/>
    <n v="8.4529285210817155E-4"/>
    <n v="8.4674005080440302E-4"/>
    <m/>
    <m/>
    <m/>
  </r>
  <r>
    <x v="0"/>
    <m/>
    <n v="1185"/>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0"/>
    <n v="1"/>
    <n v="0"/>
    <n v="0"/>
    <n v="0"/>
    <n v="0"/>
    <n v="0"/>
    <s v="CO2 emission info (baseline - current EnergyGuide label)"/>
    <n v="0"/>
    <n v="0"/>
    <n v="0"/>
    <n v="0"/>
    <n v="0"/>
    <n v="0"/>
    <n v="1"/>
    <n v="0"/>
    <n v="0"/>
    <s v="individual discount rate"/>
    <x v="2"/>
    <s v="WTP for reduced present value operating cost"/>
    <s v="NA"/>
    <n v="0.249"/>
    <s v="increase"/>
    <n v="0.13387096774193546"/>
    <n v="0.1"/>
    <n v="1"/>
    <n v="1.86"/>
    <s v="NA"/>
    <m/>
    <s v="NA"/>
    <s v="NA"/>
    <s v="NA"/>
    <s v="NA"/>
    <s v="NA"/>
    <s v="NA"/>
    <n v="1184"/>
    <n v="1184"/>
    <s v="NA"/>
    <s v="NA"/>
    <s v="NA"/>
    <s v="NA"/>
    <s v="NA"/>
    <n v="1"/>
    <n v="288"/>
    <n v="0"/>
    <s v="NA"/>
    <s v="NA"/>
    <n v="1"/>
    <n v="0"/>
    <n v="1"/>
    <m/>
    <m/>
    <m/>
    <m/>
    <m/>
    <m/>
    <m/>
    <m/>
    <m/>
    <m/>
    <n v="5.3976351182136464E-2"/>
    <n v="5.402886207559579E-2"/>
    <n v="8.4530133453125005E-4"/>
    <n v="8.4674005080440302E-4"/>
    <m/>
    <m/>
    <m/>
  </r>
  <r>
    <x v="0"/>
    <m/>
    <n v="1186"/>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x v="0"/>
    <x v="0"/>
    <n v="1"/>
    <n v="0"/>
    <n v="0"/>
    <n v="0"/>
    <n v="0"/>
    <n v="0"/>
    <s v="relative grade info (baseline - current EnergyGuide label)"/>
    <n v="0"/>
    <n v="0"/>
    <n v="0"/>
    <n v="0"/>
    <n v="0"/>
    <n v="0"/>
    <n v="1"/>
    <n v="0"/>
    <n v="0"/>
    <s v="individual discount rate"/>
    <x v="2"/>
    <s v="WTP for reduced present value operating cost"/>
    <s v="NA"/>
    <n v="0.64200000000000002"/>
    <s v="increase"/>
    <n v="0.19337349397590362"/>
    <n v="0.1"/>
    <n v="1"/>
    <n v="3.32"/>
    <s v="NA"/>
    <m/>
    <s v="NA"/>
    <s v="NA"/>
    <s v="NA"/>
    <s v="NA"/>
    <s v="NA"/>
    <s v="NA"/>
    <n v="1184"/>
    <n v="1184"/>
    <s v="NA"/>
    <s v="NA"/>
    <s v="NA"/>
    <s v="NA"/>
    <s v="NA"/>
    <n v="1"/>
    <n v="288"/>
    <n v="0"/>
    <s v="NA"/>
    <s v="NA"/>
    <n v="1"/>
    <n v="0"/>
    <n v="1"/>
    <m/>
    <m/>
    <m/>
    <m/>
    <m/>
    <m/>
    <m/>
    <m/>
    <m/>
    <m/>
    <n v="9.6039537672003544E-2"/>
    <n v="9.633645915133221E-2"/>
    <n v="8.4523572980515279E-4"/>
    <n v="8.4674005080440302E-4"/>
    <m/>
    <m/>
    <m/>
  </r>
  <r>
    <x v="3"/>
    <n v="23"/>
    <n v="1219"/>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1.4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0"/>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1.6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1"/>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1.7000000000000001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2"/>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1.7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3"/>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1.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4"/>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de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5"/>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decrease"/>
    <s v="NA"/>
    <n v="0.01"/>
    <n v="1"/>
    <n v="2.5765924815279417"/>
    <n v="1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6"/>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5.9999999999999995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7"/>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8"/>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x v="0"/>
    <x v="1"/>
    <n v="0"/>
    <n v="1"/>
    <n v="0"/>
    <n v="0"/>
    <n v="0"/>
    <n v="0"/>
    <s v="Program that grants a reward when an old appliance was replaced by a more efficient one"/>
    <n v="0"/>
    <n v="0"/>
    <n v="0"/>
    <n v="0"/>
    <n v="0"/>
    <n v="0"/>
    <n v="0"/>
    <n v="1"/>
    <n v="0"/>
    <s v="NA"/>
    <x v="0"/>
    <s v="AC replacement rate"/>
    <s v="dummy (0/1)"/>
    <s v="NA"/>
    <s v="increase"/>
    <s v="NA"/>
    <n v="0.01"/>
    <n v="1"/>
    <n v="2.5765924815279417"/>
    <n v="2E-3"/>
    <e v="#VALUE!"/>
    <s v="NA"/>
    <s v="NA"/>
    <s v="NA"/>
    <s v="NA"/>
    <s v="NA"/>
    <s v="NA"/>
    <n v="6445"/>
    <n v="6445"/>
    <s v="NA"/>
    <s v="NA"/>
    <n v="4000"/>
    <s v="NA"/>
    <s v="NA"/>
    <s v="NA"/>
    <s v="NA"/>
    <s v="NA"/>
    <s v="NA"/>
    <s v="NA"/>
    <n v="1"/>
    <n v="0"/>
    <n v="0"/>
    <m/>
    <m/>
    <m/>
    <m/>
    <m/>
    <m/>
    <m/>
    <m/>
    <m/>
    <m/>
    <n v="3.2078253247327888E-2"/>
    <n v="3.2089263039774128E-2"/>
    <n v="1.5518295153244398E-4"/>
    <n v="1.552312946289972E-4"/>
    <s v="NA"/>
    <n v="6444"/>
    <s v="NA"/>
  </r>
  <r>
    <x v="0"/>
    <m/>
    <s v="NA"/>
    <s v="NA"/>
    <s v="Olsthoorn, Schleich, Gassmann, Faure"/>
    <n v="2017"/>
    <s v="Free riding and rebates for residential energy efficiency upgrades: A multi-country contingent valuation experiment"/>
    <s v="The cost-effectiveness of energy technology upgrade programs critically depends on free riding. This paper assesses_x000a_ex ante the effects of free riding on the cost-effectiveness of a rebate programthat promotes the adoption_x000a_of energy-efficient heating systems, relying on contingent valuation choice experiments carried out through_x000a_identical representative surveys in eight EU Members States. The analysis distinguishes between strong and_x000a_weak free riders: strong free riders already plan to adopt a new heating system in the next five years; weak_x000a_free riders decide to purchase once propositioned with an attractive technology package (and therefore do not_x000a_require a rebate to adopt). The reservation rebates for incentivized adopters (thosewho decide to adopt because_x000a_of a rebate) differ substantially across countries. On average, they amount to approximately 40% of the heating_x000a_system's purchasing price, suggesting generally high opportunity costs for premature upgrades. The reservation_x000a_rebate andweak free-ridership varywith income, risk and time preferences, and environmental identity. At a rebate_x000a_level that corresponds to half the purchase price of the offered heating system, the estimated share of free_x000a_riders exceeded 50% for most countries, with a typically higher share of weak free riders than strong free riders._x000a_Specific rebate cost estimates (in €/tCO2) differ considerably across countries, suggesting that cooperation can_x000a_yield budgetary benefits."/>
    <n v="2"/>
    <n v="2016"/>
    <x v="1"/>
    <m/>
    <x v="6"/>
    <x v="4"/>
    <x v="5"/>
    <m/>
    <m/>
    <m/>
    <m/>
    <m/>
    <m/>
    <m/>
    <m/>
    <m/>
    <x v="2"/>
    <x v="2"/>
    <m/>
    <m/>
    <m/>
    <m/>
    <m/>
    <m/>
    <m/>
    <m/>
    <m/>
    <m/>
    <m/>
    <m/>
    <m/>
    <m/>
    <m/>
    <m/>
    <m/>
    <x v="3"/>
    <m/>
    <m/>
    <m/>
    <m/>
    <m/>
    <m/>
    <m/>
    <m/>
    <m/>
    <m/>
    <m/>
    <m/>
    <m/>
    <m/>
    <m/>
    <m/>
    <m/>
    <m/>
    <m/>
    <m/>
    <m/>
    <m/>
    <m/>
    <m/>
    <m/>
    <m/>
    <m/>
    <m/>
    <m/>
    <m/>
    <m/>
    <m/>
    <m/>
    <m/>
    <m/>
    <m/>
    <m/>
    <m/>
    <m/>
    <m/>
    <m/>
    <m/>
    <m/>
    <m/>
    <m/>
    <m/>
    <m/>
    <m/>
  </r>
  <r>
    <x v="2"/>
    <m/>
    <n v="1258"/>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x v="0"/>
    <x v="0"/>
    <n v="0"/>
    <n v="0"/>
    <n v="0"/>
    <n v="0"/>
    <n v="0"/>
    <n v="0"/>
    <s v="Information treatment received before WTP questionnaire"/>
    <n v="0"/>
    <n v="0"/>
    <n v="0"/>
    <n v="0"/>
    <n v="0"/>
    <n v="0"/>
    <n v="1"/>
    <n v="0"/>
    <n v="0"/>
    <s v="difference in WTPs between choices 𝑖 + 1"/>
    <x v="2"/>
    <s v="WTP difference in €"/>
    <s v="NA"/>
    <n v="25.879000000000001"/>
    <s v="increase"/>
    <n v="15.298"/>
    <n v="0.1"/>
    <n v="1"/>
    <s v="NA"/>
    <s v="NA"/>
    <m/>
    <s v="NA"/>
    <s v="NA"/>
    <s v="NA"/>
    <s v="NA"/>
    <s v="NA"/>
    <s v="NA"/>
    <n v="217"/>
    <n v="868"/>
    <s v="NA"/>
    <s v="NA"/>
    <s v="NA"/>
    <s v="NA"/>
    <s v="NA"/>
    <s v="NA"/>
    <s v="NA"/>
    <s v="NA"/>
    <s v="NA"/>
    <s v="NA"/>
    <n v="0"/>
    <n v="0"/>
    <n v="1"/>
    <m/>
    <m/>
    <m/>
    <m/>
    <m/>
    <m/>
    <m/>
    <m/>
    <m/>
    <m/>
    <e v="#VALUE!"/>
    <e v="#VALUE!"/>
    <e v="#VALUE!"/>
    <n v="4.6728971962616819E-3"/>
    <m/>
    <m/>
    <m/>
  </r>
  <r>
    <x v="2"/>
    <m/>
    <n v="1259"/>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x v="0"/>
    <x v="0"/>
    <n v="0"/>
    <n v="0"/>
    <n v="0"/>
    <n v="0"/>
    <n v="0"/>
    <n v="0"/>
    <s v="Information treatment received before WTP questionnaire"/>
    <n v="0"/>
    <n v="0"/>
    <n v="0"/>
    <n v="0"/>
    <n v="0"/>
    <n v="0"/>
    <n v="1"/>
    <n v="0"/>
    <n v="0"/>
    <s v="difference in WTPs between choices 𝑖 + 1"/>
    <x v="2"/>
    <s v="WTP difference in €"/>
    <s v="NA"/>
    <n v="45.747"/>
    <s v="increase"/>
    <n v="18.632000000000001"/>
    <n v="0.05"/>
    <n v="1"/>
    <s v="NA"/>
    <s v="NA"/>
    <m/>
    <s v="NA"/>
    <s v="NA"/>
    <s v="NA"/>
    <s v="NA"/>
    <s v="NA"/>
    <s v="NA"/>
    <n v="217"/>
    <n v="868"/>
    <s v="NA"/>
    <s v="NA"/>
    <s v="NA"/>
    <s v="NA"/>
    <s v="NA"/>
    <s v="NA"/>
    <s v="NA"/>
    <s v="NA"/>
    <s v="NA"/>
    <s v="NA"/>
    <n v="0"/>
    <n v="0"/>
    <n v="1"/>
    <m/>
    <m/>
    <m/>
    <m/>
    <m/>
    <m/>
    <m/>
    <m/>
    <m/>
    <m/>
    <e v="#VALUE!"/>
    <e v="#VALUE!"/>
    <e v="#VALUE!"/>
    <n v="4.6728971962616819E-3"/>
    <m/>
    <m/>
    <m/>
  </r>
  <r>
    <x v="2"/>
    <m/>
    <n v="1260"/>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x v="0"/>
    <x v="0"/>
    <n v="0"/>
    <n v="0"/>
    <n v="0"/>
    <n v="0"/>
    <n v="0"/>
    <n v="0"/>
    <s v="Information treatment received before WTP questionnaire"/>
    <n v="0"/>
    <n v="0"/>
    <n v="0"/>
    <n v="0"/>
    <n v="0"/>
    <n v="0"/>
    <n v="1"/>
    <n v="0"/>
    <n v="0"/>
    <s v="difference in WTPs between choices 𝑖 + 1"/>
    <x v="2"/>
    <s v="WTP difference in €"/>
    <s v="NA"/>
    <n v="33.076000000000001"/>
    <s v="increase"/>
    <n v="18.632000000000001"/>
    <n v="0.1"/>
    <n v="1"/>
    <s v="NA"/>
    <s v="NA"/>
    <m/>
    <s v="NA"/>
    <s v="NA"/>
    <s v="NA"/>
    <s v="NA"/>
    <s v="NA"/>
    <s v="NA"/>
    <n v="217"/>
    <n v="868"/>
    <s v="NA"/>
    <s v="NA"/>
    <s v="NA"/>
    <s v="NA"/>
    <s v="NA"/>
    <s v="NA"/>
    <s v="NA"/>
    <s v="NA"/>
    <s v="NA"/>
    <s v="NA"/>
    <n v="0"/>
    <n v="0"/>
    <n v="1"/>
    <m/>
    <m/>
    <m/>
    <m/>
    <m/>
    <m/>
    <m/>
    <m/>
    <m/>
    <m/>
    <e v="#VALUE!"/>
    <e v="#VALUE!"/>
    <e v="#VALUE!"/>
    <n v="4.6728971962616819E-3"/>
    <m/>
    <m/>
    <m/>
  </r>
  <r>
    <x v="0"/>
    <m/>
    <s v="NA"/>
    <s v="NA"/>
    <s v="Raynaud, Osso, Bourges, Duplessis, Adnot"/>
    <n v="2015"/>
    <s v="Evidence of an indirect rebound effect with reveresible heat pumps: having air conditioning but not using it?"/>
    <m/>
    <n v="1"/>
    <m/>
    <x v="1"/>
    <m/>
    <x v="6"/>
    <x v="4"/>
    <x v="5"/>
    <m/>
    <m/>
    <m/>
    <m/>
    <m/>
    <m/>
    <m/>
    <m/>
    <m/>
    <x v="2"/>
    <x v="2"/>
    <m/>
    <m/>
    <m/>
    <m/>
    <m/>
    <m/>
    <m/>
    <m/>
    <m/>
    <m/>
    <m/>
    <m/>
    <m/>
    <m/>
    <m/>
    <m/>
    <m/>
    <x v="3"/>
    <m/>
    <m/>
    <m/>
    <m/>
    <m/>
    <m/>
    <m/>
    <m/>
    <m/>
    <m/>
    <m/>
    <m/>
    <m/>
    <m/>
    <m/>
    <m/>
    <m/>
    <m/>
    <m/>
    <m/>
    <m/>
    <m/>
    <m/>
    <m/>
    <m/>
    <m/>
    <m/>
    <m/>
    <m/>
    <m/>
    <m/>
    <m/>
    <m/>
    <m/>
    <m/>
    <m/>
    <m/>
    <m/>
    <m/>
    <m/>
    <m/>
    <m/>
    <m/>
    <m/>
    <m/>
    <m/>
    <m/>
    <m/>
  </r>
  <r>
    <x v="0"/>
    <m/>
    <n v="1146"/>
    <n v="131"/>
    <s v="Ren, Tibbs, McLauchlan, Ma, Harrington"/>
    <n v="2021"/>
    <s v="Refrigerator cost trap for low-income households: Developments in measurement and verification of appliance replacements"/>
    <s v="Energy efficiency of domestic refrigerators has markedly improved over recent years. Despite these improvements,_x000a_low-income households in Australia still tend to own older and less energy-efficient refrigerators. Replacement_x000a_of old refrigerators with energy-efficient appliances presents an important opportunity to reduce_x000a_both greenhouse gas emissions and the electricity bills of households for sustainable development. This paper_x000a_presents the measurement and verification of energy savings froma sample of 16 household refrigerator replacements_x000a_under the Appliance Replacement Offer of the NewSouthWales Government, Australia. In-homemonitoring_x000a_and laboratory testing were conducted for both old and new refrigerators. A key challenge for this study was_x000a_to estimate the energy savings of the replacement in each household based on limited in-home monitoring data._x000a_The annual energy savings from the refrigerator replacement in the households were estimated using the artificial_x000a_neural networks (ANN)models for indoor air temperature prediction and the empiricalmodels for the refrigerator_x000a_energy consumption estimation. The experimental and estimation results both showed that most of the_x000a_households achieved substantial energy savings from the replacement. The average annual energy cost savings_x000a_and the average payback period of the refrigerator replacements were 53% and 4.3 years, respectively. It was_x000a_also found that the energy savings could be compromised if the size of the new refrigerator was much larger_x000a_than the old unit or if the efficiency of the old refrigerator was reasonably good."/>
    <n v="1"/>
    <s v="2017-2018"/>
    <x v="8"/>
    <n v="13"/>
    <x v="3"/>
    <x v="0"/>
    <x v="30"/>
    <s v="revealed preference"/>
    <s v="household"/>
    <s v="residents"/>
    <n v="1"/>
    <s v="opt_in"/>
    <n v="0"/>
    <s v="probably yes"/>
    <s v="probably no"/>
    <s v="small sample size, no statistical analysis of the results, only descriptive statistics for each household"/>
    <x v="0"/>
    <x v="1"/>
    <n v="0"/>
    <n v="0"/>
    <n v="0"/>
    <n v="1"/>
    <n v="0"/>
    <n v="0"/>
    <s v="can't disentangle scepific effects for each intervention ? - marketing, subsidy, help with installation"/>
    <n v="0"/>
    <n v="0"/>
    <n v="0"/>
    <n v="1"/>
    <n v="0"/>
    <n v="0"/>
    <n v="0"/>
    <n v="0"/>
    <n v="0"/>
    <s v="NA"/>
    <x v="1"/>
    <s v="annual electricity consumption for refrigeration"/>
    <s v="log scale"/>
    <n v="0.42526773540434409"/>
    <s v="decrease"/>
    <s v="NA"/>
    <s v="NA"/>
    <s v="NA"/>
    <s v="NA"/>
    <n v="0.53"/>
    <m/>
    <s v="NA"/>
    <s v="NA"/>
    <s v="NA"/>
    <s v="NA"/>
    <s v="NA"/>
    <s v="NA"/>
    <n v="14"/>
    <n v="14"/>
    <s v="NA"/>
    <s v="NA"/>
    <s v="NA"/>
    <n v="0.45"/>
    <s v="current "/>
    <s v="NA"/>
    <s v="NA"/>
    <s v="NA"/>
    <s v="NA"/>
    <s v="NA"/>
    <n v="0"/>
    <n v="0"/>
    <n v="0"/>
    <m/>
    <m/>
    <m/>
    <m/>
    <m/>
    <m/>
    <m/>
    <m/>
    <m/>
    <m/>
    <m/>
    <m/>
    <m/>
    <m/>
    <e v="#VALUE!"/>
    <m/>
    <m/>
  </r>
  <r>
    <x v="0"/>
    <n v="24"/>
    <n v="1061"/>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x v="0"/>
    <x v="1"/>
    <n v="0"/>
    <n v="0"/>
    <n v="0"/>
    <n v="0"/>
    <n v="1"/>
    <n v="0"/>
    <s v="NA"/>
    <n v="0"/>
    <n v="0"/>
    <n v="0"/>
    <n v="1"/>
    <n v="0"/>
    <n v="0"/>
    <n v="0"/>
    <n v="0"/>
    <n v="0"/>
    <s v="confusing between WTP and probability to purchase"/>
    <x v="0"/>
    <s v="choice of a high-efficiency appliance"/>
    <s v="dummy (0/1)"/>
    <n v="1.7500000000000002E-2"/>
    <s v="decrease"/>
    <n v="0.26400000000000001"/>
    <s v="NA"/>
    <n v="3"/>
    <n v="6.6287878787878785E-2"/>
    <n v="1.7654022150761728E-2"/>
    <n v="0.50437488834977351"/>
    <s v="NA"/>
    <s v="NA"/>
    <s v="NA"/>
    <s v="NA"/>
    <s v="NA"/>
    <s v="NA"/>
    <n v="375"/>
    <n v="6081"/>
    <s v="NA"/>
    <s v="NA"/>
    <s v="NA"/>
    <s v="NA"/>
    <s v="NA"/>
    <s v="NA"/>
    <s v="NA"/>
    <s v="NA"/>
    <s v="NA"/>
    <s v="NA"/>
    <n v="0"/>
    <n v="0"/>
    <n v="0"/>
    <m/>
    <m/>
    <m/>
    <m/>
    <m/>
    <m/>
    <m/>
    <m/>
    <m/>
    <m/>
    <n v="3.4230712863917989E-3"/>
    <n v="3.4230846563371624E-3"/>
    <n v="2.673796791076738E-3"/>
    <n v="2.6881720430107529E-3"/>
    <s v="NA"/>
    <n v="373"/>
    <s v="NA"/>
  </r>
  <r>
    <x v="0"/>
    <n v="24"/>
    <n v="1062"/>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x v="0"/>
    <x v="1"/>
    <n v="0"/>
    <n v="1"/>
    <n v="0"/>
    <n v="0"/>
    <n v="0"/>
    <n v="0"/>
    <s v="NA"/>
    <n v="0"/>
    <n v="0"/>
    <n v="0"/>
    <n v="1"/>
    <n v="0"/>
    <n v="0"/>
    <n v="0"/>
    <n v="0"/>
    <n v="0"/>
    <s v="confusing between WTP and probability to purchase"/>
    <x v="0"/>
    <s v="choice of a high-efficiency appliance"/>
    <s v="dummy (0/1)"/>
    <n v="2.1999999999999999E-2"/>
    <s v="increase"/>
    <n v="0.21199999999999999"/>
    <s v="NA"/>
    <n v="3"/>
    <n v="0.10377358490566037"/>
    <n v="2.2243784470438177E-2"/>
    <n v="0.50549977817740277"/>
    <s v="NA"/>
    <s v="NA"/>
    <s v="NA"/>
    <s v="NA"/>
    <s v="NA"/>
    <s v="NA"/>
    <n v="375"/>
    <n v="6081"/>
    <s v="NA"/>
    <s v="NA"/>
    <s v="NA"/>
    <s v="NA"/>
    <s v="NA"/>
    <s v="NA"/>
    <s v="NA"/>
    <s v="NA"/>
    <s v="NA"/>
    <s v="NA"/>
    <n v="0"/>
    <n v="0"/>
    <n v="0"/>
    <m/>
    <m/>
    <m/>
    <m/>
    <m/>
    <m/>
    <m/>
    <m/>
    <m/>
    <m/>
    <n v="5.3587679376424701E-3"/>
    <n v="5.3588192333564287E-3"/>
    <n v="2.6737967892388691E-3"/>
    <n v="2.6881720430107529E-3"/>
    <s v="NA"/>
    <n v="373"/>
    <s v="NA"/>
  </r>
  <r>
    <x v="0"/>
    <n v="24"/>
    <n v="1064"/>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x v="0"/>
    <x v="1"/>
    <n v="0"/>
    <n v="1"/>
    <n v="0"/>
    <n v="0"/>
    <n v="0"/>
    <n v="0"/>
    <s v="NA"/>
    <n v="0"/>
    <n v="0"/>
    <n v="0"/>
    <n v="1"/>
    <n v="0"/>
    <n v="0"/>
    <n v="0"/>
    <n v="0"/>
    <n v="0"/>
    <s v="confusing between WTP and probability to purchase"/>
    <x v="0"/>
    <s v="choice of a high-efficiency appliance"/>
    <s v="dummy (0/1)"/>
    <n v="0.14599999999999999"/>
    <s v="decrease"/>
    <n v="0.188"/>
    <s v="NA"/>
    <n v="3"/>
    <n v="0.77659574468085102"/>
    <n v="0.15719618805079616"/>
    <n v="0.53643530174064413"/>
    <s v="NA"/>
    <s v="NA"/>
    <s v="NA"/>
    <s v="NA"/>
    <s v="NA"/>
    <s v="NA"/>
    <n v="375"/>
    <n v="6081"/>
    <s v="NA"/>
    <s v="NA"/>
    <s v="NA"/>
    <s v="NA"/>
    <s v="NA"/>
    <s v="NA"/>
    <s v="NA"/>
    <s v="NA"/>
    <s v="NA"/>
    <s v="NA"/>
    <n v="0"/>
    <n v="0"/>
    <n v="1"/>
    <m/>
    <m/>
    <m/>
    <m/>
    <m/>
    <m/>
    <m/>
    <m/>
    <m/>
    <m/>
    <n v="4.0071022261504372E-2"/>
    <n v="4.0092490118533643E-2"/>
    <n v="2.6737898829954023E-3"/>
    <n v="2.6881720430107529E-3"/>
    <s v="NA"/>
    <n v="373"/>
    <s v="NA"/>
  </r>
  <r>
    <x v="0"/>
    <n v="24"/>
    <n v="1063"/>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x v="0"/>
    <x v="1"/>
    <n v="0"/>
    <n v="0"/>
    <n v="0"/>
    <n v="0"/>
    <n v="1"/>
    <n v="0"/>
    <s v="NA"/>
    <n v="0"/>
    <n v="0"/>
    <n v="0"/>
    <n v="1"/>
    <n v="0"/>
    <n v="0"/>
    <n v="0"/>
    <n v="0"/>
    <n v="0"/>
    <s v="confusing between WTP and probability to purchase"/>
    <x v="0"/>
    <s v="choice of a high-efficiency appliance"/>
    <s v="dummy (0/1)"/>
    <n v="0.156"/>
    <s v="increase"/>
    <n v="0.621"/>
    <s v="NA"/>
    <n v="3"/>
    <n v="0.25120772946859904"/>
    <n v="0.16882620308986906"/>
    <n v="0.53892110000546534"/>
    <s v="NA"/>
    <s v="NA"/>
    <s v="NA"/>
    <s v="NA"/>
    <s v="NA"/>
    <s v="NA"/>
    <n v="375"/>
    <n v="6081"/>
    <s v="NA"/>
    <s v="NA"/>
    <s v="NA"/>
    <s v="NA"/>
    <s v="NA"/>
    <s v="NA"/>
    <s v="NA"/>
    <s v="NA"/>
    <s v="NA"/>
    <s v="NA"/>
    <n v="0"/>
    <n v="0"/>
    <n v="0"/>
    <m/>
    <m/>
    <m/>
    <m/>
    <m/>
    <m/>
    <m/>
    <m/>
    <m/>
    <m/>
    <n v="1.2971220010807293E-2"/>
    <n v="1.2971947564531299E-2"/>
    <n v="2.6737967157345667E-3"/>
    <n v="2.6881720430107529E-3"/>
    <s v="NA"/>
    <n v="373"/>
    <s v="NA"/>
  </r>
  <r>
    <x v="0"/>
    <n v="24"/>
    <n v="1067"/>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x v="0"/>
    <x v="1"/>
    <n v="0"/>
    <n v="0"/>
    <n v="0"/>
    <n v="0"/>
    <n v="1"/>
    <n v="0"/>
    <s v="NA"/>
    <n v="0"/>
    <n v="0"/>
    <n v="0"/>
    <n v="1"/>
    <n v="0"/>
    <n v="0"/>
    <n v="0"/>
    <n v="0"/>
    <n v="0"/>
    <s v="confusing between WTP and probability to purchase"/>
    <x v="0"/>
    <s v="choice of a high-efficiency appliance"/>
    <s v="dummy (0/1)"/>
    <n v="0.191"/>
    <s v="decrease"/>
    <n v="0.53300000000000003"/>
    <s v="NA"/>
    <n v="3"/>
    <n v="0.35834896810506567"/>
    <n v="0.21045945208129946"/>
    <n v="0.54760536364581069"/>
    <s v="NA"/>
    <s v="NA"/>
    <s v="NA"/>
    <s v="NA"/>
    <s v="NA"/>
    <s v="NA"/>
    <n v="375"/>
    <n v="6081"/>
    <s v="NA"/>
    <s v="NA"/>
    <s v="NA"/>
    <s v="NA"/>
    <s v="NA"/>
    <s v="NA"/>
    <s v="NA"/>
    <s v="NA"/>
    <s v="NA"/>
    <s v="NA"/>
    <n v="0"/>
    <n v="0"/>
    <n v="1"/>
    <m/>
    <m/>
    <m/>
    <m/>
    <m/>
    <m/>
    <m/>
    <m/>
    <m/>
    <m/>
    <n v="1.8501893543383965E-2"/>
    <n v="1.8504005166909823E-2"/>
    <n v="2.6737964779771865E-3"/>
    <n v="2.6881720430107529E-3"/>
    <s v="NA"/>
    <n v="373"/>
    <s v="NA"/>
  </r>
  <r>
    <x v="0"/>
    <n v="24"/>
    <n v="1066"/>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x v="0"/>
    <x v="1"/>
    <n v="0"/>
    <n v="1"/>
    <n v="0"/>
    <n v="0"/>
    <n v="0"/>
    <n v="0"/>
    <s v="NA"/>
    <n v="0"/>
    <n v="0"/>
    <n v="0"/>
    <n v="1"/>
    <n v="0"/>
    <n v="0"/>
    <n v="0"/>
    <n v="0"/>
    <n v="0"/>
    <s v="confusing between WTP and probability to purchase"/>
    <x v="0"/>
    <s v="choice of a high-efficiency appliance"/>
    <s v="dummy (0/1)"/>
    <n v="0.19900000000000001"/>
    <s v="increase"/>
    <n v="0.188"/>
    <s v="NA"/>
    <n v="3"/>
    <n v="1.0585106382978724"/>
    <n v="0.22018196589987249"/>
    <n v="0.54958646842503955"/>
    <s v="NA"/>
    <s v="NA"/>
    <s v="NA"/>
    <s v="NA"/>
    <s v="NA"/>
    <s v="NA"/>
    <n v="375"/>
    <n v="6081"/>
    <s v="NA"/>
    <s v="NA"/>
    <s v="NA"/>
    <s v="NA"/>
    <s v="NA"/>
    <s v="NA"/>
    <s v="NA"/>
    <s v="NA"/>
    <s v="NA"/>
    <s v="NA"/>
    <n v="0"/>
    <n v="0"/>
    <n v="1"/>
    <m/>
    <m/>
    <m/>
    <m/>
    <m/>
    <m/>
    <m/>
    <m/>
    <m/>
    <m/>
    <n v="5.4579776966369314E-2"/>
    <n v="5.4634070889081947E-2"/>
    <n v="2.6737729692011378E-3"/>
    <n v="2.6881720430107529E-3"/>
    <s v="NA"/>
    <n v="373"/>
    <s v="NA"/>
  </r>
  <r>
    <x v="0"/>
    <n v="24"/>
    <n v="1060"/>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x v="0"/>
    <x v="1"/>
    <n v="0"/>
    <n v="1"/>
    <n v="0"/>
    <n v="0"/>
    <n v="0"/>
    <n v="0"/>
    <s v="NA"/>
    <n v="0"/>
    <n v="0"/>
    <n v="0"/>
    <n v="1"/>
    <n v="0"/>
    <n v="0"/>
    <n v="0"/>
    <n v="0"/>
    <n v="0"/>
    <s v="confusing between WTP and probability to purchase"/>
    <x v="0"/>
    <s v="choice of a high-efficiency appliance"/>
    <s v="dummy (0/1)"/>
    <n v="0.22900000000000001"/>
    <s v="increase"/>
    <n v="0.109"/>
    <s v="NA"/>
    <n v="3"/>
    <n v="2.1009174311926606"/>
    <n v="0.2573420390098391"/>
    <n v="0.55700111781082129"/>
    <s v="NA"/>
    <s v="NA"/>
    <s v="NA"/>
    <s v="NA"/>
    <s v="NA"/>
    <s v="NA"/>
    <n v="375"/>
    <n v="6081"/>
    <s v="NA"/>
    <s v="NA"/>
    <s v="NA"/>
    <s v="NA"/>
    <s v="NA"/>
    <s v="NA"/>
    <s v="NA"/>
    <s v="NA"/>
    <s v="NA"/>
    <s v="NA"/>
    <n v="0"/>
    <n v="0"/>
    <n v="0"/>
    <m/>
    <m/>
    <m/>
    <m/>
    <m/>
    <m/>
    <m/>
    <m/>
    <m/>
    <m/>
    <n v="0.1078580072117359"/>
    <n v="0.10827920105368449"/>
    <n v="2.6734292480947645E-3"/>
    <n v="2.6881720430107529E-3"/>
    <s v="NA"/>
    <n v="373"/>
    <s v="NA"/>
  </r>
  <r>
    <x v="0"/>
    <n v="24"/>
    <n v="1065"/>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x v="0"/>
    <x v="1"/>
    <n v="0"/>
    <n v="0"/>
    <n v="0"/>
    <n v="0"/>
    <n v="1"/>
    <n v="0"/>
    <s v="NA"/>
    <n v="0"/>
    <n v="0"/>
    <n v="0"/>
    <n v="1"/>
    <n v="0"/>
    <n v="0"/>
    <n v="0"/>
    <n v="0"/>
    <n v="0"/>
    <s v="confusing between WTP and probability to purchase"/>
    <x v="0"/>
    <s v="choice of a high-efficiency appliance"/>
    <s v="dummy (0/1)"/>
    <n v="0.27500000000000002"/>
    <s v="increase"/>
    <n v="0.77100000000000002"/>
    <s v="NA"/>
    <n v="3"/>
    <n v="0.35667963683527887"/>
    <n v="0.31653067486762154"/>
    <n v="0.56831998347824808"/>
    <s v="NA"/>
    <s v="NA"/>
    <s v="NA"/>
    <s v="NA"/>
    <s v="NA"/>
    <s v="NA"/>
    <n v="375"/>
    <n v="6081"/>
    <s v="NA"/>
    <s v="NA"/>
    <s v="NA"/>
    <s v="NA"/>
    <s v="NA"/>
    <s v="NA"/>
    <s v="NA"/>
    <s v="NA"/>
    <s v="NA"/>
    <s v="NA"/>
    <n v="0"/>
    <n v="0"/>
    <n v="1"/>
    <m/>
    <m/>
    <m/>
    <m/>
    <m/>
    <m/>
    <m/>
    <m/>
    <m/>
    <m/>
    <n v="1.8415733701710926E-2"/>
    <n v="1.8417815958123879E-2"/>
    <n v="2.6737964837768528E-3"/>
    <n v="2.6881720430107529E-3"/>
    <s v="NA"/>
    <n v="373"/>
    <s v="NA"/>
  </r>
  <r>
    <x v="0"/>
    <n v="24"/>
    <n v="1069"/>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x v="0"/>
    <x v="1"/>
    <n v="0"/>
    <n v="1"/>
    <n v="0"/>
    <n v="0"/>
    <n v="0"/>
    <n v="0"/>
    <s v="NA"/>
    <n v="0"/>
    <n v="0"/>
    <n v="0"/>
    <n v="1"/>
    <n v="0"/>
    <n v="0"/>
    <n v="0"/>
    <n v="0"/>
    <n v="0"/>
    <s v="confusing between WTP and probability to purchase"/>
    <x v="0"/>
    <s v="choice of a high-efficiency appliance"/>
    <s v="dummy (0/1)"/>
    <n v="3.01"/>
    <s v="decrease"/>
    <n v="2.17"/>
    <s v="NA"/>
    <n v="3"/>
    <n v="1.3870967741935483"/>
    <n v="19.287399925240926"/>
    <n v="0.95302385432171643"/>
    <s v="NA"/>
    <s v="NA"/>
    <s v="NA"/>
    <s v="NA"/>
    <s v="NA"/>
    <s v="NA"/>
    <n v="163"/>
    <n v="163"/>
    <s v="NA"/>
    <s v="NA"/>
    <s v="NA"/>
    <s v="NA"/>
    <s v="NA"/>
    <s v="NA"/>
    <s v="NA"/>
    <s v="NA"/>
    <s v="NA"/>
    <s v="NA"/>
    <n v="0"/>
    <n v="0"/>
    <n v="1"/>
    <m/>
    <m/>
    <m/>
    <m/>
    <m/>
    <m/>
    <m/>
    <m/>
    <m/>
    <m/>
    <n v="0.10801020309415331"/>
    <n v="0.10843319088266559"/>
    <n v="6.1719861429199588E-3"/>
    <n v="6.2500000000000003E-3"/>
    <s v="NA"/>
    <n v="161"/>
    <s v="NA"/>
  </r>
  <r>
    <x v="0"/>
    <n v="24"/>
    <n v="1068"/>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x v="0"/>
    <x v="1"/>
    <n v="0"/>
    <n v="1"/>
    <n v="0"/>
    <n v="0"/>
    <n v="0"/>
    <n v="0"/>
    <s v="NA"/>
    <n v="0"/>
    <n v="0"/>
    <n v="0"/>
    <n v="1"/>
    <n v="0"/>
    <n v="0"/>
    <n v="0"/>
    <n v="0"/>
    <n v="0"/>
    <s v="confusing between WTP and probability to purchase"/>
    <x v="0"/>
    <s v="choice of a high-efficiency appliance"/>
    <s v="dummy (0/1)"/>
    <n v="3.7"/>
    <s v="decrease"/>
    <n v="7.31"/>
    <s v="NA"/>
    <n v="3"/>
    <n v="0.50615595075239406"/>
    <n v="39.447304360067399"/>
    <n v="0.9758729785823308"/>
    <s v="NA"/>
    <s v="NA"/>
    <s v="NA"/>
    <s v="NA"/>
    <s v="NA"/>
    <s v="NA"/>
    <n v="163"/>
    <n v="163"/>
    <s v="NA"/>
    <s v="NA"/>
    <s v="NA"/>
    <s v="NA"/>
    <s v="NA"/>
    <s v="NA"/>
    <s v="NA"/>
    <s v="NA"/>
    <s v="NA"/>
    <s v="NA"/>
    <n v="0"/>
    <n v="0"/>
    <n v="1"/>
    <m/>
    <m/>
    <m/>
    <m/>
    <m/>
    <m/>
    <m/>
    <m/>
    <m/>
    <m/>
    <n v="3.9614074457903617E-2"/>
    <n v="3.9634815781559279E-2"/>
    <n v="6.1728242729301415E-3"/>
    <n v="6.2500000000000003E-3"/>
    <s v="NA"/>
    <n v="161"/>
    <s v="NA"/>
  </r>
  <r>
    <x v="0"/>
    <m/>
    <n v="1163"/>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x v="0"/>
    <x v="1"/>
    <n v="0"/>
    <n v="1"/>
    <n v="0"/>
    <n v="0"/>
    <n v="0"/>
    <n v="1"/>
    <s v="offering a free evaporative cooler to low-income customers who already possess an air-conditioner"/>
    <n v="0"/>
    <n v="0"/>
    <n v="0"/>
    <n v="0"/>
    <n v="0"/>
    <n v="0"/>
    <n v="0"/>
    <n v="1"/>
    <n v="0"/>
    <s v="NA"/>
    <x v="1"/>
    <s v="average daily kWh consumption within a given billing period"/>
    <s v="log scale"/>
    <n v="0.01"/>
    <s v="decrease"/>
    <n v="4.3478260869565216E-2"/>
    <n v="0.81640000000000001"/>
    <n v="2"/>
    <n v="0.23"/>
    <n v="1.0050167084167949E-2"/>
    <m/>
    <s v="NA"/>
    <n v="109"/>
    <s v="NA"/>
    <s v="NA"/>
    <n v="406"/>
    <s v="NA"/>
    <n v="515"/>
    <n v="515"/>
    <s v="NA"/>
    <s v="NA"/>
    <s v="NA"/>
    <n v="1"/>
    <s v="current "/>
    <s v="NA"/>
    <s v="NA"/>
    <s v="NA"/>
    <s v="NA"/>
    <s v="NA"/>
    <n v="1"/>
    <n v="1"/>
    <n v="1"/>
    <m/>
    <m/>
    <m/>
    <m/>
    <m/>
    <m/>
    <m/>
    <m/>
    <m/>
    <m/>
    <n v="1.0134490446309997E-2"/>
    <n v="1.0134837431758794E-2"/>
    <n v="1.9455252713028077E-3"/>
    <n v="1.953125E-3"/>
    <m/>
    <m/>
    <m/>
  </r>
  <r>
    <x v="0"/>
    <m/>
    <n v="1164"/>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x v="0"/>
    <x v="1"/>
    <n v="0"/>
    <n v="1"/>
    <n v="0"/>
    <n v="0"/>
    <n v="0"/>
    <n v="1"/>
    <s v="offering a free evaporative cooler to low-income customers who already possess an air-conditioner"/>
    <n v="0"/>
    <n v="0"/>
    <n v="0"/>
    <n v="0"/>
    <n v="0"/>
    <n v="0"/>
    <n v="0"/>
    <n v="1"/>
    <n v="0"/>
    <s v="interaction with LN(cooling deegree days)"/>
    <x v="1"/>
    <s v="average daily kWh consumption within a given billing period"/>
    <s v="log scale"/>
    <n v="0.12"/>
    <s v="decrease"/>
    <n v="2.4844720496894408E-2"/>
    <n v="1E-4"/>
    <n v="3"/>
    <n v="4.83"/>
    <n v="0.12749685157937574"/>
    <m/>
    <s v="NA"/>
    <n v="109"/>
    <s v="NA"/>
    <s v="NA"/>
    <n v="406"/>
    <s v="NA"/>
    <n v="515"/>
    <n v="515"/>
    <s v="NA"/>
    <s v="NA"/>
    <s v="NA"/>
    <n v="1"/>
    <s v="current "/>
    <s v="NA"/>
    <s v="NA"/>
    <s v="NA"/>
    <s v="NA"/>
    <s v="NA"/>
    <n v="1"/>
    <n v="1"/>
    <n v="1"/>
    <m/>
    <m/>
    <m/>
    <m/>
    <m/>
    <m/>
    <m/>
    <m/>
    <m/>
    <m/>
    <n v="0.20817246417215696"/>
    <n v="0.21126026317506777"/>
    <n v="1.9416499666781906E-3"/>
    <n v="1.953125E-3"/>
    <m/>
    <m/>
    <m/>
  </r>
  <r>
    <x v="0"/>
    <n v="25"/>
    <n v="1102"/>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x v="0"/>
    <x v="1"/>
    <n v="1"/>
    <n v="0"/>
    <n v="0"/>
    <n v="0"/>
    <n v="0"/>
    <n v="0"/>
    <s v="NA"/>
    <n v="1"/>
    <n v="0"/>
    <n v="0"/>
    <n v="0"/>
    <n v="0"/>
    <n v="0"/>
    <n v="0"/>
    <n v="0"/>
    <n v="0"/>
    <s v="importance of the label in choice of energy efficient appliance - energy efficiency rating B"/>
    <x v="0"/>
    <s v="probability of choice of energy efficient appliance"/>
    <s v="log scale"/>
    <n v="0.24340000000000001"/>
    <s v="increase"/>
    <n v="8.2799999999999999E-2"/>
    <n v="0.01"/>
    <n v="1"/>
    <n v="2.9396135265700485"/>
    <n v="0.27557875358719897"/>
    <n v="0.56055135493614083"/>
    <s v="NA"/>
    <s v="NA"/>
    <s v="NA"/>
    <s v="NA"/>
    <s v="NA"/>
    <s v="NA"/>
    <n v="151"/>
    <n v="151"/>
    <s v="NA"/>
    <s v="NA"/>
    <s v="NA"/>
    <s v="NA"/>
    <s v="NA"/>
    <s v="NA"/>
    <s v="NA"/>
    <s v="NA"/>
    <s v="NA"/>
    <s v="alphabetical"/>
    <n v="0"/>
    <n v="0"/>
    <n v="0"/>
    <m/>
    <m/>
    <m/>
    <m/>
    <m/>
    <m/>
    <m/>
    <m/>
    <m/>
    <m/>
    <n v="0.23265777562024986"/>
    <n v="0.23699751145474932"/>
    <n v="6.6456345063166536E-3"/>
    <n v="6.7567567567567571E-3"/>
    <s v="NA"/>
    <n v="150"/>
    <s v="NA"/>
  </r>
  <r>
    <x v="0"/>
    <n v="25"/>
    <n v="1101"/>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x v="0"/>
    <x v="1"/>
    <n v="1"/>
    <n v="0"/>
    <n v="0"/>
    <n v="0"/>
    <n v="0"/>
    <n v="0"/>
    <s v="NA"/>
    <n v="1"/>
    <n v="0"/>
    <n v="0"/>
    <n v="0"/>
    <n v="0"/>
    <n v="0"/>
    <n v="0"/>
    <n v="0"/>
    <n v="0"/>
    <s v="importance of the label in choice of energy efficient appliance - energy efficiency rating A"/>
    <x v="0"/>
    <s v="probability of choice of energy efficient appliance"/>
    <s v="log scale"/>
    <n v="0.4874"/>
    <s v="increase"/>
    <n v="9.1800000000000007E-2"/>
    <n v="0.01"/>
    <n v="1"/>
    <n v="5.3093681917211324"/>
    <n v="0.62807771023382664"/>
    <n v="0.61949374780434951"/>
    <s v="NA"/>
    <s v="NA"/>
    <s v="NA"/>
    <s v="NA"/>
    <s v="NA"/>
    <s v="NA"/>
    <n v="151"/>
    <n v="151"/>
    <s v="NA"/>
    <s v="NA"/>
    <s v="NA"/>
    <s v="NA"/>
    <s v="NA"/>
    <s v="NA"/>
    <s v="NA"/>
    <s v="NA"/>
    <s v="NA"/>
    <s v="alphabetical"/>
    <n v="0"/>
    <n v="0"/>
    <n v="0"/>
    <m/>
    <m/>
    <m/>
    <m/>
    <m/>
    <m/>
    <m/>
    <m/>
    <m/>
    <m/>
    <n v="0.39663103881354556"/>
    <n v="0.41964466459073052"/>
    <n v="6.4599214053169289E-3"/>
    <n v="6.7567567567567571E-3"/>
    <s v="NA"/>
    <n v="150"/>
    <s v="NA"/>
  </r>
  <r>
    <x v="4"/>
    <m/>
    <n v="1197"/>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6500000000000001"/>
    <s v="increase"/>
    <n v="1.4E-2"/>
    <n v="0.05"/>
    <n v="1"/>
    <n v="11.785714285714286"/>
    <s v="NA"/>
    <m/>
    <s v="NA"/>
    <s v="NA"/>
    <s v="NA"/>
    <s v="NA"/>
    <s v="NA"/>
    <s v="NA"/>
    <n v="1143"/>
    <n v="1143"/>
    <s v="NA"/>
    <s v="NA"/>
    <s v="NA"/>
    <s v="NA"/>
    <s v="NA"/>
    <n v="0"/>
    <s v="NA"/>
    <n v="0"/>
    <s v="NA"/>
    <s v="alphabetical with +"/>
    <n v="0"/>
    <n v="0"/>
    <n v="0"/>
    <m/>
    <m/>
    <m/>
    <m/>
    <m/>
    <m/>
    <m/>
    <m/>
    <m/>
    <m/>
    <n v="0.32917611569084376"/>
    <n v="0.34190396617995006"/>
    <n v="8.6369070253296037E-4"/>
    <n v="8.7719298245614037E-4"/>
    <m/>
    <m/>
    <m/>
  </r>
  <r>
    <x v="4"/>
    <m/>
    <n v="1198"/>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1"/>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8400000000000001"/>
    <s v="increase"/>
    <n v="4.0000000000000002E-4"/>
    <n v="0.01"/>
    <n v="1"/>
    <n v="960"/>
    <s v="NA"/>
    <m/>
    <s v="NA"/>
    <s v="NA"/>
    <s v="NA"/>
    <s v="NA"/>
    <s v="NA"/>
    <s v="NA"/>
    <n v="1143"/>
    <n v="1143"/>
    <s v="NA"/>
    <s v="NA"/>
    <s v="NA"/>
    <s v="NA"/>
    <s v="NA"/>
    <n v="0"/>
    <s v="NA"/>
    <n v="0"/>
    <s v="NA"/>
    <s v="alphabetical with +"/>
    <n v="0"/>
    <n v="0"/>
    <n v="0"/>
    <m/>
    <m/>
    <m/>
    <m/>
    <m/>
    <m/>
    <m/>
    <m/>
    <m/>
    <m/>
    <n v="0.99938045903497763"/>
    <n v="4.0396845476129251"/>
    <n v="-0.23232174563184291"/>
    <n v="8.7719298245614037E-4"/>
    <m/>
    <m/>
    <m/>
  </r>
  <r>
    <x v="4"/>
    <m/>
    <n v="1199"/>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29"/>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88"/>
    <s v="increase"/>
    <n v="6.0000000000000001E-3"/>
    <n v="0.01"/>
    <n v="1"/>
    <n v="31.333333333333332"/>
    <s v="NA"/>
    <m/>
    <s v="NA"/>
    <s v="NA"/>
    <s v="NA"/>
    <s v="NA"/>
    <s v="NA"/>
    <s v="NA"/>
    <n v="1143"/>
    <n v="1143"/>
    <s v="NA"/>
    <s v="NA"/>
    <s v="NA"/>
    <s v="NA"/>
    <s v="NA"/>
    <n v="0"/>
    <s v="NA"/>
    <n v="0"/>
    <s v="NA"/>
    <s v="alphabetical with +"/>
    <n v="0"/>
    <n v="0"/>
    <n v="0"/>
    <m/>
    <m/>
    <m/>
    <m/>
    <m/>
    <m/>
    <m/>
    <m/>
    <m/>
    <m/>
    <n v="0.6797509779625166"/>
    <n v="0.8286509734911085"/>
    <n v="4.6277994673218209E-4"/>
    <n v="8.7719298245614037E-4"/>
    <m/>
    <m/>
    <m/>
  </r>
  <r>
    <x v="4"/>
    <m/>
    <n v="1200"/>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0"/>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7799999999999999"/>
    <s v="increase"/>
    <n v="4.0000000000000002E-4"/>
    <n v="0.01"/>
    <n v="1"/>
    <n v="444.99999999999994"/>
    <s v="NA"/>
    <m/>
    <s v="NA"/>
    <s v="NA"/>
    <s v="NA"/>
    <s v="NA"/>
    <s v="NA"/>
    <s v="NA"/>
    <n v="1143"/>
    <n v="1143"/>
    <s v="NA"/>
    <s v="NA"/>
    <s v="NA"/>
    <s v="NA"/>
    <s v="NA"/>
    <n v="0"/>
    <s v="NA"/>
    <n v="0"/>
    <s v="NA"/>
    <s v="alphabetical with +"/>
    <n v="0"/>
    <n v="0"/>
    <n v="0"/>
    <m/>
    <m/>
    <m/>
    <m/>
    <m/>
    <m/>
    <m/>
    <m/>
    <m/>
    <m/>
    <n v="0.9971264344531976"/>
    <n v="3.2719555170560017"/>
    <n v="-9.9484991759079461E-2"/>
    <n v="8.7719298245614037E-4"/>
    <m/>
    <m/>
    <m/>
  </r>
  <r>
    <x v="4"/>
    <m/>
    <n v="1201"/>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2"/>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2500000000000001"/>
    <s v="increase"/>
    <n v="4.0000000000000002E-4"/>
    <n v="0.01"/>
    <n v="1"/>
    <n v="562.5"/>
    <s v="NA"/>
    <m/>
    <s v="NA"/>
    <s v="NA"/>
    <s v="NA"/>
    <s v="NA"/>
    <s v="NA"/>
    <s v="NA"/>
    <n v="1143"/>
    <n v="1143"/>
    <s v="NA"/>
    <s v="NA"/>
    <s v="NA"/>
    <s v="NA"/>
    <s v="NA"/>
    <n v="0"/>
    <s v="NA"/>
    <n v="0"/>
    <s v="NA"/>
    <s v="alphabetical with +"/>
    <n v="0"/>
    <n v="0"/>
    <n v="0"/>
    <m/>
    <m/>
    <m/>
    <m/>
    <m/>
    <m/>
    <m/>
    <m/>
    <m/>
    <m/>
    <n v="0.99819865675054298"/>
    <n v="3.5057343728871753"/>
    <n v="-0.13139086207881251"/>
    <n v="8.7719298245614037E-4"/>
    <m/>
    <m/>
    <m/>
  </r>
  <r>
    <x v="4"/>
    <m/>
    <n v="1202"/>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3"/>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17"/>
    <s v="increase"/>
    <n v="1.0999999999999999E-2"/>
    <n v="0.05"/>
    <n v="1"/>
    <n v="19.727272727272727"/>
    <s v="NA"/>
    <m/>
    <s v="NA"/>
    <s v="NA"/>
    <s v="NA"/>
    <s v="NA"/>
    <s v="NA"/>
    <s v="NA"/>
    <n v="1143"/>
    <n v="1143"/>
    <s v="NA"/>
    <s v="NA"/>
    <s v="NA"/>
    <s v="NA"/>
    <s v="NA"/>
    <n v="0"/>
    <s v="NA"/>
    <n v="0"/>
    <s v="NA"/>
    <s v="alphabetical with +"/>
    <n v="0"/>
    <n v="0"/>
    <n v="0"/>
    <m/>
    <m/>
    <m/>
    <m/>
    <m/>
    <m/>
    <m/>
    <m/>
    <m/>
    <m/>
    <n v="0.50398108716659962"/>
    <n v="0.55462843634902004"/>
    <n v="7.9279722006820284E-4"/>
    <n v="8.7719298245614037E-4"/>
    <m/>
    <m/>
    <m/>
  </r>
  <r>
    <x v="4"/>
    <m/>
    <n v="1203"/>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4"/>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2900000000000001"/>
    <s v="increase"/>
    <n v="1E-3"/>
    <n v="0.01"/>
    <n v="1"/>
    <n v="329"/>
    <s v="NA"/>
    <m/>
    <s v="NA"/>
    <s v="NA"/>
    <s v="NA"/>
    <s v="NA"/>
    <s v="NA"/>
    <s v="NA"/>
    <n v="1143"/>
    <n v="1143"/>
    <s v="NA"/>
    <s v="NA"/>
    <s v="NA"/>
    <s v="NA"/>
    <s v="NA"/>
    <n v="0"/>
    <s v="NA"/>
    <n v="0"/>
    <s v="NA"/>
    <s v="alphabetical with +"/>
    <n v="0"/>
    <n v="0"/>
    <n v="0"/>
    <m/>
    <m/>
    <m/>
    <m/>
    <m/>
    <m/>
    <m/>
    <m/>
    <m/>
    <m/>
    <n v="0.99476156646916469"/>
    <n v="2.9711286487420243"/>
    <n v="-6.736131167647591E-2"/>
    <n v="8.7719298245614037E-4"/>
    <m/>
    <m/>
    <m/>
  </r>
  <r>
    <x v="4"/>
    <m/>
    <n v="1204"/>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0"/>
    <s v="NA"/>
    <s v="pre-recorded (no experiment)"/>
    <s v="NA"/>
    <s v="NA"/>
    <s v="NA"/>
    <s v="NA"/>
    <s v="probably no"/>
    <s v="probably no"/>
    <s v="study tries to distinguish between time effects and effect of labels. Probbaly not successful. Not very reliable "/>
    <x v="0"/>
    <x v="1"/>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52"/>
    <s v="increase"/>
    <n v="0.107"/>
    <n v="0.1"/>
    <n v="2"/>
    <n v="1.4205607476635513"/>
    <s v="NA"/>
    <m/>
    <s v="NA"/>
    <s v="NA"/>
    <s v="NA"/>
    <s v="NA"/>
    <s v="NA"/>
    <s v="NA"/>
    <n v="1143"/>
    <n v="1143"/>
    <s v="NA"/>
    <s v="NA"/>
    <s v="NA"/>
    <s v="NA"/>
    <s v="NA"/>
    <n v="0"/>
    <s v="NA"/>
    <n v="0"/>
    <s v="NA"/>
    <s v="alphabetical with +"/>
    <n v="0"/>
    <n v="0"/>
    <n v="0"/>
    <m/>
    <m/>
    <m/>
    <m/>
    <m/>
    <m/>
    <m/>
    <m/>
    <m/>
    <m/>
    <n v="4.1981084605393931E-2"/>
    <n v="4.2005773365978882E-2"/>
    <n v="8.7565401628082187E-4"/>
    <n v="8.7719298245614037E-4"/>
    <m/>
    <m/>
    <m/>
  </r>
  <r>
    <x v="3"/>
    <m/>
    <n v="1233"/>
    <n v="309"/>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1"/>
    <s v="2013-2014"/>
    <x v="13"/>
    <s v="73-74"/>
    <x v="3"/>
    <x v="2"/>
    <x v="1"/>
    <s v="revealed preference"/>
    <s v="household"/>
    <s v="residents"/>
    <n v="1"/>
    <s v="opt_in"/>
    <n v="0"/>
    <s v="probably yes"/>
    <s v="probably no"/>
    <s v="study under contract with Energy Star"/>
    <x v="0"/>
    <x v="0"/>
    <n v="1"/>
    <n v="1"/>
    <n v="0"/>
    <n v="0"/>
    <n v="0"/>
    <n v="0"/>
    <s v="NA"/>
    <n v="0"/>
    <n v="0"/>
    <n v="0"/>
    <n v="0"/>
    <n v="0"/>
    <n v="1"/>
    <n v="0"/>
    <n v="0"/>
    <n v="0"/>
    <s v="NA"/>
    <x v="1"/>
    <s v="the average daily energy consumption (kWh)"/>
    <s v="NA"/>
    <n v="5.4961558073974334E-2"/>
    <s v="decrease"/>
    <e v="#VALUE!"/>
    <s v="NA"/>
    <s v="NA"/>
    <s v="NA"/>
    <n v="5.6500000000000002E-2"/>
    <m/>
    <n v="18.86"/>
    <n v="6176"/>
    <s v="NA"/>
    <n v="17.84"/>
    <n v="54"/>
    <s v="NA"/>
    <n v="6230"/>
    <n v="6230"/>
    <s v="NA"/>
    <s v="NA"/>
    <s v="NA"/>
    <s v="NA"/>
    <s v="NA"/>
    <s v="NA"/>
    <s v="NA"/>
    <s v="NA"/>
    <s v="NA"/>
    <s v="NA"/>
    <n v="1"/>
    <n v="0"/>
    <n v="0"/>
    <m/>
    <m/>
    <m/>
    <m/>
    <m/>
    <m/>
    <m/>
    <m/>
    <m/>
    <m/>
    <m/>
    <m/>
    <m/>
    <m/>
    <e v="#VALUE!"/>
    <m/>
    <m/>
  </r>
  <r>
    <x v="3"/>
    <n v="26"/>
    <n v="1250"/>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0"/>
    <x v="1"/>
    <s v="revealed preference"/>
    <s v="retailer"/>
    <s v="store visitors"/>
    <n v="0"/>
    <s v="opt_in"/>
    <n v="0"/>
    <s v="probably yes"/>
    <s v="probably yes"/>
    <s v="study under contract with Energy Star, at least one number (896%) was reported incorrectly, which was spotted while coding"/>
    <x v="0"/>
    <x v="0"/>
    <n v="1"/>
    <n v="1"/>
    <n v="0"/>
    <n v="0"/>
    <n v="0"/>
    <n v="0"/>
    <s v="NA"/>
    <n v="0"/>
    <n v="0"/>
    <n v="0"/>
    <n v="0"/>
    <n v="0"/>
    <n v="1"/>
    <n v="0"/>
    <n v="0"/>
    <n v="0"/>
    <s v="LED bulbs sold"/>
    <x v="0"/>
    <s v="LED bulbs sold"/>
    <s v="NA"/>
    <s v="NA"/>
    <s v="increase"/>
    <s v="NA"/>
    <s v="NA"/>
    <s v="N A"/>
    <s v="NA"/>
    <n v="7.9603753910323256"/>
    <m/>
    <n v="959"/>
    <n v="3"/>
    <s v="NA"/>
    <n v="8593"/>
    <n v="3"/>
    <s v="NA"/>
    <n v="6"/>
    <s v="NA"/>
    <n v="7634"/>
    <s v="NA"/>
    <s v="NA"/>
    <s v="NA"/>
    <s v="NA"/>
    <s v="NA"/>
    <s v="NA"/>
    <n v="1"/>
    <s v="NA"/>
    <s v="NA"/>
    <n v="0"/>
    <n v="0"/>
    <n v="0"/>
    <m/>
    <m/>
    <m/>
    <m/>
    <m/>
    <m/>
    <m/>
    <m/>
    <m/>
    <m/>
    <e v="#VALUE!"/>
    <e v="#VALUE!"/>
    <e v="#VALUE!"/>
    <n v="0.33333333333333331"/>
    <e v="#VALUE!"/>
    <n v="4"/>
    <s v="not enough data"/>
  </r>
  <r>
    <x v="3"/>
    <n v="26"/>
    <n v="1251"/>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2"/>
    <x v="1"/>
    <s v="revealed preference"/>
    <s v="retailer"/>
    <s v="store visitors"/>
    <n v="0"/>
    <s v="opt_in"/>
    <n v="0"/>
    <s v="probably yes"/>
    <s v="probably yes"/>
    <s v="study under contract with Energy Star, at least one number (896%) was reported incorrectly, which was spotted while coding"/>
    <x v="0"/>
    <x v="0"/>
    <n v="1"/>
    <n v="1"/>
    <n v="0"/>
    <n v="0"/>
    <n v="0"/>
    <n v="0"/>
    <s v="NA"/>
    <n v="0"/>
    <n v="0"/>
    <n v="0"/>
    <n v="0"/>
    <n v="0"/>
    <n v="1"/>
    <n v="0"/>
    <n v="0"/>
    <n v="0"/>
    <s v="LED bulbs sold"/>
    <x v="0"/>
    <s v="LED bulbs sold"/>
    <s v="NA"/>
    <s v="NA"/>
    <s v="increase"/>
    <n v="1"/>
    <n v="0.02"/>
    <n v="1"/>
    <n v="3.7469473879791968"/>
    <n v="34.655601659751035"/>
    <m/>
    <n v="241"/>
    <n v="3"/>
    <s v="NA"/>
    <n v="8593"/>
    <n v="3"/>
    <s v="NA"/>
    <n v="6"/>
    <s v="NA"/>
    <n v="8352"/>
    <s v="NA"/>
    <s v="NA"/>
    <s v="NA"/>
    <s v="NA"/>
    <s v="NA"/>
    <s v="NA"/>
    <n v="1"/>
    <s v="NA"/>
    <s v="NA"/>
    <n v="0"/>
    <n v="0"/>
    <n v="0"/>
    <m/>
    <m/>
    <m/>
    <m/>
    <m/>
    <m/>
    <m/>
    <m/>
    <m/>
    <m/>
    <n v="0.99999997132859308"/>
    <n v="9.0302563258721591"/>
    <n v="-1329.7346701207366"/>
    <n v="0.33333333333333331"/>
    <n v="8352"/>
    <n v="4"/>
    <s v="outlier"/>
  </r>
  <r>
    <x v="0"/>
    <m/>
    <n v="1187"/>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69"/>
    <x v="26"/>
    <x v="3"/>
    <x v="13"/>
    <s v="stated preference"/>
    <s v="retailer"/>
    <s v="individuals"/>
    <n v="1"/>
    <s v="opt_out"/>
    <n v="1"/>
    <s v="probably no"/>
    <s v="probably no"/>
    <s v="effect of label or energy efficiency?"/>
    <x v="0"/>
    <x v="1"/>
    <n v="1"/>
    <n v="0"/>
    <n v="0"/>
    <n v="0"/>
    <n v="0"/>
    <n v="0"/>
    <s v="China Energy Efficiency Label"/>
    <n v="0"/>
    <n v="0"/>
    <n v="0"/>
    <n v="0"/>
    <n v="0"/>
    <n v="0"/>
    <n v="0"/>
    <n v="1"/>
    <n v="0"/>
    <s v="NA"/>
    <x v="2"/>
    <s v="WTP for highest energy rank"/>
    <s v="NA"/>
    <n v="0.49590000000000001"/>
    <s v="increase"/>
    <s v="NA"/>
    <n v="0.1"/>
    <n v="1"/>
    <s v="NA"/>
    <s v="NA"/>
    <m/>
    <s v="NA"/>
    <s v="NA"/>
    <s v="NA"/>
    <s v="NA"/>
    <s v="NA"/>
    <s v="NA"/>
    <n v="600"/>
    <n v="3600"/>
    <s v="NA"/>
    <s v="NA"/>
    <s v="NA"/>
    <s v="NA"/>
    <s v="NA"/>
    <m/>
    <m/>
    <m/>
    <m/>
    <m/>
    <n v="0"/>
    <n v="1"/>
    <n v="1"/>
    <m/>
    <m/>
    <m/>
    <m/>
    <m/>
    <m/>
    <m/>
    <m/>
    <m/>
    <m/>
    <e v="#VALUE!"/>
    <e v="#VALUE!"/>
    <e v="#VALUE!"/>
    <n v="1.6750418760469012E-3"/>
    <m/>
    <m/>
    <m/>
  </r>
  <r>
    <x v="0"/>
    <m/>
    <n v="1188"/>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retailer"/>
    <s v="individuals"/>
    <n v="1"/>
    <s v="opt_out"/>
    <n v="1"/>
    <s v="probably no"/>
    <s v="probably no"/>
    <s v="effect of label or energy efficiency?"/>
    <x v="0"/>
    <x v="1"/>
    <n v="1"/>
    <n v="0"/>
    <n v="0"/>
    <n v="0"/>
    <n v="0"/>
    <n v="0"/>
    <s v="China Energy Efficiency Label"/>
    <n v="0"/>
    <n v="0"/>
    <n v="0"/>
    <n v="1"/>
    <n v="0"/>
    <n v="0"/>
    <n v="0"/>
    <n v="0"/>
    <n v="0"/>
    <s v="NA"/>
    <x v="2"/>
    <s v="WTP for highest energy rank"/>
    <s v="NA"/>
    <n v="0.17399999999999999"/>
    <s v="increase"/>
    <s v="NA"/>
    <n v="0.1"/>
    <n v="1"/>
    <s v="NA"/>
    <s v="NA"/>
    <m/>
    <s v="NA"/>
    <s v="NA"/>
    <s v="NA"/>
    <s v="NA"/>
    <s v="NA"/>
    <s v="NA"/>
    <n v="600"/>
    <n v="3600"/>
    <s v="NA"/>
    <s v="NA"/>
    <s v="NA"/>
    <s v="NA"/>
    <s v="NA"/>
    <m/>
    <m/>
    <m/>
    <m/>
    <m/>
    <n v="0"/>
    <n v="1"/>
    <n v="1"/>
    <m/>
    <m/>
    <m/>
    <m/>
    <m/>
    <m/>
    <m/>
    <m/>
    <m/>
    <m/>
    <e v="#VALUE!"/>
    <e v="#VALUE!"/>
    <e v="#VALUE!"/>
    <n v="1.6750418760469012E-3"/>
    <m/>
    <m/>
    <m/>
  </r>
  <r>
    <x v="0"/>
    <m/>
    <n v="1189"/>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online"/>
    <s v="individuals"/>
    <n v="1"/>
    <s v="opt_out"/>
    <n v="1"/>
    <s v="probably no"/>
    <s v="probably no"/>
    <s v="effect of label or energy efficiency?"/>
    <x v="0"/>
    <x v="1"/>
    <n v="1"/>
    <n v="0"/>
    <n v="0"/>
    <n v="0"/>
    <n v="0"/>
    <n v="0"/>
    <s v="China Energy Efficiency Label"/>
    <n v="0"/>
    <n v="0"/>
    <n v="0"/>
    <n v="0"/>
    <n v="0"/>
    <n v="0"/>
    <n v="0"/>
    <n v="1"/>
    <n v="0"/>
    <s v="NA"/>
    <x v="2"/>
    <s v="WTP for highest energy rank"/>
    <s v="NA"/>
    <n v="3.0964"/>
    <s v="increase"/>
    <s v="NA"/>
    <n v="0.1"/>
    <n v="1"/>
    <s v="NA"/>
    <s v="NA"/>
    <m/>
    <s v="NA"/>
    <s v="NA"/>
    <s v="NA"/>
    <s v="NA"/>
    <s v="NA"/>
    <s v="NA"/>
    <n v="600"/>
    <n v="3600"/>
    <s v="NA"/>
    <s v="NA"/>
    <s v="NA"/>
    <s v="NA"/>
    <s v="NA"/>
    <m/>
    <m/>
    <m/>
    <m/>
    <m/>
    <n v="0"/>
    <n v="1"/>
    <n v="1"/>
    <m/>
    <m/>
    <m/>
    <m/>
    <m/>
    <m/>
    <m/>
    <m/>
    <m/>
    <m/>
    <e v="#VALUE!"/>
    <e v="#VALUE!"/>
    <e v="#VALUE!"/>
    <n v="1.6750418760469012E-3"/>
    <m/>
    <m/>
    <m/>
  </r>
  <r>
    <x v="0"/>
    <m/>
    <n v="1190"/>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1"/>
    <x v="26"/>
    <x v="3"/>
    <x v="13"/>
    <s v="stated preference"/>
    <s v="online"/>
    <s v="individuals"/>
    <n v="1"/>
    <s v="opt_out"/>
    <n v="1"/>
    <s v="probably no"/>
    <s v="probably no"/>
    <s v="effect of label or energy efficiency?"/>
    <x v="0"/>
    <x v="1"/>
    <n v="1"/>
    <n v="0"/>
    <n v="0"/>
    <n v="0"/>
    <n v="0"/>
    <n v="0"/>
    <s v="China Energy Efficiency Label"/>
    <n v="0"/>
    <n v="0"/>
    <n v="0"/>
    <n v="1"/>
    <n v="0"/>
    <n v="0"/>
    <n v="0"/>
    <n v="0"/>
    <n v="0"/>
    <s v="NA"/>
    <x v="2"/>
    <s v="WTP for highest energy rank"/>
    <s v="NA"/>
    <n v="3.5619999999999998"/>
    <s v="increase"/>
    <s v="NA"/>
    <n v="0.05"/>
    <n v="1"/>
    <s v="NA"/>
    <s v="NA"/>
    <m/>
    <s v="NA"/>
    <s v="NA"/>
    <s v="NA"/>
    <s v="NA"/>
    <s v="NA"/>
    <s v="NA"/>
    <n v="600"/>
    <n v="3600"/>
    <s v="NA"/>
    <s v="NA"/>
    <s v="NA"/>
    <s v="NA"/>
    <s v="NA"/>
    <m/>
    <m/>
    <m/>
    <m/>
    <m/>
    <n v="0"/>
    <n v="1"/>
    <n v="1"/>
    <m/>
    <m/>
    <m/>
    <m/>
    <m/>
    <m/>
    <m/>
    <m/>
    <m/>
    <m/>
    <e v="#VALUE!"/>
    <e v="#VALUE!"/>
    <e v="#VALUE!"/>
    <n v="1.6750418760469012E-3"/>
    <m/>
    <m/>
    <m/>
  </r>
  <r>
    <x v="0"/>
    <m/>
    <n v="1122"/>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x v="0"/>
    <x v="0"/>
    <n v="0"/>
    <n v="0"/>
    <n v="0"/>
    <n v="0"/>
    <n v="0"/>
    <n v="0"/>
    <s v="mixed interventions"/>
    <n v="0"/>
    <n v="0"/>
    <n v="0"/>
    <n v="1"/>
    <n v="0"/>
    <n v="0"/>
    <n v="0"/>
    <n v="0"/>
    <n v="0"/>
    <s v="NA"/>
    <x v="2"/>
    <s v="marginal WTP for energy efficiency improvement"/>
    <s v="NA"/>
    <n v="0.1305"/>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3"/>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x v="0"/>
    <x v="1"/>
    <n v="1"/>
    <n v="0"/>
    <n v="0"/>
    <n v="0"/>
    <n v="0"/>
    <n v="0"/>
    <s v="mixed interventions"/>
    <n v="0"/>
    <n v="0"/>
    <n v="0"/>
    <n v="1"/>
    <n v="0"/>
    <n v="0"/>
    <n v="0"/>
    <n v="0"/>
    <n v="0"/>
    <s v="NA"/>
    <x v="2"/>
    <s v="marginal WTP for energy efficiency improvement"/>
    <s v="NA"/>
    <n v="0.28129999999999999"/>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4"/>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x v="0"/>
    <x v="0"/>
    <n v="1"/>
    <n v="0"/>
    <n v="0"/>
    <n v="0"/>
    <n v="0"/>
    <n v="0"/>
    <s v="mixed interventions"/>
    <n v="0"/>
    <n v="0"/>
    <n v="0"/>
    <n v="1"/>
    <n v="0"/>
    <n v="0"/>
    <n v="0"/>
    <n v="0"/>
    <n v="0"/>
    <s v="NA"/>
    <x v="2"/>
    <s v="marginal WTP for energy efficiency improvement"/>
    <s v="NA"/>
    <n v="0.49790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5"/>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x v="0"/>
    <x v="0"/>
    <n v="1"/>
    <n v="0"/>
    <n v="0"/>
    <n v="0"/>
    <n v="0"/>
    <n v="0"/>
    <s v="mixed interventions"/>
    <n v="0"/>
    <n v="0"/>
    <n v="0"/>
    <n v="1"/>
    <n v="0"/>
    <n v="0"/>
    <n v="0"/>
    <n v="0"/>
    <n v="0"/>
    <s v="NA"/>
    <x v="2"/>
    <s v="marginal WTP for energy efficiency improvement"/>
    <s v="NA"/>
    <n v="1.0802"/>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6"/>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x v="0"/>
    <x v="0"/>
    <n v="1"/>
    <n v="0"/>
    <n v="0"/>
    <n v="0"/>
    <n v="0"/>
    <n v="0"/>
    <s v="mixed interventions"/>
    <n v="0"/>
    <n v="0"/>
    <n v="0"/>
    <n v="1"/>
    <n v="0"/>
    <n v="0"/>
    <n v="0"/>
    <n v="0"/>
    <n v="0"/>
    <s v="NA"/>
    <x v="2"/>
    <s v="marginal WTP for energy efficiency improvement"/>
    <s v="NA"/>
    <n v="0.60389999999999999"/>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7"/>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x v="0"/>
    <x v="0"/>
    <n v="1"/>
    <n v="0"/>
    <n v="0"/>
    <n v="0"/>
    <n v="0"/>
    <n v="0"/>
    <s v="mixed interventions"/>
    <n v="0"/>
    <n v="0"/>
    <n v="0"/>
    <n v="1"/>
    <n v="0"/>
    <n v="0"/>
    <n v="0"/>
    <n v="0"/>
    <n v="0"/>
    <s v="NA"/>
    <x v="2"/>
    <s v="marginal WTP for energy efficiency improvement"/>
    <s v="NA"/>
    <n v="1.1668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n v="27"/>
    <n v="1193"/>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x v="0"/>
    <x v="0"/>
    <n v="1"/>
    <n v="0"/>
    <n v="0"/>
    <n v="0"/>
    <n v="0"/>
    <n v="0"/>
    <s v="additional information - in the description, base is just the label"/>
    <n v="0"/>
    <n v="0"/>
    <n v="0"/>
    <n v="1"/>
    <n v="0"/>
    <n v="0"/>
    <n v="0"/>
    <n v="0"/>
    <n v="0"/>
    <s v="NA"/>
    <x v="0"/>
    <s v="mean expected annual electricity consumption of appliances purchased"/>
    <s v="NA"/>
    <s v="NA"/>
    <s v="decrease"/>
    <n v="2.4"/>
    <n v="0.1"/>
    <n v="2"/>
    <n v="1.6512273926074998"/>
    <n v="0"/>
    <m/>
    <n v="199.5"/>
    <n v="100"/>
    <n v="2.1"/>
    <n v="199.5"/>
    <n v="141"/>
    <n v="1.4"/>
    <n v="241"/>
    <n v="241"/>
    <n v="0"/>
    <s v="NA"/>
    <s v="NA"/>
    <s v="NA"/>
    <s v="NA"/>
    <n v="0"/>
    <s v="NA"/>
    <n v="0"/>
    <s v="NA"/>
    <s v="alphabetical with +"/>
    <n v="0"/>
    <n v="0"/>
    <n v="0"/>
    <m/>
    <m/>
    <m/>
    <m/>
    <m/>
    <m/>
    <m/>
    <m/>
    <m/>
    <m/>
    <n v="0"/>
    <n v="0"/>
    <n v="4.1666666666666666E-3"/>
    <n v="4.2016806722689074E-3"/>
    <n v="0"/>
    <n v="240"/>
    <s v="NA"/>
  </r>
  <r>
    <x v="0"/>
    <n v="27"/>
    <n v="1194"/>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x v="0"/>
    <x v="0"/>
    <n v="1"/>
    <n v="0"/>
    <n v="0"/>
    <n v="0"/>
    <n v="0"/>
    <n v="0"/>
    <s v="additional information - in the description, base is just the label"/>
    <n v="0"/>
    <n v="0"/>
    <n v="0"/>
    <n v="1"/>
    <n v="0"/>
    <n v="0"/>
    <n v="0"/>
    <n v="0"/>
    <n v="0"/>
    <s v="NA"/>
    <x v="0"/>
    <s v="mean expected annual electricity consumption of appliances purchased"/>
    <s v="NA"/>
    <s v="NA"/>
    <s v="increase"/>
    <n v="2.8"/>
    <n v="0.1"/>
    <n v="2"/>
    <n v="1.6521770093863108"/>
    <n v="3.0075187969924528E-3"/>
    <m/>
    <n v="199.5"/>
    <n v="100"/>
    <n v="2.1"/>
    <n v="200.1"/>
    <n v="110"/>
    <n v="1.9"/>
    <n v="210"/>
    <n v="210"/>
    <n v="0.59999999999999432"/>
    <s v="NA"/>
    <s v="NA"/>
    <s v="NA"/>
    <s v="NA"/>
    <n v="0"/>
    <s v="NA"/>
    <n v="0"/>
    <s v="NA"/>
    <s v="alphabetical with +"/>
    <n v="0"/>
    <n v="0"/>
    <n v="0"/>
    <m/>
    <m/>
    <m/>
    <m/>
    <m/>
    <m/>
    <m/>
    <m/>
    <m/>
    <m/>
    <n v="0.10653312363426425"/>
    <n v="0.10693891620630497"/>
    <n v="4.7840632510233495E-3"/>
    <n v="4.830917874396135E-3"/>
    <n v="0.21428571428571228"/>
    <n v="209"/>
    <s v="NA"/>
  </r>
  <r>
    <x v="0"/>
    <n v="27"/>
    <n v="1195"/>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x v="0"/>
    <x v="0"/>
    <n v="1"/>
    <n v="0"/>
    <n v="0"/>
    <n v="0"/>
    <n v="0"/>
    <n v="0"/>
    <s v="additional information - in the description, base is just the label"/>
    <n v="0"/>
    <n v="1"/>
    <n v="0"/>
    <n v="0"/>
    <n v="0"/>
    <n v="0"/>
    <n v="0"/>
    <n v="0"/>
    <n v="0"/>
    <s v="NA"/>
    <x v="0"/>
    <s v="mean expected annual electricity consumption of appliances purchased"/>
    <s v="NA"/>
    <s v="NA"/>
    <s v="decrease"/>
    <n v="9.5"/>
    <n v="0.05"/>
    <n v="1"/>
    <n v="1.9776"/>
    <n v="8.0264791063301519E-2"/>
    <m/>
    <n v="241.7"/>
    <n v="66"/>
    <n v="7.5"/>
    <n v="222.3"/>
    <n v="70"/>
    <n v="5.8"/>
    <n v="136"/>
    <n v="136"/>
    <n v="19.399999999999977"/>
    <s v="NA"/>
    <s v="NA"/>
    <s v="NA"/>
    <s v="NA"/>
    <n v="0"/>
    <s v="NA"/>
    <n v="0"/>
    <s v="NA"/>
    <s v="alphabetical with +"/>
    <n v="0"/>
    <n v="0"/>
    <n v="0"/>
    <m/>
    <m/>
    <m/>
    <m/>
    <m/>
    <m/>
    <m/>
    <m/>
    <m/>
    <m/>
    <n v="0.71443371736545624"/>
    <n v="0.89618197281213685"/>
    <n v="2.6293534933306177E-3"/>
    <n v="7.5187969924812026E-3"/>
    <n v="2.0421052631578922"/>
    <n v="135"/>
    <s v="NA"/>
  </r>
  <r>
    <x v="0"/>
    <n v="27"/>
    <n v="1196"/>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x v="0"/>
    <x v="0"/>
    <n v="1"/>
    <n v="0"/>
    <n v="0"/>
    <n v="0"/>
    <n v="0"/>
    <n v="0"/>
    <s v="additional information - in the description, base is just the label"/>
    <n v="0"/>
    <n v="1"/>
    <n v="0"/>
    <n v="0"/>
    <n v="0"/>
    <n v="0"/>
    <n v="0"/>
    <n v="0"/>
    <n v="0"/>
    <s v="NA"/>
    <x v="0"/>
    <s v="mean expected annual electricity consumption of appliances purchased"/>
    <s v="NA"/>
    <s v="NA"/>
    <s v="decrease"/>
    <n v="9.9"/>
    <n v="0.05"/>
    <n v="1"/>
    <n v="1.9776"/>
    <n v="9.6400496483243628E-2"/>
    <m/>
    <n v="241.7"/>
    <n v="66"/>
    <n v="7.5"/>
    <n v="218.4"/>
    <n v="58"/>
    <n v="6.2"/>
    <n v="124"/>
    <n v="124"/>
    <n v="23.299999999999983"/>
    <s v="NA"/>
    <s v="NA"/>
    <s v="NA"/>
    <s v="NA"/>
    <n v="0"/>
    <s v="NA"/>
    <n v="0"/>
    <s v="NA"/>
    <s v="alphabetical with +"/>
    <n v="0"/>
    <n v="0"/>
    <n v="0"/>
    <m/>
    <m/>
    <m/>
    <m/>
    <m/>
    <m/>
    <m/>
    <m/>
    <m/>
    <m/>
    <n v="0.76202000564235584"/>
    <n v="1.0010147737770376"/>
    <n v="-3.305103970764036E-5"/>
    <n v="8.2644628099173556E-3"/>
    <n v="2.3535353535353516"/>
    <n v="123"/>
    <s v="NA"/>
  </r>
  <r>
    <x v="0"/>
    <m/>
    <n v="1142"/>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4"/>
    <x v="5"/>
    <x v="1"/>
    <s v="revealed preference"/>
    <s v="pre-recorded (no experiment)"/>
    <s v="homeowners"/>
    <n v="0"/>
    <s v="no such option"/>
    <n v="0"/>
    <s v="probably no"/>
    <s v="probably no"/>
    <s v="NA"/>
    <x v="0"/>
    <x v="1"/>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405.995"/>
    <s v="decrease"/>
    <n v="222.90799999999999"/>
    <n v="0.05"/>
    <n v="1"/>
    <n v="1.8213567929369965"/>
    <s v="NA"/>
    <m/>
    <s v="NA"/>
    <s v="NA"/>
    <s v="NA"/>
    <s v="NA"/>
    <s v="NA"/>
    <s v="NA"/>
    <n v="1761"/>
    <n v="1761"/>
    <s v="NA"/>
    <s v="NA"/>
    <s v="NA"/>
    <s v="NA"/>
    <s v="NA"/>
    <s v="NA"/>
    <s v="NA"/>
    <s v="NA"/>
    <s v="NA"/>
    <s v="NA"/>
    <n v="1"/>
    <n v="0"/>
    <n v="1"/>
    <m/>
    <m/>
    <m/>
    <m/>
    <m/>
    <m/>
    <m/>
    <m/>
    <m/>
    <m/>
    <n v="4.336173775143707E-2"/>
    <n v="4.3388945280999909E-2"/>
    <n v="5.6817980444038869E-4"/>
    <n v="5.6882821387940839E-4"/>
    <m/>
    <m/>
    <m/>
  </r>
  <r>
    <x v="0"/>
    <m/>
    <n v="1143"/>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10"/>
    <x v="5"/>
    <x v="1"/>
    <s v="revealed preference"/>
    <s v="pre-recorded (no experiment)"/>
    <s v="homeowners"/>
    <n v="0"/>
    <s v="no such option"/>
    <n v="0"/>
    <s v="probably no"/>
    <s v="probably no"/>
    <s v="NA"/>
    <x v="0"/>
    <x v="1"/>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3586.4569999999999"/>
    <s v="decrease"/>
    <n v="2082.6759999999999"/>
    <n v="0.05"/>
    <n v="1"/>
    <n v="1.7220426989123607"/>
    <s v="NA"/>
    <m/>
    <s v="NA"/>
    <s v="NA"/>
    <s v="NA"/>
    <s v="NA"/>
    <s v="NA"/>
    <s v="NA"/>
    <n v="1761"/>
    <n v="1761"/>
    <s v="NA"/>
    <s v="NA"/>
    <s v="NA"/>
    <s v="NA"/>
    <s v="NA"/>
    <s v="NA"/>
    <s v="NA"/>
    <s v="NA"/>
    <s v="NA"/>
    <s v="NA"/>
    <n v="1"/>
    <n v="0"/>
    <n v="1"/>
    <m/>
    <m/>
    <m/>
    <m/>
    <m/>
    <m/>
    <m/>
    <m/>
    <m/>
    <m/>
    <n v="4.1001418393220745E-2"/>
    <n v="4.1024417647402674E-2"/>
    <n v="5.6818020880763031E-4"/>
    <n v="5.6882821387940839E-4"/>
    <m/>
    <m/>
    <m/>
  </r>
  <r>
    <x v="0"/>
    <m/>
    <n v="1144"/>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4"/>
    <x v="5"/>
    <x v="1"/>
    <s v="revealed preference"/>
    <s v="pre-recorded (no experiment)"/>
    <s v="homeowners"/>
    <n v="0"/>
    <s v="no such option"/>
    <n v="0"/>
    <s v="probably no"/>
    <s v="probably no"/>
    <s v="NA"/>
    <x v="0"/>
    <x v="1"/>
    <n v="0"/>
    <n v="0"/>
    <n v="0"/>
    <n v="0"/>
    <n v="0"/>
    <n v="1"/>
    <s v="effect of energy efficiency in itself rather than label"/>
    <n v="0"/>
    <n v="0"/>
    <n v="0"/>
    <n v="0"/>
    <n v="0"/>
    <n v="0"/>
    <n v="0"/>
    <n v="1"/>
    <n v="0"/>
    <s v="for owners of ES AC"/>
    <x v="1"/>
    <s v="annual electricity consumption, excluding space heating and cooling,_x000a_water heating and refrigeration."/>
    <s v="NA"/>
    <n v="212.39500000000001"/>
    <s v="increase"/>
    <n v="92.537000000000006"/>
    <n v="0.05"/>
    <n v="1"/>
    <n v="2.2952440645363477"/>
    <s v="NA"/>
    <m/>
    <s v="NA"/>
    <s v="NA"/>
    <s v="NA"/>
    <s v="NA"/>
    <s v="NA"/>
    <s v="NA"/>
    <n v="907"/>
    <n v="907"/>
    <s v="NA"/>
    <s v="NA"/>
    <s v="NA"/>
    <s v="NA"/>
    <s v="NA"/>
    <s v="NA"/>
    <s v="NA"/>
    <s v="NA"/>
    <s v="NA"/>
    <s v="NA"/>
    <n v="1"/>
    <n v="0"/>
    <n v="1"/>
    <m/>
    <m/>
    <m/>
    <m/>
    <m/>
    <m/>
    <m/>
    <m/>
    <m/>
    <m/>
    <n v="7.5991955053229768E-2"/>
    <n v="7.6138742860659789E-2"/>
    <n v="1.1037156661555521E-3"/>
    <n v="1.1061946902654867E-3"/>
    <m/>
    <m/>
    <m/>
  </r>
  <r>
    <x v="0"/>
    <m/>
    <n v="1145"/>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10"/>
    <x v="5"/>
    <x v="1"/>
    <s v="revealed preference"/>
    <s v="pre-recorded (no experiment)"/>
    <s v="homeowners"/>
    <n v="0"/>
    <s v="no such option"/>
    <n v="0"/>
    <s v="probably no"/>
    <s v="probably no"/>
    <s v="NA"/>
    <x v="0"/>
    <x v="1"/>
    <n v="0"/>
    <n v="0"/>
    <n v="0"/>
    <n v="0"/>
    <n v="0"/>
    <n v="1"/>
    <s v="effect of energy efficiency in itself rather than label"/>
    <n v="0"/>
    <n v="0"/>
    <n v="0"/>
    <n v="0"/>
    <n v="0"/>
    <n v="0"/>
    <n v="0"/>
    <n v="1"/>
    <n v="0"/>
    <s v="for owners of ES AC "/>
    <x v="1"/>
    <s v="annual electricity consumption, excluding space heating and cooling,_x000a_water heating and refrigeration."/>
    <s v="NA"/>
    <n v="301.86700000000002"/>
    <s v="increase"/>
    <n v="652.24300000000005"/>
    <n v="0.05"/>
    <n v="2"/>
    <n v="0.4628137059347513"/>
    <s v="NA"/>
    <m/>
    <s v="NA"/>
    <s v="NA"/>
    <s v="NA"/>
    <s v="NA"/>
    <s v="NA"/>
    <s v="NA"/>
    <n v="907"/>
    <n v="907"/>
    <s v="NA"/>
    <s v="NA"/>
    <s v="NA"/>
    <s v="NA"/>
    <s v="NA"/>
    <s v="NA"/>
    <s v="NA"/>
    <s v="NA"/>
    <s v="NA"/>
    <s v="NA"/>
    <n v="1"/>
    <n v="0"/>
    <n v="1"/>
    <m/>
    <m/>
    <m/>
    <m/>
    <m/>
    <m/>
    <m/>
    <m/>
    <m/>
    <m/>
    <n v="1.5365662610743538E-2"/>
    <n v="1.5366872078105973E-2"/>
    <n v="1.1037526978339323E-3"/>
    <n v="1.1061946902654867E-3"/>
    <m/>
    <m/>
    <m/>
  </r>
  <r>
    <x v="0"/>
    <n v="28"/>
    <n v="1116"/>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x v="0"/>
    <x v="1"/>
    <n v="0"/>
    <n v="1"/>
    <n v="0"/>
    <n v="0"/>
    <n v="0"/>
    <n v="0"/>
    <s v="NA"/>
    <n v="0"/>
    <n v="0"/>
    <n v="0"/>
    <n v="1"/>
    <n v="0"/>
    <n v="0"/>
    <n v="0"/>
    <n v="0"/>
    <n v="0"/>
    <s v="NA"/>
    <x v="0"/>
    <s v="choice of a high-efficiency appliance"/>
    <s v="dummy (0/1)"/>
    <n v="0.46400000000000002"/>
    <s v="decrease"/>
    <n v="0.27294117647058824"/>
    <s v="NA"/>
    <n v="3"/>
    <n v="1.7"/>
    <n v="0.59042297044003922"/>
    <n v="0.61396265729139654"/>
    <s v="NA"/>
    <s v="NA"/>
    <s v="NA"/>
    <s v="NA"/>
    <s v="NA"/>
    <s v="NA"/>
    <n v="163"/>
    <n v="163"/>
    <s v="NA"/>
    <s v="NA"/>
    <s v="NA"/>
    <s v="NA"/>
    <s v="current "/>
    <n v="0"/>
    <s v="NA"/>
    <n v="0"/>
    <s v="NA"/>
    <s v="NA"/>
    <n v="0"/>
    <n v="0"/>
    <n v="1"/>
    <m/>
    <m/>
    <m/>
    <m/>
    <m/>
    <m/>
    <m/>
    <m/>
    <m/>
    <m/>
    <n v="0.13198932802100058"/>
    <n v="0.13276391084197656"/>
    <n v="6.1709216981397832E-3"/>
    <n v="6.2500000000000003E-3"/>
    <s v="NA"/>
    <n v="161"/>
    <s v="NA"/>
  </r>
  <r>
    <x v="0"/>
    <n v="28"/>
    <n v="1117"/>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x v="0"/>
    <x v="1"/>
    <n v="0"/>
    <n v="1"/>
    <n v="0"/>
    <n v="0"/>
    <n v="0"/>
    <n v="0"/>
    <s v="NA"/>
    <n v="0"/>
    <n v="0"/>
    <n v="0"/>
    <n v="0"/>
    <n v="0"/>
    <n v="0"/>
    <n v="0"/>
    <n v="1"/>
    <n v="0"/>
    <s v="NA"/>
    <x v="0"/>
    <s v="choice of a high-efficiency appliance"/>
    <s v="dummy (0/1)"/>
    <n v="0.72899999999999998"/>
    <s v="decrease"/>
    <n v="0.38368421052631579"/>
    <s v="NA"/>
    <n v="3"/>
    <n v="1.9"/>
    <n v="1.0730065642609921"/>
    <n v="0.67458579111740891"/>
    <s v="NA"/>
    <s v="NA"/>
    <s v="NA"/>
    <s v="NA"/>
    <s v="NA"/>
    <s v="NA"/>
    <n v="68"/>
    <n v="68"/>
    <s v="NA"/>
    <s v="NA"/>
    <s v="NA"/>
    <s v="NA"/>
    <s v="current "/>
    <n v="0"/>
    <s v="NA"/>
    <n v="0"/>
    <s v="NA"/>
    <s v="NA"/>
    <n v="0"/>
    <n v="0"/>
    <n v="1"/>
    <m/>
    <m/>
    <m/>
    <m/>
    <m/>
    <m/>
    <m/>
    <m/>
    <m/>
    <m/>
    <n v="0.22452606449532778"/>
    <n v="0.22841739493205201"/>
    <n v="1.4884743595396476E-2"/>
    <n v="1.5384615384615385E-2"/>
    <s v="NA"/>
    <n v="66"/>
    <s v="NA"/>
  </r>
  <r>
    <x v="0"/>
    <n v="28"/>
    <n v="1115"/>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x v="0"/>
    <x v="1"/>
    <n v="0"/>
    <n v="1"/>
    <n v="0"/>
    <n v="0"/>
    <n v="0"/>
    <n v="0"/>
    <s v="NA"/>
    <n v="0"/>
    <n v="0"/>
    <n v="0"/>
    <n v="0"/>
    <n v="0"/>
    <n v="0"/>
    <n v="0"/>
    <n v="1"/>
    <n v="0"/>
    <s v="NA"/>
    <x v="0"/>
    <s v="choice of a high-efficiency appliance"/>
    <s v="dummy (0/1)"/>
    <n v="1.05"/>
    <s v="increase"/>
    <n v="0.16666666666666669"/>
    <s v="NA"/>
    <n v="3"/>
    <n v="6.3"/>
    <n v="1.8576511180631639"/>
    <n v="0.740774899182154"/>
    <s v="NA"/>
    <s v="NA"/>
    <s v="NA"/>
    <s v="NA"/>
    <s v="NA"/>
    <s v="NA"/>
    <n v="188"/>
    <n v="188"/>
    <s v="NA"/>
    <s v="NA"/>
    <s v="NA"/>
    <s v="NA"/>
    <s v="current "/>
    <n v="0"/>
    <s v="NA"/>
    <n v="0"/>
    <s v="NA"/>
    <s v="NA"/>
    <n v="0"/>
    <n v="0"/>
    <n v="1"/>
    <m/>
    <m/>
    <m/>
    <m/>
    <m/>
    <m/>
    <m/>
    <m/>
    <m/>
    <m/>
    <n v="0.41751162367646544"/>
    <n v="0.44467450263070185"/>
    <n v="5.1385064509683826E-3"/>
    <n v="5.4054054054054057E-3"/>
    <s v="NA"/>
    <n v="186"/>
    <s v="NA"/>
  </r>
  <r>
    <x v="0"/>
    <n v="28"/>
    <n v="1114"/>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x v="0"/>
    <x v="1"/>
    <n v="0"/>
    <n v="1"/>
    <n v="0"/>
    <n v="0"/>
    <n v="0"/>
    <n v="0"/>
    <s v="NA"/>
    <n v="0"/>
    <n v="0"/>
    <n v="0"/>
    <n v="1"/>
    <n v="0"/>
    <n v="0"/>
    <n v="0"/>
    <n v="0"/>
    <n v="0"/>
    <s v="NA"/>
    <x v="0"/>
    <s v="choice of a high-efficiency appliance"/>
    <s v="dummy (0/1)"/>
    <n v="1.68"/>
    <s v="increase"/>
    <n v="6.4864864864864868E-2"/>
    <s v="NA"/>
    <n v="3"/>
    <n v="25.9"/>
    <n v="4.3655559711219745"/>
    <n v="0.84290453111454722"/>
    <s v="NA"/>
    <s v="NA"/>
    <s v="NA"/>
    <s v="NA"/>
    <s v="NA"/>
    <s v="NA"/>
    <n v="400"/>
    <n v="400"/>
    <s v="NA"/>
    <s v="NA"/>
    <s v="NA"/>
    <s v="NA"/>
    <s v="current "/>
    <n v="0"/>
    <s v="NA"/>
    <n v="0"/>
    <s v="NA"/>
    <s v="NA"/>
    <n v="0"/>
    <n v="0"/>
    <n v="1"/>
    <m/>
    <m/>
    <m/>
    <m/>
    <m/>
    <m/>
    <m/>
    <m/>
    <m/>
    <m/>
    <n v="0.79148657877430995"/>
    <n v="1.0753988177746068"/>
    <n v="-8.4574447130334037E-4"/>
    <n v="2.5188916876574307E-3"/>
    <s v="NA"/>
    <n v="398"/>
    <s v="NA"/>
  </r>
  <r>
    <x v="4"/>
    <m/>
    <n v="1205"/>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x v="0"/>
    <x v="1"/>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27960000000000002"/>
    <s v="decrease"/>
    <n v="6.9599999999999995E-2"/>
    <n v="1E-3"/>
    <n v="1"/>
    <n v="4.0172413793103452"/>
    <s v="NA"/>
    <m/>
    <s v="NA"/>
    <s v="NA"/>
    <s v="NA"/>
    <s v="NA"/>
    <s v="NA"/>
    <s v="NA"/>
    <n v="1301"/>
    <n v="1301"/>
    <s v="NA"/>
    <s v="NA"/>
    <s v="NA"/>
    <s v="NA"/>
    <s v="NA"/>
    <n v="0"/>
    <s v="NA"/>
    <n v="0"/>
    <s v="NA"/>
    <s v="numerical"/>
    <n v="0"/>
    <n v="0"/>
    <n v="0"/>
    <m/>
    <m/>
    <m/>
    <m/>
    <m/>
    <m/>
    <m/>
    <m/>
    <m/>
    <m/>
    <n v="0.11069098448260768"/>
    <n v="0.11114641752432197"/>
    <n v="7.6911337722476367E-4"/>
    <n v="7.7041602465331282E-4"/>
    <m/>
    <m/>
    <m/>
  </r>
  <r>
    <x v="4"/>
    <m/>
    <n v="1206"/>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x v="0"/>
    <x v="1"/>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4.5100000000000001E-2"/>
    <s v="decrease"/>
    <n v="0.1074"/>
    <n v="0.1"/>
    <n v="2"/>
    <n v="0.41992551210428308"/>
    <s v="NA"/>
    <m/>
    <s v="NA"/>
    <s v="NA"/>
    <s v="NA"/>
    <s v="NA"/>
    <s v="NA"/>
    <s v="NA"/>
    <n v="1002"/>
    <n v="1002"/>
    <s v="NA"/>
    <s v="NA"/>
    <s v="NA"/>
    <s v="NA"/>
    <s v="NA"/>
    <n v="0"/>
    <s v="NA"/>
    <n v="0"/>
    <s v="NA"/>
    <s v="numerical"/>
    <n v="0"/>
    <n v="0"/>
    <n v="0"/>
    <m/>
    <m/>
    <m/>
    <m/>
    <m/>
    <m/>
    <m/>
    <m/>
    <m/>
    <m/>
    <n v="1.3264784180382344E-2"/>
    <n v="1.326556226201467E-2"/>
    <n v="9.9900096806468473E-4"/>
    <n v="1.001001001001001E-3"/>
    <m/>
    <m/>
    <m/>
  </r>
  <r>
    <x v="4"/>
    <m/>
    <n v="1207"/>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x v="0"/>
    <x v="1"/>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33500000000000002"/>
    <s v="increase"/>
    <n v="0.14960000000000001"/>
    <n v="0.05"/>
    <n v="1"/>
    <n v="2.2393048128342246"/>
    <s v="NA"/>
    <m/>
    <s v="NA"/>
    <s v="NA"/>
    <s v="NA"/>
    <s v="NA"/>
    <s v="NA"/>
    <s v="NA"/>
    <n v="326"/>
    <n v="326"/>
    <s v="NA"/>
    <s v="NA"/>
    <s v="NA"/>
    <s v="NA"/>
    <s v="NA"/>
    <n v="0"/>
    <s v="NA"/>
    <n v="0"/>
    <s v="NA"/>
    <s v="numerical"/>
    <n v="0"/>
    <n v="0"/>
    <n v="0"/>
    <m/>
    <m/>
    <m/>
    <m/>
    <m/>
    <m/>
    <m/>
    <m/>
    <m/>
    <m/>
    <n v="0.12308063083097449"/>
    <n v="0.12370785144137753"/>
    <n v="3.0762024579447773E-3"/>
    <n v="3.0959752321981426E-3"/>
    <m/>
    <m/>
    <m/>
  </r>
  <r>
    <x v="4"/>
    <m/>
    <n v="1208"/>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x v="0"/>
    <x v="1"/>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4017"/>
    <s v="decrease"/>
    <n v="0.35070000000000001"/>
    <n v="0.1"/>
    <n v="2"/>
    <n v="1.1454234388366125"/>
    <s v="NA"/>
    <m/>
    <s v="NA"/>
    <s v="NA"/>
    <s v="NA"/>
    <s v="NA"/>
    <s v="NA"/>
    <s v="NA"/>
    <n v="208"/>
    <n v="208"/>
    <s v="NA"/>
    <s v="NA"/>
    <s v="NA"/>
    <s v="NA"/>
    <s v="NA"/>
    <n v="0"/>
    <s v="NA"/>
    <n v="0"/>
    <s v="NA"/>
    <s v="numerical"/>
    <n v="0"/>
    <n v="0"/>
    <n v="0"/>
    <m/>
    <m/>
    <m/>
    <m/>
    <m/>
    <m/>
    <m/>
    <m/>
    <m/>
    <m/>
    <n v="7.9171524466324972E-2"/>
    <n v="7.9337568530044145E-2"/>
    <n v="4.8307264729563464E-3"/>
    <n v="4.8780487804878049E-3"/>
    <m/>
    <m/>
    <m/>
  </r>
  <r>
    <x v="0"/>
    <m/>
    <n v="1099"/>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x v="0"/>
    <x v="1"/>
    <n v="1"/>
    <n v="0"/>
    <n v="0"/>
    <n v="0"/>
    <n v="0"/>
    <n v="0"/>
    <s v="NA"/>
    <n v="0"/>
    <n v="0"/>
    <n v="0"/>
    <n v="1"/>
    <n v="0"/>
    <n v="0"/>
    <n v="0"/>
    <n v="0"/>
    <n v="0"/>
    <s v="NA"/>
    <x v="2"/>
    <s v="WTP for Energy Star labelled refrigerator"/>
    <s v="NA"/>
    <n v="1.0760000000000001"/>
    <s v="increase"/>
    <n v="5.3746253746253754E-2"/>
    <s v="NA"/>
    <n v="3"/>
    <n v="20.02"/>
    <s v="NA"/>
    <m/>
    <s v="NA"/>
    <s v="NA"/>
    <s v="NA"/>
    <s v="NA"/>
    <s v="NA"/>
    <s v="NA"/>
    <n v="1395"/>
    <n v="1395"/>
    <s v="NA"/>
    <s v="NA"/>
    <s v="NA"/>
    <s v="NA"/>
    <s v="NA"/>
    <s v="NA"/>
    <s v="NA"/>
    <s v="NA"/>
    <s v="NA"/>
    <s v="NA"/>
    <n v="0"/>
    <n v="1"/>
    <n v="1"/>
    <m/>
    <m/>
    <m/>
    <m/>
    <m/>
    <m/>
    <m/>
    <m/>
    <m/>
    <m/>
    <n v="0.47242735990047685"/>
    <n v="0.51319051047617226"/>
    <n v="6.6760340037102519E-4"/>
    <n v="7.1839080459770114E-4"/>
    <m/>
    <m/>
    <m/>
  </r>
  <r>
    <x v="0"/>
    <m/>
    <n v="1100"/>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x v="0"/>
    <x v="1"/>
    <n v="1"/>
    <n v="0"/>
    <n v="0"/>
    <n v="0"/>
    <n v="0"/>
    <n v="0"/>
    <s v="NA"/>
    <n v="0"/>
    <n v="0"/>
    <n v="0"/>
    <n v="1"/>
    <n v="0"/>
    <n v="0"/>
    <n v="0"/>
    <n v="0"/>
    <n v="0"/>
    <s v="NA"/>
    <x v="2"/>
    <s v="WTP for Energy Star labelled refrigerator"/>
    <s v="NA"/>
    <n v="2.1459999999999999"/>
    <s v="increase"/>
    <n v="0.18628472222222223"/>
    <s v="NA"/>
    <n v="3"/>
    <n v="11.52"/>
    <s v="NA"/>
    <m/>
    <s v="NA"/>
    <s v="NA"/>
    <s v="NA"/>
    <s v="NA"/>
    <s v="NA"/>
    <s v="NA"/>
    <n v="1395"/>
    <n v="1395"/>
    <s v="NA"/>
    <s v="NA"/>
    <s v="NA"/>
    <s v="NA"/>
    <s v="NA"/>
    <s v="NA"/>
    <s v="NA"/>
    <s v="NA"/>
    <s v="NA"/>
    <s v="NA"/>
    <n v="0"/>
    <n v="1"/>
    <n v="1"/>
    <m/>
    <m/>
    <m/>
    <m/>
    <m/>
    <m/>
    <m/>
    <m/>
    <m/>
    <m/>
    <n v="0.29473516954008327"/>
    <n v="0.3037440363085756"/>
    <n v="7.1125395357683058E-4"/>
    <n v="7.1839080459770114E-4"/>
    <m/>
    <m/>
    <m/>
  </r>
  <r>
    <x v="3"/>
    <m/>
    <n v="1235"/>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x v="0"/>
    <x v="1"/>
    <n v="1"/>
    <n v="0"/>
    <n v="0"/>
    <n v="0"/>
    <n v="0"/>
    <n v="0"/>
    <s v="impossible to separate the effect of the label from energy efficiency"/>
    <n v="0"/>
    <n v="0"/>
    <n v="0"/>
    <n v="1"/>
    <n v="0"/>
    <n v="0"/>
    <n v="0"/>
    <n v="0"/>
    <n v="0"/>
    <s v="NA"/>
    <x v="2"/>
    <s v="Marginal WTP for higher efficiency"/>
    <s v="NA"/>
    <n v="258.70999999999998"/>
    <s v="increase"/>
    <e v="#VALUE!"/>
    <n v="0.01"/>
    <n v="1"/>
    <s v="NA"/>
    <s v="NA"/>
    <m/>
    <s v="NA"/>
    <s v="NA"/>
    <s v="NA"/>
    <s v="NA"/>
    <s v="NA"/>
    <s v="NA"/>
    <n v="1395"/>
    <n v="19860"/>
    <s v="NA"/>
    <s v="NA"/>
    <s v="NA"/>
    <s v="NA"/>
    <s v="NA"/>
    <s v="NA"/>
    <s v="NA"/>
    <n v="1"/>
    <s v="NA"/>
    <s v="NA"/>
    <n v="0"/>
    <n v="0"/>
    <n v="0"/>
    <m/>
    <m/>
    <m/>
    <m/>
    <m/>
    <m/>
    <m/>
    <m/>
    <m/>
    <m/>
    <e v="#VALUE!"/>
    <e v="#VALUE!"/>
    <e v="#VALUE!"/>
    <n v="7.1839080459770114E-4"/>
    <e v="#VALUE!"/>
    <m/>
    <m/>
  </r>
  <r>
    <x v="3"/>
    <m/>
    <n v="1236"/>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x v="0"/>
    <x v="1"/>
    <n v="1"/>
    <n v="0"/>
    <n v="0"/>
    <n v="0"/>
    <n v="0"/>
    <n v="0"/>
    <s v="impossible to separate the effect of the label from energy efficiency"/>
    <n v="0"/>
    <n v="0"/>
    <n v="0"/>
    <n v="1"/>
    <n v="0"/>
    <n v="0"/>
    <n v="0"/>
    <n v="0"/>
    <n v="0"/>
    <s v="NA"/>
    <x v="2"/>
    <s v="Marginal WTP for higher efficiency"/>
    <s v="NA"/>
    <n v="249.82"/>
    <s v="increase"/>
    <e v="#VALUE!"/>
    <n v="0.01"/>
    <n v="1"/>
    <s v="NA"/>
    <s v="NA"/>
    <m/>
    <s v="NA"/>
    <s v="NA"/>
    <s v="NA"/>
    <s v="NA"/>
    <s v="NA"/>
    <s v="NA"/>
    <n v="1395"/>
    <n v="19860"/>
    <s v="NA"/>
    <s v="NA"/>
    <s v="NA"/>
    <s v="NA"/>
    <s v="NA"/>
    <s v="NA"/>
    <s v="NA"/>
    <n v="1"/>
    <s v="NA"/>
    <s v="NA"/>
    <n v="1"/>
    <n v="1"/>
    <n v="1"/>
    <m/>
    <m/>
    <m/>
    <m/>
    <m/>
    <m/>
    <m/>
    <m/>
    <m/>
    <m/>
    <e v="#VALUE!"/>
    <e v="#VALUE!"/>
    <e v="#VALUE!"/>
    <n v="7.1839080459770114E-4"/>
    <e v="#VALUE!"/>
    <m/>
    <m/>
  </r>
  <r>
    <x v="3"/>
    <m/>
    <n v="1237"/>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x v="0"/>
    <x v="1"/>
    <n v="1"/>
    <n v="0"/>
    <n v="0"/>
    <n v="0"/>
    <n v="0"/>
    <n v="0"/>
    <s v="impossible to separate the effect of the label from energy efficiency"/>
    <n v="0"/>
    <n v="0"/>
    <n v="0"/>
    <n v="1"/>
    <n v="0"/>
    <n v="0"/>
    <n v="0"/>
    <n v="0"/>
    <n v="0"/>
    <s v="NA"/>
    <x v="2"/>
    <s v="Marginal WTP for higher efficiency"/>
    <s v="NA"/>
    <n v="275.45"/>
    <s v="increase"/>
    <e v="#VALUE!"/>
    <n v="0.01"/>
    <n v="1"/>
    <s v="NA"/>
    <s v="NA"/>
    <m/>
    <s v="NA"/>
    <s v="NA"/>
    <s v="NA"/>
    <s v="NA"/>
    <s v="NA"/>
    <s v="NA"/>
    <n v="1395"/>
    <n v="19860"/>
    <s v="NA"/>
    <s v="NA"/>
    <s v="NA"/>
    <s v="NA"/>
    <s v="NA"/>
    <s v="NA"/>
    <s v="NA"/>
    <n v="1"/>
    <s v="NA"/>
    <s v="NA"/>
    <n v="0"/>
    <n v="0"/>
    <n v="0"/>
    <m/>
    <m/>
    <m/>
    <m/>
    <m/>
    <m/>
    <m/>
    <m/>
    <m/>
    <m/>
    <e v="#VALUE!"/>
    <e v="#VALUE!"/>
    <e v="#VALUE!"/>
    <n v="7.1839080459770114E-4"/>
    <e v="#VALUE!"/>
    <m/>
    <m/>
  </r>
  <r>
    <x v="3"/>
    <m/>
    <n v="1238"/>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x v="0"/>
    <x v="1"/>
    <n v="1"/>
    <n v="0"/>
    <n v="0"/>
    <n v="0"/>
    <n v="0"/>
    <n v="0"/>
    <s v="impossible to separate the effect of the label from energy efficiency"/>
    <n v="0"/>
    <n v="0"/>
    <n v="0"/>
    <n v="1"/>
    <n v="0"/>
    <n v="0"/>
    <n v="0"/>
    <n v="0"/>
    <n v="0"/>
    <s v="NA"/>
    <x v="2"/>
    <s v="Marginal WTP for higher efficiency"/>
    <s v="NA"/>
    <n v="349.3"/>
    <s v="increase"/>
    <e v="#VALUE!"/>
    <n v="0.05"/>
    <n v="1"/>
    <s v="NA"/>
    <s v="NA"/>
    <m/>
    <s v="NA"/>
    <s v="NA"/>
    <s v="NA"/>
    <s v="NA"/>
    <s v="NA"/>
    <s v="NA"/>
    <n v="1395"/>
    <n v="19860"/>
    <s v="NA"/>
    <s v="NA"/>
    <s v="NA"/>
    <s v="NA"/>
    <s v="NA"/>
    <s v="NA"/>
    <s v="NA"/>
    <n v="1"/>
    <s v="NA"/>
    <s v="NA"/>
    <n v="1"/>
    <n v="1"/>
    <n v="1"/>
    <m/>
    <m/>
    <m/>
    <m/>
    <m/>
    <m/>
    <m/>
    <m/>
    <m/>
    <m/>
    <e v="#VALUE!"/>
    <e v="#VALUE!"/>
    <e v="#VALUE!"/>
    <n v="7.1839080459770114E-4"/>
    <e v="#VALUE!"/>
    <m/>
    <m/>
  </r>
  <r>
    <x v="3"/>
    <m/>
    <n v="1239"/>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x v="0"/>
    <x v="1"/>
    <n v="1"/>
    <n v="0"/>
    <n v="0"/>
    <n v="0"/>
    <n v="0"/>
    <n v="0"/>
    <s v="impossible to separate the effect of the label from energy efficiency"/>
    <n v="0"/>
    <n v="0"/>
    <n v="0"/>
    <n v="1"/>
    <n v="0"/>
    <n v="0"/>
    <n v="0"/>
    <n v="0"/>
    <n v="0"/>
    <s v="NA"/>
    <x v="2"/>
    <s v="Coefficient from conditional logit model"/>
    <s v="NA"/>
    <n v="1.0760000000000001"/>
    <s v="increase"/>
    <e v="#VALUE!"/>
    <s v="NA"/>
    <s v="NA"/>
    <n v="20.02"/>
    <s v="NA"/>
    <m/>
    <s v="NA"/>
    <s v="NA"/>
    <s v="NA"/>
    <s v="NA"/>
    <s v="NA"/>
    <s v="NA"/>
    <n v="1395"/>
    <n v="19860"/>
    <s v="NA"/>
    <s v="NA"/>
    <s v="NA"/>
    <s v="NA"/>
    <s v="NA"/>
    <s v="NA"/>
    <s v="NA"/>
    <n v="1"/>
    <s v="NA"/>
    <s v="NA"/>
    <n v="0"/>
    <n v="0"/>
    <n v="0"/>
    <m/>
    <m/>
    <m/>
    <m/>
    <m/>
    <m/>
    <m/>
    <m/>
    <m/>
    <m/>
    <n v="0.47242735990047685"/>
    <n v="0.51319051047617226"/>
    <n v="6.6760340037102519E-4"/>
    <n v="7.1839080459770114E-4"/>
    <e v="#VALUE!"/>
    <m/>
    <m/>
  </r>
  <r>
    <x v="3"/>
    <m/>
    <n v="1240"/>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x v="0"/>
    <x v="1"/>
    <n v="1"/>
    <n v="0"/>
    <n v="0"/>
    <n v="0"/>
    <n v="0"/>
    <n v="0"/>
    <s v="impossible to separate the effect of the label from energy efficiency"/>
    <n v="0"/>
    <n v="0"/>
    <n v="0"/>
    <n v="1"/>
    <n v="0"/>
    <n v="0"/>
    <n v="0"/>
    <n v="0"/>
    <n v="0"/>
    <s v="NA"/>
    <x v="2"/>
    <s v="Coefficient from conditional random parameter logit model"/>
    <s v="NA"/>
    <n v="2.1459999999999999"/>
    <s v="increase"/>
    <e v="#VALUE!"/>
    <s v="NA"/>
    <s v="NA"/>
    <n v="11.52"/>
    <s v="NA"/>
    <m/>
    <s v="NA"/>
    <s v="NA"/>
    <s v="NA"/>
    <s v="NA"/>
    <s v="NA"/>
    <s v="NA"/>
    <n v="1395"/>
    <n v="19860"/>
    <s v="NA"/>
    <s v="NA"/>
    <s v="NA"/>
    <s v="NA"/>
    <s v="NA"/>
    <s v="NA"/>
    <s v="NA"/>
    <n v="1"/>
    <s v="NA"/>
    <s v="NA"/>
    <n v="0"/>
    <n v="0"/>
    <n v="0"/>
    <m/>
    <m/>
    <m/>
    <m/>
    <m/>
    <m/>
    <m/>
    <m/>
    <m/>
    <m/>
    <n v="0.29473516954008327"/>
    <n v="0.3037440363085756"/>
    <n v="7.1125395357683058E-4"/>
    <n v="7.1839080459770114E-4"/>
    <e v="#VALUE!"/>
    <m/>
    <m/>
  </r>
  <r>
    <x v="0"/>
    <n v="29"/>
    <n v="1057"/>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x v="0"/>
    <x v="1"/>
    <n v="0"/>
    <n v="1"/>
    <n v="0"/>
    <n v="0"/>
    <n v="0"/>
    <n v="0"/>
    <s v="NA"/>
    <n v="0"/>
    <n v="0"/>
    <n v="0"/>
    <n v="0"/>
    <n v="0"/>
    <n v="0"/>
    <n v="1"/>
    <n v="0"/>
    <n v="0"/>
    <s v="sample with gas access"/>
    <x v="0"/>
    <s v="probability of switching from electric to solar/heat pump"/>
    <s v="log scale"/>
    <n v="0.16"/>
    <s v="increase"/>
    <n v="0.06"/>
    <n v="0.05"/>
    <n v="1"/>
    <n v="2.666666666666667"/>
    <n v="0.16"/>
    <n v="0.53991488455556569"/>
    <s v="NA"/>
    <s v="NA"/>
    <s v="NA"/>
    <s v="NA"/>
    <n v="408"/>
    <s v="NA"/>
    <n v="408"/>
    <n v="408"/>
    <s v="NA"/>
    <s v="NA"/>
    <n v="1000"/>
    <s v="from 0,15 to 0,29"/>
    <s v="NA"/>
    <s v="NA"/>
    <s v="NA"/>
    <s v="NA"/>
    <s v="NA"/>
    <s v="NA"/>
    <n v="1"/>
    <n v="0"/>
    <n v="1"/>
    <m/>
    <m/>
    <m/>
    <m/>
    <m/>
    <m/>
    <m/>
    <m/>
    <m/>
    <m/>
    <n v="0.13088399820073771"/>
    <n v="0.13163914998451526"/>
    <n v="2.456264644741489E-3"/>
    <n v="2.4691358024691358E-3"/>
    <s v="NA"/>
    <n v="406"/>
    <s v="NA"/>
  </r>
  <r>
    <x v="0"/>
    <n v="29"/>
    <n v="1054"/>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x v="0"/>
    <x v="1"/>
    <n v="0"/>
    <n v="1"/>
    <n v="0"/>
    <n v="0"/>
    <n v="0"/>
    <n v="0"/>
    <s v="NA"/>
    <n v="0"/>
    <n v="0"/>
    <n v="0"/>
    <n v="0"/>
    <n v="0"/>
    <n v="0"/>
    <n v="1"/>
    <n v="0"/>
    <n v="0"/>
    <s v="sample with gas access"/>
    <x v="0"/>
    <s v="probability of switching from electric to solar/heat pump"/>
    <s v="log scale"/>
    <n v="0.19"/>
    <s v="increase"/>
    <n v="0.06"/>
    <n v="0.05"/>
    <n v="1"/>
    <n v="3.166666666666667"/>
    <n v="0.19"/>
    <n v="0.54735761814308925"/>
    <s v="NA"/>
    <s v="NA"/>
    <s v="NA"/>
    <s v="NA"/>
    <n v="408"/>
    <s v="NA"/>
    <n v="408"/>
    <n v="408"/>
    <s v="NA"/>
    <s v="NA"/>
    <n v="1000"/>
    <s v="from 0,15 to 0,29"/>
    <s v="NA"/>
    <s v="NA"/>
    <s v="NA"/>
    <s v="NA"/>
    <s v="NA"/>
    <s v="NA"/>
    <n v="0"/>
    <n v="0"/>
    <n v="0"/>
    <m/>
    <m/>
    <m/>
    <m/>
    <m/>
    <m/>
    <m/>
    <m/>
    <m/>
    <m/>
    <n v="0.15488158338148386"/>
    <n v="0.15613816847007514"/>
    <n v="2.4555421575795317E-3"/>
    <n v="2.4691358024691358E-3"/>
    <s v="NA"/>
    <n v="406"/>
    <s v="NA"/>
  </r>
  <r>
    <x v="0"/>
    <n v="29"/>
    <n v="1056"/>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x v="0"/>
    <x v="1"/>
    <n v="0"/>
    <n v="1"/>
    <n v="0"/>
    <n v="0"/>
    <n v="0"/>
    <n v="0"/>
    <s v="NA"/>
    <n v="0"/>
    <n v="0"/>
    <n v="0"/>
    <n v="0"/>
    <n v="0"/>
    <n v="0"/>
    <n v="1"/>
    <n v="0"/>
    <n v="0"/>
    <s v="sample with gas access"/>
    <x v="0"/>
    <s v="probability of switching from electric to gas"/>
    <s v="log scale"/>
    <n v="0.25"/>
    <s v="decrease"/>
    <n v="0.13"/>
    <n v="0.1"/>
    <n v="1"/>
    <n v="1.9230769230769229"/>
    <n v="0.25"/>
    <n v="0.56217650088579807"/>
    <s v="NA"/>
    <s v="NA"/>
    <s v="NA"/>
    <s v="NA"/>
    <n v="408"/>
    <s v="NA"/>
    <n v="408"/>
    <n v="408"/>
    <s v="NA"/>
    <s v="NA"/>
    <n v="300"/>
    <s v="from 0,12 to 0,2"/>
    <s v="NA"/>
    <s v="NA"/>
    <s v="NA"/>
    <s v="NA"/>
    <s v="NA"/>
    <s v="NA"/>
    <n v="1"/>
    <n v="0"/>
    <n v="1"/>
    <m/>
    <m/>
    <m/>
    <m/>
    <m/>
    <m/>
    <m/>
    <m/>
    <m/>
    <m/>
    <n v="9.4777916885651653E-2"/>
    <n v="9.5063248374700635E-2"/>
    <n v="2.4568017991350942E-3"/>
    <n v="2.4691358024691358E-3"/>
    <s v="NA"/>
    <n v="406"/>
    <s v="NA"/>
  </r>
  <r>
    <x v="0"/>
    <n v="29"/>
    <n v="1053"/>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x v="0"/>
    <x v="1"/>
    <n v="0"/>
    <n v="1"/>
    <n v="0"/>
    <n v="0"/>
    <n v="0"/>
    <n v="0"/>
    <s v="NA"/>
    <n v="0"/>
    <n v="0"/>
    <n v="0"/>
    <n v="0"/>
    <n v="0"/>
    <n v="0"/>
    <n v="1"/>
    <n v="0"/>
    <n v="0"/>
    <s v="sample with gas access"/>
    <x v="0"/>
    <s v="probability of switching from electric to gas"/>
    <s v="log scale"/>
    <n v="0.27"/>
    <s v="decrease"/>
    <n v="0.11"/>
    <n v="0.05"/>
    <n v="1"/>
    <n v="2.4545454545454546"/>
    <n v="0.27"/>
    <n v="0.56709290496545439"/>
    <s v="NA"/>
    <s v="NA"/>
    <s v="NA"/>
    <s v="NA"/>
    <n v="408"/>
    <s v="NA"/>
    <n v="408"/>
    <n v="408"/>
    <s v="NA"/>
    <s v="NA"/>
    <n v="300"/>
    <s v="from 0,12 to 0,2"/>
    <s v="NA"/>
    <s v="NA"/>
    <s v="NA"/>
    <s v="NA"/>
    <s v="NA"/>
    <s v="NA"/>
    <n v="0"/>
    <n v="0"/>
    <n v="0"/>
    <m/>
    <m/>
    <m/>
    <m/>
    <m/>
    <m/>
    <m/>
    <m/>
    <m/>
    <m/>
    <n v="0.12063071568651137"/>
    <n v="0.12122100832937013"/>
    <n v="2.4564719181916828E-3"/>
    <n v="2.4691358024691358E-3"/>
    <s v="NA"/>
    <n v="406"/>
    <s v="NA"/>
  </r>
  <r>
    <x v="0"/>
    <n v="29"/>
    <n v="1058"/>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x v="0"/>
    <x v="1"/>
    <n v="0"/>
    <n v="1"/>
    <n v="0"/>
    <n v="0"/>
    <n v="0"/>
    <n v="0"/>
    <s v="NA"/>
    <n v="0"/>
    <n v="0"/>
    <n v="0"/>
    <n v="0"/>
    <n v="0"/>
    <n v="0"/>
    <n v="1"/>
    <n v="0"/>
    <n v="0"/>
    <s v="sample without gas access"/>
    <x v="0"/>
    <s v="probability of switching from electric to solar/heat pump"/>
    <s v="log scale"/>
    <n v="0.41"/>
    <s v="increase"/>
    <n v="0.08"/>
    <n v="0.05"/>
    <n v="1"/>
    <n v="5.125"/>
    <n v="0.41"/>
    <n v="0.60108787884836967"/>
    <s v="NA"/>
    <s v="NA"/>
    <s v="NA"/>
    <s v="NA"/>
    <n v="504"/>
    <s v="NA"/>
    <n v="504"/>
    <n v="504"/>
    <s v="NA"/>
    <s v="NA"/>
    <n v="1000"/>
    <s v="from 0,15 to 0,29"/>
    <s v="NA"/>
    <s v="NA"/>
    <s v="NA"/>
    <s v="NA"/>
    <s v="NA"/>
    <s v="NA"/>
    <n v="1"/>
    <n v="0"/>
    <n v="1"/>
    <m/>
    <m/>
    <m/>
    <m/>
    <m/>
    <m/>
    <m/>
    <m/>
    <m/>
    <m/>
    <n v="0.22256001017320373"/>
    <n v="0.22634792532420528"/>
    <n v="1.9828531619001622E-3"/>
    <n v="1.996007984031936E-3"/>
    <s v="NA"/>
    <n v="502"/>
    <s v="NA"/>
  </r>
  <r>
    <x v="0"/>
    <n v="29"/>
    <n v="1055"/>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x v="0"/>
    <x v="1"/>
    <n v="0"/>
    <n v="1"/>
    <n v="0"/>
    <n v="0"/>
    <n v="0"/>
    <n v="0"/>
    <s v="NA"/>
    <n v="0"/>
    <n v="0"/>
    <n v="0"/>
    <n v="0"/>
    <n v="0"/>
    <n v="0"/>
    <n v="1"/>
    <n v="0"/>
    <n v="0"/>
    <s v="sample without gas access"/>
    <x v="0"/>
    <s v="probability of switching from electric to solar/heat pump"/>
    <s v="log scale"/>
    <n v="0.43"/>
    <s v="increase"/>
    <n v="0.06"/>
    <n v="0.05"/>
    <n v="1"/>
    <n v="7.166666666666667"/>
    <n v="0.43"/>
    <n v="0.6058736684317606"/>
    <s v="NA"/>
    <s v="NA"/>
    <s v="NA"/>
    <s v="NA"/>
    <n v="504"/>
    <s v="NA"/>
    <n v="504"/>
    <n v="504"/>
    <s v="NA"/>
    <s v="NA"/>
    <n v="1000"/>
    <s v="from 0,15 to 0,29"/>
    <s v="NA"/>
    <s v="NA"/>
    <s v="NA"/>
    <s v="NA"/>
    <s v="NA"/>
    <s v="NA"/>
    <n v="0"/>
    <n v="0"/>
    <n v="0"/>
    <m/>
    <m/>
    <m/>
    <m/>
    <m/>
    <m/>
    <m/>
    <m/>
    <m/>
    <m/>
    <n v="0.30410913966714348"/>
    <n v="0.31404129843807849"/>
    <n v="1.96873501693395E-3"/>
    <n v="1.996007984031936E-3"/>
    <s v="NA"/>
    <n v="502"/>
    <s v="NA"/>
  </r>
  <r>
    <x v="0"/>
    <m/>
    <s v="NA"/>
    <s v="NA"/>
    <s v="Webber, Brown, Koomey"/>
    <n v="2000"/>
    <s v="Savings estimates for the ENERGY STAR (R) voluntary labeling program"/>
    <s v="ENERGY STARt is a voluntary labeling program designed to identify and promote energy-e$cient products. Operated jointly by the_x000a_Environmental Protection Agency (EPA) and the US Department of Energy (DOE), ENERGY STAR labels exist for more than 20_x000a_products, spanning o$ce equipment, residential heating and cooling equipment, new homes, commercial and residential lighting,_x000a_home electronics, and major appliances. We present estimates of the energy, dollar and carbon savings already achieved by the_x000a_program and provide savings forecasts for several market penetration scenarios for the period 2001}2010._x000a_The target market penetration forecast represents our best estimate of future ENERGY STAR savings. It is based on realistic market_x000a_penetration goals for each of the products. We also provide a forecast under the assumption of 100% market penetration; that is, we_x000a_assume that all purchasers buy ENERGY STAR-compliant products instead of standard e$ciency products throughout the analysis_x000a_period. Finally, we assess the sensitivity of our target penetration case forecasts to greater or lesser marketing success by EPA and_x000a_DOE, lower-than-expected future energy prices, and higher or lower rates of carbon emissions by electricity generators."/>
    <m/>
    <m/>
    <x v="9"/>
    <m/>
    <x v="6"/>
    <x v="4"/>
    <x v="5"/>
    <m/>
    <m/>
    <m/>
    <m/>
    <m/>
    <m/>
    <m/>
    <m/>
    <m/>
    <x v="2"/>
    <x v="2"/>
    <m/>
    <m/>
    <m/>
    <m/>
    <m/>
    <m/>
    <m/>
    <m/>
    <m/>
    <m/>
    <m/>
    <m/>
    <m/>
    <m/>
    <m/>
    <m/>
    <m/>
    <x v="3"/>
    <m/>
    <m/>
    <m/>
    <m/>
    <m/>
    <m/>
    <m/>
    <m/>
    <m/>
    <m/>
    <m/>
    <m/>
    <m/>
    <m/>
    <m/>
    <m/>
    <m/>
    <m/>
    <m/>
    <m/>
    <m/>
    <m/>
    <m/>
    <m/>
    <m/>
    <m/>
    <m/>
    <m/>
    <m/>
    <m/>
    <m/>
    <m/>
    <m/>
    <m/>
    <m/>
    <m/>
    <m/>
    <m/>
    <m/>
    <m/>
    <m/>
    <m/>
    <m/>
    <m/>
    <m/>
    <m/>
    <m/>
    <m/>
  </r>
  <r>
    <x v="0"/>
    <n v="30"/>
    <n v="1147"/>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x v="0"/>
    <x v="1"/>
    <n v="1"/>
    <n v="0"/>
    <n v="0"/>
    <n v="0"/>
    <n v="0"/>
    <n v="0"/>
    <s v="effect of energy efficiency in itself rather than label (China Energy Label program)"/>
    <n v="0"/>
    <n v="0"/>
    <n v="0"/>
    <n v="1"/>
    <n v="0"/>
    <n v="0"/>
    <n v="0"/>
    <n v="0"/>
    <n v="0"/>
    <s v="NA"/>
    <x v="0"/>
    <s v="probability of a consumer choosing an energy-efficient appliance"/>
    <s v="log scale"/>
    <n v="0.34670000000000001"/>
    <s v="increase"/>
    <n v="4.1000000000000002E-2"/>
    <n v="0.01"/>
    <n v="1"/>
    <n v="8.4560975609756088"/>
    <n v="0.41439234401320402"/>
    <n v="0.58581710943557763"/>
    <s v="NA"/>
    <s v="NA"/>
    <s v="NA"/>
    <s v="NA"/>
    <s v="NA"/>
    <s v="NA"/>
    <n v="325"/>
    <n v="5200"/>
    <s v="NA"/>
    <s v="NA"/>
    <s v="NA"/>
    <s v="NA"/>
    <s v="NA"/>
    <s v="NA"/>
    <s v="NA"/>
    <s v="NA"/>
    <s v="NA"/>
    <s v="NA"/>
    <n v="0"/>
    <n v="1"/>
    <n v="1"/>
    <m/>
    <m/>
    <m/>
    <m/>
    <m/>
    <m/>
    <m/>
    <m/>
    <m/>
    <m/>
    <n v="0.42466388635349994"/>
    <n v="0.45336839008312346"/>
    <n v="2.9560250538296882E-3"/>
    <n v="3.105590062111801E-3"/>
    <s v="NA"/>
    <n v="323"/>
    <s v="NA"/>
  </r>
  <r>
    <x v="0"/>
    <n v="30"/>
    <n v="1148"/>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x v="0"/>
    <x v="1"/>
    <n v="1"/>
    <n v="0"/>
    <n v="0"/>
    <n v="0"/>
    <n v="0"/>
    <n v="0"/>
    <s v="effect of energy efficiency in itself rather than label (China Energy Label program)"/>
    <n v="1"/>
    <n v="0"/>
    <n v="0"/>
    <n v="0"/>
    <n v="0"/>
    <n v="0"/>
    <n v="0"/>
    <n v="0"/>
    <n v="0"/>
    <s v="NA"/>
    <x v="0"/>
    <s v="probability of a consumer choosing an energy-efficient appliance"/>
    <s v="log scale"/>
    <n v="0.35460000000000003"/>
    <s v="increase"/>
    <n v="4.02E-2"/>
    <n v="0.01"/>
    <n v="1"/>
    <n v="8.8208955223880601"/>
    <n v="0.42561029609900869"/>
    <n v="0.58773262069003773"/>
    <s v="NA"/>
    <s v="NA"/>
    <s v="NA"/>
    <s v="NA"/>
    <s v="NA"/>
    <s v="NA"/>
    <n v="325"/>
    <n v="5200"/>
    <s v="NA"/>
    <s v="NA"/>
    <s v="NA"/>
    <s v="NA"/>
    <s v="NA"/>
    <s v="NA"/>
    <s v="NA"/>
    <s v="NA"/>
    <s v="NA"/>
    <s v="NA"/>
    <n v="0"/>
    <n v="1"/>
    <n v="1"/>
    <m/>
    <m/>
    <m/>
    <m/>
    <m/>
    <m/>
    <m/>
    <m/>
    <m/>
    <m/>
    <n v="0.43950470421982007"/>
    <n v="0.47161676421139942"/>
    <n v="2.9337292848981796E-3"/>
    <n v="3.105590062111801E-3"/>
    <s v="NA"/>
    <n v="323"/>
    <s v="NA"/>
  </r>
  <r>
    <x v="0"/>
    <m/>
    <n v="1172"/>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x v="0"/>
    <x v="0"/>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05"/>
    <n v="1"/>
    <s v="NA"/>
    <s v="NA"/>
    <m/>
    <s v="NA"/>
    <s v="NA"/>
    <s v="NA"/>
    <s v="NA"/>
    <s v="NA"/>
    <s v="NA"/>
    <s v="NA"/>
    <m/>
    <s v="NA"/>
    <s v="NA"/>
    <s v="NA"/>
    <s v="NA"/>
    <s v="NA"/>
    <s v="NA"/>
    <s v="NA"/>
    <n v="0"/>
    <s v="NA"/>
    <s v="numerical"/>
    <n v="0"/>
    <n v="0"/>
    <n v="1"/>
    <m/>
    <m/>
    <m/>
    <m/>
    <m/>
    <m/>
    <m/>
    <m/>
    <m/>
    <m/>
    <e v="#VALUE!"/>
    <e v="#VALUE!"/>
    <e v="#VALUE!"/>
    <e v="#VALUE!"/>
    <m/>
    <m/>
    <m/>
  </r>
  <r>
    <x v="0"/>
    <m/>
    <n v="1173"/>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x v="0"/>
    <x v="0"/>
    <n v="1"/>
    <n v="0"/>
    <n v="0"/>
    <n v="0"/>
    <n v="0"/>
    <n v="0"/>
    <s v="less information on the label"/>
    <n v="0"/>
    <n v="0"/>
    <n v="0"/>
    <n v="0"/>
    <n v="0"/>
    <n v="0"/>
    <n v="0"/>
    <n v="1"/>
    <n v="0"/>
    <s v="estimates of WTP (RMB) for the premium of variable-speed room ACs"/>
    <x v="2"/>
    <s v="consumers’ WTP for variable-speed room AC over constant-speed room AC"/>
    <s v="NA"/>
    <n v="8.3000000000000004E-2"/>
    <s v="decrease"/>
    <s v="NA"/>
    <n v="0.1"/>
    <n v="1"/>
    <s v="NA"/>
    <s v="NA"/>
    <m/>
    <s v="NA"/>
    <s v="NA"/>
    <s v="NA"/>
    <s v="NA"/>
    <s v="NA"/>
    <s v="NA"/>
    <s v="NA"/>
    <m/>
    <s v="NA"/>
    <s v="NA"/>
    <s v="NA"/>
    <s v="NA"/>
    <s v="NA"/>
    <s v="NA"/>
    <s v="NA"/>
    <n v="0"/>
    <s v="NA"/>
    <s v="numerical"/>
    <n v="0"/>
    <n v="0"/>
    <n v="1"/>
    <m/>
    <m/>
    <m/>
    <m/>
    <m/>
    <m/>
    <m/>
    <m/>
    <m/>
    <m/>
    <e v="#VALUE!"/>
    <e v="#VALUE!"/>
    <e v="#VALUE!"/>
    <e v="#VALUE!"/>
    <m/>
    <m/>
    <m/>
  </r>
  <r>
    <x v="0"/>
    <m/>
    <n v="1174"/>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x v="0"/>
    <x v="0"/>
    <n v="1"/>
    <n v="0"/>
    <n v="0"/>
    <n v="0"/>
    <n v="0"/>
    <n v="0"/>
    <s v="less information on the label"/>
    <n v="0"/>
    <n v="0"/>
    <n v="0"/>
    <n v="0"/>
    <n v="0"/>
    <n v="0"/>
    <n v="0"/>
    <n v="1"/>
    <n v="0"/>
    <s v="estimates of WTP (RMB) for the premium of variable-speed room ACs"/>
    <x v="2"/>
    <s v="consumers’ WTP for variable-speed room AC over constant-speed room AC"/>
    <s v="NA"/>
    <n v="0.13300000000000001"/>
    <s v="decrease"/>
    <s v="NA"/>
    <n v="0.1"/>
    <n v="1"/>
    <s v="NA"/>
    <s v="NA"/>
    <m/>
    <s v="NA"/>
    <s v="NA"/>
    <s v="NA"/>
    <s v="NA"/>
    <s v="NA"/>
    <s v="NA"/>
    <s v="NA"/>
    <m/>
    <s v="NA"/>
    <s v="NA"/>
    <s v="NA"/>
    <s v="NA"/>
    <s v="NA"/>
    <s v="NA"/>
    <s v="NA"/>
    <n v="0"/>
    <s v="NA"/>
    <s v="numerical"/>
    <n v="0"/>
    <n v="0"/>
    <n v="1"/>
    <m/>
    <m/>
    <m/>
    <m/>
    <m/>
    <m/>
    <m/>
    <m/>
    <m/>
    <m/>
    <e v="#VALUE!"/>
    <e v="#VALUE!"/>
    <e v="#VALUE!"/>
    <e v="#VALUE!"/>
    <m/>
    <m/>
    <m/>
  </r>
  <r>
    <x v="0"/>
    <m/>
    <n v="1175"/>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x v="0"/>
    <x v="0"/>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1"/>
    <n v="2"/>
    <s v="NA"/>
    <s v="NA"/>
    <m/>
    <s v="NA"/>
    <s v="NA"/>
    <s v="NA"/>
    <s v="NA"/>
    <s v="NA"/>
    <s v="NA"/>
    <s v="NA"/>
    <m/>
    <s v="NA"/>
    <s v="NA"/>
    <s v="NA"/>
    <s v="NA"/>
    <s v="NA"/>
    <s v="NA"/>
    <s v="NA"/>
    <n v="0"/>
    <s v="NA"/>
    <s v="numerical"/>
    <n v="0"/>
    <n v="0"/>
    <n v="1"/>
    <m/>
    <m/>
    <m/>
    <m/>
    <m/>
    <m/>
    <m/>
    <m/>
    <m/>
    <m/>
    <e v="#VALUE!"/>
    <e v="#VALUE!"/>
    <e v="#VALUE!"/>
    <e v="#VALUE!"/>
    <m/>
    <m/>
    <m/>
  </r>
  <r>
    <x v="0"/>
    <m/>
    <n v="1176"/>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x v="0"/>
    <x v="0"/>
    <n v="1"/>
    <n v="0"/>
    <n v="0"/>
    <n v="0"/>
    <n v="0"/>
    <n v="0"/>
    <s v="additional information - on the label"/>
    <n v="0"/>
    <n v="0"/>
    <n v="0"/>
    <n v="0"/>
    <n v="0"/>
    <n v="0"/>
    <n v="0"/>
    <n v="1"/>
    <n v="0"/>
    <s v="estimates of WTP (RMB) for the premium of variable-speed room ACs"/>
    <x v="2"/>
    <s v="consumers’ WTP for variable-speed room AC over constant-speed room AC"/>
    <s v="NA"/>
    <n v="0.14000000000000001"/>
    <s v="increase"/>
    <s v="NA"/>
    <n v="0.01"/>
    <n v="1"/>
    <s v="NA"/>
    <s v="NA"/>
    <m/>
    <s v="NA"/>
    <s v="NA"/>
    <s v="NA"/>
    <s v="NA"/>
    <s v="NA"/>
    <s v="NA"/>
    <s v="NA"/>
    <m/>
    <s v="NA"/>
    <s v="NA"/>
    <s v="NA"/>
    <s v="NA"/>
    <s v="NA"/>
    <s v="NA"/>
    <s v="NA"/>
    <n v="1"/>
    <s v="NA"/>
    <s v="numerical"/>
    <n v="0"/>
    <n v="0"/>
    <n v="1"/>
    <m/>
    <m/>
    <m/>
    <m/>
    <m/>
    <m/>
    <m/>
    <m/>
    <m/>
    <m/>
    <e v="#VALUE!"/>
    <e v="#VALUE!"/>
    <e v="#VALUE!"/>
    <e v="#VALUE!"/>
    <m/>
    <m/>
    <m/>
  </r>
  <r>
    <x v="0"/>
    <m/>
    <n v="1177"/>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x v="0"/>
    <x v="0"/>
    <n v="1"/>
    <n v="0"/>
    <n v="0"/>
    <n v="0"/>
    <n v="0"/>
    <n v="0"/>
    <s v="additional information - on the label"/>
    <n v="0"/>
    <n v="0"/>
    <n v="0"/>
    <n v="0"/>
    <n v="0"/>
    <n v="0"/>
    <n v="0"/>
    <n v="1"/>
    <n v="0"/>
    <s v="estimates of WTP (RMB) for the premium of variable-speed room ACs"/>
    <x v="2"/>
    <s v="consumers’ WTP for variable-speed room AC over constant-speed room AC"/>
    <s v="NA"/>
    <n v="0.14299999999999999"/>
    <s v="increase"/>
    <s v="NA"/>
    <n v="0.01"/>
    <n v="1"/>
    <s v="NA"/>
    <s v="NA"/>
    <m/>
    <s v="NA"/>
    <s v="NA"/>
    <s v="NA"/>
    <s v="NA"/>
    <s v="NA"/>
    <s v="NA"/>
    <s v="NA"/>
    <m/>
    <s v="NA"/>
    <s v="NA"/>
    <s v="NA"/>
    <s v="NA"/>
    <s v="NA"/>
    <s v="NA"/>
    <s v="NA"/>
    <n v="1"/>
    <s v="NA"/>
    <s v="numerical"/>
    <n v="0"/>
    <n v="0"/>
    <n v="1"/>
    <m/>
    <m/>
    <m/>
    <m/>
    <m/>
    <m/>
    <m/>
    <m/>
    <m/>
    <m/>
    <e v="#VALUE!"/>
    <e v="#VALUE!"/>
    <e v="#VALUE!"/>
    <e v="#VALUE!"/>
    <m/>
    <m/>
    <m/>
  </r>
  <r>
    <x v="0"/>
    <m/>
    <n v="1178"/>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x v="0"/>
    <x v="0"/>
    <n v="1"/>
    <n v="0"/>
    <n v="0"/>
    <n v="0"/>
    <n v="0"/>
    <n v="0"/>
    <s v="additional information - on the label"/>
    <n v="0"/>
    <n v="0"/>
    <n v="0"/>
    <n v="0"/>
    <n v="0"/>
    <n v="0"/>
    <n v="0"/>
    <n v="1"/>
    <n v="0"/>
    <s v="estimates of WTP (RMB) for the premium of variable-speed room ACs"/>
    <x v="2"/>
    <s v="consumers’ WTP for variable-speed room AC over constant-speed room AC"/>
    <s v="NA"/>
    <n v="0.22"/>
    <s v="increase"/>
    <s v="NA"/>
    <n v="0.01"/>
    <n v="1"/>
    <s v="NA"/>
    <s v="NA"/>
    <m/>
    <s v="NA"/>
    <s v="NA"/>
    <s v="NA"/>
    <s v="NA"/>
    <s v="NA"/>
    <s v="NA"/>
    <s v="NA"/>
    <m/>
    <s v="NA"/>
    <s v="NA"/>
    <s v="NA"/>
    <s v="NA"/>
    <s v="NA"/>
    <s v="NA"/>
    <s v="NA"/>
    <n v="1"/>
    <s v="NA"/>
    <s v="numerical"/>
    <n v="0"/>
    <n v="0"/>
    <n v="1"/>
    <m/>
    <m/>
    <m/>
    <m/>
    <m/>
    <m/>
    <m/>
    <m/>
    <m/>
    <m/>
    <e v="#VALUE!"/>
    <e v="#VALUE!"/>
    <e v="#VALUE!"/>
    <e v="#VALUE!"/>
    <m/>
    <m/>
    <m/>
  </r>
  <r>
    <x v="0"/>
    <m/>
    <n v="1179"/>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1"/>
    <x v="0"/>
    <n v="17"/>
    <x v="14"/>
    <x v="3"/>
    <x v="13"/>
    <s v="stated preference"/>
    <s v="household"/>
    <s v="residents"/>
    <n v="1"/>
    <s v="opt_out"/>
    <n v="1"/>
    <s v="probably no"/>
    <s v="probably no"/>
    <s v="NA"/>
    <x v="0"/>
    <x v="0"/>
    <n v="1"/>
    <n v="0"/>
    <n v="0"/>
    <n v="0"/>
    <n v="0"/>
    <n v="0"/>
    <s v="additional information - on the label"/>
    <n v="0"/>
    <n v="0"/>
    <n v="0"/>
    <n v="0"/>
    <n v="0"/>
    <n v="0"/>
    <n v="0"/>
    <n v="1"/>
    <n v="0"/>
    <s v="estimates of WTP (RMB) for the premium of variable-speed room ACs"/>
    <x v="2"/>
    <s v="consumers’ WTP for variable-speed room AC over constant-speed room AC"/>
    <s v="NA"/>
    <n v="0.159"/>
    <s v="increase"/>
    <s v="NA"/>
    <n v="0.05"/>
    <n v="1"/>
    <s v="NA"/>
    <s v="NA"/>
    <m/>
    <s v="NA"/>
    <s v="NA"/>
    <s v="NA"/>
    <s v="NA"/>
    <s v="NA"/>
    <s v="NA"/>
    <s v="NA"/>
    <m/>
    <s v="NA"/>
    <s v="NA"/>
    <s v="NA"/>
    <s v="NA"/>
    <s v="NA"/>
    <s v="NA"/>
    <s v="NA"/>
    <n v="1"/>
    <s v="NA"/>
    <s v="numerical"/>
    <n v="0"/>
    <n v="0"/>
    <n v="1"/>
    <m/>
    <m/>
    <m/>
    <m/>
    <m/>
    <m/>
    <m/>
    <m/>
    <m/>
    <m/>
    <e v="#VALUE!"/>
    <e v="#VALUE!"/>
    <e v="#VALUE!"/>
    <e v="#VALUE!"/>
    <m/>
    <m/>
    <m/>
  </r>
  <r>
    <x v="3"/>
    <m/>
    <n v="3049"/>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x v="0"/>
    <x v="1"/>
    <n v="0"/>
    <n v="1"/>
    <n v="0"/>
    <n v="0"/>
    <n v="0"/>
    <n v="0"/>
    <s v="NA"/>
    <n v="1"/>
    <n v="0"/>
    <n v="0"/>
    <n v="1"/>
    <n v="0"/>
    <n v="0"/>
    <n v="1"/>
    <n v="1"/>
    <n v="1"/>
    <s v="NA"/>
    <x v="1"/>
    <s v="kWh"/>
    <s v="NA"/>
    <n v="0.154"/>
    <s v="decrease"/>
    <s v="NA"/>
    <n v="0.05"/>
    <n v="1"/>
    <s v="NA"/>
    <s v="NA"/>
    <m/>
    <s v="NA"/>
    <s v="NA"/>
    <s v="AN"/>
    <s v="NA"/>
    <s v="NA"/>
    <s v="NA"/>
    <n v="400"/>
    <n v="400"/>
    <s v="NA"/>
    <s v="NA"/>
    <s v="16-64 USD"/>
    <s v="NA"/>
    <s v="NA"/>
    <s v="NA"/>
    <s v="NA"/>
    <s v="NA"/>
    <s v="NA"/>
    <s v="NA"/>
    <n v="0"/>
    <n v="1"/>
    <n v="1"/>
    <m/>
    <m/>
    <m/>
    <m/>
    <m/>
    <m/>
    <m/>
    <m/>
    <m/>
    <m/>
    <e v="#VALUE!"/>
    <e v="#VALUE!"/>
    <e v="#VALUE!"/>
    <n v="2.5188916876574307E-3"/>
    <m/>
    <m/>
    <m/>
  </r>
  <r>
    <x v="3"/>
    <m/>
    <n v="3050"/>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x v="0"/>
    <x v="1"/>
    <n v="0"/>
    <n v="1"/>
    <n v="0"/>
    <n v="0"/>
    <n v="0"/>
    <n v="0"/>
    <s v="NA"/>
    <n v="1"/>
    <n v="0"/>
    <n v="0"/>
    <n v="1"/>
    <n v="0"/>
    <n v="0"/>
    <n v="1"/>
    <n v="1"/>
    <n v="1"/>
    <s v="NA"/>
    <x v="1"/>
    <s v="kWh"/>
    <s v="NA"/>
    <n v="0.28299999999999997"/>
    <s v="increase"/>
    <s v="NA"/>
    <n v="0.01"/>
    <n v="1"/>
    <s v="NA"/>
    <s v="NA"/>
    <m/>
    <s v="NA"/>
    <s v="NA"/>
    <s v="AN"/>
    <s v="NA"/>
    <s v="NA"/>
    <s v="NA"/>
    <n v="400"/>
    <n v="400"/>
    <s v="NA"/>
    <s v="NA"/>
    <s v="16-64 USD"/>
    <s v="NA"/>
    <s v="NA"/>
    <s v="NA"/>
    <s v="NA"/>
    <s v="NA"/>
    <s v="NA"/>
    <s v="NA"/>
    <n v="0"/>
    <n v="1"/>
    <n v="1"/>
    <m/>
    <m/>
    <m/>
    <m/>
    <m/>
    <m/>
    <m/>
    <m/>
    <m/>
    <m/>
    <e v="#VALUE!"/>
    <e v="#VALUE!"/>
    <e v="#VALUE!"/>
    <n v="2.5188916876574307E-3"/>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r>
    <x v="5"/>
    <m/>
    <m/>
    <m/>
    <m/>
    <m/>
    <m/>
    <m/>
    <m/>
    <m/>
    <x v="15"/>
    <m/>
    <x v="6"/>
    <x v="4"/>
    <x v="5"/>
    <m/>
    <m/>
    <m/>
    <m/>
    <m/>
    <m/>
    <m/>
    <m/>
    <m/>
    <x v="2"/>
    <x v="2"/>
    <m/>
    <m/>
    <m/>
    <m/>
    <m/>
    <m/>
    <m/>
    <m/>
    <m/>
    <m/>
    <m/>
    <m/>
    <m/>
    <m/>
    <m/>
    <m/>
    <m/>
    <x v="3"/>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5B189-0291-5F4C-AF42-581998D9F6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J18" firstHeaderRow="0" firstDataRow="1" firstDataCol="1" rowPageCount="2" colPageCount="1"/>
  <pivotFields count="92">
    <pivotField showAll="0"/>
    <pivotField showAll="0"/>
    <pivotField dataField="1" showAll="0"/>
    <pivotField dataField="1" showAll="0"/>
    <pivotField showAll="0"/>
    <pivotField dataField="1" showAll="0"/>
    <pivotField showAll="0"/>
    <pivotField showAll="0"/>
    <pivotField showAll="0"/>
    <pivotField showAll="0"/>
    <pivotField axis="axisPage" dataField="1" multipleItemSelectionAllowed="1" showAll="0">
      <items count="17">
        <item h="1" x="8"/>
        <item h="1" x="1"/>
        <item h="1" x="11"/>
        <item x="0"/>
        <item h="1" x="10"/>
        <item h="1" x="4"/>
        <item h="1" x="13"/>
        <item h="1" x="5"/>
        <item h="1" x="6"/>
        <item h="1" x="2"/>
        <item h="1" x="9"/>
        <item h="1" x="14"/>
        <item h="1" x="7"/>
        <item h="1" x="12"/>
        <item h="1" x="3"/>
        <item h="1" x="15"/>
        <item t="default"/>
      </items>
    </pivotField>
    <pivotField showAll="0"/>
    <pivotField axis="axisRow" dataField="1" showAll="0">
      <items count="29">
        <item x="10"/>
        <item x="13"/>
        <item x="22"/>
        <item x="27"/>
        <item x="17"/>
        <item x="3"/>
        <item x="2"/>
        <item x="9"/>
        <item x="0"/>
        <item x="5"/>
        <item x="14"/>
        <item x="18"/>
        <item x="8"/>
        <item x="11"/>
        <item x="15"/>
        <item x="4"/>
        <item x="20"/>
        <item x="21"/>
        <item x="23"/>
        <item x="24"/>
        <item x="12"/>
        <item x="26"/>
        <item x="25"/>
        <item x="19"/>
        <item x="16"/>
        <item x="7"/>
        <item x="1"/>
        <item x="6"/>
        <item t="default"/>
      </items>
    </pivotField>
    <pivotField dataField="1" showAll="0">
      <items count="9">
        <item x="7"/>
        <item x="2"/>
        <item x="5"/>
        <item x="6"/>
        <item x="1"/>
        <item x="0"/>
        <item x="3"/>
        <item x="4"/>
        <item t="default"/>
      </items>
    </pivotField>
    <pivotField dataField="1" showAll="0">
      <items count="37">
        <item x="30"/>
        <item x="12"/>
        <item x="25"/>
        <item x="2"/>
        <item x="13"/>
        <item x="6"/>
        <item x="29"/>
        <item x="27"/>
        <item x="23"/>
        <item x="3"/>
        <item x="4"/>
        <item x="35"/>
        <item x="19"/>
        <item x="26"/>
        <item x="7"/>
        <item x="0"/>
        <item x="16"/>
        <item x="14"/>
        <item x="17"/>
        <item x="24"/>
        <item x="9"/>
        <item x="15"/>
        <item x="21"/>
        <item x="8"/>
        <item x="32"/>
        <item x="28"/>
        <item x="33"/>
        <item x="22"/>
        <item x="18"/>
        <item x="20"/>
        <item x="11"/>
        <item x="34"/>
        <item x="31"/>
        <item x="10"/>
        <item x="1"/>
        <item x="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Page" dataField="1" multipleItemSelectionAllowed="1" showAll="0">
      <items count="6">
        <item h="1" x="1"/>
        <item h="1" x="4"/>
        <item x="0"/>
        <item h="1" x="2"/>
        <item h="1" x="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12"/>
  </rowFields>
  <rowItems count="14">
    <i>
      <x v="1"/>
    </i>
    <i>
      <x v="5"/>
    </i>
    <i>
      <x v="6"/>
    </i>
    <i>
      <x v="8"/>
    </i>
    <i>
      <x v="9"/>
    </i>
    <i>
      <x v="10"/>
    </i>
    <i>
      <x v="11"/>
    </i>
    <i>
      <x v="13"/>
    </i>
    <i>
      <x v="14"/>
    </i>
    <i>
      <x v="18"/>
    </i>
    <i>
      <x v="20"/>
    </i>
    <i>
      <x v="22"/>
    </i>
    <i>
      <x v="23"/>
    </i>
    <i t="grand">
      <x/>
    </i>
  </rowItems>
  <colFields count="1">
    <field x="-2"/>
  </colFields>
  <colItems count="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colItems>
  <pageFields count="2">
    <pageField fld="10" hier="-1"/>
    <pageField fld="43" hier="-1"/>
  </pageFields>
  <dataFields count="61">
    <dataField name="Count of sr_no" fld="2" subtotal="count" baseField="0" baseItem="0"/>
    <dataField name="Average of r_effect_size_sample2" fld="85" subtotal="average" baseField="0" baseItem="0"/>
    <dataField name="Average of r_variance2" fld="87" subtotal="average" baseField="0" baseItem="0"/>
    <dataField name="Average of z_value2" fld="86" subtotal="average" baseField="0" baseItem="0"/>
    <dataField name="Average of z_variance2" fld="88" subtotal="average" baseField="0" baseItem="0"/>
    <dataField name="Average of d_value2" fld="89" subtotal="average" baseField="0" baseItem="0"/>
    <dataField name="Count of study_ID" fld="3" subtotal="count" baseField="0" baseItem="0"/>
    <dataField name="Count of year_publication" fld="5" subtotal="count" baseField="0" baseItem="0"/>
    <dataField name="Count of exclusion_reason" fld="10" subtotal="count" baseField="0" baseItem="0"/>
    <dataField name="Count of statistical_technique" fld="12" subtotal="count" baseField="0" baseItem="0"/>
    <dataField name="Count of study_design" fld="13" subtotal="count" baseField="0" baseItem="0"/>
    <dataField name="Count of country" fld="14" subtotal="count" baseField="0" baseItem="0"/>
    <dataField name="Count of incentive_follow_through" fld="15" subtotal="count" baseField="0" baseItem="0"/>
    <dataField name="Count of experimental_setting" fld="16" subtotal="count" baseField="0" baseItem="0"/>
    <dataField name="Count of participant_type" fld="17" subtotal="count" baseField="0" baseItem="0"/>
    <dataField name="Count of aware_of_study" fld="18" subtotal="count" baseField="0" baseItem="0"/>
    <dataField name="Count of opt_in" fld="19" subtotal="count" baseField="0" baseItem="0"/>
    <dataField name="Count of randomisation_dummy" fld="20" subtotal="count" baseField="0" baseItem="0"/>
    <dataField name="Count of outOfSampleBias" fld="21" subtotal="count" baseField="0" baseItem="0"/>
    <dataField name="Count of reportingBiases" fld="22" subtotal="count" baseField="0" baseItem="0"/>
    <dataField name="Sum of feedback" fld="24" baseField="0" baseItem="0"/>
    <dataField name="Sum of information" fld="25" baseField="0" baseItem="0"/>
    <dataField name="Sum of label" fld="26" baseField="0" baseItem="0"/>
    <dataField name="Sum of rebate" fld="27" baseField="0" baseItem="0"/>
    <dataField name="Sum of tax_credit" fld="28" baseField="0" baseItem="0"/>
    <dataField name="Sum of subsidy" fld="29" baseField="0" baseItem="0"/>
    <dataField name="Sum of loan" fld="30" baseField="0" baseItem="0"/>
    <dataField name="Sum of choice_architecture" fld="31" baseField="0" baseItem="0"/>
    <dataField name="Sum of clothes_dryer" fld="34" baseField="0" baseItem="0"/>
    <dataField name="Sum of washing_machine" fld="33" baseField="0" baseItem="0"/>
    <dataField name="Sum of diswasher" fld="35" baseField="0" baseItem="0"/>
    <dataField name="Sum of refrigerator" fld="36" baseField="0" baseItem="0"/>
    <dataField name="Sum of heat_pump" fld="37" baseField="0" baseItem="0"/>
    <dataField name="Sum of lighting" fld="38" baseField="0" baseItem="0"/>
    <dataField name="Sum of water_heater" fld="39" baseField="0" baseItem="0"/>
    <dataField name="Sum of ac" fld="40" baseField="0" baseItem="0"/>
    <dataField name="Sum of tv" fld="41" baseField="0" baseItem="0"/>
    <dataField name="Count of dep_variable_purchase_category" fld="43" subtotal="count" baseField="0" baseItem="0"/>
    <dataField name="Count of dep_var_transformation" fld="45" subtotal="count" baseField="0" baseItem="0"/>
    <dataField name="Count of coefficient " fld="46" subtotal="count" baseField="0" baseItem="0"/>
    <dataField name="Count of effect_direction" fld="47" subtotal="count" baseField="0" baseItem="0"/>
    <dataField name="Count of coefficient_se" fld="48" subtotal="count" baseField="0" baseItem="0"/>
    <dataField name="Count of p_value" fld="49" subtotal="count" baseField="0" baseItem="0"/>
    <dataField name="Count of significance_bound" fld="50" subtotal="count" baseField="0" baseItem="0"/>
    <dataField name="Count of t_stat" fld="51" subtotal="count" baseField="0" baseItem="0"/>
    <dataField name="Count of percent_change" fld="52" subtotal="count" baseField="0" baseItem="0"/>
    <dataField name="Count of percent_change(binary predictor)" fld="53" subtotal="count" baseField="0" baseItem="0"/>
    <dataField name="Count of total_sample_size" fld="60" subtotal="count" baseField="0" baseItem="0"/>
    <dataField name="Count of diff_mean" fld="62" subtotal="count" baseField="0" baseItem="0"/>
    <dataField name="Count of monetary_incentive_size" fld="64" subtotal="count" baseField="0" baseItem="0"/>
    <dataField name="Count of monetary_incentive_relative" fld="65" subtotal="count" baseField="0" baseItem="0"/>
    <dataField name="Count of monetary_incentive_timeframe" fld="66" subtotal="count" baseField="0" baseItem="0"/>
    <dataField name="Count of label_monetary" fld="67" subtotal="count" baseField="0" baseItem="0"/>
    <dataField name="Count of label_consumption" fld="69" subtotal="count" baseField="0" baseItem="0"/>
    <dataField name="Count of label_scale" fld="71" subtotal="count" baseField="0" baseItem="0"/>
    <dataField name="Sum of controls energy prices" fld="72" baseField="0" baseItem="0"/>
    <dataField name="Sum of controls environmental attitudes" fld="73" baseField="0" baseItem="0"/>
    <dataField name="Sum of controls demographics" fld="74" baseField="0" baseItem="0"/>
    <dataField name="Average of df" fld="90" subtotal="average" baseField="0" baseItem="0"/>
    <dataField name="Count of study_design2" fld="13" subtotal="count" baseField="0" baseItem="0"/>
    <dataField name="Count of country2"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 dT="2022-03-11T12:27:31.40" personId="{30BB1996-8EFC-476E-8528-976729F6D7F5}" id="{73C2226C-6106-4DC2-88CF-9C0A06F48311}">
    <text>is this supposed to capture mean difference between control and treatment or ?</text>
  </threadedComment>
  <threadedComment ref="AZ1" dT="2022-03-16T09:52:50.19" personId="{30BB1996-8EFC-476E-8528-976729F6D7F5}" id="{CEE78422-255C-40DC-AFED-5AA185CC03E1}" done="1">
    <text>daily kWh</text>
  </threadedComment>
  <threadedComment ref="AQ22" dT="2022-04-15T14:32:51.71" personId="{30BB1996-8EFC-476E-8528-976729F6D7F5}" id="{C7CEED71-5EFE-4791-84D8-7010C40A69F0}">
    <text>in kWh</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2-11-21T17:36:05.27" personId="{07E012BB-865F-6142-9A86-EDCC0A8503F7}" id="{1DD52412-77C6-1E43-B8CC-07AD562D2C6E}">
    <text>check label studies from srmt for label type</text>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2-12-21T13:31:39.91" personId="{07E012BB-865F-6142-9A86-EDCC0A8503F7}" id="{CF36070F-7893-4948-8AB8-1CADF6EBBFD9}">
    <text>a bit confused as of where it’s correlation and where - quasi-experimental</text>
  </threadedComment>
  <threadedComment ref="D6" dT="2022-12-21T13:34:50.65" personId="{07E012BB-865F-6142-9A86-EDCC0A8503F7}" id="{21819F94-1C20-934A-90F0-3C08AE6D69A6}" parentId="{CF36070F-7893-4948-8AB8-1CADF6EBBFD9}">
    <text>the way i reassessed this was - market statistics - correlation, whereas hypothetical choice - quasi-experimental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3"/>
  <sheetViews>
    <sheetView zoomScale="75" workbookViewId="0">
      <pane xSplit="1" ySplit="1" topLeftCell="B29" activePane="bottomRight" state="frozen"/>
      <selection pane="topRight" activeCell="B1" sqref="B1"/>
      <selection pane="bottomLeft" activeCell="A2" sqref="A2"/>
      <selection pane="bottomRight" activeCell="A43" sqref="A43:XFD51"/>
    </sheetView>
  </sheetViews>
  <sheetFormatPr baseColWidth="10" defaultColWidth="11" defaultRowHeight="16"/>
  <cols>
    <col min="4" max="4" width="20.6640625" customWidth="1"/>
    <col min="5" max="5" width="14.1640625" customWidth="1"/>
    <col min="7" max="7" width="16.1640625" customWidth="1"/>
    <col min="8" max="8" width="16.6640625" customWidth="1"/>
    <col min="10" max="10" width="18.1640625" bestFit="1" customWidth="1"/>
    <col min="11" max="11" width="12" hidden="1" customWidth="1"/>
    <col min="12" max="17" width="0" hidden="1" customWidth="1"/>
    <col min="18" max="18" width="16" hidden="1" customWidth="1"/>
    <col min="19" max="22" width="0" hidden="1" customWidth="1"/>
    <col min="23" max="24" width="12.1640625" hidden="1" customWidth="1"/>
    <col min="25" max="25" width="0" hidden="1" customWidth="1"/>
    <col min="26" max="26" width="0" style="12" hidden="1" customWidth="1"/>
    <col min="27" max="27" width="18.6640625" hidden="1" customWidth="1"/>
    <col min="28" max="28" width="14.1640625" style="7" bestFit="1" customWidth="1"/>
    <col min="29" max="29" width="14.6640625" style="7" customWidth="1"/>
    <col min="30" max="30" width="13.6640625" customWidth="1"/>
    <col min="31" max="31" width="14.6640625" customWidth="1"/>
    <col min="32" max="32" width="13.6640625" hidden="1" customWidth="1"/>
    <col min="33" max="33" width="19.1640625" hidden="1" customWidth="1"/>
    <col min="34" max="34" width="10.6640625" hidden="1" customWidth="1"/>
    <col min="35" max="35" width="13.1640625" hidden="1" customWidth="1"/>
    <col min="36" max="36" width="22.1640625" hidden="1" customWidth="1"/>
    <col min="37" max="37" width="10.6640625" hidden="1" customWidth="1"/>
    <col min="38" max="38" width="18.1640625" customWidth="1"/>
    <col min="39" max="39" width="14.1640625" customWidth="1"/>
    <col min="40" max="40" width="9.6640625" customWidth="1"/>
    <col min="41" max="41" width="19.1640625" customWidth="1"/>
    <col min="42" max="42" width="12.1640625" customWidth="1"/>
    <col min="44" max="45" width="0" hidden="1" customWidth="1"/>
    <col min="46" max="47" width="13.1640625" hidden="1" customWidth="1"/>
    <col min="48" max="51" width="0" hidden="1" customWidth="1"/>
    <col min="52" max="52" width="13.6640625" style="17" hidden="1" customWidth="1"/>
    <col min="53" max="53" width="26.5" hidden="1" customWidth="1"/>
    <col min="54" max="54" width="20.6640625" hidden="1" customWidth="1"/>
    <col min="55" max="55" width="0" hidden="1" customWidth="1"/>
    <col min="56" max="56" width="17.6640625" hidden="1" customWidth="1"/>
    <col min="57" max="57" width="16.1640625" hidden="1" customWidth="1"/>
    <col min="58" max="58" width="15.1640625" hidden="1" customWidth="1"/>
    <col min="59" max="59" width="20.6640625" hidden="1" customWidth="1"/>
    <col min="60" max="60" width="24.6640625" hidden="1" customWidth="1"/>
    <col min="61" max="61" width="19.6640625" style="30" bestFit="1" customWidth="1"/>
    <col min="62" max="62" width="24.1640625" style="30" bestFit="1" customWidth="1"/>
    <col min="63" max="65" width="11" style="30"/>
    <col min="67" max="67" width="25.1640625" bestFit="1" customWidth="1"/>
  </cols>
  <sheetData>
    <row r="1" spans="1:68" ht="48">
      <c r="A1" s="2" t="s">
        <v>0</v>
      </c>
      <c r="B1" s="2" t="s">
        <v>1</v>
      </c>
      <c r="C1" s="2" t="s">
        <v>2</v>
      </c>
      <c r="D1" s="3" t="s">
        <v>3</v>
      </c>
      <c r="E1" s="2" t="s">
        <v>4</v>
      </c>
      <c r="F1" s="2" t="s">
        <v>5</v>
      </c>
      <c r="G1" s="5" t="s">
        <v>6</v>
      </c>
      <c r="H1" s="2" t="s">
        <v>7</v>
      </c>
      <c r="I1" s="2" t="s">
        <v>8</v>
      </c>
      <c r="J1" s="2" t="s">
        <v>9</v>
      </c>
      <c r="K1" s="2" t="s">
        <v>10</v>
      </c>
      <c r="L1" s="6" t="s">
        <v>11</v>
      </c>
      <c r="M1" s="4" t="s">
        <v>12</v>
      </c>
      <c r="N1" s="2" t="s">
        <v>13</v>
      </c>
      <c r="O1" s="2" t="s">
        <v>14</v>
      </c>
      <c r="P1" s="2" t="s">
        <v>15</v>
      </c>
      <c r="Q1" s="2" t="s">
        <v>16</v>
      </c>
      <c r="R1" s="4" t="s">
        <v>17</v>
      </c>
      <c r="S1" s="2" t="s">
        <v>18</v>
      </c>
      <c r="T1" s="2" t="s">
        <v>19</v>
      </c>
      <c r="U1" s="2" t="s">
        <v>20</v>
      </c>
      <c r="V1" s="2" t="s">
        <v>21</v>
      </c>
      <c r="W1" s="2" t="s">
        <v>22</v>
      </c>
      <c r="X1" s="2" t="s">
        <v>23</v>
      </c>
      <c r="Y1" s="2" t="s">
        <v>24</v>
      </c>
      <c r="Z1" s="13" t="s">
        <v>25</v>
      </c>
      <c r="AA1" s="5" t="s">
        <v>26</v>
      </c>
      <c r="AB1" s="2" t="s">
        <v>27</v>
      </c>
      <c r="AC1" s="2" t="s">
        <v>28</v>
      </c>
      <c r="AD1" s="3" t="s">
        <v>29</v>
      </c>
      <c r="AE1" s="1" t="s">
        <v>30</v>
      </c>
      <c r="AF1" s="1" t="s">
        <v>31</v>
      </c>
      <c r="AG1" s="1" t="s">
        <v>32</v>
      </c>
      <c r="AH1" s="1" t="s">
        <v>33</v>
      </c>
      <c r="AI1" s="1" t="s">
        <v>34</v>
      </c>
      <c r="AJ1" s="1" t="s">
        <v>35</v>
      </c>
      <c r="AK1" s="1" t="s">
        <v>36</v>
      </c>
      <c r="AL1" s="1" t="s">
        <v>37</v>
      </c>
      <c r="AM1" s="1" t="s">
        <v>38</v>
      </c>
      <c r="AN1" s="3" t="s">
        <v>39</v>
      </c>
      <c r="AO1" s="1" t="s">
        <v>40</v>
      </c>
      <c r="AP1" s="23" t="s">
        <v>41</v>
      </c>
      <c r="AQ1" s="1" t="s">
        <v>42</v>
      </c>
      <c r="AR1" s="1" t="s">
        <v>43</v>
      </c>
      <c r="AS1" s="1" t="s">
        <v>44</v>
      </c>
      <c r="AT1" s="1" t="s">
        <v>45</v>
      </c>
      <c r="AU1" s="1" t="s">
        <v>46</v>
      </c>
      <c r="AV1" s="1" t="s">
        <v>47</v>
      </c>
      <c r="AW1" s="1" t="s">
        <v>48</v>
      </c>
      <c r="AX1" s="1" t="s">
        <v>49</v>
      </c>
      <c r="AY1" s="1" t="s">
        <v>50</v>
      </c>
      <c r="AZ1" s="24" t="s">
        <v>51</v>
      </c>
      <c r="BA1" s="1" t="s">
        <v>52</v>
      </c>
      <c r="BB1" s="1" t="s">
        <v>53</v>
      </c>
      <c r="BC1" s="1" t="s">
        <v>54</v>
      </c>
      <c r="BD1" s="8" t="s">
        <v>55</v>
      </c>
      <c r="BE1" s="8" t="s">
        <v>56</v>
      </c>
      <c r="BF1" s="8" t="s">
        <v>57</v>
      </c>
      <c r="BG1" s="1" t="s">
        <v>58</v>
      </c>
      <c r="BH1" s="9" t="s">
        <v>59</v>
      </c>
      <c r="BI1" s="28" t="s">
        <v>60</v>
      </c>
      <c r="BJ1" s="28" t="s">
        <v>61</v>
      </c>
      <c r="BK1" s="29" t="s">
        <v>62</v>
      </c>
      <c r="BL1" s="30" t="s">
        <v>63</v>
      </c>
      <c r="BM1" s="30" t="s">
        <v>64</v>
      </c>
      <c r="BN1" t="s">
        <v>65</v>
      </c>
      <c r="BO1" t="s">
        <v>66</v>
      </c>
      <c r="BP1" t="s">
        <v>67</v>
      </c>
    </row>
    <row r="2" spans="1:68" hidden="1">
      <c r="A2" s="32" t="s">
        <v>68</v>
      </c>
      <c r="B2" s="32">
        <f>1</f>
        <v>1</v>
      </c>
      <c r="C2" s="32">
        <v>1000</v>
      </c>
      <c r="D2" s="32" t="s">
        <v>69</v>
      </c>
      <c r="E2" s="11" t="s">
        <v>70</v>
      </c>
      <c r="F2" s="18" t="s">
        <v>71</v>
      </c>
      <c r="G2" s="32" t="s">
        <v>72</v>
      </c>
      <c r="H2" s="32" t="s">
        <v>73</v>
      </c>
      <c r="I2" s="32" t="s">
        <v>74</v>
      </c>
      <c r="J2" s="32" t="s">
        <v>75</v>
      </c>
      <c r="K2" s="32" t="s">
        <v>76</v>
      </c>
      <c r="L2" s="32">
        <v>1</v>
      </c>
      <c r="M2" s="32">
        <v>0</v>
      </c>
      <c r="N2" s="32">
        <v>0</v>
      </c>
      <c r="O2" s="32">
        <v>1</v>
      </c>
      <c r="P2" s="32">
        <v>0</v>
      </c>
      <c r="Q2" s="32">
        <v>0</v>
      </c>
      <c r="R2" s="32">
        <v>0</v>
      </c>
      <c r="S2" s="32">
        <v>0</v>
      </c>
      <c r="T2" s="32">
        <v>0</v>
      </c>
      <c r="U2" s="32">
        <v>1</v>
      </c>
      <c r="V2" s="32">
        <v>0</v>
      </c>
      <c r="W2" s="32">
        <v>0</v>
      </c>
      <c r="X2" s="32">
        <v>0</v>
      </c>
      <c r="Y2" s="32">
        <v>0</v>
      </c>
      <c r="Z2" s="32" t="s">
        <v>77</v>
      </c>
      <c r="AA2" s="32" t="s">
        <v>78</v>
      </c>
      <c r="AB2" s="7" t="s">
        <v>79</v>
      </c>
      <c r="AC2" s="7" t="s">
        <v>80</v>
      </c>
      <c r="AD2">
        <v>2.7789999999999999</v>
      </c>
      <c r="AE2" s="35">
        <v>5.3310000000000004</v>
      </c>
      <c r="AF2" t="s">
        <v>73</v>
      </c>
      <c r="AG2">
        <v>986</v>
      </c>
      <c r="AH2" t="s">
        <v>73</v>
      </c>
      <c r="AI2" t="s">
        <v>73</v>
      </c>
      <c r="AJ2">
        <v>118</v>
      </c>
      <c r="AK2" t="s">
        <v>73</v>
      </c>
      <c r="AL2">
        <v>1102</v>
      </c>
      <c r="AM2">
        <v>490994</v>
      </c>
      <c r="AN2">
        <v>0.1</v>
      </c>
      <c r="AO2">
        <v>3</v>
      </c>
      <c r="AP2">
        <f t="shared" ref="AP2:AP9" si="0">AE2/AD2</f>
        <v>1.9183159409859665</v>
      </c>
      <c r="AQ2" t="s">
        <v>73</v>
      </c>
      <c r="AR2" t="s">
        <v>73</v>
      </c>
      <c r="AS2">
        <v>1</v>
      </c>
      <c r="AT2">
        <v>1</v>
      </c>
      <c r="AU2">
        <v>1</v>
      </c>
      <c r="AV2">
        <v>1</v>
      </c>
      <c r="AW2">
        <v>0</v>
      </c>
      <c r="AX2">
        <v>1</v>
      </c>
      <c r="AY2" t="s">
        <v>81</v>
      </c>
      <c r="AZ2">
        <v>8.4290000000000003</v>
      </c>
      <c r="BA2" s="36" t="s">
        <v>82</v>
      </c>
      <c r="BB2">
        <v>1</v>
      </c>
      <c r="BC2">
        <v>1</v>
      </c>
      <c r="BD2" t="s">
        <v>83</v>
      </c>
      <c r="BE2" t="s">
        <v>83</v>
      </c>
      <c r="BF2" t="s">
        <v>73</v>
      </c>
      <c r="BG2">
        <f t="shared" ref="BG2:BG8" si="1" xml:space="preserve"> 8 * 4.345</f>
        <v>34.76</v>
      </c>
      <c r="BH2" s="16">
        <f t="shared" ref="BH2:BH9" si="2">100 / 7</f>
        <v>14.285714285714286</v>
      </c>
      <c r="BI2" s="30">
        <f>BN2/(((BN2^2)+4)^1/2)</f>
        <v>4.5505228789443943E-3</v>
      </c>
      <c r="BJ2" s="30">
        <f>BN2/(((BN2^2)+4)^1/2)</f>
        <v>4.5505228789443943E-3</v>
      </c>
      <c r="BK2" s="30">
        <f>0.5*LN((1+BJ2)/(1-BJ2))</f>
        <v>4.5505542889525165E-3</v>
      </c>
      <c r="BL2" s="30">
        <f>((1-(BK2^2)^2)/(AL2-1))</f>
        <v>9.0826521305285878E-4</v>
      </c>
      <c r="BM2" s="30">
        <f>1/(AL2-3)</f>
        <v>9.099181073703367E-4</v>
      </c>
      <c r="BN2">
        <f>AP2*(((AG2+AJ2)/(AG2*AJ2))^1/2)</f>
        <v>9.1012342234009485E-3</v>
      </c>
      <c r="BO2" t="s">
        <v>84</v>
      </c>
    </row>
    <row r="3" spans="1:68" hidden="1">
      <c r="A3" s="32" t="s">
        <v>68</v>
      </c>
      <c r="B3" s="32">
        <f t="shared" ref="B3:B9" si="3">B2+1</f>
        <v>2</v>
      </c>
      <c r="C3" s="32">
        <v>1000</v>
      </c>
      <c r="D3" s="32" t="s">
        <v>69</v>
      </c>
      <c r="E3" s="18" t="s">
        <v>70</v>
      </c>
      <c r="F3" s="18" t="s">
        <v>71</v>
      </c>
      <c r="G3" s="32" t="s">
        <v>72</v>
      </c>
      <c r="H3" s="32" t="s">
        <v>73</v>
      </c>
      <c r="I3" s="32" t="s">
        <v>74</v>
      </c>
      <c r="J3" s="32" t="s">
        <v>75</v>
      </c>
      <c r="K3" s="32" t="s">
        <v>76</v>
      </c>
      <c r="L3" s="32">
        <v>1</v>
      </c>
      <c r="M3" s="32">
        <v>0</v>
      </c>
      <c r="N3" s="32">
        <v>0</v>
      </c>
      <c r="O3" s="32">
        <v>1</v>
      </c>
      <c r="P3" s="32">
        <v>0</v>
      </c>
      <c r="Q3" s="32">
        <v>0</v>
      </c>
      <c r="R3" s="32">
        <v>0</v>
      </c>
      <c r="S3" s="32">
        <v>0</v>
      </c>
      <c r="T3" s="32">
        <v>0</v>
      </c>
      <c r="U3" s="32">
        <v>1</v>
      </c>
      <c r="V3" s="32">
        <v>0</v>
      </c>
      <c r="W3" s="32">
        <v>0</v>
      </c>
      <c r="X3" s="32">
        <v>0</v>
      </c>
      <c r="Y3" s="32">
        <v>0</v>
      </c>
      <c r="Z3" s="32" t="s">
        <v>85</v>
      </c>
      <c r="AA3" s="32" t="s">
        <v>78</v>
      </c>
      <c r="AB3" s="7" t="s">
        <v>79</v>
      </c>
      <c r="AC3" s="7" t="s">
        <v>86</v>
      </c>
      <c r="AD3">
        <v>2.5539999999999998</v>
      </c>
      <c r="AE3">
        <v>2.5670000000000002</v>
      </c>
      <c r="AF3" t="s">
        <v>73</v>
      </c>
      <c r="AG3">
        <v>986</v>
      </c>
      <c r="AH3" t="s">
        <v>73</v>
      </c>
      <c r="AI3" t="s">
        <v>73</v>
      </c>
      <c r="AJ3">
        <v>118</v>
      </c>
      <c r="AK3" t="s">
        <v>73</v>
      </c>
      <c r="AL3">
        <v>1102</v>
      </c>
      <c r="AM3">
        <v>490994</v>
      </c>
      <c r="AN3">
        <v>0.1</v>
      </c>
      <c r="AO3">
        <v>1</v>
      </c>
      <c r="AP3">
        <f t="shared" si="0"/>
        <v>1.0050900548159751</v>
      </c>
      <c r="AQ3" t="s">
        <v>73</v>
      </c>
      <c r="AR3" t="s">
        <v>73</v>
      </c>
      <c r="AS3">
        <v>1</v>
      </c>
      <c r="AT3">
        <v>1</v>
      </c>
      <c r="AU3">
        <v>1</v>
      </c>
      <c r="AV3">
        <v>1</v>
      </c>
      <c r="AW3">
        <v>0</v>
      </c>
      <c r="AX3">
        <v>1</v>
      </c>
      <c r="AY3" t="s">
        <v>81</v>
      </c>
      <c r="AZ3">
        <v>8.4290000000000003</v>
      </c>
      <c r="BA3" s="36" t="s">
        <v>82</v>
      </c>
      <c r="BB3">
        <v>1</v>
      </c>
      <c r="BC3">
        <v>1</v>
      </c>
      <c r="BD3" t="s">
        <v>83</v>
      </c>
      <c r="BE3" t="s">
        <v>83</v>
      </c>
      <c r="BF3" t="s">
        <v>73</v>
      </c>
      <c r="BG3">
        <f t="shared" si="1"/>
        <v>34.76</v>
      </c>
      <c r="BH3" s="16">
        <f t="shared" si="2"/>
        <v>14.285714285714286</v>
      </c>
      <c r="BI3" s="30">
        <f t="shared" ref="BI3:BI9" si="4">BN3/(((BN3^2)+4)^1/2)</f>
        <v>2.3842548059692906E-3</v>
      </c>
      <c r="BJ3" s="30">
        <f>-BN3/(((BN3^2)+4)^1/2)</f>
        <v>-2.3842548059692906E-3</v>
      </c>
      <c r="BK3" s="30">
        <f>0.5*LN((1+BJ3)/(1-BJ3))</f>
        <v>-2.3842593238860717E-3</v>
      </c>
      <c r="BL3" s="30">
        <f t="shared" ref="BL3:BL9" si="5">((1-(BK3^2)^2)/(AL3-1))</f>
        <v>9.0826521341297393E-4</v>
      </c>
      <c r="BM3" s="30">
        <f t="shared" ref="BM3:BM9" si="6">1/(AL3-3)</f>
        <v>9.099181073703367E-4</v>
      </c>
      <c r="BN3">
        <f t="shared" ref="BN3:BN9" si="7">AP3*(((AG3+AJ3)/(AG3*AJ3))^1/2)</f>
        <v>4.7685367196549861E-3</v>
      </c>
      <c r="BO3" t="s">
        <v>87</v>
      </c>
    </row>
    <row r="4" spans="1:68" hidden="1">
      <c r="A4" s="32" t="s">
        <v>68</v>
      </c>
      <c r="B4" s="32">
        <f t="shared" si="3"/>
        <v>3</v>
      </c>
      <c r="C4" s="32">
        <v>1000</v>
      </c>
      <c r="D4" s="32" t="s">
        <v>69</v>
      </c>
      <c r="E4" s="18" t="s">
        <v>70</v>
      </c>
      <c r="F4" s="18" t="s">
        <v>71</v>
      </c>
      <c r="G4" s="32" t="s">
        <v>72</v>
      </c>
      <c r="H4" s="32" t="s">
        <v>73</v>
      </c>
      <c r="I4" s="32" t="s">
        <v>74</v>
      </c>
      <c r="J4" s="32" t="s">
        <v>75</v>
      </c>
      <c r="K4" s="32" t="s">
        <v>76</v>
      </c>
      <c r="L4" s="32">
        <v>1</v>
      </c>
      <c r="M4" s="32">
        <v>0</v>
      </c>
      <c r="N4" s="32">
        <v>0</v>
      </c>
      <c r="O4" s="32">
        <v>1</v>
      </c>
      <c r="P4" s="32">
        <v>0</v>
      </c>
      <c r="Q4" s="32">
        <v>0</v>
      </c>
      <c r="R4" s="32">
        <v>0</v>
      </c>
      <c r="S4" s="32">
        <v>0</v>
      </c>
      <c r="T4" s="32">
        <v>0</v>
      </c>
      <c r="U4" s="32">
        <v>0</v>
      </c>
      <c r="V4" s="32">
        <v>1</v>
      </c>
      <c r="W4" s="32">
        <v>0</v>
      </c>
      <c r="X4" s="32">
        <v>0</v>
      </c>
      <c r="Y4" s="32">
        <v>0</v>
      </c>
      <c r="Z4" s="32" t="s">
        <v>88</v>
      </c>
      <c r="AA4" s="32" t="s">
        <v>78</v>
      </c>
      <c r="AB4" s="7" t="s">
        <v>79</v>
      </c>
      <c r="AC4" s="7" t="s">
        <v>86</v>
      </c>
      <c r="AD4">
        <v>4.274</v>
      </c>
      <c r="AE4">
        <v>11.46</v>
      </c>
      <c r="AF4" t="s">
        <v>73</v>
      </c>
      <c r="AG4">
        <v>986</v>
      </c>
      <c r="AH4" t="s">
        <v>73</v>
      </c>
      <c r="AI4" t="s">
        <v>73</v>
      </c>
      <c r="AJ4">
        <v>118</v>
      </c>
      <c r="AK4" t="s">
        <v>73</v>
      </c>
      <c r="AL4">
        <v>1102</v>
      </c>
      <c r="AM4">
        <v>490994</v>
      </c>
      <c r="AN4">
        <v>0.01</v>
      </c>
      <c r="AO4">
        <v>3</v>
      </c>
      <c r="AP4">
        <f t="shared" si="0"/>
        <v>2.6813289658399628</v>
      </c>
      <c r="AQ4" t="s">
        <v>73</v>
      </c>
      <c r="AR4" t="s">
        <v>73</v>
      </c>
      <c r="AS4">
        <v>1</v>
      </c>
      <c r="AT4">
        <v>1</v>
      </c>
      <c r="AU4">
        <v>1</v>
      </c>
      <c r="AV4">
        <v>1</v>
      </c>
      <c r="AW4">
        <v>0</v>
      </c>
      <c r="AX4">
        <v>1</v>
      </c>
      <c r="AY4" t="s">
        <v>81</v>
      </c>
      <c r="AZ4">
        <v>8.4290000000000003</v>
      </c>
      <c r="BA4" s="36" t="s">
        <v>82</v>
      </c>
      <c r="BB4">
        <v>1</v>
      </c>
      <c r="BC4">
        <v>1</v>
      </c>
      <c r="BD4" t="s">
        <v>83</v>
      </c>
      <c r="BE4" t="s">
        <v>83</v>
      </c>
      <c r="BF4" t="s">
        <v>73</v>
      </c>
      <c r="BG4">
        <f t="shared" si="1"/>
        <v>34.76</v>
      </c>
      <c r="BH4" s="16">
        <f t="shared" si="2"/>
        <v>14.285714285714286</v>
      </c>
      <c r="BI4" s="30">
        <f t="shared" si="4"/>
        <v>6.3603745250294498E-3</v>
      </c>
      <c r="BJ4" s="30">
        <f>-BN4/(((BN4^2)+4)^1/2)</f>
        <v>-6.3603745250294498E-3</v>
      </c>
      <c r="BK4" s="30">
        <f t="shared" ref="BK4:BK9" si="8">0.5*LN((1+BJ4)/(1-BJ4))</f>
        <v>-6.360460295413573E-3</v>
      </c>
      <c r="BL4" s="30">
        <f t="shared" si="5"/>
        <v>9.0826521195581846E-4</v>
      </c>
      <c r="BM4" s="30">
        <f t="shared" si="6"/>
        <v>9.099181073703367E-4</v>
      </c>
      <c r="BN4">
        <f t="shared" si="7"/>
        <v>1.2721263701513214E-2</v>
      </c>
      <c r="BO4" t="s">
        <v>84</v>
      </c>
    </row>
    <row r="5" spans="1:68" hidden="1">
      <c r="A5" s="32" t="s">
        <v>68</v>
      </c>
      <c r="B5" s="32">
        <f t="shared" si="3"/>
        <v>4</v>
      </c>
      <c r="C5" s="32">
        <v>1000</v>
      </c>
      <c r="D5" s="32" t="s">
        <v>69</v>
      </c>
      <c r="E5" s="18" t="s">
        <v>70</v>
      </c>
      <c r="F5" s="18" t="s">
        <v>71</v>
      </c>
      <c r="G5" s="32" t="s">
        <v>72</v>
      </c>
      <c r="H5" s="32" t="s">
        <v>73</v>
      </c>
      <c r="I5" s="32" t="s">
        <v>74</v>
      </c>
      <c r="J5" s="32" t="s">
        <v>75</v>
      </c>
      <c r="K5" s="32" t="s">
        <v>76</v>
      </c>
      <c r="L5" s="32">
        <v>1</v>
      </c>
      <c r="M5" s="32">
        <v>0</v>
      </c>
      <c r="N5" s="32">
        <v>0</v>
      </c>
      <c r="O5" s="32">
        <v>1</v>
      </c>
      <c r="P5" s="32">
        <v>0</v>
      </c>
      <c r="Q5" s="32">
        <v>0</v>
      </c>
      <c r="R5" s="32">
        <v>0</v>
      </c>
      <c r="S5" s="32">
        <v>0</v>
      </c>
      <c r="T5" s="32">
        <v>0</v>
      </c>
      <c r="U5" s="32">
        <v>0</v>
      </c>
      <c r="V5" s="32">
        <v>1</v>
      </c>
      <c r="W5" s="32">
        <v>0</v>
      </c>
      <c r="X5" s="32">
        <v>0</v>
      </c>
      <c r="Y5" s="32">
        <v>0</v>
      </c>
      <c r="Z5" s="32" t="s">
        <v>89</v>
      </c>
      <c r="AA5" s="32" t="s">
        <v>78</v>
      </c>
      <c r="AB5" s="7" t="s">
        <v>79</v>
      </c>
      <c r="AC5" s="7" t="s">
        <v>86</v>
      </c>
      <c r="AD5">
        <v>2.3239999999999998</v>
      </c>
      <c r="AE5">
        <v>9.0109999999999992</v>
      </c>
      <c r="AF5" t="s">
        <v>73</v>
      </c>
      <c r="AG5">
        <v>986</v>
      </c>
      <c r="AH5" t="s">
        <v>73</v>
      </c>
      <c r="AI5" t="s">
        <v>73</v>
      </c>
      <c r="AJ5">
        <v>118</v>
      </c>
      <c r="AK5" t="s">
        <v>73</v>
      </c>
      <c r="AL5">
        <v>1102</v>
      </c>
      <c r="AM5">
        <v>490994</v>
      </c>
      <c r="AN5">
        <v>0.01</v>
      </c>
      <c r="AO5">
        <v>3</v>
      </c>
      <c r="AP5">
        <f t="shared" si="0"/>
        <v>3.8773666092943202</v>
      </c>
      <c r="AQ5" t="s">
        <v>73</v>
      </c>
      <c r="AR5" t="s">
        <v>73</v>
      </c>
      <c r="AS5">
        <v>1</v>
      </c>
      <c r="AT5">
        <v>1</v>
      </c>
      <c r="AU5">
        <v>1</v>
      </c>
      <c r="AV5">
        <v>1</v>
      </c>
      <c r="AW5">
        <v>0</v>
      </c>
      <c r="AX5">
        <v>1</v>
      </c>
      <c r="AY5" t="s">
        <v>81</v>
      </c>
      <c r="AZ5">
        <v>8.4290000000000003</v>
      </c>
      <c r="BA5" s="36" t="s">
        <v>82</v>
      </c>
      <c r="BB5">
        <v>1</v>
      </c>
      <c r="BC5">
        <v>1</v>
      </c>
      <c r="BD5" t="s">
        <v>83</v>
      </c>
      <c r="BE5" t="s">
        <v>83</v>
      </c>
      <c r="BF5" t="s">
        <v>73</v>
      </c>
      <c r="BG5">
        <f t="shared" si="1"/>
        <v>34.76</v>
      </c>
      <c r="BH5" s="16">
        <f t="shared" si="2"/>
        <v>14.285714285714286</v>
      </c>
      <c r="BI5" s="30">
        <f t="shared" si="4"/>
        <v>9.1970868093620775E-3</v>
      </c>
      <c r="BJ5" s="30">
        <f>-BN5/(((BN5^2)+4)^1/2)</f>
        <v>-9.1970868093620775E-3</v>
      </c>
      <c r="BK5" s="30">
        <f t="shared" si="8"/>
        <v>-9.1973461386959127E-3</v>
      </c>
      <c r="BL5" s="30">
        <f t="shared" si="5"/>
        <v>9.0826520694308171E-4</v>
      </c>
      <c r="BM5" s="30">
        <f t="shared" si="6"/>
        <v>9.099181073703367E-4</v>
      </c>
      <c r="BN5">
        <f t="shared" si="7"/>
        <v>1.8395729779028987E-2</v>
      </c>
      <c r="BO5" t="s">
        <v>84</v>
      </c>
    </row>
    <row r="6" spans="1:68" hidden="1">
      <c r="A6" s="32" t="s">
        <v>68</v>
      </c>
      <c r="B6" s="32">
        <f t="shared" si="3"/>
        <v>5</v>
      </c>
      <c r="C6" s="32">
        <v>1000</v>
      </c>
      <c r="D6" s="32" t="s">
        <v>69</v>
      </c>
      <c r="E6" s="18" t="s">
        <v>70</v>
      </c>
      <c r="F6" s="18" t="s">
        <v>71</v>
      </c>
      <c r="G6" s="32" t="s">
        <v>72</v>
      </c>
      <c r="H6" s="32" t="s">
        <v>73</v>
      </c>
      <c r="I6" s="32" t="s">
        <v>74</v>
      </c>
      <c r="J6" s="32" t="s">
        <v>75</v>
      </c>
      <c r="K6" s="32" t="s">
        <v>76</v>
      </c>
      <c r="L6" s="32">
        <v>1</v>
      </c>
      <c r="M6" s="32">
        <v>0</v>
      </c>
      <c r="N6" s="32">
        <v>0</v>
      </c>
      <c r="O6" s="32">
        <v>1</v>
      </c>
      <c r="P6" s="32">
        <v>0</v>
      </c>
      <c r="Q6" s="32">
        <v>0</v>
      </c>
      <c r="R6" s="32">
        <v>0</v>
      </c>
      <c r="S6" s="32">
        <v>0</v>
      </c>
      <c r="T6" s="32">
        <v>1</v>
      </c>
      <c r="U6" s="32">
        <v>0</v>
      </c>
      <c r="V6" s="32">
        <v>0</v>
      </c>
      <c r="W6" s="32">
        <v>0</v>
      </c>
      <c r="X6" s="32">
        <v>0</v>
      </c>
      <c r="Y6" s="32">
        <v>0</v>
      </c>
      <c r="Z6" s="32" t="s">
        <v>88</v>
      </c>
      <c r="AA6" s="32" t="s">
        <v>78</v>
      </c>
      <c r="AB6" s="7" t="s">
        <v>79</v>
      </c>
      <c r="AC6" s="7" t="s">
        <v>80</v>
      </c>
      <c r="AD6">
        <v>2.153</v>
      </c>
      <c r="AE6">
        <v>8.8439999999999994</v>
      </c>
      <c r="AF6" t="s">
        <v>73</v>
      </c>
      <c r="AG6">
        <v>986</v>
      </c>
      <c r="AH6" t="s">
        <v>73</v>
      </c>
      <c r="AI6" t="s">
        <v>73</v>
      </c>
      <c r="AJ6">
        <v>118</v>
      </c>
      <c r="AK6" t="s">
        <v>73</v>
      </c>
      <c r="AL6">
        <v>1102</v>
      </c>
      <c r="AM6">
        <v>490994</v>
      </c>
      <c r="AN6">
        <v>0.01</v>
      </c>
      <c r="AO6">
        <v>3</v>
      </c>
      <c r="AP6">
        <f t="shared" si="0"/>
        <v>4.1077566186716208</v>
      </c>
      <c r="AQ6" t="s">
        <v>73</v>
      </c>
      <c r="AR6" t="s">
        <v>73</v>
      </c>
      <c r="AS6">
        <v>1</v>
      </c>
      <c r="AT6">
        <v>1</v>
      </c>
      <c r="AU6">
        <v>1</v>
      </c>
      <c r="AV6">
        <v>1</v>
      </c>
      <c r="AW6">
        <v>0</v>
      </c>
      <c r="AX6">
        <v>1</v>
      </c>
      <c r="AY6" t="s">
        <v>81</v>
      </c>
      <c r="AZ6">
        <v>8.4290000000000003</v>
      </c>
      <c r="BA6" s="36" t="s">
        <v>82</v>
      </c>
      <c r="BB6">
        <v>1</v>
      </c>
      <c r="BC6">
        <v>1</v>
      </c>
      <c r="BD6" t="s">
        <v>83</v>
      </c>
      <c r="BE6" t="s">
        <v>83</v>
      </c>
      <c r="BF6" t="s">
        <v>73</v>
      </c>
      <c r="BG6">
        <f xml:space="preserve"> 8 * 4.345</f>
        <v>34.76</v>
      </c>
      <c r="BH6" s="16">
        <f t="shared" si="2"/>
        <v>14.285714285714286</v>
      </c>
      <c r="BI6" s="30">
        <f t="shared" si="4"/>
        <v>9.7434694590755513E-3</v>
      </c>
      <c r="BJ6" s="30">
        <f>BN6/(((BN6^2)+4)^1/2)</f>
        <v>9.7434694590755513E-3</v>
      </c>
      <c r="BK6" s="30">
        <f t="shared" si="8"/>
        <v>9.7437778093708034E-3</v>
      </c>
      <c r="BL6" s="30">
        <f t="shared" si="5"/>
        <v>9.0826520525537455E-4</v>
      </c>
      <c r="BM6" s="30">
        <f t="shared" si="6"/>
        <v>9.099181073703367E-4</v>
      </c>
      <c r="BN6">
        <f t="shared" si="7"/>
        <v>1.9488789265881105E-2</v>
      </c>
      <c r="BO6" t="s">
        <v>84</v>
      </c>
    </row>
    <row r="7" spans="1:68" hidden="1">
      <c r="A7" s="32" t="s">
        <v>68</v>
      </c>
      <c r="B7" s="32">
        <f t="shared" si="3"/>
        <v>6</v>
      </c>
      <c r="C7" s="32">
        <v>1000</v>
      </c>
      <c r="D7" s="32" t="s">
        <v>69</v>
      </c>
      <c r="E7" s="18" t="s">
        <v>70</v>
      </c>
      <c r="F7" s="18" t="s">
        <v>71</v>
      </c>
      <c r="G7" s="32" t="s">
        <v>72</v>
      </c>
      <c r="H7" s="32" t="s">
        <v>73</v>
      </c>
      <c r="I7" s="32" t="s">
        <v>74</v>
      </c>
      <c r="J7" s="32" t="s">
        <v>75</v>
      </c>
      <c r="K7" s="32" t="s">
        <v>76</v>
      </c>
      <c r="L7" s="32">
        <v>1</v>
      </c>
      <c r="M7" s="32">
        <v>0</v>
      </c>
      <c r="N7" s="32">
        <v>0</v>
      </c>
      <c r="O7" s="32">
        <v>1</v>
      </c>
      <c r="P7" s="32">
        <v>0</v>
      </c>
      <c r="Q7" s="32">
        <v>0</v>
      </c>
      <c r="R7" s="32">
        <v>0</v>
      </c>
      <c r="S7" s="32">
        <v>0</v>
      </c>
      <c r="T7" s="32">
        <v>1</v>
      </c>
      <c r="U7" s="32">
        <v>0</v>
      </c>
      <c r="V7" s="32">
        <v>0</v>
      </c>
      <c r="W7" s="32">
        <v>0</v>
      </c>
      <c r="X7" s="32">
        <v>0</v>
      </c>
      <c r="Y7" s="32">
        <v>0</v>
      </c>
      <c r="Z7" s="32" t="s">
        <v>89</v>
      </c>
      <c r="AA7" s="32" t="s">
        <v>78</v>
      </c>
      <c r="AB7" s="7" t="s">
        <v>79</v>
      </c>
      <c r="AC7" s="7" t="s">
        <v>80</v>
      </c>
      <c r="AD7">
        <v>1.9810000000000001</v>
      </c>
      <c r="AE7">
        <v>8.673</v>
      </c>
      <c r="AF7" t="s">
        <v>73</v>
      </c>
      <c r="AG7">
        <v>986</v>
      </c>
      <c r="AH7" t="s">
        <v>73</v>
      </c>
      <c r="AI7" t="s">
        <v>73</v>
      </c>
      <c r="AJ7">
        <v>118</v>
      </c>
      <c r="AK7" t="s">
        <v>73</v>
      </c>
      <c r="AL7">
        <v>1102</v>
      </c>
      <c r="AM7">
        <v>490994</v>
      </c>
      <c r="AN7">
        <v>0.01</v>
      </c>
      <c r="AO7">
        <v>3</v>
      </c>
      <c r="AP7">
        <f t="shared" si="0"/>
        <v>4.3780918727915195</v>
      </c>
      <c r="AQ7" t="s">
        <v>73</v>
      </c>
      <c r="AR7" t="s">
        <v>73</v>
      </c>
      <c r="AS7">
        <v>1</v>
      </c>
      <c r="AT7">
        <v>1</v>
      </c>
      <c r="AU7">
        <v>1</v>
      </c>
      <c r="AV7">
        <v>1</v>
      </c>
      <c r="AW7">
        <v>0</v>
      </c>
      <c r="AX7">
        <v>1</v>
      </c>
      <c r="AY7" t="s">
        <v>81</v>
      </c>
      <c r="AZ7">
        <v>8.4290000000000003</v>
      </c>
      <c r="BA7" s="36" t="s">
        <v>82</v>
      </c>
      <c r="BB7">
        <v>1</v>
      </c>
      <c r="BC7">
        <v>1</v>
      </c>
      <c r="BD7" t="s">
        <v>83</v>
      </c>
      <c r="BE7" t="s">
        <v>83</v>
      </c>
      <c r="BF7" t="s">
        <v>73</v>
      </c>
      <c r="BG7">
        <f t="shared" si="1"/>
        <v>34.76</v>
      </c>
      <c r="BH7" s="16">
        <f t="shared" si="2"/>
        <v>14.285714285714286</v>
      </c>
      <c r="BI7" s="30">
        <f t="shared" si="4"/>
        <v>1.0384562133079813E-2</v>
      </c>
      <c r="BJ7" s="30">
        <f>BN7/(((BN7^2)+4)^1/2)</f>
        <v>1.0384562133079813E-2</v>
      </c>
      <c r="BK7" s="30">
        <f t="shared" si="8"/>
        <v>1.0384935444618987E-2</v>
      </c>
      <c r="BL7" s="30">
        <f t="shared" si="5"/>
        <v>9.0826520287833751E-4</v>
      </c>
      <c r="BM7" s="30">
        <f t="shared" si="6"/>
        <v>9.099181073703367E-4</v>
      </c>
      <c r="BN7">
        <f t="shared" si="7"/>
        <v>2.0771364473655917E-2</v>
      </c>
      <c r="BO7" t="s">
        <v>84</v>
      </c>
    </row>
    <row r="8" spans="1:68" hidden="1">
      <c r="A8" s="32" t="s">
        <v>68</v>
      </c>
      <c r="B8" s="32">
        <f t="shared" si="3"/>
        <v>7</v>
      </c>
      <c r="C8" s="32">
        <v>1000</v>
      </c>
      <c r="D8" s="32" t="s">
        <v>69</v>
      </c>
      <c r="E8" s="18" t="s">
        <v>70</v>
      </c>
      <c r="F8" s="18" t="s">
        <v>71</v>
      </c>
      <c r="G8" s="32" t="s">
        <v>72</v>
      </c>
      <c r="H8" s="32" t="s">
        <v>73</v>
      </c>
      <c r="I8" s="32" t="s">
        <v>74</v>
      </c>
      <c r="J8" s="32" t="s">
        <v>75</v>
      </c>
      <c r="K8" s="32" t="s">
        <v>76</v>
      </c>
      <c r="L8" s="32">
        <v>1</v>
      </c>
      <c r="M8" s="32">
        <v>0</v>
      </c>
      <c r="N8" s="32">
        <v>0</v>
      </c>
      <c r="O8" s="32">
        <v>1</v>
      </c>
      <c r="P8" s="32">
        <v>0</v>
      </c>
      <c r="Q8" s="32">
        <v>0</v>
      </c>
      <c r="R8" s="32">
        <v>0</v>
      </c>
      <c r="S8" s="32">
        <v>1</v>
      </c>
      <c r="T8" s="32">
        <v>0</v>
      </c>
      <c r="U8" s="32">
        <v>0</v>
      </c>
      <c r="V8" s="32">
        <v>0</v>
      </c>
      <c r="W8" s="32">
        <v>0</v>
      </c>
      <c r="X8" s="32">
        <v>0</v>
      </c>
      <c r="Y8" s="32">
        <v>0</v>
      </c>
      <c r="Z8" s="32" t="s">
        <v>88</v>
      </c>
      <c r="AA8" s="32" t="s">
        <v>78</v>
      </c>
      <c r="AB8" s="7" t="s">
        <v>79</v>
      </c>
      <c r="AC8" s="7" t="s">
        <v>80</v>
      </c>
      <c r="AD8">
        <v>3.9180000000000001</v>
      </c>
      <c r="AE8">
        <v>3.26</v>
      </c>
      <c r="AF8" t="s">
        <v>73</v>
      </c>
      <c r="AG8">
        <v>986</v>
      </c>
      <c r="AH8" t="s">
        <v>73</v>
      </c>
      <c r="AI8" t="s">
        <v>73</v>
      </c>
      <c r="AJ8">
        <v>118</v>
      </c>
      <c r="AK8" t="s">
        <v>73</v>
      </c>
      <c r="AL8">
        <v>1102</v>
      </c>
      <c r="AM8">
        <v>490994</v>
      </c>
      <c r="AN8">
        <v>0.1</v>
      </c>
      <c r="AO8">
        <v>1</v>
      </c>
      <c r="AP8">
        <f t="shared" si="0"/>
        <v>0.83205717202654406</v>
      </c>
      <c r="AQ8" t="s">
        <v>73</v>
      </c>
      <c r="AR8" t="s">
        <v>73</v>
      </c>
      <c r="AS8">
        <v>1</v>
      </c>
      <c r="AT8">
        <v>1</v>
      </c>
      <c r="AU8">
        <v>1</v>
      </c>
      <c r="AV8">
        <v>1</v>
      </c>
      <c r="AW8">
        <v>0</v>
      </c>
      <c r="AX8">
        <v>1</v>
      </c>
      <c r="AY8" t="s">
        <v>81</v>
      </c>
      <c r="AZ8">
        <v>8.4290000000000003</v>
      </c>
      <c r="BA8" s="36" t="s">
        <v>82</v>
      </c>
      <c r="BB8">
        <v>1</v>
      </c>
      <c r="BC8">
        <v>1</v>
      </c>
      <c r="BD8" t="s">
        <v>83</v>
      </c>
      <c r="BE8" t="s">
        <v>83</v>
      </c>
      <c r="BF8" t="s">
        <v>73</v>
      </c>
      <c r="BG8">
        <f t="shared" si="1"/>
        <v>34.76</v>
      </c>
      <c r="BH8" s="16">
        <f t="shared" si="2"/>
        <v>14.285714285714286</v>
      </c>
      <c r="BI8" s="30">
        <f t="shared" si="4"/>
        <v>1.9737931447071306E-3</v>
      </c>
      <c r="BJ8" s="30">
        <f>BN8/(((BN8^2)+4)^1/2)</f>
        <v>1.9737931447071306E-3</v>
      </c>
      <c r="BK8" s="30">
        <f t="shared" si="8"/>
        <v>1.9737957079199297E-3</v>
      </c>
      <c r="BL8" s="30">
        <f t="shared" si="5"/>
        <v>9.0826521342853971E-4</v>
      </c>
      <c r="BM8" s="30">
        <f t="shared" si="6"/>
        <v>9.099181073703367E-4</v>
      </c>
      <c r="BN8">
        <f t="shared" si="7"/>
        <v>3.9476016687751596E-3</v>
      </c>
      <c r="BO8" t="s">
        <v>87</v>
      </c>
    </row>
    <row r="9" spans="1:68" hidden="1">
      <c r="A9" s="32" t="s">
        <v>68</v>
      </c>
      <c r="B9" s="32">
        <f t="shared" si="3"/>
        <v>8</v>
      </c>
      <c r="C9" s="32">
        <v>1000</v>
      </c>
      <c r="D9" s="32" t="s">
        <v>69</v>
      </c>
      <c r="E9" s="18" t="s">
        <v>70</v>
      </c>
      <c r="F9" s="18" t="s">
        <v>71</v>
      </c>
      <c r="G9" s="32" t="s">
        <v>72</v>
      </c>
      <c r="H9" s="32" t="s">
        <v>73</v>
      </c>
      <c r="I9" s="32" t="s">
        <v>74</v>
      </c>
      <c r="J9" s="32" t="s">
        <v>75</v>
      </c>
      <c r="K9" s="32" t="s">
        <v>76</v>
      </c>
      <c r="L9" s="32">
        <v>1</v>
      </c>
      <c r="M9" s="32">
        <v>0</v>
      </c>
      <c r="N9" s="32">
        <v>0</v>
      </c>
      <c r="O9" s="32">
        <v>1</v>
      </c>
      <c r="P9" s="32">
        <v>0</v>
      </c>
      <c r="Q9" s="32">
        <v>0</v>
      </c>
      <c r="R9" s="32">
        <v>0</v>
      </c>
      <c r="S9" s="32">
        <v>1</v>
      </c>
      <c r="T9" s="32">
        <v>0</v>
      </c>
      <c r="U9" s="32">
        <v>0</v>
      </c>
      <c r="V9" s="32">
        <v>0</v>
      </c>
      <c r="W9" s="32">
        <v>0</v>
      </c>
      <c r="X9" s="32">
        <v>0</v>
      </c>
      <c r="Y9" s="32">
        <v>0</v>
      </c>
      <c r="Z9" s="32" t="s">
        <v>89</v>
      </c>
      <c r="AA9" s="32" t="s">
        <v>78</v>
      </c>
      <c r="AB9" s="7" t="s">
        <v>79</v>
      </c>
      <c r="AC9" s="7" t="s">
        <v>86</v>
      </c>
      <c r="AD9">
        <v>2.4710000000000001</v>
      </c>
      <c r="AE9">
        <v>3.79</v>
      </c>
      <c r="AF9" t="s">
        <v>73</v>
      </c>
      <c r="AG9">
        <v>986</v>
      </c>
      <c r="AH9" t="s">
        <v>73</v>
      </c>
      <c r="AI9" t="s">
        <v>73</v>
      </c>
      <c r="AJ9">
        <v>118</v>
      </c>
      <c r="AK9" t="s">
        <v>73</v>
      </c>
      <c r="AL9">
        <v>1102</v>
      </c>
      <c r="AM9">
        <v>490994</v>
      </c>
      <c r="AN9">
        <v>0.1</v>
      </c>
      <c r="AO9">
        <v>1</v>
      </c>
      <c r="AP9">
        <f t="shared" si="0"/>
        <v>1.5337919870497774</v>
      </c>
      <c r="AQ9" t="s">
        <v>73</v>
      </c>
      <c r="AR9" t="s">
        <v>73</v>
      </c>
      <c r="AS9">
        <v>1</v>
      </c>
      <c r="AT9">
        <v>1</v>
      </c>
      <c r="AU9">
        <v>1</v>
      </c>
      <c r="AV9">
        <v>1</v>
      </c>
      <c r="AW9">
        <v>0</v>
      </c>
      <c r="AX9">
        <v>1</v>
      </c>
      <c r="AY9" t="s">
        <v>81</v>
      </c>
      <c r="AZ9">
        <v>8.4290000000000003</v>
      </c>
      <c r="BA9" s="36" t="s">
        <v>82</v>
      </c>
      <c r="BB9">
        <v>1</v>
      </c>
      <c r="BC9">
        <v>1</v>
      </c>
      <c r="BD9" t="s">
        <v>83</v>
      </c>
      <c r="BE9" t="s">
        <v>83</v>
      </c>
      <c r="BF9" t="s">
        <v>73</v>
      </c>
      <c r="BG9">
        <f xml:space="preserve"> 8 * 4.345</f>
        <v>34.76</v>
      </c>
      <c r="BH9" s="16">
        <f t="shared" si="2"/>
        <v>14.285714285714286</v>
      </c>
      <c r="BI9" s="30">
        <f t="shared" si="4"/>
        <v>3.6384036198495772E-3</v>
      </c>
      <c r="BJ9" s="30">
        <f>-BN9/(((BN9^2)+4)^1/2)</f>
        <v>-3.6384036198495772E-3</v>
      </c>
      <c r="BK9" s="30">
        <f t="shared" si="8"/>
        <v>-3.6384196750163253E-3</v>
      </c>
      <c r="BL9" s="30">
        <f t="shared" si="5"/>
        <v>9.0826521328315416E-4</v>
      </c>
      <c r="BM9" s="30">
        <f t="shared" si="6"/>
        <v>9.099181073703367E-4</v>
      </c>
      <c r="BN9">
        <f t="shared" si="7"/>
        <v>7.276903572484934E-3</v>
      </c>
      <c r="BO9" t="s">
        <v>87</v>
      </c>
    </row>
    <row r="10" spans="1:68" hidden="1">
      <c r="A10" t="s">
        <v>68</v>
      </c>
      <c r="B10">
        <v>9</v>
      </c>
      <c r="C10">
        <v>1001</v>
      </c>
      <c r="D10" t="s">
        <v>90</v>
      </c>
      <c r="E10" t="s">
        <v>91</v>
      </c>
      <c r="F10" t="s">
        <v>92</v>
      </c>
      <c r="G10">
        <v>2016</v>
      </c>
      <c r="H10" t="s">
        <v>73</v>
      </c>
      <c r="I10">
        <v>16</v>
      </c>
      <c r="J10" t="s">
        <v>93</v>
      </c>
      <c r="K10" t="s">
        <v>94</v>
      </c>
      <c r="L10">
        <v>1</v>
      </c>
      <c r="M10">
        <v>1</v>
      </c>
      <c r="N10">
        <v>0</v>
      </c>
      <c r="O10">
        <v>0</v>
      </c>
      <c r="P10">
        <v>0</v>
      </c>
      <c r="Q10">
        <v>0</v>
      </c>
      <c r="R10">
        <v>0</v>
      </c>
      <c r="S10">
        <v>0</v>
      </c>
      <c r="T10">
        <v>0</v>
      </c>
      <c r="U10">
        <v>0</v>
      </c>
      <c r="V10">
        <v>0</v>
      </c>
      <c r="W10">
        <v>0</v>
      </c>
      <c r="X10">
        <v>1</v>
      </c>
      <c r="Y10">
        <v>0</v>
      </c>
      <c r="Z10" s="12" t="s">
        <v>95</v>
      </c>
      <c r="AA10" t="s">
        <v>78</v>
      </c>
      <c r="AB10" s="16">
        <v>0.55000000000000004</v>
      </c>
      <c r="AC10" s="7" t="s">
        <v>86</v>
      </c>
      <c r="AD10" s="17">
        <v>0.21199999999999999</v>
      </c>
      <c r="AE10" t="s">
        <v>73</v>
      </c>
      <c r="AF10">
        <f>(2.52+2.46)/2</f>
        <v>2.4900000000000002</v>
      </c>
      <c r="AG10">
        <v>37</v>
      </c>
      <c r="AH10" s="17">
        <v>2.4500000000000002</v>
      </c>
      <c r="AI10" t="s">
        <v>73</v>
      </c>
      <c r="AJ10">
        <v>76</v>
      </c>
      <c r="AK10" t="s">
        <v>73</v>
      </c>
      <c r="AL10">
        <v>389</v>
      </c>
      <c r="AM10">
        <v>389</v>
      </c>
      <c r="AN10">
        <v>0.05</v>
      </c>
      <c r="AO10">
        <v>3</v>
      </c>
      <c r="AP10">
        <f>AB10/AD10</f>
        <v>2.5943396226415096</v>
      </c>
      <c r="AQ10" t="s">
        <v>73</v>
      </c>
      <c r="AR10" s="17">
        <v>0.16800000000000001</v>
      </c>
      <c r="AS10">
        <v>1</v>
      </c>
      <c r="AT10">
        <v>0</v>
      </c>
      <c r="AU10">
        <v>1</v>
      </c>
      <c r="AV10">
        <v>1</v>
      </c>
      <c r="AW10">
        <v>1</v>
      </c>
      <c r="AX10">
        <v>0</v>
      </c>
      <c r="AY10" t="s">
        <v>96</v>
      </c>
      <c r="AZ10" s="17">
        <v>2.31</v>
      </c>
      <c r="BA10" t="s">
        <v>73</v>
      </c>
      <c r="BB10">
        <v>1</v>
      </c>
      <c r="BC10">
        <v>1</v>
      </c>
      <c r="BD10" t="s">
        <v>83</v>
      </c>
      <c r="BE10" t="s">
        <v>83</v>
      </c>
      <c r="BF10" t="s">
        <v>73</v>
      </c>
      <c r="BG10">
        <v>14</v>
      </c>
      <c r="BH10">
        <v>7</v>
      </c>
      <c r="BI10" s="30">
        <f>(((AP10^2)/(AP10^2+AL10))^1/2)</f>
        <v>8.5040152445929103E-3</v>
      </c>
      <c r="BJ10" s="30">
        <f>-(((AP10^2)/(AP10^2+AM10))^1/2)</f>
        <v>-8.5040152445929103E-3</v>
      </c>
      <c r="BK10" s="30">
        <f>0.5*LN((1+BJ10)/(1-BJ10))</f>
        <v>-8.5042202520602649E-3</v>
      </c>
      <c r="BL10" s="30">
        <f>((1-(BK10^2)^2)/(AL10-1))</f>
        <v>2.5773195741483576E-3</v>
      </c>
      <c r="BM10" s="30">
        <f>1/(AL10-3)</f>
        <v>2.5906735751295338E-3</v>
      </c>
      <c r="BO10" t="s">
        <v>84</v>
      </c>
    </row>
    <row r="11" spans="1:68" hidden="1">
      <c r="A11" t="s">
        <v>68</v>
      </c>
      <c r="B11">
        <f>B10+1</f>
        <v>10</v>
      </c>
      <c r="C11">
        <v>1001</v>
      </c>
      <c r="D11" t="s">
        <v>90</v>
      </c>
      <c r="E11" t="s">
        <v>91</v>
      </c>
      <c r="F11" t="s">
        <v>92</v>
      </c>
      <c r="G11">
        <v>2016</v>
      </c>
      <c r="H11" t="s">
        <v>73</v>
      </c>
      <c r="I11">
        <v>16</v>
      </c>
      <c r="J11" t="s">
        <v>93</v>
      </c>
      <c r="K11" t="s">
        <v>94</v>
      </c>
      <c r="L11">
        <v>1</v>
      </c>
      <c r="M11">
        <v>1</v>
      </c>
      <c r="N11">
        <v>0</v>
      </c>
      <c r="O11">
        <v>0</v>
      </c>
      <c r="P11">
        <v>0</v>
      </c>
      <c r="Q11">
        <v>0</v>
      </c>
      <c r="R11">
        <v>0</v>
      </c>
      <c r="S11">
        <v>0</v>
      </c>
      <c r="T11">
        <v>0</v>
      </c>
      <c r="U11">
        <v>0</v>
      </c>
      <c r="V11">
        <v>0</v>
      </c>
      <c r="W11">
        <v>0</v>
      </c>
      <c r="X11">
        <v>1</v>
      </c>
      <c r="Y11">
        <v>0</v>
      </c>
      <c r="Z11" s="12" t="s">
        <v>97</v>
      </c>
      <c r="AA11" t="s">
        <v>78</v>
      </c>
      <c r="AB11" s="16">
        <v>0.17</v>
      </c>
      <c r="AC11" s="7" t="s">
        <v>86</v>
      </c>
      <c r="AD11" s="17">
        <v>0.183</v>
      </c>
      <c r="AE11" t="s">
        <v>73</v>
      </c>
      <c r="AF11">
        <f>(2.52+2.46)/2</f>
        <v>2.4900000000000002</v>
      </c>
      <c r="AG11">
        <v>37</v>
      </c>
      <c r="AH11" s="17">
        <v>2.4500000000000002</v>
      </c>
      <c r="AI11" t="s">
        <v>73</v>
      </c>
      <c r="AJ11">
        <v>138</v>
      </c>
      <c r="AK11" t="s">
        <v>73</v>
      </c>
      <c r="AL11">
        <v>389</v>
      </c>
      <c r="AM11">
        <v>389</v>
      </c>
      <c r="AN11">
        <v>0.1</v>
      </c>
      <c r="AO11" s="17">
        <v>1</v>
      </c>
      <c r="AP11">
        <f>AB11/AD11</f>
        <v>0.92896174863387981</v>
      </c>
      <c r="AQ11" t="s">
        <v>73</v>
      </c>
      <c r="AR11" s="17">
        <v>0.16800000000000001</v>
      </c>
      <c r="AS11">
        <v>1</v>
      </c>
      <c r="AT11">
        <v>0</v>
      </c>
      <c r="AU11">
        <v>1</v>
      </c>
      <c r="AV11">
        <v>1</v>
      </c>
      <c r="AW11">
        <v>1</v>
      </c>
      <c r="AX11">
        <v>0</v>
      </c>
      <c r="AY11" t="s">
        <v>96</v>
      </c>
      <c r="AZ11" s="17">
        <v>2.31</v>
      </c>
      <c r="BA11" t="s">
        <v>73</v>
      </c>
      <c r="BB11">
        <v>1</v>
      </c>
      <c r="BC11">
        <v>1</v>
      </c>
      <c r="BD11" t="s">
        <v>83</v>
      </c>
      <c r="BE11" t="s">
        <v>83</v>
      </c>
      <c r="BF11" t="s">
        <v>73</v>
      </c>
      <c r="BG11">
        <v>14</v>
      </c>
      <c r="BH11">
        <v>7</v>
      </c>
      <c r="BI11" s="30">
        <f>(((AP11^2)/(AP11^2+AL11))^1/2)</f>
        <v>1.1067605761313026E-3</v>
      </c>
      <c r="BJ11" s="30">
        <f>-(((AP11^2)/(AP11^2+AM11))^1/2)</f>
        <v>-1.1067605761313026E-3</v>
      </c>
      <c r="BK11" s="30">
        <f t="shared" ref="BK11:BK42" si="9">0.5*LN((1+BJ11)/(1-BJ11))</f>
        <v>-1.1067610280289801E-3</v>
      </c>
      <c r="BL11" s="30">
        <f t="shared" ref="BL11:BL40" si="10">((1-(BK11^2)^2)/(AL11-1))</f>
        <v>2.5773195876249988E-3</v>
      </c>
      <c r="BM11" s="30">
        <f t="shared" ref="BM11:BM40" si="11">1/(AL11-3)</f>
        <v>2.5906735751295338E-3</v>
      </c>
      <c r="BO11" t="s">
        <v>87</v>
      </c>
    </row>
    <row r="12" spans="1:68" hidden="1">
      <c r="A12" t="s">
        <v>68</v>
      </c>
      <c r="B12">
        <f>B11+1</f>
        <v>11</v>
      </c>
      <c r="C12">
        <v>1001</v>
      </c>
      <c r="D12" t="s">
        <v>90</v>
      </c>
      <c r="E12" t="s">
        <v>91</v>
      </c>
      <c r="F12" t="s">
        <v>92</v>
      </c>
      <c r="G12">
        <v>2016</v>
      </c>
      <c r="H12" t="s">
        <v>73</v>
      </c>
      <c r="I12">
        <v>16</v>
      </c>
      <c r="J12" t="s">
        <v>93</v>
      </c>
      <c r="K12" t="s">
        <v>94</v>
      </c>
      <c r="L12">
        <v>1</v>
      </c>
      <c r="M12">
        <v>1</v>
      </c>
      <c r="N12">
        <v>0</v>
      </c>
      <c r="O12">
        <v>0</v>
      </c>
      <c r="P12">
        <v>0</v>
      </c>
      <c r="Q12">
        <v>0</v>
      </c>
      <c r="R12">
        <v>0</v>
      </c>
      <c r="S12">
        <v>0</v>
      </c>
      <c r="T12">
        <v>0</v>
      </c>
      <c r="U12">
        <v>0</v>
      </c>
      <c r="V12">
        <v>0</v>
      </c>
      <c r="W12">
        <v>0</v>
      </c>
      <c r="X12">
        <v>1</v>
      </c>
      <c r="Y12">
        <v>0</v>
      </c>
      <c r="Z12" s="12" t="s">
        <v>98</v>
      </c>
      <c r="AA12" t="s">
        <v>78</v>
      </c>
      <c r="AB12">
        <v>0.41899999999999998</v>
      </c>
      <c r="AC12" s="7" t="s">
        <v>86</v>
      </c>
      <c r="AD12" s="17">
        <v>0.215</v>
      </c>
      <c r="AE12" t="s">
        <v>73</v>
      </c>
      <c r="AF12">
        <f>(2.52+2.46)/2</f>
        <v>2.4900000000000002</v>
      </c>
      <c r="AG12">
        <v>37</v>
      </c>
      <c r="AH12" s="17">
        <v>2.4500000000000002</v>
      </c>
      <c r="AI12" t="s">
        <v>73</v>
      </c>
      <c r="AJ12">
        <v>138</v>
      </c>
      <c r="AK12" t="s">
        <v>73</v>
      </c>
      <c r="AL12">
        <v>389</v>
      </c>
      <c r="AM12">
        <v>389</v>
      </c>
      <c r="AN12">
        <v>0.1</v>
      </c>
      <c r="AO12">
        <v>3</v>
      </c>
      <c r="AP12">
        <f>AB12/AD12</f>
        <v>1.9488372093023256</v>
      </c>
      <c r="AQ12" t="s">
        <v>73</v>
      </c>
      <c r="AR12" s="17">
        <v>0.16800000000000001</v>
      </c>
      <c r="AS12">
        <v>1</v>
      </c>
      <c r="AT12">
        <v>0</v>
      </c>
      <c r="AU12">
        <v>1</v>
      </c>
      <c r="AV12">
        <v>1</v>
      </c>
      <c r="AW12">
        <v>1</v>
      </c>
      <c r="AX12">
        <v>0</v>
      </c>
      <c r="AY12" t="s">
        <v>96</v>
      </c>
      <c r="AZ12" s="17">
        <v>2.31</v>
      </c>
      <c r="BA12" t="s">
        <v>73</v>
      </c>
      <c r="BB12">
        <v>1</v>
      </c>
      <c r="BC12">
        <v>1</v>
      </c>
      <c r="BD12" t="s">
        <v>83</v>
      </c>
      <c r="BE12" t="s">
        <v>83</v>
      </c>
      <c r="BF12" t="s">
        <v>73</v>
      </c>
      <c r="BG12">
        <v>14</v>
      </c>
      <c r="BH12">
        <v>7</v>
      </c>
      <c r="BI12" s="30">
        <f>(((AP12^2)/(AP12^2+AL12))^1/2)</f>
        <v>4.8345037303893371E-3</v>
      </c>
      <c r="BJ12" s="30">
        <f>- (((AP12^2)/(AP12^2+AM12))^1/2)</f>
        <v>-4.8345037303893371E-3</v>
      </c>
      <c r="BK12" s="30">
        <f t="shared" si="9"/>
        <v>-4.8345413956116306E-3</v>
      </c>
      <c r="BL12" s="30">
        <f t="shared" si="10"/>
        <v>2.5773195862209088E-3</v>
      </c>
      <c r="BM12" s="30">
        <f t="shared" si="11"/>
        <v>2.5906735751295338E-3</v>
      </c>
      <c r="BO12" t="s">
        <v>84</v>
      </c>
    </row>
    <row r="13" spans="1:68" hidden="1">
      <c r="A13" t="s">
        <v>68</v>
      </c>
      <c r="B13">
        <v>12</v>
      </c>
      <c r="C13">
        <v>1002</v>
      </c>
      <c r="D13" t="s">
        <v>99</v>
      </c>
      <c r="E13" t="s">
        <v>100</v>
      </c>
      <c r="F13" t="s">
        <v>101</v>
      </c>
      <c r="G13" t="s">
        <v>102</v>
      </c>
      <c r="H13" t="s">
        <v>73</v>
      </c>
      <c r="I13">
        <v>37</v>
      </c>
      <c r="J13" t="s">
        <v>93</v>
      </c>
      <c r="K13" t="s">
        <v>76</v>
      </c>
      <c r="L13">
        <v>1</v>
      </c>
      <c r="M13">
        <v>1</v>
      </c>
      <c r="N13">
        <v>0</v>
      </c>
      <c r="O13">
        <v>0</v>
      </c>
      <c r="P13">
        <v>0</v>
      </c>
      <c r="Q13">
        <v>0</v>
      </c>
      <c r="R13">
        <v>0</v>
      </c>
      <c r="S13">
        <v>0</v>
      </c>
      <c r="T13">
        <v>0</v>
      </c>
      <c r="U13">
        <v>0</v>
      </c>
      <c r="V13">
        <v>1</v>
      </c>
      <c r="W13">
        <v>0</v>
      </c>
      <c r="X13">
        <v>0</v>
      </c>
      <c r="Y13">
        <v>0</v>
      </c>
      <c r="Z13" t="s">
        <v>103</v>
      </c>
      <c r="AA13" t="s">
        <v>78</v>
      </c>
      <c r="AB13" t="s">
        <v>73</v>
      </c>
      <c r="AC13" s="7" t="s">
        <v>86</v>
      </c>
      <c r="AD13" t="s">
        <v>73</v>
      </c>
      <c r="AE13">
        <v>20</v>
      </c>
      <c r="AF13" t="s">
        <v>73</v>
      </c>
      <c r="AG13" t="s">
        <v>73</v>
      </c>
      <c r="AH13" t="s">
        <v>73</v>
      </c>
      <c r="AI13" t="s">
        <v>73</v>
      </c>
      <c r="AJ13" t="s">
        <v>73</v>
      </c>
      <c r="AK13" t="s">
        <v>73</v>
      </c>
      <c r="AL13">
        <v>102</v>
      </c>
      <c r="AM13">
        <f>7120+1879</f>
        <v>8999</v>
      </c>
      <c r="AN13">
        <v>0.1</v>
      </c>
      <c r="AO13">
        <v>2</v>
      </c>
      <c r="AP13">
        <v>1.6598999999999999</v>
      </c>
      <c r="AQ13" t="s">
        <v>73</v>
      </c>
      <c r="AR13" t="s">
        <v>73</v>
      </c>
      <c r="AS13">
        <v>1</v>
      </c>
      <c r="AT13">
        <v>1</v>
      </c>
      <c r="AU13">
        <v>1</v>
      </c>
      <c r="AV13">
        <v>1</v>
      </c>
      <c r="AW13">
        <v>0</v>
      </c>
      <c r="AX13">
        <v>1</v>
      </c>
      <c r="AY13" t="s">
        <v>81</v>
      </c>
      <c r="AZ13">
        <v>0.28837000000000002</v>
      </c>
      <c r="BA13" t="s">
        <v>73</v>
      </c>
      <c r="BB13">
        <v>1</v>
      </c>
      <c r="BC13">
        <v>1</v>
      </c>
      <c r="BD13" t="s">
        <v>83</v>
      </c>
      <c r="BE13" t="s">
        <v>83</v>
      </c>
      <c r="BF13" t="s">
        <v>73</v>
      </c>
      <c r="BG13" s="31">
        <v>52.143000000000001</v>
      </c>
      <c r="BH13">
        <v>5</v>
      </c>
      <c r="BI13" s="30">
        <f>(((AP13^2)/(AP13^2+AL13))^1/2)</f>
        <v>1.3150975900023379E-2</v>
      </c>
      <c r="BJ13" s="30">
        <f>- (((AP13^2)/(AP13^2+AM13))^1/2)</f>
        <v>-1.5304059752610345E-4</v>
      </c>
      <c r="BK13" s="30">
        <f t="shared" si="9"/>
        <v>-1.5304059872088668E-4</v>
      </c>
      <c r="BL13" s="30">
        <f t="shared" si="10"/>
        <v>9.9009900990098959E-3</v>
      </c>
      <c r="BM13" s="30">
        <f t="shared" si="11"/>
        <v>1.0101010101010102E-2</v>
      </c>
    </row>
    <row r="14" spans="1:68" hidden="1">
      <c r="A14" t="s">
        <v>68</v>
      </c>
      <c r="B14">
        <v>13</v>
      </c>
      <c r="C14">
        <v>1002</v>
      </c>
      <c r="D14" t="s">
        <v>99</v>
      </c>
      <c r="E14" t="s">
        <v>100</v>
      </c>
      <c r="F14" t="s">
        <v>101</v>
      </c>
      <c r="G14" t="s">
        <v>102</v>
      </c>
      <c r="H14" t="s">
        <v>73</v>
      </c>
      <c r="I14">
        <v>37</v>
      </c>
      <c r="J14" t="s">
        <v>93</v>
      </c>
      <c r="K14" t="s">
        <v>76</v>
      </c>
      <c r="L14">
        <v>1</v>
      </c>
      <c r="M14">
        <v>1</v>
      </c>
      <c r="N14">
        <v>0</v>
      </c>
      <c r="O14">
        <v>0</v>
      </c>
      <c r="P14">
        <v>0</v>
      </c>
      <c r="Q14">
        <v>0</v>
      </c>
      <c r="R14">
        <v>0</v>
      </c>
      <c r="S14">
        <v>0</v>
      </c>
      <c r="T14">
        <v>0</v>
      </c>
      <c r="U14">
        <v>0</v>
      </c>
      <c r="V14">
        <v>1</v>
      </c>
      <c r="W14">
        <v>0</v>
      </c>
      <c r="X14">
        <v>0</v>
      </c>
      <c r="Y14">
        <v>0</v>
      </c>
      <c r="Z14" t="s">
        <v>104</v>
      </c>
      <c r="AA14" t="s">
        <v>78</v>
      </c>
      <c r="AB14" t="s">
        <v>73</v>
      </c>
      <c r="AC14" s="7" t="s">
        <v>86</v>
      </c>
      <c r="AD14" t="s">
        <v>73</v>
      </c>
      <c r="AE14">
        <v>5</v>
      </c>
      <c r="AF14" t="s">
        <v>73</v>
      </c>
      <c r="AG14" t="s">
        <v>73</v>
      </c>
      <c r="AH14" t="s">
        <v>73</v>
      </c>
      <c r="AI14" t="s">
        <v>73</v>
      </c>
      <c r="AJ14" t="s">
        <v>73</v>
      </c>
      <c r="AK14" t="s">
        <v>73</v>
      </c>
      <c r="AL14">
        <v>102</v>
      </c>
      <c r="AM14">
        <f>7120+1879</f>
        <v>8999</v>
      </c>
      <c r="AN14">
        <v>0.1</v>
      </c>
      <c r="AO14">
        <v>1</v>
      </c>
      <c r="AP14" t="s">
        <v>73</v>
      </c>
      <c r="AQ14" t="s">
        <v>73</v>
      </c>
      <c r="AR14" t="s">
        <v>73</v>
      </c>
      <c r="AS14">
        <v>1</v>
      </c>
      <c r="AT14">
        <v>1</v>
      </c>
      <c r="AU14">
        <v>1</v>
      </c>
      <c r="AV14">
        <v>1</v>
      </c>
      <c r="AW14">
        <v>0</v>
      </c>
      <c r="AX14">
        <v>1</v>
      </c>
      <c r="AY14" t="s">
        <v>81</v>
      </c>
      <c r="AZ14">
        <v>0.28837000000000002</v>
      </c>
      <c r="BA14" t="s">
        <v>73</v>
      </c>
      <c r="BB14">
        <v>1</v>
      </c>
      <c r="BC14">
        <v>1</v>
      </c>
      <c r="BD14" t="s">
        <v>83</v>
      </c>
      <c r="BE14" t="s">
        <v>83</v>
      </c>
      <c r="BF14" t="s">
        <v>73</v>
      </c>
      <c r="BG14" s="31">
        <v>52.143000000000001</v>
      </c>
      <c r="BH14">
        <v>12</v>
      </c>
      <c r="BI14" s="30">
        <v>0</v>
      </c>
      <c r="BJ14" s="30">
        <v>0</v>
      </c>
      <c r="BK14" s="30">
        <f t="shared" si="9"/>
        <v>0</v>
      </c>
      <c r="BL14" s="30">
        <f t="shared" si="10"/>
        <v>9.9009900990099011E-3</v>
      </c>
      <c r="BM14" s="30">
        <f t="shared" si="11"/>
        <v>1.0101010101010102E-2</v>
      </c>
    </row>
    <row r="15" spans="1:68" hidden="1">
      <c r="A15" t="s">
        <v>68</v>
      </c>
      <c r="B15">
        <f>B14+1</f>
        <v>14</v>
      </c>
      <c r="C15">
        <v>1002</v>
      </c>
      <c r="D15" t="s">
        <v>99</v>
      </c>
      <c r="E15" t="s">
        <v>100</v>
      </c>
      <c r="F15" t="s">
        <v>101</v>
      </c>
      <c r="G15" t="s">
        <v>102</v>
      </c>
      <c r="H15" t="s">
        <v>73</v>
      </c>
      <c r="I15">
        <v>37</v>
      </c>
      <c r="J15" t="s">
        <v>93</v>
      </c>
      <c r="K15" t="s">
        <v>76</v>
      </c>
      <c r="L15">
        <v>1</v>
      </c>
      <c r="M15">
        <v>1</v>
      </c>
      <c r="N15">
        <v>0</v>
      </c>
      <c r="O15">
        <v>0</v>
      </c>
      <c r="P15">
        <v>0</v>
      </c>
      <c r="Q15">
        <v>0</v>
      </c>
      <c r="R15">
        <v>0</v>
      </c>
      <c r="S15">
        <v>0</v>
      </c>
      <c r="T15">
        <v>0</v>
      </c>
      <c r="U15">
        <v>1</v>
      </c>
      <c r="V15">
        <v>0</v>
      </c>
      <c r="W15">
        <v>0</v>
      </c>
      <c r="X15">
        <v>0</v>
      </c>
      <c r="Y15">
        <v>0</v>
      </c>
      <c r="Z15" t="s">
        <v>103</v>
      </c>
      <c r="AA15" t="s">
        <v>78</v>
      </c>
      <c r="AB15" t="s">
        <v>73</v>
      </c>
      <c r="AC15" s="7" t="s">
        <v>86</v>
      </c>
      <c r="AD15" t="s">
        <v>73</v>
      </c>
      <c r="AE15" t="s">
        <v>73</v>
      </c>
      <c r="AF15" t="s">
        <v>73</v>
      </c>
      <c r="AG15" t="s">
        <v>73</v>
      </c>
      <c r="AH15" t="s">
        <v>73</v>
      </c>
      <c r="AI15" t="s">
        <v>73</v>
      </c>
      <c r="AJ15" t="s">
        <v>73</v>
      </c>
      <c r="AK15" t="s">
        <v>73</v>
      </c>
      <c r="AL15">
        <v>102</v>
      </c>
      <c r="AM15">
        <f>7120+1879</f>
        <v>8999</v>
      </c>
      <c r="AN15">
        <v>0.1</v>
      </c>
      <c r="AO15">
        <v>1</v>
      </c>
      <c r="AP15" t="s">
        <v>73</v>
      </c>
      <c r="AQ15" t="s">
        <v>73</v>
      </c>
      <c r="AR15" t="s">
        <v>73</v>
      </c>
      <c r="AS15">
        <v>1</v>
      </c>
      <c r="AT15">
        <v>1</v>
      </c>
      <c r="AU15">
        <v>1</v>
      </c>
      <c r="AV15">
        <v>1</v>
      </c>
      <c r="AW15">
        <v>0</v>
      </c>
      <c r="AX15">
        <v>1</v>
      </c>
      <c r="AY15" t="s">
        <v>81</v>
      </c>
      <c r="AZ15">
        <v>4.43337</v>
      </c>
      <c r="BA15" t="s">
        <v>73</v>
      </c>
      <c r="BB15">
        <v>1</v>
      </c>
      <c r="BC15">
        <v>1</v>
      </c>
      <c r="BD15" t="s">
        <v>83</v>
      </c>
      <c r="BE15" t="s">
        <v>83</v>
      </c>
      <c r="BF15" t="s">
        <v>73</v>
      </c>
      <c r="BG15" s="31">
        <v>52.143000000000001</v>
      </c>
      <c r="BH15">
        <v>5</v>
      </c>
      <c r="BI15" s="30">
        <v>0</v>
      </c>
      <c r="BJ15" s="30">
        <v>0</v>
      </c>
      <c r="BK15" s="30">
        <f t="shared" si="9"/>
        <v>0</v>
      </c>
      <c r="BL15" s="30">
        <f t="shared" si="10"/>
        <v>9.9009900990099011E-3</v>
      </c>
      <c r="BM15" s="30">
        <f t="shared" si="11"/>
        <v>1.0101010101010102E-2</v>
      </c>
    </row>
    <row r="16" spans="1:68" hidden="1">
      <c r="A16" t="s">
        <v>68</v>
      </c>
      <c r="B16">
        <f>B15+1</f>
        <v>15</v>
      </c>
      <c r="C16">
        <v>1002</v>
      </c>
      <c r="D16" t="s">
        <v>99</v>
      </c>
      <c r="E16" t="s">
        <v>100</v>
      </c>
      <c r="F16" t="s">
        <v>101</v>
      </c>
      <c r="G16" t="s">
        <v>102</v>
      </c>
      <c r="H16" t="s">
        <v>73</v>
      </c>
      <c r="I16">
        <v>37</v>
      </c>
      <c r="J16" t="s">
        <v>93</v>
      </c>
      <c r="K16" t="s">
        <v>76</v>
      </c>
      <c r="L16">
        <v>1</v>
      </c>
      <c r="M16">
        <v>1</v>
      </c>
      <c r="N16">
        <v>0</v>
      </c>
      <c r="O16">
        <v>0</v>
      </c>
      <c r="P16">
        <v>0</v>
      </c>
      <c r="Q16">
        <v>0</v>
      </c>
      <c r="R16">
        <v>0</v>
      </c>
      <c r="S16">
        <v>0</v>
      </c>
      <c r="T16">
        <v>0</v>
      </c>
      <c r="U16">
        <v>1</v>
      </c>
      <c r="V16">
        <v>0</v>
      </c>
      <c r="W16">
        <v>0</v>
      </c>
      <c r="X16">
        <v>0</v>
      </c>
      <c r="Y16">
        <v>0</v>
      </c>
      <c r="Z16" t="s">
        <v>104</v>
      </c>
      <c r="AA16" t="s">
        <v>78</v>
      </c>
      <c r="AB16" t="s">
        <v>73</v>
      </c>
      <c r="AC16" s="7" t="s">
        <v>86</v>
      </c>
      <c r="AD16" t="s">
        <v>73</v>
      </c>
      <c r="AE16">
        <v>25</v>
      </c>
      <c r="AF16" t="s">
        <v>73</v>
      </c>
      <c r="AG16" t="s">
        <v>73</v>
      </c>
      <c r="AH16" t="s">
        <v>73</v>
      </c>
      <c r="AI16" t="s">
        <v>73</v>
      </c>
      <c r="AJ16" t="s">
        <v>73</v>
      </c>
      <c r="AK16" t="s">
        <v>73</v>
      </c>
      <c r="AL16">
        <v>102</v>
      </c>
      <c r="AM16">
        <f>7120+1879</f>
        <v>8999</v>
      </c>
      <c r="AN16">
        <v>0.05</v>
      </c>
      <c r="AO16">
        <v>2</v>
      </c>
      <c r="AP16">
        <v>1.9835</v>
      </c>
      <c r="AQ16" t="s">
        <v>73</v>
      </c>
      <c r="AR16" t="s">
        <v>73</v>
      </c>
      <c r="AS16">
        <v>1</v>
      </c>
      <c r="AT16">
        <v>1</v>
      </c>
      <c r="AU16">
        <v>1</v>
      </c>
      <c r="AV16">
        <v>1</v>
      </c>
      <c r="AW16">
        <v>0</v>
      </c>
      <c r="AX16">
        <v>1</v>
      </c>
      <c r="AY16" t="s">
        <v>81</v>
      </c>
      <c r="AZ16">
        <v>4.43337</v>
      </c>
      <c r="BA16" t="s">
        <v>73</v>
      </c>
      <c r="BB16">
        <v>1</v>
      </c>
      <c r="BC16">
        <v>1</v>
      </c>
      <c r="BD16" t="s">
        <v>83</v>
      </c>
      <c r="BE16" t="s">
        <v>83</v>
      </c>
      <c r="BF16" t="s">
        <v>73</v>
      </c>
      <c r="BG16" s="31">
        <v>52.143000000000001</v>
      </c>
      <c r="BH16">
        <v>12</v>
      </c>
      <c r="BI16" s="30">
        <f>(((AP16^2)/(AP16^2+AL16))^1/2)</f>
        <v>1.8569402358829156E-2</v>
      </c>
      <c r="BJ16" s="30">
        <f>- (((AP16^2)/(AP16^2+AM16))^1/2)</f>
        <v>-2.1849944312748784E-4</v>
      </c>
      <c r="BK16" s="30">
        <f t="shared" si="9"/>
        <v>-2.1849944660474072E-4</v>
      </c>
      <c r="BL16" s="30">
        <f t="shared" si="10"/>
        <v>9.9009900990098786E-3</v>
      </c>
      <c r="BM16" s="30">
        <f t="shared" si="11"/>
        <v>1.0101010101010102E-2</v>
      </c>
    </row>
    <row r="17" spans="1:67" hidden="1">
      <c r="A17" t="s">
        <v>68</v>
      </c>
      <c r="B17">
        <v>16</v>
      </c>
      <c r="C17">
        <v>1003</v>
      </c>
      <c r="D17" t="s">
        <v>105</v>
      </c>
      <c r="E17" t="s">
        <v>106</v>
      </c>
      <c r="F17" t="s">
        <v>73</v>
      </c>
      <c r="G17">
        <v>1978</v>
      </c>
      <c r="H17" t="s">
        <v>73</v>
      </c>
      <c r="I17">
        <v>414</v>
      </c>
      <c r="J17" t="s">
        <v>107</v>
      </c>
      <c r="K17" t="s">
        <v>76</v>
      </c>
      <c r="L17">
        <v>1</v>
      </c>
      <c r="M17">
        <v>1</v>
      </c>
      <c r="N17">
        <v>0</v>
      </c>
      <c r="O17">
        <v>1</v>
      </c>
      <c r="P17">
        <v>0</v>
      </c>
      <c r="Q17">
        <v>0</v>
      </c>
      <c r="R17">
        <v>0</v>
      </c>
      <c r="S17">
        <v>0</v>
      </c>
      <c r="T17">
        <v>0</v>
      </c>
      <c r="U17">
        <v>0</v>
      </c>
      <c r="V17">
        <v>0</v>
      </c>
      <c r="W17">
        <v>0</v>
      </c>
      <c r="X17">
        <v>1</v>
      </c>
      <c r="Y17">
        <v>0</v>
      </c>
      <c r="Z17" t="s">
        <v>73</v>
      </c>
      <c r="AA17" t="s">
        <v>108</v>
      </c>
      <c r="AB17" t="s">
        <v>73</v>
      </c>
      <c r="AC17" s="7" t="s">
        <v>86</v>
      </c>
      <c r="AD17" t="s">
        <v>73</v>
      </c>
      <c r="AE17" t="s">
        <v>73</v>
      </c>
      <c r="AF17">
        <v>22.76</v>
      </c>
      <c r="AG17" t="s">
        <v>73</v>
      </c>
      <c r="AH17">
        <v>6.02</v>
      </c>
      <c r="AI17">
        <v>18.3</v>
      </c>
      <c r="AJ17" t="s">
        <v>73</v>
      </c>
      <c r="AK17">
        <v>2.96</v>
      </c>
      <c r="AL17">
        <v>40</v>
      </c>
      <c r="AM17">
        <f>3*4*AL17</f>
        <v>480</v>
      </c>
      <c r="AN17">
        <v>0.1</v>
      </c>
      <c r="AO17">
        <v>1</v>
      </c>
      <c r="AP17" t="s">
        <v>73</v>
      </c>
      <c r="AQ17">
        <f>AF17-AI17</f>
        <v>4.4600000000000009</v>
      </c>
      <c r="AR17" t="s">
        <v>73</v>
      </c>
      <c r="AS17">
        <v>1</v>
      </c>
      <c r="AT17">
        <v>0</v>
      </c>
      <c r="AU17">
        <v>0</v>
      </c>
      <c r="AV17">
        <v>1</v>
      </c>
      <c r="AW17">
        <v>0</v>
      </c>
      <c r="AX17">
        <v>1</v>
      </c>
      <c r="AY17" t="s">
        <v>81</v>
      </c>
      <c r="AZ17" s="32" t="s">
        <v>73</v>
      </c>
      <c r="BA17" t="s">
        <v>73</v>
      </c>
      <c r="BB17">
        <v>1</v>
      </c>
      <c r="BC17">
        <v>1</v>
      </c>
      <c r="BD17" t="s">
        <v>83</v>
      </c>
      <c r="BE17" t="s">
        <v>83</v>
      </c>
      <c r="BF17" t="s">
        <v>73</v>
      </c>
      <c r="BG17" t="s">
        <v>79</v>
      </c>
      <c r="BH17">
        <v>4</v>
      </c>
      <c r="BI17" s="30">
        <v>0</v>
      </c>
      <c r="BJ17" s="30">
        <v>0</v>
      </c>
      <c r="BK17" s="30">
        <f t="shared" si="9"/>
        <v>0</v>
      </c>
      <c r="BL17" s="30">
        <f t="shared" si="10"/>
        <v>2.564102564102564E-2</v>
      </c>
      <c r="BM17" s="30">
        <f t="shared" si="11"/>
        <v>2.7027027027027029E-2</v>
      </c>
    </row>
    <row r="18" spans="1:67" hidden="1">
      <c r="A18" t="s">
        <v>68</v>
      </c>
      <c r="B18">
        <f>B17+1</f>
        <v>17</v>
      </c>
      <c r="C18">
        <v>1003</v>
      </c>
      <c r="D18" t="s">
        <v>105</v>
      </c>
      <c r="E18" t="s">
        <v>106</v>
      </c>
      <c r="F18" t="s">
        <v>73</v>
      </c>
      <c r="G18">
        <v>1978</v>
      </c>
      <c r="H18" t="s">
        <v>73</v>
      </c>
      <c r="I18">
        <v>414</v>
      </c>
      <c r="J18" t="s">
        <v>107</v>
      </c>
      <c r="K18" t="s">
        <v>76</v>
      </c>
      <c r="L18">
        <v>1</v>
      </c>
      <c r="M18">
        <v>1</v>
      </c>
      <c r="N18">
        <v>0</v>
      </c>
      <c r="O18">
        <v>0</v>
      </c>
      <c r="P18">
        <v>0</v>
      </c>
      <c r="Q18">
        <v>0</v>
      </c>
      <c r="R18">
        <v>0</v>
      </c>
      <c r="S18">
        <v>0</v>
      </c>
      <c r="T18">
        <v>0</v>
      </c>
      <c r="U18">
        <v>0</v>
      </c>
      <c r="V18">
        <v>0</v>
      </c>
      <c r="W18">
        <v>0</v>
      </c>
      <c r="X18">
        <v>1</v>
      </c>
      <c r="Y18">
        <v>0</v>
      </c>
      <c r="Z18" t="s">
        <v>73</v>
      </c>
      <c r="AA18" t="s">
        <v>108</v>
      </c>
      <c r="AB18" t="s">
        <v>73</v>
      </c>
      <c r="AC18" s="7" t="s">
        <v>86</v>
      </c>
      <c r="AD18" t="s">
        <v>73</v>
      </c>
      <c r="AE18" t="s">
        <v>73</v>
      </c>
      <c r="AF18">
        <v>22.76</v>
      </c>
      <c r="AG18" t="s">
        <v>73</v>
      </c>
      <c r="AH18">
        <v>6.02</v>
      </c>
      <c r="AI18">
        <v>20.61</v>
      </c>
      <c r="AJ18" t="s">
        <v>73</v>
      </c>
      <c r="AK18">
        <v>5.69</v>
      </c>
      <c r="AL18">
        <v>40</v>
      </c>
      <c r="AM18">
        <f>3*4*AL18</f>
        <v>480</v>
      </c>
      <c r="AN18">
        <v>0.1</v>
      </c>
      <c r="AO18">
        <v>1</v>
      </c>
      <c r="AP18" t="s">
        <v>73</v>
      </c>
      <c r="AQ18">
        <f>AF18-AI18</f>
        <v>2.1500000000000021</v>
      </c>
      <c r="AR18" t="s">
        <v>73</v>
      </c>
      <c r="AS18">
        <v>1</v>
      </c>
      <c r="AT18">
        <v>0</v>
      </c>
      <c r="AU18">
        <v>0</v>
      </c>
      <c r="AV18">
        <v>1</v>
      </c>
      <c r="AW18">
        <v>0</v>
      </c>
      <c r="AX18">
        <v>1</v>
      </c>
      <c r="AY18" t="s">
        <v>81</v>
      </c>
      <c r="AZ18" s="32" t="s">
        <v>73</v>
      </c>
      <c r="BA18" t="s">
        <v>73</v>
      </c>
      <c r="BB18">
        <v>1</v>
      </c>
      <c r="BC18">
        <v>1</v>
      </c>
      <c r="BD18" t="s">
        <v>83</v>
      </c>
      <c r="BE18" t="s">
        <v>83</v>
      </c>
      <c r="BF18" t="s">
        <v>73</v>
      </c>
      <c r="BG18" t="s">
        <v>79</v>
      </c>
      <c r="BH18">
        <v>4</v>
      </c>
      <c r="BI18" s="30">
        <v>0</v>
      </c>
      <c r="BJ18" s="30">
        <v>0</v>
      </c>
      <c r="BK18" s="30">
        <f t="shared" si="9"/>
        <v>0</v>
      </c>
      <c r="BL18" s="30">
        <f t="shared" si="10"/>
        <v>2.564102564102564E-2</v>
      </c>
      <c r="BM18" s="30">
        <f t="shared" si="11"/>
        <v>2.7027027027027029E-2</v>
      </c>
    </row>
    <row r="19" spans="1:67" hidden="1">
      <c r="A19" t="s">
        <v>68</v>
      </c>
      <c r="B19">
        <f>B18+1</f>
        <v>18</v>
      </c>
      <c r="C19">
        <v>1003</v>
      </c>
      <c r="D19" t="s">
        <v>105</v>
      </c>
      <c r="E19" t="s">
        <v>106</v>
      </c>
      <c r="F19" t="s">
        <v>73</v>
      </c>
      <c r="G19">
        <v>1978</v>
      </c>
      <c r="H19" t="s">
        <v>73</v>
      </c>
      <c r="I19">
        <v>414</v>
      </c>
      <c r="J19" t="s">
        <v>107</v>
      </c>
      <c r="K19" t="s">
        <v>76</v>
      </c>
      <c r="L19">
        <v>1</v>
      </c>
      <c r="M19">
        <v>0</v>
      </c>
      <c r="N19">
        <v>0</v>
      </c>
      <c r="O19">
        <v>1</v>
      </c>
      <c r="P19">
        <v>0</v>
      </c>
      <c r="Q19">
        <v>0</v>
      </c>
      <c r="R19">
        <v>0</v>
      </c>
      <c r="S19">
        <v>0</v>
      </c>
      <c r="T19">
        <v>0</v>
      </c>
      <c r="U19">
        <v>0</v>
      </c>
      <c r="V19">
        <v>0</v>
      </c>
      <c r="W19">
        <v>0</v>
      </c>
      <c r="X19">
        <v>1</v>
      </c>
      <c r="Y19">
        <v>0</v>
      </c>
      <c r="Z19" t="s">
        <v>73</v>
      </c>
      <c r="AA19" t="s">
        <v>108</v>
      </c>
      <c r="AB19" t="s">
        <v>73</v>
      </c>
      <c r="AC19" s="7" t="s">
        <v>86</v>
      </c>
      <c r="AD19" t="s">
        <v>73</v>
      </c>
      <c r="AE19" t="s">
        <v>73</v>
      </c>
      <c r="AF19">
        <v>22.76</v>
      </c>
      <c r="AG19" t="s">
        <v>73</v>
      </c>
      <c r="AH19">
        <v>6.02</v>
      </c>
      <c r="AI19">
        <v>18.239999999999998</v>
      </c>
      <c r="AJ19" t="s">
        <v>73</v>
      </c>
      <c r="AK19">
        <v>4.5</v>
      </c>
      <c r="AL19">
        <v>40</v>
      </c>
      <c r="AM19">
        <f>3*4*AL19</f>
        <v>480</v>
      </c>
      <c r="AN19">
        <v>0.1</v>
      </c>
      <c r="AO19">
        <v>1</v>
      </c>
      <c r="AP19" t="s">
        <v>73</v>
      </c>
      <c r="AQ19">
        <f>AF19-AI19</f>
        <v>4.5200000000000031</v>
      </c>
      <c r="AR19" t="s">
        <v>73</v>
      </c>
      <c r="AS19">
        <v>1</v>
      </c>
      <c r="AT19">
        <v>0</v>
      </c>
      <c r="AU19">
        <v>0</v>
      </c>
      <c r="AV19">
        <v>1</v>
      </c>
      <c r="AW19">
        <v>0</v>
      </c>
      <c r="AX19">
        <v>1</v>
      </c>
      <c r="AY19" t="s">
        <v>81</v>
      </c>
      <c r="AZ19" s="32" t="s">
        <v>73</v>
      </c>
      <c r="BA19" t="s">
        <v>73</v>
      </c>
      <c r="BB19">
        <v>1</v>
      </c>
      <c r="BC19">
        <v>1</v>
      </c>
      <c r="BD19" t="s">
        <v>83</v>
      </c>
      <c r="BE19" t="s">
        <v>83</v>
      </c>
      <c r="BF19" t="s">
        <v>73</v>
      </c>
      <c r="BG19" t="s">
        <v>79</v>
      </c>
      <c r="BH19">
        <v>4</v>
      </c>
      <c r="BI19" s="30">
        <v>0</v>
      </c>
      <c r="BJ19" s="30">
        <v>0</v>
      </c>
      <c r="BK19" s="30">
        <f t="shared" si="9"/>
        <v>0</v>
      </c>
      <c r="BL19" s="30">
        <f t="shared" si="10"/>
        <v>2.564102564102564E-2</v>
      </c>
      <c r="BM19" s="30">
        <f t="shared" si="11"/>
        <v>2.7027027027027029E-2</v>
      </c>
    </row>
    <row r="20" spans="1:67" s="32" customFormat="1" hidden="1">
      <c r="A20" s="32" t="s">
        <v>68</v>
      </c>
      <c r="B20" s="32">
        <v>19</v>
      </c>
      <c r="C20" s="32">
        <v>1004</v>
      </c>
      <c r="D20" s="32" t="s">
        <v>109</v>
      </c>
      <c r="E20" s="32" t="s">
        <v>110</v>
      </c>
      <c r="F20" s="32" t="s">
        <v>111</v>
      </c>
      <c r="G20" s="32">
        <v>2011</v>
      </c>
      <c r="H20" s="32" t="s">
        <v>73</v>
      </c>
      <c r="I20" s="32">
        <v>647</v>
      </c>
      <c r="J20" s="32" t="s">
        <v>107</v>
      </c>
      <c r="K20" s="32" t="s">
        <v>112</v>
      </c>
      <c r="L20" s="32">
        <v>1</v>
      </c>
      <c r="M20">
        <v>0</v>
      </c>
      <c r="N20">
        <v>0</v>
      </c>
      <c r="O20" s="32">
        <v>1</v>
      </c>
      <c r="P20">
        <v>0</v>
      </c>
      <c r="Q20">
        <v>0</v>
      </c>
      <c r="R20">
        <v>0</v>
      </c>
      <c r="S20">
        <v>0</v>
      </c>
      <c r="T20">
        <v>0</v>
      </c>
      <c r="U20">
        <v>0</v>
      </c>
      <c r="V20">
        <v>0</v>
      </c>
      <c r="W20">
        <v>0</v>
      </c>
      <c r="X20">
        <v>1</v>
      </c>
      <c r="Y20">
        <v>0</v>
      </c>
      <c r="Z20" s="32" t="s">
        <v>73</v>
      </c>
      <c r="AA20" t="s">
        <v>113</v>
      </c>
      <c r="AB20" s="33" t="s">
        <v>73</v>
      </c>
      <c r="AC20" s="33" t="s">
        <v>86</v>
      </c>
      <c r="AD20" t="s">
        <v>73</v>
      </c>
      <c r="AE20" s="32">
        <v>5.6</v>
      </c>
      <c r="AF20" s="32" t="s">
        <v>73</v>
      </c>
      <c r="AG20" s="32" t="s">
        <v>73</v>
      </c>
      <c r="AH20" s="32" t="s">
        <v>73</v>
      </c>
      <c r="AI20" s="32" t="s">
        <v>73</v>
      </c>
      <c r="AJ20" s="32">
        <v>88</v>
      </c>
      <c r="AK20" s="32" t="s">
        <v>73</v>
      </c>
      <c r="AL20" s="32">
        <v>88</v>
      </c>
      <c r="AM20" s="32">
        <f>168*13</f>
        <v>2184</v>
      </c>
      <c r="AN20" s="32">
        <v>0.01</v>
      </c>
      <c r="AO20" s="32">
        <v>2</v>
      </c>
      <c r="AP20" s="32">
        <v>2.6328999999999998</v>
      </c>
      <c r="AQ20" s="32">
        <v>7.0000000000000007E-2</v>
      </c>
      <c r="AR20" s="32" t="s">
        <v>73</v>
      </c>
      <c r="AS20" s="32">
        <v>1</v>
      </c>
      <c r="AT20">
        <v>0</v>
      </c>
      <c r="AU20">
        <v>0</v>
      </c>
      <c r="AV20">
        <v>0</v>
      </c>
      <c r="AW20">
        <v>0</v>
      </c>
      <c r="AX20">
        <v>1</v>
      </c>
      <c r="AY20" s="32" t="s">
        <v>81</v>
      </c>
      <c r="AZ20" s="32" t="s">
        <v>73</v>
      </c>
      <c r="BA20" t="s">
        <v>73</v>
      </c>
      <c r="BB20">
        <v>1</v>
      </c>
      <c r="BC20">
        <v>1</v>
      </c>
      <c r="BD20" t="s">
        <v>83</v>
      </c>
      <c r="BE20" t="s">
        <v>83</v>
      </c>
      <c r="BF20" t="s">
        <v>73</v>
      </c>
      <c r="BG20" s="19">
        <f t="shared" ref="BG20:BH22" si="12" xml:space="preserve"> 3 * 4.345</f>
        <v>13.035</v>
      </c>
      <c r="BH20" s="19">
        <f t="shared" si="12"/>
        <v>13.035</v>
      </c>
      <c r="BI20" s="30">
        <f>(((AP20^2)/(AP20^2+AL20))^1/2)</f>
        <v>3.6511137184787101E-2</v>
      </c>
      <c r="BJ20" s="30">
        <f>- (((AP20^2)/(AP20^2+AM20))^1/2)</f>
        <v>-1.5820121062933097E-3</v>
      </c>
      <c r="BK20" s="30">
        <f t="shared" si="9"/>
        <v>-1.5820134260953714E-3</v>
      </c>
      <c r="BL20" s="30">
        <f t="shared" si="10"/>
        <v>1.149425287349122E-2</v>
      </c>
      <c r="BM20" s="30">
        <f t="shared" si="11"/>
        <v>1.1764705882352941E-2</v>
      </c>
    </row>
    <row r="21" spans="1:67" s="32" customFormat="1" hidden="1">
      <c r="A21" s="32" t="s">
        <v>68</v>
      </c>
      <c r="B21" s="32">
        <v>20</v>
      </c>
      <c r="C21" s="32">
        <v>1004</v>
      </c>
      <c r="D21" s="32" t="s">
        <v>109</v>
      </c>
      <c r="E21" s="32" t="s">
        <v>110</v>
      </c>
      <c r="F21" s="32" t="s">
        <v>111</v>
      </c>
      <c r="G21" s="32">
        <v>2011</v>
      </c>
      <c r="H21" s="32" t="s">
        <v>73</v>
      </c>
      <c r="I21" s="32">
        <v>647</v>
      </c>
      <c r="J21" s="32" t="s">
        <v>107</v>
      </c>
      <c r="K21" s="32" t="s">
        <v>112</v>
      </c>
      <c r="L21" s="32">
        <v>1</v>
      </c>
      <c r="M21">
        <v>0</v>
      </c>
      <c r="N21">
        <v>0</v>
      </c>
      <c r="O21" s="32">
        <v>1</v>
      </c>
      <c r="P21">
        <v>0</v>
      </c>
      <c r="Q21">
        <v>0</v>
      </c>
      <c r="R21">
        <v>0</v>
      </c>
      <c r="S21">
        <v>0</v>
      </c>
      <c r="T21">
        <v>0</v>
      </c>
      <c r="U21">
        <v>0</v>
      </c>
      <c r="V21">
        <v>0</v>
      </c>
      <c r="W21">
        <v>0</v>
      </c>
      <c r="X21">
        <v>1</v>
      </c>
      <c r="Y21">
        <v>0</v>
      </c>
      <c r="Z21" s="32" t="s">
        <v>73</v>
      </c>
      <c r="AA21" t="s">
        <v>114</v>
      </c>
      <c r="AB21" s="33" t="s">
        <v>73</v>
      </c>
      <c r="AC21" s="33" t="s">
        <v>86</v>
      </c>
      <c r="AD21" t="s">
        <v>73</v>
      </c>
      <c r="AE21" s="32">
        <v>17</v>
      </c>
      <c r="AF21" s="32" t="s">
        <v>73</v>
      </c>
      <c r="AG21" s="32" t="s">
        <v>73</v>
      </c>
      <c r="AH21" s="32" t="s">
        <v>73</v>
      </c>
      <c r="AI21" s="32" t="s">
        <v>73</v>
      </c>
      <c r="AJ21" s="32">
        <v>88</v>
      </c>
      <c r="AK21" s="32" t="s">
        <v>73</v>
      </c>
      <c r="AL21" s="32">
        <v>88</v>
      </c>
      <c r="AM21" s="32">
        <f>168*13</f>
        <v>2184</v>
      </c>
      <c r="AN21" s="32">
        <v>0.01</v>
      </c>
      <c r="AO21" s="32">
        <v>2</v>
      </c>
      <c r="AP21" s="32">
        <v>2.6328999999999998</v>
      </c>
      <c r="AQ21" s="32">
        <v>0.45</v>
      </c>
      <c r="AR21" s="32" t="s">
        <v>73</v>
      </c>
      <c r="AS21" s="32">
        <v>1</v>
      </c>
      <c r="AT21">
        <v>0</v>
      </c>
      <c r="AU21">
        <v>0</v>
      </c>
      <c r="AV21">
        <v>0</v>
      </c>
      <c r="AW21">
        <v>0</v>
      </c>
      <c r="AX21">
        <v>1</v>
      </c>
      <c r="AY21" s="32" t="s">
        <v>81</v>
      </c>
      <c r="AZ21" s="32" t="s">
        <v>73</v>
      </c>
      <c r="BA21" t="s">
        <v>73</v>
      </c>
      <c r="BB21">
        <v>1</v>
      </c>
      <c r="BC21">
        <v>1</v>
      </c>
      <c r="BD21" t="s">
        <v>83</v>
      </c>
      <c r="BE21" t="s">
        <v>83</v>
      </c>
      <c r="BF21" t="s">
        <v>73</v>
      </c>
      <c r="BG21" s="19">
        <f t="shared" si="12"/>
        <v>13.035</v>
      </c>
      <c r="BH21" s="19">
        <f t="shared" si="12"/>
        <v>13.035</v>
      </c>
      <c r="BI21" s="30">
        <f>(((AP21^2)/(AP21^2+AL21))^1/2)</f>
        <v>3.6511137184787101E-2</v>
      </c>
      <c r="BJ21" s="30">
        <f>- (((AP21^2)/(AP21^2+AM21))^1/2)</f>
        <v>-1.5820121062933097E-3</v>
      </c>
      <c r="BK21" s="30">
        <f t="shared" si="9"/>
        <v>-1.5820134260953714E-3</v>
      </c>
      <c r="BL21" s="30">
        <f t="shared" si="10"/>
        <v>1.149425287349122E-2</v>
      </c>
      <c r="BM21" s="30">
        <f t="shared" si="11"/>
        <v>1.1764705882352941E-2</v>
      </c>
    </row>
    <row r="22" spans="1:67" s="32" customFormat="1" hidden="1">
      <c r="A22" s="32" t="s">
        <v>68</v>
      </c>
      <c r="B22" s="32">
        <v>21</v>
      </c>
      <c r="C22" s="32">
        <v>1004</v>
      </c>
      <c r="D22" s="32" t="s">
        <v>109</v>
      </c>
      <c r="E22" s="32" t="s">
        <v>110</v>
      </c>
      <c r="F22" s="32" t="s">
        <v>111</v>
      </c>
      <c r="G22" s="32">
        <v>2011</v>
      </c>
      <c r="H22" s="32" t="s">
        <v>73</v>
      </c>
      <c r="I22" s="32">
        <v>647</v>
      </c>
      <c r="J22" s="32" t="s">
        <v>107</v>
      </c>
      <c r="K22" s="32" t="s">
        <v>112</v>
      </c>
      <c r="L22" s="32">
        <v>1</v>
      </c>
      <c r="M22">
        <v>0</v>
      </c>
      <c r="N22">
        <v>0</v>
      </c>
      <c r="O22" s="32">
        <v>1</v>
      </c>
      <c r="P22">
        <v>0</v>
      </c>
      <c r="Q22">
        <v>0</v>
      </c>
      <c r="R22">
        <v>0</v>
      </c>
      <c r="S22">
        <v>0</v>
      </c>
      <c r="T22">
        <v>0</v>
      </c>
      <c r="U22">
        <v>0</v>
      </c>
      <c r="V22">
        <v>0</v>
      </c>
      <c r="W22">
        <v>0</v>
      </c>
      <c r="X22">
        <v>1</v>
      </c>
      <c r="Y22">
        <v>0</v>
      </c>
      <c r="Z22" s="32" t="s">
        <v>73</v>
      </c>
      <c r="AA22" t="s">
        <v>115</v>
      </c>
      <c r="AB22" s="33" t="s">
        <v>73</v>
      </c>
      <c r="AC22" s="33" t="s">
        <v>86</v>
      </c>
      <c r="AD22" t="s">
        <v>73</v>
      </c>
      <c r="AE22" s="32">
        <v>38</v>
      </c>
      <c r="AF22" s="32" t="s">
        <v>73</v>
      </c>
      <c r="AG22" s="32" t="s">
        <v>73</v>
      </c>
      <c r="AH22" s="32" t="s">
        <v>73</v>
      </c>
      <c r="AI22" s="32" t="s">
        <v>73</v>
      </c>
      <c r="AJ22" s="32">
        <v>88</v>
      </c>
      <c r="AK22" s="32" t="s">
        <v>73</v>
      </c>
      <c r="AL22" s="32">
        <v>88</v>
      </c>
      <c r="AM22" s="32">
        <f>168*13</f>
        <v>2184</v>
      </c>
      <c r="AN22" s="32">
        <v>0.01</v>
      </c>
      <c r="AO22" s="32">
        <v>2</v>
      </c>
      <c r="AP22" s="32">
        <v>2.6328999999999998</v>
      </c>
      <c r="AQ22" s="32">
        <v>0.98</v>
      </c>
      <c r="AR22" s="32" t="s">
        <v>73</v>
      </c>
      <c r="AS22" s="32">
        <v>1</v>
      </c>
      <c r="AT22">
        <v>0</v>
      </c>
      <c r="AU22">
        <v>0</v>
      </c>
      <c r="AV22">
        <v>0</v>
      </c>
      <c r="AW22">
        <v>0</v>
      </c>
      <c r="AX22">
        <v>1</v>
      </c>
      <c r="AY22" s="32" t="s">
        <v>81</v>
      </c>
      <c r="AZ22" s="32" t="s">
        <v>73</v>
      </c>
      <c r="BA22" t="s">
        <v>73</v>
      </c>
      <c r="BB22">
        <v>1</v>
      </c>
      <c r="BC22">
        <v>1</v>
      </c>
      <c r="BD22" t="s">
        <v>83</v>
      </c>
      <c r="BE22" t="s">
        <v>83</v>
      </c>
      <c r="BF22" t="s">
        <v>73</v>
      </c>
      <c r="BG22" s="19">
        <f t="shared" si="12"/>
        <v>13.035</v>
      </c>
      <c r="BH22" s="19">
        <f t="shared" si="12"/>
        <v>13.035</v>
      </c>
      <c r="BI22" s="30">
        <f>(((AP22^2)/(AP22^2+AL22))^1/2)</f>
        <v>3.6511137184787101E-2</v>
      </c>
      <c r="BJ22" s="30">
        <f>- (((AP22^2)/(AP22^2+AM22))^1/2)</f>
        <v>-1.5820121062933097E-3</v>
      </c>
      <c r="BK22" s="30">
        <f t="shared" si="9"/>
        <v>-1.5820134260953714E-3</v>
      </c>
      <c r="BL22" s="30">
        <f t="shared" si="10"/>
        <v>1.149425287349122E-2</v>
      </c>
      <c r="BM22" s="30">
        <f t="shared" si="11"/>
        <v>1.1764705882352941E-2</v>
      </c>
    </row>
    <row r="23" spans="1:67" hidden="1">
      <c r="A23" t="s">
        <v>68</v>
      </c>
      <c r="B23">
        <v>22</v>
      </c>
      <c r="C23">
        <v>1005</v>
      </c>
      <c r="D23" t="s">
        <v>116</v>
      </c>
      <c r="E23" t="s">
        <v>117</v>
      </c>
      <c r="F23" t="s">
        <v>118</v>
      </c>
      <c r="G23" t="s">
        <v>119</v>
      </c>
      <c r="H23" t="s">
        <v>73</v>
      </c>
      <c r="J23" t="s">
        <v>120</v>
      </c>
      <c r="K23" t="s">
        <v>76</v>
      </c>
      <c r="L23">
        <v>1</v>
      </c>
      <c r="M23">
        <v>0</v>
      </c>
      <c r="N23">
        <v>0</v>
      </c>
      <c r="O23">
        <v>1</v>
      </c>
      <c r="P23">
        <v>0</v>
      </c>
      <c r="Q23">
        <v>0</v>
      </c>
      <c r="R23">
        <v>0</v>
      </c>
      <c r="S23">
        <v>0</v>
      </c>
      <c r="T23">
        <v>0</v>
      </c>
      <c r="U23">
        <v>0</v>
      </c>
      <c r="V23">
        <v>0</v>
      </c>
      <c r="W23">
        <v>0</v>
      </c>
      <c r="X23">
        <v>1</v>
      </c>
      <c r="Y23">
        <v>0</v>
      </c>
      <c r="Z23" t="s">
        <v>121</v>
      </c>
      <c r="AA23" t="s">
        <v>122</v>
      </c>
      <c r="AB23" s="7">
        <v>0</v>
      </c>
      <c r="AC23" s="7" t="s">
        <v>86</v>
      </c>
      <c r="AD23">
        <v>0.06</v>
      </c>
      <c r="AE23" t="s">
        <v>73</v>
      </c>
      <c r="AF23" t="s">
        <v>73</v>
      </c>
      <c r="AG23">
        <v>153</v>
      </c>
      <c r="AI23" s="32" t="s">
        <v>73</v>
      </c>
      <c r="AJ23">
        <v>154</v>
      </c>
      <c r="AK23" t="s">
        <v>73</v>
      </c>
      <c r="AL23">
        <v>691</v>
      </c>
      <c r="AM23">
        <v>691</v>
      </c>
      <c r="AN23" t="s">
        <v>123</v>
      </c>
      <c r="AO23">
        <v>3</v>
      </c>
      <c r="AP23">
        <f t="shared" ref="AP23:AP28" si="13">AB23/AD23</f>
        <v>0</v>
      </c>
      <c r="AQ23" t="s">
        <v>73</v>
      </c>
      <c r="AR23" t="s">
        <v>73</v>
      </c>
      <c r="AS23">
        <v>1</v>
      </c>
      <c r="AT23">
        <v>0</v>
      </c>
      <c r="AU23">
        <v>1</v>
      </c>
      <c r="AV23">
        <v>1</v>
      </c>
      <c r="AW23">
        <v>1</v>
      </c>
      <c r="AX23">
        <v>0</v>
      </c>
      <c r="AY23" t="s">
        <v>124</v>
      </c>
      <c r="AZ23">
        <v>16.23</v>
      </c>
      <c r="BA23" t="s">
        <v>73</v>
      </c>
      <c r="BB23">
        <v>1</v>
      </c>
      <c r="BC23">
        <v>1</v>
      </c>
      <c r="BD23" t="s">
        <v>83</v>
      </c>
      <c r="BE23" t="s">
        <v>83</v>
      </c>
      <c r="BF23" t="s">
        <v>73</v>
      </c>
      <c r="BG23" t="s">
        <v>79</v>
      </c>
      <c r="BH23" t="s">
        <v>79</v>
      </c>
      <c r="BI23" s="30">
        <f>(((AP23^2)/(AP23^2+AL23))^1/2)</f>
        <v>0</v>
      </c>
      <c r="BJ23" s="30">
        <f>- (((AP23^2)/(AP23^2+AM23))^1/2)</f>
        <v>0</v>
      </c>
      <c r="BK23" s="30">
        <f t="shared" si="9"/>
        <v>0</v>
      </c>
      <c r="BL23" s="30">
        <f t="shared" si="10"/>
        <v>1.4492753623188406E-3</v>
      </c>
      <c r="BM23" s="30">
        <f t="shared" si="11"/>
        <v>1.4534883720930232E-3</v>
      </c>
      <c r="BO23" t="s">
        <v>87</v>
      </c>
    </row>
    <row r="24" spans="1:67" hidden="1">
      <c r="A24" t="s">
        <v>68</v>
      </c>
      <c r="B24">
        <v>23</v>
      </c>
      <c r="C24">
        <v>1005</v>
      </c>
      <c r="D24" t="s">
        <v>116</v>
      </c>
      <c r="E24" t="s">
        <v>117</v>
      </c>
      <c r="F24" t="s">
        <v>118</v>
      </c>
      <c r="G24" t="s">
        <v>119</v>
      </c>
      <c r="H24" t="s">
        <v>73</v>
      </c>
      <c r="J24" t="s">
        <v>120</v>
      </c>
      <c r="K24" t="s">
        <v>76</v>
      </c>
      <c r="L24">
        <v>1</v>
      </c>
      <c r="M24">
        <v>0</v>
      </c>
      <c r="N24">
        <v>0</v>
      </c>
      <c r="O24">
        <v>1</v>
      </c>
      <c r="P24">
        <v>0</v>
      </c>
      <c r="Q24">
        <v>0</v>
      </c>
      <c r="R24">
        <v>0</v>
      </c>
      <c r="S24">
        <v>0</v>
      </c>
      <c r="T24">
        <v>0</v>
      </c>
      <c r="U24">
        <v>1</v>
      </c>
      <c r="V24">
        <v>0</v>
      </c>
      <c r="W24">
        <v>0</v>
      </c>
      <c r="X24">
        <v>0</v>
      </c>
      <c r="Y24">
        <v>0</v>
      </c>
      <c r="Z24" t="s">
        <v>121</v>
      </c>
      <c r="AA24" t="s">
        <v>122</v>
      </c>
      <c r="AB24" s="7">
        <v>0.08</v>
      </c>
      <c r="AC24" s="7" t="s">
        <v>80</v>
      </c>
      <c r="AD24">
        <v>0.06</v>
      </c>
      <c r="AE24" t="s">
        <v>73</v>
      </c>
      <c r="AF24" t="s">
        <v>73</v>
      </c>
      <c r="AG24">
        <v>153</v>
      </c>
      <c r="AI24" t="s">
        <v>73</v>
      </c>
      <c r="AJ24">
        <v>154</v>
      </c>
      <c r="AK24" t="s">
        <v>73</v>
      </c>
      <c r="AL24">
        <v>691</v>
      </c>
      <c r="AM24">
        <v>691</v>
      </c>
      <c r="AN24" t="s">
        <v>123</v>
      </c>
      <c r="AO24">
        <v>3</v>
      </c>
      <c r="AP24">
        <f t="shared" si="13"/>
        <v>1.3333333333333335</v>
      </c>
      <c r="AQ24" t="s">
        <v>73</v>
      </c>
      <c r="AR24" t="s">
        <v>73</v>
      </c>
      <c r="AS24">
        <v>1</v>
      </c>
      <c r="AT24">
        <v>0</v>
      </c>
      <c r="AU24">
        <v>1</v>
      </c>
      <c r="AV24">
        <v>1</v>
      </c>
      <c r="AW24">
        <v>1</v>
      </c>
      <c r="AX24">
        <v>0</v>
      </c>
      <c r="AY24" t="s">
        <v>124</v>
      </c>
      <c r="AZ24">
        <v>16.23</v>
      </c>
      <c r="BA24" t="s">
        <v>73</v>
      </c>
      <c r="BB24">
        <v>1</v>
      </c>
      <c r="BC24">
        <v>1</v>
      </c>
      <c r="BD24" t="s">
        <v>83</v>
      </c>
      <c r="BE24" t="s">
        <v>83</v>
      </c>
      <c r="BF24" t="s">
        <v>73</v>
      </c>
      <c r="BG24" t="s">
        <v>79</v>
      </c>
      <c r="BH24" t="s">
        <v>79</v>
      </c>
      <c r="BI24" s="30">
        <f t="shared" ref="BI24:BI32" si="14">(((AP24^2)/(AP24^2+AL24))^1/2)</f>
        <v>1.2830793905372897E-3</v>
      </c>
      <c r="BJ24" s="30">
        <f t="shared" ref="BJ24:BJ32" si="15">(((AP24^2)/(AP24^2+AM24))^1/2)</f>
        <v>1.2830793905372897E-3</v>
      </c>
      <c r="BK24" s="30">
        <f t="shared" si="9"/>
        <v>1.283080094646139E-3</v>
      </c>
      <c r="BL24" s="30">
        <f t="shared" si="10"/>
        <v>1.4492753623149127E-3</v>
      </c>
      <c r="BM24" s="30">
        <f t="shared" si="11"/>
        <v>1.4534883720930232E-3</v>
      </c>
      <c r="BO24" t="s">
        <v>87</v>
      </c>
    </row>
    <row r="25" spans="1:67" hidden="1">
      <c r="A25" t="s">
        <v>68</v>
      </c>
      <c r="B25">
        <v>24</v>
      </c>
      <c r="C25">
        <v>1005</v>
      </c>
      <c r="D25" t="s">
        <v>116</v>
      </c>
      <c r="E25" t="s">
        <v>117</v>
      </c>
      <c r="F25" t="s">
        <v>118</v>
      </c>
      <c r="G25" t="s">
        <v>119</v>
      </c>
      <c r="H25" t="s">
        <v>73</v>
      </c>
      <c r="J25" t="s">
        <v>120</v>
      </c>
      <c r="K25" t="s">
        <v>76</v>
      </c>
      <c r="L25">
        <v>1</v>
      </c>
      <c r="M25">
        <v>0</v>
      </c>
      <c r="N25">
        <v>0</v>
      </c>
      <c r="O25">
        <v>1</v>
      </c>
      <c r="P25">
        <v>0</v>
      </c>
      <c r="Q25">
        <v>0</v>
      </c>
      <c r="R25">
        <v>0</v>
      </c>
      <c r="S25">
        <v>1</v>
      </c>
      <c r="T25">
        <v>0</v>
      </c>
      <c r="U25">
        <v>0</v>
      </c>
      <c r="V25">
        <v>0</v>
      </c>
      <c r="W25">
        <v>0</v>
      </c>
      <c r="X25">
        <v>0</v>
      </c>
      <c r="Y25">
        <v>0</v>
      </c>
      <c r="Z25" t="s">
        <v>121</v>
      </c>
      <c r="AA25" t="s">
        <v>122</v>
      </c>
      <c r="AB25" s="7">
        <v>0.03</v>
      </c>
      <c r="AC25" s="7" t="s">
        <v>86</v>
      </c>
      <c r="AD25">
        <v>0.03</v>
      </c>
      <c r="AE25" t="s">
        <v>73</v>
      </c>
      <c r="AF25" t="s">
        <v>73</v>
      </c>
      <c r="AG25">
        <v>153</v>
      </c>
      <c r="AI25" t="s">
        <v>73</v>
      </c>
      <c r="AJ25">
        <v>154</v>
      </c>
      <c r="AK25" t="s">
        <v>73</v>
      </c>
      <c r="AL25">
        <v>691</v>
      </c>
      <c r="AM25">
        <v>691</v>
      </c>
      <c r="AN25" t="s">
        <v>123</v>
      </c>
      <c r="AO25">
        <v>3</v>
      </c>
      <c r="AP25">
        <f t="shared" si="13"/>
        <v>1</v>
      </c>
      <c r="AQ25" t="s">
        <v>73</v>
      </c>
      <c r="AR25" t="s">
        <v>73</v>
      </c>
      <c r="AS25">
        <v>1</v>
      </c>
      <c r="AT25">
        <v>0</v>
      </c>
      <c r="AU25">
        <v>1</v>
      </c>
      <c r="AV25">
        <v>1</v>
      </c>
      <c r="AW25">
        <v>1</v>
      </c>
      <c r="AX25">
        <v>0</v>
      </c>
      <c r="AY25" t="s">
        <v>124</v>
      </c>
      <c r="AZ25">
        <v>16.23</v>
      </c>
      <c r="BA25" t="s">
        <v>73</v>
      </c>
      <c r="BB25">
        <v>1</v>
      </c>
      <c r="BC25">
        <v>1</v>
      </c>
      <c r="BD25" t="s">
        <v>83</v>
      </c>
      <c r="BE25" t="s">
        <v>83</v>
      </c>
      <c r="BF25" t="s">
        <v>73</v>
      </c>
      <c r="BG25" t="s">
        <v>79</v>
      </c>
      <c r="BH25" t="s">
        <v>79</v>
      </c>
      <c r="BI25" s="30">
        <f t="shared" si="14"/>
        <v>7.2254335260115603E-4</v>
      </c>
      <c r="BJ25" s="30">
        <f>- (((AP25^2)/(AP25^2+AM25))^1/2)</f>
        <v>-7.2254335260115603E-4</v>
      </c>
      <c r="BK25" s="30">
        <f t="shared" si="9"/>
        <v>-7.2254347834034267E-4</v>
      </c>
      <c r="BL25" s="30">
        <f t="shared" si="10"/>
        <v>1.4492753623184455E-3</v>
      </c>
      <c r="BM25" s="30">
        <f t="shared" si="11"/>
        <v>1.4534883720930232E-3</v>
      </c>
      <c r="BO25" t="s">
        <v>87</v>
      </c>
    </row>
    <row r="26" spans="1:67" hidden="1">
      <c r="A26" t="s">
        <v>68</v>
      </c>
      <c r="B26">
        <v>25</v>
      </c>
      <c r="C26">
        <v>1005</v>
      </c>
      <c r="D26" t="s">
        <v>116</v>
      </c>
      <c r="E26" t="s">
        <v>117</v>
      </c>
      <c r="F26" t="s">
        <v>118</v>
      </c>
      <c r="G26" t="s">
        <v>119</v>
      </c>
      <c r="H26" t="s">
        <v>73</v>
      </c>
      <c r="J26" t="s">
        <v>120</v>
      </c>
      <c r="K26" t="s">
        <v>76</v>
      </c>
      <c r="L26">
        <v>1</v>
      </c>
      <c r="M26">
        <v>0</v>
      </c>
      <c r="N26">
        <v>0</v>
      </c>
      <c r="O26">
        <v>1</v>
      </c>
      <c r="P26">
        <v>0</v>
      </c>
      <c r="Q26">
        <v>0</v>
      </c>
      <c r="R26">
        <v>0</v>
      </c>
      <c r="S26">
        <v>0</v>
      </c>
      <c r="T26">
        <v>0</v>
      </c>
      <c r="U26">
        <v>0</v>
      </c>
      <c r="V26">
        <v>0</v>
      </c>
      <c r="W26">
        <v>0</v>
      </c>
      <c r="X26">
        <v>1</v>
      </c>
      <c r="Y26">
        <v>0</v>
      </c>
      <c r="Z26" t="s">
        <v>125</v>
      </c>
      <c r="AA26" t="s">
        <v>122</v>
      </c>
      <c r="AB26" s="7">
        <v>0.13</v>
      </c>
      <c r="AC26" s="7" t="s">
        <v>80</v>
      </c>
      <c r="AD26">
        <v>0.05</v>
      </c>
      <c r="AE26" t="s">
        <v>73</v>
      </c>
      <c r="AF26" t="s">
        <v>73</v>
      </c>
      <c r="AG26">
        <v>153</v>
      </c>
      <c r="AI26" t="s">
        <v>73</v>
      </c>
      <c r="AJ26">
        <v>384</v>
      </c>
      <c r="AK26" t="s">
        <v>73</v>
      </c>
      <c r="AL26">
        <v>691</v>
      </c>
      <c r="AM26">
        <v>691</v>
      </c>
      <c r="AN26" t="s">
        <v>123</v>
      </c>
      <c r="AO26">
        <v>3</v>
      </c>
      <c r="AP26">
        <f t="shared" si="13"/>
        <v>2.6</v>
      </c>
      <c r="AQ26" t="s">
        <v>73</v>
      </c>
      <c r="AR26" t="s">
        <v>73</v>
      </c>
      <c r="AS26">
        <v>1</v>
      </c>
      <c r="AT26">
        <v>0</v>
      </c>
      <c r="AU26">
        <v>1</v>
      </c>
      <c r="AV26">
        <v>1</v>
      </c>
      <c r="AW26">
        <v>1</v>
      </c>
      <c r="AX26">
        <v>0</v>
      </c>
      <c r="AY26" t="s">
        <v>124</v>
      </c>
      <c r="AZ26">
        <v>16.23</v>
      </c>
      <c r="BA26" t="s">
        <v>73</v>
      </c>
      <c r="BB26">
        <v>1</v>
      </c>
      <c r="BC26">
        <v>1</v>
      </c>
      <c r="BD26" t="s">
        <v>83</v>
      </c>
      <c r="BE26" t="s">
        <v>83</v>
      </c>
      <c r="BF26" t="s">
        <v>73</v>
      </c>
      <c r="BG26" t="s">
        <v>79</v>
      </c>
      <c r="BH26" t="s">
        <v>79</v>
      </c>
      <c r="BI26" s="30">
        <f t="shared" si="14"/>
        <v>4.8440724604448529E-3</v>
      </c>
      <c r="BJ26" s="30">
        <f t="shared" si="15"/>
        <v>4.8440724604448529E-3</v>
      </c>
      <c r="BK26" s="30">
        <f t="shared" si="9"/>
        <v>4.8441103497597737E-3</v>
      </c>
      <c r="BL26" s="30">
        <f t="shared" si="10"/>
        <v>1.4492753615208331E-3</v>
      </c>
      <c r="BM26" s="30">
        <f t="shared" si="11"/>
        <v>1.4534883720930232E-3</v>
      </c>
      <c r="BO26" t="s">
        <v>84</v>
      </c>
    </row>
    <row r="27" spans="1:67" hidden="1">
      <c r="A27" t="s">
        <v>68</v>
      </c>
      <c r="B27">
        <v>26</v>
      </c>
      <c r="C27">
        <v>1005</v>
      </c>
      <c r="D27" t="s">
        <v>116</v>
      </c>
      <c r="E27" t="s">
        <v>117</v>
      </c>
      <c r="F27" t="s">
        <v>118</v>
      </c>
      <c r="G27" t="s">
        <v>119</v>
      </c>
      <c r="H27" t="s">
        <v>73</v>
      </c>
      <c r="J27" t="s">
        <v>120</v>
      </c>
      <c r="K27" t="s">
        <v>76</v>
      </c>
      <c r="L27">
        <v>1</v>
      </c>
      <c r="M27">
        <v>0</v>
      </c>
      <c r="N27">
        <v>0</v>
      </c>
      <c r="O27">
        <v>1</v>
      </c>
      <c r="P27">
        <v>0</v>
      </c>
      <c r="Q27">
        <v>0</v>
      </c>
      <c r="R27">
        <v>0</v>
      </c>
      <c r="S27">
        <v>0</v>
      </c>
      <c r="T27">
        <v>0</v>
      </c>
      <c r="U27">
        <v>1</v>
      </c>
      <c r="V27">
        <v>0</v>
      </c>
      <c r="W27">
        <v>0</v>
      </c>
      <c r="X27">
        <v>0</v>
      </c>
      <c r="Y27">
        <v>0</v>
      </c>
      <c r="Z27" t="s">
        <v>125</v>
      </c>
      <c r="AA27" t="s">
        <v>122</v>
      </c>
      <c r="AB27" s="7">
        <v>0.15</v>
      </c>
      <c r="AC27" s="7" t="s">
        <v>80</v>
      </c>
      <c r="AD27">
        <v>0.05</v>
      </c>
      <c r="AE27" t="s">
        <v>73</v>
      </c>
      <c r="AF27" t="s">
        <v>73</v>
      </c>
      <c r="AG27">
        <v>153</v>
      </c>
      <c r="AI27" t="s">
        <v>73</v>
      </c>
      <c r="AJ27">
        <v>384</v>
      </c>
      <c r="AK27" t="s">
        <v>73</v>
      </c>
      <c r="AL27">
        <v>691</v>
      </c>
      <c r="AM27">
        <v>691</v>
      </c>
      <c r="AN27" t="s">
        <v>123</v>
      </c>
      <c r="AO27">
        <v>3</v>
      </c>
      <c r="AP27">
        <f t="shared" si="13"/>
        <v>2.9999999999999996</v>
      </c>
      <c r="AQ27" t="s">
        <v>73</v>
      </c>
      <c r="AR27" t="s">
        <v>73</v>
      </c>
      <c r="AS27">
        <v>1</v>
      </c>
      <c r="AT27">
        <v>0</v>
      </c>
      <c r="AU27">
        <v>1</v>
      </c>
      <c r="AV27">
        <v>1</v>
      </c>
      <c r="AW27">
        <v>1</v>
      </c>
      <c r="AX27">
        <v>0</v>
      </c>
      <c r="AY27" t="s">
        <v>124</v>
      </c>
      <c r="AZ27">
        <v>16.23</v>
      </c>
      <c r="BA27" t="s">
        <v>73</v>
      </c>
      <c r="BB27">
        <v>1</v>
      </c>
      <c r="BC27">
        <v>1</v>
      </c>
      <c r="BD27" t="s">
        <v>83</v>
      </c>
      <c r="BE27" t="s">
        <v>83</v>
      </c>
      <c r="BF27" t="s">
        <v>73</v>
      </c>
      <c r="BG27" t="s">
        <v>79</v>
      </c>
      <c r="BH27" t="s">
        <v>79</v>
      </c>
      <c r="BI27" s="30">
        <f t="shared" si="14"/>
        <v>6.4285714285714259E-3</v>
      </c>
      <c r="BJ27" s="30">
        <f t="shared" si="15"/>
        <v>6.4285714285714259E-3</v>
      </c>
      <c r="BK27" s="30">
        <f t="shared" si="9"/>
        <v>6.4286599876186967E-3</v>
      </c>
      <c r="BL27" s="30">
        <f t="shared" si="10"/>
        <v>1.4492753598435127E-3</v>
      </c>
      <c r="BM27" s="30">
        <f t="shared" si="11"/>
        <v>1.4534883720930232E-3</v>
      </c>
      <c r="BO27" t="s">
        <v>84</v>
      </c>
    </row>
    <row r="28" spans="1:67" hidden="1">
      <c r="A28" t="s">
        <v>68</v>
      </c>
      <c r="B28">
        <v>27</v>
      </c>
      <c r="C28">
        <v>1005</v>
      </c>
      <c r="D28" t="s">
        <v>116</v>
      </c>
      <c r="E28" t="s">
        <v>117</v>
      </c>
      <c r="F28" t="s">
        <v>118</v>
      </c>
      <c r="G28" t="s">
        <v>119</v>
      </c>
      <c r="H28" t="s">
        <v>73</v>
      </c>
      <c r="J28" t="s">
        <v>120</v>
      </c>
      <c r="K28" t="s">
        <v>76</v>
      </c>
      <c r="L28">
        <v>1</v>
      </c>
      <c r="M28">
        <v>0</v>
      </c>
      <c r="N28">
        <v>0</v>
      </c>
      <c r="O28">
        <v>1</v>
      </c>
      <c r="P28">
        <v>0</v>
      </c>
      <c r="Q28">
        <v>0</v>
      </c>
      <c r="R28">
        <v>0</v>
      </c>
      <c r="S28">
        <v>1</v>
      </c>
      <c r="T28">
        <v>0</v>
      </c>
      <c r="U28">
        <v>0</v>
      </c>
      <c r="V28">
        <v>0</v>
      </c>
      <c r="W28">
        <v>0</v>
      </c>
      <c r="X28">
        <v>0</v>
      </c>
      <c r="Y28">
        <v>0</v>
      </c>
      <c r="Z28" t="s">
        <v>125</v>
      </c>
      <c r="AA28" t="s">
        <v>122</v>
      </c>
      <c r="AB28" s="7">
        <v>0.08</v>
      </c>
      <c r="AC28" s="7" t="s">
        <v>80</v>
      </c>
      <c r="AD28">
        <v>0.03</v>
      </c>
      <c r="AE28" t="s">
        <v>73</v>
      </c>
      <c r="AF28" t="s">
        <v>73</v>
      </c>
      <c r="AG28">
        <v>153</v>
      </c>
      <c r="AI28" t="s">
        <v>73</v>
      </c>
      <c r="AJ28">
        <v>384</v>
      </c>
      <c r="AK28" t="s">
        <v>73</v>
      </c>
      <c r="AL28">
        <v>691</v>
      </c>
      <c r="AM28">
        <v>691</v>
      </c>
      <c r="AN28" t="s">
        <v>123</v>
      </c>
      <c r="AO28">
        <v>3</v>
      </c>
      <c r="AP28">
        <f t="shared" si="13"/>
        <v>2.666666666666667</v>
      </c>
      <c r="AQ28" t="s">
        <v>73</v>
      </c>
      <c r="AR28" t="s">
        <v>73</v>
      </c>
      <c r="AS28">
        <v>1</v>
      </c>
      <c r="AT28">
        <v>0</v>
      </c>
      <c r="AU28">
        <v>1</v>
      </c>
      <c r="AV28">
        <v>1</v>
      </c>
      <c r="AW28">
        <v>1</v>
      </c>
      <c r="AX28">
        <v>0</v>
      </c>
      <c r="AY28" t="s">
        <v>124</v>
      </c>
      <c r="AZ28">
        <v>16.23</v>
      </c>
      <c r="BA28" t="s">
        <v>73</v>
      </c>
      <c r="BB28">
        <v>1</v>
      </c>
      <c r="BC28">
        <v>1</v>
      </c>
      <c r="BD28" t="s">
        <v>83</v>
      </c>
      <c r="BE28" t="s">
        <v>83</v>
      </c>
      <c r="BF28" t="s">
        <v>73</v>
      </c>
      <c r="BG28" t="s">
        <v>79</v>
      </c>
      <c r="BH28" t="s">
        <v>79</v>
      </c>
      <c r="BI28" s="30">
        <f t="shared" si="14"/>
        <v>5.0931083877128773E-3</v>
      </c>
      <c r="BJ28" s="30">
        <f t="shared" si="15"/>
        <v>5.0931083877128773E-3</v>
      </c>
      <c r="BK28" s="30">
        <f t="shared" si="9"/>
        <v>5.0931524263895488E-3</v>
      </c>
      <c r="BL28" s="30">
        <f t="shared" si="10"/>
        <v>1.4492753613436318E-3</v>
      </c>
      <c r="BM28" s="30">
        <f t="shared" si="11"/>
        <v>1.4534883720930232E-3</v>
      </c>
      <c r="BO28" t="s">
        <v>84</v>
      </c>
    </row>
    <row r="29" spans="1:67" s="41" customFormat="1">
      <c r="A29" s="41" t="s">
        <v>68</v>
      </c>
      <c r="B29" s="41">
        <v>28</v>
      </c>
      <c r="C29" s="41">
        <v>1006</v>
      </c>
      <c r="D29" s="41" t="s">
        <v>126</v>
      </c>
      <c r="E29" s="45" t="s">
        <v>127</v>
      </c>
      <c r="F29" s="41" t="s">
        <v>128</v>
      </c>
      <c r="G29" s="41" t="s">
        <v>129</v>
      </c>
      <c r="H29" s="41" t="s">
        <v>73</v>
      </c>
      <c r="I29" s="41">
        <v>222</v>
      </c>
      <c r="J29" s="41" t="s">
        <v>120</v>
      </c>
      <c r="K29" s="41" t="s">
        <v>94</v>
      </c>
      <c r="L29" s="41">
        <v>1</v>
      </c>
      <c r="M29" s="41">
        <v>0</v>
      </c>
      <c r="N29" s="41">
        <v>1</v>
      </c>
      <c r="O29" s="41">
        <v>0</v>
      </c>
      <c r="P29" s="41">
        <v>0</v>
      </c>
      <c r="Q29" s="41">
        <v>0</v>
      </c>
      <c r="R29" s="41">
        <v>0</v>
      </c>
      <c r="S29" s="41">
        <v>0</v>
      </c>
      <c r="T29" s="41">
        <v>1</v>
      </c>
      <c r="U29" s="41">
        <v>0</v>
      </c>
      <c r="V29" s="41">
        <v>0</v>
      </c>
      <c r="W29" s="41">
        <v>0</v>
      </c>
      <c r="X29" s="41">
        <v>0</v>
      </c>
      <c r="Y29" s="41">
        <v>0</v>
      </c>
      <c r="Z29" s="41" t="s">
        <v>73</v>
      </c>
      <c r="AA29" s="41" t="s">
        <v>130</v>
      </c>
      <c r="AB29" s="48">
        <v>11.4</v>
      </c>
      <c r="AC29" s="48" t="s">
        <v>86</v>
      </c>
      <c r="AD29" s="41">
        <v>0.7</v>
      </c>
      <c r="AE29" s="41" t="s">
        <v>73</v>
      </c>
      <c r="AF29" s="41" t="s">
        <v>73</v>
      </c>
      <c r="AG29" s="41" t="s">
        <v>73</v>
      </c>
      <c r="AH29" s="41" t="s">
        <v>73</v>
      </c>
      <c r="AI29" s="41" t="s">
        <v>73</v>
      </c>
      <c r="AJ29" s="41" t="s">
        <v>73</v>
      </c>
      <c r="AK29" s="41" t="s">
        <v>73</v>
      </c>
      <c r="AL29" s="41">
        <v>957080</v>
      </c>
      <c r="AM29" s="41">
        <v>957080</v>
      </c>
      <c r="AN29" s="41">
        <v>0.05</v>
      </c>
      <c r="AO29" s="41">
        <v>3</v>
      </c>
      <c r="AP29" s="41">
        <f>AB29/AD29</f>
        <v>16.285714285714288</v>
      </c>
      <c r="AQ29" s="41" t="s">
        <v>73</v>
      </c>
      <c r="AR29" s="41" t="s">
        <v>73</v>
      </c>
      <c r="AS29" s="41">
        <v>1</v>
      </c>
      <c r="AT29" s="41">
        <v>0</v>
      </c>
      <c r="AU29" s="41">
        <v>1</v>
      </c>
      <c r="AV29" s="41">
        <v>1</v>
      </c>
      <c r="AW29" s="41">
        <v>1</v>
      </c>
      <c r="AX29" s="41">
        <v>1</v>
      </c>
      <c r="AY29" s="41" t="s">
        <v>131</v>
      </c>
      <c r="AZ29" s="40">
        <f>395/30.417</f>
        <v>12.986159055791168</v>
      </c>
      <c r="BA29" s="41" t="s">
        <v>73</v>
      </c>
      <c r="BB29" s="41">
        <v>0</v>
      </c>
      <c r="BC29" s="41">
        <v>1</v>
      </c>
      <c r="BD29" s="41" t="s">
        <v>83</v>
      </c>
      <c r="BE29" s="41" t="s">
        <v>83</v>
      </c>
      <c r="BF29" s="41" t="s">
        <v>73</v>
      </c>
      <c r="BG29" s="52">
        <f xml:space="preserve"> 23 * 4.345</f>
        <v>99.934999999999988</v>
      </c>
      <c r="BH29" s="41">
        <v>0</v>
      </c>
      <c r="BI29" s="51">
        <f t="shared" si="14"/>
        <v>1.3852081935085967E-4</v>
      </c>
      <c r="BJ29" s="51">
        <f>- (((AP29^2)/(AP29^2+AM29))^1/2)</f>
        <v>-1.3852081935085967E-4</v>
      </c>
      <c r="BK29" s="51">
        <f t="shared" si="9"/>
        <v>-1.3852082023689679E-4</v>
      </c>
      <c r="BL29" s="51">
        <f t="shared" si="10"/>
        <v>1.0448458277738824E-6</v>
      </c>
      <c r="BM29" s="51">
        <f t="shared" si="11"/>
        <v>1.0448480111840532E-6</v>
      </c>
      <c r="BO29" s="41" t="s">
        <v>84</v>
      </c>
    </row>
    <row r="30" spans="1:67" s="41" customFormat="1">
      <c r="A30" s="41" t="s">
        <v>68</v>
      </c>
      <c r="B30" s="41">
        <f>B29+1</f>
        <v>29</v>
      </c>
      <c r="C30" s="41">
        <v>1006</v>
      </c>
      <c r="D30" s="41" t="s">
        <v>126</v>
      </c>
      <c r="E30" s="45" t="s">
        <v>127</v>
      </c>
      <c r="F30" s="41" t="s">
        <v>128</v>
      </c>
      <c r="G30" s="41" t="s">
        <v>129</v>
      </c>
      <c r="H30" s="41" t="s">
        <v>73</v>
      </c>
      <c r="I30" s="41">
        <v>222</v>
      </c>
      <c r="J30" s="41" t="s">
        <v>120</v>
      </c>
      <c r="K30" s="41" t="s">
        <v>94</v>
      </c>
      <c r="L30" s="41">
        <v>1</v>
      </c>
      <c r="M30" s="41">
        <v>0</v>
      </c>
      <c r="N30" s="41">
        <v>1</v>
      </c>
      <c r="O30" s="41">
        <v>0</v>
      </c>
      <c r="P30" s="41">
        <v>0</v>
      </c>
      <c r="Q30" s="41">
        <v>0</v>
      </c>
      <c r="R30" s="41">
        <v>0</v>
      </c>
      <c r="S30" s="41">
        <v>0</v>
      </c>
      <c r="T30" s="41">
        <v>1</v>
      </c>
      <c r="U30" s="41">
        <v>0</v>
      </c>
      <c r="V30" s="41">
        <v>0</v>
      </c>
      <c r="W30" s="41">
        <v>0</v>
      </c>
      <c r="X30" s="41">
        <v>0</v>
      </c>
      <c r="Y30" s="41">
        <v>0</v>
      </c>
      <c r="Z30" s="41" t="s">
        <v>73</v>
      </c>
      <c r="AA30" s="41" t="s">
        <v>130</v>
      </c>
      <c r="AB30" s="48">
        <v>11.9</v>
      </c>
      <c r="AC30" s="48" t="s">
        <v>86</v>
      </c>
      <c r="AD30" s="41">
        <v>0.75</v>
      </c>
      <c r="AE30" s="41" t="s">
        <v>73</v>
      </c>
      <c r="AF30" s="41" t="s">
        <v>73</v>
      </c>
      <c r="AG30" s="41" t="s">
        <v>73</v>
      </c>
      <c r="AH30" s="41" t="s">
        <v>73</v>
      </c>
      <c r="AI30" s="41" t="s">
        <v>73</v>
      </c>
      <c r="AJ30" s="41" t="s">
        <v>73</v>
      </c>
      <c r="AK30" s="41" t="s">
        <v>73</v>
      </c>
      <c r="AL30" s="41">
        <v>957080</v>
      </c>
      <c r="AM30" s="41">
        <v>957080</v>
      </c>
      <c r="AN30" s="41">
        <v>0.05</v>
      </c>
      <c r="AO30" s="41">
        <v>3</v>
      </c>
      <c r="AP30" s="41">
        <f>AB30/AD30</f>
        <v>15.866666666666667</v>
      </c>
      <c r="AQ30" s="41" t="s">
        <v>73</v>
      </c>
      <c r="AR30" s="41" t="s">
        <v>73</v>
      </c>
      <c r="AS30" s="41">
        <v>1</v>
      </c>
      <c r="AT30" s="41">
        <v>0</v>
      </c>
      <c r="AU30" s="41">
        <v>1</v>
      </c>
      <c r="AV30" s="41">
        <v>1</v>
      </c>
      <c r="AW30" s="41">
        <v>1</v>
      </c>
      <c r="AX30" s="41">
        <v>1</v>
      </c>
      <c r="AY30" s="41" t="s">
        <v>131</v>
      </c>
      <c r="AZ30" s="40">
        <f>395/30.417</f>
        <v>12.986159055791168</v>
      </c>
      <c r="BA30" s="41" t="s">
        <v>73</v>
      </c>
      <c r="BB30" s="41">
        <v>0</v>
      </c>
      <c r="BC30" s="41">
        <v>1</v>
      </c>
      <c r="BD30" s="41" t="s">
        <v>83</v>
      </c>
      <c r="BE30" s="41" t="s">
        <v>83</v>
      </c>
      <c r="BF30" s="41" t="s">
        <v>73</v>
      </c>
      <c r="BG30" s="52">
        <f xml:space="preserve"> 23 * 4.345</f>
        <v>99.934999999999988</v>
      </c>
      <c r="BH30" s="41">
        <v>0</v>
      </c>
      <c r="BI30" s="51">
        <f t="shared" si="14"/>
        <v>1.3148582548260852E-4</v>
      </c>
      <c r="BJ30" s="51">
        <f>- (((AP30^2)/(AP30^2+AM30))^1/2)</f>
        <v>-1.3148582548260852E-4</v>
      </c>
      <c r="BK30" s="51">
        <f t="shared" si="9"/>
        <v>-1.3148582624031952E-4</v>
      </c>
      <c r="BL30" s="51">
        <f t="shared" si="10"/>
        <v>1.0448458277738824E-6</v>
      </c>
      <c r="BM30" s="51">
        <f t="shared" si="11"/>
        <v>1.0448480111840532E-6</v>
      </c>
      <c r="BO30" s="41" t="s">
        <v>84</v>
      </c>
    </row>
    <row r="31" spans="1:67" s="41" customFormat="1">
      <c r="A31" s="41" t="s">
        <v>68</v>
      </c>
      <c r="B31" s="41">
        <f>B30+1</f>
        <v>30</v>
      </c>
      <c r="C31" s="41">
        <v>1006</v>
      </c>
      <c r="D31" s="41" t="s">
        <v>126</v>
      </c>
      <c r="E31" s="45" t="s">
        <v>127</v>
      </c>
      <c r="F31" s="41" t="s">
        <v>128</v>
      </c>
      <c r="G31" s="41" t="s">
        <v>129</v>
      </c>
      <c r="H31" s="41" t="s">
        <v>73</v>
      </c>
      <c r="I31" s="41">
        <v>222</v>
      </c>
      <c r="J31" s="41" t="s">
        <v>120</v>
      </c>
      <c r="K31" s="41" t="s">
        <v>94</v>
      </c>
      <c r="L31" s="41">
        <v>1</v>
      </c>
      <c r="M31" s="41">
        <v>0</v>
      </c>
      <c r="N31" s="41">
        <v>1</v>
      </c>
      <c r="O31" s="41">
        <v>0</v>
      </c>
      <c r="P31" s="41">
        <v>0</v>
      </c>
      <c r="Q31" s="41">
        <v>0</v>
      </c>
      <c r="R31" s="41">
        <v>0</v>
      </c>
      <c r="S31" s="41">
        <v>0</v>
      </c>
      <c r="T31" s="41">
        <v>0</v>
      </c>
      <c r="U31" s="41">
        <v>0</v>
      </c>
      <c r="V31" s="41">
        <v>0</v>
      </c>
      <c r="W31" s="41">
        <v>0</v>
      </c>
      <c r="X31" s="41">
        <v>1</v>
      </c>
      <c r="Y31" s="41">
        <v>0</v>
      </c>
      <c r="Z31" s="41" t="s">
        <v>73</v>
      </c>
      <c r="AA31" s="41" t="s">
        <v>130</v>
      </c>
      <c r="AB31" s="48">
        <v>1.4</v>
      </c>
      <c r="AC31" s="48" t="s">
        <v>80</v>
      </c>
      <c r="AD31" s="41">
        <v>1.2</v>
      </c>
      <c r="AE31" s="41" t="s">
        <v>73</v>
      </c>
      <c r="AF31" s="41" t="s">
        <v>73</v>
      </c>
      <c r="AG31" s="41" t="s">
        <v>73</v>
      </c>
      <c r="AH31" s="41" t="s">
        <v>73</v>
      </c>
      <c r="AI31" s="41" t="s">
        <v>73</v>
      </c>
      <c r="AJ31" s="41" t="s">
        <v>73</v>
      </c>
      <c r="AK31" s="41" t="s">
        <v>73</v>
      </c>
      <c r="AL31" s="41">
        <v>957080</v>
      </c>
      <c r="AM31" s="41">
        <v>957080</v>
      </c>
      <c r="AN31" s="41">
        <v>0.1</v>
      </c>
      <c r="AO31" s="41">
        <v>3</v>
      </c>
      <c r="AP31" s="41">
        <f>AB31/AD31</f>
        <v>1.1666666666666667</v>
      </c>
      <c r="AQ31" s="41" t="s">
        <v>73</v>
      </c>
      <c r="AR31" s="41" t="s">
        <v>73</v>
      </c>
      <c r="AS31" s="41">
        <v>1</v>
      </c>
      <c r="AT31" s="41">
        <v>0</v>
      </c>
      <c r="AU31" s="41">
        <v>1</v>
      </c>
      <c r="AV31" s="41">
        <v>1</v>
      </c>
      <c r="AW31" s="41">
        <v>1</v>
      </c>
      <c r="AX31" s="41">
        <v>1</v>
      </c>
      <c r="AY31" s="41" t="s">
        <v>131</v>
      </c>
      <c r="AZ31" s="41">
        <f>153/30.417</f>
        <v>5.030081862116579</v>
      </c>
      <c r="BA31" s="41" t="s">
        <v>73</v>
      </c>
      <c r="BB31" s="41">
        <v>0</v>
      </c>
      <c r="BC31" s="41">
        <v>1</v>
      </c>
      <c r="BD31" s="41" t="s">
        <v>83</v>
      </c>
      <c r="BE31" s="41" t="s">
        <v>83</v>
      </c>
      <c r="BF31" s="41" t="s">
        <v>73</v>
      </c>
      <c r="BG31" s="52">
        <f xml:space="preserve"> 23 * 4.345</f>
        <v>99.934999999999988</v>
      </c>
      <c r="BH31" s="41">
        <v>0</v>
      </c>
      <c r="BI31" s="51">
        <f t="shared" si="14"/>
        <v>7.1107387857336768E-7</v>
      </c>
      <c r="BJ31" s="51">
        <f t="shared" si="15"/>
        <v>7.1107387857336768E-7</v>
      </c>
      <c r="BK31" s="51">
        <f t="shared" si="9"/>
        <v>7.1107387863679901E-7</v>
      </c>
      <c r="BL31" s="51">
        <f t="shared" si="10"/>
        <v>1.0448458277738828E-6</v>
      </c>
      <c r="BM31" s="51">
        <f t="shared" si="11"/>
        <v>1.0448480111840532E-6</v>
      </c>
      <c r="BO31" s="41" t="s">
        <v>87</v>
      </c>
    </row>
    <row r="32" spans="1:67" s="41" customFormat="1">
      <c r="A32" s="41" t="s">
        <v>68</v>
      </c>
      <c r="B32" s="41">
        <v>31</v>
      </c>
      <c r="C32" s="41">
        <v>1006</v>
      </c>
      <c r="D32" s="41" t="s">
        <v>126</v>
      </c>
      <c r="E32" s="45" t="s">
        <v>127</v>
      </c>
      <c r="F32" s="41" t="s">
        <v>128</v>
      </c>
      <c r="G32" s="41" t="s">
        <v>129</v>
      </c>
      <c r="H32" s="41" t="s">
        <v>73</v>
      </c>
      <c r="I32" s="41">
        <v>222</v>
      </c>
      <c r="J32" s="41" t="s">
        <v>120</v>
      </c>
      <c r="K32" s="41" t="s">
        <v>94</v>
      </c>
      <c r="L32" s="41">
        <v>1</v>
      </c>
      <c r="M32" s="41">
        <v>0</v>
      </c>
      <c r="N32" s="41">
        <v>1</v>
      </c>
      <c r="O32" s="41">
        <v>0</v>
      </c>
      <c r="P32" s="41">
        <v>0</v>
      </c>
      <c r="Q32" s="41">
        <v>0</v>
      </c>
      <c r="R32" s="41">
        <v>0</v>
      </c>
      <c r="S32" s="41">
        <v>0</v>
      </c>
      <c r="T32" s="41">
        <v>0</v>
      </c>
      <c r="U32" s="41">
        <v>0</v>
      </c>
      <c r="V32" s="41">
        <v>0</v>
      </c>
      <c r="W32" s="41">
        <v>0</v>
      </c>
      <c r="X32" s="41">
        <v>1</v>
      </c>
      <c r="Y32" s="41">
        <v>0</v>
      </c>
      <c r="Z32" s="41" t="s">
        <v>73</v>
      </c>
      <c r="AA32" s="41" t="s">
        <v>130</v>
      </c>
      <c r="AB32" s="48">
        <v>1.2</v>
      </c>
      <c r="AC32" s="48" t="s">
        <v>80</v>
      </c>
      <c r="AD32" s="41">
        <v>1.3</v>
      </c>
      <c r="AE32" s="41" t="s">
        <v>73</v>
      </c>
      <c r="AF32" s="41" t="s">
        <v>73</v>
      </c>
      <c r="AG32" s="41" t="s">
        <v>73</v>
      </c>
      <c r="AH32" s="41" t="s">
        <v>73</v>
      </c>
      <c r="AI32" s="41" t="s">
        <v>73</v>
      </c>
      <c r="AJ32" s="41" t="s">
        <v>73</v>
      </c>
      <c r="AK32" s="41" t="s">
        <v>73</v>
      </c>
      <c r="AL32" s="41">
        <v>957080</v>
      </c>
      <c r="AM32" s="41">
        <v>957080</v>
      </c>
      <c r="AN32" s="41">
        <v>0.1</v>
      </c>
      <c r="AO32" s="41">
        <v>3</v>
      </c>
      <c r="AP32" s="41">
        <f>AB32/AD32</f>
        <v>0.92307692307692302</v>
      </c>
      <c r="AQ32" s="41" t="s">
        <v>73</v>
      </c>
      <c r="AR32" s="41" t="s">
        <v>73</v>
      </c>
      <c r="AS32" s="41">
        <v>1</v>
      </c>
      <c r="AT32" s="41">
        <v>0</v>
      </c>
      <c r="AU32" s="41">
        <v>1</v>
      </c>
      <c r="AV32" s="41">
        <v>1</v>
      </c>
      <c r="AW32" s="41">
        <v>1</v>
      </c>
      <c r="AX32" s="41">
        <v>1</v>
      </c>
      <c r="AY32" s="41" t="s">
        <v>131</v>
      </c>
      <c r="AZ32" s="41">
        <f>153/30.417</f>
        <v>5.030081862116579</v>
      </c>
      <c r="BA32" s="41" t="s">
        <v>73</v>
      </c>
      <c r="BB32" s="41">
        <v>0</v>
      </c>
      <c r="BC32" s="41">
        <v>1</v>
      </c>
      <c r="BD32" s="41" t="s">
        <v>83</v>
      </c>
      <c r="BE32" s="41" t="s">
        <v>83</v>
      </c>
      <c r="BF32" s="41" t="s">
        <v>73</v>
      </c>
      <c r="BG32" s="52">
        <f xml:space="preserve"> 23 * 4.345</f>
        <v>99.934999999999988</v>
      </c>
      <c r="BH32" s="41">
        <v>0</v>
      </c>
      <c r="BI32" s="51">
        <f t="shared" si="14"/>
        <v>4.4514055634557005E-7</v>
      </c>
      <c r="BJ32" s="51">
        <f t="shared" si="15"/>
        <v>4.4514055634557005E-7</v>
      </c>
      <c r="BK32" s="51">
        <f t="shared" si="9"/>
        <v>4.4514055632903819E-7</v>
      </c>
      <c r="BL32" s="51">
        <f t="shared" si="10"/>
        <v>1.0448458277738828E-6</v>
      </c>
      <c r="BM32" s="51">
        <f t="shared" si="11"/>
        <v>1.0448480111840532E-6</v>
      </c>
      <c r="BO32" s="41" t="s">
        <v>87</v>
      </c>
    </row>
    <row r="33" spans="1:66" hidden="1">
      <c r="A33" t="s">
        <v>68</v>
      </c>
      <c r="B33">
        <v>32</v>
      </c>
      <c r="C33">
        <v>1007</v>
      </c>
      <c r="D33" t="s">
        <v>132</v>
      </c>
      <c r="E33" t="s">
        <v>133</v>
      </c>
      <c r="F33" t="s">
        <v>134</v>
      </c>
      <c r="G33" t="s">
        <v>135</v>
      </c>
      <c r="H33" s="32" t="s">
        <v>73</v>
      </c>
      <c r="I33">
        <v>25</v>
      </c>
      <c r="J33" t="s">
        <v>107</v>
      </c>
      <c r="K33" t="s">
        <v>76</v>
      </c>
      <c r="L33">
        <v>1</v>
      </c>
      <c r="M33">
        <v>0</v>
      </c>
      <c r="N33">
        <v>0</v>
      </c>
      <c r="O33">
        <v>0</v>
      </c>
      <c r="P33">
        <v>1</v>
      </c>
      <c r="Q33">
        <v>0</v>
      </c>
      <c r="R33">
        <v>1</v>
      </c>
      <c r="S33">
        <v>0</v>
      </c>
      <c r="T33">
        <v>0</v>
      </c>
      <c r="U33">
        <v>0</v>
      </c>
      <c r="V33">
        <v>0</v>
      </c>
      <c r="W33">
        <v>0</v>
      </c>
      <c r="X33">
        <v>0</v>
      </c>
      <c r="Y33">
        <v>0</v>
      </c>
      <c r="Z33" t="s">
        <v>136</v>
      </c>
      <c r="AA33" s="34" t="s">
        <v>137</v>
      </c>
      <c r="AB33" s="7" t="s">
        <v>73</v>
      </c>
      <c r="AC33" s="7" t="s">
        <v>80</v>
      </c>
      <c r="AD33" t="s">
        <v>73</v>
      </c>
      <c r="AE33">
        <v>0.21</v>
      </c>
      <c r="AF33" t="s">
        <v>73</v>
      </c>
      <c r="AG33">
        <v>19</v>
      </c>
      <c r="AH33" t="s">
        <v>73</v>
      </c>
      <c r="AI33" t="s">
        <v>73</v>
      </c>
      <c r="AJ33">
        <v>19</v>
      </c>
      <c r="AK33" t="s">
        <v>73</v>
      </c>
      <c r="AL33">
        <v>60</v>
      </c>
      <c r="AM33">
        <v>51591</v>
      </c>
      <c r="AN33">
        <v>0.1</v>
      </c>
      <c r="AO33">
        <v>1</v>
      </c>
      <c r="AP33" t="s">
        <v>73</v>
      </c>
      <c r="AR33" t="s">
        <v>73</v>
      </c>
      <c r="AS33">
        <v>0</v>
      </c>
      <c r="AT33">
        <v>0</v>
      </c>
      <c r="AU33">
        <v>0</v>
      </c>
      <c r="AV33">
        <v>0</v>
      </c>
      <c r="AW33">
        <v>1</v>
      </c>
      <c r="AX33">
        <v>0</v>
      </c>
      <c r="AY33" t="s">
        <v>138</v>
      </c>
      <c r="AZ33" t="s">
        <v>73</v>
      </c>
      <c r="BA33" t="s">
        <v>73</v>
      </c>
      <c r="BB33">
        <v>1</v>
      </c>
      <c r="BC33">
        <v>1</v>
      </c>
      <c r="BD33" t="s">
        <v>139</v>
      </c>
      <c r="BE33" t="s">
        <v>83</v>
      </c>
      <c r="BF33" t="s">
        <v>140</v>
      </c>
      <c r="BG33">
        <f>6*4.345</f>
        <v>26.07</v>
      </c>
      <c r="BH33">
        <v>0</v>
      </c>
      <c r="BI33" s="30">
        <v>0</v>
      </c>
      <c r="BJ33" s="30">
        <v>0</v>
      </c>
      <c r="BK33" s="30">
        <f t="shared" si="9"/>
        <v>0</v>
      </c>
      <c r="BL33" s="30">
        <f t="shared" si="10"/>
        <v>1.6949152542372881E-2</v>
      </c>
      <c r="BM33" s="30">
        <f t="shared" si="11"/>
        <v>1.7543859649122806E-2</v>
      </c>
    </row>
    <row r="34" spans="1:66" hidden="1">
      <c r="A34" t="s">
        <v>68</v>
      </c>
      <c r="B34">
        <v>33</v>
      </c>
      <c r="C34">
        <v>1007</v>
      </c>
      <c r="D34" t="s">
        <v>132</v>
      </c>
      <c r="E34" t="s">
        <v>133</v>
      </c>
      <c r="F34" t="s">
        <v>134</v>
      </c>
      <c r="G34" t="s">
        <v>135</v>
      </c>
      <c r="H34" s="32" t="s">
        <v>73</v>
      </c>
      <c r="I34">
        <v>25</v>
      </c>
      <c r="J34" t="s">
        <v>107</v>
      </c>
      <c r="K34" t="s">
        <v>76</v>
      </c>
      <c r="L34">
        <v>1</v>
      </c>
      <c r="M34">
        <v>0</v>
      </c>
      <c r="N34">
        <v>0</v>
      </c>
      <c r="O34">
        <v>0</v>
      </c>
      <c r="P34">
        <v>1</v>
      </c>
      <c r="Q34">
        <v>0</v>
      </c>
      <c r="R34">
        <v>1</v>
      </c>
      <c r="S34">
        <v>0</v>
      </c>
      <c r="T34">
        <v>0</v>
      </c>
      <c r="U34">
        <v>0</v>
      </c>
      <c r="V34">
        <v>0</v>
      </c>
      <c r="W34">
        <v>0</v>
      </c>
      <c r="X34">
        <v>0</v>
      </c>
      <c r="Y34">
        <v>0</v>
      </c>
      <c r="Z34" t="s">
        <v>141</v>
      </c>
      <c r="AA34" s="34" t="s">
        <v>137</v>
      </c>
      <c r="AB34" s="7" t="s">
        <v>73</v>
      </c>
      <c r="AC34" s="7" t="s">
        <v>86</v>
      </c>
      <c r="AD34" t="s">
        <v>73</v>
      </c>
      <c r="AE34">
        <v>0.71</v>
      </c>
      <c r="AF34" t="s">
        <v>73</v>
      </c>
      <c r="AG34">
        <v>19</v>
      </c>
      <c r="AH34" t="s">
        <v>73</v>
      </c>
      <c r="AI34" t="s">
        <v>73</v>
      </c>
      <c r="AJ34">
        <v>19</v>
      </c>
      <c r="AK34" t="s">
        <v>73</v>
      </c>
      <c r="AL34">
        <v>13</v>
      </c>
      <c r="AM34">
        <v>51591</v>
      </c>
      <c r="AN34">
        <v>0.06</v>
      </c>
      <c r="AO34">
        <v>2</v>
      </c>
      <c r="AP34">
        <v>2.06</v>
      </c>
      <c r="AR34" t="s">
        <v>73</v>
      </c>
      <c r="AS34">
        <v>0</v>
      </c>
      <c r="AT34">
        <v>0</v>
      </c>
      <c r="AU34">
        <v>0</v>
      </c>
      <c r="AV34">
        <v>0</v>
      </c>
      <c r="AW34">
        <v>1</v>
      </c>
      <c r="AX34">
        <v>0</v>
      </c>
      <c r="AY34" t="s">
        <v>138</v>
      </c>
      <c r="AZ34" t="s">
        <v>73</v>
      </c>
      <c r="BA34" t="s">
        <v>73</v>
      </c>
      <c r="BB34">
        <v>1</v>
      </c>
      <c r="BC34">
        <v>1</v>
      </c>
      <c r="BD34" t="s">
        <v>139</v>
      </c>
      <c r="BE34" t="s">
        <v>83</v>
      </c>
      <c r="BF34" t="s">
        <v>140</v>
      </c>
      <c r="BG34">
        <f>6*4.345</f>
        <v>26.07</v>
      </c>
      <c r="BH34">
        <v>0</v>
      </c>
      <c r="BI34" s="30">
        <f>(((AP34^2)/(AP34^2+AL34))^1/2)</f>
        <v>0.12304855134658654</v>
      </c>
      <c r="BJ34" s="30">
        <f>- (((AP34^2)/(AP34^2+AM34))^1/2)</f>
        <v>-4.1123945773947269E-5</v>
      </c>
      <c r="BK34" s="30">
        <f t="shared" si="9"/>
        <v>-4.1123945797180848E-5</v>
      </c>
      <c r="BL34" s="30">
        <f t="shared" si="10"/>
        <v>8.3333333333333329E-2</v>
      </c>
      <c r="BM34" s="30">
        <f t="shared" si="11"/>
        <v>0.1</v>
      </c>
    </row>
    <row r="35" spans="1:66" hidden="1">
      <c r="A35" t="s">
        <v>68</v>
      </c>
      <c r="B35">
        <v>34</v>
      </c>
      <c r="C35">
        <v>1007</v>
      </c>
      <c r="D35" t="s">
        <v>132</v>
      </c>
      <c r="E35" t="s">
        <v>133</v>
      </c>
      <c r="F35" t="s">
        <v>134</v>
      </c>
      <c r="G35" t="s">
        <v>135</v>
      </c>
      <c r="H35" s="32" t="s">
        <v>73</v>
      </c>
      <c r="I35">
        <v>25</v>
      </c>
      <c r="J35" t="s">
        <v>107</v>
      </c>
      <c r="K35" t="s">
        <v>76</v>
      </c>
      <c r="L35">
        <v>1</v>
      </c>
      <c r="M35">
        <v>0</v>
      </c>
      <c r="N35">
        <v>0</v>
      </c>
      <c r="O35">
        <v>0</v>
      </c>
      <c r="P35">
        <v>1</v>
      </c>
      <c r="Q35">
        <v>0</v>
      </c>
      <c r="R35">
        <v>1</v>
      </c>
      <c r="S35">
        <v>0</v>
      </c>
      <c r="T35">
        <v>0</v>
      </c>
      <c r="U35">
        <v>0</v>
      </c>
      <c r="V35">
        <v>0</v>
      </c>
      <c r="W35">
        <v>0</v>
      </c>
      <c r="X35">
        <v>0</v>
      </c>
      <c r="Y35">
        <v>0</v>
      </c>
      <c r="Z35" t="s">
        <v>142</v>
      </c>
      <c r="AA35" s="34" t="s">
        <v>137</v>
      </c>
      <c r="AB35" s="7" t="s">
        <v>73</v>
      </c>
      <c r="AC35" s="7" t="s">
        <v>80</v>
      </c>
      <c r="AD35" t="s">
        <v>73</v>
      </c>
      <c r="AE35">
        <v>0.08</v>
      </c>
      <c r="AF35" t="s">
        <v>73</v>
      </c>
      <c r="AG35">
        <v>19</v>
      </c>
      <c r="AH35" t="s">
        <v>73</v>
      </c>
      <c r="AI35" t="s">
        <v>73</v>
      </c>
      <c r="AJ35">
        <v>19</v>
      </c>
      <c r="AK35" t="s">
        <v>73</v>
      </c>
      <c r="AL35">
        <v>34</v>
      </c>
      <c r="AM35">
        <v>51591</v>
      </c>
      <c r="AN35">
        <v>0.1</v>
      </c>
      <c r="AO35">
        <v>1</v>
      </c>
      <c r="AP35" t="s">
        <v>73</v>
      </c>
      <c r="AR35" t="s">
        <v>73</v>
      </c>
      <c r="AS35">
        <v>0</v>
      </c>
      <c r="AT35">
        <v>0</v>
      </c>
      <c r="AU35">
        <v>0</v>
      </c>
      <c r="AV35">
        <v>0</v>
      </c>
      <c r="AW35">
        <v>1</v>
      </c>
      <c r="AX35">
        <v>0</v>
      </c>
      <c r="AY35" t="s">
        <v>138</v>
      </c>
      <c r="AZ35" t="s">
        <v>73</v>
      </c>
      <c r="BA35" t="s">
        <v>73</v>
      </c>
      <c r="BB35">
        <v>1</v>
      </c>
      <c r="BC35">
        <v>1</v>
      </c>
      <c r="BD35" t="s">
        <v>139</v>
      </c>
      <c r="BE35" t="s">
        <v>83</v>
      </c>
      <c r="BF35" t="s">
        <v>140</v>
      </c>
      <c r="BG35">
        <f>6*4.345</f>
        <v>26.07</v>
      </c>
      <c r="BH35">
        <v>0</v>
      </c>
      <c r="BI35" s="30">
        <v>0</v>
      </c>
      <c r="BJ35" s="30">
        <v>0</v>
      </c>
      <c r="BK35" s="30">
        <f t="shared" si="9"/>
        <v>0</v>
      </c>
      <c r="BL35" s="30">
        <f t="shared" si="10"/>
        <v>3.0303030303030304E-2</v>
      </c>
      <c r="BM35" s="30">
        <f t="shared" si="11"/>
        <v>3.2258064516129031E-2</v>
      </c>
    </row>
    <row r="36" spans="1:66" hidden="1">
      <c r="A36" t="s">
        <v>68</v>
      </c>
      <c r="B36">
        <v>35</v>
      </c>
      <c r="C36">
        <v>1007</v>
      </c>
      <c r="D36" t="s">
        <v>132</v>
      </c>
      <c r="E36" t="s">
        <v>133</v>
      </c>
      <c r="F36" t="s">
        <v>134</v>
      </c>
      <c r="G36" t="s">
        <v>135</v>
      </c>
      <c r="H36" s="32" t="s">
        <v>73</v>
      </c>
      <c r="I36">
        <v>25</v>
      </c>
      <c r="J36" t="s">
        <v>107</v>
      </c>
      <c r="K36" t="s">
        <v>76</v>
      </c>
      <c r="L36">
        <v>1</v>
      </c>
      <c r="M36">
        <v>0</v>
      </c>
      <c r="N36">
        <v>0</v>
      </c>
      <c r="O36">
        <v>0</v>
      </c>
      <c r="P36">
        <v>1</v>
      </c>
      <c r="Q36">
        <v>0</v>
      </c>
      <c r="R36">
        <v>1</v>
      </c>
      <c r="S36">
        <v>0</v>
      </c>
      <c r="T36">
        <v>0</v>
      </c>
      <c r="U36">
        <v>0</v>
      </c>
      <c r="V36">
        <v>0</v>
      </c>
      <c r="W36">
        <v>0</v>
      </c>
      <c r="X36">
        <v>0</v>
      </c>
      <c r="Y36">
        <v>0</v>
      </c>
      <c r="Z36" t="s">
        <v>143</v>
      </c>
      <c r="AA36" s="34" t="s">
        <v>137</v>
      </c>
      <c r="AB36" s="7" t="s">
        <v>73</v>
      </c>
      <c r="AC36" s="7" t="s">
        <v>86</v>
      </c>
      <c r="AD36" t="s">
        <v>73</v>
      </c>
      <c r="AE36">
        <v>0.08</v>
      </c>
      <c r="AF36" t="s">
        <v>73</v>
      </c>
      <c r="AG36">
        <v>19</v>
      </c>
      <c r="AH36" t="s">
        <v>73</v>
      </c>
      <c r="AI36" t="s">
        <v>73</v>
      </c>
      <c r="AJ36">
        <v>19</v>
      </c>
      <c r="AK36" t="s">
        <v>73</v>
      </c>
      <c r="AL36">
        <v>8</v>
      </c>
      <c r="AM36">
        <v>51591</v>
      </c>
      <c r="AN36">
        <v>0.1</v>
      </c>
      <c r="AO36">
        <v>1</v>
      </c>
      <c r="AP36" t="s">
        <v>73</v>
      </c>
      <c r="AR36" t="s">
        <v>73</v>
      </c>
      <c r="AS36">
        <v>0</v>
      </c>
      <c r="AT36">
        <v>0</v>
      </c>
      <c r="AU36">
        <v>0</v>
      </c>
      <c r="AV36">
        <v>0</v>
      </c>
      <c r="AW36">
        <v>1</v>
      </c>
      <c r="AX36">
        <v>0</v>
      </c>
      <c r="AY36" t="s">
        <v>138</v>
      </c>
      <c r="AZ36" t="s">
        <v>73</v>
      </c>
      <c r="BA36" t="s">
        <v>73</v>
      </c>
      <c r="BB36">
        <v>1</v>
      </c>
      <c r="BC36">
        <v>1</v>
      </c>
      <c r="BD36" t="s">
        <v>139</v>
      </c>
      <c r="BE36" t="s">
        <v>83</v>
      </c>
      <c r="BF36" t="s">
        <v>140</v>
      </c>
      <c r="BG36">
        <f>6*4.345</f>
        <v>26.07</v>
      </c>
      <c r="BH36">
        <v>0</v>
      </c>
      <c r="BI36" s="30">
        <v>0</v>
      </c>
      <c r="BJ36" s="30">
        <v>0</v>
      </c>
      <c r="BK36" s="30">
        <f t="shared" si="9"/>
        <v>0</v>
      </c>
      <c r="BL36" s="30">
        <f t="shared" si="10"/>
        <v>0.14285714285714285</v>
      </c>
      <c r="BM36" s="30">
        <f t="shared" si="11"/>
        <v>0.2</v>
      </c>
    </row>
    <row r="37" spans="1:66" s="41" customFormat="1">
      <c r="A37" s="41" t="s">
        <v>68</v>
      </c>
      <c r="B37" s="41">
        <v>36</v>
      </c>
      <c r="C37" s="41">
        <v>1008</v>
      </c>
      <c r="D37" s="41" t="s">
        <v>144</v>
      </c>
      <c r="E37" s="41" t="s">
        <v>145</v>
      </c>
      <c r="F37" s="41" t="s">
        <v>146</v>
      </c>
      <c r="G37" s="41">
        <v>2006</v>
      </c>
      <c r="H37" s="50" t="s">
        <v>73</v>
      </c>
      <c r="I37" s="41">
        <v>112</v>
      </c>
      <c r="J37" s="41" t="s">
        <v>93</v>
      </c>
      <c r="K37" s="41" t="s">
        <v>76</v>
      </c>
      <c r="L37" s="41">
        <v>1</v>
      </c>
      <c r="M37" s="41">
        <v>0</v>
      </c>
      <c r="N37" s="41">
        <v>0</v>
      </c>
      <c r="O37" s="41">
        <v>0</v>
      </c>
      <c r="P37" s="41">
        <v>1</v>
      </c>
      <c r="Q37" s="41">
        <v>0</v>
      </c>
      <c r="R37" s="41">
        <v>1</v>
      </c>
      <c r="S37" s="41">
        <v>0</v>
      </c>
      <c r="T37" s="41">
        <v>0</v>
      </c>
      <c r="U37" s="41">
        <v>0</v>
      </c>
      <c r="V37" s="41">
        <v>0</v>
      </c>
      <c r="W37" s="41">
        <v>0</v>
      </c>
      <c r="X37" s="41">
        <v>0</v>
      </c>
      <c r="Y37" s="41">
        <v>0</v>
      </c>
      <c r="Z37" s="41" t="s">
        <v>73</v>
      </c>
      <c r="AA37" s="41" t="s">
        <v>147</v>
      </c>
      <c r="AB37" s="49">
        <v>8.3000000000000001E-3</v>
      </c>
      <c r="AC37" s="48" t="s">
        <v>86</v>
      </c>
      <c r="AD37" s="41">
        <v>2.5999999999999999E-3</v>
      </c>
      <c r="AE37" s="41">
        <v>0.08</v>
      </c>
      <c r="AF37" s="41">
        <v>0.97499999999999998</v>
      </c>
      <c r="AG37" s="41">
        <v>1040</v>
      </c>
      <c r="AH37" s="41">
        <v>0.11799999999999999</v>
      </c>
      <c r="AI37" s="41">
        <v>0.96899999999999997</v>
      </c>
      <c r="AJ37" s="41">
        <v>1025</v>
      </c>
      <c r="AK37" s="41">
        <v>0.115</v>
      </c>
      <c r="AL37" s="41">
        <v>2065</v>
      </c>
      <c r="AM37" s="41">
        <v>2065</v>
      </c>
      <c r="AN37" s="41">
        <v>1E-3</v>
      </c>
      <c r="AO37" s="41">
        <v>3</v>
      </c>
      <c r="AP37" s="41">
        <f>AB37/AD37</f>
        <v>3.1923076923076925</v>
      </c>
      <c r="AR37" s="41" t="s">
        <v>73</v>
      </c>
      <c r="AS37" s="41">
        <v>0</v>
      </c>
      <c r="AT37" s="41">
        <v>0</v>
      </c>
      <c r="AU37" s="41">
        <v>0</v>
      </c>
      <c r="AV37" s="41">
        <v>0</v>
      </c>
      <c r="AW37" s="41">
        <v>0</v>
      </c>
      <c r="AX37" s="41">
        <v>0</v>
      </c>
      <c r="AY37" s="41" t="s">
        <v>148</v>
      </c>
      <c r="AZ37" s="41">
        <v>0.97499999999999998</v>
      </c>
      <c r="BA37" s="41" t="s">
        <v>149</v>
      </c>
      <c r="BB37" s="41">
        <v>1</v>
      </c>
      <c r="BC37" s="41">
        <v>0</v>
      </c>
      <c r="BD37" s="41" t="s">
        <v>139</v>
      </c>
      <c r="BE37" s="41" t="s">
        <v>83</v>
      </c>
      <c r="BF37" s="41" t="s">
        <v>150</v>
      </c>
      <c r="BG37" s="41">
        <v>0</v>
      </c>
      <c r="BH37" s="41">
        <v>0</v>
      </c>
      <c r="BI37" s="51">
        <f>(((AP37^2)/(AP37^2+AL37))^1/2)</f>
        <v>2.4553954901131926E-3</v>
      </c>
      <c r="BJ37" s="51">
        <f>- (((AP37^2)/(AP37^2+AM37))^1/2)</f>
        <v>-2.4553954901131926E-3</v>
      </c>
      <c r="BK37" s="51">
        <f t="shared" si="9"/>
        <v>-2.4554004246305243E-3</v>
      </c>
      <c r="BL37" s="51">
        <f t="shared" si="10"/>
        <v>4.8449612401339694E-4</v>
      </c>
      <c r="BM37" s="51">
        <f t="shared" si="11"/>
        <v>4.8496605237633366E-4</v>
      </c>
    </row>
    <row r="38" spans="1:66" hidden="1">
      <c r="A38" s="10" t="s">
        <v>151</v>
      </c>
      <c r="B38" s="17">
        <f>B37+1</f>
        <v>37</v>
      </c>
      <c r="C38" s="11">
        <v>1009</v>
      </c>
      <c r="D38" s="10" t="s">
        <v>152</v>
      </c>
      <c r="E38" s="22" t="s">
        <v>153</v>
      </c>
      <c r="F38" s="22" t="s">
        <v>154</v>
      </c>
      <c r="G38">
        <v>2005</v>
      </c>
      <c r="H38" t="s">
        <v>73</v>
      </c>
      <c r="I38">
        <v>193</v>
      </c>
      <c r="J38" t="s">
        <v>155</v>
      </c>
      <c r="K38" t="s">
        <v>112</v>
      </c>
      <c r="L38">
        <v>2</v>
      </c>
      <c r="M38">
        <v>0</v>
      </c>
      <c r="N38">
        <v>0</v>
      </c>
      <c r="O38">
        <v>0</v>
      </c>
      <c r="P38">
        <v>1</v>
      </c>
      <c r="Q38">
        <v>0</v>
      </c>
      <c r="R38">
        <v>0</v>
      </c>
      <c r="S38">
        <v>0</v>
      </c>
      <c r="T38">
        <v>0</v>
      </c>
      <c r="U38">
        <v>0</v>
      </c>
      <c r="V38">
        <v>0</v>
      </c>
      <c r="W38">
        <v>0</v>
      </c>
      <c r="X38">
        <v>0</v>
      </c>
      <c r="Y38">
        <v>0</v>
      </c>
      <c r="Z38" t="s">
        <v>73</v>
      </c>
      <c r="AA38" t="s">
        <v>78</v>
      </c>
      <c r="AB38" s="21">
        <v>0.26479999999999998</v>
      </c>
      <c r="AC38" s="7" t="s">
        <v>86</v>
      </c>
      <c r="AD38">
        <v>0.19700000000000001</v>
      </c>
      <c r="AE38" t="s">
        <v>73</v>
      </c>
      <c r="AF38" t="s">
        <v>73</v>
      </c>
      <c r="AG38" t="s">
        <v>73</v>
      </c>
      <c r="AH38" t="s">
        <v>73</v>
      </c>
      <c r="AI38" t="s">
        <v>73</v>
      </c>
      <c r="AJ38" t="s">
        <v>73</v>
      </c>
      <c r="AK38" t="s">
        <v>73</v>
      </c>
      <c r="AL38" s="27">
        <v>151</v>
      </c>
      <c r="AM38" s="27">
        <v>151</v>
      </c>
      <c r="AN38">
        <v>0.2</v>
      </c>
      <c r="AO38">
        <v>2</v>
      </c>
      <c r="AP38">
        <f>AB38/AD38</f>
        <v>1.3441624365482232</v>
      </c>
      <c r="AQ38" t="s">
        <v>73</v>
      </c>
      <c r="AR38" t="s">
        <v>73</v>
      </c>
      <c r="AS38">
        <v>0</v>
      </c>
      <c r="AT38">
        <v>0</v>
      </c>
      <c r="AU38">
        <v>0</v>
      </c>
      <c r="AV38">
        <v>0</v>
      </c>
      <c r="AW38">
        <v>0</v>
      </c>
      <c r="AX38">
        <v>0</v>
      </c>
      <c r="AY38" t="s">
        <v>156</v>
      </c>
      <c r="AZ38" s="14" t="s">
        <v>73</v>
      </c>
      <c r="BA38" s="17" t="s">
        <v>73</v>
      </c>
      <c r="BB38">
        <v>0</v>
      </c>
      <c r="BC38" t="s">
        <v>73</v>
      </c>
      <c r="BD38" s="18" t="s">
        <v>139</v>
      </c>
      <c r="BE38" s="18" t="s">
        <v>139</v>
      </c>
      <c r="BF38" t="s">
        <v>157</v>
      </c>
      <c r="BG38" t="s">
        <v>73</v>
      </c>
      <c r="BH38" t="s">
        <v>73</v>
      </c>
      <c r="BI38" s="30">
        <f>(((AP38^2)/(AP38^2+AL38))^1/2)</f>
        <v>5.9119521485370341E-3</v>
      </c>
      <c r="BJ38" s="30">
        <f>- (((AP38^2)/(AP38^2+AM38))^1/2)</f>
        <v>-5.9119521485370341E-3</v>
      </c>
      <c r="BK38" s="30">
        <f t="shared" si="9"/>
        <v>-5.9120210265458696E-3</v>
      </c>
      <c r="BL38" s="30">
        <f t="shared" si="10"/>
        <v>6.6666666585223884E-3</v>
      </c>
      <c r="BM38" s="30">
        <f t="shared" si="11"/>
        <v>6.7567567567567571E-3</v>
      </c>
    </row>
    <row r="39" spans="1:66" s="41" customFormat="1" ht="17">
      <c r="A39" s="45" t="s">
        <v>68</v>
      </c>
      <c r="B39" s="41">
        <f>B38+1</f>
        <v>38</v>
      </c>
      <c r="C39" s="54">
        <v>1010</v>
      </c>
      <c r="D39" s="55" t="s">
        <v>158</v>
      </c>
      <c r="E39" s="55" t="s">
        <v>159</v>
      </c>
      <c r="F39" s="55" t="s">
        <v>160</v>
      </c>
      <c r="G39" s="55">
        <v>2015</v>
      </c>
      <c r="H39" s="41" t="s">
        <v>73</v>
      </c>
      <c r="I39" s="41">
        <v>122</v>
      </c>
      <c r="J39" s="41" t="s">
        <v>107</v>
      </c>
      <c r="K39" s="41" t="s">
        <v>112</v>
      </c>
      <c r="L39" s="41">
        <v>2</v>
      </c>
      <c r="M39" s="41">
        <v>0</v>
      </c>
      <c r="N39" s="41">
        <v>0</v>
      </c>
      <c r="O39" s="41">
        <v>0</v>
      </c>
      <c r="P39" s="41">
        <v>1</v>
      </c>
      <c r="Q39" s="41">
        <v>0</v>
      </c>
      <c r="R39" s="41">
        <v>0</v>
      </c>
      <c r="S39" s="41">
        <v>0</v>
      </c>
      <c r="T39" s="41">
        <v>1</v>
      </c>
      <c r="U39" s="41">
        <v>0</v>
      </c>
      <c r="V39" s="41">
        <v>0</v>
      </c>
      <c r="W39" s="41">
        <v>0</v>
      </c>
      <c r="X39" s="41">
        <v>0</v>
      </c>
      <c r="Y39" s="41">
        <v>0</v>
      </c>
      <c r="Z39" s="41" t="s">
        <v>161</v>
      </c>
      <c r="AA39" s="41" t="s">
        <v>162</v>
      </c>
      <c r="AB39" s="48" t="s">
        <v>73</v>
      </c>
      <c r="AC39" s="48" t="s">
        <v>86</v>
      </c>
      <c r="AD39" s="41">
        <v>2.4</v>
      </c>
      <c r="AE39" s="48" t="s">
        <v>73</v>
      </c>
      <c r="AF39" s="41">
        <v>199.5</v>
      </c>
      <c r="AG39" s="41">
        <v>100</v>
      </c>
      <c r="AH39" s="41">
        <v>2.1</v>
      </c>
      <c r="AI39" s="41">
        <v>199.5</v>
      </c>
      <c r="AJ39" s="41">
        <v>141</v>
      </c>
      <c r="AK39" s="41">
        <v>1.4</v>
      </c>
      <c r="AL39" s="41">
        <f>AG39+AJ39</f>
        <v>241</v>
      </c>
      <c r="AM39" s="56">
        <v>241</v>
      </c>
      <c r="AN39" s="41">
        <v>0.1</v>
      </c>
      <c r="AO39" s="41">
        <v>1</v>
      </c>
      <c r="AP39" s="41">
        <v>0</v>
      </c>
      <c r="AQ39" s="41">
        <f>ABS(AF39-AI39)</f>
        <v>0</v>
      </c>
      <c r="AR39" s="41">
        <v>0</v>
      </c>
      <c r="AS39" s="41">
        <v>0</v>
      </c>
      <c r="AT39" s="41">
        <v>0</v>
      </c>
      <c r="AU39" s="41">
        <v>0</v>
      </c>
      <c r="AV39" s="41">
        <v>0</v>
      </c>
      <c r="AW39" s="41">
        <v>1</v>
      </c>
      <c r="AX39" s="41">
        <v>0</v>
      </c>
      <c r="AY39" s="41" t="s">
        <v>156</v>
      </c>
      <c r="AZ39" s="41" t="s">
        <v>73</v>
      </c>
      <c r="BA39" s="41" t="s">
        <v>73</v>
      </c>
      <c r="BB39" s="41">
        <v>0</v>
      </c>
      <c r="BC39" s="41">
        <v>0</v>
      </c>
      <c r="BD39" s="43" t="s">
        <v>139</v>
      </c>
      <c r="BE39" s="43" t="s">
        <v>139</v>
      </c>
      <c r="BF39" s="41" t="s">
        <v>163</v>
      </c>
      <c r="BG39" s="41">
        <f xml:space="preserve"> 9 * 4.345</f>
        <v>39.104999999999997</v>
      </c>
      <c r="BH39" s="41">
        <v>12</v>
      </c>
      <c r="BI39" s="51">
        <v>0</v>
      </c>
      <c r="BJ39" s="51">
        <v>0</v>
      </c>
      <c r="BK39" s="51">
        <f t="shared" si="9"/>
        <v>0</v>
      </c>
      <c r="BL39" s="51">
        <f t="shared" si="10"/>
        <v>4.1666666666666666E-3</v>
      </c>
      <c r="BM39" s="51">
        <f t="shared" si="11"/>
        <v>4.2016806722689074E-3</v>
      </c>
      <c r="BN39" s="43"/>
    </row>
    <row r="40" spans="1:66" s="41" customFormat="1" ht="17">
      <c r="A40" s="45" t="s">
        <v>68</v>
      </c>
      <c r="B40" s="41">
        <f>B39+1</f>
        <v>39</v>
      </c>
      <c r="C40" s="54">
        <v>1010</v>
      </c>
      <c r="D40" s="55" t="s">
        <v>158</v>
      </c>
      <c r="E40" s="55" t="s">
        <v>159</v>
      </c>
      <c r="F40" s="55" t="s">
        <v>160</v>
      </c>
      <c r="G40" s="55">
        <v>2015</v>
      </c>
      <c r="H40" s="41" t="s">
        <v>73</v>
      </c>
      <c r="I40" s="41">
        <v>122</v>
      </c>
      <c r="J40" s="41" t="s">
        <v>107</v>
      </c>
      <c r="K40" s="41" t="s">
        <v>112</v>
      </c>
      <c r="L40" s="41">
        <v>2</v>
      </c>
      <c r="M40" s="41">
        <v>0</v>
      </c>
      <c r="N40" s="41">
        <v>0</v>
      </c>
      <c r="O40" s="41">
        <v>0</v>
      </c>
      <c r="P40" s="41">
        <v>1</v>
      </c>
      <c r="Q40" s="41">
        <v>0</v>
      </c>
      <c r="R40" s="41">
        <v>0</v>
      </c>
      <c r="S40" s="41">
        <v>0</v>
      </c>
      <c r="T40" s="41">
        <v>1</v>
      </c>
      <c r="U40" s="41">
        <v>0</v>
      </c>
      <c r="V40" s="41">
        <v>0</v>
      </c>
      <c r="W40" s="41">
        <v>0</v>
      </c>
      <c r="X40" s="41">
        <v>0</v>
      </c>
      <c r="Y40" s="41">
        <v>0</v>
      </c>
      <c r="Z40" s="41" t="s">
        <v>161</v>
      </c>
      <c r="AA40" s="41" t="s">
        <v>162</v>
      </c>
      <c r="AB40" s="48" t="s">
        <v>73</v>
      </c>
      <c r="AC40" s="48" t="s">
        <v>80</v>
      </c>
      <c r="AD40" s="41">
        <v>2.8</v>
      </c>
      <c r="AE40" s="48" t="s">
        <v>73</v>
      </c>
      <c r="AF40" s="41">
        <v>199.5</v>
      </c>
      <c r="AG40" s="41">
        <v>100</v>
      </c>
      <c r="AH40" s="41">
        <v>2.1</v>
      </c>
      <c r="AI40" s="41">
        <v>200.1</v>
      </c>
      <c r="AJ40" s="41">
        <v>110</v>
      </c>
      <c r="AK40" s="41">
        <v>1.9</v>
      </c>
      <c r="AL40" s="41">
        <f>AG40+AJ40</f>
        <v>210</v>
      </c>
      <c r="AM40" s="41">
        <v>210</v>
      </c>
      <c r="AN40" s="41">
        <v>0.1</v>
      </c>
      <c r="AO40" s="41">
        <v>1</v>
      </c>
      <c r="AP40" s="41">
        <v>0</v>
      </c>
      <c r="AQ40" s="41">
        <f>ABS(AF40-AI40)</f>
        <v>0.59999999999999432</v>
      </c>
      <c r="AR40" s="41">
        <v>0</v>
      </c>
      <c r="AS40" s="41">
        <v>0</v>
      </c>
      <c r="AT40" s="41">
        <v>0</v>
      </c>
      <c r="AU40" s="41">
        <v>0</v>
      </c>
      <c r="AV40" s="41">
        <v>0</v>
      </c>
      <c r="AW40" s="41">
        <v>1</v>
      </c>
      <c r="AX40" s="41">
        <v>0</v>
      </c>
      <c r="AY40" s="41" t="s">
        <v>156</v>
      </c>
      <c r="AZ40" s="41" t="s">
        <v>73</v>
      </c>
      <c r="BA40" s="41" t="s">
        <v>73</v>
      </c>
      <c r="BB40" s="41">
        <v>0</v>
      </c>
      <c r="BC40" s="41">
        <v>0</v>
      </c>
      <c r="BD40" s="43" t="s">
        <v>139</v>
      </c>
      <c r="BE40" s="43" t="s">
        <v>139</v>
      </c>
      <c r="BF40" s="41" t="s">
        <v>163</v>
      </c>
      <c r="BG40" s="41">
        <f xml:space="preserve"> 9 * 4.345</f>
        <v>39.104999999999997</v>
      </c>
      <c r="BH40" s="41">
        <v>12</v>
      </c>
      <c r="BI40" s="51">
        <v>0</v>
      </c>
      <c r="BJ40" s="51">
        <v>0</v>
      </c>
      <c r="BK40" s="51">
        <f t="shared" si="9"/>
        <v>0</v>
      </c>
      <c r="BL40" s="51">
        <f t="shared" si="10"/>
        <v>4.7846889952153108E-3</v>
      </c>
      <c r="BM40" s="51">
        <f t="shared" si="11"/>
        <v>4.830917874396135E-3</v>
      </c>
      <c r="BN40" s="43"/>
    </row>
    <row r="41" spans="1:66" s="41" customFormat="1" ht="17">
      <c r="A41" s="45" t="s">
        <v>68</v>
      </c>
      <c r="B41" s="41">
        <v>40</v>
      </c>
      <c r="C41" s="54">
        <v>1010</v>
      </c>
      <c r="D41" s="55" t="s">
        <v>158</v>
      </c>
      <c r="E41" s="55" t="s">
        <v>159</v>
      </c>
      <c r="F41" s="55" t="s">
        <v>160</v>
      </c>
      <c r="G41" s="55">
        <v>2015</v>
      </c>
      <c r="H41" s="41" t="s">
        <v>73</v>
      </c>
      <c r="I41" s="41">
        <v>122</v>
      </c>
      <c r="J41" s="41" t="s">
        <v>107</v>
      </c>
      <c r="K41" s="41" t="s">
        <v>112</v>
      </c>
      <c r="L41" s="41">
        <v>2</v>
      </c>
      <c r="M41" s="41">
        <v>0</v>
      </c>
      <c r="N41" s="41">
        <v>0</v>
      </c>
      <c r="O41" s="41">
        <v>0</v>
      </c>
      <c r="P41" s="41">
        <v>1</v>
      </c>
      <c r="Q41" s="41">
        <v>0</v>
      </c>
      <c r="R41" s="41">
        <v>0</v>
      </c>
      <c r="S41" s="41">
        <v>0</v>
      </c>
      <c r="T41" s="41">
        <v>1</v>
      </c>
      <c r="U41" s="41">
        <v>0</v>
      </c>
      <c r="V41" s="41">
        <v>0</v>
      </c>
      <c r="W41" s="41">
        <v>0</v>
      </c>
      <c r="X41" s="41">
        <v>0</v>
      </c>
      <c r="Y41" s="41">
        <v>0</v>
      </c>
      <c r="Z41" s="41" t="s">
        <v>164</v>
      </c>
      <c r="AA41" s="41" t="s">
        <v>162</v>
      </c>
      <c r="AB41" s="48" t="s">
        <v>73</v>
      </c>
      <c r="AC41" s="48" t="s">
        <v>86</v>
      </c>
      <c r="AD41" s="41">
        <v>9.5</v>
      </c>
      <c r="AE41" s="48" t="s">
        <v>73</v>
      </c>
      <c r="AF41" s="41">
        <v>241.7</v>
      </c>
      <c r="AG41" s="41">
        <v>66</v>
      </c>
      <c r="AH41" s="41">
        <v>7.5</v>
      </c>
      <c r="AI41" s="41">
        <v>222.3</v>
      </c>
      <c r="AJ41" s="41">
        <v>70</v>
      </c>
      <c r="AK41" s="41">
        <v>5.8</v>
      </c>
      <c r="AL41" s="41">
        <f>AG41+AJ41</f>
        <v>136</v>
      </c>
      <c r="AM41" s="41">
        <v>136</v>
      </c>
      <c r="AN41" s="41">
        <v>0.05</v>
      </c>
      <c r="AO41" s="41">
        <v>2</v>
      </c>
      <c r="AP41" s="41">
        <v>1.9776</v>
      </c>
      <c r="AQ41" s="41">
        <f>ABS(AF41-AI41)</f>
        <v>19.399999999999977</v>
      </c>
      <c r="AR41" s="41">
        <v>0</v>
      </c>
      <c r="AS41" s="41">
        <v>0</v>
      </c>
      <c r="AT41" s="41">
        <v>0</v>
      </c>
      <c r="AU41" s="41">
        <v>0</v>
      </c>
      <c r="AV41" s="41">
        <v>0</v>
      </c>
      <c r="AW41" s="41">
        <v>1</v>
      </c>
      <c r="AX41" s="41">
        <v>0</v>
      </c>
      <c r="AY41" s="41" t="s">
        <v>156</v>
      </c>
      <c r="AZ41" s="41" t="s">
        <v>73</v>
      </c>
      <c r="BA41" s="41" t="s">
        <v>73</v>
      </c>
      <c r="BB41" s="41">
        <v>0</v>
      </c>
      <c r="BC41" s="41">
        <v>0</v>
      </c>
      <c r="BD41" s="43" t="s">
        <v>139</v>
      </c>
      <c r="BE41" s="43" t="s">
        <v>139</v>
      </c>
      <c r="BF41" s="41" t="s">
        <v>163</v>
      </c>
      <c r="BG41" s="41">
        <f xml:space="preserve"> 9 * 4.345</f>
        <v>39.104999999999997</v>
      </c>
      <c r="BH41" s="41">
        <v>12</v>
      </c>
      <c r="BI41" s="51">
        <f>BN41/(((BN41^2)+4)^1/2)</f>
        <v>0.49989150482803513</v>
      </c>
      <c r="BJ41" s="51">
        <f>- BN41/(((BN41^2)+4)^1/2)</f>
        <v>-0.49989150482803513</v>
      </c>
      <c r="BK41" s="51">
        <f t="shared" si="9"/>
        <v>-0.54916149456629371</v>
      </c>
      <c r="BL41" s="51">
        <f>((1-(BK41^2)^2)/(AL41-1))</f>
        <v>6.7337074114949304E-3</v>
      </c>
      <c r="BM41" s="51">
        <f>1/(AL41-3)</f>
        <v>7.5187969924812026E-3</v>
      </c>
      <c r="BN41" s="43">
        <f>(AF41-AI41)/AD41</f>
        <v>2.0421052631578922</v>
      </c>
    </row>
    <row r="42" spans="1:66" s="41" customFormat="1" ht="17">
      <c r="A42" s="45" t="s">
        <v>68</v>
      </c>
      <c r="B42" s="41">
        <f>B41+1</f>
        <v>41</v>
      </c>
      <c r="C42" s="54">
        <v>1010</v>
      </c>
      <c r="D42" s="55" t="s">
        <v>158</v>
      </c>
      <c r="E42" s="55" t="s">
        <v>159</v>
      </c>
      <c r="F42" s="55" t="s">
        <v>160</v>
      </c>
      <c r="G42" s="55">
        <v>2015</v>
      </c>
      <c r="H42" s="41" t="s">
        <v>73</v>
      </c>
      <c r="I42" s="41">
        <v>122</v>
      </c>
      <c r="J42" s="41" t="s">
        <v>107</v>
      </c>
      <c r="K42" s="41" t="s">
        <v>112</v>
      </c>
      <c r="L42" s="41">
        <v>2</v>
      </c>
      <c r="M42" s="41">
        <v>0</v>
      </c>
      <c r="N42" s="41">
        <v>0</v>
      </c>
      <c r="O42" s="41">
        <v>0</v>
      </c>
      <c r="P42" s="41">
        <v>1</v>
      </c>
      <c r="Q42" s="41">
        <v>0</v>
      </c>
      <c r="R42" s="41">
        <v>0</v>
      </c>
      <c r="S42" s="41">
        <v>0</v>
      </c>
      <c r="T42" s="41">
        <v>1</v>
      </c>
      <c r="U42" s="41">
        <v>0</v>
      </c>
      <c r="V42" s="41">
        <v>0</v>
      </c>
      <c r="W42" s="41">
        <v>0</v>
      </c>
      <c r="X42" s="41">
        <v>0</v>
      </c>
      <c r="Y42" s="41">
        <v>0</v>
      </c>
      <c r="Z42" s="41" t="s">
        <v>164</v>
      </c>
      <c r="AA42" s="41" t="s">
        <v>162</v>
      </c>
      <c r="AB42" s="48" t="s">
        <v>73</v>
      </c>
      <c r="AC42" s="48" t="s">
        <v>86</v>
      </c>
      <c r="AD42" s="41">
        <v>9.9</v>
      </c>
      <c r="AE42" s="48" t="s">
        <v>73</v>
      </c>
      <c r="AF42" s="41">
        <v>241.7</v>
      </c>
      <c r="AG42" s="41">
        <v>66</v>
      </c>
      <c r="AH42" s="41">
        <v>7.5</v>
      </c>
      <c r="AI42" s="41">
        <v>218.4</v>
      </c>
      <c r="AJ42" s="41">
        <v>58</v>
      </c>
      <c r="AK42" s="41">
        <v>6.2</v>
      </c>
      <c r="AL42" s="41">
        <f>AG42+AJ42</f>
        <v>124</v>
      </c>
      <c r="AM42" s="41">
        <v>124</v>
      </c>
      <c r="AN42" s="41">
        <v>0.05</v>
      </c>
      <c r="AO42" s="41">
        <v>2</v>
      </c>
      <c r="AP42" s="41">
        <v>1.9776</v>
      </c>
      <c r="AQ42" s="41">
        <f>ABS(AF42-AI42)</f>
        <v>23.299999999999983</v>
      </c>
      <c r="AR42" s="41">
        <v>0</v>
      </c>
      <c r="AS42" s="41">
        <v>0</v>
      </c>
      <c r="AT42" s="41">
        <v>0</v>
      </c>
      <c r="AU42" s="41">
        <v>0</v>
      </c>
      <c r="AV42" s="41">
        <v>0</v>
      </c>
      <c r="AW42" s="41">
        <v>1</v>
      </c>
      <c r="AX42" s="41">
        <v>0</v>
      </c>
      <c r="AY42" s="41" t="s">
        <v>156</v>
      </c>
      <c r="AZ42" s="41" t="s">
        <v>73</v>
      </c>
      <c r="BA42" s="41" t="s">
        <v>73</v>
      </c>
      <c r="BB42" s="41">
        <v>0</v>
      </c>
      <c r="BC42" s="41">
        <v>0</v>
      </c>
      <c r="BD42" s="43" t="s">
        <v>139</v>
      </c>
      <c r="BE42" s="43" t="s">
        <v>139</v>
      </c>
      <c r="BF42" s="41" t="s">
        <v>163</v>
      </c>
      <c r="BG42" s="41">
        <f xml:space="preserve"> 9 * 4.345</f>
        <v>39.104999999999997</v>
      </c>
      <c r="BH42" s="41">
        <v>12</v>
      </c>
      <c r="BI42" s="51">
        <f>BN42/(((BN42^2)+4)^1/2)</f>
        <v>0.49344870738985813</v>
      </c>
      <c r="BJ42" s="51">
        <f>- BN42/(((BN42^2)+4)^1/2)</f>
        <v>-0.49344870738985813</v>
      </c>
      <c r="BK42" s="51">
        <f t="shared" si="9"/>
        <v>-0.54060885294058814</v>
      </c>
      <c r="BL42" s="51">
        <f>((1-(BK42^2)^2)/(AL42-1))</f>
        <v>7.4356528557280258E-3</v>
      </c>
      <c r="BM42" s="51">
        <f>1/(AL42-3)</f>
        <v>8.2644628099173556E-3</v>
      </c>
      <c r="BN42" s="43">
        <f>(AF42-AI42)/AD42</f>
        <v>2.3535353535353516</v>
      </c>
    </row>
    <row r="43" spans="1:66" hidden="1">
      <c r="A43" t="s">
        <v>151</v>
      </c>
      <c r="B43" s="17">
        <f>B42+1</f>
        <v>42</v>
      </c>
      <c r="C43" s="15">
        <v>1011</v>
      </c>
      <c r="D43" t="s">
        <v>165</v>
      </c>
      <c r="E43" t="s">
        <v>166</v>
      </c>
      <c r="F43" s="10" t="s">
        <v>167</v>
      </c>
      <c r="G43" s="10">
        <v>2009</v>
      </c>
      <c r="H43" s="10" t="s">
        <v>73</v>
      </c>
      <c r="I43">
        <v>40</v>
      </c>
      <c r="J43" t="s">
        <v>120</v>
      </c>
      <c r="K43" t="s">
        <v>94</v>
      </c>
      <c r="L43" s="17">
        <v>1</v>
      </c>
      <c r="M43">
        <v>0</v>
      </c>
      <c r="N43">
        <v>1</v>
      </c>
      <c r="O43">
        <v>0</v>
      </c>
      <c r="P43">
        <v>0</v>
      </c>
      <c r="Q43">
        <v>0</v>
      </c>
      <c r="R43">
        <v>0</v>
      </c>
      <c r="S43">
        <v>0</v>
      </c>
      <c r="T43">
        <v>1</v>
      </c>
      <c r="U43">
        <v>0</v>
      </c>
      <c r="V43">
        <v>0</v>
      </c>
      <c r="W43">
        <v>0</v>
      </c>
      <c r="X43">
        <v>0</v>
      </c>
      <c r="Y43">
        <v>0</v>
      </c>
      <c r="Z43" s="17" t="s">
        <v>168</v>
      </c>
      <c r="AA43" s="17" t="s">
        <v>78</v>
      </c>
      <c r="AB43" s="25">
        <v>3.5000000000000001E-3</v>
      </c>
      <c r="AC43" s="7" t="s">
        <v>86</v>
      </c>
      <c r="AD43" s="17">
        <v>1E-3</v>
      </c>
      <c r="AE43" s="20" t="s">
        <v>73</v>
      </c>
      <c r="AF43" t="s">
        <v>73</v>
      </c>
      <c r="AG43" t="s">
        <v>73</v>
      </c>
      <c r="AH43" t="s">
        <v>73</v>
      </c>
      <c r="AI43" t="s">
        <v>73</v>
      </c>
      <c r="AJ43" t="s">
        <v>73</v>
      </c>
      <c r="AK43" t="s">
        <v>73</v>
      </c>
      <c r="AL43">
        <v>12450</v>
      </c>
      <c r="AM43">
        <v>12450</v>
      </c>
      <c r="AN43" t="s">
        <v>73</v>
      </c>
      <c r="AO43" s="17">
        <v>3</v>
      </c>
      <c r="AP43">
        <f t="shared" ref="AP43:AP51" si="16">AB43/AD43</f>
        <v>3.5</v>
      </c>
      <c r="AQ43" t="s">
        <v>73</v>
      </c>
      <c r="AR43" t="s">
        <v>73</v>
      </c>
      <c r="AS43">
        <v>0</v>
      </c>
      <c r="AT43">
        <v>1</v>
      </c>
      <c r="AU43">
        <v>0</v>
      </c>
      <c r="AV43">
        <v>0</v>
      </c>
      <c r="AW43">
        <v>0</v>
      </c>
      <c r="AX43">
        <v>0</v>
      </c>
      <c r="AY43" t="s">
        <v>81</v>
      </c>
      <c r="AZ43" s="17" t="s">
        <v>73</v>
      </c>
      <c r="BA43" s="17" t="s">
        <v>73</v>
      </c>
      <c r="BB43" s="17">
        <v>0</v>
      </c>
      <c r="BC43" s="17">
        <v>0</v>
      </c>
      <c r="BD43" s="18" t="s">
        <v>83</v>
      </c>
      <c r="BE43" s="18" t="s">
        <v>83</v>
      </c>
      <c r="BF43" t="s">
        <v>73</v>
      </c>
      <c r="BI43" s="30">
        <f>(((AP43^2)/(AP43^2+AL43))^1/2)</f>
        <v>4.9148428253325042E-4</v>
      </c>
      <c r="BJ43" s="30">
        <f>- (((AP43^2)/(AP43^2+AM43))^1/2)</f>
        <v>-4.9148428253325042E-4</v>
      </c>
      <c r="BK43" s="30">
        <f t="shared" ref="BK43:BK53" si="17">0.5*LN((1+BJ43)/(1-BJ43))</f>
        <v>-4.9148432210700159E-4</v>
      </c>
      <c r="BL43" s="30">
        <f t="shared" ref="BL43:BL53" si="18">((1-(BK43^2)^2)/(AL43-1))</f>
        <v>8.0327737167639301E-5</v>
      </c>
      <c r="BM43" s="30">
        <f t="shared" ref="BM43:BM53" si="19">1/(AL43-3)</f>
        <v>8.0340644331967548E-5</v>
      </c>
    </row>
    <row r="44" spans="1:66" hidden="1">
      <c r="A44" t="s">
        <v>151</v>
      </c>
      <c r="B44" s="17">
        <f>B43+1</f>
        <v>43</v>
      </c>
      <c r="C44" s="15">
        <v>1011</v>
      </c>
      <c r="D44" t="s">
        <v>165</v>
      </c>
      <c r="E44" t="s">
        <v>166</v>
      </c>
      <c r="F44" s="10" t="s">
        <v>167</v>
      </c>
      <c r="G44" s="10">
        <v>2009</v>
      </c>
      <c r="H44" s="10" t="s">
        <v>73</v>
      </c>
      <c r="I44">
        <v>40</v>
      </c>
      <c r="J44" t="s">
        <v>120</v>
      </c>
      <c r="K44" t="s">
        <v>94</v>
      </c>
      <c r="L44" s="17">
        <v>1</v>
      </c>
      <c r="M44">
        <v>0</v>
      </c>
      <c r="N44">
        <v>1</v>
      </c>
      <c r="O44">
        <v>0</v>
      </c>
      <c r="P44">
        <v>0</v>
      </c>
      <c r="Q44">
        <v>0</v>
      </c>
      <c r="R44">
        <v>0</v>
      </c>
      <c r="S44">
        <v>0</v>
      </c>
      <c r="T44">
        <v>1</v>
      </c>
      <c r="U44">
        <v>0</v>
      </c>
      <c r="V44">
        <v>0</v>
      </c>
      <c r="W44">
        <v>0</v>
      </c>
      <c r="X44">
        <v>0</v>
      </c>
      <c r="Y44">
        <v>0</v>
      </c>
      <c r="Z44" s="17" t="s">
        <v>168</v>
      </c>
      <c r="AA44" s="17" t="s">
        <v>78</v>
      </c>
      <c r="AB44" s="25">
        <v>1.8000000000000001E-4</v>
      </c>
      <c r="AC44" s="7" t="s">
        <v>86</v>
      </c>
      <c r="AD44" s="17">
        <v>2.9999999999999997E-4</v>
      </c>
      <c r="AE44" s="20" t="s">
        <v>73</v>
      </c>
      <c r="AF44" t="s">
        <v>73</v>
      </c>
      <c r="AG44" t="s">
        <v>73</v>
      </c>
      <c r="AH44" t="s">
        <v>73</v>
      </c>
      <c r="AI44" t="s">
        <v>73</v>
      </c>
      <c r="AJ44" t="s">
        <v>73</v>
      </c>
      <c r="AK44" t="s">
        <v>73</v>
      </c>
      <c r="AL44">
        <v>12450</v>
      </c>
      <c r="AM44">
        <v>12450</v>
      </c>
      <c r="AN44" t="s">
        <v>73</v>
      </c>
      <c r="AO44" s="17">
        <v>3</v>
      </c>
      <c r="AP44">
        <f t="shared" si="16"/>
        <v>0.60000000000000009</v>
      </c>
      <c r="AQ44" t="s">
        <v>73</v>
      </c>
      <c r="AR44" t="s">
        <v>73</v>
      </c>
      <c r="AS44">
        <v>0</v>
      </c>
      <c r="AT44">
        <v>1</v>
      </c>
      <c r="AU44">
        <v>0</v>
      </c>
      <c r="AV44">
        <v>0</v>
      </c>
      <c r="AW44">
        <v>0</v>
      </c>
      <c r="AX44">
        <v>0</v>
      </c>
      <c r="AY44" t="s">
        <v>81</v>
      </c>
      <c r="AZ44" s="17" t="s">
        <v>73</v>
      </c>
      <c r="BA44" s="17" t="s">
        <v>73</v>
      </c>
      <c r="BB44" s="17">
        <v>0</v>
      </c>
      <c r="BC44" s="17">
        <v>0</v>
      </c>
      <c r="BD44" s="18" t="s">
        <v>83</v>
      </c>
      <c r="BE44" s="18" t="s">
        <v>83</v>
      </c>
      <c r="BF44" t="s">
        <v>73</v>
      </c>
      <c r="BI44" s="30">
        <f t="shared" ref="BI44:BI51" si="20">(((AP44^2)/(AP44^2+AL44))^1/2)</f>
        <v>1.4457413279616015E-5</v>
      </c>
      <c r="BJ44" s="30">
        <f>- (((AP44^2)/(AP44^2+AM44))^1/2)</f>
        <v>-1.4457413279616015E-5</v>
      </c>
      <c r="BK44" s="30">
        <f t="shared" si="17"/>
        <v>-1.4457413280689465E-5</v>
      </c>
      <c r="BL44" s="30">
        <f t="shared" si="18"/>
        <v>8.032773716764399E-5</v>
      </c>
      <c r="BM44" s="30">
        <f t="shared" si="19"/>
        <v>8.0340644331967548E-5</v>
      </c>
    </row>
    <row r="45" spans="1:66" hidden="1">
      <c r="A45" t="s">
        <v>151</v>
      </c>
      <c r="B45" s="17">
        <v>44</v>
      </c>
      <c r="C45" s="15">
        <v>1011</v>
      </c>
      <c r="D45" t="s">
        <v>165</v>
      </c>
      <c r="E45" t="s">
        <v>166</v>
      </c>
      <c r="F45" s="10" t="s">
        <v>167</v>
      </c>
      <c r="G45" s="10">
        <v>2009</v>
      </c>
      <c r="H45" s="10" t="s">
        <v>73</v>
      </c>
      <c r="I45">
        <v>40</v>
      </c>
      <c r="J45" t="s">
        <v>120</v>
      </c>
      <c r="K45" t="s">
        <v>94</v>
      </c>
      <c r="L45" s="17">
        <v>1</v>
      </c>
      <c r="M45">
        <v>0</v>
      </c>
      <c r="N45">
        <v>1</v>
      </c>
      <c r="O45">
        <v>0</v>
      </c>
      <c r="P45">
        <v>0</v>
      </c>
      <c r="Q45">
        <v>0</v>
      </c>
      <c r="R45">
        <v>0</v>
      </c>
      <c r="S45">
        <v>0</v>
      </c>
      <c r="T45">
        <v>1</v>
      </c>
      <c r="U45">
        <v>0</v>
      </c>
      <c r="V45">
        <v>0</v>
      </c>
      <c r="W45">
        <v>0</v>
      </c>
      <c r="X45">
        <v>0</v>
      </c>
      <c r="Y45">
        <v>0</v>
      </c>
      <c r="Z45" s="17" t="s">
        <v>168</v>
      </c>
      <c r="AA45" s="17" t="s">
        <v>78</v>
      </c>
      <c r="AB45" s="25">
        <v>1.2999999999999999E-4</v>
      </c>
      <c r="AC45" s="7" t="s">
        <v>80</v>
      </c>
      <c r="AD45" s="17">
        <v>5.0000000000000001E-4</v>
      </c>
      <c r="AE45" s="20" t="s">
        <v>73</v>
      </c>
      <c r="AF45" t="s">
        <v>73</v>
      </c>
      <c r="AG45" t="s">
        <v>73</v>
      </c>
      <c r="AH45" t="s">
        <v>73</v>
      </c>
      <c r="AI45" t="s">
        <v>73</v>
      </c>
      <c r="AJ45" t="s">
        <v>73</v>
      </c>
      <c r="AK45" t="s">
        <v>73</v>
      </c>
      <c r="AL45">
        <v>12450</v>
      </c>
      <c r="AM45">
        <v>12450</v>
      </c>
      <c r="AN45" t="s">
        <v>73</v>
      </c>
      <c r="AO45" s="17">
        <v>3</v>
      </c>
      <c r="AP45">
        <f t="shared" si="16"/>
        <v>0.25999999999999995</v>
      </c>
      <c r="AQ45" t="s">
        <v>73</v>
      </c>
      <c r="AR45" t="s">
        <v>73</v>
      </c>
      <c r="AS45">
        <v>0</v>
      </c>
      <c r="AT45">
        <v>1</v>
      </c>
      <c r="AU45">
        <v>0</v>
      </c>
      <c r="AV45">
        <v>0</v>
      </c>
      <c r="AW45">
        <v>0</v>
      </c>
      <c r="AX45">
        <v>0</v>
      </c>
      <c r="AY45" t="s">
        <v>81</v>
      </c>
      <c r="AZ45" s="17" t="s">
        <v>73</v>
      </c>
      <c r="BA45" s="17" t="s">
        <v>73</v>
      </c>
      <c r="BB45" s="17">
        <v>0</v>
      </c>
      <c r="BC45" s="17">
        <v>0</v>
      </c>
      <c r="BD45" s="18" t="s">
        <v>83</v>
      </c>
      <c r="BE45" s="18" t="s">
        <v>83</v>
      </c>
      <c r="BF45" t="s">
        <v>73</v>
      </c>
      <c r="BI45" s="30">
        <f t="shared" si="20"/>
        <v>2.7148446969075083E-6</v>
      </c>
      <c r="BJ45" s="30">
        <f>(((AP45^2)/(AP45^2+AM45))^1/2)</f>
        <v>2.7148446969075083E-6</v>
      </c>
      <c r="BK45" s="30">
        <f t="shared" si="17"/>
        <v>2.7148446968697823E-6</v>
      </c>
      <c r="BL45" s="30">
        <f t="shared" si="18"/>
        <v>8.032773716764399E-5</v>
      </c>
      <c r="BM45" s="30">
        <f t="shared" si="19"/>
        <v>8.0340644331967548E-5</v>
      </c>
    </row>
    <row r="46" spans="1:66" hidden="1">
      <c r="A46" t="s">
        <v>151</v>
      </c>
      <c r="B46" s="17">
        <f>B45+1</f>
        <v>45</v>
      </c>
      <c r="C46" s="15">
        <v>1011</v>
      </c>
      <c r="D46" t="s">
        <v>165</v>
      </c>
      <c r="E46" t="s">
        <v>166</v>
      </c>
      <c r="F46" s="10" t="s">
        <v>167</v>
      </c>
      <c r="G46" s="10">
        <v>2009</v>
      </c>
      <c r="H46" s="10" t="s">
        <v>73</v>
      </c>
      <c r="I46">
        <v>40</v>
      </c>
      <c r="J46" t="s">
        <v>120</v>
      </c>
      <c r="K46" t="s">
        <v>94</v>
      </c>
      <c r="L46" s="17">
        <v>1</v>
      </c>
      <c r="M46">
        <v>0</v>
      </c>
      <c r="N46">
        <v>1</v>
      </c>
      <c r="O46">
        <v>0</v>
      </c>
      <c r="P46">
        <v>0</v>
      </c>
      <c r="Q46">
        <v>0</v>
      </c>
      <c r="R46">
        <v>1</v>
      </c>
      <c r="S46">
        <v>0</v>
      </c>
      <c r="T46">
        <v>0</v>
      </c>
      <c r="U46">
        <v>0</v>
      </c>
      <c r="V46">
        <v>0</v>
      </c>
      <c r="W46">
        <v>0</v>
      </c>
      <c r="X46">
        <v>0</v>
      </c>
      <c r="Y46">
        <v>0</v>
      </c>
      <c r="Z46" s="17" t="s">
        <v>168</v>
      </c>
      <c r="AA46" s="17" t="s">
        <v>78</v>
      </c>
      <c r="AB46" s="25">
        <v>1.7000000000000001E-2</v>
      </c>
      <c r="AC46" s="7" t="s">
        <v>86</v>
      </c>
      <c r="AD46" s="17">
        <v>4.0000000000000001E-3</v>
      </c>
      <c r="AE46" s="20" t="s">
        <v>73</v>
      </c>
      <c r="AF46" t="s">
        <v>73</v>
      </c>
      <c r="AG46" t="s">
        <v>73</v>
      </c>
      <c r="AH46" t="s">
        <v>73</v>
      </c>
      <c r="AI46" t="s">
        <v>73</v>
      </c>
      <c r="AJ46" t="s">
        <v>73</v>
      </c>
      <c r="AK46" t="s">
        <v>73</v>
      </c>
      <c r="AL46">
        <v>12100</v>
      </c>
      <c r="AM46">
        <v>12100</v>
      </c>
      <c r="AN46" t="s">
        <v>73</v>
      </c>
      <c r="AO46" s="17">
        <v>3</v>
      </c>
      <c r="AP46">
        <f t="shared" si="16"/>
        <v>4.25</v>
      </c>
      <c r="AQ46" t="s">
        <v>73</v>
      </c>
      <c r="AR46" t="s">
        <v>73</v>
      </c>
      <c r="AS46">
        <v>0</v>
      </c>
      <c r="AT46">
        <v>1</v>
      </c>
      <c r="AU46">
        <v>0</v>
      </c>
      <c r="AV46">
        <v>0</v>
      </c>
      <c r="AW46">
        <v>0</v>
      </c>
      <c r="AX46">
        <v>0</v>
      </c>
      <c r="AY46" t="s">
        <v>81</v>
      </c>
      <c r="AZ46" s="17" t="s">
        <v>73</v>
      </c>
      <c r="BA46" s="17" t="s">
        <v>73</v>
      </c>
      <c r="BB46" s="17">
        <v>0</v>
      </c>
      <c r="BC46" s="17">
        <v>0</v>
      </c>
      <c r="BD46" s="18" t="s">
        <v>83</v>
      </c>
      <c r="BE46" s="18" t="s">
        <v>83</v>
      </c>
      <c r="BF46" t="s">
        <v>73</v>
      </c>
      <c r="BI46" s="30">
        <f t="shared" si="20"/>
        <v>7.4527177921388009E-4</v>
      </c>
      <c r="BJ46" s="30">
        <f>- (((AP46^2)/(AP46^2+AM46))^1/2)</f>
        <v>-7.4527177921388009E-4</v>
      </c>
      <c r="BK46" s="30">
        <f t="shared" si="17"/>
        <v>-7.4527191719599845E-4</v>
      </c>
      <c r="BL46" s="30">
        <f t="shared" si="18"/>
        <v>8.2651458798222292E-5</v>
      </c>
      <c r="BM46" s="30">
        <f t="shared" si="19"/>
        <v>8.2665123584359755E-5</v>
      </c>
    </row>
    <row r="47" spans="1:66" hidden="1">
      <c r="A47" t="s">
        <v>151</v>
      </c>
      <c r="B47" s="17">
        <f>B46+1</f>
        <v>46</v>
      </c>
      <c r="C47" s="15">
        <v>1011</v>
      </c>
      <c r="D47" t="s">
        <v>165</v>
      </c>
      <c r="E47" t="s">
        <v>166</v>
      </c>
      <c r="F47" s="10" t="s">
        <v>167</v>
      </c>
      <c r="G47" s="10">
        <v>2009</v>
      </c>
      <c r="H47" s="10" t="s">
        <v>73</v>
      </c>
      <c r="I47">
        <v>40</v>
      </c>
      <c r="J47" t="s">
        <v>120</v>
      </c>
      <c r="K47" t="s">
        <v>94</v>
      </c>
      <c r="L47" s="17">
        <v>1</v>
      </c>
      <c r="M47">
        <v>0</v>
      </c>
      <c r="N47">
        <v>1</v>
      </c>
      <c r="O47">
        <v>0</v>
      </c>
      <c r="P47">
        <v>0</v>
      </c>
      <c r="Q47">
        <v>0</v>
      </c>
      <c r="R47">
        <v>1</v>
      </c>
      <c r="S47">
        <v>0</v>
      </c>
      <c r="T47">
        <v>0</v>
      </c>
      <c r="U47">
        <v>0</v>
      </c>
      <c r="V47">
        <v>0</v>
      </c>
      <c r="W47">
        <v>0</v>
      </c>
      <c r="X47">
        <v>0</v>
      </c>
      <c r="Y47">
        <v>0</v>
      </c>
      <c r="Z47" s="17" t="s">
        <v>168</v>
      </c>
      <c r="AA47" s="17" t="s">
        <v>78</v>
      </c>
      <c r="AB47" s="25">
        <v>1.6999999999999999E-3</v>
      </c>
      <c r="AC47" s="7" t="s">
        <v>86</v>
      </c>
      <c r="AD47" s="17">
        <v>1E-3</v>
      </c>
      <c r="AE47" s="20" t="s">
        <v>73</v>
      </c>
      <c r="AF47" t="s">
        <v>73</v>
      </c>
      <c r="AG47" t="s">
        <v>73</v>
      </c>
      <c r="AH47" t="s">
        <v>73</v>
      </c>
      <c r="AI47" t="s">
        <v>73</v>
      </c>
      <c r="AJ47" t="s">
        <v>73</v>
      </c>
      <c r="AK47" t="s">
        <v>73</v>
      </c>
      <c r="AL47">
        <v>12100</v>
      </c>
      <c r="AM47">
        <v>12100</v>
      </c>
      <c r="AN47" t="s">
        <v>73</v>
      </c>
      <c r="AO47" s="17">
        <v>3</v>
      </c>
      <c r="AP47">
        <f t="shared" si="16"/>
        <v>1.7</v>
      </c>
      <c r="AQ47" t="s">
        <v>73</v>
      </c>
      <c r="AR47" t="s">
        <v>73</v>
      </c>
      <c r="AS47">
        <v>0</v>
      </c>
      <c r="AT47">
        <v>1</v>
      </c>
      <c r="AU47">
        <v>0</v>
      </c>
      <c r="AV47">
        <v>0</v>
      </c>
      <c r="AW47">
        <v>0</v>
      </c>
      <c r="AX47">
        <v>0</v>
      </c>
      <c r="AY47" t="s">
        <v>81</v>
      </c>
      <c r="AZ47" s="17" t="s">
        <v>73</v>
      </c>
      <c r="BA47" s="17" t="s">
        <v>73</v>
      </c>
      <c r="BB47" s="17">
        <v>0</v>
      </c>
      <c r="BC47" s="17">
        <v>0</v>
      </c>
      <c r="BD47" s="18" t="s">
        <v>83</v>
      </c>
      <c r="BE47" s="18" t="s">
        <v>83</v>
      </c>
      <c r="BF47" t="s">
        <v>73</v>
      </c>
      <c r="BI47" s="30">
        <f t="shared" si="20"/>
        <v>1.1939297143079049E-4</v>
      </c>
      <c r="BJ47" s="30">
        <f>-(((AP47^2)/(AP47^2+AM47))^1/2)</f>
        <v>-1.1939297143079049E-4</v>
      </c>
      <c r="BK47" s="30">
        <f t="shared" si="17"/>
        <v>-1.1939297199808206E-4</v>
      </c>
      <c r="BL47" s="30">
        <f t="shared" si="18"/>
        <v>8.2651458798247771E-5</v>
      </c>
      <c r="BM47" s="30">
        <f t="shared" si="19"/>
        <v>8.2665123584359755E-5</v>
      </c>
    </row>
    <row r="48" spans="1:66" hidden="1">
      <c r="A48" t="s">
        <v>151</v>
      </c>
      <c r="B48" s="17">
        <f>B47+1</f>
        <v>47</v>
      </c>
      <c r="C48" s="15">
        <v>1011</v>
      </c>
      <c r="D48" t="s">
        <v>165</v>
      </c>
      <c r="E48" t="s">
        <v>166</v>
      </c>
      <c r="F48" s="10" t="s">
        <v>167</v>
      </c>
      <c r="G48" s="10">
        <v>2009</v>
      </c>
      <c r="H48" s="10" t="s">
        <v>73</v>
      </c>
      <c r="I48">
        <v>40</v>
      </c>
      <c r="J48" t="s">
        <v>120</v>
      </c>
      <c r="K48" t="s">
        <v>94</v>
      </c>
      <c r="L48" s="17">
        <v>1</v>
      </c>
      <c r="M48">
        <v>0</v>
      </c>
      <c r="N48">
        <v>1</v>
      </c>
      <c r="O48">
        <v>0</v>
      </c>
      <c r="P48">
        <v>0</v>
      </c>
      <c r="Q48">
        <v>0</v>
      </c>
      <c r="R48">
        <v>1</v>
      </c>
      <c r="S48">
        <v>0</v>
      </c>
      <c r="T48">
        <v>0</v>
      </c>
      <c r="U48">
        <v>0</v>
      </c>
      <c r="V48">
        <v>0</v>
      </c>
      <c r="W48">
        <v>0</v>
      </c>
      <c r="X48">
        <v>0</v>
      </c>
      <c r="Y48">
        <v>0</v>
      </c>
      <c r="Z48" s="17" t="s">
        <v>168</v>
      </c>
      <c r="AA48" s="17" t="s">
        <v>78</v>
      </c>
      <c r="AB48" s="25">
        <v>2.9E-4</v>
      </c>
      <c r="AC48" s="7" t="s">
        <v>86</v>
      </c>
      <c r="AD48" s="17">
        <v>1E-3</v>
      </c>
      <c r="AE48" s="20" t="s">
        <v>73</v>
      </c>
      <c r="AF48" t="s">
        <v>73</v>
      </c>
      <c r="AG48" t="s">
        <v>73</v>
      </c>
      <c r="AH48" t="s">
        <v>73</v>
      </c>
      <c r="AI48" t="s">
        <v>73</v>
      </c>
      <c r="AJ48" t="s">
        <v>73</v>
      </c>
      <c r="AK48" t="s">
        <v>73</v>
      </c>
      <c r="AL48">
        <v>12100</v>
      </c>
      <c r="AM48">
        <v>12100</v>
      </c>
      <c r="AN48" t="s">
        <v>73</v>
      </c>
      <c r="AO48" s="17">
        <v>3</v>
      </c>
      <c r="AP48">
        <f t="shared" si="16"/>
        <v>0.28999999999999998</v>
      </c>
      <c r="AQ48" t="s">
        <v>73</v>
      </c>
      <c r="AR48" t="s">
        <v>73</v>
      </c>
      <c r="AS48">
        <v>0</v>
      </c>
      <c r="AT48">
        <v>1</v>
      </c>
      <c r="AU48">
        <v>0</v>
      </c>
      <c r="AV48">
        <v>0</v>
      </c>
      <c r="AW48">
        <v>0</v>
      </c>
      <c r="AX48">
        <v>0</v>
      </c>
      <c r="AY48" t="s">
        <v>81</v>
      </c>
      <c r="AZ48" s="17" t="s">
        <v>73</v>
      </c>
      <c r="BA48" s="17" t="s">
        <v>73</v>
      </c>
      <c r="BB48" s="17">
        <v>0</v>
      </c>
      <c r="BC48" s="17">
        <v>0</v>
      </c>
      <c r="BD48" s="18" t="s">
        <v>83</v>
      </c>
      <c r="BE48" s="18" t="s">
        <v>83</v>
      </c>
      <c r="BF48" t="s">
        <v>73</v>
      </c>
      <c r="BI48" s="30">
        <f t="shared" si="20"/>
        <v>3.4751824576161415E-6</v>
      </c>
      <c r="BJ48" s="30">
        <f>- (((AP48^2)/(AP48^2+AM48))^1/2)</f>
        <v>-3.4751824576161415E-6</v>
      </c>
      <c r="BK48" s="30">
        <f t="shared" si="17"/>
        <v>-3.4751824576052122E-6</v>
      </c>
      <c r="BL48" s="30">
        <f t="shared" si="18"/>
        <v>8.2651458798247785E-5</v>
      </c>
      <c r="BM48" s="30">
        <f t="shared" si="19"/>
        <v>8.2665123584359755E-5</v>
      </c>
    </row>
    <row r="49" spans="1:65" hidden="1">
      <c r="A49" t="s">
        <v>151</v>
      </c>
      <c r="B49" s="17">
        <v>48</v>
      </c>
      <c r="C49" s="15">
        <v>1011</v>
      </c>
      <c r="D49" t="s">
        <v>165</v>
      </c>
      <c r="E49" t="s">
        <v>166</v>
      </c>
      <c r="F49" s="10" t="s">
        <v>167</v>
      </c>
      <c r="G49" s="10">
        <v>2009</v>
      </c>
      <c r="H49" s="10" t="s">
        <v>73</v>
      </c>
      <c r="I49">
        <v>40</v>
      </c>
      <c r="J49" t="s">
        <v>120</v>
      </c>
      <c r="K49" t="s">
        <v>94</v>
      </c>
      <c r="L49" s="17">
        <v>1</v>
      </c>
      <c r="M49">
        <v>0</v>
      </c>
      <c r="N49">
        <v>1</v>
      </c>
      <c r="O49">
        <v>0</v>
      </c>
      <c r="P49">
        <v>0</v>
      </c>
      <c r="Q49">
        <v>0</v>
      </c>
      <c r="R49">
        <v>0</v>
      </c>
      <c r="S49">
        <v>1</v>
      </c>
      <c r="T49">
        <v>0</v>
      </c>
      <c r="U49">
        <v>0</v>
      </c>
      <c r="V49">
        <v>0</v>
      </c>
      <c r="W49">
        <v>0</v>
      </c>
      <c r="X49">
        <v>0</v>
      </c>
      <c r="Y49">
        <v>0</v>
      </c>
      <c r="Z49" s="17" t="s">
        <v>168</v>
      </c>
      <c r="AA49" s="17" t="s">
        <v>78</v>
      </c>
      <c r="AB49" s="25">
        <v>5.5999999999999995E-4</v>
      </c>
      <c r="AC49" s="7" t="s">
        <v>86</v>
      </c>
      <c r="AD49" s="17">
        <v>0</v>
      </c>
      <c r="AE49" s="20" t="s">
        <v>73</v>
      </c>
      <c r="AF49" t="s">
        <v>73</v>
      </c>
      <c r="AG49" t="s">
        <v>73</v>
      </c>
      <c r="AH49" t="s">
        <v>73</v>
      </c>
      <c r="AI49" t="s">
        <v>73</v>
      </c>
      <c r="AJ49" t="s">
        <v>73</v>
      </c>
      <c r="AK49" t="s">
        <v>73</v>
      </c>
      <c r="AL49">
        <v>12600</v>
      </c>
      <c r="AM49">
        <v>12600</v>
      </c>
      <c r="AN49" t="s">
        <v>73</v>
      </c>
      <c r="AO49" s="17">
        <v>3</v>
      </c>
      <c r="AP49" t="e">
        <f>AB49/AD49</f>
        <v>#DIV/0!</v>
      </c>
      <c r="AQ49" t="s">
        <v>73</v>
      </c>
      <c r="AR49" t="s">
        <v>73</v>
      </c>
      <c r="AS49">
        <v>0</v>
      </c>
      <c r="AT49">
        <v>1</v>
      </c>
      <c r="AU49">
        <v>0</v>
      </c>
      <c r="AV49">
        <v>0</v>
      </c>
      <c r="AW49">
        <v>0</v>
      </c>
      <c r="AX49">
        <v>0</v>
      </c>
      <c r="AY49" t="s">
        <v>81</v>
      </c>
      <c r="AZ49" s="17" t="s">
        <v>73</v>
      </c>
      <c r="BA49" s="17" t="s">
        <v>73</v>
      </c>
      <c r="BB49" s="17">
        <v>0</v>
      </c>
      <c r="BC49" s="17">
        <v>0</v>
      </c>
      <c r="BD49" s="18" t="s">
        <v>83</v>
      </c>
      <c r="BE49" s="18" t="s">
        <v>83</v>
      </c>
      <c r="BF49" t="s">
        <v>73</v>
      </c>
      <c r="BI49" s="30">
        <v>0</v>
      </c>
      <c r="BJ49" s="30">
        <v>0</v>
      </c>
      <c r="BK49" s="30">
        <f t="shared" si="17"/>
        <v>0</v>
      </c>
      <c r="BL49" s="30">
        <f t="shared" si="18"/>
        <v>7.9371378680847689E-5</v>
      </c>
      <c r="BM49" s="30">
        <f t="shared" si="19"/>
        <v>7.9383980312772889E-5</v>
      </c>
    </row>
    <row r="50" spans="1:65" hidden="1">
      <c r="A50" t="s">
        <v>151</v>
      </c>
      <c r="B50" s="17">
        <f>B49+1</f>
        <v>49</v>
      </c>
      <c r="C50" s="15">
        <v>1011</v>
      </c>
      <c r="D50" t="s">
        <v>165</v>
      </c>
      <c r="E50" t="s">
        <v>166</v>
      </c>
      <c r="F50" s="10" t="s">
        <v>167</v>
      </c>
      <c r="G50" s="10">
        <v>2009</v>
      </c>
      <c r="H50" s="10" t="s">
        <v>73</v>
      </c>
      <c r="I50">
        <v>40</v>
      </c>
      <c r="J50" t="s">
        <v>120</v>
      </c>
      <c r="K50" t="s">
        <v>94</v>
      </c>
      <c r="L50" s="17">
        <v>1</v>
      </c>
      <c r="M50">
        <v>0</v>
      </c>
      <c r="N50">
        <v>1</v>
      </c>
      <c r="O50">
        <v>0</v>
      </c>
      <c r="P50">
        <v>0</v>
      </c>
      <c r="Q50">
        <v>0</v>
      </c>
      <c r="R50">
        <v>0</v>
      </c>
      <c r="S50">
        <v>1</v>
      </c>
      <c r="T50">
        <v>0</v>
      </c>
      <c r="U50">
        <v>0</v>
      </c>
      <c r="V50">
        <v>0</v>
      </c>
      <c r="W50">
        <v>0</v>
      </c>
      <c r="X50">
        <v>0</v>
      </c>
      <c r="Y50">
        <v>0</v>
      </c>
      <c r="Z50" s="17" t="s">
        <v>168</v>
      </c>
      <c r="AA50" s="17" t="s">
        <v>78</v>
      </c>
      <c r="AB50" s="25">
        <v>1.4999999999999999E-4</v>
      </c>
      <c r="AC50" s="7" t="s">
        <v>86</v>
      </c>
      <c r="AD50" s="17">
        <v>2.9999999999999997E-4</v>
      </c>
      <c r="AE50" s="20" t="s">
        <v>73</v>
      </c>
      <c r="AF50" t="s">
        <v>73</v>
      </c>
      <c r="AG50" t="s">
        <v>73</v>
      </c>
      <c r="AH50" t="s">
        <v>73</v>
      </c>
      <c r="AI50" t="s">
        <v>73</v>
      </c>
      <c r="AJ50" t="s">
        <v>73</v>
      </c>
      <c r="AK50" t="s">
        <v>73</v>
      </c>
      <c r="AL50">
        <v>12600</v>
      </c>
      <c r="AM50">
        <v>12600</v>
      </c>
      <c r="AN50" t="s">
        <v>73</v>
      </c>
      <c r="AO50" s="17">
        <v>3</v>
      </c>
      <c r="AP50">
        <f t="shared" si="16"/>
        <v>0.5</v>
      </c>
      <c r="AQ50" t="s">
        <v>73</v>
      </c>
      <c r="AR50" t="s">
        <v>73</v>
      </c>
      <c r="AS50">
        <v>0</v>
      </c>
      <c r="AT50">
        <v>1</v>
      </c>
      <c r="AU50">
        <v>0</v>
      </c>
      <c r="AV50">
        <v>0</v>
      </c>
      <c r="AW50">
        <v>0</v>
      </c>
      <c r="AX50">
        <v>0</v>
      </c>
      <c r="AY50" t="s">
        <v>81</v>
      </c>
      <c r="AZ50" s="17" t="s">
        <v>73</v>
      </c>
      <c r="BA50" s="17" t="s">
        <v>73</v>
      </c>
      <c r="BB50" s="17">
        <v>0</v>
      </c>
      <c r="BC50" s="17">
        <v>0</v>
      </c>
      <c r="BD50" s="18" t="s">
        <v>83</v>
      </c>
      <c r="BE50" s="18" t="s">
        <v>83</v>
      </c>
      <c r="BF50" t="s">
        <v>73</v>
      </c>
      <c r="BI50" s="30">
        <f t="shared" si="20"/>
        <v>9.9204380865459011E-6</v>
      </c>
      <c r="BJ50" s="30">
        <f>- (((AP50^2)/(AP50^2+AM50))^1/2)</f>
        <v>-9.9204380865459011E-6</v>
      </c>
      <c r="BK50" s="30">
        <f t="shared" si="17"/>
        <v>-9.9204380868943857E-6</v>
      </c>
      <c r="BL50" s="30">
        <f t="shared" si="18"/>
        <v>7.9371378680847689E-5</v>
      </c>
      <c r="BM50" s="30">
        <f t="shared" si="19"/>
        <v>7.9383980312772889E-5</v>
      </c>
    </row>
    <row r="51" spans="1:65" hidden="1">
      <c r="A51" t="s">
        <v>151</v>
      </c>
      <c r="B51" s="17">
        <f>B50+1</f>
        <v>50</v>
      </c>
      <c r="C51" s="15">
        <v>1011</v>
      </c>
      <c r="D51" t="s">
        <v>165</v>
      </c>
      <c r="E51" t="s">
        <v>166</v>
      </c>
      <c r="F51" s="10" t="s">
        <v>167</v>
      </c>
      <c r="G51" s="10">
        <v>2009</v>
      </c>
      <c r="H51" s="10" t="s">
        <v>73</v>
      </c>
      <c r="I51">
        <v>40</v>
      </c>
      <c r="J51" t="s">
        <v>120</v>
      </c>
      <c r="K51" t="s">
        <v>94</v>
      </c>
      <c r="L51" s="17">
        <v>1</v>
      </c>
      <c r="M51">
        <v>0</v>
      </c>
      <c r="N51">
        <v>1</v>
      </c>
      <c r="O51">
        <v>0</v>
      </c>
      <c r="P51">
        <v>0</v>
      </c>
      <c r="Q51">
        <v>0</v>
      </c>
      <c r="R51">
        <v>0</v>
      </c>
      <c r="S51">
        <v>1</v>
      </c>
      <c r="T51">
        <v>0</v>
      </c>
      <c r="U51">
        <v>0</v>
      </c>
      <c r="V51">
        <v>0</v>
      </c>
      <c r="W51">
        <v>0</v>
      </c>
      <c r="X51">
        <v>0</v>
      </c>
      <c r="Y51">
        <v>0</v>
      </c>
      <c r="Z51" s="17" t="s">
        <v>168</v>
      </c>
      <c r="AA51" s="17" t="s">
        <v>78</v>
      </c>
      <c r="AB51" s="25">
        <v>1.3999999999999999E-4</v>
      </c>
      <c r="AC51" s="7" t="s">
        <v>86</v>
      </c>
      <c r="AD51" s="17">
        <v>2.9999999999999997E-4</v>
      </c>
      <c r="AE51" s="20" t="s">
        <v>73</v>
      </c>
      <c r="AF51" t="s">
        <v>73</v>
      </c>
      <c r="AG51" t="s">
        <v>73</v>
      </c>
      <c r="AH51" t="s">
        <v>73</v>
      </c>
      <c r="AI51" t="s">
        <v>73</v>
      </c>
      <c r="AJ51" t="s">
        <v>73</v>
      </c>
      <c r="AK51" t="s">
        <v>73</v>
      </c>
      <c r="AL51">
        <v>12600</v>
      </c>
      <c r="AM51">
        <v>12600</v>
      </c>
      <c r="AN51" t="s">
        <v>73</v>
      </c>
      <c r="AO51" s="17">
        <v>3</v>
      </c>
      <c r="AP51">
        <f t="shared" si="16"/>
        <v>0.46666666666666667</v>
      </c>
      <c r="AQ51" t="s">
        <v>73</v>
      </c>
      <c r="AR51" t="s">
        <v>73</v>
      </c>
      <c r="AS51">
        <v>0</v>
      </c>
      <c r="AT51">
        <v>1</v>
      </c>
      <c r="AU51">
        <v>0</v>
      </c>
      <c r="AV51">
        <v>0</v>
      </c>
      <c r="AW51">
        <v>0</v>
      </c>
      <c r="AX51">
        <v>0</v>
      </c>
      <c r="AY51" t="s">
        <v>81</v>
      </c>
      <c r="AZ51" s="17" t="s">
        <v>73</v>
      </c>
      <c r="BA51" s="17" t="s">
        <v>73</v>
      </c>
      <c r="BB51" s="17">
        <v>0</v>
      </c>
      <c r="BC51" s="17">
        <v>0</v>
      </c>
      <c r="BD51" s="18" t="s">
        <v>83</v>
      </c>
      <c r="BE51" s="18" t="s">
        <v>83</v>
      </c>
      <c r="BF51" t="s">
        <v>73</v>
      </c>
      <c r="BI51" s="30">
        <f t="shared" si="20"/>
        <v>8.6418259437491216E-6</v>
      </c>
      <c r="BJ51" s="30">
        <f>- (((AP51^2)/(AP51^2+AM51))^1/2)</f>
        <v>-8.6418259437491216E-6</v>
      </c>
      <c r="BK51" s="30">
        <f t="shared" si="17"/>
        <v>-8.6418259439751236E-6</v>
      </c>
      <c r="BL51" s="30">
        <f t="shared" si="18"/>
        <v>7.9371378680847689E-5</v>
      </c>
      <c r="BM51" s="30">
        <f t="shared" si="19"/>
        <v>7.9383980312772889E-5</v>
      </c>
    </row>
    <row r="52" spans="1:65" s="41" customFormat="1">
      <c r="A52" s="41" t="s">
        <v>68</v>
      </c>
      <c r="B52" s="41">
        <f>B51+1</f>
        <v>51</v>
      </c>
      <c r="C52" s="41">
        <v>1012</v>
      </c>
      <c r="D52" s="41" t="s">
        <v>169</v>
      </c>
      <c r="E52" s="41" t="s">
        <v>170</v>
      </c>
      <c r="F52" s="41" t="s">
        <v>171</v>
      </c>
      <c r="G52" s="41">
        <v>2010</v>
      </c>
      <c r="H52" s="41" t="s">
        <v>73</v>
      </c>
      <c r="I52" s="41">
        <v>11</v>
      </c>
      <c r="J52" s="41" t="s">
        <v>172</v>
      </c>
      <c r="K52" s="41" t="s">
        <v>76</v>
      </c>
      <c r="L52" s="41">
        <v>1</v>
      </c>
      <c r="M52" s="41">
        <v>0</v>
      </c>
      <c r="N52" s="41">
        <v>0</v>
      </c>
      <c r="O52" s="41">
        <v>0</v>
      </c>
      <c r="P52" s="41">
        <v>1</v>
      </c>
      <c r="Q52" s="41">
        <v>0</v>
      </c>
      <c r="R52" s="41">
        <v>1</v>
      </c>
      <c r="S52" s="41">
        <v>0</v>
      </c>
      <c r="T52" s="41">
        <v>0</v>
      </c>
      <c r="U52" s="41">
        <v>0</v>
      </c>
      <c r="V52" s="41">
        <v>0</v>
      </c>
      <c r="W52" s="41">
        <v>0</v>
      </c>
      <c r="X52" s="41">
        <v>0</v>
      </c>
      <c r="Y52" s="41">
        <v>0</v>
      </c>
      <c r="Z52" s="41" t="s">
        <v>164</v>
      </c>
      <c r="AA52" s="41" t="s">
        <v>173</v>
      </c>
      <c r="AB52" s="53">
        <v>2.3E-2</v>
      </c>
      <c r="AC52" s="48" t="s">
        <v>80</v>
      </c>
      <c r="AD52" s="41" t="s">
        <v>73</v>
      </c>
      <c r="AE52" s="41" t="s">
        <v>73</v>
      </c>
      <c r="AF52" s="41" t="s">
        <v>73</v>
      </c>
      <c r="AG52" s="41">
        <v>13471</v>
      </c>
      <c r="AH52" s="41" t="s">
        <v>73</v>
      </c>
      <c r="AI52" s="41" t="s">
        <v>73</v>
      </c>
      <c r="AJ52" s="41">
        <v>5672</v>
      </c>
      <c r="AK52" s="41" t="s">
        <v>73</v>
      </c>
      <c r="AL52" s="41">
        <f>AG52+AJ52</f>
        <v>19143</v>
      </c>
      <c r="AM52" s="41">
        <v>19143</v>
      </c>
      <c r="AN52" s="41">
        <v>0.1</v>
      </c>
      <c r="AO52" s="41">
        <v>1</v>
      </c>
      <c r="AP52" s="41" t="s">
        <v>73</v>
      </c>
      <c r="AQ52" s="41" t="s">
        <v>73</v>
      </c>
      <c r="AR52" s="41" t="s">
        <v>73</v>
      </c>
      <c r="AS52" s="41">
        <v>0</v>
      </c>
      <c r="AT52" s="41">
        <v>0</v>
      </c>
      <c r="AU52" s="41">
        <v>0</v>
      </c>
      <c r="AV52" s="41">
        <v>0</v>
      </c>
      <c r="AW52" s="41">
        <v>0</v>
      </c>
      <c r="AX52" s="41">
        <v>0</v>
      </c>
      <c r="AY52" s="41" t="s">
        <v>174</v>
      </c>
      <c r="AZ52" s="41" t="s">
        <v>73</v>
      </c>
      <c r="BA52" s="41" t="s">
        <v>73</v>
      </c>
      <c r="BB52" s="41">
        <v>0</v>
      </c>
      <c r="BC52" s="41">
        <v>0</v>
      </c>
      <c r="BD52" s="43" t="s">
        <v>83</v>
      </c>
      <c r="BE52" s="43" t="s">
        <v>83</v>
      </c>
      <c r="BF52" s="41" t="s">
        <v>73</v>
      </c>
      <c r="BG52" s="41">
        <f>5*4.345</f>
        <v>21.724999999999998</v>
      </c>
      <c r="BH52" s="41">
        <v>0</v>
      </c>
      <c r="BI52" s="51">
        <v>0</v>
      </c>
      <c r="BJ52" s="51">
        <v>0</v>
      </c>
      <c r="BK52" s="51">
        <f t="shared" si="17"/>
        <v>0</v>
      </c>
      <c r="BL52" s="51">
        <f t="shared" si="18"/>
        <v>5.2241145125901161E-5</v>
      </c>
      <c r="BM52" s="51">
        <f t="shared" si="19"/>
        <v>5.2246603970741903E-5</v>
      </c>
    </row>
    <row r="53" spans="1:65" s="41" customFormat="1">
      <c r="A53" s="41" t="s">
        <v>68</v>
      </c>
      <c r="B53" s="41">
        <v>52</v>
      </c>
      <c r="C53" s="41">
        <v>1013</v>
      </c>
      <c r="D53" s="41" t="s">
        <v>175</v>
      </c>
      <c r="E53" s="41" t="s">
        <v>176</v>
      </c>
      <c r="F53" s="41" t="s">
        <v>177</v>
      </c>
      <c r="G53" s="41">
        <v>2011</v>
      </c>
      <c r="H53" s="41" t="s">
        <v>73</v>
      </c>
      <c r="I53" s="41">
        <v>280</v>
      </c>
      <c r="J53" s="41" t="s">
        <v>93</v>
      </c>
      <c r="K53" s="41" t="s">
        <v>94</v>
      </c>
      <c r="L53" s="41">
        <v>1</v>
      </c>
      <c r="M53" s="41">
        <v>0</v>
      </c>
      <c r="N53" s="41">
        <v>1</v>
      </c>
      <c r="O53" s="41">
        <v>0</v>
      </c>
      <c r="P53" s="41">
        <v>0</v>
      </c>
      <c r="Q53" s="41">
        <v>0</v>
      </c>
      <c r="R53" s="41">
        <v>0</v>
      </c>
      <c r="S53" s="41">
        <v>0</v>
      </c>
      <c r="T53" s="41">
        <v>0</v>
      </c>
      <c r="U53" s="41">
        <v>1</v>
      </c>
      <c r="V53" s="41">
        <v>0</v>
      </c>
      <c r="W53" s="41">
        <v>0</v>
      </c>
      <c r="X53" s="41">
        <v>0</v>
      </c>
      <c r="Y53" s="41">
        <v>0</v>
      </c>
      <c r="Z53" s="41" t="s">
        <v>73</v>
      </c>
      <c r="AA53" s="41" t="s">
        <v>178</v>
      </c>
      <c r="AB53" s="49">
        <v>3.5900000000000001E-2</v>
      </c>
      <c r="AC53" s="48" t="s">
        <v>86</v>
      </c>
      <c r="AD53" s="41" t="s">
        <v>73</v>
      </c>
      <c r="AE53" s="41">
        <v>8</v>
      </c>
      <c r="AF53" s="41" t="s">
        <v>73</v>
      </c>
      <c r="AG53" s="41" t="s">
        <v>73</v>
      </c>
      <c r="AH53" s="41" t="s">
        <v>73</v>
      </c>
      <c r="AI53" s="41" t="s">
        <v>73</v>
      </c>
      <c r="AJ53" s="41" t="s">
        <v>73</v>
      </c>
      <c r="AK53" s="41" t="s">
        <v>73</v>
      </c>
      <c r="AL53" s="41">
        <v>1153</v>
      </c>
      <c r="AM53" s="41">
        <v>13923</v>
      </c>
      <c r="AN53" s="41" t="s">
        <v>73</v>
      </c>
      <c r="AO53" s="41">
        <v>3</v>
      </c>
      <c r="AP53" s="41">
        <v>1.01</v>
      </c>
      <c r="AQ53" s="41" t="s">
        <v>73</v>
      </c>
      <c r="AR53" s="41" t="s">
        <v>73</v>
      </c>
      <c r="AS53" s="41">
        <v>1</v>
      </c>
      <c r="AT53" s="41">
        <v>1</v>
      </c>
      <c r="AU53" s="41">
        <v>1</v>
      </c>
      <c r="AV53" s="41">
        <v>1</v>
      </c>
      <c r="AW53" s="41">
        <v>1</v>
      </c>
      <c r="AX53" s="41">
        <v>1</v>
      </c>
      <c r="AY53" s="41" t="s">
        <v>81</v>
      </c>
      <c r="AZ53" s="40">
        <v>1775.53</v>
      </c>
      <c r="BA53" s="41" t="s">
        <v>179</v>
      </c>
      <c r="BB53" s="41">
        <v>0</v>
      </c>
      <c r="BC53" s="41">
        <v>1</v>
      </c>
      <c r="BD53" s="43" t="s">
        <v>139</v>
      </c>
      <c r="BE53" s="43" t="s">
        <v>83</v>
      </c>
      <c r="BF53" s="41" t="s">
        <v>180</v>
      </c>
      <c r="BG53" s="41">
        <f>5*52.179</f>
        <v>260.89499999999998</v>
      </c>
      <c r="BH53" s="41">
        <v>0</v>
      </c>
      <c r="BI53" s="51">
        <f>(((AP53^2)/(AP53^2+AL53))^1/2)</f>
        <v>4.4197670387196897E-4</v>
      </c>
      <c r="BJ53" s="51">
        <f>- (((AP53^2)/(AP53^2+AM53))^1/2)</f>
        <v>-3.663094396136357E-5</v>
      </c>
      <c r="BK53" s="51">
        <f t="shared" si="17"/>
        <v>-3.6630943977768261E-5</v>
      </c>
      <c r="BL53" s="51">
        <f t="shared" si="18"/>
        <v>8.6805555555555551E-4</v>
      </c>
      <c r="BM53" s="51">
        <f t="shared" si="19"/>
        <v>8.6956521739130438E-4</v>
      </c>
    </row>
  </sheetData>
  <dataConsolidate/>
  <dataValidations count="10">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M11:M12 N29:N32 M14:M16 L1:L1048576" xr:uid="{00000000-0002-0000-0000-000000000000}">
      <formula1>0</formula1>
      <formula2>2</formula2>
    </dataValidation>
    <dataValidation type="whole" allowBlank="1" showInputMessage="1" showErrorMessage="1" prompt="Yes - 1_x000a_No - 0_x000a_" sqref="R1:W1 R2:Y9 X10:X12 BB43:BB52 BC29:BC32 S23:Y28 BB39:BC42 BC43:BC51 BC17:BC22 BB54:BB1048576 BB13:BC16 R33:Y1048576 BB17:BB38 BB1:BB12" xr:uid="{00000000-0002-0000-0000-000001000000}">
      <formula1>0</formula1>
      <formula2>1</formula2>
    </dataValidation>
    <dataValidation type="whole" allowBlank="1" showInputMessage="1" showErrorMessage="1" errorTitle="int" error="Choose 1 or 0" promptTitle="Intervention" prompt="Yes - 1_x000a_No - 0" sqref="M1:Q9 M10 Y10:Y12 N10:W12 O29:Y32 P23:R28 N17:O28 P17:Y22 M13 N13:Y16 M17:M32 M33:Q1048576" xr:uid="{00000000-0002-0000-0000-000002000000}">
      <formula1>0</formula1>
      <formula2>1</formula2>
    </dataValidation>
    <dataValidation type="whole" allowBlank="1" showInputMessage="1" showErrorMessage="1" prompt="1- lower bound_x000a_2 - upper bound_x000a_3- actual" sqref="AO54:AO1048576 AO43:AO52 AO1:AO38" xr:uid="{00000000-0002-0000-0000-000003000000}">
      <formula1>0</formula1>
      <formula2>3</formula2>
    </dataValidation>
    <dataValidation allowBlank="1" showInputMessage="1" showErrorMessage="1" prompt="Yes - 1_x000a_No - 0_x000a_" sqref="X1" xr:uid="{00000000-0002-0000-0000-000004000000}"/>
    <dataValidation allowBlank="1" showInputMessage="1" showErrorMessage="1" sqref="BA53 AR53" xr:uid="{00000000-0002-0000-0000-000005000000}"/>
    <dataValidation type="list" allowBlank="1" showInputMessage="1" showErrorMessage="1" sqref="J23:J37 J1:J12" xr:uid="{00000000-0002-0000-0000-000006000000}">
      <formula1>$F$2:$F$9</formula1>
    </dataValidation>
    <dataValidation type="list" allowBlank="1" showInputMessage="1" showErrorMessage="1" sqref="K23:K37 K1:K12" xr:uid="{00000000-0002-0000-0000-000007000000}">
      <formula1>$D$2:$D$6</formula1>
    </dataValidation>
    <dataValidation type="list" allowBlank="1" showInputMessage="1" showErrorMessage="1" sqref="K43:K51" xr:uid="{00000000-0002-0000-0000-000008000000}">
      <formula1>$D$2:$D$7</formula1>
    </dataValidation>
    <dataValidation type="list" allowBlank="1" showInputMessage="1" showErrorMessage="1" sqref="J43:J51" xr:uid="{00000000-0002-0000-0000-000009000000}">
      <formula1>$F$2:$F$10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prompt="Option to Opt/in - 1_x000a_No Option to Opt/in - 0_x000a_NA_x000a__x000a_" xr:uid="{00000000-0002-0000-0000-00000A000000}">
          <x14:formula1>
            <xm:f>'Lists for variables'!$B$2:$B$4</xm:f>
          </x14:formula1>
          <xm:sqref>BC23:BC28 BC54:BC1048576 BC33:BC38 BC1:BC12</xm:sqref>
        </x14:dataValidation>
        <x14:dataValidation type="list" allowBlank="1" showInputMessage="1" showErrorMessage="1" xr:uid="{00000000-0002-0000-0000-00000B000000}">
          <x14:formula1>
            <xm:f>'Lists for variables'!$F$2:$F$9</xm:f>
          </x14:formula1>
          <xm:sqref>J54:J1048576</xm:sqref>
        </x14:dataValidation>
        <x14:dataValidation type="list" allowBlank="1" showInputMessage="1" showErrorMessage="1" xr:uid="{00000000-0002-0000-0000-00000C000000}">
          <x14:formula1>
            <xm:f>'Lists for variables'!$A$2:$A$4</xm:f>
          </x14:formula1>
          <xm:sqref>AS43:AX51 AS54:AX1048576 AS23:AX38 AS2:AX12</xm:sqref>
        </x14:dataValidation>
        <x14:dataValidation type="list" allowBlank="1" showInputMessage="1" showErrorMessage="1" xr:uid="{00000000-0002-0000-0000-00000D000000}">
          <x14:formula1>
            <xm:f>'Lists for variables'!$F$2:$F$10</xm:f>
          </x14:formula1>
          <xm:sqref>J38</xm:sqref>
        </x14:dataValidation>
        <x14:dataValidation type="list" allowBlank="1" showInputMessage="1" showErrorMessage="1" xr:uid="{00000000-0002-0000-0000-00000E000000}">
          <x14:formula1>
            <xm:f>'Lists for variables'!$E$2:$E$4</xm:f>
          </x14:formula1>
          <xm:sqref>AO43:AO51</xm:sqref>
        </x14:dataValidation>
        <x14:dataValidation type="list" allowBlank="1" showInputMessage="1" showErrorMessage="1" xr:uid="{00000000-0002-0000-0000-00000F000000}">
          <x14:formula1>
            <xm:f>'Lists for variables'!$D$2:$D$6</xm:f>
          </x14:formula1>
          <xm:sqref>K54:K1048576</xm:sqref>
        </x14:dataValidation>
        <x14:dataValidation type="list" allowBlank="1" showInputMessage="1" showErrorMessage="1" xr:uid="{00000000-0002-0000-0000-000010000000}">
          <x14:formula1>
            <xm:f>'Lists for variables'!$D$2:$D$7</xm:f>
          </x14:formula1>
          <xm:sqref>K38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51"/>
  <sheetViews>
    <sheetView tabSelected="1" zoomScale="93" zoomScaleNormal="93" workbookViewId="0">
      <pane xSplit="1" ySplit="1" topLeftCell="BL2" activePane="bottomRight" state="frozen"/>
      <selection pane="topRight" activeCell="B1" sqref="B1"/>
      <selection pane="bottomLeft" activeCell="A2" sqref="A2"/>
      <selection pane="bottomRight" activeCell="BX13" sqref="BX13"/>
    </sheetView>
  </sheetViews>
  <sheetFormatPr baseColWidth="10" defaultColWidth="11" defaultRowHeight="15.75" customHeight="1"/>
  <cols>
    <col min="5" max="5" width="24.6640625" customWidth="1"/>
    <col min="6" max="6" width="17.6640625" customWidth="1"/>
    <col min="7" max="7" width="14.1640625" customWidth="1"/>
    <col min="8" max="8" width="16.5" customWidth="1"/>
    <col min="9" max="9" width="11" customWidth="1"/>
    <col min="10" max="10" width="16.1640625" customWidth="1"/>
    <col min="11" max="11" width="15.1640625" bestFit="1" customWidth="1"/>
    <col min="13" max="13" width="20.6640625" bestFit="1" customWidth="1"/>
    <col min="14" max="14" width="13.1640625" customWidth="1"/>
    <col min="15" max="15" width="11" customWidth="1"/>
    <col min="16" max="16" width="14.6640625" customWidth="1"/>
    <col min="17" max="17" width="13.1640625" customWidth="1"/>
    <col min="18" max="18" width="15" customWidth="1"/>
    <col min="19" max="19" width="14.1640625" customWidth="1"/>
    <col min="20" max="20" width="11" customWidth="1"/>
    <col min="21" max="21" width="21.1640625" customWidth="1"/>
    <col min="22" max="22" width="16" customWidth="1"/>
    <col min="23" max="23" width="14.6640625" customWidth="1"/>
    <col min="24" max="24" width="12.5" customWidth="1"/>
    <col min="25" max="33" width="11" customWidth="1"/>
    <col min="34" max="35" width="16" customWidth="1"/>
    <col min="36" max="39" width="11" customWidth="1"/>
    <col min="40" max="41" width="12.1640625" customWidth="1"/>
    <col min="42" max="42" width="11" customWidth="1"/>
    <col min="43" max="43" width="27.6640625" customWidth="1"/>
    <col min="44" max="44" width="41.1640625" bestFit="1" customWidth="1"/>
    <col min="45" max="45" width="54.6640625" customWidth="1"/>
    <col min="46" max="46" width="21" customWidth="1"/>
    <col min="47" max="47" width="26.6640625" style="7" customWidth="1"/>
    <col min="48" max="48" width="14.1640625" style="7" customWidth="1"/>
    <col min="49" max="49" width="13.1640625" customWidth="1"/>
    <col min="50" max="50" width="9.6640625" customWidth="1"/>
    <col min="51" max="51" width="17" customWidth="1"/>
    <col min="52" max="52" width="9"/>
    <col min="53" max="54" width="14.1640625" customWidth="1"/>
    <col min="55" max="55" width="13.6640625" customWidth="1"/>
    <col min="56" max="56" width="12.6640625" customWidth="1"/>
    <col min="57" max="57" width="10.6640625" customWidth="1"/>
    <col min="58" max="58" width="13" customWidth="1"/>
    <col min="59" max="60" width="10.6640625" customWidth="1"/>
    <col min="61" max="62" width="11.1640625" customWidth="1"/>
    <col min="63" max="64" width="11" customWidth="1"/>
    <col min="65" max="65" width="12.6640625" customWidth="1"/>
    <col min="66" max="66" width="18.1640625" customWidth="1"/>
    <col min="67" max="67" width="22.1640625" customWidth="1"/>
    <col min="68" max="68" width="15.1640625" customWidth="1"/>
    <col min="69" max="69" width="18" customWidth="1"/>
    <col min="70" max="70" width="17.1640625" customWidth="1"/>
    <col min="71" max="71" width="21.1640625" customWidth="1"/>
    <col min="72" max="72" width="10.1640625" customWidth="1"/>
    <col min="73" max="73" width="13" customWidth="1"/>
    <col min="74" max="74" width="14" customWidth="1"/>
    <col min="75" max="75" width="13.1640625" customWidth="1"/>
    <col min="82" max="82" width="24" customWidth="1"/>
  </cols>
  <sheetData>
    <row r="1" spans="1:82" ht="17" customHeight="1">
      <c r="A1" s="59" t="s">
        <v>181</v>
      </c>
      <c r="B1" s="59" t="s">
        <v>182</v>
      </c>
      <c r="C1" s="59" t="s">
        <v>1</v>
      </c>
      <c r="D1" s="59" t="s">
        <v>2</v>
      </c>
      <c r="E1" s="60" t="s">
        <v>183</v>
      </c>
      <c r="F1" s="61" t="s">
        <v>184</v>
      </c>
      <c r="G1" s="62" t="s">
        <v>4</v>
      </c>
      <c r="H1" s="63" t="s">
        <v>5</v>
      </c>
      <c r="I1" s="64" t="s">
        <v>11</v>
      </c>
      <c r="J1" s="64" t="s">
        <v>6</v>
      </c>
      <c r="K1" s="64" t="s">
        <v>7</v>
      </c>
      <c r="L1" s="64" t="s">
        <v>8</v>
      </c>
      <c r="M1" s="64" t="s">
        <v>9</v>
      </c>
      <c r="N1" s="64" t="s">
        <v>10</v>
      </c>
      <c r="O1" s="65" t="s">
        <v>50</v>
      </c>
      <c r="P1" s="66" t="s">
        <v>185</v>
      </c>
      <c r="Q1" s="67" t="s">
        <v>186</v>
      </c>
      <c r="R1" s="67" t="s">
        <v>187</v>
      </c>
      <c r="S1" s="67" t="s">
        <v>188</v>
      </c>
      <c r="T1" s="68" t="s">
        <v>189</v>
      </c>
      <c r="U1" s="67" t="s">
        <v>53</v>
      </c>
      <c r="V1" s="69" t="s">
        <v>55</v>
      </c>
      <c r="W1" s="70" t="s">
        <v>56</v>
      </c>
      <c r="X1" s="71" t="s">
        <v>190</v>
      </c>
      <c r="Y1" s="72" t="s">
        <v>12</v>
      </c>
      <c r="Z1" s="73" t="s">
        <v>14</v>
      </c>
      <c r="AA1" s="73" t="s">
        <v>15</v>
      </c>
      <c r="AB1" s="73" t="s">
        <v>13</v>
      </c>
      <c r="AC1" s="73" t="s">
        <v>16</v>
      </c>
      <c r="AD1" s="73" t="s">
        <v>191</v>
      </c>
      <c r="AE1" s="73" t="s">
        <v>192</v>
      </c>
      <c r="AF1" s="73" t="s">
        <v>193</v>
      </c>
      <c r="AG1" s="73" t="s">
        <v>194</v>
      </c>
      <c r="AH1" s="74" t="s">
        <v>17</v>
      </c>
      <c r="AI1" s="75" t="s">
        <v>195</v>
      </c>
      <c r="AJ1" s="75" t="s">
        <v>18</v>
      </c>
      <c r="AK1" s="75" t="s">
        <v>19</v>
      </c>
      <c r="AL1" s="75" t="s">
        <v>20</v>
      </c>
      <c r="AM1" s="75" t="s">
        <v>21</v>
      </c>
      <c r="AN1" s="75" t="s">
        <v>22</v>
      </c>
      <c r="AO1" s="75" t="s">
        <v>196</v>
      </c>
      <c r="AP1" s="75" t="s">
        <v>24</v>
      </c>
      <c r="AQ1" s="76" t="s">
        <v>197</v>
      </c>
      <c r="AR1" s="59" t="s">
        <v>198</v>
      </c>
      <c r="AS1" s="59" t="s">
        <v>199</v>
      </c>
      <c r="AT1" s="59" t="s">
        <v>200</v>
      </c>
      <c r="AU1" s="59" t="s">
        <v>27</v>
      </c>
      <c r="AV1" s="59" t="s">
        <v>28</v>
      </c>
      <c r="AW1" s="60" t="s">
        <v>29</v>
      </c>
      <c r="AX1" s="77" t="s">
        <v>39</v>
      </c>
      <c r="AY1" s="78" t="s">
        <v>40</v>
      </c>
      <c r="AZ1" s="78" t="s">
        <v>201</v>
      </c>
      <c r="BA1" s="79" t="s">
        <v>202</v>
      </c>
      <c r="BB1" s="80" t="s">
        <v>203</v>
      </c>
      <c r="BC1" s="81" t="s">
        <v>31</v>
      </c>
      <c r="BD1" s="82" t="s">
        <v>32</v>
      </c>
      <c r="BE1" s="82" t="s">
        <v>33</v>
      </c>
      <c r="BF1" s="82" t="s">
        <v>34</v>
      </c>
      <c r="BG1" s="82" t="s">
        <v>35</v>
      </c>
      <c r="BH1" s="82" t="s">
        <v>36</v>
      </c>
      <c r="BI1" s="82" t="s">
        <v>37</v>
      </c>
      <c r="BJ1" s="82" t="s">
        <v>38</v>
      </c>
      <c r="BK1" s="82" t="s">
        <v>42</v>
      </c>
      <c r="BL1" s="83" t="s">
        <v>43</v>
      </c>
      <c r="BM1" s="84" t="s">
        <v>204</v>
      </c>
      <c r="BN1" s="85" t="s">
        <v>205</v>
      </c>
      <c r="BO1" s="86" t="s">
        <v>206</v>
      </c>
      <c r="BP1" s="87" t="s">
        <v>207</v>
      </c>
      <c r="BQ1" s="88" t="s">
        <v>208</v>
      </c>
      <c r="BR1" s="88" t="s">
        <v>209</v>
      </c>
      <c r="BS1" s="88" t="s">
        <v>210</v>
      </c>
      <c r="BT1" s="86" t="s">
        <v>211</v>
      </c>
      <c r="BU1" s="89" t="s">
        <v>212</v>
      </c>
      <c r="BV1" s="90" t="s">
        <v>213</v>
      </c>
      <c r="BW1" s="91" t="s">
        <v>214</v>
      </c>
      <c r="BX1" s="28" t="s">
        <v>613</v>
      </c>
      <c r="BY1" s="92" t="s">
        <v>62</v>
      </c>
      <c r="BZ1" s="93" t="s">
        <v>63</v>
      </c>
      <c r="CA1" s="93" t="s">
        <v>64</v>
      </c>
      <c r="CB1" t="s">
        <v>65</v>
      </c>
      <c r="CC1" t="s">
        <v>215</v>
      </c>
      <c r="CD1" t="s">
        <v>549</v>
      </c>
    </row>
    <row r="2" spans="1:82" ht="16">
      <c r="A2" s="94" t="s">
        <v>68</v>
      </c>
      <c r="B2" s="94"/>
      <c r="C2" s="94">
        <v>1290</v>
      </c>
      <c r="D2" s="94">
        <v>148</v>
      </c>
      <c r="E2" s="96" t="s">
        <v>467</v>
      </c>
      <c r="F2" s="94">
        <v>2016</v>
      </c>
      <c r="G2" s="97" t="s">
        <v>468</v>
      </c>
      <c r="H2" s="94" t="s">
        <v>177</v>
      </c>
      <c r="I2" s="94">
        <v>1</v>
      </c>
      <c r="J2" s="94">
        <v>2011</v>
      </c>
      <c r="K2" s="94" t="s">
        <v>73</v>
      </c>
      <c r="L2" s="94">
        <v>280</v>
      </c>
      <c r="M2" s="94" t="s">
        <v>93</v>
      </c>
      <c r="N2" s="94" t="s">
        <v>316</v>
      </c>
      <c r="O2" s="94" t="s">
        <v>81</v>
      </c>
      <c r="P2" s="94" t="s">
        <v>218</v>
      </c>
      <c r="Q2" s="94" t="s">
        <v>227</v>
      </c>
      <c r="R2" s="94" t="s">
        <v>228</v>
      </c>
      <c r="S2" s="94">
        <v>0</v>
      </c>
      <c r="T2" s="94" t="s">
        <v>189</v>
      </c>
      <c r="U2" s="94">
        <v>0</v>
      </c>
      <c r="V2" s="94" t="s">
        <v>238</v>
      </c>
      <c r="W2" s="94" t="s">
        <v>221</v>
      </c>
      <c r="X2" s="94" t="s">
        <v>180</v>
      </c>
      <c r="Y2" s="94">
        <v>0</v>
      </c>
      <c r="Z2" s="94">
        <v>0</v>
      </c>
      <c r="AA2" s="94">
        <v>0</v>
      </c>
      <c r="AB2" s="94">
        <v>1</v>
      </c>
      <c r="AC2" s="94">
        <v>0</v>
      </c>
      <c r="AD2" s="94">
        <v>0</v>
      </c>
      <c r="AE2" s="94">
        <v>0</v>
      </c>
      <c r="AF2" s="94">
        <v>0</v>
      </c>
      <c r="AG2" s="94" t="s">
        <v>73</v>
      </c>
      <c r="AH2" s="94">
        <v>0</v>
      </c>
      <c r="AI2" s="94">
        <v>0</v>
      </c>
      <c r="AJ2" s="94">
        <v>0</v>
      </c>
      <c r="AK2" s="94">
        <v>0</v>
      </c>
      <c r="AL2" s="94">
        <v>1</v>
      </c>
      <c r="AM2" s="94">
        <v>0</v>
      </c>
      <c r="AN2" s="94">
        <v>0</v>
      </c>
      <c r="AO2" s="94">
        <v>0</v>
      </c>
      <c r="AP2" s="94">
        <v>0</v>
      </c>
      <c r="AQ2" s="94" t="s">
        <v>469</v>
      </c>
      <c r="AR2" s="94" t="s">
        <v>295</v>
      </c>
      <c r="AS2" s="94" t="s">
        <v>470</v>
      </c>
      <c r="AT2" s="94" t="s">
        <v>248</v>
      </c>
      <c r="AU2" s="98">
        <v>3.5900000000000001E-2</v>
      </c>
      <c r="AV2" s="95" t="s">
        <v>86</v>
      </c>
      <c r="AW2" s="94">
        <f>AU2/AZ2</f>
        <v>3.5544554455445548E-2</v>
      </c>
      <c r="AX2" s="94" t="s">
        <v>73</v>
      </c>
      <c r="AY2" s="94">
        <v>3</v>
      </c>
      <c r="AZ2" s="94">
        <v>1.01</v>
      </c>
      <c r="BA2" s="99">
        <v>0.08</v>
      </c>
      <c r="BB2" s="99"/>
      <c r="BC2" s="94" t="s">
        <v>73</v>
      </c>
      <c r="BD2" s="94" t="s">
        <v>73</v>
      </c>
      <c r="BE2" s="94" t="s">
        <v>73</v>
      </c>
      <c r="BF2" s="94" t="s">
        <v>73</v>
      </c>
      <c r="BG2" s="94" t="s">
        <v>73</v>
      </c>
      <c r="BH2" s="94" t="s">
        <v>73</v>
      </c>
      <c r="BI2" s="94">
        <v>1153</v>
      </c>
      <c r="BJ2" s="94">
        <v>13923</v>
      </c>
      <c r="BK2" s="94" t="s">
        <v>73</v>
      </c>
      <c r="BL2" s="94" t="s">
        <v>73</v>
      </c>
      <c r="BM2" s="94" t="s">
        <v>471</v>
      </c>
      <c r="BN2" t="s">
        <v>73</v>
      </c>
      <c r="BO2" t="s">
        <v>229</v>
      </c>
      <c r="BP2" s="94" t="s">
        <v>73</v>
      </c>
      <c r="BQ2" s="94" t="s">
        <v>73</v>
      </c>
      <c r="BR2" s="94" t="s">
        <v>73</v>
      </c>
      <c r="BS2" s="94" t="s">
        <v>73</v>
      </c>
      <c r="BT2" s="94" t="s">
        <v>73</v>
      </c>
      <c r="BU2" s="94">
        <v>1</v>
      </c>
      <c r="BV2" s="94">
        <v>1</v>
      </c>
      <c r="BW2" s="94">
        <v>1</v>
      </c>
      <c r="BX2" s="30">
        <f t="shared" ref="BX2:BX14" si="0">((AZ2^2)/(AZ2^2+BI2))^(1/2)</f>
        <v>2.9731353950735877E-2</v>
      </c>
      <c r="BY2" s="30">
        <f t="shared" ref="BY2:BY14" si="1">0.5*LN((1+BX2)/(1-BX2))</f>
        <v>2.9740118977144511E-2</v>
      </c>
      <c r="BZ2" s="30">
        <f t="shared" ref="BZ2:BZ14" si="2">((1-(BY2^2)^2)/(BI2-1))</f>
        <v>8.6805487647964076E-4</v>
      </c>
      <c r="CA2" s="30">
        <f t="shared" ref="CA2:CA14" si="3">1/(BI2-3)</f>
        <v>8.6956521739130438E-4</v>
      </c>
      <c r="CB2" s="94"/>
      <c r="CC2" s="94"/>
      <c r="CD2" s="94"/>
    </row>
    <row r="3" spans="1:82" ht="16">
      <c r="A3" s="11" t="s">
        <v>68</v>
      </c>
      <c r="B3" s="11"/>
      <c r="C3" s="100">
        <v>1159</v>
      </c>
      <c r="D3" s="101">
        <v>137</v>
      </c>
      <c r="E3" t="s">
        <v>372</v>
      </c>
      <c r="F3" s="100">
        <v>2015</v>
      </c>
      <c r="G3" t="s">
        <v>373</v>
      </c>
      <c r="H3" t="s">
        <v>374</v>
      </c>
      <c r="I3" s="101">
        <v>1</v>
      </c>
      <c r="J3" t="s">
        <v>375</v>
      </c>
      <c r="K3" s="100" t="s">
        <v>73</v>
      </c>
      <c r="L3" t="s">
        <v>376</v>
      </c>
      <c r="M3" t="s">
        <v>377</v>
      </c>
      <c r="N3" t="s">
        <v>241</v>
      </c>
      <c r="O3" t="s">
        <v>81</v>
      </c>
      <c r="P3" t="s">
        <v>218</v>
      </c>
      <c r="Q3" t="s">
        <v>227</v>
      </c>
      <c r="R3" t="s">
        <v>228</v>
      </c>
      <c r="S3">
        <v>0</v>
      </c>
      <c r="T3" t="s">
        <v>189</v>
      </c>
      <c r="U3">
        <v>0</v>
      </c>
      <c r="V3" s="100" t="s">
        <v>221</v>
      </c>
      <c r="W3" s="100" t="s">
        <v>221</v>
      </c>
      <c r="X3" s="100" t="s">
        <v>73</v>
      </c>
      <c r="Y3" s="101">
        <v>1</v>
      </c>
      <c r="Z3" s="101">
        <v>0</v>
      </c>
      <c r="AA3" s="101">
        <v>0</v>
      </c>
      <c r="AB3" s="101">
        <v>0</v>
      </c>
      <c r="AC3" s="101">
        <v>0</v>
      </c>
      <c r="AD3" s="101">
        <v>0</v>
      </c>
      <c r="AE3" s="101">
        <v>0</v>
      </c>
      <c r="AF3" s="101">
        <v>0</v>
      </c>
      <c r="AG3" s="101" t="s">
        <v>378</v>
      </c>
      <c r="AH3" s="101">
        <v>0</v>
      </c>
      <c r="AI3" s="101">
        <v>0</v>
      </c>
      <c r="AJ3" s="101">
        <v>0</v>
      </c>
      <c r="AK3" s="101">
        <v>0</v>
      </c>
      <c r="AL3" s="101">
        <v>1</v>
      </c>
      <c r="AM3" s="101">
        <v>0</v>
      </c>
      <c r="AN3" s="101">
        <v>0</v>
      </c>
      <c r="AO3" s="101">
        <v>0</v>
      </c>
      <c r="AP3" s="101">
        <v>0</v>
      </c>
      <c r="AQ3" t="s">
        <v>73</v>
      </c>
      <c r="AR3" t="s">
        <v>295</v>
      </c>
      <c r="AS3" t="s">
        <v>379</v>
      </c>
      <c r="AT3" t="s">
        <v>248</v>
      </c>
      <c r="AU3" s="21">
        <v>2.7799999999999998E-2</v>
      </c>
      <c r="AV3" s="7" t="s">
        <v>86</v>
      </c>
      <c r="AW3">
        <f>AU3/AZ3</f>
        <v>1.3627450980392156E-2</v>
      </c>
      <c r="AX3">
        <v>2.0687000000000001E-2</v>
      </c>
      <c r="AY3">
        <v>3</v>
      </c>
      <c r="AZ3">
        <v>2.04</v>
      </c>
      <c r="BA3" s="102">
        <f>EXP(AU3) - 1</f>
        <v>2.8190025851083211E-2</v>
      </c>
      <c r="BB3" s="102"/>
      <c r="BC3" s="103" t="s">
        <v>73</v>
      </c>
      <c r="BD3" s="103">
        <v>10676</v>
      </c>
      <c r="BE3" s="103" t="s">
        <v>73</v>
      </c>
      <c r="BF3" s="103" t="s">
        <v>73</v>
      </c>
      <c r="BG3" s="103">
        <v>378</v>
      </c>
      <c r="BH3" s="103" t="s">
        <v>73</v>
      </c>
      <c r="BI3" s="103">
        <f>BD3+BG3</f>
        <v>11054</v>
      </c>
      <c r="BJ3" s="104">
        <v>108387</v>
      </c>
      <c r="BK3" s="103" t="s">
        <v>73</v>
      </c>
      <c r="BL3" s="103" t="s">
        <v>73</v>
      </c>
      <c r="BM3" s="101" t="s">
        <v>380</v>
      </c>
      <c r="BN3" s="101">
        <v>0.1</v>
      </c>
      <c r="BO3" t="s">
        <v>230</v>
      </c>
      <c r="BP3" s="103" t="s">
        <v>73</v>
      </c>
      <c r="BQ3" s="103" t="s">
        <v>73</v>
      </c>
      <c r="BR3" s="103" t="s">
        <v>73</v>
      </c>
      <c r="BS3" s="103" t="s">
        <v>73</v>
      </c>
      <c r="BT3" s="103" t="s">
        <v>73</v>
      </c>
      <c r="BU3" s="101">
        <v>0</v>
      </c>
      <c r="BV3" s="101">
        <v>0</v>
      </c>
      <c r="BW3" s="101">
        <v>1</v>
      </c>
      <c r="BX3" s="30">
        <f t="shared" si="0"/>
        <v>1.9399418017388252E-2</v>
      </c>
      <c r="BY3" s="30">
        <f t="shared" si="1"/>
        <v>1.9401852142681517E-2</v>
      </c>
      <c r="BZ3" s="30">
        <f t="shared" si="2"/>
        <v>9.0473161883565525E-5</v>
      </c>
      <c r="CA3" s="30">
        <f t="shared" si="3"/>
        <v>9.0489548457153195E-5</v>
      </c>
    </row>
    <row r="4" spans="1:82" ht="16">
      <c r="A4" s="11" t="s">
        <v>68</v>
      </c>
      <c r="B4" s="11"/>
      <c r="C4" s="100">
        <v>1160</v>
      </c>
      <c r="D4" s="101">
        <v>137</v>
      </c>
      <c r="E4" t="s">
        <v>372</v>
      </c>
      <c r="F4" s="100">
        <v>2015</v>
      </c>
      <c r="G4" t="s">
        <v>373</v>
      </c>
      <c r="H4" t="s">
        <v>374</v>
      </c>
      <c r="I4" s="101">
        <v>1</v>
      </c>
      <c r="J4" t="s">
        <v>375</v>
      </c>
      <c r="K4" s="100" t="s">
        <v>73</v>
      </c>
      <c r="L4" t="s">
        <v>376</v>
      </c>
      <c r="M4" t="s">
        <v>377</v>
      </c>
      <c r="N4" t="s">
        <v>241</v>
      </c>
      <c r="O4" t="s">
        <v>81</v>
      </c>
      <c r="P4" t="s">
        <v>218</v>
      </c>
      <c r="Q4" t="s">
        <v>227</v>
      </c>
      <c r="R4" t="s">
        <v>228</v>
      </c>
      <c r="S4">
        <v>0</v>
      </c>
      <c r="T4" t="s">
        <v>189</v>
      </c>
      <c r="U4">
        <v>0</v>
      </c>
      <c r="V4" s="100" t="s">
        <v>221</v>
      </c>
      <c r="W4" s="100" t="s">
        <v>221</v>
      </c>
      <c r="X4" s="100" t="s">
        <v>73</v>
      </c>
      <c r="Y4" s="101">
        <v>1</v>
      </c>
      <c r="Z4" s="101">
        <v>0</v>
      </c>
      <c r="AA4" s="101">
        <v>0</v>
      </c>
      <c r="AB4" s="101">
        <v>0</v>
      </c>
      <c r="AC4" s="101">
        <v>0</v>
      </c>
      <c r="AD4" s="101">
        <v>0</v>
      </c>
      <c r="AE4" s="101">
        <v>0</v>
      </c>
      <c r="AF4" s="101">
        <v>0</v>
      </c>
      <c r="AG4" s="101" t="s">
        <v>378</v>
      </c>
      <c r="AH4" s="101">
        <v>0</v>
      </c>
      <c r="AI4" s="101">
        <v>0</v>
      </c>
      <c r="AJ4" s="101">
        <v>0</v>
      </c>
      <c r="AK4" s="101">
        <v>0</v>
      </c>
      <c r="AL4" s="101">
        <v>1</v>
      </c>
      <c r="AM4" s="101">
        <v>0</v>
      </c>
      <c r="AN4" s="101">
        <v>0</v>
      </c>
      <c r="AO4" s="101">
        <v>0</v>
      </c>
      <c r="AP4" s="101">
        <v>0</v>
      </c>
      <c r="AQ4" t="s">
        <v>381</v>
      </c>
      <c r="AR4" t="s">
        <v>295</v>
      </c>
      <c r="AS4" t="s">
        <v>379</v>
      </c>
      <c r="AT4" t="s">
        <v>248</v>
      </c>
      <c r="AU4">
        <v>5.4399999999999997E-2</v>
      </c>
      <c r="AV4" s="7" t="s">
        <v>86</v>
      </c>
      <c r="AW4">
        <f>AU4/AZ4</f>
        <v>1.4986225895316804E-2</v>
      </c>
      <c r="AX4">
        <v>1.4200000000000001E-4</v>
      </c>
      <c r="AY4">
        <v>3</v>
      </c>
      <c r="AZ4">
        <v>3.63</v>
      </c>
      <c r="BA4" s="102">
        <f>EXP(AU4) - 1</f>
        <v>5.590688044596992E-2</v>
      </c>
      <c r="BB4" s="102"/>
      <c r="BC4" s="103" t="s">
        <v>73</v>
      </c>
      <c r="BD4" s="103">
        <v>10676</v>
      </c>
      <c r="BE4" s="103" t="s">
        <v>73</v>
      </c>
      <c r="BF4" s="103" t="s">
        <v>73</v>
      </c>
      <c r="BG4" s="103">
        <v>378</v>
      </c>
      <c r="BH4" s="103" t="s">
        <v>73</v>
      </c>
      <c r="BI4" s="103">
        <f>BD4+BG4</f>
        <v>11054</v>
      </c>
      <c r="BJ4" s="104">
        <v>37511</v>
      </c>
      <c r="BK4" s="103" t="s">
        <v>73</v>
      </c>
      <c r="BL4" s="103" t="s">
        <v>73</v>
      </c>
      <c r="BM4" s="101" t="s">
        <v>380</v>
      </c>
      <c r="BN4" s="101">
        <v>0.1</v>
      </c>
      <c r="BO4" t="s">
        <v>230</v>
      </c>
      <c r="BP4" s="103" t="s">
        <v>73</v>
      </c>
      <c r="BQ4" s="103" t="s">
        <v>73</v>
      </c>
      <c r="BR4" s="103" t="s">
        <v>73</v>
      </c>
      <c r="BS4" s="103" t="s">
        <v>73</v>
      </c>
      <c r="BT4" s="103" t="s">
        <v>73</v>
      </c>
      <c r="BU4" s="101">
        <v>0</v>
      </c>
      <c r="BV4" s="101">
        <v>0</v>
      </c>
      <c r="BW4" s="101">
        <v>1</v>
      </c>
      <c r="BX4" s="30">
        <f t="shared" si="0"/>
        <v>3.4505490005142594E-2</v>
      </c>
      <c r="BY4" s="30">
        <f t="shared" si="1"/>
        <v>3.4519194206964816E-2</v>
      </c>
      <c r="BZ4" s="30">
        <f t="shared" si="2"/>
        <v>9.0473046245324396E-5</v>
      </c>
      <c r="CA4" s="30">
        <f t="shared" si="3"/>
        <v>9.0489548457153195E-5</v>
      </c>
    </row>
    <row r="5" spans="1:82" ht="16">
      <c r="A5" s="11" t="s">
        <v>68</v>
      </c>
      <c r="B5" s="11"/>
      <c r="C5" s="100">
        <v>1161</v>
      </c>
      <c r="D5" s="101">
        <v>137</v>
      </c>
      <c r="E5" t="s">
        <v>372</v>
      </c>
      <c r="F5" s="100">
        <v>2015</v>
      </c>
      <c r="G5" t="s">
        <v>373</v>
      </c>
      <c r="H5" t="s">
        <v>374</v>
      </c>
      <c r="I5" s="101">
        <v>1</v>
      </c>
      <c r="J5" t="s">
        <v>375</v>
      </c>
      <c r="K5" s="100" t="s">
        <v>73</v>
      </c>
      <c r="L5" t="s">
        <v>382</v>
      </c>
      <c r="M5" t="s">
        <v>377</v>
      </c>
      <c r="N5" t="s">
        <v>241</v>
      </c>
      <c r="O5" t="s">
        <v>81</v>
      </c>
      <c r="P5" t="s">
        <v>218</v>
      </c>
      <c r="Q5" t="s">
        <v>227</v>
      </c>
      <c r="R5" t="s">
        <v>228</v>
      </c>
      <c r="S5">
        <v>0</v>
      </c>
      <c r="T5" t="s">
        <v>189</v>
      </c>
      <c r="U5">
        <v>0</v>
      </c>
      <c r="V5" s="100" t="s">
        <v>221</v>
      </c>
      <c r="W5" s="100" t="s">
        <v>221</v>
      </c>
      <c r="X5" s="100" t="s">
        <v>73</v>
      </c>
      <c r="Y5" s="101">
        <v>0</v>
      </c>
      <c r="Z5" s="101">
        <v>0</v>
      </c>
      <c r="AA5" s="101">
        <v>0</v>
      </c>
      <c r="AB5" s="101">
        <v>1</v>
      </c>
      <c r="AC5" s="101">
        <v>0</v>
      </c>
      <c r="AD5" s="101">
        <v>0</v>
      </c>
      <c r="AE5" s="101">
        <v>0</v>
      </c>
      <c r="AF5" s="101">
        <v>0</v>
      </c>
      <c r="AG5" s="101" t="s">
        <v>378</v>
      </c>
      <c r="AH5" s="101">
        <v>0</v>
      </c>
      <c r="AI5" s="101">
        <v>0</v>
      </c>
      <c r="AJ5" s="101">
        <v>0</v>
      </c>
      <c r="AK5" s="101">
        <v>0</v>
      </c>
      <c r="AL5" s="101">
        <v>1</v>
      </c>
      <c r="AM5" s="101">
        <v>0</v>
      </c>
      <c r="AN5" s="101">
        <v>0</v>
      </c>
      <c r="AO5" s="101">
        <v>0</v>
      </c>
      <c r="AP5" s="101">
        <v>0</v>
      </c>
      <c r="AQ5" t="s">
        <v>73</v>
      </c>
      <c r="AR5" t="s">
        <v>295</v>
      </c>
      <c r="AS5" t="s">
        <v>379</v>
      </c>
      <c r="AT5" t="s">
        <v>248</v>
      </c>
      <c r="AU5" s="21">
        <v>5.4600000000000003E-2</v>
      </c>
      <c r="AV5" s="7" t="s">
        <v>86</v>
      </c>
      <c r="AW5">
        <f>AU5/AZ5</f>
        <v>1.7333333333333336E-2</v>
      </c>
      <c r="AX5">
        <v>8.1899999999999996E-4</v>
      </c>
      <c r="AY5">
        <v>3</v>
      </c>
      <c r="AZ5">
        <v>3.15</v>
      </c>
      <c r="BA5" s="102">
        <f>EXP(AU5) - 1</f>
        <v>5.6118082941604586E-2</v>
      </c>
      <c r="BB5" s="102"/>
      <c r="BC5" s="103" t="s">
        <v>73</v>
      </c>
      <c r="BD5" s="103">
        <v>10676</v>
      </c>
      <c r="BE5" s="103" t="s">
        <v>73</v>
      </c>
      <c r="BF5" s="103" t="s">
        <v>73</v>
      </c>
      <c r="BG5" s="103">
        <v>430</v>
      </c>
      <c r="BH5" s="103" t="s">
        <v>73</v>
      </c>
      <c r="BI5" s="103">
        <f>BD5+BG5</f>
        <v>11106</v>
      </c>
      <c r="BJ5" s="104">
        <v>68754</v>
      </c>
      <c r="BK5" s="103" t="s">
        <v>73</v>
      </c>
      <c r="BL5" s="103" t="s">
        <v>73</v>
      </c>
      <c r="BM5" s="101" t="s">
        <v>380</v>
      </c>
      <c r="BN5" s="101">
        <v>0.1</v>
      </c>
      <c r="BO5" t="s">
        <v>230</v>
      </c>
      <c r="BP5" s="103" t="s">
        <v>73</v>
      </c>
      <c r="BQ5" s="103" t="s">
        <v>73</v>
      </c>
      <c r="BR5" s="103" t="s">
        <v>73</v>
      </c>
      <c r="BS5" s="103" t="s">
        <v>73</v>
      </c>
      <c r="BT5" s="103" t="s">
        <v>73</v>
      </c>
      <c r="BU5" s="101">
        <v>0</v>
      </c>
      <c r="BV5" s="101">
        <v>0</v>
      </c>
      <c r="BW5" s="101">
        <v>1</v>
      </c>
      <c r="BX5" s="30">
        <f t="shared" si="0"/>
        <v>2.9877055832671907E-2</v>
      </c>
      <c r="BY5" s="30">
        <f t="shared" si="1"/>
        <v>2.9885950400025899E-2</v>
      </c>
      <c r="BZ5" s="30">
        <f t="shared" si="2"/>
        <v>9.0049455402728065E-5</v>
      </c>
      <c r="CA5" s="30">
        <f t="shared" si="3"/>
        <v>9.0065747996037111E-5</v>
      </c>
    </row>
    <row r="6" spans="1:82" ht="16">
      <c r="A6" s="11" t="s">
        <v>68</v>
      </c>
      <c r="B6" s="11"/>
      <c r="C6" s="100">
        <v>1162</v>
      </c>
      <c r="D6" s="101">
        <v>137</v>
      </c>
      <c r="E6" t="s">
        <v>372</v>
      </c>
      <c r="F6" s="100">
        <v>2015</v>
      </c>
      <c r="G6" t="s">
        <v>373</v>
      </c>
      <c r="H6" t="s">
        <v>374</v>
      </c>
      <c r="I6" s="101">
        <v>1</v>
      </c>
      <c r="J6" t="s">
        <v>375</v>
      </c>
      <c r="K6" s="100" t="s">
        <v>73</v>
      </c>
      <c r="L6" t="s">
        <v>382</v>
      </c>
      <c r="M6" t="s">
        <v>377</v>
      </c>
      <c r="N6" t="s">
        <v>241</v>
      </c>
      <c r="O6" t="s">
        <v>81</v>
      </c>
      <c r="P6" t="s">
        <v>218</v>
      </c>
      <c r="Q6" t="s">
        <v>227</v>
      </c>
      <c r="R6" t="s">
        <v>228</v>
      </c>
      <c r="S6">
        <v>0</v>
      </c>
      <c r="T6" t="s">
        <v>189</v>
      </c>
      <c r="U6">
        <v>0</v>
      </c>
      <c r="V6" s="100" t="s">
        <v>221</v>
      </c>
      <c r="W6" s="100" t="s">
        <v>221</v>
      </c>
      <c r="X6" s="100" t="s">
        <v>73</v>
      </c>
      <c r="Y6" s="101">
        <v>0</v>
      </c>
      <c r="Z6" s="101">
        <v>0</v>
      </c>
      <c r="AA6" s="101">
        <v>0</v>
      </c>
      <c r="AB6" s="101">
        <v>1</v>
      </c>
      <c r="AC6" s="101">
        <v>0</v>
      </c>
      <c r="AD6" s="101">
        <v>0</v>
      </c>
      <c r="AE6" s="101">
        <v>0</v>
      </c>
      <c r="AF6" s="101">
        <v>0</v>
      </c>
      <c r="AG6" s="101" t="s">
        <v>378</v>
      </c>
      <c r="AH6" s="101">
        <v>0</v>
      </c>
      <c r="AI6" s="101">
        <v>0</v>
      </c>
      <c r="AJ6" s="101">
        <v>0</v>
      </c>
      <c r="AK6" s="101">
        <v>0</v>
      </c>
      <c r="AL6" s="101">
        <v>1</v>
      </c>
      <c r="AM6" s="101">
        <v>0</v>
      </c>
      <c r="AN6" s="101">
        <v>0</v>
      </c>
      <c r="AO6" s="101">
        <v>0</v>
      </c>
      <c r="AP6" s="101">
        <v>0</v>
      </c>
      <c r="AQ6" t="s">
        <v>381</v>
      </c>
      <c r="AR6" t="s">
        <v>295</v>
      </c>
      <c r="AS6" t="s">
        <v>379</v>
      </c>
      <c r="AT6" t="s">
        <v>248</v>
      </c>
      <c r="AU6" s="21">
        <v>4.19E-2</v>
      </c>
      <c r="AV6" s="7" t="s">
        <v>86</v>
      </c>
      <c r="AW6">
        <f>AU6/AZ6</f>
        <v>1.682730923694779E-2</v>
      </c>
      <c r="AX6">
        <v>6.3940000000000004E-3</v>
      </c>
      <c r="AY6">
        <v>3</v>
      </c>
      <c r="AZ6">
        <v>2.4900000000000002</v>
      </c>
      <c r="BA6" s="102">
        <f>EXP(AU6) - 1</f>
        <v>4.2790194517186686E-2</v>
      </c>
      <c r="BB6" s="102"/>
      <c r="BC6" s="103" t="s">
        <v>73</v>
      </c>
      <c r="BD6" s="103">
        <v>10676</v>
      </c>
      <c r="BE6" s="103" t="s">
        <v>73</v>
      </c>
      <c r="BF6" s="103" t="s">
        <v>73</v>
      </c>
      <c r="BG6" s="103">
        <v>430</v>
      </c>
      <c r="BH6" s="103" t="s">
        <v>73</v>
      </c>
      <c r="BI6" s="103">
        <f>BD6+BG6</f>
        <v>11106</v>
      </c>
      <c r="BJ6" s="104">
        <v>33268</v>
      </c>
      <c r="BK6" s="103" t="s">
        <v>73</v>
      </c>
      <c r="BL6" s="103" t="s">
        <v>73</v>
      </c>
      <c r="BM6" s="101" t="s">
        <v>380</v>
      </c>
      <c r="BN6" s="101">
        <v>0.1</v>
      </c>
      <c r="BO6" t="s">
        <v>230</v>
      </c>
      <c r="BP6" s="103" t="s">
        <v>73</v>
      </c>
      <c r="BQ6" s="103" t="s">
        <v>73</v>
      </c>
      <c r="BR6" s="103" t="s">
        <v>73</v>
      </c>
      <c r="BS6" s="103" t="s">
        <v>73</v>
      </c>
      <c r="BT6" s="103" t="s">
        <v>73</v>
      </c>
      <c r="BU6" s="101">
        <v>0</v>
      </c>
      <c r="BV6" s="101">
        <v>0</v>
      </c>
      <c r="BW6" s="101">
        <v>1</v>
      </c>
      <c r="BX6" s="30">
        <f t="shared" si="0"/>
        <v>2.3621056611749961E-2</v>
      </c>
      <c r="BY6" s="30">
        <f t="shared" si="1"/>
        <v>2.3625451239868967E-2</v>
      </c>
      <c r="BZ6" s="30">
        <f t="shared" si="2"/>
        <v>9.0049499185523786E-5</v>
      </c>
      <c r="CA6" s="30">
        <f t="shared" si="3"/>
        <v>9.0065747996037111E-5</v>
      </c>
    </row>
    <row r="7" spans="1:82" ht="16">
      <c r="A7" t="s">
        <v>68</v>
      </c>
      <c r="C7">
        <v>1142</v>
      </c>
      <c r="D7">
        <v>130</v>
      </c>
      <c r="E7" t="s">
        <v>358</v>
      </c>
      <c r="F7">
        <v>2018</v>
      </c>
      <c r="G7" t="s">
        <v>359</v>
      </c>
      <c r="H7" t="s">
        <v>360</v>
      </c>
      <c r="I7">
        <v>1</v>
      </c>
      <c r="J7">
        <v>2009</v>
      </c>
      <c r="K7" t="s">
        <v>73</v>
      </c>
      <c r="L7">
        <v>347</v>
      </c>
      <c r="M7" t="s">
        <v>120</v>
      </c>
      <c r="N7" t="s">
        <v>263</v>
      </c>
      <c r="O7" t="s">
        <v>81</v>
      </c>
      <c r="P7" t="s">
        <v>218</v>
      </c>
      <c r="Q7" t="s">
        <v>232</v>
      </c>
      <c r="R7" t="s">
        <v>228</v>
      </c>
      <c r="S7">
        <v>0</v>
      </c>
      <c r="T7" t="s">
        <v>220</v>
      </c>
      <c r="U7">
        <v>0</v>
      </c>
      <c r="V7" t="s">
        <v>221</v>
      </c>
      <c r="W7" t="s">
        <v>221</v>
      </c>
      <c r="X7" t="s">
        <v>73</v>
      </c>
      <c r="Y7">
        <v>0</v>
      </c>
      <c r="Z7">
        <v>0</v>
      </c>
      <c r="AA7">
        <v>0</v>
      </c>
      <c r="AB7">
        <v>0</v>
      </c>
      <c r="AC7">
        <v>0</v>
      </c>
      <c r="AD7">
        <v>0</v>
      </c>
      <c r="AE7">
        <v>0</v>
      </c>
      <c r="AF7">
        <v>1</v>
      </c>
      <c r="AG7" t="s">
        <v>361</v>
      </c>
      <c r="AH7">
        <v>0</v>
      </c>
      <c r="AI7">
        <v>0</v>
      </c>
      <c r="AJ7">
        <v>1</v>
      </c>
      <c r="AK7">
        <v>0</v>
      </c>
      <c r="AL7">
        <v>0</v>
      </c>
      <c r="AM7">
        <v>0</v>
      </c>
      <c r="AN7">
        <v>0</v>
      </c>
      <c r="AO7">
        <v>0</v>
      </c>
      <c r="AP7">
        <v>0</v>
      </c>
      <c r="AQ7" t="s">
        <v>362</v>
      </c>
      <c r="AR7" t="s">
        <v>295</v>
      </c>
      <c r="AS7" t="s">
        <v>363</v>
      </c>
      <c r="AT7" t="s">
        <v>73</v>
      </c>
      <c r="AU7" s="53">
        <v>405.995</v>
      </c>
      <c r="AV7" s="7" t="s">
        <v>86</v>
      </c>
      <c r="AW7">
        <v>222.90799999999999</v>
      </c>
      <c r="AX7">
        <v>0.05</v>
      </c>
      <c r="AY7">
        <v>1</v>
      </c>
      <c r="AZ7">
        <f t="shared" ref="AZ7:AZ14" si="4">AU7/AW7</f>
        <v>1.8213567929369965</v>
      </c>
      <c r="BA7" s="41" t="s">
        <v>73</v>
      </c>
      <c r="BB7" s="41"/>
      <c r="BC7" t="s">
        <v>73</v>
      </c>
      <c r="BD7" t="s">
        <v>73</v>
      </c>
      <c r="BE7" t="s">
        <v>73</v>
      </c>
      <c r="BF7" t="s">
        <v>73</v>
      </c>
      <c r="BG7" t="s">
        <v>73</v>
      </c>
      <c r="BH7" t="s">
        <v>73</v>
      </c>
      <c r="BI7">
        <v>1761</v>
      </c>
      <c r="BJ7">
        <v>1761</v>
      </c>
      <c r="BK7" t="s">
        <v>73</v>
      </c>
      <c r="BL7" t="s">
        <v>73</v>
      </c>
      <c r="BM7" t="s">
        <v>73</v>
      </c>
      <c r="BN7" t="s">
        <v>73</v>
      </c>
      <c r="BO7" t="s">
        <v>73</v>
      </c>
      <c r="BP7" t="s">
        <v>73</v>
      </c>
      <c r="BQ7" t="s">
        <v>73</v>
      </c>
      <c r="BR7" t="s">
        <v>73</v>
      </c>
      <c r="BS7" t="s">
        <v>73</v>
      </c>
      <c r="BT7" t="s">
        <v>73</v>
      </c>
      <c r="BU7">
        <v>1</v>
      </c>
      <c r="BV7">
        <v>0</v>
      </c>
      <c r="BW7">
        <v>1</v>
      </c>
      <c r="BX7" s="30">
        <f t="shared" si="0"/>
        <v>4.336173775143707E-2</v>
      </c>
      <c r="BY7" s="30">
        <f t="shared" si="1"/>
        <v>4.3388945280999909E-2</v>
      </c>
      <c r="BZ7" s="30">
        <f t="shared" si="2"/>
        <v>5.6817980444038869E-4</v>
      </c>
      <c r="CA7" s="30">
        <f t="shared" si="3"/>
        <v>5.6882821387940839E-4</v>
      </c>
    </row>
    <row r="8" spans="1:82" s="105" customFormat="1" ht="16">
      <c r="A8" t="s">
        <v>68</v>
      </c>
      <c r="B8"/>
      <c r="C8">
        <v>1143</v>
      </c>
      <c r="D8">
        <v>130</v>
      </c>
      <c r="E8" t="s">
        <v>358</v>
      </c>
      <c r="F8">
        <v>2018</v>
      </c>
      <c r="G8" t="s">
        <v>359</v>
      </c>
      <c r="H8" t="s">
        <v>360</v>
      </c>
      <c r="I8">
        <v>1</v>
      </c>
      <c r="J8">
        <v>2009</v>
      </c>
      <c r="K8" t="s">
        <v>73</v>
      </c>
      <c r="L8">
        <v>347</v>
      </c>
      <c r="M8" t="s">
        <v>235</v>
      </c>
      <c r="N8" t="s">
        <v>263</v>
      </c>
      <c r="O8" t="s">
        <v>81</v>
      </c>
      <c r="P8" t="s">
        <v>218</v>
      </c>
      <c r="Q8" t="s">
        <v>232</v>
      </c>
      <c r="R8" t="s">
        <v>228</v>
      </c>
      <c r="S8">
        <v>0</v>
      </c>
      <c r="T8" t="s">
        <v>220</v>
      </c>
      <c r="U8">
        <v>0</v>
      </c>
      <c r="V8" t="s">
        <v>221</v>
      </c>
      <c r="W8" t="s">
        <v>221</v>
      </c>
      <c r="X8" t="s">
        <v>73</v>
      </c>
      <c r="Y8">
        <v>0</v>
      </c>
      <c r="Z8">
        <v>0</v>
      </c>
      <c r="AA8">
        <v>0</v>
      </c>
      <c r="AB8">
        <v>0</v>
      </c>
      <c r="AC8">
        <v>0</v>
      </c>
      <c r="AD8">
        <v>0</v>
      </c>
      <c r="AE8">
        <v>0</v>
      </c>
      <c r="AF8">
        <v>1</v>
      </c>
      <c r="AG8" t="s">
        <v>361</v>
      </c>
      <c r="AH8">
        <v>0</v>
      </c>
      <c r="AI8">
        <v>0</v>
      </c>
      <c r="AJ8">
        <v>1</v>
      </c>
      <c r="AK8">
        <v>0</v>
      </c>
      <c r="AL8">
        <v>0</v>
      </c>
      <c r="AM8">
        <v>0</v>
      </c>
      <c r="AN8">
        <v>0</v>
      </c>
      <c r="AO8">
        <v>0</v>
      </c>
      <c r="AP8">
        <v>0</v>
      </c>
      <c r="AQ8" t="s">
        <v>362</v>
      </c>
      <c r="AR8" t="s">
        <v>295</v>
      </c>
      <c r="AS8" t="s">
        <v>363</v>
      </c>
      <c r="AT8" t="s">
        <v>73</v>
      </c>
      <c r="AU8" s="53">
        <v>3586.4569999999999</v>
      </c>
      <c r="AV8" s="7" t="s">
        <v>86</v>
      </c>
      <c r="AW8">
        <v>2082.6759999999999</v>
      </c>
      <c r="AX8">
        <v>0.05</v>
      </c>
      <c r="AY8">
        <v>1</v>
      </c>
      <c r="AZ8">
        <f t="shared" si="4"/>
        <v>1.7220426989123607</v>
      </c>
      <c r="BA8" s="41" t="s">
        <v>73</v>
      </c>
      <c r="BB8" s="41"/>
      <c r="BC8" t="s">
        <v>73</v>
      </c>
      <c r="BD8" t="s">
        <v>73</v>
      </c>
      <c r="BE8" t="s">
        <v>73</v>
      </c>
      <c r="BF8" t="s">
        <v>73</v>
      </c>
      <c r="BG8" t="s">
        <v>73</v>
      </c>
      <c r="BH8" t="s">
        <v>73</v>
      </c>
      <c r="BI8">
        <v>1761</v>
      </c>
      <c r="BJ8">
        <v>1761</v>
      </c>
      <c r="BK8" t="s">
        <v>73</v>
      </c>
      <c r="BL8" t="s">
        <v>73</v>
      </c>
      <c r="BM8" t="s">
        <v>73</v>
      </c>
      <c r="BN8" t="s">
        <v>73</v>
      </c>
      <c r="BO8" t="s">
        <v>73</v>
      </c>
      <c r="BP8" t="s">
        <v>73</v>
      </c>
      <c r="BQ8" t="s">
        <v>73</v>
      </c>
      <c r="BR8" t="s">
        <v>73</v>
      </c>
      <c r="BS8" t="s">
        <v>73</v>
      </c>
      <c r="BT8" t="s">
        <v>73</v>
      </c>
      <c r="BU8">
        <v>1</v>
      </c>
      <c r="BV8">
        <v>0</v>
      </c>
      <c r="BW8">
        <v>1</v>
      </c>
      <c r="BX8" s="30">
        <f t="shared" si="0"/>
        <v>4.1001418393220745E-2</v>
      </c>
      <c r="BY8" s="30">
        <f t="shared" si="1"/>
        <v>4.1024417647402674E-2</v>
      </c>
      <c r="BZ8" s="30">
        <f t="shared" si="2"/>
        <v>5.6818020880763031E-4</v>
      </c>
      <c r="CA8" s="30">
        <f t="shared" si="3"/>
        <v>5.6882821387940839E-4</v>
      </c>
      <c r="CB8"/>
      <c r="CC8"/>
      <c r="CD8"/>
    </row>
    <row r="9" spans="1:82" s="105" customFormat="1" ht="16">
      <c r="A9" t="s">
        <v>68</v>
      </c>
      <c r="B9"/>
      <c r="C9" s="94">
        <v>1292</v>
      </c>
      <c r="D9">
        <v>150</v>
      </c>
      <c r="E9" t="s">
        <v>472</v>
      </c>
      <c r="F9">
        <v>2014</v>
      </c>
      <c r="G9" s="10" t="s">
        <v>127</v>
      </c>
      <c r="H9" t="s">
        <v>128</v>
      </c>
      <c r="I9">
        <v>1</v>
      </c>
      <c r="J9" s="94" t="s">
        <v>129</v>
      </c>
      <c r="K9" s="94" t="s">
        <v>73</v>
      </c>
      <c r="L9" s="94">
        <v>222</v>
      </c>
      <c r="M9" s="94" t="s">
        <v>120</v>
      </c>
      <c r="N9" t="s">
        <v>316</v>
      </c>
      <c r="O9" t="s">
        <v>131</v>
      </c>
      <c r="P9" t="s">
        <v>218</v>
      </c>
      <c r="Q9" t="s">
        <v>227</v>
      </c>
      <c r="R9" t="s">
        <v>247</v>
      </c>
      <c r="S9">
        <v>0</v>
      </c>
      <c r="T9" t="s">
        <v>189</v>
      </c>
      <c r="U9">
        <v>0</v>
      </c>
      <c r="V9" s="94" t="s">
        <v>221</v>
      </c>
      <c r="W9" s="94" t="s">
        <v>221</v>
      </c>
      <c r="X9" s="94" t="s">
        <v>73</v>
      </c>
      <c r="Y9">
        <v>0</v>
      </c>
      <c r="Z9">
        <v>0</v>
      </c>
      <c r="AA9">
        <v>0</v>
      </c>
      <c r="AB9">
        <v>1</v>
      </c>
      <c r="AC9">
        <v>0</v>
      </c>
      <c r="AD9">
        <v>0</v>
      </c>
      <c r="AE9">
        <v>0</v>
      </c>
      <c r="AF9">
        <v>0</v>
      </c>
      <c r="AG9" t="s">
        <v>73</v>
      </c>
      <c r="AH9">
        <v>0</v>
      </c>
      <c r="AI9">
        <v>0</v>
      </c>
      <c r="AJ9">
        <v>0</v>
      </c>
      <c r="AK9">
        <v>1</v>
      </c>
      <c r="AL9">
        <v>0</v>
      </c>
      <c r="AM9">
        <v>0</v>
      </c>
      <c r="AN9">
        <v>0</v>
      </c>
      <c r="AO9">
        <v>0</v>
      </c>
      <c r="AP9" s="10">
        <v>0</v>
      </c>
      <c r="AQ9" t="s">
        <v>473</v>
      </c>
      <c r="AR9" t="s">
        <v>295</v>
      </c>
      <c r="AS9" s="94" t="s">
        <v>130</v>
      </c>
      <c r="AT9" t="s">
        <v>73</v>
      </c>
      <c r="AU9" s="110">
        <v>11.4</v>
      </c>
      <c r="AV9" s="95" t="s">
        <v>86</v>
      </c>
      <c r="AW9" s="94">
        <v>0.7</v>
      </c>
      <c r="AX9" s="94">
        <v>0.05</v>
      </c>
      <c r="AY9" s="94">
        <v>1</v>
      </c>
      <c r="AZ9" s="94">
        <f t="shared" si="4"/>
        <v>16.285714285714288</v>
      </c>
      <c r="BA9" s="111" t="s">
        <v>73</v>
      </c>
      <c r="BB9" s="111"/>
      <c r="BC9" s="94" t="s">
        <v>73</v>
      </c>
      <c r="BD9" s="94" t="s">
        <v>73</v>
      </c>
      <c r="BE9" s="94" t="s">
        <v>73</v>
      </c>
      <c r="BF9" s="94" t="s">
        <v>73</v>
      </c>
      <c r="BG9" s="94" t="s">
        <v>73</v>
      </c>
      <c r="BH9" s="94" t="s">
        <v>73</v>
      </c>
      <c r="BI9" s="94">
        <v>957080</v>
      </c>
      <c r="BJ9" s="94">
        <v>957080</v>
      </c>
      <c r="BK9" s="94" t="s">
        <v>73</v>
      </c>
      <c r="BL9" s="94" t="s">
        <v>73</v>
      </c>
      <c r="BM9" t="s">
        <v>474</v>
      </c>
      <c r="BN9" t="s">
        <v>73</v>
      </c>
      <c r="BO9" t="s">
        <v>230</v>
      </c>
      <c r="BP9" t="s">
        <v>73</v>
      </c>
      <c r="BQ9" t="s">
        <v>73</v>
      </c>
      <c r="BR9" t="s">
        <v>73</v>
      </c>
      <c r="BS9" t="s">
        <v>73</v>
      </c>
      <c r="BT9" t="s">
        <v>73</v>
      </c>
      <c r="BU9">
        <v>1</v>
      </c>
      <c r="BV9">
        <v>0</v>
      </c>
      <c r="BW9">
        <v>1</v>
      </c>
      <c r="BX9" s="30">
        <f t="shared" si="0"/>
        <v>1.6644567843645545E-2</v>
      </c>
      <c r="BY9" s="30">
        <f t="shared" si="1"/>
        <v>1.6646105178647452E-2</v>
      </c>
      <c r="BZ9" s="30">
        <f t="shared" si="2"/>
        <v>1.0448457475501714E-6</v>
      </c>
      <c r="CA9" s="30">
        <f t="shared" si="3"/>
        <v>1.0448480111840532E-6</v>
      </c>
      <c r="CB9"/>
      <c r="CC9"/>
      <c r="CD9"/>
    </row>
    <row r="10" spans="1:82" s="105" customFormat="1" ht="16">
      <c r="A10" t="s">
        <v>68</v>
      </c>
      <c r="B10"/>
      <c r="C10" s="94">
        <v>1293</v>
      </c>
      <c r="D10">
        <v>150</v>
      </c>
      <c r="E10" t="s">
        <v>472</v>
      </c>
      <c r="F10">
        <v>2014</v>
      </c>
      <c r="G10" s="10" t="s">
        <v>127</v>
      </c>
      <c r="H10" t="s">
        <v>128</v>
      </c>
      <c r="I10">
        <v>1</v>
      </c>
      <c r="J10" s="94" t="s">
        <v>129</v>
      </c>
      <c r="K10" s="94" t="s">
        <v>73</v>
      </c>
      <c r="L10" s="94">
        <v>222</v>
      </c>
      <c r="M10" s="94" t="s">
        <v>120</v>
      </c>
      <c r="N10" t="s">
        <v>316</v>
      </c>
      <c r="O10" t="s">
        <v>131</v>
      </c>
      <c r="P10" t="s">
        <v>218</v>
      </c>
      <c r="Q10" t="s">
        <v>227</v>
      </c>
      <c r="R10" t="s">
        <v>247</v>
      </c>
      <c r="S10">
        <v>0</v>
      </c>
      <c r="T10" t="s">
        <v>189</v>
      </c>
      <c r="U10">
        <v>0</v>
      </c>
      <c r="V10" s="94" t="s">
        <v>221</v>
      </c>
      <c r="W10" s="94" t="s">
        <v>221</v>
      </c>
      <c r="X10" s="94" t="s">
        <v>73</v>
      </c>
      <c r="Y10">
        <v>0</v>
      </c>
      <c r="Z10">
        <v>0</v>
      </c>
      <c r="AA10">
        <v>0</v>
      </c>
      <c r="AB10">
        <v>1</v>
      </c>
      <c r="AC10">
        <v>0</v>
      </c>
      <c r="AD10">
        <v>0</v>
      </c>
      <c r="AE10">
        <v>0</v>
      </c>
      <c r="AF10">
        <v>0</v>
      </c>
      <c r="AG10" t="s">
        <v>73</v>
      </c>
      <c r="AH10">
        <v>0</v>
      </c>
      <c r="AI10">
        <v>0</v>
      </c>
      <c r="AJ10">
        <v>0</v>
      </c>
      <c r="AK10">
        <v>1</v>
      </c>
      <c r="AL10">
        <v>0</v>
      </c>
      <c r="AM10">
        <v>0</v>
      </c>
      <c r="AN10">
        <v>0</v>
      </c>
      <c r="AO10">
        <v>0</v>
      </c>
      <c r="AP10" s="10">
        <v>0</v>
      </c>
      <c r="AQ10" t="s">
        <v>473</v>
      </c>
      <c r="AR10" t="s">
        <v>295</v>
      </c>
      <c r="AS10" s="94" t="s">
        <v>130</v>
      </c>
      <c r="AT10" t="s">
        <v>73</v>
      </c>
      <c r="AU10" s="110">
        <v>11.9</v>
      </c>
      <c r="AV10" s="95" t="s">
        <v>86</v>
      </c>
      <c r="AW10" s="94">
        <v>0.75</v>
      </c>
      <c r="AX10" s="94">
        <v>0.05</v>
      </c>
      <c r="AY10" s="94">
        <v>1</v>
      </c>
      <c r="AZ10" s="94">
        <f t="shared" si="4"/>
        <v>15.866666666666667</v>
      </c>
      <c r="BA10" s="111" t="s">
        <v>73</v>
      </c>
      <c r="BB10" s="111"/>
      <c r="BC10" s="94" t="s">
        <v>73</v>
      </c>
      <c r="BD10" s="94" t="s">
        <v>73</v>
      </c>
      <c r="BE10" s="94" t="s">
        <v>73</v>
      </c>
      <c r="BF10" s="94" t="s">
        <v>73</v>
      </c>
      <c r="BG10" s="94" t="s">
        <v>73</v>
      </c>
      <c r="BH10" s="94" t="s">
        <v>73</v>
      </c>
      <c r="BI10" s="94">
        <v>957080</v>
      </c>
      <c r="BJ10" s="94">
        <v>957080</v>
      </c>
      <c r="BK10" s="94" t="s">
        <v>73</v>
      </c>
      <c r="BL10" s="94" t="s">
        <v>73</v>
      </c>
      <c r="BM10" t="s">
        <v>474</v>
      </c>
      <c r="BN10" t="s">
        <v>73</v>
      </c>
      <c r="BO10" t="s">
        <v>230</v>
      </c>
      <c r="BP10" t="s">
        <v>73</v>
      </c>
      <c r="BQ10" t="s">
        <v>73</v>
      </c>
      <c r="BR10" t="s">
        <v>73</v>
      </c>
      <c r="BS10" t="s">
        <v>73</v>
      </c>
      <c r="BT10" t="s">
        <v>73</v>
      </c>
      <c r="BU10">
        <v>1</v>
      </c>
      <c r="BV10">
        <v>0</v>
      </c>
      <c r="BW10">
        <v>1</v>
      </c>
      <c r="BX10" s="30">
        <f t="shared" si="0"/>
        <v>1.6216400678486488E-2</v>
      </c>
      <c r="BY10" s="30">
        <f t="shared" si="1"/>
        <v>1.6217822387367728E-2</v>
      </c>
      <c r="BZ10" s="30">
        <f t="shared" si="2"/>
        <v>1.0448457554931792E-6</v>
      </c>
      <c r="CA10" s="30">
        <f t="shared" si="3"/>
        <v>1.0448480111840532E-6</v>
      </c>
      <c r="CB10"/>
      <c r="CC10"/>
      <c r="CD10"/>
    </row>
    <row r="11" spans="1:82" s="105" customFormat="1" ht="16">
      <c r="A11" s="11" t="s">
        <v>68</v>
      </c>
      <c r="B11" s="11"/>
      <c r="C11" s="100">
        <v>1165</v>
      </c>
      <c r="D11" s="101">
        <v>139</v>
      </c>
      <c r="E11" t="s">
        <v>389</v>
      </c>
      <c r="F11" s="100">
        <v>2013</v>
      </c>
      <c r="G11" t="s">
        <v>390</v>
      </c>
      <c r="H11" t="s">
        <v>391</v>
      </c>
      <c r="I11" s="101">
        <v>1</v>
      </c>
      <c r="J11">
        <v>2009</v>
      </c>
      <c r="K11" s="100" t="s">
        <v>73</v>
      </c>
      <c r="L11">
        <v>283</v>
      </c>
      <c r="M11" t="s">
        <v>120</v>
      </c>
      <c r="N11" t="s">
        <v>263</v>
      </c>
      <c r="O11" t="s">
        <v>392</v>
      </c>
      <c r="P11" t="s">
        <v>226</v>
      </c>
      <c r="Q11" t="s">
        <v>227</v>
      </c>
      <c r="R11" t="s">
        <v>228</v>
      </c>
      <c r="S11">
        <v>0</v>
      </c>
      <c r="T11" t="s">
        <v>220</v>
      </c>
      <c r="U11">
        <v>0</v>
      </c>
      <c r="V11" s="100" t="s">
        <v>221</v>
      </c>
      <c r="W11" s="100" t="s">
        <v>221</v>
      </c>
      <c r="X11" s="100" t="s">
        <v>73</v>
      </c>
      <c r="Y11" s="101">
        <v>0</v>
      </c>
      <c r="Z11" s="101">
        <v>0</v>
      </c>
      <c r="AA11" s="101">
        <v>0</v>
      </c>
      <c r="AB11" s="101">
        <v>0</v>
      </c>
      <c r="AC11" s="101">
        <v>0</v>
      </c>
      <c r="AD11" s="101">
        <v>0</v>
      </c>
      <c r="AE11" s="101">
        <v>0</v>
      </c>
      <c r="AF11" s="101">
        <v>1</v>
      </c>
      <c r="AG11" s="101" t="s">
        <v>393</v>
      </c>
      <c r="AH11" s="101">
        <v>0</v>
      </c>
      <c r="AI11" s="101">
        <v>0</v>
      </c>
      <c r="AJ11" s="101">
        <v>0</v>
      </c>
      <c r="AK11" s="101">
        <v>0</v>
      </c>
      <c r="AL11" s="101">
        <v>0</v>
      </c>
      <c r="AM11" s="101">
        <v>1</v>
      </c>
      <c r="AN11" s="101">
        <v>0</v>
      </c>
      <c r="AO11" s="101">
        <v>0</v>
      </c>
      <c r="AP11" s="101">
        <v>0</v>
      </c>
      <c r="AQ11" t="s">
        <v>73</v>
      </c>
      <c r="AR11" t="s">
        <v>295</v>
      </c>
      <c r="AS11" t="s">
        <v>394</v>
      </c>
      <c r="AT11" t="s">
        <v>248</v>
      </c>
      <c r="AU11" s="108">
        <v>0.77300000000000002</v>
      </c>
      <c r="AV11" s="7" t="s">
        <v>86</v>
      </c>
      <c r="AW11">
        <v>3.7999999999999999E-2</v>
      </c>
      <c r="AX11">
        <v>0.01</v>
      </c>
      <c r="AY11">
        <v>1</v>
      </c>
      <c r="AZ11">
        <f t="shared" si="4"/>
        <v>20.342105263157897</v>
      </c>
      <c r="BA11" s="109">
        <f>EXP(AU11) - 1</f>
        <v>1.1662552812206535</v>
      </c>
      <c r="BB11" s="109"/>
      <c r="BC11" s="103" t="s">
        <v>73</v>
      </c>
      <c r="BD11" s="103" t="s">
        <v>73</v>
      </c>
      <c r="BE11" s="103" t="s">
        <v>73</v>
      </c>
      <c r="BF11" s="103" t="s">
        <v>73</v>
      </c>
      <c r="BG11" s="103" t="s">
        <v>73</v>
      </c>
      <c r="BH11" s="103" t="s">
        <v>73</v>
      </c>
      <c r="BI11" s="104">
        <v>2445</v>
      </c>
      <c r="BJ11" s="104">
        <v>2445</v>
      </c>
      <c r="BK11" s="103" t="s">
        <v>73</v>
      </c>
      <c r="BL11" s="103" t="s">
        <v>73</v>
      </c>
      <c r="BM11" s="101" t="s">
        <v>73</v>
      </c>
      <c r="BN11" s="101" t="s">
        <v>73</v>
      </c>
      <c r="BO11" s="101" t="s">
        <v>73</v>
      </c>
      <c r="BP11" s="101" t="s">
        <v>73</v>
      </c>
      <c r="BQ11" s="101" t="s">
        <v>73</v>
      </c>
      <c r="BR11" s="101" t="s">
        <v>73</v>
      </c>
      <c r="BS11" s="101" t="s">
        <v>73</v>
      </c>
      <c r="BT11" s="101" t="s">
        <v>73</v>
      </c>
      <c r="BU11" s="101">
        <v>0</v>
      </c>
      <c r="BV11" s="101">
        <v>0</v>
      </c>
      <c r="BW11" s="101">
        <v>0</v>
      </c>
      <c r="BX11" s="30">
        <f t="shared" si="0"/>
        <v>0.38045554301813767</v>
      </c>
      <c r="BY11" s="30">
        <f t="shared" si="1"/>
        <v>0.40059218306919919</v>
      </c>
      <c r="BZ11" s="30">
        <f t="shared" si="2"/>
        <v>3.9862850415234801E-4</v>
      </c>
      <c r="CA11" s="30">
        <f t="shared" si="3"/>
        <v>4.0950040950040953E-4</v>
      </c>
      <c r="CB11"/>
      <c r="CC11"/>
      <c r="CD11"/>
    </row>
    <row r="12" spans="1:82" ht="16">
      <c r="A12" s="11" t="s">
        <v>68</v>
      </c>
      <c r="B12" s="11"/>
      <c r="C12" s="100">
        <v>1166</v>
      </c>
      <c r="D12" s="101">
        <v>139</v>
      </c>
      <c r="E12" t="s">
        <v>389</v>
      </c>
      <c r="F12" s="100">
        <v>2013</v>
      </c>
      <c r="G12" t="s">
        <v>390</v>
      </c>
      <c r="H12" t="s">
        <v>391</v>
      </c>
      <c r="I12" s="101">
        <v>1</v>
      </c>
      <c r="J12">
        <v>2009</v>
      </c>
      <c r="K12" s="100" t="s">
        <v>73</v>
      </c>
      <c r="L12">
        <v>283</v>
      </c>
      <c r="M12" t="s">
        <v>236</v>
      </c>
      <c r="N12" t="s">
        <v>263</v>
      </c>
      <c r="O12" t="s">
        <v>392</v>
      </c>
      <c r="P12" t="s">
        <v>226</v>
      </c>
      <c r="Q12" t="s">
        <v>227</v>
      </c>
      <c r="R12" t="s">
        <v>228</v>
      </c>
      <c r="S12">
        <v>0</v>
      </c>
      <c r="T12" t="s">
        <v>220</v>
      </c>
      <c r="U12">
        <v>0</v>
      </c>
      <c r="V12" s="100" t="s">
        <v>221</v>
      </c>
      <c r="W12" s="100" t="s">
        <v>221</v>
      </c>
      <c r="X12" s="100" t="s">
        <v>73</v>
      </c>
      <c r="Y12" s="101">
        <v>0</v>
      </c>
      <c r="Z12" s="101">
        <v>0</v>
      </c>
      <c r="AA12" s="101">
        <v>0</v>
      </c>
      <c r="AB12" s="101">
        <v>0</v>
      </c>
      <c r="AC12" s="101">
        <v>0</v>
      </c>
      <c r="AD12" s="101">
        <v>0</v>
      </c>
      <c r="AE12" s="101">
        <v>0</v>
      </c>
      <c r="AF12" s="101">
        <v>1</v>
      </c>
      <c r="AG12" s="101" t="s">
        <v>395</v>
      </c>
      <c r="AH12" s="101">
        <v>0</v>
      </c>
      <c r="AI12" s="101">
        <v>0</v>
      </c>
      <c r="AJ12" s="101">
        <v>0</v>
      </c>
      <c r="AK12" s="101">
        <v>0</v>
      </c>
      <c r="AL12" s="101">
        <v>0</v>
      </c>
      <c r="AM12" s="101">
        <v>1</v>
      </c>
      <c r="AN12" s="101">
        <v>0</v>
      </c>
      <c r="AO12" s="101">
        <v>0</v>
      </c>
      <c r="AP12" s="101">
        <v>0</v>
      </c>
      <c r="AQ12" t="s">
        <v>73</v>
      </c>
      <c r="AR12" t="s">
        <v>295</v>
      </c>
      <c r="AS12" t="s">
        <v>394</v>
      </c>
      <c r="AT12" t="s">
        <v>248</v>
      </c>
      <c r="AU12" s="108">
        <v>0.84</v>
      </c>
      <c r="AV12" s="7" t="s">
        <v>86</v>
      </c>
      <c r="AW12">
        <v>6.0999999999999999E-2</v>
      </c>
      <c r="AX12">
        <v>0.01</v>
      </c>
      <c r="AY12">
        <v>1</v>
      </c>
      <c r="AZ12">
        <f t="shared" si="4"/>
        <v>13.770491803278688</v>
      </c>
      <c r="BA12" s="109">
        <f>EXP(AU12) - 1</f>
        <v>1.3163669767810915</v>
      </c>
      <c r="BB12" s="109"/>
      <c r="BC12" s="103" t="s">
        <v>73</v>
      </c>
      <c r="BD12" s="103" t="s">
        <v>73</v>
      </c>
      <c r="BE12" s="103" t="s">
        <v>73</v>
      </c>
      <c r="BF12" s="103" t="s">
        <v>73</v>
      </c>
      <c r="BG12" s="103" t="s">
        <v>73</v>
      </c>
      <c r="BH12" s="103" t="s">
        <v>73</v>
      </c>
      <c r="BI12" s="104">
        <v>2433</v>
      </c>
      <c r="BJ12" s="104">
        <v>2433</v>
      </c>
      <c r="BK12" s="103" t="s">
        <v>73</v>
      </c>
      <c r="BL12" s="103" t="s">
        <v>73</v>
      </c>
      <c r="BM12" s="101" t="s">
        <v>73</v>
      </c>
      <c r="BN12" s="101" t="s">
        <v>73</v>
      </c>
      <c r="BO12" s="101" t="s">
        <v>73</v>
      </c>
      <c r="BP12" s="101" t="s">
        <v>73</v>
      </c>
      <c r="BQ12" s="101" t="s">
        <v>73</v>
      </c>
      <c r="BR12" s="101" t="s">
        <v>73</v>
      </c>
      <c r="BS12" s="101" t="s">
        <v>73</v>
      </c>
      <c r="BT12" s="101" t="s">
        <v>73</v>
      </c>
      <c r="BU12" s="101">
        <v>1</v>
      </c>
      <c r="BV12" s="101">
        <v>1</v>
      </c>
      <c r="BW12" s="101">
        <v>1</v>
      </c>
      <c r="BX12" s="30">
        <f t="shared" si="0"/>
        <v>0.26889407517381664</v>
      </c>
      <c r="BY12" s="30">
        <f t="shared" si="1"/>
        <v>0.27567131993753202</v>
      </c>
      <c r="BZ12" s="30">
        <f t="shared" si="2"/>
        <v>4.0880954322490722E-4</v>
      </c>
      <c r="CA12" s="30">
        <f t="shared" si="3"/>
        <v>4.1152263374485596E-4</v>
      </c>
    </row>
    <row r="13" spans="1:82" s="107" customFormat="1" ht="16">
      <c r="A13" s="11" t="s">
        <v>68</v>
      </c>
      <c r="B13" s="11"/>
      <c r="C13" s="100">
        <v>1167</v>
      </c>
      <c r="D13" s="101">
        <v>139</v>
      </c>
      <c r="E13" t="s">
        <v>389</v>
      </c>
      <c r="F13" s="100">
        <v>2013</v>
      </c>
      <c r="G13" t="s">
        <v>390</v>
      </c>
      <c r="H13" t="s">
        <v>391</v>
      </c>
      <c r="I13" s="101">
        <v>1</v>
      </c>
      <c r="J13">
        <v>2009</v>
      </c>
      <c r="K13" s="100" t="s">
        <v>73</v>
      </c>
      <c r="L13">
        <v>283</v>
      </c>
      <c r="M13" t="s">
        <v>120</v>
      </c>
      <c r="N13" t="s">
        <v>263</v>
      </c>
      <c r="O13" t="s">
        <v>392</v>
      </c>
      <c r="P13" t="s">
        <v>226</v>
      </c>
      <c r="Q13" t="s">
        <v>227</v>
      </c>
      <c r="R13" t="s">
        <v>228</v>
      </c>
      <c r="S13">
        <v>0</v>
      </c>
      <c r="T13" t="s">
        <v>220</v>
      </c>
      <c r="U13">
        <v>0</v>
      </c>
      <c r="V13" s="100" t="s">
        <v>221</v>
      </c>
      <c r="W13" s="100" t="s">
        <v>221</v>
      </c>
      <c r="X13" s="100" t="s">
        <v>73</v>
      </c>
      <c r="Y13" s="101">
        <v>0</v>
      </c>
      <c r="Z13" s="101">
        <v>0</v>
      </c>
      <c r="AA13" s="101">
        <v>0</v>
      </c>
      <c r="AB13" s="101">
        <v>0</v>
      </c>
      <c r="AC13" s="101">
        <v>0</v>
      </c>
      <c r="AD13" s="101">
        <v>0</v>
      </c>
      <c r="AE13" s="101">
        <v>0</v>
      </c>
      <c r="AF13" s="101">
        <v>1</v>
      </c>
      <c r="AG13" s="101" t="s">
        <v>395</v>
      </c>
      <c r="AH13" s="101">
        <v>0</v>
      </c>
      <c r="AI13" s="101">
        <v>0</v>
      </c>
      <c r="AJ13" s="101">
        <v>0</v>
      </c>
      <c r="AK13" s="101">
        <v>0</v>
      </c>
      <c r="AL13" s="101">
        <v>0</v>
      </c>
      <c r="AM13" s="101">
        <v>1</v>
      </c>
      <c r="AN13" s="101">
        <v>0</v>
      </c>
      <c r="AO13" s="101">
        <v>0</v>
      </c>
      <c r="AP13" s="101">
        <v>0</v>
      </c>
      <c r="AQ13" t="s">
        <v>73</v>
      </c>
      <c r="AR13" t="s">
        <v>295</v>
      </c>
      <c r="AS13" t="s">
        <v>396</v>
      </c>
      <c r="AT13" t="s">
        <v>248</v>
      </c>
      <c r="AU13" s="108">
        <v>1.0999999999999999E-2</v>
      </c>
      <c r="AV13" s="7" t="s">
        <v>86</v>
      </c>
      <c r="AW13">
        <v>0.03</v>
      </c>
      <c r="AX13">
        <v>0.1</v>
      </c>
      <c r="AY13">
        <v>2</v>
      </c>
      <c r="AZ13">
        <f t="shared" si="4"/>
        <v>0.36666666666666664</v>
      </c>
      <c r="BA13" s="102">
        <f>EXP(AU13) - 1</f>
        <v>1.1060722444719451E-2</v>
      </c>
      <c r="BB13" s="102"/>
      <c r="BC13" s="103" t="s">
        <v>73</v>
      </c>
      <c r="BD13" s="103" t="s">
        <v>73</v>
      </c>
      <c r="BE13" s="103" t="s">
        <v>73</v>
      </c>
      <c r="BF13" s="103" t="s">
        <v>73</v>
      </c>
      <c r="BG13" s="103" t="s">
        <v>73</v>
      </c>
      <c r="BH13" s="103" t="s">
        <v>73</v>
      </c>
      <c r="BI13" s="104">
        <v>2445</v>
      </c>
      <c r="BJ13" s="104">
        <v>2445</v>
      </c>
      <c r="BK13" s="103" t="s">
        <v>73</v>
      </c>
      <c r="BL13" s="103" t="s">
        <v>73</v>
      </c>
      <c r="BM13" s="101" t="s">
        <v>73</v>
      </c>
      <c r="BN13" s="101" t="s">
        <v>73</v>
      </c>
      <c r="BO13" s="101" t="s">
        <v>73</v>
      </c>
      <c r="BP13" s="101" t="s">
        <v>73</v>
      </c>
      <c r="BQ13" s="101" t="s">
        <v>73</v>
      </c>
      <c r="BR13" s="101" t="s">
        <v>73</v>
      </c>
      <c r="BS13" s="101" t="s">
        <v>73</v>
      </c>
      <c r="BT13" s="101" t="s">
        <v>73</v>
      </c>
      <c r="BU13" s="101">
        <v>0</v>
      </c>
      <c r="BV13" s="101">
        <v>0</v>
      </c>
      <c r="BW13" s="101">
        <v>0</v>
      </c>
      <c r="BX13" s="30">
        <f>((AZ13^2)/(AZ13^2+BI13))^(1/2)</f>
        <v>7.4151520133472265E-3</v>
      </c>
      <c r="BY13" s="30">
        <f t="shared" si="1"/>
        <v>7.4152879239220478E-3</v>
      </c>
      <c r="BZ13" s="30">
        <f t="shared" si="2"/>
        <v>4.0916530154520679E-4</v>
      </c>
      <c r="CA13" s="30">
        <f t="shared" si="3"/>
        <v>4.0950040950040953E-4</v>
      </c>
      <c r="CB13"/>
      <c r="CC13"/>
      <c r="CD13"/>
    </row>
    <row r="14" spans="1:82" ht="16">
      <c r="A14" s="11" t="s">
        <v>68</v>
      </c>
      <c r="B14" s="11"/>
      <c r="C14" s="100">
        <v>1168</v>
      </c>
      <c r="D14" s="101">
        <v>139</v>
      </c>
      <c r="E14" t="s">
        <v>389</v>
      </c>
      <c r="F14" s="100">
        <v>2013</v>
      </c>
      <c r="G14" t="s">
        <v>390</v>
      </c>
      <c r="H14" t="s">
        <v>391</v>
      </c>
      <c r="I14" s="101">
        <v>1</v>
      </c>
      <c r="J14">
        <v>2009</v>
      </c>
      <c r="K14" s="100" t="s">
        <v>73</v>
      </c>
      <c r="L14">
        <v>283</v>
      </c>
      <c r="M14" t="s">
        <v>236</v>
      </c>
      <c r="N14" t="s">
        <v>263</v>
      </c>
      <c r="O14" t="s">
        <v>392</v>
      </c>
      <c r="P14" t="s">
        <v>226</v>
      </c>
      <c r="Q14" t="s">
        <v>227</v>
      </c>
      <c r="R14" t="s">
        <v>228</v>
      </c>
      <c r="S14">
        <v>0</v>
      </c>
      <c r="T14" t="s">
        <v>220</v>
      </c>
      <c r="U14">
        <v>0</v>
      </c>
      <c r="V14" s="100" t="s">
        <v>221</v>
      </c>
      <c r="W14" s="100" t="s">
        <v>221</v>
      </c>
      <c r="X14" s="100" t="s">
        <v>73</v>
      </c>
      <c r="Y14" s="101">
        <v>0</v>
      </c>
      <c r="Z14" s="101">
        <v>0</v>
      </c>
      <c r="AA14" s="101">
        <v>0</v>
      </c>
      <c r="AB14" s="101">
        <v>0</v>
      </c>
      <c r="AC14" s="101">
        <v>0</v>
      </c>
      <c r="AD14" s="101">
        <v>0</v>
      </c>
      <c r="AE14" s="101">
        <v>0</v>
      </c>
      <c r="AF14" s="101">
        <v>1</v>
      </c>
      <c r="AG14" s="101" t="s">
        <v>395</v>
      </c>
      <c r="AH14" s="101">
        <v>0</v>
      </c>
      <c r="AI14" s="101">
        <v>0</v>
      </c>
      <c r="AJ14" s="101">
        <v>0</v>
      </c>
      <c r="AK14" s="101">
        <v>0</v>
      </c>
      <c r="AL14" s="101">
        <v>0</v>
      </c>
      <c r="AM14" s="101">
        <v>1</v>
      </c>
      <c r="AN14" s="101">
        <v>0</v>
      </c>
      <c r="AO14" s="101">
        <v>0</v>
      </c>
      <c r="AP14" s="101">
        <v>0</v>
      </c>
      <c r="AQ14" t="s">
        <v>73</v>
      </c>
      <c r="AR14" t="s">
        <v>295</v>
      </c>
      <c r="AS14" t="s">
        <v>396</v>
      </c>
      <c r="AT14" t="s">
        <v>248</v>
      </c>
      <c r="AU14" s="108">
        <v>9.5000000000000001E-2</v>
      </c>
      <c r="AV14" s="7" t="s">
        <v>80</v>
      </c>
      <c r="AW14">
        <v>5.6000000000000001E-2</v>
      </c>
      <c r="AX14">
        <v>0.1</v>
      </c>
      <c r="AY14">
        <v>1</v>
      </c>
      <c r="AZ14">
        <f t="shared" si="4"/>
        <v>1.6964285714285714</v>
      </c>
      <c r="BA14" s="102">
        <f>EXP(AU14) - 1</f>
        <v>9.9658855126102841E-2</v>
      </c>
      <c r="BB14" s="102"/>
      <c r="BC14" s="103" t="s">
        <v>73</v>
      </c>
      <c r="BD14" s="103" t="s">
        <v>73</v>
      </c>
      <c r="BE14" s="103" t="s">
        <v>73</v>
      </c>
      <c r="BF14" s="103" t="s">
        <v>73</v>
      </c>
      <c r="BG14" s="103" t="s">
        <v>73</v>
      </c>
      <c r="BH14" s="103" t="s">
        <v>73</v>
      </c>
      <c r="BI14" s="104">
        <v>2433</v>
      </c>
      <c r="BJ14" s="104">
        <v>2433</v>
      </c>
      <c r="BK14" s="103" t="s">
        <v>73</v>
      </c>
      <c r="BL14" s="103" t="s">
        <v>73</v>
      </c>
      <c r="BM14" s="101" t="s">
        <v>73</v>
      </c>
      <c r="BN14" s="101" t="s">
        <v>73</v>
      </c>
      <c r="BO14" s="101" t="s">
        <v>73</v>
      </c>
      <c r="BP14" s="101" t="s">
        <v>73</v>
      </c>
      <c r="BQ14" s="101" t="s">
        <v>73</v>
      </c>
      <c r="BR14" s="101" t="s">
        <v>73</v>
      </c>
      <c r="BS14" s="101" t="s">
        <v>73</v>
      </c>
      <c r="BT14" s="101" t="s">
        <v>73</v>
      </c>
      <c r="BU14" s="101">
        <v>1</v>
      </c>
      <c r="BV14" s="101">
        <v>1</v>
      </c>
      <c r="BW14" s="101">
        <v>1</v>
      </c>
      <c r="BX14" s="30">
        <f t="shared" si="0"/>
        <v>3.4372239036265163E-2</v>
      </c>
      <c r="BY14" s="30">
        <f t="shared" si="1"/>
        <v>3.4385785009859983E-2</v>
      </c>
      <c r="BZ14" s="30">
        <f t="shared" si="2"/>
        <v>4.1118363567940286E-4</v>
      </c>
      <c r="CA14" s="30">
        <f t="shared" si="3"/>
        <v>4.1152263374485596E-4</v>
      </c>
    </row>
    <row r="15" spans="1:82" ht="16">
      <c r="A15" t="s">
        <v>68</v>
      </c>
      <c r="C15" s="94">
        <v>1294</v>
      </c>
      <c r="D15">
        <v>150</v>
      </c>
      <c r="E15" t="s">
        <v>472</v>
      </c>
      <c r="F15">
        <v>2014</v>
      </c>
      <c r="G15" s="10" t="s">
        <v>127</v>
      </c>
      <c r="H15" t="s">
        <v>128</v>
      </c>
      <c r="I15">
        <v>1</v>
      </c>
      <c r="J15" s="94" t="s">
        <v>129</v>
      </c>
      <c r="K15" s="94" t="s">
        <v>73</v>
      </c>
      <c r="L15" s="94">
        <v>222</v>
      </c>
      <c r="M15" s="94" t="s">
        <v>120</v>
      </c>
      <c r="N15" t="s">
        <v>316</v>
      </c>
      <c r="O15" t="s">
        <v>131</v>
      </c>
      <c r="P15" t="s">
        <v>218</v>
      </c>
      <c r="Q15" t="s">
        <v>227</v>
      </c>
      <c r="R15" t="s">
        <v>247</v>
      </c>
      <c r="S15">
        <v>0</v>
      </c>
      <c r="T15" t="s">
        <v>189</v>
      </c>
      <c r="U15">
        <v>0</v>
      </c>
      <c r="V15" s="94" t="s">
        <v>221</v>
      </c>
      <c r="W15" s="94" t="s">
        <v>221</v>
      </c>
      <c r="X15" s="94" t="s">
        <v>73</v>
      </c>
      <c r="Y15">
        <v>0</v>
      </c>
      <c r="Z15">
        <v>0</v>
      </c>
      <c r="AA15">
        <v>0</v>
      </c>
      <c r="AB15">
        <v>1</v>
      </c>
      <c r="AC15">
        <v>0</v>
      </c>
      <c r="AD15">
        <v>0</v>
      </c>
      <c r="AE15">
        <v>0</v>
      </c>
      <c r="AF15">
        <v>0</v>
      </c>
      <c r="AG15" t="s">
        <v>73</v>
      </c>
      <c r="AH15">
        <v>0</v>
      </c>
      <c r="AI15">
        <v>0</v>
      </c>
      <c r="AJ15">
        <v>0</v>
      </c>
      <c r="AK15">
        <v>0</v>
      </c>
      <c r="AL15">
        <v>0</v>
      </c>
      <c r="AM15">
        <v>0</v>
      </c>
      <c r="AN15">
        <v>0</v>
      </c>
      <c r="AO15">
        <v>1</v>
      </c>
      <c r="AP15" s="10">
        <v>0</v>
      </c>
      <c r="AQ15" t="s">
        <v>473</v>
      </c>
      <c r="AR15" t="s">
        <v>295</v>
      </c>
      <c r="AS15" s="94" t="s">
        <v>130</v>
      </c>
      <c r="AT15" t="s">
        <v>73</v>
      </c>
      <c r="AU15" s="110">
        <v>1.4</v>
      </c>
      <c r="AV15" s="95" t="s">
        <v>80</v>
      </c>
      <c r="AW15" s="94">
        <v>1.2</v>
      </c>
      <c r="AX15" s="94">
        <v>0.1</v>
      </c>
      <c r="AY15" s="112">
        <v>2</v>
      </c>
      <c r="AZ15" s="94">
        <f t="shared" ref="AZ15:AZ31" si="5">AU15/AW15</f>
        <v>1.1666666666666667</v>
      </c>
      <c r="BA15" s="111" t="s">
        <v>73</v>
      </c>
      <c r="BB15" s="111"/>
      <c r="BC15" s="94" t="s">
        <v>73</v>
      </c>
      <c r="BD15" s="94" t="s">
        <v>73</v>
      </c>
      <c r="BE15" s="94" t="s">
        <v>73</v>
      </c>
      <c r="BF15" s="94" t="s">
        <v>73</v>
      </c>
      <c r="BG15" s="94" t="s">
        <v>73</v>
      </c>
      <c r="BH15" s="94" t="s">
        <v>73</v>
      </c>
      <c r="BI15" s="94">
        <v>957080</v>
      </c>
      <c r="BJ15" s="94">
        <v>957080</v>
      </c>
      <c r="BK15" s="94" t="s">
        <v>73</v>
      </c>
      <c r="BL15" s="94" t="s">
        <v>73</v>
      </c>
      <c r="BM15" t="s">
        <v>474</v>
      </c>
      <c r="BN15" t="s">
        <v>73</v>
      </c>
      <c r="BO15" t="s">
        <v>230</v>
      </c>
      <c r="BP15" t="s">
        <v>73</v>
      </c>
      <c r="BQ15" t="s">
        <v>73</v>
      </c>
      <c r="BR15" t="s">
        <v>73</v>
      </c>
      <c r="BS15" t="s">
        <v>73</v>
      </c>
      <c r="BT15" t="s">
        <v>73</v>
      </c>
      <c r="BU15">
        <v>1</v>
      </c>
      <c r="BV15">
        <v>0</v>
      </c>
      <c r="BW15">
        <v>1</v>
      </c>
      <c r="BX15" s="30">
        <f t="shared" ref="BX15:BX35" si="6">((AZ15^2)/(AZ15^2+BI15))^(1/2)</f>
        <v>1.1925383671592018E-3</v>
      </c>
      <c r="BY15" s="30">
        <f t="shared" ref="BY15:BY35" si="7">0.5*LN((1+BX15)/(1-BX15))</f>
        <v>1.1925389324815921E-3</v>
      </c>
      <c r="BZ15" s="30">
        <f t="shared" ref="BZ15:BZ35" si="8">((1-(BY15^2)^2)/(BI15-1))</f>
        <v>1.0448458277717697E-6</v>
      </c>
      <c r="CA15" s="30">
        <f t="shared" ref="CA15:CA35" si="9">1/(BI15-3)</f>
        <v>1.0448480111840532E-6</v>
      </c>
    </row>
    <row r="16" spans="1:82" ht="16">
      <c r="A16" t="s">
        <v>68</v>
      </c>
      <c r="C16" s="94">
        <v>1295</v>
      </c>
      <c r="D16">
        <v>150</v>
      </c>
      <c r="E16" t="s">
        <v>472</v>
      </c>
      <c r="F16">
        <v>2014</v>
      </c>
      <c r="G16" s="10" t="s">
        <v>127</v>
      </c>
      <c r="H16" t="s">
        <v>128</v>
      </c>
      <c r="I16">
        <v>1</v>
      </c>
      <c r="J16" s="94" t="s">
        <v>129</v>
      </c>
      <c r="K16" s="94" t="s">
        <v>73</v>
      </c>
      <c r="L16" s="94">
        <v>222</v>
      </c>
      <c r="M16" s="94" t="s">
        <v>120</v>
      </c>
      <c r="N16" t="s">
        <v>316</v>
      </c>
      <c r="O16" t="s">
        <v>131</v>
      </c>
      <c r="P16" t="s">
        <v>218</v>
      </c>
      <c r="Q16" t="s">
        <v>227</v>
      </c>
      <c r="R16" t="s">
        <v>247</v>
      </c>
      <c r="S16">
        <v>0</v>
      </c>
      <c r="T16" t="s">
        <v>189</v>
      </c>
      <c r="U16">
        <v>0</v>
      </c>
      <c r="V16" s="94" t="s">
        <v>221</v>
      </c>
      <c r="W16" s="94" t="s">
        <v>221</v>
      </c>
      <c r="X16" s="94" t="s">
        <v>73</v>
      </c>
      <c r="Y16">
        <v>0</v>
      </c>
      <c r="Z16">
        <v>0</v>
      </c>
      <c r="AA16">
        <v>0</v>
      </c>
      <c r="AB16">
        <v>1</v>
      </c>
      <c r="AC16">
        <v>0</v>
      </c>
      <c r="AD16">
        <v>0</v>
      </c>
      <c r="AE16">
        <v>0</v>
      </c>
      <c r="AF16">
        <v>0</v>
      </c>
      <c r="AG16" t="s">
        <v>73</v>
      </c>
      <c r="AH16">
        <v>0</v>
      </c>
      <c r="AI16">
        <v>0</v>
      </c>
      <c r="AJ16">
        <v>0</v>
      </c>
      <c r="AK16">
        <v>0</v>
      </c>
      <c r="AL16">
        <v>0</v>
      </c>
      <c r="AM16">
        <v>0</v>
      </c>
      <c r="AN16">
        <v>0</v>
      </c>
      <c r="AO16">
        <v>1</v>
      </c>
      <c r="AP16" s="10">
        <v>0</v>
      </c>
      <c r="AQ16" t="s">
        <v>473</v>
      </c>
      <c r="AR16" t="s">
        <v>295</v>
      </c>
      <c r="AS16" s="94" t="s">
        <v>130</v>
      </c>
      <c r="AT16" t="s">
        <v>73</v>
      </c>
      <c r="AU16" s="110">
        <v>1.2</v>
      </c>
      <c r="AV16" s="95" t="s">
        <v>80</v>
      </c>
      <c r="AW16" s="94">
        <v>1.3</v>
      </c>
      <c r="AX16" s="94">
        <v>0.1</v>
      </c>
      <c r="AY16" s="112">
        <v>2</v>
      </c>
      <c r="AZ16" s="94">
        <f t="shared" si="5"/>
        <v>0.92307692307692302</v>
      </c>
      <c r="BA16" s="111" t="s">
        <v>73</v>
      </c>
      <c r="BB16" s="111"/>
      <c r="BC16" s="94" t="s">
        <v>73</v>
      </c>
      <c r="BD16" s="94" t="s">
        <v>73</v>
      </c>
      <c r="BE16" s="94" t="s">
        <v>73</v>
      </c>
      <c r="BF16" s="94" t="s">
        <v>73</v>
      </c>
      <c r="BG16" s="94" t="s">
        <v>73</v>
      </c>
      <c r="BH16" s="94" t="s">
        <v>73</v>
      </c>
      <c r="BI16" s="94">
        <v>957080</v>
      </c>
      <c r="BJ16" s="94">
        <v>957080</v>
      </c>
      <c r="BK16" s="94" t="s">
        <v>73</v>
      </c>
      <c r="BL16" s="94" t="s">
        <v>73</v>
      </c>
      <c r="BM16" t="s">
        <v>474</v>
      </c>
      <c r="BN16" t="s">
        <v>73</v>
      </c>
      <c r="BO16" t="s">
        <v>230</v>
      </c>
      <c r="BP16" t="s">
        <v>73</v>
      </c>
      <c r="BQ16" t="s">
        <v>73</v>
      </c>
      <c r="BR16" t="s">
        <v>73</v>
      </c>
      <c r="BS16" t="s">
        <v>73</v>
      </c>
      <c r="BT16" t="s">
        <v>73</v>
      </c>
      <c r="BU16">
        <v>1</v>
      </c>
      <c r="BV16">
        <v>0</v>
      </c>
      <c r="BW16">
        <v>1</v>
      </c>
      <c r="BX16" s="30">
        <f t="shared" si="6"/>
        <v>9.4354709087100688E-4</v>
      </c>
      <c r="BY16" s="30">
        <f t="shared" si="7"/>
        <v>9.4354737087855463E-4</v>
      </c>
      <c r="BZ16" s="30">
        <f t="shared" si="8"/>
        <v>1.0448458277730546E-6</v>
      </c>
      <c r="CA16" s="30">
        <f t="shared" si="9"/>
        <v>1.0448480111840532E-6</v>
      </c>
    </row>
    <row r="17" spans="1:82" ht="16">
      <c r="A17" s="11" t="s">
        <v>68</v>
      </c>
      <c r="B17" s="11"/>
      <c r="C17" s="11">
        <v>1035</v>
      </c>
      <c r="D17" s="11">
        <v>107</v>
      </c>
      <c r="E17" s="10" t="s">
        <v>289</v>
      </c>
      <c r="F17" s="11">
        <v>2020</v>
      </c>
      <c r="G17" t="s">
        <v>290</v>
      </c>
      <c r="H17" s="22" t="s">
        <v>291</v>
      </c>
      <c r="I17" s="18">
        <v>1</v>
      </c>
      <c r="J17" t="s">
        <v>292</v>
      </c>
      <c r="K17" s="10" t="s">
        <v>73</v>
      </c>
      <c r="L17" s="10">
        <v>5</v>
      </c>
      <c r="M17" t="s">
        <v>293</v>
      </c>
      <c r="N17" t="s">
        <v>263</v>
      </c>
      <c r="O17" t="s">
        <v>96</v>
      </c>
      <c r="P17" s="18" t="s">
        <v>226</v>
      </c>
      <c r="Q17" t="s">
        <v>227</v>
      </c>
      <c r="R17" t="s">
        <v>228</v>
      </c>
      <c r="S17">
        <v>1</v>
      </c>
      <c r="T17" t="s">
        <v>220</v>
      </c>
      <c r="U17">
        <v>0</v>
      </c>
      <c r="V17" s="18" t="s">
        <v>221</v>
      </c>
      <c r="W17" s="18" t="s">
        <v>221</v>
      </c>
      <c r="X17" s="18" t="s">
        <v>73</v>
      </c>
      <c r="Y17">
        <v>0</v>
      </c>
      <c r="Z17">
        <v>0</v>
      </c>
      <c r="AA17">
        <v>1</v>
      </c>
      <c r="AB17">
        <v>0</v>
      </c>
      <c r="AC17">
        <v>0</v>
      </c>
      <c r="AD17">
        <v>0</v>
      </c>
      <c r="AE17">
        <v>0</v>
      </c>
      <c r="AF17">
        <v>0</v>
      </c>
      <c r="AG17" t="s">
        <v>294</v>
      </c>
      <c r="AH17">
        <v>0</v>
      </c>
      <c r="AI17">
        <v>0</v>
      </c>
      <c r="AJ17">
        <v>0</v>
      </c>
      <c r="AK17">
        <v>0</v>
      </c>
      <c r="AL17">
        <v>0</v>
      </c>
      <c r="AM17">
        <v>0</v>
      </c>
      <c r="AN17">
        <v>0</v>
      </c>
      <c r="AO17">
        <v>1</v>
      </c>
      <c r="AP17">
        <v>0</v>
      </c>
      <c r="AQ17" t="s">
        <v>73</v>
      </c>
      <c r="AR17" t="s">
        <v>295</v>
      </c>
      <c r="AS17" t="s">
        <v>296</v>
      </c>
      <c r="AT17" t="s">
        <v>248</v>
      </c>
      <c r="AU17" s="21">
        <v>5.8000000000000003E-2</v>
      </c>
      <c r="AV17" s="7" t="s">
        <v>86</v>
      </c>
      <c r="AW17">
        <v>2.1000000000000001E-2</v>
      </c>
      <c r="AX17">
        <v>0.01</v>
      </c>
      <c r="AY17">
        <v>1</v>
      </c>
      <c r="AZ17">
        <f t="shared" si="5"/>
        <v>2.7619047619047619</v>
      </c>
      <c r="BA17" s="102">
        <f t="shared" ref="BA17:BA28" si="10">EXP(AU17) - 1</f>
        <v>5.9714995710287599E-2</v>
      </c>
      <c r="BB17" s="102"/>
      <c r="BC17" t="s">
        <v>73</v>
      </c>
      <c r="BD17">
        <v>378</v>
      </c>
      <c r="BE17" t="s">
        <v>73</v>
      </c>
      <c r="BF17" t="s">
        <v>73</v>
      </c>
      <c r="BG17" s="18">
        <v>193</v>
      </c>
      <c r="BH17" t="s">
        <v>73</v>
      </c>
      <c r="BI17" s="10">
        <v>571</v>
      </c>
      <c r="BJ17" s="10">
        <v>25685</v>
      </c>
      <c r="BK17" t="s">
        <v>73</v>
      </c>
      <c r="BL17" t="s">
        <v>73</v>
      </c>
      <c r="BM17" t="s">
        <v>73</v>
      </c>
      <c r="BN17" t="s">
        <v>73</v>
      </c>
      <c r="BO17" t="s">
        <v>73</v>
      </c>
      <c r="BP17" t="s">
        <v>73</v>
      </c>
      <c r="BQ17" t="s">
        <v>73</v>
      </c>
      <c r="BR17" t="s">
        <v>73</v>
      </c>
      <c r="BS17" t="s">
        <v>73</v>
      </c>
      <c r="BT17" t="s">
        <v>73</v>
      </c>
      <c r="BU17" s="18">
        <v>1</v>
      </c>
      <c r="BV17" s="18">
        <v>0</v>
      </c>
      <c r="BW17" s="18">
        <v>1</v>
      </c>
      <c r="BX17" s="30">
        <f t="shared" si="6"/>
        <v>0.11481772350402021</v>
      </c>
      <c r="BY17" s="30">
        <f t="shared" si="7"/>
        <v>0.11532630395472614</v>
      </c>
      <c r="BZ17" s="30">
        <f t="shared" si="8"/>
        <v>1.754075624280991E-3</v>
      </c>
      <c r="CA17" s="30">
        <f t="shared" si="9"/>
        <v>1.7605633802816902E-3</v>
      </c>
    </row>
    <row r="18" spans="1:82" s="107" customFormat="1" ht="16">
      <c r="A18" s="11" t="s">
        <v>68</v>
      </c>
      <c r="B18" s="11"/>
      <c r="C18" s="11">
        <v>1036</v>
      </c>
      <c r="D18" s="11">
        <v>107</v>
      </c>
      <c r="E18" s="10" t="s">
        <v>289</v>
      </c>
      <c r="F18" s="11">
        <v>2020</v>
      </c>
      <c r="G18" t="s">
        <v>290</v>
      </c>
      <c r="H18" s="22" t="s">
        <v>291</v>
      </c>
      <c r="I18" s="18">
        <v>1</v>
      </c>
      <c r="J18" t="s">
        <v>292</v>
      </c>
      <c r="K18" s="10" t="s">
        <v>73</v>
      </c>
      <c r="L18" s="10">
        <v>5</v>
      </c>
      <c r="M18" t="s">
        <v>293</v>
      </c>
      <c r="N18" t="s">
        <v>263</v>
      </c>
      <c r="O18" t="s">
        <v>96</v>
      </c>
      <c r="P18" s="18" t="s">
        <v>226</v>
      </c>
      <c r="Q18" t="s">
        <v>227</v>
      </c>
      <c r="R18" t="s">
        <v>228</v>
      </c>
      <c r="S18">
        <v>1</v>
      </c>
      <c r="T18" t="s">
        <v>220</v>
      </c>
      <c r="U18">
        <v>0</v>
      </c>
      <c r="V18" s="18" t="s">
        <v>221</v>
      </c>
      <c r="W18" s="18" t="s">
        <v>221</v>
      </c>
      <c r="X18" s="18" t="s">
        <v>73</v>
      </c>
      <c r="Y18">
        <v>0</v>
      </c>
      <c r="Z18">
        <v>0</v>
      </c>
      <c r="AA18">
        <v>1</v>
      </c>
      <c r="AB18">
        <v>0</v>
      </c>
      <c r="AC18">
        <v>0</v>
      </c>
      <c r="AD18">
        <v>0</v>
      </c>
      <c r="AE18">
        <v>0</v>
      </c>
      <c r="AF18">
        <v>0</v>
      </c>
      <c r="AG18" t="s">
        <v>294</v>
      </c>
      <c r="AH18">
        <v>0</v>
      </c>
      <c r="AI18">
        <v>0</v>
      </c>
      <c r="AJ18">
        <v>0</v>
      </c>
      <c r="AK18">
        <v>0</v>
      </c>
      <c r="AL18">
        <v>0</v>
      </c>
      <c r="AM18">
        <v>0</v>
      </c>
      <c r="AN18">
        <v>0</v>
      </c>
      <c r="AO18">
        <v>1</v>
      </c>
      <c r="AP18">
        <v>0</v>
      </c>
      <c r="AQ18" t="s">
        <v>73</v>
      </c>
      <c r="AR18" t="s">
        <v>295</v>
      </c>
      <c r="AS18" t="s">
        <v>296</v>
      </c>
      <c r="AT18" t="s">
        <v>248</v>
      </c>
      <c r="AU18" s="21">
        <v>5.3999999999999999E-2</v>
      </c>
      <c r="AV18" s="7" t="s">
        <v>86</v>
      </c>
      <c r="AW18">
        <v>2.1000000000000001E-2</v>
      </c>
      <c r="AX18">
        <v>0.05</v>
      </c>
      <c r="AY18">
        <v>1</v>
      </c>
      <c r="AZ18">
        <f t="shared" si="5"/>
        <v>2.5714285714285712</v>
      </c>
      <c r="BA18" s="102">
        <f t="shared" si="10"/>
        <v>5.5484602155080109E-2</v>
      </c>
      <c r="BB18" s="102"/>
      <c r="BC18" t="s">
        <v>73</v>
      </c>
      <c r="BD18">
        <v>378</v>
      </c>
      <c r="BE18" t="s">
        <v>73</v>
      </c>
      <c r="BF18" t="s">
        <v>73</v>
      </c>
      <c r="BG18" s="18">
        <v>193</v>
      </c>
      <c r="BH18" t="s">
        <v>73</v>
      </c>
      <c r="BI18" s="10">
        <v>571</v>
      </c>
      <c r="BJ18" s="10">
        <v>25685</v>
      </c>
      <c r="BK18" t="s">
        <v>73</v>
      </c>
      <c r="BL18" t="s">
        <v>73</v>
      </c>
      <c r="BM18" t="s">
        <v>73</v>
      </c>
      <c r="BN18" t="s">
        <v>73</v>
      </c>
      <c r="BO18" t="s">
        <v>73</v>
      </c>
      <c r="BP18" t="s">
        <v>73</v>
      </c>
      <c r="BQ18" t="s">
        <v>73</v>
      </c>
      <c r="BR18" t="s">
        <v>73</v>
      </c>
      <c r="BS18" t="s">
        <v>73</v>
      </c>
      <c r="BT18" t="s">
        <v>73</v>
      </c>
      <c r="BU18" s="18">
        <v>1</v>
      </c>
      <c r="BV18" s="18">
        <v>0</v>
      </c>
      <c r="BW18" s="18">
        <v>1</v>
      </c>
      <c r="BX18" s="30">
        <f t="shared" si="6"/>
        <v>0.10699322282140411</v>
      </c>
      <c r="BY18" s="30">
        <f t="shared" si="7"/>
        <v>0.10740432025194586</v>
      </c>
      <c r="BZ18" s="30">
        <f t="shared" si="8"/>
        <v>1.7541525050915158E-3</v>
      </c>
      <c r="CA18" s="30">
        <f t="shared" si="9"/>
        <v>1.7605633802816902E-3</v>
      </c>
      <c r="CB18"/>
      <c r="CC18"/>
      <c r="CD18"/>
    </row>
    <row r="19" spans="1:82" s="107" customFormat="1" ht="17" customHeight="1">
      <c r="A19" s="11" t="s">
        <v>68</v>
      </c>
      <c r="B19" s="11"/>
      <c r="C19" s="11">
        <v>1037</v>
      </c>
      <c r="D19" s="11">
        <v>107</v>
      </c>
      <c r="E19" s="10" t="s">
        <v>289</v>
      </c>
      <c r="F19" s="11">
        <v>2020</v>
      </c>
      <c r="G19" t="s">
        <v>290</v>
      </c>
      <c r="H19" s="22" t="s">
        <v>291</v>
      </c>
      <c r="I19" s="18">
        <v>1</v>
      </c>
      <c r="J19" t="s">
        <v>292</v>
      </c>
      <c r="K19" s="10" t="s">
        <v>73</v>
      </c>
      <c r="L19" s="10">
        <v>5</v>
      </c>
      <c r="M19" t="s">
        <v>293</v>
      </c>
      <c r="N19" t="s">
        <v>263</v>
      </c>
      <c r="O19" t="s">
        <v>96</v>
      </c>
      <c r="P19" s="18" t="s">
        <v>226</v>
      </c>
      <c r="Q19" t="s">
        <v>227</v>
      </c>
      <c r="R19" t="s">
        <v>228</v>
      </c>
      <c r="S19">
        <v>1</v>
      </c>
      <c r="T19" t="s">
        <v>220</v>
      </c>
      <c r="U19">
        <v>0</v>
      </c>
      <c r="V19" s="18" t="s">
        <v>221</v>
      </c>
      <c r="W19" s="18" t="s">
        <v>221</v>
      </c>
      <c r="X19" s="18" t="s">
        <v>73</v>
      </c>
      <c r="Y19">
        <v>0</v>
      </c>
      <c r="Z19">
        <v>0</v>
      </c>
      <c r="AA19">
        <v>1</v>
      </c>
      <c r="AB19">
        <v>0</v>
      </c>
      <c r="AC19">
        <v>0</v>
      </c>
      <c r="AD19">
        <v>0</v>
      </c>
      <c r="AE19">
        <v>0</v>
      </c>
      <c r="AF19">
        <v>0</v>
      </c>
      <c r="AG19" t="s">
        <v>294</v>
      </c>
      <c r="AH19">
        <v>0</v>
      </c>
      <c r="AI19">
        <v>0</v>
      </c>
      <c r="AJ19">
        <v>0</v>
      </c>
      <c r="AK19">
        <v>0</v>
      </c>
      <c r="AL19">
        <v>0</v>
      </c>
      <c r="AM19">
        <v>0</v>
      </c>
      <c r="AN19">
        <v>0</v>
      </c>
      <c r="AO19">
        <v>1</v>
      </c>
      <c r="AP19">
        <v>0</v>
      </c>
      <c r="AQ19" t="s">
        <v>73</v>
      </c>
      <c r="AR19" t="s">
        <v>295</v>
      </c>
      <c r="AS19" t="s">
        <v>296</v>
      </c>
      <c r="AT19" t="s">
        <v>248</v>
      </c>
      <c r="AU19" s="21">
        <v>5.3999999999999999E-2</v>
      </c>
      <c r="AV19" s="7" t="s">
        <v>86</v>
      </c>
      <c r="AW19">
        <v>2.1000000000000001E-2</v>
      </c>
      <c r="AX19">
        <v>0.01</v>
      </c>
      <c r="AY19">
        <v>1</v>
      </c>
      <c r="AZ19">
        <f t="shared" si="5"/>
        <v>2.5714285714285712</v>
      </c>
      <c r="BA19" s="102">
        <f t="shared" si="10"/>
        <v>5.5484602155080109E-2</v>
      </c>
      <c r="BB19" s="102"/>
      <c r="BC19" t="s">
        <v>73</v>
      </c>
      <c r="BD19">
        <v>378</v>
      </c>
      <c r="BE19" t="s">
        <v>73</v>
      </c>
      <c r="BF19" t="s">
        <v>73</v>
      </c>
      <c r="BG19" s="18">
        <v>193</v>
      </c>
      <c r="BH19" t="s">
        <v>73</v>
      </c>
      <c r="BI19" s="10">
        <v>571</v>
      </c>
      <c r="BJ19" s="10">
        <v>25685</v>
      </c>
      <c r="BK19" t="s">
        <v>73</v>
      </c>
      <c r="BL19" t="s">
        <v>73</v>
      </c>
      <c r="BM19" t="s">
        <v>73</v>
      </c>
      <c r="BN19" t="s">
        <v>73</v>
      </c>
      <c r="BO19" t="s">
        <v>73</v>
      </c>
      <c r="BP19" t="s">
        <v>73</v>
      </c>
      <c r="BQ19" t="s">
        <v>73</v>
      </c>
      <c r="BR19" t="s">
        <v>73</v>
      </c>
      <c r="BS19" t="s">
        <v>73</v>
      </c>
      <c r="BT19" t="s">
        <v>73</v>
      </c>
      <c r="BU19" s="18">
        <v>1</v>
      </c>
      <c r="BV19" s="18">
        <v>0</v>
      </c>
      <c r="BW19" s="18">
        <v>1</v>
      </c>
      <c r="BX19" s="30">
        <f t="shared" si="6"/>
        <v>0.10699322282140411</v>
      </c>
      <c r="BY19" s="30">
        <f t="shared" si="7"/>
        <v>0.10740432025194586</v>
      </c>
      <c r="BZ19" s="30">
        <f t="shared" si="8"/>
        <v>1.7541525050915158E-3</v>
      </c>
      <c r="CA19" s="30">
        <f t="shared" si="9"/>
        <v>1.7605633802816902E-3</v>
      </c>
      <c r="CB19"/>
      <c r="CC19"/>
      <c r="CD19"/>
    </row>
    <row r="20" spans="1:82" s="107" customFormat="1" ht="16">
      <c r="A20" s="11" t="s">
        <v>68</v>
      </c>
      <c r="B20" s="11"/>
      <c r="C20" s="11">
        <v>1038</v>
      </c>
      <c r="D20" s="11">
        <v>107</v>
      </c>
      <c r="E20" s="10" t="s">
        <v>289</v>
      </c>
      <c r="F20" s="11">
        <v>2020</v>
      </c>
      <c r="G20" t="s">
        <v>290</v>
      </c>
      <c r="H20" s="22" t="s">
        <v>291</v>
      </c>
      <c r="I20" s="18">
        <v>1</v>
      </c>
      <c r="J20" t="s">
        <v>292</v>
      </c>
      <c r="K20" s="10" t="s">
        <v>73</v>
      </c>
      <c r="L20" s="10">
        <v>5</v>
      </c>
      <c r="M20" t="s">
        <v>297</v>
      </c>
      <c r="N20" t="s">
        <v>263</v>
      </c>
      <c r="O20" t="s">
        <v>96</v>
      </c>
      <c r="P20" s="18" t="s">
        <v>226</v>
      </c>
      <c r="Q20" t="s">
        <v>227</v>
      </c>
      <c r="R20" t="s">
        <v>228</v>
      </c>
      <c r="S20">
        <v>1</v>
      </c>
      <c r="T20" t="s">
        <v>220</v>
      </c>
      <c r="U20">
        <v>0</v>
      </c>
      <c r="V20" s="18" t="s">
        <v>221</v>
      </c>
      <c r="W20" s="18" t="s">
        <v>221</v>
      </c>
      <c r="X20" s="18" t="s">
        <v>73</v>
      </c>
      <c r="Y20">
        <v>0</v>
      </c>
      <c r="Z20">
        <v>0</v>
      </c>
      <c r="AA20">
        <v>1</v>
      </c>
      <c r="AB20">
        <v>0</v>
      </c>
      <c r="AC20">
        <v>0</v>
      </c>
      <c r="AD20">
        <v>0</v>
      </c>
      <c r="AE20">
        <v>0</v>
      </c>
      <c r="AF20">
        <v>0</v>
      </c>
      <c r="AG20" t="s">
        <v>294</v>
      </c>
      <c r="AH20">
        <v>0</v>
      </c>
      <c r="AI20">
        <v>0</v>
      </c>
      <c r="AJ20">
        <v>0</v>
      </c>
      <c r="AK20">
        <v>0</v>
      </c>
      <c r="AL20">
        <v>0</v>
      </c>
      <c r="AM20">
        <v>0</v>
      </c>
      <c r="AN20">
        <v>0</v>
      </c>
      <c r="AO20">
        <v>1</v>
      </c>
      <c r="AP20">
        <v>0</v>
      </c>
      <c r="AQ20" t="s">
        <v>73</v>
      </c>
      <c r="AR20" t="s">
        <v>295</v>
      </c>
      <c r="AS20" t="s">
        <v>296</v>
      </c>
      <c r="AT20" t="s">
        <v>248</v>
      </c>
      <c r="AU20" s="21">
        <v>5.1999999999999998E-2</v>
      </c>
      <c r="AV20" s="7" t="s">
        <v>86</v>
      </c>
      <c r="AW20">
        <v>2.1000000000000001E-2</v>
      </c>
      <c r="AX20">
        <v>0.05</v>
      </c>
      <c r="AY20">
        <v>1</v>
      </c>
      <c r="AZ20">
        <f t="shared" si="5"/>
        <v>2.4761904761904758</v>
      </c>
      <c r="BA20" s="102">
        <f t="shared" si="10"/>
        <v>5.3375742513364743E-2</v>
      </c>
      <c r="BB20" s="102"/>
      <c r="BC20" t="s">
        <v>73</v>
      </c>
      <c r="BD20">
        <v>378</v>
      </c>
      <c r="BE20" t="s">
        <v>73</v>
      </c>
      <c r="BF20" t="s">
        <v>73</v>
      </c>
      <c r="BG20" s="18">
        <v>193</v>
      </c>
      <c r="BH20" t="s">
        <v>73</v>
      </c>
      <c r="BI20" s="10">
        <v>571</v>
      </c>
      <c r="BJ20" s="10">
        <v>25685</v>
      </c>
      <c r="BK20" t="s">
        <v>73</v>
      </c>
      <c r="BL20" t="s">
        <v>73</v>
      </c>
      <c r="BM20" t="s">
        <v>73</v>
      </c>
      <c r="BN20" t="s">
        <v>73</v>
      </c>
      <c r="BO20" t="s">
        <v>73</v>
      </c>
      <c r="BP20" t="s">
        <v>73</v>
      </c>
      <c r="BQ20" t="s">
        <v>73</v>
      </c>
      <c r="BR20" t="s">
        <v>73</v>
      </c>
      <c r="BS20" t="s">
        <v>73</v>
      </c>
      <c r="BT20" t="s">
        <v>73</v>
      </c>
      <c r="BU20" s="18">
        <v>1</v>
      </c>
      <c r="BV20" s="18">
        <v>0</v>
      </c>
      <c r="BW20" s="18">
        <v>1</v>
      </c>
      <c r="BX20" s="30">
        <f t="shared" si="6"/>
        <v>0.10307341191556092</v>
      </c>
      <c r="BY20" s="30">
        <f t="shared" si="7"/>
        <v>0.10344077825830729</v>
      </c>
      <c r="BZ20" s="30">
        <f t="shared" si="8"/>
        <v>1.7541851054656437E-3</v>
      </c>
      <c r="CA20" s="30">
        <f t="shared" si="9"/>
        <v>1.7605633802816902E-3</v>
      </c>
      <c r="CB20"/>
      <c r="CC20"/>
      <c r="CD20"/>
    </row>
    <row r="21" spans="1:82" ht="16">
      <c r="A21" s="11" t="s">
        <v>68</v>
      </c>
      <c r="B21" s="11"/>
      <c r="C21" s="11">
        <v>1039</v>
      </c>
      <c r="D21" s="11">
        <v>107</v>
      </c>
      <c r="E21" s="10" t="s">
        <v>289</v>
      </c>
      <c r="F21" s="11">
        <v>2020</v>
      </c>
      <c r="G21" t="s">
        <v>290</v>
      </c>
      <c r="H21" s="22" t="s">
        <v>291</v>
      </c>
      <c r="I21" s="18">
        <v>1</v>
      </c>
      <c r="J21" t="s">
        <v>292</v>
      </c>
      <c r="K21" s="10" t="s">
        <v>73</v>
      </c>
      <c r="L21" s="10">
        <v>5</v>
      </c>
      <c r="M21" t="s">
        <v>297</v>
      </c>
      <c r="N21" t="s">
        <v>263</v>
      </c>
      <c r="O21" t="s">
        <v>96</v>
      </c>
      <c r="P21" s="18" t="s">
        <v>226</v>
      </c>
      <c r="Q21" t="s">
        <v>227</v>
      </c>
      <c r="R21" t="s">
        <v>228</v>
      </c>
      <c r="S21">
        <v>1</v>
      </c>
      <c r="T21" t="s">
        <v>220</v>
      </c>
      <c r="U21">
        <v>0</v>
      </c>
      <c r="V21" s="18" t="s">
        <v>221</v>
      </c>
      <c r="W21" s="18" t="s">
        <v>221</v>
      </c>
      <c r="X21" s="18" t="s">
        <v>73</v>
      </c>
      <c r="Y21">
        <v>0</v>
      </c>
      <c r="Z21">
        <v>0</v>
      </c>
      <c r="AA21">
        <v>1</v>
      </c>
      <c r="AB21">
        <v>0</v>
      </c>
      <c r="AC21">
        <v>0</v>
      </c>
      <c r="AD21">
        <v>0</v>
      </c>
      <c r="AE21">
        <v>0</v>
      </c>
      <c r="AF21">
        <v>0</v>
      </c>
      <c r="AG21" t="s">
        <v>294</v>
      </c>
      <c r="AH21">
        <v>0</v>
      </c>
      <c r="AI21">
        <v>0</v>
      </c>
      <c r="AJ21">
        <v>0</v>
      </c>
      <c r="AK21">
        <v>0</v>
      </c>
      <c r="AL21">
        <v>0</v>
      </c>
      <c r="AM21">
        <v>0</v>
      </c>
      <c r="AN21">
        <v>0</v>
      </c>
      <c r="AO21">
        <v>1</v>
      </c>
      <c r="AP21">
        <v>0</v>
      </c>
      <c r="AQ21" t="s">
        <v>73</v>
      </c>
      <c r="AR21" t="s">
        <v>295</v>
      </c>
      <c r="AS21" t="s">
        <v>296</v>
      </c>
      <c r="AT21" t="s">
        <v>248</v>
      </c>
      <c r="AU21" s="21">
        <v>5.6000000000000001E-2</v>
      </c>
      <c r="AV21" s="7" t="s">
        <v>86</v>
      </c>
      <c r="AW21">
        <v>2.1000000000000001E-2</v>
      </c>
      <c r="AX21">
        <v>0.01</v>
      </c>
      <c r="AY21">
        <v>1</v>
      </c>
      <c r="AZ21">
        <f t="shared" si="5"/>
        <v>2.6666666666666665</v>
      </c>
      <c r="BA21" s="102">
        <f t="shared" si="10"/>
        <v>5.7597683736611227E-2</v>
      </c>
      <c r="BB21" s="102"/>
      <c r="BC21" t="s">
        <v>73</v>
      </c>
      <c r="BD21">
        <v>378</v>
      </c>
      <c r="BE21" t="s">
        <v>73</v>
      </c>
      <c r="BF21" t="s">
        <v>73</v>
      </c>
      <c r="BG21" s="18">
        <v>193</v>
      </c>
      <c r="BH21" t="s">
        <v>73</v>
      </c>
      <c r="BI21" s="10">
        <v>571</v>
      </c>
      <c r="BJ21" s="10">
        <v>24920</v>
      </c>
      <c r="BK21" t="s">
        <v>73</v>
      </c>
      <c r="BL21" t="s">
        <v>73</v>
      </c>
      <c r="BM21" t="s">
        <v>73</v>
      </c>
      <c r="BN21" t="s">
        <v>73</v>
      </c>
      <c r="BO21" t="s">
        <v>73</v>
      </c>
      <c r="BP21" t="s">
        <v>73</v>
      </c>
      <c r="BQ21" t="s">
        <v>73</v>
      </c>
      <c r="BR21" t="s">
        <v>73</v>
      </c>
      <c r="BS21" t="s">
        <v>73</v>
      </c>
      <c r="BT21" t="s">
        <v>73</v>
      </c>
      <c r="BU21" s="18">
        <v>1</v>
      </c>
      <c r="BV21" s="18">
        <v>0</v>
      </c>
      <c r="BW21" s="18">
        <v>1</v>
      </c>
      <c r="BX21" s="30">
        <f t="shared" si="6"/>
        <v>0.1109080511509852</v>
      </c>
      <c r="BY21" s="30">
        <f t="shared" si="7"/>
        <v>0.11136618214120936</v>
      </c>
      <c r="BZ21" s="30">
        <f t="shared" si="8"/>
        <v>1.7541161049408759E-3</v>
      </c>
      <c r="CA21" s="30">
        <f t="shared" si="9"/>
        <v>1.7605633802816902E-3</v>
      </c>
    </row>
    <row r="22" spans="1:82" ht="16">
      <c r="A22" s="11" t="s">
        <v>68</v>
      </c>
      <c r="B22" s="11"/>
      <c r="C22" s="11">
        <v>1040</v>
      </c>
      <c r="D22" s="11">
        <v>107</v>
      </c>
      <c r="E22" s="10" t="s">
        <v>289</v>
      </c>
      <c r="F22" s="11">
        <v>2020</v>
      </c>
      <c r="G22" t="s">
        <v>290</v>
      </c>
      <c r="H22" s="22" t="s">
        <v>291</v>
      </c>
      <c r="I22" s="18">
        <v>1</v>
      </c>
      <c r="J22" t="s">
        <v>292</v>
      </c>
      <c r="K22" s="10" t="s">
        <v>73</v>
      </c>
      <c r="L22" s="10">
        <v>5</v>
      </c>
      <c r="M22" t="s">
        <v>297</v>
      </c>
      <c r="N22" t="s">
        <v>263</v>
      </c>
      <c r="O22" t="s">
        <v>96</v>
      </c>
      <c r="P22" s="18" t="s">
        <v>226</v>
      </c>
      <c r="Q22" t="s">
        <v>227</v>
      </c>
      <c r="R22" t="s">
        <v>228</v>
      </c>
      <c r="S22">
        <v>1</v>
      </c>
      <c r="T22" t="s">
        <v>220</v>
      </c>
      <c r="U22">
        <v>0</v>
      </c>
      <c r="V22" s="18" t="s">
        <v>221</v>
      </c>
      <c r="W22" s="18" t="s">
        <v>221</v>
      </c>
      <c r="X22" s="18" t="s">
        <v>73</v>
      </c>
      <c r="Y22">
        <v>0</v>
      </c>
      <c r="Z22">
        <v>0</v>
      </c>
      <c r="AA22">
        <v>1</v>
      </c>
      <c r="AB22">
        <v>0</v>
      </c>
      <c r="AC22">
        <v>0</v>
      </c>
      <c r="AD22">
        <v>0</v>
      </c>
      <c r="AE22">
        <v>0</v>
      </c>
      <c r="AF22">
        <v>0</v>
      </c>
      <c r="AG22" t="s">
        <v>294</v>
      </c>
      <c r="AH22">
        <v>0</v>
      </c>
      <c r="AI22">
        <v>0</v>
      </c>
      <c r="AJ22">
        <v>0</v>
      </c>
      <c r="AK22">
        <v>0</v>
      </c>
      <c r="AL22">
        <v>0</v>
      </c>
      <c r="AM22">
        <v>0</v>
      </c>
      <c r="AN22">
        <v>0</v>
      </c>
      <c r="AO22">
        <v>1</v>
      </c>
      <c r="AP22">
        <v>0</v>
      </c>
      <c r="AQ22" t="s">
        <v>73</v>
      </c>
      <c r="AR22" t="s">
        <v>295</v>
      </c>
      <c r="AS22" t="s">
        <v>296</v>
      </c>
      <c r="AT22" t="s">
        <v>248</v>
      </c>
      <c r="AU22" s="21">
        <v>4.4999999999999998E-2</v>
      </c>
      <c r="AV22" s="7" t="s">
        <v>86</v>
      </c>
      <c r="AW22">
        <v>2.1999999999999999E-2</v>
      </c>
      <c r="AX22">
        <v>0.05</v>
      </c>
      <c r="AY22">
        <v>1</v>
      </c>
      <c r="AZ22">
        <f t="shared" si="5"/>
        <v>2.0454545454545454</v>
      </c>
      <c r="BA22" s="102">
        <f t="shared" si="10"/>
        <v>4.6027859908716939E-2</v>
      </c>
      <c r="BB22" s="102"/>
      <c r="BC22" t="s">
        <v>73</v>
      </c>
      <c r="BD22">
        <v>378</v>
      </c>
      <c r="BE22" t="s">
        <v>73</v>
      </c>
      <c r="BF22" t="s">
        <v>73</v>
      </c>
      <c r="BG22" s="18">
        <v>193</v>
      </c>
      <c r="BH22" t="s">
        <v>73</v>
      </c>
      <c r="BI22" s="10">
        <v>571</v>
      </c>
      <c r="BJ22" s="10">
        <v>22626</v>
      </c>
      <c r="BK22" t="s">
        <v>73</v>
      </c>
      <c r="BL22" t="s">
        <v>73</v>
      </c>
      <c r="BM22" t="s">
        <v>73</v>
      </c>
      <c r="BN22" t="s">
        <v>73</v>
      </c>
      <c r="BO22" t="s">
        <v>73</v>
      </c>
      <c r="BP22" t="s">
        <v>73</v>
      </c>
      <c r="BQ22" t="s">
        <v>73</v>
      </c>
      <c r="BR22" t="s">
        <v>73</v>
      </c>
      <c r="BS22" t="s">
        <v>73</v>
      </c>
      <c r="BT22" t="s">
        <v>73</v>
      </c>
      <c r="BU22" s="18">
        <v>1</v>
      </c>
      <c r="BV22" s="18">
        <v>0</v>
      </c>
      <c r="BW22" s="18">
        <v>1</v>
      </c>
      <c r="BX22" s="30">
        <f t="shared" si="6"/>
        <v>8.5287714841797826E-2</v>
      </c>
      <c r="BY22" s="30">
        <f t="shared" si="7"/>
        <v>8.5495416206607486E-2</v>
      </c>
      <c r="BZ22" s="30">
        <f t="shared" si="8"/>
        <v>1.7542922310596193E-3</v>
      </c>
      <c r="CA22" s="30">
        <f t="shared" si="9"/>
        <v>1.7605633802816902E-3</v>
      </c>
    </row>
    <row r="23" spans="1:82" ht="16">
      <c r="A23" s="11" t="s">
        <v>68</v>
      </c>
      <c r="B23" s="11"/>
      <c r="C23" s="11">
        <v>1041</v>
      </c>
      <c r="D23" s="11">
        <v>107</v>
      </c>
      <c r="E23" s="10" t="s">
        <v>289</v>
      </c>
      <c r="F23" s="11">
        <v>2020</v>
      </c>
      <c r="G23" t="s">
        <v>290</v>
      </c>
      <c r="H23" s="22" t="s">
        <v>291</v>
      </c>
      <c r="I23" s="18">
        <v>1</v>
      </c>
      <c r="J23" t="s">
        <v>292</v>
      </c>
      <c r="K23" s="10" t="s">
        <v>73</v>
      </c>
      <c r="L23" s="10">
        <v>6</v>
      </c>
      <c r="M23" t="s">
        <v>293</v>
      </c>
      <c r="N23" t="s">
        <v>263</v>
      </c>
      <c r="O23" t="s">
        <v>96</v>
      </c>
      <c r="P23" s="18" t="s">
        <v>226</v>
      </c>
      <c r="Q23" t="s">
        <v>227</v>
      </c>
      <c r="R23" t="s">
        <v>228</v>
      </c>
      <c r="S23">
        <v>1</v>
      </c>
      <c r="T23" t="s">
        <v>220</v>
      </c>
      <c r="U23">
        <v>0</v>
      </c>
      <c r="V23" s="18" t="s">
        <v>221</v>
      </c>
      <c r="W23" s="18" t="s">
        <v>221</v>
      </c>
      <c r="X23" s="18" t="s">
        <v>73</v>
      </c>
      <c r="Y23">
        <v>0</v>
      </c>
      <c r="Z23">
        <v>0</v>
      </c>
      <c r="AA23">
        <v>1</v>
      </c>
      <c r="AB23">
        <v>0</v>
      </c>
      <c r="AC23">
        <v>0</v>
      </c>
      <c r="AD23">
        <v>0</v>
      </c>
      <c r="AE23">
        <v>0</v>
      </c>
      <c r="AF23">
        <v>0</v>
      </c>
      <c r="AG23" t="s">
        <v>294</v>
      </c>
      <c r="AH23">
        <v>0</v>
      </c>
      <c r="AI23">
        <v>0</v>
      </c>
      <c r="AJ23">
        <v>0</v>
      </c>
      <c r="AK23">
        <v>0</v>
      </c>
      <c r="AL23">
        <v>0</v>
      </c>
      <c r="AM23">
        <v>0</v>
      </c>
      <c r="AN23">
        <v>0</v>
      </c>
      <c r="AO23">
        <v>1</v>
      </c>
      <c r="AP23">
        <v>0</v>
      </c>
      <c r="AQ23" t="s">
        <v>73</v>
      </c>
      <c r="AR23" t="s">
        <v>295</v>
      </c>
      <c r="AS23" t="s">
        <v>296</v>
      </c>
      <c r="AT23" t="s">
        <v>248</v>
      </c>
      <c r="AU23" s="21">
        <v>5.7000000000000002E-2</v>
      </c>
      <c r="AV23" s="7" t="s">
        <v>86</v>
      </c>
      <c r="AW23">
        <v>2.9000000000000001E-2</v>
      </c>
      <c r="AX23">
        <v>0.01</v>
      </c>
      <c r="AY23">
        <v>1</v>
      </c>
      <c r="AZ23">
        <f t="shared" si="5"/>
        <v>1.9655172413793103</v>
      </c>
      <c r="BA23" s="102">
        <f t="shared" si="10"/>
        <v>5.8655810395500163E-2</v>
      </c>
      <c r="BB23" s="102"/>
      <c r="BC23" t="s">
        <v>73</v>
      </c>
      <c r="BD23">
        <v>378</v>
      </c>
      <c r="BE23" t="s">
        <v>73</v>
      </c>
      <c r="BF23" t="s">
        <v>73</v>
      </c>
      <c r="BG23" s="18">
        <v>193</v>
      </c>
      <c r="BH23" t="s">
        <v>73</v>
      </c>
      <c r="BI23" s="10">
        <v>571</v>
      </c>
      <c r="BJ23" s="10">
        <v>25685</v>
      </c>
      <c r="BK23" t="s">
        <v>73</v>
      </c>
      <c r="BL23" t="s">
        <v>73</v>
      </c>
      <c r="BM23" t="s">
        <v>73</v>
      </c>
      <c r="BN23" t="s">
        <v>73</v>
      </c>
      <c r="BO23" t="s">
        <v>73</v>
      </c>
      <c r="BP23" t="s">
        <v>73</v>
      </c>
      <c r="BQ23" t="s">
        <v>73</v>
      </c>
      <c r="BR23" t="s">
        <v>73</v>
      </c>
      <c r="BS23" t="s">
        <v>73</v>
      </c>
      <c r="BT23" t="s">
        <v>73</v>
      </c>
      <c r="BU23" s="18">
        <v>1</v>
      </c>
      <c r="BV23" s="18">
        <v>0</v>
      </c>
      <c r="BW23" s="18">
        <v>1</v>
      </c>
      <c r="BX23" s="30">
        <f t="shared" si="6"/>
        <v>8.1977483380554009E-2</v>
      </c>
      <c r="BY23" s="30">
        <f t="shared" si="7"/>
        <v>8.2161865388990771E-2</v>
      </c>
      <c r="BZ23" s="30">
        <f t="shared" si="8"/>
        <v>1.7543060171508703E-3</v>
      </c>
      <c r="CA23" s="30">
        <f t="shared" si="9"/>
        <v>1.7605633802816902E-3</v>
      </c>
    </row>
    <row r="24" spans="1:82" ht="16">
      <c r="A24" s="11" t="s">
        <v>68</v>
      </c>
      <c r="B24" s="11"/>
      <c r="C24" s="11">
        <v>1042</v>
      </c>
      <c r="D24" s="11">
        <v>107</v>
      </c>
      <c r="E24" s="10" t="s">
        <v>289</v>
      </c>
      <c r="F24" s="11">
        <v>2020</v>
      </c>
      <c r="G24" t="s">
        <v>290</v>
      </c>
      <c r="H24" s="22" t="s">
        <v>291</v>
      </c>
      <c r="I24" s="18">
        <v>1</v>
      </c>
      <c r="J24" t="s">
        <v>292</v>
      </c>
      <c r="K24" s="10" t="s">
        <v>73</v>
      </c>
      <c r="L24" s="10">
        <v>6</v>
      </c>
      <c r="M24" t="s">
        <v>293</v>
      </c>
      <c r="N24" t="s">
        <v>263</v>
      </c>
      <c r="O24" t="s">
        <v>96</v>
      </c>
      <c r="P24" s="18" t="s">
        <v>226</v>
      </c>
      <c r="Q24" t="s">
        <v>227</v>
      </c>
      <c r="R24" t="s">
        <v>228</v>
      </c>
      <c r="S24">
        <v>1</v>
      </c>
      <c r="T24" t="s">
        <v>220</v>
      </c>
      <c r="U24">
        <v>0</v>
      </c>
      <c r="V24" s="18" t="s">
        <v>221</v>
      </c>
      <c r="W24" s="18" t="s">
        <v>221</v>
      </c>
      <c r="X24" s="18" t="s">
        <v>73</v>
      </c>
      <c r="Y24">
        <v>0</v>
      </c>
      <c r="Z24">
        <v>0</v>
      </c>
      <c r="AA24">
        <v>1</v>
      </c>
      <c r="AB24">
        <v>0</v>
      </c>
      <c r="AC24">
        <v>0</v>
      </c>
      <c r="AD24">
        <v>0</v>
      </c>
      <c r="AE24">
        <v>0</v>
      </c>
      <c r="AF24">
        <v>0</v>
      </c>
      <c r="AG24" t="s">
        <v>294</v>
      </c>
      <c r="AH24">
        <v>0</v>
      </c>
      <c r="AI24">
        <v>0</v>
      </c>
      <c r="AJ24">
        <v>0</v>
      </c>
      <c r="AK24">
        <v>0</v>
      </c>
      <c r="AL24">
        <v>0</v>
      </c>
      <c r="AM24">
        <v>0</v>
      </c>
      <c r="AN24">
        <v>0</v>
      </c>
      <c r="AO24">
        <v>1</v>
      </c>
      <c r="AP24">
        <v>0</v>
      </c>
      <c r="AQ24" t="s">
        <v>73</v>
      </c>
      <c r="AR24" t="s">
        <v>295</v>
      </c>
      <c r="AS24" t="s">
        <v>296</v>
      </c>
      <c r="AT24" t="s">
        <v>248</v>
      </c>
      <c r="AU24" s="21">
        <v>6.4000000000000001E-2</v>
      </c>
      <c r="AV24" s="7" t="s">
        <v>86</v>
      </c>
      <c r="AW24">
        <v>2.1000000000000001E-2</v>
      </c>
      <c r="AX24">
        <v>0.05</v>
      </c>
      <c r="AY24">
        <v>1</v>
      </c>
      <c r="AZ24">
        <f t="shared" si="5"/>
        <v>3.0476190476190474</v>
      </c>
      <c r="BA24" s="102">
        <f t="shared" si="10"/>
        <v>6.6092398761505189E-2</v>
      </c>
      <c r="BB24" s="102"/>
      <c r="BC24" t="s">
        <v>73</v>
      </c>
      <c r="BD24">
        <v>378</v>
      </c>
      <c r="BE24" t="s">
        <v>73</v>
      </c>
      <c r="BF24" t="s">
        <v>73</v>
      </c>
      <c r="BG24" s="18">
        <v>193</v>
      </c>
      <c r="BH24" t="s">
        <v>73</v>
      </c>
      <c r="BI24" s="10">
        <v>571</v>
      </c>
      <c r="BJ24" s="10">
        <v>25685</v>
      </c>
      <c r="BK24" t="s">
        <v>73</v>
      </c>
      <c r="BL24" t="s">
        <v>73</v>
      </c>
      <c r="BM24" t="s">
        <v>73</v>
      </c>
      <c r="BN24" t="s">
        <v>73</v>
      </c>
      <c r="BO24" t="s">
        <v>73</v>
      </c>
      <c r="BP24" t="s">
        <v>73</v>
      </c>
      <c r="BQ24" t="s">
        <v>73</v>
      </c>
      <c r="BR24" t="s">
        <v>73</v>
      </c>
      <c r="BS24" t="s">
        <v>73</v>
      </c>
      <c r="BT24" t="s">
        <v>73</v>
      </c>
      <c r="BU24" s="18">
        <v>1</v>
      </c>
      <c r="BV24" s="18">
        <v>0</v>
      </c>
      <c r="BW24" s="18">
        <v>1</v>
      </c>
      <c r="BX24" s="30">
        <f t="shared" si="6"/>
        <v>0.12651408859229724</v>
      </c>
      <c r="BY24" s="30">
        <f t="shared" si="7"/>
        <v>0.12719563288286462</v>
      </c>
      <c r="BZ24" s="30">
        <f t="shared" si="8"/>
        <v>1.7539267521528995E-3</v>
      </c>
      <c r="CA24" s="30">
        <f t="shared" si="9"/>
        <v>1.7605633802816902E-3</v>
      </c>
    </row>
    <row r="25" spans="1:82" ht="14.25" customHeight="1">
      <c r="A25" s="11" t="s">
        <v>68</v>
      </c>
      <c r="B25" s="11"/>
      <c r="C25" s="11">
        <v>1043</v>
      </c>
      <c r="D25" s="11">
        <v>107</v>
      </c>
      <c r="E25" s="10" t="s">
        <v>289</v>
      </c>
      <c r="F25" s="11">
        <v>2020</v>
      </c>
      <c r="G25" t="s">
        <v>290</v>
      </c>
      <c r="H25" s="22" t="s">
        <v>291</v>
      </c>
      <c r="I25" s="18">
        <v>1</v>
      </c>
      <c r="J25" t="s">
        <v>292</v>
      </c>
      <c r="K25" s="10" t="s">
        <v>73</v>
      </c>
      <c r="L25" s="10">
        <v>6</v>
      </c>
      <c r="M25" t="s">
        <v>297</v>
      </c>
      <c r="N25" t="s">
        <v>263</v>
      </c>
      <c r="O25" t="s">
        <v>96</v>
      </c>
      <c r="P25" s="18" t="s">
        <v>226</v>
      </c>
      <c r="Q25" t="s">
        <v>227</v>
      </c>
      <c r="R25" t="s">
        <v>228</v>
      </c>
      <c r="S25">
        <v>1</v>
      </c>
      <c r="T25" t="s">
        <v>220</v>
      </c>
      <c r="U25">
        <v>0</v>
      </c>
      <c r="V25" s="18" t="s">
        <v>221</v>
      </c>
      <c r="W25" s="18" t="s">
        <v>221</v>
      </c>
      <c r="X25" s="18" t="s">
        <v>73</v>
      </c>
      <c r="Y25">
        <v>0</v>
      </c>
      <c r="Z25">
        <v>0</v>
      </c>
      <c r="AA25">
        <v>1</v>
      </c>
      <c r="AB25">
        <v>0</v>
      </c>
      <c r="AC25">
        <v>0</v>
      </c>
      <c r="AD25">
        <v>0</v>
      </c>
      <c r="AE25">
        <v>0</v>
      </c>
      <c r="AF25">
        <v>0</v>
      </c>
      <c r="AG25" t="s">
        <v>294</v>
      </c>
      <c r="AH25">
        <v>0</v>
      </c>
      <c r="AI25">
        <v>0</v>
      </c>
      <c r="AJ25">
        <v>0</v>
      </c>
      <c r="AK25">
        <v>0</v>
      </c>
      <c r="AL25">
        <v>0</v>
      </c>
      <c r="AM25">
        <v>0</v>
      </c>
      <c r="AN25">
        <v>0</v>
      </c>
      <c r="AO25">
        <v>1</v>
      </c>
      <c r="AP25">
        <v>0</v>
      </c>
      <c r="AQ25" t="s">
        <v>73</v>
      </c>
      <c r="AR25" t="s">
        <v>295</v>
      </c>
      <c r="AS25" t="s">
        <v>296</v>
      </c>
      <c r="AT25" t="s">
        <v>248</v>
      </c>
      <c r="AU25" s="21">
        <v>6.5000000000000002E-2</v>
      </c>
      <c r="AV25" s="7" t="s">
        <v>86</v>
      </c>
      <c r="AW25">
        <v>2.1000000000000001E-2</v>
      </c>
      <c r="AX25">
        <v>0.01</v>
      </c>
      <c r="AY25">
        <v>1</v>
      </c>
      <c r="AZ25">
        <f t="shared" si="5"/>
        <v>3.0952380952380953</v>
      </c>
      <c r="BA25" s="102">
        <f t="shared" si="10"/>
        <v>6.7159024384192634E-2</v>
      </c>
      <c r="BB25" s="102"/>
      <c r="BC25" t="s">
        <v>73</v>
      </c>
      <c r="BD25">
        <v>378</v>
      </c>
      <c r="BE25" t="s">
        <v>73</v>
      </c>
      <c r="BF25" t="s">
        <v>73</v>
      </c>
      <c r="BG25" s="18">
        <v>193</v>
      </c>
      <c r="BH25" t="s">
        <v>73</v>
      </c>
      <c r="BI25" s="10">
        <v>571</v>
      </c>
      <c r="BJ25" s="10">
        <v>24920</v>
      </c>
      <c r="BK25" t="s">
        <v>73</v>
      </c>
      <c r="BL25" t="s">
        <v>73</v>
      </c>
      <c r="BM25" t="s">
        <v>73</v>
      </c>
      <c r="BN25" t="s">
        <v>73</v>
      </c>
      <c r="BO25" t="s">
        <v>73</v>
      </c>
      <c r="BP25" t="s">
        <v>73</v>
      </c>
      <c r="BQ25" t="s">
        <v>73</v>
      </c>
      <c r="BR25" t="s">
        <v>73</v>
      </c>
      <c r="BS25" t="s">
        <v>73</v>
      </c>
      <c r="BT25" t="s">
        <v>73</v>
      </c>
      <c r="BU25" s="18">
        <v>1</v>
      </c>
      <c r="BV25" s="18">
        <v>0</v>
      </c>
      <c r="BW25" s="18">
        <v>1</v>
      </c>
      <c r="BX25" s="30">
        <f t="shared" si="6"/>
        <v>0.12845849802371542</v>
      </c>
      <c r="BY25" s="30">
        <f t="shared" si="7"/>
        <v>0.12917216710458213</v>
      </c>
      <c r="BZ25" s="30">
        <f t="shared" si="8"/>
        <v>1.7538975364909846E-3</v>
      </c>
      <c r="CA25" s="30">
        <f t="shared" si="9"/>
        <v>1.7605633802816902E-3</v>
      </c>
    </row>
    <row r="26" spans="1:82" ht="16">
      <c r="A26" s="11" t="s">
        <v>68</v>
      </c>
      <c r="B26" s="11"/>
      <c r="C26" s="11">
        <v>1044</v>
      </c>
      <c r="D26" s="11">
        <v>107</v>
      </c>
      <c r="E26" s="10" t="s">
        <v>289</v>
      </c>
      <c r="F26" s="11">
        <v>2020</v>
      </c>
      <c r="G26" t="s">
        <v>290</v>
      </c>
      <c r="H26" s="22" t="s">
        <v>291</v>
      </c>
      <c r="I26" s="18">
        <v>1</v>
      </c>
      <c r="J26" t="s">
        <v>292</v>
      </c>
      <c r="K26" s="10" t="s">
        <v>73</v>
      </c>
      <c r="L26" s="10">
        <v>6</v>
      </c>
      <c r="M26" t="s">
        <v>298</v>
      </c>
      <c r="N26" t="s">
        <v>263</v>
      </c>
      <c r="O26" t="s">
        <v>96</v>
      </c>
      <c r="P26" s="18" t="s">
        <v>226</v>
      </c>
      <c r="Q26" t="s">
        <v>227</v>
      </c>
      <c r="R26" t="s">
        <v>228</v>
      </c>
      <c r="S26">
        <v>1</v>
      </c>
      <c r="T26" t="s">
        <v>220</v>
      </c>
      <c r="U26">
        <v>0</v>
      </c>
      <c r="V26" s="18" t="s">
        <v>221</v>
      </c>
      <c r="W26" s="18" t="s">
        <v>221</v>
      </c>
      <c r="X26" s="18" t="s">
        <v>73</v>
      </c>
      <c r="Y26">
        <v>0</v>
      </c>
      <c r="Z26">
        <v>0</v>
      </c>
      <c r="AA26">
        <v>1</v>
      </c>
      <c r="AB26">
        <v>0</v>
      </c>
      <c r="AC26">
        <v>0</v>
      </c>
      <c r="AD26">
        <v>0</v>
      </c>
      <c r="AE26">
        <v>0</v>
      </c>
      <c r="AF26">
        <v>0</v>
      </c>
      <c r="AG26" t="s">
        <v>294</v>
      </c>
      <c r="AH26">
        <v>0</v>
      </c>
      <c r="AI26">
        <v>0</v>
      </c>
      <c r="AJ26">
        <v>0</v>
      </c>
      <c r="AK26">
        <v>0</v>
      </c>
      <c r="AL26">
        <v>0</v>
      </c>
      <c r="AM26">
        <v>0</v>
      </c>
      <c r="AN26">
        <v>0</v>
      </c>
      <c r="AO26">
        <v>1</v>
      </c>
      <c r="AP26">
        <v>0</v>
      </c>
      <c r="AQ26" t="s">
        <v>73</v>
      </c>
      <c r="AR26" t="s">
        <v>295</v>
      </c>
      <c r="AS26" t="s">
        <v>296</v>
      </c>
      <c r="AT26" t="s">
        <v>248</v>
      </c>
      <c r="AU26" s="21">
        <v>7.8E-2</v>
      </c>
      <c r="AV26" s="7" t="s">
        <v>86</v>
      </c>
      <c r="AW26">
        <v>2.1999999999999999E-2</v>
      </c>
      <c r="AX26">
        <v>0.01</v>
      </c>
      <c r="AY26">
        <v>1</v>
      </c>
      <c r="AZ26">
        <f t="shared" si="5"/>
        <v>3.5454545454545459</v>
      </c>
      <c r="BA26" s="102">
        <f t="shared" si="10"/>
        <v>8.1122658670083059E-2</v>
      </c>
      <c r="BB26" s="102"/>
      <c r="BC26" t="s">
        <v>73</v>
      </c>
      <c r="BD26">
        <v>378</v>
      </c>
      <c r="BE26" t="s">
        <v>73</v>
      </c>
      <c r="BF26" t="s">
        <v>73</v>
      </c>
      <c r="BG26" s="18">
        <v>193</v>
      </c>
      <c r="BH26" t="s">
        <v>73</v>
      </c>
      <c r="BI26" s="10">
        <v>571</v>
      </c>
      <c r="BJ26" s="10">
        <v>20600</v>
      </c>
      <c r="BK26" t="s">
        <v>73</v>
      </c>
      <c r="BL26" t="s">
        <v>73</v>
      </c>
      <c r="BM26" t="s">
        <v>73</v>
      </c>
      <c r="BN26" t="s">
        <v>73</v>
      </c>
      <c r="BO26" t="s">
        <v>73</v>
      </c>
      <c r="BP26" t="s">
        <v>73</v>
      </c>
      <c r="BQ26" t="s">
        <v>73</v>
      </c>
      <c r="BR26" t="s">
        <v>73</v>
      </c>
      <c r="BS26" t="s">
        <v>73</v>
      </c>
      <c r="BT26" t="s">
        <v>73</v>
      </c>
      <c r="BU26" s="18">
        <v>1</v>
      </c>
      <c r="BV26" s="18">
        <v>0</v>
      </c>
      <c r="BW26" s="18">
        <v>1</v>
      </c>
      <c r="BX26" s="30">
        <f t="shared" si="6"/>
        <v>0.14676596375341069</v>
      </c>
      <c r="BY26" s="30">
        <f t="shared" si="7"/>
        <v>0.14783358799274471</v>
      </c>
      <c r="BZ26" s="30">
        <f t="shared" si="8"/>
        <v>1.753548015859059E-3</v>
      </c>
      <c r="CA26" s="30">
        <f t="shared" si="9"/>
        <v>1.7605633802816902E-3</v>
      </c>
    </row>
    <row r="27" spans="1:82" ht="16">
      <c r="A27" s="11" t="s">
        <v>68</v>
      </c>
      <c r="B27" s="11"/>
      <c r="C27" s="11">
        <v>1045</v>
      </c>
      <c r="D27" s="11">
        <v>107</v>
      </c>
      <c r="E27" s="10" t="s">
        <v>289</v>
      </c>
      <c r="F27" s="11">
        <v>2020</v>
      </c>
      <c r="G27" t="s">
        <v>290</v>
      </c>
      <c r="H27" s="22" t="s">
        <v>291</v>
      </c>
      <c r="I27" s="18">
        <v>1</v>
      </c>
      <c r="J27" t="s">
        <v>292</v>
      </c>
      <c r="K27" s="10" t="s">
        <v>73</v>
      </c>
      <c r="L27" s="10">
        <v>7</v>
      </c>
      <c r="M27" t="s">
        <v>298</v>
      </c>
      <c r="N27" t="s">
        <v>263</v>
      </c>
      <c r="O27" t="s">
        <v>96</v>
      </c>
      <c r="P27" s="18" t="s">
        <v>226</v>
      </c>
      <c r="Q27" t="s">
        <v>227</v>
      </c>
      <c r="R27" t="s">
        <v>228</v>
      </c>
      <c r="S27">
        <v>1</v>
      </c>
      <c r="T27" t="s">
        <v>220</v>
      </c>
      <c r="U27">
        <v>0</v>
      </c>
      <c r="V27" s="18" t="s">
        <v>221</v>
      </c>
      <c r="W27" s="18" t="s">
        <v>221</v>
      </c>
      <c r="X27" s="18" t="s">
        <v>73</v>
      </c>
      <c r="Y27">
        <v>0</v>
      </c>
      <c r="Z27">
        <v>0</v>
      </c>
      <c r="AA27">
        <v>1</v>
      </c>
      <c r="AB27">
        <v>0</v>
      </c>
      <c r="AC27">
        <v>0</v>
      </c>
      <c r="AD27">
        <v>0</v>
      </c>
      <c r="AE27">
        <v>0</v>
      </c>
      <c r="AF27">
        <v>0</v>
      </c>
      <c r="AG27" t="s">
        <v>294</v>
      </c>
      <c r="AH27">
        <v>0</v>
      </c>
      <c r="AI27">
        <v>0</v>
      </c>
      <c r="AJ27">
        <v>0</v>
      </c>
      <c r="AK27">
        <v>0</v>
      </c>
      <c r="AL27">
        <v>0</v>
      </c>
      <c r="AM27">
        <v>0</v>
      </c>
      <c r="AN27">
        <v>0</v>
      </c>
      <c r="AO27">
        <v>1</v>
      </c>
      <c r="AP27">
        <v>0</v>
      </c>
      <c r="AQ27" t="s">
        <v>73</v>
      </c>
      <c r="AR27" t="s">
        <v>295</v>
      </c>
      <c r="AS27" t="s">
        <v>296</v>
      </c>
      <c r="AT27" t="s">
        <v>248</v>
      </c>
      <c r="AU27" s="21">
        <v>7.8E-2</v>
      </c>
      <c r="AV27" s="7" t="s">
        <v>86</v>
      </c>
      <c r="AW27">
        <v>2.1999999999999999E-2</v>
      </c>
      <c r="AX27">
        <v>0.01</v>
      </c>
      <c r="AY27">
        <v>1</v>
      </c>
      <c r="AZ27">
        <f t="shared" si="5"/>
        <v>3.5454545454545459</v>
      </c>
      <c r="BA27" s="102">
        <f t="shared" si="10"/>
        <v>8.1122658670083059E-2</v>
      </c>
      <c r="BB27" s="102"/>
      <c r="BC27" t="s">
        <v>73</v>
      </c>
      <c r="BD27">
        <v>378</v>
      </c>
      <c r="BE27" t="s">
        <v>73</v>
      </c>
      <c r="BF27" t="s">
        <v>73</v>
      </c>
      <c r="BG27" s="18">
        <v>193</v>
      </c>
      <c r="BH27" t="s">
        <v>73</v>
      </c>
      <c r="BI27" s="10">
        <v>571</v>
      </c>
      <c r="BJ27" s="10">
        <v>20600</v>
      </c>
      <c r="BK27" t="s">
        <v>73</v>
      </c>
      <c r="BL27" t="s">
        <v>73</v>
      </c>
      <c r="BM27" t="s">
        <v>73</v>
      </c>
      <c r="BN27" t="s">
        <v>73</v>
      </c>
      <c r="BO27" t="s">
        <v>73</v>
      </c>
      <c r="BP27" t="s">
        <v>73</v>
      </c>
      <c r="BQ27" t="s">
        <v>73</v>
      </c>
      <c r="BR27" t="s">
        <v>73</v>
      </c>
      <c r="BS27" t="s">
        <v>73</v>
      </c>
      <c r="BT27" t="s">
        <v>73</v>
      </c>
      <c r="BU27" s="18">
        <v>1</v>
      </c>
      <c r="BV27" s="18">
        <v>0</v>
      </c>
      <c r="BW27" s="18">
        <v>1</v>
      </c>
      <c r="BX27" s="30">
        <f t="shared" si="6"/>
        <v>0.14676596375341069</v>
      </c>
      <c r="BY27" s="30">
        <f t="shared" si="7"/>
        <v>0.14783358799274471</v>
      </c>
      <c r="BZ27" s="30">
        <f t="shared" si="8"/>
        <v>1.753548015859059E-3</v>
      </c>
      <c r="CA27" s="30">
        <f t="shared" si="9"/>
        <v>1.7605633802816902E-3</v>
      </c>
    </row>
    <row r="28" spans="1:82" ht="16">
      <c r="A28" s="11" t="s">
        <v>68</v>
      </c>
      <c r="B28" s="11"/>
      <c r="C28" s="11">
        <v>1046</v>
      </c>
      <c r="D28" s="11">
        <v>107</v>
      </c>
      <c r="E28" s="10" t="s">
        <v>289</v>
      </c>
      <c r="F28" s="11">
        <v>2020</v>
      </c>
      <c r="G28" t="s">
        <v>290</v>
      </c>
      <c r="H28" s="22" t="s">
        <v>291</v>
      </c>
      <c r="I28" s="18">
        <v>1</v>
      </c>
      <c r="J28" t="s">
        <v>292</v>
      </c>
      <c r="K28" s="10" t="s">
        <v>73</v>
      </c>
      <c r="L28" s="10">
        <v>7</v>
      </c>
      <c r="M28" t="s">
        <v>298</v>
      </c>
      <c r="N28" t="s">
        <v>263</v>
      </c>
      <c r="O28" t="s">
        <v>96</v>
      </c>
      <c r="P28" s="18" t="s">
        <v>226</v>
      </c>
      <c r="Q28" t="s">
        <v>227</v>
      </c>
      <c r="R28" t="s">
        <v>228</v>
      </c>
      <c r="S28">
        <v>1</v>
      </c>
      <c r="T28" t="s">
        <v>220</v>
      </c>
      <c r="U28">
        <v>0</v>
      </c>
      <c r="V28" s="18" t="s">
        <v>221</v>
      </c>
      <c r="W28" s="18" t="s">
        <v>221</v>
      </c>
      <c r="X28" s="18" t="s">
        <v>73</v>
      </c>
      <c r="Y28">
        <v>0</v>
      </c>
      <c r="Z28">
        <v>0</v>
      </c>
      <c r="AA28">
        <v>1</v>
      </c>
      <c r="AB28">
        <v>0</v>
      </c>
      <c r="AC28">
        <v>0</v>
      </c>
      <c r="AD28">
        <v>0</v>
      </c>
      <c r="AE28">
        <v>0</v>
      </c>
      <c r="AF28">
        <v>0</v>
      </c>
      <c r="AG28" t="s">
        <v>294</v>
      </c>
      <c r="AH28">
        <v>0</v>
      </c>
      <c r="AI28">
        <v>0</v>
      </c>
      <c r="AJ28">
        <v>0</v>
      </c>
      <c r="AK28">
        <v>0</v>
      </c>
      <c r="AL28">
        <v>0</v>
      </c>
      <c r="AM28">
        <v>0</v>
      </c>
      <c r="AN28">
        <v>0</v>
      </c>
      <c r="AO28">
        <v>1</v>
      </c>
      <c r="AP28">
        <v>0</v>
      </c>
      <c r="AQ28" t="s">
        <v>73</v>
      </c>
      <c r="AR28" t="s">
        <v>295</v>
      </c>
      <c r="AS28" t="s">
        <v>296</v>
      </c>
      <c r="AT28" t="s">
        <v>248</v>
      </c>
      <c r="AU28" s="21">
        <v>6.9000000000000006E-2</v>
      </c>
      <c r="AV28" s="7" t="s">
        <v>86</v>
      </c>
      <c r="AW28">
        <v>2.5999999999999999E-2</v>
      </c>
      <c r="AX28">
        <v>0.01</v>
      </c>
      <c r="AY28">
        <v>1</v>
      </c>
      <c r="AZ28">
        <f t="shared" si="5"/>
        <v>2.6538461538461542</v>
      </c>
      <c r="BA28" s="102">
        <f t="shared" si="10"/>
        <v>7.1436209148346252E-2</v>
      </c>
      <c r="BB28" s="102"/>
      <c r="BC28" t="s">
        <v>73</v>
      </c>
      <c r="BD28">
        <v>378</v>
      </c>
      <c r="BE28" t="s">
        <v>73</v>
      </c>
      <c r="BF28" t="s">
        <v>73</v>
      </c>
      <c r="BG28" s="18">
        <v>193</v>
      </c>
      <c r="BH28" t="s">
        <v>73</v>
      </c>
      <c r="BI28" s="10">
        <v>571</v>
      </c>
      <c r="BJ28" s="10">
        <v>20600</v>
      </c>
      <c r="BK28" t="s">
        <v>73</v>
      </c>
      <c r="BL28" t="s">
        <v>73</v>
      </c>
      <c r="BM28" t="s">
        <v>73</v>
      </c>
      <c r="BN28" t="s">
        <v>73</v>
      </c>
      <c r="BO28" t="s">
        <v>73</v>
      </c>
      <c r="BP28" t="s">
        <v>73</v>
      </c>
      <c r="BQ28" t="s">
        <v>73</v>
      </c>
      <c r="BR28" t="s">
        <v>73</v>
      </c>
      <c r="BS28" t="s">
        <v>73</v>
      </c>
      <c r="BT28" t="s">
        <v>73</v>
      </c>
      <c r="BU28" s="18">
        <v>1</v>
      </c>
      <c r="BV28" s="18">
        <v>0</v>
      </c>
      <c r="BW28" s="18">
        <v>1</v>
      </c>
      <c r="BX28" s="30">
        <f t="shared" si="6"/>
        <v>0.11038135154213211</v>
      </c>
      <c r="BY28" s="30">
        <f t="shared" si="7"/>
        <v>0.11083295461476669</v>
      </c>
      <c r="BZ28" s="30">
        <f t="shared" si="8"/>
        <v>1.7541212363579208E-3</v>
      </c>
      <c r="CA28" s="30">
        <f t="shared" si="9"/>
        <v>1.7605633802816902E-3</v>
      </c>
    </row>
    <row r="29" spans="1:82" ht="16">
      <c r="A29" s="94" t="s">
        <v>68</v>
      </c>
      <c r="B29" s="94"/>
      <c r="C29" s="94">
        <v>1169</v>
      </c>
      <c r="D29" s="94">
        <v>140</v>
      </c>
      <c r="E29" s="94" t="s">
        <v>397</v>
      </c>
      <c r="F29" s="94">
        <v>2016</v>
      </c>
      <c r="G29" s="58" t="s">
        <v>398</v>
      </c>
      <c r="H29" s="94" t="s">
        <v>399</v>
      </c>
      <c r="I29" s="94">
        <v>1</v>
      </c>
      <c r="J29" s="94" t="s">
        <v>72</v>
      </c>
      <c r="K29" s="94" t="s">
        <v>73</v>
      </c>
      <c r="L29" s="94">
        <v>143</v>
      </c>
      <c r="M29" s="94" t="s">
        <v>120</v>
      </c>
      <c r="N29" s="94" t="s">
        <v>263</v>
      </c>
      <c r="O29" s="94" t="s">
        <v>124</v>
      </c>
      <c r="P29" s="94" t="s">
        <v>218</v>
      </c>
      <c r="Q29" s="94" t="s">
        <v>242</v>
      </c>
      <c r="R29" s="94" t="s">
        <v>233</v>
      </c>
      <c r="S29" s="94">
        <v>0</v>
      </c>
      <c r="T29" s="94" t="s">
        <v>220</v>
      </c>
      <c r="U29" s="94">
        <v>0</v>
      </c>
      <c r="V29" s="94" t="s">
        <v>238</v>
      </c>
      <c r="W29" s="94" t="s">
        <v>221</v>
      </c>
      <c r="X29" s="94" t="s">
        <v>400</v>
      </c>
      <c r="Y29" s="94">
        <v>0</v>
      </c>
      <c r="Z29" s="94">
        <v>0</v>
      </c>
      <c r="AA29" s="94">
        <v>0</v>
      </c>
      <c r="AB29" s="94">
        <v>0</v>
      </c>
      <c r="AC29" s="94">
        <v>0</v>
      </c>
      <c r="AD29" s="94">
        <v>0</v>
      </c>
      <c r="AE29" s="94">
        <v>0</v>
      </c>
      <c r="AF29" s="94">
        <v>1</v>
      </c>
      <c r="AG29" s="94" t="s">
        <v>401</v>
      </c>
      <c r="AH29" s="94">
        <v>0</v>
      </c>
      <c r="AI29" s="94">
        <v>0</v>
      </c>
      <c r="AJ29" s="94">
        <v>0</v>
      </c>
      <c r="AK29" s="94">
        <v>0</v>
      </c>
      <c r="AL29" s="94">
        <v>0</v>
      </c>
      <c r="AM29" s="94">
        <v>0</v>
      </c>
      <c r="AN29" s="94">
        <v>0</v>
      </c>
      <c r="AO29" s="94">
        <v>1</v>
      </c>
      <c r="AP29" s="94">
        <v>0</v>
      </c>
      <c r="AQ29" s="94" t="s">
        <v>402</v>
      </c>
      <c r="AR29" s="94" t="s">
        <v>295</v>
      </c>
      <c r="AS29" s="94" t="s">
        <v>403</v>
      </c>
      <c r="AT29" s="41" t="s">
        <v>248</v>
      </c>
      <c r="AU29" s="113">
        <v>3.8109999999999999</v>
      </c>
      <c r="AV29" s="95" t="s">
        <v>86</v>
      </c>
      <c r="AW29" s="94">
        <v>2.3719999999999999</v>
      </c>
      <c r="AX29" s="94">
        <v>0.1</v>
      </c>
      <c r="AY29" s="94">
        <v>2</v>
      </c>
      <c r="AZ29" s="94">
        <f t="shared" si="5"/>
        <v>1.6066610455311974</v>
      </c>
      <c r="BA29" s="114">
        <f>(EXP(AU29)-1)</f>
        <v>44.19561188793142</v>
      </c>
      <c r="BB29" s="114"/>
      <c r="BC29" s="94" t="s">
        <v>73</v>
      </c>
      <c r="BD29" s="94" t="s">
        <v>73</v>
      </c>
      <c r="BE29" s="94" t="s">
        <v>73</v>
      </c>
      <c r="BF29" s="94" t="s">
        <v>73</v>
      </c>
      <c r="BG29" s="94" t="s">
        <v>73</v>
      </c>
      <c r="BH29" s="94" t="s">
        <v>73</v>
      </c>
      <c r="BI29" s="115">
        <v>310</v>
      </c>
      <c r="BJ29" s="115">
        <v>310</v>
      </c>
      <c r="BK29" s="94" t="s">
        <v>73</v>
      </c>
      <c r="BL29" s="94" t="s">
        <v>73</v>
      </c>
      <c r="BM29" s="94" t="s">
        <v>73</v>
      </c>
      <c r="BN29" s="94" t="s">
        <v>73</v>
      </c>
      <c r="BO29" s="94" t="s">
        <v>73</v>
      </c>
      <c r="BP29" s="94" t="s">
        <v>73</v>
      </c>
      <c r="BQ29" s="94" t="s">
        <v>73</v>
      </c>
      <c r="BR29" s="94" t="s">
        <v>73</v>
      </c>
      <c r="BS29" s="94" t="s">
        <v>73</v>
      </c>
      <c r="BT29" s="94" t="s">
        <v>73</v>
      </c>
      <c r="BU29" s="94">
        <v>1</v>
      </c>
      <c r="BV29" s="94">
        <v>1</v>
      </c>
      <c r="BW29" s="94">
        <v>1</v>
      </c>
      <c r="BX29" s="30">
        <f t="shared" si="6"/>
        <v>9.0874644742587773E-2</v>
      </c>
      <c r="BY29" s="30">
        <f t="shared" si="7"/>
        <v>9.112604528874467E-2</v>
      </c>
      <c r="BZ29" s="30">
        <f t="shared" si="8"/>
        <v>3.2360227971281281E-3</v>
      </c>
      <c r="CA29" s="30">
        <f t="shared" si="9"/>
        <v>3.2573289902280132E-3</v>
      </c>
      <c r="CB29" s="94"/>
      <c r="CC29" s="94"/>
      <c r="CD29" s="94"/>
    </row>
    <row r="30" spans="1:82" ht="16">
      <c r="A30" s="94" t="s">
        <v>68</v>
      </c>
      <c r="B30" s="94"/>
      <c r="C30" s="94">
        <v>1170</v>
      </c>
      <c r="D30" s="94">
        <v>140</v>
      </c>
      <c r="E30" s="94" t="s">
        <v>397</v>
      </c>
      <c r="F30" s="94">
        <v>2016</v>
      </c>
      <c r="G30" s="58" t="s">
        <v>398</v>
      </c>
      <c r="H30" s="94" t="s">
        <v>399</v>
      </c>
      <c r="I30" s="94">
        <v>1</v>
      </c>
      <c r="J30" s="94" t="s">
        <v>72</v>
      </c>
      <c r="K30" s="94" t="s">
        <v>73</v>
      </c>
      <c r="L30" s="94">
        <v>143</v>
      </c>
      <c r="M30" s="94" t="s">
        <v>120</v>
      </c>
      <c r="N30" s="94" t="s">
        <v>263</v>
      </c>
      <c r="O30" s="94" t="s">
        <v>124</v>
      </c>
      <c r="P30" s="94" t="s">
        <v>218</v>
      </c>
      <c r="Q30" s="94" t="s">
        <v>242</v>
      </c>
      <c r="R30" s="94" t="s">
        <v>233</v>
      </c>
      <c r="S30" s="94">
        <v>0</v>
      </c>
      <c r="T30" s="94" t="s">
        <v>220</v>
      </c>
      <c r="U30" s="94">
        <v>0</v>
      </c>
      <c r="V30" s="94" t="s">
        <v>238</v>
      </c>
      <c r="W30" s="94" t="s">
        <v>221</v>
      </c>
      <c r="X30" s="94" t="s">
        <v>400</v>
      </c>
      <c r="Y30" s="94">
        <v>0</v>
      </c>
      <c r="Z30" s="94">
        <v>0</v>
      </c>
      <c r="AA30" s="94">
        <v>0</v>
      </c>
      <c r="AB30" s="94">
        <v>0</v>
      </c>
      <c r="AC30" s="94">
        <v>0</v>
      </c>
      <c r="AD30" s="94">
        <v>0</v>
      </c>
      <c r="AE30" s="94">
        <v>0</v>
      </c>
      <c r="AF30" s="94">
        <v>1</v>
      </c>
      <c r="AG30" s="94" t="s">
        <v>401</v>
      </c>
      <c r="AH30" s="94">
        <v>0</v>
      </c>
      <c r="AI30" s="94">
        <v>0</v>
      </c>
      <c r="AJ30" s="94">
        <v>0</v>
      </c>
      <c r="AK30" s="94">
        <v>0</v>
      </c>
      <c r="AL30" s="94">
        <v>0</v>
      </c>
      <c r="AM30" s="94">
        <v>0</v>
      </c>
      <c r="AN30" s="94">
        <v>0</v>
      </c>
      <c r="AO30" s="94">
        <v>1</v>
      </c>
      <c r="AP30" s="94">
        <v>0</v>
      </c>
      <c r="AQ30" s="94" t="s">
        <v>404</v>
      </c>
      <c r="AR30" s="94" t="s">
        <v>295</v>
      </c>
      <c r="AS30" t="s">
        <v>403</v>
      </c>
      <c r="AT30" s="41" t="s">
        <v>248</v>
      </c>
      <c r="AU30" s="113">
        <v>1.9039999999999999</v>
      </c>
      <c r="AV30" s="95" t="s">
        <v>86</v>
      </c>
      <c r="AW30" s="116">
        <v>2.82</v>
      </c>
      <c r="AX30" s="94">
        <v>0.1</v>
      </c>
      <c r="AY30" s="94">
        <v>2</v>
      </c>
      <c r="AZ30" s="94">
        <f t="shared" si="5"/>
        <v>0.67517730496453898</v>
      </c>
      <c r="BA30" s="114">
        <f>(EXP(AU30)-1)</f>
        <v>5.7126915785915049</v>
      </c>
      <c r="BB30" s="114"/>
      <c r="BC30" s="94" t="s">
        <v>73</v>
      </c>
      <c r="BD30" s="94" t="s">
        <v>73</v>
      </c>
      <c r="BE30" s="94" t="s">
        <v>73</v>
      </c>
      <c r="BF30" s="94" t="s">
        <v>73</v>
      </c>
      <c r="BG30" s="94" t="s">
        <v>73</v>
      </c>
      <c r="BH30" s="94" t="s">
        <v>73</v>
      </c>
      <c r="BI30" s="115">
        <v>310</v>
      </c>
      <c r="BJ30" s="115">
        <v>310</v>
      </c>
      <c r="BK30" s="94" t="s">
        <v>73</v>
      </c>
      <c r="BL30" s="94" t="s">
        <v>73</v>
      </c>
      <c r="BM30" s="94" t="s">
        <v>73</v>
      </c>
      <c r="BN30" s="94" t="s">
        <v>73</v>
      </c>
      <c r="BO30" s="94" t="s">
        <v>73</v>
      </c>
      <c r="BP30" s="94" t="s">
        <v>73</v>
      </c>
      <c r="BQ30" s="94" t="s">
        <v>73</v>
      </c>
      <c r="BR30" s="94" t="s">
        <v>73</v>
      </c>
      <c r="BS30" s="94" t="s">
        <v>73</v>
      </c>
      <c r="BT30" s="94" t="s">
        <v>73</v>
      </c>
      <c r="BU30" s="94">
        <v>1</v>
      </c>
      <c r="BV30" s="94">
        <v>1</v>
      </c>
      <c r="BW30" s="94">
        <v>1</v>
      </c>
      <c r="BX30" s="30">
        <f t="shared" si="6"/>
        <v>3.8319329539764628E-2</v>
      </c>
      <c r="BY30" s="30">
        <f t="shared" si="7"/>
        <v>3.8338101745567565E-2</v>
      </c>
      <c r="BZ30" s="30">
        <f t="shared" si="8"/>
        <v>3.2362389632958908E-3</v>
      </c>
      <c r="CA30" s="30">
        <f t="shared" si="9"/>
        <v>3.2573289902280132E-3</v>
      </c>
      <c r="CB30" s="94"/>
      <c r="CC30" s="94"/>
      <c r="CD30" s="94"/>
    </row>
    <row r="31" spans="1:82" ht="16">
      <c r="A31" s="94" t="s">
        <v>68</v>
      </c>
      <c r="B31" s="94"/>
      <c r="C31" s="94">
        <v>1171</v>
      </c>
      <c r="D31" s="94">
        <v>140</v>
      </c>
      <c r="E31" s="94" t="s">
        <v>397</v>
      </c>
      <c r="F31" s="94">
        <v>2016</v>
      </c>
      <c r="G31" s="58" t="s">
        <v>398</v>
      </c>
      <c r="H31" s="94" t="s">
        <v>399</v>
      </c>
      <c r="I31" s="94">
        <v>1</v>
      </c>
      <c r="J31" s="94" t="s">
        <v>72</v>
      </c>
      <c r="K31" s="94" t="s">
        <v>73</v>
      </c>
      <c r="L31" s="94">
        <v>143</v>
      </c>
      <c r="M31" s="94" t="s">
        <v>120</v>
      </c>
      <c r="N31" s="94" t="s">
        <v>263</v>
      </c>
      <c r="O31" s="94" t="s">
        <v>124</v>
      </c>
      <c r="P31" s="94" t="s">
        <v>218</v>
      </c>
      <c r="Q31" s="94" t="s">
        <v>242</v>
      </c>
      <c r="R31" s="94" t="s">
        <v>233</v>
      </c>
      <c r="S31" s="94">
        <v>0</v>
      </c>
      <c r="T31" s="94" t="s">
        <v>220</v>
      </c>
      <c r="U31" s="94">
        <v>0</v>
      </c>
      <c r="V31" s="94" t="s">
        <v>238</v>
      </c>
      <c r="W31" s="94" t="s">
        <v>221</v>
      </c>
      <c r="X31" s="94" t="s">
        <v>400</v>
      </c>
      <c r="Y31" s="94">
        <v>0</v>
      </c>
      <c r="Z31" s="94">
        <v>0</v>
      </c>
      <c r="AA31" s="94">
        <v>0</v>
      </c>
      <c r="AB31" s="94">
        <v>0</v>
      </c>
      <c r="AC31" s="94">
        <v>0</v>
      </c>
      <c r="AD31" s="94">
        <v>0</v>
      </c>
      <c r="AE31" s="94">
        <v>0</v>
      </c>
      <c r="AF31" s="94">
        <v>1</v>
      </c>
      <c r="AG31" s="94" t="s">
        <v>401</v>
      </c>
      <c r="AH31" s="94">
        <v>0</v>
      </c>
      <c r="AI31" s="94">
        <v>0</v>
      </c>
      <c r="AJ31" s="94">
        <v>0</v>
      </c>
      <c r="AK31" s="94">
        <v>0</v>
      </c>
      <c r="AL31" s="94">
        <v>0</v>
      </c>
      <c r="AM31" s="94">
        <v>0</v>
      </c>
      <c r="AN31" s="94">
        <v>0</v>
      </c>
      <c r="AO31" s="94">
        <v>1</v>
      </c>
      <c r="AP31" s="94">
        <v>0</v>
      </c>
      <c r="AQ31" s="94" t="s">
        <v>405</v>
      </c>
      <c r="AR31" s="94" t="s">
        <v>295</v>
      </c>
      <c r="AS31" t="s">
        <v>403</v>
      </c>
      <c r="AT31" s="41" t="s">
        <v>248</v>
      </c>
      <c r="AU31" s="113">
        <v>6.681</v>
      </c>
      <c r="AV31" s="95" t="s">
        <v>86</v>
      </c>
      <c r="AW31" s="94">
        <v>3.4260000000000002</v>
      </c>
      <c r="AX31" s="94">
        <v>0.1</v>
      </c>
      <c r="AY31" s="94">
        <v>1</v>
      </c>
      <c r="AZ31" s="94">
        <f t="shared" si="5"/>
        <v>1.9500875656742556</v>
      </c>
      <c r="BA31" s="114">
        <f>(EXP(AU31)-1)</f>
        <v>796.11582942023051</v>
      </c>
      <c r="BB31" s="114"/>
      <c r="BC31" s="94" t="s">
        <v>73</v>
      </c>
      <c r="BD31" s="94" t="s">
        <v>73</v>
      </c>
      <c r="BE31" s="94" t="s">
        <v>73</v>
      </c>
      <c r="BF31" s="94" t="s">
        <v>73</v>
      </c>
      <c r="BG31" s="94" t="s">
        <v>73</v>
      </c>
      <c r="BH31" s="94" t="s">
        <v>73</v>
      </c>
      <c r="BI31" s="115">
        <v>310</v>
      </c>
      <c r="BJ31" s="115">
        <v>310</v>
      </c>
      <c r="BK31" s="94" t="s">
        <v>73</v>
      </c>
      <c r="BL31" s="94" t="s">
        <v>73</v>
      </c>
      <c r="BM31" s="94" t="s">
        <v>73</v>
      </c>
      <c r="BN31" s="94" t="s">
        <v>73</v>
      </c>
      <c r="BO31" s="94" t="s">
        <v>73</v>
      </c>
      <c r="BP31" s="94" t="s">
        <v>73</v>
      </c>
      <c r="BQ31" s="94" t="s">
        <v>73</v>
      </c>
      <c r="BR31" s="94" t="s">
        <v>73</v>
      </c>
      <c r="BS31" s="94" t="s">
        <v>73</v>
      </c>
      <c r="BT31" s="94" t="s">
        <v>73</v>
      </c>
      <c r="BU31" s="94">
        <v>1</v>
      </c>
      <c r="BV31" s="94">
        <v>1</v>
      </c>
      <c r="BW31" s="94">
        <v>1</v>
      </c>
      <c r="BX31" s="30">
        <f t="shared" si="6"/>
        <v>0.11008437401907406</v>
      </c>
      <c r="BY31" s="30">
        <f t="shared" si="7"/>
        <v>0.11053232404190938</v>
      </c>
      <c r="BZ31" s="30">
        <f t="shared" si="8"/>
        <v>3.235762897306693E-3</v>
      </c>
      <c r="CA31" s="30">
        <f t="shared" si="9"/>
        <v>3.2573289902280132E-3</v>
      </c>
      <c r="CB31" s="94"/>
      <c r="CC31" s="94"/>
      <c r="CD31" s="94"/>
    </row>
    <row r="32" spans="1:82" ht="16">
      <c r="A32" s="11" t="s">
        <v>68</v>
      </c>
      <c r="B32" s="11"/>
      <c r="C32" s="100">
        <v>1163</v>
      </c>
      <c r="D32" s="101">
        <v>138</v>
      </c>
      <c r="E32" t="s">
        <v>383</v>
      </c>
      <c r="F32" s="100">
        <v>1988</v>
      </c>
      <c r="G32" t="s">
        <v>384</v>
      </c>
      <c r="H32" t="s">
        <v>385</v>
      </c>
      <c r="I32" s="101">
        <v>1</v>
      </c>
      <c r="J32">
        <v>1985</v>
      </c>
      <c r="K32" s="100" t="s">
        <v>73</v>
      </c>
      <c r="L32">
        <v>178</v>
      </c>
      <c r="M32" t="s">
        <v>93</v>
      </c>
      <c r="N32" t="s">
        <v>241</v>
      </c>
      <c r="O32" t="s">
        <v>81</v>
      </c>
      <c r="P32" t="s">
        <v>218</v>
      </c>
      <c r="Q32" t="s">
        <v>227</v>
      </c>
      <c r="R32" s="32" t="s">
        <v>247</v>
      </c>
      <c r="S32">
        <v>0</v>
      </c>
      <c r="T32" t="s">
        <v>189</v>
      </c>
      <c r="U32">
        <v>0</v>
      </c>
      <c r="V32" s="100" t="s">
        <v>221</v>
      </c>
      <c r="W32" s="100" t="s">
        <v>221</v>
      </c>
      <c r="X32" s="100" t="s">
        <v>73</v>
      </c>
      <c r="Y32" s="101">
        <v>0</v>
      </c>
      <c r="Z32" s="101">
        <v>0</v>
      </c>
      <c r="AA32" s="101">
        <v>0</v>
      </c>
      <c r="AB32" s="101">
        <v>1</v>
      </c>
      <c r="AC32" s="101">
        <v>0</v>
      </c>
      <c r="AD32" s="101">
        <v>0</v>
      </c>
      <c r="AE32" s="101">
        <v>0</v>
      </c>
      <c r="AF32" s="101">
        <v>1</v>
      </c>
      <c r="AG32" s="101" t="s">
        <v>386</v>
      </c>
      <c r="AH32" s="101">
        <v>0</v>
      </c>
      <c r="AI32" s="101">
        <v>0</v>
      </c>
      <c r="AJ32" s="101">
        <v>0</v>
      </c>
      <c r="AK32" s="101">
        <v>0</v>
      </c>
      <c r="AL32" s="101">
        <v>0</v>
      </c>
      <c r="AM32" s="101">
        <v>0</v>
      </c>
      <c r="AN32" s="101">
        <v>0</v>
      </c>
      <c r="AO32" s="101">
        <v>1</v>
      </c>
      <c r="AP32" s="101">
        <v>0</v>
      </c>
      <c r="AQ32" t="s">
        <v>73</v>
      </c>
      <c r="AR32" t="s">
        <v>295</v>
      </c>
      <c r="AS32" t="s">
        <v>387</v>
      </c>
      <c r="AT32" t="s">
        <v>248</v>
      </c>
      <c r="AU32" s="7">
        <v>0.01</v>
      </c>
      <c r="AV32" s="7" t="s">
        <v>86</v>
      </c>
      <c r="AW32">
        <f>AU32/AZ32</f>
        <v>4.3478260869565216E-2</v>
      </c>
      <c r="AX32">
        <v>0.81640000000000001</v>
      </c>
      <c r="AY32">
        <v>2</v>
      </c>
      <c r="AZ32">
        <v>0.23</v>
      </c>
      <c r="BA32" s="102">
        <f>EXP(AU32) - 1</f>
        <v>1.0050167084167949E-2</v>
      </c>
      <c r="BB32" s="102"/>
      <c r="BC32" s="103" t="s">
        <v>73</v>
      </c>
      <c r="BD32" s="103">
        <v>109</v>
      </c>
      <c r="BE32" s="103" t="s">
        <v>73</v>
      </c>
      <c r="BF32" s="103" t="s">
        <v>73</v>
      </c>
      <c r="BG32" s="103">
        <v>406</v>
      </c>
      <c r="BH32" s="103" t="s">
        <v>73</v>
      </c>
      <c r="BI32">
        <f>BG32+BD32</f>
        <v>515</v>
      </c>
      <c r="BJ32">
        <f>BG32+BD32</f>
        <v>515</v>
      </c>
      <c r="BK32" s="103" t="s">
        <v>73</v>
      </c>
      <c r="BL32" s="103" t="s">
        <v>73</v>
      </c>
      <c r="BM32" s="101" t="s">
        <v>73</v>
      </c>
      <c r="BN32" s="101">
        <v>1</v>
      </c>
      <c r="BO32" t="s">
        <v>230</v>
      </c>
      <c r="BP32" s="103" t="s">
        <v>73</v>
      </c>
      <c r="BQ32" s="103" t="s">
        <v>73</v>
      </c>
      <c r="BR32" s="103" t="s">
        <v>73</v>
      </c>
      <c r="BS32" s="103" t="s">
        <v>73</v>
      </c>
      <c r="BT32" s="103" t="s">
        <v>73</v>
      </c>
      <c r="BU32" s="101">
        <v>1</v>
      </c>
      <c r="BV32" s="101">
        <v>1</v>
      </c>
      <c r="BW32" s="101">
        <v>1</v>
      </c>
      <c r="BX32" s="30">
        <f t="shared" si="6"/>
        <v>1.0134490446309997E-2</v>
      </c>
      <c r="BY32" s="30">
        <f t="shared" si="7"/>
        <v>1.0134837431758794E-2</v>
      </c>
      <c r="BZ32" s="30">
        <f t="shared" si="8"/>
        <v>1.9455252713028077E-3</v>
      </c>
      <c r="CA32" s="30">
        <f t="shared" si="9"/>
        <v>1.953125E-3</v>
      </c>
    </row>
    <row r="33" spans="1:81" ht="16">
      <c r="A33" s="11" t="s">
        <v>68</v>
      </c>
      <c r="B33" s="11"/>
      <c r="C33" s="100">
        <v>1164</v>
      </c>
      <c r="D33" s="101">
        <v>138</v>
      </c>
      <c r="E33" t="s">
        <v>383</v>
      </c>
      <c r="F33" s="100">
        <v>1988</v>
      </c>
      <c r="G33" t="s">
        <v>384</v>
      </c>
      <c r="H33" t="s">
        <v>385</v>
      </c>
      <c r="I33" s="101">
        <v>1</v>
      </c>
      <c r="J33">
        <v>1985</v>
      </c>
      <c r="K33" s="100" t="s">
        <v>73</v>
      </c>
      <c r="L33">
        <v>178</v>
      </c>
      <c r="M33" t="s">
        <v>93</v>
      </c>
      <c r="N33" t="s">
        <v>241</v>
      </c>
      <c r="O33" t="s">
        <v>81</v>
      </c>
      <c r="P33" t="s">
        <v>218</v>
      </c>
      <c r="Q33" t="s">
        <v>227</v>
      </c>
      <c r="R33" s="32" t="s">
        <v>247</v>
      </c>
      <c r="S33">
        <v>0</v>
      </c>
      <c r="T33" t="s">
        <v>189</v>
      </c>
      <c r="U33">
        <v>0</v>
      </c>
      <c r="V33" s="100" t="s">
        <v>221</v>
      </c>
      <c r="W33" s="100" t="s">
        <v>221</v>
      </c>
      <c r="X33" s="100" t="s">
        <v>73</v>
      </c>
      <c r="Y33" s="101">
        <v>0</v>
      </c>
      <c r="Z33" s="101">
        <v>0</v>
      </c>
      <c r="AA33" s="101">
        <v>0</v>
      </c>
      <c r="AB33" s="101">
        <v>1</v>
      </c>
      <c r="AC33" s="101">
        <v>0</v>
      </c>
      <c r="AD33" s="101">
        <v>0</v>
      </c>
      <c r="AE33" s="101">
        <v>0</v>
      </c>
      <c r="AF33" s="101">
        <v>1</v>
      </c>
      <c r="AG33" s="101" t="s">
        <v>386</v>
      </c>
      <c r="AH33" s="101">
        <v>0</v>
      </c>
      <c r="AI33" s="101">
        <v>0</v>
      </c>
      <c r="AJ33" s="101">
        <v>0</v>
      </c>
      <c r="AK33" s="101">
        <v>0</v>
      </c>
      <c r="AL33" s="101">
        <v>0</v>
      </c>
      <c r="AM33" s="101">
        <v>0</v>
      </c>
      <c r="AN33" s="101">
        <v>0</v>
      </c>
      <c r="AO33" s="101">
        <v>1</v>
      </c>
      <c r="AP33" s="101">
        <v>0</v>
      </c>
      <c r="AQ33" t="s">
        <v>388</v>
      </c>
      <c r="AR33" t="s">
        <v>295</v>
      </c>
      <c r="AS33" t="s">
        <v>387</v>
      </c>
      <c r="AT33" t="s">
        <v>248</v>
      </c>
      <c r="AU33" s="7">
        <v>0.12</v>
      </c>
      <c r="AV33" s="7" t="s">
        <v>86</v>
      </c>
      <c r="AW33">
        <f>AU33/AZ33</f>
        <v>2.4844720496894408E-2</v>
      </c>
      <c r="AX33">
        <v>1E-4</v>
      </c>
      <c r="AY33">
        <v>3</v>
      </c>
      <c r="AZ33">
        <v>4.83</v>
      </c>
      <c r="BA33" s="102">
        <f>EXP(AU33) - 1</f>
        <v>0.12749685157937574</v>
      </c>
      <c r="BB33" s="102"/>
      <c r="BC33" s="103" t="s">
        <v>73</v>
      </c>
      <c r="BD33" s="103">
        <v>109</v>
      </c>
      <c r="BE33" s="103" t="s">
        <v>73</v>
      </c>
      <c r="BF33" s="103" t="s">
        <v>73</v>
      </c>
      <c r="BG33" s="103">
        <v>406</v>
      </c>
      <c r="BH33" s="103" t="s">
        <v>73</v>
      </c>
      <c r="BI33">
        <f>BG33+BD33</f>
        <v>515</v>
      </c>
      <c r="BJ33">
        <f>BG33+BD33</f>
        <v>515</v>
      </c>
      <c r="BK33" s="103" t="s">
        <v>73</v>
      </c>
      <c r="BL33" s="103" t="s">
        <v>73</v>
      </c>
      <c r="BM33" s="101" t="s">
        <v>73</v>
      </c>
      <c r="BN33" s="101">
        <v>1</v>
      </c>
      <c r="BO33" t="s">
        <v>230</v>
      </c>
      <c r="BP33" s="103" t="s">
        <v>73</v>
      </c>
      <c r="BQ33" s="103" t="s">
        <v>73</v>
      </c>
      <c r="BR33" s="103" t="s">
        <v>73</v>
      </c>
      <c r="BS33" s="103" t="s">
        <v>73</v>
      </c>
      <c r="BT33" s="103" t="s">
        <v>73</v>
      </c>
      <c r="BU33" s="101">
        <v>1</v>
      </c>
      <c r="BV33" s="101">
        <v>1</v>
      </c>
      <c r="BW33" s="101">
        <v>1</v>
      </c>
      <c r="BX33" s="30">
        <f t="shared" si="6"/>
        <v>0.20817246417215696</v>
      </c>
      <c r="BY33" s="30">
        <f t="shared" si="7"/>
        <v>0.21126026317506777</v>
      </c>
      <c r="BZ33" s="30">
        <f t="shared" si="8"/>
        <v>1.9416499666781906E-3</v>
      </c>
      <c r="CA33" s="30">
        <f t="shared" si="9"/>
        <v>1.953125E-3</v>
      </c>
    </row>
    <row r="34" spans="1:81" ht="16">
      <c r="A34" t="s">
        <v>68</v>
      </c>
      <c r="C34">
        <v>1144</v>
      </c>
      <c r="D34">
        <v>130</v>
      </c>
      <c r="E34" t="s">
        <v>358</v>
      </c>
      <c r="F34">
        <v>2018</v>
      </c>
      <c r="G34" t="s">
        <v>359</v>
      </c>
      <c r="H34" t="s">
        <v>360</v>
      </c>
      <c r="I34">
        <v>1</v>
      </c>
      <c r="J34">
        <v>2009</v>
      </c>
      <c r="K34" t="s">
        <v>73</v>
      </c>
      <c r="L34">
        <v>348</v>
      </c>
      <c r="M34" t="s">
        <v>120</v>
      </c>
      <c r="N34" t="s">
        <v>263</v>
      </c>
      <c r="O34" t="s">
        <v>81</v>
      </c>
      <c r="P34" t="s">
        <v>218</v>
      </c>
      <c r="Q34" t="s">
        <v>232</v>
      </c>
      <c r="R34" t="s">
        <v>228</v>
      </c>
      <c r="S34">
        <v>0</v>
      </c>
      <c r="T34" t="s">
        <v>220</v>
      </c>
      <c r="U34">
        <v>0</v>
      </c>
      <c r="V34" t="s">
        <v>221</v>
      </c>
      <c r="W34" t="s">
        <v>221</v>
      </c>
      <c r="X34" t="s">
        <v>73</v>
      </c>
      <c r="Y34">
        <v>0</v>
      </c>
      <c r="Z34">
        <v>0</v>
      </c>
      <c r="AA34">
        <v>0</v>
      </c>
      <c r="AB34">
        <v>0</v>
      </c>
      <c r="AC34">
        <v>0</v>
      </c>
      <c r="AD34">
        <v>0</v>
      </c>
      <c r="AE34">
        <v>0</v>
      </c>
      <c r="AF34">
        <v>1</v>
      </c>
      <c r="AG34" t="s">
        <v>361</v>
      </c>
      <c r="AH34">
        <v>0</v>
      </c>
      <c r="AI34">
        <v>0</v>
      </c>
      <c r="AJ34">
        <v>0</v>
      </c>
      <c r="AK34">
        <v>0</v>
      </c>
      <c r="AL34">
        <v>0</v>
      </c>
      <c r="AM34">
        <v>0</v>
      </c>
      <c r="AN34">
        <v>0</v>
      </c>
      <c r="AO34">
        <v>1</v>
      </c>
      <c r="AP34">
        <v>0</v>
      </c>
      <c r="AQ34" t="s">
        <v>364</v>
      </c>
      <c r="AR34" t="s">
        <v>295</v>
      </c>
      <c r="AS34" t="s">
        <v>363</v>
      </c>
      <c r="AT34" t="s">
        <v>73</v>
      </c>
      <c r="AU34" s="53">
        <v>212.39500000000001</v>
      </c>
      <c r="AV34" s="7" t="s">
        <v>80</v>
      </c>
      <c r="AW34">
        <v>92.537000000000006</v>
      </c>
      <c r="AX34">
        <v>0.05</v>
      </c>
      <c r="AY34">
        <v>1</v>
      </c>
      <c r="AZ34">
        <f>AU34/AW34</f>
        <v>2.2952440645363477</v>
      </c>
      <c r="BA34" s="41" t="s">
        <v>73</v>
      </c>
      <c r="BB34" s="41"/>
      <c r="BC34" t="s">
        <v>73</v>
      </c>
      <c r="BD34" t="s">
        <v>73</v>
      </c>
      <c r="BE34" t="s">
        <v>73</v>
      </c>
      <c r="BF34" t="s">
        <v>73</v>
      </c>
      <c r="BG34" t="s">
        <v>73</v>
      </c>
      <c r="BH34" t="s">
        <v>73</v>
      </c>
      <c r="BI34">
        <v>907</v>
      </c>
      <c r="BJ34">
        <v>907</v>
      </c>
      <c r="BK34" t="s">
        <v>73</v>
      </c>
      <c r="BL34" t="s">
        <v>73</v>
      </c>
      <c r="BM34" t="s">
        <v>73</v>
      </c>
      <c r="BN34" t="s">
        <v>73</v>
      </c>
      <c r="BO34" t="s">
        <v>73</v>
      </c>
      <c r="BP34" t="s">
        <v>73</v>
      </c>
      <c r="BQ34" t="s">
        <v>73</v>
      </c>
      <c r="BR34" t="s">
        <v>73</v>
      </c>
      <c r="BS34" t="s">
        <v>73</v>
      </c>
      <c r="BT34" t="s">
        <v>73</v>
      </c>
      <c r="BU34">
        <v>1</v>
      </c>
      <c r="BV34">
        <v>0</v>
      </c>
      <c r="BW34">
        <v>1</v>
      </c>
      <c r="BX34" s="30">
        <f t="shared" si="6"/>
        <v>7.5991955053229768E-2</v>
      </c>
      <c r="BY34" s="30">
        <f t="shared" si="7"/>
        <v>7.6138742860659789E-2</v>
      </c>
      <c r="BZ34" s="30">
        <f t="shared" si="8"/>
        <v>1.1037156661555521E-3</v>
      </c>
      <c r="CA34" s="30">
        <f t="shared" si="9"/>
        <v>1.1061946902654867E-3</v>
      </c>
    </row>
    <row r="35" spans="1:81" ht="16">
      <c r="A35" t="s">
        <v>68</v>
      </c>
      <c r="C35">
        <v>1145</v>
      </c>
      <c r="D35">
        <v>130</v>
      </c>
      <c r="E35" t="s">
        <v>358</v>
      </c>
      <c r="F35">
        <v>2018</v>
      </c>
      <c r="G35" t="s">
        <v>359</v>
      </c>
      <c r="H35" t="s">
        <v>360</v>
      </c>
      <c r="I35">
        <v>1</v>
      </c>
      <c r="J35">
        <v>2009</v>
      </c>
      <c r="K35" t="s">
        <v>73</v>
      </c>
      <c r="L35">
        <v>348</v>
      </c>
      <c r="M35" t="s">
        <v>235</v>
      </c>
      <c r="N35" t="s">
        <v>263</v>
      </c>
      <c r="O35" t="s">
        <v>81</v>
      </c>
      <c r="P35" t="s">
        <v>218</v>
      </c>
      <c r="Q35" t="s">
        <v>232</v>
      </c>
      <c r="R35" t="s">
        <v>228</v>
      </c>
      <c r="S35">
        <v>0</v>
      </c>
      <c r="T35" t="s">
        <v>220</v>
      </c>
      <c r="U35">
        <v>0</v>
      </c>
      <c r="V35" t="s">
        <v>221</v>
      </c>
      <c r="W35" t="s">
        <v>221</v>
      </c>
      <c r="X35" t="s">
        <v>73</v>
      </c>
      <c r="Y35">
        <v>0</v>
      </c>
      <c r="Z35">
        <v>0</v>
      </c>
      <c r="AA35">
        <v>0</v>
      </c>
      <c r="AB35">
        <v>0</v>
      </c>
      <c r="AC35">
        <v>0</v>
      </c>
      <c r="AD35">
        <v>0</v>
      </c>
      <c r="AE35">
        <v>0</v>
      </c>
      <c r="AF35">
        <v>1</v>
      </c>
      <c r="AG35" t="s">
        <v>361</v>
      </c>
      <c r="AH35">
        <v>0</v>
      </c>
      <c r="AI35">
        <v>0</v>
      </c>
      <c r="AJ35">
        <v>0</v>
      </c>
      <c r="AK35">
        <v>0</v>
      </c>
      <c r="AL35">
        <v>0</v>
      </c>
      <c r="AM35">
        <v>0</v>
      </c>
      <c r="AN35">
        <v>0</v>
      </c>
      <c r="AO35">
        <v>1</v>
      </c>
      <c r="AP35">
        <v>0</v>
      </c>
      <c r="AQ35" t="s">
        <v>365</v>
      </c>
      <c r="AR35" t="s">
        <v>295</v>
      </c>
      <c r="AS35" t="s">
        <v>363</v>
      </c>
      <c r="AT35" t="s">
        <v>73</v>
      </c>
      <c r="AU35" s="53">
        <v>301.86700000000002</v>
      </c>
      <c r="AV35" s="7" t="s">
        <v>80</v>
      </c>
      <c r="AW35">
        <v>652.24300000000005</v>
      </c>
      <c r="AX35">
        <v>0.05</v>
      </c>
      <c r="AY35">
        <v>2</v>
      </c>
      <c r="AZ35">
        <f>AU35/AW35</f>
        <v>0.4628137059347513</v>
      </c>
      <c r="BA35" s="41" t="s">
        <v>73</v>
      </c>
      <c r="BB35" s="41"/>
      <c r="BC35" t="s">
        <v>73</v>
      </c>
      <c r="BD35" t="s">
        <v>73</v>
      </c>
      <c r="BE35" t="s">
        <v>73</v>
      </c>
      <c r="BF35" t="s">
        <v>73</v>
      </c>
      <c r="BG35" t="s">
        <v>73</v>
      </c>
      <c r="BH35" t="s">
        <v>73</v>
      </c>
      <c r="BI35">
        <v>907</v>
      </c>
      <c r="BJ35">
        <v>907</v>
      </c>
      <c r="BK35" t="s">
        <v>73</v>
      </c>
      <c r="BL35" t="s">
        <v>73</v>
      </c>
      <c r="BM35" t="s">
        <v>73</v>
      </c>
      <c r="BN35" t="s">
        <v>73</v>
      </c>
      <c r="BO35" t="s">
        <v>73</v>
      </c>
      <c r="BP35" t="s">
        <v>73</v>
      </c>
      <c r="BQ35" t="s">
        <v>73</v>
      </c>
      <c r="BR35" t="s">
        <v>73</v>
      </c>
      <c r="BS35" t="s">
        <v>73</v>
      </c>
      <c r="BT35" t="s">
        <v>73</v>
      </c>
      <c r="BU35">
        <v>1</v>
      </c>
      <c r="BV35">
        <v>0</v>
      </c>
      <c r="BW35">
        <v>1</v>
      </c>
      <c r="BX35" s="30">
        <f t="shared" si="6"/>
        <v>1.5365662610743538E-2</v>
      </c>
      <c r="BY35" s="30">
        <f t="shared" si="7"/>
        <v>1.5366872078105973E-2</v>
      </c>
      <c r="BZ35" s="30">
        <f t="shared" si="8"/>
        <v>1.1037526978339323E-3</v>
      </c>
      <c r="CA35" s="30">
        <f t="shared" si="9"/>
        <v>1.1061946902654867E-3</v>
      </c>
    </row>
    <row r="36" spans="1:81" ht="18" customHeight="1">
      <c r="A36" s="11" t="s">
        <v>285</v>
      </c>
      <c r="C36" s="106">
        <v>3049</v>
      </c>
      <c r="D36" s="106">
        <v>313</v>
      </c>
      <c r="E36" t="s">
        <v>540</v>
      </c>
      <c r="F36">
        <v>2014</v>
      </c>
      <c r="G36" t="s">
        <v>541</v>
      </c>
      <c r="H36" t="s">
        <v>544</v>
      </c>
      <c r="I36">
        <v>1</v>
      </c>
      <c r="J36">
        <v>2013</v>
      </c>
      <c r="K36" t="s">
        <v>545</v>
      </c>
      <c r="L36">
        <v>514</v>
      </c>
      <c r="M36" t="s">
        <v>120</v>
      </c>
      <c r="N36" t="s">
        <v>263</v>
      </c>
      <c r="O36" t="s">
        <v>274</v>
      </c>
      <c r="P36" s="18" t="s">
        <v>218</v>
      </c>
      <c r="Q36" t="s">
        <v>227</v>
      </c>
      <c r="R36" t="s">
        <v>233</v>
      </c>
      <c r="S36">
        <v>1</v>
      </c>
      <c r="T36" s="10" t="s">
        <v>73</v>
      </c>
      <c r="U36">
        <v>0</v>
      </c>
      <c r="V36" t="s">
        <v>221</v>
      </c>
      <c r="W36" t="s">
        <v>238</v>
      </c>
      <c r="X36" t="s">
        <v>546</v>
      </c>
      <c r="Y36">
        <v>0</v>
      </c>
      <c r="Z36">
        <v>0</v>
      </c>
      <c r="AA36">
        <v>0</v>
      </c>
      <c r="AB36">
        <v>1</v>
      </c>
      <c r="AC36">
        <v>0</v>
      </c>
      <c r="AD36">
        <v>0</v>
      </c>
      <c r="AE36">
        <v>0</v>
      </c>
      <c r="AF36">
        <v>0</v>
      </c>
      <c r="AG36" t="s">
        <v>73</v>
      </c>
      <c r="AH36">
        <v>1</v>
      </c>
      <c r="AI36">
        <v>0</v>
      </c>
      <c r="AJ36">
        <v>0</v>
      </c>
      <c r="AK36">
        <v>1</v>
      </c>
      <c r="AL36">
        <v>0</v>
      </c>
      <c r="AM36">
        <v>0</v>
      </c>
      <c r="AN36">
        <v>1</v>
      </c>
      <c r="AO36">
        <v>1</v>
      </c>
      <c r="AP36" s="18">
        <v>1</v>
      </c>
      <c r="AQ36" t="s">
        <v>73</v>
      </c>
      <c r="AR36" t="s">
        <v>295</v>
      </c>
      <c r="AS36" t="s">
        <v>547</v>
      </c>
      <c r="AT36" t="s">
        <v>73</v>
      </c>
      <c r="AU36">
        <v>0.154</v>
      </c>
      <c r="AV36" s="7" t="s">
        <v>86</v>
      </c>
      <c r="AW36" s="7" t="s">
        <v>73</v>
      </c>
      <c r="AX36">
        <v>0.05</v>
      </c>
      <c r="AY36">
        <v>1</v>
      </c>
      <c r="AZ36">
        <f>TINV(AX36,CC36)</f>
        <v>1.965942323976257</v>
      </c>
      <c r="BA36" t="s">
        <v>73</v>
      </c>
      <c r="BC36" t="s">
        <v>73</v>
      </c>
      <c r="BD36" t="s">
        <v>73</v>
      </c>
      <c r="BE36" t="s">
        <v>249</v>
      </c>
      <c r="BF36" t="s">
        <v>73</v>
      </c>
      <c r="BG36" t="s">
        <v>73</v>
      </c>
      <c r="BH36" t="s">
        <v>73</v>
      </c>
      <c r="BI36">
        <v>400</v>
      </c>
      <c r="BJ36">
        <v>400</v>
      </c>
      <c r="BK36" t="s">
        <v>73</v>
      </c>
      <c r="BL36" t="s">
        <v>73</v>
      </c>
      <c r="BM36" t="s">
        <v>548</v>
      </c>
      <c r="BN36" t="s">
        <v>73</v>
      </c>
      <c r="BO36" t="s">
        <v>73</v>
      </c>
      <c r="BP36" t="s">
        <v>73</v>
      </c>
      <c r="BQ36" t="s">
        <v>73</v>
      </c>
      <c r="BR36" t="s">
        <v>73</v>
      </c>
      <c r="BS36" t="s">
        <v>73</v>
      </c>
      <c r="BT36" t="s">
        <v>73</v>
      </c>
      <c r="BU36">
        <v>0</v>
      </c>
      <c r="BV36">
        <v>1</v>
      </c>
      <c r="BW36">
        <v>1</v>
      </c>
      <c r="BX36" s="30">
        <f>((AZ36^2)/(AZ36^2+BI36))^(1/2)</f>
        <v>9.7825640875171802E-2</v>
      </c>
      <c r="BY36" s="30">
        <f>0.5*LN((1+BX36)/(1-BX36))</f>
        <v>9.8139504130778904E-2</v>
      </c>
      <c r="BZ36" s="30">
        <f>((1-(BY36^2)^2)/(BI36-1))</f>
        <v>2.5060331750897343E-3</v>
      </c>
      <c r="CA36" s="30">
        <f>1/(BI36-3)</f>
        <v>2.5188916876574307E-3</v>
      </c>
      <c r="CC36" s="105">
        <f>BI36-2</f>
        <v>398</v>
      </c>
    </row>
    <row r="37" spans="1:81" ht="18" customHeight="1">
      <c r="A37" s="11" t="s">
        <v>285</v>
      </c>
      <c r="C37" s="106">
        <v>3050</v>
      </c>
      <c r="D37" s="106">
        <v>313</v>
      </c>
      <c r="E37" t="s">
        <v>540</v>
      </c>
      <c r="F37">
        <v>2014</v>
      </c>
      <c r="G37" t="s">
        <v>541</v>
      </c>
      <c r="H37" t="s">
        <v>544</v>
      </c>
      <c r="I37">
        <v>1</v>
      </c>
      <c r="J37">
        <v>2013</v>
      </c>
      <c r="K37" t="s">
        <v>545</v>
      </c>
      <c r="L37">
        <v>514</v>
      </c>
      <c r="M37" t="s">
        <v>120</v>
      </c>
      <c r="N37" t="s">
        <v>263</v>
      </c>
      <c r="O37" t="s">
        <v>274</v>
      </c>
      <c r="P37" s="18" t="s">
        <v>218</v>
      </c>
      <c r="Q37" t="s">
        <v>227</v>
      </c>
      <c r="R37" t="s">
        <v>233</v>
      </c>
      <c r="S37">
        <v>1</v>
      </c>
      <c r="T37" s="10" t="s">
        <v>73</v>
      </c>
      <c r="U37">
        <v>0</v>
      </c>
      <c r="V37" t="s">
        <v>221</v>
      </c>
      <c r="W37" t="s">
        <v>238</v>
      </c>
      <c r="X37" t="s">
        <v>546</v>
      </c>
      <c r="Y37">
        <v>0</v>
      </c>
      <c r="Z37">
        <v>0</v>
      </c>
      <c r="AA37">
        <v>0</v>
      </c>
      <c r="AB37">
        <v>1</v>
      </c>
      <c r="AC37">
        <v>0</v>
      </c>
      <c r="AD37">
        <v>0</v>
      </c>
      <c r="AE37">
        <v>0</v>
      </c>
      <c r="AF37">
        <v>0</v>
      </c>
      <c r="AG37" t="s">
        <v>73</v>
      </c>
      <c r="AH37">
        <v>1</v>
      </c>
      <c r="AI37">
        <v>0</v>
      </c>
      <c r="AJ37">
        <v>0</v>
      </c>
      <c r="AK37">
        <v>1</v>
      </c>
      <c r="AL37">
        <v>0</v>
      </c>
      <c r="AM37">
        <v>0</v>
      </c>
      <c r="AN37">
        <v>1</v>
      </c>
      <c r="AO37">
        <v>1</v>
      </c>
      <c r="AP37" s="18">
        <v>1</v>
      </c>
      <c r="AQ37" t="s">
        <v>73</v>
      </c>
      <c r="AR37" t="s">
        <v>295</v>
      </c>
      <c r="AS37" t="s">
        <v>547</v>
      </c>
      <c r="AT37" t="s">
        <v>73</v>
      </c>
      <c r="AU37">
        <v>0.28299999999999997</v>
      </c>
      <c r="AV37" s="7" t="s">
        <v>80</v>
      </c>
      <c r="AW37" s="7" t="s">
        <v>73</v>
      </c>
      <c r="AX37">
        <v>0.01</v>
      </c>
      <c r="AY37">
        <v>1</v>
      </c>
      <c r="AZ37">
        <f>TINV(AX37,CC37)</f>
        <v>2.5882384049343825</v>
      </c>
      <c r="BA37" t="s">
        <v>73</v>
      </c>
      <c r="BC37" t="s">
        <v>73</v>
      </c>
      <c r="BD37" t="s">
        <v>73</v>
      </c>
      <c r="BE37" t="s">
        <v>249</v>
      </c>
      <c r="BF37" t="s">
        <v>73</v>
      </c>
      <c r="BG37" t="s">
        <v>73</v>
      </c>
      <c r="BH37" t="s">
        <v>73</v>
      </c>
      <c r="BI37">
        <v>400</v>
      </c>
      <c r="BJ37">
        <v>400</v>
      </c>
      <c r="BK37" t="s">
        <v>73</v>
      </c>
      <c r="BL37" t="s">
        <v>73</v>
      </c>
      <c r="BM37" t="s">
        <v>548</v>
      </c>
      <c r="BN37" t="s">
        <v>73</v>
      </c>
      <c r="BO37" t="s">
        <v>73</v>
      </c>
      <c r="BP37" t="s">
        <v>73</v>
      </c>
      <c r="BQ37" t="s">
        <v>73</v>
      </c>
      <c r="BR37" t="s">
        <v>73</v>
      </c>
      <c r="BS37" t="s">
        <v>73</v>
      </c>
      <c r="BT37" t="s">
        <v>73</v>
      </c>
      <c r="BU37">
        <v>0</v>
      </c>
      <c r="BV37">
        <v>1</v>
      </c>
      <c r="BW37">
        <v>1</v>
      </c>
      <c r="BX37" s="30">
        <f>((AZ37^2)/(AZ37^2+BI37))^(1/2)</f>
        <v>0.1283416849069389</v>
      </c>
      <c r="BY37" s="30">
        <f>0.5*LN((1+BX37)/(1-BX37))</f>
        <v>0.12905339585554831</v>
      </c>
      <c r="BZ37" s="30">
        <f>((1-(BY37^2)^2)/(BI37-1))</f>
        <v>2.5055704720227212E-3</v>
      </c>
      <c r="CA37" s="30">
        <f>1/(BI37-3)</f>
        <v>2.5188916876574307E-3</v>
      </c>
      <c r="CC37" s="105">
        <f>BI37-2</f>
        <v>398</v>
      </c>
    </row>
    <row r="38" spans="1:81" ht="16"/>
    <row r="39" spans="1:81" ht="16"/>
    <row r="40" spans="1:81" ht="16"/>
    <row r="41" spans="1:81" ht="16"/>
    <row r="42" spans="1:81" ht="16"/>
    <row r="43" spans="1:81" ht="16"/>
    <row r="44" spans="1:81" ht="16"/>
    <row r="45" spans="1:81" ht="16"/>
    <row r="46" spans="1:81" ht="16"/>
    <row r="47" spans="1:81" ht="15.75" customHeight="1">
      <c r="BX47" s="30"/>
    </row>
    <row r="48" spans="1:81" ht="16">
      <c r="BA48" s="117"/>
      <c r="BB48" s="117"/>
    </row>
    <row r="49" spans="53:54" ht="16">
      <c r="BA49" s="117"/>
      <c r="BB49" s="117"/>
    </row>
    <row r="51" spans="53:54" ht="16">
      <c r="BA51" s="118"/>
      <c r="BB51" s="118"/>
    </row>
  </sheetData>
  <autoFilter ref="AR1:AR46" xr:uid="{00000000-0009-0000-0000-000001000000}"/>
  <sortState xmlns:xlrd2="http://schemas.microsoft.com/office/spreadsheetml/2017/richdata2" ref="A2:CD54">
    <sortCondition ref="AN1:AN54"/>
  </sortState>
  <dataConsolidate/>
  <phoneticPr fontId="24" type="noConversion"/>
  <conditionalFormatting sqref="AU1:AU1048576">
    <cfRule type="cellIs" dxfId="0" priority="1" operator="greaterThan">
      <formula>1</formula>
    </cfRule>
  </conditionalFormatting>
  <dataValidations xWindow="603" yWindow="1085" count="5">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1 I5:I1048576" xr:uid="{00000000-0002-0000-0100-000001000000}">
      <formula1>0</formula1>
      <formula2>2</formula2>
    </dataValidation>
    <dataValidation allowBlank="1" showInputMessage="1" showErrorMessage="1" errorTitle="int" error="Choose 1 or 0" promptTitle="Intervention" prompt="Yes - 1_x000a_No - 0" sqref="AQ5:AQ6 AD1:AG1048576" xr:uid="{00000000-0002-0000-0100-000002000000}"/>
    <dataValidation type="whole" allowBlank="1" showInputMessage="1" showErrorMessage="1" errorTitle="int" error="Choose 1 or 0" promptTitle="Intervention" prompt="Yes - 1_x000a_No - 0" sqref="Y38:AC1048576 Y18:Y37 Z14:AC37 Y1:AC13" xr:uid="{00000000-0002-0000-0100-000003000000}">
      <formula1>0</formula1>
      <formula2>1</formula2>
    </dataValidation>
    <dataValidation errorStyle="warning" allowBlank="1" showInputMessage="1" showErrorMessage="1" sqref="BN38:BN1048576 BN1:BN35" xr:uid="{00000000-0002-0000-0100-000004000000}"/>
    <dataValidation type="whole" allowBlank="1" showInputMessage="1" showErrorMessage="1" sqref="AH1:AP1048576 U1:U1048576 S1:S1048576" xr:uid="{00000000-0002-0000-0100-000000000000}">
      <formula1>0</formula1>
      <formula2>1</formula2>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603" yWindow="1085" count="21">
        <x14:dataValidation type="list" allowBlank="1" showInputMessage="1" showErrorMessage="1" xr:uid="{00000000-0002-0000-0100-000007000000}">
          <x14:formula1>
            <xm:f>'Lists for variables'!$B$2:$B$4</xm:f>
          </x14:formula1>
          <xm:sqref>U1:U6 U10:U1048576</xm:sqref>
        </x14:dataValidation>
        <x14:dataValidation type="list" allowBlank="1" showInputMessage="1" showErrorMessage="1" xr:uid="{00000000-0002-0000-0100-000008000000}">
          <x14:formula1>
            <xm:f>'Lists for variables'!$A$2:$A$4</xm:f>
          </x14:formula1>
          <xm:sqref>BU18:BW20 BU36:BW1048576</xm:sqref>
        </x14:dataValidation>
        <x14:dataValidation type="list" allowBlank="1" showInputMessage="1" showErrorMessage="1" xr:uid="{00000000-0002-0000-0100-000009000000}">
          <x14:formula1>
            <xm:f>'Lists for variables'!$C$2:$C$4</xm:f>
          </x14:formula1>
          <xm:sqref>BS21:BT35 BP21:BQ35 BO38:BO1048576 BO1:BO35</xm:sqref>
        </x14:dataValidation>
        <x14:dataValidation type="list" allowBlank="1" showInputMessage="1" showErrorMessage="1" xr:uid="{00000000-0002-0000-0100-00000A000000}">
          <x14:formula1>
            <xm:f>'Lists for variables'!$I$2:$I$3</xm:f>
          </x14:formula1>
          <xm:sqref>AV27:AV1048576 AV1:AV20</xm:sqref>
        </x14:dataValidation>
        <x14:dataValidation type="list" allowBlank="1" showInputMessage="1" showErrorMessage="1" xr:uid="{00000000-0002-0000-0100-000010000000}">
          <x14:formula1>
            <xm:f>'Lists for variables'!$O:$O</xm:f>
          </x14:formula1>
          <xm:sqref>BT38:BT1048576 BT1:BT20</xm:sqref>
        </x14:dataValidation>
        <x14:dataValidation type="list" allowBlank="1" showInputMessage="1" showErrorMessage="1" xr:uid="{00000000-0002-0000-0100-00000B000000}">
          <x14:formula1>
            <xm:f>'Lists for variables'!$L$2:$L$9</xm:f>
          </x14:formula1>
          <xm:sqref>U1:U1048576 S1:S1048576</xm:sqref>
        </x14:dataValidation>
        <x14:dataValidation type="list" allowBlank="1" showInputMessage="1" showErrorMessage="1" xr:uid="{00000000-0002-0000-0100-00000C000000}">
          <x14:formula1>
            <xm:f>'Lists for variables'!$K$2:$K$3</xm:f>
          </x14:formula1>
          <xm:sqref>U1:W1048576 S1:S1048576</xm:sqref>
        </x14:dataValidation>
        <x14:dataValidation type="list" allowBlank="1" showInputMessage="1" showErrorMessage="1" xr:uid="{00000000-0002-0000-0100-00000D000000}">
          <x14:formula1>
            <xm:f>'Lists for variables'!$N$2:$N$7</xm:f>
          </x14:formula1>
          <xm:sqref>U1:W1048576 S1:S1048576</xm:sqref>
        </x14:dataValidation>
        <x14:dataValidation type="list" allowBlank="1" showInputMessage="1" showErrorMessage="1" xr:uid="{00000000-0002-0000-0100-00000F000000}">
          <x14:formula1>
            <xm:f>'Lists for variables'!$J$2:$J$12</xm:f>
          </x14:formula1>
          <xm:sqref>K1:K1048576</xm:sqref>
        </x14:dataValidation>
        <x14:dataValidation type="list" allowBlank="1" showInputMessage="1" showErrorMessage="1" xr:uid="{00000000-0002-0000-0100-000011000000}">
          <x14:formula1>
            <xm:f>'Lists for variables'!$S:$S</xm:f>
          </x14:formula1>
          <xm:sqref>G1:G1048576</xm:sqref>
        </x14:dataValidation>
        <x14:dataValidation type="list" allowBlank="1" showInputMessage="1" showErrorMessage="1" xr:uid="{00000000-0002-0000-0100-000012000000}">
          <x14:formula1>
            <xm:f>'Lists for variables'!$G:$G</xm:f>
          </x14:formula1>
          <xm:sqref>AR1:AR1048576</xm:sqref>
        </x14:dataValidation>
        <x14:dataValidation type="list" allowBlank="1" showInputMessage="1" showErrorMessage="1" xr:uid="{00000000-0002-0000-0100-000013000000}">
          <x14:formula1>
            <xm:f>'Lists for variables'!$F:$F</xm:f>
          </x14:formula1>
          <xm:sqref>M1:M1048576</xm:sqref>
        </x14:dataValidation>
        <x14:dataValidation type="list" allowBlank="1" showInputMessage="1" showErrorMessage="1" xr:uid="{00000000-0002-0000-0100-000014000000}">
          <x14:formula1>
            <xm:f>'Lists for variables'!$P:$P</xm:f>
          </x14:formula1>
          <xm:sqref>AT1:AT1048576</xm:sqref>
        </x14:dataValidation>
        <x14:dataValidation type="list" allowBlank="1" showInputMessage="1" showErrorMessage="1" xr:uid="{00000000-0002-0000-0100-000015000000}">
          <x14:formula1>
            <xm:f>'Lists for variables'!$D:$D</xm:f>
          </x14:formula1>
          <xm:sqref>N1:N1048576 U1:W1048576 S1:S1048576</xm:sqref>
        </x14:dataValidation>
        <x14:dataValidation type="list" allowBlank="1" showInputMessage="1" showErrorMessage="1" xr:uid="{00000000-0002-0000-0100-000016000000}">
          <x14:formula1>
            <xm:f>'Lists for variables'!$N:$N</xm:f>
          </x14:formula1>
          <xm:sqref>O1:O1048576</xm:sqref>
        </x14:dataValidation>
        <x14:dataValidation type="list" allowBlank="1" showInputMessage="1" showErrorMessage="1" xr:uid="{00000000-0002-0000-0100-000017000000}">
          <x14:formula1>
            <xm:f>'Lists for variables'!$B:$B</xm:f>
          </x14:formula1>
          <xm:sqref>T1:T1048576</xm:sqref>
        </x14:dataValidation>
        <x14:dataValidation type="list" allowBlank="1" showInputMessage="1" showErrorMessage="1" xr:uid="{00000000-0002-0000-0100-000018000000}">
          <x14:formula1>
            <xm:f>'Lists for variables'!$R:$R</xm:f>
          </x14:formula1>
          <xm:sqref>E1:E1048576</xm:sqref>
        </x14:dataValidation>
        <x14:dataValidation type="list" allowBlank="1" showInputMessage="1" showErrorMessage="1" xr:uid="{00000000-0002-0000-0100-000019000000}">
          <x14:formula1>
            <xm:f>'Lists for variables'!$H:$H</xm:f>
          </x14:formula1>
          <xm:sqref>S1:S1048576 U1:U1048576</xm:sqref>
        </x14:dataValidation>
        <x14:dataValidation type="list" allowBlank="1" showInputMessage="1" showErrorMessage="1" xr:uid="{00000000-0002-0000-0100-00001A000000}">
          <x14:formula1>
            <xm:f>'Lists for variables'!$M:$M</xm:f>
          </x14:formula1>
          <xm:sqref>U1:U1048576 P1:P1048576 S1:S1048576</xm:sqref>
        </x14:dataValidation>
        <x14:dataValidation type="list" allowBlank="1" showInputMessage="1" showErrorMessage="1" xr:uid="{00000000-0002-0000-0100-00001B000000}">
          <x14:formula1>
            <xm:f>'Lists for variables'!$L$2:$L$10</xm:f>
          </x14:formula1>
          <xm:sqref>R1:R1048576</xm:sqref>
        </x14:dataValidation>
        <x14:dataValidation type="list" allowBlank="1" showInputMessage="1" showErrorMessage="1" xr:uid="{00000000-0002-0000-0100-00001C000000}">
          <x14:formula1>
            <xm:f>'Lists for variables'!$H$1:$H$7</xm:f>
          </x14:formula1>
          <xm:sqref>Q1:Q1048576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C6B8-D66D-FF4D-BFD0-320CD520D889}">
  <dimension ref="A1:BJ18"/>
  <sheetViews>
    <sheetView workbookViewId="0">
      <selection activeCell="A5" sqref="A5:BJ5"/>
      <pivotSelection pane="bottomRight" showHeader="1" extendable="1" axis="axisRow" max="14" activeRow="4" previousRow="4" click="1" r:id="rId1">
        <pivotArea dataOnly="0" fieldPosition="0">
          <references count="1">
            <reference field="12" count="1">
              <x v="1"/>
            </reference>
          </references>
        </pivotArea>
      </pivotSelection>
    </sheetView>
  </sheetViews>
  <sheetFormatPr baseColWidth="10" defaultRowHeight="16"/>
  <cols>
    <col min="1" max="1" width="28.5" bestFit="1" customWidth="1"/>
    <col min="2" max="2" width="41" bestFit="1" customWidth="1"/>
    <col min="3" max="3" width="29.83203125" bestFit="1" customWidth="1"/>
    <col min="4" max="4" width="20.5" bestFit="1" customWidth="1"/>
    <col min="5" max="5" width="18.1640625" bestFit="1" customWidth="1"/>
    <col min="6" max="6" width="20.6640625" bestFit="1" customWidth="1"/>
    <col min="7" max="7" width="18.33203125" bestFit="1" customWidth="1"/>
    <col min="8" max="8" width="15.83203125" bestFit="1" customWidth="1"/>
    <col min="9" max="9" width="22.5" bestFit="1" customWidth="1"/>
    <col min="10" max="10" width="23" bestFit="1" customWidth="1"/>
    <col min="11" max="11" width="25.83203125" bestFit="1" customWidth="1"/>
    <col min="12" max="12" width="19.5" bestFit="1" customWidth="1"/>
    <col min="13" max="13" width="14.6640625" bestFit="1" customWidth="1"/>
    <col min="14" max="14" width="30" bestFit="1" customWidth="1"/>
    <col min="15" max="15" width="26.6640625" bestFit="1" customWidth="1"/>
    <col min="16" max="16" width="22.33203125" bestFit="1" customWidth="1"/>
    <col min="17" max="17" width="22.1640625" bestFit="1" customWidth="1"/>
    <col min="18" max="18" width="13.6640625" bestFit="1" customWidth="1"/>
    <col min="19" max="19" width="28.1640625" bestFit="1" customWidth="1"/>
    <col min="20" max="20" width="23.1640625" bestFit="1" customWidth="1"/>
    <col min="21" max="21" width="21.6640625" bestFit="1" customWidth="1"/>
    <col min="22" max="22" width="15" bestFit="1" customWidth="1"/>
    <col min="23" max="23" width="17.33203125" bestFit="1" customWidth="1"/>
    <col min="24" max="24" width="11.5" bestFit="1" customWidth="1"/>
    <col min="25" max="25" width="12.83203125" bestFit="1" customWidth="1"/>
    <col min="26" max="26" width="15.83203125" bestFit="1" customWidth="1"/>
    <col min="27" max="27" width="13.6640625" bestFit="1" customWidth="1"/>
    <col min="28" max="28" width="11" bestFit="1" customWidth="1"/>
    <col min="29" max="29" width="23.83203125" bestFit="1" customWidth="1"/>
    <col min="30" max="30" width="18.83203125" bestFit="1" customWidth="1"/>
    <col min="31" max="31" width="22.6640625" bestFit="1" customWidth="1"/>
    <col min="32" max="32" width="15.83203125" bestFit="1" customWidth="1"/>
    <col min="33" max="33" width="17.1640625" bestFit="1" customWidth="1"/>
    <col min="34" max="34" width="17" bestFit="1" customWidth="1"/>
    <col min="35" max="35" width="13.6640625" bestFit="1" customWidth="1"/>
    <col min="36" max="36" width="18.83203125" bestFit="1" customWidth="1"/>
    <col min="37" max="37" width="9.33203125" bestFit="1" customWidth="1"/>
    <col min="38" max="38" width="9.1640625" bestFit="1" customWidth="1"/>
    <col min="39" max="39" width="36.33203125" bestFit="1" customWidth="1"/>
    <col min="40" max="40" width="29" bestFit="1" customWidth="1"/>
    <col min="41" max="41" width="17.83203125" bestFit="1" customWidth="1"/>
    <col min="42" max="42" width="21.83203125" bestFit="1" customWidth="1"/>
    <col min="43" max="43" width="20.1640625" bestFit="1" customWidth="1"/>
    <col min="44" max="44" width="15" bestFit="1" customWidth="1"/>
    <col min="45" max="45" width="24.5" bestFit="1" customWidth="1"/>
    <col min="46" max="46" width="13.33203125" bestFit="1" customWidth="1"/>
    <col min="47" max="47" width="21.83203125" bestFit="1" customWidth="1"/>
    <col min="48" max="48" width="36.5" bestFit="1" customWidth="1"/>
    <col min="49" max="49" width="23.83203125" bestFit="1" customWidth="1"/>
    <col min="50" max="50" width="17.1640625" bestFit="1" customWidth="1"/>
    <col min="51" max="51" width="29.6640625" bestFit="1" customWidth="1"/>
    <col min="52" max="52" width="33" bestFit="1" customWidth="1"/>
    <col min="53" max="53" width="35.5" bestFit="1" customWidth="1"/>
    <col min="54" max="54" width="21.83203125" bestFit="1" customWidth="1"/>
    <col min="55" max="55" width="24.33203125" bestFit="1" customWidth="1"/>
    <col min="56" max="56" width="17.83203125" bestFit="1" customWidth="1"/>
    <col min="57" max="57" width="25.83203125" bestFit="1" customWidth="1"/>
    <col min="58" max="58" width="35" bestFit="1" customWidth="1"/>
    <col min="59" max="59" width="26.33203125" bestFit="1" customWidth="1"/>
    <col min="60" max="60" width="12.33203125" bestFit="1" customWidth="1"/>
    <col min="61" max="61" width="20.5" bestFit="1" customWidth="1"/>
    <col min="62" max="62" width="15.6640625" bestFit="1" customWidth="1"/>
    <col min="63" max="64" width="18.5" bestFit="1" customWidth="1"/>
  </cols>
  <sheetData>
    <row r="1" spans="1:62">
      <c r="A1" s="119" t="s">
        <v>7</v>
      </c>
      <c r="B1" t="s">
        <v>73</v>
      </c>
    </row>
    <row r="2" spans="1:62">
      <c r="A2" s="119" t="s">
        <v>198</v>
      </c>
      <c r="B2" t="s">
        <v>222</v>
      </c>
    </row>
    <row r="4" spans="1:62">
      <c r="A4" s="119" t="s">
        <v>550</v>
      </c>
      <c r="B4" t="s">
        <v>552</v>
      </c>
      <c r="C4" t="s">
        <v>612</v>
      </c>
      <c r="D4" t="s">
        <v>610</v>
      </c>
      <c r="E4" t="s">
        <v>611</v>
      </c>
      <c r="F4" t="s">
        <v>609</v>
      </c>
      <c r="G4" t="s">
        <v>608</v>
      </c>
      <c r="H4" t="s">
        <v>556</v>
      </c>
      <c r="I4" t="s">
        <v>603</v>
      </c>
      <c r="J4" t="s">
        <v>604</v>
      </c>
      <c r="K4" t="s">
        <v>553</v>
      </c>
      <c r="L4" t="s">
        <v>554</v>
      </c>
      <c r="M4" t="s">
        <v>555</v>
      </c>
      <c r="N4" t="s">
        <v>557</v>
      </c>
      <c r="O4" t="s">
        <v>558</v>
      </c>
      <c r="P4" t="s">
        <v>559</v>
      </c>
      <c r="Q4" t="s">
        <v>560</v>
      </c>
      <c r="R4" t="s">
        <v>561</v>
      </c>
      <c r="S4" t="s">
        <v>562</v>
      </c>
      <c r="T4" t="s">
        <v>563</v>
      </c>
      <c r="U4" t="s">
        <v>564</v>
      </c>
      <c r="V4" t="s">
        <v>565</v>
      </c>
      <c r="W4" t="s">
        <v>566</v>
      </c>
      <c r="X4" t="s">
        <v>567</v>
      </c>
      <c r="Y4" t="s">
        <v>568</v>
      </c>
      <c r="Z4" t="s">
        <v>569</v>
      </c>
      <c r="AA4" t="s">
        <v>570</v>
      </c>
      <c r="AB4" t="s">
        <v>571</v>
      </c>
      <c r="AC4" t="s">
        <v>572</v>
      </c>
      <c r="AD4" t="s">
        <v>574</v>
      </c>
      <c r="AE4" t="s">
        <v>573</v>
      </c>
      <c r="AF4" t="s">
        <v>575</v>
      </c>
      <c r="AG4" t="s">
        <v>576</v>
      </c>
      <c r="AH4" t="s">
        <v>577</v>
      </c>
      <c r="AI4" t="s">
        <v>578</v>
      </c>
      <c r="AJ4" t="s">
        <v>579</v>
      </c>
      <c r="AK4" t="s">
        <v>580</v>
      </c>
      <c r="AL4" t="s">
        <v>581</v>
      </c>
      <c r="AM4" t="s">
        <v>582</v>
      </c>
      <c r="AN4" t="s">
        <v>583</v>
      </c>
      <c r="AO4" t="s">
        <v>584</v>
      </c>
      <c r="AP4" t="s">
        <v>585</v>
      </c>
      <c r="AQ4" t="s">
        <v>586</v>
      </c>
      <c r="AR4" t="s">
        <v>587</v>
      </c>
      <c r="AS4" t="s">
        <v>589</v>
      </c>
      <c r="AT4" t="s">
        <v>588</v>
      </c>
      <c r="AU4" t="s">
        <v>590</v>
      </c>
      <c r="AV4" t="s">
        <v>591</v>
      </c>
      <c r="AW4" t="s">
        <v>592</v>
      </c>
      <c r="AX4" t="s">
        <v>602</v>
      </c>
      <c r="AY4" t="s">
        <v>599</v>
      </c>
      <c r="AZ4" t="s">
        <v>600</v>
      </c>
      <c r="BA4" t="s">
        <v>601</v>
      </c>
      <c r="BB4" t="s">
        <v>598</v>
      </c>
      <c r="BC4" t="s">
        <v>597</v>
      </c>
      <c r="BD4" t="s">
        <v>596</v>
      </c>
      <c r="BE4" t="s">
        <v>593</v>
      </c>
      <c r="BF4" t="s">
        <v>594</v>
      </c>
      <c r="BG4" t="s">
        <v>595</v>
      </c>
      <c r="BH4" t="s">
        <v>605</v>
      </c>
      <c r="BI4" t="s">
        <v>606</v>
      </c>
      <c r="BJ4" t="s">
        <v>607</v>
      </c>
    </row>
    <row r="5" spans="1:62">
      <c r="A5" s="120" t="s">
        <v>273</v>
      </c>
      <c r="B5">
        <v>4</v>
      </c>
      <c r="C5">
        <v>0.12667444459407348</v>
      </c>
      <c r="D5">
        <v>1.6717762428241768E-3</v>
      </c>
      <c r="E5">
        <v>0.12737826808735897</v>
      </c>
      <c r="F5">
        <v>1.6778523489932886E-3</v>
      </c>
      <c r="G5" t="e">
        <v>#DIV/0!</v>
      </c>
      <c r="H5">
        <v>4</v>
      </c>
      <c r="I5">
        <v>4</v>
      </c>
      <c r="J5">
        <v>4</v>
      </c>
      <c r="K5">
        <v>4</v>
      </c>
      <c r="L5">
        <v>4</v>
      </c>
      <c r="M5">
        <v>4</v>
      </c>
      <c r="N5">
        <v>4</v>
      </c>
      <c r="O5">
        <v>4</v>
      </c>
      <c r="P5">
        <v>4</v>
      </c>
      <c r="Q5">
        <v>4</v>
      </c>
      <c r="R5">
        <v>4</v>
      </c>
      <c r="S5">
        <v>4</v>
      </c>
      <c r="T5">
        <v>4</v>
      </c>
      <c r="U5">
        <v>4</v>
      </c>
      <c r="V5">
        <v>4</v>
      </c>
      <c r="W5">
        <v>2</v>
      </c>
      <c r="X5">
        <v>0</v>
      </c>
      <c r="Y5">
        <v>0</v>
      </c>
      <c r="Z5">
        <v>0</v>
      </c>
      <c r="AA5">
        <v>0</v>
      </c>
      <c r="AB5">
        <v>0</v>
      </c>
      <c r="AC5">
        <v>0</v>
      </c>
      <c r="AD5">
        <v>0</v>
      </c>
      <c r="AE5">
        <v>0</v>
      </c>
      <c r="AF5">
        <v>0</v>
      </c>
      <c r="AG5">
        <v>0</v>
      </c>
      <c r="AH5">
        <v>4</v>
      </c>
      <c r="AI5">
        <v>0</v>
      </c>
      <c r="AJ5">
        <v>0</v>
      </c>
      <c r="AK5">
        <v>0</v>
      </c>
      <c r="AL5">
        <v>0</v>
      </c>
      <c r="AM5">
        <v>4</v>
      </c>
      <c r="AN5">
        <v>4</v>
      </c>
      <c r="AO5">
        <v>4</v>
      </c>
      <c r="AP5">
        <v>4</v>
      </c>
      <c r="AQ5">
        <v>4</v>
      </c>
      <c r="AR5">
        <v>4</v>
      </c>
      <c r="AS5">
        <v>4</v>
      </c>
      <c r="AT5">
        <v>4</v>
      </c>
      <c r="AU5">
        <v>4</v>
      </c>
      <c r="AW5">
        <v>4</v>
      </c>
      <c r="AX5">
        <v>4</v>
      </c>
      <c r="AY5">
        <v>4</v>
      </c>
      <c r="AZ5">
        <v>4</v>
      </c>
      <c r="BA5">
        <v>4</v>
      </c>
      <c r="BB5">
        <v>4</v>
      </c>
      <c r="BC5">
        <v>4</v>
      </c>
      <c r="BD5">
        <v>4</v>
      </c>
      <c r="BE5">
        <v>0</v>
      </c>
      <c r="BF5">
        <v>0</v>
      </c>
      <c r="BG5">
        <v>4</v>
      </c>
      <c r="BH5">
        <v>597</v>
      </c>
      <c r="BI5">
        <v>4</v>
      </c>
      <c r="BJ5">
        <v>4</v>
      </c>
    </row>
    <row r="6" spans="1:62">
      <c r="A6" s="120" t="s">
        <v>107</v>
      </c>
      <c r="B6">
        <v>14</v>
      </c>
      <c r="C6" t="e">
        <v>#VALUE!</v>
      </c>
      <c r="D6" t="e">
        <v>#VALUE!</v>
      </c>
      <c r="E6" t="e">
        <v>#VALUE!</v>
      </c>
      <c r="F6">
        <v>7.5811824421551682E-2</v>
      </c>
      <c r="G6" t="e">
        <v>#VALUE!</v>
      </c>
      <c r="H6">
        <v>14</v>
      </c>
      <c r="I6">
        <v>14</v>
      </c>
      <c r="J6">
        <v>14</v>
      </c>
      <c r="K6">
        <v>14</v>
      </c>
      <c r="L6">
        <v>14</v>
      </c>
      <c r="M6">
        <v>14</v>
      </c>
      <c r="N6">
        <v>14</v>
      </c>
      <c r="O6">
        <v>14</v>
      </c>
      <c r="P6">
        <v>14</v>
      </c>
      <c r="Q6">
        <v>14</v>
      </c>
      <c r="R6">
        <v>14</v>
      </c>
      <c r="S6">
        <v>14</v>
      </c>
      <c r="T6">
        <v>14</v>
      </c>
      <c r="U6">
        <v>14</v>
      </c>
      <c r="V6">
        <v>0</v>
      </c>
      <c r="W6">
        <v>10</v>
      </c>
      <c r="X6">
        <v>11</v>
      </c>
      <c r="Y6">
        <v>2</v>
      </c>
      <c r="Z6">
        <v>0</v>
      </c>
      <c r="AA6">
        <v>0</v>
      </c>
      <c r="AB6">
        <v>0</v>
      </c>
      <c r="AC6">
        <v>0</v>
      </c>
      <c r="AD6">
        <v>5</v>
      </c>
      <c r="AE6">
        <v>1</v>
      </c>
      <c r="AF6">
        <v>0</v>
      </c>
      <c r="AG6">
        <v>3</v>
      </c>
      <c r="AH6">
        <v>0</v>
      </c>
      <c r="AI6">
        <v>5</v>
      </c>
      <c r="AJ6">
        <v>0</v>
      </c>
      <c r="AK6">
        <v>0</v>
      </c>
      <c r="AL6">
        <v>0</v>
      </c>
      <c r="AM6">
        <v>14</v>
      </c>
      <c r="AN6">
        <v>14</v>
      </c>
      <c r="AO6">
        <v>14</v>
      </c>
      <c r="AP6">
        <v>14</v>
      </c>
      <c r="AQ6">
        <v>14</v>
      </c>
      <c r="AR6">
        <v>14</v>
      </c>
      <c r="AS6">
        <v>14</v>
      </c>
      <c r="AT6">
        <v>14</v>
      </c>
      <c r="AU6">
        <v>14</v>
      </c>
      <c r="AW6">
        <v>14</v>
      </c>
      <c r="AX6">
        <v>14</v>
      </c>
      <c r="AY6">
        <v>14</v>
      </c>
      <c r="AZ6">
        <v>14</v>
      </c>
      <c r="BA6">
        <v>14</v>
      </c>
      <c r="BB6">
        <v>14</v>
      </c>
      <c r="BC6">
        <v>14</v>
      </c>
      <c r="BD6">
        <v>14</v>
      </c>
      <c r="BE6">
        <v>0</v>
      </c>
      <c r="BF6">
        <v>0</v>
      </c>
      <c r="BG6">
        <v>2</v>
      </c>
      <c r="BH6">
        <v>229.57142857142858</v>
      </c>
      <c r="BI6">
        <v>14</v>
      </c>
      <c r="BJ6">
        <v>14</v>
      </c>
    </row>
    <row r="7" spans="1:62">
      <c r="A7" s="120" t="s">
        <v>217</v>
      </c>
      <c r="B7">
        <v>3</v>
      </c>
      <c r="C7">
        <v>6.5441999190393105E-3</v>
      </c>
      <c r="D7">
        <v>4.2833889728653879E-5</v>
      </c>
      <c r="E7">
        <v>6.5444801989653417E-3</v>
      </c>
      <c r="F7">
        <v>4.2837559972583958E-5</v>
      </c>
      <c r="G7" t="e">
        <v>#DIV/0!</v>
      </c>
      <c r="H7">
        <v>3</v>
      </c>
      <c r="I7">
        <v>3</v>
      </c>
      <c r="J7">
        <v>3</v>
      </c>
      <c r="K7">
        <v>3</v>
      </c>
      <c r="L7">
        <v>3</v>
      </c>
      <c r="M7">
        <v>3</v>
      </c>
      <c r="N7">
        <v>3</v>
      </c>
      <c r="O7">
        <v>3</v>
      </c>
      <c r="P7">
        <v>3</v>
      </c>
      <c r="Q7">
        <v>3</v>
      </c>
      <c r="R7">
        <v>3</v>
      </c>
      <c r="S7">
        <v>3</v>
      </c>
      <c r="T7">
        <v>3</v>
      </c>
      <c r="U7">
        <v>3</v>
      </c>
      <c r="V7">
        <v>0</v>
      </c>
      <c r="W7">
        <v>1</v>
      </c>
      <c r="X7">
        <v>0</v>
      </c>
      <c r="Y7">
        <v>2</v>
      </c>
      <c r="Z7">
        <v>0</v>
      </c>
      <c r="AA7">
        <v>0</v>
      </c>
      <c r="AB7">
        <v>0</v>
      </c>
      <c r="AC7">
        <v>0</v>
      </c>
      <c r="AD7">
        <v>0</v>
      </c>
      <c r="AE7">
        <v>0</v>
      </c>
      <c r="AF7">
        <v>0</v>
      </c>
      <c r="AG7">
        <v>0</v>
      </c>
      <c r="AH7">
        <v>0</v>
      </c>
      <c r="AI7">
        <v>0</v>
      </c>
      <c r="AJ7">
        <v>3</v>
      </c>
      <c r="AK7">
        <v>0</v>
      </c>
      <c r="AL7">
        <v>0</v>
      </c>
      <c r="AM7">
        <v>3</v>
      </c>
      <c r="AN7">
        <v>3</v>
      </c>
      <c r="AO7">
        <v>3</v>
      </c>
      <c r="AP7">
        <v>3</v>
      </c>
      <c r="AQ7">
        <v>3</v>
      </c>
      <c r="AR7">
        <v>3</v>
      </c>
      <c r="AS7">
        <v>3</v>
      </c>
      <c r="AT7">
        <v>3</v>
      </c>
      <c r="AU7">
        <v>3</v>
      </c>
      <c r="AV7">
        <v>3</v>
      </c>
      <c r="AW7">
        <v>3</v>
      </c>
      <c r="AX7">
        <v>3</v>
      </c>
      <c r="AY7">
        <v>3</v>
      </c>
      <c r="AZ7">
        <v>3</v>
      </c>
      <c r="BA7">
        <v>3</v>
      </c>
      <c r="BB7">
        <v>3</v>
      </c>
      <c r="BC7">
        <v>3</v>
      </c>
      <c r="BD7">
        <v>3</v>
      </c>
      <c r="BE7">
        <v>0</v>
      </c>
      <c r="BF7">
        <v>3</v>
      </c>
      <c r="BG7">
        <v>3</v>
      </c>
      <c r="BH7">
        <v>23345</v>
      </c>
      <c r="BI7">
        <v>3</v>
      </c>
      <c r="BJ7">
        <v>3</v>
      </c>
    </row>
    <row r="8" spans="1:62">
      <c r="A8" s="120" t="s">
        <v>93</v>
      </c>
      <c r="B8">
        <v>5</v>
      </c>
      <c r="C8">
        <v>2.6124206533931365E-2</v>
      </c>
      <c r="D8">
        <v>5.5740278889406674E-4</v>
      </c>
      <c r="E8">
        <v>2.6184664849851047E-2</v>
      </c>
      <c r="F8">
        <v>5.5843820412258285E-4</v>
      </c>
      <c r="G8" t="e">
        <v>#DIV/0!</v>
      </c>
      <c r="H8">
        <v>5</v>
      </c>
      <c r="I8">
        <v>5</v>
      </c>
      <c r="J8">
        <v>5</v>
      </c>
      <c r="K8">
        <v>5</v>
      </c>
      <c r="L8">
        <v>5</v>
      </c>
      <c r="M8">
        <v>5</v>
      </c>
      <c r="N8">
        <v>5</v>
      </c>
      <c r="O8">
        <v>5</v>
      </c>
      <c r="P8">
        <v>5</v>
      </c>
      <c r="Q8">
        <v>5</v>
      </c>
      <c r="R8">
        <v>5</v>
      </c>
      <c r="S8">
        <v>5</v>
      </c>
      <c r="T8">
        <v>5</v>
      </c>
      <c r="U8">
        <v>5</v>
      </c>
      <c r="V8">
        <v>0</v>
      </c>
      <c r="W8">
        <v>4</v>
      </c>
      <c r="X8">
        <v>0</v>
      </c>
      <c r="Y8">
        <v>2</v>
      </c>
      <c r="Z8">
        <v>2</v>
      </c>
      <c r="AA8">
        <v>0</v>
      </c>
      <c r="AB8">
        <v>0</v>
      </c>
      <c r="AC8">
        <v>0</v>
      </c>
      <c r="AD8">
        <v>0</v>
      </c>
      <c r="AE8">
        <v>0</v>
      </c>
      <c r="AF8">
        <v>0</v>
      </c>
      <c r="AG8">
        <v>0</v>
      </c>
      <c r="AH8">
        <v>2</v>
      </c>
      <c r="AI8">
        <v>3</v>
      </c>
      <c r="AJ8">
        <v>0</v>
      </c>
      <c r="AK8">
        <v>0</v>
      </c>
      <c r="AL8">
        <v>0</v>
      </c>
      <c r="AM8">
        <v>5</v>
      </c>
      <c r="AN8">
        <v>5</v>
      </c>
      <c r="AO8">
        <v>5</v>
      </c>
      <c r="AP8">
        <v>5</v>
      </c>
      <c r="AQ8">
        <v>5</v>
      </c>
      <c r="AR8">
        <v>5</v>
      </c>
      <c r="AS8">
        <v>5</v>
      </c>
      <c r="AT8">
        <v>5</v>
      </c>
      <c r="AU8">
        <v>5</v>
      </c>
      <c r="AV8">
        <v>5</v>
      </c>
      <c r="AW8">
        <v>5</v>
      </c>
      <c r="AX8">
        <v>5</v>
      </c>
      <c r="AY8">
        <v>5</v>
      </c>
      <c r="AZ8">
        <v>5</v>
      </c>
      <c r="BA8">
        <v>5</v>
      </c>
      <c r="BB8">
        <v>5</v>
      </c>
      <c r="BC8">
        <v>5</v>
      </c>
      <c r="BD8">
        <v>5</v>
      </c>
      <c r="BE8">
        <v>0</v>
      </c>
      <c r="BF8">
        <v>0</v>
      </c>
      <c r="BG8">
        <v>5</v>
      </c>
      <c r="BH8">
        <v>33088.6</v>
      </c>
      <c r="BI8">
        <v>5</v>
      </c>
      <c r="BJ8">
        <v>5</v>
      </c>
    </row>
    <row r="9" spans="1:62">
      <c r="A9" s="120" t="s">
        <v>155</v>
      </c>
      <c r="B9">
        <v>51</v>
      </c>
      <c r="C9">
        <v>0.15701583467056218</v>
      </c>
      <c r="D9">
        <v>2.2131511653333946E-3</v>
      </c>
      <c r="E9">
        <v>0.19054785480046874</v>
      </c>
      <c r="F9">
        <v>5.0063898345289294E-3</v>
      </c>
      <c r="G9">
        <v>7.2794724575885664E-2</v>
      </c>
      <c r="H9">
        <v>51</v>
      </c>
      <c r="I9">
        <v>51</v>
      </c>
      <c r="J9">
        <v>51</v>
      </c>
      <c r="K9">
        <v>51</v>
      </c>
      <c r="L9">
        <v>51</v>
      </c>
      <c r="M9">
        <v>51</v>
      </c>
      <c r="N9">
        <v>51</v>
      </c>
      <c r="O9">
        <v>51</v>
      </c>
      <c r="P9">
        <v>51</v>
      </c>
      <c r="Q9">
        <v>51</v>
      </c>
      <c r="R9">
        <v>51</v>
      </c>
      <c r="S9">
        <v>51</v>
      </c>
      <c r="T9">
        <v>51</v>
      </c>
      <c r="U9">
        <v>51</v>
      </c>
      <c r="V9">
        <v>0</v>
      </c>
      <c r="W9">
        <v>10</v>
      </c>
      <c r="X9">
        <v>28</v>
      </c>
      <c r="Y9">
        <v>11</v>
      </c>
      <c r="Z9">
        <v>0</v>
      </c>
      <c r="AA9">
        <v>6</v>
      </c>
      <c r="AB9">
        <v>1</v>
      </c>
      <c r="AC9">
        <v>0</v>
      </c>
      <c r="AD9">
        <v>0</v>
      </c>
      <c r="AE9">
        <v>10</v>
      </c>
      <c r="AF9">
        <v>3</v>
      </c>
      <c r="AG9">
        <v>7</v>
      </c>
      <c r="AH9">
        <v>0</v>
      </c>
      <c r="AI9">
        <v>6</v>
      </c>
      <c r="AJ9">
        <v>6</v>
      </c>
      <c r="AK9">
        <v>6</v>
      </c>
      <c r="AL9">
        <v>13</v>
      </c>
      <c r="AM9">
        <v>51</v>
      </c>
      <c r="AN9">
        <v>51</v>
      </c>
      <c r="AO9">
        <v>51</v>
      </c>
      <c r="AP9">
        <v>51</v>
      </c>
      <c r="AQ9">
        <v>51</v>
      </c>
      <c r="AR9">
        <v>51</v>
      </c>
      <c r="AS9">
        <v>51</v>
      </c>
      <c r="AT9">
        <v>51</v>
      </c>
      <c r="AU9">
        <v>51</v>
      </c>
      <c r="AV9">
        <v>51</v>
      </c>
      <c r="AW9">
        <v>51</v>
      </c>
      <c r="AX9">
        <v>51</v>
      </c>
      <c r="AY9">
        <v>51</v>
      </c>
      <c r="AZ9">
        <v>51</v>
      </c>
      <c r="BA9">
        <v>51</v>
      </c>
      <c r="BB9">
        <v>51</v>
      </c>
      <c r="BC9">
        <v>51</v>
      </c>
      <c r="BD9">
        <v>51</v>
      </c>
      <c r="BE9">
        <v>6</v>
      </c>
      <c r="BF9">
        <v>0</v>
      </c>
      <c r="BG9">
        <v>33</v>
      </c>
      <c r="BH9">
        <v>430.80392156862746</v>
      </c>
      <c r="BI9">
        <v>51</v>
      </c>
      <c r="BJ9">
        <v>51</v>
      </c>
    </row>
    <row r="10" spans="1:62">
      <c r="A10" s="120" t="s">
        <v>275</v>
      </c>
      <c r="B10">
        <v>23</v>
      </c>
      <c r="C10">
        <v>9.4272765577602682E-2</v>
      </c>
      <c r="D10">
        <v>2.1985314255774943E-3</v>
      </c>
      <c r="E10">
        <v>9.7036508933239313E-2</v>
      </c>
      <c r="F10">
        <v>2.2248736472220932E-3</v>
      </c>
      <c r="G10" t="e">
        <v>#DIV/0!</v>
      </c>
      <c r="H10">
        <v>23</v>
      </c>
      <c r="I10">
        <v>23</v>
      </c>
      <c r="J10">
        <v>23</v>
      </c>
      <c r="K10">
        <v>23</v>
      </c>
      <c r="L10">
        <v>23</v>
      </c>
      <c r="M10">
        <v>23</v>
      </c>
      <c r="N10">
        <v>23</v>
      </c>
      <c r="O10">
        <v>23</v>
      </c>
      <c r="P10">
        <v>23</v>
      </c>
      <c r="Q10">
        <v>23</v>
      </c>
      <c r="R10">
        <v>23</v>
      </c>
      <c r="S10">
        <v>23</v>
      </c>
      <c r="T10">
        <v>23</v>
      </c>
      <c r="U10">
        <v>23</v>
      </c>
      <c r="V10">
        <v>0</v>
      </c>
      <c r="W10">
        <v>0</v>
      </c>
      <c r="X10">
        <v>3</v>
      </c>
      <c r="Y10">
        <v>5</v>
      </c>
      <c r="Z10">
        <v>0</v>
      </c>
      <c r="AA10">
        <v>12</v>
      </c>
      <c r="AB10">
        <v>3</v>
      </c>
      <c r="AC10">
        <v>0</v>
      </c>
      <c r="AD10">
        <v>0</v>
      </c>
      <c r="AE10">
        <v>1</v>
      </c>
      <c r="AF10">
        <v>0</v>
      </c>
      <c r="AG10">
        <v>10</v>
      </c>
      <c r="AH10">
        <v>0</v>
      </c>
      <c r="AI10">
        <v>0</v>
      </c>
      <c r="AJ10">
        <v>12</v>
      </c>
      <c r="AK10">
        <v>0</v>
      </c>
      <c r="AL10">
        <v>0</v>
      </c>
      <c r="AM10">
        <v>23</v>
      </c>
      <c r="AN10">
        <v>23</v>
      </c>
      <c r="AO10">
        <v>23</v>
      </c>
      <c r="AP10">
        <v>23</v>
      </c>
      <c r="AQ10">
        <v>23</v>
      </c>
      <c r="AR10">
        <v>23</v>
      </c>
      <c r="AS10">
        <v>23</v>
      </c>
      <c r="AT10">
        <v>23</v>
      </c>
      <c r="AU10">
        <v>23</v>
      </c>
      <c r="AV10">
        <v>23</v>
      </c>
      <c r="AW10">
        <v>23</v>
      </c>
      <c r="AX10">
        <v>23</v>
      </c>
      <c r="AY10">
        <v>23</v>
      </c>
      <c r="AZ10">
        <v>23</v>
      </c>
      <c r="BA10">
        <v>23</v>
      </c>
      <c r="BB10">
        <v>23</v>
      </c>
      <c r="BC10">
        <v>23</v>
      </c>
      <c r="BD10">
        <v>23</v>
      </c>
      <c r="BE10">
        <v>12</v>
      </c>
      <c r="BF10">
        <v>14</v>
      </c>
      <c r="BG10">
        <v>21</v>
      </c>
      <c r="BH10">
        <v>598.78260869565213</v>
      </c>
      <c r="BI10">
        <v>23</v>
      </c>
      <c r="BJ10">
        <v>23</v>
      </c>
    </row>
    <row r="11" spans="1:62">
      <c r="A11" s="120" t="s">
        <v>335</v>
      </c>
      <c r="B11">
        <v>4</v>
      </c>
      <c r="C11">
        <v>6.3640148973810429E-2</v>
      </c>
      <c r="D11">
        <v>7.2119914323460121E-4</v>
      </c>
      <c r="E11">
        <v>6.3885706505239462E-2</v>
      </c>
      <c r="F11">
        <v>7.2354148412971209E-4</v>
      </c>
      <c r="G11" t="e">
        <v>#DIV/0!</v>
      </c>
      <c r="H11">
        <v>4</v>
      </c>
      <c r="I11">
        <v>4</v>
      </c>
      <c r="J11">
        <v>4</v>
      </c>
      <c r="K11">
        <v>4</v>
      </c>
      <c r="L11">
        <v>4</v>
      </c>
      <c r="M11">
        <v>4</v>
      </c>
      <c r="N11">
        <v>4</v>
      </c>
      <c r="O11">
        <v>4</v>
      </c>
      <c r="P11">
        <v>4</v>
      </c>
      <c r="Q11">
        <v>4</v>
      </c>
      <c r="R11">
        <v>4</v>
      </c>
      <c r="S11">
        <v>4</v>
      </c>
      <c r="T11">
        <v>4</v>
      </c>
      <c r="U11">
        <v>4</v>
      </c>
      <c r="V11">
        <v>0</v>
      </c>
      <c r="W11">
        <v>0</v>
      </c>
      <c r="X11">
        <v>1</v>
      </c>
      <c r="Y11">
        <v>0</v>
      </c>
      <c r="Z11">
        <v>0</v>
      </c>
      <c r="AA11">
        <v>3</v>
      </c>
      <c r="AB11">
        <v>0</v>
      </c>
      <c r="AC11">
        <v>0</v>
      </c>
      <c r="AD11">
        <v>0</v>
      </c>
      <c r="AE11">
        <v>0</v>
      </c>
      <c r="AF11">
        <v>0</v>
      </c>
      <c r="AG11">
        <v>1</v>
      </c>
      <c r="AH11">
        <v>0</v>
      </c>
      <c r="AI11">
        <v>0</v>
      </c>
      <c r="AJ11">
        <v>3</v>
      </c>
      <c r="AK11">
        <v>0</v>
      </c>
      <c r="AL11">
        <v>0</v>
      </c>
      <c r="AM11">
        <v>4</v>
      </c>
      <c r="AN11">
        <v>4</v>
      </c>
      <c r="AO11">
        <v>4</v>
      </c>
      <c r="AP11">
        <v>4</v>
      </c>
      <c r="AQ11">
        <v>4</v>
      </c>
      <c r="AR11">
        <v>4</v>
      </c>
      <c r="AS11">
        <v>4</v>
      </c>
      <c r="AT11">
        <v>4</v>
      </c>
      <c r="AU11">
        <v>4</v>
      </c>
      <c r="AV11">
        <v>4</v>
      </c>
      <c r="AW11">
        <v>4</v>
      </c>
      <c r="AX11">
        <v>4</v>
      </c>
      <c r="AY11">
        <v>4</v>
      </c>
      <c r="AZ11">
        <v>4</v>
      </c>
      <c r="BA11">
        <v>4</v>
      </c>
      <c r="BB11">
        <v>4</v>
      </c>
      <c r="BC11">
        <v>4</v>
      </c>
      <c r="BD11">
        <v>4</v>
      </c>
      <c r="BE11">
        <v>3</v>
      </c>
      <c r="BF11">
        <v>3</v>
      </c>
      <c r="BG11">
        <v>4</v>
      </c>
      <c r="BH11">
        <v>2676</v>
      </c>
      <c r="BI11">
        <v>4</v>
      </c>
      <c r="BJ11">
        <v>4</v>
      </c>
    </row>
    <row r="12" spans="1:62">
      <c r="A12" s="120" t="s">
        <v>321</v>
      </c>
      <c r="B12">
        <v>2</v>
      </c>
      <c r="C12">
        <v>4.7864102867770673E-2</v>
      </c>
      <c r="D12">
        <v>3.4375888847855613E-4</v>
      </c>
      <c r="E12">
        <v>4.7901151747069298E-2</v>
      </c>
      <c r="F12">
        <v>3.4399724802201581E-4</v>
      </c>
      <c r="G12" t="e">
        <v>#DIV/0!</v>
      </c>
      <c r="H12">
        <v>2</v>
      </c>
      <c r="I12">
        <v>2</v>
      </c>
      <c r="J12">
        <v>2</v>
      </c>
      <c r="K12">
        <v>2</v>
      </c>
      <c r="L12">
        <v>2</v>
      </c>
      <c r="M12">
        <v>2</v>
      </c>
      <c r="N12">
        <v>2</v>
      </c>
      <c r="O12">
        <v>2</v>
      </c>
      <c r="P12">
        <v>2</v>
      </c>
      <c r="Q12">
        <v>2</v>
      </c>
      <c r="R12">
        <v>2</v>
      </c>
      <c r="S12">
        <v>2</v>
      </c>
      <c r="T12">
        <v>2</v>
      </c>
      <c r="U12">
        <v>2</v>
      </c>
      <c r="V12">
        <v>0</v>
      </c>
      <c r="W12">
        <v>2</v>
      </c>
      <c r="X12">
        <v>0</v>
      </c>
      <c r="Y12">
        <v>0</v>
      </c>
      <c r="Z12">
        <v>0</v>
      </c>
      <c r="AA12">
        <v>0</v>
      </c>
      <c r="AB12">
        <v>0</v>
      </c>
      <c r="AC12">
        <v>0</v>
      </c>
      <c r="AD12">
        <v>0</v>
      </c>
      <c r="AE12">
        <v>0</v>
      </c>
      <c r="AF12">
        <v>0</v>
      </c>
      <c r="AG12">
        <v>2</v>
      </c>
      <c r="AH12">
        <v>0</v>
      </c>
      <c r="AI12">
        <v>0</v>
      </c>
      <c r="AJ12">
        <v>0</v>
      </c>
      <c r="AK12">
        <v>0</v>
      </c>
      <c r="AL12">
        <v>0</v>
      </c>
      <c r="AM12">
        <v>2</v>
      </c>
      <c r="AN12">
        <v>2</v>
      </c>
      <c r="AO12">
        <v>2</v>
      </c>
      <c r="AP12">
        <v>2</v>
      </c>
      <c r="AQ12">
        <v>2</v>
      </c>
      <c r="AR12">
        <v>2</v>
      </c>
      <c r="AS12">
        <v>2</v>
      </c>
      <c r="AT12">
        <v>2</v>
      </c>
      <c r="AU12">
        <v>2</v>
      </c>
      <c r="AV12">
        <v>2</v>
      </c>
      <c r="AW12">
        <v>2</v>
      </c>
      <c r="AX12">
        <v>2</v>
      </c>
      <c r="AY12">
        <v>2</v>
      </c>
      <c r="AZ12">
        <v>2</v>
      </c>
      <c r="BA12">
        <v>2</v>
      </c>
      <c r="BB12">
        <v>2</v>
      </c>
      <c r="BC12">
        <v>2</v>
      </c>
      <c r="BD12">
        <v>2</v>
      </c>
      <c r="BE12">
        <v>0</v>
      </c>
      <c r="BF12">
        <v>0</v>
      </c>
      <c r="BG12">
        <v>0</v>
      </c>
      <c r="BH12">
        <v>2908</v>
      </c>
      <c r="BI12">
        <v>2</v>
      </c>
      <c r="BJ12">
        <v>2</v>
      </c>
    </row>
    <row r="13" spans="1:62">
      <c r="A13" s="120" t="s">
        <v>262</v>
      </c>
      <c r="B13">
        <v>6</v>
      </c>
      <c r="C13">
        <v>4.913282308003452E-2</v>
      </c>
      <c r="D13">
        <v>7.4214652450160356E-4</v>
      </c>
      <c r="E13">
        <v>4.9208398587140954E-2</v>
      </c>
      <c r="F13">
        <v>7.4367429486905088E-4</v>
      </c>
      <c r="G13" t="e">
        <v>#DIV/0!</v>
      </c>
      <c r="H13">
        <v>6</v>
      </c>
      <c r="I13">
        <v>6</v>
      </c>
      <c r="J13">
        <v>6</v>
      </c>
      <c r="K13">
        <v>6</v>
      </c>
      <c r="L13">
        <v>6</v>
      </c>
      <c r="M13">
        <v>6</v>
      </c>
      <c r="N13">
        <v>6</v>
      </c>
      <c r="O13">
        <v>6</v>
      </c>
      <c r="P13">
        <v>6</v>
      </c>
      <c r="Q13">
        <v>6</v>
      </c>
      <c r="R13">
        <v>6</v>
      </c>
      <c r="S13">
        <v>6</v>
      </c>
      <c r="T13">
        <v>6</v>
      </c>
      <c r="U13">
        <v>6</v>
      </c>
      <c r="V13">
        <v>0</v>
      </c>
      <c r="W13">
        <v>0</v>
      </c>
      <c r="X13">
        <v>0</v>
      </c>
      <c r="Y13">
        <v>0</v>
      </c>
      <c r="Z13">
        <v>0</v>
      </c>
      <c r="AA13">
        <v>6</v>
      </c>
      <c r="AB13">
        <v>0</v>
      </c>
      <c r="AC13">
        <v>0</v>
      </c>
      <c r="AD13">
        <v>0</v>
      </c>
      <c r="AE13">
        <v>0</v>
      </c>
      <c r="AF13">
        <v>0</v>
      </c>
      <c r="AG13">
        <v>0</v>
      </c>
      <c r="AH13">
        <v>0</v>
      </c>
      <c r="AI13">
        <v>0</v>
      </c>
      <c r="AJ13">
        <v>6</v>
      </c>
      <c r="AK13">
        <v>0</v>
      </c>
      <c r="AL13">
        <v>0</v>
      </c>
      <c r="AM13">
        <v>6</v>
      </c>
      <c r="AN13">
        <v>6</v>
      </c>
      <c r="AO13">
        <v>6</v>
      </c>
      <c r="AP13">
        <v>6</v>
      </c>
      <c r="AQ13">
        <v>6</v>
      </c>
      <c r="AR13">
        <v>6</v>
      </c>
      <c r="AS13">
        <v>6</v>
      </c>
      <c r="AT13">
        <v>6</v>
      </c>
      <c r="AU13">
        <v>6</v>
      </c>
      <c r="AV13">
        <v>6</v>
      </c>
      <c r="AW13">
        <v>6</v>
      </c>
      <c r="AX13">
        <v>6</v>
      </c>
      <c r="AY13">
        <v>6</v>
      </c>
      <c r="AZ13">
        <v>6</v>
      </c>
      <c r="BA13">
        <v>6</v>
      </c>
      <c r="BB13">
        <v>6</v>
      </c>
      <c r="BC13">
        <v>6</v>
      </c>
      <c r="BD13">
        <v>6</v>
      </c>
      <c r="BE13">
        <v>6</v>
      </c>
      <c r="BF13">
        <v>6</v>
      </c>
      <c r="BG13">
        <v>6</v>
      </c>
      <c r="BH13">
        <v>2120.5</v>
      </c>
      <c r="BI13">
        <v>6</v>
      </c>
      <c r="BJ13">
        <v>6</v>
      </c>
    </row>
    <row r="14" spans="1:62">
      <c r="A14" s="120" t="s">
        <v>306</v>
      </c>
      <c r="B14">
        <v>6</v>
      </c>
      <c r="C14">
        <v>0.15124181441320864</v>
      </c>
      <c r="D14">
        <v>5.5369346405094002E-3</v>
      </c>
      <c r="E14">
        <v>0.15250197300297083</v>
      </c>
      <c r="F14">
        <v>5.6027217679006187E-3</v>
      </c>
      <c r="G14" t="e">
        <v>#DIV/0!</v>
      </c>
      <c r="H14">
        <v>6</v>
      </c>
      <c r="I14">
        <v>6</v>
      </c>
      <c r="J14">
        <v>6</v>
      </c>
      <c r="K14">
        <v>6</v>
      </c>
      <c r="L14">
        <v>6</v>
      </c>
      <c r="M14">
        <v>6</v>
      </c>
      <c r="N14">
        <v>6</v>
      </c>
      <c r="O14">
        <v>6</v>
      </c>
      <c r="P14">
        <v>6</v>
      </c>
      <c r="Q14">
        <v>6</v>
      </c>
      <c r="R14">
        <v>6</v>
      </c>
      <c r="S14">
        <v>6</v>
      </c>
      <c r="T14">
        <v>6</v>
      </c>
      <c r="U14">
        <v>6</v>
      </c>
      <c r="V14">
        <v>2</v>
      </c>
      <c r="W14">
        <v>0</v>
      </c>
      <c r="X14">
        <v>0</v>
      </c>
      <c r="Y14">
        <v>0</v>
      </c>
      <c r="Z14">
        <v>0</v>
      </c>
      <c r="AA14">
        <v>2</v>
      </c>
      <c r="AB14">
        <v>2</v>
      </c>
      <c r="AC14">
        <v>0</v>
      </c>
      <c r="AD14">
        <v>0</v>
      </c>
      <c r="AE14">
        <v>0</v>
      </c>
      <c r="AF14">
        <v>0</v>
      </c>
      <c r="AG14">
        <v>0</v>
      </c>
      <c r="AH14">
        <v>0</v>
      </c>
      <c r="AI14">
        <v>0</v>
      </c>
      <c r="AJ14">
        <v>3</v>
      </c>
      <c r="AK14">
        <v>3</v>
      </c>
      <c r="AL14">
        <v>0</v>
      </c>
      <c r="AM14">
        <v>6</v>
      </c>
      <c r="AN14">
        <v>6</v>
      </c>
      <c r="AO14">
        <v>6</v>
      </c>
      <c r="AP14">
        <v>6</v>
      </c>
      <c r="AQ14">
        <v>6</v>
      </c>
      <c r="AR14">
        <v>6</v>
      </c>
      <c r="AS14">
        <v>6</v>
      </c>
      <c r="AT14">
        <v>6</v>
      </c>
      <c r="AU14">
        <v>6</v>
      </c>
      <c r="AV14">
        <v>6</v>
      </c>
      <c r="AW14">
        <v>6</v>
      </c>
      <c r="AX14">
        <v>6</v>
      </c>
      <c r="AY14">
        <v>6</v>
      </c>
      <c r="AZ14">
        <v>6</v>
      </c>
      <c r="BA14">
        <v>6</v>
      </c>
      <c r="BB14">
        <v>6</v>
      </c>
      <c r="BC14">
        <v>6</v>
      </c>
      <c r="BD14">
        <v>6</v>
      </c>
      <c r="BE14">
        <v>0</v>
      </c>
      <c r="BF14">
        <v>0</v>
      </c>
      <c r="BG14">
        <v>6</v>
      </c>
      <c r="BH14">
        <v>180.5</v>
      </c>
      <c r="BI14">
        <v>6</v>
      </c>
      <c r="BJ14">
        <v>6</v>
      </c>
    </row>
    <row r="15" spans="1:62">
      <c r="A15" s="120" t="s">
        <v>287</v>
      </c>
      <c r="B15">
        <v>3</v>
      </c>
      <c r="C15">
        <v>3.5373638587390531E-2</v>
      </c>
      <c r="D15">
        <v>2.026727352956525E-4</v>
      </c>
      <c r="E15">
        <v>3.5391879066880579E-2</v>
      </c>
      <c r="F15">
        <v>2.0278094139832979E-4</v>
      </c>
      <c r="G15" t="e">
        <v>#DIV/0!</v>
      </c>
      <c r="H15">
        <v>3</v>
      </c>
      <c r="I15">
        <v>3</v>
      </c>
      <c r="J15">
        <v>3</v>
      </c>
      <c r="K15">
        <v>3</v>
      </c>
      <c r="L15">
        <v>3</v>
      </c>
      <c r="M15">
        <v>3</v>
      </c>
      <c r="N15">
        <v>3</v>
      </c>
      <c r="O15">
        <v>3</v>
      </c>
      <c r="P15">
        <v>3</v>
      </c>
      <c r="Q15">
        <v>3</v>
      </c>
      <c r="R15">
        <v>3</v>
      </c>
      <c r="S15">
        <v>3</v>
      </c>
      <c r="T15">
        <v>3</v>
      </c>
      <c r="U15">
        <v>3</v>
      </c>
      <c r="V15">
        <v>0</v>
      </c>
      <c r="W15">
        <v>0</v>
      </c>
      <c r="X15">
        <v>3</v>
      </c>
      <c r="Y15">
        <v>0</v>
      </c>
      <c r="Z15">
        <v>0</v>
      </c>
      <c r="AA15">
        <v>0</v>
      </c>
      <c r="AB15">
        <v>0</v>
      </c>
      <c r="AC15">
        <v>0</v>
      </c>
      <c r="AD15">
        <v>0</v>
      </c>
      <c r="AE15">
        <v>2</v>
      </c>
      <c r="AF15">
        <v>0</v>
      </c>
      <c r="AG15">
        <v>2</v>
      </c>
      <c r="AH15">
        <v>0</v>
      </c>
      <c r="AI15">
        <v>1</v>
      </c>
      <c r="AJ15">
        <v>0</v>
      </c>
      <c r="AK15">
        <v>0</v>
      </c>
      <c r="AL15">
        <v>0</v>
      </c>
      <c r="AM15">
        <v>3</v>
      </c>
      <c r="AN15">
        <v>3</v>
      </c>
      <c r="AO15">
        <v>3</v>
      </c>
      <c r="AP15">
        <v>3</v>
      </c>
      <c r="AQ15">
        <v>3</v>
      </c>
      <c r="AR15">
        <v>3</v>
      </c>
      <c r="AS15">
        <v>3</v>
      </c>
      <c r="AT15">
        <v>3</v>
      </c>
      <c r="AU15">
        <v>3</v>
      </c>
      <c r="AV15">
        <v>3</v>
      </c>
      <c r="AW15">
        <v>3</v>
      </c>
      <c r="AX15">
        <v>3</v>
      </c>
      <c r="AY15">
        <v>3</v>
      </c>
      <c r="AZ15">
        <v>3</v>
      </c>
      <c r="BA15">
        <v>3</v>
      </c>
      <c r="BB15">
        <v>3</v>
      </c>
      <c r="BC15">
        <v>3</v>
      </c>
      <c r="BD15">
        <v>3</v>
      </c>
      <c r="BE15">
        <v>0</v>
      </c>
      <c r="BF15">
        <v>3</v>
      </c>
      <c r="BG15">
        <v>3</v>
      </c>
      <c r="BH15">
        <v>6330.333333333333</v>
      </c>
      <c r="BI15">
        <v>3</v>
      </c>
      <c r="BJ15">
        <v>3</v>
      </c>
    </row>
    <row r="16" spans="1:62">
      <c r="A16" s="120" t="s">
        <v>244</v>
      </c>
      <c r="B16">
        <v>22</v>
      </c>
      <c r="C16">
        <v>3.8693233846490677E-2</v>
      </c>
      <c r="D16">
        <v>4.0932782952077268E-4</v>
      </c>
      <c r="E16">
        <v>3.8715158298460652E-2</v>
      </c>
      <c r="F16">
        <v>4.0977270515700682E-4</v>
      </c>
      <c r="G16" t="e">
        <v>#DIV/0!</v>
      </c>
      <c r="H16">
        <v>22</v>
      </c>
      <c r="I16">
        <v>22</v>
      </c>
      <c r="J16">
        <v>22</v>
      </c>
      <c r="K16">
        <v>22</v>
      </c>
      <c r="L16">
        <v>22</v>
      </c>
      <c r="M16">
        <v>22</v>
      </c>
      <c r="N16">
        <v>22</v>
      </c>
      <c r="O16">
        <v>22</v>
      </c>
      <c r="P16">
        <v>22</v>
      </c>
      <c r="Q16">
        <v>22</v>
      </c>
      <c r="R16">
        <v>22</v>
      </c>
      <c r="S16">
        <v>22</v>
      </c>
      <c r="T16">
        <v>22</v>
      </c>
      <c r="U16">
        <v>22</v>
      </c>
      <c r="V16">
        <v>0</v>
      </c>
      <c r="W16">
        <v>0</v>
      </c>
      <c r="X16">
        <v>12</v>
      </c>
      <c r="Y16">
        <v>10</v>
      </c>
      <c r="Z16">
        <v>0</v>
      </c>
      <c r="AA16">
        <v>0</v>
      </c>
      <c r="AB16">
        <v>0</v>
      </c>
      <c r="AC16">
        <v>0</v>
      </c>
      <c r="AD16">
        <v>0</v>
      </c>
      <c r="AE16">
        <v>0</v>
      </c>
      <c r="AF16">
        <v>0</v>
      </c>
      <c r="AG16">
        <v>0</v>
      </c>
      <c r="AH16">
        <v>0</v>
      </c>
      <c r="AI16">
        <v>0</v>
      </c>
      <c r="AJ16">
        <v>0</v>
      </c>
      <c r="AK16">
        <v>10</v>
      </c>
      <c r="AL16">
        <v>0</v>
      </c>
      <c r="AM16">
        <v>22</v>
      </c>
      <c r="AN16">
        <v>22</v>
      </c>
      <c r="AO16">
        <v>22</v>
      </c>
      <c r="AP16">
        <v>22</v>
      </c>
      <c r="AQ16">
        <v>22</v>
      </c>
      <c r="AR16">
        <v>22</v>
      </c>
      <c r="AS16">
        <v>22</v>
      </c>
      <c r="AT16">
        <v>22</v>
      </c>
      <c r="AU16">
        <v>22</v>
      </c>
      <c r="AV16">
        <v>22</v>
      </c>
      <c r="AW16">
        <v>22</v>
      </c>
      <c r="AX16">
        <v>22</v>
      </c>
      <c r="AY16">
        <v>22</v>
      </c>
      <c r="AZ16">
        <v>22</v>
      </c>
      <c r="BA16">
        <v>22</v>
      </c>
      <c r="BB16">
        <v>22</v>
      </c>
      <c r="BC16">
        <v>22</v>
      </c>
      <c r="BD16">
        <v>22</v>
      </c>
      <c r="BE16">
        <v>10</v>
      </c>
      <c r="BF16">
        <v>12</v>
      </c>
      <c r="BG16">
        <v>12</v>
      </c>
      <c r="BH16">
        <v>3806.7272727272725</v>
      </c>
      <c r="BI16">
        <v>22</v>
      </c>
      <c r="BJ16">
        <v>22</v>
      </c>
    </row>
    <row r="17" spans="1:62">
      <c r="A17" s="120" t="s">
        <v>172</v>
      </c>
      <c r="B17">
        <v>1</v>
      </c>
      <c r="C17">
        <v>1.1888103724369721E-2</v>
      </c>
      <c r="D17">
        <v>5.2241144082275201E-5</v>
      </c>
      <c r="E17">
        <v>1.1888663808582136E-2</v>
      </c>
      <c r="F17">
        <v>5.2246603970741903E-5</v>
      </c>
      <c r="G17" t="e">
        <v>#DIV/0!</v>
      </c>
      <c r="H17">
        <v>1</v>
      </c>
      <c r="I17">
        <v>1</v>
      </c>
      <c r="J17">
        <v>1</v>
      </c>
      <c r="K17">
        <v>1</v>
      </c>
      <c r="L17">
        <v>1</v>
      </c>
      <c r="M17">
        <v>1</v>
      </c>
      <c r="N17">
        <v>1</v>
      </c>
      <c r="O17">
        <v>1</v>
      </c>
      <c r="P17">
        <v>1</v>
      </c>
      <c r="Q17">
        <v>1</v>
      </c>
      <c r="R17">
        <v>1</v>
      </c>
      <c r="S17">
        <v>1</v>
      </c>
      <c r="T17">
        <v>1</v>
      </c>
      <c r="U17">
        <v>1</v>
      </c>
      <c r="V17">
        <v>0</v>
      </c>
      <c r="W17">
        <v>0</v>
      </c>
      <c r="X17">
        <v>1</v>
      </c>
      <c r="Y17">
        <v>0</v>
      </c>
      <c r="Z17">
        <v>0</v>
      </c>
      <c r="AA17">
        <v>0</v>
      </c>
      <c r="AB17">
        <v>0</v>
      </c>
      <c r="AC17">
        <v>0</v>
      </c>
      <c r="AD17">
        <v>1</v>
      </c>
      <c r="AE17">
        <v>0</v>
      </c>
      <c r="AF17">
        <v>0</v>
      </c>
      <c r="AG17">
        <v>0</v>
      </c>
      <c r="AH17">
        <v>0</v>
      </c>
      <c r="AI17">
        <v>0</v>
      </c>
      <c r="AJ17">
        <v>0</v>
      </c>
      <c r="AK17">
        <v>0</v>
      </c>
      <c r="AL17">
        <v>0</v>
      </c>
      <c r="AM17">
        <v>1</v>
      </c>
      <c r="AN17">
        <v>1</v>
      </c>
      <c r="AO17">
        <v>1</v>
      </c>
      <c r="AP17">
        <v>1</v>
      </c>
      <c r="AQ17">
        <v>1</v>
      </c>
      <c r="AR17">
        <v>1</v>
      </c>
      <c r="AS17">
        <v>1</v>
      </c>
      <c r="AT17">
        <v>1</v>
      </c>
      <c r="AU17">
        <v>1</v>
      </c>
      <c r="AV17">
        <v>1</v>
      </c>
      <c r="AW17">
        <v>1</v>
      </c>
      <c r="AX17">
        <v>1</v>
      </c>
      <c r="AY17">
        <v>1</v>
      </c>
      <c r="AZ17">
        <v>1</v>
      </c>
      <c r="BA17">
        <v>1</v>
      </c>
      <c r="BB17">
        <v>1</v>
      </c>
      <c r="BC17">
        <v>1</v>
      </c>
      <c r="BD17">
        <v>1</v>
      </c>
      <c r="BE17">
        <v>0</v>
      </c>
      <c r="BF17">
        <v>0</v>
      </c>
      <c r="BG17">
        <v>0</v>
      </c>
      <c r="BH17">
        <v>19141</v>
      </c>
      <c r="BI17">
        <v>1</v>
      </c>
      <c r="BJ17">
        <v>1</v>
      </c>
    </row>
    <row r="18" spans="1:62">
      <c r="A18" s="120" t="s">
        <v>551</v>
      </c>
      <c r="B18">
        <v>144</v>
      </c>
      <c r="C18" t="e">
        <v>#VALUE!</v>
      </c>
      <c r="D18" t="e">
        <v>#VALUE!</v>
      </c>
      <c r="E18" t="e">
        <v>#VALUE!</v>
      </c>
      <c r="F18">
        <v>9.9224427513618773E-3</v>
      </c>
      <c r="G18" t="e">
        <v>#VALUE!</v>
      </c>
      <c r="H18">
        <v>144</v>
      </c>
      <c r="I18">
        <v>144</v>
      </c>
      <c r="J18">
        <v>144</v>
      </c>
      <c r="K18">
        <v>144</v>
      </c>
      <c r="L18">
        <v>144</v>
      </c>
      <c r="M18">
        <v>144</v>
      </c>
      <c r="N18">
        <v>144</v>
      </c>
      <c r="O18">
        <v>144</v>
      </c>
      <c r="P18">
        <v>144</v>
      </c>
      <c r="Q18">
        <v>144</v>
      </c>
      <c r="R18">
        <v>144</v>
      </c>
      <c r="S18">
        <v>144</v>
      </c>
      <c r="T18">
        <v>144</v>
      </c>
      <c r="U18">
        <v>144</v>
      </c>
      <c r="V18">
        <v>6</v>
      </c>
      <c r="W18">
        <v>29</v>
      </c>
      <c r="X18">
        <v>59</v>
      </c>
      <c r="Y18">
        <v>32</v>
      </c>
      <c r="Z18">
        <v>2</v>
      </c>
      <c r="AA18">
        <v>29</v>
      </c>
      <c r="AB18">
        <v>6</v>
      </c>
      <c r="AC18">
        <v>0</v>
      </c>
      <c r="AD18">
        <v>6</v>
      </c>
      <c r="AE18">
        <v>14</v>
      </c>
      <c r="AF18">
        <v>3</v>
      </c>
      <c r="AG18">
        <v>25</v>
      </c>
      <c r="AH18">
        <v>6</v>
      </c>
      <c r="AI18">
        <v>15</v>
      </c>
      <c r="AJ18">
        <v>33</v>
      </c>
      <c r="AK18">
        <v>19</v>
      </c>
      <c r="AL18">
        <v>13</v>
      </c>
      <c r="AM18">
        <v>144</v>
      </c>
      <c r="AN18">
        <v>144</v>
      </c>
      <c r="AO18" t="e">
        <v>#NUM!</v>
      </c>
      <c r="AP18">
        <v>144</v>
      </c>
      <c r="AQ18">
        <v>144</v>
      </c>
      <c r="AR18">
        <v>144</v>
      </c>
      <c r="AS18">
        <v>144</v>
      </c>
      <c r="AT18" t="e">
        <v>#VALUE!</v>
      </c>
      <c r="AU18">
        <v>144</v>
      </c>
      <c r="AV18" t="e">
        <v>#NUM!</v>
      </c>
      <c r="AW18">
        <v>144</v>
      </c>
      <c r="AX18">
        <v>144</v>
      </c>
      <c r="AY18">
        <v>144</v>
      </c>
      <c r="AZ18">
        <v>144</v>
      </c>
      <c r="BA18">
        <v>144</v>
      </c>
      <c r="BB18">
        <v>144</v>
      </c>
      <c r="BC18">
        <v>144</v>
      </c>
      <c r="BD18">
        <v>144</v>
      </c>
      <c r="BE18">
        <v>37</v>
      </c>
      <c r="BF18">
        <v>41</v>
      </c>
      <c r="BG18">
        <v>99</v>
      </c>
      <c r="BH18">
        <v>2979.3680555555557</v>
      </c>
      <c r="BI18">
        <v>144</v>
      </c>
      <c r="BJ18">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9"/>
  <sheetViews>
    <sheetView topLeftCell="D1" zoomScale="115" zoomScaleNormal="70" workbookViewId="0">
      <pane ySplit="1" topLeftCell="A2" activePane="bottomLeft" state="frozen"/>
      <selection pane="bottomLeft" activeCell="I28" sqref="I28"/>
    </sheetView>
  </sheetViews>
  <sheetFormatPr baseColWidth="10" defaultColWidth="11" defaultRowHeight="16"/>
  <cols>
    <col min="3" max="3" width="15.5" customWidth="1"/>
    <col min="5" max="5" width="19.6640625" customWidth="1"/>
    <col min="6" max="6" width="22" customWidth="1"/>
    <col min="7" max="7" width="18.1640625" style="26" customWidth="1"/>
    <col min="8" max="8" width="20.5" customWidth="1"/>
    <col min="9" max="9" width="14.1640625" customWidth="1"/>
    <col min="10" max="10" width="15.1640625" customWidth="1"/>
  </cols>
  <sheetData>
    <row r="1" spans="1:19" ht="17">
      <c r="A1" t="s">
        <v>475</v>
      </c>
      <c r="B1" t="s">
        <v>189</v>
      </c>
      <c r="C1" s="1" t="s">
        <v>476</v>
      </c>
      <c r="D1" t="s">
        <v>10</v>
      </c>
      <c r="E1" s="1" t="s">
        <v>40</v>
      </c>
      <c r="F1" s="2" t="s">
        <v>9</v>
      </c>
      <c r="G1" s="37" t="s">
        <v>477</v>
      </c>
      <c r="H1" s="38" t="s">
        <v>186</v>
      </c>
      <c r="I1" s="39" t="s">
        <v>28</v>
      </c>
      <c r="J1" s="39" t="s">
        <v>7</v>
      </c>
      <c r="K1" s="39" t="s">
        <v>478</v>
      </c>
      <c r="L1" s="39" t="s">
        <v>187</v>
      </c>
      <c r="M1" s="39" t="s">
        <v>185</v>
      </c>
      <c r="N1" s="39" t="s">
        <v>50</v>
      </c>
      <c r="O1" s="39" t="s">
        <v>211</v>
      </c>
      <c r="P1" s="42" t="s">
        <v>200</v>
      </c>
      <c r="R1" s="39" t="s">
        <v>183</v>
      </c>
      <c r="S1" s="39" t="s">
        <v>4</v>
      </c>
    </row>
    <row r="2" spans="1:19" ht="34">
      <c r="A2">
        <v>0</v>
      </c>
      <c r="B2" t="s">
        <v>189</v>
      </c>
      <c r="C2" t="s">
        <v>230</v>
      </c>
      <c r="D2" t="s">
        <v>112</v>
      </c>
      <c r="E2">
        <v>1</v>
      </c>
      <c r="F2" t="s">
        <v>93</v>
      </c>
      <c r="G2" s="26" t="s">
        <v>253</v>
      </c>
      <c r="H2" t="s">
        <v>251</v>
      </c>
      <c r="I2" t="s">
        <v>80</v>
      </c>
      <c r="J2" t="s">
        <v>303</v>
      </c>
      <c r="K2" t="s">
        <v>221</v>
      </c>
      <c r="L2" t="s">
        <v>479</v>
      </c>
      <c r="M2" t="s">
        <v>218</v>
      </c>
      <c r="N2" t="s">
        <v>81</v>
      </c>
      <c r="O2" t="s">
        <v>313</v>
      </c>
      <c r="P2" s="41" t="s">
        <v>223</v>
      </c>
      <c r="R2" s="47" t="s">
        <v>480</v>
      </c>
      <c r="S2" s="47" t="s">
        <v>425</v>
      </c>
    </row>
    <row r="3" spans="1:19" ht="34">
      <c r="A3">
        <v>1</v>
      </c>
      <c r="B3" t="s">
        <v>283</v>
      </c>
      <c r="C3" t="s">
        <v>229</v>
      </c>
      <c r="D3" t="s">
        <v>241</v>
      </c>
      <c r="E3">
        <v>2</v>
      </c>
      <c r="F3" t="s">
        <v>287</v>
      </c>
      <c r="G3" s="26" t="s">
        <v>234</v>
      </c>
      <c r="H3" t="s">
        <v>242</v>
      </c>
      <c r="I3" t="s">
        <v>86</v>
      </c>
      <c r="J3" t="s">
        <v>481</v>
      </c>
      <c r="K3" t="s">
        <v>238</v>
      </c>
      <c r="L3" t="s">
        <v>252</v>
      </c>
      <c r="M3" t="s">
        <v>246</v>
      </c>
      <c r="N3" t="s">
        <v>148</v>
      </c>
      <c r="O3" t="s">
        <v>318</v>
      </c>
      <c r="P3" s="41" t="s">
        <v>248</v>
      </c>
      <c r="R3" s="46" t="s">
        <v>224</v>
      </c>
      <c r="S3" s="46" t="s">
        <v>482</v>
      </c>
    </row>
    <row r="4" spans="1:19" ht="51">
      <c r="A4" t="s">
        <v>73</v>
      </c>
      <c r="B4" t="s">
        <v>220</v>
      </c>
      <c r="C4" t="s">
        <v>73</v>
      </c>
      <c r="D4" t="s">
        <v>245</v>
      </c>
      <c r="E4">
        <v>3</v>
      </c>
      <c r="F4" t="s">
        <v>483</v>
      </c>
      <c r="G4" s="26" t="s">
        <v>222</v>
      </c>
      <c r="H4" t="s">
        <v>437</v>
      </c>
      <c r="J4" t="s">
        <v>266</v>
      </c>
      <c r="L4" t="s">
        <v>228</v>
      </c>
      <c r="M4" t="s">
        <v>226</v>
      </c>
      <c r="N4" t="s">
        <v>225</v>
      </c>
      <c r="O4" t="s">
        <v>254</v>
      </c>
      <c r="P4" s="41" t="s">
        <v>434</v>
      </c>
      <c r="R4" s="44" t="s">
        <v>372</v>
      </c>
      <c r="S4" s="44" t="s">
        <v>373</v>
      </c>
    </row>
    <row r="5" spans="1:19" ht="51">
      <c r="D5" t="s">
        <v>316</v>
      </c>
      <c r="F5" t="s">
        <v>120</v>
      </c>
      <c r="G5" s="40" t="s">
        <v>295</v>
      </c>
      <c r="H5" t="s">
        <v>219</v>
      </c>
      <c r="J5" s="41" t="s">
        <v>269</v>
      </c>
      <c r="L5" t="s">
        <v>484</v>
      </c>
      <c r="M5" t="s">
        <v>73</v>
      </c>
      <c r="N5" t="s">
        <v>124</v>
      </c>
      <c r="O5" s="41" t="s">
        <v>448</v>
      </c>
      <c r="P5" t="s">
        <v>73</v>
      </c>
      <c r="R5" s="46" t="s">
        <v>216</v>
      </c>
      <c r="S5" s="46" t="s">
        <v>485</v>
      </c>
    </row>
    <row r="6" spans="1:19">
      <c r="D6" s="41" t="s">
        <v>263</v>
      </c>
      <c r="F6" t="s">
        <v>486</v>
      </c>
      <c r="H6" t="s">
        <v>227</v>
      </c>
      <c r="J6" t="s">
        <v>256</v>
      </c>
      <c r="L6" t="s">
        <v>487</v>
      </c>
      <c r="N6" t="s">
        <v>274</v>
      </c>
      <c r="O6" t="s">
        <v>73</v>
      </c>
      <c r="R6" s="46" t="s">
        <v>239</v>
      </c>
      <c r="S6" s="46" t="s">
        <v>240</v>
      </c>
    </row>
    <row r="7" spans="1:19">
      <c r="F7" t="s">
        <v>236</v>
      </c>
      <c r="H7" t="s">
        <v>232</v>
      </c>
      <c r="J7" s="41" t="s">
        <v>272</v>
      </c>
      <c r="L7" t="s">
        <v>233</v>
      </c>
      <c r="N7" t="s">
        <v>341</v>
      </c>
      <c r="O7" t="s">
        <v>284</v>
      </c>
      <c r="R7" s="46" t="s">
        <v>440</v>
      </c>
      <c r="S7" s="46" t="s">
        <v>441</v>
      </c>
    </row>
    <row r="8" spans="1:19">
      <c r="F8" t="s">
        <v>107</v>
      </c>
      <c r="J8" s="41" t="s">
        <v>357</v>
      </c>
      <c r="L8" t="s">
        <v>284</v>
      </c>
      <c r="N8" t="s">
        <v>352</v>
      </c>
      <c r="R8" s="46" t="s">
        <v>322</v>
      </c>
      <c r="S8" s="46" t="s">
        <v>323</v>
      </c>
    </row>
    <row r="9" spans="1:19">
      <c r="F9" t="s">
        <v>273</v>
      </c>
      <c r="J9" t="s">
        <v>284</v>
      </c>
      <c r="L9" t="s">
        <v>465</v>
      </c>
      <c r="N9" t="s">
        <v>488</v>
      </c>
      <c r="R9" s="44" t="s">
        <v>463</v>
      </c>
      <c r="S9" s="44" t="s">
        <v>464</v>
      </c>
    </row>
    <row r="10" spans="1:19">
      <c r="F10" t="s">
        <v>155</v>
      </c>
      <c r="J10" t="s">
        <v>423</v>
      </c>
      <c r="L10" t="s">
        <v>247</v>
      </c>
      <c r="N10" t="s">
        <v>250</v>
      </c>
      <c r="R10" s="44" t="s">
        <v>264</v>
      </c>
      <c r="S10" s="44" t="s">
        <v>265</v>
      </c>
    </row>
    <row r="11" spans="1:19">
      <c r="F11" t="s">
        <v>235</v>
      </c>
      <c r="J11" t="s">
        <v>420</v>
      </c>
      <c r="N11" t="s">
        <v>257</v>
      </c>
      <c r="R11" s="44" t="s">
        <v>267</v>
      </c>
      <c r="S11" s="44" t="s">
        <v>268</v>
      </c>
    </row>
    <row r="12" spans="1:19">
      <c r="F12" t="s">
        <v>340</v>
      </c>
      <c r="J12" t="s">
        <v>73</v>
      </c>
      <c r="N12" t="s">
        <v>237</v>
      </c>
      <c r="R12" s="44" t="s">
        <v>489</v>
      </c>
      <c r="S12" s="44" t="s">
        <v>490</v>
      </c>
    </row>
    <row r="13" spans="1:19">
      <c r="F13" t="s">
        <v>217</v>
      </c>
      <c r="N13" t="s">
        <v>96</v>
      </c>
      <c r="R13" s="46" t="s">
        <v>338</v>
      </c>
      <c r="S13" s="46" t="s">
        <v>339</v>
      </c>
    </row>
    <row r="14" spans="1:19">
      <c r="F14" s="41" t="s">
        <v>306</v>
      </c>
      <c r="N14" t="s">
        <v>304</v>
      </c>
      <c r="R14" s="44" t="s">
        <v>389</v>
      </c>
      <c r="S14" s="44" t="s">
        <v>390</v>
      </c>
    </row>
    <row r="15" spans="1:19">
      <c r="F15" s="41" t="s">
        <v>155</v>
      </c>
      <c r="N15" t="s">
        <v>317</v>
      </c>
      <c r="R15" s="46" t="s">
        <v>231</v>
      </c>
      <c r="S15" s="46" t="s">
        <v>491</v>
      </c>
    </row>
    <row r="16" spans="1:19">
      <c r="F16" s="41" t="s">
        <v>492</v>
      </c>
      <c r="N16" t="s">
        <v>156</v>
      </c>
      <c r="R16" s="46" t="s">
        <v>324</v>
      </c>
      <c r="S16" s="46" t="s">
        <v>325</v>
      </c>
    </row>
    <row r="17" spans="6:19">
      <c r="F17" s="41" t="s">
        <v>275</v>
      </c>
      <c r="N17" t="s">
        <v>442</v>
      </c>
      <c r="R17" s="44" t="s">
        <v>451</v>
      </c>
      <c r="S17" s="44" t="s">
        <v>452</v>
      </c>
    </row>
    <row r="18" spans="6:19">
      <c r="F18" s="41" t="s">
        <v>262</v>
      </c>
      <c r="N18" t="s">
        <v>347</v>
      </c>
      <c r="R18" s="46" t="s">
        <v>472</v>
      </c>
      <c r="S18" s="46" t="s">
        <v>127</v>
      </c>
    </row>
    <row r="19" spans="6:19">
      <c r="F19" s="41" t="s">
        <v>298</v>
      </c>
      <c r="N19" t="s">
        <v>493</v>
      </c>
      <c r="R19" s="44" t="s">
        <v>311</v>
      </c>
      <c r="S19" t="s">
        <v>312</v>
      </c>
    </row>
    <row r="20" spans="6:19">
      <c r="F20" s="41" t="s">
        <v>293</v>
      </c>
      <c r="N20" t="s">
        <v>494</v>
      </c>
      <c r="R20" s="46" t="s">
        <v>278</v>
      </c>
      <c r="S20" s="46" t="s">
        <v>279</v>
      </c>
    </row>
    <row r="21" spans="6:19">
      <c r="F21" s="41" t="s">
        <v>297</v>
      </c>
      <c r="N21" t="s">
        <v>288</v>
      </c>
      <c r="R21" s="44" t="s">
        <v>319</v>
      </c>
      <c r="S21" s="44" t="s">
        <v>320</v>
      </c>
    </row>
    <row r="22" spans="6:19">
      <c r="F22" s="41" t="s">
        <v>335</v>
      </c>
      <c r="N22" t="s">
        <v>138</v>
      </c>
      <c r="R22" s="46" t="s">
        <v>319</v>
      </c>
      <c r="S22" s="46" t="s">
        <v>495</v>
      </c>
    </row>
    <row r="23" spans="6:19">
      <c r="F23" s="41" t="s">
        <v>244</v>
      </c>
      <c r="N23" t="s">
        <v>496</v>
      </c>
      <c r="R23" s="44" t="s">
        <v>497</v>
      </c>
      <c r="S23" s="44" t="s">
        <v>286</v>
      </c>
    </row>
    <row r="24" spans="6:19">
      <c r="F24" s="41" t="s">
        <v>498</v>
      </c>
      <c r="N24" t="s">
        <v>334</v>
      </c>
      <c r="R24" s="44" t="s">
        <v>270</v>
      </c>
      <c r="S24" s="44" t="s">
        <v>271</v>
      </c>
    </row>
    <row r="25" spans="6:19">
      <c r="F25" s="41" t="s">
        <v>321</v>
      </c>
      <c r="N25" t="s">
        <v>392</v>
      </c>
      <c r="R25" s="44" t="s">
        <v>453</v>
      </c>
      <c r="S25" s="44" t="s">
        <v>454</v>
      </c>
    </row>
    <row r="26" spans="6:19">
      <c r="F26" s="41" t="s">
        <v>499</v>
      </c>
      <c r="N26" t="s">
        <v>409</v>
      </c>
      <c r="R26" s="44" t="s">
        <v>500</v>
      </c>
      <c r="S26" s="44" t="s">
        <v>501</v>
      </c>
    </row>
    <row r="27" spans="6:19">
      <c r="F27" s="41" t="s">
        <v>416</v>
      </c>
      <c r="N27" t="s">
        <v>300</v>
      </c>
      <c r="R27" s="44" t="s">
        <v>502</v>
      </c>
      <c r="S27" s="44" t="s">
        <v>503</v>
      </c>
    </row>
    <row r="28" spans="6:19">
      <c r="F28" s="41" t="s">
        <v>408</v>
      </c>
      <c r="N28" t="s">
        <v>426</v>
      </c>
      <c r="R28" s="44" t="s">
        <v>446</v>
      </c>
      <c r="S28" s="44" t="s">
        <v>447</v>
      </c>
    </row>
    <row r="29" spans="6:19">
      <c r="F29" s="41" t="s">
        <v>172</v>
      </c>
      <c r="N29" t="s">
        <v>427</v>
      </c>
      <c r="R29" s="44" t="s">
        <v>255</v>
      </c>
      <c r="S29" s="44" t="s">
        <v>504</v>
      </c>
    </row>
    <row r="30" spans="6:19">
      <c r="F30" s="41" t="s">
        <v>505</v>
      </c>
      <c r="N30" t="s">
        <v>428</v>
      </c>
      <c r="R30" s="44" t="s">
        <v>506</v>
      </c>
      <c r="S30" s="44" t="s">
        <v>507</v>
      </c>
    </row>
    <row r="31" spans="6:19">
      <c r="N31" t="s">
        <v>174</v>
      </c>
      <c r="R31" s="44" t="s">
        <v>260</v>
      </c>
      <c r="S31" s="44" t="s">
        <v>261</v>
      </c>
    </row>
    <row r="32" spans="6:19">
      <c r="N32" t="s">
        <v>282</v>
      </c>
      <c r="R32" s="44" t="s">
        <v>508</v>
      </c>
      <c r="S32" s="44" t="s">
        <v>509</v>
      </c>
    </row>
    <row r="33" spans="14:19">
      <c r="N33" t="s">
        <v>131</v>
      </c>
      <c r="R33" s="44" t="s">
        <v>510</v>
      </c>
      <c r="S33" s="44" t="s">
        <v>511</v>
      </c>
    </row>
    <row r="34" spans="14:19">
      <c r="R34" s="44" t="s">
        <v>432</v>
      </c>
      <c r="S34" s="44" t="s">
        <v>433</v>
      </c>
    </row>
    <row r="35" spans="14:19">
      <c r="R35" s="44" t="s">
        <v>461</v>
      </c>
      <c r="S35" s="44" t="s">
        <v>462</v>
      </c>
    </row>
    <row r="36" spans="14:19">
      <c r="R36" s="44" t="s">
        <v>355</v>
      </c>
      <c r="S36" s="44" t="s">
        <v>356</v>
      </c>
    </row>
    <row r="37" spans="14:19">
      <c r="R37" s="46" t="s">
        <v>512</v>
      </c>
      <c r="S37" s="46" t="s">
        <v>513</v>
      </c>
    </row>
    <row r="38" spans="14:19">
      <c r="R38" s="46" t="s">
        <v>438</v>
      </c>
      <c r="S38" s="46" t="s">
        <v>439</v>
      </c>
    </row>
    <row r="39" spans="14:19">
      <c r="R39" s="46" t="s">
        <v>438</v>
      </c>
      <c r="S39" s="46" t="s">
        <v>466</v>
      </c>
    </row>
    <row r="40" spans="14:19">
      <c r="R40" s="44" t="s">
        <v>309</v>
      </c>
      <c r="S40" s="44" t="s">
        <v>310</v>
      </c>
    </row>
    <row r="41" spans="14:19">
      <c r="R41" s="44" t="s">
        <v>457</v>
      </c>
      <c r="S41" s="44" t="s">
        <v>458</v>
      </c>
    </row>
    <row r="42" spans="14:19">
      <c r="R42" s="46" t="s">
        <v>326</v>
      </c>
      <c r="S42" s="46" t="s">
        <v>514</v>
      </c>
    </row>
    <row r="43" spans="14:19">
      <c r="R43" s="46" t="s">
        <v>326</v>
      </c>
      <c r="S43" s="46" t="s">
        <v>327</v>
      </c>
    </row>
    <row r="44" spans="14:19">
      <c r="R44" s="44" t="s">
        <v>344</v>
      </c>
      <c r="S44" s="17" t="s">
        <v>117</v>
      </c>
    </row>
    <row r="45" spans="14:19">
      <c r="R45" s="46" t="s">
        <v>350</v>
      </c>
      <c r="S45" s="46" t="s">
        <v>351</v>
      </c>
    </row>
    <row r="46" spans="14:19">
      <c r="R46" s="44" t="s">
        <v>332</v>
      </c>
      <c r="S46" s="44" t="s">
        <v>333</v>
      </c>
    </row>
    <row r="47" spans="14:19">
      <c r="R47" s="46" t="s">
        <v>276</v>
      </c>
      <c r="S47" s="46" t="s">
        <v>277</v>
      </c>
    </row>
    <row r="48" spans="14:19">
      <c r="R48" s="44" t="s">
        <v>419</v>
      </c>
      <c r="S48" s="44" t="s">
        <v>515</v>
      </c>
    </row>
    <row r="49" spans="18:19">
      <c r="R49" s="44" t="s">
        <v>342</v>
      </c>
      <c r="S49" s="44" t="s">
        <v>343</v>
      </c>
    </row>
    <row r="50" spans="18:19">
      <c r="R50" s="44" t="s">
        <v>421</v>
      </c>
      <c r="S50" s="44" t="s">
        <v>422</v>
      </c>
    </row>
    <row r="51" spans="18:19">
      <c r="R51" s="44" t="s">
        <v>289</v>
      </c>
      <c r="S51" s="44" t="s">
        <v>290</v>
      </c>
    </row>
    <row r="52" spans="18:19">
      <c r="R52" s="44" t="s">
        <v>305</v>
      </c>
      <c r="S52" s="44" t="s">
        <v>516</v>
      </c>
    </row>
    <row r="53" spans="18:19">
      <c r="R53" s="44" t="s">
        <v>280</v>
      </c>
      <c r="S53" s="17" t="s">
        <v>281</v>
      </c>
    </row>
    <row r="54" spans="18:19">
      <c r="R54" s="44" t="s">
        <v>353</v>
      </c>
      <c r="S54" s="44" t="s">
        <v>354</v>
      </c>
    </row>
    <row r="55" spans="18:19">
      <c r="R55" s="44" t="s">
        <v>301</v>
      </c>
      <c r="S55" s="44" t="s">
        <v>302</v>
      </c>
    </row>
    <row r="56" spans="18:19">
      <c r="R56" s="44" t="s">
        <v>517</v>
      </c>
      <c r="S56" s="44" t="s">
        <v>518</v>
      </c>
    </row>
    <row r="57" spans="18:19">
      <c r="R57" s="44" t="s">
        <v>431</v>
      </c>
      <c r="S57" s="44" t="s">
        <v>519</v>
      </c>
    </row>
    <row r="58" spans="18:19">
      <c r="R58" s="44" t="s">
        <v>435</v>
      </c>
      <c r="S58" s="44" t="s">
        <v>436</v>
      </c>
    </row>
    <row r="59" spans="18:19">
      <c r="R59" s="44" t="s">
        <v>397</v>
      </c>
      <c r="S59" s="44" t="s">
        <v>398</v>
      </c>
    </row>
    <row r="60" spans="18:19">
      <c r="R60" s="44" t="s">
        <v>520</v>
      </c>
      <c r="S60" s="44" t="s">
        <v>521</v>
      </c>
    </row>
    <row r="61" spans="18:19">
      <c r="R61" s="44" t="s">
        <v>299</v>
      </c>
      <c r="S61" s="44" t="s">
        <v>522</v>
      </c>
    </row>
    <row r="62" spans="18:19">
      <c r="R62" s="44" t="s">
        <v>243</v>
      </c>
      <c r="S62" s="44" t="s">
        <v>523</v>
      </c>
    </row>
    <row r="63" spans="18:19">
      <c r="R63" s="44" t="s">
        <v>455</v>
      </c>
      <c r="S63" s="44" t="s">
        <v>456</v>
      </c>
    </row>
    <row r="64" spans="18:19">
      <c r="R64" s="44" t="s">
        <v>524</v>
      </c>
      <c r="S64" s="44" t="s">
        <v>525</v>
      </c>
    </row>
    <row r="65" spans="18:19">
      <c r="R65" s="44" t="s">
        <v>368</v>
      </c>
      <c r="S65" s="44" t="s">
        <v>369</v>
      </c>
    </row>
    <row r="66" spans="18:19">
      <c r="R66" s="44" t="s">
        <v>526</v>
      </c>
      <c r="S66" s="44" t="s">
        <v>527</v>
      </c>
    </row>
    <row r="67" spans="18:19">
      <c r="R67" s="44" t="s">
        <v>459</v>
      </c>
      <c r="S67" s="44" t="s">
        <v>460</v>
      </c>
    </row>
    <row r="68" spans="18:19">
      <c r="R68" s="44" t="s">
        <v>528</v>
      </c>
      <c r="S68" s="44" t="s">
        <v>529</v>
      </c>
    </row>
    <row r="69" spans="18:19">
      <c r="R69" s="44" t="s">
        <v>530</v>
      </c>
      <c r="S69" s="44" t="s">
        <v>531</v>
      </c>
    </row>
    <row r="70" spans="18:19">
      <c r="R70" s="44" t="s">
        <v>370</v>
      </c>
      <c r="S70" s="44" t="s">
        <v>371</v>
      </c>
    </row>
    <row r="71" spans="18:19">
      <c r="R71" s="44" t="s">
        <v>366</v>
      </c>
      <c r="S71" s="44" t="s">
        <v>367</v>
      </c>
    </row>
    <row r="72" spans="18:19">
      <c r="R72" s="44" t="s">
        <v>258</v>
      </c>
      <c r="S72" t="s">
        <v>259</v>
      </c>
    </row>
    <row r="73" spans="18:19">
      <c r="R73" s="46" t="s">
        <v>258</v>
      </c>
      <c r="S73" s="46" t="s">
        <v>532</v>
      </c>
    </row>
    <row r="74" spans="18:19">
      <c r="R74" s="44" t="s">
        <v>383</v>
      </c>
      <c r="S74" s="44" t="s">
        <v>384</v>
      </c>
    </row>
    <row r="75" spans="18:19">
      <c r="R75" s="46" t="s">
        <v>330</v>
      </c>
      <c r="S75" s="46" t="s">
        <v>331</v>
      </c>
    </row>
    <row r="76" spans="18:19">
      <c r="R76" s="44" t="s">
        <v>424</v>
      </c>
      <c r="S76" s="44" t="s">
        <v>533</v>
      </c>
    </row>
    <row r="77" spans="18:19">
      <c r="R77" s="44" t="s">
        <v>449</v>
      </c>
      <c r="S77" s="44" t="s">
        <v>450</v>
      </c>
    </row>
    <row r="78" spans="18:19">
      <c r="R78" s="46" t="s">
        <v>345</v>
      </c>
      <c r="S78" s="46" t="s">
        <v>346</v>
      </c>
    </row>
    <row r="79" spans="18:19">
      <c r="R79" s="46" t="s">
        <v>443</v>
      </c>
      <c r="S79" s="46" t="s">
        <v>444</v>
      </c>
    </row>
    <row r="80" spans="18:19">
      <c r="R80" s="44" t="s">
        <v>534</v>
      </c>
      <c r="S80" s="44" t="s">
        <v>535</v>
      </c>
    </row>
    <row r="81" spans="18:19">
      <c r="R81" s="44" t="s">
        <v>536</v>
      </c>
      <c r="S81" s="44" t="s">
        <v>537</v>
      </c>
    </row>
    <row r="82" spans="18:19">
      <c r="R82" s="44" t="s">
        <v>358</v>
      </c>
      <c r="S82" s="44" t="s">
        <v>359</v>
      </c>
    </row>
    <row r="83" spans="18:19">
      <c r="R83" s="46" t="s">
        <v>348</v>
      </c>
      <c r="S83" s="46" t="s">
        <v>349</v>
      </c>
    </row>
    <row r="84" spans="18:19">
      <c r="R84" s="46" t="s">
        <v>348</v>
      </c>
      <c r="S84" s="46" t="s">
        <v>468</v>
      </c>
    </row>
    <row r="85" spans="18:19">
      <c r="R85" s="44" t="s">
        <v>538</v>
      </c>
      <c r="S85" s="44" t="s">
        <v>539</v>
      </c>
    </row>
    <row r="86" spans="18:19">
      <c r="R86" s="44" t="s">
        <v>429</v>
      </c>
      <c r="S86" s="44" t="s">
        <v>430</v>
      </c>
    </row>
    <row r="87" spans="18:19">
      <c r="R87" s="44" t="s">
        <v>328</v>
      </c>
      <c r="S87" s="44" t="s">
        <v>329</v>
      </c>
    </row>
    <row r="88" spans="18:19">
      <c r="R88" s="44" t="s">
        <v>314</v>
      </c>
      <c r="S88" s="44" t="s">
        <v>315</v>
      </c>
    </row>
    <row r="89" spans="18:19">
      <c r="R89" s="44" t="s">
        <v>307</v>
      </c>
      <c r="S89" s="44" t="s">
        <v>308</v>
      </c>
    </row>
    <row r="90" spans="18:19">
      <c r="R90" s="44" t="s">
        <v>540</v>
      </c>
      <c r="S90" s="44" t="s">
        <v>541</v>
      </c>
    </row>
    <row r="91" spans="18:19">
      <c r="R91" s="44" t="s">
        <v>336</v>
      </c>
      <c r="S91" s="44" t="s">
        <v>337</v>
      </c>
    </row>
    <row r="92" spans="18:19">
      <c r="R92" s="44" t="s">
        <v>406</v>
      </c>
      <c r="S92" s="44" t="s">
        <v>407</v>
      </c>
    </row>
    <row r="93" spans="18:19">
      <c r="R93" s="44" t="s">
        <v>410</v>
      </c>
      <c r="S93" t="s">
        <v>411</v>
      </c>
    </row>
    <row r="94" spans="18:19">
      <c r="R94" s="44" t="s">
        <v>412</v>
      </c>
      <c r="S94" s="44" t="s">
        <v>413</v>
      </c>
    </row>
    <row r="95" spans="18:19">
      <c r="R95" s="44" t="s">
        <v>414</v>
      </c>
      <c r="S95" s="44" t="s">
        <v>415</v>
      </c>
    </row>
    <row r="96" spans="18:19">
      <c r="R96" s="44" t="s">
        <v>417</v>
      </c>
      <c r="S96" t="s">
        <v>418</v>
      </c>
    </row>
    <row r="97" spans="18:19">
      <c r="R97" s="44" t="s">
        <v>467</v>
      </c>
      <c r="S97" s="57" t="s">
        <v>468</v>
      </c>
    </row>
    <row r="98" spans="18:19">
      <c r="R98" s="57" t="s">
        <v>445</v>
      </c>
      <c r="S98" s="32" t="s">
        <v>133</v>
      </c>
    </row>
    <row r="99" spans="18:19">
      <c r="R99" s="44" t="s">
        <v>542</v>
      </c>
      <c r="S99" t="s">
        <v>543</v>
      </c>
    </row>
  </sheetData>
  <sortState xmlns:xlrd2="http://schemas.microsoft.com/office/spreadsheetml/2017/richdata2" ref="R2:S91">
    <sortCondition ref="R2:R91"/>
  </sortState>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Usage</vt:lpstr>
      <vt:lpstr>Appliances</vt:lpstr>
      <vt:lpstr>Summary</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2022-02-16T16:21:16Z</dcterms:created>
  <dcterms:modified xsi:type="dcterms:W3CDTF">2023-05-16T11:23:16Z</dcterms:modified>
  <cp:category/>
  <cp:contentStatus/>
</cp:coreProperties>
</file>