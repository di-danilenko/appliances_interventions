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1"/>
  <workbookPr defaultThemeVersion="166925"/>
  <mc:AlternateContent xmlns:mc="http://schemas.openxmlformats.org/markup-compatibility/2006">
    <mc:Choice Requires="x15">
      <x15ac:absPath xmlns:x15ac="http://schemas.microsoft.com/office/spreadsheetml/2010/11/ac" url="/Users/dianadanilenko/Desktop/appliances_interventions/"/>
    </mc:Choice>
  </mc:AlternateContent>
  <xr:revisionPtr revIDLastSave="0" documentId="13_ncr:1_{DC961BEF-9C2B-4C49-A863-30D0D60AEC11}" xr6:coauthVersionLast="47" xr6:coauthVersionMax="47" xr10:uidLastSave="{00000000-0000-0000-0000-000000000000}"/>
  <bookViews>
    <workbookView xWindow="-5280" yWindow="-21100" windowWidth="38400" windowHeight="21100" activeTab="1" xr2:uid="{00000000-000D-0000-FFFF-FFFF00000000}"/>
  </bookViews>
  <sheets>
    <sheet name="Usage" sheetId="5" state="hidden" r:id="rId1"/>
    <sheet name="Appliances" sheetId="4" r:id="rId2"/>
    <sheet name="Summary" sheetId="7" r:id="rId3"/>
    <sheet name="Lists for variables" sheetId="3" r:id="rId4"/>
  </sheets>
  <definedNames>
    <definedName name="_xlnm._FilterDatabase" localSheetId="1" hidden="1">Appliances!$AR$1:$AR$46</definedName>
    <definedName name="_xlnm._FilterDatabase" localSheetId="0" hidden="1">Usage!$A$1:$BN$53</definedName>
  </definedNames>
  <calcPr calcId="191029"/>
  <pivotCaches>
    <pivotCache cacheId="3"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W33" i="4" l="1"/>
  <c r="AW34" i="4"/>
  <c r="AW35" i="4"/>
  <c r="AW32" i="4"/>
  <c r="AW37" i="4"/>
  <c r="AW36" i="4"/>
  <c r="BA29" i="4"/>
  <c r="BA30" i="4"/>
  <c r="BA28" i="4"/>
  <c r="BA15" i="4"/>
  <c r="BA16" i="4"/>
  <c r="BA17" i="4"/>
  <c r="BA14" i="4"/>
  <c r="CH4" i="4"/>
  <c r="CH5" i="4"/>
  <c r="CH6" i="4"/>
  <c r="CH7" i="4"/>
  <c r="CH8" i="4"/>
  <c r="CH9" i="4"/>
  <c r="CH10" i="4"/>
  <c r="CH11" i="4"/>
  <c r="CH12" i="4"/>
  <c r="CH13" i="4"/>
  <c r="CH14" i="4"/>
  <c r="CH15" i="4"/>
  <c r="CH16" i="4"/>
  <c r="CH17" i="4"/>
  <c r="CH18" i="4"/>
  <c r="CH19" i="4"/>
  <c r="CH20" i="4"/>
  <c r="CH21" i="4"/>
  <c r="CH24" i="4"/>
  <c r="CH25" i="4"/>
  <c r="CH26" i="4"/>
  <c r="CH27" i="4"/>
  <c r="CH28" i="4"/>
  <c r="CH29" i="4"/>
  <c r="CH30" i="4"/>
  <c r="CH31" i="4"/>
  <c r="CH32" i="4"/>
  <c r="CH33" i="4"/>
  <c r="CH34" i="4"/>
  <c r="CH35" i="4"/>
  <c r="CH36" i="4"/>
  <c r="CH37" i="4"/>
  <c r="CF21" i="4" l="1"/>
  <c r="CG21" i="4" s="1"/>
  <c r="CF31" i="4"/>
  <c r="CG31" i="4" s="1"/>
  <c r="CE18" i="4"/>
  <c r="CF18" i="4" s="1"/>
  <c r="CG18" i="4" s="1"/>
  <c r="CE19" i="4"/>
  <c r="CF19" i="4" s="1"/>
  <c r="CG19" i="4" s="1"/>
  <c r="CE20" i="4"/>
  <c r="CF20" i="4" s="1"/>
  <c r="CG20" i="4" s="1"/>
  <c r="CE21" i="4"/>
  <c r="CE31" i="4"/>
  <c r="CH3" i="4"/>
  <c r="CH2" i="4"/>
  <c r="CC37" i="4"/>
  <c r="AZ37" i="4" s="1"/>
  <c r="BX37" i="4" s="1"/>
  <c r="BY37" i="4" s="1"/>
  <c r="BZ37" i="4" s="1"/>
  <c r="CC36" i="4"/>
  <c r="AZ36" i="4" s="1"/>
  <c r="BX36" i="4" s="1"/>
  <c r="BY36" i="4" s="1"/>
  <c r="BZ36" i="4" s="1"/>
  <c r="CA36" i="4"/>
  <c r="CA37" i="4"/>
  <c r="CA24" i="4"/>
  <c r="CE36" i="4" l="1"/>
  <c r="CF36" i="4" s="1"/>
  <c r="CG36" i="4" s="1"/>
  <c r="CE37" i="4"/>
  <c r="CF37" i="4" s="1"/>
  <c r="CG37" i="4" s="1"/>
  <c r="BI19" i="4"/>
  <c r="CA19" i="4" s="1"/>
  <c r="BI20" i="4"/>
  <c r="CA20" i="4" s="1"/>
  <c r="BI21" i="4"/>
  <c r="BX21" i="4" s="1"/>
  <c r="BY21" i="4" s="1"/>
  <c r="BZ21" i="4" s="1"/>
  <c r="BI18" i="4"/>
  <c r="CA18" i="4" s="1"/>
  <c r="CA31" i="4"/>
  <c r="CA35" i="4"/>
  <c r="CA34" i="4"/>
  <c r="CA33" i="4"/>
  <c r="CA32" i="4"/>
  <c r="CA30" i="4"/>
  <c r="CA29" i="4"/>
  <c r="CA28" i="4"/>
  <c r="CA27" i="4"/>
  <c r="CA26" i="4"/>
  <c r="CA25" i="4"/>
  <c r="CA17" i="4"/>
  <c r="CA16" i="4"/>
  <c r="CA15" i="4"/>
  <c r="CA14" i="4"/>
  <c r="CA13" i="4"/>
  <c r="CA12" i="4"/>
  <c r="CA11" i="4"/>
  <c r="CA10" i="4"/>
  <c r="CA9" i="4"/>
  <c r="CA8" i="4"/>
  <c r="CA7" i="4"/>
  <c r="CA6" i="4"/>
  <c r="CA5" i="4"/>
  <c r="CA4" i="4"/>
  <c r="CA3" i="4"/>
  <c r="CA2" i="4"/>
  <c r="BX31" i="4"/>
  <c r="BY31" i="4" s="1"/>
  <c r="BZ31" i="4" s="1"/>
  <c r="CA21" i="4" l="1"/>
  <c r="BX19" i="4"/>
  <c r="BY19" i="4" s="1"/>
  <c r="BZ19" i="4" s="1"/>
  <c r="BX20" i="4"/>
  <c r="BY20" i="4" s="1"/>
  <c r="BZ20" i="4" s="1"/>
  <c r="BX18" i="4"/>
  <c r="BY18" i="4" s="1"/>
  <c r="BZ18" i="4" s="1"/>
  <c r="CE32" i="4" l="1"/>
  <c r="CF32" i="4" s="1"/>
  <c r="CG32" i="4" s="1"/>
  <c r="AW31" i="4"/>
  <c r="BX35" i="4" l="1"/>
  <c r="BY35" i="4" s="1"/>
  <c r="BZ35" i="4" s="1"/>
  <c r="CE35" i="4"/>
  <c r="CF35" i="4" s="1"/>
  <c r="CG35" i="4" s="1"/>
  <c r="BX34" i="4"/>
  <c r="BY34" i="4" s="1"/>
  <c r="BZ34" i="4" s="1"/>
  <c r="CE34" i="4"/>
  <c r="CF34" i="4" s="1"/>
  <c r="CG34" i="4" s="1"/>
  <c r="BX33" i="4"/>
  <c r="BY33" i="4" s="1"/>
  <c r="BZ33" i="4" s="1"/>
  <c r="CE33" i="4"/>
  <c r="CF33" i="4" s="1"/>
  <c r="CG33" i="4" s="1"/>
  <c r="BX32" i="4"/>
  <c r="BY32" i="4" s="1"/>
  <c r="BZ32" i="4" s="1"/>
  <c r="AZ30" i="4" l="1"/>
  <c r="AZ29" i="4"/>
  <c r="AZ28" i="4"/>
  <c r="AZ25" i="4"/>
  <c r="AZ26" i="4"/>
  <c r="CE26" i="4" s="1"/>
  <c r="CF26" i="4" s="1"/>
  <c r="CG26" i="4" s="1"/>
  <c r="AZ27" i="4"/>
  <c r="AZ24" i="4"/>
  <c r="BI23" i="4"/>
  <c r="BI22" i="4"/>
  <c r="BJ23" i="4"/>
  <c r="BJ22" i="4"/>
  <c r="AW23" i="4"/>
  <c r="AW22" i="4"/>
  <c r="BX24" i="4" l="1"/>
  <c r="CE24" i="4"/>
  <c r="CF24" i="4" s="1"/>
  <c r="CG24" i="4" s="1"/>
  <c r="BX27" i="4"/>
  <c r="BY27" i="4" s="1"/>
  <c r="BZ27" i="4" s="1"/>
  <c r="CE27" i="4"/>
  <c r="CF27" i="4" s="1"/>
  <c r="CG27" i="4" s="1"/>
  <c r="BX25" i="4"/>
  <c r="BY25" i="4" s="1"/>
  <c r="BZ25" i="4" s="1"/>
  <c r="CE25" i="4"/>
  <c r="CF25" i="4" s="1"/>
  <c r="CG25" i="4" s="1"/>
  <c r="CH22" i="4"/>
  <c r="CE22" i="4"/>
  <c r="CF22" i="4" s="1"/>
  <c r="CG22" i="4" s="1"/>
  <c r="BX28" i="4"/>
  <c r="BY28" i="4" s="1"/>
  <c r="BZ28" i="4" s="1"/>
  <c r="CE28" i="4"/>
  <c r="CF28" i="4" s="1"/>
  <c r="CG28" i="4" s="1"/>
  <c r="CH23" i="4"/>
  <c r="CE23" i="4"/>
  <c r="CF23" i="4" s="1"/>
  <c r="CG23" i="4" s="1"/>
  <c r="BX29" i="4"/>
  <c r="BY29" i="4" s="1"/>
  <c r="BZ29" i="4" s="1"/>
  <c r="CE29" i="4"/>
  <c r="CF29" i="4" s="1"/>
  <c r="CG29" i="4" s="1"/>
  <c r="BX30" i="4"/>
  <c r="BY30" i="4" s="1"/>
  <c r="BZ30" i="4" s="1"/>
  <c r="CE30" i="4"/>
  <c r="CF30" i="4" s="1"/>
  <c r="CG30" i="4" s="1"/>
  <c r="BX26" i="4"/>
  <c r="BY26" i="4" s="1"/>
  <c r="BZ26" i="4" s="1"/>
  <c r="BY24" i="4"/>
  <c r="BZ24" i="4" s="1"/>
  <c r="BX22" i="4"/>
  <c r="BY22" i="4" s="1"/>
  <c r="BZ22" i="4" s="1"/>
  <c r="CA22" i="4"/>
  <c r="BX23" i="4"/>
  <c r="BY23" i="4" s="1"/>
  <c r="BZ23" i="4" s="1"/>
  <c r="CA23" i="4"/>
  <c r="AW21" i="4"/>
  <c r="AW20" i="4"/>
  <c r="AW19" i="4"/>
  <c r="AW18" i="4"/>
  <c r="AZ15" i="4" l="1"/>
  <c r="AZ16" i="4"/>
  <c r="AZ17" i="4"/>
  <c r="AZ14" i="4"/>
  <c r="BX14" i="4" l="1"/>
  <c r="BY14" i="4" s="1"/>
  <c r="BZ14" i="4" s="1"/>
  <c r="CE14" i="4"/>
  <c r="CF14" i="4" s="1"/>
  <c r="CG14" i="4" s="1"/>
  <c r="BX17" i="4"/>
  <c r="BY17" i="4" s="1"/>
  <c r="BZ17" i="4" s="1"/>
  <c r="CE17" i="4"/>
  <c r="CF17" i="4" s="1"/>
  <c r="CG17" i="4" s="1"/>
  <c r="BX16" i="4"/>
  <c r="BY16" i="4" s="1"/>
  <c r="BZ16" i="4" s="1"/>
  <c r="CE16" i="4"/>
  <c r="CF16" i="4" s="1"/>
  <c r="CG16" i="4" s="1"/>
  <c r="BX15" i="4"/>
  <c r="BY15" i="4" s="1"/>
  <c r="BZ15" i="4" s="1"/>
  <c r="CE15" i="4"/>
  <c r="CF15" i="4" s="1"/>
  <c r="CG15" i="4" s="1"/>
  <c r="AZ13" i="4"/>
  <c r="AZ12" i="4"/>
  <c r="AZ11" i="4"/>
  <c r="AZ10" i="4"/>
  <c r="AZ9" i="4"/>
  <c r="AZ8" i="4"/>
  <c r="AZ3" i="4"/>
  <c r="AZ4" i="4"/>
  <c r="AZ5" i="4"/>
  <c r="AZ6" i="4"/>
  <c r="AZ7" i="4"/>
  <c r="AZ2" i="4"/>
  <c r="BX4" i="4" l="1"/>
  <c r="BY4" i="4" s="1"/>
  <c r="BZ4" i="4" s="1"/>
  <c r="CE4" i="4"/>
  <c r="CF4" i="4" s="1"/>
  <c r="CG4" i="4" s="1"/>
  <c r="BX9" i="4"/>
  <c r="BY9" i="4" s="1"/>
  <c r="BZ9" i="4" s="1"/>
  <c r="CE9" i="4"/>
  <c r="CF9" i="4" s="1"/>
  <c r="CG9" i="4" s="1"/>
  <c r="BX2" i="4"/>
  <c r="BY2" i="4" s="1"/>
  <c r="BZ2" i="4" s="1"/>
  <c r="CE2" i="4"/>
  <c r="CF2" i="4" s="1"/>
  <c r="CG2" i="4" s="1"/>
  <c r="BX10" i="4"/>
  <c r="BY10" i="4" s="1"/>
  <c r="BZ10" i="4" s="1"/>
  <c r="CE10" i="4"/>
  <c r="CF10" i="4" s="1"/>
  <c r="CG10" i="4" s="1"/>
  <c r="BX3" i="4"/>
  <c r="BY3" i="4" s="1"/>
  <c r="BZ3" i="4" s="1"/>
  <c r="CE3" i="4"/>
  <c r="CF3" i="4" s="1"/>
  <c r="CG3" i="4" s="1"/>
  <c r="BX6" i="4"/>
  <c r="BY6" i="4" s="1"/>
  <c r="BZ6" i="4" s="1"/>
  <c r="CE6" i="4"/>
  <c r="CF6" i="4" s="1"/>
  <c r="CG6" i="4" s="1"/>
  <c r="BX12" i="4"/>
  <c r="BY12" i="4" s="1"/>
  <c r="BZ12" i="4" s="1"/>
  <c r="CE12" i="4"/>
  <c r="CF12" i="4" s="1"/>
  <c r="CG12" i="4" s="1"/>
  <c r="BX8" i="4"/>
  <c r="BY8" i="4" s="1"/>
  <c r="BZ8" i="4" s="1"/>
  <c r="CE8" i="4"/>
  <c r="CF8" i="4" s="1"/>
  <c r="CG8" i="4" s="1"/>
  <c r="BX7" i="4"/>
  <c r="BY7" i="4" s="1"/>
  <c r="BZ7" i="4" s="1"/>
  <c r="CE7" i="4"/>
  <c r="CF7" i="4" s="1"/>
  <c r="CG7" i="4" s="1"/>
  <c r="BX11" i="4"/>
  <c r="BY11" i="4" s="1"/>
  <c r="BZ11" i="4" s="1"/>
  <c r="CE11" i="4"/>
  <c r="CF11" i="4" s="1"/>
  <c r="CG11" i="4" s="1"/>
  <c r="BX5" i="4"/>
  <c r="BY5" i="4" s="1"/>
  <c r="BZ5" i="4" s="1"/>
  <c r="CE5" i="4"/>
  <c r="CF5" i="4" s="1"/>
  <c r="CG5" i="4" s="1"/>
  <c r="BX13" i="4"/>
  <c r="BY13" i="4" s="1"/>
  <c r="BZ13" i="4" s="1"/>
  <c r="CE13" i="4"/>
  <c r="CF13" i="4" s="1"/>
  <c r="CG13" i="4" s="1"/>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BI41" i="5" l="1"/>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tc={73C2226C-6106-4DC2-88CF-9C0A06F48311}</author>
    <author>tc={CEE78422-255C-40DC-AFED-5AA185CC03E1}</author>
    <author>tc={C7CEED71-5EFE-4791-84D8-7010C40A69F0}</author>
  </authors>
  <commentList>
    <comment ref="AQ1" authorId="0" shapeId="0" xr:uid="{00000000-0006-0000-0000-000001000000}">
      <text>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text>
    </comment>
    <comment ref="AZ1" authorId="1" shapeId="0" xr:uid="{00000000-0006-0000-0000-000002000000}">
      <text>
        <t>[Threaded comment]
Your version of Excel allows you to read this threaded comment; however, any edits to it will get removed if the file is opened in a newer version of Excel. Learn more: https://go.microsoft.com/fwlink/?linkid=870924
Comment:
    daily kWh</t>
      </text>
    </comment>
    <comment ref="AQ22" authorId="2" shapeId="0" xr:uid="{00000000-0006-0000-0000-000003000000}">
      <text>
        <t>[Threaded comment]
Your version of Excel allows you to read this threaded comment; however, any edits to it will get removed if the file is opened in a newer version of Excel. Learn more: https://go.microsoft.com/fwlink/?linkid=870924
Comment:
    in kWh</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tc={1DD52412-77C6-1E43-B8CC-07AD562D2C6E}</author>
  </authors>
  <commentList>
    <comment ref="AA1" authorId="0" shapeId="0" xr:uid="{00000000-0006-0000-0100-000001000000}">
      <text>
        <t>[Threaded comment]
Your version of Excel allows you to read this threaded comment; however, any edits to it will get removed if the file is opened in a newer version of Excel. Learn more: https://go.microsoft.com/fwlink/?linkid=870924
Comment:
    check label studies from srmt for label type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tc={CF36070F-7893-4948-8AB8-1CADF6EBBFD9}</author>
  </authors>
  <commentList>
    <comment ref="D6" authorId="0" shapeId="0" xr:uid="{00000000-0006-0000-0300-000001000000}">
      <text>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text>
    </comment>
  </commentList>
</comments>
</file>

<file path=xl/sharedStrings.xml><?xml version="1.0" encoding="utf-8"?>
<sst xmlns="http://schemas.openxmlformats.org/spreadsheetml/2006/main" count="3181" uniqueCount="619">
  <si>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</si>
  <si>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</si>
  <si>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</si>
  <si>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</si>
  <si>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</si>
  <si>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</si>
  <si>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</si>
  <si>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</si>
  <si>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</si>
  <si>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</si>
  <si>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</si>
  <si>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</si>
  <si>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</si>
  <si>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</si>
  <si>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</si>
  <si>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</si>
  <si>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</si>
  <si>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</si>
  <si>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</si>
  <si>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</si>
  <si>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</si>
  <si>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</si>
  <si>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</si>
  <si>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</si>
  <si>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</si>
  <si>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</si>
  <si>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</si>
  <si>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</si>
  <si>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</si>
  <si>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</si>
  <si>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</si>
  <si>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</si>
  <si>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</si>
  <si>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</si>
  <si>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</si>
  <si>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</si>
  <si>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</si>
  <si>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</si>
  <si>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</si>
  <si>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</si>
  <si>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</si>
  <si>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</si>
  <si>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</si>
  <si>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</si>
  <si>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</si>
  <si>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</si>
  <si>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</si>
  <si>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</si>
  <si>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</si>
  <si>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</si>
  <si>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</si>
  <si>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</si>
  <si>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</si>
  <si>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</si>
  <si>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</si>
  <si>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</si>
  <si>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</si>
  <si>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</si>
  <si>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</si>
  <si>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</si>
  <si>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</si>
  <si>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</si>
  <si>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</si>
  <si>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</si>
  <si>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</si>
  <si>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</si>
  <si>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</si>
  <si>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</si>
  <si>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</si>
  <si>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</si>
  <si>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</si>
  <si>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</si>
  <si>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</si>
  <si>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</si>
  <si>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</si>
  <si>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</si>
  <si>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</si>
  <si>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</si>
  <si>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</si>
  <si>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</si>
  <si>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</si>
  <si>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</si>
  <si>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</si>
  <si>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</si>
  <si>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</si>
  <si>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</si>
  <si>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</si>
  <si>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</si>
  <si>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</si>
  <si>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</si>
  <si>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</si>
  <si>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</si>
  <si>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</si>
  <si>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</si>
  <si>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</si>
  <si>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</si>
  <si>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</si>
  <si>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</si>
  <si>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</si>
  <si>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</si>
  <si>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</si>
  <si>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</si>
  <si>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</si>
  <si>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</si>
  <si>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</si>
  <si>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</si>
  <si>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</si>
  <si>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</si>
  <si>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</si>
  <si>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</si>
  <si>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</si>
  <si>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</si>
  <si>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</si>
  <si>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</si>
  <si>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</si>
  <si>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</si>
  <si>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</si>
  <si>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</si>
  <si>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</si>
  <si>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</si>
  <si>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</si>
  <si>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</si>
  <si>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</si>
  <si>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</si>
  <si>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</si>
  <si>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</si>
  <si>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</si>
  <si>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</si>
  <si>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</si>
  <si>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</si>
  <si>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</si>
  <si>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</si>
  <si>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</si>
  <si>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</si>
  <si>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</si>
  <si>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</si>
  <si>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</si>
  <si>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</si>
  <si>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</si>
  <si>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</si>
  <si>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</si>
  <si>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</si>
  <si>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</si>
  <si>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</si>
  <si>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</si>
  <si>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</si>
  <si>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</si>
  <si>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</si>
  <si>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</si>
  <si>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</si>
  <si>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</si>
  <si>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</si>
  <si>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</si>
  <si>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</si>
  <si>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</si>
  <si>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</si>
  <si>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</si>
  <si>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</si>
  <si>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</si>
  <si>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</si>
  <si>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</si>
  <si>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</si>
  <si>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</si>
  <si>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</si>
  <si>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</si>
  <si>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</si>
  <si>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</si>
  <si>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</si>
  <si>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</si>
  <si>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</si>
  <si>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</si>
  <si>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</si>
  <si>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</si>
  <si>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</si>
  <si>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</si>
  <si>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</si>
  <si>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</si>
  <si>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</si>
  <si>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</si>
  <si>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</si>
  <si>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</si>
  <si>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</si>
  <si>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</si>
  <si>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</si>
  <si>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</si>
  <si>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</si>
  <si>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</si>
  <si>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</si>
  <si>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</si>
  <si>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</si>
  <si>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</si>
  <si>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</si>
  <si>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</si>
  <si>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</si>
  <si>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</si>
  <si>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</si>
  <si>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ac</t>
  </si>
  <si>
    <t>notes_dep_var</t>
  </si>
  <si>
    <t>dep_variable_purchase_category</t>
  </si>
  <si>
    <t>dep_var_original_study</t>
  </si>
  <si>
    <t>dep_var_transformation</t>
  </si>
  <si>
    <t>t_stat</t>
  </si>
  <si>
    <t>percent_change</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</si>
  <si>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</si>
  <si>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</si>
  <si>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</si>
  <si>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</si>
  <si>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</si>
  <si>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</si>
  <si>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</si>
  <si>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</si>
  <si>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</si>
  <si>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</si>
  <si>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</si>
  <si>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r_value</t>
  </si>
  <si>
    <t>df</t>
  </si>
  <si>
    <t>comments</t>
  </si>
  <si>
    <t>r_value_obs</t>
  </si>
  <si>
    <t>z_value_obs</t>
  </si>
  <si>
    <t>r_variance_obs</t>
  </si>
  <si>
    <t>z_variance_obs</t>
  </si>
  <si>
    <t>Liddle, Loi, Owen, Tao</t>
  </si>
  <si>
    <t>Evaluating consumption and cost savings from new air-conditioner purchases: The case of Singapore</t>
  </si>
  <si>
    <t>Air conditioning (AC) is a major source of household electricity consumption in Singapore and there is evidence
that the efficiency of ACs could be improved substantially. Employing 45 months of energy bills and survey data
and the Fixed Effects difference-in-differences estimator, we calculated a savings of 7.8% of total energy consumption
after the purchase of a more efficient AC compared to an estimated expected savings of 12.6%. This
suggests a rebound or take-back of savings around 38.2%. Such a less-than-100% of theoretical savings achieved
is in line with other (outside Singapore) estimates and economic/behavioural theory since after purchasing a new
AC, households may (i) use a lower temperature setting or (ii) use the AC longer in order to (1) fulfil (previously)
unmet demand and/or (2) respond to the effective lower costs of running the AC. Our results have implications
for both energy efficiency labelling policies and for Singapore’s recently implemented carbon tax.</t>
  </si>
  <si>
    <t>2015-2017</t>
  </si>
  <si>
    <t>OLS - FE</t>
  </si>
  <si>
    <t>quasi-experimental</t>
  </si>
  <si>
    <t>self-reported behaviour</t>
  </si>
  <si>
    <t>household</t>
  </si>
  <si>
    <t>homeowners</t>
  </si>
  <si>
    <t>no such option</t>
  </si>
  <si>
    <t>probably no</t>
  </si>
  <si>
    <t>mandatory energy labelling scheme and mandatory energy performance standard</t>
  </si>
  <si>
    <t>energy use after switching to a more efficient appliance</t>
  </si>
  <si>
    <t>electricity savings from the purchase of a new air-conditioner as an Average Treatment on the Treated Effect</t>
  </si>
  <si>
    <t>log scale</t>
  </si>
  <si>
    <t>OLS - RE</t>
  </si>
  <si>
    <t>coarsened exact matching</t>
  </si>
  <si>
    <t>Sun</t>
  </si>
  <si>
    <t>Heterogeneous direct rebound effect: Theory and evidence from the Energy Star program</t>
  </si>
  <si>
    <t>Improvements in energy efficiency change the relative prices of energy services and thus the consumption
of those services. This so-called direct rebound effect changes the energy savings that improved efficiency
might otherwise achieve. This paper develops a theoretical model that shows the sign of the direct
rebound effect depends on the type of energy service. Empirical evidence from the 2009 Residential
Energy Consumption Survey data shows a negative direct rebound effect for Energy Star dishwashers and a
potentially positive direct rebound effect for Energy Star air conditioners. Negative rebound effects amplify
energy savings, while positive rebound effects offset energy savings from using more efficient technologies.</t>
  </si>
  <si>
    <t>revealed preference</t>
  </si>
  <si>
    <t>pre-recorded (no experiment)</t>
  </si>
  <si>
    <t>effect of energy efficiency in itself rather than label</t>
  </si>
  <si>
    <t>for owners of ES dishwasher</t>
  </si>
  <si>
    <t>annual electricity consumption, excluding space heating and cooling,
water heating and refrigeration.</t>
  </si>
  <si>
    <t>2SLS</t>
  </si>
  <si>
    <t>for owners of ES AC</t>
  </si>
  <si>
    <t xml:space="preserve">for owners of ES AC </t>
  </si>
  <si>
    <t>Information v. energy efficiency incentives: Evidence from residential electricity consumption in Maryland</t>
  </si>
  <si>
    <t>We focus on two utility programs intended to reduce energy usage and the associated CO2 emissions—a home
energy audit and rebates on the purchase of high-efficiency air-source heat pumps. We use a unique panel
dataset from participating and non-participating households to estimate the average treatment effect of participating
in either program on electricity usage. We fit models with household-by-season, season-by-year, and
household-by-year fixed effects to account for all possible confounders that might influence energy usage.
Since the programs are voluntary, we seek to restore near-exogeneity of the program “treatment” by matching
participating households with control households. We deploy coarsened exact matching (CEM; Iacus et al.,
2011) as our main matching method.We ask whether it is sufficient tomatch households based on past electricity
usage, or if we gain by adding structural characteristics of the home, including heating system type.We find
that the two programs reduce electricity usage by 5% on average. The effects are strong in both winter and summer
for the energy audit groups but appear to be stronger in the winter for the heat pump rebate group. Adding
house characteristics to thematching variables does seemto affect results, suggesting that using past usage alone,
or house characteristics alone, may not be sufficient to identify the effects of program participation.</t>
  </si>
  <si>
    <t>2008-2012</t>
  </si>
  <si>
    <t>S37</t>
  </si>
  <si>
    <t>weighted least squares</t>
  </si>
  <si>
    <t>control &amp; treatment</t>
  </si>
  <si>
    <t>QHEC - quick house electricity checkup - free audit</t>
  </si>
  <si>
    <t>ln electricity use</t>
  </si>
  <si>
    <t>from 200 to 400</t>
  </si>
  <si>
    <t xml:space="preserve">current </t>
  </si>
  <si>
    <t>with CEM</t>
  </si>
  <si>
    <t>S38</t>
  </si>
  <si>
    <t>Ridge</t>
  </si>
  <si>
    <t>Energy Conservation for Low-Income Households: The Evaporative Cooler Experience</t>
  </si>
  <si>
    <t>Since November 1983, the Southern California Edison Company (SCE) has been offering
a free evaporative cooler to low-income customers who alreadypossess an air conditioner.
To qualify for a free cooler, a cooler must first be recommended in an SCEenergy audit as
being cost-effective. The cooler, which has a much lower k W demand than a typical air
conditioner, is to be used not as a replacement for one’s air conditioner but rather to
supplant it during certain parts of the day, thus reducing k Wh consumption. The research
design used is the nonequivalent control group. The econometric analysis indicates that
the net reduction due to the installation of a cooler is 2.64 kWh per day.</t>
  </si>
  <si>
    <t>individuals</t>
  </si>
  <si>
    <t>offering a free evaporative cooler to low-income customers who already possess an air-conditioner</t>
  </si>
  <si>
    <t>average daily kWh consumption within a given billing period</t>
  </si>
  <si>
    <t>interaction with LN(cooling deegree days)</t>
  </si>
  <si>
    <t>Chun, Jiang</t>
  </si>
  <si>
    <t>How households in Pakistan take on energy efficient lighting technology</t>
  </si>
  <si>
    <t>A household survey in Pakistan is used to examine drivers of more efficient compact fluorescent light bulb (CFL)
adoption and the impact of CFL adoption on the demand for lighting services. Higher price of a CFL to an incandescent
bulb (IB) and limited knowledge about the life span of CFLs versus IBs are found to lower adoption rates
by as much as 20%.While CFL adoption increases the technical efficiency of household lighting, the lower cost for
lighting services results in estimated rebound effects that decrease potential energy savings by 23% to 35% due to
increased brightness and extended hours of use. These findings have important implications for household welfare
and cost-benefit tradeoffs for CFL projects.</t>
  </si>
  <si>
    <t>Pakistan</t>
  </si>
  <si>
    <t>no behavioural incentive per se</t>
  </si>
  <si>
    <t>log avg wattage</t>
  </si>
  <si>
    <t>IV</t>
  </si>
  <si>
    <t>no behavioural incentive per se - switch to CFL from IB</t>
  </si>
  <si>
    <t>log lumen adjusted wattage</t>
  </si>
  <si>
    <t>Mizobuchi, Takeuchi</t>
  </si>
  <si>
    <t>Replacement or additional purchase: The impact of energy-efficient appliances on household electricity saving under public pressures</t>
  </si>
  <si>
    <t>This study examined the influence of additional and replacement purchases of energy-efficient airconditioners
on power savings. We used a questionnaire survey and measured electricity use data from
339 Japanese households, collected from two city areas with different level of government-requested
electricity-saving rates, namely, Osaka (10%) and Matsuyama (5%). The main findings of our study are as
follows: (1) Households that purchased energy-efficient air-conditioners saved more electricity than
those that did not. (2) “Additional-purchase households” showed significant energy savings, whereas
“replacement households” did not. The rebound effect may negate the energy-saving effects of a new airconditioner.
(3) Altruistic attitude is associated with more active participation in power saving.
(4) Households in Osaka saved more electricity than those in Matsuyama, probably because the government
call to save electricity was more forceful.</t>
  </si>
  <si>
    <t>online</t>
  </si>
  <si>
    <t>residents</t>
  </si>
  <si>
    <t>probably yes</t>
  </si>
  <si>
    <t>government calls for energy savings due to shortage</t>
  </si>
  <si>
    <t>Due to the Top Runner Program by the Japanese government, air-conditioner companies must continue to upgrade the energy efficiency of their air-conditioners on a yearly basis.</t>
  </si>
  <si>
    <t>after purchase of energy efficient air-conditioner</t>
  </si>
  <si>
    <t>the logarithmic value of the electricity
consumption (kWh)</t>
  </si>
  <si>
    <t>after replacement</t>
  </si>
  <si>
    <t>after additional purchase</t>
  </si>
  <si>
    <t>Free Riding, Upsizing, and Energy Efﬁciency Incentives in Maryland Homes</t>
  </si>
  <si>
    <t>diff-in-diff</t>
  </si>
  <si>
    <t>the percentage change in energy use that occurs when a heat pump is replaced with a
new, more efficient one</t>
  </si>
  <si>
    <t>energy consumption (monthly)</t>
  </si>
  <si>
    <t>200 to 500$</t>
  </si>
  <si>
    <t>delayed</t>
  </si>
  <si>
    <t>Davis, Fuchs, Gertler</t>
  </si>
  <si>
    <t>the effect
of refrigerator and air conditioner replacement on household electricity consumption</t>
  </si>
  <si>
    <t>30 to 170$</t>
  </si>
  <si>
    <t>LT</t>
  </si>
  <si>
    <t>Yao, Liu, Yan</t>
  </si>
  <si>
    <t>A quantile approach to assess the effectiveness of the subsidy policy for energy-efficient home appliances: Evidence from Rizhao, China</t>
  </si>
  <si>
    <t>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t>
  </si>
  <si>
    <t>Standard errors, implied t-statistics and p-values do not match. There must be something wrong</t>
  </si>
  <si>
    <t>China</t>
  </si>
  <si>
    <t>Significance stars and t-values do not match</t>
  </si>
  <si>
    <t>kWh</t>
  </si>
  <si>
    <t>AN</t>
  </si>
  <si>
    <t>16-64 USD</t>
  </si>
  <si>
    <t>purschase (probability) of efficient appliance</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</si>
  <si>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</si>
  <si>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</si>
  <si>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</si>
  <si>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</si>
  <si>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</si>
  <si>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</si>
  <si>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</si>
  <si>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</si>
  <si>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</si>
  <si>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</si>
  <si>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</si>
  <si>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</si>
  <si>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</si>
  <si>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</si>
  <si>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</si>
  <si>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</si>
  <si>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</si>
  <si>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</si>
  <si>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</si>
  <si>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</si>
  <si>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</si>
  <si>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</si>
  <si>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</si>
  <si>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</si>
  <si>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</si>
  <si>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</si>
  <si>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</si>
  <si>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</si>
  <si>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</si>
  <si>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</si>
  <si>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</si>
  <si>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</si>
  <si>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</si>
  <si>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</si>
  <si>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</si>
  <si>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</si>
  <si>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</si>
  <si>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</si>
  <si>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</si>
  <si>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</si>
  <si>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</si>
  <si>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</si>
  <si>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</si>
  <si>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</si>
  <si>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</si>
  <si>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</si>
  <si>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</si>
  <si>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</si>
  <si>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</si>
  <si>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</si>
  <si>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</si>
  <si>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</si>
  <si>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</si>
  <si>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</si>
  <si>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</si>
  <si>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</si>
  <si>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</si>
  <si>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</si>
  <si>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</si>
  <si>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</si>
  <si>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</si>
  <si>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</si>
  <si>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ANOVA</t>
  </si>
  <si>
    <t>ITT</t>
  </si>
  <si>
    <t>mixed logit</t>
  </si>
  <si>
    <t>multinomial logit</t>
  </si>
  <si>
    <t>negative binomial regression</t>
  </si>
  <si>
    <t>nested logit</t>
  </si>
  <si>
    <t>ordered probit</t>
  </si>
  <si>
    <t>probit</t>
  </si>
  <si>
    <t>structural model</t>
  </si>
  <si>
    <t>Grand Total</t>
  </si>
  <si>
    <t>controlls</t>
  </si>
  <si>
    <t>rebate_timeframe</t>
  </si>
  <si>
    <t>dep_var_category</t>
  </si>
  <si>
    <t>bias</t>
  </si>
  <si>
    <t>WTP for efficient appliance</t>
  </si>
  <si>
    <t>retailer</t>
  </si>
  <si>
    <t>simulation</t>
  </si>
  <si>
    <t>students</t>
  </si>
  <si>
    <t>numerical</t>
  </si>
  <si>
    <t>dummy (0/1)</t>
  </si>
  <si>
    <t>How effective are energy-efficiency incentive programs? Evidence from Italian homeowners</t>
  </si>
  <si>
    <t>opt_out</t>
  </si>
  <si>
    <t>market share of efficient appliance</t>
  </si>
  <si>
    <t>PoC</t>
  </si>
  <si>
    <t>store visitors</t>
  </si>
  <si>
    <t>stated preference</t>
  </si>
  <si>
    <t>alphabetical</t>
  </si>
  <si>
    <t>Looking for free riding: energy efficiency incentives and Italian homeowners</t>
  </si>
  <si>
    <t>RDD</t>
  </si>
  <si>
    <t>lab</t>
  </si>
  <si>
    <t>dep_var</t>
  </si>
  <si>
    <t>Italy</t>
  </si>
  <si>
    <t>alphabetical with +</t>
  </si>
  <si>
    <t>odds ratio</t>
  </si>
  <si>
    <t>sales agent</t>
  </si>
  <si>
    <t>review</t>
  </si>
  <si>
    <t>tenants</t>
  </si>
  <si>
    <t>binary</t>
  </si>
  <si>
    <t>Allcott, Sweeney</t>
  </si>
  <si>
    <t>The Role of Sales Agents in Information Disclosure: Evidence from a Field Experiment</t>
  </si>
  <si>
    <t>correlation</t>
  </si>
  <si>
    <t>propensity score matching</t>
  </si>
  <si>
    <t>uncertainty / sample size missing</t>
  </si>
  <si>
    <t>callers</t>
  </si>
  <si>
    <t>Allcott, Taubinsky</t>
  </si>
  <si>
    <t>Evaluating Behaviorally Motivated Policy: Experimental Evidence from the Lightbulb Market</t>
  </si>
  <si>
    <t>quality</t>
  </si>
  <si>
    <t>Ireland</t>
  </si>
  <si>
    <t>other</t>
  </si>
  <si>
    <t>Anderson, Claxton</t>
  </si>
  <si>
    <t>Barriers to Consumer Choice of Energy Efficient Products</t>
  </si>
  <si>
    <t>case study</t>
  </si>
  <si>
    <t>India</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</si>
  <si>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</si>
  <si>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</si>
  <si>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</si>
  <si>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</si>
  <si>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</si>
  <si>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</si>
  <si>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</si>
  <si>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Spain</t>
  </si>
  <si>
    <t>Aydin, Kok, Brounen</t>
  </si>
  <si>
    <t>Energy efficiency and household behavior: the rebound effect in the residential sector</t>
  </si>
  <si>
    <t>no appliance breakdown</t>
  </si>
  <si>
    <t>Nigeria</t>
  </si>
  <si>
    <t>Berman, Cooper, Geller</t>
  </si>
  <si>
    <t>COMPENDIUM OF UTILITY-SPONSORED ENERGY EFFICIENCY REBATE PROGRAMS.</t>
  </si>
  <si>
    <t>negative binomial count model</t>
  </si>
  <si>
    <t>Kenya</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</si>
  <si>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</si>
  <si>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</si>
  <si>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</si>
  <si>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</si>
  <si>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</si>
  <si>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Australia</t>
  </si>
  <si>
    <t>Datta, Filippini</t>
  </si>
  <si>
    <t>Analysing the impact of ENERGY STAR rebate policies in the US</t>
  </si>
  <si>
    <t>log-linear model</t>
  </si>
  <si>
    <t>Datta, Gulati</t>
  </si>
  <si>
    <t>Utility rebates for ENERGY STAR appliances: Are they effective?</t>
  </si>
  <si>
    <t>Canada</t>
  </si>
  <si>
    <t>Davis</t>
  </si>
  <si>
    <t>Durable goods and residential demand for energy and water: evidence from a field trial</t>
  </si>
  <si>
    <t>Greece</t>
  </si>
  <si>
    <t>EU</t>
  </si>
  <si>
    <t>Davis, Metcalf</t>
  </si>
  <si>
    <t>DOES BETTER INFORMATION LEAD TO BETTER CHOICES? EVIDENCE FROM
ENERGY-EFFICIENCY LABELS</t>
  </si>
  <si>
    <t>Austria</t>
  </si>
  <si>
    <t>del Mar Sola, de Ayala, Galarraga</t>
  </si>
  <si>
    <t>The Effect of Providing Monetary Information on Energy Savings for Household Appliances: A Field Trial in Spain</t>
  </si>
  <si>
    <t>Australia, Canada, Chile, France, Israel, Korea, Japan, Netherlands, Spain, Sweden, Switzerland</t>
  </si>
  <si>
    <t>Deutsch</t>
  </si>
  <si>
    <t>The effect of life-cycle cost disclosure on consumer behavior: evidence from a field experiment with cooling appliances</t>
  </si>
  <si>
    <t>Life Cycle Cost Disclosure, Consumer Behavior, and Business Implications: Evidence From an Online Field Experiment</t>
  </si>
  <si>
    <t>France, Germany, Italy, Poland, Romania, Spain, Sweden, UK</t>
  </si>
  <si>
    <t>Dieu-Hang, Grafton, Martinez-Espineira, Garcia-Valinas</t>
  </si>
  <si>
    <t>Household adoption of energy and water-efficient appliances: An analysis of attitudes, labelling and complementary green behaviours in selected OECD countries</t>
  </si>
  <si>
    <t>double bounded contingent valuation model</t>
  </si>
  <si>
    <t>South Korea</t>
  </si>
  <si>
    <t>Dong, Futawatari</t>
  </si>
  <si>
    <t>The study of low-carbon policy influence on consumers' energy efficiency household appliance purchase behavior</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</si>
  <si>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</si>
  <si>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</si>
  <si>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</si>
  <si>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</si>
  <si>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</si>
  <si>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</si>
  <si>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</si>
  <si>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France</t>
  </si>
  <si>
    <t>Galaraga, Heres, Gonzalez, Eguino</t>
  </si>
  <si>
    <t>Price premium for high-efficiency refrigerators and calculation of price-elasticities for close-substitutes: a methodology using hedonic pricing and demand systems</t>
  </si>
  <si>
    <t>VAR</t>
  </si>
  <si>
    <t>Poland</t>
  </si>
  <si>
    <t>Galarraga, Gonzalez-Eguino, Markandya</t>
  </si>
  <si>
    <t>Willingness to pay and price elasticities of demand for energy-efficient appliances: Combining the hedonic approach and demand systems</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</si>
  <si>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</si>
  <si>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</si>
  <si>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</si>
  <si>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</si>
  <si>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</si>
  <si>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</si>
  <si>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</si>
  <si>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Goto H, Goto M, Sueyoshi</t>
  </si>
  <si>
    <t>Consumer choice on ecologically efficient water heaters: Marketing strategy and policy implications in Japan</t>
  </si>
  <si>
    <t xml:space="preserve">France, Slovenia, Szech Republic, Portugal </t>
  </si>
  <si>
    <t>Granda, Birner, Aron, Woodward</t>
  </si>
  <si>
    <t>The IFC/GEF Poland Efficient Lighting Project (PELP) final results</t>
  </si>
  <si>
    <t>Haas</t>
  </si>
  <si>
    <t>Some empirical findings of an Austrian appliance turn-in program</t>
  </si>
  <si>
    <t>Hafner, Elmes, Read, White</t>
  </si>
  <si>
    <t>Exploring the role of normative, financial and environmental information in promoting uptake of energy efficient technologies</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</si>
  <si>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</si>
  <si>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</si>
  <si>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</si>
  <si>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</si>
  <si>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</si>
  <si>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</si>
  <si>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Heinzle, Wüstenhagen</t>
  </si>
  <si>
    <t>Disimproving the European Energy Label's value for consumers? Results from a consumer survey</t>
  </si>
  <si>
    <t>Dynamic Adjustment of Eco-labeling Schemes and Consumer Choice - the Revision of the EU Energy Label as a Missed Opportunity?: Dynamic Adjustment of Eco-labelling Schemes &amp; Consumer Choice</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</si>
  <si>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</si>
  <si>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</si>
  <si>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</si>
  <si>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</si>
  <si>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</si>
  <si>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</si>
  <si>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</si>
  <si>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</si>
  <si>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Jain, Rao, Patwardhan</t>
  </si>
  <si>
    <t>Consumer preference for labels in the purchase decisions of air conditioners in India</t>
  </si>
  <si>
    <t>Jeong, Kim</t>
  </si>
  <si>
    <t>The effects of energy efficiency and environmental labels on appliance choice in South Korea</t>
  </si>
  <si>
    <t>Kallbekken, Saelen, Hermansen</t>
  </si>
  <si>
    <t>Bridging the Energy Efficiency Gap: A Field Experiment on Lifetime Energy Costs and Household Appliances</t>
  </si>
  <si>
    <t>Kusaka, Kojima, Watanabe</t>
  </si>
  <si>
    <t>Environmental consciousness, economic gain and consumer choice of energy efficient appliances in Thailand, China and India</t>
  </si>
  <si>
    <t>Li, Cao</t>
  </si>
  <si>
    <t>Effectiveness of China's Labeling and Incentive Programs for Household Energy Conservation and Policy Implications</t>
  </si>
  <si>
    <t>Liang, Liu, Qiu, Wang, Xing</t>
  </si>
  <si>
    <t>Time-of-Use Electricity Pricing and Residential Low-carbon Energy Technology Adoption</t>
  </si>
  <si>
    <t>Liu, Jin</t>
  </si>
  <si>
    <t>Visualisation approach and economic incentives toward low carbon practices in households: A survey study in Hyogo, Japan</t>
  </si>
  <si>
    <t>London Economics</t>
  </si>
  <si>
    <t>Study on the impact of the energy label – and potential changes to it – on consumer understanding and on purchase decisions</t>
  </si>
  <si>
    <t>Ma, Yu, Urban</t>
  </si>
  <si>
    <t>Green transition of energy systems in rural China: National survey evidence of households' discrete choices on water heaters</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</si>
  <si>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</si>
  <si>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</si>
  <si>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</si>
  <si>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</si>
  <si>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</si>
  <si>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</si>
  <si>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</si>
  <si>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</si>
  <si>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Modic</t>
  </si>
  <si>
    <t>Energy use in households</t>
  </si>
  <si>
    <t>Nakano, Zusman, Nugroho, Kaswanto, Arifin N, Munandar, Arifin HS, Muchtar, Gomi, Fujita</t>
  </si>
  <si>
    <t>Determinants of energy savings in Indonesia: The case of LED lighting in Bogor</t>
  </si>
  <si>
    <t>Neves, Oliveira</t>
  </si>
  <si>
    <t>Drivers of consumers' change to an energy-efficient heating appliance (EEHA) in households: Evidence from five European countries</t>
  </si>
  <si>
    <t>Nishijima, Kagawa, Nansai, Oguchi</t>
  </si>
  <si>
    <t>Effects of product replacement programs on climate change</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</si>
  <si>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</si>
  <si>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</si>
  <si>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</si>
  <si>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</si>
  <si>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</si>
  <si>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</si>
  <si>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</si>
  <si>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</si>
  <si>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</si>
  <si>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</si>
  <si>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</si>
  <si>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</si>
  <si>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</si>
  <si>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</si>
  <si>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</si>
  <si>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</si>
  <si>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Revelt, Train</t>
  </si>
  <si>
    <t>MIXED LOGIT WITH REPEATED CHOICES: HOUSEHOLDS’ CHOICES
OF APPLIANCE EFFICIENCY LEVEL</t>
  </si>
  <si>
    <t>Mixed logit with repeated choices: households' choices of appliance efficiency level</t>
  </si>
  <si>
    <t>Sammer, Wuestenhagen</t>
  </si>
  <si>
    <t>The influence of eco-labelling on consumer behaviour – results of a discrete choice analysis for washing machines</t>
  </si>
  <si>
    <t>Schleich, Durand, Brugger</t>
  </si>
  <si>
    <t>How effective are EU minimum energy performance standards and energy labels for cold appliances?</t>
  </si>
  <si>
    <t>Schultz, Colehour, Vohr, Bonn, Bullock, Sadler</t>
  </si>
  <si>
    <t>Using Social Marketing to Spur Residential Adoption of ENERGY STAR®-Certified LED Lighting</t>
  </si>
  <si>
    <t>Skourtos, Damigos, Tourkolias, Kontogianni</t>
  </si>
  <si>
    <t>Efficient energy labelling: the impact of information content and style on product choice</t>
  </si>
  <si>
    <t>Stadelmann, Schubert</t>
  </si>
  <si>
    <t>How Do Different Designs of Energy Labels Influence Purchases of Household Appliances? A Field Study in Switzerland</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</si>
  <si>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</si>
  <si>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</si>
  <si>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</si>
  <si>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</si>
  <si>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Train, Atherton</t>
  </si>
  <si>
    <t>REBATES, LOANS, AND CUSTOMERS CHOICE OF APPLIANCE EFFICIENCY LEVEL - COMBINING STATED AND REVEALED-PREFERENCE DATA</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</si>
  <si>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</si>
  <si>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</si>
  <si>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</si>
  <si>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</si>
  <si>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Ward, Clark, Jensen, Yen, Russell</t>
  </si>
  <si>
    <t>Factors influencing willingness-to-pay for the ENERGY STAR (R) label</t>
  </si>
  <si>
    <t>Wasi, Carson</t>
  </si>
  <si>
    <t>The influence of rebate programs on the demand for water heaters: The case of New South Wales</t>
  </si>
  <si>
    <t>Webber, Brown, Koomey</t>
  </si>
  <si>
    <t>Savings estimates for the ENERGY STAR (R) voluntary labeling program</t>
  </si>
  <si>
    <t>Zha, Yang, Wang, Zhou</t>
  </si>
  <si>
    <t>Appliance energy labels and consumer heterogeneity: A latent class approach based on a discrete choice experiment in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</si>
  <si>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</si>
  <si>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</si>
  <si>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</si>
  <si>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</si>
  <si>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</si>
  <si>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</si>
  <si>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</si>
  <si>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</si>
  <si>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</si>
  <si>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</si>
  <si>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DECC</t>
  </si>
  <si>
    <t>Oländer, Thogersen</t>
  </si>
  <si>
    <t>Informing Versus Nudging in Environmental Policy</t>
  </si>
  <si>
    <t>dishwasher</t>
  </si>
  <si>
    <t>percent_change_ci</t>
  </si>
  <si>
    <t>Albertini, Bigano</t>
  </si>
  <si>
    <t>Albertini, Bigano, Boeri</t>
  </si>
  <si>
    <t>Albertini, Towe</t>
  </si>
  <si>
    <t>Albertini, Gans, Towe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</si>
</sst>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
    <numFmt numFmtId="172" formatCode="0.0000;[Red]0.0000"/>
  </numFmts>
  <fonts count="35">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8"/>
      <name val="Calibri"/>
      <family val="2"/>
      <scheme val="minor"/>
    </font>
    <font>
      <sz val="12"/>
      <color theme="1"/>
      <name val="Calibri"/>
      <family val="2"/>
      <scheme val="minor"/>
    </font>
    <font>
      <sz val="11"/>
      <name val="Calibri"/>
      <family val="2"/>
      <scheme val="minor"/>
    </font>
    <font>
      <sz val="12"/>
      <name val="Calibri"/>
      <family val="2"/>
      <charset val="1"/>
    </font>
    <font>
      <sz val="12"/>
      <name val="Calibri"/>
      <family val="2"/>
      <charset val="1"/>
      <scheme val="minor"/>
    </font>
    <font>
      <sz val="11"/>
      <color rgb="FF000000"/>
      <name val="Calibri"/>
      <family val="2"/>
      <scheme val="minor"/>
    </font>
    <font>
      <sz val="12"/>
      <color theme="1"/>
      <name val="Calibri"/>
      <family val="2"/>
      <charset val="1"/>
    </font>
    <font>
      <sz val="11"/>
      <color theme="1"/>
      <name val="Calibri (Body)"/>
    </font>
    <font>
      <u/>
      <sz val="12"/>
      <color theme="10"/>
      <name val="Calibri"/>
      <family val="2"/>
      <scheme val="minor"/>
    </font>
    <font>
      <b/>
      <sz val="12"/>
      <color rgb="FF000000"/>
      <name val="Calibri"/>
      <family val="2"/>
    </font>
    <font>
      <sz val="12"/>
      <color rgb="FF000000"/>
      <name val="Calibri"/>
      <family val="2"/>
    </font>
  </fonts>
  <fills count="21">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theme="5" tint="0.59999389629810485"/>
        <bgColor indexed="64"/>
      </patternFill>
    </fill>
    <fill>
      <patternFill patternType="solid">
        <fgColor rgb="FFFFF2CC"/>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3">
    <xf numFmtId="0" fontId="0" fillId="0" borderId="0"/>
    <xf numFmtId="9" fontId="25" fillId="0" borderId="0" applyFont="0" applyFill="0" applyBorder="0" applyAlignment="0" applyProtection="0"/>
    <xf numFmtId="0" fontId="32" fillId="0" borderId="0" applyNumberFormat="0" applyFill="0" applyBorder="0" applyAlignment="0" applyProtection="0"/>
  </cellStyleXfs>
  <cellXfs count="126">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7" fillId="0" borderId="0" xfId="0" applyFont="1"/>
    <xf numFmtId="0" fontId="10" fillId="0" borderId="0" xfId="0" quotePrefix="1" applyFont="1"/>
    <xf numFmtId="164" fontId="0" fillId="5" borderId="0" xfId="0" applyNumberFormat="1" applyFill="1"/>
    <xf numFmtId="168" fontId="0" fillId="0" borderId="0" xfId="0" applyNumberFormat="1"/>
    <xf numFmtId="0" fontId="12"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8" fillId="2" borderId="0" xfId="0" applyNumberFormat="1" applyFont="1" applyFill="1" applyAlignment="1">
      <alignment wrapText="1"/>
    </xf>
    <xf numFmtId="170" fontId="0" fillId="0" borderId="0" xfId="0" applyNumberFormat="1"/>
    <xf numFmtId="0" fontId="9" fillId="0" borderId="0" xfId="0" applyFont="1"/>
    <xf numFmtId="0" fontId="11" fillId="0" borderId="0" xfId="0" applyFont="1"/>
    <xf numFmtId="164" fontId="11" fillId="0" borderId="0" xfId="0" applyNumberFormat="1" applyFont="1"/>
    <xf numFmtId="0" fontId="10" fillId="0" borderId="0" xfId="0" applyFont="1"/>
    <xf numFmtId="165" fontId="0" fillId="0" borderId="0" xfId="0" applyNumberFormat="1"/>
    <xf numFmtId="0" fontId="8" fillId="0" borderId="0" xfId="0" applyFont="1"/>
    <xf numFmtId="0" fontId="21" fillId="0" borderId="0" xfId="0" applyFont="1" applyAlignment="1">
      <alignment wrapText="1"/>
    </xf>
    <xf numFmtId="0" fontId="18" fillId="2" borderId="1" xfId="0" applyFont="1" applyFill="1" applyBorder="1"/>
    <xf numFmtId="0" fontId="21" fillId="0" borderId="0" xfId="0" applyFont="1"/>
    <xf numFmtId="0" fontId="0" fillId="15" borderId="0" xfId="0" applyFill="1" applyAlignment="1">
      <alignment wrapText="1"/>
    </xf>
    <xf numFmtId="0" fontId="0" fillId="15" borderId="0" xfId="0" applyFill="1"/>
    <xf numFmtId="0" fontId="2" fillId="15" borderId="0" xfId="0" applyFont="1" applyFill="1"/>
    <xf numFmtId="0" fontId="7" fillId="15" borderId="0" xfId="0" applyFont="1" applyFill="1"/>
    <xf numFmtId="0" fontId="22" fillId="0" borderId="0" xfId="0" applyFont="1" applyAlignment="1">
      <alignment vertical="center"/>
    </xf>
    <xf numFmtId="0" fontId="5" fillId="15" borderId="0" xfId="0" applyFont="1" applyFill="1"/>
    <xf numFmtId="0" fontId="26" fillId="0" borderId="0" xfId="0" applyFont="1"/>
    <xf numFmtId="0" fontId="26" fillId="15" borderId="0" xfId="0" applyFont="1" applyFill="1"/>
    <xf numFmtId="164" fontId="0" fillId="15" borderId="0" xfId="0" applyNumberFormat="1" applyFill="1"/>
    <xf numFmtId="168" fontId="0" fillId="15" borderId="0" xfId="0" applyNumberFormat="1" applyFill="1"/>
    <xf numFmtId="0" fontId="11" fillId="15" borderId="0" xfId="0" applyFont="1" applyFill="1"/>
    <xf numFmtId="170" fontId="0" fillId="15" borderId="0" xfId="0" applyNumberFormat="1" applyFill="1"/>
    <xf numFmtId="0" fontId="10" fillId="15" borderId="0" xfId="0" quotePrefix="1" applyFont="1" applyFill="1"/>
    <xf numFmtId="167" fontId="0" fillId="15" borderId="0" xfId="0" applyNumberFormat="1" applyFill="1"/>
    <xf numFmtId="0" fontId="6" fillId="15" borderId="0" xfId="0" applyFont="1" applyFill="1"/>
    <xf numFmtId="0" fontId="12" fillId="15" borderId="0" xfId="0" applyFont="1" applyFill="1"/>
    <xf numFmtId="0" fontId="21" fillId="15" borderId="0" xfId="0" applyFont="1" applyFill="1"/>
    <xf numFmtId="0" fontId="29" fillId="0" borderId="0" xfId="0" applyFont="1"/>
    <xf numFmtId="0" fontId="31" fillId="0" borderId="0" xfId="0" applyFont="1" applyAlignment="1">
      <alignment vertical="center"/>
    </xf>
    <xf numFmtId="0" fontId="2" fillId="10" borderId="0" xfId="0" applyFont="1" applyFill="1"/>
    <xf numFmtId="0" fontId="3" fillId="10" borderId="1" xfId="0" applyFont="1" applyFill="1" applyBorder="1"/>
    <xf numFmtId="0" fontId="3" fillId="10" borderId="0" xfId="0" applyFont="1" applyFill="1"/>
    <xf numFmtId="0" fontId="21" fillId="10" borderId="0" xfId="0" applyFont="1" applyFill="1"/>
    <xf numFmtId="0" fontId="2" fillId="10" borderId="6" xfId="0" applyFont="1" applyFill="1" applyBorder="1"/>
    <xf numFmtId="0" fontId="2" fillId="7" borderId="0" xfId="0" applyFont="1" applyFill="1"/>
    <xf numFmtId="0" fontId="21" fillId="13" borderId="4" xfId="0" applyFont="1" applyFill="1" applyBorder="1"/>
    <xf numFmtId="0" fontId="21" fillId="17" borderId="9" xfId="0" applyFont="1" applyFill="1" applyBorder="1"/>
    <xf numFmtId="0" fontId="21" fillId="17" borderId="1" xfId="0" applyFont="1" applyFill="1" applyBorder="1"/>
    <xf numFmtId="0" fontId="21" fillId="9" borderId="1" xfId="0" applyFont="1" applyFill="1" applyBorder="1"/>
    <xf numFmtId="0" fontId="21" fillId="17" borderId="0" xfId="0" applyFont="1" applyFill="1"/>
    <xf numFmtId="0" fontId="21" fillId="17" borderId="4" xfId="0" applyFont="1" applyFill="1" applyBorder="1"/>
    <xf numFmtId="0" fontId="21"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8" fillId="14" borderId="1" xfId="0" applyFont="1" applyFill="1" applyBorder="1"/>
    <xf numFmtId="0" fontId="18" fillId="14" borderId="7" xfId="0" applyFont="1" applyFill="1" applyBorder="1"/>
    <xf numFmtId="0" fontId="18" fillId="14" borderId="4" xfId="0" applyFont="1" applyFill="1" applyBorder="1"/>
    <xf numFmtId="0" fontId="18" fillId="7" borderId="4" xfId="0" applyFont="1" applyFill="1" applyBorder="1"/>
    <xf numFmtId="0" fontId="18" fillId="7" borderId="1" xfId="0" applyFont="1" applyFill="1" applyBorder="1"/>
    <xf numFmtId="0" fontId="18" fillId="7" borderId="7" xfId="0" applyFont="1" applyFill="1" applyBorder="1"/>
    <xf numFmtId="0" fontId="18" fillId="11" borderId="4" xfId="0" applyFont="1" applyFill="1" applyBorder="1"/>
    <xf numFmtId="0" fontId="18" fillId="11" borderId="1" xfId="0" applyFont="1" applyFill="1" applyBorder="1"/>
    <xf numFmtId="0" fontId="18" fillId="11" borderId="7" xfId="0" applyFont="1" applyFill="1" applyBorder="1"/>
    <xf numFmtId="0" fontId="18" fillId="12" borderId="4" xfId="0" applyFont="1" applyFill="1" applyBorder="1"/>
    <xf numFmtId="0" fontId="18" fillId="12" borderId="1" xfId="0" applyFont="1" applyFill="1" applyBorder="1"/>
    <xf numFmtId="0" fontId="21" fillId="16" borderId="4" xfId="0" applyFont="1" applyFill="1" applyBorder="1"/>
    <xf numFmtId="0" fontId="21" fillId="16" borderId="1" xfId="0" applyFont="1" applyFill="1" applyBorder="1"/>
    <xf numFmtId="0" fontId="21" fillId="16" borderId="7" xfId="0" applyFont="1" applyFill="1" applyBorder="1"/>
    <xf numFmtId="170" fontId="18" fillId="2" borderId="0" xfId="0" applyNumberFormat="1" applyFont="1" applyFill="1"/>
    <xf numFmtId="170" fontId="21" fillId="0" borderId="0" xfId="0" applyNumberFormat="1" applyFont="1"/>
    <xf numFmtId="0" fontId="20" fillId="0" borderId="0" xfId="0" applyFont="1"/>
    <xf numFmtId="164" fontId="20" fillId="0" borderId="0" xfId="0" applyNumberFormat="1" applyFont="1"/>
    <xf numFmtId="0" fontId="20" fillId="19" borderId="0" xfId="0" applyFont="1" applyFill="1"/>
    <xf numFmtId="0" fontId="31" fillId="0" borderId="0" xfId="0" applyFont="1"/>
    <xf numFmtId="168" fontId="20" fillId="0" borderId="0" xfId="0" applyNumberFormat="1" applyFont="1"/>
    <xf numFmtId="9" fontId="20" fillId="19" borderId="0" xfId="0" applyNumberFormat="1" applyFont="1" applyFill="1"/>
    <xf numFmtId="0" fontId="27" fillId="0" borderId="0" xfId="0" applyFont="1"/>
    <xf numFmtId="0" fontId="28" fillId="0" borderId="0" xfId="0" applyFont="1"/>
    <xf numFmtId="10" fontId="0" fillId="0" borderId="0" xfId="1" applyNumberFormat="1" applyFont="1" applyAlignment="1"/>
    <xf numFmtId="0" fontId="23" fillId="0" borderId="0" xfId="0" applyFont="1"/>
    <xf numFmtId="3" fontId="0" fillId="0" borderId="0" xfId="0" applyNumberFormat="1"/>
    <xf numFmtId="0" fontId="0" fillId="8" borderId="0" xfId="0" applyFill="1"/>
    <xf numFmtId="0" fontId="30" fillId="0" borderId="0" xfId="0" applyFont="1"/>
    <xf numFmtId="0" fontId="0" fillId="18" borderId="0" xfId="0" applyFill="1"/>
    <xf numFmtId="167" fontId="0" fillId="0" borderId="0" xfId="0" applyNumberFormat="1"/>
    <xf numFmtId="10" fontId="0" fillId="9" borderId="0" xfId="1" applyNumberFormat="1" applyFont="1" applyFill="1" applyAlignment="1"/>
    <xf numFmtId="164" fontId="20" fillId="15" borderId="0" xfId="0" applyNumberFormat="1" applyFont="1" applyFill="1"/>
    <xf numFmtId="171" fontId="20" fillId="15" borderId="0" xfId="1" applyNumberFormat="1" applyFont="1" applyFill="1" applyAlignment="1"/>
    <xf numFmtId="0" fontId="20" fillId="5" borderId="0" xfId="0" applyFont="1" applyFill="1"/>
    <xf numFmtId="167" fontId="20" fillId="15" borderId="0" xfId="0" applyNumberFormat="1" applyFont="1" applyFill="1"/>
    <xf numFmtId="10" fontId="0" fillId="15" borderId="0" xfId="1" applyNumberFormat="1" applyFont="1" applyFill="1" applyAlignment="1"/>
    <xf numFmtId="3" fontId="20" fillId="0" borderId="0" xfId="0" applyNumberFormat="1" applyFont="1"/>
    <xf numFmtId="166" fontId="20" fillId="0" borderId="0" xfId="0" applyNumberFormat="1" applyFont="1"/>
    <xf numFmtId="172" fontId="0" fillId="0" borderId="0" xfId="0" applyNumberFormat="1"/>
    <xf numFmtId="0" fontId="32" fillId="0" borderId="0" xfId="2" applyAlignment="1"/>
    <xf numFmtId="0" fontId="0" fillId="0" borderId="0" xfId="0" pivotButton="1"/>
    <xf numFmtId="0" fontId="0" fillId="0" borderId="0" xfId="0" applyAlignment="1">
      <alignment horizontal="left"/>
    </xf>
    <xf numFmtId="0" fontId="33" fillId="20" borderId="0" xfId="0" applyFont="1" applyFill="1"/>
    <xf numFmtId="0" fontId="34" fillId="0" borderId="0" xfId="0" applyFont="1"/>
    <xf numFmtId="10" fontId="0" fillId="15" borderId="0" xfId="1" applyNumberFormat="1" applyFont="1" applyFill="1"/>
    <xf numFmtId="10" fontId="20" fillId="0" borderId="0" xfId="0" applyNumberFormat="1" applyFont="1"/>
    <xf numFmtId="10" fontId="20" fillId="0" borderId="0" xfId="1" applyNumberFormat="1" applyFont="1" applyFill="1" applyAlignment="1"/>
  </cellXfs>
  <cellStyles count="3">
    <cellStyle name="Hyperlink" xfId="2" builtinId="8"/>
    <cellStyle name="Normal" xfId="0" builtinId="0"/>
    <cellStyle name="Per cent" xfId="1" builtinId="5"/>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057.552441087966" createdVersion="8" refreshedVersion="8" minRefreshableVersion="3" recordCount="334" xr:uid="{00000000-000A-0000-FFFF-FFFF01000000}">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ount="3">
        <n v="0"/>
        <n v="1"/>
        <m/>
      </sharedItems>
    </cacheField>
    <cacheField name="information" numFmtId="0">
      <sharedItems containsString="0" containsBlank="1" containsNumber="1" containsInteger="1" minValue="0" maxValue="1" count="3">
        <n v="1"/>
        <n v="0"/>
        <m/>
      </sharedItems>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x v="0"/>
    <x v="0"/>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x v="0"/>
    <x v="0"/>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x v="0"/>
    <x v="1"/>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x v="1"/>
    <x v="1"/>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x v="1"/>
    <x v="1"/>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x v="0"/>
    <x v="1"/>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x v="0"/>
    <x v="1"/>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x v="0"/>
    <x v="0"/>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x v="0"/>
    <x v="1"/>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x v="0"/>
    <x v="1"/>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x v="0"/>
    <x v="0"/>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x v="0"/>
    <x v="0"/>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x v="0"/>
    <x v="0"/>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x v="0"/>
    <x v="0"/>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x v="0"/>
    <x v="1"/>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x v="0"/>
    <x v="0"/>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x v="0"/>
    <x v="1"/>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x v="0"/>
    <x v="1"/>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x v="2"/>
    <x v="2"/>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x v="2"/>
    <x v="2"/>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x v="0"/>
    <x v="1"/>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x v="0"/>
    <x v="1"/>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x v="0"/>
    <x v="0"/>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x v="0"/>
    <x v="1"/>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x v="0"/>
    <x v="1"/>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x v="0"/>
    <x v="1"/>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x v="0"/>
    <x v="1"/>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x v="0"/>
    <x v="1"/>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x v="0"/>
    <x v="1"/>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x v="0"/>
    <x v="1"/>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x v="0"/>
    <x v="1"/>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x v="0"/>
    <x v="1"/>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x v="0"/>
    <x v="1"/>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x v="0"/>
    <x v="0"/>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x v="0"/>
    <x v="0"/>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x v="0"/>
    <x v="1"/>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x v="0"/>
    <x v="1"/>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x v="0"/>
    <x v="1"/>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x v="0"/>
    <x v="1"/>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x v="0"/>
    <x v="1"/>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x v="0"/>
    <x v="1"/>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x v="2"/>
    <x v="2"/>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1"/>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1"/>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x v="0"/>
    <x v="1"/>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x v="0"/>
    <x v="1"/>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x v="0"/>
    <x v="1"/>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1"/>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1"/>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0"/>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0"/>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x v="2"/>
    <x v="2"/>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x v="0"/>
    <x v="1"/>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x v="0"/>
    <x v="1"/>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x v="2"/>
    <x v="2"/>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x v="0"/>
    <x v="1"/>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x v="2"/>
    <x v="2"/>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x v="0"/>
    <x v="1"/>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x v="0"/>
    <x v="1"/>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x v="0"/>
    <x v="1"/>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x v="0"/>
    <x v="1"/>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x v="0"/>
    <x v="1"/>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x v="0"/>
    <x v="1"/>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x v="0"/>
    <x v="1"/>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x v="0"/>
    <x v="1"/>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x v="0"/>
    <x v="1"/>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x v="0"/>
    <x v="1"/>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x v="2"/>
    <x v="2"/>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1"/>
    <x v="1"/>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1"/>
    <x v="1"/>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x v="0"/>
    <x v="1"/>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x v="0"/>
    <x v="1"/>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x v="0"/>
    <x v="1"/>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x v="0"/>
    <x v="1"/>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x v="0"/>
    <x v="1"/>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x v="0"/>
    <x v="1"/>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x v="2"/>
    <x v="2"/>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x v="0"/>
    <x v="1"/>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x v="0"/>
    <x v="1"/>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x v="0"/>
    <x v="1"/>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x v="2"/>
    <x v="2"/>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x v="0"/>
    <x v="0"/>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x v="0"/>
    <x v="1"/>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x v="0"/>
    <x v="1"/>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x v="0"/>
    <x v="1"/>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x v="0"/>
    <x v="1"/>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x v="0"/>
    <x v="1"/>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1"/>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1"/>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x v="2"/>
    <x v="2"/>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x v="0"/>
    <x v="0"/>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x v="0"/>
    <x v="0"/>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x v="0"/>
    <x v="0"/>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x v="2"/>
    <x v="2"/>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x v="0"/>
    <x v="1"/>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x v="0"/>
    <x v="1"/>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x v="0"/>
    <x v="1"/>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x v="0"/>
    <x v="1"/>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x v="0"/>
    <x v="1"/>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x v="0"/>
    <x v="0"/>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x v="0"/>
    <x v="0"/>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x v="0"/>
    <x v="0"/>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x v="0"/>
    <x v="1"/>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x v="0"/>
    <x v="1"/>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x v="0"/>
    <x v="1"/>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x v="0"/>
    <x v="1"/>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1"/>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x v="0"/>
    <x v="1"/>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x v="0"/>
    <x v="1"/>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x v="0"/>
    <x v="1"/>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x v="0"/>
    <x v="1"/>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x v="0"/>
    <x v="1"/>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x v="0"/>
    <x v="1"/>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x v="0"/>
    <x v="1"/>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x v="0"/>
    <x v="1"/>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x v="0"/>
    <x v="1"/>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x v="0"/>
    <x v="1"/>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x v="2"/>
    <x v="2"/>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x v="0"/>
    <x v="1"/>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x v="0"/>
    <x v="1"/>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x v="0"/>
    <x v="1"/>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x v="0"/>
    <x v="1"/>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6"/>
  <cols>
    <col min="4" max="4" width="20.6640625" customWidth="1"/>
    <col min="5" max="5" width="14.1640625" customWidth="1"/>
    <col min="7" max="7" width="16.1640625" customWidth="1"/>
    <col min="8" max="8" width="16.6640625" customWidth="1"/>
    <col min="10" max="10" width="18.1640625" bestFit="1" customWidth="1"/>
    <col min="11" max="11" width="12" hidden="1" customWidth="1"/>
    <col min="12" max="17" width="0" hidden="1" customWidth="1"/>
    <col min="18" max="18" width="16" hidden="1" customWidth="1"/>
    <col min="19" max="22" width="0" hidden="1" customWidth="1"/>
    <col min="23" max="24" width="12.1640625" hidden="1" customWidth="1"/>
    <col min="25" max="25" width="0" hidden="1" customWidth="1"/>
    <col min="26" max="26" width="0" style="12" hidden="1" customWidth="1"/>
    <col min="27" max="27" width="18.6640625" hidden="1" customWidth="1"/>
    <col min="28" max="28" width="14.1640625" style="7" bestFit="1" customWidth="1"/>
    <col min="29" max="29" width="14.6640625" style="7" customWidth="1"/>
    <col min="30" max="30" width="13.6640625" customWidth="1"/>
    <col min="31" max="31" width="14.6640625" customWidth="1"/>
    <col min="32" max="32" width="13.6640625" hidden="1" customWidth="1"/>
    <col min="33" max="33" width="19.1640625" hidden="1" customWidth="1"/>
    <col min="34" max="34" width="10.6640625" hidden="1" customWidth="1"/>
    <col min="35" max="35" width="13.1640625" hidden="1" customWidth="1"/>
    <col min="36" max="36" width="22.1640625" hidden="1" customWidth="1"/>
    <col min="37" max="37" width="10.6640625" hidden="1" customWidth="1"/>
    <col min="38" max="38" width="18.1640625" customWidth="1"/>
    <col min="39" max="39" width="14.1640625" customWidth="1"/>
    <col min="40" max="40" width="9.6640625" customWidth="1"/>
    <col min="41" max="41" width="19.1640625" customWidth="1"/>
    <col min="42" max="42" width="12.1640625" customWidth="1"/>
    <col min="44" max="45" width="0" hidden="1" customWidth="1"/>
    <col min="46" max="47" width="13.1640625" hidden="1" customWidth="1"/>
    <col min="48" max="51" width="0" hidden="1" customWidth="1"/>
    <col min="52" max="52" width="13.6640625" style="17" hidden="1" customWidth="1"/>
    <col min="53" max="53" width="26.5" hidden="1" customWidth="1"/>
    <col min="54" max="54" width="20.6640625" hidden="1" customWidth="1"/>
    <col min="55" max="55" width="0" hidden="1" customWidth="1"/>
    <col min="56" max="56" width="17.6640625" hidden="1" customWidth="1"/>
    <col min="57" max="57" width="16.1640625" hidden="1" customWidth="1"/>
    <col min="58" max="58" width="15.1640625" hidden="1" customWidth="1"/>
    <col min="59" max="59" width="20.6640625" hidden="1" customWidth="1"/>
    <col min="60" max="60" width="24.6640625" hidden="1" customWidth="1"/>
    <col min="61" max="61" width="19.6640625" style="30" bestFit="1" customWidth="1"/>
    <col min="62" max="62" width="24.1640625" style="30" bestFit="1" customWidth="1"/>
    <col min="63" max="65" width="11" style="30"/>
    <col min="67" max="67" width="25.1640625" bestFit="1" customWidth="1"/>
  </cols>
  <sheetData>
    <row r="1" spans="1:68" ht="48">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6.4285714285714276E-3</v>
      </c>
      <c r="BJ27" s="30">
        <f t="shared" si="15"/>
        <v>6.4285714285714276E-3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7">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7">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7">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7">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xr:uid="{00000000-0002-0000-0000-000000000000}">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xr:uid="{00000000-0002-0000-0000-000001000000}">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xr:uid="{00000000-0002-0000-0000-000002000000}">
      <formula1>0</formula1>
      <formula2>1</formula2>
    </dataValidation>
    <dataValidation type="whole" allowBlank="1" showInputMessage="1" showErrorMessage="1" prompt="1- lower bound_x000a_2 - upper bound_x000a_3- actual" sqref="AO54:AO1048576 AO43:AO52 AO1:AO38" xr:uid="{00000000-0002-0000-0000-000003000000}">
      <formula1>0</formula1>
      <formula2>3</formula2>
    </dataValidation>
    <dataValidation allowBlank="1" showInputMessage="1" showErrorMessage="1" prompt="Yes - 1_x000a_No - 0_x000a_" sqref="X1" xr:uid="{00000000-0002-0000-0000-000004000000}"/>
    <dataValidation allowBlank="1" showInputMessage="1" showErrorMessage="1" sqref="BA53 AR53" xr:uid="{00000000-0002-0000-0000-000005000000}"/>
    <dataValidation type="list" allowBlank="1" showInputMessage="1" showErrorMessage="1" sqref="J23:J37 J1:J12" xr:uid="{00000000-0002-0000-0000-000006000000}">
      <formula1>$F$2:$F$9</formula1>
    </dataValidation>
    <dataValidation type="list" allowBlank="1" showInputMessage="1" showErrorMessage="1" sqref="K23:K37 K1:K12" xr:uid="{00000000-0002-0000-0000-000007000000}">
      <formula1>$D$2:$D$6</formula1>
    </dataValidation>
    <dataValidation type="list" allowBlank="1" showInputMessage="1" showErrorMessage="1" sqref="K43:K51" xr:uid="{00000000-0002-0000-0000-000008000000}">
      <formula1>$D$2:$D$7</formula1>
    </dataValidation>
    <dataValidation type="list" allowBlank="1" showInputMessage="1" showErrorMessage="1" sqref="J43:J51" xr:uid="{00000000-0002-0000-0000-000009000000}">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r:uid="{00000000-0002-0000-0000-00000A000000}">
          <x14:formula1>
            <xm:f>'Lists for variables'!$B$2:$B$4</xm:f>
          </x14:formula1>
          <xm:sqref>BC23:BC28 BC54:BC1048576 BC33:BC38 BC1:BC12</xm:sqref>
        </x14:dataValidation>
        <x14:dataValidation type="list" allowBlank="1" showInputMessage="1" showErrorMessage="1" xr:uid="{00000000-0002-0000-0000-00000B000000}">
          <x14:formula1>
            <xm:f>'Lists for variables'!$F$2:$F$9</xm:f>
          </x14:formula1>
          <xm:sqref>J54:J1048576</xm:sqref>
        </x14:dataValidation>
        <x14:dataValidation type="list" allowBlank="1" showInputMessage="1" showErrorMessage="1" xr:uid="{00000000-0002-0000-0000-00000C000000}">
          <x14:formula1>
            <xm:f>'Lists for variables'!$A$2:$A$4</xm:f>
          </x14:formula1>
          <xm:sqref>AS43:AX51 AS54:AX1048576 AS23:AX38 AS2:AX12</xm:sqref>
        </x14:dataValidation>
        <x14:dataValidation type="list" allowBlank="1" showInputMessage="1" showErrorMessage="1" xr:uid="{00000000-0002-0000-0000-00000D000000}">
          <x14:formula1>
            <xm:f>'Lists for variables'!$F$2:$F$10</xm:f>
          </x14:formula1>
          <xm:sqref>J38</xm:sqref>
        </x14:dataValidation>
        <x14:dataValidation type="list" allowBlank="1" showInputMessage="1" showErrorMessage="1" xr:uid="{00000000-0002-0000-0000-00000E000000}">
          <x14:formula1>
            <xm:f>'Lists for variables'!$E$2:$E$4</xm:f>
          </x14:formula1>
          <xm:sqref>AO43:AO51</xm:sqref>
        </x14:dataValidation>
        <x14:dataValidation type="list" allowBlank="1" showInputMessage="1" showErrorMessage="1" xr:uid="{00000000-0002-0000-0000-00000F000000}">
          <x14:formula1>
            <xm:f>'Lists for variables'!$D$2:$D$6</xm:f>
          </x14:formula1>
          <xm:sqref>K54:K1048576</xm:sqref>
        </x14:dataValidation>
        <x14:dataValidation type="list" allowBlank="1" showInputMessage="1" showErrorMessage="1" xr:uid="{00000000-0002-0000-0000-000010000000}">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H51"/>
  <sheetViews>
    <sheetView tabSelected="1" zoomScale="125" zoomScaleNormal="70" workbookViewId="0">
      <pane xSplit="1" ySplit="1" topLeftCell="B2" activePane="bottomRight" state="frozen"/>
      <selection pane="topRight" activeCell="B1" sqref="B1"/>
      <selection pane="bottomLeft" activeCell="A2" sqref="A2"/>
      <selection pane="bottomRight" activeCell="E1" sqref="E1:E1048576"/>
    </sheetView>
  </sheetViews>
  <sheetFormatPr baseColWidth="10" defaultColWidth="11" defaultRowHeight="15.75" customHeight="1"/>
  <cols>
    <col min="5" max="5" width="24.6640625" customWidth="1"/>
    <col min="6" max="6" width="17.6640625" customWidth="1"/>
    <col min="7" max="7" width="14.1640625" customWidth="1"/>
    <col min="8" max="8" width="16.5" customWidth="1"/>
    <col min="9" max="9" width="11" customWidth="1"/>
    <col min="10" max="10" width="16.1640625" customWidth="1"/>
    <col min="11" max="11" width="15.1640625" bestFit="1" customWidth="1"/>
    <col min="13" max="13" width="20.6640625" bestFit="1" customWidth="1"/>
    <col min="14" max="14" width="13.1640625" customWidth="1"/>
    <col min="15" max="15" width="11" customWidth="1"/>
    <col min="16" max="16" width="14.6640625" customWidth="1"/>
    <col min="17" max="17" width="13.1640625" customWidth="1"/>
    <col min="18" max="18" width="15" customWidth="1"/>
    <col min="19" max="19" width="14.1640625" customWidth="1"/>
    <col min="20" max="20" width="11" customWidth="1"/>
    <col min="21" max="21" width="21.1640625" customWidth="1"/>
    <col min="22" max="22" width="16" customWidth="1"/>
    <col min="23" max="23" width="14.6640625" customWidth="1"/>
    <col min="24" max="24" width="12.5" customWidth="1"/>
    <col min="25" max="33" width="11" customWidth="1"/>
    <col min="34" max="35" width="16" customWidth="1"/>
    <col min="36" max="39" width="11" customWidth="1"/>
    <col min="40" max="41" width="12.1640625" customWidth="1"/>
    <col min="42" max="42" width="11" customWidth="1"/>
    <col min="43" max="43" width="27.6640625" customWidth="1"/>
    <col min="44" max="44" width="41.1640625" bestFit="1" customWidth="1"/>
    <col min="45" max="45" width="54.6640625" customWidth="1"/>
    <col min="46" max="46" width="21" customWidth="1"/>
    <col min="47" max="47" width="26.6640625" style="7" customWidth="1"/>
    <col min="48" max="48" width="14.1640625" style="7" customWidth="1"/>
    <col min="49" max="49" width="13.1640625" customWidth="1"/>
    <col min="50" max="50" width="9.6640625" customWidth="1"/>
    <col min="51" max="51" width="17" customWidth="1"/>
    <col min="52" max="52" width="9"/>
    <col min="53" max="54" width="14.1640625" customWidth="1"/>
    <col min="55" max="55" width="13.6640625" customWidth="1"/>
    <col min="56" max="56" width="12.6640625" customWidth="1"/>
    <col min="57" max="57" width="10.6640625" customWidth="1"/>
    <col min="58" max="58" width="13" customWidth="1"/>
    <col min="59" max="60" width="10.6640625" customWidth="1"/>
    <col min="61" max="62" width="11.1640625" customWidth="1"/>
    <col min="63" max="64" width="11" customWidth="1"/>
    <col min="65" max="65" width="12.6640625" customWidth="1"/>
    <col min="66" max="66" width="18.1640625" customWidth="1"/>
    <col min="67" max="67" width="22.1640625" customWidth="1"/>
    <col min="68" max="68" width="15.1640625" customWidth="1"/>
    <col min="69" max="69" width="18" customWidth="1"/>
    <col min="70" max="70" width="17.1640625" customWidth="1"/>
    <col min="71" max="71" width="21.1640625" customWidth="1"/>
    <col min="72" max="72" width="10.1640625" customWidth="1"/>
    <col min="73" max="73" width="13" customWidth="1"/>
    <col min="74" max="74" width="14" customWidth="1"/>
    <col min="75" max="75" width="13.1640625" customWidth="1"/>
    <col min="82" max="82" width="24" customWidth="1"/>
  </cols>
  <sheetData>
    <row r="1" spans="1:86" ht="17" customHeight="1">
      <c r="A1" s="59" t="s">
        <v>181</v>
      </c>
      <c r="B1" s="59" t="s">
        <v>182</v>
      </c>
      <c r="C1" s="59" t="s">
        <v>1</v>
      </c>
      <c r="D1" s="59" t="s">
        <v>2</v>
      </c>
      <c r="E1" s="60" t="s">
        <v>183</v>
      </c>
      <c r="F1" s="61" t="s">
        <v>184</v>
      </c>
      <c r="G1" s="62" t="s">
        <v>4</v>
      </c>
      <c r="H1" s="63" t="s">
        <v>5</v>
      </c>
      <c r="I1" s="64" t="s">
        <v>11</v>
      </c>
      <c r="J1" s="64" t="s">
        <v>6</v>
      </c>
      <c r="K1" s="64" t="s">
        <v>7</v>
      </c>
      <c r="L1" s="64" t="s">
        <v>8</v>
      </c>
      <c r="M1" s="121" t="s">
        <v>9</v>
      </c>
      <c r="N1" s="64" t="s">
        <v>10</v>
      </c>
      <c r="O1" s="65" t="s">
        <v>50</v>
      </c>
      <c r="P1" s="66" t="s">
        <v>185</v>
      </c>
      <c r="Q1" s="67" t="s">
        <v>186</v>
      </c>
      <c r="R1" s="67" t="s">
        <v>187</v>
      </c>
      <c r="S1" s="67" t="s">
        <v>188</v>
      </c>
      <c r="T1" s="68" t="s">
        <v>189</v>
      </c>
      <c r="U1" s="67" t="s">
        <v>53</v>
      </c>
      <c r="V1" s="69" t="s">
        <v>55</v>
      </c>
      <c r="W1" s="70" t="s">
        <v>56</v>
      </c>
      <c r="X1" s="71" t="s">
        <v>190</v>
      </c>
      <c r="Y1" s="72" t="s">
        <v>12</v>
      </c>
      <c r="Z1" s="73" t="s">
        <v>14</v>
      </c>
      <c r="AA1" s="73" t="s">
        <v>15</v>
      </c>
      <c r="AB1" s="73" t="s">
        <v>13</v>
      </c>
      <c r="AC1" s="73" t="s">
        <v>16</v>
      </c>
      <c r="AD1" s="73" t="s">
        <v>191</v>
      </c>
      <c r="AE1" s="73" t="s">
        <v>192</v>
      </c>
      <c r="AF1" s="73" t="s">
        <v>193</v>
      </c>
      <c r="AG1" s="73" t="s">
        <v>194</v>
      </c>
      <c r="AH1" s="74" t="s">
        <v>17</v>
      </c>
      <c r="AI1" s="75" t="s">
        <v>195</v>
      </c>
      <c r="AJ1" s="75" t="s">
        <v>613</v>
      </c>
      <c r="AK1" s="75" t="s">
        <v>19</v>
      </c>
      <c r="AL1" s="75" t="s">
        <v>20</v>
      </c>
      <c r="AM1" s="75" t="s">
        <v>21</v>
      </c>
      <c r="AN1" s="75" t="s">
        <v>22</v>
      </c>
      <c r="AO1" s="75" t="s">
        <v>196</v>
      </c>
      <c r="AP1" s="75" t="s">
        <v>24</v>
      </c>
      <c r="AQ1" s="76" t="s">
        <v>197</v>
      </c>
      <c r="AR1" s="59" t="s">
        <v>198</v>
      </c>
      <c r="AS1" s="59" t="s">
        <v>199</v>
      </c>
      <c r="AT1" s="59" t="s">
        <v>200</v>
      </c>
      <c r="AU1" s="59" t="s">
        <v>27</v>
      </c>
      <c r="AV1" s="59" t="s">
        <v>28</v>
      </c>
      <c r="AW1" s="60" t="s">
        <v>29</v>
      </c>
      <c r="AX1" s="77" t="s">
        <v>39</v>
      </c>
      <c r="AY1" s="78" t="s">
        <v>40</v>
      </c>
      <c r="AZ1" s="78" t="s">
        <v>201</v>
      </c>
      <c r="BA1" s="79" t="s">
        <v>202</v>
      </c>
      <c r="BB1" s="80" t="s">
        <v>614</v>
      </c>
      <c r="BC1" s="81" t="s">
        <v>31</v>
      </c>
      <c r="BD1" s="82" t="s">
        <v>32</v>
      </c>
      <c r="BE1" s="82" t="s">
        <v>33</v>
      </c>
      <c r="BF1" s="82" t="s">
        <v>34</v>
      </c>
      <c r="BG1" s="82" t="s">
        <v>35</v>
      </c>
      <c r="BH1" s="82" t="s">
        <v>36</v>
      </c>
      <c r="BI1" s="82" t="s">
        <v>37</v>
      </c>
      <c r="BJ1" s="82" t="s">
        <v>38</v>
      </c>
      <c r="BK1" s="82" t="s">
        <v>42</v>
      </c>
      <c r="BL1" s="83" t="s">
        <v>43</v>
      </c>
      <c r="BM1" s="84" t="s">
        <v>203</v>
      </c>
      <c r="BN1" s="85" t="s">
        <v>204</v>
      </c>
      <c r="BO1" s="86" t="s">
        <v>205</v>
      </c>
      <c r="BP1" s="87" t="s">
        <v>206</v>
      </c>
      <c r="BQ1" s="88" t="s">
        <v>207</v>
      </c>
      <c r="BR1" s="88" t="s">
        <v>208</v>
      </c>
      <c r="BS1" s="88" t="s">
        <v>209</v>
      </c>
      <c r="BT1" s="86" t="s">
        <v>210</v>
      </c>
      <c r="BU1" s="89" t="s">
        <v>211</v>
      </c>
      <c r="BV1" s="90" t="s">
        <v>212</v>
      </c>
      <c r="BW1" s="91" t="s">
        <v>213</v>
      </c>
      <c r="BX1" s="28" t="s">
        <v>214</v>
      </c>
      <c r="BY1" s="92" t="s">
        <v>62</v>
      </c>
      <c r="BZ1" s="93" t="s">
        <v>63</v>
      </c>
      <c r="CA1" s="93" t="s">
        <v>64</v>
      </c>
      <c r="CB1" t="s">
        <v>65</v>
      </c>
      <c r="CC1" t="s">
        <v>215</v>
      </c>
      <c r="CD1" t="s">
        <v>216</v>
      </c>
      <c r="CE1" s="28" t="s">
        <v>217</v>
      </c>
      <c r="CF1" s="92" t="s">
        <v>218</v>
      </c>
      <c r="CG1" s="93" t="s">
        <v>219</v>
      </c>
      <c r="CH1" s="93" t="s">
        <v>220</v>
      </c>
    </row>
    <row r="2" spans="1:86" ht="16">
      <c r="A2" s="11" t="s">
        <v>68</v>
      </c>
      <c r="B2" s="11"/>
      <c r="C2" s="11">
        <v>1035</v>
      </c>
      <c r="D2" s="11">
        <v>107</v>
      </c>
      <c r="E2" s="10" t="s">
        <v>221</v>
      </c>
      <c r="F2" s="11">
        <v>2020</v>
      </c>
      <c r="G2" t="s">
        <v>222</v>
      </c>
      <c r="H2" s="22" t="s">
        <v>223</v>
      </c>
      <c r="I2" s="18">
        <v>1</v>
      </c>
      <c r="J2" t="s">
        <v>224</v>
      </c>
      <c r="K2" s="10" t="s">
        <v>73</v>
      </c>
      <c r="L2" s="10">
        <v>5</v>
      </c>
      <c r="M2" s="18" t="s">
        <v>225</v>
      </c>
      <c r="N2" t="s">
        <v>226</v>
      </c>
      <c r="O2" t="s">
        <v>96</v>
      </c>
      <c r="P2" s="18" t="s">
        <v>227</v>
      </c>
      <c r="Q2" t="s">
        <v>228</v>
      </c>
      <c r="R2" t="s">
        <v>229</v>
      </c>
      <c r="S2">
        <v>1</v>
      </c>
      <c r="T2" t="s">
        <v>230</v>
      </c>
      <c r="U2">
        <v>0</v>
      </c>
      <c r="V2" s="18" t="s">
        <v>231</v>
      </c>
      <c r="W2" s="18" t="s">
        <v>231</v>
      </c>
      <c r="X2" s="18" t="s">
        <v>73</v>
      </c>
      <c r="Y2">
        <v>0</v>
      </c>
      <c r="Z2">
        <v>0</v>
      </c>
      <c r="AA2">
        <v>1</v>
      </c>
      <c r="AB2">
        <v>0</v>
      </c>
      <c r="AC2">
        <v>0</v>
      </c>
      <c r="AD2">
        <v>0</v>
      </c>
      <c r="AE2">
        <v>0</v>
      </c>
      <c r="AF2">
        <v>0</v>
      </c>
      <c r="AG2" t="s">
        <v>232</v>
      </c>
      <c r="AH2">
        <v>0</v>
      </c>
      <c r="AI2">
        <v>0</v>
      </c>
      <c r="AJ2">
        <v>0</v>
      </c>
      <c r="AK2">
        <v>0</v>
      </c>
      <c r="AL2">
        <v>0</v>
      </c>
      <c r="AM2">
        <v>0</v>
      </c>
      <c r="AN2">
        <v>0</v>
      </c>
      <c r="AO2">
        <v>1</v>
      </c>
      <c r="AP2">
        <v>0</v>
      </c>
      <c r="AQ2" t="s">
        <v>73</v>
      </c>
      <c r="AR2" t="s">
        <v>233</v>
      </c>
      <c r="AS2" t="s">
        <v>234</v>
      </c>
      <c r="AT2" t="s">
        <v>235</v>
      </c>
      <c r="AU2" s="21">
        <v>5.8000000000000003E-2</v>
      </c>
      <c r="AV2" s="7" t="s">
        <v>86</v>
      </c>
      <c r="AW2">
        <v>2.1000000000000001E-2</v>
      </c>
      <c r="AX2">
        <v>0.01</v>
      </c>
      <c r="AY2">
        <v>1</v>
      </c>
      <c r="AZ2">
        <f t="shared" ref="AZ2:AZ17" si="0">AU2/AW2</f>
        <v>2.7619047619047619</v>
      </c>
      <c r="BA2" s="102" t="s">
        <v>73</v>
      </c>
      <c r="BB2" s="102"/>
      <c r="BC2" t="s">
        <v>73</v>
      </c>
      <c r="BD2">
        <v>378</v>
      </c>
      <c r="BE2" t="s">
        <v>73</v>
      </c>
      <c r="BF2" t="s">
        <v>73</v>
      </c>
      <c r="BG2" s="18">
        <v>193</v>
      </c>
      <c r="BH2" t="s">
        <v>73</v>
      </c>
      <c r="BI2" s="10">
        <v>571</v>
      </c>
      <c r="BJ2" s="10">
        <v>25685</v>
      </c>
      <c r="BK2" t="s">
        <v>73</v>
      </c>
      <c r="BL2" t="s">
        <v>73</v>
      </c>
      <c r="BM2" t="s">
        <v>73</v>
      </c>
      <c r="BN2" t="s">
        <v>73</v>
      </c>
      <c r="BO2" t="s">
        <v>73</v>
      </c>
      <c r="BP2" t="s">
        <v>73</v>
      </c>
      <c r="BQ2" t="s">
        <v>73</v>
      </c>
      <c r="BR2" t="s">
        <v>73</v>
      </c>
      <c r="BS2" t="s">
        <v>73</v>
      </c>
      <c r="BT2" t="s">
        <v>73</v>
      </c>
      <c r="BU2" s="18">
        <v>1</v>
      </c>
      <c r="BV2" s="18">
        <v>0</v>
      </c>
      <c r="BW2" s="18">
        <v>1</v>
      </c>
      <c r="BX2" s="30">
        <f t="shared" ref="BX2:BX37" si="1">((AZ2^2)/(AZ2^2+BI2))^(1/2)</f>
        <v>0.11481772350402021</v>
      </c>
      <c r="BY2" s="30">
        <f t="shared" ref="BY2:BY37" si="2">0.5*LN((1+BX2)/(1-BX2))</f>
        <v>0.11532630395472614</v>
      </c>
      <c r="BZ2" s="30">
        <f t="shared" ref="BZ2:BZ37" si="3">((1-(BY2^2)^2)/(BI2-1))</f>
        <v>1.754075624280991E-3</v>
      </c>
      <c r="CA2" s="30">
        <f t="shared" ref="CA2:CA37" si="4">1/(BI2-3)</f>
        <v>1.7605633802816902E-3</v>
      </c>
      <c r="CE2" s="30">
        <f>((AZ2^2)/(AZ2^2+BJ2))^(1/2)</f>
        <v>1.7230760001527162E-2</v>
      </c>
      <c r="CF2" s="30">
        <f>0.5*LN((1+CE2)/(1-CE2))</f>
        <v>1.7232465571022811E-2</v>
      </c>
      <c r="CG2" s="30">
        <f>((1-(CF2^2)^2)/(BJ2-1))</f>
        <v>3.893474193334464E-5</v>
      </c>
      <c r="CH2" s="30">
        <f>1/(BJ2-3)</f>
        <v>3.8937777431664201E-5</v>
      </c>
    </row>
    <row r="3" spans="1:86" ht="16">
      <c r="A3" s="11" t="s">
        <v>68</v>
      </c>
      <c r="B3" s="11"/>
      <c r="C3" s="11">
        <v>1036</v>
      </c>
      <c r="D3" s="11">
        <v>107</v>
      </c>
      <c r="E3" s="10" t="s">
        <v>221</v>
      </c>
      <c r="F3" s="11">
        <v>2020</v>
      </c>
      <c r="G3" t="s">
        <v>222</v>
      </c>
      <c r="H3" s="22" t="s">
        <v>223</v>
      </c>
      <c r="I3" s="18">
        <v>1</v>
      </c>
      <c r="J3" t="s">
        <v>224</v>
      </c>
      <c r="K3" s="10" t="s">
        <v>73</v>
      </c>
      <c r="L3" s="10">
        <v>5</v>
      </c>
      <c r="M3" s="18" t="s">
        <v>225</v>
      </c>
      <c r="N3" t="s">
        <v>226</v>
      </c>
      <c r="O3" t="s">
        <v>96</v>
      </c>
      <c r="P3" s="18" t="s">
        <v>227</v>
      </c>
      <c r="Q3" t="s">
        <v>228</v>
      </c>
      <c r="R3" t="s">
        <v>229</v>
      </c>
      <c r="S3">
        <v>1</v>
      </c>
      <c r="T3" t="s">
        <v>230</v>
      </c>
      <c r="U3">
        <v>0</v>
      </c>
      <c r="V3" s="18" t="s">
        <v>231</v>
      </c>
      <c r="W3" s="18" t="s">
        <v>231</v>
      </c>
      <c r="X3" s="18" t="s">
        <v>73</v>
      </c>
      <c r="Y3">
        <v>0</v>
      </c>
      <c r="Z3">
        <v>0</v>
      </c>
      <c r="AA3">
        <v>1</v>
      </c>
      <c r="AB3">
        <v>0</v>
      </c>
      <c r="AC3">
        <v>0</v>
      </c>
      <c r="AD3">
        <v>0</v>
      </c>
      <c r="AE3">
        <v>0</v>
      </c>
      <c r="AF3">
        <v>0</v>
      </c>
      <c r="AG3" t="s">
        <v>232</v>
      </c>
      <c r="AH3">
        <v>0</v>
      </c>
      <c r="AI3">
        <v>0</v>
      </c>
      <c r="AJ3">
        <v>0</v>
      </c>
      <c r="AK3">
        <v>0</v>
      </c>
      <c r="AL3">
        <v>0</v>
      </c>
      <c r="AM3">
        <v>0</v>
      </c>
      <c r="AN3">
        <v>0</v>
      </c>
      <c r="AO3">
        <v>1</v>
      </c>
      <c r="AP3">
        <v>0</v>
      </c>
      <c r="AQ3" t="s">
        <v>73</v>
      </c>
      <c r="AR3" t="s">
        <v>233</v>
      </c>
      <c r="AS3" t="s">
        <v>234</v>
      </c>
      <c r="AT3" t="s">
        <v>235</v>
      </c>
      <c r="AU3" s="21">
        <v>5.3999999999999999E-2</v>
      </c>
      <c r="AV3" s="7" t="s">
        <v>86</v>
      </c>
      <c r="AW3">
        <v>2.1000000000000001E-2</v>
      </c>
      <c r="AX3">
        <v>0.05</v>
      </c>
      <c r="AY3">
        <v>1</v>
      </c>
      <c r="AZ3">
        <f t="shared" si="0"/>
        <v>2.5714285714285712</v>
      </c>
      <c r="BA3" s="102" t="s">
        <v>73</v>
      </c>
      <c r="BB3" s="102"/>
      <c r="BC3" t="s">
        <v>73</v>
      </c>
      <c r="BD3">
        <v>378</v>
      </c>
      <c r="BE3" t="s">
        <v>73</v>
      </c>
      <c r="BF3" t="s">
        <v>73</v>
      </c>
      <c r="BG3" s="18">
        <v>193</v>
      </c>
      <c r="BH3" t="s">
        <v>73</v>
      </c>
      <c r="BI3" s="10">
        <v>571</v>
      </c>
      <c r="BJ3" s="10">
        <v>25685</v>
      </c>
      <c r="BK3" t="s">
        <v>73</v>
      </c>
      <c r="BL3" t="s">
        <v>73</v>
      </c>
      <c r="BM3" t="s">
        <v>73</v>
      </c>
      <c r="BN3" t="s">
        <v>73</v>
      </c>
      <c r="BO3" t="s">
        <v>73</v>
      </c>
      <c r="BP3" t="s">
        <v>73</v>
      </c>
      <c r="BQ3" t="s">
        <v>73</v>
      </c>
      <c r="BR3" t="s">
        <v>73</v>
      </c>
      <c r="BS3" t="s">
        <v>73</v>
      </c>
      <c r="BT3" t="s">
        <v>73</v>
      </c>
      <c r="BU3" s="18">
        <v>1</v>
      </c>
      <c r="BV3" s="18">
        <v>0</v>
      </c>
      <c r="BW3" s="18">
        <v>1</v>
      </c>
      <c r="BX3" s="30">
        <f t="shared" si="1"/>
        <v>0.10699322282140411</v>
      </c>
      <c r="BY3" s="30">
        <f t="shared" si="2"/>
        <v>0.10740432025194586</v>
      </c>
      <c r="BZ3" s="30">
        <f t="shared" si="3"/>
        <v>1.7541525050915158E-3</v>
      </c>
      <c r="CA3" s="30">
        <f t="shared" si="4"/>
        <v>1.7605633802816902E-3</v>
      </c>
      <c r="CE3" s="30">
        <f t="shared" ref="CE3:CE37" si="5">((AZ3^2)/(AZ3^2+BJ3))^(1/2)</f>
        <v>1.604274888962573E-2</v>
      </c>
      <c r="CF3" s="30">
        <f t="shared" ref="CF3:CF37" si="6">0.5*LN((1+CE3)/(1-CE3))</f>
        <v>1.6044125408511214E-2</v>
      </c>
      <c r="CG3" s="30">
        <f t="shared" ref="CG3:CG37" si="7">((1-(CF3^2)^2)/(BJ3-1))</f>
        <v>3.8934742786873272E-5</v>
      </c>
      <c r="CH3" s="30">
        <f>1/(BJ3-3)</f>
        <v>3.8937777431664201E-5</v>
      </c>
    </row>
    <row r="4" spans="1:86" ht="16">
      <c r="A4" s="11" t="s">
        <v>68</v>
      </c>
      <c r="B4" s="11"/>
      <c r="C4" s="11">
        <v>1037</v>
      </c>
      <c r="D4" s="11">
        <v>107</v>
      </c>
      <c r="E4" s="10" t="s">
        <v>221</v>
      </c>
      <c r="F4" s="11">
        <v>2020</v>
      </c>
      <c r="G4" t="s">
        <v>222</v>
      </c>
      <c r="H4" s="22" t="s">
        <v>223</v>
      </c>
      <c r="I4" s="18">
        <v>1</v>
      </c>
      <c r="J4" t="s">
        <v>224</v>
      </c>
      <c r="K4" s="10" t="s">
        <v>73</v>
      </c>
      <c r="L4" s="10">
        <v>5</v>
      </c>
      <c r="M4" s="18" t="s">
        <v>225</v>
      </c>
      <c r="N4" t="s">
        <v>226</v>
      </c>
      <c r="O4" t="s">
        <v>96</v>
      </c>
      <c r="P4" s="18" t="s">
        <v>227</v>
      </c>
      <c r="Q4" t="s">
        <v>228</v>
      </c>
      <c r="R4" t="s">
        <v>229</v>
      </c>
      <c r="S4">
        <v>1</v>
      </c>
      <c r="T4" t="s">
        <v>230</v>
      </c>
      <c r="U4">
        <v>0</v>
      </c>
      <c r="V4" s="18" t="s">
        <v>231</v>
      </c>
      <c r="W4" s="18" t="s">
        <v>231</v>
      </c>
      <c r="X4" s="18" t="s">
        <v>73</v>
      </c>
      <c r="Y4">
        <v>0</v>
      </c>
      <c r="Z4">
        <v>0</v>
      </c>
      <c r="AA4">
        <v>1</v>
      </c>
      <c r="AB4">
        <v>0</v>
      </c>
      <c r="AC4">
        <v>0</v>
      </c>
      <c r="AD4">
        <v>0</v>
      </c>
      <c r="AE4">
        <v>0</v>
      </c>
      <c r="AF4">
        <v>0</v>
      </c>
      <c r="AG4" t="s">
        <v>232</v>
      </c>
      <c r="AH4">
        <v>0</v>
      </c>
      <c r="AI4">
        <v>0</v>
      </c>
      <c r="AJ4">
        <v>0</v>
      </c>
      <c r="AK4">
        <v>0</v>
      </c>
      <c r="AL4">
        <v>0</v>
      </c>
      <c r="AM4">
        <v>0</v>
      </c>
      <c r="AN4">
        <v>0</v>
      </c>
      <c r="AO4">
        <v>1</v>
      </c>
      <c r="AP4">
        <v>0</v>
      </c>
      <c r="AQ4" t="s">
        <v>73</v>
      </c>
      <c r="AR4" t="s">
        <v>233</v>
      </c>
      <c r="AS4" t="s">
        <v>234</v>
      </c>
      <c r="AT4" t="s">
        <v>235</v>
      </c>
      <c r="AU4" s="21">
        <v>5.3999999999999999E-2</v>
      </c>
      <c r="AV4" s="7" t="s">
        <v>86</v>
      </c>
      <c r="AW4">
        <v>2.1000000000000001E-2</v>
      </c>
      <c r="AX4">
        <v>0.01</v>
      </c>
      <c r="AY4">
        <v>1</v>
      </c>
      <c r="AZ4">
        <f t="shared" si="0"/>
        <v>2.5714285714285712</v>
      </c>
      <c r="BA4" s="102" t="s">
        <v>73</v>
      </c>
      <c r="BB4" s="102"/>
      <c r="BC4" t="s">
        <v>73</v>
      </c>
      <c r="BD4">
        <v>378</v>
      </c>
      <c r="BE4" t="s">
        <v>73</v>
      </c>
      <c r="BF4" t="s">
        <v>73</v>
      </c>
      <c r="BG4" s="18">
        <v>193</v>
      </c>
      <c r="BH4" t="s">
        <v>73</v>
      </c>
      <c r="BI4" s="10">
        <v>571</v>
      </c>
      <c r="BJ4" s="10">
        <v>25685</v>
      </c>
      <c r="BK4" t="s">
        <v>73</v>
      </c>
      <c r="BL4" t="s">
        <v>73</v>
      </c>
      <c r="BM4" t="s">
        <v>73</v>
      </c>
      <c r="BN4" t="s">
        <v>73</v>
      </c>
      <c r="BO4" t="s">
        <v>73</v>
      </c>
      <c r="BP4" t="s">
        <v>73</v>
      </c>
      <c r="BQ4" t="s">
        <v>73</v>
      </c>
      <c r="BR4" t="s">
        <v>73</v>
      </c>
      <c r="BS4" t="s">
        <v>73</v>
      </c>
      <c r="BT4" t="s">
        <v>73</v>
      </c>
      <c r="BU4" s="18">
        <v>1</v>
      </c>
      <c r="BV4" s="18">
        <v>0</v>
      </c>
      <c r="BW4" s="18">
        <v>1</v>
      </c>
      <c r="BX4" s="30">
        <f t="shared" si="1"/>
        <v>0.10699322282140411</v>
      </c>
      <c r="BY4" s="30">
        <f t="shared" si="2"/>
        <v>0.10740432025194586</v>
      </c>
      <c r="BZ4" s="30">
        <f t="shared" si="3"/>
        <v>1.7541525050915158E-3</v>
      </c>
      <c r="CA4" s="30">
        <f t="shared" si="4"/>
        <v>1.7605633802816902E-3</v>
      </c>
      <c r="CE4" s="30">
        <f t="shared" si="5"/>
        <v>1.604274888962573E-2</v>
      </c>
      <c r="CF4" s="30">
        <f t="shared" si="6"/>
        <v>1.6044125408511214E-2</v>
      </c>
      <c r="CG4" s="30">
        <f t="shared" si="7"/>
        <v>3.8934742786873272E-5</v>
      </c>
      <c r="CH4" s="30">
        <f t="shared" ref="CH4:CH37" si="8">1/(BJ4-3)</f>
        <v>3.8937777431664201E-5</v>
      </c>
    </row>
    <row r="5" spans="1:86" ht="16">
      <c r="A5" s="11" t="s">
        <v>68</v>
      </c>
      <c r="B5" s="11"/>
      <c r="C5" s="11">
        <v>1038</v>
      </c>
      <c r="D5" s="11">
        <v>107</v>
      </c>
      <c r="E5" s="10" t="s">
        <v>221</v>
      </c>
      <c r="F5" s="11">
        <v>2020</v>
      </c>
      <c r="G5" t="s">
        <v>222</v>
      </c>
      <c r="H5" s="22" t="s">
        <v>223</v>
      </c>
      <c r="I5" s="18">
        <v>1</v>
      </c>
      <c r="J5" t="s">
        <v>224</v>
      </c>
      <c r="K5" s="10" t="s">
        <v>73</v>
      </c>
      <c r="L5" s="10">
        <v>5</v>
      </c>
      <c r="M5" s="18" t="s">
        <v>236</v>
      </c>
      <c r="N5" t="s">
        <v>226</v>
      </c>
      <c r="O5" t="s">
        <v>96</v>
      </c>
      <c r="P5" s="18" t="s">
        <v>227</v>
      </c>
      <c r="Q5" t="s">
        <v>228</v>
      </c>
      <c r="R5" t="s">
        <v>229</v>
      </c>
      <c r="S5">
        <v>1</v>
      </c>
      <c r="T5" t="s">
        <v>230</v>
      </c>
      <c r="U5">
        <v>0</v>
      </c>
      <c r="V5" s="18" t="s">
        <v>231</v>
      </c>
      <c r="W5" s="18" t="s">
        <v>231</v>
      </c>
      <c r="X5" s="18" t="s">
        <v>73</v>
      </c>
      <c r="Y5">
        <v>0</v>
      </c>
      <c r="Z5">
        <v>0</v>
      </c>
      <c r="AA5">
        <v>1</v>
      </c>
      <c r="AB5">
        <v>0</v>
      </c>
      <c r="AC5">
        <v>0</v>
      </c>
      <c r="AD5">
        <v>0</v>
      </c>
      <c r="AE5">
        <v>0</v>
      </c>
      <c r="AF5">
        <v>0</v>
      </c>
      <c r="AG5" t="s">
        <v>232</v>
      </c>
      <c r="AH5">
        <v>0</v>
      </c>
      <c r="AI5">
        <v>0</v>
      </c>
      <c r="AJ5">
        <v>0</v>
      </c>
      <c r="AK5">
        <v>0</v>
      </c>
      <c r="AL5">
        <v>0</v>
      </c>
      <c r="AM5">
        <v>0</v>
      </c>
      <c r="AN5">
        <v>0</v>
      </c>
      <c r="AO5">
        <v>1</v>
      </c>
      <c r="AP5">
        <v>0</v>
      </c>
      <c r="AQ5" t="s">
        <v>73</v>
      </c>
      <c r="AR5" t="s">
        <v>233</v>
      </c>
      <c r="AS5" t="s">
        <v>234</v>
      </c>
      <c r="AT5" t="s">
        <v>235</v>
      </c>
      <c r="AU5" s="21">
        <v>5.1999999999999998E-2</v>
      </c>
      <c r="AV5" s="7" t="s">
        <v>86</v>
      </c>
      <c r="AW5">
        <v>2.1000000000000001E-2</v>
      </c>
      <c r="AX5">
        <v>0.05</v>
      </c>
      <c r="AY5">
        <v>1</v>
      </c>
      <c r="AZ5">
        <f t="shared" si="0"/>
        <v>2.4761904761904758</v>
      </c>
      <c r="BA5" s="102" t="s">
        <v>73</v>
      </c>
      <c r="BB5" s="102"/>
      <c r="BC5" t="s">
        <v>73</v>
      </c>
      <c r="BD5">
        <v>378</v>
      </c>
      <c r="BE5" t="s">
        <v>73</v>
      </c>
      <c r="BF5" t="s">
        <v>73</v>
      </c>
      <c r="BG5" s="18">
        <v>193</v>
      </c>
      <c r="BH5" t="s">
        <v>73</v>
      </c>
      <c r="BI5" s="10">
        <v>571</v>
      </c>
      <c r="BJ5" s="10">
        <v>25685</v>
      </c>
      <c r="BK5" t="s">
        <v>73</v>
      </c>
      <c r="BL5" t="s">
        <v>73</v>
      </c>
      <c r="BM5" t="s">
        <v>73</v>
      </c>
      <c r="BN5" t="s">
        <v>73</v>
      </c>
      <c r="BO5" t="s">
        <v>73</v>
      </c>
      <c r="BP5" t="s">
        <v>73</v>
      </c>
      <c r="BQ5" t="s">
        <v>73</v>
      </c>
      <c r="BR5" t="s">
        <v>73</v>
      </c>
      <c r="BS5" t="s">
        <v>73</v>
      </c>
      <c r="BT5" t="s">
        <v>73</v>
      </c>
      <c r="BU5" s="18">
        <v>1</v>
      </c>
      <c r="BV5" s="18">
        <v>0</v>
      </c>
      <c r="BW5" s="18">
        <v>1</v>
      </c>
      <c r="BX5" s="30">
        <f t="shared" si="1"/>
        <v>0.10307341191556092</v>
      </c>
      <c r="BY5" s="30">
        <f t="shared" si="2"/>
        <v>0.10344077825830729</v>
      </c>
      <c r="BZ5" s="30">
        <f t="shared" si="3"/>
        <v>1.7541851054656437E-3</v>
      </c>
      <c r="CA5" s="30">
        <f t="shared" si="4"/>
        <v>1.7605633802816902E-3</v>
      </c>
      <c r="CE5" s="30">
        <f t="shared" si="5"/>
        <v>1.5448717538944366E-2</v>
      </c>
      <c r="CF5" s="30">
        <f t="shared" si="6"/>
        <v>1.5449946726739888E-2</v>
      </c>
      <c r="CG5" s="30">
        <f t="shared" si="7"/>
        <v>3.8934743148337576E-5</v>
      </c>
      <c r="CH5" s="30">
        <f t="shared" si="8"/>
        <v>3.8937777431664201E-5</v>
      </c>
    </row>
    <row r="6" spans="1:86" ht="16">
      <c r="A6" s="11" t="s">
        <v>68</v>
      </c>
      <c r="B6" s="11"/>
      <c r="C6" s="11">
        <v>1039</v>
      </c>
      <c r="D6" s="11">
        <v>107</v>
      </c>
      <c r="E6" s="10" t="s">
        <v>221</v>
      </c>
      <c r="F6" s="11">
        <v>2020</v>
      </c>
      <c r="G6" t="s">
        <v>222</v>
      </c>
      <c r="H6" s="22" t="s">
        <v>223</v>
      </c>
      <c r="I6" s="18">
        <v>1</v>
      </c>
      <c r="J6" t="s">
        <v>224</v>
      </c>
      <c r="K6" s="10" t="s">
        <v>73</v>
      </c>
      <c r="L6" s="10">
        <v>5</v>
      </c>
      <c r="M6" s="18" t="s">
        <v>236</v>
      </c>
      <c r="N6" t="s">
        <v>226</v>
      </c>
      <c r="O6" t="s">
        <v>96</v>
      </c>
      <c r="P6" s="18" t="s">
        <v>227</v>
      </c>
      <c r="Q6" t="s">
        <v>228</v>
      </c>
      <c r="R6" t="s">
        <v>229</v>
      </c>
      <c r="S6">
        <v>1</v>
      </c>
      <c r="T6" t="s">
        <v>230</v>
      </c>
      <c r="U6">
        <v>0</v>
      </c>
      <c r="V6" s="18" t="s">
        <v>231</v>
      </c>
      <c r="W6" s="18" t="s">
        <v>231</v>
      </c>
      <c r="X6" s="18" t="s">
        <v>73</v>
      </c>
      <c r="Y6">
        <v>0</v>
      </c>
      <c r="Z6">
        <v>0</v>
      </c>
      <c r="AA6">
        <v>1</v>
      </c>
      <c r="AB6">
        <v>0</v>
      </c>
      <c r="AC6">
        <v>0</v>
      </c>
      <c r="AD6">
        <v>0</v>
      </c>
      <c r="AE6">
        <v>0</v>
      </c>
      <c r="AF6">
        <v>0</v>
      </c>
      <c r="AG6" t="s">
        <v>232</v>
      </c>
      <c r="AH6">
        <v>0</v>
      </c>
      <c r="AI6">
        <v>0</v>
      </c>
      <c r="AJ6">
        <v>0</v>
      </c>
      <c r="AK6">
        <v>0</v>
      </c>
      <c r="AL6">
        <v>0</v>
      </c>
      <c r="AM6">
        <v>0</v>
      </c>
      <c r="AN6">
        <v>0</v>
      </c>
      <c r="AO6">
        <v>1</v>
      </c>
      <c r="AP6">
        <v>0</v>
      </c>
      <c r="AQ6" t="s">
        <v>73</v>
      </c>
      <c r="AR6" t="s">
        <v>233</v>
      </c>
      <c r="AS6" t="s">
        <v>234</v>
      </c>
      <c r="AT6" t="s">
        <v>235</v>
      </c>
      <c r="AU6" s="21">
        <v>5.6000000000000001E-2</v>
      </c>
      <c r="AV6" s="7" t="s">
        <v>86</v>
      </c>
      <c r="AW6">
        <v>2.1000000000000001E-2</v>
      </c>
      <c r="AX6">
        <v>0.01</v>
      </c>
      <c r="AY6">
        <v>1</v>
      </c>
      <c r="AZ6">
        <f t="shared" si="0"/>
        <v>2.6666666666666665</v>
      </c>
      <c r="BA6" s="102" t="s">
        <v>73</v>
      </c>
      <c r="BB6" s="102"/>
      <c r="BC6" t="s">
        <v>73</v>
      </c>
      <c r="BD6">
        <v>378</v>
      </c>
      <c r="BE6" t="s">
        <v>73</v>
      </c>
      <c r="BF6" t="s">
        <v>73</v>
      </c>
      <c r="BG6" s="18">
        <v>193</v>
      </c>
      <c r="BH6" t="s">
        <v>73</v>
      </c>
      <c r="BI6" s="10">
        <v>571</v>
      </c>
      <c r="BJ6" s="10">
        <v>24920</v>
      </c>
      <c r="BK6" t="s">
        <v>73</v>
      </c>
      <c r="BL6" t="s">
        <v>73</v>
      </c>
      <c r="BM6" t="s">
        <v>73</v>
      </c>
      <c r="BN6" t="s">
        <v>73</v>
      </c>
      <c r="BO6" t="s">
        <v>73</v>
      </c>
      <c r="BP6" t="s">
        <v>73</v>
      </c>
      <c r="BQ6" t="s">
        <v>73</v>
      </c>
      <c r="BR6" t="s">
        <v>73</v>
      </c>
      <c r="BS6" t="s">
        <v>73</v>
      </c>
      <c r="BT6" t="s">
        <v>73</v>
      </c>
      <c r="BU6" s="18">
        <v>1</v>
      </c>
      <c r="BV6" s="18">
        <v>0</v>
      </c>
      <c r="BW6" s="18">
        <v>1</v>
      </c>
      <c r="BX6" s="30">
        <f t="shared" si="1"/>
        <v>0.1109080511509852</v>
      </c>
      <c r="BY6" s="30">
        <f t="shared" si="2"/>
        <v>0.11136618214120936</v>
      </c>
      <c r="BZ6" s="30">
        <f t="shared" si="3"/>
        <v>1.7541161049408759E-3</v>
      </c>
      <c r="CA6" s="30">
        <f t="shared" si="4"/>
        <v>1.7605633802816902E-3</v>
      </c>
      <c r="CE6" s="30">
        <f t="shared" si="5"/>
        <v>1.6890120870043275E-2</v>
      </c>
      <c r="CF6" s="30">
        <f t="shared" si="6"/>
        <v>1.6891727261415537E-2</v>
      </c>
      <c r="CG6" s="30">
        <f t="shared" si="7"/>
        <v>4.0130018001787165E-5</v>
      </c>
      <c r="CH6" s="30">
        <f t="shared" si="8"/>
        <v>4.0133242364650637E-5</v>
      </c>
    </row>
    <row r="7" spans="1:86" ht="16">
      <c r="A7" s="11" t="s">
        <v>68</v>
      </c>
      <c r="B7" s="11"/>
      <c r="C7" s="11">
        <v>1040</v>
      </c>
      <c r="D7" s="11">
        <v>107</v>
      </c>
      <c r="E7" s="10" t="s">
        <v>221</v>
      </c>
      <c r="F7" s="11">
        <v>2020</v>
      </c>
      <c r="G7" t="s">
        <v>222</v>
      </c>
      <c r="H7" s="22" t="s">
        <v>223</v>
      </c>
      <c r="I7" s="18">
        <v>1</v>
      </c>
      <c r="J7" t="s">
        <v>224</v>
      </c>
      <c r="K7" s="10" t="s">
        <v>73</v>
      </c>
      <c r="L7" s="10">
        <v>5</v>
      </c>
      <c r="M7" s="18" t="s">
        <v>236</v>
      </c>
      <c r="N7" t="s">
        <v>226</v>
      </c>
      <c r="O7" t="s">
        <v>96</v>
      </c>
      <c r="P7" s="18" t="s">
        <v>227</v>
      </c>
      <c r="Q7" t="s">
        <v>228</v>
      </c>
      <c r="R7" t="s">
        <v>229</v>
      </c>
      <c r="S7">
        <v>1</v>
      </c>
      <c r="T7" t="s">
        <v>230</v>
      </c>
      <c r="U7">
        <v>0</v>
      </c>
      <c r="V7" s="18" t="s">
        <v>231</v>
      </c>
      <c r="W7" s="18" t="s">
        <v>231</v>
      </c>
      <c r="X7" s="18" t="s">
        <v>73</v>
      </c>
      <c r="Y7">
        <v>0</v>
      </c>
      <c r="Z7">
        <v>0</v>
      </c>
      <c r="AA7">
        <v>1</v>
      </c>
      <c r="AB7">
        <v>0</v>
      </c>
      <c r="AC7">
        <v>0</v>
      </c>
      <c r="AD7">
        <v>0</v>
      </c>
      <c r="AE7">
        <v>0</v>
      </c>
      <c r="AF7">
        <v>0</v>
      </c>
      <c r="AG7" t="s">
        <v>232</v>
      </c>
      <c r="AH7">
        <v>0</v>
      </c>
      <c r="AI7">
        <v>0</v>
      </c>
      <c r="AJ7">
        <v>0</v>
      </c>
      <c r="AK7">
        <v>0</v>
      </c>
      <c r="AL7">
        <v>0</v>
      </c>
      <c r="AM7">
        <v>0</v>
      </c>
      <c r="AN7">
        <v>0</v>
      </c>
      <c r="AO7">
        <v>1</v>
      </c>
      <c r="AP7">
        <v>0</v>
      </c>
      <c r="AQ7" t="s">
        <v>73</v>
      </c>
      <c r="AR7" t="s">
        <v>233</v>
      </c>
      <c r="AS7" t="s">
        <v>234</v>
      </c>
      <c r="AT7" t="s">
        <v>235</v>
      </c>
      <c r="AU7" s="21">
        <v>4.4999999999999998E-2</v>
      </c>
      <c r="AV7" s="7" t="s">
        <v>86</v>
      </c>
      <c r="AW7">
        <v>2.1999999999999999E-2</v>
      </c>
      <c r="AX7">
        <v>0.05</v>
      </c>
      <c r="AY7">
        <v>1</v>
      </c>
      <c r="AZ7">
        <f t="shared" si="0"/>
        <v>2.0454545454545454</v>
      </c>
      <c r="BA7" s="102" t="s">
        <v>73</v>
      </c>
      <c r="BB7" s="102"/>
      <c r="BC7" t="s">
        <v>73</v>
      </c>
      <c r="BD7">
        <v>378</v>
      </c>
      <c r="BE7" t="s">
        <v>73</v>
      </c>
      <c r="BF7" t="s">
        <v>73</v>
      </c>
      <c r="BG7" s="18">
        <v>193</v>
      </c>
      <c r="BH7" t="s">
        <v>73</v>
      </c>
      <c r="BI7" s="10">
        <v>571</v>
      </c>
      <c r="BJ7" s="10">
        <v>22626</v>
      </c>
      <c r="BK7" t="s">
        <v>73</v>
      </c>
      <c r="BL7" t="s">
        <v>73</v>
      </c>
      <c r="BM7" t="s">
        <v>73</v>
      </c>
      <c r="BN7" t="s">
        <v>73</v>
      </c>
      <c r="BO7" t="s">
        <v>73</v>
      </c>
      <c r="BP7" t="s">
        <v>73</v>
      </c>
      <c r="BQ7" t="s">
        <v>73</v>
      </c>
      <c r="BR7" t="s">
        <v>73</v>
      </c>
      <c r="BS7" t="s">
        <v>73</v>
      </c>
      <c r="BT7" t="s">
        <v>73</v>
      </c>
      <c r="BU7" s="18">
        <v>1</v>
      </c>
      <c r="BV7" s="18">
        <v>0</v>
      </c>
      <c r="BW7" s="18">
        <v>1</v>
      </c>
      <c r="BX7" s="30">
        <f t="shared" si="1"/>
        <v>8.5287714841797826E-2</v>
      </c>
      <c r="BY7" s="30">
        <f t="shared" si="2"/>
        <v>8.5495416206607486E-2</v>
      </c>
      <c r="BZ7" s="30">
        <f t="shared" si="3"/>
        <v>1.7542922310596193E-3</v>
      </c>
      <c r="CA7" s="30">
        <f t="shared" si="4"/>
        <v>1.7605633802816902E-3</v>
      </c>
      <c r="CE7" s="30">
        <f t="shared" si="5"/>
        <v>1.3597084343537518E-2</v>
      </c>
      <c r="CF7" s="30">
        <f t="shared" si="6"/>
        <v>1.3597922382671032E-2</v>
      </c>
      <c r="CG7" s="30">
        <f t="shared" si="7"/>
        <v>4.419889351649495E-5</v>
      </c>
      <c r="CH7" s="30">
        <f t="shared" si="8"/>
        <v>4.4202802457675817E-5</v>
      </c>
    </row>
    <row r="8" spans="1:86" s="105" customFormat="1" ht="16">
      <c r="A8" s="11" t="s">
        <v>68</v>
      </c>
      <c r="B8" s="11"/>
      <c r="C8" s="11">
        <v>1041</v>
      </c>
      <c r="D8" s="11">
        <v>107</v>
      </c>
      <c r="E8" s="10" t="s">
        <v>221</v>
      </c>
      <c r="F8" s="11">
        <v>2020</v>
      </c>
      <c r="G8" t="s">
        <v>222</v>
      </c>
      <c r="H8" s="22" t="s">
        <v>223</v>
      </c>
      <c r="I8" s="18">
        <v>1</v>
      </c>
      <c r="J8" t="s">
        <v>224</v>
      </c>
      <c r="K8" s="10" t="s">
        <v>73</v>
      </c>
      <c r="L8" s="10">
        <v>6</v>
      </c>
      <c r="M8" s="18" t="s">
        <v>225</v>
      </c>
      <c r="N8" t="s">
        <v>226</v>
      </c>
      <c r="O8" t="s">
        <v>96</v>
      </c>
      <c r="P8" s="18" t="s">
        <v>227</v>
      </c>
      <c r="Q8" t="s">
        <v>228</v>
      </c>
      <c r="R8" t="s">
        <v>229</v>
      </c>
      <c r="S8">
        <v>1</v>
      </c>
      <c r="T8" t="s">
        <v>230</v>
      </c>
      <c r="U8">
        <v>0</v>
      </c>
      <c r="V8" s="18" t="s">
        <v>231</v>
      </c>
      <c r="W8" s="18" t="s">
        <v>231</v>
      </c>
      <c r="X8" s="18" t="s">
        <v>73</v>
      </c>
      <c r="Y8">
        <v>0</v>
      </c>
      <c r="Z8">
        <v>0</v>
      </c>
      <c r="AA8">
        <v>1</v>
      </c>
      <c r="AB8">
        <v>0</v>
      </c>
      <c r="AC8">
        <v>0</v>
      </c>
      <c r="AD8">
        <v>0</v>
      </c>
      <c r="AE8">
        <v>0</v>
      </c>
      <c r="AF8">
        <v>0</v>
      </c>
      <c r="AG8" t="s">
        <v>232</v>
      </c>
      <c r="AH8">
        <v>0</v>
      </c>
      <c r="AI8">
        <v>0</v>
      </c>
      <c r="AJ8">
        <v>0</v>
      </c>
      <c r="AK8">
        <v>0</v>
      </c>
      <c r="AL8">
        <v>0</v>
      </c>
      <c r="AM8">
        <v>0</v>
      </c>
      <c r="AN8">
        <v>0</v>
      </c>
      <c r="AO8">
        <v>1</v>
      </c>
      <c r="AP8">
        <v>0</v>
      </c>
      <c r="AQ8" t="s">
        <v>73</v>
      </c>
      <c r="AR8" t="s">
        <v>233</v>
      </c>
      <c r="AS8" t="s">
        <v>234</v>
      </c>
      <c r="AT8" t="s">
        <v>235</v>
      </c>
      <c r="AU8" s="21">
        <v>5.7000000000000002E-2</v>
      </c>
      <c r="AV8" s="7" t="s">
        <v>86</v>
      </c>
      <c r="AW8">
        <v>2.9000000000000001E-2</v>
      </c>
      <c r="AX8">
        <v>0.01</v>
      </c>
      <c r="AY8">
        <v>1</v>
      </c>
      <c r="AZ8">
        <f t="shared" si="0"/>
        <v>1.9655172413793103</v>
      </c>
      <c r="BA8" s="102" t="s">
        <v>73</v>
      </c>
      <c r="BB8" s="102"/>
      <c r="BC8" t="s">
        <v>73</v>
      </c>
      <c r="BD8">
        <v>378</v>
      </c>
      <c r="BE8" t="s">
        <v>73</v>
      </c>
      <c r="BF8" t="s">
        <v>73</v>
      </c>
      <c r="BG8" s="18">
        <v>193</v>
      </c>
      <c r="BH8" t="s">
        <v>73</v>
      </c>
      <c r="BI8" s="10">
        <v>571</v>
      </c>
      <c r="BJ8" s="10">
        <v>25685</v>
      </c>
      <c r="BK8" t="s">
        <v>73</v>
      </c>
      <c r="BL8" t="s">
        <v>73</v>
      </c>
      <c r="BM8" t="s">
        <v>73</v>
      </c>
      <c r="BN8" t="s">
        <v>73</v>
      </c>
      <c r="BO8" t="s">
        <v>73</v>
      </c>
      <c r="BP8" t="s">
        <v>73</v>
      </c>
      <c r="BQ8" t="s">
        <v>73</v>
      </c>
      <c r="BR8" t="s">
        <v>73</v>
      </c>
      <c r="BS8" t="s">
        <v>73</v>
      </c>
      <c r="BT8" t="s">
        <v>73</v>
      </c>
      <c r="BU8" s="18">
        <v>1</v>
      </c>
      <c r="BV8" s="18">
        <v>0</v>
      </c>
      <c r="BW8" s="18">
        <v>1</v>
      </c>
      <c r="BX8" s="30">
        <f t="shared" si="1"/>
        <v>8.1977483380554009E-2</v>
      </c>
      <c r="BY8" s="30">
        <f t="shared" si="2"/>
        <v>8.2161865388990771E-2</v>
      </c>
      <c r="BZ8" s="30">
        <f t="shared" si="3"/>
        <v>1.7543060171508703E-3</v>
      </c>
      <c r="CA8" s="30">
        <f t="shared" si="4"/>
        <v>1.7605633802816902E-3</v>
      </c>
      <c r="CB8"/>
      <c r="CC8"/>
      <c r="CD8"/>
      <c r="CE8" s="30">
        <f t="shared" si="5"/>
        <v>1.2263217028804526E-2</v>
      </c>
      <c r="CF8" s="30">
        <f t="shared" si="6"/>
        <v>1.2263831825009192E-2</v>
      </c>
      <c r="CG8" s="30">
        <f t="shared" si="7"/>
        <v>3.8934744486036733E-5</v>
      </c>
      <c r="CH8" s="30">
        <f t="shared" si="8"/>
        <v>3.8937777431664201E-5</v>
      </c>
    </row>
    <row r="9" spans="1:86" s="105" customFormat="1" ht="16">
      <c r="A9" s="11" t="s">
        <v>68</v>
      </c>
      <c r="B9" s="11"/>
      <c r="C9" s="11">
        <v>1042</v>
      </c>
      <c r="D9" s="11">
        <v>107</v>
      </c>
      <c r="E9" s="10" t="s">
        <v>221</v>
      </c>
      <c r="F9" s="11">
        <v>2020</v>
      </c>
      <c r="G9" t="s">
        <v>222</v>
      </c>
      <c r="H9" s="22" t="s">
        <v>223</v>
      </c>
      <c r="I9" s="18">
        <v>1</v>
      </c>
      <c r="J9" t="s">
        <v>224</v>
      </c>
      <c r="K9" s="10" t="s">
        <v>73</v>
      </c>
      <c r="L9" s="10">
        <v>6</v>
      </c>
      <c r="M9" s="18" t="s">
        <v>225</v>
      </c>
      <c r="N9" t="s">
        <v>226</v>
      </c>
      <c r="O9" t="s">
        <v>96</v>
      </c>
      <c r="P9" s="18" t="s">
        <v>227</v>
      </c>
      <c r="Q9" t="s">
        <v>228</v>
      </c>
      <c r="R9" t="s">
        <v>229</v>
      </c>
      <c r="S9">
        <v>1</v>
      </c>
      <c r="T9" t="s">
        <v>230</v>
      </c>
      <c r="U9">
        <v>0</v>
      </c>
      <c r="V9" s="18" t="s">
        <v>231</v>
      </c>
      <c r="W9" s="18" t="s">
        <v>231</v>
      </c>
      <c r="X9" s="18" t="s">
        <v>73</v>
      </c>
      <c r="Y9">
        <v>0</v>
      </c>
      <c r="Z9">
        <v>0</v>
      </c>
      <c r="AA9">
        <v>1</v>
      </c>
      <c r="AB9">
        <v>0</v>
      </c>
      <c r="AC9">
        <v>0</v>
      </c>
      <c r="AD9">
        <v>0</v>
      </c>
      <c r="AE9">
        <v>0</v>
      </c>
      <c r="AF9">
        <v>0</v>
      </c>
      <c r="AG9" t="s">
        <v>232</v>
      </c>
      <c r="AH9">
        <v>0</v>
      </c>
      <c r="AI9">
        <v>0</v>
      </c>
      <c r="AJ9">
        <v>0</v>
      </c>
      <c r="AK9">
        <v>0</v>
      </c>
      <c r="AL9">
        <v>0</v>
      </c>
      <c r="AM9">
        <v>0</v>
      </c>
      <c r="AN9">
        <v>0</v>
      </c>
      <c r="AO9">
        <v>1</v>
      </c>
      <c r="AP9">
        <v>0</v>
      </c>
      <c r="AQ9" t="s">
        <v>73</v>
      </c>
      <c r="AR9" t="s">
        <v>233</v>
      </c>
      <c r="AS9" t="s">
        <v>234</v>
      </c>
      <c r="AT9" t="s">
        <v>235</v>
      </c>
      <c r="AU9" s="21">
        <v>6.4000000000000001E-2</v>
      </c>
      <c r="AV9" s="7" t="s">
        <v>86</v>
      </c>
      <c r="AW9">
        <v>2.1000000000000001E-2</v>
      </c>
      <c r="AX9">
        <v>0.05</v>
      </c>
      <c r="AY9">
        <v>1</v>
      </c>
      <c r="AZ9">
        <f t="shared" si="0"/>
        <v>3.0476190476190474</v>
      </c>
      <c r="BA9" s="102" t="s">
        <v>73</v>
      </c>
      <c r="BB9" s="102"/>
      <c r="BC9" t="s">
        <v>73</v>
      </c>
      <c r="BD9">
        <v>378</v>
      </c>
      <c r="BE9" t="s">
        <v>73</v>
      </c>
      <c r="BF9" t="s">
        <v>73</v>
      </c>
      <c r="BG9" s="18">
        <v>193</v>
      </c>
      <c r="BH9" t="s">
        <v>73</v>
      </c>
      <c r="BI9" s="10">
        <v>571</v>
      </c>
      <c r="BJ9" s="10">
        <v>25685</v>
      </c>
      <c r="BK9" t="s">
        <v>73</v>
      </c>
      <c r="BL9" t="s">
        <v>73</v>
      </c>
      <c r="BM9" t="s">
        <v>73</v>
      </c>
      <c r="BN9" t="s">
        <v>73</v>
      </c>
      <c r="BO9" t="s">
        <v>73</v>
      </c>
      <c r="BP9" t="s">
        <v>73</v>
      </c>
      <c r="BQ9" t="s">
        <v>73</v>
      </c>
      <c r="BR9" t="s">
        <v>73</v>
      </c>
      <c r="BS9" t="s">
        <v>73</v>
      </c>
      <c r="BT9" t="s">
        <v>73</v>
      </c>
      <c r="BU9" s="18">
        <v>1</v>
      </c>
      <c r="BV9" s="18">
        <v>0</v>
      </c>
      <c r="BW9" s="18">
        <v>1</v>
      </c>
      <c r="BX9" s="30">
        <f t="shared" si="1"/>
        <v>0.12651408859229724</v>
      </c>
      <c r="BY9" s="30">
        <f t="shared" si="2"/>
        <v>0.12719563288286462</v>
      </c>
      <c r="BZ9" s="30">
        <f t="shared" si="3"/>
        <v>1.7539267521528995E-3</v>
      </c>
      <c r="CA9" s="30">
        <f t="shared" si="4"/>
        <v>1.7605633802816902E-3</v>
      </c>
      <c r="CB9"/>
      <c r="CC9"/>
      <c r="CD9"/>
      <c r="CE9" s="30">
        <f t="shared" si="5"/>
        <v>1.901263827271819E-2</v>
      </c>
      <c r="CF9" s="30">
        <f t="shared" si="6"/>
        <v>1.9014929668500848E-2</v>
      </c>
      <c r="CG9" s="30">
        <f t="shared" si="7"/>
        <v>3.8934740276783467E-5</v>
      </c>
      <c r="CH9" s="30">
        <f t="shared" si="8"/>
        <v>3.8937777431664201E-5</v>
      </c>
    </row>
    <row r="10" spans="1:86" s="105" customFormat="1" ht="16">
      <c r="A10" s="11" t="s">
        <v>68</v>
      </c>
      <c r="B10" s="11"/>
      <c r="C10" s="11">
        <v>1043</v>
      </c>
      <c r="D10" s="11">
        <v>107</v>
      </c>
      <c r="E10" s="10" t="s">
        <v>221</v>
      </c>
      <c r="F10" s="11">
        <v>2020</v>
      </c>
      <c r="G10" t="s">
        <v>222</v>
      </c>
      <c r="H10" s="22" t="s">
        <v>223</v>
      </c>
      <c r="I10" s="18">
        <v>1</v>
      </c>
      <c r="J10" t="s">
        <v>224</v>
      </c>
      <c r="K10" s="10" t="s">
        <v>73</v>
      </c>
      <c r="L10" s="10">
        <v>6</v>
      </c>
      <c r="M10" s="18" t="s">
        <v>236</v>
      </c>
      <c r="N10" t="s">
        <v>226</v>
      </c>
      <c r="O10" t="s">
        <v>96</v>
      </c>
      <c r="P10" s="18" t="s">
        <v>227</v>
      </c>
      <c r="Q10" t="s">
        <v>228</v>
      </c>
      <c r="R10" t="s">
        <v>229</v>
      </c>
      <c r="S10">
        <v>1</v>
      </c>
      <c r="T10" t="s">
        <v>230</v>
      </c>
      <c r="U10">
        <v>0</v>
      </c>
      <c r="V10" s="18" t="s">
        <v>231</v>
      </c>
      <c r="W10" s="18" t="s">
        <v>231</v>
      </c>
      <c r="X10" s="18" t="s">
        <v>73</v>
      </c>
      <c r="Y10">
        <v>0</v>
      </c>
      <c r="Z10">
        <v>0</v>
      </c>
      <c r="AA10">
        <v>1</v>
      </c>
      <c r="AB10">
        <v>0</v>
      </c>
      <c r="AC10">
        <v>0</v>
      </c>
      <c r="AD10">
        <v>0</v>
      </c>
      <c r="AE10">
        <v>0</v>
      </c>
      <c r="AF10">
        <v>0</v>
      </c>
      <c r="AG10" t="s">
        <v>232</v>
      </c>
      <c r="AH10">
        <v>0</v>
      </c>
      <c r="AI10">
        <v>0</v>
      </c>
      <c r="AJ10">
        <v>0</v>
      </c>
      <c r="AK10">
        <v>0</v>
      </c>
      <c r="AL10">
        <v>0</v>
      </c>
      <c r="AM10">
        <v>0</v>
      </c>
      <c r="AN10">
        <v>0</v>
      </c>
      <c r="AO10">
        <v>1</v>
      </c>
      <c r="AP10">
        <v>0</v>
      </c>
      <c r="AQ10" t="s">
        <v>73</v>
      </c>
      <c r="AR10" t="s">
        <v>233</v>
      </c>
      <c r="AS10" t="s">
        <v>234</v>
      </c>
      <c r="AT10" t="s">
        <v>235</v>
      </c>
      <c r="AU10" s="21">
        <v>6.5000000000000002E-2</v>
      </c>
      <c r="AV10" s="7" t="s">
        <v>86</v>
      </c>
      <c r="AW10">
        <v>2.1000000000000001E-2</v>
      </c>
      <c r="AX10">
        <v>0.01</v>
      </c>
      <c r="AY10">
        <v>1</v>
      </c>
      <c r="AZ10">
        <f t="shared" si="0"/>
        <v>3.0952380952380953</v>
      </c>
      <c r="BA10" s="102" t="s">
        <v>73</v>
      </c>
      <c r="BB10" s="102"/>
      <c r="BC10" t="s">
        <v>73</v>
      </c>
      <c r="BD10">
        <v>378</v>
      </c>
      <c r="BE10" t="s">
        <v>73</v>
      </c>
      <c r="BF10" t="s">
        <v>73</v>
      </c>
      <c r="BG10" s="18">
        <v>193</v>
      </c>
      <c r="BH10" t="s">
        <v>73</v>
      </c>
      <c r="BI10" s="10">
        <v>571</v>
      </c>
      <c r="BJ10" s="10">
        <v>24920</v>
      </c>
      <c r="BK10" t="s">
        <v>73</v>
      </c>
      <c r="BL10" t="s">
        <v>73</v>
      </c>
      <c r="BM10" t="s">
        <v>73</v>
      </c>
      <c r="BN10" t="s">
        <v>73</v>
      </c>
      <c r="BO10" t="s">
        <v>73</v>
      </c>
      <c r="BP10" t="s">
        <v>73</v>
      </c>
      <c r="BQ10" t="s">
        <v>73</v>
      </c>
      <c r="BR10" t="s">
        <v>73</v>
      </c>
      <c r="BS10" t="s">
        <v>73</v>
      </c>
      <c r="BT10" t="s">
        <v>73</v>
      </c>
      <c r="BU10" s="18">
        <v>1</v>
      </c>
      <c r="BV10" s="18">
        <v>0</v>
      </c>
      <c r="BW10" s="18">
        <v>1</v>
      </c>
      <c r="BX10" s="30">
        <f t="shared" si="1"/>
        <v>0.12845849802371542</v>
      </c>
      <c r="BY10" s="30">
        <f t="shared" si="2"/>
        <v>0.12917216710458213</v>
      </c>
      <c r="BZ10" s="30">
        <f t="shared" si="3"/>
        <v>1.7538975364909846E-3</v>
      </c>
      <c r="CA10" s="30">
        <f t="shared" si="4"/>
        <v>1.7605633802816902E-3</v>
      </c>
      <c r="CB10"/>
      <c r="CC10"/>
      <c r="CD10"/>
      <c r="CE10" s="30">
        <f t="shared" si="5"/>
        <v>1.9603633594857048E-2</v>
      </c>
      <c r="CF10" s="30">
        <f t="shared" si="6"/>
        <v>1.960614541553575E-2</v>
      </c>
      <c r="CG10" s="30">
        <f t="shared" si="7"/>
        <v>4.0130015339135551E-5</v>
      </c>
      <c r="CH10" s="30">
        <f t="shared" si="8"/>
        <v>4.0133242364650637E-5</v>
      </c>
    </row>
    <row r="11" spans="1:86" s="105" customFormat="1" ht="16">
      <c r="A11" s="11" t="s">
        <v>68</v>
      </c>
      <c r="B11" s="11"/>
      <c r="C11" s="11">
        <v>1044</v>
      </c>
      <c r="D11" s="11">
        <v>107</v>
      </c>
      <c r="E11" s="10" t="s">
        <v>221</v>
      </c>
      <c r="F11" s="11">
        <v>2020</v>
      </c>
      <c r="G11" t="s">
        <v>222</v>
      </c>
      <c r="H11" s="22" t="s">
        <v>223</v>
      </c>
      <c r="I11" s="18">
        <v>1</v>
      </c>
      <c r="J11" t="s">
        <v>224</v>
      </c>
      <c r="K11" s="10" t="s">
        <v>73</v>
      </c>
      <c r="L11" s="10">
        <v>6</v>
      </c>
      <c r="M11" s="18" t="s">
        <v>237</v>
      </c>
      <c r="N11" t="s">
        <v>226</v>
      </c>
      <c r="O11" t="s">
        <v>96</v>
      </c>
      <c r="P11" s="18" t="s">
        <v>227</v>
      </c>
      <c r="Q11" t="s">
        <v>228</v>
      </c>
      <c r="R11" t="s">
        <v>229</v>
      </c>
      <c r="S11">
        <v>1</v>
      </c>
      <c r="T11" t="s">
        <v>230</v>
      </c>
      <c r="U11">
        <v>0</v>
      </c>
      <c r="V11" s="18" t="s">
        <v>231</v>
      </c>
      <c r="W11" s="18" t="s">
        <v>231</v>
      </c>
      <c r="X11" s="18" t="s">
        <v>73</v>
      </c>
      <c r="Y11">
        <v>0</v>
      </c>
      <c r="Z11">
        <v>0</v>
      </c>
      <c r="AA11">
        <v>1</v>
      </c>
      <c r="AB11">
        <v>0</v>
      </c>
      <c r="AC11">
        <v>0</v>
      </c>
      <c r="AD11">
        <v>0</v>
      </c>
      <c r="AE11">
        <v>0</v>
      </c>
      <c r="AF11">
        <v>0</v>
      </c>
      <c r="AG11" t="s">
        <v>232</v>
      </c>
      <c r="AH11">
        <v>0</v>
      </c>
      <c r="AI11">
        <v>0</v>
      </c>
      <c r="AJ11">
        <v>0</v>
      </c>
      <c r="AK11">
        <v>0</v>
      </c>
      <c r="AL11">
        <v>0</v>
      </c>
      <c r="AM11">
        <v>0</v>
      </c>
      <c r="AN11">
        <v>0</v>
      </c>
      <c r="AO11">
        <v>1</v>
      </c>
      <c r="AP11">
        <v>0</v>
      </c>
      <c r="AQ11" t="s">
        <v>73</v>
      </c>
      <c r="AR11" t="s">
        <v>233</v>
      </c>
      <c r="AS11" t="s">
        <v>234</v>
      </c>
      <c r="AT11" t="s">
        <v>235</v>
      </c>
      <c r="AU11" s="21">
        <v>7.8E-2</v>
      </c>
      <c r="AV11" s="7" t="s">
        <v>86</v>
      </c>
      <c r="AW11">
        <v>2.1999999999999999E-2</v>
      </c>
      <c r="AX11">
        <v>0.01</v>
      </c>
      <c r="AY11">
        <v>1</v>
      </c>
      <c r="AZ11">
        <f t="shared" si="0"/>
        <v>3.5454545454545459</v>
      </c>
      <c r="BA11" s="102" t="s">
        <v>73</v>
      </c>
      <c r="BB11" s="102"/>
      <c r="BC11" t="s">
        <v>73</v>
      </c>
      <c r="BD11">
        <v>378</v>
      </c>
      <c r="BE11" t="s">
        <v>73</v>
      </c>
      <c r="BF11" t="s">
        <v>73</v>
      </c>
      <c r="BG11" s="18">
        <v>193</v>
      </c>
      <c r="BH11" t="s">
        <v>73</v>
      </c>
      <c r="BI11" s="10">
        <v>571</v>
      </c>
      <c r="BJ11" s="10">
        <v>20600</v>
      </c>
      <c r="BK11" t="s">
        <v>73</v>
      </c>
      <c r="BL11" t="s">
        <v>73</v>
      </c>
      <c r="BM11" t="s">
        <v>73</v>
      </c>
      <c r="BN11" t="s">
        <v>73</v>
      </c>
      <c r="BO11" t="s">
        <v>73</v>
      </c>
      <c r="BP11" t="s">
        <v>73</v>
      </c>
      <c r="BQ11" t="s">
        <v>73</v>
      </c>
      <c r="BR11" t="s">
        <v>73</v>
      </c>
      <c r="BS11" t="s">
        <v>73</v>
      </c>
      <c r="BT11" t="s">
        <v>73</v>
      </c>
      <c r="BU11" s="18">
        <v>1</v>
      </c>
      <c r="BV11" s="18">
        <v>0</v>
      </c>
      <c r="BW11" s="18">
        <v>1</v>
      </c>
      <c r="BX11" s="30">
        <f t="shared" si="1"/>
        <v>0.14676596375341069</v>
      </c>
      <c r="BY11" s="30">
        <f t="shared" si="2"/>
        <v>0.14783358799274471</v>
      </c>
      <c r="BZ11" s="30">
        <f t="shared" si="3"/>
        <v>1.753548015859059E-3</v>
      </c>
      <c r="CA11" s="30">
        <f t="shared" si="4"/>
        <v>1.7605633802816902E-3</v>
      </c>
      <c r="CB11"/>
      <c r="CC11"/>
      <c r="CD11"/>
      <c r="CE11" s="30">
        <f t="shared" si="5"/>
        <v>2.4694819007967089E-2</v>
      </c>
      <c r="CF11" s="30">
        <f t="shared" si="6"/>
        <v>2.4699840759681221E-2</v>
      </c>
      <c r="CG11" s="30">
        <f t="shared" si="7"/>
        <v>4.8546027855710976E-5</v>
      </c>
      <c r="CH11" s="30">
        <f t="shared" si="8"/>
        <v>4.8550759819391176E-5</v>
      </c>
    </row>
    <row r="12" spans="1:86" ht="16">
      <c r="A12" s="11" t="s">
        <v>68</v>
      </c>
      <c r="B12" s="11"/>
      <c r="C12" s="11">
        <v>1045</v>
      </c>
      <c r="D12" s="11">
        <v>107</v>
      </c>
      <c r="E12" s="10" t="s">
        <v>221</v>
      </c>
      <c r="F12" s="11">
        <v>2020</v>
      </c>
      <c r="G12" t="s">
        <v>222</v>
      </c>
      <c r="H12" s="22" t="s">
        <v>223</v>
      </c>
      <c r="I12" s="18">
        <v>1</v>
      </c>
      <c r="J12" t="s">
        <v>224</v>
      </c>
      <c r="K12" s="10" t="s">
        <v>73</v>
      </c>
      <c r="L12" s="10">
        <v>7</v>
      </c>
      <c r="M12" s="18" t="s">
        <v>237</v>
      </c>
      <c r="N12" t="s">
        <v>226</v>
      </c>
      <c r="O12" t="s">
        <v>96</v>
      </c>
      <c r="P12" s="18" t="s">
        <v>227</v>
      </c>
      <c r="Q12" t="s">
        <v>228</v>
      </c>
      <c r="R12" t="s">
        <v>229</v>
      </c>
      <c r="S12">
        <v>1</v>
      </c>
      <c r="T12" t="s">
        <v>230</v>
      </c>
      <c r="U12">
        <v>0</v>
      </c>
      <c r="V12" s="18" t="s">
        <v>231</v>
      </c>
      <c r="W12" s="18" t="s">
        <v>231</v>
      </c>
      <c r="X12" s="18" t="s">
        <v>73</v>
      </c>
      <c r="Y12">
        <v>0</v>
      </c>
      <c r="Z12">
        <v>0</v>
      </c>
      <c r="AA12">
        <v>1</v>
      </c>
      <c r="AB12">
        <v>0</v>
      </c>
      <c r="AC12">
        <v>0</v>
      </c>
      <c r="AD12">
        <v>0</v>
      </c>
      <c r="AE12">
        <v>0</v>
      </c>
      <c r="AF12">
        <v>0</v>
      </c>
      <c r="AG12" t="s">
        <v>232</v>
      </c>
      <c r="AH12">
        <v>0</v>
      </c>
      <c r="AI12">
        <v>0</v>
      </c>
      <c r="AJ12">
        <v>0</v>
      </c>
      <c r="AK12">
        <v>0</v>
      </c>
      <c r="AL12">
        <v>0</v>
      </c>
      <c r="AM12">
        <v>0</v>
      </c>
      <c r="AN12">
        <v>0</v>
      </c>
      <c r="AO12">
        <v>1</v>
      </c>
      <c r="AP12">
        <v>0</v>
      </c>
      <c r="AQ12" t="s">
        <v>73</v>
      </c>
      <c r="AR12" t="s">
        <v>233</v>
      </c>
      <c r="AS12" t="s">
        <v>234</v>
      </c>
      <c r="AT12" t="s">
        <v>235</v>
      </c>
      <c r="AU12" s="21">
        <v>7.8E-2</v>
      </c>
      <c r="AV12" s="7" t="s">
        <v>86</v>
      </c>
      <c r="AW12">
        <v>2.1999999999999999E-2</v>
      </c>
      <c r="AX12">
        <v>0.01</v>
      </c>
      <c r="AY12">
        <v>1</v>
      </c>
      <c r="AZ12">
        <f t="shared" si="0"/>
        <v>3.5454545454545459</v>
      </c>
      <c r="BA12" s="102" t="s">
        <v>73</v>
      </c>
      <c r="BB12" s="102"/>
      <c r="BC12" t="s">
        <v>73</v>
      </c>
      <c r="BD12">
        <v>378</v>
      </c>
      <c r="BE12" t="s">
        <v>73</v>
      </c>
      <c r="BF12" t="s">
        <v>73</v>
      </c>
      <c r="BG12" s="18">
        <v>193</v>
      </c>
      <c r="BH12" t="s">
        <v>73</v>
      </c>
      <c r="BI12" s="10">
        <v>571</v>
      </c>
      <c r="BJ12" s="10">
        <v>20600</v>
      </c>
      <c r="BK12" t="s">
        <v>73</v>
      </c>
      <c r="BL12" t="s">
        <v>73</v>
      </c>
      <c r="BM12" t="s">
        <v>73</v>
      </c>
      <c r="BN12" t="s">
        <v>73</v>
      </c>
      <c r="BO12" t="s">
        <v>73</v>
      </c>
      <c r="BP12" t="s">
        <v>73</v>
      </c>
      <c r="BQ12" t="s">
        <v>73</v>
      </c>
      <c r="BR12" t="s">
        <v>73</v>
      </c>
      <c r="BS12" t="s">
        <v>73</v>
      </c>
      <c r="BT12" t="s">
        <v>73</v>
      </c>
      <c r="BU12" s="18">
        <v>1</v>
      </c>
      <c r="BV12" s="18">
        <v>0</v>
      </c>
      <c r="BW12" s="18">
        <v>1</v>
      </c>
      <c r="BX12" s="30">
        <f t="shared" si="1"/>
        <v>0.14676596375341069</v>
      </c>
      <c r="BY12" s="30">
        <f t="shared" si="2"/>
        <v>0.14783358799274471</v>
      </c>
      <c r="BZ12" s="30">
        <f t="shared" si="3"/>
        <v>1.753548015859059E-3</v>
      </c>
      <c r="CA12" s="30">
        <f t="shared" si="4"/>
        <v>1.7605633802816902E-3</v>
      </c>
      <c r="CE12" s="30">
        <f t="shared" si="5"/>
        <v>2.4694819007967089E-2</v>
      </c>
      <c r="CF12" s="30">
        <f t="shared" si="6"/>
        <v>2.4699840759681221E-2</v>
      </c>
      <c r="CG12" s="30">
        <f t="shared" si="7"/>
        <v>4.8546027855710976E-5</v>
      </c>
      <c r="CH12" s="30">
        <f t="shared" si="8"/>
        <v>4.8550759819391176E-5</v>
      </c>
    </row>
    <row r="13" spans="1:86" s="107" customFormat="1" ht="16">
      <c r="A13" s="11" t="s">
        <v>68</v>
      </c>
      <c r="B13" s="11"/>
      <c r="C13" s="11">
        <v>1046</v>
      </c>
      <c r="D13" s="11">
        <v>107</v>
      </c>
      <c r="E13" s="10" t="s">
        <v>221</v>
      </c>
      <c r="F13" s="11">
        <v>2020</v>
      </c>
      <c r="G13" t="s">
        <v>222</v>
      </c>
      <c r="H13" s="22" t="s">
        <v>223</v>
      </c>
      <c r="I13" s="18">
        <v>1</v>
      </c>
      <c r="J13" t="s">
        <v>224</v>
      </c>
      <c r="K13" s="10" t="s">
        <v>73</v>
      </c>
      <c r="L13" s="10">
        <v>7</v>
      </c>
      <c r="M13" s="18" t="s">
        <v>237</v>
      </c>
      <c r="N13" t="s">
        <v>226</v>
      </c>
      <c r="O13" t="s">
        <v>96</v>
      </c>
      <c r="P13" s="18" t="s">
        <v>227</v>
      </c>
      <c r="Q13" t="s">
        <v>228</v>
      </c>
      <c r="R13" t="s">
        <v>229</v>
      </c>
      <c r="S13">
        <v>1</v>
      </c>
      <c r="T13" t="s">
        <v>230</v>
      </c>
      <c r="U13">
        <v>0</v>
      </c>
      <c r="V13" s="18" t="s">
        <v>231</v>
      </c>
      <c r="W13" s="18" t="s">
        <v>231</v>
      </c>
      <c r="X13" s="18" t="s">
        <v>73</v>
      </c>
      <c r="Y13">
        <v>0</v>
      </c>
      <c r="Z13">
        <v>0</v>
      </c>
      <c r="AA13">
        <v>1</v>
      </c>
      <c r="AB13">
        <v>0</v>
      </c>
      <c r="AC13">
        <v>0</v>
      </c>
      <c r="AD13">
        <v>0</v>
      </c>
      <c r="AE13">
        <v>0</v>
      </c>
      <c r="AF13">
        <v>0</v>
      </c>
      <c r="AG13" t="s">
        <v>232</v>
      </c>
      <c r="AH13">
        <v>0</v>
      </c>
      <c r="AI13">
        <v>0</v>
      </c>
      <c r="AJ13">
        <v>0</v>
      </c>
      <c r="AK13">
        <v>0</v>
      </c>
      <c r="AL13">
        <v>0</v>
      </c>
      <c r="AM13">
        <v>0</v>
      </c>
      <c r="AN13">
        <v>0</v>
      </c>
      <c r="AO13">
        <v>1</v>
      </c>
      <c r="AP13">
        <v>0</v>
      </c>
      <c r="AQ13" t="s">
        <v>73</v>
      </c>
      <c r="AR13" t="s">
        <v>233</v>
      </c>
      <c r="AS13" t="s">
        <v>234</v>
      </c>
      <c r="AT13" t="s">
        <v>235</v>
      </c>
      <c r="AU13" s="21">
        <v>6.9000000000000006E-2</v>
      </c>
      <c r="AV13" s="7" t="s">
        <v>86</v>
      </c>
      <c r="AW13">
        <v>2.5999999999999999E-2</v>
      </c>
      <c r="AX13">
        <v>0.01</v>
      </c>
      <c r="AY13">
        <v>1</v>
      </c>
      <c r="AZ13">
        <f t="shared" si="0"/>
        <v>2.6538461538461542</v>
      </c>
      <c r="BA13" s="102" t="s">
        <v>73</v>
      </c>
      <c r="BB13" s="102"/>
      <c r="BC13" t="s">
        <v>73</v>
      </c>
      <c r="BD13">
        <v>378</v>
      </c>
      <c r="BE13" t="s">
        <v>73</v>
      </c>
      <c r="BF13" t="s">
        <v>73</v>
      </c>
      <c r="BG13" s="18">
        <v>193</v>
      </c>
      <c r="BH13" t="s">
        <v>73</v>
      </c>
      <c r="BI13" s="10">
        <v>571</v>
      </c>
      <c r="BJ13" s="10">
        <v>20600</v>
      </c>
      <c r="BK13" t="s">
        <v>73</v>
      </c>
      <c r="BL13" t="s">
        <v>73</v>
      </c>
      <c r="BM13" t="s">
        <v>73</v>
      </c>
      <c r="BN13" t="s">
        <v>73</v>
      </c>
      <c r="BO13" t="s">
        <v>73</v>
      </c>
      <c r="BP13" t="s">
        <v>73</v>
      </c>
      <c r="BQ13" t="s">
        <v>73</v>
      </c>
      <c r="BR13" t="s">
        <v>73</v>
      </c>
      <c r="BS13" t="s">
        <v>73</v>
      </c>
      <c r="BT13" t="s">
        <v>73</v>
      </c>
      <c r="BU13" s="18">
        <v>1</v>
      </c>
      <c r="BV13" s="18">
        <v>0</v>
      </c>
      <c r="BW13" s="18">
        <v>1</v>
      </c>
      <c r="BX13" s="30">
        <f t="shared" si="1"/>
        <v>0.11038135154213211</v>
      </c>
      <c r="BY13" s="30">
        <f t="shared" si="2"/>
        <v>0.11083295461476669</v>
      </c>
      <c r="BZ13" s="30">
        <f t="shared" si="3"/>
        <v>1.7541212363579208E-3</v>
      </c>
      <c r="CA13" s="30">
        <f t="shared" si="4"/>
        <v>1.7605633802816902E-3</v>
      </c>
      <c r="CB13"/>
      <c r="CC13"/>
      <c r="CD13"/>
      <c r="CE13" s="30">
        <f t="shared" si="5"/>
        <v>1.8487062317075937E-2</v>
      </c>
      <c r="CF13" s="30">
        <f t="shared" si="6"/>
        <v>1.8489168865908314E-2</v>
      </c>
      <c r="CG13" s="30">
        <f t="shared" si="7"/>
        <v>4.8546040251420529E-5</v>
      </c>
      <c r="CH13" s="30">
        <f t="shared" si="8"/>
        <v>4.8550759819391176E-5</v>
      </c>
    </row>
    <row r="14" spans="1:86" ht="16">
      <c r="A14" t="s">
        <v>68</v>
      </c>
      <c r="C14">
        <v>1142</v>
      </c>
      <c r="D14">
        <v>130</v>
      </c>
      <c r="E14" t="s">
        <v>238</v>
      </c>
      <c r="F14">
        <v>2018</v>
      </c>
      <c r="G14" t="s">
        <v>239</v>
      </c>
      <c r="H14" t="s">
        <v>240</v>
      </c>
      <c r="I14">
        <v>1</v>
      </c>
      <c r="J14">
        <v>2009</v>
      </c>
      <c r="K14" t="s">
        <v>73</v>
      </c>
      <c r="L14">
        <v>347</v>
      </c>
      <c r="M14" s="18" t="s">
        <v>120</v>
      </c>
      <c r="N14" t="s">
        <v>226</v>
      </c>
      <c r="O14" t="s">
        <v>81</v>
      </c>
      <c r="P14" t="s">
        <v>241</v>
      </c>
      <c r="Q14" t="s">
        <v>242</v>
      </c>
      <c r="R14" t="s">
        <v>229</v>
      </c>
      <c r="S14">
        <v>0</v>
      </c>
      <c r="T14" t="s">
        <v>230</v>
      </c>
      <c r="U14">
        <v>0</v>
      </c>
      <c r="V14" t="s">
        <v>231</v>
      </c>
      <c r="W14" t="s">
        <v>231</v>
      </c>
      <c r="X14" t="s">
        <v>73</v>
      </c>
      <c r="Y14">
        <v>0</v>
      </c>
      <c r="Z14">
        <v>0</v>
      </c>
      <c r="AA14">
        <v>0</v>
      </c>
      <c r="AB14">
        <v>0</v>
      </c>
      <c r="AC14">
        <v>0</v>
      </c>
      <c r="AD14">
        <v>0</v>
      </c>
      <c r="AE14">
        <v>0</v>
      </c>
      <c r="AF14">
        <v>1</v>
      </c>
      <c r="AG14" t="s">
        <v>243</v>
      </c>
      <c r="AH14">
        <v>0</v>
      </c>
      <c r="AI14">
        <v>0</v>
      </c>
      <c r="AJ14">
        <v>1</v>
      </c>
      <c r="AK14">
        <v>0</v>
      </c>
      <c r="AL14">
        <v>0</v>
      </c>
      <c r="AM14">
        <v>0</v>
      </c>
      <c r="AN14">
        <v>0</v>
      </c>
      <c r="AO14">
        <v>0</v>
      </c>
      <c r="AP14">
        <v>0</v>
      </c>
      <c r="AQ14" t="s">
        <v>244</v>
      </c>
      <c r="AR14" t="s">
        <v>233</v>
      </c>
      <c r="AS14" t="s">
        <v>245</v>
      </c>
      <c r="AT14" t="s">
        <v>73</v>
      </c>
      <c r="AU14" s="53">
        <v>405.995</v>
      </c>
      <c r="AV14" s="7" t="s">
        <v>86</v>
      </c>
      <c r="AW14">
        <v>222.90799999999999</v>
      </c>
      <c r="AX14">
        <v>0.05</v>
      </c>
      <c r="AY14">
        <v>1</v>
      </c>
      <c r="AZ14">
        <f t="shared" si="0"/>
        <v>1.8213567929369965</v>
      </c>
      <c r="BA14" s="123">
        <f>AU14/8260.69</f>
        <v>4.9147831476547353E-2</v>
      </c>
      <c r="BB14" s="41"/>
      <c r="BC14" t="s">
        <v>73</v>
      </c>
      <c r="BD14" t="s">
        <v>73</v>
      </c>
      <c r="BE14" t="s">
        <v>73</v>
      </c>
      <c r="BF14" t="s">
        <v>73</v>
      </c>
      <c r="BG14" t="s">
        <v>73</v>
      </c>
      <c r="BH14" t="s">
        <v>73</v>
      </c>
      <c r="BI14">
        <v>1761</v>
      </c>
      <c r="BJ14">
        <v>1761</v>
      </c>
      <c r="BK14" t="s">
        <v>73</v>
      </c>
      <c r="BL14" t="s">
        <v>73</v>
      </c>
      <c r="BM14" t="s">
        <v>73</v>
      </c>
      <c r="BN14" t="s">
        <v>73</v>
      </c>
      <c r="BO14" t="s">
        <v>73</v>
      </c>
      <c r="BP14" t="s">
        <v>73</v>
      </c>
      <c r="BQ14" t="s">
        <v>73</v>
      </c>
      <c r="BR14" t="s">
        <v>73</v>
      </c>
      <c r="BS14" t="s">
        <v>73</v>
      </c>
      <c r="BT14" t="s">
        <v>73</v>
      </c>
      <c r="BU14">
        <v>1</v>
      </c>
      <c r="BV14">
        <v>0</v>
      </c>
      <c r="BW14">
        <v>1</v>
      </c>
      <c r="BX14" s="30">
        <f t="shared" si="1"/>
        <v>4.336173775143707E-2</v>
      </c>
      <c r="BY14" s="30">
        <f t="shared" si="2"/>
        <v>4.3388945280999909E-2</v>
      </c>
      <c r="BZ14" s="30">
        <f t="shared" si="3"/>
        <v>5.6817980444038869E-4</v>
      </c>
      <c r="CA14" s="30">
        <f t="shared" si="4"/>
        <v>5.6882821387940839E-4</v>
      </c>
      <c r="CE14" s="30">
        <f t="shared" si="5"/>
        <v>4.336173775143707E-2</v>
      </c>
      <c r="CF14" s="30">
        <f t="shared" si="6"/>
        <v>4.3388945280999909E-2</v>
      </c>
      <c r="CG14" s="30">
        <f t="shared" si="7"/>
        <v>5.6817980444038869E-4</v>
      </c>
      <c r="CH14" s="30">
        <f t="shared" si="8"/>
        <v>5.6882821387940839E-4</v>
      </c>
    </row>
    <row r="15" spans="1:86" ht="16">
      <c r="A15" t="s">
        <v>68</v>
      </c>
      <c r="C15">
        <v>1143</v>
      </c>
      <c r="D15">
        <v>130</v>
      </c>
      <c r="E15" t="s">
        <v>238</v>
      </c>
      <c r="F15">
        <v>2018</v>
      </c>
      <c r="G15" t="s">
        <v>239</v>
      </c>
      <c r="H15" t="s">
        <v>240</v>
      </c>
      <c r="I15">
        <v>1</v>
      </c>
      <c r="J15">
        <v>2009</v>
      </c>
      <c r="K15" t="s">
        <v>73</v>
      </c>
      <c r="L15">
        <v>347</v>
      </c>
      <c r="M15" s="18" t="s">
        <v>246</v>
      </c>
      <c r="N15" t="s">
        <v>226</v>
      </c>
      <c r="O15" t="s">
        <v>81</v>
      </c>
      <c r="P15" t="s">
        <v>241</v>
      </c>
      <c r="Q15" t="s">
        <v>242</v>
      </c>
      <c r="R15" t="s">
        <v>229</v>
      </c>
      <c r="S15">
        <v>0</v>
      </c>
      <c r="T15" t="s">
        <v>230</v>
      </c>
      <c r="U15">
        <v>0</v>
      </c>
      <c r="V15" t="s">
        <v>231</v>
      </c>
      <c r="W15" t="s">
        <v>231</v>
      </c>
      <c r="X15" t="s">
        <v>73</v>
      </c>
      <c r="Y15">
        <v>0</v>
      </c>
      <c r="Z15">
        <v>0</v>
      </c>
      <c r="AA15">
        <v>0</v>
      </c>
      <c r="AB15">
        <v>0</v>
      </c>
      <c r="AC15">
        <v>0</v>
      </c>
      <c r="AD15">
        <v>0</v>
      </c>
      <c r="AE15">
        <v>0</v>
      </c>
      <c r="AF15">
        <v>1</v>
      </c>
      <c r="AG15" t="s">
        <v>243</v>
      </c>
      <c r="AH15">
        <v>0</v>
      </c>
      <c r="AI15">
        <v>0</v>
      </c>
      <c r="AJ15">
        <v>1</v>
      </c>
      <c r="AK15">
        <v>0</v>
      </c>
      <c r="AL15">
        <v>0</v>
      </c>
      <c r="AM15">
        <v>0</v>
      </c>
      <c r="AN15">
        <v>0</v>
      </c>
      <c r="AO15">
        <v>0</v>
      </c>
      <c r="AP15">
        <v>0</v>
      </c>
      <c r="AQ15" t="s">
        <v>244</v>
      </c>
      <c r="AR15" t="s">
        <v>233</v>
      </c>
      <c r="AS15" t="s">
        <v>245</v>
      </c>
      <c r="AT15" t="s">
        <v>73</v>
      </c>
      <c r="AU15" s="53">
        <v>3586.4569999999999</v>
      </c>
      <c r="AV15" s="7" t="s">
        <v>86</v>
      </c>
      <c r="AW15">
        <v>2082.6759999999999</v>
      </c>
      <c r="AX15">
        <v>0.05</v>
      </c>
      <c r="AY15">
        <v>1</v>
      </c>
      <c r="AZ15">
        <f t="shared" si="0"/>
        <v>1.7220426989123607</v>
      </c>
      <c r="BA15" s="123">
        <f t="shared" ref="BA15:BA17" si="9">AU15/8260.69</f>
        <v>0.43415949515113139</v>
      </c>
      <c r="BB15" s="41"/>
      <c r="BC15" t="s">
        <v>73</v>
      </c>
      <c r="BD15" t="s">
        <v>73</v>
      </c>
      <c r="BE15" t="s">
        <v>73</v>
      </c>
      <c r="BF15" t="s">
        <v>73</v>
      </c>
      <c r="BG15" t="s">
        <v>73</v>
      </c>
      <c r="BH15" t="s">
        <v>73</v>
      </c>
      <c r="BI15">
        <v>1761</v>
      </c>
      <c r="BJ15">
        <v>1761</v>
      </c>
      <c r="BK15" t="s">
        <v>73</v>
      </c>
      <c r="BL15" t="s">
        <v>73</v>
      </c>
      <c r="BM15" t="s">
        <v>73</v>
      </c>
      <c r="BN15" t="s">
        <v>73</v>
      </c>
      <c r="BO15" t="s">
        <v>73</v>
      </c>
      <c r="BP15" t="s">
        <v>73</v>
      </c>
      <c r="BQ15" t="s">
        <v>73</v>
      </c>
      <c r="BR15" t="s">
        <v>73</v>
      </c>
      <c r="BS15" t="s">
        <v>73</v>
      </c>
      <c r="BT15" t="s">
        <v>73</v>
      </c>
      <c r="BU15">
        <v>1</v>
      </c>
      <c r="BV15">
        <v>0</v>
      </c>
      <c r="BW15">
        <v>1</v>
      </c>
      <c r="BX15" s="30">
        <f t="shared" si="1"/>
        <v>4.1001418393220745E-2</v>
      </c>
      <c r="BY15" s="30">
        <f t="shared" si="2"/>
        <v>4.1024417647402674E-2</v>
      </c>
      <c r="BZ15" s="30">
        <f t="shared" si="3"/>
        <v>5.6818020880763031E-4</v>
      </c>
      <c r="CA15" s="30">
        <f t="shared" si="4"/>
        <v>5.6882821387940839E-4</v>
      </c>
      <c r="CE15" s="30">
        <f t="shared" si="5"/>
        <v>4.1001418393220745E-2</v>
      </c>
      <c r="CF15" s="30">
        <f t="shared" si="6"/>
        <v>4.1024417647402674E-2</v>
      </c>
      <c r="CG15" s="30">
        <f t="shared" si="7"/>
        <v>5.6818020880763031E-4</v>
      </c>
      <c r="CH15" s="30">
        <f t="shared" si="8"/>
        <v>5.6882821387940839E-4</v>
      </c>
    </row>
    <row r="16" spans="1:86" ht="16">
      <c r="A16" t="s">
        <v>68</v>
      </c>
      <c r="C16">
        <v>1144</v>
      </c>
      <c r="D16">
        <v>130</v>
      </c>
      <c r="E16" t="s">
        <v>238</v>
      </c>
      <c r="F16">
        <v>2018</v>
      </c>
      <c r="G16" t="s">
        <v>239</v>
      </c>
      <c r="H16" t="s">
        <v>240</v>
      </c>
      <c r="I16">
        <v>1</v>
      </c>
      <c r="J16">
        <v>2009</v>
      </c>
      <c r="K16" t="s">
        <v>73</v>
      </c>
      <c r="L16">
        <v>348</v>
      </c>
      <c r="M16" s="18" t="s">
        <v>120</v>
      </c>
      <c r="N16" t="s">
        <v>226</v>
      </c>
      <c r="O16" t="s">
        <v>81</v>
      </c>
      <c r="P16" t="s">
        <v>241</v>
      </c>
      <c r="Q16" t="s">
        <v>242</v>
      </c>
      <c r="R16" t="s">
        <v>229</v>
      </c>
      <c r="S16">
        <v>0</v>
      </c>
      <c r="T16" t="s">
        <v>230</v>
      </c>
      <c r="U16">
        <v>0</v>
      </c>
      <c r="V16" t="s">
        <v>231</v>
      </c>
      <c r="W16" t="s">
        <v>231</v>
      </c>
      <c r="X16" t="s">
        <v>73</v>
      </c>
      <c r="Y16">
        <v>0</v>
      </c>
      <c r="Z16">
        <v>0</v>
      </c>
      <c r="AA16">
        <v>0</v>
      </c>
      <c r="AB16">
        <v>0</v>
      </c>
      <c r="AC16">
        <v>0</v>
      </c>
      <c r="AD16">
        <v>0</v>
      </c>
      <c r="AE16">
        <v>0</v>
      </c>
      <c r="AF16">
        <v>1</v>
      </c>
      <c r="AG16" t="s">
        <v>243</v>
      </c>
      <c r="AH16">
        <v>0</v>
      </c>
      <c r="AI16">
        <v>0</v>
      </c>
      <c r="AJ16">
        <v>0</v>
      </c>
      <c r="AK16">
        <v>0</v>
      </c>
      <c r="AL16">
        <v>0</v>
      </c>
      <c r="AM16">
        <v>0</v>
      </c>
      <c r="AN16">
        <v>0</v>
      </c>
      <c r="AO16">
        <v>1</v>
      </c>
      <c r="AP16">
        <v>0</v>
      </c>
      <c r="AQ16" t="s">
        <v>247</v>
      </c>
      <c r="AR16" t="s">
        <v>233</v>
      </c>
      <c r="AS16" t="s">
        <v>245</v>
      </c>
      <c r="AT16" t="s">
        <v>73</v>
      </c>
      <c r="AU16" s="53">
        <v>212.39500000000001</v>
      </c>
      <c r="AV16" s="7" t="s">
        <v>80</v>
      </c>
      <c r="AW16">
        <v>92.537000000000006</v>
      </c>
      <c r="AX16">
        <v>0.05</v>
      </c>
      <c r="AY16">
        <v>1</v>
      </c>
      <c r="AZ16">
        <f t="shared" si="0"/>
        <v>2.2952440645363477</v>
      </c>
      <c r="BA16" s="123">
        <f t="shared" si="9"/>
        <v>2.5711532571734322E-2</v>
      </c>
      <c r="BB16" s="41"/>
      <c r="BC16" t="s">
        <v>73</v>
      </c>
      <c r="BD16" t="s">
        <v>73</v>
      </c>
      <c r="BE16" t="s">
        <v>73</v>
      </c>
      <c r="BF16" t="s">
        <v>73</v>
      </c>
      <c r="BG16" t="s">
        <v>73</v>
      </c>
      <c r="BH16" t="s">
        <v>73</v>
      </c>
      <c r="BI16">
        <v>907</v>
      </c>
      <c r="BJ16">
        <v>907</v>
      </c>
      <c r="BK16" t="s">
        <v>73</v>
      </c>
      <c r="BL16" t="s">
        <v>73</v>
      </c>
      <c r="BM16" t="s">
        <v>73</v>
      </c>
      <c r="BN16" t="s">
        <v>73</v>
      </c>
      <c r="BO16" t="s">
        <v>73</v>
      </c>
      <c r="BP16" t="s">
        <v>73</v>
      </c>
      <c r="BQ16" t="s">
        <v>73</v>
      </c>
      <c r="BR16" t="s">
        <v>73</v>
      </c>
      <c r="BS16" t="s">
        <v>73</v>
      </c>
      <c r="BT16" t="s">
        <v>73</v>
      </c>
      <c r="BU16">
        <v>1</v>
      </c>
      <c r="BV16">
        <v>0</v>
      </c>
      <c r="BW16">
        <v>1</v>
      </c>
      <c r="BX16" s="30">
        <f t="shared" si="1"/>
        <v>7.5991955053229768E-2</v>
      </c>
      <c r="BY16" s="30">
        <f t="shared" si="2"/>
        <v>7.6138742860659789E-2</v>
      </c>
      <c r="BZ16" s="30">
        <f t="shared" si="3"/>
        <v>1.1037156661555521E-3</v>
      </c>
      <c r="CA16" s="30">
        <f t="shared" si="4"/>
        <v>1.1061946902654867E-3</v>
      </c>
      <c r="CE16" s="30">
        <f t="shared" si="5"/>
        <v>7.5991955053229768E-2</v>
      </c>
      <c r="CF16" s="30">
        <f t="shared" si="6"/>
        <v>7.6138742860659789E-2</v>
      </c>
      <c r="CG16" s="30">
        <f t="shared" si="7"/>
        <v>1.1037156661555521E-3</v>
      </c>
      <c r="CH16" s="30">
        <f t="shared" si="8"/>
        <v>1.1061946902654867E-3</v>
      </c>
    </row>
    <row r="17" spans="1:86" ht="16">
      <c r="A17" t="s">
        <v>68</v>
      </c>
      <c r="C17">
        <v>1145</v>
      </c>
      <c r="D17">
        <v>130</v>
      </c>
      <c r="E17" t="s">
        <v>238</v>
      </c>
      <c r="F17">
        <v>2018</v>
      </c>
      <c r="G17" t="s">
        <v>239</v>
      </c>
      <c r="H17" t="s">
        <v>240</v>
      </c>
      <c r="I17">
        <v>1</v>
      </c>
      <c r="J17">
        <v>2009</v>
      </c>
      <c r="K17" t="s">
        <v>73</v>
      </c>
      <c r="L17">
        <v>348</v>
      </c>
      <c r="M17" s="18" t="s">
        <v>246</v>
      </c>
      <c r="N17" t="s">
        <v>226</v>
      </c>
      <c r="O17" t="s">
        <v>81</v>
      </c>
      <c r="P17" t="s">
        <v>241</v>
      </c>
      <c r="Q17" t="s">
        <v>242</v>
      </c>
      <c r="R17" t="s">
        <v>229</v>
      </c>
      <c r="S17">
        <v>0</v>
      </c>
      <c r="T17" t="s">
        <v>230</v>
      </c>
      <c r="U17">
        <v>0</v>
      </c>
      <c r="V17" t="s">
        <v>231</v>
      </c>
      <c r="W17" t="s">
        <v>231</v>
      </c>
      <c r="X17" t="s">
        <v>73</v>
      </c>
      <c r="Y17">
        <v>0</v>
      </c>
      <c r="Z17">
        <v>0</v>
      </c>
      <c r="AA17">
        <v>0</v>
      </c>
      <c r="AB17">
        <v>0</v>
      </c>
      <c r="AC17">
        <v>0</v>
      </c>
      <c r="AD17">
        <v>0</v>
      </c>
      <c r="AE17">
        <v>0</v>
      </c>
      <c r="AF17">
        <v>1</v>
      </c>
      <c r="AG17" t="s">
        <v>243</v>
      </c>
      <c r="AH17">
        <v>0</v>
      </c>
      <c r="AI17">
        <v>0</v>
      </c>
      <c r="AJ17">
        <v>0</v>
      </c>
      <c r="AK17">
        <v>0</v>
      </c>
      <c r="AL17">
        <v>0</v>
      </c>
      <c r="AM17">
        <v>0</v>
      </c>
      <c r="AN17">
        <v>0</v>
      </c>
      <c r="AO17">
        <v>1</v>
      </c>
      <c r="AP17">
        <v>0</v>
      </c>
      <c r="AQ17" t="s">
        <v>248</v>
      </c>
      <c r="AR17" t="s">
        <v>233</v>
      </c>
      <c r="AS17" t="s">
        <v>245</v>
      </c>
      <c r="AT17" t="s">
        <v>73</v>
      </c>
      <c r="AU17" s="53">
        <v>301.86700000000002</v>
      </c>
      <c r="AV17" s="7" t="s">
        <v>80</v>
      </c>
      <c r="AW17">
        <v>652.24300000000005</v>
      </c>
      <c r="AX17">
        <v>0.05</v>
      </c>
      <c r="AY17">
        <v>2</v>
      </c>
      <c r="AZ17">
        <f t="shared" si="0"/>
        <v>0.4628137059347513</v>
      </c>
      <c r="BA17" s="123">
        <f t="shared" si="9"/>
        <v>3.6542589057330564E-2</v>
      </c>
      <c r="BB17" s="41"/>
      <c r="BC17" t="s">
        <v>73</v>
      </c>
      <c r="BD17" t="s">
        <v>73</v>
      </c>
      <c r="BE17" t="s">
        <v>73</v>
      </c>
      <c r="BF17" t="s">
        <v>73</v>
      </c>
      <c r="BG17" t="s">
        <v>73</v>
      </c>
      <c r="BH17" t="s">
        <v>73</v>
      </c>
      <c r="BI17">
        <v>907</v>
      </c>
      <c r="BJ17">
        <v>907</v>
      </c>
      <c r="BK17" t="s">
        <v>73</v>
      </c>
      <c r="BL17" t="s">
        <v>73</v>
      </c>
      <c r="BM17" t="s">
        <v>73</v>
      </c>
      <c r="BN17" t="s">
        <v>73</v>
      </c>
      <c r="BO17" t="s">
        <v>73</v>
      </c>
      <c r="BP17" t="s">
        <v>73</v>
      </c>
      <c r="BQ17" t="s">
        <v>73</v>
      </c>
      <c r="BR17" t="s">
        <v>73</v>
      </c>
      <c r="BS17" t="s">
        <v>73</v>
      </c>
      <c r="BT17" t="s">
        <v>73</v>
      </c>
      <c r="BU17">
        <v>1</v>
      </c>
      <c r="BV17">
        <v>0</v>
      </c>
      <c r="BW17">
        <v>1</v>
      </c>
      <c r="BX17" s="30">
        <f t="shared" si="1"/>
        <v>1.5365662610743538E-2</v>
      </c>
      <c r="BY17" s="30">
        <f t="shared" si="2"/>
        <v>1.5366872078105973E-2</v>
      </c>
      <c r="BZ17" s="30">
        <f t="shared" si="3"/>
        <v>1.1037526978339323E-3</v>
      </c>
      <c r="CA17" s="30">
        <f t="shared" si="4"/>
        <v>1.1061946902654867E-3</v>
      </c>
      <c r="CE17" s="30">
        <f t="shared" si="5"/>
        <v>1.5365662610743538E-2</v>
      </c>
      <c r="CF17" s="30">
        <f t="shared" si="6"/>
        <v>1.5366872078105973E-2</v>
      </c>
      <c r="CG17" s="30">
        <f t="shared" si="7"/>
        <v>1.1037526978339323E-3</v>
      </c>
      <c r="CH17" s="30">
        <f t="shared" si="8"/>
        <v>1.1061946902654867E-3</v>
      </c>
    </row>
    <row r="18" spans="1:86" s="107" customFormat="1" ht="16">
      <c r="A18" s="11" t="s">
        <v>68</v>
      </c>
      <c r="B18" s="11"/>
      <c r="C18" s="100">
        <v>1159</v>
      </c>
      <c r="D18" s="101">
        <v>137</v>
      </c>
      <c r="E18" t="s">
        <v>617</v>
      </c>
      <c r="F18" s="100">
        <v>2015</v>
      </c>
      <c r="G18" t="s">
        <v>249</v>
      </c>
      <c r="H18" t="s">
        <v>250</v>
      </c>
      <c r="I18" s="101">
        <v>1</v>
      </c>
      <c r="J18" t="s">
        <v>251</v>
      </c>
      <c r="K18" s="100" t="s">
        <v>73</v>
      </c>
      <c r="L18" t="s">
        <v>252</v>
      </c>
      <c r="M18" s="18" t="s">
        <v>253</v>
      </c>
      <c r="N18" t="s">
        <v>254</v>
      </c>
      <c r="O18" t="s">
        <v>81</v>
      </c>
      <c r="P18" t="s">
        <v>241</v>
      </c>
      <c r="Q18" t="s">
        <v>228</v>
      </c>
      <c r="R18" t="s">
        <v>229</v>
      </c>
      <c r="S18">
        <v>0</v>
      </c>
      <c r="T18" t="s">
        <v>189</v>
      </c>
      <c r="U18">
        <v>0</v>
      </c>
      <c r="V18" s="100" t="s">
        <v>231</v>
      </c>
      <c r="W18" s="100" t="s">
        <v>231</v>
      </c>
      <c r="X18" s="100" t="s">
        <v>73</v>
      </c>
      <c r="Y18" s="101">
        <v>1</v>
      </c>
      <c r="Z18" s="101">
        <v>0</v>
      </c>
      <c r="AA18" s="101">
        <v>0</v>
      </c>
      <c r="AB18" s="101">
        <v>0</v>
      </c>
      <c r="AC18" s="101">
        <v>0</v>
      </c>
      <c r="AD18" s="101">
        <v>0</v>
      </c>
      <c r="AE18" s="101">
        <v>0</v>
      </c>
      <c r="AF18" s="101">
        <v>0</v>
      </c>
      <c r="AG18" s="101" t="s">
        <v>255</v>
      </c>
      <c r="AH18" s="101">
        <v>0</v>
      </c>
      <c r="AI18" s="101">
        <v>0</v>
      </c>
      <c r="AJ18" s="101">
        <v>0</v>
      </c>
      <c r="AK18" s="101">
        <v>0</v>
      </c>
      <c r="AL18" s="101">
        <v>1</v>
      </c>
      <c r="AM18" s="101">
        <v>0</v>
      </c>
      <c r="AN18" s="101">
        <v>0</v>
      </c>
      <c r="AO18" s="101">
        <v>0</v>
      </c>
      <c r="AP18" s="101">
        <v>0</v>
      </c>
      <c r="AQ18" t="s">
        <v>73</v>
      </c>
      <c r="AR18" t="s">
        <v>233</v>
      </c>
      <c r="AS18" t="s">
        <v>256</v>
      </c>
      <c r="AT18" t="s">
        <v>235</v>
      </c>
      <c r="AU18" s="21">
        <v>2.7799999999999998E-2</v>
      </c>
      <c r="AV18" s="7" t="s">
        <v>86</v>
      </c>
      <c r="AW18">
        <f t="shared" ref="AW18:AW23" si="10">AU18/AZ18</f>
        <v>1.3627450980392156E-2</v>
      </c>
      <c r="AX18">
        <v>2.0687000000000001E-2</v>
      </c>
      <c r="AY18">
        <v>3</v>
      </c>
      <c r="AZ18">
        <v>2.04</v>
      </c>
      <c r="BA18" s="102" t="s">
        <v>73</v>
      </c>
      <c r="BB18" s="102"/>
      <c r="BC18" s="103" t="s">
        <v>73</v>
      </c>
      <c r="BD18" s="103">
        <v>10676</v>
      </c>
      <c r="BE18" s="103" t="s">
        <v>73</v>
      </c>
      <c r="BF18" s="103" t="s">
        <v>73</v>
      </c>
      <c r="BG18" s="103">
        <v>378</v>
      </c>
      <c r="BH18" s="103" t="s">
        <v>73</v>
      </c>
      <c r="BI18" s="103">
        <f>BD18+BG18</f>
        <v>11054</v>
      </c>
      <c r="BJ18" s="104">
        <v>108387</v>
      </c>
      <c r="BK18" s="103" t="s">
        <v>73</v>
      </c>
      <c r="BL18" s="103" t="s">
        <v>73</v>
      </c>
      <c r="BM18" s="101" t="s">
        <v>257</v>
      </c>
      <c r="BN18" s="101">
        <v>0.1</v>
      </c>
      <c r="BO18" t="s">
        <v>258</v>
      </c>
      <c r="BP18" s="103" t="s">
        <v>73</v>
      </c>
      <c r="BQ18" s="103" t="s">
        <v>73</v>
      </c>
      <c r="BR18" s="103" t="s">
        <v>73</v>
      </c>
      <c r="BS18" s="103" t="s">
        <v>73</v>
      </c>
      <c r="BT18" s="103" t="s">
        <v>73</v>
      </c>
      <c r="BU18" s="101">
        <v>0</v>
      </c>
      <c r="BV18" s="101">
        <v>0</v>
      </c>
      <c r="BW18" s="101">
        <v>1</v>
      </c>
      <c r="BX18" s="30">
        <f t="shared" si="1"/>
        <v>1.9399418017388252E-2</v>
      </c>
      <c r="BY18" s="30">
        <f t="shared" si="2"/>
        <v>1.9401852142681517E-2</v>
      </c>
      <c r="BZ18" s="30">
        <f t="shared" si="3"/>
        <v>9.0473161883565525E-5</v>
      </c>
      <c r="CA18" s="30">
        <f t="shared" si="4"/>
        <v>9.0489548457153195E-5</v>
      </c>
      <c r="CB18"/>
      <c r="CC18"/>
      <c r="CD18"/>
      <c r="CE18" s="30">
        <f t="shared" si="5"/>
        <v>6.1963113535979377E-3</v>
      </c>
      <c r="CF18" s="30">
        <f t="shared" si="6"/>
        <v>6.1963906563842173E-3</v>
      </c>
      <c r="CG18" s="30">
        <f t="shared" si="7"/>
        <v>9.2262838237946257E-6</v>
      </c>
      <c r="CH18" s="30">
        <f t="shared" si="8"/>
        <v>9.2264540891644526E-6</v>
      </c>
    </row>
    <row r="19" spans="1:86" s="107" customFormat="1" ht="17" customHeight="1">
      <c r="A19" s="11" t="s">
        <v>68</v>
      </c>
      <c r="B19" s="11"/>
      <c r="C19" s="100">
        <v>1160</v>
      </c>
      <c r="D19" s="101">
        <v>137</v>
      </c>
      <c r="E19" t="s">
        <v>617</v>
      </c>
      <c r="F19" s="100">
        <v>2015</v>
      </c>
      <c r="G19" t="s">
        <v>249</v>
      </c>
      <c r="H19" t="s">
        <v>250</v>
      </c>
      <c r="I19" s="101">
        <v>1</v>
      </c>
      <c r="J19" t="s">
        <v>251</v>
      </c>
      <c r="K19" s="100" t="s">
        <v>73</v>
      </c>
      <c r="L19" t="s">
        <v>252</v>
      </c>
      <c r="M19" s="18" t="s">
        <v>253</v>
      </c>
      <c r="N19" t="s">
        <v>254</v>
      </c>
      <c r="O19" t="s">
        <v>81</v>
      </c>
      <c r="P19" t="s">
        <v>241</v>
      </c>
      <c r="Q19" t="s">
        <v>228</v>
      </c>
      <c r="R19" t="s">
        <v>229</v>
      </c>
      <c r="S19">
        <v>0</v>
      </c>
      <c r="T19" t="s">
        <v>189</v>
      </c>
      <c r="U19">
        <v>0</v>
      </c>
      <c r="V19" s="100" t="s">
        <v>231</v>
      </c>
      <c r="W19" s="100" t="s">
        <v>231</v>
      </c>
      <c r="X19" s="100" t="s">
        <v>73</v>
      </c>
      <c r="Y19" s="101">
        <v>1</v>
      </c>
      <c r="Z19" s="101">
        <v>0</v>
      </c>
      <c r="AA19" s="101">
        <v>0</v>
      </c>
      <c r="AB19" s="101">
        <v>0</v>
      </c>
      <c r="AC19" s="101">
        <v>0</v>
      </c>
      <c r="AD19" s="101">
        <v>0</v>
      </c>
      <c r="AE19" s="101">
        <v>0</v>
      </c>
      <c r="AF19" s="101">
        <v>0</v>
      </c>
      <c r="AG19" s="101" t="s">
        <v>255</v>
      </c>
      <c r="AH19" s="101">
        <v>0</v>
      </c>
      <c r="AI19" s="101">
        <v>0</v>
      </c>
      <c r="AJ19" s="101">
        <v>0</v>
      </c>
      <c r="AK19" s="101">
        <v>0</v>
      </c>
      <c r="AL19" s="101">
        <v>1</v>
      </c>
      <c r="AM19" s="101">
        <v>0</v>
      </c>
      <c r="AN19" s="101">
        <v>0</v>
      </c>
      <c r="AO19" s="101">
        <v>0</v>
      </c>
      <c r="AP19" s="101">
        <v>0</v>
      </c>
      <c r="AQ19" t="s">
        <v>259</v>
      </c>
      <c r="AR19" t="s">
        <v>233</v>
      </c>
      <c r="AS19" t="s">
        <v>256</v>
      </c>
      <c r="AT19" t="s">
        <v>235</v>
      </c>
      <c r="AU19">
        <v>5.4399999999999997E-2</v>
      </c>
      <c r="AV19" s="7" t="s">
        <v>86</v>
      </c>
      <c r="AW19">
        <f t="shared" si="10"/>
        <v>1.4986225895316804E-2</v>
      </c>
      <c r="AX19">
        <v>1.4200000000000001E-4</v>
      </c>
      <c r="AY19">
        <v>3</v>
      </c>
      <c r="AZ19">
        <v>3.63</v>
      </c>
      <c r="BA19" s="102" t="s">
        <v>73</v>
      </c>
      <c r="BB19" s="102"/>
      <c r="BC19" s="103" t="s">
        <v>73</v>
      </c>
      <c r="BD19" s="103">
        <v>10676</v>
      </c>
      <c r="BE19" s="103" t="s">
        <v>73</v>
      </c>
      <c r="BF19" s="103" t="s">
        <v>73</v>
      </c>
      <c r="BG19" s="103">
        <v>378</v>
      </c>
      <c r="BH19" s="103" t="s">
        <v>73</v>
      </c>
      <c r="BI19" s="103">
        <f>BD19+BG19</f>
        <v>11054</v>
      </c>
      <c r="BJ19" s="104">
        <v>37511</v>
      </c>
      <c r="BK19" s="103" t="s">
        <v>73</v>
      </c>
      <c r="BL19" s="103" t="s">
        <v>73</v>
      </c>
      <c r="BM19" s="101" t="s">
        <v>257</v>
      </c>
      <c r="BN19" s="101">
        <v>0.1</v>
      </c>
      <c r="BO19" t="s">
        <v>258</v>
      </c>
      <c r="BP19" s="103" t="s">
        <v>73</v>
      </c>
      <c r="BQ19" s="103" t="s">
        <v>73</v>
      </c>
      <c r="BR19" s="103" t="s">
        <v>73</v>
      </c>
      <c r="BS19" s="103" t="s">
        <v>73</v>
      </c>
      <c r="BT19" s="103" t="s">
        <v>73</v>
      </c>
      <c r="BU19" s="101">
        <v>0</v>
      </c>
      <c r="BV19" s="101">
        <v>0</v>
      </c>
      <c r="BW19" s="101">
        <v>1</v>
      </c>
      <c r="BX19" s="30">
        <f t="shared" si="1"/>
        <v>3.4505490005142594E-2</v>
      </c>
      <c r="BY19" s="30">
        <f t="shared" si="2"/>
        <v>3.4519194206964816E-2</v>
      </c>
      <c r="BZ19" s="30">
        <f t="shared" si="3"/>
        <v>9.0473046245324396E-5</v>
      </c>
      <c r="CA19" s="30">
        <f t="shared" si="4"/>
        <v>9.0489548457153195E-5</v>
      </c>
      <c r="CB19"/>
      <c r="CC19"/>
      <c r="CD19"/>
      <c r="CE19" s="30">
        <f t="shared" si="5"/>
        <v>1.8739199625567457E-2</v>
      </c>
      <c r="CF19" s="30">
        <f t="shared" si="6"/>
        <v>1.8741393558640896E-2</v>
      </c>
      <c r="CG19" s="30">
        <f t="shared" si="7"/>
        <v>2.6659554162372169E-5</v>
      </c>
      <c r="CH19" s="30">
        <f t="shared" si="8"/>
        <v>2.6660978991148553E-5</v>
      </c>
    </row>
    <row r="20" spans="1:86" s="107" customFormat="1" ht="16">
      <c r="A20" s="11" t="s">
        <v>68</v>
      </c>
      <c r="B20" s="11"/>
      <c r="C20" s="100">
        <v>1161</v>
      </c>
      <c r="D20" s="101">
        <v>137</v>
      </c>
      <c r="E20" t="s">
        <v>617</v>
      </c>
      <c r="F20" s="100">
        <v>2015</v>
      </c>
      <c r="G20" t="s">
        <v>249</v>
      </c>
      <c r="H20" t="s">
        <v>250</v>
      </c>
      <c r="I20" s="101">
        <v>1</v>
      </c>
      <c r="J20" t="s">
        <v>251</v>
      </c>
      <c r="K20" s="100" t="s">
        <v>73</v>
      </c>
      <c r="L20" t="s">
        <v>260</v>
      </c>
      <c r="M20" s="18" t="s">
        <v>253</v>
      </c>
      <c r="N20" t="s">
        <v>254</v>
      </c>
      <c r="O20" t="s">
        <v>81</v>
      </c>
      <c r="P20" t="s">
        <v>241</v>
      </c>
      <c r="Q20" t="s">
        <v>228</v>
      </c>
      <c r="R20" t="s">
        <v>229</v>
      </c>
      <c r="S20">
        <v>0</v>
      </c>
      <c r="T20" t="s">
        <v>189</v>
      </c>
      <c r="U20">
        <v>0</v>
      </c>
      <c r="V20" s="100" t="s">
        <v>231</v>
      </c>
      <c r="W20" s="100" t="s">
        <v>231</v>
      </c>
      <c r="X20" s="100" t="s">
        <v>73</v>
      </c>
      <c r="Y20" s="101">
        <v>0</v>
      </c>
      <c r="Z20" s="101">
        <v>0</v>
      </c>
      <c r="AA20" s="101">
        <v>0</v>
      </c>
      <c r="AB20" s="101">
        <v>1</v>
      </c>
      <c r="AC20" s="101">
        <v>0</v>
      </c>
      <c r="AD20" s="101">
        <v>0</v>
      </c>
      <c r="AE20" s="101">
        <v>0</v>
      </c>
      <c r="AF20" s="101">
        <v>0</v>
      </c>
      <c r="AG20" s="101" t="s">
        <v>255</v>
      </c>
      <c r="AH20" s="101">
        <v>0</v>
      </c>
      <c r="AI20" s="101">
        <v>0</v>
      </c>
      <c r="AJ20" s="101">
        <v>0</v>
      </c>
      <c r="AK20" s="101">
        <v>0</v>
      </c>
      <c r="AL20" s="101">
        <v>1</v>
      </c>
      <c r="AM20" s="101">
        <v>0</v>
      </c>
      <c r="AN20" s="101">
        <v>0</v>
      </c>
      <c r="AO20" s="101">
        <v>0</v>
      </c>
      <c r="AP20" s="101">
        <v>0</v>
      </c>
      <c r="AQ20" t="s">
        <v>73</v>
      </c>
      <c r="AR20" t="s">
        <v>233</v>
      </c>
      <c r="AS20" t="s">
        <v>256</v>
      </c>
      <c r="AT20" t="s">
        <v>235</v>
      </c>
      <c r="AU20" s="21">
        <v>5.4600000000000003E-2</v>
      </c>
      <c r="AV20" s="7" t="s">
        <v>86</v>
      </c>
      <c r="AW20">
        <f t="shared" si="10"/>
        <v>1.7333333333333336E-2</v>
      </c>
      <c r="AX20">
        <v>8.1899999999999996E-4</v>
      </c>
      <c r="AY20">
        <v>3</v>
      </c>
      <c r="AZ20">
        <v>3.15</v>
      </c>
      <c r="BA20" s="102" t="s">
        <v>73</v>
      </c>
      <c r="BB20" s="102"/>
      <c r="BC20" s="103" t="s">
        <v>73</v>
      </c>
      <c r="BD20" s="103">
        <v>10676</v>
      </c>
      <c r="BE20" s="103" t="s">
        <v>73</v>
      </c>
      <c r="BF20" s="103" t="s">
        <v>73</v>
      </c>
      <c r="BG20" s="103">
        <v>430</v>
      </c>
      <c r="BH20" s="103" t="s">
        <v>73</v>
      </c>
      <c r="BI20" s="103">
        <f>BD20+BG20</f>
        <v>11106</v>
      </c>
      <c r="BJ20" s="104">
        <v>68754</v>
      </c>
      <c r="BK20" s="103" t="s">
        <v>73</v>
      </c>
      <c r="BL20" s="103" t="s">
        <v>73</v>
      </c>
      <c r="BM20" s="101" t="s">
        <v>257</v>
      </c>
      <c r="BN20" s="101">
        <v>0.1</v>
      </c>
      <c r="BO20" t="s">
        <v>258</v>
      </c>
      <c r="BP20" s="103" t="s">
        <v>73</v>
      </c>
      <c r="BQ20" s="103" t="s">
        <v>73</v>
      </c>
      <c r="BR20" s="103" t="s">
        <v>73</v>
      </c>
      <c r="BS20" s="103" t="s">
        <v>73</v>
      </c>
      <c r="BT20" s="103" t="s">
        <v>73</v>
      </c>
      <c r="BU20" s="101">
        <v>0</v>
      </c>
      <c r="BV20" s="101">
        <v>0</v>
      </c>
      <c r="BW20" s="101">
        <v>1</v>
      </c>
      <c r="BX20" s="30">
        <f t="shared" si="1"/>
        <v>2.9877055832671907E-2</v>
      </c>
      <c r="BY20" s="30">
        <f t="shared" si="2"/>
        <v>2.9885950400025899E-2</v>
      </c>
      <c r="BZ20" s="30">
        <f t="shared" si="3"/>
        <v>9.0049455402728065E-5</v>
      </c>
      <c r="CA20" s="30">
        <f t="shared" si="4"/>
        <v>9.0065747996037111E-5</v>
      </c>
      <c r="CB20"/>
      <c r="CC20"/>
      <c r="CD20"/>
      <c r="CE20" s="30">
        <f t="shared" si="5"/>
        <v>1.2012412374711942E-2</v>
      </c>
      <c r="CF20" s="30">
        <f t="shared" si="6"/>
        <v>1.2012990213972756E-2</v>
      </c>
      <c r="CG20" s="30">
        <f t="shared" si="7"/>
        <v>1.4544819559496541E-5</v>
      </c>
      <c r="CH20" s="30">
        <f t="shared" si="8"/>
        <v>1.4545242978283952E-5</v>
      </c>
    </row>
    <row r="21" spans="1:86" ht="16">
      <c r="A21" s="11" t="s">
        <v>68</v>
      </c>
      <c r="B21" s="11"/>
      <c r="C21" s="100">
        <v>1162</v>
      </c>
      <c r="D21" s="101">
        <v>137</v>
      </c>
      <c r="E21" t="s">
        <v>617</v>
      </c>
      <c r="F21" s="100">
        <v>2015</v>
      </c>
      <c r="G21" t="s">
        <v>249</v>
      </c>
      <c r="H21" t="s">
        <v>250</v>
      </c>
      <c r="I21" s="101">
        <v>1</v>
      </c>
      <c r="J21" t="s">
        <v>251</v>
      </c>
      <c r="K21" s="100" t="s">
        <v>73</v>
      </c>
      <c r="L21" t="s">
        <v>260</v>
      </c>
      <c r="M21" s="18" t="s">
        <v>253</v>
      </c>
      <c r="N21" t="s">
        <v>254</v>
      </c>
      <c r="O21" t="s">
        <v>81</v>
      </c>
      <c r="P21" t="s">
        <v>241</v>
      </c>
      <c r="Q21" t="s">
        <v>228</v>
      </c>
      <c r="R21" t="s">
        <v>229</v>
      </c>
      <c r="S21">
        <v>0</v>
      </c>
      <c r="T21" t="s">
        <v>189</v>
      </c>
      <c r="U21">
        <v>0</v>
      </c>
      <c r="V21" s="100" t="s">
        <v>231</v>
      </c>
      <c r="W21" s="100" t="s">
        <v>231</v>
      </c>
      <c r="X21" s="100" t="s">
        <v>73</v>
      </c>
      <c r="Y21" s="101">
        <v>0</v>
      </c>
      <c r="Z21" s="101">
        <v>0</v>
      </c>
      <c r="AA21" s="101">
        <v>0</v>
      </c>
      <c r="AB21" s="101">
        <v>1</v>
      </c>
      <c r="AC21" s="101">
        <v>0</v>
      </c>
      <c r="AD21" s="101">
        <v>0</v>
      </c>
      <c r="AE21" s="101">
        <v>0</v>
      </c>
      <c r="AF21" s="101">
        <v>0</v>
      </c>
      <c r="AG21" s="101" t="s">
        <v>255</v>
      </c>
      <c r="AH21" s="101">
        <v>0</v>
      </c>
      <c r="AI21" s="101">
        <v>0</v>
      </c>
      <c r="AJ21" s="101">
        <v>0</v>
      </c>
      <c r="AK21" s="101">
        <v>0</v>
      </c>
      <c r="AL21" s="101">
        <v>1</v>
      </c>
      <c r="AM21" s="101">
        <v>0</v>
      </c>
      <c r="AN21" s="101">
        <v>0</v>
      </c>
      <c r="AO21" s="101">
        <v>0</v>
      </c>
      <c r="AP21" s="101">
        <v>0</v>
      </c>
      <c r="AQ21" t="s">
        <v>259</v>
      </c>
      <c r="AR21" t="s">
        <v>233</v>
      </c>
      <c r="AS21" t="s">
        <v>256</v>
      </c>
      <c r="AT21" t="s">
        <v>235</v>
      </c>
      <c r="AU21" s="21">
        <v>4.19E-2</v>
      </c>
      <c r="AV21" s="7" t="s">
        <v>86</v>
      </c>
      <c r="AW21">
        <f t="shared" si="10"/>
        <v>1.682730923694779E-2</v>
      </c>
      <c r="AX21">
        <v>6.3940000000000004E-3</v>
      </c>
      <c r="AY21">
        <v>3</v>
      </c>
      <c r="AZ21">
        <v>2.4900000000000002</v>
      </c>
      <c r="BA21" s="102" t="s">
        <v>73</v>
      </c>
      <c r="BB21" s="102"/>
      <c r="BC21" s="103" t="s">
        <v>73</v>
      </c>
      <c r="BD21" s="103">
        <v>10676</v>
      </c>
      <c r="BE21" s="103" t="s">
        <v>73</v>
      </c>
      <c r="BF21" s="103" t="s">
        <v>73</v>
      </c>
      <c r="BG21" s="103">
        <v>430</v>
      </c>
      <c r="BH21" s="103" t="s">
        <v>73</v>
      </c>
      <c r="BI21" s="103">
        <f>BD21+BG21</f>
        <v>11106</v>
      </c>
      <c r="BJ21" s="104">
        <v>33268</v>
      </c>
      <c r="BK21" s="103" t="s">
        <v>73</v>
      </c>
      <c r="BL21" s="103" t="s">
        <v>73</v>
      </c>
      <c r="BM21" s="101" t="s">
        <v>257</v>
      </c>
      <c r="BN21" s="101">
        <v>0.1</v>
      </c>
      <c r="BO21" t="s">
        <v>258</v>
      </c>
      <c r="BP21" s="103" t="s">
        <v>73</v>
      </c>
      <c r="BQ21" s="103" t="s">
        <v>73</v>
      </c>
      <c r="BR21" s="103" t="s">
        <v>73</v>
      </c>
      <c r="BS21" s="103" t="s">
        <v>73</v>
      </c>
      <c r="BT21" s="103" t="s">
        <v>73</v>
      </c>
      <c r="BU21" s="101">
        <v>0</v>
      </c>
      <c r="BV21" s="101">
        <v>0</v>
      </c>
      <c r="BW21" s="101">
        <v>1</v>
      </c>
      <c r="BX21" s="30">
        <f t="shared" si="1"/>
        <v>2.3621056611749961E-2</v>
      </c>
      <c r="BY21" s="30">
        <f t="shared" si="2"/>
        <v>2.3625451239868967E-2</v>
      </c>
      <c r="BZ21" s="30">
        <f t="shared" si="3"/>
        <v>9.0049499185523786E-5</v>
      </c>
      <c r="CA21" s="30">
        <f t="shared" si="4"/>
        <v>9.0065747996037111E-5</v>
      </c>
      <c r="CE21" s="30">
        <f t="shared" si="5"/>
        <v>1.3650404945197309E-2</v>
      </c>
      <c r="CF21" s="30">
        <f t="shared" si="6"/>
        <v>1.3651252882826532E-2</v>
      </c>
      <c r="CG21" s="30">
        <f t="shared" si="7"/>
        <v>3.0059817995947289E-5</v>
      </c>
      <c r="CH21" s="30">
        <f t="shared" si="8"/>
        <v>3.0061626333984669E-5</v>
      </c>
    </row>
    <row r="22" spans="1:86" ht="16">
      <c r="A22" s="11" t="s">
        <v>68</v>
      </c>
      <c r="B22" s="11"/>
      <c r="C22" s="100">
        <v>1163</v>
      </c>
      <c r="D22" s="101">
        <v>138</v>
      </c>
      <c r="E22" t="s">
        <v>261</v>
      </c>
      <c r="F22" s="100">
        <v>1988</v>
      </c>
      <c r="G22" t="s">
        <v>262</v>
      </c>
      <c r="H22" t="s">
        <v>263</v>
      </c>
      <c r="I22" s="101">
        <v>1</v>
      </c>
      <c r="J22">
        <v>1985</v>
      </c>
      <c r="K22" s="100" t="s">
        <v>73</v>
      </c>
      <c r="L22">
        <v>178</v>
      </c>
      <c r="M22" s="18" t="s">
        <v>93</v>
      </c>
      <c r="N22" t="s">
        <v>254</v>
      </c>
      <c r="O22" t="s">
        <v>81</v>
      </c>
      <c r="P22" t="s">
        <v>241</v>
      </c>
      <c r="Q22" t="s">
        <v>228</v>
      </c>
      <c r="R22" s="32" t="s">
        <v>264</v>
      </c>
      <c r="S22">
        <v>0</v>
      </c>
      <c r="T22" t="s">
        <v>189</v>
      </c>
      <c r="U22">
        <v>0</v>
      </c>
      <c r="V22" s="100" t="s">
        <v>231</v>
      </c>
      <c r="W22" s="100" t="s">
        <v>231</v>
      </c>
      <c r="X22" s="100" t="s">
        <v>73</v>
      </c>
      <c r="Y22" s="101">
        <v>0</v>
      </c>
      <c r="Z22" s="101">
        <v>0</v>
      </c>
      <c r="AA22" s="101">
        <v>0</v>
      </c>
      <c r="AB22" s="101">
        <v>1</v>
      </c>
      <c r="AC22" s="101">
        <v>0</v>
      </c>
      <c r="AD22" s="101">
        <v>0</v>
      </c>
      <c r="AE22" s="101">
        <v>0</v>
      </c>
      <c r="AF22" s="101">
        <v>0</v>
      </c>
      <c r="AG22" s="101" t="s">
        <v>265</v>
      </c>
      <c r="AH22" s="101">
        <v>0</v>
      </c>
      <c r="AI22" s="101">
        <v>0</v>
      </c>
      <c r="AJ22" s="101">
        <v>0</v>
      </c>
      <c r="AK22" s="101">
        <v>0</v>
      </c>
      <c r="AL22" s="101">
        <v>0</v>
      </c>
      <c r="AM22" s="101">
        <v>0</v>
      </c>
      <c r="AN22" s="101">
        <v>0</v>
      </c>
      <c r="AO22" s="101">
        <v>1</v>
      </c>
      <c r="AP22" s="101">
        <v>0</v>
      </c>
      <c r="AQ22" t="s">
        <v>73</v>
      </c>
      <c r="AR22" t="s">
        <v>233</v>
      </c>
      <c r="AS22" t="s">
        <v>266</v>
      </c>
      <c r="AT22" t="s">
        <v>235</v>
      </c>
      <c r="AU22" s="7">
        <v>0.01</v>
      </c>
      <c r="AV22" s="7" t="s">
        <v>86</v>
      </c>
      <c r="AW22">
        <f t="shared" si="10"/>
        <v>4.3478260869565216E-2</v>
      </c>
      <c r="AX22">
        <v>0.81640000000000001</v>
      </c>
      <c r="AY22">
        <v>2</v>
      </c>
      <c r="AZ22">
        <v>0.23</v>
      </c>
      <c r="BA22" s="102" t="s">
        <v>73</v>
      </c>
      <c r="BB22" s="102"/>
      <c r="BC22" s="103" t="s">
        <v>73</v>
      </c>
      <c r="BD22" s="103">
        <v>109</v>
      </c>
      <c r="BE22" s="103" t="s">
        <v>73</v>
      </c>
      <c r="BF22" s="103" t="s">
        <v>73</v>
      </c>
      <c r="BG22" s="103">
        <v>406</v>
      </c>
      <c r="BH22" s="103" t="s">
        <v>73</v>
      </c>
      <c r="BI22">
        <f>BG22+BD22</f>
        <v>515</v>
      </c>
      <c r="BJ22">
        <f>BG22+BD22</f>
        <v>515</v>
      </c>
      <c r="BK22" s="103" t="s">
        <v>73</v>
      </c>
      <c r="BL22" s="103" t="s">
        <v>73</v>
      </c>
      <c r="BM22" s="101" t="s">
        <v>73</v>
      </c>
      <c r="BN22" s="101">
        <v>1</v>
      </c>
      <c r="BO22" t="s">
        <v>258</v>
      </c>
      <c r="BP22" s="103" t="s">
        <v>73</v>
      </c>
      <c r="BQ22" s="103" t="s">
        <v>73</v>
      </c>
      <c r="BR22" s="103" t="s">
        <v>73</v>
      </c>
      <c r="BS22" s="103" t="s">
        <v>73</v>
      </c>
      <c r="BT22" s="103" t="s">
        <v>73</v>
      </c>
      <c r="BU22" s="101">
        <v>1</v>
      </c>
      <c r="BV22" s="101">
        <v>1</v>
      </c>
      <c r="BW22" s="101">
        <v>1</v>
      </c>
      <c r="BX22" s="30">
        <f t="shared" si="1"/>
        <v>1.0134490446309997E-2</v>
      </c>
      <c r="BY22" s="30">
        <f t="shared" si="2"/>
        <v>1.0134837431758794E-2</v>
      </c>
      <c r="BZ22" s="30">
        <f t="shared" si="3"/>
        <v>1.9455252713028077E-3</v>
      </c>
      <c r="CA22" s="30">
        <f t="shared" si="4"/>
        <v>1.953125E-3</v>
      </c>
      <c r="CE22" s="30">
        <f t="shared" si="5"/>
        <v>1.0134490446309997E-2</v>
      </c>
      <c r="CF22" s="30">
        <f t="shared" si="6"/>
        <v>1.0134837431758794E-2</v>
      </c>
      <c r="CG22" s="30">
        <f t="shared" si="7"/>
        <v>1.9455252713028077E-3</v>
      </c>
      <c r="CH22" s="30">
        <f t="shared" si="8"/>
        <v>1.953125E-3</v>
      </c>
    </row>
    <row r="23" spans="1:86" ht="16">
      <c r="A23" s="11" t="s">
        <v>68</v>
      </c>
      <c r="B23" s="11"/>
      <c r="C23" s="100">
        <v>1164</v>
      </c>
      <c r="D23" s="101">
        <v>138</v>
      </c>
      <c r="E23" t="s">
        <v>261</v>
      </c>
      <c r="F23" s="100">
        <v>1988</v>
      </c>
      <c r="G23" t="s">
        <v>262</v>
      </c>
      <c r="H23" t="s">
        <v>263</v>
      </c>
      <c r="I23" s="101">
        <v>1</v>
      </c>
      <c r="J23">
        <v>1985</v>
      </c>
      <c r="K23" s="100" t="s">
        <v>73</v>
      </c>
      <c r="L23">
        <v>178</v>
      </c>
      <c r="M23" s="18" t="s">
        <v>93</v>
      </c>
      <c r="N23" t="s">
        <v>254</v>
      </c>
      <c r="O23" t="s">
        <v>81</v>
      </c>
      <c r="P23" t="s">
        <v>241</v>
      </c>
      <c r="Q23" t="s">
        <v>228</v>
      </c>
      <c r="R23" s="32" t="s">
        <v>264</v>
      </c>
      <c r="S23">
        <v>0</v>
      </c>
      <c r="T23" t="s">
        <v>189</v>
      </c>
      <c r="U23">
        <v>0</v>
      </c>
      <c r="V23" s="100" t="s">
        <v>231</v>
      </c>
      <c r="W23" s="100" t="s">
        <v>231</v>
      </c>
      <c r="X23" s="100" t="s">
        <v>73</v>
      </c>
      <c r="Y23" s="101">
        <v>0</v>
      </c>
      <c r="Z23" s="101">
        <v>0</v>
      </c>
      <c r="AA23" s="101">
        <v>0</v>
      </c>
      <c r="AB23" s="101">
        <v>1</v>
      </c>
      <c r="AC23" s="101">
        <v>0</v>
      </c>
      <c r="AD23" s="101">
        <v>0</v>
      </c>
      <c r="AE23" s="101">
        <v>0</v>
      </c>
      <c r="AF23" s="101">
        <v>0</v>
      </c>
      <c r="AG23" s="101" t="s">
        <v>265</v>
      </c>
      <c r="AH23" s="101">
        <v>0</v>
      </c>
      <c r="AI23" s="101">
        <v>0</v>
      </c>
      <c r="AJ23" s="101">
        <v>0</v>
      </c>
      <c r="AK23" s="101">
        <v>0</v>
      </c>
      <c r="AL23" s="101">
        <v>0</v>
      </c>
      <c r="AM23" s="101">
        <v>0</v>
      </c>
      <c r="AN23" s="101">
        <v>0</v>
      </c>
      <c r="AO23" s="101">
        <v>1</v>
      </c>
      <c r="AP23" s="101">
        <v>0</v>
      </c>
      <c r="AQ23" t="s">
        <v>267</v>
      </c>
      <c r="AR23" t="s">
        <v>233</v>
      </c>
      <c r="AS23" t="s">
        <v>266</v>
      </c>
      <c r="AT23" t="s">
        <v>235</v>
      </c>
      <c r="AU23" s="7">
        <v>0.12</v>
      </c>
      <c r="AV23" s="7" t="s">
        <v>86</v>
      </c>
      <c r="AW23">
        <f t="shared" si="10"/>
        <v>2.4844720496894408E-2</v>
      </c>
      <c r="AX23">
        <v>1E-4</v>
      </c>
      <c r="AY23">
        <v>3</v>
      </c>
      <c r="AZ23">
        <v>4.83</v>
      </c>
      <c r="BA23" s="102" t="s">
        <v>73</v>
      </c>
      <c r="BB23" s="102"/>
      <c r="BC23" s="103" t="s">
        <v>73</v>
      </c>
      <c r="BD23" s="103">
        <v>109</v>
      </c>
      <c r="BE23" s="103" t="s">
        <v>73</v>
      </c>
      <c r="BF23" s="103" t="s">
        <v>73</v>
      </c>
      <c r="BG23" s="103">
        <v>406</v>
      </c>
      <c r="BH23" s="103" t="s">
        <v>73</v>
      </c>
      <c r="BI23">
        <f>BG23+BD23</f>
        <v>515</v>
      </c>
      <c r="BJ23">
        <f>BG23+BD23</f>
        <v>515</v>
      </c>
      <c r="BK23" s="103" t="s">
        <v>73</v>
      </c>
      <c r="BL23" s="103" t="s">
        <v>73</v>
      </c>
      <c r="BM23" s="101" t="s">
        <v>73</v>
      </c>
      <c r="BN23" s="101">
        <v>1</v>
      </c>
      <c r="BO23" t="s">
        <v>258</v>
      </c>
      <c r="BP23" s="103" t="s">
        <v>73</v>
      </c>
      <c r="BQ23" s="103" t="s">
        <v>73</v>
      </c>
      <c r="BR23" s="103" t="s">
        <v>73</v>
      </c>
      <c r="BS23" s="103" t="s">
        <v>73</v>
      </c>
      <c r="BT23" s="103" t="s">
        <v>73</v>
      </c>
      <c r="BU23" s="101">
        <v>1</v>
      </c>
      <c r="BV23" s="101">
        <v>1</v>
      </c>
      <c r="BW23" s="101">
        <v>1</v>
      </c>
      <c r="BX23" s="30">
        <f t="shared" si="1"/>
        <v>0.20817246417215696</v>
      </c>
      <c r="BY23" s="30">
        <f t="shared" si="2"/>
        <v>0.21126026317506777</v>
      </c>
      <c r="BZ23" s="30">
        <f t="shared" si="3"/>
        <v>1.9416499666781906E-3</v>
      </c>
      <c r="CA23" s="30">
        <f t="shared" si="4"/>
        <v>1.953125E-3</v>
      </c>
      <c r="CE23" s="30">
        <f t="shared" si="5"/>
        <v>0.20817246417215696</v>
      </c>
      <c r="CF23" s="30">
        <f t="shared" si="6"/>
        <v>0.21126026317506777</v>
      </c>
      <c r="CG23" s="30">
        <f t="shared" si="7"/>
        <v>1.9416499666781906E-3</v>
      </c>
      <c r="CH23" s="30">
        <f t="shared" si="8"/>
        <v>1.953125E-3</v>
      </c>
    </row>
    <row r="24" spans="1:86" ht="16">
      <c r="A24" s="11" t="s">
        <v>68</v>
      </c>
      <c r="B24" s="11"/>
      <c r="C24" s="100">
        <v>1165</v>
      </c>
      <c r="D24" s="101">
        <v>139</v>
      </c>
      <c r="E24" t="s">
        <v>268</v>
      </c>
      <c r="F24" s="100">
        <v>2013</v>
      </c>
      <c r="G24" t="s">
        <v>269</v>
      </c>
      <c r="H24" t="s">
        <v>270</v>
      </c>
      <c r="I24" s="101">
        <v>1</v>
      </c>
      <c r="J24">
        <v>2009</v>
      </c>
      <c r="K24" s="100" t="s">
        <v>73</v>
      </c>
      <c r="L24">
        <v>283</v>
      </c>
      <c r="M24" s="18" t="s">
        <v>120</v>
      </c>
      <c r="N24" t="s">
        <v>226</v>
      </c>
      <c r="O24" t="s">
        <v>271</v>
      </c>
      <c r="P24" t="s">
        <v>227</v>
      </c>
      <c r="Q24" t="s">
        <v>228</v>
      </c>
      <c r="R24" t="s">
        <v>229</v>
      </c>
      <c r="S24">
        <v>0</v>
      </c>
      <c r="T24" t="s">
        <v>230</v>
      </c>
      <c r="U24">
        <v>0</v>
      </c>
      <c r="V24" s="100" t="s">
        <v>231</v>
      </c>
      <c r="W24" s="100" t="s">
        <v>231</v>
      </c>
      <c r="X24" s="100" t="s">
        <v>73</v>
      </c>
      <c r="Y24" s="101">
        <v>0</v>
      </c>
      <c r="Z24" s="101">
        <v>0</v>
      </c>
      <c r="AA24" s="101">
        <v>0</v>
      </c>
      <c r="AB24" s="101">
        <v>0</v>
      </c>
      <c r="AC24" s="101">
        <v>0</v>
      </c>
      <c r="AD24" s="101">
        <v>1</v>
      </c>
      <c r="AE24" s="101">
        <v>0</v>
      </c>
      <c r="AF24" s="101">
        <v>0</v>
      </c>
      <c r="AG24" s="101" t="s">
        <v>272</v>
      </c>
      <c r="AH24" s="101">
        <v>0</v>
      </c>
      <c r="AI24" s="101">
        <v>0</v>
      </c>
      <c r="AJ24" s="101">
        <v>0</v>
      </c>
      <c r="AK24" s="101">
        <v>0</v>
      </c>
      <c r="AL24" s="101">
        <v>0</v>
      </c>
      <c r="AM24" s="101">
        <v>1</v>
      </c>
      <c r="AN24" s="101">
        <v>0</v>
      </c>
      <c r="AO24" s="101">
        <v>0</v>
      </c>
      <c r="AP24" s="101">
        <v>0</v>
      </c>
      <c r="AQ24" t="s">
        <v>73</v>
      </c>
      <c r="AR24" t="s">
        <v>233</v>
      </c>
      <c r="AS24" t="s">
        <v>273</v>
      </c>
      <c r="AT24" t="s">
        <v>235</v>
      </c>
      <c r="AU24" s="108">
        <v>0.77300000000000002</v>
      </c>
      <c r="AV24" s="7" t="s">
        <v>86</v>
      </c>
      <c r="AW24">
        <v>3.7999999999999999E-2</v>
      </c>
      <c r="AX24">
        <v>0.01</v>
      </c>
      <c r="AY24">
        <v>1</v>
      </c>
      <c r="AZ24">
        <f t="shared" ref="AZ24:AZ30" si="11">AU24/AW24</f>
        <v>20.342105263157897</v>
      </c>
      <c r="BA24" s="102" t="s">
        <v>73</v>
      </c>
      <c r="BB24" s="109"/>
      <c r="BC24" s="103" t="s">
        <v>73</v>
      </c>
      <c r="BD24" s="103" t="s">
        <v>73</v>
      </c>
      <c r="BE24" s="103" t="s">
        <v>73</v>
      </c>
      <c r="BF24" s="103" t="s">
        <v>73</v>
      </c>
      <c r="BG24" s="103" t="s">
        <v>73</v>
      </c>
      <c r="BH24" s="103" t="s">
        <v>73</v>
      </c>
      <c r="BI24" s="104">
        <v>2445</v>
      </c>
      <c r="BJ24" s="104">
        <v>2445</v>
      </c>
      <c r="BK24" s="103" t="s">
        <v>73</v>
      </c>
      <c r="BL24" s="103" t="s">
        <v>73</v>
      </c>
      <c r="BM24" s="101" t="s">
        <v>73</v>
      </c>
      <c r="BN24" s="101" t="s">
        <v>73</v>
      </c>
      <c r="BO24" s="101" t="s">
        <v>73</v>
      </c>
      <c r="BP24" s="101" t="s">
        <v>73</v>
      </c>
      <c r="BQ24" s="101" t="s">
        <v>73</v>
      </c>
      <c r="BR24" s="101" t="s">
        <v>73</v>
      </c>
      <c r="BS24" s="101" t="s">
        <v>73</v>
      </c>
      <c r="BT24" s="101" t="s">
        <v>73</v>
      </c>
      <c r="BU24" s="101">
        <v>0</v>
      </c>
      <c r="BV24" s="101">
        <v>0</v>
      </c>
      <c r="BW24" s="101">
        <v>0</v>
      </c>
      <c r="BX24" s="30">
        <f t="shared" si="1"/>
        <v>0.38045554301813767</v>
      </c>
      <c r="BY24" s="30">
        <f t="shared" si="2"/>
        <v>0.40059218306919919</v>
      </c>
      <c r="BZ24" s="30">
        <f t="shared" si="3"/>
        <v>3.9862850415234801E-4</v>
      </c>
      <c r="CA24" s="30">
        <f t="shared" si="4"/>
        <v>4.0950040950040953E-4</v>
      </c>
      <c r="CE24" s="30">
        <f t="shared" si="5"/>
        <v>0.38045554301813767</v>
      </c>
      <c r="CF24" s="30">
        <f t="shared" si="6"/>
        <v>0.40059218306919919</v>
      </c>
      <c r="CG24" s="30">
        <f t="shared" si="7"/>
        <v>3.9862850415234801E-4</v>
      </c>
      <c r="CH24" s="30">
        <f t="shared" si="8"/>
        <v>4.0950040950040953E-4</v>
      </c>
    </row>
    <row r="25" spans="1:86" ht="14.25" customHeight="1">
      <c r="A25" s="11" t="s">
        <v>68</v>
      </c>
      <c r="B25" s="11"/>
      <c r="C25" s="100">
        <v>1166</v>
      </c>
      <c r="D25" s="101">
        <v>139</v>
      </c>
      <c r="E25" t="s">
        <v>268</v>
      </c>
      <c r="F25" s="100">
        <v>2013</v>
      </c>
      <c r="G25" t="s">
        <v>269</v>
      </c>
      <c r="H25" t="s">
        <v>270</v>
      </c>
      <c r="I25" s="101">
        <v>1</v>
      </c>
      <c r="J25">
        <v>2009</v>
      </c>
      <c r="K25" s="100" t="s">
        <v>73</v>
      </c>
      <c r="L25">
        <v>283</v>
      </c>
      <c r="M25" s="18" t="s">
        <v>274</v>
      </c>
      <c r="N25" t="s">
        <v>226</v>
      </c>
      <c r="O25" t="s">
        <v>271</v>
      </c>
      <c r="P25" t="s">
        <v>227</v>
      </c>
      <c r="Q25" t="s">
        <v>228</v>
      </c>
      <c r="R25" t="s">
        <v>229</v>
      </c>
      <c r="S25">
        <v>0</v>
      </c>
      <c r="T25" t="s">
        <v>230</v>
      </c>
      <c r="U25">
        <v>0</v>
      </c>
      <c r="V25" s="100" t="s">
        <v>231</v>
      </c>
      <c r="W25" s="100" t="s">
        <v>231</v>
      </c>
      <c r="X25" s="100" t="s">
        <v>73</v>
      </c>
      <c r="Y25" s="101">
        <v>0</v>
      </c>
      <c r="Z25" s="101">
        <v>0</v>
      </c>
      <c r="AA25" s="101">
        <v>0</v>
      </c>
      <c r="AB25" s="101">
        <v>0</v>
      </c>
      <c r="AC25" s="101">
        <v>0</v>
      </c>
      <c r="AD25" s="101">
        <v>1</v>
      </c>
      <c r="AE25" s="101">
        <v>0</v>
      </c>
      <c r="AF25" s="101">
        <v>0</v>
      </c>
      <c r="AG25" s="101" t="s">
        <v>275</v>
      </c>
      <c r="AH25" s="101">
        <v>0</v>
      </c>
      <c r="AI25" s="101">
        <v>0</v>
      </c>
      <c r="AJ25" s="101">
        <v>0</v>
      </c>
      <c r="AK25" s="101">
        <v>0</v>
      </c>
      <c r="AL25" s="101">
        <v>0</v>
      </c>
      <c r="AM25" s="101">
        <v>1</v>
      </c>
      <c r="AN25" s="101">
        <v>0</v>
      </c>
      <c r="AO25" s="101">
        <v>0</v>
      </c>
      <c r="AP25" s="101">
        <v>0</v>
      </c>
      <c r="AQ25" t="s">
        <v>73</v>
      </c>
      <c r="AR25" t="s">
        <v>233</v>
      </c>
      <c r="AS25" t="s">
        <v>273</v>
      </c>
      <c r="AT25" t="s">
        <v>235</v>
      </c>
      <c r="AU25" s="108">
        <v>0.84</v>
      </c>
      <c r="AV25" s="7" t="s">
        <v>86</v>
      </c>
      <c r="AW25">
        <v>6.0999999999999999E-2</v>
      </c>
      <c r="AX25">
        <v>0.01</v>
      </c>
      <c r="AY25">
        <v>1</v>
      </c>
      <c r="AZ25">
        <f t="shared" si="11"/>
        <v>13.770491803278688</v>
      </c>
      <c r="BA25" s="102" t="s">
        <v>73</v>
      </c>
      <c r="BB25" s="109"/>
      <c r="BC25" s="103" t="s">
        <v>73</v>
      </c>
      <c r="BD25" s="103" t="s">
        <v>73</v>
      </c>
      <c r="BE25" s="103" t="s">
        <v>73</v>
      </c>
      <c r="BF25" s="103" t="s">
        <v>73</v>
      </c>
      <c r="BG25" s="103" t="s">
        <v>73</v>
      </c>
      <c r="BH25" s="103" t="s">
        <v>73</v>
      </c>
      <c r="BI25" s="104">
        <v>2433</v>
      </c>
      <c r="BJ25" s="104">
        <v>2433</v>
      </c>
      <c r="BK25" s="103" t="s">
        <v>73</v>
      </c>
      <c r="BL25" s="103" t="s">
        <v>73</v>
      </c>
      <c r="BM25" s="101" t="s">
        <v>73</v>
      </c>
      <c r="BN25" s="101" t="s">
        <v>73</v>
      </c>
      <c r="BO25" s="101" t="s">
        <v>73</v>
      </c>
      <c r="BP25" s="101" t="s">
        <v>73</v>
      </c>
      <c r="BQ25" s="101" t="s">
        <v>73</v>
      </c>
      <c r="BR25" s="101" t="s">
        <v>73</v>
      </c>
      <c r="BS25" s="101" t="s">
        <v>73</v>
      </c>
      <c r="BT25" s="101" t="s">
        <v>73</v>
      </c>
      <c r="BU25" s="101">
        <v>1</v>
      </c>
      <c r="BV25" s="101">
        <v>1</v>
      </c>
      <c r="BW25" s="101">
        <v>1</v>
      </c>
      <c r="BX25" s="30">
        <f t="shared" si="1"/>
        <v>0.26889407517381664</v>
      </c>
      <c r="BY25" s="30">
        <f t="shared" si="2"/>
        <v>0.27567131993753202</v>
      </c>
      <c r="BZ25" s="30">
        <f t="shared" si="3"/>
        <v>4.0880954322490722E-4</v>
      </c>
      <c r="CA25" s="30">
        <f t="shared" si="4"/>
        <v>4.1152263374485596E-4</v>
      </c>
      <c r="CE25" s="30">
        <f t="shared" si="5"/>
        <v>0.26889407517381664</v>
      </c>
      <c r="CF25" s="30">
        <f t="shared" si="6"/>
        <v>0.27567131993753202</v>
      </c>
      <c r="CG25" s="30">
        <f t="shared" si="7"/>
        <v>4.0880954322490722E-4</v>
      </c>
      <c r="CH25" s="30">
        <f t="shared" si="8"/>
        <v>4.1152263374485596E-4</v>
      </c>
    </row>
    <row r="26" spans="1:86" ht="16">
      <c r="A26" s="11" t="s">
        <v>68</v>
      </c>
      <c r="B26" s="11"/>
      <c r="C26" s="100">
        <v>1167</v>
      </c>
      <c r="D26" s="101">
        <v>139</v>
      </c>
      <c r="E26" t="s">
        <v>268</v>
      </c>
      <c r="F26" s="100">
        <v>2013</v>
      </c>
      <c r="G26" t="s">
        <v>269</v>
      </c>
      <c r="H26" t="s">
        <v>270</v>
      </c>
      <c r="I26" s="101">
        <v>1</v>
      </c>
      <c r="J26">
        <v>2009</v>
      </c>
      <c r="K26" s="100" t="s">
        <v>73</v>
      </c>
      <c r="L26">
        <v>283</v>
      </c>
      <c r="M26" s="18" t="s">
        <v>120</v>
      </c>
      <c r="N26" t="s">
        <v>226</v>
      </c>
      <c r="O26" t="s">
        <v>271</v>
      </c>
      <c r="P26" t="s">
        <v>227</v>
      </c>
      <c r="Q26" t="s">
        <v>228</v>
      </c>
      <c r="R26" t="s">
        <v>229</v>
      </c>
      <c r="S26">
        <v>0</v>
      </c>
      <c r="T26" t="s">
        <v>230</v>
      </c>
      <c r="U26">
        <v>0</v>
      </c>
      <c r="V26" s="100" t="s">
        <v>231</v>
      </c>
      <c r="W26" s="100" t="s">
        <v>231</v>
      </c>
      <c r="X26" s="100" t="s">
        <v>73</v>
      </c>
      <c r="Y26" s="101">
        <v>0</v>
      </c>
      <c r="Z26" s="101">
        <v>0</v>
      </c>
      <c r="AA26" s="101">
        <v>0</v>
      </c>
      <c r="AB26" s="101">
        <v>0</v>
      </c>
      <c r="AC26" s="101">
        <v>0</v>
      </c>
      <c r="AD26" s="101">
        <v>1</v>
      </c>
      <c r="AE26" s="101">
        <v>0</v>
      </c>
      <c r="AF26" s="101">
        <v>0</v>
      </c>
      <c r="AG26" s="101" t="s">
        <v>275</v>
      </c>
      <c r="AH26" s="101">
        <v>0</v>
      </c>
      <c r="AI26" s="101">
        <v>0</v>
      </c>
      <c r="AJ26" s="101">
        <v>0</v>
      </c>
      <c r="AK26" s="101">
        <v>0</v>
      </c>
      <c r="AL26" s="101">
        <v>0</v>
      </c>
      <c r="AM26" s="101">
        <v>1</v>
      </c>
      <c r="AN26" s="101">
        <v>0</v>
      </c>
      <c r="AO26" s="101">
        <v>0</v>
      </c>
      <c r="AP26" s="101">
        <v>0</v>
      </c>
      <c r="AQ26" t="s">
        <v>73</v>
      </c>
      <c r="AR26" t="s">
        <v>233</v>
      </c>
      <c r="AS26" t="s">
        <v>276</v>
      </c>
      <c r="AT26" t="s">
        <v>235</v>
      </c>
      <c r="AU26" s="108">
        <v>1.0999999999999999E-2</v>
      </c>
      <c r="AV26" s="7" t="s">
        <v>86</v>
      </c>
      <c r="AW26">
        <v>0.03</v>
      </c>
      <c r="AX26">
        <v>0.1</v>
      </c>
      <c r="AY26">
        <v>2</v>
      </c>
      <c r="AZ26">
        <f t="shared" si="11"/>
        <v>0.36666666666666664</v>
      </c>
      <c r="BA26" s="102" t="s">
        <v>73</v>
      </c>
      <c r="BB26" s="102"/>
      <c r="BC26" s="103" t="s">
        <v>73</v>
      </c>
      <c r="BD26" s="103" t="s">
        <v>73</v>
      </c>
      <c r="BE26" s="103" t="s">
        <v>73</v>
      </c>
      <c r="BF26" s="103" t="s">
        <v>73</v>
      </c>
      <c r="BG26" s="103" t="s">
        <v>73</v>
      </c>
      <c r="BH26" s="103" t="s">
        <v>73</v>
      </c>
      <c r="BI26" s="104">
        <v>2445</v>
      </c>
      <c r="BJ26" s="104">
        <v>2445</v>
      </c>
      <c r="BK26" s="103" t="s">
        <v>73</v>
      </c>
      <c r="BL26" s="103" t="s">
        <v>73</v>
      </c>
      <c r="BM26" s="101" t="s">
        <v>73</v>
      </c>
      <c r="BN26" s="101" t="s">
        <v>73</v>
      </c>
      <c r="BO26" s="101" t="s">
        <v>73</v>
      </c>
      <c r="BP26" s="101" t="s">
        <v>73</v>
      </c>
      <c r="BQ26" s="101" t="s">
        <v>73</v>
      </c>
      <c r="BR26" s="101" t="s">
        <v>73</v>
      </c>
      <c r="BS26" s="101" t="s">
        <v>73</v>
      </c>
      <c r="BT26" s="101" t="s">
        <v>73</v>
      </c>
      <c r="BU26" s="101">
        <v>0</v>
      </c>
      <c r="BV26" s="101">
        <v>0</v>
      </c>
      <c r="BW26" s="101">
        <v>0</v>
      </c>
      <c r="BX26" s="30">
        <f t="shared" si="1"/>
        <v>7.4151520133472265E-3</v>
      </c>
      <c r="BY26" s="30">
        <f t="shared" si="2"/>
        <v>7.4152879239220478E-3</v>
      </c>
      <c r="BZ26" s="30">
        <f t="shared" si="3"/>
        <v>4.0916530154520679E-4</v>
      </c>
      <c r="CA26" s="30">
        <f t="shared" si="4"/>
        <v>4.0950040950040953E-4</v>
      </c>
      <c r="CE26" s="30">
        <f t="shared" si="5"/>
        <v>7.4151520133472265E-3</v>
      </c>
      <c r="CF26" s="30">
        <f t="shared" si="6"/>
        <v>7.4152879239220478E-3</v>
      </c>
      <c r="CG26" s="30">
        <f t="shared" si="7"/>
        <v>4.0916530154520679E-4</v>
      </c>
      <c r="CH26" s="30">
        <f t="shared" si="8"/>
        <v>4.0950040950040953E-4</v>
      </c>
    </row>
    <row r="27" spans="1:86" ht="16">
      <c r="A27" s="11" t="s">
        <v>68</v>
      </c>
      <c r="B27" s="11"/>
      <c r="C27" s="100">
        <v>1168</v>
      </c>
      <c r="D27" s="101">
        <v>139</v>
      </c>
      <c r="E27" t="s">
        <v>268</v>
      </c>
      <c r="F27" s="100">
        <v>2013</v>
      </c>
      <c r="G27" t="s">
        <v>269</v>
      </c>
      <c r="H27" t="s">
        <v>270</v>
      </c>
      <c r="I27" s="101">
        <v>1</v>
      </c>
      <c r="J27">
        <v>2009</v>
      </c>
      <c r="K27" s="100" t="s">
        <v>73</v>
      </c>
      <c r="L27">
        <v>283</v>
      </c>
      <c r="M27" s="18" t="s">
        <v>274</v>
      </c>
      <c r="N27" t="s">
        <v>226</v>
      </c>
      <c r="O27" t="s">
        <v>271</v>
      </c>
      <c r="P27" t="s">
        <v>227</v>
      </c>
      <c r="Q27" t="s">
        <v>228</v>
      </c>
      <c r="R27" t="s">
        <v>229</v>
      </c>
      <c r="S27">
        <v>0</v>
      </c>
      <c r="T27" t="s">
        <v>230</v>
      </c>
      <c r="U27">
        <v>0</v>
      </c>
      <c r="V27" s="100" t="s">
        <v>231</v>
      </c>
      <c r="W27" s="100" t="s">
        <v>231</v>
      </c>
      <c r="X27" s="100" t="s">
        <v>73</v>
      </c>
      <c r="Y27" s="101">
        <v>0</v>
      </c>
      <c r="Z27" s="101">
        <v>0</v>
      </c>
      <c r="AA27" s="101">
        <v>0</v>
      </c>
      <c r="AB27" s="101">
        <v>0</v>
      </c>
      <c r="AC27" s="101">
        <v>0</v>
      </c>
      <c r="AD27" s="101">
        <v>1</v>
      </c>
      <c r="AE27" s="101">
        <v>0</v>
      </c>
      <c r="AF27" s="101">
        <v>0</v>
      </c>
      <c r="AG27" s="101" t="s">
        <v>275</v>
      </c>
      <c r="AH27" s="101">
        <v>0</v>
      </c>
      <c r="AI27" s="101">
        <v>0</v>
      </c>
      <c r="AJ27" s="101">
        <v>0</v>
      </c>
      <c r="AK27" s="101">
        <v>0</v>
      </c>
      <c r="AL27" s="101">
        <v>0</v>
      </c>
      <c r="AM27" s="101">
        <v>1</v>
      </c>
      <c r="AN27" s="101">
        <v>0</v>
      </c>
      <c r="AO27" s="101">
        <v>0</v>
      </c>
      <c r="AP27" s="101">
        <v>0</v>
      </c>
      <c r="AQ27" t="s">
        <v>73</v>
      </c>
      <c r="AR27" t="s">
        <v>233</v>
      </c>
      <c r="AS27" t="s">
        <v>276</v>
      </c>
      <c r="AT27" t="s">
        <v>235</v>
      </c>
      <c r="AU27" s="108">
        <v>9.5000000000000001E-2</v>
      </c>
      <c r="AV27" s="7" t="s">
        <v>80</v>
      </c>
      <c r="AW27">
        <v>5.6000000000000001E-2</v>
      </c>
      <c r="AX27">
        <v>0.1</v>
      </c>
      <c r="AY27">
        <v>1</v>
      </c>
      <c r="AZ27">
        <f t="shared" si="11"/>
        <v>1.6964285714285714</v>
      </c>
      <c r="BA27" s="102" t="s">
        <v>73</v>
      </c>
      <c r="BB27" s="102"/>
      <c r="BC27" s="103" t="s">
        <v>73</v>
      </c>
      <c r="BD27" s="103" t="s">
        <v>73</v>
      </c>
      <c r="BE27" s="103" t="s">
        <v>73</v>
      </c>
      <c r="BF27" s="103" t="s">
        <v>73</v>
      </c>
      <c r="BG27" s="103" t="s">
        <v>73</v>
      </c>
      <c r="BH27" s="103" t="s">
        <v>73</v>
      </c>
      <c r="BI27" s="104">
        <v>2433</v>
      </c>
      <c r="BJ27" s="104">
        <v>2433</v>
      </c>
      <c r="BK27" s="103" t="s">
        <v>73</v>
      </c>
      <c r="BL27" s="103" t="s">
        <v>73</v>
      </c>
      <c r="BM27" s="101" t="s">
        <v>73</v>
      </c>
      <c r="BN27" s="101" t="s">
        <v>73</v>
      </c>
      <c r="BO27" s="101" t="s">
        <v>73</v>
      </c>
      <c r="BP27" s="101" t="s">
        <v>73</v>
      </c>
      <c r="BQ27" s="101" t="s">
        <v>73</v>
      </c>
      <c r="BR27" s="101" t="s">
        <v>73</v>
      </c>
      <c r="BS27" s="101" t="s">
        <v>73</v>
      </c>
      <c r="BT27" s="101" t="s">
        <v>73</v>
      </c>
      <c r="BU27" s="101">
        <v>1</v>
      </c>
      <c r="BV27" s="101">
        <v>1</v>
      </c>
      <c r="BW27" s="101">
        <v>1</v>
      </c>
      <c r="BX27" s="30">
        <f t="shared" si="1"/>
        <v>3.4372239036265163E-2</v>
      </c>
      <c r="BY27" s="30">
        <f t="shared" si="2"/>
        <v>3.4385785009859983E-2</v>
      </c>
      <c r="BZ27" s="30">
        <f t="shared" si="3"/>
        <v>4.1118363567940286E-4</v>
      </c>
      <c r="CA27" s="30">
        <f t="shared" si="4"/>
        <v>4.1152263374485596E-4</v>
      </c>
      <c r="CE27" s="30">
        <f t="shared" si="5"/>
        <v>3.4372239036265163E-2</v>
      </c>
      <c r="CF27" s="30">
        <f t="shared" si="6"/>
        <v>3.4385785009859983E-2</v>
      </c>
      <c r="CG27" s="30">
        <f t="shared" si="7"/>
        <v>4.1118363567940286E-4</v>
      </c>
      <c r="CH27" s="30">
        <f t="shared" si="8"/>
        <v>4.1152263374485596E-4</v>
      </c>
    </row>
    <row r="28" spans="1:86" ht="16">
      <c r="A28" s="94" t="s">
        <v>68</v>
      </c>
      <c r="B28" s="94"/>
      <c r="C28" s="94">
        <v>1169</v>
      </c>
      <c r="D28" s="94">
        <v>140</v>
      </c>
      <c r="E28" s="94" t="s">
        <v>277</v>
      </c>
      <c r="F28" s="94">
        <v>2016</v>
      </c>
      <c r="G28" s="58" t="s">
        <v>278</v>
      </c>
      <c r="H28" s="94" t="s">
        <v>279</v>
      </c>
      <c r="I28" s="94">
        <v>1</v>
      </c>
      <c r="J28" s="94" t="s">
        <v>72</v>
      </c>
      <c r="K28" s="94" t="s">
        <v>73</v>
      </c>
      <c r="L28" s="94">
        <v>143</v>
      </c>
      <c r="M28" s="122" t="s">
        <v>120</v>
      </c>
      <c r="N28" t="s">
        <v>226</v>
      </c>
      <c r="O28" s="94" t="s">
        <v>124</v>
      </c>
      <c r="P28" s="94" t="s">
        <v>241</v>
      </c>
      <c r="Q28" s="94" t="s">
        <v>280</v>
      </c>
      <c r="R28" s="94" t="s">
        <v>281</v>
      </c>
      <c r="S28" s="94">
        <v>0</v>
      </c>
      <c r="T28" s="94" t="s">
        <v>230</v>
      </c>
      <c r="U28" s="94">
        <v>0</v>
      </c>
      <c r="V28" s="94" t="s">
        <v>282</v>
      </c>
      <c r="W28" s="94" t="s">
        <v>231</v>
      </c>
      <c r="X28" s="94" t="s">
        <v>283</v>
      </c>
      <c r="Y28" s="94">
        <v>0</v>
      </c>
      <c r="Z28" s="94">
        <v>0</v>
      </c>
      <c r="AA28" s="94">
        <v>0</v>
      </c>
      <c r="AB28" s="94">
        <v>0</v>
      </c>
      <c r="AC28" s="94">
        <v>0</v>
      </c>
      <c r="AD28" s="94">
        <v>0</v>
      </c>
      <c r="AE28" s="94">
        <v>0</v>
      </c>
      <c r="AF28" s="94">
        <v>1</v>
      </c>
      <c r="AG28" s="94" t="s">
        <v>284</v>
      </c>
      <c r="AH28" s="94">
        <v>0</v>
      </c>
      <c r="AI28" s="94">
        <v>0</v>
      </c>
      <c r="AJ28" s="94">
        <v>0</v>
      </c>
      <c r="AK28" s="94">
        <v>0</v>
      </c>
      <c r="AL28" s="94">
        <v>0</v>
      </c>
      <c r="AM28" s="94">
        <v>0</v>
      </c>
      <c r="AN28" s="94">
        <v>0</v>
      </c>
      <c r="AO28" s="94">
        <v>1</v>
      </c>
      <c r="AP28" s="94">
        <v>0</v>
      </c>
      <c r="AQ28" s="94" t="s">
        <v>285</v>
      </c>
      <c r="AR28" s="94" t="s">
        <v>233</v>
      </c>
      <c r="AS28" s="94" t="s">
        <v>286</v>
      </c>
      <c r="AT28" s="41" t="s">
        <v>235</v>
      </c>
      <c r="AU28" s="113">
        <v>3.8109999999999999</v>
      </c>
      <c r="AV28" s="95" t="s">
        <v>86</v>
      </c>
      <c r="AW28" s="94">
        <v>2.3719999999999999</v>
      </c>
      <c r="AX28" s="94">
        <v>0.1</v>
      </c>
      <c r="AY28" s="94">
        <v>2</v>
      </c>
      <c r="AZ28" s="94">
        <f t="shared" si="11"/>
        <v>1.6066610455311974</v>
      </c>
      <c r="BA28" s="114">
        <f>AU28/437.369</f>
        <v>8.7134662035946754E-3</v>
      </c>
      <c r="BB28" s="114"/>
      <c r="BC28" s="94" t="s">
        <v>73</v>
      </c>
      <c r="BD28" s="94" t="s">
        <v>73</v>
      </c>
      <c r="BE28" s="94" t="s">
        <v>73</v>
      </c>
      <c r="BF28" s="94" t="s">
        <v>73</v>
      </c>
      <c r="BG28" s="94" t="s">
        <v>73</v>
      </c>
      <c r="BH28" s="94" t="s">
        <v>73</v>
      </c>
      <c r="BI28" s="115">
        <v>310</v>
      </c>
      <c r="BJ28" s="115">
        <v>310</v>
      </c>
      <c r="BK28" s="94" t="s">
        <v>73</v>
      </c>
      <c r="BL28" s="94" t="s">
        <v>73</v>
      </c>
      <c r="BM28" s="94" t="s">
        <v>73</v>
      </c>
      <c r="BN28" s="94" t="s">
        <v>73</v>
      </c>
      <c r="BO28" s="94" t="s">
        <v>73</v>
      </c>
      <c r="BP28" s="94" t="s">
        <v>73</v>
      </c>
      <c r="BQ28" s="94" t="s">
        <v>73</v>
      </c>
      <c r="BR28" s="94" t="s">
        <v>73</v>
      </c>
      <c r="BS28" s="94" t="s">
        <v>73</v>
      </c>
      <c r="BT28" s="94" t="s">
        <v>73</v>
      </c>
      <c r="BU28" s="94">
        <v>1</v>
      </c>
      <c r="BV28" s="94">
        <v>1</v>
      </c>
      <c r="BW28" s="94">
        <v>1</v>
      </c>
      <c r="BX28" s="30">
        <f t="shared" si="1"/>
        <v>9.0874644742587773E-2</v>
      </c>
      <c r="BY28" s="30">
        <f t="shared" si="2"/>
        <v>9.112604528874467E-2</v>
      </c>
      <c r="BZ28" s="30">
        <f t="shared" si="3"/>
        <v>3.2360227971281281E-3</v>
      </c>
      <c r="CA28" s="30">
        <f t="shared" si="4"/>
        <v>3.2573289902280132E-3</v>
      </c>
      <c r="CB28" s="94"/>
      <c r="CC28" s="94"/>
      <c r="CD28" s="94"/>
      <c r="CE28" s="30">
        <f t="shared" si="5"/>
        <v>9.0874644742587773E-2</v>
      </c>
      <c r="CF28" s="30">
        <f t="shared" si="6"/>
        <v>9.112604528874467E-2</v>
      </c>
      <c r="CG28" s="30">
        <f t="shared" si="7"/>
        <v>3.2360227971281281E-3</v>
      </c>
      <c r="CH28" s="30">
        <f t="shared" si="8"/>
        <v>3.2573289902280132E-3</v>
      </c>
    </row>
    <row r="29" spans="1:86" ht="16">
      <c r="A29" s="94" t="s">
        <v>68</v>
      </c>
      <c r="B29" s="94"/>
      <c r="C29" s="94">
        <v>1170</v>
      </c>
      <c r="D29" s="94">
        <v>140</v>
      </c>
      <c r="E29" s="94" t="s">
        <v>277</v>
      </c>
      <c r="F29" s="94">
        <v>2016</v>
      </c>
      <c r="G29" s="58" t="s">
        <v>278</v>
      </c>
      <c r="H29" s="94" t="s">
        <v>279</v>
      </c>
      <c r="I29" s="94">
        <v>1</v>
      </c>
      <c r="J29" s="94" t="s">
        <v>72</v>
      </c>
      <c r="K29" s="94" t="s">
        <v>73</v>
      </c>
      <c r="L29" s="94">
        <v>143</v>
      </c>
      <c r="M29" s="122" t="s">
        <v>120</v>
      </c>
      <c r="N29" t="s">
        <v>226</v>
      </c>
      <c r="O29" s="94" t="s">
        <v>124</v>
      </c>
      <c r="P29" s="94" t="s">
        <v>241</v>
      </c>
      <c r="Q29" s="94" t="s">
        <v>280</v>
      </c>
      <c r="R29" s="94" t="s">
        <v>281</v>
      </c>
      <c r="S29" s="94">
        <v>0</v>
      </c>
      <c r="T29" s="94" t="s">
        <v>230</v>
      </c>
      <c r="U29" s="94">
        <v>0</v>
      </c>
      <c r="V29" s="94" t="s">
        <v>282</v>
      </c>
      <c r="W29" s="94" t="s">
        <v>231</v>
      </c>
      <c r="X29" s="94" t="s">
        <v>283</v>
      </c>
      <c r="Y29" s="94">
        <v>0</v>
      </c>
      <c r="Z29" s="94">
        <v>0</v>
      </c>
      <c r="AA29" s="94">
        <v>0</v>
      </c>
      <c r="AB29" s="94">
        <v>0</v>
      </c>
      <c r="AC29" s="94">
        <v>0</v>
      </c>
      <c r="AD29" s="94">
        <v>0</v>
      </c>
      <c r="AE29" s="94">
        <v>0</v>
      </c>
      <c r="AF29" s="94">
        <v>1</v>
      </c>
      <c r="AG29" s="94" t="s">
        <v>284</v>
      </c>
      <c r="AH29" s="94">
        <v>0</v>
      </c>
      <c r="AI29" s="94">
        <v>0</v>
      </c>
      <c r="AJ29" s="94">
        <v>0</v>
      </c>
      <c r="AK29" s="94">
        <v>0</v>
      </c>
      <c r="AL29" s="94">
        <v>0</v>
      </c>
      <c r="AM29" s="94">
        <v>0</v>
      </c>
      <c r="AN29" s="94">
        <v>0</v>
      </c>
      <c r="AO29" s="94">
        <v>1</v>
      </c>
      <c r="AP29" s="94">
        <v>0</v>
      </c>
      <c r="AQ29" s="94" t="s">
        <v>287</v>
      </c>
      <c r="AR29" s="94" t="s">
        <v>233</v>
      </c>
      <c r="AS29" t="s">
        <v>286</v>
      </c>
      <c r="AT29" s="41" t="s">
        <v>235</v>
      </c>
      <c r="AU29" s="113">
        <v>1.9039999999999999</v>
      </c>
      <c r="AV29" s="95" t="s">
        <v>86</v>
      </c>
      <c r="AW29" s="116">
        <v>2.82</v>
      </c>
      <c r="AX29" s="94">
        <v>0.1</v>
      </c>
      <c r="AY29" s="94">
        <v>2</v>
      </c>
      <c r="AZ29" s="94">
        <f t="shared" si="11"/>
        <v>0.67517730496453898</v>
      </c>
      <c r="BA29" s="114">
        <f t="shared" ref="BA29:BA30" si="12">AU29/437.369</f>
        <v>4.3533035034490327E-3</v>
      </c>
      <c r="BB29" s="114"/>
      <c r="BC29" s="94" t="s">
        <v>73</v>
      </c>
      <c r="BD29" s="94" t="s">
        <v>73</v>
      </c>
      <c r="BE29" s="94" t="s">
        <v>73</v>
      </c>
      <c r="BF29" s="94" t="s">
        <v>73</v>
      </c>
      <c r="BG29" s="94" t="s">
        <v>73</v>
      </c>
      <c r="BH29" s="94" t="s">
        <v>73</v>
      </c>
      <c r="BI29" s="115">
        <v>310</v>
      </c>
      <c r="BJ29" s="115">
        <v>310</v>
      </c>
      <c r="BK29" s="94" t="s">
        <v>73</v>
      </c>
      <c r="BL29" s="94" t="s">
        <v>73</v>
      </c>
      <c r="BM29" s="94" t="s">
        <v>73</v>
      </c>
      <c r="BN29" s="94" t="s">
        <v>73</v>
      </c>
      <c r="BO29" s="94" t="s">
        <v>73</v>
      </c>
      <c r="BP29" s="94" t="s">
        <v>73</v>
      </c>
      <c r="BQ29" s="94" t="s">
        <v>73</v>
      </c>
      <c r="BR29" s="94" t="s">
        <v>73</v>
      </c>
      <c r="BS29" s="94" t="s">
        <v>73</v>
      </c>
      <c r="BT29" s="94" t="s">
        <v>73</v>
      </c>
      <c r="BU29" s="94">
        <v>1</v>
      </c>
      <c r="BV29" s="94">
        <v>1</v>
      </c>
      <c r="BW29" s="94">
        <v>1</v>
      </c>
      <c r="BX29" s="30">
        <f t="shared" si="1"/>
        <v>3.8319329539764628E-2</v>
      </c>
      <c r="BY29" s="30">
        <f t="shared" si="2"/>
        <v>3.8338101745567565E-2</v>
      </c>
      <c r="BZ29" s="30">
        <f t="shared" si="3"/>
        <v>3.2362389632958908E-3</v>
      </c>
      <c r="CA29" s="30">
        <f t="shared" si="4"/>
        <v>3.2573289902280132E-3</v>
      </c>
      <c r="CB29" s="94"/>
      <c r="CC29" s="94"/>
      <c r="CD29" s="94"/>
      <c r="CE29" s="30">
        <f t="shared" si="5"/>
        <v>3.8319329539764628E-2</v>
      </c>
      <c r="CF29" s="30">
        <f t="shared" si="6"/>
        <v>3.8338101745567565E-2</v>
      </c>
      <c r="CG29" s="30">
        <f t="shared" si="7"/>
        <v>3.2362389632958908E-3</v>
      </c>
      <c r="CH29" s="30">
        <f t="shared" si="8"/>
        <v>3.2573289902280132E-3</v>
      </c>
    </row>
    <row r="30" spans="1:86" ht="16">
      <c r="A30" s="94" t="s">
        <v>68</v>
      </c>
      <c r="B30" s="94"/>
      <c r="C30" s="94">
        <v>1171</v>
      </c>
      <c r="D30" s="94">
        <v>140</v>
      </c>
      <c r="E30" s="94" t="s">
        <v>277</v>
      </c>
      <c r="F30" s="94">
        <v>2016</v>
      </c>
      <c r="G30" s="58" t="s">
        <v>278</v>
      </c>
      <c r="H30" s="94" t="s">
        <v>279</v>
      </c>
      <c r="I30" s="94">
        <v>1</v>
      </c>
      <c r="J30" s="94" t="s">
        <v>72</v>
      </c>
      <c r="K30" s="94" t="s">
        <v>73</v>
      </c>
      <c r="L30" s="94">
        <v>143</v>
      </c>
      <c r="M30" s="122" t="s">
        <v>120</v>
      </c>
      <c r="N30" t="s">
        <v>226</v>
      </c>
      <c r="O30" s="94" t="s">
        <v>124</v>
      </c>
      <c r="P30" s="94" t="s">
        <v>241</v>
      </c>
      <c r="Q30" s="94" t="s">
        <v>280</v>
      </c>
      <c r="R30" s="94" t="s">
        <v>281</v>
      </c>
      <c r="S30" s="94">
        <v>0</v>
      </c>
      <c r="T30" s="94" t="s">
        <v>230</v>
      </c>
      <c r="U30" s="94">
        <v>0</v>
      </c>
      <c r="V30" s="94" t="s">
        <v>282</v>
      </c>
      <c r="W30" s="94" t="s">
        <v>231</v>
      </c>
      <c r="X30" s="94" t="s">
        <v>283</v>
      </c>
      <c r="Y30" s="94">
        <v>0</v>
      </c>
      <c r="Z30" s="94">
        <v>0</v>
      </c>
      <c r="AA30" s="94">
        <v>0</v>
      </c>
      <c r="AB30" s="94">
        <v>0</v>
      </c>
      <c r="AC30" s="94">
        <v>0</v>
      </c>
      <c r="AD30" s="94">
        <v>0</v>
      </c>
      <c r="AE30" s="94">
        <v>0</v>
      </c>
      <c r="AF30" s="94">
        <v>1</v>
      </c>
      <c r="AG30" s="94" t="s">
        <v>284</v>
      </c>
      <c r="AH30" s="94">
        <v>0</v>
      </c>
      <c r="AI30" s="94">
        <v>0</v>
      </c>
      <c r="AJ30" s="94">
        <v>0</v>
      </c>
      <c r="AK30" s="94">
        <v>0</v>
      </c>
      <c r="AL30" s="94">
        <v>0</v>
      </c>
      <c r="AM30" s="94">
        <v>0</v>
      </c>
      <c r="AN30" s="94">
        <v>0</v>
      </c>
      <c r="AO30" s="94">
        <v>1</v>
      </c>
      <c r="AP30" s="94">
        <v>0</v>
      </c>
      <c r="AQ30" s="94" t="s">
        <v>288</v>
      </c>
      <c r="AR30" s="94" t="s">
        <v>233</v>
      </c>
      <c r="AS30" t="s">
        <v>286</v>
      </c>
      <c r="AT30" s="41" t="s">
        <v>235</v>
      </c>
      <c r="AU30" s="113">
        <v>6.681</v>
      </c>
      <c r="AV30" s="95" t="s">
        <v>86</v>
      </c>
      <c r="AW30" s="94">
        <v>3.4260000000000002</v>
      </c>
      <c r="AX30" s="94">
        <v>0.1</v>
      </c>
      <c r="AY30" s="94">
        <v>1</v>
      </c>
      <c r="AZ30" s="94">
        <f t="shared" si="11"/>
        <v>1.9500875656742556</v>
      </c>
      <c r="BA30" s="114">
        <f t="shared" si="12"/>
        <v>1.5275431043352409E-2</v>
      </c>
      <c r="BB30" s="114"/>
      <c r="BC30" s="94" t="s">
        <v>73</v>
      </c>
      <c r="BD30" s="94" t="s">
        <v>73</v>
      </c>
      <c r="BE30" s="94" t="s">
        <v>73</v>
      </c>
      <c r="BF30" s="94" t="s">
        <v>73</v>
      </c>
      <c r="BG30" s="94" t="s">
        <v>73</v>
      </c>
      <c r="BH30" s="94" t="s">
        <v>73</v>
      </c>
      <c r="BI30" s="115">
        <v>310</v>
      </c>
      <c r="BJ30" s="115">
        <v>310</v>
      </c>
      <c r="BK30" s="94" t="s">
        <v>73</v>
      </c>
      <c r="BL30" s="94" t="s">
        <v>73</v>
      </c>
      <c r="BM30" s="94" t="s">
        <v>73</v>
      </c>
      <c r="BN30" s="94" t="s">
        <v>73</v>
      </c>
      <c r="BO30" s="94" t="s">
        <v>73</v>
      </c>
      <c r="BP30" s="94" t="s">
        <v>73</v>
      </c>
      <c r="BQ30" s="94" t="s">
        <v>73</v>
      </c>
      <c r="BR30" s="94" t="s">
        <v>73</v>
      </c>
      <c r="BS30" s="94" t="s">
        <v>73</v>
      </c>
      <c r="BT30" s="94" t="s">
        <v>73</v>
      </c>
      <c r="BU30" s="94">
        <v>1</v>
      </c>
      <c r="BV30" s="94">
        <v>1</v>
      </c>
      <c r="BW30" s="94">
        <v>1</v>
      </c>
      <c r="BX30" s="30">
        <f t="shared" si="1"/>
        <v>0.11008437401907406</v>
      </c>
      <c r="BY30" s="30">
        <f t="shared" si="2"/>
        <v>0.11053232404190938</v>
      </c>
      <c r="BZ30" s="30">
        <f t="shared" si="3"/>
        <v>3.235762897306693E-3</v>
      </c>
      <c r="CA30" s="30">
        <f t="shared" si="4"/>
        <v>3.2573289902280132E-3</v>
      </c>
      <c r="CB30" s="94"/>
      <c r="CC30" s="94"/>
      <c r="CD30" s="94"/>
      <c r="CE30" s="30">
        <f t="shared" si="5"/>
        <v>0.11008437401907406</v>
      </c>
      <c r="CF30" s="30">
        <f t="shared" si="6"/>
        <v>0.11053232404190938</v>
      </c>
      <c r="CG30" s="30">
        <f t="shared" si="7"/>
        <v>3.235762897306693E-3</v>
      </c>
      <c r="CH30" s="30">
        <f t="shared" si="8"/>
        <v>3.2573289902280132E-3</v>
      </c>
    </row>
    <row r="31" spans="1:86" ht="16">
      <c r="A31" s="94" t="s">
        <v>68</v>
      </c>
      <c r="B31" s="94"/>
      <c r="C31" s="94">
        <v>1290</v>
      </c>
      <c r="D31" s="94">
        <v>148</v>
      </c>
      <c r="E31" s="96" t="s">
        <v>618</v>
      </c>
      <c r="F31" s="94">
        <v>2016</v>
      </c>
      <c r="G31" s="97" t="s">
        <v>289</v>
      </c>
      <c r="H31" s="94" t="s">
        <v>177</v>
      </c>
      <c r="I31" s="94">
        <v>1</v>
      </c>
      <c r="J31" s="94">
        <v>2011</v>
      </c>
      <c r="K31" s="94" t="s">
        <v>73</v>
      </c>
      <c r="L31" s="94">
        <v>280</v>
      </c>
      <c r="M31" s="122" t="s">
        <v>93</v>
      </c>
      <c r="N31" s="94" t="s">
        <v>290</v>
      </c>
      <c r="O31" s="94" t="s">
        <v>81</v>
      </c>
      <c r="P31" s="94" t="s">
        <v>241</v>
      </c>
      <c r="Q31" s="94" t="s">
        <v>228</v>
      </c>
      <c r="R31" s="94" t="s">
        <v>229</v>
      </c>
      <c r="S31" s="94">
        <v>0</v>
      </c>
      <c r="T31" s="94" t="s">
        <v>189</v>
      </c>
      <c r="U31" s="94">
        <v>0</v>
      </c>
      <c r="V31" s="94" t="s">
        <v>282</v>
      </c>
      <c r="W31" s="94" t="s">
        <v>231</v>
      </c>
      <c r="X31" s="94" t="s">
        <v>180</v>
      </c>
      <c r="Y31" s="94">
        <v>0</v>
      </c>
      <c r="Z31" s="94">
        <v>0</v>
      </c>
      <c r="AA31" s="94">
        <v>0</v>
      </c>
      <c r="AB31" s="94">
        <v>1</v>
      </c>
      <c r="AC31" s="94">
        <v>0</v>
      </c>
      <c r="AD31" s="94">
        <v>0</v>
      </c>
      <c r="AE31" s="94">
        <v>0</v>
      </c>
      <c r="AF31" s="94">
        <v>0</v>
      </c>
      <c r="AG31" s="94" t="s">
        <v>73</v>
      </c>
      <c r="AH31" s="94">
        <v>0</v>
      </c>
      <c r="AI31" s="94">
        <v>0</v>
      </c>
      <c r="AJ31" s="94">
        <v>0</v>
      </c>
      <c r="AK31" s="94">
        <v>0</v>
      </c>
      <c r="AL31" s="94">
        <v>1</v>
      </c>
      <c r="AM31" s="94">
        <v>0</v>
      </c>
      <c r="AN31" s="94">
        <v>0</v>
      </c>
      <c r="AO31" s="94">
        <v>0</v>
      </c>
      <c r="AP31" s="94">
        <v>0</v>
      </c>
      <c r="AQ31" s="94" t="s">
        <v>291</v>
      </c>
      <c r="AR31" s="94" t="s">
        <v>233</v>
      </c>
      <c r="AS31" s="94" t="s">
        <v>292</v>
      </c>
      <c r="AT31" s="94" t="s">
        <v>235</v>
      </c>
      <c r="AU31" s="98">
        <v>3.5900000000000001E-2</v>
      </c>
      <c r="AV31" s="95" t="s">
        <v>86</v>
      </c>
      <c r="AW31" s="94">
        <f>AU31/AZ31</f>
        <v>3.5544554455445548E-2</v>
      </c>
      <c r="AX31" s="94" t="s">
        <v>73</v>
      </c>
      <c r="AY31" s="94">
        <v>3</v>
      </c>
      <c r="AZ31" s="94">
        <v>1.01</v>
      </c>
      <c r="BA31" s="124">
        <v>0.08</v>
      </c>
      <c r="BB31" s="99"/>
      <c r="BC31" s="94" t="s">
        <v>73</v>
      </c>
      <c r="BD31" s="94" t="s">
        <v>73</v>
      </c>
      <c r="BE31" s="94" t="s">
        <v>73</v>
      </c>
      <c r="BF31" s="94" t="s">
        <v>73</v>
      </c>
      <c r="BG31" s="94" t="s">
        <v>73</v>
      </c>
      <c r="BH31" s="94" t="s">
        <v>73</v>
      </c>
      <c r="BI31" s="94">
        <v>1153</v>
      </c>
      <c r="BJ31" s="94">
        <v>13923</v>
      </c>
      <c r="BK31" s="94" t="s">
        <v>73</v>
      </c>
      <c r="BL31" s="94" t="s">
        <v>73</v>
      </c>
      <c r="BM31" s="94" t="s">
        <v>293</v>
      </c>
      <c r="BN31" t="s">
        <v>73</v>
      </c>
      <c r="BO31" t="s">
        <v>294</v>
      </c>
      <c r="BP31" s="94" t="s">
        <v>73</v>
      </c>
      <c r="BQ31" s="94" t="s">
        <v>73</v>
      </c>
      <c r="BR31" s="94" t="s">
        <v>73</v>
      </c>
      <c r="BS31" s="94" t="s">
        <v>73</v>
      </c>
      <c r="BT31" s="94" t="s">
        <v>73</v>
      </c>
      <c r="BU31" s="94">
        <v>1</v>
      </c>
      <c r="BV31" s="94">
        <v>1</v>
      </c>
      <c r="BW31" s="94">
        <v>1</v>
      </c>
      <c r="BX31" s="30">
        <f t="shared" si="1"/>
        <v>2.9731353950735877E-2</v>
      </c>
      <c r="BY31" s="30">
        <f t="shared" si="2"/>
        <v>2.9740118977144511E-2</v>
      </c>
      <c r="BZ31" s="30">
        <f t="shared" si="3"/>
        <v>8.6805487647964076E-4</v>
      </c>
      <c r="CA31" s="30">
        <f t="shared" si="4"/>
        <v>8.6956521739130438E-4</v>
      </c>
      <c r="CB31" s="94"/>
      <c r="CC31" s="94"/>
      <c r="CD31" s="94"/>
      <c r="CE31" s="30">
        <f t="shared" si="5"/>
        <v>8.5593158559973195E-3</v>
      </c>
      <c r="CF31" s="30">
        <f t="shared" si="6"/>
        <v>8.5595248890655371E-3</v>
      </c>
      <c r="CG31" s="30">
        <f t="shared" si="7"/>
        <v>7.1828759850033863E-5</v>
      </c>
      <c r="CH31" s="30">
        <f t="shared" si="8"/>
        <v>7.1839080459770114E-5</v>
      </c>
    </row>
    <row r="32" spans="1:86" ht="16">
      <c r="A32" t="s">
        <v>68</v>
      </c>
      <c r="C32" s="94">
        <v>1292</v>
      </c>
      <c r="D32">
        <v>150</v>
      </c>
      <c r="E32" t="s">
        <v>295</v>
      </c>
      <c r="F32">
        <v>2014</v>
      </c>
      <c r="G32" s="10" t="s">
        <v>127</v>
      </c>
      <c r="H32" t="s">
        <v>128</v>
      </c>
      <c r="I32">
        <v>1</v>
      </c>
      <c r="J32" s="94" t="s">
        <v>129</v>
      </c>
      <c r="K32" s="94" t="s">
        <v>73</v>
      </c>
      <c r="L32" s="94">
        <v>222</v>
      </c>
      <c r="M32" s="122" t="s">
        <v>120</v>
      </c>
      <c r="N32" t="s">
        <v>290</v>
      </c>
      <c r="O32" t="s">
        <v>131</v>
      </c>
      <c r="P32" t="s">
        <v>241</v>
      </c>
      <c r="Q32" t="s">
        <v>228</v>
      </c>
      <c r="R32" t="s">
        <v>264</v>
      </c>
      <c r="S32">
        <v>0</v>
      </c>
      <c r="T32" t="s">
        <v>189</v>
      </c>
      <c r="U32">
        <v>0</v>
      </c>
      <c r="V32" s="94" t="s">
        <v>231</v>
      </c>
      <c r="W32" s="94" t="s">
        <v>231</v>
      </c>
      <c r="X32" s="94" t="s">
        <v>73</v>
      </c>
      <c r="Y32">
        <v>0</v>
      </c>
      <c r="Z32">
        <v>0</v>
      </c>
      <c r="AA32">
        <v>0</v>
      </c>
      <c r="AB32">
        <v>1</v>
      </c>
      <c r="AC32">
        <v>0</v>
      </c>
      <c r="AD32">
        <v>0</v>
      </c>
      <c r="AE32">
        <v>0</v>
      </c>
      <c r="AF32">
        <v>0</v>
      </c>
      <c r="AG32" t="s">
        <v>73</v>
      </c>
      <c r="AH32">
        <v>0</v>
      </c>
      <c r="AI32">
        <v>0</v>
      </c>
      <c r="AJ32">
        <v>0</v>
      </c>
      <c r="AK32">
        <v>1</v>
      </c>
      <c r="AL32">
        <v>0</v>
      </c>
      <c r="AM32">
        <v>0</v>
      </c>
      <c r="AN32">
        <v>0</v>
      </c>
      <c r="AO32">
        <v>0</v>
      </c>
      <c r="AP32" s="10">
        <v>0</v>
      </c>
      <c r="AQ32" t="s">
        <v>296</v>
      </c>
      <c r="AR32" t="s">
        <v>233</v>
      </c>
      <c r="AS32" s="94" t="s">
        <v>130</v>
      </c>
      <c r="AT32" t="s">
        <v>73</v>
      </c>
      <c r="AU32" s="110">
        <v>0.08</v>
      </c>
      <c r="AV32" s="95" t="s">
        <v>86</v>
      </c>
      <c r="AW32" s="94">
        <f>AU32/AZ32</f>
        <v>4.9122807017543853E-3</v>
      </c>
      <c r="AX32" s="94">
        <v>0.05</v>
      </c>
      <c r="AY32" s="94">
        <v>1</v>
      </c>
      <c r="AZ32" s="94">
        <v>16.285714285714288</v>
      </c>
      <c r="BA32" s="125">
        <v>0.08</v>
      </c>
      <c r="BB32" s="111"/>
      <c r="BC32" s="94" t="s">
        <v>73</v>
      </c>
      <c r="BD32" s="94" t="s">
        <v>73</v>
      </c>
      <c r="BE32" s="94" t="s">
        <v>73</v>
      </c>
      <c r="BF32" s="94" t="s">
        <v>73</v>
      </c>
      <c r="BG32" s="94" t="s">
        <v>73</v>
      </c>
      <c r="BH32" s="94" t="s">
        <v>73</v>
      </c>
      <c r="BI32" s="94">
        <v>957080</v>
      </c>
      <c r="BJ32" s="94">
        <v>957080</v>
      </c>
      <c r="BK32" s="94" t="s">
        <v>73</v>
      </c>
      <c r="BL32" s="94" t="s">
        <v>73</v>
      </c>
      <c r="BM32" t="s">
        <v>297</v>
      </c>
      <c r="BN32" t="s">
        <v>73</v>
      </c>
      <c r="BO32" t="s">
        <v>258</v>
      </c>
      <c r="BP32" t="s">
        <v>73</v>
      </c>
      <c r="BQ32" t="s">
        <v>73</v>
      </c>
      <c r="BR32" t="s">
        <v>73</v>
      </c>
      <c r="BS32" t="s">
        <v>73</v>
      </c>
      <c r="BT32" t="s">
        <v>73</v>
      </c>
      <c r="BU32">
        <v>1</v>
      </c>
      <c r="BV32">
        <v>0</v>
      </c>
      <c r="BW32">
        <v>1</v>
      </c>
      <c r="BX32" s="30">
        <f t="shared" si="1"/>
        <v>1.6644567843645545E-2</v>
      </c>
      <c r="BY32" s="30">
        <f t="shared" si="2"/>
        <v>1.6646105178647452E-2</v>
      </c>
      <c r="BZ32" s="30">
        <f t="shared" si="3"/>
        <v>1.0448457475501714E-6</v>
      </c>
      <c r="CA32" s="30">
        <f t="shared" si="4"/>
        <v>1.0448480111840532E-6</v>
      </c>
      <c r="CE32" s="30">
        <f t="shared" si="5"/>
        <v>1.6644567843645545E-2</v>
      </c>
      <c r="CF32" s="30">
        <f t="shared" si="6"/>
        <v>1.6646105178647452E-2</v>
      </c>
      <c r="CG32" s="30">
        <f t="shared" si="7"/>
        <v>1.0448457475501714E-6</v>
      </c>
      <c r="CH32" s="30">
        <f t="shared" si="8"/>
        <v>1.0448480111840532E-6</v>
      </c>
    </row>
    <row r="33" spans="1:86" ht="16">
      <c r="A33" t="s">
        <v>68</v>
      </c>
      <c r="C33" s="94">
        <v>1293</v>
      </c>
      <c r="D33">
        <v>150</v>
      </c>
      <c r="E33" t="s">
        <v>295</v>
      </c>
      <c r="F33">
        <v>2014</v>
      </c>
      <c r="G33" s="10" t="s">
        <v>127</v>
      </c>
      <c r="H33" t="s">
        <v>128</v>
      </c>
      <c r="I33">
        <v>1</v>
      </c>
      <c r="J33" s="94" t="s">
        <v>129</v>
      </c>
      <c r="K33" s="94" t="s">
        <v>73</v>
      </c>
      <c r="L33" s="94">
        <v>222</v>
      </c>
      <c r="M33" s="122" t="s">
        <v>120</v>
      </c>
      <c r="N33" t="s">
        <v>290</v>
      </c>
      <c r="O33" t="s">
        <v>131</v>
      </c>
      <c r="P33" t="s">
        <v>241</v>
      </c>
      <c r="Q33" t="s">
        <v>228</v>
      </c>
      <c r="R33" t="s">
        <v>264</v>
      </c>
      <c r="S33">
        <v>0</v>
      </c>
      <c r="T33" t="s">
        <v>189</v>
      </c>
      <c r="U33">
        <v>0</v>
      </c>
      <c r="V33" s="94" t="s">
        <v>231</v>
      </c>
      <c r="W33" s="94" t="s">
        <v>231</v>
      </c>
      <c r="X33" s="94" t="s">
        <v>73</v>
      </c>
      <c r="Y33">
        <v>0</v>
      </c>
      <c r="Z33">
        <v>0</v>
      </c>
      <c r="AA33">
        <v>0</v>
      </c>
      <c r="AB33">
        <v>1</v>
      </c>
      <c r="AC33">
        <v>0</v>
      </c>
      <c r="AD33">
        <v>0</v>
      </c>
      <c r="AE33">
        <v>0</v>
      </c>
      <c r="AF33">
        <v>0</v>
      </c>
      <c r="AG33" t="s">
        <v>73</v>
      </c>
      <c r="AH33">
        <v>0</v>
      </c>
      <c r="AI33">
        <v>0</v>
      </c>
      <c r="AJ33">
        <v>0</v>
      </c>
      <c r="AK33">
        <v>1</v>
      </c>
      <c r="AL33">
        <v>0</v>
      </c>
      <c r="AM33">
        <v>0</v>
      </c>
      <c r="AN33">
        <v>0</v>
      </c>
      <c r="AO33">
        <v>0</v>
      </c>
      <c r="AP33" s="10">
        <v>0</v>
      </c>
      <c r="AQ33" t="s">
        <v>296</v>
      </c>
      <c r="AR33" t="s">
        <v>233</v>
      </c>
      <c r="AS33" s="94" t="s">
        <v>130</v>
      </c>
      <c r="AT33" t="s">
        <v>73</v>
      </c>
      <c r="AU33" s="110">
        <v>0.08</v>
      </c>
      <c r="AV33" s="95" t="s">
        <v>86</v>
      </c>
      <c r="AW33" s="94">
        <f t="shared" ref="AW33:AW35" si="13">AU33/AZ33</f>
        <v>5.0420168067226894E-3</v>
      </c>
      <c r="AX33" s="94">
        <v>0.05</v>
      </c>
      <c r="AY33" s="94">
        <v>1</v>
      </c>
      <c r="AZ33" s="94">
        <v>15.866666666666667</v>
      </c>
      <c r="BA33" s="125">
        <v>0.08</v>
      </c>
      <c r="BB33" s="111"/>
      <c r="BC33" s="94" t="s">
        <v>73</v>
      </c>
      <c r="BD33" s="94" t="s">
        <v>73</v>
      </c>
      <c r="BE33" s="94" t="s">
        <v>73</v>
      </c>
      <c r="BF33" s="94" t="s">
        <v>73</v>
      </c>
      <c r="BG33" s="94" t="s">
        <v>73</v>
      </c>
      <c r="BH33" s="94" t="s">
        <v>73</v>
      </c>
      <c r="BI33" s="94">
        <v>957080</v>
      </c>
      <c r="BJ33" s="94">
        <v>957080</v>
      </c>
      <c r="BK33" s="94" t="s">
        <v>73</v>
      </c>
      <c r="BL33" s="94" t="s">
        <v>73</v>
      </c>
      <c r="BM33" t="s">
        <v>297</v>
      </c>
      <c r="BN33" t="s">
        <v>73</v>
      </c>
      <c r="BO33" t="s">
        <v>258</v>
      </c>
      <c r="BP33" t="s">
        <v>73</v>
      </c>
      <c r="BQ33" t="s">
        <v>73</v>
      </c>
      <c r="BR33" t="s">
        <v>73</v>
      </c>
      <c r="BS33" t="s">
        <v>73</v>
      </c>
      <c r="BT33" t="s">
        <v>73</v>
      </c>
      <c r="BU33">
        <v>1</v>
      </c>
      <c r="BV33">
        <v>0</v>
      </c>
      <c r="BW33">
        <v>1</v>
      </c>
      <c r="BX33" s="30">
        <f t="shared" si="1"/>
        <v>1.6216400678486488E-2</v>
      </c>
      <c r="BY33" s="30">
        <f t="shared" si="2"/>
        <v>1.6217822387367728E-2</v>
      </c>
      <c r="BZ33" s="30">
        <f t="shared" si="3"/>
        <v>1.0448457554931792E-6</v>
      </c>
      <c r="CA33" s="30">
        <f t="shared" si="4"/>
        <v>1.0448480111840532E-6</v>
      </c>
      <c r="CE33" s="30">
        <f t="shared" si="5"/>
        <v>1.6216400678486488E-2</v>
      </c>
      <c r="CF33" s="30">
        <f t="shared" si="6"/>
        <v>1.6217822387367728E-2</v>
      </c>
      <c r="CG33" s="30">
        <f t="shared" si="7"/>
        <v>1.0448457554931792E-6</v>
      </c>
      <c r="CH33" s="30">
        <f t="shared" si="8"/>
        <v>1.0448480111840532E-6</v>
      </c>
    </row>
    <row r="34" spans="1:86" ht="16">
      <c r="A34" t="s">
        <v>68</v>
      </c>
      <c r="C34" s="94">
        <v>1294</v>
      </c>
      <c r="D34">
        <v>150</v>
      </c>
      <c r="E34" t="s">
        <v>295</v>
      </c>
      <c r="F34">
        <v>2014</v>
      </c>
      <c r="G34" s="10" t="s">
        <v>127</v>
      </c>
      <c r="H34" t="s">
        <v>128</v>
      </c>
      <c r="I34">
        <v>1</v>
      </c>
      <c r="J34" s="94" t="s">
        <v>129</v>
      </c>
      <c r="K34" s="94" t="s">
        <v>73</v>
      </c>
      <c r="L34" s="94">
        <v>222</v>
      </c>
      <c r="M34" s="122" t="s">
        <v>120</v>
      </c>
      <c r="N34" t="s">
        <v>290</v>
      </c>
      <c r="O34" t="s">
        <v>131</v>
      </c>
      <c r="P34" t="s">
        <v>241</v>
      </c>
      <c r="Q34" t="s">
        <v>228</v>
      </c>
      <c r="R34" t="s">
        <v>264</v>
      </c>
      <c r="S34">
        <v>0</v>
      </c>
      <c r="T34" t="s">
        <v>189</v>
      </c>
      <c r="U34">
        <v>0</v>
      </c>
      <c r="V34" s="94" t="s">
        <v>231</v>
      </c>
      <c r="W34" s="94" t="s">
        <v>231</v>
      </c>
      <c r="X34" s="94" t="s">
        <v>73</v>
      </c>
      <c r="Y34">
        <v>0</v>
      </c>
      <c r="Z34">
        <v>0</v>
      </c>
      <c r="AA34">
        <v>0</v>
      </c>
      <c r="AB34">
        <v>1</v>
      </c>
      <c r="AC34">
        <v>0</v>
      </c>
      <c r="AD34">
        <v>0</v>
      </c>
      <c r="AE34">
        <v>0</v>
      </c>
      <c r="AF34">
        <v>0</v>
      </c>
      <c r="AG34" t="s">
        <v>73</v>
      </c>
      <c r="AH34">
        <v>0</v>
      </c>
      <c r="AI34">
        <v>0</v>
      </c>
      <c r="AJ34">
        <v>0</v>
      </c>
      <c r="AK34">
        <v>0</v>
      </c>
      <c r="AL34">
        <v>0</v>
      </c>
      <c r="AM34">
        <v>0</v>
      </c>
      <c r="AN34">
        <v>0</v>
      </c>
      <c r="AO34">
        <v>1</v>
      </c>
      <c r="AP34" s="10">
        <v>0</v>
      </c>
      <c r="AQ34" t="s">
        <v>296</v>
      </c>
      <c r="AR34" t="s">
        <v>233</v>
      </c>
      <c r="AS34" s="94" t="s">
        <v>130</v>
      </c>
      <c r="AT34" t="s">
        <v>73</v>
      </c>
      <c r="AU34" s="110">
        <v>0.02</v>
      </c>
      <c r="AV34" s="95" t="s">
        <v>80</v>
      </c>
      <c r="AW34" s="94">
        <f t="shared" si="13"/>
        <v>1.7142857142857144E-2</v>
      </c>
      <c r="AX34" s="94">
        <v>0.1</v>
      </c>
      <c r="AY34" s="112">
        <v>2</v>
      </c>
      <c r="AZ34" s="94">
        <v>1.1666666666666667</v>
      </c>
      <c r="BA34" s="125">
        <v>0.02</v>
      </c>
      <c r="BB34" s="111"/>
      <c r="BC34" s="94" t="s">
        <v>73</v>
      </c>
      <c r="BD34" s="94" t="s">
        <v>73</v>
      </c>
      <c r="BE34" s="94" t="s">
        <v>73</v>
      </c>
      <c r="BF34" s="94" t="s">
        <v>73</v>
      </c>
      <c r="BG34" s="94" t="s">
        <v>73</v>
      </c>
      <c r="BH34" s="94" t="s">
        <v>73</v>
      </c>
      <c r="BI34" s="94">
        <v>957080</v>
      </c>
      <c r="BJ34" s="94">
        <v>957080</v>
      </c>
      <c r="BK34" s="94" t="s">
        <v>73</v>
      </c>
      <c r="BL34" s="94" t="s">
        <v>73</v>
      </c>
      <c r="BM34" t="s">
        <v>297</v>
      </c>
      <c r="BN34" t="s">
        <v>73</v>
      </c>
      <c r="BO34" t="s">
        <v>258</v>
      </c>
      <c r="BP34" t="s">
        <v>73</v>
      </c>
      <c r="BQ34" t="s">
        <v>73</v>
      </c>
      <c r="BR34" t="s">
        <v>73</v>
      </c>
      <c r="BS34" t="s">
        <v>73</v>
      </c>
      <c r="BT34" t="s">
        <v>73</v>
      </c>
      <c r="BU34">
        <v>1</v>
      </c>
      <c r="BV34">
        <v>0</v>
      </c>
      <c r="BW34">
        <v>1</v>
      </c>
      <c r="BX34" s="30">
        <f t="shared" si="1"/>
        <v>1.1925383671592018E-3</v>
      </c>
      <c r="BY34" s="30">
        <f t="shared" si="2"/>
        <v>1.1925389324815921E-3</v>
      </c>
      <c r="BZ34" s="30">
        <f t="shared" si="3"/>
        <v>1.0448458277717697E-6</v>
      </c>
      <c r="CA34" s="30">
        <f t="shared" si="4"/>
        <v>1.0448480111840532E-6</v>
      </c>
      <c r="CE34" s="30">
        <f t="shared" si="5"/>
        <v>1.1925383671592018E-3</v>
      </c>
      <c r="CF34" s="30">
        <f t="shared" si="6"/>
        <v>1.1925389324815921E-3</v>
      </c>
      <c r="CG34" s="30">
        <f t="shared" si="7"/>
        <v>1.0448458277717697E-6</v>
      </c>
      <c r="CH34" s="30">
        <f t="shared" si="8"/>
        <v>1.0448480111840532E-6</v>
      </c>
    </row>
    <row r="35" spans="1:86" ht="16">
      <c r="A35" t="s">
        <v>68</v>
      </c>
      <c r="C35" s="94">
        <v>1295</v>
      </c>
      <c r="D35">
        <v>150</v>
      </c>
      <c r="E35" t="s">
        <v>295</v>
      </c>
      <c r="F35">
        <v>2014</v>
      </c>
      <c r="G35" s="10" t="s">
        <v>127</v>
      </c>
      <c r="H35" t="s">
        <v>128</v>
      </c>
      <c r="I35">
        <v>1</v>
      </c>
      <c r="J35" s="94" t="s">
        <v>129</v>
      </c>
      <c r="K35" s="94" t="s">
        <v>73</v>
      </c>
      <c r="L35" s="94">
        <v>222</v>
      </c>
      <c r="M35" s="122" t="s">
        <v>120</v>
      </c>
      <c r="N35" t="s">
        <v>290</v>
      </c>
      <c r="O35" t="s">
        <v>131</v>
      </c>
      <c r="P35" t="s">
        <v>241</v>
      </c>
      <c r="Q35" t="s">
        <v>228</v>
      </c>
      <c r="R35" t="s">
        <v>264</v>
      </c>
      <c r="S35">
        <v>0</v>
      </c>
      <c r="T35" t="s">
        <v>189</v>
      </c>
      <c r="U35">
        <v>0</v>
      </c>
      <c r="V35" s="94" t="s">
        <v>231</v>
      </c>
      <c r="W35" s="94" t="s">
        <v>231</v>
      </c>
      <c r="X35" s="94" t="s">
        <v>73</v>
      </c>
      <c r="Y35">
        <v>0</v>
      </c>
      <c r="Z35">
        <v>0</v>
      </c>
      <c r="AA35">
        <v>0</v>
      </c>
      <c r="AB35">
        <v>1</v>
      </c>
      <c r="AC35">
        <v>0</v>
      </c>
      <c r="AD35">
        <v>0</v>
      </c>
      <c r="AE35">
        <v>0</v>
      </c>
      <c r="AF35">
        <v>0</v>
      </c>
      <c r="AG35" t="s">
        <v>73</v>
      </c>
      <c r="AH35">
        <v>0</v>
      </c>
      <c r="AI35">
        <v>0</v>
      </c>
      <c r="AJ35">
        <v>0</v>
      </c>
      <c r="AK35">
        <v>0</v>
      </c>
      <c r="AL35">
        <v>0</v>
      </c>
      <c r="AM35">
        <v>0</v>
      </c>
      <c r="AN35">
        <v>0</v>
      </c>
      <c r="AO35">
        <v>1</v>
      </c>
      <c r="AP35" s="10">
        <v>0</v>
      </c>
      <c r="AQ35" t="s">
        <v>296</v>
      </c>
      <c r="AR35" t="s">
        <v>233</v>
      </c>
      <c r="AS35" s="94" t="s">
        <v>130</v>
      </c>
      <c r="AT35" t="s">
        <v>73</v>
      </c>
      <c r="AU35" s="110">
        <v>0.02</v>
      </c>
      <c r="AV35" s="95" t="s">
        <v>80</v>
      </c>
      <c r="AW35" s="94">
        <f t="shared" si="13"/>
        <v>2.1666666666666667E-2</v>
      </c>
      <c r="AX35" s="94">
        <v>0.1</v>
      </c>
      <c r="AY35" s="112">
        <v>2</v>
      </c>
      <c r="AZ35" s="94">
        <v>0.92307692307692302</v>
      </c>
      <c r="BA35" s="125">
        <v>0.02</v>
      </c>
      <c r="BB35" s="111"/>
      <c r="BC35" s="94" t="s">
        <v>73</v>
      </c>
      <c r="BD35" s="94" t="s">
        <v>73</v>
      </c>
      <c r="BE35" s="94" t="s">
        <v>73</v>
      </c>
      <c r="BF35" s="94" t="s">
        <v>73</v>
      </c>
      <c r="BG35" s="94" t="s">
        <v>73</v>
      </c>
      <c r="BH35" s="94" t="s">
        <v>73</v>
      </c>
      <c r="BI35" s="94">
        <v>957080</v>
      </c>
      <c r="BJ35" s="94">
        <v>957080</v>
      </c>
      <c r="BK35" s="94" t="s">
        <v>73</v>
      </c>
      <c r="BL35" s="94" t="s">
        <v>73</v>
      </c>
      <c r="BM35" t="s">
        <v>297</v>
      </c>
      <c r="BN35" t="s">
        <v>73</v>
      </c>
      <c r="BO35" t="s">
        <v>258</v>
      </c>
      <c r="BP35" t="s">
        <v>73</v>
      </c>
      <c r="BQ35" t="s">
        <v>73</v>
      </c>
      <c r="BR35" t="s">
        <v>73</v>
      </c>
      <c r="BS35" t="s">
        <v>73</v>
      </c>
      <c r="BT35" t="s">
        <v>73</v>
      </c>
      <c r="BU35">
        <v>1</v>
      </c>
      <c r="BV35">
        <v>0</v>
      </c>
      <c r="BW35">
        <v>1</v>
      </c>
      <c r="BX35" s="30">
        <f t="shared" si="1"/>
        <v>9.4354709087100688E-4</v>
      </c>
      <c r="BY35" s="30">
        <f t="shared" si="2"/>
        <v>9.4354737087855463E-4</v>
      </c>
      <c r="BZ35" s="30">
        <f t="shared" si="3"/>
        <v>1.0448458277730546E-6</v>
      </c>
      <c r="CA35" s="30">
        <f t="shared" si="4"/>
        <v>1.0448480111840532E-6</v>
      </c>
      <c r="CE35" s="30">
        <f t="shared" si="5"/>
        <v>9.4354709087100688E-4</v>
      </c>
      <c r="CF35" s="30">
        <f t="shared" si="6"/>
        <v>9.4354737087855463E-4</v>
      </c>
      <c r="CG35" s="30">
        <f t="shared" si="7"/>
        <v>1.0448458277730546E-6</v>
      </c>
      <c r="CH35" s="30">
        <f t="shared" si="8"/>
        <v>1.0448480111840532E-6</v>
      </c>
    </row>
    <row r="36" spans="1:86" ht="18" customHeight="1">
      <c r="A36" s="11" t="s">
        <v>298</v>
      </c>
      <c r="C36" s="106">
        <v>3049</v>
      </c>
      <c r="D36" s="106">
        <v>313</v>
      </c>
      <c r="E36" t="s">
        <v>299</v>
      </c>
      <c r="F36">
        <v>2014</v>
      </c>
      <c r="G36" t="s">
        <v>300</v>
      </c>
      <c r="H36" t="s">
        <v>301</v>
      </c>
      <c r="I36">
        <v>1</v>
      </c>
      <c r="J36">
        <v>2013</v>
      </c>
      <c r="K36" t="s">
        <v>302</v>
      </c>
      <c r="L36">
        <v>514</v>
      </c>
      <c r="M36" s="18" t="s">
        <v>120</v>
      </c>
      <c r="N36" t="s">
        <v>226</v>
      </c>
      <c r="O36" t="s">
        <v>303</v>
      </c>
      <c r="P36" s="18" t="s">
        <v>241</v>
      </c>
      <c r="Q36" t="s">
        <v>228</v>
      </c>
      <c r="R36" t="s">
        <v>281</v>
      </c>
      <c r="S36">
        <v>1</v>
      </c>
      <c r="T36" t="s">
        <v>230</v>
      </c>
      <c r="U36">
        <v>0</v>
      </c>
      <c r="V36" t="s">
        <v>231</v>
      </c>
      <c r="W36" t="s">
        <v>282</v>
      </c>
      <c r="X36" t="s">
        <v>304</v>
      </c>
      <c r="Y36">
        <v>0</v>
      </c>
      <c r="Z36">
        <v>0</v>
      </c>
      <c r="AA36">
        <v>0</v>
      </c>
      <c r="AB36">
        <v>1</v>
      </c>
      <c r="AC36">
        <v>0</v>
      </c>
      <c r="AD36">
        <v>0</v>
      </c>
      <c r="AE36">
        <v>0</v>
      </c>
      <c r="AF36">
        <v>0</v>
      </c>
      <c r="AG36" t="s">
        <v>73</v>
      </c>
      <c r="AH36">
        <v>1</v>
      </c>
      <c r="AI36">
        <v>0</v>
      </c>
      <c r="AJ36">
        <v>0</v>
      </c>
      <c r="AK36">
        <v>1</v>
      </c>
      <c r="AL36">
        <v>0</v>
      </c>
      <c r="AM36">
        <v>0</v>
      </c>
      <c r="AN36">
        <v>1</v>
      </c>
      <c r="AO36">
        <v>1</v>
      </c>
      <c r="AP36" s="18">
        <v>1</v>
      </c>
      <c r="AQ36" t="s">
        <v>73</v>
      </c>
      <c r="AR36" t="s">
        <v>233</v>
      </c>
      <c r="AS36" t="s">
        <v>305</v>
      </c>
      <c r="AT36" t="s">
        <v>235</v>
      </c>
      <c r="AU36">
        <v>0.154</v>
      </c>
      <c r="AV36" s="7" t="s">
        <v>86</v>
      </c>
      <c r="AW36" s="7">
        <f>AU36/AZ36</f>
        <v>7.8333935905364777E-2</v>
      </c>
      <c r="AX36">
        <v>0.05</v>
      </c>
      <c r="AY36">
        <v>1</v>
      </c>
      <c r="AZ36">
        <f>TINV(AX36,CC36)</f>
        <v>1.965942323976257</v>
      </c>
      <c r="BA36" t="s">
        <v>73</v>
      </c>
      <c r="BC36" t="s">
        <v>73</v>
      </c>
      <c r="BD36" t="s">
        <v>73</v>
      </c>
      <c r="BE36" t="s">
        <v>306</v>
      </c>
      <c r="BF36" t="s">
        <v>73</v>
      </c>
      <c r="BG36" t="s">
        <v>73</v>
      </c>
      <c r="BH36" t="s">
        <v>73</v>
      </c>
      <c r="BI36">
        <v>400</v>
      </c>
      <c r="BJ36">
        <v>400</v>
      </c>
      <c r="BK36" t="s">
        <v>73</v>
      </c>
      <c r="BL36" t="s">
        <v>73</v>
      </c>
      <c r="BM36" t="s">
        <v>307</v>
      </c>
      <c r="BN36" t="s">
        <v>73</v>
      </c>
      <c r="BO36" t="s">
        <v>73</v>
      </c>
      <c r="BP36" t="s">
        <v>73</v>
      </c>
      <c r="BQ36" t="s">
        <v>73</v>
      </c>
      <c r="BR36" t="s">
        <v>73</v>
      </c>
      <c r="BS36" t="s">
        <v>73</v>
      </c>
      <c r="BT36" t="s">
        <v>73</v>
      </c>
      <c r="BU36">
        <v>0</v>
      </c>
      <c r="BV36">
        <v>1</v>
      </c>
      <c r="BW36">
        <v>1</v>
      </c>
      <c r="BX36" s="30">
        <f t="shared" si="1"/>
        <v>9.7825640875171802E-2</v>
      </c>
      <c r="BY36" s="30">
        <f t="shared" si="2"/>
        <v>9.8139504130778904E-2</v>
      </c>
      <c r="BZ36" s="30">
        <f t="shared" si="3"/>
        <v>2.5060331750897343E-3</v>
      </c>
      <c r="CA36" s="30">
        <f t="shared" si="4"/>
        <v>2.5188916876574307E-3</v>
      </c>
      <c r="CC36" s="105">
        <f>BI36-2</f>
        <v>398</v>
      </c>
      <c r="CE36" s="30">
        <f t="shared" si="5"/>
        <v>9.7825640875171802E-2</v>
      </c>
      <c r="CF36" s="30">
        <f t="shared" si="6"/>
        <v>9.8139504130778904E-2</v>
      </c>
      <c r="CG36" s="30">
        <f t="shared" si="7"/>
        <v>2.5060331750897343E-3</v>
      </c>
      <c r="CH36" s="30">
        <f t="shared" si="8"/>
        <v>2.5188916876574307E-3</v>
      </c>
    </row>
    <row r="37" spans="1:86" ht="18" customHeight="1">
      <c r="A37" s="11" t="s">
        <v>298</v>
      </c>
      <c r="C37" s="106">
        <v>3050</v>
      </c>
      <c r="D37" s="106">
        <v>313</v>
      </c>
      <c r="E37" t="s">
        <v>299</v>
      </c>
      <c r="F37">
        <v>2014</v>
      </c>
      <c r="G37" t="s">
        <v>300</v>
      </c>
      <c r="H37" t="s">
        <v>301</v>
      </c>
      <c r="I37">
        <v>1</v>
      </c>
      <c r="J37">
        <v>2013</v>
      </c>
      <c r="K37" t="s">
        <v>302</v>
      </c>
      <c r="L37">
        <v>514</v>
      </c>
      <c r="M37" s="18" t="s">
        <v>120</v>
      </c>
      <c r="N37" t="s">
        <v>226</v>
      </c>
      <c r="O37" t="s">
        <v>303</v>
      </c>
      <c r="P37" s="18" t="s">
        <v>241</v>
      </c>
      <c r="Q37" t="s">
        <v>228</v>
      </c>
      <c r="R37" t="s">
        <v>281</v>
      </c>
      <c r="S37">
        <v>1</v>
      </c>
      <c r="T37" t="s">
        <v>230</v>
      </c>
      <c r="U37">
        <v>0</v>
      </c>
      <c r="V37" t="s">
        <v>231</v>
      </c>
      <c r="W37" t="s">
        <v>282</v>
      </c>
      <c r="X37" t="s">
        <v>304</v>
      </c>
      <c r="Y37">
        <v>0</v>
      </c>
      <c r="Z37">
        <v>0</v>
      </c>
      <c r="AA37">
        <v>0</v>
      </c>
      <c r="AB37">
        <v>1</v>
      </c>
      <c r="AC37">
        <v>0</v>
      </c>
      <c r="AD37">
        <v>0</v>
      </c>
      <c r="AE37">
        <v>0</v>
      </c>
      <c r="AF37">
        <v>0</v>
      </c>
      <c r="AG37" t="s">
        <v>73</v>
      </c>
      <c r="AH37">
        <v>1</v>
      </c>
      <c r="AI37">
        <v>0</v>
      </c>
      <c r="AJ37">
        <v>0</v>
      </c>
      <c r="AK37">
        <v>1</v>
      </c>
      <c r="AL37">
        <v>0</v>
      </c>
      <c r="AM37">
        <v>0</v>
      </c>
      <c r="AN37">
        <v>1</v>
      </c>
      <c r="AO37">
        <v>1</v>
      </c>
      <c r="AP37" s="18">
        <v>1</v>
      </c>
      <c r="AQ37" t="s">
        <v>73</v>
      </c>
      <c r="AR37" t="s">
        <v>233</v>
      </c>
      <c r="AS37" t="s">
        <v>305</v>
      </c>
      <c r="AT37" t="s">
        <v>235</v>
      </c>
      <c r="AU37">
        <v>0.28299999999999997</v>
      </c>
      <c r="AV37" s="7" t="s">
        <v>80</v>
      </c>
      <c r="AW37" s="7">
        <f>AU37/AZ37</f>
        <v>0.10934077767352141</v>
      </c>
      <c r="AX37">
        <v>0.01</v>
      </c>
      <c r="AY37">
        <v>1</v>
      </c>
      <c r="AZ37">
        <f>TINV(AX37,CC37)</f>
        <v>2.5882384049343825</v>
      </c>
      <c r="BA37" t="s">
        <v>73</v>
      </c>
      <c r="BC37" t="s">
        <v>73</v>
      </c>
      <c r="BD37" t="s">
        <v>73</v>
      </c>
      <c r="BE37" t="s">
        <v>306</v>
      </c>
      <c r="BF37" t="s">
        <v>73</v>
      </c>
      <c r="BG37" t="s">
        <v>73</v>
      </c>
      <c r="BH37" t="s">
        <v>73</v>
      </c>
      <c r="BI37">
        <v>400</v>
      </c>
      <c r="BJ37">
        <v>400</v>
      </c>
      <c r="BK37" t="s">
        <v>73</v>
      </c>
      <c r="BL37" t="s">
        <v>73</v>
      </c>
      <c r="BM37" t="s">
        <v>307</v>
      </c>
      <c r="BN37" t="s">
        <v>73</v>
      </c>
      <c r="BO37" t="s">
        <v>73</v>
      </c>
      <c r="BP37" t="s">
        <v>73</v>
      </c>
      <c r="BQ37" t="s">
        <v>73</v>
      </c>
      <c r="BR37" t="s">
        <v>73</v>
      </c>
      <c r="BS37" t="s">
        <v>73</v>
      </c>
      <c r="BT37" t="s">
        <v>73</v>
      </c>
      <c r="BU37">
        <v>0</v>
      </c>
      <c r="BV37">
        <v>1</v>
      </c>
      <c r="BW37">
        <v>1</v>
      </c>
      <c r="BX37" s="30">
        <f t="shared" si="1"/>
        <v>0.1283416849069389</v>
      </c>
      <c r="BY37" s="30">
        <f t="shared" si="2"/>
        <v>0.12905339585554831</v>
      </c>
      <c r="BZ37" s="30">
        <f t="shared" si="3"/>
        <v>2.5055704720227212E-3</v>
      </c>
      <c r="CA37" s="30">
        <f t="shared" si="4"/>
        <v>2.5188916876574307E-3</v>
      </c>
      <c r="CC37" s="105">
        <f>BI37-2</f>
        <v>398</v>
      </c>
      <c r="CE37" s="30">
        <f t="shared" si="5"/>
        <v>0.1283416849069389</v>
      </c>
      <c r="CF37" s="30">
        <f t="shared" si="6"/>
        <v>0.12905339585554831</v>
      </c>
      <c r="CG37" s="30">
        <f t="shared" si="7"/>
        <v>2.5055704720227212E-3</v>
      </c>
      <c r="CH37" s="30">
        <f t="shared" si="8"/>
        <v>2.5188916876574307E-3</v>
      </c>
    </row>
    <row r="38" spans="1:86" ht="16">
      <c r="M38" s="18"/>
    </row>
    <row r="39" spans="1:86" ht="16">
      <c r="M39" s="18"/>
    </row>
    <row r="40" spans="1:86" ht="16">
      <c r="M40" s="18"/>
    </row>
    <row r="41" spans="1:86" ht="16">
      <c r="M41" s="18"/>
    </row>
    <row r="42" spans="1:86" ht="16">
      <c r="M42" s="18"/>
    </row>
    <row r="43" spans="1:86" ht="16">
      <c r="M43" s="18"/>
    </row>
    <row r="44" spans="1:86" ht="16">
      <c r="M44" s="18"/>
    </row>
    <row r="45" spans="1:86" ht="16">
      <c r="M45" s="18"/>
    </row>
    <row r="46" spans="1:86" ht="16">
      <c r="M46" s="18"/>
    </row>
    <row r="47" spans="1:86" ht="15.75" customHeight="1">
      <c r="M47" s="18"/>
      <c r="BX47" s="30"/>
    </row>
    <row r="48" spans="1:86" ht="16">
      <c r="M48" s="18"/>
      <c r="BA48" s="117"/>
      <c r="BB48" s="117"/>
    </row>
    <row r="49" spans="13:54" ht="16">
      <c r="M49" s="18"/>
      <c r="BA49" s="117"/>
      <c r="BB49" s="117"/>
    </row>
    <row r="50" spans="13:54" ht="15.75" customHeight="1">
      <c r="M50" s="18"/>
    </row>
    <row r="51" spans="13:54" ht="16">
      <c r="M51" s="18"/>
      <c r="BA51" s="118"/>
      <c r="BB51" s="118"/>
    </row>
  </sheetData>
  <autoFilter ref="AR1:AR46" xr:uid="{00000000-0009-0000-0000-000001000000}"/>
  <sortState xmlns:xlrd2="http://schemas.microsoft.com/office/spreadsheetml/2017/richdata2" ref="A2:CD51">
    <sortCondition ref="C2:C51"/>
  </sortState>
  <dataConsolidate/>
  <phoneticPr fontId="24" type="noConversion"/>
  <conditionalFormatting sqref="AU1:AU1048576">
    <cfRule type="cellIs" dxfId="0" priority="1" operator="greaterThan">
      <formula>1</formula>
    </cfRule>
  </conditionalFormatting>
  <dataValidations xWindow="603" yWindow="1085" count="5">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 I5:I1048576" xr:uid="{00000000-0002-0000-0100-000000000000}">
      <formula1>0</formula1>
      <formula2>2</formula2>
    </dataValidation>
    <dataValidation allowBlank="1" showInputMessage="1" showErrorMessage="1" errorTitle="int" error="Choose 1 or 0" promptTitle="Intervention" prompt="Yes - 1_x000a_No - 0" sqref="AQ5:AQ6 AD1:AG1048576" xr:uid="{00000000-0002-0000-0100-000001000000}"/>
    <dataValidation type="whole" allowBlank="1" showInputMessage="1" showErrorMessage="1" errorTitle="int" error="Choose 1 or 0" promptTitle="Intervention" prompt="Yes - 1_x000a_No - 0" sqref="Y38:AC1048576 Y18:Y37 Z14:AC37 Y1:AC13" xr:uid="{00000000-0002-0000-0100-000002000000}">
      <formula1>0</formula1>
      <formula2>1</formula2>
    </dataValidation>
    <dataValidation errorStyle="warning" allowBlank="1" showInputMessage="1" showErrorMessage="1" sqref="BN38:BN1048576 BN1:BN35" xr:uid="{00000000-0002-0000-0100-000003000000}"/>
    <dataValidation type="whole" allowBlank="1" showInputMessage="1" showErrorMessage="1" sqref="S1:S1048576 U1:U1048576 AH1:AI1048576 AK1:AP1048576 AJ2:AJ1048576" xr:uid="{00000000-0002-0000-0100-000004000000}">
      <formula1>0</formula1>
      <formula2>1</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1">
        <x14:dataValidation type="list" allowBlank="1" showInputMessage="1" showErrorMessage="1" xr:uid="{00000000-0002-0000-0100-000005000000}">
          <x14:formula1>
            <xm:f>'Lists for variables'!$B$2:$B$4</xm:f>
          </x14:formula1>
          <xm:sqref>U1:U6 U10:U1048576</xm:sqref>
        </x14:dataValidation>
        <x14:dataValidation type="list" allowBlank="1" showInputMessage="1" showErrorMessage="1" xr:uid="{00000000-0002-0000-0100-000006000000}">
          <x14:formula1>
            <xm:f>'Lists for variables'!$A$2:$A$4</xm:f>
          </x14:formula1>
          <xm:sqref>BU18:BW20 BU36:BW1048576</xm:sqref>
        </x14:dataValidation>
        <x14:dataValidation type="list" allowBlank="1" showInputMessage="1" showErrorMessage="1" xr:uid="{00000000-0002-0000-0100-000007000000}">
          <x14:formula1>
            <xm:f>'Lists for variables'!$C$2:$C$4</xm:f>
          </x14:formula1>
          <xm:sqref>BS21:BT35 BP21:BQ35 BO38:BO1048576 BO1:BO35</xm:sqref>
        </x14:dataValidation>
        <x14:dataValidation type="list" allowBlank="1" showInputMessage="1" showErrorMessage="1" xr:uid="{00000000-0002-0000-0100-000008000000}">
          <x14:formula1>
            <xm:f>'Lists for variables'!$I$2:$I$3</xm:f>
          </x14:formula1>
          <xm:sqref>AV27:AV1048576 AV1:AV20</xm:sqref>
        </x14:dataValidation>
        <x14:dataValidation type="list" allowBlank="1" showInputMessage="1" showErrorMessage="1" xr:uid="{00000000-0002-0000-0100-000009000000}">
          <x14:formula1>
            <xm:f>'Lists for variables'!$O:$O</xm:f>
          </x14:formula1>
          <xm:sqref>BT38:BT1048576 BT1:BT20</xm:sqref>
        </x14:dataValidation>
        <x14:dataValidation type="list" allowBlank="1" showInputMessage="1" showErrorMessage="1" xr:uid="{00000000-0002-0000-0100-00000A000000}">
          <x14:formula1>
            <xm:f>'Lists for variables'!$L$2:$L$9</xm:f>
          </x14:formula1>
          <xm:sqref>U1:U1048576 S1:S1048576</xm:sqref>
        </x14:dataValidation>
        <x14:dataValidation type="list" allowBlank="1" showInputMessage="1" showErrorMessage="1" xr:uid="{00000000-0002-0000-0100-00000B000000}">
          <x14:formula1>
            <xm:f>'Lists for variables'!$K$2:$K$3</xm:f>
          </x14:formula1>
          <xm:sqref>U1:W1048576 S1:S1048576</xm:sqref>
        </x14:dataValidation>
        <x14:dataValidation type="list" allowBlank="1" showInputMessage="1" showErrorMessage="1" xr:uid="{00000000-0002-0000-0100-00000C000000}">
          <x14:formula1>
            <xm:f>'Lists for variables'!$N$2:$N$7</xm:f>
          </x14:formula1>
          <xm:sqref>U1:W1048576 S1:S1048576</xm:sqref>
        </x14:dataValidation>
        <x14:dataValidation type="list" allowBlank="1" showInputMessage="1" showErrorMessage="1" xr:uid="{00000000-0002-0000-0100-00000D000000}">
          <x14:formula1>
            <xm:f>'Lists for variables'!$J$2:$J$12</xm:f>
          </x14:formula1>
          <xm:sqref>K1:K1048576</xm:sqref>
        </x14:dataValidation>
        <x14:dataValidation type="list" allowBlank="1" showInputMessage="1" showErrorMessage="1" xr:uid="{00000000-0002-0000-0100-00000E000000}">
          <x14:formula1>
            <xm:f>'Lists for variables'!$S:$S</xm:f>
          </x14:formula1>
          <xm:sqref>G1:G1048576</xm:sqref>
        </x14:dataValidation>
        <x14:dataValidation type="list" allowBlank="1" showInputMessage="1" showErrorMessage="1" xr:uid="{00000000-0002-0000-0100-00000F000000}">
          <x14:formula1>
            <xm:f>'Lists for variables'!$G:$G</xm:f>
          </x14:formula1>
          <xm:sqref>AR1:AR1048576</xm:sqref>
        </x14:dataValidation>
        <x14:dataValidation type="list" allowBlank="1" showInputMessage="1" showErrorMessage="1" xr:uid="{00000000-0002-0000-0100-000010000000}">
          <x14:formula1>
            <xm:f>'Lists for variables'!$F:$F</xm:f>
          </x14:formula1>
          <xm:sqref>M52:M1048576</xm:sqref>
        </x14:dataValidation>
        <x14:dataValidation type="list" allowBlank="1" showInputMessage="1" showErrorMessage="1" xr:uid="{00000000-0002-0000-0100-000011000000}">
          <x14:formula1>
            <xm:f>'Lists for variables'!$P:$P</xm:f>
          </x14:formula1>
          <xm:sqref>AT1:AT1048576</xm:sqref>
        </x14:dataValidation>
        <x14:dataValidation type="list" allowBlank="1" showInputMessage="1" showErrorMessage="1" xr:uid="{00000000-0002-0000-0100-000012000000}">
          <x14:formula1>
            <xm:f>'Lists for variables'!$D:$D</xm:f>
          </x14:formula1>
          <xm:sqref>S1:S1048576 U1:W1048576 N1:N1048576</xm:sqref>
        </x14:dataValidation>
        <x14:dataValidation type="list" allowBlank="1" showInputMessage="1" showErrorMessage="1" xr:uid="{00000000-0002-0000-0100-000013000000}">
          <x14:formula1>
            <xm:f>'Lists for variables'!$N:$N</xm:f>
          </x14:formula1>
          <xm:sqref>O1:O1048576</xm:sqref>
        </x14:dataValidation>
        <x14:dataValidation type="list" allowBlank="1" showInputMessage="1" showErrorMessage="1" xr:uid="{00000000-0002-0000-0100-000014000000}">
          <x14:formula1>
            <xm:f>'Lists for variables'!$B:$B</xm:f>
          </x14:formula1>
          <xm:sqref>T1:T1048576</xm:sqref>
        </x14:dataValidation>
        <x14:dataValidation type="list" allowBlank="1" showInputMessage="1" showErrorMessage="1" xr:uid="{00000000-0002-0000-0100-000015000000}">
          <x14:formula1>
            <xm:f>'Lists for variables'!$R:$R</xm:f>
          </x14:formula1>
          <xm:sqref>E1:E1048576</xm:sqref>
        </x14:dataValidation>
        <x14:dataValidation type="list" allowBlank="1" showInputMessage="1" showErrorMessage="1" xr:uid="{00000000-0002-0000-0100-000016000000}">
          <x14:formula1>
            <xm:f>'Lists for variables'!$H:$H</xm:f>
          </x14:formula1>
          <xm:sqref>S1:S1048576 U1:U1048576</xm:sqref>
        </x14:dataValidation>
        <x14:dataValidation type="list" allowBlank="1" showInputMessage="1" showErrorMessage="1" xr:uid="{00000000-0002-0000-0100-000017000000}">
          <x14:formula1>
            <xm:f>'Lists for variables'!$M:$M</xm:f>
          </x14:formula1>
          <xm:sqref>U1:U1048576 P1:P1048576 S1:S1048576</xm:sqref>
        </x14:dataValidation>
        <x14:dataValidation type="list" allowBlank="1" showInputMessage="1" showErrorMessage="1" xr:uid="{00000000-0002-0000-0100-000018000000}">
          <x14:formula1>
            <xm:f>'Lists for variables'!$L$2:$L$10</xm:f>
          </x14:formula1>
          <xm:sqref>R1:R1048576</xm:sqref>
        </x14:dataValidation>
        <x14:dataValidation type="list" allowBlank="1" showInputMessage="1" showErrorMessage="1" xr:uid="{00000000-0002-0000-0100-000019000000}">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J18"/>
  <sheetViews>
    <sheetView workbookViewId="0">
      <selection activeCell="A5" sqref="A5:BJ5"/>
    </sheetView>
  </sheetViews>
  <sheetFormatPr baseColWidth="10" defaultColWidth="11" defaultRowHeight="16"/>
  <cols>
    <col min="1" max="1" width="28.5" bestFit="1" customWidth="1"/>
    <col min="2" max="2" width="41" bestFit="1" customWidth="1"/>
    <col min="3" max="3" width="29.83203125" bestFit="1" customWidth="1"/>
    <col min="4" max="4" width="20.5" bestFit="1" customWidth="1"/>
    <col min="5" max="5" width="18.1640625" bestFit="1" customWidth="1"/>
    <col min="6" max="6" width="20.6640625" bestFit="1" customWidth="1"/>
    <col min="7" max="7" width="18.33203125" bestFit="1" customWidth="1"/>
    <col min="8" max="8" width="15.83203125" bestFit="1" customWidth="1"/>
    <col min="9" max="9" width="22.5" bestFit="1" customWidth="1"/>
    <col min="10" max="10" width="23" bestFit="1" customWidth="1"/>
    <col min="11" max="11" width="25.83203125" bestFit="1" customWidth="1"/>
    <col min="12" max="12" width="19.5" bestFit="1" customWidth="1"/>
    <col min="13" max="13" width="14.6640625" bestFit="1" customWidth="1"/>
    <col min="14" max="14" width="30" bestFit="1" customWidth="1"/>
    <col min="15" max="15" width="26.6640625" bestFit="1" customWidth="1"/>
    <col min="16" max="16" width="22.33203125" bestFit="1" customWidth="1"/>
    <col min="17" max="17" width="22.1640625" bestFit="1" customWidth="1"/>
    <col min="18" max="18" width="13.6640625" bestFit="1" customWidth="1"/>
    <col min="19" max="19" width="28.1640625" bestFit="1" customWidth="1"/>
    <col min="20" max="20" width="23.1640625" bestFit="1" customWidth="1"/>
    <col min="21" max="21" width="21.6640625" bestFit="1" customWidth="1"/>
    <col min="22" max="22" width="15" bestFit="1" customWidth="1"/>
    <col min="23" max="23" width="17.33203125" bestFit="1" customWidth="1"/>
    <col min="24" max="24" width="11.5" bestFit="1" customWidth="1"/>
    <col min="25" max="25" width="12.83203125" bestFit="1" customWidth="1"/>
    <col min="26" max="26" width="15.83203125" bestFit="1" customWidth="1"/>
    <col min="27" max="27" width="13.6640625" bestFit="1" customWidth="1"/>
    <col min="28" max="28" width="11" bestFit="1" customWidth="1"/>
    <col min="29" max="29" width="23.83203125" bestFit="1" customWidth="1"/>
    <col min="30" max="30" width="18.83203125" bestFit="1" customWidth="1"/>
    <col min="31" max="31" width="22.6640625" bestFit="1" customWidth="1"/>
    <col min="32" max="32" width="15.83203125" bestFit="1" customWidth="1"/>
    <col min="33" max="33" width="17.1640625" bestFit="1" customWidth="1"/>
    <col min="34" max="34" width="17" bestFit="1" customWidth="1"/>
    <col min="35" max="35" width="13.6640625" bestFit="1" customWidth="1"/>
    <col min="36" max="36" width="18.83203125" bestFit="1" customWidth="1"/>
    <col min="37" max="37" width="9.33203125" bestFit="1" customWidth="1"/>
    <col min="38" max="38" width="9.1640625" bestFit="1" customWidth="1"/>
    <col min="39" max="39" width="36.33203125" bestFit="1" customWidth="1"/>
    <col min="40" max="40" width="29" bestFit="1" customWidth="1"/>
    <col min="41" max="41" width="17.83203125" bestFit="1" customWidth="1"/>
    <col min="42" max="42" width="21.83203125" bestFit="1" customWidth="1"/>
    <col min="43" max="43" width="20.1640625" bestFit="1" customWidth="1"/>
    <col min="44" max="44" width="15" bestFit="1" customWidth="1"/>
    <col min="45" max="45" width="24.5" bestFit="1" customWidth="1"/>
    <col min="46" max="46" width="13.33203125" bestFit="1" customWidth="1"/>
    <col min="47" max="47" width="21.83203125" bestFit="1" customWidth="1"/>
    <col min="48" max="48" width="36.5" bestFit="1" customWidth="1"/>
    <col min="49" max="49" width="23.83203125" bestFit="1" customWidth="1"/>
    <col min="50" max="50" width="17.1640625" bestFit="1" customWidth="1"/>
    <col min="51" max="51" width="29.6640625" bestFit="1" customWidth="1"/>
    <col min="52" max="52" width="33" bestFit="1" customWidth="1"/>
    <col min="53" max="53" width="35.5" bestFit="1" customWidth="1"/>
    <col min="54" max="54" width="21.83203125" bestFit="1" customWidth="1"/>
    <col min="55" max="55" width="24.33203125" bestFit="1" customWidth="1"/>
    <col min="56" max="56" width="17.83203125" bestFit="1" customWidth="1"/>
    <col min="57" max="57" width="25.83203125" bestFit="1" customWidth="1"/>
    <col min="58" max="58" width="35" bestFit="1" customWidth="1"/>
    <col min="59" max="59" width="26.33203125" bestFit="1" customWidth="1"/>
    <col min="60" max="60" width="12.33203125" bestFit="1" customWidth="1"/>
    <col min="61" max="61" width="20.5" bestFit="1" customWidth="1"/>
    <col min="62" max="62" width="15.6640625" bestFit="1" customWidth="1"/>
    <col min="63" max="64" width="18.5" bestFit="1" customWidth="1"/>
  </cols>
  <sheetData>
    <row r="1" spans="1:62">
      <c r="A1" s="119" t="s">
        <v>7</v>
      </c>
      <c r="B1" t="s">
        <v>73</v>
      </c>
    </row>
    <row r="2" spans="1:62">
      <c r="A2" s="119" t="s">
        <v>198</v>
      </c>
      <c r="B2" t="s">
        <v>308</v>
      </c>
    </row>
    <row r="4" spans="1:62">
      <c r="A4" s="119" t="s">
        <v>309</v>
      </c>
      <c r="B4" t="s">
        <v>310</v>
      </c>
      <c r="C4" t="s">
        <v>311</v>
      </c>
      <c r="D4" t="s">
        <v>312</v>
      </c>
      <c r="E4" t="s">
        <v>313</v>
      </c>
      <c r="F4" t="s">
        <v>314</v>
      </c>
      <c r="G4" t="s">
        <v>315</v>
      </c>
      <c r="H4" t="s">
        <v>316</v>
      </c>
      <c r="I4" t="s">
        <v>317</v>
      </c>
      <c r="J4" t="s">
        <v>318</v>
      </c>
      <c r="K4" t="s">
        <v>319</v>
      </c>
      <c r="L4" t="s">
        <v>320</v>
      </c>
      <c r="M4" t="s">
        <v>321</v>
      </c>
      <c r="N4" t="s">
        <v>322</v>
      </c>
      <c r="O4" t="s">
        <v>323</v>
      </c>
      <c r="P4" t="s">
        <v>324</v>
      </c>
      <c r="Q4" t="s">
        <v>325</v>
      </c>
      <c r="R4" t="s">
        <v>326</v>
      </c>
      <c r="S4" t="s">
        <v>327</v>
      </c>
      <c r="T4" t="s">
        <v>328</v>
      </c>
      <c r="U4" t="s">
        <v>329</v>
      </c>
      <c r="V4" t="s">
        <v>330</v>
      </c>
      <c r="W4" t="s">
        <v>331</v>
      </c>
      <c r="X4" t="s">
        <v>332</v>
      </c>
      <c r="Y4" t="s">
        <v>333</v>
      </c>
      <c r="Z4" t="s">
        <v>334</v>
      </c>
      <c r="AA4" t="s">
        <v>335</v>
      </c>
      <c r="AB4" t="s">
        <v>336</v>
      </c>
      <c r="AC4" t="s">
        <v>337</v>
      </c>
      <c r="AD4" t="s">
        <v>338</v>
      </c>
      <c r="AE4" t="s">
        <v>339</v>
      </c>
      <c r="AF4" t="s">
        <v>340</v>
      </c>
      <c r="AG4" t="s">
        <v>341</v>
      </c>
      <c r="AH4" t="s">
        <v>342</v>
      </c>
      <c r="AI4" t="s">
        <v>343</v>
      </c>
      <c r="AJ4" t="s">
        <v>344</v>
      </c>
      <c r="AK4" t="s">
        <v>345</v>
      </c>
      <c r="AL4" t="s">
        <v>346</v>
      </c>
      <c r="AM4" t="s">
        <v>347</v>
      </c>
      <c r="AN4" t="s">
        <v>348</v>
      </c>
      <c r="AO4" t="s">
        <v>349</v>
      </c>
      <c r="AP4" t="s">
        <v>350</v>
      </c>
      <c r="AQ4" t="s">
        <v>351</v>
      </c>
      <c r="AR4" t="s">
        <v>352</v>
      </c>
      <c r="AS4" t="s">
        <v>353</v>
      </c>
      <c r="AT4" t="s">
        <v>354</v>
      </c>
      <c r="AU4" t="s">
        <v>355</v>
      </c>
      <c r="AV4" t="s">
        <v>356</v>
      </c>
      <c r="AW4" t="s">
        <v>357</v>
      </c>
      <c r="AX4" t="s">
        <v>358</v>
      </c>
      <c r="AY4" t="s">
        <v>359</v>
      </c>
      <c r="AZ4" t="s">
        <v>360</v>
      </c>
      <c r="BA4" t="s">
        <v>361</v>
      </c>
      <c r="BB4" t="s">
        <v>362</v>
      </c>
      <c r="BC4" t="s">
        <v>363</v>
      </c>
      <c r="BD4" t="s">
        <v>364</v>
      </c>
      <c r="BE4" t="s">
        <v>365</v>
      </c>
      <c r="BF4" t="s">
        <v>366</v>
      </c>
      <c r="BG4" t="s">
        <v>367</v>
      </c>
      <c r="BH4" t="s">
        <v>368</v>
      </c>
      <c r="BI4" t="s">
        <v>369</v>
      </c>
      <c r="BJ4" t="s">
        <v>370</v>
      </c>
    </row>
    <row r="5" spans="1:62">
      <c r="A5" s="120" t="s">
        <v>371</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20"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20" t="s">
        <v>372</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20"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20"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20" t="s">
        <v>373</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20" t="s">
        <v>374</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20" t="s">
        <v>375</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20" t="s">
        <v>376</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20" t="s">
        <v>377</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20" t="s">
        <v>378</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20" t="s">
        <v>379</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20"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20" t="s">
        <v>380</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99"/>
  <sheetViews>
    <sheetView topLeftCell="E1" zoomScale="115" zoomScaleNormal="70" workbookViewId="0">
      <pane ySplit="1" topLeftCell="A77" activePane="bottomLeft" state="frozen"/>
      <selection pane="bottomLeft" activeCell="R97" sqref="R97"/>
    </sheetView>
  </sheetViews>
  <sheetFormatPr baseColWidth="10" defaultColWidth="11" defaultRowHeight="16"/>
  <cols>
    <col min="3" max="3" width="15.5" customWidth="1"/>
    <col min="5" max="5" width="19.6640625" customWidth="1"/>
    <col min="6" max="6" width="22" customWidth="1"/>
    <col min="7" max="7" width="18.1640625" style="26" customWidth="1"/>
    <col min="8" max="8" width="20.5" customWidth="1"/>
    <col min="9" max="9" width="14.1640625" customWidth="1"/>
    <col min="10" max="10" width="15.1640625" customWidth="1"/>
  </cols>
  <sheetData>
    <row r="1" spans="1:19" ht="17">
      <c r="A1" t="s">
        <v>381</v>
      </c>
      <c r="B1" t="s">
        <v>189</v>
      </c>
      <c r="C1" s="1" t="s">
        <v>382</v>
      </c>
      <c r="D1" t="s">
        <v>10</v>
      </c>
      <c r="E1" s="1" t="s">
        <v>40</v>
      </c>
      <c r="F1" s="2" t="s">
        <v>9</v>
      </c>
      <c r="G1" s="37" t="s">
        <v>383</v>
      </c>
      <c r="H1" s="38" t="s">
        <v>186</v>
      </c>
      <c r="I1" s="39" t="s">
        <v>28</v>
      </c>
      <c r="J1" s="39" t="s">
        <v>7</v>
      </c>
      <c r="K1" s="39" t="s">
        <v>384</v>
      </c>
      <c r="L1" s="39" t="s">
        <v>187</v>
      </c>
      <c r="M1" s="39" t="s">
        <v>185</v>
      </c>
      <c r="N1" s="39" t="s">
        <v>50</v>
      </c>
      <c r="O1" s="39" t="s">
        <v>210</v>
      </c>
      <c r="P1" s="42" t="s">
        <v>200</v>
      </c>
      <c r="R1" s="39" t="s">
        <v>183</v>
      </c>
      <c r="S1" s="39" t="s">
        <v>4</v>
      </c>
    </row>
    <row r="2" spans="1:19" ht="34">
      <c r="A2">
        <v>0</v>
      </c>
      <c r="B2" t="s">
        <v>189</v>
      </c>
      <c r="C2" t="s">
        <v>258</v>
      </c>
      <c r="D2" t="s">
        <v>112</v>
      </c>
      <c r="E2">
        <v>1</v>
      </c>
      <c r="F2" t="s">
        <v>93</v>
      </c>
      <c r="G2" s="26" t="s">
        <v>385</v>
      </c>
      <c r="H2" t="s">
        <v>386</v>
      </c>
      <c r="I2" t="s">
        <v>80</v>
      </c>
      <c r="J2" t="s">
        <v>387</v>
      </c>
      <c r="K2" t="s">
        <v>231</v>
      </c>
      <c r="L2" t="s">
        <v>388</v>
      </c>
      <c r="M2" t="s">
        <v>241</v>
      </c>
      <c r="N2" t="s">
        <v>81</v>
      </c>
      <c r="O2" t="s">
        <v>389</v>
      </c>
      <c r="P2" s="41" t="s">
        <v>390</v>
      </c>
      <c r="R2" s="47" t="s">
        <v>615</v>
      </c>
      <c r="S2" s="47" t="s">
        <v>391</v>
      </c>
    </row>
    <row r="3" spans="1:19" ht="34">
      <c r="A3">
        <v>1</v>
      </c>
      <c r="B3" t="s">
        <v>392</v>
      </c>
      <c r="C3" t="s">
        <v>294</v>
      </c>
      <c r="D3" t="s">
        <v>254</v>
      </c>
      <c r="E3">
        <v>2</v>
      </c>
      <c r="F3" t="s">
        <v>378</v>
      </c>
      <c r="G3" s="26" t="s">
        <v>393</v>
      </c>
      <c r="H3" t="s">
        <v>280</v>
      </c>
      <c r="I3" t="s">
        <v>86</v>
      </c>
      <c r="J3" t="s">
        <v>394</v>
      </c>
      <c r="K3" t="s">
        <v>282</v>
      </c>
      <c r="L3" t="s">
        <v>395</v>
      </c>
      <c r="M3" t="s">
        <v>396</v>
      </c>
      <c r="N3" t="s">
        <v>148</v>
      </c>
      <c r="O3" t="s">
        <v>397</v>
      </c>
      <c r="P3" s="41" t="s">
        <v>235</v>
      </c>
      <c r="R3" s="46" t="s">
        <v>616</v>
      </c>
      <c r="S3" s="46" t="s">
        <v>398</v>
      </c>
    </row>
    <row r="4" spans="1:19" ht="51">
      <c r="A4" t="s">
        <v>73</v>
      </c>
      <c r="B4" t="s">
        <v>230</v>
      </c>
      <c r="C4" t="s">
        <v>73</v>
      </c>
      <c r="D4" t="s">
        <v>226</v>
      </c>
      <c r="E4">
        <v>3</v>
      </c>
      <c r="F4" t="s">
        <v>399</v>
      </c>
      <c r="G4" s="26" t="s">
        <v>308</v>
      </c>
      <c r="H4" t="s">
        <v>400</v>
      </c>
      <c r="J4" t="s">
        <v>401</v>
      </c>
      <c r="L4" t="s">
        <v>229</v>
      </c>
      <c r="M4" t="s">
        <v>227</v>
      </c>
      <c r="N4" t="s">
        <v>402</v>
      </c>
      <c r="O4" t="s">
        <v>403</v>
      </c>
      <c r="P4" s="41" t="s">
        <v>404</v>
      </c>
      <c r="R4" s="44" t="s">
        <v>617</v>
      </c>
      <c r="S4" s="44" t="s">
        <v>249</v>
      </c>
    </row>
    <row r="5" spans="1:19" ht="51">
      <c r="D5" t="s">
        <v>290</v>
      </c>
      <c r="F5" t="s">
        <v>120</v>
      </c>
      <c r="G5" s="40" t="s">
        <v>233</v>
      </c>
      <c r="H5" t="s">
        <v>405</v>
      </c>
      <c r="J5" s="41" t="s">
        <v>406</v>
      </c>
      <c r="L5" t="s">
        <v>407</v>
      </c>
      <c r="M5" t="s">
        <v>73</v>
      </c>
      <c r="N5" t="s">
        <v>124</v>
      </c>
      <c r="O5" s="41" t="s">
        <v>408</v>
      </c>
      <c r="P5" t="s">
        <v>73</v>
      </c>
      <c r="R5" s="46" t="s">
        <v>409</v>
      </c>
      <c r="S5" s="46" t="s">
        <v>410</v>
      </c>
    </row>
    <row r="6" spans="1:19">
      <c r="D6" s="41" t="s">
        <v>411</v>
      </c>
      <c r="F6" t="s">
        <v>412</v>
      </c>
      <c r="H6" t="s">
        <v>228</v>
      </c>
      <c r="J6" t="s">
        <v>413</v>
      </c>
      <c r="L6" t="s">
        <v>414</v>
      </c>
      <c r="N6" t="s">
        <v>303</v>
      </c>
      <c r="O6" t="s">
        <v>73</v>
      </c>
      <c r="R6" s="46" t="s">
        <v>415</v>
      </c>
      <c r="S6" s="46" t="s">
        <v>416</v>
      </c>
    </row>
    <row r="7" spans="1:19">
      <c r="F7" t="s">
        <v>274</v>
      </c>
      <c r="H7" t="s">
        <v>242</v>
      </c>
      <c r="J7" s="41" t="s">
        <v>417</v>
      </c>
      <c r="L7" t="s">
        <v>281</v>
      </c>
      <c r="N7" t="s">
        <v>418</v>
      </c>
      <c r="O7" t="s">
        <v>419</v>
      </c>
      <c r="R7" s="46" t="s">
        <v>420</v>
      </c>
      <c r="S7" s="46" t="s">
        <v>421</v>
      </c>
    </row>
    <row r="8" spans="1:19">
      <c r="F8" t="s">
        <v>107</v>
      </c>
      <c r="J8" s="41" t="s">
        <v>422</v>
      </c>
      <c r="L8" t="s">
        <v>419</v>
      </c>
      <c r="N8" t="s">
        <v>423</v>
      </c>
      <c r="R8" s="46" t="s">
        <v>424</v>
      </c>
      <c r="S8" s="46" t="s">
        <v>425</v>
      </c>
    </row>
    <row r="9" spans="1:19">
      <c r="F9" t="s">
        <v>371</v>
      </c>
      <c r="J9" t="s">
        <v>419</v>
      </c>
      <c r="L9" t="s">
        <v>426</v>
      </c>
      <c r="N9" t="s">
        <v>427</v>
      </c>
      <c r="R9" s="44" t="s">
        <v>428</v>
      </c>
      <c r="S9" s="44" t="s">
        <v>429</v>
      </c>
    </row>
    <row r="10" spans="1:19">
      <c r="F10" t="s">
        <v>155</v>
      </c>
      <c r="J10" t="s">
        <v>430</v>
      </c>
      <c r="L10" t="s">
        <v>264</v>
      </c>
      <c r="N10" t="s">
        <v>431</v>
      </c>
      <c r="R10" s="44" t="s">
        <v>432</v>
      </c>
      <c r="S10" s="44" t="s">
        <v>433</v>
      </c>
    </row>
    <row r="11" spans="1:19">
      <c r="F11" t="s">
        <v>246</v>
      </c>
      <c r="J11" t="s">
        <v>434</v>
      </c>
      <c r="N11" t="s">
        <v>435</v>
      </c>
      <c r="R11" s="44" t="s">
        <v>436</v>
      </c>
      <c r="S11" s="44" t="s">
        <v>437</v>
      </c>
    </row>
    <row r="12" spans="1:19">
      <c r="F12" t="s">
        <v>438</v>
      </c>
      <c r="J12" t="s">
        <v>73</v>
      </c>
      <c r="N12" t="s">
        <v>439</v>
      </c>
      <c r="R12" s="44" t="s">
        <v>440</v>
      </c>
      <c r="S12" s="44" t="s">
        <v>441</v>
      </c>
    </row>
    <row r="13" spans="1:19">
      <c r="F13" t="s">
        <v>372</v>
      </c>
      <c r="N13" t="s">
        <v>96</v>
      </c>
      <c r="R13" s="46" t="s">
        <v>442</v>
      </c>
      <c r="S13" s="46" t="s">
        <v>443</v>
      </c>
    </row>
    <row r="14" spans="1:19">
      <c r="F14" s="41" t="s">
        <v>377</v>
      </c>
      <c r="N14" t="s">
        <v>444</v>
      </c>
      <c r="R14" s="44" t="s">
        <v>268</v>
      </c>
      <c r="S14" s="44" t="s">
        <v>269</v>
      </c>
    </row>
    <row r="15" spans="1:19">
      <c r="F15" s="41" t="s">
        <v>155</v>
      </c>
      <c r="N15" t="s">
        <v>445</v>
      </c>
      <c r="R15" s="46" t="s">
        <v>446</v>
      </c>
      <c r="S15" s="46" t="s">
        <v>447</v>
      </c>
    </row>
    <row r="16" spans="1:19">
      <c r="F16" s="41" t="s">
        <v>448</v>
      </c>
      <c r="N16" t="s">
        <v>156</v>
      </c>
      <c r="R16" s="46" t="s">
        <v>449</v>
      </c>
      <c r="S16" s="46" t="s">
        <v>450</v>
      </c>
    </row>
    <row r="17" spans="6:19">
      <c r="F17" s="41" t="s">
        <v>373</v>
      </c>
      <c r="N17" t="s">
        <v>451</v>
      </c>
      <c r="R17" s="44" t="s">
        <v>452</v>
      </c>
      <c r="S17" s="44" t="s">
        <v>453</v>
      </c>
    </row>
    <row r="18" spans="6:19">
      <c r="F18" s="41" t="s">
        <v>376</v>
      </c>
      <c r="N18" t="s">
        <v>454</v>
      </c>
      <c r="R18" s="46" t="s">
        <v>295</v>
      </c>
      <c r="S18" s="46" t="s">
        <v>127</v>
      </c>
    </row>
    <row r="19" spans="6:19">
      <c r="F19" s="41" t="s">
        <v>237</v>
      </c>
      <c r="N19" t="s">
        <v>455</v>
      </c>
      <c r="R19" s="44" t="s">
        <v>456</v>
      </c>
      <c r="S19" t="s">
        <v>457</v>
      </c>
    </row>
    <row r="20" spans="6:19">
      <c r="F20" s="41" t="s">
        <v>225</v>
      </c>
      <c r="N20" t="s">
        <v>458</v>
      </c>
      <c r="R20" s="46" t="s">
        <v>459</v>
      </c>
      <c r="S20" s="46" t="s">
        <v>460</v>
      </c>
    </row>
    <row r="21" spans="6:19">
      <c r="F21" s="41" t="s">
        <v>236</v>
      </c>
      <c r="N21" t="s">
        <v>461</v>
      </c>
      <c r="R21" s="44" t="s">
        <v>462</v>
      </c>
      <c r="S21" s="44" t="s">
        <v>463</v>
      </c>
    </row>
    <row r="22" spans="6:19">
      <c r="F22" s="41" t="s">
        <v>374</v>
      </c>
      <c r="N22" t="s">
        <v>138</v>
      </c>
      <c r="R22" s="46" t="s">
        <v>462</v>
      </c>
      <c r="S22" s="46" t="s">
        <v>464</v>
      </c>
    </row>
    <row r="23" spans="6:19">
      <c r="F23" s="41" t="s">
        <v>379</v>
      </c>
      <c r="N23" t="s">
        <v>465</v>
      </c>
      <c r="R23" s="44" t="s">
        <v>466</v>
      </c>
      <c r="S23" s="44" t="s">
        <v>467</v>
      </c>
    </row>
    <row r="24" spans="6:19">
      <c r="F24" s="41" t="s">
        <v>468</v>
      </c>
      <c r="N24" t="s">
        <v>469</v>
      </c>
      <c r="R24" s="44" t="s">
        <v>470</v>
      </c>
      <c r="S24" s="44" t="s">
        <v>471</v>
      </c>
    </row>
    <row r="25" spans="6:19">
      <c r="F25" s="41" t="s">
        <v>375</v>
      </c>
      <c r="N25" t="s">
        <v>271</v>
      </c>
      <c r="R25" s="44" t="s">
        <v>472</v>
      </c>
      <c r="S25" s="44" t="s">
        <v>473</v>
      </c>
    </row>
    <row r="26" spans="6:19">
      <c r="F26" s="41" t="s">
        <v>474</v>
      </c>
      <c r="N26" t="s">
        <v>475</v>
      </c>
      <c r="R26" s="44" t="s">
        <v>476</v>
      </c>
      <c r="S26" s="44" t="s">
        <v>477</v>
      </c>
    </row>
    <row r="27" spans="6:19">
      <c r="F27" s="41" t="s">
        <v>478</v>
      </c>
      <c r="N27" t="s">
        <v>479</v>
      </c>
      <c r="R27" s="44" t="s">
        <v>480</v>
      </c>
      <c r="S27" s="44" t="s">
        <v>481</v>
      </c>
    </row>
    <row r="28" spans="6:19">
      <c r="F28" s="41" t="s">
        <v>482</v>
      </c>
      <c r="N28" t="s">
        <v>483</v>
      </c>
      <c r="R28" s="44" t="s">
        <v>484</v>
      </c>
      <c r="S28" s="44" t="s">
        <v>485</v>
      </c>
    </row>
    <row r="29" spans="6:19">
      <c r="F29" s="41" t="s">
        <v>172</v>
      </c>
      <c r="N29" t="s">
        <v>486</v>
      </c>
      <c r="R29" s="44" t="s">
        <v>487</v>
      </c>
      <c r="S29" s="44" t="s">
        <v>488</v>
      </c>
    </row>
    <row r="30" spans="6:19">
      <c r="F30" s="41" t="s">
        <v>489</v>
      </c>
      <c r="N30" t="s">
        <v>490</v>
      </c>
      <c r="R30" s="44" t="s">
        <v>491</v>
      </c>
      <c r="S30" s="44" t="s">
        <v>492</v>
      </c>
    </row>
    <row r="31" spans="6:19">
      <c r="N31" t="s">
        <v>174</v>
      </c>
      <c r="R31" s="44" t="s">
        <v>493</v>
      </c>
      <c r="S31" s="44" t="s">
        <v>494</v>
      </c>
    </row>
    <row r="32" spans="6:19">
      <c r="N32" t="s">
        <v>495</v>
      </c>
      <c r="R32" s="44" t="s">
        <v>496</v>
      </c>
      <c r="S32" s="44" t="s">
        <v>497</v>
      </c>
    </row>
    <row r="33" spans="14:19">
      <c r="N33" t="s">
        <v>131</v>
      </c>
      <c r="R33" s="44" t="s">
        <v>498</v>
      </c>
      <c r="S33" s="44" t="s">
        <v>499</v>
      </c>
    </row>
    <row r="34" spans="14:19">
      <c r="R34" s="44" t="s">
        <v>500</v>
      </c>
      <c r="S34" s="44" t="s">
        <v>501</v>
      </c>
    </row>
    <row r="35" spans="14:19">
      <c r="R35" s="44" t="s">
        <v>502</v>
      </c>
      <c r="S35" s="44" t="s">
        <v>503</v>
      </c>
    </row>
    <row r="36" spans="14:19">
      <c r="R36" s="44" t="s">
        <v>504</v>
      </c>
      <c r="S36" s="44" t="s">
        <v>505</v>
      </c>
    </row>
    <row r="37" spans="14:19">
      <c r="R37" s="46" t="s">
        <v>506</v>
      </c>
      <c r="S37" s="46" t="s">
        <v>507</v>
      </c>
    </row>
    <row r="38" spans="14:19">
      <c r="R38" s="46" t="s">
        <v>508</v>
      </c>
      <c r="S38" s="46" t="s">
        <v>509</v>
      </c>
    </row>
    <row r="39" spans="14:19">
      <c r="R39" s="46" t="s">
        <v>508</v>
      </c>
      <c r="S39" s="46" t="s">
        <v>510</v>
      </c>
    </row>
    <row r="40" spans="14:19">
      <c r="R40" s="44" t="s">
        <v>511</v>
      </c>
      <c r="S40" s="44" t="s">
        <v>512</v>
      </c>
    </row>
    <row r="41" spans="14:19">
      <c r="R41" s="44" t="s">
        <v>513</v>
      </c>
      <c r="S41" s="44" t="s">
        <v>514</v>
      </c>
    </row>
    <row r="42" spans="14:19">
      <c r="R42" s="46" t="s">
        <v>515</v>
      </c>
      <c r="S42" s="46" t="s">
        <v>516</v>
      </c>
    </row>
    <row r="43" spans="14:19">
      <c r="R43" s="46" t="s">
        <v>515</v>
      </c>
      <c r="S43" s="46" t="s">
        <v>517</v>
      </c>
    </row>
    <row r="44" spans="14:19">
      <c r="R44" s="44" t="s">
        <v>518</v>
      </c>
      <c r="S44" s="17" t="s">
        <v>117</v>
      </c>
    </row>
    <row r="45" spans="14:19">
      <c r="R45" s="46" t="s">
        <v>519</v>
      </c>
      <c r="S45" s="46" t="s">
        <v>520</v>
      </c>
    </row>
    <row r="46" spans="14:19">
      <c r="R46" s="44" t="s">
        <v>521</v>
      </c>
      <c r="S46" s="44" t="s">
        <v>522</v>
      </c>
    </row>
    <row r="47" spans="14:19">
      <c r="R47" s="46" t="s">
        <v>523</v>
      </c>
      <c r="S47" s="46" t="s">
        <v>524</v>
      </c>
    </row>
    <row r="48" spans="14:19">
      <c r="R48" s="44" t="s">
        <v>525</v>
      </c>
      <c r="S48" s="44" t="s">
        <v>526</v>
      </c>
    </row>
    <row r="49" spans="18:19">
      <c r="R49" s="44" t="s">
        <v>527</v>
      </c>
      <c r="S49" s="44" t="s">
        <v>528</v>
      </c>
    </row>
    <row r="50" spans="18:19">
      <c r="R50" s="44" t="s">
        <v>529</v>
      </c>
      <c r="S50" s="44" t="s">
        <v>530</v>
      </c>
    </row>
    <row r="51" spans="18:19">
      <c r="R51" s="44" t="s">
        <v>221</v>
      </c>
      <c r="S51" s="44" t="s">
        <v>222</v>
      </c>
    </row>
    <row r="52" spans="18:19">
      <c r="R52" s="44" t="s">
        <v>531</v>
      </c>
      <c r="S52" s="44" t="s">
        <v>532</v>
      </c>
    </row>
    <row r="53" spans="18:19">
      <c r="R53" s="44" t="s">
        <v>533</v>
      </c>
      <c r="S53" s="17" t="s">
        <v>534</v>
      </c>
    </row>
    <row r="54" spans="18:19">
      <c r="R54" s="44" t="s">
        <v>535</v>
      </c>
      <c r="S54" s="44" t="s">
        <v>536</v>
      </c>
    </row>
    <row r="55" spans="18:19">
      <c r="R55" s="44" t="s">
        <v>537</v>
      </c>
      <c r="S55" s="44" t="s">
        <v>538</v>
      </c>
    </row>
    <row r="56" spans="18:19">
      <c r="R56" s="44" t="s">
        <v>539</v>
      </c>
      <c r="S56" s="44" t="s">
        <v>540</v>
      </c>
    </row>
    <row r="57" spans="18:19">
      <c r="R57" s="44" t="s">
        <v>541</v>
      </c>
      <c r="S57" s="44" t="s">
        <v>542</v>
      </c>
    </row>
    <row r="58" spans="18:19">
      <c r="R58" s="44" t="s">
        <v>543</v>
      </c>
      <c r="S58" s="44" t="s">
        <v>544</v>
      </c>
    </row>
    <row r="59" spans="18:19">
      <c r="R59" s="44" t="s">
        <v>277</v>
      </c>
      <c r="S59" s="44" t="s">
        <v>278</v>
      </c>
    </row>
    <row r="60" spans="18:19">
      <c r="R60" s="44" t="s">
        <v>545</v>
      </c>
      <c r="S60" s="44" t="s">
        <v>546</v>
      </c>
    </row>
    <row r="61" spans="18:19">
      <c r="R61" s="44" t="s">
        <v>547</v>
      </c>
      <c r="S61" s="44" t="s">
        <v>548</v>
      </c>
    </row>
    <row r="62" spans="18:19">
      <c r="R62" s="44" t="s">
        <v>549</v>
      </c>
      <c r="S62" s="44" t="s">
        <v>550</v>
      </c>
    </row>
    <row r="63" spans="18:19">
      <c r="R63" s="44" t="s">
        <v>551</v>
      </c>
      <c r="S63" s="44" t="s">
        <v>552</v>
      </c>
    </row>
    <row r="64" spans="18:19">
      <c r="R64" s="44" t="s">
        <v>553</v>
      </c>
      <c r="S64" s="44" t="s">
        <v>554</v>
      </c>
    </row>
    <row r="65" spans="18:19">
      <c r="R65" s="44" t="s">
        <v>555</v>
      </c>
      <c r="S65" s="44" t="s">
        <v>556</v>
      </c>
    </row>
    <row r="66" spans="18:19">
      <c r="R66" s="44" t="s">
        <v>557</v>
      </c>
      <c r="S66" s="44" t="s">
        <v>558</v>
      </c>
    </row>
    <row r="67" spans="18:19">
      <c r="R67" s="44" t="s">
        <v>559</v>
      </c>
      <c r="S67" s="44" t="s">
        <v>560</v>
      </c>
    </row>
    <row r="68" spans="18:19">
      <c r="R68" s="44" t="s">
        <v>561</v>
      </c>
      <c r="S68" s="44" t="s">
        <v>562</v>
      </c>
    </row>
    <row r="69" spans="18:19">
      <c r="R69" s="44" t="s">
        <v>563</v>
      </c>
      <c r="S69" s="44" t="s">
        <v>564</v>
      </c>
    </row>
    <row r="70" spans="18:19">
      <c r="R70" s="44" t="s">
        <v>565</v>
      </c>
      <c r="S70" s="44" t="s">
        <v>566</v>
      </c>
    </row>
    <row r="71" spans="18:19">
      <c r="R71" s="44" t="s">
        <v>567</v>
      </c>
      <c r="S71" s="44" t="s">
        <v>568</v>
      </c>
    </row>
    <row r="72" spans="18:19">
      <c r="R72" s="44" t="s">
        <v>569</v>
      </c>
      <c r="S72" t="s">
        <v>570</v>
      </c>
    </row>
    <row r="73" spans="18:19">
      <c r="R73" s="46" t="s">
        <v>569</v>
      </c>
      <c r="S73" s="46" t="s">
        <v>571</v>
      </c>
    </row>
    <row r="74" spans="18:19">
      <c r="R74" s="44" t="s">
        <v>261</v>
      </c>
      <c r="S74" s="44" t="s">
        <v>262</v>
      </c>
    </row>
    <row r="75" spans="18:19">
      <c r="R75" s="46" t="s">
        <v>572</v>
      </c>
      <c r="S75" s="46" t="s">
        <v>573</v>
      </c>
    </row>
    <row r="76" spans="18:19">
      <c r="R76" s="44" t="s">
        <v>574</v>
      </c>
      <c r="S76" s="44" t="s">
        <v>575</v>
      </c>
    </row>
    <row r="77" spans="18:19">
      <c r="R77" s="44" t="s">
        <v>576</v>
      </c>
      <c r="S77" s="44" t="s">
        <v>577</v>
      </c>
    </row>
    <row r="78" spans="18:19">
      <c r="R78" s="46" t="s">
        <v>578</v>
      </c>
      <c r="S78" s="46" t="s">
        <v>579</v>
      </c>
    </row>
    <row r="79" spans="18:19">
      <c r="R79" s="46" t="s">
        <v>580</v>
      </c>
      <c r="S79" s="46" t="s">
        <v>581</v>
      </c>
    </row>
    <row r="80" spans="18:19">
      <c r="R80" s="44" t="s">
        <v>582</v>
      </c>
      <c r="S80" s="44" t="s">
        <v>583</v>
      </c>
    </row>
    <row r="81" spans="18:19">
      <c r="R81" s="44" t="s">
        <v>584</v>
      </c>
      <c r="S81" s="44" t="s">
        <v>585</v>
      </c>
    </row>
    <row r="82" spans="18:19">
      <c r="R82" s="44" t="s">
        <v>238</v>
      </c>
      <c r="S82" s="44" t="s">
        <v>239</v>
      </c>
    </row>
    <row r="83" spans="18:19">
      <c r="R83" s="46" t="s">
        <v>586</v>
      </c>
      <c r="S83" s="46" t="s">
        <v>587</v>
      </c>
    </row>
    <row r="84" spans="18:19">
      <c r="R84" s="46" t="s">
        <v>586</v>
      </c>
      <c r="S84" s="46" t="s">
        <v>289</v>
      </c>
    </row>
    <row r="85" spans="18:19">
      <c r="R85" s="44" t="s">
        <v>588</v>
      </c>
      <c r="S85" s="44" t="s">
        <v>589</v>
      </c>
    </row>
    <row r="86" spans="18:19">
      <c r="R86" s="44" t="s">
        <v>590</v>
      </c>
      <c r="S86" s="44" t="s">
        <v>591</v>
      </c>
    </row>
    <row r="87" spans="18:19">
      <c r="R87" s="44" t="s">
        <v>592</v>
      </c>
      <c r="S87" s="44" t="s">
        <v>593</v>
      </c>
    </row>
    <row r="88" spans="18:19">
      <c r="R88" s="44" t="s">
        <v>594</v>
      </c>
      <c r="S88" s="44" t="s">
        <v>595</v>
      </c>
    </row>
    <row r="89" spans="18:19">
      <c r="R89" s="44" t="s">
        <v>596</v>
      </c>
      <c r="S89" s="44" t="s">
        <v>597</v>
      </c>
    </row>
    <row r="90" spans="18:19">
      <c r="R90" s="44" t="s">
        <v>299</v>
      </c>
      <c r="S90" s="44" t="s">
        <v>300</v>
      </c>
    </row>
    <row r="91" spans="18:19">
      <c r="R91" s="44" t="s">
        <v>598</v>
      </c>
      <c r="S91" s="44" t="s">
        <v>599</v>
      </c>
    </row>
    <row r="92" spans="18:19">
      <c r="R92" s="44" t="s">
        <v>600</v>
      </c>
      <c r="S92" s="44" t="s">
        <v>601</v>
      </c>
    </row>
    <row r="93" spans="18:19">
      <c r="R93" s="44" t="s">
        <v>602</v>
      </c>
      <c r="S93" t="s">
        <v>603</v>
      </c>
    </row>
    <row r="94" spans="18:19">
      <c r="R94" s="44" t="s">
        <v>604</v>
      </c>
      <c r="S94" s="44" t="s">
        <v>605</v>
      </c>
    </row>
    <row r="95" spans="18:19">
      <c r="R95" s="44" t="s">
        <v>606</v>
      </c>
      <c r="S95" s="44" t="s">
        <v>607</v>
      </c>
    </row>
    <row r="96" spans="18:19">
      <c r="R96" s="44" t="s">
        <v>608</v>
      </c>
      <c r="S96" t="s">
        <v>609</v>
      </c>
    </row>
    <row r="97" spans="18:19">
      <c r="R97" s="44" t="s">
        <v>618</v>
      </c>
      <c r="S97" s="57" t="s">
        <v>289</v>
      </c>
    </row>
    <row r="98" spans="18:19">
      <c r="R98" s="57" t="s">
        <v>610</v>
      </c>
      <c r="S98" s="32" t="s">
        <v>133</v>
      </c>
    </row>
    <row r="99" spans="18:19">
      <c r="R99" s="44" t="s">
        <v>611</v>
      </c>
      <c r="S99" t="s">
        <v>612</v>
      </c>
    </row>
  </sheetData>
  <sortState xmlns:xlrd2="http://schemas.microsoft.com/office/spreadsheetml/2017/richdata2"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Microsoft Office User</cp:lastModifiedBy>
  <cp:revision/>
  <dcterms:created xsi:type="dcterms:W3CDTF">2022-02-16T16:21:16Z</dcterms:created>
  <dcterms:modified xsi:type="dcterms:W3CDTF">2023-06-26T08:34:13Z</dcterms:modified>
  <cp:category/>
  <cp:contentStatus/>
</cp:coreProperties>
</file>