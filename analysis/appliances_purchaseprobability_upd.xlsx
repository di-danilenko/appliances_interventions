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and\Desktop\Desktop\GitHub\appliances_interventions\analysis\"/>
    </mc:Choice>
  </mc:AlternateContent>
  <bookViews>
    <workbookView xWindow="0" yWindow="0" windowWidth="19200" windowHeight="6330"/>
  </bookViews>
  <sheets>
    <sheet name="Appliances" sheetId="4" r:id="rId1"/>
    <sheet name="Lists for variables" sheetId="3"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I3" i="4" l="1"/>
  <c r="BI4" i="4"/>
  <c r="BI5" i="4"/>
  <c r="BI6" i="4"/>
  <c r="BI7" i="4"/>
  <c r="BI8" i="4"/>
  <c r="BI9" i="4"/>
  <c r="BI10" i="4"/>
  <c r="AZ55" i="4"/>
  <c r="AZ56" i="4"/>
  <c r="AZ57" i="4"/>
  <c r="AZ58" i="4"/>
  <c r="AZ59" i="4"/>
  <c r="AZ54" i="4"/>
  <c r="BW55" i="4"/>
  <c r="BX55" i="4"/>
  <c r="BY55" i="4"/>
  <c r="BZ55" i="4"/>
  <c r="CB55" i="4"/>
  <c r="CD55" i="4"/>
  <c r="CE55" i="4"/>
  <c r="CF55" i="4"/>
  <c r="CG55" i="4"/>
  <c r="BW56" i="4"/>
  <c r="BX56" i="4"/>
  <c r="BY56" i="4"/>
  <c r="BZ56" i="4"/>
  <c r="CB56" i="4"/>
  <c r="CD56" i="4"/>
  <c r="CE56" i="4"/>
  <c r="CF56" i="4"/>
  <c r="CG56" i="4"/>
  <c r="BW57" i="4"/>
  <c r="BX57" i="4"/>
  <c r="BY57" i="4"/>
  <c r="BZ57" i="4"/>
  <c r="CB57" i="4"/>
  <c r="CD57" i="4"/>
  <c r="CE57" i="4"/>
  <c r="CF57" i="4"/>
  <c r="CG57" i="4"/>
  <c r="BW58" i="4"/>
  <c r="BX58" i="4"/>
  <c r="BY58" i="4"/>
  <c r="BZ58" i="4"/>
  <c r="CB58" i="4"/>
  <c r="CD58" i="4"/>
  <c r="CE58" i="4"/>
  <c r="CF58" i="4"/>
  <c r="CG58" i="4"/>
  <c r="BW59" i="4"/>
  <c r="BX59" i="4"/>
  <c r="BY59" i="4"/>
  <c r="BZ59" i="4"/>
  <c r="CB59" i="4"/>
  <c r="CD59" i="4"/>
  <c r="CE59" i="4"/>
  <c r="CF59" i="4"/>
  <c r="CG59" i="4"/>
  <c r="CG54" i="4"/>
  <c r="CD54" i="4"/>
  <c r="CE54" i="4" s="1"/>
  <c r="CF54" i="4" s="1"/>
  <c r="CB54" i="4"/>
  <c r="BZ54" i="4"/>
  <c r="BW54" i="4"/>
  <c r="BX54" i="4" s="1"/>
  <c r="BY54" i="4" s="1"/>
  <c r="BZ48" i="4"/>
  <c r="CB48" i="4"/>
  <c r="CG48" i="4"/>
  <c r="BZ49" i="4"/>
  <c r="CB49" i="4"/>
  <c r="CG49" i="4"/>
  <c r="BZ50" i="4"/>
  <c r="CB50" i="4"/>
  <c r="CG50" i="4"/>
  <c r="BZ51" i="4"/>
  <c r="CB51" i="4"/>
  <c r="CG51" i="4"/>
  <c r="BZ52" i="4"/>
  <c r="CB52" i="4"/>
  <c r="CG52" i="4"/>
  <c r="CG47" i="4"/>
  <c r="CB47" i="4"/>
  <c r="BZ47" i="4"/>
  <c r="CG46" i="4"/>
  <c r="CB46" i="4"/>
  <c r="BZ46" i="4"/>
  <c r="BZ40" i="4"/>
  <c r="CB40" i="4"/>
  <c r="CG40" i="4"/>
  <c r="BZ41" i="4"/>
  <c r="CB41" i="4"/>
  <c r="CG41" i="4"/>
  <c r="BZ42" i="4"/>
  <c r="CB42" i="4"/>
  <c r="CG42" i="4"/>
  <c r="BZ43" i="4"/>
  <c r="CB43" i="4"/>
  <c r="CG43" i="4"/>
  <c r="CG39" i="4"/>
  <c r="CB39" i="4"/>
  <c r="BZ39" i="4"/>
  <c r="BZ26" i="4"/>
  <c r="CB26" i="4"/>
  <c r="CG26" i="4"/>
  <c r="BZ27" i="4"/>
  <c r="CB27" i="4"/>
  <c r="CG27" i="4"/>
  <c r="BZ28" i="4"/>
  <c r="CB28" i="4"/>
  <c r="CG28" i="4"/>
  <c r="BZ29" i="4"/>
  <c r="CB29" i="4"/>
  <c r="CG29" i="4"/>
  <c r="BZ30" i="4"/>
  <c r="CB30" i="4"/>
  <c r="CG30" i="4"/>
  <c r="BZ31" i="4"/>
  <c r="CB31" i="4"/>
  <c r="CG31" i="4"/>
  <c r="BZ32" i="4"/>
  <c r="CB32" i="4"/>
  <c r="CG32" i="4"/>
  <c r="BZ33" i="4"/>
  <c r="CB33" i="4"/>
  <c r="CG33" i="4"/>
  <c r="BZ34" i="4"/>
  <c r="CB34" i="4"/>
  <c r="CG34" i="4"/>
  <c r="BZ35" i="4"/>
  <c r="CB35" i="4"/>
  <c r="CG35" i="4"/>
  <c r="BZ36" i="4"/>
  <c r="CB36" i="4"/>
  <c r="CG36" i="4"/>
  <c r="BZ37" i="4"/>
  <c r="CB37" i="4"/>
  <c r="CG37" i="4"/>
  <c r="BZ22" i="4"/>
  <c r="CB22" i="4"/>
  <c r="CG22" i="4"/>
  <c r="BZ23" i="4"/>
  <c r="CB23" i="4"/>
  <c r="CG23" i="4"/>
  <c r="BZ24" i="4"/>
  <c r="CB24" i="4"/>
  <c r="CG24" i="4"/>
  <c r="BZ25" i="4"/>
  <c r="CB25" i="4"/>
  <c r="CG25" i="4"/>
  <c r="BW2" i="4"/>
  <c r="CG3" i="4"/>
  <c r="CG4" i="4"/>
  <c r="CG5" i="4"/>
  <c r="CG6" i="4"/>
  <c r="CG7" i="4"/>
  <c r="CG8" i="4"/>
  <c r="CG9" i="4"/>
  <c r="CG10" i="4"/>
  <c r="BZ11" i="4"/>
  <c r="CB11" i="4"/>
  <c r="CG11" i="4"/>
  <c r="BZ12" i="4"/>
  <c r="CB12" i="4"/>
  <c r="CG12" i="4"/>
  <c r="BZ13" i="4"/>
  <c r="CB13" i="4"/>
  <c r="CG13" i="4"/>
  <c r="BZ14" i="4"/>
  <c r="CB14" i="4"/>
  <c r="CG14" i="4"/>
  <c r="BZ15" i="4"/>
  <c r="CB15" i="4"/>
  <c r="CG15" i="4"/>
  <c r="BZ16" i="4"/>
  <c r="CB16" i="4"/>
  <c r="CG16" i="4"/>
  <c r="BZ17" i="4"/>
  <c r="CB17" i="4"/>
  <c r="CG17" i="4"/>
  <c r="BZ18" i="4"/>
  <c r="CB18" i="4"/>
  <c r="CG18" i="4"/>
  <c r="BZ19" i="4"/>
  <c r="CB19" i="4"/>
  <c r="CG19" i="4"/>
  <c r="BX2" i="4"/>
  <c r="BY2" i="4"/>
  <c r="BZ2" i="4"/>
  <c r="CB2" i="4"/>
  <c r="CD2" i="4"/>
  <c r="CE2" i="4"/>
  <c r="CF2" i="4"/>
  <c r="CG2" i="4"/>
  <c r="BZ20" i="4"/>
  <c r="CB20" i="4"/>
  <c r="CG20" i="4"/>
  <c r="BA52" i="4"/>
  <c r="AZ52" i="4"/>
  <c r="BA51" i="4"/>
  <c r="AZ51" i="4"/>
  <c r="BA50" i="4"/>
  <c r="AZ50" i="4"/>
  <c r="BA49" i="4"/>
  <c r="AZ49" i="4"/>
  <c r="BA48" i="4"/>
  <c r="AZ48" i="4"/>
  <c r="BA47" i="4"/>
  <c r="AZ47" i="4"/>
  <c r="BA46" i="4"/>
  <c r="AZ46" i="4"/>
  <c r="AZ43" i="4"/>
  <c r="AZ42" i="4"/>
  <c r="AZ41" i="4"/>
  <c r="AZ40" i="4"/>
  <c r="AZ39" i="4"/>
  <c r="BA37" i="4"/>
  <c r="AZ37" i="4"/>
  <c r="BA36" i="4"/>
  <c r="AZ36" i="4"/>
  <c r="BA35" i="4"/>
  <c r="AZ35" i="4"/>
  <c r="BA34" i="4"/>
  <c r="AZ34" i="4"/>
  <c r="BA33" i="4"/>
  <c r="AZ33" i="4"/>
  <c r="BA32" i="4"/>
  <c r="AZ32" i="4"/>
  <c r="BA31" i="4"/>
  <c r="AZ31" i="4"/>
  <c r="BA30" i="4"/>
  <c r="AZ30" i="4"/>
  <c r="BA29" i="4"/>
  <c r="AZ29" i="4"/>
  <c r="BA28" i="4"/>
  <c r="AZ28" i="4"/>
  <c r="BA27" i="4"/>
  <c r="AZ27" i="4"/>
  <c r="BA26" i="4"/>
  <c r="AZ26" i="4"/>
  <c r="BA25" i="4"/>
  <c r="AZ25" i="4"/>
  <c r="BA24" i="4"/>
  <c r="AZ24" i="4"/>
  <c r="BA23" i="4"/>
  <c r="AZ23" i="4"/>
  <c r="BA22" i="4"/>
  <c r="AZ22" i="4"/>
  <c r="BW22" i="4" l="1"/>
  <c r="BX22" i="4" s="1"/>
  <c r="BY22" i="4" s="1"/>
  <c r="CD22" i="4"/>
  <c r="CE22" i="4" s="1"/>
  <c r="CF22" i="4" s="1"/>
  <c r="BW23" i="4"/>
  <c r="BX23" i="4" s="1"/>
  <c r="BY23" i="4" s="1"/>
  <c r="CD23" i="4"/>
  <c r="CE23" i="4" s="1"/>
  <c r="CF23" i="4" s="1"/>
  <c r="BW24" i="4"/>
  <c r="BX24" i="4" s="1"/>
  <c r="BY24" i="4" s="1"/>
  <c r="CD24" i="4"/>
  <c r="CE24" i="4" s="1"/>
  <c r="CF24" i="4" s="1"/>
  <c r="BW25" i="4"/>
  <c r="BX25" i="4" s="1"/>
  <c r="BY25" i="4" s="1"/>
  <c r="CD25" i="4"/>
  <c r="CE25" i="4" s="1"/>
  <c r="CF25" i="4" s="1"/>
  <c r="BW26" i="4"/>
  <c r="BX26" i="4" s="1"/>
  <c r="BY26" i="4" s="1"/>
  <c r="CD26" i="4"/>
  <c r="CE26" i="4" s="1"/>
  <c r="CF26" i="4" s="1"/>
  <c r="BW27" i="4"/>
  <c r="BX27" i="4" s="1"/>
  <c r="BY27" i="4" s="1"/>
  <c r="CD27" i="4"/>
  <c r="CE27" i="4" s="1"/>
  <c r="CF27" i="4" s="1"/>
  <c r="BW28" i="4"/>
  <c r="BX28" i="4" s="1"/>
  <c r="BY28" i="4" s="1"/>
  <c r="CD28" i="4"/>
  <c r="CE28" i="4" s="1"/>
  <c r="CF28" i="4" s="1"/>
  <c r="BW29" i="4"/>
  <c r="BX29" i="4" s="1"/>
  <c r="BY29" i="4" s="1"/>
  <c r="CD29" i="4"/>
  <c r="CE29" i="4" s="1"/>
  <c r="CF29" i="4" s="1"/>
  <c r="BW30" i="4"/>
  <c r="BX30" i="4" s="1"/>
  <c r="BY30" i="4" s="1"/>
  <c r="CD30" i="4"/>
  <c r="CE30" i="4" s="1"/>
  <c r="CF30" i="4" s="1"/>
  <c r="BW31" i="4"/>
  <c r="BX31" i="4" s="1"/>
  <c r="BY31" i="4" s="1"/>
  <c r="CD31" i="4"/>
  <c r="CE31" i="4" s="1"/>
  <c r="CF31" i="4" s="1"/>
  <c r="BW32" i="4"/>
  <c r="BX32" i="4" s="1"/>
  <c r="BY32" i="4" s="1"/>
  <c r="CD32" i="4"/>
  <c r="CE32" i="4" s="1"/>
  <c r="CF32" i="4" s="1"/>
  <c r="BW33" i="4"/>
  <c r="BX33" i="4" s="1"/>
  <c r="BY33" i="4" s="1"/>
  <c r="CD33" i="4"/>
  <c r="CE33" i="4" s="1"/>
  <c r="CF33" i="4" s="1"/>
  <c r="BW34" i="4"/>
  <c r="BX34" i="4" s="1"/>
  <c r="BY34" i="4" s="1"/>
  <c r="CD34" i="4"/>
  <c r="CE34" i="4" s="1"/>
  <c r="CF34" i="4" s="1"/>
  <c r="BW35" i="4"/>
  <c r="BX35" i="4" s="1"/>
  <c r="BY35" i="4" s="1"/>
  <c r="CD35" i="4"/>
  <c r="CE35" i="4" s="1"/>
  <c r="CF35" i="4" s="1"/>
  <c r="BW36" i="4"/>
  <c r="BX36" i="4" s="1"/>
  <c r="BY36" i="4" s="1"/>
  <c r="CD36" i="4"/>
  <c r="CE36" i="4" s="1"/>
  <c r="CF36" i="4" s="1"/>
  <c r="BW37" i="4"/>
  <c r="BX37" i="4" s="1"/>
  <c r="BY37" i="4" s="1"/>
  <c r="CD37" i="4"/>
  <c r="CE37" i="4" s="1"/>
  <c r="CF37" i="4" s="1"/>
  <c r="CD39" i="4"/>
  <c r="CE39" i="4" s="1"/>
  <c r="CF39" i="4" s="1"/>
  <c r="BW39" i="4"/>
  <c r="BX39" i="4" s="1"/>
  <c r="BY39" i="4" s="1"/>
  <c r="BW40" i="4"/>
  <c r="BX40" i="4" s="1"/>
  <c r="BY40" i="4" s="1"/>
  <c r="CD40" i="4"/>
  <c r="CE40" i="4" s="1"/>
  <c r="CF40" i="4" s="1"/>
  <c r="BW41" i="4"/>
  <c r="BX41" i="4" s="1"/>
  <c r="BY41" i="4" s="1"/>
  <c r="CD41" i="4"/>
  <c r="CE41" i="4" s="1"/>
  <c r="CF41" i="4" s="1"/>
  <c r="BW42" i="4"/>
  <c r="BX42" i="4" s="1"/>
  <c r="BY42" i="4" s="1"/>
  <c r="CD42" i="4"/>
  <c r="CE42" i="4" s="1"/>
  <c r="CF42" i="4" s="1"/>
  <c r="BW43" i="4"/>
  <c r="BX43" i="4" s="1"/>
  <c r="BY43" i="4" s="1"/>
  <c r="CD43" i="4"/>
  <c r="CE43" i="4" s="1"/>
  <c r="CF43" i="4" s="1"/>
  <c r="CD46" i="4"/>
  <c r="CE46" i="4" s="1"/>
  <c r="CF46" i="4" s="1"/>
  <c r="BW46" i="4"/>
  <c r="BX46" i="4" s="1"/>
  <c r="BY46" i="4" s="1"/>
  <c r="CD47" i="4"/>
  <c r="CE47" i="4" s="1"/>
  <c r="CF47" i="4" s="1"/>
  <c r="BW47" i="4"/>
  <c r="BX47" i="4" s="1"/>
  <c r="BY47" i="4" s="1"/>
  <c r="BW48" i="4"/>
  <c r="BX48" i="4" s="1"/>
  <c r="BY48" i="4" s="1"/>
  <c r="CD48" i="4"/>
  <c r="CE48" i="4" s="1"/>
  <c r="CF48" i="4" s="1"/>
  <c r="BW49" i="4"/>
  <c r="BX49" i="4" s="1"/>
  <c r="BY49" i="4" s="1"/>
  <c r="CD49" i="4"/>
  <c r="CE49" i="4" s="1"/>
  <c r="CF49" i="4" s="1"/>
  <c r="BW50" i="4"/>
  <c r="BX50" i="4" s="1"/>
  <c r="BY50" i="4" s="1"/>
  <c r="CD50" i="4"/>
  <c r="CE50" i="4" s="1"/>
  <c r="CF50" i="4" s="1"/>
  <c r="BW51" i="4"/>
  <c r="BX51" i="4" s="1"/>
  <c r="BY51" i="4" s="1"/>
  <c r="CD51" i="4"/>
  <c r="CE51" i="4" s="1"/>
  <c r="CF51" i="4" s="1"/>
  <c r="BW52" i="4"/>
  <c r="BX52" i="4" s="1"/>
  <c r="BY52" i="4" s="1"/>
  <c r="CD52" i="4"/>
  <c r="CE52" i="4" s="1"/>
  <c r="CF52" i="4" s="1"/>
  <c r="AZ20" i="4"/>
  <c r="AZ19" i="4"/>
  <c r="AZ18" i="4"/>
  <c r="AZ17" i="4"/>
  <c r="AZ16" i="4"/>
  <c r="AZ15" i="4"/>
  <c r="AZ14" i="4"/>
  <c r="AZ13" i="4"/>
  <c r="AZ12" i="4"/>
  <c r="AZ11" i="4"/>
  <c r="BW11" i="4" l="1"/>
  <c r="BX11" i="4" s="1"/>
  <c r="BY11" i="4" s="1"/>
  <c r="CD11" i="4"/>
  <c r="CE11" i="4" s="1"/>
  <c r="CF11" i="4" s="1"/>
  <c r="BW12" i="4"/>
  <c r="BX12" i="4" s="1"/>
  <c r="BY12" i="4" s="1"/>
  <c r="CD12" i="4"/>
  <c r="CE12" i="4" s="1"/>
  <c r="CF12" i="4" s="1"/>
  <c r="BW13" i="4"/>
  <c r="BX13" i="4" s="1"/>
  <c r="BY13" i="4" s="1"/>
  <c r="CD13" i="4"/>
  <c r="CE13" i="4" s="1"/>
  <c r="CF13" i="4" s="1"/>
  <c r="BW14" i="4"/>
  <c r="BX14" i="4" s="1"/>
  <c r="BY14" i="4" s="1"/>
  <c r="CD14" i="4"/>
  <c r="CE14" i="4" s="1"/>
  <c r="CF14" i="4" s="1"/>
  <c r="BW15" i="4"/>
  <c r="BX15" i="4" s="1"/>
  <c r="BY15" i="4" s="1"/>
  <c r="CD15" i="4"/>
  <c r="CE15" i="4" s="1"/>
  <c r="CF15" i="4" s="1"/>
  <c r="BW16" i="4"/>
  <c r="BX16" i="4" s="1"/>
  <c r="BY16" i="4" s="1"/>
  <c r="CD16" i="4"/>
  <c r="CE16" i="4" s="1"/>
  <c r="CF16" i="4" s="1"/>
  <c r="BW17" i="4"/>
  <c r="BX17" i="4" s="1"/>
  <c r="BY17" i="4" s="1"/>
  <c r="CD17" i="4"/>
  <c r="CE17" i="4" s="1"/>
  <c r="CF17" i="4" s="1"/>
  <c r="BW18" i="4"/>
  <c r="BX18" i="4" s="1"/>
  <c r="BY18" i="4" s="1"/>
  <c r="CD18" i="4"/>
  <c r="CE18" i="4" s="1"/>
  <c r="CF18" i="4" s="1"/>
  <c r="BW19" i="4"/>
  <c r="BX19" i="4" s="1"/>
  <c r="BY19" i="4" s="1"/>
  <c r="CD19" i="4"/>
  <c r="CE19" i="4" s="1"/>
  <c r="CF19" i="4" s="1"/>
  <c r="CD20" i="4"/>
  <c r="CE20" i="4" s="1"/>
  <c r="CF20" i="4" s="1"/>
  <c r="BW20" i="4"/>
  <c r="BX20" i="4" s="1"/>
  <c r="BY20" i="4" s="1"/>
  <c r="AZ3" i="4"/>
  <c r="AZ4" i="4"/>
  <c r="AZ5" i="4"/>
  <c r="AZ6" i="4"/>
  <c r="AZ7" i="4"/>
  <c r="AZ8" i="4"/>
  <c r="AZ9" i="4"/>
  <c r="AZ10" i="4"/>
  <c r="BH10" i="4"/>
  <c r="BH9" i="4"/>
  <c r="BH8" i="4"/>
  <c r="BH7" i="4"/>
  <c r="BH6" i="4"/>
  <c r="BH5" i="4"/>
  <c r="BH4" i="4"/>
  <c r="BH3" i="4"/>
  <c r="BZ3" i="4" l="1"/>
  <c r="CB3" i="4"/>
  <c r="BZ4" i="4"/>
  <c r="CB4" i="4"/>
  <c r="BZ5" i="4"/>
  <c r="CB5" i="4"/>
  <c r="BZ6" i="4"/>
  <c r="CB6" i="4"/>
  <c r="BZ7" i="4"/>
  <c r="CB7" i="4"/>
  <c r="BZ8" i="4"/>
  <c r="CB8" i="4"/>
  <c r="BZ9" i="4"/>
  <c r="CB9" i="4"/>
  <c r="BZ10" i="4"/>
  <c r="CB10" i="4"/>
  <c r="BW10" i="4"/>
  <c r="BX10" i="4" s="1"/>
  <c r="BY10" i="4" s="1"/>
  <c r="CD10" i="4"/>
  <c r="CE10" i="4" s="1"/>
  <c r="CF10" i="4" s="1"/>
  <c r="BW9" i="4"/>
  <c r="BX9" i="4" s="1"/>
  <c r="BY9" i="4" s="1"/>
  <c r="CD9" i="4"/>
  <c r="CE9" i="4" s="1"/>
  <c r="CF9" i="4" s="1"/>
  <c r="BW8" i="4"/>
  <c r="BX8" i="4" s="1"/>
  <c r="BY8" i="4" s="1"/>
  <c r="CD8" i="4"/>
  <c r="CE8" i="4" s="1"/>
  <c r="CF8" i="4" s="1"/>
  <c r="BW7" i="4"/>
  <c r="BX7" i="4" s="1"/>
  <c r="BY7" i="4" s="1"/>
  <c r="CD7" i="4"/>
  <c r="CE7" i="4" s="1"/>
  <c r="CF7" i="4" s="1"/>
  <c r="BW6" i="4"/>
  <c r="BX6" i="4" s="1"/>
  <c r="BY6" i="4" s="1"/>
  <c r="CD6" i="4"/>
  <c r="CE6" i="4" s="1"/>
  <c r="CF6" i="4" s="1"/>
  <c r="BW5" i="4"/>
  <c r="BX5" i="4" s="1"/>
  <c r="BY5" i="4" s="1"/>
  <c r="CD5" i="4"/>
  <c r="CE5" i="4" s="1"/>
  <c r="CF5" i="4" s="1"/>
  <c r="BW4" i="4"/>
  <c r="BX4" i="4" s="1"/>
  <c r="BY4" i="4" s="1"/>
  <c r="CD4" i="4"/>
  <c r="CE4" i="4" s="1"/>
  <c r="CF4" i="4" s="1"/>
  <c r="BW3" i="4"/>
  <c r="BX3" i="4" s="1"/>
  <c r="BY3" i="4" s="1"/>
  <c r="CD3" i="4"/>
  <c r="CE3" i="4" s="1"/>
  <c r="CF3" i="4" s="1"/>
  <c r="AW338" i="4"/>
  <c r="AY337" i="4"/>
  <c r="AW337" i="4"/>
</calcChain>
</file>

<file path=xl/comments1.xml><?xml version="1.0" encoding="utf-8"?>
<comments xmlns="http://schemas.openxmlformats.org/spreadsheetml/2006/main">
  <authors>
    <author>tc={A079BED9-8793-42E0-834E-83FB681D32EC}</author>
    <author>Diana Danilenko</author>
  </authors>
  <commentList>
    <comment ref="BK2" authorId="0" shapeId="0">
      <text>
        <r>
          <rPr>
            <sz val="12"/>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sd of the mean</t>
        </r>
      </text>
    </comment>
    <comment ref="U11" authorId="1" shapeId="0">
      <text>
        <r>
          <rPr>
            <b/>
            <sz val="9"/>
            <color indexed="81"/>
            <rFont val="Segoe UI"/>
            <charset val="1"/>
          </rPr>
          <t>Diana Danilenko:</t>
        </r>
        <r>
          <rPr>
            <sz val="9"/>
            <color indexed="81"/>
            <rFont val="Segoe UI"/>
            <charset val="1"/>
          </rPr>
          <t xml:space="preserve">
cluster level</t>
        </r>
      </text>
    </comment>
    <comment ref="U12" authorId="1" shapeId="0">
      <text>
        <r>
          <rPr>
            <b/>
            <sz val="9"/>
            <color indexed="81"/>
            <rFont val="Segoe UI"/>
            <charset val="1"/>
          </rPr>
          <t>Diana Danilenko:</t>
        </r>
        <r>
          <rPr>
            <sz val="9"/>
            <color indexed="81"/>
            <rFont val="Segoe UI"/>
            <charset val="1"/>
          </rPr>
          <t xml:space="preserve">
cluster level</t>
        </r>
      </text>
    </comment>
    <comment ref="U13" authorId="1" shapeId="0">
      <text>
        <r>
          <rPr>
            <b/>
            <sz val="9"/>
            <color indexed="81"/>
            <rFont val="Segoe UI"/>
            <charset val="1"/>
          </rPr>
          <t>Diana Danilenko:</t>
        </r>
        <r>
          <rPr>
            <sz val="9"/>
            <color indexed="81"/>
            <rFont val="Segoe UI"/>
            <charset val="1"/>
          </rPr>
          <t xml:space="preserve">
cluster level</t>
        </r>
      </text>
    </comment>
    <comment ref="U14" authorId="1" shapeId="0">
      <text>
        <r>
          <rPr>
            <b/>
            <sz val="9"/>
            <color indexed="81"/>
            <rFont val="Segoe UI"/>
            <charset val="1"/>
          </rPr>
          <t>Diana Danilenko:</t>
        </r>
        <r>
          <rPr>
            <sz val="9"/>
            <color indexed="81"/>
            <rFont val="Segoe UI"/>
            <charset val="1"/>
          </rPr>
          <t xml:space="preserve">
cluster level</t>
        </r>
      </text>
    </comment>
  </commentList>
</comments>
</file>

<file path=xl/sharedStrings.xml><?xml version="1.0" encoding="utf-8"?>
<sst xmlns="http://schemas.openxmlformats.org/spreadsheetml/2006/main" count="2392" uniqueCount="483">
  <si>
    <t>coder</t>
  </si>
  <si>
    <t>sr_no</t>
  </si>
  <si>
    <t>study_ID</t>
  </si>
  <si>
    <t>authors</t>
  </si>
  <si>
    <t>doc_title</t>
  </si>
  <si>
    <t>abstract</t>
  </si>
  <si>
    <t>study_type</t>
  </si>
  <si>
    <t>year_data_study</t>
  </si>
  <si>
    <t>exclusion_reason</t>
  </si>
  <si>
    <t>page</t>
  </si>
  <si>
    <t>statistical_technique</t>
  </si>
  <si>
    <t>study_design</t>
  </si>
  <si>
    <t>country</t>
  </si>
  <si>
    <t>incentive_follow_through</t>
  </si>
  <si>
    <t>experimental_setting</t>
  </si>
  <si>
    <t>participant_type</t>
  </si>
  <si>
    <t>aware_of_study</t>
  </si>
  <si>
    <t>opt_in</t>
  </si>
  <si>
    <t>randomisation_dummy</t>
  </si>
  <si>
    <t>outOfSampleBias</t>
  </si>
  <si>
    <t>reportingBiases</t>
  </si>
  <si>
    <t>notes_bias</t>
  </si>
  <si>
    <t>feedback</t>
  </si>
  <si>
    <t>information</t>
  </si>
  <si>
    <t>label</t>
  </si>
  <si>
    <t>rebate</t>
  </si>
  <si>
    <t>tax_credit</t>
  </si>
  <si>
    <t>subsidy</t>
  </si>
  <si>
    <t>loan</t>
  </si>
  <si>
    <t>choice_architecture</t>
  </si>
  <si>
    <t>washing_machine</t>
  </si>
  <si>
    <t>clothes_dryer</t>
  </si>
  <si>
    <t>refrigerator</t>
  </si>
  <si>
    <t>heat_pump</t>
  </si>
  <si>
    <t>lighting</t>
  </si>
  <si>
    <t>water_heater</t>
  </si>
  <si>
    <t>ac</t>
  </si>
  <si>
    <t>tv</t>
  </si>
  <si>
    <t>notes_dep_var</t>
  </si>
  <si>
    <t>dep_var_original_study</t>
  </si>
  <si>
    <t>dep_var_transformation</t>
  </si>
  <si>
    <t xml:space="preserve">coefficient </t>
  </si>
  <si>
    <t>effect_direction</t>
  </si>
  <si>
    <t>coefficient_se</t>
  </si>
  <si>
    <t>p_value</t>
  </si>
  <si>
    <t>significance_bound</t>
  </si>
  <si>
    <t>t_stat</t>
  </si>
  <si>
    <t>percent_change</t>
  </si>
  <si>
    <t>control_mean</t>
  </si>
  <si>
    <t>control_sample_size</t>
  </si>
  <si>
    <t>control_sd</t>
  </si>
  <si>
    <t>treated_mean</t>
  </si>
  <si>
    <t>treatment_sample_size</t>
  </si>
  <si>
    <t>treated_sd</t>
  </si>
  <si>
    <t>total_sample_size</t>
  </si>
  <si>
    <t>total_observations</t>
  </si>
  <si>
    <t>diff_mean</t>
  </si>
  <si>
    <t>pooled_sd</t>
  </si>
  <si>
    <t>monetary_incentive_size</t>
  </si>
  <si>
    <t>monetary_incentive_relative</t>
  </si>
  <si>
    <t>monetary_incentive_timeframe</t>
  </si>
  <si>
    <t>label_monetary</t>
  </si>
  <si>
    <t>label_monetary_size</t>
  </si>
  <si>
    <t>label_consumption</t>
  </si>
  <si>
    <t>label_consumption_size</t>
  </si>
  <si>
    <t>label_scale</t>
  </si>
  <si>
    <t>controls energy prices</t>
  </si>
  <si>
    <t>controls environmental attitudes</t>
  </si>
  <si>
    <t>controls demographics</t>
  </si>
  <si>
    <t>r_value</t>
  </si>
  <si>
    <t>z_value</t>
  </si>
  <si>
    <t>r_variance</t>
  </si>
  <si>
    <t>z_variance</t>
  </si>
  <si>
    <t>d_value</t>
  </si>
  <si>
    <t>df</t>
  </si>
  <si>
    <t>comments</t>
  </si>
  <si>
    <t>r_value_obs</t>
  </si>
  <si>
    <t>z_value_obs</t>
  </si>
  <si>
    <t>r_variance_obs</t>
  </si>
  <si>
    <t>z_variance_obs</t>
  </si>
  <si>
    <t>DD</t>
  </si>
  <si>
    <t>structural model</t>
  </si>
  <si>
    <t>stated preference</t>
  </si>
  <si>
    <t>NA</t>
  </si>
  <si>
    <t>OLS</t>
  </si>
  <si>
    <t>diff-in-diff</t>
  </si>
  <si>
    <t>Mexico</t>
  </si>
  <si>
    <t>revealed preference</t>
  </si>
  <si>
    <t>pre-recorded (no experiment)</t>
  </si>
  <si>
    <t>residents</t>
  </si>
  <si>
    <t>probably yes</t>
  </si>
  <si>
    <t>decrease</t>
  </si>
  <si>
    <t>linear probability model</t>
  </si>
  <si>
    <t>quasi-experimental</t>
  </si>
  <si>
    <t>China</t>
  </si>
  <si>
    <t>probably no</t>
  </si>
  <si>
    <t>log scale</t>
  </si>
  <si>
    <t>increase</t>
  </si>
  <si>
    <t>upper bound</t>
  </si>
  <si>
    <t>lower bound</t>
  </si>
  <si>
    <t>Not a relevant intervention</t>
  </si>
  <si>
    <t>mixed logit</t>
  </si>
  <si>
    <t>control &amp; treatment</t>
  </si>
  <si>
    <t>Malaysia</t>
  </si>
  <si>
    <t>household</t>
  </si>
  <si>
    <t>purschase (probability) of efficient appliance</t>
  </si>
  <si>
    <t>US</t>
  </si>
  <si>
    <t>LT</t>
  </si>
  <si>
    <t>self-reported behaviour</t>
  </si>
  <si>
    <t>individuals</t>
  </si>
  <si>
    <t>no such option</t>
  </si>
  <si>
    <t>numerical</t>
  </si>
  <si>
    <t>OLS - FE</t>
  </si>
  <si>
    <t>Switzerland</t>
  </si>
  <si>
    <t>energy use after switching to a more efficient appliance</t>
  </si>
  <si>
    <t>SH</t>
  </si>
  <si>
    <t>IV</t>
  </si>
  <si>
    <t>MA</t>
  </si>
  <si>
    <t>Australia</t>
  </si>
  <si>
    <t xml:space="preserve">current </t>
  </si>
  <si>
    <t>LRN</t>
  </si>
  <si>
    <t>USA</t>
  </si>
  <si>
    <t>year_publication</t>
  </si>
  <si>
    <t>notes_intervention</t>
  </si>
  <si>
    <t>diswasher</t>
  </si>
  <si>
    <t>dep_variable_purchase_category</t>
  </si>
  <si>
    <t>Cabrera, Lambert, Naef, Bertholet, Patel</t>
  </si>
  <si>
    <t>Beyond short-term savings: A ten-year analysis of energy efficiency prorgam outcomes in swiss households</t>
  </si>
  <si>
    <t>This paper investigates the enduring impacts of Swiss energy efficiency programs on household electricity use
and on the continuation of energy-conserving practices. Employing a mixed-methods research design, we
analyzed electricity consumption data from 2009 to 2019 and incorporated insights from 2840 survey responses
collected in 2018. Findings reveal sustained reductions in electricity use and continued adoption of energyefficient
appliances among program participants, underscoring the role of non-financial incentives—particularly
environmental awareness—in promoting long-lasting energy conservation behaviors. Socio-cultural factors
emerged as more indicative of household energy use than social status. Scaling the results to the national level,
we estimate a potential annual energy saving of 2400 GWh, equivalent to 13 % of Swiss household electricity
consumption in 2009. The paper advocates energy policies that prioritize engagement and periodic reinforcement
to enhance long-term program efficacy.</t>
  </si>
  <si>
    <t>2009-2019</t>
  </si>
  <si>
    <t>No uncertainty measures could be calculated</t>
  </si>
  <si>
    <t>Ceolotto, Denny</t>
  </si>
  <si>
    <t>Putting a new 'Spin' on energy information: measuring the impact of reframing energy efficiency information on tumble dryer choices in a multi-country experiment</t>
  </si>
  <si>
    <t>It has been shown that consumers often underinvest in energy efficiency despite net benefits
over the longer term. One possible explanation is that they do not properly understand
energy information when provided in physical units, as in most energy labels. Prior studies
have investigated the effect of reframing energy information into monetary units. Outcomes
are mixed, and it is unclear whether this is due to the use of different products, methodologies
or to studies being conducted in countries with different energy prices and labelling
standards. This paper overcomes this ambiguity by testing the effect of providing monetary
energy information using the same experiment in a multi-country setting. Results show that
the intervention’s effectiveness varies considerably across countries. Moreover, they highlight
the presence of within-country heterogeneities based on demographic characteristics,
with monetary information being more effective for high-usage households but seemingly
crowding out the motivation of those whose purchasing decisions depend on environmental
considerations.</t>
  </si>
  <si>
    <t>Canada</t>
  </si>
  <si>
    <t>online</t>
  </si>
  <si>
    <t>control is energy efficiency label</t>
  </si>
  <si>
    <t>Energy efficiency is a dummy variable taking value 1 for the three highest levels of energy consumption (lower efficiency), and 2 for the three lowest levels of energy consumption (higher efficiency)</t>
  </si>
  <si>
    <t>Ireland</t>
  </si>
  <si>
    <t>UK</t>
  </si>
  <si>
    <t>Denny</t>
  </si>
  <si>
    <t>Long‑term Energy Cost Labelling for Appliances: Evidence
from a Randomised Controlled Trial in Ireland</t>
  </si>
  <si>
    <t>Given the longevity of investments in energy-consuming products (such as household
appliances, vehicles, and properties), underinvestment in energy efficiency can have
long-lasting negative economic and environmental consequences. Previous research
has indicated that underinvestment may be due to imperfect information in relation
to the long-term benefits of investing in energy efficiency. This paper presents the
results of a cluster randomised controlled trial examining an intervention which aims
to overcome this information deficit by providing long-term energy cost information
on appliances in an electrical retail chain in Ireland. Two treatments are considered: a
label showing 10-year energy cost information based on typical usage for four appliance
categories (fridge freezers, dishwashers, washing machines, and tumble dryers); and
a second treatment which supplements this label with a QR code where consumers
can gain personalised cost estimates based on their expected appliance usage. Results
indicate that neither of the treatments resulted in an increase in the average energy
efficiency of appliances sold. Also, engagement of customers with the QR code was
extremely low. Given that the newly designed EU energy labels incorporate QR codes
for personalisation, this low usage suggests that this element of the new labels may
be ineffective in increasing the uptake of energy efficiency. Finally, a customer survey
suggests that while the treatment increased the stated importance of energy efficiency
in decision-making, this did not translate into an increase in efficiency of products
purchased, i.e., stated preferences for energy efficiency did not translate into revealed
purchasing preferences.</t>
  </si>
  <si>
    <t>probit</t>
  </si>
  <si>
    <t>retailer</t>
  </si>
  <si>
    <t>homeowners</t>
  </si>
  <si>
    <t>energy efficiency level, with y equal to 1 if the product is considered high efficiency and zero otherwise</t>
  </si>
  <si>
    <t>alphabetical</t>
  </si>
  <si>
    <t>Gao, Tavoni</t>
  </si>
  <si>
    <t>Forget-Me-Not: The Persistent Effect of Information Provision
for Adopting Climate-Friendly Goods</t>
  </si>
  <si>
    <t>It is well documented that people have misperceptions about energy costs.
However, there is mixed empirical evidence about the effectiveness of information provision
and its persistence over time. Understanding the interplay between information
regarding the private and social benefits of low-carbon technologies and identifying mechanisms
through which information treatments affect people’s long-term behaviors can help
reconcile the mixed findings in the literature. In this paper, we measured the long-term
effects of information provision through online experiments involving more than 3,000
households in China. We provided people with information on low-carbon light bulbs’
monetary and climate benefits and observed their purchasing decisions over 10 months.
We find that information on private or social benefits leads to a temporary effect on most
households and a persistent one on the uninformed. This evidence suggests that information
provision works through two different mechanisms: increasing saliency and filling the
information gap.</t>
  </si>
  <si>
    <t>invormation on private benefits</t>
  </si>
  <si>
    <t>WTP for efficient appliance</t>
  </si>
  <si>
    <t>consumers' relative WTP for an LED compared with a CFL</t>
  </si>
  <si>
    <t>invormation on public benefits</t>
  </si>
  <si>
    <t>Zhang, Song</t>
  </si>
  <si>
    <t>Does energy-efficiency label affect appliance price? Empirical analysis of the new national standard air conditioners in China</t>
  </si>
  <si>
    <t>A new national standard (NS) for energy-efficiency labels has been released in China to improve the energy-efficiency requirements of household appliances. However, the impacts of the newly revised NS for air conditioners (ACs) on consumer preference and willingness to pay (WTP) remain unclear. Using data from a large e-commerce website in China, this study explores users’ preferences and WTP for the attributes of online stores, comments, and products pertaining to new NS ACs based on the hedonic price model (HPM), and uses the Heckman two-step estimation to correct for selection bias. The results show that the premium of the new NS energy-efficiency label estimated by the Heckman model is 6.24%, which is 23.71% lower than that estimated directly by the HPM. Online store attributes and comment attributes also affect the prices of new NS ACs. Furthermore, product attributes have effects on the prices of both new and old NS ACs, while online store attributes and comment attributes have greater effects on the old NS ACs. Finally, after the implementation of the new NS, the premium for the new NS energy-efficiency label is lower than that of the old one.</t>
  </si>
  <si>
    <t>Other uncategorised dependent variable</t>
  </si>
  <si>
    <t>del Mar Sol,  Escapa &amp; Galarraga</t>
  </si>
  <si>
    <t>Effectiveness of monetary information in promoting the purchase of energy-efficient appliances: Evidence from a field experiment in Spain</t>
  </si>
  <si>
    <t>The effectiveness of energy labels is crucial in nudging the adoption of energy-efficient products. Here we analyse
how providing monetary information on the cost of energy affects the purchases of energy-efficient appliances.
To that end, a field experiment was carried out at a major Spanish retailer. The appliances under study were
washing-machines, fridges, dishwashers and tumble-driers. Monetary information was provided in two different
ways: (i) directly by sales staff; and (ii) directly by sales staff and via a supplementary label. We find that
providing monetary information is not always effective to increase the purchases of more energy-efficient appliances.
Moreover, the effectiveness is different depending on both the appliance and the specific way in which
information is provided. The monetary information provided only by sales staff is effective in promoting purchases
of A++ washing-machines, fridges and dishwashers but no effect is found for tumble-driers. Monetary information given out by sales staff together with the supplementary label is effective in increasing purchases of A++ washing-machines and dishwashers and A+++ tumble-driers, but no effect is found for fridges. Prior to the experiment, a rebate programme for energy-efficient appliances was in place for a few months in some regions. We find that this rebate programme had an impact on purchases of those types of appliances even after it ended. This “memory effect” should be considered when analysing the effectiveness of such rebate programmes.</t>
  </si>
  <si>
    <t>multinomial logit</t>
  </si>
  <si>
    <t>Spain</t>
  </si>
  <si>
    <t>Likely some minor bias in sample selection, as this was an in-store experiment. Thus, we only observe households who are currently able to afford and looking to buy the respective appliance.</t>
  </si>
  <si>
    <t>Information intervention dealt out by store clerks (more of a nudge than information not provided in person?)</t>
  </si>
  <si>
    <t>Effect on model choice during store purchase - the study reports marginal effects, which we can use without transformation</t>
  </si>
  <si>
    <t>"the probability of buying A++ washing-machines"</t>
  </si>
  <si>
    <t>"the probability of buying A+++ washing-machines"</t>
  </si>
  <si>
    <t>Added label with savings due to energy efficiency to information intervention</t>
  </si>
  <si>
    <t>alphabetical with +</t>
  </si>
  <si>
    <t>"the probability of buying A++ fridges"</t>
  </si>
  <si>
    <t>"the probability of buying A+++ fridges"</t>
  </si>
  <si>
    <t>"the probability of buying A++ dishwashers"</t>
  </si>
  <si>
    <t>"the probability of buying A+++ dishwashers"</t>
  </si>
  <si>
    <t>"the probability of buying A++ tumble-driers"</t>
  </si>
  <si>
    <t>"the probability of buying A+++ tumble-driers"</t>
  </si>
  <si>
    <t>Kesselring</t>
  </si>
  <si>
    <t>Energy labels in the European Union: Consumer inattention and producer responses</t>
  </si>
  <si>
    <t>This paper studies the effect of mandatory eco-labels for durable goods using a bunching design. I exploit discontinuities in the European energy label for washing machines to document consumer inattention in response to the salient quality signal given by the label. The policy effect is driven by adjustments in both supply and demand, which leads to a sales distribution that is strongly concentrated around the label thresholds. Market transformation occurs not only through a local shift in existing segments of the product space, but also through the build-up of a new market segment at the highest label threshold. Regarding price effects, I find no evidence of green premia and argue that competition is effective in preventing this for the case of the European Union.</t>
  </si>
  <si>
    <t>2012-2017</t>
  </si>
  <si>
    <t>Mekonnen, Hassen, Jaime, Toman, Zhang</t>
  </si>
  <si>
    <t>The effect of information and subsidy on adoption of solar lanterns: An application of the BDM bidding mechanism in rural Ethiopia</t>
  </si>
  <si>
    <t>The transition to solar energy to provide clean lighting for rural households in developing countries has been slow. Using a Becker-DeGroot-Marschak (BDM) bidding mechanism in a randomized field experiment, this study investigated the effect of information and subsidy policy instruments on the uptake of solar lanterns. The BDM approach used provides a more comprehensive and more transparent approach for eliciting willingness to pay (WTP), as our random draw is from a wide range of uniformly distributed prices, drawn in front of the subjects. We found that an increase in subsidy level increases the adoption rate. Provision of information about private and public benefits of the solar lantern did not have a significant effect on adoption rate and willingness to pay. Households with access to grid electricity have a lower WTP for the solar lantern and are thus less likely to adopt. Consistent with previous studies, the results suggest that universal electricity and clean energy access may not be achieved without subsidizing household-level solar lighting.</t>
  </si>
  <si>
    <t>Ethiopia</t>
  </si>
  <si>
    <t>lab</t>
  </si>
  <si>
    <t>Adoption of Solar Lantern</t>
  </si>
  <si>
    <t>dummy (0/1)</t>
  </si>
  <si>
    <t>WTP for Solar Lantern</t>
  </si>
  <si>
    <t>Nakai, Yajima, Ravago</t>
  </si>
  <si>
    <t>Cooling the tropics sustainably: Evidence from a choice experiment on energy efficient air conditioners in the Philippines</t>
  </si>
  <si>
    <t>Energy efficiency of home appliances plays a crucial role in climate mitigation policies, especially considering the increasing energy consumption in developing countries. In countries with high temperatures, such as the Philippines, switching to energy efficient air conditioners (ACs) can substantially contribute to climate mitigation. By conducting a choice experiment survey, we investigated the attributes influencing the decision to purchase energy efficient ACs in the Philippines. Utilising primary data with a broad range of socio-economic characteristics, we find that households have a higher willingness-to-pay (WTP) for energy efficient models. Notably, the WTP for higher energy efficiency levels is sufficiently high to choose efficient ACs, which indicates that running costs are considered important. This finding is connected with the fact that the electricity unit price in the Philippines is one of the highest in the Asian countries. Moreover, regarding preference variability, certain consumer groups, such as AC owners, younger age segments, higher income brackets, and those with higher environmental awareness, displayed a higher WTP. Furthermore, our survey reveals the potential for a significant rebound effect in AC use, particularly among people whose daily AC usage exceeds the sample average. Therefore, these results emphasise the necessity of combining the transition to energy efficient ACs and other policy instruments, such as reducing excessive AC usage and expanding renewable energy.</t>
  </si>
  <si>
    <t>Su</t>
  </si>
  <si>
    <t>The rebound effects of energy‑efficient air conditioners: buy more, bigger, or use longer?</t>
  </si>
  <si>
    <t>To track the driving forces of rebound effects, the household electricity consumption of air conditioner (AC) was decomposed into the number, power size, and operating hours of AC. A set of regression models was built to find the influence pathways of increasing electricity consumption. Then, a two-stage decision-making process of AC purchase was studied to find the target customers of energy-efficient AC, using the joint estimation of logistic and zero-truncated negative binomial regression models. Data of 371 households in Hsinchu County in Taiwan were used based on the questionnaire survey of the household energy consumption behavior in 2018. Estimated results indicated that households having energy-efficient AC tend to install larger-power size ones causing the electricity consumption of AC to increase. Oversized AC was the main driving force of rebound effects. Contrarily, the using time of AC was not the key influence factor on electricity consumption. Estimated results also indicated that households living in urban apartments, especially for those with large floor area, would have higher probability of choosing energy-efficient AC and would install a greater number of that.</t>
  </si>
  <si>
    <t>Buettner &amp; Madzharova</t>
  </si>
  <si>
    <t>Promoting Sales of Energy Efficient Household Appliances: Outcomes and Cost-Effectiveness of Rebate Programs</t>
  </si>
  <si>
    <t>This study examines rebate programs aiming at the replacement of household appliances with more efficient products in terms of energy consumption. Based on a large product-level data set for several European countries, the study examines their effects on unit sales and prices. The empirical identification strategy exploits the temporary implementation of the rebates in regional segments of the EU’s common market. The results for unit sales indicate that rebates can be an effective instrument for stimulating replacements with more energy efficient appliances. While the strength of the effects on unit sales proves sensitive to programdesign, we find only limited evidence of intertemporal substitution. Price effects are modest, implying that the subsidies are mostly passed on to consumers. Considering actual energy savings, we find a large variation across programs and identify key factors driving cost-effectiveness.</t>
  </si>
  <si>
    <t>Austria</t>
  </si>
  <si>
    <t>Effect on overall appliance sales</t>
  </si>
  <si>
    <t>market share of efficient appliance</t>
  </si>
  <si>
    <t>Unit sales (refrigerators and washing machines)</t>
  </si>
  <si>
    <t>50-100 €</t>
  </si>
  <si>
    <t>Hungary</t>
  </si>
  <si>
    <t>80-150€</t>
  </si>
  <si>
    <t>up to 50%, depending on efficiency class, capped by amount in column BK</t>
  </si>
  <si>
    <t>100 €</t>
  </si>
  <si>
    <t>Croatia</t>
  </si>
  <si>
    <t>up to 100€</t>
  </si>
  <si>
    <t>max 40%</t>
  </si>
  <si>
    <t>Kamaludin et al.</t>
  </si>
  <si>
    <t xml:space="preserve">
 Household preferences towards energy labels in malaysia:  a pathway to sustainability</t>
  </si>
  <si>
    <t>Using energy labels helps households save on electricity bills and positively impact the environment by guiding informed purchasing decisions and promoting energy efficient products. This study employs a hypothetical Choice Experiment (CE) to examine how energy efficiency labels influence Malaysian consumer preferences for refrigerators. Using multinomial logit (MNL) and mixed logit (ML) models, it analyses key attributes considered by households: Energy star ratings, energy consumption, energy savings (nonmonetary attributes), and price (the monetary attribute). Findings reveal that consumers are willing to pay more for refrigerators with high energy-saving attributes, underscoring the significance of energy-efficient choices in reducing monthly energy costs and supporting long-term sustainability. The study highlights the critical role of energy efficiency labels in shaping consumer preferences towards environmentally friendly appliances, contributing to sustainable development. It demonstrates that energy labels are pivotal in promoting energy-efficient products and practices in Malaysia, strongly supporting Goal 7 of the United Nations Sustainable Development Goals (UN SDGs), which emphasises the importance of clean energy, energy efficiency, and sustainable energy access. These findings affirm
the value of energy efficiency labels in encouraging sustainable consumer behaviour and fostering an environmentally sustainable and socially inclusive energy landscape.</t>
  </si>
  <si>
    <t>Xingchi Shen, Yueming Lucy Qiu, Pengfei Liu, Anand Patwardhan</t>
  </si>
  <si>
    <t>The Effect of Rebate and Loan Incentives on Residential Heat Pump Adoption: Evidence from North Carolina</t>
  </si>
  <si>
    <t>Electrification can promote deep decarbonization to tackle climate change with a cleaner power grid. Electric heat pumps provide a feasible and energy-efficient way to replace fossil-fuel furnaces for space heating. Rebate and loan programs are the two most widely used incentives for residential heat pump installations in the U.S. This study compares the impacts of rebate and loan incentives on residential air-source heat pump adoption in North Carolina. First, our results show that the rebate program ($300–$450 per system) increases the adoption density by 13% in a year. Second, we find that the rebate program is more effective in promoting heat pump adoption for average consumers than two loan programs (annual loan interest rate: 9%, 3.9%). Third, we find the rebate program is less effective for low-income households than high-income households. Lastly, we compare the rebate with the loan programs in terms of cost-effectiveness and we find the rebate program is more cost-effective under certain circumstances.</t>
  </si>
  <si>
    <t>2016-2020</t>
  </si>
  <si>
    <t>Linear Probability Model</t>
  </si>
  <si>
    <t>LRN: Overall the study looks robust to me, they do various balance tests, and they have a pretty limited zone of research (3km). They don't have a randomization and there are income disparities between the samples but they control for it in the regression. Would say probably no.</t>
  </si>
  <si>
    <t>cash rebate of $300–$450 for installing heat pumps (post), depending on equipment efficiency, with an additional $50 rebate for installing a smart thermostat</t>
  </si>
  <si>
    <t>purchase (probability) of efficient appliance</t>
  </si>
  <si>
    <t>consumer's AC replacement decision</t>
  </si>
  <si>
    <t>300-450</t>
  </si>
  <si>
    <t>delayed</t>
  </si>
  <si>
    <t>Residential heatpump installation density (share of households with heat pumps) within a 500 m × 500 m geographical grid i in time t.</t>
  </si>
  <si>
    <t>Heat pump density within a 500 m × 500 m grid</t>
  </si>
  <si>
    <t>controlls</t>
  </si>
  <si>
    <t>rebate_timeframe</t>
  </si>
  <si>
    <t>dep_var_category</t>
  </si>
  <si>
    <t>bias</t>
  </si>
  <si>
    <t>pre and post</t>
  </si>
  <si>
    <t>simulation</t>
  </si>
  <si>
    <t>students</t>
  </si>
  <si>
    <t>Alberini, Bigano</t>
  </si>
  <si>
    <t>How effective are energy-efficiency incentive programs? Evidence from Italian homeowners</t>
  </si>
  <si>
    <t>opt_out</t>
  </si>
  <si>
    <t>PoC</t>
  </si>
  <si>
    <t>store visitors</t>
  </si>
  <si>
    <t>Germany</t>
  </si>
  <si>
    <t>Alberini, Bigano, Boeri</t>
  </si>
  <si>
    <t>Looking for free riding: energy efficiency incentives and Italian homeowners</t>
  </si>
  <si>
    <t>RDD</t>
  </si>
  <si>
    <t>dep_var</t>
  </si>
  <si>
    <t>Italy</t>
  </si>
  <si>
    <t>odds ratio</t>
  </si>
  <si>
    <t>Alberini, Towe</t>
  </si>
  <si>
    <t>Information v. energy efficiency incentives: Evidence from residential electricity consumption in Maryland</t>
  </si>
  <si>
    <t>sales agent</t>
  </si>
  <si>
    <t>review</t>
  </si>
  <si>
    <t>tenants</t>
  </si>
  <si>
    <t>Japan</t>
  </si>
  <si>
    <t>binary</t>
  </si>
  <si>
    <t>Allcott, Sweeney</t>
  </si>
  <si>
    <t>The Role of Sales Agents in Information Disclosure: Evidence from a Field Experiment</t>
  </si>
  <si>
    <t>correlation</t>
  </si>
  <si>
    <t>propensity score matching</t>
  </si>
  <si>
    <t>uncertainty / sample size missing</t>
  </si>
  <si>
    <t>callers</t>
  </si>
  <si>
    <t>Allcott, Taubinsky</t>
  </si>
  <si>
    <t>Evaluating Behaviorally Motivated Policy: Experimental Evidence from the Lightbulb Market</t>
  </si>
  <si>
    <t>quality</t>
  </si>
  <si>
    <t>other</t>
  </si>
  <si>
    <t>Anderson, Claxton</t>
  </si>
  <si>
    <t>Barriers to Consumer Choice of Energy Efficient Products</t>
  </si>
  <si>
    <t>diff of means</t>
  </si>
  <si>
    <t>case study</t>
  </si>
  <si>
    <t>India</t>
  </si>
  <si>
    <t>Andor, Gerster, Goette</t>
  </si>
  <si>
    <t>How effective is the European Union energy label? Evidence from a real-stakes experiment</t>
  </si>
  <si>
    <t>ANOVA</t>
  </si>
  <si>
    <t>unclear</t>
  </si>
  <si>
    <t>Russia</t>
  </si>
  <si>
    <t>Asinyaka</t>
  </si>
  <si>
    <t>Willingness to Pay for Energy Efficient Refrigerating Appliances in Accra, Ghana: A Choice Experiment Approach</t>
  </si>
  <si>
    <t>logit</t>
  </si>
  <si>
    <t>intervention</t>
  </si>
  <si>
    <t>Aydin, Kok, Brounen</t>
  </si>
  <si>
    <t>Energy efficiency and household behavior: the rebound effect in the residential sector</t>
  </si>
  <si>
    <t>2SLS</t>
  </si>
  <si>
    <t>no appliance breakdown</t>
  </si>
  <si>
    <t>Nigeria</t>
  </si>
  <si>
    <t>Berman, Cooper, Geller</t>
  </si>
  <si>
    <t>COMPENDIUM OF UTILITY-SPONSORED ENERGY EFFICIENCY REBATE PROGRAMS.</t>
  </si>
  <si>
    <t>negative binomial count model</t>
  </si>
  <si>
    <t>Kenya</t>
  </si>
  <si>
    <t>Caldwell, Vaughn, Harrod E, Harrod J</t>
  </si>
  <si>
    <t>Social Marketing-Enhanced Home Energy Education Encourages Adoption of Energy-Saving Practices</t>
  </si>
  <si>
    <t>ITT</t>
  </si>
  <si>
    <t>Singapore</t>
  </si>
  <si>
    <t>Carroll, Denny, Lyons</t>
  </si>
  <si>
    <t>The Effects of Energy Cost Labelling on Appliance Purchasing Decisions: Trial Results from Ireland</t>
  </si>
  <si>
    <t>ordered probit</t>
  </si>
  <si>
    <t>Chun, Jiang</t>
  </si>
  <si>
    <t>How households in Pakistan take on energy efficient lighting technology</t>
  </si>
  <si>
    <t>Datta, Filippini</t>
  </si>
  <si>
    <t>Analysing the impact of ENERGY STAR rebate policies in the US</t>
  </si>
  <si>
    <t>log-linear model</t>
  </si>
  <si>
    <t>Datta, Gulati</t>
  </si>
  <si>
    <t>Utility rebates for ENERGY STAR appliances: Are they effective?</t>
  </si>
  <si>
    <t>Davis</t>
  </si>
  <si>
    <t>Durable goods and residential demand for energy and water: evidence from a field trial</t>
  </si>
  <si>
    <t>nested logit</t>
  </si>
  <si>
    <t>Greece</t>
  </si>
  <si>
    <t>Davis, Fuchs, Gertler</t>
  </si>
  <si>
    <t>Cash for Coolers: Evaluating a Large-Scale Appliance Replacement Program in Mexico</t>
  </si>
  <si>
    <t>coarsened exact matching</t>
  </si>
  <si>
    <t>EU</t>
  </si>
  <si>
    <t>Davis, Metcalf</t>
  </si>
  <si>
    <t>DOES BETTER INFORMATION LEAD TO BETTER CHOICES? EVIDENCE FROM
ENERGY-EFFICIENCY LABELS</t>
  </si>
  <si>
    <t>del Mar Sola, de Ayala, Galarraga</t>
  </si>
  <si>
    <t>The Effect of Providing Monetary Information on Energy Savings for Household Appliances: A Field Trial in Spain</t>
  </si>
  <si>
    <t>OLS - RE</t>
  </si>
  <si>
    <t>Australia, Canada, Chile, France, Israel, Korea, Japan, Netherlands, Spain, Sweden, Switzerland</t>
  </si>
  <si>
    <t>Deutsch</t>
  </si>
  <si>
    <t>The effect of life-cycle cost disclosure on consumer behavior: evidence from a field experiment with cooling appliances</t>
  </si>
  <si>
    <t>Life Cycle Cost Disclosure, Consumer Behavior, and Business Implications: Evidence From an Online Field Experiment</t>
  </si>
  <si>
    <t>France, Germany, Italy, Poland, Romania, Spain, Sweden, UK</t>
  </si>
  <si>
    <t>Dieu-Hang, Grafton, Martinez-Espineira, Garcia-Valinas</t>
  </si>
  <si>
    <t>Household adoption of energy and water-efficient appliances: An analysis of attitudes, labelling and complementary green behaviours in selected OECD countries</t>
  </si>
  <si>
    <t>double bounded contingent valuation model</t>
  </si>
  <si>
    <t>South Korea</t>
  </si>
  <si>
    <t>Dong, Futawatari</t>
  </si>
  <si>
    <t>The study of low-carbon policy influence on consumers' energy efficiency household appliance purchase behavior</t>
  </si>
  <si>
    <t>negative binomial regression</t>
  </si>
  <si>
    <t>Pakistan</t>
  </si>
  <si>
    <t>Faure, Guetlein, Schleich</t>
  </si>
  <si>
    <t>Effects of rescaling the EU energy label on household preferences for top-rated appliances</t>
  </si>
  <si>
    <t>difference-in-difference-in-difference</t>
  </si>
  <si>
    <t>Denmark</t>
  </si>
  <si>
    <t>Figueroa, de Moliere, Pegels, Never, Kutzner</t>
  </si>
  <si>
    <t>Show me (more than) the money! Assessing the social and psychological dimensions to energy efficient lighting in Kenya</t>
  </si>
  <si>
    <t>random parameter logit</t>
  </si>
  <si>
    <t>France</t>
  </si>
  <si>
    <t>Galaraga, Heres, Gonzalez, Eguino</t>
  </si>
  <si>
    <t>Price premium for high-efficiency refrigerators and calculation of price-elasticities for close-substitutes: a methodology using hedonic pricing and demand systems</t>
  </si>
  <si>
    <t>VAR</t>
  </si>
  <si>
    <t>Poland</t>
  </si>
  <si>
    <t>Galarraga, Gonzalez-Eguino, Markandya</t>
  </si>
  <si>
    <t>Willingness to pay and price elasticities of demand for energy-efficient appliances: Combining the hedonic approach and demand systems</t>
  </si>
  <si>
    <t>synthetic control method</t>
  </si>
  <si>
    <t>Romania</t>
  </si>
  <si>
    <t>Gana, Hoppe</t>
  </si>
  <si>
    <t>Assessment of the Governance System Regarding Adoption of Energy Efficient Appliances by Households in Nigeria</t>
  </si>
  <si>
    <t>generalised linear mixed modelling</t>
  </si>
  <si>
    <t>Sweden</t>
  </si>
  <si>
    <t>Ghozali, Kaneko</t>
  </si>
  <si>
    <t>Consumer behavior and ecolabeling</t>
  </si>
  <si>
    <t>Norway</t>
  </si>
  <si>
    <t>Goto H, Goto M, Sueyoshi</t>
  </si>
  <si>
    <t>Consumer choice on ecologically efficient water heaters: Marketing strategy and policy implications in Japan</t>
  </si>
  <si>
    <t xml:space="preserve">France, Slovenia, Szech Republic, Portugal </t>
  </si>
  <si>
    <t>Granda, Birner, Aron, Woodward</t>
  </si>
  <si>
    <t>The IFC/GEF Poland Efficient Lighting Project (PELP) final results</t>
  </si>
  <si>
    <t>Haas</t>
  </si>
  <si>
    <t>Some empirical findings of an Austrian appliance turn-in program</t>
  </si>
  <si>
    <t>Hafner, Elmes, Read, White</t>
  </si>
  <si>
    <t>Exploring the role of normative, financial and environmental information in promoting uptake of energy efficient technologies</t>
  </si>
  <si>
    <t>Harajli, Chalak</t>
  </si>
  <si>
    <t>Willingness to Pay for Energy Efficient Appliances: The Case of Lebanese Consumers</t>
  </si>
  <si>
    <t>Harrington</t>
  </si>
  <si>
    <t>Quantifying energy savings from replacement of old refrigerators</t>
  </si>
  <si>
    <t>Heinzle</t>
  </si>
  <si>
    <t>Disclosure of energy operating cost information: A silver bullet for overcoming the energy-efficiency gap?</t>
  </si>
  <si>
    <t>Heinzle, Wüstenhagen</t>
  </si>
  <si>
    <t>Disimproving the European Energy Label's value for consumers? Results from a consumer survey</t>
  </si>
  <si>
    <t>Dynamic Adjustment of Eco-labeling Schemes and Consumer Choice - the Revision of the EU Energy Label as a Missed Opportunity?: Dynamic Adjustment of Eco-labelling Schemes &amp; Consumer Choice</t>
  </si>
  <si>
    <t>Hirst, Carney, O'Neal</t>
  </si>
  <si>
    <t>Alternative technologies for US residential water heating. Energy savings and economic benefits</t>
  </si>
  <si>
    <t>Hlakotsa, Lencwe, Ngobeni, Chowdhury</t>
  </si>
  <si>
    <t>Energy Efficient Water Heating using Air Source Heat Pumps</t>
  </si>
  <si>
    <t>Houde, Aldy</t>
  </si>
  <si>
    <t>Consumers' Response to State Energy Efficient Appliance Rebate Programs</t>
  </si>
  <si>
    <t>Belt and suspenders and more: the incremental impact of energy efficiency subsidies in the presence of existing policy instruments</t>
  </si>
  <si>
    <t>Ito, Ida, Tanaka</t>
  </si>
  <si>
    <t>Moral Suasion and Economic Incentives: Field Experimental Evidence from Energy Demand</t>
  </si>
  <si>
    <t>Jain, Rao, Patwardhan</t>
  </si>
  <si>
    <t>Consumer preference for labels in the purchase decisions of air conditioners in India</t>
  </si>
  <si>
    <t>Jeong, Kim</t>
  </si>
  <si>
    <t>The effects of energy efficiency and environmental labels on appliance choice in South Korea</t>
  </si>
  <si>
    <t>Kallbekken, Saelen, Hermansen</t>
  </si>
  <si>
    <t>Bridging the Energy Efficiency Gap: A Field Experiment on Lifetime Energy Costs and Household Appliances</t>
  </si>
  <si>
    <t>Kusaka, Kojima, Watanabe</t>
  </si>
  <si>
    <t>Environmental consciousness, economic gain and consumer choice of energy efficient appliances in Thailand, China and India</t>
  </si>
  <si>
    <t>Li, Cao</t>
  </si>
  <si>
    <t>Effectiveness of China's Labeling and Incentive Programs for Household Energy Conservation and Policy Implications</t>
  </si>
  <si>
    <t>Liang, Liu, Qiu, Wang, Xing</t>
  </si>
  <si>
    <t>Time-of-Use Electricity Pricing and Residential Low-carbon Energy Technology Adoption</t>
  </si>
  <si>
    <t>Liddle, Loi, Owen, Tao</t>
  </si>
  <si>
    <t>Evaluating consumption and cost savings from new air-conditioner purchases: The case of Singapore</t>
  </si>
  <si>
    <t>Liu, Jin</t>
  </si>
  <si>
    <t>Visualisation approach and economic incentives toward low carbon practices in households: A survey study in Hyogo, Japan</t>
  </si>
  <si>
    <t>London Economics</t>
  </si>
  <si>
    <t>Study on the impact of the energy label – and potential changes to it – on consumer understanding and on purchase decisions</t>
  </si>
  <si>
    <t>Ma, Yu, Urban</t>
  </si>
  <si>
    <t>Green transition of energy systems in rural China: National survey evidence of households' discrete choices on water heaters</t>
  </si>
  <si>
    <t>Mahlia, Masjuki, Choudhury, Ghazali</t>
  </si>
  <si>
    <t>Economical and environmental impact of room air conditioners energy labels in Malaysia</t>
  </si>
  <si>
    <t>Menita, Domingos, Domingues, Alves, Calixto, Garcia, Faria, Miguel</t>
  </si>
  <si>
    <t>Measurement and verification in energy efficiency projects involving solar water heating systems in homes of low-income families - Case studies</t>
  </si>
  <si>
    <t>Mills, Schleich</t>
  </si>
  <si>
    <t>What's driving energy efficient appliance label awareness and purchase propensity?</t>
  </si>
  <si>
    <t>Min, Azevedo, Michalek, de Bruin</t>
  </si>
  <si>
    <t>Labeling energy cost on light bulbs lowers implicit discount rates</t>
  </si>
  <si>
    <t>Mizobuchi, Takeuchi</t>
  </si>
  <si>
    <t>Replacement or additional purchase: The impact of energy-efficient appliances on household electricity saving under public pressures</t>
  </si>
  <si>
    <t>Modic</t>
  </si>
  <si>
    <t>Energy use in households</t>
  </si>
  <si>
    <t>Nakano, Zusman, Nugroho, Kaswanto, Arifin N, Munandar, Arifin HS, Muchtar, Gomi, Fujita</t>
  </si>
  <si>
    <t>Determinants of energy savings in Indonesia: The case of LED lighting in Bogor</t>
  </si>
  <si>
    <t>Neves, Oliveira</t>
  </si>
  <si>
    <t>Drivers of consumers' change to an energy-efficient heating appliance (EEHA) in households: Evidence from five European countries</t>
  </si>
  <si>
    <t>Nishijima, Kagawa, Nansai, Oguchi</t>
  </si>
  <si>
    <t>Effects of product replacement programs on climate change</t>
  </si>
  <si>
    <t>Ohler, Loomis, Ilves</t>
  </si>
  <si>
    <t>A study of electricity savings from energy star appliances using household survey data</t>
  </si>
  <si>
    <t>Olsthoorn, Schleich, Gassmann, Faure</t>
  </si>
  <si>
    <t>Free riding and rebates for residential energy efficiency upgrades: A multi-country contingent valuation experiment</t>
  </si>
  <si>
    <t>Onuma, Matsumoto, Arimura</t>
  </si>
  <si>
    <t>How much household electricity consumption is actually saved by replacement with Light-Emitting Diodes (LEDs)?</t>
  </si>
  <si>
    <t>Orset</t>
  </si>
  <si>
    <t>Is information a good policy instrument to influence the energy behaviour of households?</t>
  </si>
  <si>
    <t>Peters, McWhinnie</t>
  </si>
  <si>
    <t>On the rebound: estimating direct rebound effects for Australian households</t>
  </si>
  <si>
    <t>Radpour, Mondal, Kumar</t>
  </si>
  <si>
    <t>Market penetration modeling of high energy efficiency appliances in the residential sector</t>
  </si>
  <si>
    <t>Raynaud, Osso, Bourges, Duplessis, Adnot</t>
  </si>
  <si>
    <t>Evidence of an indirect rebound effect with reveresible heat pumps: having air conditioning but not using it?</t>
  </si>
  <si>
    <t>Ren, Tibbs, McLauchlan, Ma, Harrington</t>
  </si>
  <si>
    <t>Refrigerator cost trap for low-income households: Developments in measurement and verification of appliance replacements</t>
  </si>
  <si>
    <t>Revelt, Train</t>
  </si>
  <si>
    <t>MIXED LOGIT WITH REPEATED CHOICES: HOUSEHOLDS’ CHOICES
OF APPLIANCE EFFICIENCY LEVEL</t>
  </si>
  <si>
    <t>Mixed logit with repeated choices: households' choices of appliance efficiency level</t>
  </si>
  <si>
    <t>Ridge</t>
  </si>
  <si>
    <t>Energy Conservation for Low-Income Households: The Evaporative Cooler Experience</t>
  </si>
  <si>
    <t>Sammer, Wuestenhagen</t>
  </si>
  <si>
    <t>The influence of eco-labelling on consumer behaviour – results of a discrete choice analysis for washing machines</t>
  </si>
  <si>
    <t>Schleich, Durand, Brugger</t>
  </si>
  <si>
    <t>How effective are EU minimum energy performance standards and energy labels for cold appliances?</t>
  </si>
  <si>
    <t>Schultz, Colehour, Vohr, Bonn, Bullock, Sadler</t>
  </si>
  <si>
    <t>Using Social Marketing to Spur Residential Adoption of ENERGY STAR®-Certified LED Lighting</t>
  </si>
  <si>
    <t>Skourtos, Damigos, Tourkolias, Kontogianni</t>
  </si>
  <si>
    <t>Efficient energy labelling: the impact of information content and style on product choice</t>
  </si>
  <si>
    <t>Stadelmann, Schubert</t>
  </si>
  <si>
    <t>How Do Different Designs of Energy Labels Influence Purchases of Household Appliances? A Field Study in Switzerland</t>
  </si>
  <si>
    <t>Suffolk, Poortinga</t>
  </si>
  <si>
    <t>Behavioural changes after energy efficiency improvements in residential properties</t>
  </si>
  <si>
    <t>Sulyma, Chin, Du Pont, Ference, Martin, Phumaraphand, Tiedemann, Wikler, Zariffa</t>
  </si>
  <si>
    <t>Taking the pulse of Thailand's DSM market transformation programs</t>
  </si>
  <si>
    <t>Sun</t>
  </si>
  <si>
    <t>Heterogeneous direct rebound effect: Theory and evidence from the Energy Star program</t>
  </si>
  <si>
    <t>Train, Atherton</t>
  </si>
  <si>
    <t>REBATES, LOANS, AND CUSTOMERS CHOICE OF APPLIANCE EFFICIENCY LEVEL - COMBINING STATED AND REVEALED-PREFERENCE DATA</t>
  </si>
  <si>
    <t>Free Riding, Upsizing, and Energy Efﬁciency Incentives in Maryland Homes</t>
  </si>
  <si>
    <t>Turdaliev</t>
  </si>
  <si>
    <t>Increasing Block Rate Electricity Pricing and Propensity to Purchase Electrical Appliances: Evidence from a Natural Experiment in Russia</t>
  </si>
  <si>
    <t xml:space="preserve">Wang B, Deng, Liu, Sun, Wang ZH </t>
  </si>
  <si>
    <t>Effect of energy efficiency labels on household appliance choice in China: Sustainable consumption or irrational intertemporal choice?</t>
  </si>
  <si>
    <t>Ward, Clark, Jensen, Yen, Russell</t>
  </si>
  <si>
    <t>Factors influencing willingness-to-pay for the ENERGY STAR (R) label</t>
  </si>
  <si>
    <t>Wasi, Carson</t>
  </si>
  <si>
    <t>The influence of rebate programs on the demand for water heaters: The case of New South Wales</t>
  </si>
  <si>
    <t>Webber, Brown, Koomey</t>
  </si>
  <si>
    <t>Savings estimates for the ENERGY STAR (R) voluntary labeling program</t>
  </si>
  <si>
    <t>Yao, Liu, Yan</t>
  </si>
  <si>
    <t>A quantile approach to assess the effectiveness of the subsidy policy for energy-efficient home appliances: Evidence from Rizhao, China</t>
  </si>
  <si>
    <t>Zha, Yang, Wang, Zhou</t>
  </si>
  <si>
    <t>Appliance energy labels and consumer heterogeneity: A latent class approach based on a discrete choice experiment in China</t>
  </si>
  <si>
    <t>Bjerregaard, Møller</t>
  </si>
  <si>
    <t>The Impact of EU's energy labeling policy: An econometric analysis of inceased transparency in the market of cold appliances in Denmark</t>
  </si>
  <si>
    <t>Zhou, Bukenya</t>
  </si>
  <si>
    <t>Information inefficiency and willingness-to-pay forenergy-efficient technology: A stated preference approach for China Energy Label</t>
  </si>
  <si>
    <t>Newell, Siikamäki</t>
  </si>
  <si>
    <t>Nudging Energy Efficiency Behavior: The Role of Information Labels</t>
  </si>
  <si>
    <t>Shen, Saijo</t>
  </si>
  <si>
    <t>Does an energy efficiency label alter consumers’ purchasing decisions? A latent
class approach based on a stated choice experiment in Shanghai</t>
  </si>
  <si>
    <t>Li, Clark, Jensen, Yen</t>
  </si>
  <si>
    <t>The Effect of Mail-in Utility Rebates on Willingness-to-Pay for ENERGY STAR® Certified Refrigerators</t>
  </si>
  <si>
    <t>Alberini, Gans, Towe</t>
  </si>
  <si>
    <t>DECC</t>
  </si>
  <si>
    <t>Evaluation of the DECC/John Lewis energy labelling trial</t>
  </si>
  <si>
    <t>Oländer, Thogersen</t>
  </si>
  <si>
    <t>Informing Versus Nudging in Environmental Policy</t>
  </si>
  <si>
    <t>counterfactual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</si>
</sst>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164" formatCode="0.00_);[Red]\(0.00\)"/>
    <numFmt numFmtId="165" formatCode="0.000"/>
    <numFmt numFmtId="166" formatCode="0.000_);[Red]\(0.000\)"/>
    <numFmt numFmtId="167" formatCode="0.0000_);[Red]\(0.0000\)"/>
    <numFmt numFmtId="168" formatCode="0.00000_);[Red]\(0.00000\)"/>
    <numFmt numFmtId="169" formatCode="0.000000000"/>
    <numFmt numFmtId="170" formatCode="0.0000000000"/>
    <numFmt numFmtId="171" formatCode="0.0000000"/>
    <numFmt numFmtId="172" formatCode="0.0%"/>
    <numFmt numFmtId="173" formatCode="0.0000"/>
    <numFmt numFmtId="174" formatCode="0.0000;[Red]0.0000"/>
    <numFmt numFmtId="175" formatCode="0.000000"/>
    <numFmt numFmtId="176" formatCode="0.0"/>
  </numFmts>
  <fonts count="20" x14ac:knownFonts="1">
    <font>
      <sz val="12"/>
      <color theme="1"/>
      <name val="Calibri"/>
      <family val="2"/>
      <scheme val="minor"/>
    </font>
    <font>
      <sz val="12"/>
      <color theme="1"/>
      <name val="Calibri"/>
      <family val="2"/>
      <scheme val="minor"/>
    </font>
    <font>
      <u/>
      <sz val="12"/>
      <color theme="10"/>
      <name val="Calibri"/>
      <family val="2"/>
      <scheme val="minor"/>
    </font>
    <font>
      <b/>
      <sz val="10"/>
      <color theme="1"/>
      <name val="Calibri Light"/>
      <family val="2"/>
      <scheme val="major"/>
    </font>
    <font>
      <b/>
      <sz val="10"/>
      <name val="Calibri Light"/>
      <family val="2"/>
      <scheme val="major"/>
    </font>
    <font>
      <sz val="10"/>
      <color theme="1"/>
      <name val="Calibri Light"/>
      <family val="2"/>
      <scheme val="major"/>
    </font>
    <font>
      <sz val="10"/>
      <name val="Calibri Light"/>
      <family val="2"/>
      <scheme val="major"/>
    </font>
    <font>
      <sz val="10"/>
      <color rgb="FF000000"/>
      <name val="Calibri Light"/>
      <family val="2"/>
      <scheme val="major"/>
    </font>
    <font>
      <sz val="10"/>
      <color rgb="FF111111"/>
      <name val="Calibri Light"/>
      <family val="2"/>
      <scheme val="major"/>
    </font>
    <font>
      <sz val="10"/>
      <color rgb="FFFF0000"/>
      <name val="Calibri Light"/>
      <family val="2"/>
      <scheme val="major"/>
    </font>
    <font>
      <sz val="10"/>
      <color rgb="FF374151"/>
      <name val="Calibri Light"/>
      <family val="2"/>
      <scheme val="major"/>
    </font>
    <font>
      <sz val="10"/>
      <color rgb="FF131413"/>
      <name val="Calibri Light"/>
      <family val="2"/>
      <scheme val="major"/>
    </font>
    <font>
      <u/>
      <sz val="10"/>
      <color theme="10"/>
      <name val="Calibri Light"/>
      <family val="2"/>
      <scheme val="major"/>
    </font>
    <font>
      <sz val="9"/>
      <color indexed="81"/>
      <name val="Segoe UI"/>
      <charset val="1"/>
    </font>
    <font>
      <b/>
      <sz val="9"/>
      <color indexed="81"/>
      <name val="Segoe UI"/>
      <charset val="1"/>
    </font>
    <font>
      <sz val="10"/>
      <color theme="1"/>
      <name val="Calibri Light"/>
      <scheme val="major"/>
    </font>
    <font>
      <sz val="10"/>
      <color rgb="FF000000"/>
      <name val="Calibri Light"/>
      <scheme val="major"/>
    </font>
    <font>
      <sz val="10"/>
      <name val="Calibri Light"/>
      <scheme val="major"/>
    </font>
    <font>
      <b/>
      <sz val="10"/>
      <color theme="1"/>
      <name val="Calibri Light"/>
      <scheme val="major"/>
    </font>
    <font>
      <b/>
      <sz val="10"/>
      <name val="Calibri Light"/>
      <scheme val="major"/>
    </font>
  </fonts>
  <fills count="18">
    <fill>
      <patternFill patternType="none"/>
    </fill>
    <fill>
      <patternFill patternType="gray125"/>
    </fill>
    <fill>
      <patternFill patternType="solid">
        <fgColor theme="0"/>
        <bgColor theme="9"/>
      </patternFill>
    </fill>
    <fill>
      <patternFill patternType="solid">
        <fgColor rgb="FFFFFFFF"/>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6" tint="0.79998168889431442"/>
        <bgColor theme="9"/>
      </patternFill>
    </fill>
    <fill>
      <patternFill patternType="solid">
        <fgColor theme="6" tint="0.79998168889431442"/>
        <bgColor indexed="64"/>
      </patternFill>
    </fill>
    <fill>
      <patternFill patternType="solid">
        <fgColor theme="7" tint="0.79998168889431442"/>
        <bgColor theme="9"/>
      </patternFill>
    </fill>
    <fill>
      <patternFill patternType="solid">
        <fgColor theme="9" tint="0.79998168889431442"/>
        <bgColor theme="9"/>
      </patternFill>
    </fill>
    <fill>
      <patternFill patternType="solid">
        <fgColor rgb="FFFFFF00"/>
        <bgColor indexed="64"/>
      </patternFill>
    </fill>
    <fill>
      <patternFill patternType="solid">
        <fgColor rgb="FFD9E1F2"/>
        <bgColor indexed="64"/>
      </patternFill>
    </fill>
    <fill>
      <patternFill patternType="solid">
        <fgColor rgb="FFFCE4D6"/>
        <bgColor indexed="64"/>
      </patternFill>
    </fill>
    <fill>
      <patternFill patternType="solid">
        <fgColor theme="0"/>
        <bgColor indexed="64"/>
      </patternFill>
    </fill>
    <fill>
      <patternFill patternType="solid">
        <fgColor theme="2"/>
        <bgColor indexed="64"/>
      </patternFill>
    </fill>
  </fills>
  <borders count="9">
    <border>
      <left/>
      <right/>
      <top/>
      <bottom/>
      <diagonal/>
    </border>
    <border>
      <left style="thin">
        <color theme="9" tint="0.39997558519241921"/>
      </left>
      <right/>
      <top style="thin">
        <color theme="9" tint="0.39997558519241921"/>
      </top>
      <bottom style="thin">
        <color theme="9" tint="0.39997558519241921"/>
      </bottom>
      <diagonal/>
    </border>
    <border>
      <left style="thin">
        <color indexed="64"/>
      </left>
      <right/>
      <top/>
      <bottom/>
      <diagonal/>
    </border>
    <border>
      <left/>
      <right/>
      <top style="thin">
        <color theme="9" tint="0.39997558519241921"/>
      </top>
      <bottom style="thin">
        <color theme="9" tint="0.39997558519241921"/>
      </bottom>
      <diagonal/>
    </border>
    <border>
      <left/>
      <right/>
      <top style="thin">
        <color theme="9" tint="0.39997558519241921"/>
      </top>
      <bottom/>
      <diagonal/>
    </border>
    <border>
      <left/>
      <right style="thin">
        <color rgb="FF000000"/>
      </right>
      <top/>
      <bottom/>
      <diagonal/>
    </border>
    <border>
      <left style="thin">
        <color theme="9" tint="0.39997558519241921"/>
      </left>
      <right style="thin">
        <color rgb="FF000000"/>
      </right>
      <top style="thin">
        <color theme="9" tint="0.39997558519241921"/>
      </top>
      <bottom style="thin">
        <color theme="9" tint="0.39997558519241921"/>
      </bottom>
      <diagonal/>
    </border>
    <border>
      <left/>
      <right style="thin">
        <color rgb="FF000000"/>
      </right>
      <top style="thin">
        <color theme="9" tint="0.39997558519241921"/>
      </top>
      <bottom style="thin">
        <color theme="9" tint="0.39997558519241921"/>
      </bottom>
      <diagonal/>
    </border>
    <border>
      <left style="thin">
        <color rgb="FF000000"/>
      </left>
      <right/>
      <top style="thin">
        <color theme="9" tint="0.39997558519241921"/>
      </top>
      <bottom style="thin">
        <color theme="9" tint="0.39997558519241921"/>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115">
    <xf numFmtId="0" fontId="0" fillId="0" borderId="0" xfId="0"/>
    <xf numFmtId="0" fontId="5" fillId="0" borderId="0" xfId="0" applyFont="1"/>
    <xf numFmtId="0" fontId="5" fillId="0" borderId="0" xfId="0" applyFont="1" applyAlignment="1">
      <alignment wrapText="1"/>
    </xf>
    <xf numFmtId="0" fontId="3" fillId="8" borderId="0" xfId="0" applyFont="1" applyFill="1"/>
    <xf numFmtId="0" fontId="4" fillId="8" borderId="1" xfId="0" applyFont="1" applyFill="1" applyBorder="1"/>
    <xf numFmtId="0" fontId="4" fillId="8" borderId="0" xfId="0" applyFont="1" applyFill="1"/>
    <xf numFmtId="0" fontId="3" fillId="8" borderId="5" xfId="0" applyFont="1" applyFill="1" applyBorder="1"/>
    <xf numFmtId="0" fontId="3" fillId="5" borderId="0" xfId="0" applyFont="1" applyFill="1"/>
    <xf numFmtId="0" fontId="3" fillId="11" borderId="3" xfId="0" applyFont="1" applyFill="1" applyBorder="1"/>
    <xf numFmtId="0" fontId="3" fillId="15" borderId="8" xfId="0" applyFont="1" applyFill="1" applyBorder="1"/>
    <xf numFmtId="0" fontId="3" fillId="15" borderId="1" xfId="0" applyFont="1" applyFill="1" applyBorder="1"/>
    <xf numFmtId="0" fontId="3" fillId="7" borderId="1" xfId="0" applyFont="1" applyFill="1" applyBorder="1"/>
    <xf numFmtId="0" fontId="3" fillId="15" borderId="0" xfId="0" applyFont="1" applyFill="1"/>
    <xf numFmtId="0" fontId="3" fillId="15" borderId="3" xfId="0" applyFont="1" applyFill="1" applyBorder="1"/>
    <xf numFmtId="0" fontId="3" fillId="15" borderId="7" xfId="0" applyFont="1" applyFill="1" applyBorder="1"/>
    <xf numFmtId="0" fontId="3" fillId="4" borderId="2" xfId="0" applyFont="1" applyFill="1" applyBorder="1"/>
    <xf numFmtId="0" fontId="3" fillId="4" borderId="0" xfId="0" applyFont="1" applyFill="1"/>
    <xf numFmtId="0" fontId="3" fillId="6" borderId="2" xfId="0" applyFont="1" applyFill="1" applyBorder="1"/>
    <xf numFmtId="0" fontId="3" fillId="6" borderId="0" xfId="0" applyFont="1" applyFill="1"/>
    <xf numFmtId="0" fontId="3" fillId="8" borderId="2" xfId="0" applyFont="1" applyFill="1" applyBorder="1"/>
    <xf numFmtId="0" fontId="3" fillId="13" borderId="0" xfId="0" applyFont="1" applyFill="1"/>
    <xf numFmtId="0" fontId="4" fillId="12" borderId="1" xfId="0" applyFont="1" applyFill="1" applyBorder="1"/>
    <xf numFmtId="0" fontId="4" fillId="12" borderId="6" xfId="0" applyFont="1" applyFill="1" applyBorder="1"/>
    <xf numFmtId="0" fontId="4" fillId="5" borderId="3" xfId="0" applyFont="1" applyFill="1" applyBorder="1"/>
    <xf numFmtId="0" fontId="4" fillId="5" borderId="1" xfId="0" applyFont="1" applyFill="1" applyBorder="1"/>
    <xf numFmtId="0" fontId="4" fillId="5" borderId="6" xfId="0" applyFont="1" applyFill="1" applyBorder="1"/>
    <xf numFmtId="0" fontId="4" fillId="9" borderId="3" xfId="0" applyFont="1" applyFill="1" applyBorder="1"/>
    <xf numFmtId="0" fontId="4" fillId="9" borderId="1" xfId="0" applyFont="1" applyFill="1" applyBorder="1"/>
    <xf numFmtId="0" fontId="4" fillId="9" borderId="6" xfId="0" applyFont="1" applyFill="1" applyBorder="1"/>
    <xf numFmtId="0" fontId="4" fillId="10" borderId="3" xfId="0" applyFont="1" applyFill="1" applyBorder="1"/>
    <xf numFmtId="0" fontId="4" fillId="10" borderId="1" xfId="0" applyFont="1" applyFill="1" applyBorder="1"/>
    <xf numFmtId="0" fontId="3" fillId="14" borderId="3" xfId="0" applyFont="1" applyFill="1" applyBorder="1"/>
    <xf numFmtId="0" fontId="3" fillId="14" borderId="1" xfId="0" applyFont="1" applyFill="1" applyBorder="1"/>
    <xf numFmtId="0" fontId="3" fillId="14" borderId="6" xfId="0" applyFont="1" applyFill="1" applyBorder="1"/>
    <xf numFmtId="171" fontId="3" fillId="0" borderId="0" xfId="0" applyNumberFormat="1" applyFont="1"/>
    <xf numFmtId="0" fontId="7" fillId="0" borderId="0" xfId="0" applyFont="1"/>
    <xf numFmtId="169" fontId="7" fillId="0" borderId="0" xfId="0" applyNumberFormat="1" applyFont="1"/>
    <xf numFmtId="170" fontId="7" fillId="0" borderId="0" xfId="0" applyNumberFormat="1" applyFont="1"/>
    <xf numFmtId="169" fontId="5" fillId="0" borderId="0" xfId="0" applyNumberFormat="1" applyFont="1"/>
    <xf numFmtId="171" fontId="5" fillId="0" borderId="0" xfId="0" applyNumberFormat="1" applyFont="1"/>
    <xf numFmtId="167" fontId="5" fillId="0" borderId="0" xfId="0" applyNumberFormat="1" applyFont="1"/>
    <xf numFmtId="164" fontId="5" fillId="0" borderId="0" xfId="0" applyNumberFormat="1" applyFont="1"/>
    <xf numFmtId="166" fontId="5" fillId="0" borderId="0" xfId="0" applyNumberFormat="1" applyFont="1"/>
    <xf numFmtId="0" fontId="5" fillId="13" borderId="0" xfId="0" applyFont="1" applyFill="1"/>
    <xf numFmtId="10" fontId="5" fillId="0" borderId="0" xfId="1" applyNumberFormat="1" applyFont="1"/>
    <xf numFmtId="9" fontId="5" fillId="0" borderId="0" xfId="0" applyNumberFormat="1" applyFont="1"/>
    <xf numFmtId="0" fontId="9" fillId="0" borderId="0" xfId="0" applyFont="1"/>
    <xf numFmtId="164" fontId="9" fillId="0" borderId="0" xfId="0" applyNumberFormat="1" applyFont="1"/>
    <xf numFmtId="169" fontId="9" fillId="0" borderId="0" xfId="0" applyNumberFormat="1" applyFont="1"/>
    <xf numFmtId="170" fontId="9" fillId="0" borderId="0" xfId="0" applyNumberFormat="1" applyFont="1"/>
    <xf numFmtId="0" fontId="6" fillId="0" borderId="0" xfId="0" applyFont="1"/>
    <xf numFmtId="164" fontId="6" fillId="0" borderId="0" xfId="0" applyNumberFormat="1" applyFont="1"/>
    <xf numFmtId="0" fontId="9" fillId="16" borderId="0" xfId="0" applyFont="1" applyFill="1"/>
    <xf numFmtId="166" fontId="9" fillId="0" borderId="0" xfId="0" applyNumberFormat="1" applyFont="1"/>
    <xf numFmtId="2" fontId="9" fillId="0" borderId="0" xfId="0" applyNumberFormat="1" applyFont="1"/>
    <xf numFmtId="168" fontId="5" fillId="0" borderId="0" xfId="0" applyNumberFormat="1" applyFont="1"/>
    <xf numFmtId="0" fontId="5" fillId="3" borderId="0" xfId="0" applyFont="1" applyFill="1"/>
    <xf numFmtId="170" fontId="5" fillId="0" borderId="0" xfId="0" applyNumberFormat="1" applyFont="1"/>
    <xf numFmtId="2" fontId="5" fillId="0" borderId="0" xfId="0" applyNumberFormat="1" applyFont="1"/>
    <xf numFmtId="0" fontId="6" fillId="13" borderId="0" xfId="0" applyFont="1" applyFill="1"/>
    <xf numFmtId="172" fontId="5" fillId="0" borderId="0" xfId="1" applyNumberFormat="1" applyFont="1" applyFill="1"/>
    <xf numFmtId="0" fontId="5" fillId="0" borderId="0" xfId="0" applyFont="1" applyAlignment="1">
      <alignment vertical="center"/>
    </xf>
    <xf numFmtId="10" fontId="5" fillId="0" borderId="0" xfId="1" applyNumberFormat="1" applyFont="1" applyFill="1"/>
    <xf numFmtId="10" fontId="5" fillId="3" borderId="0" xfId="1" applyNumberFormat="1" applyFont="1" applyFill="1"/>
    <xf numFmtId="174" fontId="5" fillId="0" borderId="0" xfId="0" applyNumberFormat="1" applyFont="1"/>
    <xf numFmtId="0" fontId="12" fillId="0" borderId="0" xfId="2" applyFont="1" applyFill="1"/>
    <xf numFmtId="0" fontId="5" fillId="13" borderId="0" xfId="0" applyFont="1" applyFill="1" applyAlignment="1">
      <alignment wrapText="1"/>
    </xf>
    <xf numFmtId="0" fontId="3" fillId="0" borderId="0" xfId="0" applyFont="1"/>
    <xf numFmtId="0" fontId="4" fillId="2" borderId="1" xfId="0" applyFont="1" applyFill="1" applyBorder="1"/>
    <xf numFmtId="9" fontId="7" fillId="0" borderId="0" xfId="1" applyFont="1" applyFill="1"/>
    <xf numFmtId="0" fontId="6" fillId="0" borderId="0" xfId="0" applyFont="1" applyAlignment="1">
      <alignment wrapText="1"/>
    </xf>
    <xf numFmtId="167" fontId="6" fillId="0" borderId="0" xfId="0" applyNumberFormat="1" applyFont="1"/>
    <xf numFmtId="0" fontId="15" fillId="0" borderId="0" xfId="0" applyFont="1"/>
    <xf numFmtId="164" fontId="15" fillId="0" borderId="0" xfId="0" applyNumberFormat="1" applyFont="1"/>
    <xf numFmtId="0" fontId="15" fillId="0" borderId="0" xfId="0" applyFont="1" applyAlignment="1">
      <alignment wrapText="1"/>
    </xf>
    <xf numFmtId="168" fontId="15" fillId="0" borderId="0" xfId="0" applyNumberFormat="1" applyFont="1"/>
    <xf numFmtId="176" fontId="15" fillId="0" borderId="0" xfId="0" applyNumberFormat="1" applyFont="1"/>
    <xf numFmtId="10" fontId="15" fillId="0" borderId="0" xfId="1" applyNumberFormat="1" applyFont="1"/>
    <xf numFmtId="166" fontId="15" fillId="0" borderId="0" xfId="0" applyNumberFormat="1" applyFont="1"/>
    <xf numFmtId="173" fontId="5" fillId="0" borderId="0" xfId="0" applyNumberFormat="1" applyFont="1"/>
    <xf numFmtId="9" fontId="9" fillId="0" borderId="0" xfId="1" applyFont="1" applyFill="1"/>
    <xf numFmtId="9" fontId="6" fillId="0" borderId="0" xfId="1" applyFont="1" applyFill="1"/>
    <xf numFmtId="3" fontId="5" fillId="0" borderId="0" xfId="0" applyNumberFormat="1" applyFont="1"/>
    <xf numFmtId="0" fontId="10" fillId="0" borderId="0" xfId="0" applyFont="1"/>
    <xf numFmtId="165" fontId="5" fillId="0" borderId="0" xfId="0" applyNumberFormat="1" applyFont="1"/>
    <xf numFmtId="0" fontId="11" fillId="0" borderId="0" xfId="0" applyFont="1"/>
    <xf numFmtId="1" fontId="5" fillId="0" borderId="0" xfId="0" applyNumberFormat="1" applyFont="1"/>
    <xf numFmtId="10" fontId="6" fillId="0" borderId="0" xfId="1" applyNumberFormat="1" applyFont="1" applyFill="1"/>
    <xf numFmtId="9" fontId="5" fillId="0" borderId="0" xfId="1" applyFont="1" applyFill="1"/>
    <xf numFmtId="0" fontId="5" fillId="0" borderId="0" xfId="1" applyNumberFormat="1" applyFont="1" applyFill="1"/>
    <xf numFmtId="175" fontId="5" fillId="0" borderId="0" xfId="0" applyNumberFormat="1" applyFont="1"/>
    <xf numFmtId="0" fontId="16" fillId="0" borderId="0" xfId="0" applyFont="1"/>
    <xf numFmtId="171" fontId="15" fillId="0" borderId="0" xfId="0" applyNumberFormat="1" applyFont="1"/>
    <xf numFmtId="10" fontId="16" fillId="0" borderId="0" xfId="0" applyNumberFormat="1" applyFont="1"/>
    <xf numFmtId="0" fontId="17" fillId="0" borderId="0" xfId="0" applyFont="1"/>
    <xf numFmtId="171" fontId="18" fillId="0" borderId="4" xfId="0" applyNumberFormat="1" applyFont="1" applyBorder="1"/>
    <xf numFmtId="171" fontId="19" fillId="2" borderId="0" xfId="0" applyNumberFormat="1" applyFont="1" applyFill="1"/>
    <xf numFmtId="171" fontId="18" fillId="0" borderId="0" xfId="0" applyNumberFormat="1" applyFont="1"/>
    <xf numFmtId="0" fontId="18" fillId="0" borderId="0" xfId="0" applyFont="1"/>
    <xf numFmtId="167" fontId="9" fillId="0" borderId="0" xfId="0" applyNumberFormat="1" applyFont="1"/>
    <xf numFmtId="168" fontId="9" fillId="0" borderId="0" xfId="0" applyNumberFormat="1" applyFont="1"/>
    <xf numFmtId="166" fontId="6" fillId="0" borderId="0" xfId="0" applyNumberFormat="1" applyFont="1"/>
    <xf numFmtId="173" fontId="9" fillId="0" borderId="0" xfId="0" applyNumberFormat="1" applyFont="1"/>
    <xf numFmtId="0" fontId="7" fillId="17" borderId="0" xfId="0" applyFont="1" applyFill="1"/>
    <xf numFmtId="0" fontId="8" fillId="17" borderId="0" xfId="0" applyFont="1" applyFill="1"/>
    <xf numFmtId="0" fontId="7" fillId="17" borderId="0" xfId="0" applyFont="1" applyFill="1" applyAlignment="1">
      <alignment wrapText="1"/>
    </xf>
    <xf numFmtId="0" fontId="5" fillId="17" borderId="0" xfId="0" applyFont="1" applyFill="1"/>
    <xf numFmtId="0" fontId="7" fillId="17" borderId="0" xfId="0" applyFont="1" applyFill="1" applyAlignment="1">
      <alignment horizontal="right"/>
    </xf>
    <xf numFmtId="10" fontId="7" fillId="17" borderId="0" xfId="1" applyNumberFormat="1" applyFont="1" applyFill="1"/>
    <xf numFmtId="171" fontId="15" fillId="17" borderId="0" xfId="0" applyNumberFormat="1" applyFont="1" applyFill="1"/>
    <xf numFmtId="0" fontId="15" fillId="17" borderId="0" xfId="0" applyFont="1" applyFill="1"/>
    <xf numFmtId="164" fontId="15" fillId="17" borderId="0" xfId="0" applyNumberFormat="1" applyFont="1" applyFill="1"/>
    <xf numFmtId="10" fontId="15" fillId="17" borderId="0" xfId="1" applyNumberFormat="1" applyFont="1" applyFill="1"/>
    <xf numFmtId="170" fontId="15" fillId="17" borderId="0" xfId="0" applyNumberFormat="1" applyFont="1" applyFill="1"/>
    <xf numFmtId="2" fontId="15" fillId="17" borderId="0" xfId="0" applyNumberFormat="1" applyFont="1" applyFill="1"/>
  </cellXfs>
  <cellStyles count="3">
    <cellStyle name="Link" xfId="2" builtinId="8"/>
    <cellStyle name="Prozent" xfId="1" builtinId="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diana.danilenko@pik-potsdam.de" id="{FA5638A4-4E7B-41D6-9E99-959231D90D8F}" userId="S::urn:spo:guest#diana.danilenko@pik-potsdam.de::"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J2" dT="2025-11-06T15:26:45.19" personId="{FA5638A4-4E7B-41D6-9E99-959231D90D8F}" id="{A079BED9-8793-42E0-834E-83FB681D32EC}">
    <text>sd of the mean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K343"/>
  <sheetViews>
    <sheetView tabSelected="1" workbookViewId="0">
      <pane ySplit="1" topLeftCell="A2" activePane="bottomLeft" state="frozen"/>
      <selection pane="bottomLeft" activeCell="B52" sqref="B3:B52"/>
    </sheetView>
  </sheetViews>
  <sheetFormatPr baseColWidth="10" defaultColWidth="10.58203125" defaultRowHeight="13" x14ac:dyDescent="0.3"/>
  <cols>
    <col min="1" max="51" width="10.58203125" style="1"/>
    <col min="52" max="52" width="11.08203125" style="1" bestFit="1" customWidth="1"/>
    <col min="53" max="76" width="10.58203125" style="1"/>
    <col min="77" max="77" width="11.83203125" style="1" bestFit="1" customWidth="1"/>
    <col min="78" max="78" width="10.83203125" style="1" bestFit="1" customWidth="1"/>
    <col min="79" max="84" width="10.58203125" style="1"/>
    <col min="85" max="85" width="10.83203125" style="1" bestFit="1" customWidth="1"/>
    <col min="86" max="16384" width="10.58203125" style="1"/>
  </cols>
  <sheetData>
    <row r="1" spans="1:88" x14ac:dyDescent="0.3">
      <c r="A1" s="3" t="s">
        <v>0</v>
      </c>
      <c r="B1" s="3" t="s">
        <v>482</v>
      </c>
      <c r="C1" s="3" t="s">
        <v>1</v>
      </c>
      <c r="D1" s="3" t="s">
        <v>2</v>
      </c>
      <c r="E1" s="4" t="s">
        <v>3</v>
      </c>
      <c r="F1" s="5" t="s">
        <v>122</v>
      </c>
      <c r="G1" s="3" t="s">
        <v>4</v>
      </c>
      <c r="H1" s="6" t="s">
        <v>5</v>
      </c>
      <c r="I1" s="7" t="s">
        <v>6</v>
      </c>
      <c r="J1" s="7" t="s">
        <v>7</v>
      </c>
      <c r="K1" s="7" t="s">
        <v>8</v>
      </c>
      <c r="L1" s="7" t="s">
        <v>9</v>
      </c>
      <c r="M1" s="7" t="s">
        <v>10</v>
      </c>
      <c r="N1" s="7" t="s">
        <v>11</v>
      </c>
      <c r="O1" s="8" t="s">
        <v>12</v>
      </c>
      <c r="P1" s="9" t="s">
        <v>13</v>
      </c>
      <c r="Q1" s="10" t="s">
        <v>14</v>
      </c>
      <c r="R1" s="10" t="s">
        <v>15</v>
      </c>
      <c r="S1" s="10" t="s">
        <v>16</v>
      </c>
      <c r="T1" s="11" t="s">
        <v>17</v>
      </c>
      <c r="U1" s="10" t="s">
        <v>18</v>
      </c>
      <c r="V1" s="12" t="s">
        <v>19</v>
      </c>
      <c r="W1" s="13" t="s">
        <v>20</v>
      </c>
      <c r="X1" s="14" t="s">
        <v>21</v>
      </c>
      <c r="Y1" s="15" t="s">
        <v>22</v>
      </c>
      <c r="Z1" s="16" t="s">
        <v>23</v>
      </c>
      <c r="AA1" s="16" t="s">
        <v>24</v>
      </c>
      <c r="AB1" s="16" t="s">
        <v>25</v>
      </c>
      <c r="AC1" s="16" t="s">
        <v>26</v>
      </c>
      <c r="AD1" s="16" t="s">
        <v>27</v>
      </c>
      <c r="AE1" s="16" t="s">
        <v>28</v>
      </c>
      <c r="AF1" s="16" t="s">
        <v>29</v>
      </c>
      <c r="AG1" s="16" t="s">
        <v>123</v>
      </c>
      <c r="AH1" s="17" t="s">
        <v>30</v>
      </c>
      <c r="AI1" s="18" t="s">
        <v>31</v>
      </c>
      <c r="AJ1" s="18" t="s">
        <v>124</v>
      </c>
      <c r="AK1" s="18" t="s">
        <v>32</v>
      </c>
      <c r="AL1" s="18" t="s">
        <v>33</v>
      </c>
      <c r="AM1" s="18" t="s">
        <v>34</v>
      </c>
      <c r="AN1" s="18" t="s">
        <v>35</v>
      </c>
      <c r="AO1" s="18" t="s">
        <v>36</v>
      </c>
      <c r="AP1" s="18" t="s">
        <v>37</v>
      </c>
      <c r="AQ1" s="19" t="s">
        <v>38</v>
      </c>
      <c r="AR1" s="3" t="s">
        <v>125</v>
      </c>
      <c r="AS1" s="3" t="s">
        <v>39</v>
      </c>
      <c r="AT1" s="20" t="s">
        <v>40</v>
      </c>
      <c r="AU1" s="3" t="s">
        <v>41</v>
      </c>
      <c r="AV1" s="3" t="s">
        <v>42</v>
      </c>
      <c r="AW1" s="4" t="s">
        <v>43</v>
      </c>
      <c r="AX1" s="21" t="s">
        <v>44</v>
      </c>
      <c r="AY1" s="21" t="s">
        <v>45</v>
      </c>
      <c r="AZ1" s="21" t="s">
        <v>46</v>
      </c>
      <c r="BA1" s="22" t="s">
        <v>47</v>
      </c>
      <c r="BB1" s="23" t="s">
        <v>48</v>
      </c>
      <c r="BC1" s="24" t="s">
        <v>49</v>
      </c>
      <c r="BD1" s="24" t="s">
        <v>50</v>
      </c>
      <c r="BE1" s="24" t="s">
        <v>51</v>
      </c>
      <c r="BF1" s="24" t="s">
        <v>52</v>
      </c>
      <c r="BG1" s="24" t="s">
        <v>53</v>
      </c>
      <c r="BH1" s="24" t="s">
        <v>54</v>
      </c>
      <c r="BI1" s="24" t="s">
        <v>55</v>
      </c>
      <c r="BJ1" s="24" t="s">
        <v>56</v>
      </c>
      <c r="BK1" s="25" t="s">
        <v>57</v>
      </c>
      <c r="BL1" s="26" t="s">
        <v>58</v>
      </c>
      <c r="BM1" s="27" t="s">
        <v>59</v>
      </c>
      <c r="BN1" s="28" t="s">
        <v>60</v>
      </c>
      <c r="BO1" s="29" t="s">
        <v>61</v>
      </c>
      <c r="BP1" s="30" t="s">
        <v>62</v>
      </c>
      <c r="BQ1" s="30" t="s">
        <v>63</v>
      </c>
      <c r="BR1" s="30" t="s">
        <v>64</v>
      </c>
      <c r="BS1" s="28" t="s">
        <v>65</v>
      </c>
      <c r="BT1" s="31" t="s">
        <v>66</v>
      </c>
      <c r="BU1" s="32" t="s">
        <v>67</v>
      </c>
      <c r="BV1" s="33" t="s">
        <v>68</v>
      </c>
      <c r="BW1" s="95" t="s">
        <v>69</v>
      </c>
      <c r="BX1" s="96" t="s">
        <v>70</v>
      </c>
      <c r="BY1" s="97" t="s">
        <v>71</v>
      </c>
      <c r="BZ1" s="97" t="s">
        <v>72</v>
      </c>
      <c r="CA1" s="98" t="s">
        <v>73</v>
      </c>
      <c r="CB1" s="98" t="s">
        <v>74</v>
      </c>
      <c r="CC1" s="98" t="s">
        <v>75</v>
      </c>
      <c r="CD1" s="95" t="s">
        <v>76</v>
      </c>
      <c r="CE1" s="96" t="s">
        <v>77</v>
      </c>
      <c r="CF1" s="97" t="s">
        <v>78</v>
      </c>
      <c r="CG1" s="97" t="s">
        <v>79</v>
      </c>
      <c r="CH1" s="34"/>
      <c r="CI1" s="34"/>
    </row>
    <row r="2" spans="1:88" s="106" customFormat="1" ht="12.65" customHeight="1" x14ac:dyDescent="0.3">
      <c r="A2" s="103" t="s">
        <v>80</v>
      </c>
      <c r="B2" s="103"/>
      <c r="C2" s="103">
        <v>1502</v>
      </c>
      <c r="D2" s="103">
        <v>502</v>
      </c>
      <c r="E2" s="103" t="s">
        <v>126</v>
      </c>
      <c r="F2" s="103">
        <v>2024</v>
      </c>
      <c r="G2" s="104" t="s">
        <v>127</v>
      </c>
      <c r="H2" s="105" t="s">
        <v>128</v>
      </c>
      <c r="I2" s="103">
        <v>2</v>
      </c>
      <c r="J2" s="103" t="s">
        <v>129</v>
      </c>
      <c r="K2" s="103" t="s">
        <v>130</v>
      </c>
      <c r="L2" s="103">
        <v>12</v>
      </c>
      <c r="M2" s="103" t="s">
        <v>92</v>
      </c>
      <c r="N2" s="103" t="s">
        <v>93</v>
      </c>
      <c r="O2" s="103" t="s">
        <v>113</v>
      </c>
      <c r="P2" s="103" t="s">
        <v>87</v>
      </c>
      <c r="Q2" s="103" t="s">
        <v>88</v>
      </c>
      <c r="R2" s="103" t="s">
        <v>89</v>
      </c>
      <c r="S2" s="103">
        <v>0</v>
      </c>
      <c r="T2" s="103">
        <v>1</v>
      </c>
      <c r="U2" s="103">
        <v>0</v>
      </c>
      <c r="V2" s="103" t="s">
        <v>90</v>
      </c>
      <c r="W2" s="103" t="s">
        <v>95</v>
      </c>
      <c r="X2" s="103" t="s">
        <v>83</v>
      </c>
      <c r="Y2" s="103">
        <v>0</v>
      </c>
      <c r="Z2" s="103">
        <v>1</v>
      </c>
      <c r="AA2" s="103">
        <v>0</v>
      </c>
      <c r="AB2" s="103">
        <v>1</v>
      </c>
      <c r="AC2" s="103">
        <v>0</v>
      </c>
      <c r="AD2" s="103">
        <v>0</v>
      </c>
      <c r="AE2" s="103">
        <v>0</v>
      </c>
      <c r="AF2" s="103">
        <v>0</v>
      </c>
      <c r="AG2" s="106" t="s">
        <v>83</v>
      </c>
      <c r="AH2" s="103">
        <v>0</v>
      </c>
      <c r="AI2" s="103">
        <v>0</v>
      </c>
      <c r="AJ2" s="103">
        <v>0</v>
      </c>
      <c r="AK2" s="103">
        <v>1</v>
      </c>
      <c r="AL2" s="103">
        <v>0</v>
      </c>
      <c r="AM2" s="103">
        <v>1</v>
      </c>
      <c r="AN2" s="103">
        <v>0</v>
      </c>
      <c r="AO2" s="103">
        <v>0</v>
      </c>
      <c r="AP2" s="103">
        <v>0</v>
      </c>
      <c r="AQ2" s="106" t="s">
        <v>83</v>
      </c>
      <c r="AR2" s="103"/>
      <c r="AS2" s="103"/>
      <c r="AT2" s="103"/>
      <c r="AU2" s="107"/>
      <c r="AV2" s="103"/>
      <c r="AW2" s="103"/>
      <c r="AX2" s="103"/>
      <c r="AY2" s="103"/>
      <c r="AZ2" s="103"/>
      <c r="BA2" s="108"/>
      <c r="BB2" s="103"/>
      <c r="BC2" s="103"/>
      <c r="BD2" s="103"/>
      <c r="BE2" s="103"/>
      <c r="BF2" s="103"/>
      <c r="BG2" s="103"/>
      <c r="BH2" s="104">
        <v>169</v>
      </c>
      <c r="BI2" s="104">
        <v>169</v>
      </c>
      <c r="BJ2" s="103">
        <v>629</v>
      </c>
      <c r="BK2" s="103">
        <v>65</v>
      </c>
      <c r="BL2" s="103" t="s">
        <v>83</v>
      </c>
      <c r="BM2" s="103" t="s">
        <v>83</v>
      </c>
      <c r="BN2" s="103" t="s">
        <v>83</v>
      </c>
      <c r="BO2" s="103" t="s">
        <v>83</v>
      </c>
      <c r="BP2" s="103" t="s">
        <v>83</v>
      </c>
      <c r="BQ2" s="103" t="s">
        <v>83</v>
      </c>
      <c r="BR2" s="103" t="s">
        <v>83</v>
      </c>
      <c r="BS2" s="103" t="s">
        <v>83</v>
      </c>
      <c r="BT2" s="103">
        <v>1</v>
      </c>
      <c r="BU2" s="103">
        <v>1</v>
      </c>
      <c r="BV2" s="103">
        <v>1</v>
      </c>
      <c r="BW2" s="109">
        <f t="shared" ref="BW2:BW20" si="0">((AZ2^2)/(AZ2^2+BH2))^(1/2)</f>
        <v>0</v>
      </c>
      <c r="BX2" s="109">
        <f t="shared" ref="BX2:BX20" si="1">0.5*LN((1+BW2)/(1-BW2))</f>
        <v>0</v>
      </c>
      <c r="BY2" s="109">
        <f t="shared" ref="BY2:BY20" si="2">((1-(BX2^2)^2)/(BH2-1))</f>
        <v>5.9523809523809521E-3</v>
      </c>
      <c r="BZ2" s="109">
        <f t="shared" ref="BZ2:BZ20" si="3">1/(BH2-3)</f>
        <v>6.024096385542169E-3</v>
      </c>
      <c r="CA2" s="110" t="s">
        <v>83</v>
      </c>
      <c r="CB2" s="110">
        <f t="shared" ref="CB2:CB20" si="4">BH2-2</f>
        <v>167</v>
      </c>
      <c r="CC2" s="110" t="s">
        <v>83</v>
      </c>
      <c r="CD2" s="109">
        <f>((AY2^2)/(AY2^2+BI2))^(1/2)</f>
        <v>0</v>
      </c>
      <c r="CE2" s="109">
        <f t="shared" ref="CE2:CE20" si="5">0.5*LN((1+CD2)/(1-CD2))</f>
        <v>0</v>
      </c>
      <c r="CF2" s="109">
        <f t="shared" ref="CF2:CF20" si="6">((1-(CE2^2)^2)/(BI2-1))</f>
        <v>5.9523809523809521E-3</v>
      </c>
      <c r="CG2" s="109">
        <f t="shared" ref="CG2:CG20" si="7">1/(BI2-3)</f>
        <v>6.024096385542169E-3</v>
      </c>
      <c r="CH2" s="110"/>
      <c r="CI2" s="110"/>
      <c r="CJ2" s="110"/>
    </row>
    <row r="3" spans="1:88" ht="13" customHeight="1" x14ac:dyDescent="0.3">
      <c r="A3" s="35" t="s">
        <v>80</v>
      </c>
      <c r="B3" s="35"/>
      <c r="C3" s="35">
        <v>1504</v>
      </c>
      <c r="D3" s="35">
        <v>504</v>
      </c>
      <c r="E3" s="35" t="s">
        <v>131</v>
      </c>
      <c r="F3" s="35">
        <v>2024</v>
      </c>
      <c r="G3" s="1" t="s">
        <v>132</v>
      </c>
      <c r="H3" s="2" t="s">
        <v>133</v>
      </c>
      <c r="I3" s="35">
        <v>2</v>
      </c>
      <c r="J3" s="35">
        <v>2018</v>
      </c>
      <c r="K3" s="35" t="s">
        <v>83</v>
      </c>
      <c r="L3" s="35">
        <v>65</v>
      </c>
      <c r="M3" s="35" t="s">
        <v>101</v>
      </c>
      <c r="N3" s="1" t="s">
        <v>102</v>
      </c>
      <c r="O3" s="35" t="s">
        <v>134</v>
      </c>
      <c r="P3" s="35" t="s">
        <v>82</v>
      </c>
      <c r="Q3" s="1" t="s">
        <v>135</v>
      </c>
      <c r="R3" s="35" t="s">
        <v>89</v>
      </c>
      <c r="S3" s="35">
        <v>1</v>
      </c>
      <c r="T3" s="35">
        <v>1</v>
      </c>
      <c r="U3" s="35">
        <v>1</v>
      </c>
      <c r="V3" s="35" t="s">
        <v>95</v>
      </c>
      <c r="W3" s="35" t="s">
        <v>95</v>
      </c>
      <c r="X3" s="35" t="s">
        <v>83</v>
      </c>
      <c r="Y3" s="35">
        <v>0</v>
      </c>
      <c r="Z3" s="35">
        <v>0</v>
      </c>
      <c r="AA3" s="35">
        <v>1</v>
      </c>
      <c r="AB3" s="35">
        <v>0</v>
      </c>
      <c r="AC3" s="35">
        <v>0</v>
      </c>
      <c r="AD3" s="35">
        <v>0</v>
      </c>
      <c r="AE3" s="35">
        <v>0</v>
      </c>
      <c r="AF3" s="35">
        <v>0</v>
      </c>
      <c r="AG3" s="35" t="s">
        <v>136</v>
      </c>
      <c r="AH3" s="35">
        <v>0</v>
      </c>
      <c r="AI3" s="35">
        <v>1</v>
      </c>
      <c r="AJ3" s="35">
        <v>0</v>
      </c>
      <c r="AK3" s="35">
        <v>0</v>
      </c>
      <c r="AL3" s="35">
        <v>0</v>
      </c>
      <c r="AM3" s="35">
        <v>0</v>
      </c>
      <c r="AN3" s="35">
        <v>0</v>
      </c>
      <c r="AO3" s="35">
        <v>0</v>
      </c>
      <c r="AP3" s="35">
        <v>0</v>
      </c>
      <c r="AQ3" s="1" t="s">
        <v>83</v>
      </c>
      <c r="AR3" s="2" t="s">
        <v>105</v>
      </c>
      <c r="AS3" s="1" t="s">
        <v>137</v>
      </c>
      <c r="AT3" s="35" t="s">
        <v>96</v>
      </c>
      <c r="AU3" s="40">
        <v>0.54720000000000002</v>
      </c>
      <c r="AV3" s="41" t="s">
        <v>97</v>
      </c>
      <c r="AW3" s="1">
        <v>0.2288</v>
      </c>
      <c r="AX3" s="35">
        <v>0.05</v>
      </c>
      <c r="AY3" s="35" t="s">
        <v>98</v>
      </c>
      <c r="AZ3" s="35">
        <f t="shared" ref="AZ3:AZ20" si="8">AU3/AW3</f>
        <v>2.3916083916083917</v>
      </c>
      <c r="BA3" s="35" t="s">
        <v>83</v>
      </c>
      <c r="BB3" s="35" t="s">
        <v>83</v>
      </c>
      <c r="BC3" s="35">
        <v>214</v>
      </c>
      <c r="BD3" s="35" t="s">
        <v>83</v>
      </c>
      <c r="BE3" s="35" t="s">
        <v>83</v>
      </c>
      <c r="BF3" s="35">
        <v>205</v>
      </c>
      <c r="BG3" s="1" t="s">
        <v>83</v>
      </c>
      <c r="BH3" s="35">
        <f>214+205</f>
        <v>419</v>
      </c>
      <c r="BI3" s="35">
        <f>214+205</f>
        <v>419</v>
      </c>
      <c r="BJ3" s="35" t="s">
        <v>83</v>
      </c>
      <c r="BK3" s="35" t="s">
        <v>83</v>
      </c>
      <c r="BL3" s="35" t="s">
        <v>83</v>
      </c>
      <c r="BM3" s="35" t="s">
        <v>83</v>
      </c>
      <c r="BN3" s="35" t="s">
        <v>83</v>
      </c>
      <c r="BO3" s="35">
        <v>1</v>
      </c>
      <c r="BP3" s="72" t="s">
        <v>83</v>
      </c>
      <c r="BQ3" s="35" t="s">
        <v>83</v>
      </c>
      <c r="BR3" s="35" t="s">
        <v>83</v>
      </c>
      <c r="BS3" s="35" t="s">
        <v>83</v>
      </c>
      <c r="BT3" s="35">
        <v>1</v>
      </c>
      <c r="BU3" s="35">
        <v>1</v>
      </c>
      <c r="BV3" s="35">
        <v>1</v>
      </c>
      <c r="BW3" s="92">
        <f t="shared" si="0"/>
        <v>0.11604830978186406</v>
      </c>
      <c r="BX3" s="92">
        <f t="shared" si="1"/>
        <v>0.11657350913476279</v>
      </c>
      <c r="BY3" s="92">
        <f t="shared" si="2"/>
        <v>2.3919027001646168E-3</v>
      </c>
      <c r="BZ3" s="92">
        <f t="shared" si="3"/>
        <v>2.403846153846154E-3</v>
      </c>
      <c r="CA3" s="72" t="s">
        <v>83</v>
      </c>
      <c r="CB3" s="72">
        <f t="shared" si="4"/>
        <v>417</v>
      </c>
      <c r="CC3" s="72" t="s">
        <v>83</v>
      </c>
      <c r="CD3" s="92">
        <f t="shared" ref="CD3:CD20" si="9">((AZ3^2)/(AZ3^2+BI3))^(1/2)</f>
        <v>0.11604830978186406</v>
      </c>
      <c r="CE3" s="92">
        <f t="shared" si="5"/>
        <v>0.11657350913476279</v>
      </c>
      <c r="CF3" s="92">
        <f t="shared" si="6"/>
        <v>2.3919027001646168E-3</v>
      </c>
      <c r="CG3" s="92">
        <f t="shared" si="7"/>
        <v>2.403846153846154E-3</v>
      </c>
      <c r="CH3" s="72"/>
      <c r="CI3" s="72"/>
      <c r="CJ3" s="72"/>
    </row>
    <row r="4" spans="1:88" ht="13" customHeight="1" x14ac:dyDescent="0.3">
      <c r="A4" s="35" t="s">
        <v>80</v>
      </c>
      <c r="B4" s="35"/>
      <c r="C4" s="35">
        <v>1505</v>
      </c>
      <c r="D4" s="35">
        <v>504</v>
      </c>
      <c r="E4" s="35" t="s">
        <v>131</v>
      </c>
      <c r="F4" s="35">
        <v>2024</v>
      </c>
      <c r="G4" s="1" t="s">
        <v>132</v>
      </c>
      <c r="H4" s="2" t="s">
        <v>133</v>
      </c>
      <c r="I4" s="35">
        <v>2</v>
      </c>
      <c r="J4" s="35">
        <v>2018</v>
      </c>
      <c r="K4" s="35" t="s">
        <v>83</v>
      </c>
      <c r="L4" s="35">
        <v>65</v>
      </c>
      <c r="M4" s="35" t="s">
        <v>101</v>
      </c>
      <c r="N4" s="1" t="s">
        <v>102</v>
      </c>
      <c r="O4" s="35" t="s">
        <v>138</v>
      </c>
      <c r="P4" s="35" t="s">
        <v>82</v>
      </c>
      <c r="Q4" s="1" t="s">
        <v>135</v>
      </c>
      <c r="R4" s="35" t="s">
        <v>89</v>
      </c>
      <c r="S4" s="35">
        <v>1</v>
      </c>
      <c r="T4" s="35">
        <v>1</v>
      </c>
      <c r="U4" s="35">
        <v>1</v>
      </c>
      <c r="V4" s="35" t="s">
        <v>95</v>
      </c>
      <c r="W4" s="35" t="s">
        <v>95</v>
      </c>
      <c r="X4" s="35" t="s">
        <v>83</v>
      </c>
      <c r="Y4" s="35">
        <v>0</v>
      </c>
      <c r="Z4" s="35">
        <v>0</v>
      </c>
      <c r="AA4" s="35">
        <v>1</v>
      </c>
      <c r="AB4" s="35">
        <v>0</v>
      </c>
      <c r="AC4" s="35">
        <v>0</v>
      </c>
      <c r="AD4" s="35">
        <v>0</v>
      </c>
      <c r="AE4" s="35">
        <v>0</v>
      </c>
      <c r="AF4" s="35">
        <v>0</v>
      </c>
      <c r="AG4" s="35" t="s">
        <v>136</v>
      </c>
      <c r="AH4" s="35">
        <v>0</v>
      </c>
      <c r="AI4" s="35">
        <v>1</v>
      </c>
      <c r="AJ4" s="35">
        <v>0</v>
      </c>
      <c r="AK4" s="35">
        <v>0</v>
      </c>
      <c r="AL4" s="35">
        <v>0</v>
      </c>
      <c r="AM4" s="35">
        <v>0</v>
      </c>
      <c r="AN4" s="35">
        <v>0</v>
      </c>
      <c r="AO4" s="35">
        <v>0</v>
      </c>
      <c r="AP4" s="35">
        <v>0</v>
      </c>
      <c r="AQ4" s="1" t="s">
        <v>83</v>
      </c>
      <c r="AR4" s="2" t="s">
        <v>105</v>
      </c>
      <c r="AS4" s="1" t="s">
        <v>137</v>
      </c>
      <c r="AT4" s="35" t="s">
        <v>96</v>
      </c>
      <c r="AU4" s="40">
        <v>0.15129999999999999</v>
      </c>
      <c r="AV4" s="41" t="s">
        <v>97</v>
      </c>
      <c r="AW4" s="1">
        <v>0.29470000000000002</v>
      </c>
      <c r="AX4" s="35">
        <v>0.1</v>
      </c>
      <c r="AY4" s="35" t="s">
        <v>99</v>
      </c>
      <c r="AZ4" s="35">
        <f t="shared" si="8"/>
        <v>0.51340346114692903</v>
      </c>
      <c r="BA4" s="35" t="s">
        <v>83</v>
      </c>
      <c r="BB4" s="35" t="s">
        <v>83</v>
      </c>
      <c r="BC4" s="35">
        <v>198</v>
      </c>
      <c r="BD4" s="35" t="s">
        <v>83</v>
      </c>
      <c r="BE4" s="35" t="s">
        <v>83</v>
      </c>
      <c r="BF4" s="35">
        <v>189</v>
      </c>
      <c r="BG4" s="1" t="s">
        <v>83</v>
      </c>
      <c r="BH4" s="35">
        <f>198+189</f>
        <v>387</v>
      </c>
      <c r="BI4" s="35">
        <f>198+189</f>
        <v>387</v>
      </c>
      <c r="BJ4" s="35" t="s">
        <v>83</v>
      </c>
      <c r="BK4" s="35" t="s">
        <v>83</v>
      </c>
      <c r="BL4" s="35" t="s">
        <v>83</v>
      </c>
      <c r="BM4" s="35" t="s">
        <v>83</v>
      </c>
      <c r="BN4" s="35" t="s">
        <v>83</v>
      </c>
      <c r="BO4" s="35">
        <v>1</v>
      </c>
      <c r="BP4" s="72" t="s">
        <v>83</v>
      </c>
      <c r="BQ4" s="35" t="s">
        <v>83</v>
      </c>
      <c r="BR4" s="35" t="s">
        <v>83</v>
      </c>
      <c r="BS4" s="35" t="s">
        <v>83</v>
      </c>
      <c r="BT4" s="35">
        <v>1</v>
      </c>
      <c r="BU4" s="35">
        <v>1</v>
      </c>
      <c r="BV4" s="35">
        <v>1</v>
      </c>
      <c r="BW4" s="92">
        <f t="shared" si="0"/>
        <v>2.6088881640373152E-2</v>
      </c>
      <c r="BX4" s="92">
        <f t="shared" si="1"/>
        <v>2.6094803015007779E-2</v>
      </c>
      <c r="BY4" s="92">
        <f t="shared" si="2"/>
        <v>2.5906723738922965E-3</v>
      </c>
      <c r="BZ4" s="92">
        <f t="shared" si="3"/>
        <v>2.6041666666666665E-3</v>
      </c>
      <c r="CA4" s="72" t="s">
        <v>83</v>
      </c>
      <c r="CB4" s="72">
        <f t="shared" si="4"/>
        <v>385</v>
      </c>
      <c r="CC4" s="72" t="s">
        <v>83</v>
      </c>
      <c r="CD4" s="92">
        <f t="shared" si="9"/>
        <v>2.6088881640373152E-2</v>
      </c>
      <c r="CE4" s="92">
        <f t="shared" si="5"/>
        <v>2.6094803015007779E-2</v>
      </c>
      <c r="CF4" s="92">
        <f t="shared" si="6"/>
        <v>2.5906723738922965E-3</v>
      </c>
      <c r="CG4" s="92">
        <f t="shared" si="7"/>
        <v>2.6041666666666665E-3</v>
      </c>
      <c r="CH4" s="72"/>
      <c r="CI4" s="72"/>
      <c r="CJ4" s="72"/>
    </row>
    <row r="5" spans="1:88" ht="13" customHeight="1" x14ac:dyDescent="0.3">
      <c r="A5" s="35" t="s">
        <v>80</v>
      </c>
      <c r="B5" s="35"/>
      <c r="C5" s="35">
        <v>1506</v>
      </c>
      <c r="D5" s="35">
        <v>504</v>
      </c>
      <c r="E5" s="35" t="s">
        <v>131</v>
      </c>
      <c r="F5" s="35">
        <v>2024</v>
      </c>
      <c r="G5" s="1" t="s">
        <v>132</v>
      </c>
      <c r="H5" s="2" t="s">
        <v>133</v>
      </c>
      <c r="I5" s="35">
        <v>2</v>
      </c>
      <c r="J5" s="35">
        <v>2018</v>
      </c>
      <c r="K5" s="35" t="s">
        <v>83</v>
      </c>
      <c r="L5" s="35">
        <v>65</v>
      </c>
      <c r="M5" s="35" t="s">
        <v>101</v>
      </c>
      <c r="N5" s="1" t="s">
        <v>102</v>
      </c>
      <c r="O5" s="35" t="s">
        <v>139</v>
      </c>
      <c r="P5" s="35" t="s">
        <v>82</v>
      </c>
      <c r="Q5" s="1" t="s">
        <v>135</v>
      </c>
      <c r="R5" s="35" t="s">
        <v>89</v>
      </c>
      <c r="S5" s="35">
        <v>1</v>
      </c>
      <c r="T5" s="35">
        <v>1</v>
      </c>
      <c r="U5" s="35">
        <v>1</v>
      </c>
      <c r="V5" s="35" t="s">
        <v>95</v>
      </c>
      <c r="W5" s="35" t="s">
        <v>95</v>
      </c>
      <c r="X5" s="35" t="s">
        <v>83</v>
      </c>
      <c r="Y5" s="35">
        <v>0</v>
      </c>
      <c r="Z5" s="35">
        <v>0</v>
      </c>
      <c r="AA5" s="35">
        <v>1</v>
      </c>
      <c r="AB5" s="35">
        <v>0</v>
      </c>
      <c r="AC5" s="35">
        <v>0</v>
      </c>
      <c r="AD5" s="35">
        <v>0</v>
      </c>
      <c r="AE5" s="35">
        <v>0</v>
      </c>
      <c r="AF5" s="35">
        <v>0</v>
      </c>
      <c r="AG5" s="35" t="s">
        <v>136</v>
      </c>
      <c r="AH5" s="35">
        <v>0</v>
      </c>
      <c r="AI5" s="35">
        <v>1</v>
      </c>
      <c r="AJ5" s="35">
        <v>0</v>
      </c>
      <c r="AK5" s="35">
        <v>0</v>
      </c>
      <c r="AL5" s="35">
        <v>0</v>
      </c>
      <c r="AM5" s="35">
        <v>0</v>
      </c>
      <c r="AN5" s="35">
        <v>0</v>
      </c>
      <c r="AO5" s="35">
        <v>0</v>
      </c>
      <c r="AP5" s="35">
        <v>0</v>
      </c>
      <c r="AQ5" s="1" t="s">
        <v>83</v>
      </c>
      <c r="AR5" s="2" t="s">
        <v>105</v>
      </c>
      <c r="AS5" s="1" t="s">
        <v>137</v>
      </c>
      <c r="AT5" s="35" t="s">
        <v>96</v>
      </c>
      <c r="AU5" s="40">
        <v>0.58050000000000002</v>
      </c>
      <c r="AV5" s="41" t="s">
        <v>97</v>
      </c>
      <c r="AW5" s="35">
        <v>0.32379999999999998</v>
      </c>
      <c r="AX5" s="35">
        <v>0.1</v>
      </c>
      <c r="AY5" s="35" t="s">
        <v>98</v>
      </c>
      <c r="AZ5" s="35">
        <f t="shared" si="8"/>
        <v>1.7927733168622608</v>
      </c>
      <c r="BA5" s="35" t="s">
        <v>83</v>
      </c>
      <c r="BB5" s="35" t="s">
        <v>83</v>
      </c>
      <c r="BC5" s="35">
        <v>220</v>
      </c>
      <c r="BD5" s="35" t="s">
        <v>83</v>
      </c>
      <c r="BE5" s="35" t="s">
        <v>83</v>
      </c>
      <c r="BF5" s="35">
        <v>218</v>
      </c>
      <c r="BG5" s="1" t="s">
        <v>83</v>
      </c>
      <c r="BH5" s="35">
        <f>220+218</f>
        <v>438</v>
      </c>
      <c r="BI5" s="35">
        <f>220+218</f>
        <v>438</v>
      </c>
      <c r="BJ5" s="35" t="s">
        <v>83</v>
      </c>
      <c r="BK5" s="35" t="s">
        <v>83</v>
      </c>
      <c r="BL5" s="35" t="s">
        <v>83</v>
      </c>
      <c r="BM5" s="35" t="s">
        <v>83</v>
      </c>
      <c r="BN5" s="35" t="s">
        <v>83</v>
      </c>
      <c r="BO5" s="35">
        <v>1</v>
      </c>
      <c r="BP5" s="72" t="s">
        <v>83</v>
      </c>
      <c r="BQ5" s="35" t="s">
        <v>83</v>
      </c>
      <c r="BR5" s="35" t="s">
        <v>83</v>
      </c>
      <c r="BS5" s="35" t="s">
        <v>83</v>
      </c>
      <c r="BT5" s="35">
        <v>1</v>
      </c>
      <c r="BU5" s="35">
        <v>1</v>
      </c>
      <c r="BV5" s="35">
        <v>1</v>
      </c>
      <c r="BW5" s="92">
        <f t="shared" si="0"/>
        <v>8.5349448589008101E-2</v>
      </c>
      <c r="BX5" s="92">
        <f t="shared" si="1"/>
        <v>8.5557602624969753E-2</v>
      </c>
      <c r="BY5" s="92">
        <f t="shared" si="2"/>
        <v>2.2882069018002231E-3</v>
      </c>
      <c r="BZ5" s="92">
        <f t="shared" si="3"/>
        <v>2.2988505747126436E-3</v>
      </c>
      <c r="CA5" s="72" t="s">
        <v>83</v>
      </c>
      <c r="CB5" s="72">
        <f t="shared" si="4"/>
        <v>436</v>
      </c>
      <c r="CC5" s="72" t="s">
        <v>83</v>
      </c>
      <c r="CD5" s="92">
        <f t="shared" si="9"/>
        <v>8.5349448589008101E-2</v>
      </c>
      <c r="CE5" s="92">
        <f t="shared" si="5"/>
        <v>8.5557602624969753E-2</v>
      </c>
      <c r="CF5" s="92">
        <f t="shared" si="6"/>
        <v>2.2882069018002231E-3</v>
      </c>
      <c r="CG5" s="92">
        <f t="shared" si="7"/>
        <v>2.2988505747126436E-3</v>
      </c>
      <c r="CH5" s="72"/>
      <c r="CI5" s="72"/>
      <c r="CJ5" s="72"/>
    </row>
    <row r="6" spans="1:88" ht="13" customHeight="1" x14ac:dyDescent="0.3">
      <c r="A6" s="35" t="s">
        <v>80</v>
      </c>
      <c r="B6" s="35"/>
      <c r="C6" s="35">
        <v>1507</v>
      </c>
      <c r="D6" s="35">
        <v>504</v>
      </c>
      <c r="E6" s="35" t="s">
        <v>131</v>
      </c>
      <c r="F6" s="35">
        <v>2024</v>
      </c>
      <c r="G6" s="1" t="s">
        <v>132</v>
      </c>
      <c r="H6" s="2" t="s">
        <v>133</v>
      </c>
      <c r="I6" s="35">
        <v>2</v>
      </c>
      <c r="J6" s="35">
        <v>2018</v>
      </c>
      <c r="K6" s="35" t="s">
        <v>83</v>
      </c>
      <c r="L6" s="35">
        <v>65</v>
      </c>
      <c r="M6" s="35" t="s">
        <v>101</v>
      </c>
      <c r="N6" s="1" t="s">
        <v>102</v>
      </c>
      <c r="O6" s="35" t="s">
        <v>106</v>
      </c>
      <c r="P6" s="35" t="s">
        <v>82</v>
      </c>
      <c r="Q6" s="1" t="s">
        <v>135</v>
      </c>
      <c r="R6" s="35" t="s">
        <v>89</v>
      </c>
      <c r="S6" s="35">
        <v>1</v>
      </c>
      <c r="T6" s="35">
        <v>1</v>
      </c>
      <c r="U6" s="35">
        <v>1</v>
      </c>
      <c r="V6" s="35" t="s">
        <v>95</v>
      </c>
      <c r="W6" s="35" t="s">
        <v>95</v>
      </c>
      <c r="X6" s="35" t="s">
        <v>83</v>
      </c>
      <c r="Y6" s="35">
        <v>0</v>
      </c>
      <c r="Z6" s="35">
        <v>0</v>
      </c>
      <c r="AA6" s="35">
        <v>1</v>
      </c>
      <c r="AB6" s="35">
        <v>0</v>
      </c>
      <c r="AC6" s="35">
        <v>0</v>
      </c>
      <c r="AD6" s="35">
        <v>0</v>
      </c>
      <c r="AE6" s="35">
        <v>0</v>
      </c>
      <c r="AF6" s="35">
        <v>0</v>
      </c>
      <c r="AG6" s="35" t="s">
        <v>136</v>
      </c>
      <c r="AH6" s="35">
        <v>0</v>
      </c>
      <c r="AI6" s="35">
        <v>1</v>
      </c>
      <c r="AJ6" s="35">
        <v>0</v>
      </c>
      <c r="AK6" s="35">
        <v>0</v>
      </c>
      <c r="AL6" s="35">
        <v>0</v>
      </c>
      <c r="AM6" s="35">
        <v>0</v>
      </c>
      <c r="AN6" s="35">
        <v>0</v>
      </c>
      <c r="AO6" s="35">
        <v>0</v>
      </c>
      <c r="AP6" s="35">
        <v>0</v>
      </c>
      <c r="AQ6" s="1" t="s">
        <v>83</v>
      </c>
      <c r="AR6" s="2" t="s">
        <v>105</v>
      </c>
      <c r="AS6" s="1" t="s">
        <v>137</v>
      </c>
      <c r="AT6" s="35" t="s">
        <v>96</v>
      </c>
      <c r="AU6" s="40">
        <v>0.89200000000000002</v>
      </c>
      <c r="AV6" s="41" t="s">
        <v>97</v>
      </c>
      <c r="AW6" s="35">
        <v>0.1983</v>
      </c>
      <c r="AX6" s="35">
        <v>1E-3</v>
      </c>
      <c r="AY6" s="35" t="s">
        <v>98</v>
      </c>
      <c r="AZ6" s="35">
        <f t="shared" si="8"/>
        <v>4.4982349974785683</v>
      </c>
      <c r="BA6" s="35" t="s">
        <v>83</v>
      </c>
      <c r="BB6" s="35" t="s">
        <v>83</v>
      </c>
      <c r="BC6" s="35">
        <v>208</v>
      </c>
      <c r="BD6" s="35" t="s">
        <v>83</v>
      </c>
      <c r="BE6" s="35" t="s">
        <v>83</v>
      </c>
      <c r="BF6" s="35">
        <v>228</v>
      </c>
      <c r="BG6" s="1" t="s">
        <v>83</v>
      </c>
      <c r="BH6" s="35">
        <f>208+228</f>
        <v>436</v>
      </c>
      <c r="BI6" s="35">
        <f>208+228</f>
        <v>436</v>
      </c>
      <c r="BJ6" s="35" t="s">
        <v>83</v>
      </c>
      <c r="BK6" s="35" t="s">
        <v>83</v>
      </c>
      <c r="BL6" s="35" t="s">
        <v>83</v>
      </c>
      <c r="BM6" s="35" t="s">
        <v>83</v>
      </c>
      <c r="BN6" s="35" t="s">
        <v>83</v>
      </c>
      <c r="BO6" s="35">
        <v>1</v>
      </c>
      <c r="BP6" s="72" t="s">
        <v>83</v>
      </c>
      <c r="BQ6" s="35" t="s">
        <v>83</v>
      </c>
      <c r="BR6" s="35" t="s">
        <v>83</v>
      </c>
      <c r="BS6" s="35" t="s">
        <v>83</v>
      </c>
      <c r="BT6" s="35">
        <v>1</v>
      </c>
      <c r="BU6" s="35">
        <v>1</v>
      </c>
      <c r="BV6" s="35">
        <v>1</v>
      </c>
      <c r="BW6" s="92">
        <f t="shared" si="0"/>
        <v>0.21059509918888777</v>
      </c>
      <c r="BX6" s="92">
        <f t="shared" si="1"/>
        <v>0.21379398185834095</v>
      </c>
      <c r="BY6" s="92">
        <f t="shared" si="2"/>
        <v>2.2940477952268254E-3</v>
      </c>
      <c r="BZ6" s="92">
        <f t="shared" si="3"/>
        <v>2.3094688221709007E-3</v>
      </c>
      <c r="CA6" s="72" t="s">
        <v>83</v>
      </c>
      <c r="CB6" s="72">
        <f t="shared" si="4"/>
        <v>434</v>
      </c>
      <c r="CC6" s="72" t="s">
        <v>83</v>
      </c>
      <c r="CD6" s="92">
        <f t="shared" si="9"/>
        <v>0.21059509918888777</v>
      </c>
      <c r="CE6" s="92">
        <f t="shared" si="5"/>
        <v>0.21379398185834095</v>
      </c>
      <c r="CF6" s="92">
        <f t="shared" si="6"/>
        <v>2.2940477952268254E-3</v>
      </c>
      <c r="CG6" s="92">
        <f t="shared" si="7"/>
        <v>2.3094688221709007E-3</v>
      </c>
      <c r="CH6" s="72"/>
      <c r="CI6" s="72"/>
      <c r="CJ6" s="72"/>
    </row>
    <row r="7" spans="1:88" ht="13" customHeight="1" x14ac:dyDescent="0.3">
      <c r="A7" s="35" t="s">
        <v>80</v>
      </c>
      <c r="B7" s="35"/>
      <c r="C7" s="35">
        <v>1508</v>
      </c>
      <c r="D7" s="35">
        <v>504</v>
      </c>
      <c r="E7" s="35" t="s">
        <v>131</v>
      </c>
      <c r="F7" s="35">
        <v>2024</v>
      </c>
      <c r="G7" s="1" t="s">
        <v>132</v>
      </c>
      <c r="H7" s="2" t="s">
        <v>133</v>
      </c>
      <c r="I7" s="35">
        <v>2</v>
      </c>
      <c r="J7" s="35">
        <v>2018</v>
      </c>
      <c r="K7" s="35" t="s">
        <v>83</v>
      </c>
      <c r="L7" s="35">
        <v>65</v>
      </c>
      <c r="M7" s="35" t="s">
        <v>101</v>
      </c>
      <c r="N7" s="1" t="s">
        <v>102</v>
      </c>
      <c r="O7" s="35" t="s">
        <v>134</v>
      </c>
      <c r="P7" s="35" t="s">
        <v>82</v>
      </c>
      <c r="Q7" s="1" t="s">
        <v>135</v>
      </c>
      <c r="R7" s="35" t="s">
        <v>89</v>
      </c>
      <c r="S7" s="35">
        <v>1</v>
      </c>
      <c r="T7" s="35">
        <v>1</v>
      </c>
      <c r="U7" s="35">
        <v>1</v>
      </c>
      <c r="V7" s="35" t="s">
        <v>95</v>
      </c>
      <c r="W7" s="35" t="s">
        <v>95</v>
      </c>
      <c r="X7" s="35" t="s">
        <v>83</v>
      </c>
      <c r="Y7" s="35">
        <v>0</v>
      </c>
      <c r="Z7" s="35">
        <v>0</v>
      </c>
      <c r="AA7" s="35">
        <v>1</v>
      </c>
      <c r="AB7" s="35">
        <v>0</v>
      </c>
      <c r="AC7" s="35">
        <v>0</v>
      </c>
      <c r="AD7" s="35">
        <v>0</v>
      </c>
      <c r="AE7" s="35">
        <v>0</v>
      </c>
      <c r="AF7" s="35">
        <v>0</v>
      </c>
      <c r="AG7" s="35" t="s">
        <v>136</v>
      </c>
      <c r="AH7" s="35">
        <v>0</v>
      </c>
      <c r="AI7" s="35">
        <v>1</v>
      </c>
      <c r="AJ7" s="35">
        <v>0</v>
      </c>
      <c r="AK7" s="35">
        <v>0</v>
      </c>
      <c r="AL7" s="35">
        <v>0</v>
      </c>
      <c r="AM7" s="35">
        <v>0</v>
      </c>
      <c r="AN7" s="35">
        <v>0</v>
      </c>
      <c r="AO7" s="35">
        <v>0</v>
      </c>
      <c r="AP7" s="35">
        <v>0</v>
      </c>
      <c r="AQ7" s="1" t="s">
        <v>83</v>
      </c>
      <c r="AR7" s="2" t="s">
        <v>105</v>
      </c>
      <c r="AS7" s="1" t="s">
        <v>137</v>
      </c>
      <c r="AT7" s="35" t="s">
        <v>96</v>
      </c>
      <c r="AU7" s="40">
        <v>0.64929999999999999</v>
      </c>
      <c r="AV7" s="41" t="s">
        <v>97</v>
      </c>
      <c r="AW7" s="35">
        <v>0.21199999999999999</v>
      </c>
      <c r="AX7" s="35">
        <v>0.01</v>
      </c>
      <c r="AY7" s="35" t="s">
        <v>98</v>
      </c>
      <c r="AZ7" s="35">
        <f t="shared" si="8"/>
        <v>3.0627358490566037</v>
      </c>
      <c r="BA7" s="35" t="s">
        <v>83</v>
      </c>
      <c r="BB7" s="35" t="s">
        <v>83</v>
      </c>
      <c r="BC7" s="35">
        <v>214</v>
      </c>
      <c r="BD7" s="35" t="s">
        <v>83</v>
      </c>
      <c r="BE7" s="35" t="s">
        <v>83</v>
      </c>
      <c r="BF7" s="35">
        <v>215</v>
      </c>
      <c r="BG7" s="1" t="s">
        <v>83</v>
      </c>
      <c r="BH7" s="35">
        <f>214+215</f>
        <v>429</v>
      </c>
      <c r="BI7" s="35">
        <f>214+215</f>
        <v>429</v>
      </c>
      <c r="BJ7" s="35" t="s">
        <v>83</v>
      </c>
      <c r="BK7" s="35" t="s">
        <v>83</v>
      </c>
      <c r="BL7" s="35" t="s">
        <v>83</v>
      </c>
      <c r="BM7" s="35" t="s">
        <v>83</v>
      </c>
      <c r="BN7" s="35" t="s">
        <v>83</v>
      </c>
      <c r="BO7" s="35">
        <v>1</v>
      </c>
      <c r="BP7" s="72" t="s">
        <v>83</v>
      </c>
      <c r="BQ7" s="35" t="s">
        <v>83</v>
      </c>
      <c r="BR7" s="35" t="s">
        <v>83</v>
      </c>
      <c r="BS7" s="35" t="s">
        <v>83</v>
      </c>
      <c r="BT7" s="35">
        <v>1</v>
      </c>
      <c r="BU7" s="35">
        <v>1</v>
      </c>
      <c r="BV7" s="35">
        <v>1</v>
      </c>
      <c r="BW7" s="92">
        <f t="shared" si="0"/>
        <v>0.14627968012460074</v>
      </c>
      <c r="BX7" s="92">
        <f t="shared" si="1"/>
        <v>0.14733663530721119</v>
      </c>
      <c r="BY7" s="92">
        <f t="shared" si="2"/>
        <v>2.3353475679545534E-3</v>
      </c>
      <c r="BZ7" s="92">
        <f t="shared" si="3"/>
        <v>2.3474178403755869E-3</v>
      </c>
      <c r="CA7" s="72" t="s">
        <v>83</v>
      </c>
      <c r="CB7" s="72">
        <f t="shared" si="4"/>
        <v>427</v>
      </c>
      <c r="CC7" s="72" t="s">
        <v>83</v>
      </c>
      <c r="CD7" s="92">
        <f t="shared" si="9"/>
        <v>0.14627968012460074</v>
      </c>
      <c r="CE7" s="92">
        <f t="shared" si="5"/>
        <v>0.14733663530721119</v>
      </c>
      <c r="CF7" s="92">
        <f t="shared" si="6"/>
        <v>2.3353475679545534E-3</v>
      </c>
      <c r="CG7" s="92">
        <f t="shared" si="7"/>
        <v>2.3474178403755869E-3</v>
      </c>
      <c r="CH7" s="72"/>
      <c r="CI7" s="72"/>
      <c r="CJ7" s="72"/>
    </row>
    <row r="8" spans="1:88" ht="13" customHeight="1" x14ac:dyDescent="0.3">
      <c r="A8" s="35" t="s">
        <v>80</v>
      </c>
      <c r="B8" s="35"/>
      <c r="C8" s="35">
        <v>1509</v>
      </c>
      <c r="D8" s="35">
        <v>504</v>
      </c>
      <c r="E8" s="35" t="s">
        <v>131</v>
      </c>
      <c r="F8" s="35">
        <v>2024</v>
      </c>
      <c r="G8" s="1" t="s">
        <v>132</v>
      </c>
      <c r="H8" s="2" t="s">
        <v>133</v>
      </c>
      <c r="I8" s="35">
        <v>2</v>
      </c>
      <c r="J8" s="35">
        <v>2018</v>
      </c>
      <c r="K8" s="35" t="s">
        <v>83</v>
      </c>
      <c r="L8" s="35">
        <v>65</v>
      </c>
      <c r="M8" s="35" t="s">
        <v>101</v>
      </c>
      <c r="N8" s="1" t="s">
        <v>102</v>
      </c>
      <c r="O8" s="35" t="s">
        <v>138</v>
      </c>
      <c r="P8" s="35" t="s">
        <v>82</v>
      </c>
      <c r="Q8" s="1" t="s">
        <v>135</v>
      </c>
      <c r="R8" s="35" t="s">
        <v>89</v>
      </c>
      <c r="S8" s="35">
        <v>1</v>
      </c>
      <c r="T8" s="35">
        <v>1</v>
      </c>
      <c r="U8" s="35">
        <v>1</v>
      </c>
      <c r="V8" s="35" t="s">
        <v>95</v>
      </c>
      <c r="W8" s="35" t="s">
        <v>95</v>
      </c>
      <c r="X8" s="35" t="s">
        <v>83</v>
      </c>
      <c r="Y8" s="35">
        <v>0</v>
      </c>
      <c r="Z8" s="35">
        <v>0</v>
      </c>
      <c r="AA8" s="35">
        <v>1</v>
      </c>
      <c r="AB8" s="35">
        <v>0</v>
      </c>
      <c r="AC8" s="35">
        <v>0</v>
      </c>
      <c r="AD8" s="35">
        <v>0</v>
      </c>
      <c r="AE8" s="35">
        <v>0</v>
      </c>
      <c r="AF8" s="35">
        <v>0</v>
      </c>
      <c r="AG8" s="35" t="s">
        <v>136</v>
      </c>
      <c r="AH8" s="35">
        <v>0</v>
      </c>
      <c r="AI8" s="35">
        <v>1</v>
      </c>
      <c r="AJ8" s="35">
        <v>0</v>
      </c>
      <c r="AK8" s="35">
        <v>0</v>
      </c>
      <c r="AL8" s="35">
        <v>0</v>
      </c>
      <c r="AM8" s="35">
        <v>0</v>
      </c>
      <c r="AN8" s="35">
        <v>0</v>
      </c>
      <c r="AO8" s="35">
        <v>0</v>
      </c>
      <c r="AP8" s="35">
        <v>0</v>
      </c>
      <c r="AQ8" s="1" t="s">
        <v>83</v>
      </c>
      <c r="AR8" s="2" t="s">
        <v>105</v>
      </c>
      <c r="AS8" s="1" t="s">
        <v>137</v>
      </c>
      <c r="AT8" s="35" t="s">
        <v>96</v>
      </c>
      <c r="AU8" s="40">
        <v>0.30780000000000002</v>
      </c>
      <c r="AV8" s="41" t="s">
        <v>97</v>
      </c>
      <c r="AW8" s="35">
        <v>0.2394</v>
      </c>
      <c r="AX8" s="35">
        <v>0.1</v>
      </c>
      <c r="AY8" s="35" t="s">
        <v>99</v>
      </c>
      <c r="AZ8" s="35">
        <f t="shared" si="8"/>
        <v>1.2857142857142858</v>
      </c>
      <c r="BA8" s="35" t="s">
        <v>83</v>
      </c>
      <c r="BB8" s="35" t="s">
        <v>83</v>
      </c>
      <c r="BC8" s="35">
        <v>198</v>
      </c>
      <c r="BD8" s="35" t="s">
        <v>83</v>
      </c>
      <c r="BE8" s="35" t="s">
        <v>83</v>
      </c>
      <c r="BF8" s="35">
        <v>194</v>
      </c>
      <c r="BG8" s="1" t="s">
        <v>83</v>
      </c>
      <c r="BH8" s="35">
        <f>198+194</f>
        <v>392</v>
      </c>
      <c r="BI8" s="35">
        <f>198+194</f>
        <v>392</v>
      </c>
      <c r="BJ8" s="35" t="s">
        <v>83</v>
      </c>
      <c r="BK8" s="35" t="s">
        <v>83</v>
      </c>
      <c r="BL8" s="35" t="s">
        <v>83</v>
      </c>
      <c r="BM8" s="35" t="s">
        <v>83</v>
      </c>
      <c r="BN8" s="35" t="s">
        <v>83</v>
      </c>
      <c r="BO8" s="35">
        <v>1</v>
      </c>
      <c r="BP8" s="72" t="s">
        <v>83</v>
      </c>
      <c r="BQ8" s="35" t="s">
        <v>83</v>
      </c>
      <c r="BR8" s="35" t="s">
        <v>83</v>
      </c>
      <c r="BS8" s="35" t="s">
        <v>83</v>
      </c>
      <c r="BT8" s="35">
        <v>1</v>
      </c>
      <c r="BU8" s="35">
        <v>1</v>
      </c>
      <c r="BV8" s="35">
        <v>1</v>
      </c>
      <c r="BW8" s="92">
        <f t="shared" si="0"/>
        <v>6.4801887058427113E-2</v>
      </c>
      <c r="BX8" s="92">
        <f t="shared" si="1"/>
        <v>6.4892823477428044E-2</v>
      </c>
      <c r="BY8" s="92">
        <f t="shared" si="2"/>
        <v>2.5574994036254204E-3</v>
      </c>
      <c r="BZ8" s="92">
        <f t="shared" si="3"/>
        <v>2.5706940874035988E-3</v>
      </c>
      <c r="CA8" s="72" t="s">
        <v>83</v>
      </c>
      <c r="CB8" s="72">
        <f t="shared" si="4"/>
        <v>390</v>
      </c>
      <c r="CC8" s="72" t="s">
        <v>83</v>
      </c>
      <c r="CD8" s="92">
        <f t="shared" si="9"/>
        <v>6.4801887058427113E-2</v>
      </c>
      <c r="CE8" s="92">
        <f t="shared" si="5"/>
        <v>6.4892823477428044E-2</v>
      </c>
      <c r="CF8" s="92">
        <f t="shared" si="6"/>
        <v>2.5574994036254204E-3</v>
      </c>
      <c r="CG8" s="92">
        <f t="shared" si="7"/>
        <v>2.5706940874035988E-3</v>
      </c>
      <c r="CH8" s="72"/>
      <c r="CI8" s="72"/>
      <c r="CJ8" s="72"/>
    </row>
    <row r="9" spans="1:88" ht="13" customHeight="1" x14ac:dyDescent="0.3">
      <c r="A9" s="35" t="s">
        <v>80</v>
      </c>
      <c r="B9" s="35"/>
      <c r="C9" s="35">
        <v>1510</v>
      </c>
      <c r="D9" s="35">
        <v>504</v>
      </c>
      <c r="E9" s="35" t="s">
        <v>131</v>
      </c>
      <c r="F9" s="35">
        <v>2024</v>
      </c>
      <c r="G9" s="1" t="s">
        <v>132</v>
      </c>
      <c r="H9" s="2" t="s">
        <v>133</v>
      </c>
      <c r="I9" s="35">
        <v>2</v>
      </c>
      <c r="J9" s="35">
        <v>2018</v>
      </c>
      <c r="K9" s="35" t="s">
        <v>83</v>
      </c>
      <c r="L9" s="35">
        <v>65</v>
      </c>
      <c r="M9" s="35" t="s">
        <v>101</v>
      </c>
      <c r="N9" s="1" t="s">
        <v>102</v>
      </c>
      <c r="O9" s="35" t="s">
        <v>139</v>
      </c>
      <c r="P9" s="35" t="s">
        <v>82</v>
      </c>
      <c r="Q9" s="1" t="s">
        <v>135</v>
      </c>
      <c r="R9" s="35" t="s">
        <v>89</v>
      </c>
      <c r="S9" s="35">
        <v>1</v>
      </c>
      <c r="T9" s="35">
        <v>1</v>
      </c>
      <c r="U9" s="35">
        <v>1</v>
      </c>
      <c r="V9" s="35" t="s">
        <v>95</v>
      </c>
      <c r="W9" s="35" t="s">
        <v>95</v>
      </c>
      <c r="X9" s="35" t="s">
        <v>83</v>
      </c>
      <c r="Y9" s="35">
        <v>0</v>
      </c>
      <c r="Z9" s="35">
        <v>0</v>
      </c>
      <c r="AA9" s="35">
        <v>1</v>
      </c>
      <c r="AB9" s="35">
        <v>0</v>
      </c>
      <c r="AC9" s="35">
        <v>0</v>
      </c>
      <c r="AD9" s="35">
        <v>0</v>
      </c>
      <c r="AE9" s="35">
        <v>0</v>
      </c>
      <c r="AF9" s="35">
        <v>0</v>
      </c>
      <c r="AG9" s="35" t="s">
        <v>136</v>
      </c>
      <c r="AH9" s="35">
        <v>0</v>
      </c>
      <c r="AI9" s="35">
        <v>1</v>
      </c>
      <c r="AJ9" s="35">
        <v>0</v>
      </c>
      <c r="AK9" s="35">
        <v>0</v>
      </c>
      <c r="AL9" s="35">
        <v>0</v>
      </c>
      <c r="AM9" s="35">
        <v>0</v>
      </c>
      <c r="AN9" s="35">
        <v>0</v>
      </c>
      <c r="AO9" s="35">
        <v>0</v>
      </c>
      <c r="AP9" s="35">
        <v>0</v>
      </c>
      <c r="AQ9" s="1" t="s">
        <v>83</v>
      </c>
      <c r="AR9" s="2" t="s">
        <v>105</v>
      </c>
      <c r="AS9" s="1" t="s">
        <v>137</v>
      </c>
      <c r="AT9" s="35" t="s">
        <v>96</v>
      </c>
      <c r="AU9" s="40">
        <v>9.9900000000000003E-2</v>
      </c>
      <c r="AV9" s="41" t="s">
        <v>97</v>
      </c>
      <c r="AW9" s="35">
        <v>0.36349999999999999</v>
      </c>
      <c r="AX9" s="35">
        <v>0.1</v>
      </c>
      <c r="AY9" s="35" t="s">
        <v>99</v>
      </c>
      <c r="AZ9" s="35">
        <f t="shared" si="8"/>
        <v>0.27482806052269604</v>
      </c>
      <c r="BA9" s="35" t="s">
        <v>83</v>
      </c>
      <c r="BB9" s="35" t="s">
        <v>83</v>
      </c>
      <c r="BC9" s="35">
        <v>220</v>
      </c>
      <c r="BD9" s="35" t="s">
        <v>83</v>
      </c>
      <c r="BE9" s="35" t="s">
        <v>83</v>
      </c>
      <c r="BF9" s="35">
        <v>217</v>
      </c>
      <c r="BG9" s="1" t="s">
        <v>83</v>
      </c>
      <c r="BH9" s="35">
        <f>220+217</f>
        <v>437</v>
      </c>
      <c r="BI9" s="35">
        <f>220+217</f>
        <v>437</v>
      </c>
      <c r="BJ9" s="35" t="s">
        <v>83</v>
      </c>
      <c r="BK9" s="35" t="s">
        <v>83</v>
      </c>
      <c r="BL9" s="35" t="s">
        <v>83</v>
      </c>
      <c r="BM9" s="35" t="s">
        <v>83</v>
      </c>
      <c r="BN9" s="35" t="s">
        <v>83</v>
      </c>
      <c r="BO9" s="35">
        <v>1</v>
      </c>
      <c r="BP9" s="72" t="s">
        <v>83</v>
      </c>
      <c r="BQ9" s="35" t="s">
        <v>83</v>
      </c>
      <c r="BR9" s="35" t="s">
        <v>83</v>
      </c>
      <c r="BS9" s="35" t="s">
        <v>83</v>
      </c>
      <c r="BT9" s="35">
        <v>1</v>
      </c>
      <c r="BU9" s="35">
        <v>1</v>
      </c>
      <c r="BV9" s="35">
        <v>1</v>
      </c>
      <c r="BW9" s="92">
        <f t="shared" si="0"/>
        <v>1.3145673042636108E-2</v>
      </c>
      <c r="BX9" s="92">
        <f t="shared" si="1"/>
        <v>1.3146430350135511E-2</v>
      </c>
      <c r="BY9" s="92">
        <f t="shared" si="2"/>
        <v>2.2935779131428081E-3</v>
      </c>
      <c r="BZ9" s="92">
        <f t="shared" si="3"/>
        <v>2.304147465437788E-3</v>
      </c>
      <c r="CA9" s="72" t="s">
        <v>83</v>
      </c>
      <c r="CB9" s="72">
        <f t="shared" si="4"/>
        <v>435</v>
      </c>
      <c r="CC9" s="72" t="s">
        <v>83</v>
      </c>
      <c r="CD9" s="92">
        <f t="shared" si="9"/>
        <v>1.3145673042636108E-2</v>
      </c>
      <c r="CE9" s="92">
        <f t="shared" si="5"/>
        <v>1.3146430350135511E-2</v>
      </c>
      <c r="CF9" s="92">
        <f t="shared" si="6"/>
        <v>2.2935779131428081E-3</v>
      </c>
      <c r="CG9" s="92">
        <f t="shared" si="7"/>
        <v>2.304147465437788E-3</v>
      </c>
      <c r="CH9" s="72"/>
      <c r="CI9" s="72"/>
      <c r="CJ9" s="72"/>
    </row>
    <row r="10" spans="1:88" ht="13" customHeight="1" x14ac:dyDescent="0.3">
      <c r="A10" s="35" t="s">
        <v>80</v>
      </c>
      <c r="B10" s="35"/>
      <c r="C10" s="35">
        <v>1511</v>
      </c>
      <c r="D10" s="35">
        <v>504</v>
      </c>
      <c r="E10" s="35" t="s">
        <v>131</v>
      </c>
      <c r="F10" s="35">
        <v>2024</v>
      </c>
      <c r="G10" s="1" t="s">
        <v>132</v>
      </c>
      <c r="H10" s="2" t="s">
        <v>133</v>
      </c>
      <c r="I10" s="35">
        <v>2</v>
      </c>
      <c r="J10" s="35">
        <v>2018</v>
      </c>
      <c r="K10" s="35" t="s">
        <v>83</v>
      </c>
      <c r="L10" s="35">
        <v>65</v>
      </c>
      <c r="M10" s="35" t="s">
        <v>101</v>
      </c>
      <c r="N10" s="1" t="s">
        <v>102</v>
      </c>
      <c r="O10" s="35" t="s">
        <v>106</v>
      </c>
      <c r="P10" s="35" t="s">
        <v>82</v>
      </c>
      <c r="Q10" s="1" t="s">
        <v>135</v>
      </c>
      <c r="R10" s="35" t="s">
        <v>89</v>
      </c>
      <c r="S10" s="35">
        <v>1</v>
      </c>
      <c r="T10" s="35">
        <v>1</v>
      </c>
      <c r="U10" s="35">
        <v>1</v>
      </c>
      <c r="V10" s="35" t="s">
        <v>95</v>
      </c>
      <c r="W10" s="35" t="s">
        <v>95</v>
      </c>
      <c r="X10" s="35" t="s">
        <v>83</v>
      </c>
      <c r="Y10" s="35">
        <v>0</v>
      </c>
      <c r="Z10" s="35">
        <v>0</v>
      </c>
      <c r="AA10" s="35">
        <v>1</v>
      </c>
      <c r="AB10" s="35">
        <v>0</v>
      </c>
      <c r="AC10" s="35">
        <v>0</v>
      </c>
      <c r="AD10" s="35">
        <v>0</v>
      </c>
      <c r="AE10" s="35">
        <v>0</v>
      </c>
      <c r="AF10" s="35">
        <v>0</v>
      </c>
      <c r="AG10" s="35" t="s">
        <v>136</v>
      </c>
      <c r="AH10" s="35">
        <v>0</v>
      </c>
      <c r="AI10" s="35">
        <v>1</v>
      </c>
      <c r="AJ10" s="35">
        <v>0</v>
      </c>
      <c r="AK10" s="35">
        <v>0</v>
      </c>
      <c r="AL10" s="35">
        <v>0</v>
      </c>
      <c r="AM10" s="35">
        <v>0</v>
      </c>
      <c r="AN10" s="35">
        <v>0</v>
      </c>
      <c r="AO10" s="35">
        <v>0</v>
      </c>
      <c r="AP10" s="35">
        <v>0</v>
      </c>
      <c r="AQ10" s="1" t="s">
        <v>83</v>
      </c>
      <c r="AR10" s="2" t="s">
        <v>105</v>
      </c>
      <c r="AS10" s="1" t="s">
        <v>137</v>
      </c>
      <c r="AT10" s="35" t="s">
        <v>96</v>
      </c>
      <c r="AU10" s="40">
        <v>0.70730000000000004</v>
      </c>
      <c r="AV10" s="41" t="s">
        <v>97</v>
      </c>
      <c r="AW10" s="35">
        <v>0.18920000000000001</v>
      </c>
      <c r="AX10" s="35">
        <v>1E-3</v>
      </c>
      <c r="AY10" s="35" t="s">
        <v>98</v>
      </c>
      <c r="AZ10" s="35">
        <f t="shared" si="8"/>
        <v>3.7383720930232558</v>
      </c>
      <c r="BA10" s="35" t="s">
        <v>83</v>
      </c>
      <c r="BB10" s="35" t="s">
        <v>83</v>
      </c>
      <c r="BC10" s="35">
        <v>208</v>
      </c>
      <c r="BD10" s="35" t="s">
        <v>83</v>
      </c>
      <c r="BE10" s="35" t="s">
        <v>83</v>
      </c>
      <c r="BF10" s="35">
        <v>221</v>
      </c>
      <c r="BG10" s="1" t="s">
        <v>83</v>
      </c>
      <c r="BH10" s="35">
        <f>208+221</f>
        <v>429</v>
      </c>
      <c r="BI10" s="35">
        <f>208+221</f>
        <v>429</v>
      </c>
      <c r="BJ10" s="35" t="s">
        <v>83</v>
      </c>
      <c r="BK10" s="35" t="s">
        <v>83</v>
      </c>
      <c r="BL10" s="35" t="s">
        <v>83</v>
      </c>
      <c r="BM10" s="35" t="s">
        <v>83</v>
      </c>
      <c r="BN10" s="35" t="s">
        <v>83</v>
      </c>
      <c r="BO10" s="35">
        <v>1</v>
      </c>
      <c r="BP10" s="72" t="s">
        <v>83</v>
      </c>
      <c r="BQ10" s="35" t="s">
        <v>83</v>
      </c>
      <c r="BR10" s="35" t="s">
        <v>83</v>
      </c>
      <c r="BS10" s="35" t="s">
        <v>83</v>
      </c>
      <c r="BT10" s="35">
        <v>1</v>
      </c>
      <c r="BU10" s="35">
        <v>1</v>
      </c>
      <c r="BV10" s="35">
        <v>1</v>
      </c>
      <c r="BW10" s="92">
        <f t="shared" si="0"/>
        <v>0.17762034481769126</v>
      </c>
      <c r="BX10" s="92">
        <f t="shared" si="1"/>
        <v>0.17952443414421013</v>
      </c>
      <c r="BY10" s="92">
        <f t="shared" si="2"/>
        <v>2.3340217058682431E-3</v>
      </c>
      <c r="BZ10" s="92">
        <f t="shared" si="3"/>
        <v>2.3474178403755869E-3</v>
      </c>
      <c r="CA10" s="72" t="s">
        <v>83</v>
      </c>
      <c r="CB10" s="72">
        <f t="shared" si="4"/>
        <v>427</v>
      </c>
      <c r="CC10" s="72" t="s">
        <v>83</v>
      </c>
      <c r="CD10" s="92">
        <f t="shared" si="9"/>
        <v>0.17762034481769126</v>
      </c>
      <c r="CE10" s="92">
        <f t="shared" si="5"/>
        <v>0.17952443414421013</v>
      </c>
      <c r="CF10" s="92">
        <f t="shared" si="6"/>
        <v>2.3340217058682431E-3</v>
      </c>
      <c r="CG10" s="92">
        <f t="shared" si="7"/>
        <v>2.3474178403755869E-3</v>
      </c>
      <c r="CH10" s="72"/>
      <c r="CI10" s="72"/>
      <c r="CJ10" s="72"/>
    </row>
    <row r="11" spans="1:88" ht="13" customHeight="1" x14ac:dyDescent="0.3">
      <c r="A11" s="35" t="s">
        <v>80</v>
      </c>
      <c r="B11" s="35"/>
      <c r="C11" s="35">
        <v>1517</v>
      </c>
      <c r="D11" s="35">
        <v>506</v>
      </c>
      <c r="E11" s="35" t="s">
        <v>140</v>
      </c>
      <c r="F11" s="35">
        <v>2022</v>
      </c>
      <c r="G11" s="2" t="s">
        <v>141</v>
      </c>
      <c r="H11" s="2" t="s">
        <v>142</v>
      </c>
      <c r="I11" s="35">
        <v>2</v>
      </c>
      <c r="J11" s="1">
        <v>2017</v>
      </c>
      <c r="K11" s="35" t="s">
        <v>83</v>
      </c>
      <c r="L11" s="35"/>
      <c r="M11" s="1" t="s">
        <v>143</v>
      </c>
      <c r="N11" s="1" t="s">
        <v>102</v>
      </c>
      <c r="O11" s="35" t="s">
        <v>138</v>
      </c>
      <c r="P11" s="35" t="s">
        <v>87</v>
      </c>
      <c r="Q11" s="1" t="s">
        <v>144</v>
      </c>
      <c r="R11" s="1" t="s">
        <v>145</v>
      </c>
      <c r="S11" s="1">
        <v>0</v>
      </c>
      <c r="T11" s="1">
        <v>0</v>
      </c>
      <c r="U11" s="1">
        <v>1</v>
      </c>
      <c r="V11" s="35" t="s">
        <v>95</v>
      </c>
      <c r="W11" s="35" t="s">
        <v>95</v>
      </c>
      <c r="X11" s="35" t="s">
        <v>83</v>
      </c>
      <c r="Y11" s="35">
        <v>0</v>
      </c>
      <c r="Z11" s="35">
        <v>0</v>
      </c>
      <c r="AA11" s="35">
        <v>1</v>
      </c>
      <c r="AB11" s="35">
        <v>0</v>
      </c>
      <c r="AC11" s="35">
        <v>0</v>
      </c>
      <c r="AD11" s="35">
        <v>0</v>
      </c>
      <c r="AE11" s="35">
        <v>0</v>
      </c>
      <c r="AF11" s="35">
        <v>0</v>
      </c>
      <c r="AG11" s="1" t="s">
        <v>83</v>
      </c>
      <c r="AH11" s="35">
        <v>1</v>
      </c>
      <c r="AI11" s="35">
        <v>0</v>
      </c>
      <c r="AJ11" s="35">
        <v>0</v>
      </c>
      <c r="AK11" s="35">
        <v>0</v>
      </c>
      <c r="AL11" s="35">
        <v>0</v>
      </c>
      <c r="AM11" s="35">
        <v>0</v>
      </c>
      <c r="AN11" s="35">
        <v>0</v>
      </c>
      <c r="AO11" s="35">
        <v>0</v>
      </c>
      <c r="AP11" s="35">
        <v>0</v>
      </c>
      <c r="AQ11" s="1" t="s">
        <v>83</v>
      </c>
      <c r="AR11" s="2" t="s">
        <v>105</v>
      </c>
      <c r="AS11" s="1" t="s">
        <v>146</v>
      </c>
      <c r="AT11" s="1" t="s">
        <v>83</v>
      </c>
      <c r="AU11" s="42">
        <v>1.4540000000000001E-2</v>
      </c>
      <c r="AV11" s="41" t="s">
        <v>97</v>
      </c>
      <c r="AW11" s="1">
        <v>9.3500000000000007E-3</v>
      </c>
      <c r="AX11" s="1">
        <v>0.1</v>
      </c>
      <c r="AY11" s="1" t="s">
        <v>99</v>
      </c>
      <c r="AZ11" s="1">
        <f t="shared" si="8"/>
        <v>1.5550802139037434</v>
      </c>
      <c r="BA11" s="35" t="s">
        <v>83</v>
      </c>
      <c r="BB11" s="35" t="s">
        <v>83</v>
      </c>
      <c r="BC11" s="35" t="s">
        <v>83</v>
      </c>
      <c r="BD11" s="35" t="s">
        <v>83</v>
      </c>
      <c r="BE11" s="35" t="s">
        <v>83</v>
      </c>
      <c r="BF11" s="35" t="s">
        <v>83</v>
      </c>
      <c r="BG11" s="35" t="s">
        <v>83</v>
      </c>
      <c r="BH11" s="1">
        <v>12460</v>
      </c>
      <c r="BI11" s="1">
        <v>12460</v>
      </c>
      <c r="BJ11" s="1" t="s">
        <v>83</v>
      </c>
      <c r="BK11" s="1" t="s">
        <v>83</v>
      </c>
      <c r="BL11" s="35" t="s">
        <v>83</v>
      </c>
      <c r="BM11" s="35" t="s">
        <v>83</v>
      </c>
      <c r="BN11" s="35" t="s">
        <v>83</v>
      </c>
      <c r="BO11" s="35">
        <v>1</v>
      </c>
      <c r="BP11" s="35" t="s">
        <v>83</v>
      </c>
      <c r="BQ11" s="35">
        <v>1</v>
      </c>
      <c r="BR11" s="35" t="s">
        <v>83</v>
      </c>
      <c r="BS11" s="35" t="s">
        <v>147</v>
      </c>
      <c r="BT11" s="35">
        <v>0</v>
      </c>
      <c r="BU11" s="35">
        <v>0</v>
      </c>
      <c r="BV11" s="35">
        <v>1</v>
      </c>
      <c r="BW11" s="92">
        <f t="shared" si="0"/>
        <v>1.3930016600789439E-2</v>
      </c>
      <c r="BX11" s="92">
        <f t="shared" si="1"/>
        <v>1.3930917724080656E-2</v>
      </c>
      <c r="BY11" s="92">
        <f t="shared" si="2"/>
        <v>8.026326048131096E-5</v>
      </c>
      <c r="BZ11" s="92">
        <f t="shared" si="3"/>
        <v>8.0276149955848115E-5</v>
      </c>
      <c r="CA11" s="72" t="s">
        <v>83</v>
      </c>
      <c r="CB11" s="72">
        <f t="shared" si="4"/>
        <v>12458</v>
      </c>
      <c r="CC11" s="72" t="s">
        <v>83</v>
      </c>
      <c r="CD11" s="92">
        <f t="shared" si="9"/>
        <v>1.3930016600789439E-2</v>
      </c>
      <c r="CE11" s="92">
        <f t="shared" si="5"/>
        <v>1.3930917724080656E-2</v>
      </c>
      <c r="CF11" s="92">
        <f t="shared" si="6"/>
        <v>8.026326048131096E-5</v>
      </c>
      <c r="CG11" s="92">
        <f t="shared" si="7"/>
        <v>8.0276149955848115E-5</v>
      </c>
      <c r="CH11" s="72"/>
      <c r="CI11" s="72"/>
      <c r="CJ11" s="72"/>
    </row>
    <row r="12" spans="1:88" ht="13" customHeight="1" x14ac:dyDescent="0.3">
      <c r="A12" s="35" t="s">
        <v>80</v>
      </c>
      <c r="B12" s="35"/>
      <c r="C12" s="35">
        <v>1518</v>
      </c>
      <c r="D12" s="35">
        <v>506</v>
      </c>
      <c r="E12" s="35" t="s">
        <v>140</v>
      </c>
      <c r="F12" s="35">
        <v>2022</v>
      </c>
      <c r="G12" s="2" t="s">
        <v>141</v>
      </c>
      <c r="H12" s="2" t="s">
        <v>142</v>
      </c>
      <c r="I12" s="35">
        <v>2</v>
      </c>
      <c r="J12" s="1">
        <v>2017</v>
      </c>
      <c r="K12" s="35" t="s">
        <v>83</v>
      </c>
      <c r="L12" s="35"/>
      <c r="M12" s="1" t="s">
        <v>143</v>
      </c>
      <c r="N12" s="1" t="s">
        <v>102</v>
      </c>
      <c r="O12" s="35" t="s">
        <v>138</v>
      </c>
      <c r="P12" s="35" t="s">
        <v>87</v>
      </c>
      <c r="Q12" s="1" t="s">
        <v>144</v>
      </c>
      <c r="R12" s="1" t="s">
        <v>145</v>
      </c>
      <c r="S12" s="1">
        <v>0</v>
      </c>
      <c r="T12" s="1">
        <v>0</v>
      </c>
      <c r="U12" s="1">
        <v>1</v>
      </c>
      <c r="V12" s="35" t="s">
        <v>95</v>
      </c>
      <c r="W12" s="35" t="s">
        <v>95</v>
      </c>
      <c r="X12" s="35" t="s">
        <v>83</v>
      </c>
      <c r="Y12" s="35">
        <v>0</v>
      </c>
      <c r="Z12" s="35">
        <v>0</v>
      </c>
      <c r="AA12" s="35">
        <v>1</v>
      </c>
      <c r="AB12" s="35">
        <v>0</v>
      </c>
      <c r="AC12" s="35">
        <v>0</v>
      </c>
      <c r="AD12" s="35">
        <v>0</v>
      </c>
      <c r="AE12" s="35">
        <v>0</v>
      </c>
      <c r="AF12" s="35">
        <v>0</v>
      </c>
      <c r="AG12" s="1" t="s">
        <v>83</v>
      </c>
      <c r="AH12" s="35">
        <v>0</v>
      </c>
      <c r="AI12" s="35">
        <v>1</v>
      </c>
      <c r="AJ12" s="35">
        <v>0</v>
      </c>
      <c r="AK12" s="35">
        <v>0</v>
      </c>
      <c r="AL12" s="35">
        <v>0</v>
      </c>
      <c r="AM12" s="35">
        <v>0</v>
      </c>
      <c r="AN12" s="35">
        <v>0</v>
      </c>
      <c r="AO12" s="35">
        <v>0</v>
      </c>
      <c r="AP12" s="35">
        <v>0</v>
      </c>
      <c r="AQ12" s="1" t="s">
        <v>83</v>
      </c>
      <c r="AR12" s="2" t="s">
        <v>105</v>
      </c>
      <c r="AS12" s="1" t="s">
        <v>146</v>
      </c>
      <c r="AT12" s="1" t="s">
        <v>83</v>
      </c>
      <c r="AU12" s="42">
        <v>5.2999999999999998E-4</v>
      </c>
      <c r="AV12" s="41" t="s">
        <v>91</v>
      </c>
      <c r="AW12" s="1">
        <v>5.4000000000000001E-4</v>
      </c>
      <c r="AX12" s="1">
        <v>0.1</v>
      </c>
      <c r="AY12" s="1" t="s">
        <v>99</v>
      </c>
      <c r="AZ12" s="1">
        <f t="shared" si="8"/>
        <v>0.9814814814814814</v>
      </c>
      <c r="BA12" s="35" t="s">
        <v>83</v>
      </c>
      <c r="BB12" s="35" t="s">
        <v>83</v>
      </c>
      <c r="BC12" s="35" t="s">
        <v>83</v>
      </c>
      <c r="BD12" s="35" t="s">
        <v>83</v>
      </c>
      <c r="BE12" s="35" t="s">
        <v>83</v>
      </c>
      <c r="BF12" s="35" t="s">
        <v>83</v>
      </c>
      <c r="BG12" s="35" t="s">
        <v>83</v>
      </c>
      <c r="BH12" s="1">
        <v>6466</v>
      </c>
      <c r="BI12" s="1">
        <v>6466</v>
      </c>
      <c r="BJ12" s="1" t="s">
        <v>83</v>
      </c>
      <c r="BK12" s="1" t="s">
        <v>83</v>
      </c>
      <c r="BL12" s="35" t="s">
        <v>83</v>
      </c>
      <c r="BM12" s="35" t="s">
        <v>83</v>
      </c>
      <c r="BN12" s="35" t="s">
        <v>83</v>
      </c>
      <c r="BO12" s="35">
        <v>1</v>
      </c>
      <c r="BP12" s="35" t="s">
        <v>83</v>
      </c>
      <c r="BQ12" s="35">
        <v>1</v>
      </c>
      <c r="BR12" s="35" t="s">
        <v>83</v>
      </c>
      <c r="BS12" s="35" t="s">
        <v>147</v>
      </c>
      <c r="BT12" s="35">
        <v>0</v>
      </c>
      <c r="BU12" s="35">
        <v>0</v>
      </c>
      <c r="BV12" s="35">
        <v>1</v>
      </c>
      <c r="BW12" s="92">
        <f t="shared" si="0"/>
        <v>1.2204834970431651E-2</v>
      </c>
      <c r="BX12" s="92">
        <f t="shared" si="1"/>
        <v>1.2205441027187649E-2</v>
      </c>
      <c r="BY12" s="92">
        <f t="shared" si="2"/>
        <v>1.5467903755717055E-4</v>
      </c>
      <c r="BZ12" s="92">
        <f t="shared" si="3"/>
        <v>1.5472690700912888E-4</v>
      </c>
      <c r="CA12" s="72" t="s">
        <v>83</v>
      </c>
      <c r="CB12" s="72">
        <f t="shared" si="4"/>
        <v>6464</v>
      </c>
      <c r="CC12" s="72" t="s">
        <v>83</v>
      </c>
      <c r="CD12" s="92">
        <f t="shared" si="9"/>
        <v>1.2204834970431651E-2</v>
      </c>
      <c r="CE12" s="92">
        <f t="shared" si="5"/>
        <v>1.2205441027187649E-2</v>
      </c>
      <c r="CF12" s="92">
        <f t="shared" si="6"/>
        <v>1.5467903755717055E-4</v>
      </c>
      <c r="CG12" s="92">
        <f t="shared" si="7"/>
        <v>1.5472690700912888E-4</v>
      </c>
      <c r="CH12" s="72"/>
      <c r="CI12" s="72"/>
      <c r="CJ12" s="72"/>
    </row>
    <row r="13" spans="1:88" ht="13" customHeight="1" x14ac:dyDescent="0.3">
      <c r="A13" s="35" t="s">
        <v>80</v>
      </c>
      <c r="B13" s="35"/>
      <c r="C13" s="35">
        <v>1519</v>
      </c>
      <c r="D13" s="35">
        <v>506</v>
      </c>
      <c r="E13" s="35" t="s">
        <v>140</v>
      </c>
      <c r="F13" s="35">
        <v>2022</v>
      </c>
      <c r="G13" s="2" t="s">
        <v>141</v>
      </c>
      <c r="H13" s="2" t="s">
        <v>142</v>
      </c>
      <c r="I13" s="35">
        <v>2</v>
      </c>
      <c r="J13" s="1">
        <v>2017</v>
      </c>
      <c r="K13" s="35" t="s">
        <v>83</v>
      </c>
      <c r="L13" s="35"/>
      <c r="M13" s="1" t="s">
        <v>143</v>
      </c>
      <c r="N13" s="1" t="s">
        <v>102</v>
      </c>
      <c r="O13" s="35" t="s">
        <v>138</v>
      </c>
      <c r="P13" s="35" t="s">
        <v>87</v>
      </c>
      <c r="Q13" s="1" t="s">
        <v>144</v>
      </c>
      <c r="R13" s="1" t="s">
        <v>145</v>
      </c>
      <c r="S13" s="1">
        <v>0</v>
      </c>
      <c r="T13" s="1">
        <v>0</v>
      </c>
      <c r="U13" s="1">
        <v>1</v>
      </c>
      <c r="V13" s="35" t="s">
        <v>95</v>
      </c>
      <c r="W13" s="35" t="s">
        <v>95</v>
      </c>
      <c r="X13" s="35" t="s">
        <v>83</v>
      </c>
      <c r="Y13" s="35">
        <v>0</v>
      </c>
      <c r="Z13" s="35">
        <v>0</v>
      </c>
      <c r="AA13" s="35">
        <v>1</v>
      </c>
      <c r="AB13" s="35">
        <v>0</v>
      </c>
      <c r="AC13" s="35">
        <v>0</v>
      </c>
      <c r="AD13" s="35">
        <v>0</v>
      </c>
      <c r="AE13" s="35">
        <v>0</v>
      </c>
      <c r="AF13" s="35">
        <v>0</v>
      </c>
      <c r="AG13" s="1" t="s">
        <v>83</v>
      </c>
      <c r="AH13" s="35">
        <v>0</v>
      </c>
      <c r="AI13" s="35">
        <v>0</v>
      </c>
      <c r="AJ13" s="35">
        <v>0</v>
      </c>
      <c r="AK13" s="35">
        <v>1</v>
      </c>
      <c r="AL13" s="35">
        <v>0</v>
      </c>
      <c r="AM13" s="35">
        <v>0</v>
      </c>
      <c r="AN13" s="35">
        <v>0</v>
      </c>
      <c r="AO13" s="35">
        <v>0</v>
      </c>
      <c r="AP13" s="35">
        <v>0</v>
      </c>
      <c r="AQ13" s="1" t="s">
        <v>83</v>
      </c>
      <c r="AR13" s="2" t="s">
        <v>105</v>
      </c>
      <c r="AS13" s="1" t="s">
        <v>146</v>
      </c>
      <c r="AT13" s="1" t="s">
        <v>83</v>
      </c>
      <c r="AU13" s="42">
        <v>5.9000000000000003E-4</v>
      </c>
      <c r="AV13" s="41" t="s">
        <v>97</v>
      </c>
      <c r="AW13" s="1">
        <v>1.307E-2</v>
      </c>
      <c r="AX13" s="1">
        <v>0.1</v>
      </c>
      <c r="AY13" s="1" t="s">
        <v>99</v>
      </c>
      <c r="AZ13" s="1">
        <f t="shared" si="8"/>
        <v>4.5141545524100997E-2</v>
      </c>
      <c r="BA13" s="35" t="s">
        <v>83</v>
      </c>
      <c r="BB13" s="35" t="s">
        <v>83</v>
      </c>
      <c r="BC13" s="35" t="s">
        <v>83</v>
      </c>
      <c r="BD13" s="35" t="s">
        <v>83</v>
      </c>
      <c r="BE13" s="35" t="s">
        <v>83</v>
      </c>
      <c r="BF13" s="35" t="s">
        <v>83</v>
      </c>
      <c r="BG13" s="35" t="s">
        <v>83</v>
      </c>
      <c r="BH13" s="1">
        <v>13314</v>
      </c>
      <c r="BI13" s="1">
        <v>13314</v>
      </c>
      <c r="BJ13" s="1" t="s">
        <v>83</v>
      </c>
      <c r="BK13" s="1" t="s">
        <v>83</v>
      </c>
      <c r="BL13" s="35" t="s">
        <v>83</v>
      </c>
      <c r="BM13" s="35" t="s">
        <v>83</v>
      </c>
      <c r="BN13" s="35" t="s">
        <v>83</v>
      </c>
      <c r="BO13" s="35">
        <v>1</v>
      </c>
      <c r="BP13" s="35" t="s">
        <v>83</v>
      </c>
      <c r="BQ13" s="35">
        <v>1</v>
      </c>
      <c r="BR13" s="35" t="s">
        <v>83</v>
      </c>
      <c r="BS13" s="35" t="s">
        <v>147</v>
      </c>
      <c r="BT13" s="35">
        <v>0</v>
      </c>
      <c r="BU13" s="35">
        <v>0</v>
      </c>
      <c r="BV13" s="35">
        <v>1</v>
      </c>
      <c r="BW13" s="92">
        <f t="shared" si="0"/>
        <v>3.9122096007082737E-4</v>
      </c>
      <c r="BX13" s="92">
        <f t="shared" si="1"/>
        <v>3.9122098003012277E-4</v>
      </c>
      <c r="BY13" s="92">
        <f t="shared" si="2"/>
        <v>7.5114549688272858E-5</v>
      </c>
      <c r="BZ13" s="92">
        <f t="shared" si="3"/>
        <v>7.5125835774922993E-5</v>
      </c>
      <c r="CA13" s="72" t="s">
        <v>83</v>
      </c>
      <c r="CB13" s="72">
        <f t="shared" si="4"/>
        <v>13312</v>
      </c>
      <c r="CC13" s="72" t="s">
        <v>83</v>
      </c>
      <c r="CD13" s="92">
        <f t="shared" si="9"/>
        <v>3.9122096007082737E-4</v>
      </c>
      <c r="CE13" s="92">
        <f t="shared" si="5"/>
        <v>3.9122098003012277E-4</v>
      </c>
      <c r="CF13" s="92">
        <f t="shared" si="6"/>
        <v>7.5114549688272858E-5</v>
      </c>
      <c r="CG13" s="92">
        <f t="shared" si="7"/>
        <v>7.5125835774922993E-5</v>
      </c>
      <c r="CH13" s="72"/>
      <c r="CI13" s="72"/>
      <c r="CJ13" s="72"/>
    </row>
    <row r="14" spans="1:88" ht="13" customHeight="1" x14ac:dyDescent="0.3">
      <c r="A14" s="35" t="s">
        <v>80</v>
      </c>
      <c r="B14" s="35"/>
      <c r="C14" s="35">
        <v>1520</v>
      </c>
      <c r="D14" s="35">
        <v>506</v>
      </c>
      <c r="E14" s="35" t="s">
        <v>140</v>
      </c>
      <c r="F14" s="35">
        <v>2022</v>
      </c>
      <c r="G14" s="2" t="s">
        <v>141</v>
      </c>
      <c r="H14" s="2" t="s">
        <v>142</v>
      </c>
      <c r="I14" s="35">
        <v>2</v>
      </c>
      <c r="J14" s="1">
        <v>2017</v>
      </c>
      <c r="K14" s="35" t="s">
        <v>83</v>
      </c>
      <c r="L14" s="35"/>
      <c r="M14" s="1" t="s">
        <v>143</v>
      </c>
      <c r="N14" s="1" t="s">
        <v>102</v>
      </c>
      <c r="O14" s="35" t="s">
        <v>138</v>
      </c>
      <c r="P14" s="35" t="s">
        <v>87</v>
      </c>
      <c r="Q14" s="1" t="s">
        <v>144</v>
      </c>
      <c r="R14" s="1" t="s">
        <v>145</v>
      </c>
      <c r="S14" s="1">
        <v>0</v>
      </c>
      <c r="T14" s="1">
        <v>0</v>
      </c>
      <c r="U14" s="1">
        <v>1</v>
      </c>
      <c r="V14" s="35" t="s">
        <v>95</v>
      </c>
      <c r="W14" s="35" t="s">
        <v>95</v>
      </c>
      <c r="X14" s="35" t="s">
        <v>83</v>
      </c>
      <c r="Y14" s="35">
        <v>0</v>
      </c>
      <c r="Z14" s="35">
        <v>0</v>
      </c>
      <c r="AA14" s="35">
        <v>1</v>
      </c>
      <c r="AB14" s="35">
        <v>0</v>
      </c>
      <c r="AC14" s="35">
        <v>0</v>
      </c>
      <c r="AD14" s="35">
        <v>0</v>
      </c>
      <c r="AE14" s="35">
        <v>0</v>
      </c>
      <c r="AF14" s="35">
        <v>0</v>
      </c>
      <c r="AG14" s="1" t="s">
        <v>83</v>
      </c>
      <c r="AH14" s="35">
        <v>0</v>
      </c>
      <c r="AI14" s="35">
        <v>0</v>
      </c>
      <c r="AJ14" s="35">
        <v>1</v>
      </c>
      <c r="AK14" s="35">
        <v>0</v>
      </c>
      <c r="AL14" s="35">
        <v>0</v>
      </c>
      <c r="AM14" s="35">
        <v>0</v>
      </c>
      <c r="AN14" s="35">
        <v>0</v>
      </c>
      <c r="AO14" s="35">
        <v>0</v>
      </c>
      <c r="AP14" s="35">
        <v>0</v>
      </c>
      <c r="AQ14" s="1" t="s">
        <v>83</v>
      </c>
      <c r="AR14" s="2" t="s">
        <v>105</v>
      </c>
      <c r="AS14" s="1" t="s">
        <v>146</v>
      </c>
      <c r="AT14" s="1" t="s">
        <v>83</v>
      </c>
      <c r="AU14" s="42">
        <v>9.7400000000000004E-3</v>
      </c>
      <c r="AV14" s="41" t="s">
        <v>91</v>
      </c>
      <c r="AW14" s="1">
        <v>1.502E-2</v>
      </c>
      <c r="AX14" s="1">
        <v>0.1</v>
      </c>
      <c r="AY14" s="1" t="s">
        <v>99</v>
      </c>
      <c r="AZ14" s="1">
        <f t="shared" si="8"/>
        <v>0.64846870838881487</v>
      </c>
      <c r="BA14" s="35" t="s">
        <v>83</v>
      </c>
      <c r="BB14" s="35" t="s">
        <v>83</v>
      </c>
      <c r="BC14" s="35" t="s">
        <v>83</v>
      </c>
      <c r="BD14" s="35" t="s">
        <v>83</v>
      </c>
      <c r="BE14" s="35" t="s">
        <v>83</v>
      </c>
      <c r="BF14" s="35" t="s">
        <v>83</v>
      </c>
      <c r="BG14" s="35" t="s">
        <v>83</v>
      </c>
      <c r="BH14" s="1">
        <v>10233</v>
      </c>
      <c r="BI14" s="1">
        <v>10233</v>
      </c>
      <c r="BJ14" s="1" t="s">
        <v>83</v>
      </c>
      <c r="BK14" s="1" t="s">
        <v>83</v>
      </c>
      <c r="BL14" s="35" t="s">
        <v>83</v>
      </c>
      <c r="BM14" s="35" t="s">
        <v>83</v>
      </c>
      <c r="BN14" s="35" t="s">
        <v>83</v>
      </c>
      <c r="BO14" s="35">
        <v>1</v>
      </c>
      <c r="BP14" s="35" t="s">
        <v>83</v>
      </c>
      <c r="BQ14" s="35">
        <v>1</v>
      </c>
      <c r="BR14" s="35" t="s">
        <v>83</v>
      </c>
      <c r="BS14" s="35" t="s">
        <v>147</v>
      </c>
      <c r="BT14" s="35">
        <v>0</v>
      </c>
      <c r="BU14" s="35">
        <v>0</v>
      </c>
      <c r="BV14" s="35">
        <v>1</v>
      </c>
      <c r="BW14" s="92">
        <f t="shared" si="0"/>
        <v>6.4103038245657568E-3</v>
      </c>
      <c r="BX14" s="92">
        <f t="shared" si="1"/>
        <v>6.4103916307885096E-3</v>
      </c>
      <c r="BY14" s="92">
        <f t="shared" si="2"/>
        <v>9.7732603431524182E-5</v>
      </c>
      <c r="BZ14" s="92">
        <f t="shared" si="3"/>
        <v>9.7751710654936461E-5</v>
      </c>
      <c r="CA14" s="72" t="s">
        <v>83</v>
      </c>
      <c r="CB14" s="72">
        <f t="shared" si="4"/>
        <v>10231</v>
      </c>
      <c r="CC14" s="72" t="s">
        <v>83</v>
      </c>
      <c r="CD14" s="92">
        <f t="shared" si="9"/>
        <v>6.4103038245657568E-3</v>
      </c>
      <c r="CE14" s="92">
        <f t="shared" si="5"/>
        <v>6.4103916307885096E-3</v>
      </c>
      <c r="CF14" s="92">
        <f t="shared" si="6"/>
        <v>9.7732603431524182E-5</v>
      </c>
      <c r="CG14" s="92">
        <f t="shared" si="7"/>
        <v>9.7751710654936461E-5</v>
      </c>
      <c r="CH14" s="72"/>
      <c r="CI14" s="72"/>
      <c r="CJ14" s="72"/>
    </row>
    <row r="15" spans="1:88" s="50" customFormat="1" ht="13" customHeight="1" x14ac:dyDescent="0.3">
      <c r="A15" s="50" t="s">
        <v>80</v>
      </c>
      <c r="B15" s="35"/>
      <c r="C15" s="35">
        <v>1521</v>
      </c>
      <c r="D15" s="50">
        <v>507</v>
      </c>
      <c r="E15" s="50" t="s">
        <v>148</v>
      </c>
      <c r="F15" s="50">
        <v>2023</v>
      </c>
      <c r="G15" s="70" t="s">
        <v>149</v>
      </c>
      <c r="H15" s="70" t="s">
        <v>150</v>
      </c>
      <c r="I15" s="35">
        <v>2</v>
      </c>
      <c r="J15" s="50">
        <v>2022</v>
      </c>
      <c r="K15" s="50" t="s">
        <v>83</v>
      </c>
      <c r="L15" s="50">
        <v>4490</v>
      </c>
      <c r="M15" s="50" t="s">
        <v>84</v>
      </c>
      <c r="N15" s="50" t="s">
        <v>85</v>
      </c>
      <c r="O15" s="50" t="s">
        <v>94</v>
      </c>
      <c r="P15" s="50" t="s">
        <v>82</v>
      </c>
      <c r="Q15" s="50" t="s">
        <v>135</v>
      </c>
      <c r="R15" s="50" t="s">
        <v>89</v>
      </c>
      <c r="S15" s="50">
        <v>1</v>
      </c>
      <c r="T15" s="50">
        <v>1</v>
      </c>
      <c r="U15" s="50">
        <v>1</v>
      </c>
      <c r="V15" s="50" t="s">
        <v>95</v>
      </c>
      <c r="W15" s="50" t="s">
        <v>95</v>
      </c>
      <c r="X15" s="50" t="s">
        <v>83</v>
      </c>
      <c r="Y15" s="50">
        <v>0</v>
      </c>
      <c r="Z15" s="50">
        <v>1</v>
      </c>
      <c r="AA15" s="50">
        <v>0</v>
      </c>
      <c r="AB15" s="50">
        <v>0</v>
      </c>
      <c r="AC15" s="50">
        <v>0</v>
      </c>
      <c r="AD15" s="50">
        <v>0</v>
      </c>
      <c r="AE15" s="50">
        <v>0</v>
      </c>
      <c r="AF15" s="50">
        <v>0</v>
      </c>
      <c r="AG15" s="50" t="s">
        <v>151</v>
      </c>
      <c r="AH15" s="50">
        <v>0</v>
      </c>
      <c r="AI15" s="50">
        <v>0</v>
      </c>
      <c r="AJ15" s="50">
        <v>0</v>
      </c>
      <c r="AK15" s="50">
        <v>0</v>
      </c>
      <c r="AL15" s="50">
        <v>0</v>
      </c>
      <c r="AM15" s="50">
        <v>1</v>
      </c>
      <c r="AN15" s="50">
        <v>0</v>
      </c>
      <c r="AO15" s="50">
        <v>0</v>
      </c>
      <c r="AP15" s="50">
        <v>0</v>
      </c>
      <c r="AQ15" s="50" t="s">
        <v>83</v>
      </c>
      <c r="AR15" s="70" t="s">
        <v>152</v>
      </c>
      <c r="AS15" s="50" t="s">
        <v>153</v>
      </c>
      <c r="AT15" s="50" t="s">
        <v>83</v>
      </c>
      <c r="AU15" s="71">
        <v>2.17</v>
      </c>
      <c r="AV15" s="51" t="s">
        <v>97</v>
      </c>
      <c r="AW15" s="50">
        <v>1.69</v>
      </c>
      <c r="AX15" s="50">
        <v>0.1</v>
      </c>
      <c r="AY15" s="50" t="s">
        <v>99</v>
      </c>
      <c r="AZ15" s="50">
        <f t="shared" si="8"/>
        <v>1.2840236686390532</v>
      </c>
      <c r="BA15" s="50" t="s">
        <v>83</v>
      </c>
      <c r="BB15" s="50" t="s">
        <v>83</v>
      </c>
      <c r="BC15" s="50">
        <v>210</v>
      </c>
      <c r="BD15" s="50" t="s">
        <v>83</v>
      </c>
      <c r="BE15" s="50" t="s">
        <v>83</v>
      </c>
      <c r="BG15" s="50" t="s">
        <v>83</v>
      </c>
      <c r="BH15" s="50">
        <v>522</v>
      </c>
      <c r="BI15" s="50">
        <v>522</v>
      </c>
      <c r="BJ15" s="50" t="s">
        <v>83</v>
      </c>
      <c r="BK15" s="50" t="s">
        <v>83</v>
      </c>
      <c r="BL15" s="50" t="s">
        <v>83</v>
      </c>
      <c r="BM15" s="50" t="s">
        <v>83</v>
      </c>
      <c r="BN15" s="50" t="s">
        <v>83</v>
      </c>
      <c r="BO15" s="50" t="s">
        <v>83</v>
      </c>
      <c r="BP15" s="50" t="s">
        <v>83</v>
      </c>
      <c r="BQ15" s="50" t="s">
        <v>83</v>
      </c>
      <c r="BR15" s="50" t="s">
        <v>83</v>
      </c>
      <c r="BS15" s="50" t="s">
        <v>83</v>
      </c>
      <c r="BT15" s="50">
        <v>0</v>
      </c>
      <c r="BU15" s="50">
        <v>0</v>
      </c>
      <c r="BV15" s="50">
        <v>1</v>
      </c>
      <c r="BW15" s="92">
        <f t="shared" si="0"/>
        <v>5.6111645842207881E-2</v>
      </c>
      <c r="BX15" s="92">
        <f t="shared" si="1"/>
        <v>5.6170646828256648E-2</v>
      </c>
      <c r="BY15" s="92">
        <f t="shared" si="2"/>
        <v>1.9193666892163227E-3</v>
      </c>
      <c r="BZ15" s="92">
        <f t="shared" si="3"/>
        <v>1.9267822736030828E-3</v>
      </c>
      <c r="CA15" s="72" t="s">
        <v>83</v>
      </c>
      <c r="CB15" s="72">
        <f t="shared" si="4"/>
        <v>520</v>
      </c>
      <c r="CC15" s="72" t="s">
        <v>83</v>
      </c>
      <c r="CD15" s="92">
        <f t="shared" si="9"/>
        <v>5.6111645842207881E-2</v>
      </c>
      <c r="CE15" s="92">
        <f t="shared" si="5"/>
        <v>5.6170646828256648E-2</v>
      </c>
      <c r="CF15" s="92">
        <f t="shared" si="6"/>
        <v>1.9193666892163227E-3</v>
      </c>
      <c r="CG15" s="92">
        <f t="shared" si="7"/>
        <v>1.9267822736030828E-3</v>
      </c>
      <c r="CH15" s="94"/>
      <c r="CI15" s="94"/>
      <c r="CJ15" s="94"/>
    </row>
    <row r="16" spans="1:88" s="50" customFormat="1" ht="13" customHeight="1" x14ac:dyDescent="0.3">
      <c r="A16" s="50" t="s">
        <v>80</v>
      </c>
      <c r="B16" s="35"/>
      <c r="C16" s="35">
        <v>1522</v>
      </c>
      <c r="D16" s="50">
        <v>507</v>
      </c>
      <c r="E16" s="50" t="s">
        <v>148</v>
      </c>
      <c r="F16" s="50">
        <v>2023</v>
      </c>
      <c r="G16" s="70" t="s">
        <v>149</v>
      </c>
      <c r="H16" s="70" t="s">
        <v>150</v>
      </c>
      <c r="I16" s="35">
        <v>2</v>
      </c>
      <c r="J16" s="50">
        <v>2022</v>
      </c>
      <c r="K16" s="50" t="s">
        <v>83</v>
      </c>
      <c r="L16" s="50">
        <v>4490</v>
      </c>
      <c r="M16" s="50" t="s">
        <v>84</v>
      </c>
      <c r="N16" s="50" t="s">
        <v>85</v>
      </c>
      <c r="O16" s="50" t="s">
        <v>94</v>
      </c>
      <c r="P16" s="50" t="s">
        <v>82</v>
      </c>
      <c r="Q16" s="50" t="s">
        <v>135</v>
      </c>
      <c r="R16" s="50" t="s">
        <v>89</v>
      </c>
      <c r="S16" s="50">
        <v>1</v>
      </c>
      <c r="T16" s="50">
        <v>1</v>
      </c>
      <c r="U16" s="50">
        <v>1</v>
      </c>
      <c r="V16" s="50" t="s">
        <v>95</v>
      </c>
      <c r="W16" s="50" t="s">
        <v>95</v>
      </c>
      <c r="X16" s="50" t="s">
        <v>83</v>
      </c>
      <c r="Y16" s="50">
        <v>0</v>
      </c>
      <c r="Z16" s="50">
        <v>1</v>
      </c>
      <c r="AA16" s="50">
        <v>0</v>
      </c>
      <c r="AB16" s="50">
        <v>0</v>
      </c>
      <c r="AC16" s="50">
        <v>0</v>
      </c>
      <c r="AD16" s="50">
        <v>0</v>
      </c>
      <c r="AE16" s="50">
        <v>0</v>
      </c>
      <c r="AF16" s="50">
        <v>0</v>
      </c>
      <c r="AG16" s="50" t="s">
        <v>151</v>
      </c>
      <c r="AH16" s="50">
        <v>0</v>
      </c>
      <c r="AI16" s="50">
        <v>0</v>
      </c>
      <c r="AJ16" s="50">
        <v>0</v>
      </c>
      <c r="AK16" s="50">
        <v>0</v>
      </c>
      <c r="AL16" s="50">
        <v>0</v>
      </c>
      <c r="AM16" s="50">
        <v>1</v>
      </c>
      <c r="AN16" s="50">
        <v>0</v>
      </c>
      <c r="AO16" s="50">
        <v>0</v>
      </c>
      <c r="AP16" s="50">
        <v>0</v>
      </c>
      <c r="AQ16" s="50" t="s">
        <v>83</v>
      </c>
      <c r="AR16" s="70" t="s">
        <v>152</v>
      </c>
      <c r="AS16" s="50" t="s">
        <v>153</v>
      </c>
      <c r="AT16" s="50" t="s">
        <v>83</v>
      </c>
      <c r="AU16" s="71">
        <v>1.83</v>
      </c>
      <c r="AV16" s="51" t="s">
        <v>97</v>
      </c>
      <c r="AW16" s="50">
        <v>0.31</v>
      </c>
      <c r="AX16" s="50">
        <v>0.01</v>
      </c>
      <c r="AY16" s="50" t="s">
        <v>98</v>
      </c>
      <c r="AZ16" s="50">
        <f t="shared" si="8"/>
        <v>5.903225806451613</v>
      </c>
      <c r="BA16" s="50" t="s">
        <v>83</v>
      </c>
      <c r="BB16" s="50" t="s">
        <v>83</v>
      </c>
      <c r="BC16" s="50">
        <v>210</v>
      </c>
      <c r="BD16" s="50" t="s">
        <v>83</v>
      </c>
      <c r="BE16" s="50" t="s">
        <v>83</v>
      </c>
      <c r="BG16" s="50" t="s">
        <v>83</v>
      </c>
      <c r="BH16" s="50">
        <v>522</v>
      </c>
      <c r="BI16" s="50">
        <v>522</v>
      </c>
      <c r="BJ16" s="50" t="s">
        <v>83</v>
      </c>
      <c r="BK16" s="50" t="s">
        <v>83</v>
      </c>
      <c r="BL16" s="50" t="s">
        <v>83</v>
      </c>
      <c r="BM16" s="50" t="s">
        <v>83</v>
      </c>
      <c r="BN16" s="50" t="s">
        <v>83</v>
      </c>
      <c r="BO16" s="50" t="s">
        <v>83</v>
      </c>
      <c r="BP16" s="50" t="s">
        <v>83</v>
      </c>
      <c r="BQ16" s="50" t="s">
        <v>83</v>
      </c>
      <c r="BR16" s="50" t="s">
        <v>83</v>
      </c>
      <c r="BS16" s="50" t="s">
        <v>83</v>
      </c>
      <c r="BT16" s="50">
        <v>0</v>
      </c>
      <c r="BU16" s="50">
        <v>1</v>
      </c>
      <c r="BV16" s="50">
        <v>0</v>
      </c>
      <c r="BW16" s="92">
        <f t="shared" si="0"/>
        <v>0.25016182387692765</v>
      </c>
      <c r="BX16" s="92">
        <f t="shared" si="1"/>
        <v>0.25558543146915813</v>
      </c>
      <c r="BY16" s="92">
        <f t="shared" si="2"/>
        <v>1.9111953674073043E-3</v>
      </c>
      <c r="BZ16" s="92">
        <f t="shared" si="3"/>
        <v>1.9267822736030828E-3</v>
      </c>
      <c r="CA16" s="72" t="s">
        <v>83</v>
      </c>
      <c r="CB16" s="72">
        <f t="shared" si="4"/>
        <v>520</v>
      </c>
      <c r="CC16" s="72" t="s">
        <v>83</v>
      </c>
      <c r="CD16" s="92">
        <f t="shared" si="9"/>
        <v>0.25016182387692765</v>
      </c>
      <c r="CE16" s="92">
        <f t="shared" si="5"/>
        <v>0.25558543146915813</v>
      </c>
      <c r="CF16" s="92">
        <f t="shared" si="6"/>
        <v>1.9111953674073043E-3</v>
      </c>
      <c r="CG16" s="92">
        <f t="shared" si="7"/>
        <v>1.9267822736030828E-3</v>
      </c>
      <c r="CH16" s="94"/>
      <c r="CI16" s="94"/>
      <c r="CJ16" s="94"/>
    </row>
    <row r="17" spans="1:88" s="50" customFormat="1" ht="13" customHeight="1" x14ac:dyDescent="0.3">
      <c r="A17" s="50" t="s">
        <v>80</v>
      </c>
      <c r="B17" s="35"/>
      <c r="C17" s="35">
        <v>1523</v>
      </c>
      <c r="D17" s="50">
        <v>507</v>
      </c>
      <c r="E17" s="50" t="s">
        <v>148</v>
      </c>
      <c r="F17" s="50">
        <v>2023</v>
      </c>
      <c r="G17" s="70" t="s">
        <v>149</v>
      </c>
      <c r="H17" s="70" t="s">
        <v>150</v>
      </c>
      <c r="I17" s="35">
        <v>2</v>
      </c>
      <c r="J17" s="50">
        <v>2022</v>
      </c>
      <c r="K17" s="50" t="s">
        <v>83</v>
      </c>
      <c r="L17" s="50">
        <v>4490</v>
      </c>
      <c r="M17" s="50" t="s">
        <v>84</v>
      </c>
      <c r="N17" s="50" t="s">
        <v>85</v>
      </c>
      <c r="O17" s="50" t="s">
        <v>94</v>
      </c>
      <c r="P17" s="50" t="s">
        <v>82</v>
      </c>
      <c r="Q17" s="50" t="s">
        <v>135</v>
      </c>
      <c r="R17" s="50" t="s">
        <v>89</v>
      </c>
      <c r="S17" s="50">
        <v>1</v>
      </c>
      <c r="T17" s="50">
        <v>1</v>
      </c>
      <c r="U17" s="50">
        <v>1</v>
      </c>
      <c r="V17" s="50" t="s">
        <v>95</v>
      </c>
      <c r="W17" s="50" t="s">
        <v>95</v>
      </c>
      <c r="X17" s="50" t="s">
        <v>83</v>
      </c>
      <c r="Y17" s="50">
        <v>0</v>
      </c>
      <c r="Z17" s="50">
        <v>1</v>
      </c>
      <c r="AA17" s="50">
        <v>0</v>
      </c>
      <c r="AB17" s="50">
        <v>0</v>
      </c>
      <c r="AC17" s="50">
        <v>0</v>
      </c>
      <c r="AD17" s="50">
        <v>0</v>
      </c>
      <c r="AE17" s="50">
        <v>0</v>
      </c>
      <c r="AF17" s="50">
        <v>0</v>
      </c>
      <c r="AG17" s="50" t="s">
        <v>151</v>
      </c>
      <c r="AH17" s="50">
        <v>0</v>
      </c>
      <c r="AI17" s="50">
        <v>0</v>
      </c>
      <c r="AJ17" s="50">
        <v>0</v>
      </c>
      <c r="AK17" s="50">
        <v>0</v>
      </c>
      <c r="AL17" s="50">
        <v>0</v>
      </c>
      <c r="AM17" s="50">
        <v>1</v>
      </c>
      <c r="AN17" s="50">
        <v>0</v>
      </c>
      <c r="AO17" s="50">
        <v>0</v>
      </c>
      <c r="AP17" s="50">
        <v>0</v>
      </c>
      <c r="AQ17" s="50" t="s">
        <v>83</v>
      </c>
      <c r="AR17" s="70" t="s">
        <v>152</v>
      </c>
      <c r="AS17" s="50" t="s">
        <v>153</v>
      </c>
      <c r="AT17" s="50" t="s">
        <v>83</v>
      </c>
      <c r="AU17" s="71">
        <v>2.16</v>
      </c>
      <c r="AV17" s="51" t="s">
        <v>97</v>
      </c>
      <c r="AW17" s="50">
        <v>1.7</v>
      </c>
      <c r="AX17" s="50">
        <v>0.1</v>
      </c>
      <c r="AY17" s="50" t="s">
        <v>99</v>
      </c>
      <c r="AZ17" s="50">
        <f t="shared" si="8"/>
        <v>1.2705882352941178</v>
      </c>
      <c r="BA17" s="50" t="s">
        <v>83</v>
      </c>
      <c r="BB17" s="50" t="s">
        <v>83</v>
      </c>
      <c r="BC17" s="50">
        <v>210</v>
      </c>
      <c r="BD17" s="50" t="s">
        <v>83</v>
      </c>
      <c r="BE17" s="50" t="s">
        <v>83</v>
      </c>
      <c r="BG17" s="50" t="s">
        <v>83</v>
      </c>
      <c r="BH17" s="50">
        <v>522</v>
      </c>
      <c r="BI17" s="50">
        <v>522</v>
      </c>
      <c r="BJ17" s="50" t="s">
        <v>83</v>
      </c>
      <c r="BK17" s="50" t="s">
        <v>83</v>
      </c>
      <c r="BL17" s="50" t="s">
        <v>83</v>
      </c>
      <c r="BM17" s="50" t="s">
        <v>83</v>
      </c>
      <c r="BN17" s="50" t="s">
        <v>83</v>
      </c>
      <c r="BO17" s="50" t="s">
        <v>83</v>
      </c>
      <c r="BP17" s="50" t="s">
        <v>83</v>
      </c>
      <c r="BQ17" s="50" t="s">
        <v>83</v>
      </c>
      <c r="BR17" s="50" t="s">
        <v>83</v>
      </c>
      <c r="BS17" s="50" t="s">
        <v>83</v>
      </c>
      <c r="BT17" s="50">
        <v>0</v>
      </c>
      <c r="BU17" s="50">
        <v>1</v>
      </c>
      <c r="BV17" s="50">
        <v>1</v>
      </c>
      <c r="BW17" s="92">
        <f t="shared" si="0"/>
        <v>5.5526339131367439E-2</v>
      </c>
      <c r="BX17" s="92">
        <f t="shared" si="1"/>
        <v>5.5583510725306214E-2</v>
      </c>
      <c r="BY17" s="92">
        <f t="shared" si="2"/>
        <v>1.9193674756717641E-3</v>
      </c>
      <c r="BZ17" s="92">
        <f t="shared" si="3"/>
        <v>1.9267822736030828E-3</v>
      </c>
      <c r="CA17" s="72" t="s">
        <v>83</v>
      </c>
      <c r="CB17" s="72">
        <f t="shared" si="4"/>
        <v>520</v>
      </c>
      <c r="CC17" s="72" t="s">
        <v>83</v>
      </c>
      <c r="CD17" s="92">
        <f t="shared" si="9"/>
        <v>5.5526339131367439E-2</v>
      </c>
      <c r="CE17" s="92">
        <f t="shared" si="5"/>
        <v>5.5583510725306214E-2</v>
      </c>
      <c r="CF17" s="92">
        <f t="shared" si="6"/>
        <v>1.9193674756717641E-3</v>
      </c>
      <c r="CG17" s="92">
        <f t="shared" si="7"/>
        <v>1.9267822736030828E-3</v>
      </c>
      <c r="CH17" s="94"/>
      <c r="CI17" s="94"/>
      <c r="CJ17" s="94"/>
    </row>
    <row r="18" spans="1:88" s="50" customFormat="1" ht="13" customHeight="1" x14ac:dyDescent="0.3">
      <c r="A18" s="50" t="s">
        <v>80</v>
      </c>
      <c r="B18" s="35"/>
      <c r="C18" s="35">
        <v>1524</v>
      </c>
      <c r="D18" s="50">
        <v>507</v>
      </c>
      <c r="E18" s="50" t="s">
        <v>148</v>
      </c>
      <c r="F18" s="50">
        <v>2023</v>
      </c>
      <c r="G18" s="70" t="s">
        <v>149</v>
      </c>
      <c r="H18" s="70" t="s">
        <v>150</v>
      </c>
      <c r="I18" s="35">
        <v>2</v>
      </c>
      <c r="J18" s="50">
        <v>2022</v>
      </c>
      <c r="K18" s="50" t="s">
        <v>83</v>
      </c>
      <c r="L18" s="50">
        <v>4490</v>
      </c>
      <c r="M18" s="50" t="s">
        <v>84</v>
      </c>
      <c r="N18" s="50" t="s">
        <v>85</v>
      </c>
      <c r="O18" s="50" t="s">
        <v>94</v>
      </c>
      <c r="P18" s="50" t="s">
        <v>82</v>
      </c>
      <c r="Q18" s="50" t="s">
        <v>135</v>
      </c>
      <c r="R18" s="50" t="s">
        <v>89</v>
      </c>
      <c r="S18" s="50">
        <v>1</v>
      </c>
      <c r="T18" s="50">
        <v>1</v>
      </c>
      <c r="U18" s="50">
        <v>1</v>
      </c>
      <c r="V18" s="50" t="s">
        <v>95</v>
      </c>
      <c r="W18" s="50" t="s">
        <v>95</v>
      </c>
      <c r="X18" s="50" t="s">
        <v>83</v>
      </c>
      <c r="Y18" s="50">
        <v>0</v>
      </c>
      <c r="Z18" s="50">
        <v>1</v>
      </c>
      <c r="AA18" s="50">
        <v>0</v>
      </c>
      <c r="AB18" s="50">
        <v>0</v>
      </c>
      <c r="AC18" s="50">
        <v>0</v>
      </c>
      <c r="AD18" s="50">
        <v>0</v>
      </c>
      <c r="AE18" s="50">
        <v>0</v>
      </c>
      <c r="AF18" s="50">
        <v>0</v>
      </c>
      <c r="AG18" s="50" t="s">
        <v>154</v>
      </c>
      <c r="AH18" s="50">
        <v>0</v>
      </c>
      <c r="AI18" s="50">
        <v>0</v>
      </c>
      <c r="AJ18" s="50">
        <v>0</v>
      </c>
      <c r="AK18" s="50">
        <v>0</v>
      </c>
      <c r="AL18" s="50">
        <v>0</v>
      </c>
      <c r="AM18" s="50">
        <v>1</v>
      </c>
      <c r="AN18" s="50">
        <v>0</v>
      </c>
      <c r="AO18" s="50">
        <v>0</v>
      </c>
      <c r="AP18" s="50">
        <v>0</v>
      </c>
      <c r="AQ18" s="50" t="s">
        <v>83</v>
      </c>
      <c r="AR18" s="70" t="s">
        <v>152</v>
      </c>
      <c r="AS18" s="50" t="s">
        <v>153</v>
      </c>
      <c r="AT18" s="50" t="s">
        <v>83</v>
      </c>
      <c r="AU18" s="71">
        <v>0.17</v>
      </c>
      <c r="AV18" s="51" t="s">
        <v>97</v>
      </c>
      <c r="AW18" s="50">
        <v>1.78</v>
      </c>
      <c r="AX18" s="50">
        <v>0.1</v>
      </c>
      <c r="AY18" s="50" t="s">
        <v>99</v>
      </c>
      <c r="AZ18" s="50">
        <f t="shared" si="8"/>
        <v>9.5505617977528101E-2</v>
      </c>
      <c r="BA18" s="50" t="s">
        <v>83</v>
      </c>
      <c r="BB18" s="50" t="s">
        <v>83</v>
      </c>
      <c r="BC18" s="50">
        <v>210</v>
      </c>
      <c r="BD18" s="50" t="s">
        <v>83</v>
      </c>
      <c r="BE18" s="50" t="s">
        <v>83</v>
      </c>
      <c r="BG18" s="50" t="s">
        <v>83</v>
      </c>
      <c r="BH18" s="50">
        <v>536</v>
      </c>
      <c r="BI18" s="50">
        <v>536</v>
      </c>
      <c r="BJ18" s="50" t="s">
        <v>83</v>
      </c>
      <c r="BK18" s="50" t="s">
        <v>83</v>
      </c>
      <c r="BL18" s="50" t="s">
        <v>83</v>
      </c>
      <c r="BM18" s="50" t="s">
        <v>83</v>
      </c>
      <c r="BN18" s="50" t="s">
        <v>83</v>
      </c>
      <c r="BO18" s="50" t="s">
        <v>83</v>
      </c>
      <c r="BP18" s="50" t="s">
        <v>83</v>
      </c>
      <c r="BQ18" s="50" t="s">
        <v>83</v>
      </c>
      <c r="BR18" s="50" t="s">
        <v>83</v>
      </c>
      <c r="BS18" s="50" t="s">
        <v>83</v>
      </c>
      <c r="BT18" s="50">
        <v>0</v>
      </c>
      <c r="BU18" s="50">
        <v>0</v>
      </c>
      <c r="BV18" s="50">
        <v>1</v>
      </c>
      <c r="BW18" s="92">
        <f t="shared" si="0"/>
        <v>4.1251792920702175E-3</v>
      </c>
      <c r="BX18" s="92">
        <f t="shared" si="1"/>
        <v>4.1252026918444E-3</v>
      </c>
      <c r="BY18" s="92">
        <f t="shared" si="2"/>
        <v>1.8691588779633863E-3</v>
      </c>
      <c r="BZ18" s="92">
        <f t="shared" si="3"/>
        <v>1.876172607879925E-3</v>
      </c>
      <c r="CA18" s="72" t="s">
        <v>83</v>
      </c>
      <c r="CB18" s="72">
        <f t="shared" si="4"/>
        <v>534</v>
      </c>
      <c r="CC18" s="72" t="s">
        <v>83</v>
      </c>
      <c r="CD18" s="92">
        <f t="shared" si="9"/>
        <v>4.1251792920702175E-3</v>
      </c>
      <c r="CE18" s="92">
        <f t="shared" si="5"/>
        <v>4.1252026918444E-3</v>
      </c>
      <c r="CF18" s="92">
        <f t="shared" si="6"/>
        <v>1.8691588779633863E-3</v>
      </c>
      <c r="CG18" s="92">
        <f t="shared" si="7"/>
        <v>1.876172607879925E-3</v>
      </c>
      <c r="CH18" s="94"/>
      <c r="CI18" s="94"/>
      <c r="CJ18" s="94"/>
    </row>
    <row r="19" spans="1:88" s="50" customFormat="1" ht="13" customHeight="1" x14ac:dyDescent="0.3">
      <c r="A19" s="50" t="s">
        <v>80</v>
      </c>
      <c r="B19" s="35"/>
      <c r="C19" s="35">
        <v>1525</v>
      </c>
      <c r="D19" s="50">
        <v>507</v>
      </c>
      <c r="E19" s="50" t="s">
        <v>148</v>
      </c>
      <c r="F19" s="50">
        <v>2023</v>
      </c>
      <c r="G19" s="70" t="s">
        <v>149</v>
      </c>
      <c r="H19" s="70" t="s">
        <v>150</v>
      </c>
      <c r="I19" s="35">
        <v>2</v>
      </c>
      <c r="J19" s="50">
        <v>2022</v>
      </c>
      <c r="K19" s="50" t="s">
        <v>83</v>
      </c>
      <c r="L19" s="50">
        <v>4490</v>
      </c>
      <c r="M19" s="50" t="s">
        <v>84</v>
      </c>
      <c r="N19" s="50" t="s">
        <v>85</v>
      </c>
      <c r="O19" s="50" t="s">
        <v>94</v>
      </c>
      <c r="P19" s="50" t="s">
        <v>82</v>
      </c>
      <c r="Q19" s="50" t="s">
        <v>135</v>
      </c>
      <c r="R19" s="50" t="s">
        <v>89</v>
      </c>
      <c r="S19" s="50">
        <v>1</v>
      </c>
      <c r="T19" s="50">
        <v>1</v>
      </c>
      <c r="U19" s="50">
        <v>1</v>
      </c>
      <c r="V19" s="50" t="s">
        <v>95</v>
      </c>
      <c r="W19" s="50" t="s">
        <v>95</v>
      </c>
      <c r="X19" s="50" t="s">
        <v>83</v>
      </c>
      <c r="Y19" s="50">
        <v>0</v>
      </c>
      <c r="Z19" s="50">
        <v>1</v>
      </c>
      <c r="AA19" s="50">
        <v>0</v>
      </c>
      <c r="AB19" s="50">
        <v>0</v>
      </c>
      <c r="AC19" s="50">
        <v>0</v>
      </c>
      <c r="AD19" s="50">
        <v>0</v>
      </c>
      <c r="AE19" s="50">
        <v>0</v>
      </c>
      <c r="AF19" s="50">
        <v>0</v>
      </c>
      <c r="AG19" s="50" t="s">
        <v>154</v>
      </c>
      <c r="AH19" s="50">
        <v>0</v>
      </c>
      <c r="AI19" s="50">
        <v>0</v>
      </c>
      <c r="AJ19" s="50">
        <v>0</v>
      </c>
      <c r="AK19" s="50">
        <v>0</v>
      </c>
      <c r="AL19" s="50">
        <v>0</v>
      </c>
      <c r="AM19" s="50">
        <v>1</v>
      </c>
      <c r="AN19" s="50">
        <v>0</v>
      </c>
      <c r="AO19" s="50">
        <v>0</v>
      </c>
      <c r="AP19" s="50">
        <v>0</v>
      </c>
      <c r="AQ19" s="50" t="s">
        <v>83</v>
      </c>
      <c r="AR19" s="70" t="s">
        <v>152</v>
      </c>
      <c r="AS19" s="50" t="s">
        <v>153</v>
      </c>
      <c r="AT19" s="50" t="s">
        <v>83</v>
      </c>
      <c r="AU19" s="71">
        <v>2.12</v>
      </c>
      <c r="AV19" s="51" t="s">
        <v>97</v>
      </c>
      <c r="AW19" s="50">
        <v>0.3</v>
      </c>
      <c r="AX19" s="50">
        <v>0.01</v>
      </c>
      <c r="AY19" s="50" t="s">
        <v>98</v>
      </c>
      <c r="AZ19" s="50">
        <f t="shared" si="8"/>
        <v>7.0666666666666673</v>
      </c>
      <c r="BA19" s="50" t="s">
        <v>83</v>
      </c>
      <c r="BB19" s="50" t="s">
        <v>83</v>
      </c>
      <c r="BC19" s="50">
        <v>210</v>
      </c>
      <c r="BD19" s="50" t="s">
        <v>83</v>
      </c>
      <c r="BE19" s="50" t="s">
        <v>83</v>
      </c>
      <c r="BG19" s="50" t="s">
        <v>83</v>
      </c>
      <c r="BH19" s="50">
        <v>536</v>
      </c>
      <c r="BI19" s="50">
        <v>536</v>
      </c>
      <c r="BJ19" s="50" t="s">
        <v>83</v>
      </c>
      <c r="BK19" s="50" t="s">
        <v>83</v>
      </c>
      <c r="BL19" s="50" t="s">
        <v>83</v>
      </c>
      <c r="BM19" s="50" t="s">
        <v>83</v>
      </c>
      <c r="BN19" s="50" t="s">
        <v>83</v>
      </c>
      <c r="BO19" s="50" t="s">
        <v>83</v>
      </c>
      <c r="BP19" s="50" t="s">
        <v>83</v>
      </c>
      <c r="BQ19" s="50" t="s">
        <v>83</v>
      </c>
      <c r="BR19" s="50" t="s">
        <v>83</v>
      </c>
      <c r="BS19" s="50" t="s">
        <v>83</v>
      </c>
      <c r="BT19" s="50">
        <v>0</v>
      </c>
      <c r="BU19" s="50">
        <v>1</v>
      </c>
      <c r="BV19" s="50">
        <v>0</v>
      </c>
      <c r="BW19" s="92">
        <f t="shared" si="0"/>
        <v>0.2919368088076289</v>
      </c>
      <c r="BX19" s="92">
        <f t="shared" si="1"/>
        <v>0.30068221537367351</v>
      </c>
      <c r="BY19" s="92">
        <f t="shared" si="2"/>
        <v>1.8538805028650237E-3</v>
      </c>
      <c r="BZ19" s="92">
        <f t="shared" si="3"/>
        <v>1.876172607879925E-3</v>
      </c>
      <c r="CA19" s="72" t="s">
        <v>83</v>
      </c>
      <c r="CB19" s="72">
        <f t="shared" si="4"/>
        <v>534</v>
      </c>
      <c r="CC19" s="72" t="s">
        <v>83</v>
      </c>
      <c r="CD19" s="92">
        <f t="shared" si="9"/>
        <v>0.2919368088076289</v>
      </c>
      <c r="CE19" s="92">
        <f t="shared" si="5"/>
        <v>0.30068221537367351</v>
      </c>
      <c r="CF19" s="92">
        <f t="shared" si="6"/>
        <v>1.8538805028650237E-3</v>
      </c>
      <c r="CG19" s="92">
        <f t="shared" si="7"/>
        <v>1.876172607879925E-3</v>
      </c>
      <c r="CH19" s="94"/>
      <c r="CI19" s="94"/>
      <c r="CJ19" s="94"/>
    </row>
    <row r="20" spans="1:88" s="50" customFormat="1" ht="13" customHeight="1" x14ac:dyDescent="0.3">
      <c r="A20" s="50" t="s">
        <v>80</v>
      </c>
      <c r="B20" s="35"/>
      <c r="C20" s="35">
        <v>1526</v>
      </c>
      <c r="D20" s="50">
        <v>507</v>
      </c>
      <c r="E20" s="50" t="s">
        <v>148</v>
      </c>
      <c r="F20" s="50">
        <v>2023</v>
      </c>
      <c r="G20" s="70" t="s">
        <v>149</v>
      </c>
      <c r="H20" s="70" t="s">
        <v>150</v>
      </c>
      <c r="I20" s="35">
        <v>2</v>
      </c>
      <c r="J20" s="50">
        <v>2022</v>
      </c>
      <c r="K20" s="50" t="s">
        <v>83</v>
      </c>
      <c r="L20" s="50">
        <v>4490</v>
      </c>
      <c r="M20" s="50" t="s">
        <v>84</v>
      </c>
      <c r="N20" s="50" t="s">
        <v>85</v>
      </c>
      <c r="O20" s="50" t="s">
        <v>94</v>
      </c>
      <c r="P20" s="50" t="s">
        <v>82</v>
      </c>
      <c r="Q20" s="50" t="s">
        <v>135</v>
      </c>
      <c r="R20" s="50" t="s">
        <v>89</v>
      </c>
      <c r="S20" s="50">
        <v>1</v>
      </c>
      <c r="T20" s="50">
        <v>1</v>
      </c>
      <c r="U20" s="50">
        <v>1</v>
      </c>
      <c r="V20" s="50" t="s">
        <v>95</v>
      </c>
      <c r="W20" s="50" t="s">
        <v>95</v>
      </c>
      <c r="X20" s="50" t="s">
        <v>83</v>
      </c>
      <c r="Y20" s="50">
        <v>0</v>
      </c>
      <c r="Z20" s="50">
        <v>1</v>
      </c>
      <c r="AA20" s="50">
        <v>0</v>
      </c>
      <c r="AB20" s="50">
        <v>0</v>
      </c>
      <c r="AC20" s="50">
        <v>0</v>
      </c>
      <c r="AD20" s="50">
        <v>0</v>
      </c>
      <c r="AE20" s="50">
        <v>0</v>
      </c>
      <c r="AF20" s="50">
        <v>0</v>
      </c>
      <c r="AG20" s="50" t="s">
        <v>154</v>
      </c>
      <c r="AH20" s="50">
        <v>0</v>
      </c>
      <c r="AI20" s="50">
        <v>0</v>
      </c>
      <c r="AJ20" s="50">
        <v>0</v>
      </c>
      <c r="AK20" s="50">
        <v>0</v>
      </c>
      <c r="AL20" s="50">
        <v>0</v>
      </c>
      <c r="AM20" s="50">
        <v>1</v>
      </c>
      <c r="AN20" s="50">
        <v>0</v>
      </c>
      <c r="AO20" s="50">
        <v>0</v>
      </c>
      <c r="AP20" s="50">
        <v>0</v>
      </c>
      <c r="AQ20" s="50" t="s">
        <v>83</v>
      </c>
      <c r="AR20" s="70" t="s">
        <v>152</v>
      </c>
      <c r="AS20" s="50" t="s">
        <v>153</v>
      </c>
      <c r="AT20" s="50" t="s">
        <v>83</v>
      </c>
      <c r="AU20" s="71">
        <v>0.73</v>
      </c>
      <c r="AV20" s="51" t="s">
        <v>97</v>
      </c>
      <c r="AW20" s="50">
        <v>1.77</v>
      </c>
      <c r="AX20" s="50">
        <v>0.1</v>
      </c>
      <c r="AY20" s="50" t="s">
        <v>99</v>
      </c>
      <c r="AZ20" s="50">
        <f t="shared" si="8"/>
        <v>0.41242937853107342</v>
      </c>
      <c r="BA20" s="50" t="s">
        <v>83</v>
      </c>
      <c r="BB20" s="50" t="s">
        <v>83</v>
      </c>
      <c r="BC20" s="50">
        <v>210</v>
      </c>
      <c r="BD20" s="50" t="s">
        <v>83</v>
      </c>
      <c r="BE20" s="50" t="s">
        <v>83</v>
      </c>
      <c r="BG20" s="50" t="s">
        <v>83</v>
      </c>
      <c r="BH20" s="50">
        <v>536</v>
      </c>
      <c r="BI20" s="50">
        <v>536</v>
      </c>
      <c r="BJ20" s="50" t="s">
        <v>83</v>
      </c>
      <c r="BK20" s="50" t="s">
        <v>83</v>
      </c>
      <c r="BL20" s="50" t="s">
        <v>83</v>
      </c>
      <c r="BM20" s="50" t="s">
        <v>83</v>
      </c>
      <c r="BN20" s="50" t="s">
        <v>83</v>
      </c>
      <c r="BO20" s="50" t="s">
        <v>83</v>
      </c>
      <c r="BP20" s="50" t="s">
        <v>83</v>
      </c>
      <c r="BQ20" s="50" t="s">
        <v>83</v>
      </c>
      <c r="BR20" s="50" t="s">
        <v>83</v>
      </c>
      <c r="BS20" s="50" t="s">
        <v>83</v>
      </c>
      <c r="BT20" s="50">
        <v>0</v>
      </c>
      <c r="BU20" s="50">
        <v>1</v>
      </c>
      <c r="BV20" s="50">
        <v>1</v>
      </c>
      <c r="BW20" s="92">
        <f t="shared" si="0"/>
        <v>1.7811409920186164E-2</v>
      </c>
      <c r="BX20" s="92">
        <f t="shared" si="1"/>
        <v>1.7813293813564373E-2</v>
      </c>
      <c r="BY20" s="92">
        <f t="shared" si="2"/>
        <v>1.8691586903031459E-3</v>
      </c>
      <c r="BZ20" s="92">
        <f t="shared" si="3"/>
        <v>1.876172607879925E-3</v>
      </c>
      <c r="CA20" s="72" t="s">
        <v>83</v>
      </c>
      <c r="CB20" s="72">
        <f t="shared" si="4"/>
        <v>534</v>
      </c>
      <c r="CC20" s="72" t="s">
        <v>83</v>
      </c>
      <c r="CD20" s="92">
        <f t="shared" si="9"/>
        <v>1.7811409920186164E-2</v>
      </c>
      <c r="CE20" s="92">
        <f t="shared" si="5"/>
        <v>1.7813293813564373E-2</v>
      </c>
      <c r="CF20" s="92">
        <f t="shared" si="6"/>
        <v>1.8691586903031459E-3</v>
      </c>
      <c r="CG20" s="92">
        <f t="shared" si="7"/>
        <v>1.876172607879925E-3</v>
      </c>
      <c r="CH20" s="94"/>
      <c r="CI20" s="94"/>
      <c r="CJ20" s="94"/>
    </row>
    <row r="21" spans="1:88" s="110" customFormat="1" ht="12.75" customHeight="1" x14ac:dyDescent="0.3">
      <c r="A21" s="110" t="s">
        <v>107</v>
      </c>
      <c r="C21" s="103">
        <v>1543</v>
      </c>
      <c r="D21" s="110">
        <v>512</v>
      </c>
      <c r="E21" s="110" t="s">
        <v>155</v>
      </c>
      <c r="F21" s="110">
        <v>2023</v>
      </c>
      <c r="G21" s="110" t="s">
        <v>156</v>
      </c>
      <c r="H21" s="110" t="s">
        <v>157</v>
      </c>
      <c r="I21" s="110">
        <v>2</v>
      </c>
      <c r="J21" s="110">
        <v>2021</v>
      </c>
      <c r="K21" s="110" t="s">
        <v>158</v>
      </c>
      <c r="AU21" s="111"/>
      <c r="AV21" s="111"/>
    </row>
    <row r="22" spans="1:88" s="72" customFormat="1" ht="12.75" customHeight="1" x14ac:dyDescent="0.3">
      <c r="A22" s="72" t="s">
        <v>115</v>
      </c>
      <c r="B22" s="35"/>
      <c r="C22" s="35">
        <v>1545</v>
      </c>
      <c r="D22" s="72">
        <v>513</v>
      </c>
      <c r="E22" s="72" t="s">
        <v>159</v>
      </c>
      <c r="F22" s="72">
        <v>2023</v>
      </c>
      <c r="G22" s="72" t="s">
        <v>160</v>
      </c>
      <c r="H22" s="72" t="s">
        <v>161</v>
      </c>
      <c r="I22" s="72">
        <v>2</v>
      </c>
      <c r="J22" s="72">
        <v>2018</v>
      </c>
      <c r="M22" s="72" t="s">
        <v>162</v>
      </c>
      <c r="N22" s="72" t="s">
        <v>102</v>
      </c>
      <c r="O22" s="72" t="s">
        <v>163</v>
      </c>
      <c r="P22" s="72" t="s">
        <v>87</v>
      </c>
      <c r="Q22" s="72" t="s">
        <v>144</v>
      </c>
      <c r="R22" s="72" t="s">
        <v>109</v>
      </c>
      <c r="S22" s="72">
        <v>0</v>
      </c>
      <c r="T22" s="72" t="s">
        <v>110</v>
      </c>
      <c r="U22" s="72">
        <v>0</v>
      </c>
      <c r="V22" s="72" t="s">
        <v>90</v>
      </c>
      <c r="W22" s="72" t="s">
        <v>95</v>
      </c>
      <c r="X22" s="72" t="s">
        <v>164</v>
      </c>
      <c r="Y22" s="72">
        <v>0</v>
      </c>
      <c r="Z22" s="72">
        <v>1</v>
      </c>
      <c r="AA22" s="72">
        <v>0</v>
      </c>
      <c r="AB22" s="72">
        <v>0</v>
      </c>
      <c r="AC22" s="72">
        <v>0</v>
      </c>
      <c r="AD22" s="72">
        <v>0</v>
      </c>
      <c r="AE22" s="72">
        <v>0</v>
      </c>
      <c r="AF22" s="72">
        <v>0</v>
      </c>
      <c r="AG22" s="72" t="s">
        <v>165</v>
      </c>
      <c r="AH22" s="72">
        <v>1</v>
      </c>
      <c r="AI22" s="72">
        <v>0</v>
      </c>
      <c r="AJ22" s="72">
        <v>0</v>
      </c>
      <c r="AK22" s="72">
        <v>0</v>
      </c>
      <c r="AL22" s="72">
        <v>0</v>
      </c>
      <c r="AM22" s="72">
        <v>0</v>
      </c>
      <c r="AN22" s="72">
        <v>0</v>
      </c>
      <c r="AO22" s="72">
        <v>0</v>
      </c>
      <c r="AP22" s="72">
        <v>0</v>
      </c>
      <c r="AQ22" s="72" t="s">
        <v>166</v>
      </c>
      <c r="AR22" s="72" t="s">
        <v>105</v>
      </c>
      <c r="AS22" s="74" t="s">
        <v>167</v>
      </c>
      <c r="AT22" s="72" t="s">
        <v>83</v>
      </c>
      <c r="AU22" s="75">
        <v>8.3867000000000004E-3</v>
      </c>
      <c r="AV22" s="73" t="s">
        <v>97</v>
      </c>
      <c r="AW22" s="72">
        <v>4.1510000000000002E-3</v>
      </c>
      <c r="AX22" s="72">
        <v>4.2999999999999997E-2</v>
      </c>
      <c r="AY22" s="72">
        <v>2</v>
      </c>
      <c r="AZ22" s="76">
        <f t="shared" ref="AZ22:AZ37" si="10">AU22/AW22</f>
        <v>2.0204047217537942</v>
      </c>
      <c r="BA22" s="77">
        <f t="shared" ref="BA22:BA37" si="11">AU22</f>
        <v>8.3867000000000004E-3</v>
      </c>
      <c r="BB22" s="72" t="s">
        <v>83</v>
      </c>
      <c r="BC22" s="72" t="s">
        <v>83</v>
      </c>
      <c r="BD22" s="72" t="s">
        <v>83</v>
      </c>
      <c r="BE22" s="72" t="s">
        <v>83</v>
      </c>
      <c r="BF22" s="72" t="s">
        <v>83</v>
      </c>
      <c r="BG22" s="72" t="s">
        <v>83</v>
      </c>
      <c r="BH22" s="72">
        <v>24311</v>
      </c>
      <c r="BI22" s="72">
        <v>50707</v>
      </c>
      <c r="BJ22" s="72" t="s">
        <v>83</v>
      </c>
      <c r="BK22" s="72" t="s">
        <v>83</v>
      </c>
      <c r="BL22" s="72" t="s">
        <v>83</v>
      </c>
      <c r="BM22" s="72" t="s">
        <v>83</v>
      </c>
      <c r="BN22" s="72" t="s">
        <v>83</v>
      </c>
      <c r="BO22" s="72" t="s">
        <v>83</v>
      </c>
      <c r="BP22" s="72" t="s">
        <v>83</v>
      </c>
      <c r="BQ22" s="72" t="s">
        <v>83</v>
      </c>
      <c r="BR22" s="72" t="s">
        <v>83</v>
      </c>
      <c r="BS22" s="72" t="s">
        <v>83</v>
      </c>
      <c r="BT22" s="72">
        <v>0</v>
      </c>
      <c r="BU22" s="72">
        <v>0</v>
      </c>
      <c r="BV22" s="72">
        <v>0</v>
      </c>
      <c r="BW22" s="92">
        <f t="shared" ref="BW22:BW25" si="12">((AZ22^2)/(AZ22^2+BH22))^(1/2)</f>
        <v>1.2956882048313174E-2</v>
      </c>
      <c r="BX22" s="92">
        <f t="shared" ref="BX22:BX33" si="13">0.5*LN((1+BW22)/(1-BW22))</f>
        <v>1.2957607191899069E-2</v>
      </c>
      <c r="BY22" s="92">
        <f t="shared" ref="BY22:BY25" si="14">((1-(BX22^2)^2)/(BH22-1))</f>
        <v>4.1135334093366089E-5</v>
      </c>
      <c r="BZ22" s="92">
        <f t="shared" ref="BZ22:BZ25" si="15">1/(BH22-3)</f>
        <v>4.1138719763040976E-5</v>
      </c>
      <c r="CA22" s="72" t="s">
        <v>83</v>
      </c>
      <c r="CB22" s="72">
        <f t="shared" ref="CB22:CB25" si="16">BH22-2</f>
        <v>24309</v>
      </c>
      <c r="CC22" s="72" t="s">
        <v>83</v>
      </c>
      <c r="CD22" s="92">
        <f t="shared" ref="CD22:CD25" si="17">((AZ22^2)/(AZ22^2+BI22))^(1/2)</f>
        <v>8.9719518908019467E-3</v>
      </c>
      <c r="CE22" s="92">
        <f t="shared" ref="CE22:CE33" si="18">0.5*LN((1+CD22)/(1-CD22))</f>
        <v>8.9721926376056648E-3</v>
      </c>
      <c r="CF22" s="92">
        <f t="shared" ref="CF22:CF25" si="19">((1-(CE22^2)^2)/(BI22-1))</f>
        <v>1.9721531840802101E-5</v>
      </c>
      <c r="CG22" s="92">
        <f t="shared" ref="CG22:CG25" si="20">1/(BI22-3)</f>
        <v>1.9722309876932787E-5</v>
      </c>
    </row>
    <row r="23" spans="1:88" s="72" customFormat="1" ht="12.75" customHeight="1" x14ac:dyDescent="0.3">
      <c r="A23" s="72" t="s">
        <v>115</v>
      </c>
      <c r="B23" s="35"/>
      <c r="C23" s="35">
        <v>1546</v>
      </c>
      <c r="D23" s="72">
        <v>513</v>
      </c>
      <c r="E23" s="72" t="s">
        <v>159</v>
      </c>
      <c r="F23" s="72">
        <v>2023</v>
      </c>
      <c r="G23" s="72" t="s">
        <v>160</v>
      </c>
      <c r="H23" s="72" t="s">
        <v>161</v>
      </c>
      <c r="I23" s="72">
        <v>2</v>
      </c>
      <c r="J23" s="72">
        <v>2018</v>
      </c>
      <c r="M23" s="72" t="s">
        <v>162</v>
      </c>
      <c r="N23" s="72" t="s">
        <v>102</v>
      </c>
      <c r="O23" s="72" t="s">
        <v>163</v>
      </c>
      <c r="P23" s="72" t="s">
        <v>87</v>
      </c>
      <c r="Q23" s="72" t="s">
        <v>144</v>
      </c>
      <c r="R23" s="72" t="s">
        <v>109</v>
      </c>
      <c r="S23" s="72">
        <v>0</v>
      </c>
      <c r="T23" s="72" t="s">
        <v>110</v>
      </c>
      <c r="U23" s="72">
        <v>0</v>
      </c>
      <c r="V23" s="72" t="s">
        <v>90</v>
      </c>
      <c r="W23" s="72" t="s">
        <v>95</v>
      </c>
      <c r="X23" s="72" t="s">
        <v>164</v>
      </c>
      <c r="Y23" s="72">
        <v>0</v>
      </c>
      <c r="Z23" s="72">
        <v>1</v>
      </c>
      <c r="AA23" s="72">
        <v>0</v>
      </c>
      <c r="AB23" s="72">
        <v>0</v>
      </c>
      <c r="AC23" s="72">
        <v>0</v>
      </c>
      <c r="AD23" s="72">
        <v>0</v>
      </c>
      <c r="AE23" s="72">
        <v>0</v>
      </c>
      <c r="AF23" s="72">
        <v>0</v>
      </c>
      <c r="AG23" s="72" t="s">
        <v>165</v>
      </c>
      <c r="AH23" s="72">
        <v>1</v>
      </c>
      <c r="AI23" s="72">
        <v>0</v>
      </c>
      <c r="AJ23" s="72">
        <v>0</v>
      </c>
      <c r="AK23" s="72">
        <v>0</v>
      </c>
      <c r="AL23" s="72">
        <v>0</v>
      </c>
      <c r="AM23" s="72">
        <v>0</v>
      </c>
      <c r="AN23" s="72">
        <v>0</v>
      </c>
      <c r="AO23" s="72">
        <v>0</v>
      </c>
      <c r="AP23" s="72">
        <v>0</v>
      </c>
      <c r="AQ23" s="72" t="s">
        <v>166</v>
      </c>
      <c r="AR23" s="72" t="s">
        <v>105</v>
      </c>
      <c r="AS23" s="74" t="s">
        <v>168</v>
      </c>
      <c r="AT23" s="72" t="s">
        <v>83</v>
      </c>
      <c r="AU23" s="75">
        <v>8.7422000000000003E-3</v>
      </c>
      <c r="AV23" s="73" t="s">
        <v>91</v>
      </c>
      <c r="AW23" s="72">
        <v>4.2299E-3</v>
      </c>
      <c r="AX23" s="72">
        <v>0.76200000000000001</v>
      </c>
      <c r="AY23" s="72">
        <v>2</v>
      </c>
      <c r="AZ23" s="76">
        <f t="shared" si="10"/>
        <v>2.066762807631386</v>
      </c>
      <c r="BA23" s="77">
        <f t="shared" si="11"/>
        <v>8.7422000000000003E-3</v>
      </c>
      <c r="BB23" s="72" t="s">
        <v>83</v>
      </c>
      <c r="BC23" s="72" t="s">
        <v>83</v>
      </c>
      <c r="BD23" s="72" t="s">
        <v>83</v>
      </c>
      <c r="BE23" s="72" t="s">
        <v>83</v>
      </c>
      <c r="BF23" s="72" t="s">
        <v>83</v>
      </c>
      <c r="BG23" s="72" t="s">
        <v>83</v>
      </c>
      <c r="BH23" s="72">
        <v>24311</v>
      </c>
      <c r="BI23" s="72">
        <v>50707</v>
      </c>
      <c r="BJ23" s="72" t="s">
        <v>83</v>
      </c>
      <c r="BK23" s="72" t="s">
        <v>83</v>
      </c>
      <c r="BL23" s="72" t="s">
        <v>83</v>
      </c>
      <c r="BM23" s="72" t="s">
        <v>83</v>
      </c>
      <c r="BN23" s="72" t="s">
        <v>83</v>
      </c>
      <c r="BO23" s="72" t="s">
        <v>83</v>
      </c>
      <c r="BP23" s="72" t="s">
        <v>83</v>
      </c>
      <c r="BQ23" s="72" t="s">
        <v>83</v>
      </c>
      <c r="BR23" s="72" t="s">
        <v>83</v>
      </c>
      <c r="BS23" s="72" t="s">
        <v>83</v>
      </c>
      <c r="BT23" s="72">
        <v>0</v>
      </c>
      <c r="BU23" s="72">
        <v>0</v>
      </c>
      <c r="BV23" s="72">
        <v>0</v>
      </c>
      <c r="BW23" s="92">
        <f t="shared" si="12"/>
        <v>1.325412542190405E-2</v>
      </c>
      <c r="BX23" s="92">
        <f t="shared" si="13"/>
        <v>1.3254901629256919E-2</v>
      </c>
      <c r="BY23" s="92">
        <f t="shared" si="14"/>
        <v>4.1135333983223962E-5</v>
      </c>
      <c r="BZ23" s="92">
        <f t="shared" si="15"/>
        <v>4.1138719763040976E-5</v>
      </c>
      <c r="CA23" s="72" t="s">
        <v>83</v>
      </c>
      <c r="CB23" s="72">
        <f t="shared" si="16"/>
        <v>24309</v>
      </c>
      <c r="CC23" s="72" t="s">
        <v>83</v>
      </c>
      <c r="CD23" s="92">
        <f t="shared" si="17"/>
        <v>9.1777957351990118E-3</v>
      </c>
      <c r="CE23" s="92">
        <f t="shared" si="18"/>
        <v>9.1780534360531279E-3</v>
      </c>
      <c r="CF23" s="92">
        <f t="shared" si="19"/>
        <v>1.9721531828662963E-5</v>
      </c>
      <c r="CG23" s="92">
        <f t="shared" si="20"/>
        <v>1.9722309876932787E-5</v>
      </c>
    </row>
    <row r="24" spans="1:88" s="72" customFormat="1" ht="12.75" customHeight="1" x14ac:dyDescent="0.3">
      <c r="A24" s="72" t="s">
        <v>115</v>
      </c>
      <c r="B24" s="35"/>
      <c r="C24" s="35">
        <v>1548</v>
      </c>
      <c r="D24" s="72">
        <v>513</v>
      </c>
      <c r="E24" s="72" t="s">
        <v>159</v>
      </c>
      <c r="F24" s="72">
        <v>2023</v>
      </c>
      <c r="G24" s="72" t="s">
        <v>160</v>
      </c>
      <c r="H24" s="72" t="s">
        <v>161</v>
      </c>
      <c r="I24" s="72">
        <v>2</v>
      </c>
      <c r="J24" s="72">
        <v>2018</v>
      </c>
      <c r="M24" s="72" t="s">
        <v>162</v>
      </c>
      <c r="N24" s="72" t="s">
        <v>102</v>
      </c>
      <c r="O24" s="72" t="s">
        <v>163</v>
      </c>
      <c r="P24" s="72" t="s">
        <v>87</v>
      </c>
      <c r="Q24" s="72" t="s">
        <v>144</v>
      </c>
      <c r="R24" s="72" t="s">
        <v>109</v>
      </c>
      <c r="S24" s="72">
        <v>0</v>
      </c>
      <c r="T24" s="72" t="s">
        <v>110</v>
      </c>
      <c r="U24" s="72">
        <v>0</v>
      </c>
      <c r="V24" s="72" t="s">
        <v>90</v>
      </c>
      <c r="W24" s="72" t="s">
        <v>95</v>
      </c>
      <c r="X24" s="72" t="s">
        <v>164</v>
      </c>
      <c r="Y24" s="72">
        <v>0</v>
      </c>
      <c r="Z24" s="72">
        <v>1</v>
      </c>
      <c r="AA24" s="72">
        <v>1</v>
      </c>
      <c r="AB24" s="72">
        <v>0</v>
      </c>
      <c r="AC24" s="72">
        <v>0</v>
      </c>
      <c r="AD24" s="72">
        <v>0</v>
      </c>
      <c r="AE24" s="72">
        <v>0</v>
      </c>
      <c r="AF24" s="72">
        <v>0</v>
      </c>
      <c r="AG24" s="72" t="s">
        <v>169</v>
      </c>
      <c r="AH24" s="72">
        <v>1</v>
      </c>
      <c r="AI24" s="72">
        <v>0</v>
      </c>
      <c r="AJ24" s="72">
        <v>0</v>
      </c>
      <c r="AK24" s="72">
        <v>0</v>
      </c>
      <c r="AL24" s="72">
        <v>0</v>
      </c>
      <c r="AM24" s="72">
        <v>0</v>
      </c>
      <c r="AN24" s="72">
        <v>0</v>
      </c>
      <c r="AO24" s="72">
        <v>0</v>
      </c>
      <c r="AP24" s="72">
        <v>0</v>
      </c>
      <c r="AQ24" s="72" t="s">
        <v>166</v>
      </c>
      <c r="AR24" s="72" t="s">
        <v>105</v>
      </c>
      <c r="AS24" s="74" t="s">
        <v>167</v>
      </c>
      <c r="AT24" s="72" t="s">
        <v>83</v>
      </c>
      <c r="AU24" s="75">
        <v>1.27624E-2</v>
      </c>
      <c r="AV24" s="73" t="s">
        <v>97</v>
      </c>
      <c r="AW24" s="72">
        <v>5.2453999999999999E-3</v>
      </c>
      <c r="AX24" s="72">
        <v>1.4999999999999999E-2</v>
      </c>
      <c r="AY24" s="72">
        <v>2</v>
      </c>
      <c r="AZ24" s="76">
        <f t="shared" si="10"/>
        <v>2.4330651618561028</v>
      </c>
      <c r="BA24" s="77">
        <f t="shared" si="11"/>
        <v>1.27624E-2</v>
      </c>
      <c r="BB24" s="72" t="s">
        <v>83</v>
      </c>
      <c r="BC24" s="72" t="s">
        <v>83</v>
      </c>
      <c r="BD24" s="72" t="s">
        <v>83</v>
      </c>
      <c r="BE24" s="72" t="s">
        <v>83</v>
      </c>
      <c r="BF24" s="72" t="s">
        <v>83</v>
      </c>
      <c r="BG24" s="72" t="s">
        <v>83</v>
      </c>
      <c r="BH24" s="72">
        <v>24311</v>
      </c>
      <c r="BI24" s="72">
        <v>50707</v>
      </c>
      <c r="BJ24" s="72" t="s">
        <v>83</v>
      </c>
      <c r="BK24" s="72" t="s">
        <v>83</v>
      </c>
      <c r="BL24" s="72" t="s">
        <v>83</v>
      </c>
      <c r="BM24" s="72" t="s">
        <v>83</v>
      </c>
      <c r="BN24" s="72" t="s">
        <v>83</v>
      </c>
      <c r="BO24" s="72" t="s">
        <v>83</v>
      </c>
      <c r="BP24" s="72" t="s">
        <v>83</v>
      </c>
      <c r="BQ24" s="72" t="s">
        <v>83</v>
      </c>
      <c r="BR24" s="72" t="s">
        <v>83</v>
      </c>
      <c r="BS24" s="72" t="s">
        <v>170</v>
      </c>
      <c r="BT24" s="72">
        <v>0</v>
      </c>
      <c r="BU24" s="72">
        <v>0</v>
      </c>
      <c r="BV24" s="72">
        <v>0</v>
      </c>
      <c r="BW24" s="92">
        <f t="shared" si="12"/>
        <v>1.5602689250709878E-2</v>
      </c>
      <c r="BX24" s="92">
        <f t="shared" si="13"/>
        <v>1.5603955562249437E-2</v>
      </c>
      <c r="BY24" s="92">
        <f t="shared" si="14"/>
        <v>4.113533281430768E-5</v>
      </c>
      <c r="BZ24" s="92">
        <f t="shared" si="15"/>
        <v>4.1138719763040976E-5</v>
      </c>
      <c r="CA24" s="72" t="s">
        <v>83</v>
      </c>
      <c r="CB24" s="72">
        <f t="shared" si="16"/>
        <v>24309</v>
      </c>
      <c r="CC24" s="72" t="s">
        <v>83</v>
      </c>
      <c r="CD24" s="92">
        <f t="shared" si="17"/>
        <v>1.0804245212410333E-2</v>
      </c>
      <c r="CE24" s="92">
        <f t="shared" si="18"/>
        <v>1.0804665641213459E-2</v>
      </c>
      <c r="CF24" s="92">
        <f t="shared" si="19"/>
        <v>1.9721531699830112E-5</v>
      </c>
      <c r="CG24" s="92">
        <f t="shared" si="20"/>
        <v>1.9722309876932787E-5</v>
      </c>
    </row>
    <row r="25" spans="1:88" s="72" customFormat="1" ht="12.75" customHeight="1" x14ac:dyDescent="0.3">
      <c r="A25" s="72" t="s">
        <v>115</v>
      </c>
      <c r="B25" s="35"/>
      <c r="C25" s="35">
        <v>1549</v>
      </c>
      <c r="D25" s="72">
        <v>513</v>
      </c>
      <c r="E25" s="72" t="s">
        <v>159</v>
      </c>
      <c r="F25" s="72">
        <v>2023</v>
      </c>
      <c r="G25" s="72" t="s">
        <v>160</v>
      </c>
      <c r="H25" s="72" t="s">
        <v>161</v>
      </c>
      <c r="I25" s="72">
        <v>2</v>
      </c>
      <c r="J25" s="72">
        <v>2018</v>
      </c>
      <c r="M25" s="72" t="s">
        <v>162</v>
      </c>
      <c r="N25" s="72" t="s">
        <v>102</v>
      </c>
      <c r="O25" s="72" t="s">
        <v>163</v>
      </c>
      <c r="P25" s="72" t="s">
        <v>87</v>
      </c>
      <c r="Q25" s="72" t="s">
        <v>144</v>
      </c>
      <c r="R25" s="72" t="s">
        <v>109</v>
      </c>
      <c r="S25" s="72">
        <v>0</v>
      </c>
      <c r="T25" s="72" t="s">
        <v>110</v>
      </c>
      <c r="U25" s="72">
        <v>0</v>
      </c>
      <c r="V25" s="72" t="s">
        <v>90</v>
      </c>
      <c r="W25" s="72" t="s">
        <v>95</v>
      </c>
      <c r="X25" s="72" t="s">
        <v>164</v>
      </c>
      <c r="Y25" s="72">
        <v>0</v>
      </c>
      <c r="Z25" s="72">
        <v>1</v>
      </c>
      <c r="AA25" s="72">
        <v>1</v>
      </c>
      <c r="AB25" s="72">
        <v>0</v>
      </c>
      <c r="AC25" s="72">
        <v>0</v>
      </c>
      <c r="AD25" s="72">
        <v>0</v>
      </c>
      <c r="AE25" s="72">
        <v>0</v>
      </c>
      <c r="AF25" s="72">
        <v>0</v>
      </c>
      <c r="AG25" s="72" t="s">
        <v>169</v>
      </c>
      <c r="AH25" s="72">
        <v>1</v>
      </c>
      <c r="AI25" s="72">
        <v>0</v>
      </c>
      <c r="AJ25" s="72">
        <v>0</v>
      </c>
      <c r="AK25" s="72">
        <v>0</v>
      </c>
      <c r="AL25" s="72">
        <v>0</v>
      </c>
      <c r="AM25" s="72">
        <v>0</v>
      </c>
      <c r="AN25" s="72">
        <v>0</v>
      </c>
      <c r="AO25" s="72">
        <v>0</v>
      </c>
      <c r="AP25" s="72">
        <v>0</v>
      </c>
      <c r="AQ25" s="72" t="s">
        <v>166</v>
      </c>
      <c r="AR25" s="72" t="s">
        <v>105</v>
      </c>
      <c r="AS25" s="74" t="s">
        <v>168</v>
      </c>
      <c r="AT25" s="72" t="s">
        <v>83</v>
      </c>
      <c r="AU25" s="73">
        <v>1.2414100000000001E-2</v>
      </c>
      <c r="AV25" s="73" t="s">
        <v>91</v>
      </c>
      <c r="AW25" s="72">
        <v>5.2671999999999997E-3</v>
      </c>
      <c r="AX25" s="72">
        <v>1.7999999999999999E-2</v>
      </c>
      <c r="AY25" s="72">
        <v>2</v>
      </c>
      <c r="AZ25" s="76">
        <f t="shared" si="10"/>
        <v>2.3568689246658567</v>
      </c>
      <c r="BA25" s="77">
        <f t="shared" si="11"/>
        <v>1.2414100000000001E-2</v>
      </c>
      <c r="BB25" s="72" t="s">
        <v>83</v>
      </c>
      <c r="BC25" s="72" t="s">
        <v>83</v>
      </c>
      <c r="BD25" s="72" t="s">
        <v>83</v>
      </c>
      <c r="BE25" s="72" t="s">
        <v>83</v>
      </c>
      <c r="BF25" s="72" t="s">
        <v>83</v>
      </c>
      <c r="BG25" s="72" t="s">
        <v>83</v>
      </c>
      <c r="BH25" s="72">
        <v>24311</v>
      </c>
      <c r="BI25" s="72">
        <v>50707</v>
      </c>
      <c r="BJ25" s="72" t="s">
        <v>83</v>
      </c>
      <c r="BK25" s="72" t="s">
        <v>83</v>
      </c>
      <c r="BL25" s="72" t="s">
        <v>83</v>
      </c>
      <c r="BM25" s="72" t="s">
        <v>83</v>
      </c>
      <c r="BN25" s="72" t="s">
        <v>83</v>
      </c>
      <c r="BO25" s="72" t="s">
        <v>83</v>
      </c>
      <c r="BP25" s="72" t="s">
        <v>83</v>
      </c>
      <c r="BQ25" s="72" t="s">
        <v>83</v>
      </c>
      <c r="BR25" s="72" t="s">
        <v>83</v>
      </c>
      <c r="BS25" s="72" t="s">
        <v>170</v>
      </c>
      <c r="BT25" s="72">
        <v>0</v>
      </c>
      <c r="BU25" s="72">
        <v>0</v>
      </c>
      <c r="BV25" s="72">
        <v>0</v>
      </c>
      <c r="BW25" s="92">
        <f t="shared" si="12"/>
        <v>1.5114173670422022E-2</v>
      </c>
      <c r="BX25" s="92">
        <f t="shared" si="13"/>
        <v>1.5115324713297837E-2</v>
      </c>
      <c r="BY25" s="92">
        <f t="shared" si="14"/>
        <v>4.1135333105720665E-5</v>
      </c>
      <c r="BZ25" s="92">
        <f t="shared" si="15"/>
        <v>4.1138719763040976E-5</v>
      </c>
      <c r="CA25" s="72" t="s">
        <v>83</v>
      </c>
      <c r="CB25" s="72">
        <f t="shared" si="16"/>
        <v>24309</v>
      </c>
      <c r="CC25" s="72" t="s">
        <v>83</v>
      </c>
      <c r="CD25" s="92">
        <f t="shared" si="17"/>
        <v>1.0465926612531288E-2</v>
      </c>
      <c r="CE25" s="92">
        <f t="shared" si="18"/>
        <v>1.0466308768233686E-2</v>
      </c>
      <c r="CF25" s="92">
        <f t="shared" si="19"/>
        <v>1.9721531731948792E-5</v>
      </c>
      <c r="CG25" s="92">
        <f t="shared" si="20"/>
        <v>1.9722309876932787E-5</v>
      </c>
    </row>
    <row r="26" spans="1:88" s="72" customFormat="1" ht="12.75" customHeight="1" x14ac:dyDescent="0.3">
      <c r="A26" s="72" t="s">
        <v>115</v>
      </c>
      <c r="B26" s="35"/>
      <c r="C26" s="35">
        <v>1551</v>
      </c>
      <c r="D26" s="72">
        <v>513</v>
      </c>
      <c r="E26" s="72" t="s">
        <v>159</v>
      </c>
      <c r="F26" s="72">
        <v>2023</v>
      </c>
      <c r="G26" s="72" t="s">
        <v>160</v>
      </c>
      <c r="H26" s="72" t="s">
        <v>161</v>
      </c>
      <c r="I26" s="72">
        <v>2</v>
      </c>
      <c r="J26" s="72">
        <v>2018</v>
      </c>
      <c r="M26" s="72" t="s">
        <v>162</v>
      </c>
      <c r="N26" s="72" t="s">
        <v>102</v>
      </c>
      <c r="O26" s="72" t="s">
        <v>163</v>
      </c>
      <c r="P26" s="72" t="s">
        <v>87</v>
      </c>
      <c r="Q26" s="72" t="s">
        <v>144</v>
      </c>
      <c r="R26" s="72" t="s">
        <v>109</v>
      </c>
      <c r="S26" s="72">
        <v>0</v>
      </c>
      <c r="T26" s="72" t="s">
        <v>110</v>
      </c>
      <c r="U26" s="72">
        <v>0</v>
      </c>
      <c r="V26" s="72" t="s">
        <v>90</v>
      </c>
      <c r="W26" s="72" t="s">
        <v>95</v>
      </c>
      <c r="X26" s="72" t="s">
        <v>164</v>
      </c>
      <c r="Y26" s="72">
        <v>0</v>
      </c>
      <c r="Z26" s="72">
        <v>1</v>
      </c>
      <c r="AA26" s="72">
        <v>0</v>
      </c>
      <c r="AB26" s="72">
        <v>0</v>
      </c>
      <c r="AC26" s="72">
        <v>0</v>
      </c>
      <c r="AD26" s="72">
        <v>0</v>
      </c>
      <c r="AE26" s="72">
        <v>0</v>
      </c>
      <c r="AF26" s="72">
        <v>0</v>
      </c>
      <c r="AG26" s="72" t="s">
        <v>165</v>
      </c>
      <c r="AH26" s="72">
        <v>0</v>
      </c>
      <c r="AI26" s="72">
        <v>0</v>
      </c>
      <c r="AJ26" s="72">
        <v>0</v>
      </c>
      <c r="AK26" s="72">
        <v>1</v>
      </c>
      <c r="AL26" s="72">
        <v>0</v>
      </c>
      <c r="AM26" s="72">
        <v>0</v>
      </c>
      <c r="AN26" s="72">
        <v>0</v>
      </c>
      <c r="AO26" s="72">
        <v>0</v>
      </c>
      <c r="AP26" s="72">
        <v>0</v>
      </c>
      <c r="AQ26" s="72" t="s">
        <v>166</v>
      </c>
      <c r="AR26" s="72" t="s">
        <v>105</v>
      </c>
      <c r="AS26" s="74" t="s">
        <v>171</v>
      </c>
      <c r="AT26" s="72" t="s">
        <v>83</v>
      </c>
      <c r="AU26" s="75">
        <v>5.5643699999999997E-2</v>
      </c>
      <c r="AV26" s="73" t="s">
        <v>97</v>
      </c>
      <c r="AW26" s="72">
        <v>1.8014800000000001E-2</v>
      </c>
      <c r="AX26" s="72">
        <v>2E-3</v>
      </c>
      <c r="AY26" s="72">
        <v>2</v>
      </c>
      <c r="AZ26" s="76">
        <f t="shared" si="10"/>
        <v>3.0887770055731951</v>
      </c>
      <c r="BA26" s="77">
        <f t="shared" si="11"/>
        <v>5.5643699999999997E-2</v>
      </c>
      <c r="BB26" s="72" t="s">
        <v>83</v>
      </c>
      <c r="BC26" s="72" t="s">
        <v>83</v>
      </c>
      <c r="BD26" s="72" t="s">
        <v>83</v>
      </c>
      <c r="BE26" s="72" t="s">
        <v>83</v>
      </c>
      <c r="BF26" s="72" t="s">
        <v>83</v>
      </c>
      <c r="BG26" s="72" t="s">
        <v>83</v>
      </c>
      <c r="BH26" s="72">
        <v>11097</v>
      </c>
      <c r="BI26" s="72">
        <v>50707</v>
      </c>
      <c r="BJ26" s="72" t="s">
        <v>83</v>
      </c>
      <c r="BK26" s="72" t="s">
        <v>83</v>
      </c>
      <c r="BL26" s="72" t="s">
        <v>83</v>
      </c>
      <c r="BM26" s="72" t="s">
        <v>83</v>
      </c>
      <c r="BN26" s="72" t="s">
        <v>83</v>
      </c>
      <c r="BO26" s="72" t="s">
        <v>83</v>
      </c>
      <c r="BP26" s="72" t="s">
        <v>83</v>
      </c>
      <c r="BQ26" s="72" t="s">
        <v>83</v>
      </c>
      <c r="BR26" s="72" t="s">
        <v>83</v>
      </c>
      <c r="BS26" s="72" t="s">
        <v>83</v>
      </c>
      <c r="BT26" s="72">
        <v>0</v>
      </c>
      <c r="BU26" s="72">
        <v>0</v>
      </c>
      <c r="BV26" s="72">
        <v>0</v>
      </c>
      <c r="BW26" s="92">
        <f t="shared" ref="BW26:BW37" si="21">((AZ26^2)/(AZ26^2+BH26))^(1/2)</f>
        <v>2.9308740277142066E-2</v>
      </c>
      <c r="BX26" s="92">
        <f t="shared" si="13"/>
        <v>2.9317136696438713E-2</v>
      </c>
      <c r="BY26" s="92">
        <f t="shared" ref="BY26:BY37" si="22">((1-(BX26^2)^2)/(BH26-1))</f>
        <v>9.0122500114383339E-5</v>
      </c>
      <c r="BZ26" s="92">
        <f t="shared" ref="BZ26:BZ37" si="23">1/(BH26-3)</f>
        <v>9.0138813773210747E-5</v>
      </c>
      <c r="CA26" s="72" t="s">
        <v>83</v>
      </c>
      <c r="CB26" s="72">
        <f t="shared" ref="CB26:CB37" si="24">BH26-2</f>
        <v>11095</v>
      </c>
      <c r="CC26" s="72" t="s">
        <v>83</v>
      </c>
      <c r="CD26" s="92">
        <f t="shared" ref="CD26:CD37" si="25">((AZ26^2)/(AZ26^2+BI26))^(1/2)</f>
        <v>1.3715503159957969E-2</v>
      </c>
      <c r="CE26" s="92">
        <f t="shared" si="18"/>
        <v>1.3716363287790596E-2</v>
      </c>
      <c r="CF26" s="92">
        <f t="shared" ref="CF26:CF37" si="26">((1-(CE26^2)^2)/(BI26-1))</f>
        <v>1.9721531270537196E-5</v>
      </c>
      <c r="CG26" s="92">
        <f t="shared" ref="CG26:CG37" si="27">1/(BI26-3)</f>
        <v>1.9722309876932787E-5</v>
      </c>
    </row>
    <row r="27" spans="1:88" s="72" customFormat="1" ht="12.75" customHeight="1" x14ac:dyDescent="0.3">
      <c r="A27" s="72" t="s">
        <v>115</v>
      </c>
      <c r="B27" s="35"/>
      <c r="C27" s="35">
        <v>1552</v>
      </c>
      <c r="D27" s="72">
        <v>513</v>
      </c>
      <c r="E27" s="72" t="s">
        <v>159</v>
      </c>
      <c r="F27" s="72">
        <v>2023</v>
      </c>
      <c r="G27" s="72" t="s">
        <v>160</v>
      </c>
      <c r="H27" s="72" t="s">
        <v>161</v>
      </c>
      <c r="I27" s="72">
        <v>2</v>
      </c>
      <c r="J27" s="72">
        <v>2018</v>
      </c>
      <c r="M27" s="72" t="s">
        <v>162</v>
      </c>
      <c r="N27" s="72" t="s">
        <v>102</v>
      </c>
      <c r="O27" s="72" t="s">
        <v>163</v>
      </c>
      <c r="P27" s="72" t="s">
        <v>87</v>
      </c>
      <c r="Q27" s="72" t="s">
        <v>144</v>
      </c>
      <c r="R27" s="72" t="s">
        <v>109</v>
      </c>
      <c r="S27" s="72">
        <v>0</v>
      </c>
      <c r="T27" s="72" t="s">
        <v>110</v>
      </c>
      <c r="U27" s="72">
        <v>0</v>
      </c>
      <c r="V27" s="72" t="s">
        <v>90</v>
      </c>
      <c r="W27" s="72" t="s">
        <v>95</v>
      </c>
      <c r="X27" s="72" t="s">
        <v>164</v>
      </c>
      <c r="Y27" s="72">
        <v>0</v>
      </c>
      <c r="Z27" s="72">
        <v>1</v>
      </c>
      <c r="AA27" s="72">
        <v>0</v>
      </c>
      <c r="AB27" s="72">
        <v>0</v>
      </c>
      <c r="AC27" s="72">
        <v>0</v>
      </c>
      <c r="AD27" s="72">
        <v>0</v>
      </c>
      <c r="AE27" s="72">
        <v>0</v>
      </c>
      <c r="AF27" s="72">
        <v>0</v>
      </c>
      <c r="AG27" s="72" t="s">
        <v>165</v>
      </c>
      <c r="AH27" s="72">
        <v>0</v>
      </c>
      <c r="AI27" s="72">
        <v>0</v>
      </c>
      <c r="AJ27" s="72">
        <v>0</v>
      </c>
      <c r="AK27" s="72">
        <v>1</v>
      </c>
      <c r="AL27" s="72">
        <v>0</v>
      </c>
      <c r="AM27" s="72">
        <v>0</v>
      </c>
      <c r="AN27" s="72">
        <v>0</v>
      </c>
      <c r="AO27" s="72">
        <v>0</v>
      </c>
      <c r="AP27" s="72">
        <v>0</v>
      </c>
      <c r="AQ27" s="72" t="s">
        <v>166</v>
      </c>
      <c r="AR27" s="72" t="s">
        <v>105</v>
      </c>
      <c r="AS27" s="74" t="s">
        <v>172</v>
      </c>
      <c r="AT27" s="72" t="s">
        <v>83</v>
      </c>
      <c r="AU27" s="75">
        <v>6.3638899999999998E-2</v>
      </c>
      <c r="AV27" s="73" t="s">
        <v>91</v>
      </c>
      <c r="AW27" s="72">
        <v>1.73607E-2</v>
      </c>
      <c r="AX27" s="72">
        <v>0</v>
      </c>
      <c r="AY27" s="72">
        <v>2</v>
      </c>
      <c r="AZ27" s="76">
        <f t="shared" si="10"/>
        <v>3.6656874434786615</v>
      </c>
      <c r="BA27" s="77">
        <f t="shared" si="11"/>
        <v>6.3638899999999998E-2</v>
      </c>
      <c r="BB27" s="72" t="s">
        <v>83</v>
      </c>
      <c r="BC27" s="72" t="s">
        <v>83</v>
      </c>
      <c r="BD27" s="72" t="s">
        <v>83</v>
      </c>
      <c r="BE27" s="72" t="s">
        <v>83</v>
      </c>
      <c r="BF27" s="72" t="s">
        <v>83</v>
      </c>
      <c r="BG27" s="72" t="s">
        <v>83</v>
      </c>
      <c r="BH27" s="72">
        <v>11097</v>
      </c>
      <c r="BI27" s="72">
        <v>50707</v>
      </c>
      <c r="BJ27" s="72" t="s">
        <v>83</v>
      </c>
      <c r="BK27" s="72" t="s">
        <v>83</v>
      </c>
      <c r="BL27" s="72" t="s">
        <v>83</v>
      </c>
      <c r="BM27" s="72" t="s">
        <v>83</v>
      </c>
      <c r="BN27" s="72" t="s">
        <v>83</v>
      </c>
      <c r="BO27" s="72" t="s">
        <v>83</v>
      </c>
      <c r="BP27" s="72" t="s">
        <v>83</v>
      </c>
      <c r="BQ27" s="72" t="s">
        <v>83</v>
      </c>
      <c r="BR27" s="72" t="s">
        <v>83</v>
      </c>
      <c r="BS27" s="72" t="s">
        <v>83</v>
      </c>
      <c r="BT27" s="72">
        <v>0</v>
      </c>
      <c r="BU27" s="72">
        <v>0</v>
      </c>
      <c r="BV27" s="72">
        <v>0</v>
      </c>
      <c r="BW27" s="92">
        <f t="shared" si="21"/>
        <v>3.4776819091986377E-2</v>
      </c>
      <c r="BX27" s="92">
        <f t="shared" si="13"/>
        <v>3.4790849284180608E-2</v>
      </c>
      <c r="BY27" s="92">
        <f t="shared" si="22"/>
        <v>9.0122434654299588E-5</v>
      </c>
      <c r="BZ27" s="92">
        <f t="shared" si="23"/>
        <v>9.0138813773210747E-5</v>
      </c>
      <c r="CA27" s="72" t="s">
        <v>83</v>
      </c>
      <c r="CB27" s="72">
        <f t="shared" si="24"/>
        <v>11095</v>
      </c>
      <c r="CC27" s="72" t="s">
        <v>83</v>
      </c>
      <c r="CD27" s="92">
        <f t="shared" si="25"/>
        <v>1.6276609243685899E-2</v>
      </c>
      <c r="CE27" s="92">
        <f t="shared" si="18"/>
        <v>1.627804684876711E-2</v>
      </c>
      <c r="CF27" s="92">
        <f t="shared" si="26"/>
        <v>1.972153058392203E-5</v>
      </c>
      <c r="CG27" s="92">
        <f t="shared" si="27"/>
        <v>1.9722309876932787E-5</v>
      </c>
    </row>
    <row r="28" spans="1:88" s="72" customFormat="1" ht="12.75" customHeight="1" x14ac:dyDescent="0.3">
      <c r="A28" s="72" t="s">
        <v>115</v>
      </c>
      <c r="B28" s="35"/>
      <c r="C28" s="35">
        <v>1554</v>
      </c>
      <c r="D28" s="72">
        <v>513</v>
      </c>
      <c r="E28" s="72" t="s">
        <v>159</v>
      </c>
      <c r="F28" s="72">
        <v>2023</v>
      </c>
      <c r="G28" s="72" t="s">
        <v>160</v>
      </c>
      <c r="H28" s="72" t="s">
        <v>161</v>
      </c>
      <c r="I28" s="72">
        <v>2</v>
      </c>
      <c r="J28" s="72">
        <v>2018</v>
      </c>
      <c r="M28" s="72" t="s">
        <v>162</v>
      </c>
      <c r="N28" s="72" t="s">
        <v>102</v>
      </c>
      <c r="O28" s="72" t="s">
        <v>163</v>
      </c>
      <c r="P28" s="72" t="s">
        <v>87</v>
      </c>
      <c r="Q28" s="72" t="s">
        <v>144</v>
      </c>
      <c r="R28" s="72" t="s">
        <v>109</v>
      </c>
      <c r="S28" s="72">
        <v>0</v>
      </c>
      <c r="T28" s="72" t="s">
        <v>110</v>
      </c>
      <c r="U28" s="72">
        <v>0</v>
      </c>
      <c r="V28" s="72" t="s">
        <v>90</v>
      </c>
      <c r="W28" s="72" t="s">
        <v>95</v>
      </c>
      <c r="X28" s="72" t="s">
        <v>164</v>
      </c>
      <c r="Y28" s="72">
        <v>0</v>
      </c>
      <c r="Z28" s="72">
        <v>1</v>
      </c>
      <c r="AA28" s="72">
        <v>1</v>
      </c>
      <c r="AB28" s="72">
        <v>0</v>
      </c>
      <c r="AC28" s="72">
        <v>0</v>
      </c>
      <c r="AD28" s="72">
        <v>0</v>
      </c>
      <c r="AE28" s="72">
        <v>0</v>
      </c>
      <c r="AF28" s="72">
        <v>0</v>
      </c>
      <c r="AG28" s="72" t="s">
        <v>169</v>
      </c>
      <c r="AH28" s="72">
        <v>0</v>
      </c>
      <c r="AI28" s="72">
        <v>0</v>
      </c>
      <c r="AJ28" s="72">
        <v>0</v>
      </c>
      <c r="AK28" s="72">
        <v>1</v>
      </c>
      <c r="AL28" s="72">
        <v>0</v>
      </c>
      <c r="AM28" s="72">
        <v>0</v>
      </c>
      <c r="AN28" s="72">
        <v>0</v>
      </c>
      <c r="AO28" s="72">
        <v>0</v>
      </c>
      <c r="AP28" s="72">
        <v>0</v>
      </c>
      <c r="AQ28" s="72" t="s">
        <v>166</v>
      </c>
      <c r="AR28" s="72" t="s">
        <v>105</v>
      </c>
      <c r="AS28" s="74" t="s">
        <v>171</v>
      </c>
      <c r="AT28" s="72" t="s">
        <v>83</v>
      </c>
      <c r="AU28" s="75">
        <v>1.46885E-2</v>
      </c>
      <c r="AV28" s="73" t="s">
        <v>91</v>
      </c>
      <c r="AW28" s="72">
        <v>1.95088E-2</v>
      </c>
      <c r="AX28" s="72">
        <v>0.45200000000000001</v>
      </c>
      <c r="AY28" s="72">
        <v>2</v>
      </c>
      <c r="AZ28" s="76">
        <f t="shared" si="10"/>
        <v>0.75291663249405394</v>
      </c>
      <c r="BA28" s="77">
        <f t="shared" si="11"/>
        <v>1.46885E-2</v>
      </c>
      <c r="BB28" s="72" t="s">
        <v>83</v>
      </c>
      <c r="BC28" s="72" t="s">
        <v>83</v>
      </c>
      <c r="BD28" s="72" t="s">
        <v>83</v>
      </c>
      <c r="BE28" s="72" t="s">
        <v>83</v>
      </c>
      <c r="BF28" s="72" t="s">
        <v>83</v>
      </c>
      <c r="BG28" s="72" t="s">
        <v>83</v>
      </c>
      <c r="BH28" s="72">
        <v>11097</v>
      </c>
      <c r="BI28" s="72">
        <v>50707</v>
      </c>
      <c r="BJ28" s="72" t="s">
        <v>83</v>
      </c>
      <c r="BK28" s="72" t="s">
        <v>83</v>
      </c>
      <c r="BL28" s="72" t="s">
        <v>83</v>
      </c>
      <c r="BM28" s="72" t="s">
        <v>83</v>
      </c>
      <c r="BN28" s="72" t="s">
        <v>83</v>
      </c>
      <c r="BO28" s="72" t="s">
        <v>83</v>
      </c>
      <c r="BP28" s="72" t="s">
        <v>83</v>
      </c>
      <c r="BQ28" s="72" t="s">
        <v>83</v>
      </c>
      <c r="BR28" s="72" t="s">
        <v>83</v>
      </c>
      <c r="BS28" s="72" t="s">
        <v>170</v>
      </c>
      <c r="BT28" s="72">
        <v>0</v>
      </c>
      <c r="BU28" s="72">
        <v>0</v>
      </c>
      <c r="BV28" s="72">
        <v>0</v>
      </c>
      <c r="BW28" s="92">
        <f t="shared" si="21"/>
        <v>7.1471517883222478E-3</v>
      </c>
      <c r="BX28" s="92">
        <f t="shared" si="13"/>
        <v>7.1472734884608993E-3</v>
      </c>
      <c r="BY28" s="92">
        <f t="shared" si="22"/>
        <v>9.0122566455522193E-5</v>
      </c>
      <c r="BZ28" s="92">
        <f t="shared" si="23"/>
        <v>9.0138813773210747E-5</v>
      </c>
      <c r="CA28" s="72" t="s">
        <v>83</v>
      </c>
      <c r="CB28" s="72">
        <f t="shared" si="24"/>
        <v>11095</v>
      </c>
      <c r="CC28" s="72" t="s">
        <v>83</v>
      </c>
      <c r="CD28" s="92">
        <f t="shared" si="25"/>
        <v>3.3435706556581677E-3</v>
      </c>
      <c r="CE28" s="92">
        <f t="shared" si="18"/>
        <v>3.3435831155184358E-3</v>
      </c>
      <c r="CF28" s="92">
        <f t="shared" si="26"/>
        <v>1.9721531966138481E-5</v>
      </c>
      <c r="CG28" s="92">
        <f t="shared" si="27"/>
        <v>1.9722309876932787E-5</v>
      </c>
    </row>
    <row r="29" spans="1:88" s="72" customFormat="1" ht="12.75" customHeight="1" x14ac:dyDescent="0.3">
      <c r="A29" s="72" t="s">
        <v>115</v>
      </c>
      <c r="B29" s="35"/>
      <c r="C29" s="35">
        <v>1555</v>
      </c>
      <c r="D29" s="72">
        <v>513</v>
      </c>
      <c r="E29" s="72" t="s">
        <v>159</v>
      </c>
      <c r="F29" s="72">
        <v>2023</v>
      </c>
      <c r="G29" s="72" t="s">
        <v>160</v>
      </c>
      <c r="H29" s="72" t="s">
        <v>161</v>
      </c>
      <c r="I29" s="72">
        <v>2</v>
      </c>
      <c r="J29" s="72">
        <v>2018</v>
      </c>
      <c r="M29" s="72" t="s">
        <v>162</v>
      </c>
      <c r="N29" s="72" t="s">
        <v>102</v>
      </c>
      <c r="O29" s="72" t="s">
        <v>163</v>
      </c>
      <c r="P29" s="72" t="s">
        <v>87</v>
      </c>
      <c r="Q29" s="72" t="s">
        <v>144</v>
      </c>
      <c r="R29" s="72" t="s">
        <v>109</v>
      </c>
      <c r="S29" s="72">
        <v>0</v>
      </c>
      <c r="T29" s="72" t="s">
        <v>110</v>
      </c>
      <c r="U29" s="72">
        <v>0</v>
      </c>
      <c r="V29" s="72" t="s">
        <v>90</v>
      </c>
      <c r="W29" s="72" t="s">
        <v>95</v>
      </c>
      <c r="X29" s="72" t="s">
        <v>164</v>
      </c>
      <c r="Y29" s="72">
        <v>0</v>
      </c>
      <c r="Z29" s="72">
        <v>1</v>
      </c>
      <c r="AA29" s="72">
        <v>1</v>
      </c>
      <c r="AB29" s="72">
        <v>0</v>
      </c>
      <c r="AC29" s="72">
        <v>0</v>
      </c>
      <c r="AD29" s="72">
        <v>0</v>
      </c>
      <c r="AE29" s="72">
        <v>0</v>
      </c>
      <c r="AF29" s="72">
        <v>0</v>
      </c>
      <c r="AG29" s="72" t="s">
        <v>169</v>
      </c>
      <c r="AH29" s="72">
        <v>0</v>
      </c>
      <c r="AI29" s="72">
        <v>0</v>
      </c>
      <c r="AJ29" s="72">
        <v>0</v>
      </c>
      <c r="AK29" s="72">
        <v>1</v>
      </c>
      <c r="AL29" s="72">
        <v>0</v>
      </c>
      <c r="AM29" s="72">
        <v>0</v>
      </c>
      <c r="AN29" s="72">
        <v>0</v>
      </c>
      <c r="AO29" s="72">
        <v>0</v>
      </c>
      <c r="AP29" s="72">
        <v>0</v>
      </c>
      <c r="AQ29" s="72" t="s">
        <v>166</v>
      </c>
      <c r="AR29" s="72" t="s">
        <v>105</v>
      </c>
      <c r="AS29" s="74" t="s">
        <v>172</v>
      </c>
      <c r="AT29" s="72" t="s">
        <v>83</v>
      </c>
      <c r="AU29" s="73">
        <v>1.49984E-2</v>
      </c>
      <c r="AV29" s="73" t="s">
        <v>97</v>
      </c>
      <c r="AW29" s="72">
        <v>1.8726300000000001E-2</v>
      </c>
      <c r="AX29" s="72">
        <v>0.42299999999999999</v>
      </c>
      <c r="AY29" s="72">
        <v>2</v>
      </c>
      <c r="AZ29" s="76">
        <f t="shared" si="10"/>
        <v>0.80092703844325885</v>
      </c>
      <c r="BA29" s="77">
        <f t="shared" si="11"/>
        <v>1.49984E-2</v>
      </c>
      <c r="BB29" s="72" t="s">
        <v>83</v>
      </c>
      <c r="BC29" s="72" t="s">
        <v>83</v>
      </c>
      <c r="BD29" s="72" t="s">
        <v>83</v>
      </c>
      <c r="BE29" s="72" t="s">
        <v>83</v>
      </c>
      <c r="BF29" s="72" t="s">
        <v>83</v>
      </c>
      <c r="BG29" s="72" t="s">
        <v>83</v>
      </c>
      <c r="BH29" s="72">
        <v>11097</v>
      </c>
      <c r="BI29" s="72">
        <v>50707</v>
      </c>
      <c r="BJ29" s="72" t="s">
        <v>83</v>
      </c>
      <c r="BK29" s="72" t="s">
        <v>83</v>
      </c>
      <c r="BL29" s="72" t="s">
        <v>83</v>
      </c>
      <c r="BM29" s="72" t="s">
        <v>83</v>
      </c>
      <c r="BN29" s="72" t="s">
        <v>83</v>
      </c>
      <c r="BO29" s="72" t="s">
        <v>83</v>
      </c>
      <c r="BP29" s="72" t="s">
        <v>83</v>
      </c>
      <c r="BQ29" s="72" t="s">
        <v>83</v>
      </c>
      <c r="BR29" s="72" t="s">
        <v>83</v>
      </c>
      <c r="BS29" s="72" t="s">
        <v>170</v>
      </c>
      <c r="BT29" s="72">
        <v>0</v>
      </c>
      <c r="BU29" s="72">
        <v>0</v>
      </c>
      <c r="BV29" s="72">
        <v>0</v>
      </c>
      <c r="BW29" s="92">
        <f t="shared" si="21"/>
        <v>7.6028707932805752E-3</v>
      </c>
      <c r="BX29" s="92">
        <f t="shared" si="13"/>
        <v>7.6030172895743906E-3</v>
      </c>
      <c r="BY29" s="92">
        <f t="shared" si="22"/>
        <v>9.0122566389553099E-5</v>
      </c>
      <c r="BZ29" s="92">
        <f t="shared" si="23"/>
        <v>9.0138813773210747E-5</v>
      </c>
      <c r="CA29" s="72" t="s">
        <v>83</v>
      </c>
      <c r="CB29" s="72">
        <f t="shared" si="24"/>
        <v>11095</v>
      </c>
      <c r="CC29" s="72" t="s">
        <v>83</v>
      </c>
      <c r="CD29" s="92">
        <f t="shared" si="25"/>
        <v>3.5567738280625257E-3</v>
      </c>
      <c r="CE29" s="92">
        <f t="shared" si="18"/>
        <v>3.5567888266649305E-3</v>
      </c>
      <c r="CF29" s="92">
        <f t="shared" si="26"/>
        <v>1.9721531965447058E-5</v>
      </c>
      <c r="CG29" s="92">
        <f t="shared" si="27"/>
        <v>1.9722309876932787E-5</v>
      </c>
    </row>
    <row r="30" spans="1:88" s="72" customFormat="1" ht="12.75" customHeight="1" x14ac:dyDescent="0.3">
      <c r="A30" s="72" t="s">
        <v>115</v>
      </c>
      <c r="B30" s="35"/>
      <c r="C30" s="35">
        <v>1557</v>
      </c>
      <c r="D30" s="72">
        <v>513</v>
      </c>
      <c r="E30" s="72" t="s">
        <v>159</v>
      </c>
      <c r="F30" s="72">
        <v>2023</v>
      </c>
      <c r="G30" s="72" t="s">
        <v>160</v>
      </c>
      <c r="H30" s="72" t="s">
        <v>161</v>
      </c>
      <c r="I30" s="72">
        <v>2</v>
      </c>
      <c r="J30" s="72">
        <v>2018</v>
      </c>
      <c r="M30" s="72" t="s">
        <v>162</v>
      </c>
      <c r="N30" s="72" t="s">
        <v>102</v>
      </c>
      <c r="O30" s="72" t="s">
        <v>163</v>
      </c>
      <c r="P30" s="72" t="s">
        <v>87</v>
      </c>
      <c r="Q30" s="72" t="s">
        <v>144</v>
      </c>
      <c r="R30" s="72" t="s">
        <v>109</v>
      </c>
      <c r="S30" s="72">
        <v>0</v>
      </c>
      <c r="T30" s="72" t="s">
        <v>110</v>
      </c>
      <c r="U30" s="72">
        <v>0</v>
      </c>
      <c r="V30" s="72" t="s">
        <v>90</v>
      </c>
      <c r="W30" s="72" t="s">
        <v>95</v>
      </c>
      <c r="X30" s="72" t="s">
        <v>164</v>
      </c>
      <c r="Y30" s="72">
        <v>0</v>
      </c>
      <c r="Z30" s="72">
        <v>1</v>
      </c>
      <c r="AA30" s="72">
        <v>0</v>
      </c>
      <c r="AB30" s="72">
        <v>0</v>
      </c>
      <c r="AC30" s="72">
        <v>0</v>
      </c>
      <c r="AD30" s="72">
        <v>0</v>
      </c>
      <c r="AE30" s="72">
        <v>0</v>
      </c>
      <c r="AF30" s="72">
        <v>0</v>
      </c>
      <c r="AG30" s="72" t="s">
        <v>165</v>
      </c>
      <c r="AH30" s="72">
        <v>0</v>
      </c>
      <c r="AI30" s="72">
        <v>0</v>
      </c>
      <c r="AJ30" s="72">
        <v>1</v>
      </c>
      <c r="AK30" s="72">
        <v>0</v>
      </c>
      <c r="AL30" s="72">
        <v>0</v>
      </c>
      <c r="AM30" s="72">
        <v>0</v>
      </c>
      <c r="AN30" s="72">
        <v>0</v>
      </c>
      <c r="AO30" s="72">
        <v>0</v>
      </c>
      <c r="AP30" s="72">
        <v>0</v>
      </c>
      <c r="AQ30" s="72" t="s">
        <v>166</v>
      </c>
      <c r="AR30" s="72" t="s">
        <v>105</v>
      </c>
      <c r="AS30" s="74" t="s">
        <v>173</v>
      </c>
      <c r="AT30" s="72" t="s">
        <v>83</v>
      </c>
      <c r="AU30" s="75">
        <v>5.1502899999999997E-2</v>
      </c>
      <c r="AV30" s="73" t="s">
        <v>97</v>
      </c>
      <c r="AW30" s="72">
        <v>1.6349700000000002E-2</v>
      </c>
      <c r="AX30" s="72">
        <v>2E-3</v>
      </c>
      <c r="AY30" s="72">
        <v>2</v>
      </c>
      <c r="AZ30" s="76">
        <f t="shared" si="10"/>
        <v>3.150082264506382</v>
      </c>
      <c r="BA30" s="77">
        <f t="shared" si="11"/>
        <v>5.1502899999999997E-2</v>
      </c>
      <c r="BB30" s="72" t="s">
        <v>83</v>
      </c>
      <c r="BC30" s="72" t="s">
        <v>83</v>
      </c>
      <c r="BD30" s="72" t="s">
        <v>83</v>
      </c>
      <c r="BE30" s="72" t="s">
        <v>83</v>
      </c>
      <c r="BF30" s="72" t="s">
        <v>83</v>
      </c>
      <c r="BG30" s="72" t="s">
        <v>83</v>
      </c>
      <c r="BH30" s="72">
        <v>9418</v>
      </c>
      <c r="BI30" s="72">
        <v>50707</v>
      </c>
      <c r="BJ30" s="72" t="s">
        <v>83</v>
      </c>
      <c r="BK30" s="72" t="s">
        <v>83</v>
      </c>
      <c r="BL30" s="72" t="s">
        <v>83</v>
      </c>
      <c r="BM30" s="72" t="s">
        <v>83</v>
      </c>
      <c r="BN30" s="72" t="s">
        <v>83</v>
      </c>
      <c r="BO30" s="72" t="s">
        <v>83</v>
      </c>
      <c r="BP30" s="72" t="s">
        <v>83</v>
      </c>
      <c r="BQ30" s="72" t="s">
        <v>83</v>
      </c>
      <c r="BR30" s="72" t="s">
        <v>83</v>
      </c>
      <c r="BS30" s="72" t="s">
        <v>83</v>
      </c>
      <c r="BT30" s="72">
        <v>0</v>
      </c>
      <c r="BU30" s="72">
        <v>0</v>
      </c>
      <c r="BV30" s="72">
        <v>0</v>
      </c>
      <c r="BW30" s="92">
        <f t="shared" si="21"/>
        <v>3.2442467757560461E-2</v>
      </c>
      <c r="BX30" s="92">
        <f t="shared" si="13"/>
        <v>3.2453856998237808E-2</v>
      </c>
      <c r="BY30" s="92">
        <f t="shared" si="22"/>
        <v>1.06190813492457E-4</v>
      </c>
      <c r="BZ30" s="92">
        <f t="shared" si="23"/>
        <v>1.0621348911311737E-4</v>
      </c>
      <c r="CA30" s="72" t="s">
        <v>83</v>
      </c>
      <c r="CB30" s="72">
        <f t="shared" si="24"/>
        <v>9416</v>
      </c>
      <c r="CC30" s="72" t="s">
        <v>83</v>
      </c>
      <c r="CD30" s="92">
        <f t="shared" si="25"/>
        <v>1.3987672228354283E-2</v>
      </c>
      <c r="CE30" s="92">
        <f t="shared" si="18"/>
        <v>1.3988584588011709E-2</v>
      </c>
      <c r="CF30" s="92">
        <f t="shared" si="26"/>
        <v>1.9721531213448947E-5</v>
      </c>
      <c r="CG30" s="92">
        <f t="shared" si="27"/>
        <v>1.9722309876932787E-5</v>
      </c>
    </row>
    <row r="31" spans="1:88" s="72" customFormat="1" ht="12.75" customHeight="1" x14ac:dyDescent="0.3">
      <c r="A31" s="72" t="s">
        <v>115</v>
      </c>
      <c r="B31" s="35"/>
      <c r="C31" s="35">
        <v>1558</v>
      </c>
      <c r="D31" s="72">
        <v>513</v>
      </c>
      <c r="E31" s="72" t="s">
        <v>159</v>
      </c>
      <c r="F31" s="72">
        <v>2023</v>
      </c>
      <c r="G31" s="72" t="s">
        <v>160</v>
      </c>
      <c r="H31" s="72" t="s">
        <v>161</v>
      </c>
      <c r="I31" s="72">
        <v>2</v>
      </c>
      <c r="J31" s="72">
        <v>2018</v>
      </c>
      <c r="M31" s="72" t="s">
        <v>162</v>
      </c>
      <c r="N31" s="72" t="s">
        <v>102</v>
      </c>
      <c r="O31" s="72" t="s">
        <v>163</v>
      </c>
      <c r="P31" s="72" t="s">
        <v>87</v>
      </c>
      <c r="Q31" s="72" t="s">
        <v>144</v>
      </c>
      <c r="R31" s="72" t="s">
        <v>109</v>
      </c>
      <c r="S31" s="72">
        <v>0</v>
      </c>
      <c r="T31" s="72" t="s">
        <v>110</v>
      </c>
      <c r="U31" s="72">
        <v>0</v>
      </c>
      <c r="V31" s="72" t="s">
        <v>90</v>
      </c>
      <c r="W31" s="72" t="s">
        <v>95</v>
      </c>
      <c r="X31" s="72" t="s">
        <v>164</v>
      </c>
      <c r="Y31" s="72">
        <v>0</v>
      </c>
      <c r="Z31" s="72">
        <v>1</v>
      </c>
      <c r="AA31" s="72">
        <v>0</v>
      </c>
      <c r="AB31" s="72">
        <v>0</v>
      </c>
      <c r="AC31" s="72">
        <v>0</v>
      </c>
      <c r="AD31" s="72">
        <v>0</v>
      </c>
      <c r="AE31" s="72">
        <v>0</v>
      </c>
      <c r="AF31" s="72">
        <v>0</v>
      </c>
      <c r="AG31" s="72" t="s">
        <v>165</v>
      </c>
      <c r="AH31" s="72">
        <v>0</v>
      </c>
      <c r="AI31" s="72">
        <v>0</v>
      </c>
      <c r="AJ31" s="72">
        <v>1</v>
      </c>
      <c r="AK31" s="72">
        <v>0</v>
      </c>
      <c r="AL31" s="72">
        <v>0</v>
      </c>
      <c r="AM31" s="72">
        <v>0</v>
      </c>
      <c r="AN31" s="72">
        <v>0</v>
      </c>
      <c r="AO31" s="72">
        <v>0</v>
      </c>
      <c r="AP31" s="72">
        <v>0</v>
      </c>
      <c r="AQ31" s="72" t="s">
        <v>166</v>
      </c>
      <c r="AR31" s="72" t="s">
        <v>105</v>
      </c>
      <c r="AS31" s="74" t="s">
        <v>174</v>
      </c>
      <c r="AT31" s="72" t="s">
        <v>83</v>
      </c>
      <c r="AU31" s="75">
        <v>2.5043900000000001E-2</v>
      </c>
      <c r="AV31" s="73" t="s">
        <v>91</v>
      </c>
      <c r="AW31" s="72">
        <v>1.3905499999999999E-2</v>
      </c>
      <c r="AX31" s="72">
        <v>7.1999999999999995E-2</v>
      </c>
      <c r="AY31" s="72">
        <v>2</v>
      </c>
      <c r="AZ31" s="76">
        <f t="shared" si="10"/>
        <v>1.801006795872137</v>
      </c>
      <c r="BA31" s="77">
        <f t="shared" si="11"/>
        <v>2.5043900000000001E-2</v>
      </c>
      <c r="BB31" s="72" t="s">
        <v>83</v>
      </c>
      <c r="BC31" s="72" t="s">
        <v>83</v>
      </c>
      <c r="BD31" s="72" t="s">
        <v>83</v>
      </c>
      <c r="BE31" s="72" t="s">
        <v>83</v>
      </c>
      <c r="BF31" s="72" t="s">
        <v>83</v>
      </c>
      <c r="BG31" s="72" t="s">
        <v>83</v>
      </c>
      <c r="BH31" s="72">
        <v>9418</v>
      </c>
      <c r="BI31" s="72">
        <v>50707</v>
      </c>
      <c r="BJ31" s="72" t="s">
        <v>83</v>
      </c>
      <c r="BK31" s="72" t="s">
        <v>83</v>
      </c>
      <c r="BL31" s="72" t="s">
        <v>83</v>
      </c>
      <c r="BM31" s="72" t="s">
        <v>83</v>
      </c>
      <c r="BN31" s="72" t="s">
        <v>83</v>
      </c>
      <c r="BO31" s="72" t="s">
        <v>83</v>
      </c>
      <c r="BP31" s="72" t="s">
        <v>83</v>
      </c>
      <c r="BQ31" s="72" t="s">
        <v>83</v>
      </c>
      <c r="BR31" s="72" t="s">
        <v>83</v>
      </c>
      <c r="BS31" s="72" t="s">
        <v>83</v>
      </c>
      <c r="BT31" s="72">
        <v>0</v>
      </c>
      <c r="BU31" s="72">
        <v>0</v>
      </c>
      <c r="BV31" s="72">
        <v>0</v>
      </c>
      <c r="BW31" s="92">
        <f t="shared" si="21"/>
        <v>1.8555011778184017E-2</v>
      </c>
      <c r="BX31" s="92">
        <f t="shared" si="13"/>
        <v>1.8557141643663934E-2</v>
      </c>
      <c r="BY31" s="92">
        <f t="shared" si="22"/>
        <v>1.0619091870139331E-4</v>
      </c>
      <c r="BZ31" s="92">
        <f t="shared" si="23"/>
        <v>1.0621348911311737E-4</v>
      </c>
      <c r="CA31" s="72" t="s">
        <v>83</v>
      </c>
      <c r="CB31" s="72">
        <f t="shared" si="24"/>
        <v>9416</v>
      </c>
      <c r="CC31" s="72" t="s">
        <v>83</v>
      </c>
      <c r="CD31" s="92">
        <f t="shared" si="25"/>
        <v>7.9977440808857558E-3</v>
      </c>
      <c r="CE31" s="92">
        <f t="shared" si="18"/>
        <v>7.9979146097589639E-3</v>
      </c>
      <c r="CF31" s="92">
        <f t="shared" si="26"/>
        <v>1.972153188790812E-5</v>
      </c>
      <c r="CG31" s="92">
        <f t="shared" si="27"/>
        <v>1.9722309876932787E-5</v>
      </c>
    </row>
    <row r="32" spans="1:88" s="72" customFormat="1" ht="12.75" customHeight="1" x14ac:dyDescent="0.3">
      <c r="A32" s="72" t="s">
        <v>115</v>
      </c>
      <c r="B32" s="35"/>
      <c r="C32" s="35">
        <v>1560</v>
      </c>
      <c r="D32" s="72">
        <v>513</v>
      </c>
      <c r="E32" s="72" t="s">
        <v>159</v>
      </c>
      <c r="F32" s="72">
        <v>2023</v>
      </c>
      <c r="G32" s="72" t="s">
        <v>160</v>
      </c>
      <c r="H32" s="72" t="s">
        <v>161</v>
      </c>
      <c r="I32" s="72">
        <v>2</v>
      </c>
      <c r="J32" s="72">
        <v>2018</v>
      </c>
      <c r="M32" s="72" t="s">
        <v>162</v>
      </c>
      <c r="N32" s="72" t="s">
        <v>102</v>
      </c>
      <c r="O32" s="72" t="s">
        <v>163</v>
      </c>
      <c r="P32" s="72" t="s">
        <v>87</v>
      </c>
      <c r="Q32" s="72" t="s">
        <v>144</v>
      </c>
      <c r="R32" s="72" t="s">
        <v>109</v>
      </c>
      <c r="S32" s="72">
        <v>0</v>
      </c>
      <c r="T32" s="72" t="s">
        <v>110</v>
      </c>
      <c r="U32" s="72">
        <v>0</v>
      </c>
      <c r="V32" s="72" t="s">
        <v>90</v>
      </c>
      <c r="W32" s="72" t="s">
        <v>95</v>
      </c>
      <c r="X32" s="72" t="s">
        <v>164</v>
      </c>
      <c r="Y32" s="72">
        <v>0</v>
      </c>
      <c r="Z32" s="72">
        <v>1</v>
      </c>
      <c r="AA32" s="72">
        <v>1</v>
      </c>
      <c r="AB32" s="72">
        <v>0</v>
      </c>
      <c r="AC32" s="72">
        <v>0</v>
      </c>
      <c r="AD32" s="72">
        <v>0</v>
      </c>
      <c r="AE32" s="72">
        <v>0</v>
      </c>
      <c r="AF32" s="72">
        <v>0</v>
      </c>
      <c r="AG32" s="72" t="s">
        <v>169</v>
      </c>
      <c r="AH32" s="72">
        <v>0</v>
      </c>
      <c r="AI32" s="72">
        <v>0</v>
      </c>
      <c r="AJ32" s="72">
        <v>1</v>
      </c>
      <c r="AK32" s="72">
        <v>0</v>
      </c>
      <c r="AL32" s="72">
        <v>0</v>
      </c>
      <c r="AM32" s="72">
        <v>0</v>
      </c>
      <c r="AN32" s="72">
        <v>0</v>
      </c>
      <c r="AO32" s="72">
        <v>0</v>
      </c>
      <c r="AP32" s="72">
        <v>0</v>
      </c>
      <c r="AQ32" s="72" t="s">
        <v>166</v>
      </c>
      <c r="AR32" s="72" t="s">
        <v>105</v>
      </c>
      <c r="AS32" s="74" t="s">
        <v>173</v>
      </c>
      <c r="AT32" s="72" t="s">
        <v>83</v>
      </c>
      <c r="AU32" s="75">
        <v>2.91352E-2</v>
      </c>
      <c r="AV32" s="73" t="s">
        <v>97</v>
      </c>
      <c r="AW32" s="72">
        <v>1.6782399999999999E-2</v>
      </c>
      <c r="AX32" s="72">
        <v>8.3000000000000004E-2</v>
      </c>
      <c r="AY32" s="72">
        <v>2</v>
      </c>
      <c r="AZ32" s="76">
        <f t="shared" si="10"/>
        <v>1.7360568214319765</v>
      </c>
      <c r="BA32" s="77">
        <f t="shared" si="11"/>
        <v>2.91352E-2</v>
      </c>
      <c r="BB32" s="72" t="s">
        <v>83</v>
      </c>
      <c r="BC32" s="72" t="s">
        <v>83</v>
      </c>
      <c r="BD32" s="72" t="s">
        <v>83</v>
      </c>
      <c r="BE32" s="72" t="s">
        <v>83</v>
      </c>
      <c r="BF32" s="72" t="s">
        <v>83</v>
      </c>
      <c r="BG32" s="72" t="s">
        <v>83</v>
      </c>
      <c r="BH32" s="72">
        <v>9418</v>
      </c>
      <c r="BI32" s="72">
        <v>50707</v>
      </c>
      <c r="BJ32" s="91" t="s">
        <v>83</v>
      </c>
      <c r="BK32" s="91" t="s">
        <v>83</v>
      </c>
      <c r="BL32" s="91" t="s">
        <v>83</v>
      </c>
      <c r="BM32" s="91" t="s">
        <v>83</v>
      </c>
      <c r="BN32" s="91" t="s">
        <v>83</v>
      </c>
      <c r="BO32" s="72" t="s">
        <v>83</v>
      </c>
      <c r="BP32" s="72" t="s">
        <v>83</v>
      </c>
      <c r="BQ32" s="72" t="s">
        <v>83</v>
      </c>
      <c r="BR32" s="72" t="s">
        <v>83</v>
      </c>
      <c r="BS32" s="91" t="s">
        <v>170</v>
      </c>
      <c r="BT32" s="91">
        <v>0</v>
      </c>
      <c r="BU32" s="91">
        <v>0</v>
      </c>
      <c r="BV32" s="91">
        <v>0</v>
      </c>
      <c r="BW32" s="92">
        <f t="shared" si="21"/>
        <v>1.7886077716969526E-2</v>
      </c>
      <c r="BX32" s="92">
        <f t="shared" si="13"/>
        <v>1.788798540545471E-2</v>
      </c>
      <c r="BY32" s="92">
        <f t="shared" si="22"/>
        <v>1.0619092042187381E-4</v>
      </c>
      <c r="BZ32" s="92">
        <f t="shared" si="23"/>
        <v>1.0621348911311737E-4</v>
      </c>
      <c r="CA32" s="72" t="s">
        <v>83</v>
      </c>
      <c r="CB32" s="72">
        <f t="shared" si="24"/>
        <v>9416</v>
      </c>
      <c r="CC32" s="72" t="s">
        <v>83</v>
      </c>
      <c r="CD32" s="92">
        <f t="shared" si="25"/>
        <v>7.7093377160609849E-3</v>
      </c>
      <c r="CE32" s="92">
        <f t="shared" si="18"/>
        <v>7.7094904534792423E-3</v>
      </c>
      <c r="CF32" s="92">
        <f t="shared" si="26"/>
        <v>1.9721531898933718E-5</v>
      </c>
      <c r="CG32" s="92">
        <f t="shared" si="27"/>
        <v>1.9722309876932787E-5</v>
      </c>
    </row>
    <row r="33" spans="1:85" s="72" customFormat="1" ht="12.75" customHeight="1" x14ac:dyDescent="0.3">
      <c r="A33" s="72" t="s">
        <v>115</v>
      </c>
      <c r="B33" s="35"/>
      <c r="C33" s="35">
        <v>1561</v>
      </c>
      <c r="D33" s="72">
        <v>513</v>
      </c>
      <c r="E33" s="72" t="s">
        <v>159</v>
      </c>
      <c r="F33" s="72">
        <v>2023</v>
      </c>
      <c r="G33" s="72" t="s">
        <v>160</v>
      </c>
      <c r="H33" s="72" t="s">
        <v>161</v>
      </c>
      <c r="I33" s="72">
        <v>2</v>
      </c>
      <c r="J33" s="72">
        <v>2018</v>
      </c>
      <c r="M33" s="72" t="s">
        <v>162</v>
      </c>
      <c r="N33" s="72" t="s">
        <v>102</v>
      </c>
      <c r="O33" s="72" t="s">
        <v>163</v>
      </c>
      <c r="P33" s="72" t="s">
        <v>87</v>
      </c>
      <c r="Q33" s="72" t="s">
        <v>144</v>
      </c>
      <c r="R33" s="72" t="s">
        <v>109</v>
      </c>
      <c r="S33" s="72">
        <v>0</v>
      </c>
      <c r="T33" s="72" t="s">
        <v>110</v>
      </c>
      <c r="U33" s="72">
        <v>0</v>
      </c>
      <c r="V33" s="72" t="s">
        <v>90</v>
      </c>
      <c r="W33" s="72" t="s">
        <v>95</v>
      </c>
      <c r="X33" s="72" t="s">
        <v>164</v>
      </c>
      <c r="Y33" s="72">
        <v>0</v>
      </c>
      <c r="Z33" s="72">
        <v>1</v>
      </c>
      <c r="AA33" s="72">
        <v>1</v>
      </c>
      <c r="AB33" s="72">
        <v>0</v>
      </c>
      <c r="AC33" s="72">
        <v>0</v>
      </c>
      <c r="AD33" s="72">
        <v>0</v>
      </c>
      <c r="AE33" s="72">
        <v>0</v>
      </c>
      <c r="AF33" s="72">
        <v>0</v>
      </c>
      <c r="AG33" s="72" t="s">
        <v>169</v>
      </c>
      <c r="AH33" s="72">
        <v>0</v>
      </c>
      <c r="AI33" s="72">
        <v>0</v>
      </c>
      <c r="AJ33" s="72">
        <v>1</v>
      </c>
      <c r="AK33" s="72">
        <v>0</v>
      </c>
      <c r="AL33" s="72">
        <v>0</v>
      </c>
      <c r="AM33" s="72">
        <v>0</v>
      </c>
      <c r="AN33" s="72">
        <v>0</v>
      </c>
      <c r="AO33" s="72">
        <v>0</v>
      </c>
      <c r="AP33" s="72">
        <v>0</v>
      </c>
      <c r="AQ33" s="72" t="s">
        <v>166</v>
      </c>
      <c r="AR33" s="72" t="s">
        <v>105</v>
      </c>
      <c r="AS33" s="74" t="s">
        <v>174</v>
      </c>
      <c r="AT33" s="72" t="s">
        <v>83</v>
      </c>
      <c r="AU33" s="73">
        <v>3.2163400000000002E-2</v>
      </c>
      <c r="AV33" s="73" t="s">
        <v>91</v>
      </c>
      <c r="AW33" s="72">
        <v>1.45335E-2</v>
      </c>
      <c r="AX33" s="72">
        <v>2.7E-2</v>
      </c>
      <c r="AY33" s="72">
        <v>2</v>
      </c>
      <c r="AZ33" s="76">
        <f t="shared" si="10"/>
        <v>2.2130526026077684</v>
      </c>
      <c r="BA33" s="77">
        <f t="shared" si="11"/>
        <v>3.2163400000000002E-2</v>
      </c>
      <c r="BB33" s="72" t="s">
        <v>83</v>
      </c>
      <c r="BC33" s="72" t="s">
        <v>83</v>
      </c>
      <c r="BD33" s="72" t="s">
        <v>83</v>
      </c>
      <c r="BE33" s="72" t="s">
        <v>83</v>
      </c>
      <c r="BF33" s="72" t="s">
        <v>83</v>
      </c>
      <c r="BG33" s="72" t="s">
        <v>83</v>
      </c>
      <c r="BH33" s="72">
        <v>9418</v>
      </c>
      <c r="BI33" s="72">
        <v>50707</v>
      </c>
      <c r="BJ33" s="91" t="s">
        <v>83</v>
      </c>
      <c r="BK33" s="91" t="s">
        <v>83</v>
      </c>
      <c r="BL33" s="91" t="s">
        <v>83</v>
      </c>
      <c r="BM33" s="91" t="s">
        <v>83</v>
      </c>
      <c r="BN33" s="91" t="s">
        <v>83</v>
      </c>
      <c r="BO33" s="72" t="s">
        <v>83</v>
      </c>
      <c r="BP33" s="72" t="s">
        <v>83</v>
      </c>
      <c r="BQ33" s="72" t="s">
        <v>83</v>
      </c>
      <c r="BR33" s="72" t="s">
        <v>83</v>
      </c>
      <c r="BS33" s="91" t="s">
        <v>170</v>
      </c>
      <c r="BT33" s="91">
        <v>0</v>
      </c>
      <c r="BU33" s="91">
        <v>0</v>
      </c>
      <c r="BV33" s="91">
        <v>0</v>
      </c>
      <c r="BW33" s="92">
        <f t="shared" si="21"/>
        <v>2.279814445121698E-2</v>
      </c>
      <c r="BX33" s="92">
        <f t="shared" si="13"/>
        <v>2.2802095502928464E-2</v>
      </c>
      <c r="BY33" s="92">
        <f t="shared" si="22"/>
        <v>1.0619090258755592E-4</v>
      </c>
      <c r="BZ33" s="92">
        <f t="shared" si="23"/>
        <v>1.0621348911311737E-4</v>
      </c>
      <c r="CA33" s="72" t="s">
        <v>83</v>
      </c>
      <c r="CB33" s="72">
        <f t="shared" si="24"/>
        <v>9416</v>
      </c>
      <c r="CC33" s="72" t="s">
        <v>83</v>
      </c>
      <c r="CD33" s="92">
        <f t="shared" si="25"/>
        <v>9.8273586510711879E-3</v>
      </c>
      <c r="CE33" s="92">
        <f t="shared" si="18"/>
        <v>9.8276750349381402E-3</v>
      </c>
      <c r="CF33" s="92">
        <f t="shared" si="26"/>
        <v>1.9721531784634682E-5</v>
      </c>
      <c r="CG33" s="92">
        <f t="shared" si="27"/>
        <v>1.9722309876932787E-5</v>
      </c>
    </row>
    <row r="34" spans="1:85" s="72" customFormat="1" ht="12.75" customHeight="1" x14ac:dyDescent="0.3">
      <c r="A34" s="72" t="s">
        <v>115</v>
      </c>
      <c r="B34" s="35"/>
      <c r="C34" s="35">
        <v>1565</v>
      </c>
      <c r="D34" s="72">
        <v>513</v>
      </c>
      <c r="E34" s="72" t="s">
        <v>159</v>
      </c>
      <c r="F34" s="72">
        <v>2023</v>
      </c>
      <c r="G34" s="72" t="s">
        <v>160</v>
      </c>
      <c r="H34" s="72" t="s">
        <v>161</v>
      </c>
      <c r="I34" s="72">
        <v>2</v>
      </c>
      <c r="J34" s="72">
        <v>2018</v>
      </c>
      <c r="M34" s="72" t="s">
        <v>162</v>
      </c>
      <c r="N34" s="72" t="s">
        <v>102</v>
      </c>
      <c r="O34" s="72" t="s">
        <v>163</v>
      </c>
      <c r="P34" s="72" t="s">
        <v>87</v>
      </c>
      <c r="Q34" s="72" t="s">
        <v>144</v>
      </c>
      <c r="R34" s="72" t="s">
        <v>109</v>
      </c>
      <c r="S34" s="72">
        <v>0</v>
      </c>
      <c r="T34" s="72" t="s">
        <v>110</v>
      </c>
      <c r="U34" s="72">
        <v>0</v>
      </c>
      <c r="V34" s="72" t="s">
        <v>90</v>
      </c>
      <c r="W34" s="72" t="s">
        <v>95</v>
      </c>
      <c r="X34" s="72" t="s">
        <v>164</v>
      </c>
      <c r="Y34" s="72">
        <v>0</v>
      </c>
      <c r="Z34" s="72">
        <v>1</v>
      </c>
      <c r="AA34" s="72">
        <v>0</v>
      </c>
      <c r="AB34" s="72">
        <v>0</v>
      </c>
      <c r="AC34" s="72">
        <v>0</v>
      </c>
      <c r="AD34" s="72">
        <v>0</v>
      </c>
      <c r="AE34" s="72">
        <v>0</v>
      </c>
      <c r="AF34" s="72">
        <v>0</v>
      </c>
      <c r="AG34" s="72" t="s">
        <v>165</v>
      </c>
      <c r="AH34" s="72">
        <v>0</v>
      </c>
      <c r="AI34" s="72">
        <v>1</v>
      </c>
      <c r="AJ34" s="72">
        <v>0</v>
      </c>
      <c r="AK34" s="72">
        <v>0</v>
      </c>
      <c r="AL34" s="72">
        <v>0</v>
      </c>
      <c r="AM34" s="72">
        <v>0</v>
      </c>
      <c r="AN34" s="72">
        <v>0</v>
      </c>
      <c r="AO34" s="72">
        <v>0</v>
      </c>
      <c r="AP34" s="72">
        <v>0</v>
      </c>
      <c r="AQ34" s="72" t="s">
        <v>166</v>
      </c>
      <c r="AR34" s="72" t="s">
        <v>105</v>
      </c>
      <c r="AS34" s="74" t="s">
        <v>175</v>
      </c>
      <c r="AT34" s="72" t="s">
        <v>83</v>
      </c>
      <c r="AU34" s="75">
        <v>1.0926399999999999E-2</v>
      </c>
      <c r="AV34" s="73" t="s">
        <v>91</v>
      </c>
      <c r="AW34" s="72">
        <v>2.6695699999999999E-2</v>
      </c>
      <c r="AX34" s="72">
        <v>0.68200000000000005</v>
      </c>
      <c r="AY34" s="72">
        <v>2</v>
      </c>
      <c r="AZ34" s="76">
        <f t="shared" si="10"/>
        <v>0.40929438074296609</v>
      </c>
      <c r="BA34" s="77">
        <f t="shared" si="11"/>
        <v>1.0926399999999999E-2</v>
      </c>
      <c r="BB34" s="72" t="s">
        <v>83</v>
      </c>
      <c r="BC34" s="72" t="s">
        <v>83</v>
      </c>
      <c r="BD34" s="72" t="s">
        <v>83</v>
      </c>
      <c r="BE34" s="72" t="s">
        <v>83</v>
      </c>
      <c r="BF34" s="72" t="s">
        <v>83</v>
      </c>
      <c r="BG34" s="72" t="s">
        <v>83</v>
      </c>
      <c r="BH34" s="72">
        <v>5881</v>
      </c>
      <c r="BI34" s="72">
        <v>50707</v>
      </c>
      <c r="BJ34" s="72" t="s">
        <v>83</v>
      </c>
      <c r="BK34" s="72" t="s">
        <v>83</v>
      </c>
      <c r="BL34" s="72" t="s">
        <v>83</v>
      </c>
      <c r="BM34" s="72" t="s">
        <v>83</v>
      </c>
      <c r="BN34" s="72" t="s">
        <v>83</v>
      </c>
      <c r="BO34" s="72" t="s">
        <v>83</v>
      </c>
      <c r="BP34" s="72" t="s">
        <v>83</v>
      </c>
      <c r="BQ34" s="72" t="s">
        <v>83</v>
      </c>
      <c r="BR34" s="72" t="s">
        <v>83</v>
      </c>
      <c r="BS34" s="72" t="s">
        <v>83</v>
      </c>
      <c r="BT34" s="72">
        <v>0</v>
      </c>
      <c r="BU34" s="72">
        <v>0</v>
      </c>
      <c r="BV34" s="72">
        <v>0</v>
      </c>
      <c r="BW34" s="92">
        <f t="shared" si="21"/>
        <v>5.3370836178041432E-3</v>
      </c>
      <c r="BX34" s="92">
        <f t="shared" ref="BX34:BX43" si="28">0.5*LN((1+BW34)/(1-BW34))</f>
        <v>5.3371342933212678E-3</v>
      </c>
      <c r="BY34" s="92">
        <f t="shared" si="22"/>
        <v>1.7006802707289194E-4</v>
      </c>
      <c r="BZ34" s="92">
        <f t="shared" si="23"/>
        <v>1.7012589316093909E-4</v>
      </c>
      <c r="CA34" s="72" t="s">
        <v>83</v>
      </c>
      <c r="CB34" s="72">
        <f t="shared" si="24"/>
        <v>5879</v>
      </c>
      <c r="CC34" s="72" t="s">
        <v>83</v>
      </c>
      <c r="CD34" s="92">
        <f t="shared" si="25"/>
        <v>1.8176116862984547E-3</v>
      </c>
      <c r="CE34" s="92">
        <f t="shared" ref="CE34:CE43" si="29">0.5*LN((1+CD34)/(1-CD34))</f>
        <v>1.817613687924405E-3</v>
      </c>
      <c r="CF34" s="92">
        <f t="shared" si="26"/>
        <v>1.9721531968388068E-5</v>
      </c>
      <c r="CG34" s="92">
        <f t="shared" si="27"/>
        <v>1.9722309876932787E-5</v>
      </c>
    </row>
    <row r="35" spans="1:85" s="72" customFormat="1" ht="12.75" customHeight="1" x14ac:dyDescent="0.3">
      <c r="A35" s="72" t="s">
        <v>115</v>
      </c>
      <c r="B35" s="35"/>
      <c r="C35" s="35">
        <v>1566</v>
      </c>
      <c r="D35" s="72">
        <v>513</v>
      </c>
      <c r="E35" s="72" t="s">
        <v>159</v>
      </c>
      <c r="F35" s="72">
        <v>2023</v>
      </c>
      <c r="G35" s="72" t="s">
        <v>160</v>
      </c>
      <c r="H35" s="72" t="s">
        <v>161</v>
      </c>
      <c r="I35" s="72">
        <v>2</v>
      </c>
      <c r="J35" s="72">
        <v>2018</v>
      </c>
      <c r="M35" s="72" t="s">
        <v>162</v>
      </c>
      <c r="N35" s="72" t="s">
        <v>102</v>
      </c>
      <c r="O35" s="72" t="s">
        <v>163</v>
      </c>
      <c r="P35" s="72" t="s">
        <v>87</v>
      </c>
      <c r="Q35" s="72" t="s">
        <v>144</v>
      </c>
      <c r="R35" s="72" t="s">
        <v>109</v>
      </c>
      <c r="S35" s="72">
        <v>0</v>
      </c>
      <c r="T35" s="72" t="s">
        <v>110</v>
      </c>
      <c r="U35" s="72">
        <v>0</v>
      </c>
      <c r="V35" s="72" t="s">
        <v>90</v>
      </c>
      <c r="W35" s="72" t="s">
        <v>95</v>
      </c>
      <c r="X35" s="72" t="s">
        <v>164</v>
      </c>
      <c r="Y35" s="72">
        <v>0</v>
      </c>
      <c r="Z35" s="72">
        <v>1</v>
      </c>
      <c r="AA35" s="72">
        <v>0</v>
      </c>
      <c r="AB35" s="72">
        <v>0</v>
      </c>
      <c r="AC35" s="72">
        <v>0</v>
      </c>
      <c r="AD35" s="72">
        <v>0</v>
      </c>
      <c r="AE35" s="72">
        <v>0</v>
      </c>
      <c r="AF35" s="72">
        <v>0</v>
      </c>
      <c r="AG35" s="72" t="s">
        <v>165</v>
      </c>
      <c r="AH35" s="72">
        <v>0</v>
      </c>
      <c r="AI35" s="72">
        <v>1</v>
      </c>
      <c r="AJ35" s="72">
        <v>0</v>
      </c>
      <c r="AK35" s="72">
        <v>0</v>
      </c>
      <c r="AL35" s="72">
        <v>0</v>
      </c>
      <c r="AM35" s="72">
        <v>0</v>
      </c>
      <c r="AN35" s="72">
        <v>0</v>
      </c>
      <c r="AO35" s="72">
        <v>0</v>
      </c>
      <c r="AP35" s="72">
        <v>0</v>
      </c>
      <c r="AQ35" s="72" t="s">
        <v>166</v>
      </c>
      <c r="AR35" s="72" t="s">
        <v>105</v>
      </c>
      <c r="AS35" s="74" t="s">
        <v>176</v>
      </c>
      <c r="AT35" s="72" t="s">
        <v>83</v>
      </c>
      <c r="AU35" s="75">
        <v>2.88291E-2</v>
      </c>
      <c r="AV35" s="73" t="s">
        <v>91</v>
      </c>
      <c r="AW35" s="72">
        <v>2.0749500000000001E-2</v>
      </c>
      <c r="AX35" s="72">
        <v>0.16500000000000001</v>
      </c>
      <c r="AY35" s="72">
        <v>2</v>
      </c>
      <c r="AZ35" s="76">
        <f t="shared" si="10"/>
        <v>1.3893876960890623</v>
      </c>
      <c r="BA35" s="77">
        <f t="shared" si="11"/>
        <v>2.88291E-2</v>
      </c>
      <c r="BB35" s="72" t="s">
        <v>83</v>
      </c>
      <c r="BC35" s="72" t="s">
        <v>83</v>
      </c>
      <c r="BD35" s="72" t="s">
        <v>83</v>
      </c>
      <c r="BE35" s="72" t="s">
        <v>83</v>
      </c>
      <c r="BF35" s="72" t="s">
        <v>83</v>
      </c>
      <c r="BG35" s="72" t="s">
        <v>83</v>
      </c>
      <c r="BH35" s="72">
        <v>5881</v>
      </c>
      <c r="BI35" s="72">
        <v>50707</v>
      </c>
      <c r="BJ35" s="72" t="s">
        <v>83</v>
      </c>
      <c r="BK35" s="72" t="s">
        <v>83</v>
      </c>
      <c r="BL35" s="72" t="s">
        <v>83</v>
      </c>
      <c r="BM35" s="72" t="s">
        <v>83</v>
      </c>
      <c r="BN35" s="72" t="s">
        <v>83</v>
      </c>
      <c r="BO35" s="72" t="s">
        <v>83</v>
      </c>
      <c r="BP35" s="72" t="s">
        <v>83</v>
      </c>
      <c r="BQ35" s="72" t="s">
        <v>83</v>
      </c>
      <c r="BR35" s="72" t="s">
        <v>83</v>
      </c>
      <c r="BS35" s="72" t="s">
        <v>83</v>
      </c>
      <c r="BT35" s="72">
        <v>0</v>
      </c>
      <c r="BU35" s="72">
        <v>0</v>
      </c>
      <c r="BV35" s="72">
        <v>0</v>
      </c>
      <c r="BW35" s="92">
        <f t="shared" si="21"/>
        <v>1.8114510112228744E-2</v>
      </c>
      <c r="BX35" s="92">
        <f t="shared" si="28"/>
        <v>1.8116491840211527E-2</v>
      </c>
      <c r="BY35" s="92">
        <f t="shared" si="22"/>
        <v>1.7006800889115365E-4</v>
      </c>
      <c r="BZ35" s="92">
        <f t="shared" si="23"/>
        <v>1.7012589316093909E-4</v>
      </c>
      <c r="CA35" s="72" t="s">
        <v>83</v>
      </c>
      <c r="CB35" s="72">
        <f t="shared" si="24"/>
        <v>5879</v>
      </c>
      <c r="CC35" s="72" t="s">
        <v>83</v>
      </c>
      <c r="CD35" s="92">
        <f t="shared" si="25"/>
        <v>6.1699440181368784E-3</v>
      </c>
      <c r="CE35" s="92">
        <f t="shared" si="29"/>
        <v>6.170022312831736E-3</v>
      </c>
      <c r="CF35" s="92">
        <f t="shared" si="26"/>
        <v>1.972153194002165E-5</v>
      </c>
      <c r="CG35" s="92">
        <f t="shared" si="27"/>
        <v>1.9722309876932787E-5</v>
      </c>
    </row>
    <row r="36" spans="1:85" s="72" customFormat="1" ht="12.75" customHeight="1" x14ac:dyDescent="0.3">
      <c r="A36" s="72" t="s">
        <v>115</v>
      </c>
      <c r="B36" s="35"/>
      <c r="C36" s="35">
        <v>1570</v>
      </c>
      <c r="D36" s="72">
        <v>513</v>
      </c>
      <c r="E36" s="72" t="s">
        <v>159</v>
      </c>
      <c r="F36" s="72">
        <v>2023</v>
      </c>
      <c r="G36" s="72" t="s">
        <v>160</v>
      </c>
      <c r="H36" s="72" t="s">
        <v>161</v>
      </c>
      <c r="I36" s="72">
        <v>2</v>
      </c>
      <c r="J36" s="72">
        <v>2018</v>
      </c>
      <c r="M36" s="72" t="s">
        <v>162</v>
      </c>
      <c r="N36" s="72" t="s">
        <v>102</v>
      </c>
      <c r="O36" s="72" t="s">
        <v>163</v>
      </c>
      <c r="P36" s="72" t="s">
        <v>87</v>
      </c>
      <c r="Q36" s="72" t="s">
        <v>144</v>
      </c>
      <c r="R36" s="72" t="s">
        <v>109</v>
      </c>
      <c r="S36" s="72">
        <v>0</v>
      </c>
      <c r="T36" s="72" t="s">
        <v>110</v>
      </c>
      <c r="U36" s="72">
        <v>0</v>
      </c>
      <c r="V36" s="72" t="s">
        <v>90</v>
      </c>
      <c r="W36" s="72" t="s">
        <v>95</v>
      </c>
      <c r="X36" s="72" t="s">
        <v>164</v>
      </c>
      <c r="Y36" s="72">
        <v>0</v>
      </c>
      <c r="Z36" s="72">
        <v>1</v>
      </c>
      <c r="AA36" s="72">
        <v>1</v>
      </c>
      <c r="AB36" s="72">
        <v>0</v>
      </c>
      <c r="AC36" s="72">
        <v>0</v>
      </c>
      <c r="AD36" s="72">
        <v>0</v>
      </c>
      <c r="AE36" s="72">
        <v>0</v>
      </c>
      <c r="AF36" s="72">
        <v>0</v>
      </c>
      <c r="AG36" s="72" t="s">
        <v>169</v>
      </c>
      <c r="AH36" s="72">
        <v>0</v>
      </c>
      <c r="AI36" s="72">
        <v>1</v>
      </c>
      <c r="AJ36" s="72">
        <v>0</v>
      </c>
      <c r="AK36" s="72">
        <v>0</v>
      </c>
      <c r="AL36" s="72">
        <v>0</v>
      </c>
      <c r="AM36" s="72">
        <v>0</v>
      </c>
      <c r="AN36" s="72">
        <v>0</v>
      </c>
      <c r="AO36" s="72">
        <v>0</v>
      </c>
      <c r="AP36" s="72">
        <v>0</v>
      </c>
      <c r="AQ36" s="72" t="s">
        <v>166</v>
      </c>
      <c r="AR36" s="72" t="s">
        <v>105</v>
      </c>
      <c r="AS36" s="74" t="s">
        <v>175</v>
      </c>
      <c r="AT36" s="72" t="s">
        <v>83</v>
      </c>
      <c r="AU36" s="75">
        <v>5.1338200000000001E-2</v>
      </c>
      <c r="AV36" s="73" t="s">
        <v>91</v>
      </c>
      <c r="AW36" s="72">
        <v>2.5224900000000001E-2</v>
      </c>
      <c r="AX36" s="72">
        <v>4.2000000000000003E-2</v>
      </c>
      <c r="AY36" s="72">
        <v>2</v>
      </c>
      <c r="AZ36" s="76">
        <f t="shared" si="10"/>
        <v>2.0352191683614205</v>
      </c>
      <c r="BA36" s="77">
        <f t="shared" si="11"/>
        <v>5.1338200000000001E-2</v>
      </c>
      <c r="BB36" s="72" t="s">
        <v>83</v>
      </c>
      <c r="BC36" s="72" t="s">
        <v>83</v>
      </c>
      <c r="BD36" s="72" t="s">
        <v>83</v>
      </c>
      <c r="BE36" s="72" t="s">
        <v>83</v>
      </c>
      <c r="BF36" s="72" t="s">
        <v>83</v>
      </c>
      <c r="BG36" s="72" t="s">
        <v>83</v>
      </c>
      <c r="BH36" s="72">
        <v>5881</v>
      </c>
      <c r="BI36" s="72">
        <v>50707</v>
      </c>
      <c r="BJ36" s="72" t="s">
        <v>83</v>
      </c>
      <c r="BK36" s="72" t="s">
        <v>83</v>
      </c>
      <c r="BL36" s="72" t="s">
        <v>83</v>
      </c>
      <c r="BM36" s="72" t="s">
        <v>83</v>
      </c>
      <c r="BN36" s="72" t="s">
        <v>83</v>
      </c>
      <c r="BO36" s="72" t="s">
        <v>83</v>
      </c>
      <c r="BP36" s="72" t="s">
        <v>83</v>
      </c>
      <c r="BQ36" s="72" t="s">
        <v>83</v>
      </c>
      <c r="BR36" s="72" t="s">
        <v>83</v>
      </c>
      <c r="BS36" s="72" t="s">
        <v>170</v>
      </c>
      <c r="BT36" s="72">
        <v>0</v>
      </c>
      <c r="BU36" s="72">
        <v>0</v>
      </c>
      <c r="BV36" s="72">
        <v>0</v>
      </c>
      <c r="BW36" s="92">
        <f t="shared" si="21"/>
        <v>2.6529722475104742E-2</v>
      </c>
      <c r="BX36" s="92">
        <f t="shared" si="28"/>
        <v>2.6535949209200341E-2</v>
      </c>
      <c r="BY36" s="92">
        <f t="shared" si="22"/>
        <v>1.7006794288494594E-4</v>
      </c>
      <c r="BZ36" s="92">
        <f t="shared" si="23"/>
        <v>1.7012589316093909E-4</v>
      </c>
      <c r="CA36" s="72" t="s">
        <v>83</v>
      </c>
      <c r="CB36" s="72">
        <f t="shared" si="24"/>
        <v>5879</v>
      </c>
      <c r="CC36" s="72" t="s">
        <v>83</v>
      </c>
      <c r="CD36" s="92">
        <f t="shared" si="25"/>
        <v>9.0377326147297616E-3</v>
      </c>
      <c r="CE36" s="92">
        <f t="shared" si="29"/>
        <v>9.037978695963381E-3</v>
      </c>
      <c r="CF36" s="92">
        <f t="shared" si="26"/>
        <v>1.9721531837012408E-5</v>
      </c>
      <c r="CG36" s="92">
        <f t="shared" si="27"/>
        <v>1.9722309876932787E-5</v>
      </c>
    </row>
    <row r="37" spans="1:85" s="72" customFormat="1" ht="12.75" customHeight="1" x14ac:dyDescent="0.3">
      <c r="A37" s="72" t="s">
        <v>115</v>
      </c>
      <c r="B37" s="35"/>
      <c r="C37" s="35">
        <v>1571</v>
      </c>
      <c r="D37" s="72">
        <v>513</v>
      </c>
      <c r="E37" s="72" t="s">
        <v>159</v>
      </c>
      <c r="F37" s="72">
        <v>2023</v>
      </c>
      <c r="G37" s="72" t="s">
        <v>160</v>
      </c>
      <c r="H37" s="72" t="s">
        <v>161</v>
      </c>
      <c r="I37" s="72">
        <v>2</v>
      </c>
      <c r="J37" s="72">
        <v>2018</v>
      </c>
      <c r="M37" s="72" t="s">
        <v>162</v>
      </c>
      <c r="N37" s="72" t="s">
        <v>102</v>
      </c>
      <c r="O37" s="72" t="s">
        <v>163</v>
      </c>
      <c r="P37" s="72" t="s">
        <v>87</v>
      </c>
      <c r="Q37" s="72" t="s">
        <v>144</v>
      </c>
      <c r="R37" s="72" t="s">
        <v>109</v>
      </c>
      <c r="S37" s="72">
        <v>0</v>
      </c>
      <c r="T37" s="72" t="s">
        <v>110</v>
      </c>
      <c r="U37" s="72">
        <v>0</v>
      </c>
      <c r="V37" s="72" t="s">
        <v>90</v>
      </c>
      <c r="W37" s="72" t="s">
        <v>95</v>
      </c>
      <c r="X37" s="72" t="s">
        <v>164</v>
      </c>
      <c r="Y37" s="72">
        <v>0</v>
      </c>
      <c r="Z37" s="72">
        <v>1</v>
      </c>
      <c r="AA37" s="72">
        <v>1</v>
      </c>
      <c r="AB37" s="72">
        <v>0</v>
      </c>
      <c r="AC37" s="72">
        <v>0</v>
      </c>
      <c r="AD37" s="72">
        <v>0</v>
      </c>
      <c r="AE37" s="72">
        <v>0</v>
      </c>
      <c r="AF37" s="72">
        <v>0</v>
      </c>
      <c r="AG37" s="72" t="s">
        <v>169</v>
      </c>
      <c r="AH37" s="72">
        <v>0</v>
      </c>
      <c r="AI37" s="72">
        <v>1</v>
      </c>
      <c r="AJ37" s="72">
        <v>0</v>
      </c>
      <c r="AK37" s="72">
        <v>0</v>
      </c>
      <c r="AL37" s="72">
        <v>0</v>
      </c>
      <c r="AM37" s="72">
        <v>0</v>
      </c>
      <c r="AN37" s="72">
        <v>0</v>
      </c>
      <c r="AO37" s="72">
        <v>0</v>
      </c>
      <c r="AP37" s="72">
        <v>0</v>
      </c>
      <c r="AQ37" s="72" t="s">
        <v>166</v>
      </c>
      <c r="AR37" s="72" t="s">
        <v>105</v>
      </c>
      <c r="AS37" s="74" t="s">
        <v>176</v>
      </c>
      <c r="AT37" s="72" t="s">
        <v>83</v>
      </c>
      <c r="AU37" s="73">
        <v>4.0062100000000003E-2</v>
      </c>
      <c r="AV37" s="73" t="s">
        <v>97</v>
      </c>
      <c r="AW37" s="72">
        <v>1.9702600000000001E-2</v>
      </c>
      <c r="AX37" s="72">
        <v>4.2000000000000003E-2</v>
      </c>
      <c r="AY37" s="72">
        <v>2</v>
      </c>
      <c r="AZ37" s="76">
        <f t="shared" si="10"/>
        <v>2.0333407773593333</v>
      </c>
      <c r="BA37" s="77">
        <f t="shared" si="11"/>
        <v>4.0062100000000003E-2</v>
      </c>
      <c r="BB37" s="72" t="s">
        <v>83</v>
      </c>
      <c r="BC37" s="72" t="s">
        <v>83</v>
      </c>
      <c r="BD37" s="72" t="s">
        <v>83</v>
      </c>
      <c r="BE37" s="72" t="s">
        <v>83</v>
      </c>
      <c r="BF37" s="72" t="s">
        <v>83</v>
      </c>
      <c r="BG37" s="72" t="s">
        <v>83</v>
      </c>
      <c r="BH37" s="72">
        <v>5881</v>
      </c>
      <c r="BI37" s="72">
        <v>50707</v>
      </c>
      <c r="BJ37" s="72" t="s">
        <v>83</v>
      </c>
      <c r="BK37" s="72" t="s">
        <v>83</v>
      </c>
      <c r="BL37" s="72" t="s">
        <v>83</v>
      </c>
      <c r="BM37" s="72" t="s">
        <v>83</v>
      </c>
      <c r="BN37" s="72" t="s">
        <v>83</v>
      </c>
      <c r="BO37" s="72" t="s">
        <v>83</v>
      </c>
      <c r="BP37" s="72" t="s">
        <v>83</v>
      </c>
      <c r="BQ37" s="72" t="s">
        <v>83</v>
      </c>
      <c r="BR37" s="72" t="s">
        <v>83</v>
      </c>
      <c r="BS37" s="72" t="s">
        <v>170</v>
      </c>
      <c r="BT37" s="72">
        <v>0</v>
      </c>
      <c r="BU37" s="72">
        <v>0</v>
      </c>
      <c r="BV37" s="72">
        <v>0</v>
      </c>
      <c r="BW37" s="92">
        <f t="shared" si="21"/>
        <v>2.6505254266784906E-2</v>
      </c>
      <c r="BX37" s="92">
        <f t="shared" si="28"/>
        <v>2.6511463783286456E-2</v>
      </c>
      <c r="BY37" s="92">
        <f t="shared" si="22"/>
        <v>1.7006794319575455E-4</v>
      </c>
      <c r="BZ37" s="92">
        <f t="shared" si="23"/>
        <v>1.7012589316093909E-4</v>
      </c>
      <c r="CA37" s="72" t="s">
        <v>83</v>
      </c>
      <c r="CB37" s="72">
        <f t="shared" si="24"/>
        <v>5879</v>
      </c>
      <c r="CC37" s="72" t="s">
        <v>83</v>
      </c>
      <c r="CD37" s="92">
        <f t="shared" si="25"/>
        <v>9.0293919843135208E-3</v>
      </c>
      <c r="CE37" s="92">
        <f t="shared" si="29"/>
        <v>9.0296373848523428E-3</v>
      </c>
      <c r="CF37" s="92">
        <f t="shared" si="26"/>
        <v>1.9721531837497524E-5</v>
      </c>
      <c r="CG37" s="92">
        <f t="shared" si="27"/>
        <v>1.9722309876932787E-5</v>
      </c>
    </row>
    <row r="38" spans="1:85" s="110" customFormat="1" x14ac:dyDescent="0.3">
      <c r="A38" s="110" t="s">
        <v>107</v>
      </c>
      <c r="C38" s="103">
        <v>1572</v>
      </c>
      <c r="D38" s="110">
        <v>514</v>
      </c>
      <c r="E38" s="110" t="s">
        <v>177</v>
      </c>
      <c r="F38" s="110">
        <v>2025</v>
      </c>
      <c r="G38" s="110" t="s">
        <v>178</v>
      </c>
      <c r="H38" s="110" t="s">
        <v>179</v>
      </c>
      <c r="I38" s="110">
        <v>2</v>
      </c>
      <c r="J38" s="110" t="s">
        <v>180</v>
      </c>
      <c r="K38" s="110" t="s">
        <v>158</v>
      </c>
      <c r="AU38" s="111"/>
      <c r="AV38" s="111"/>
      <c r="BA38" s="112"/>
      <c r="BY38" s="113"/>
      <c r="BZ38" s="114"/>
      <c r="CA38" s="114"/>
    </row>
    <row r="39" spans="1:85" s="72" customFormat="1" x14ac:dyDescent="0.3">
      <c r="A39" s="72" t="s">
        <v>107</v>
      </c>
      <c r="B39" s="35"/>
      <c r="C39" s="35">
        <v>1573</v>
      </c>
      <c r="D39" s="72">
        <v>515</v>
      </c>
      <c r="E39" s="72" t="s">
        <v>181</v>
      </c>
      <c r="F39" s="72">
        <v>2023</v>
      </c>
      <c r="G39" s="72" t="s">
        <v>182</v>
      </c>
      <c r="H39" s="72" t="s">
        <v>183</v>
      </c>
      <c r="I39" s="72">
        <v>2</v>
      </c>
      <c r="J39" s="72">
        <v>2019</v>
      </c>
      <c r="L39" s="72">
        <v>15</v>
      </c>
      <c r="M39" s="72" t="s">
        <v>84</v>
      </c>
      <c r="N39" s="72" t="s">
        <v>102</v>
      </c>
      <c r="O39" s="72" t="s">
        <v>184</v>
      </c>
      <c r="P39" s="72" t="s">
        <v>87</v>
      </c>
      <c r="Q39" s="72" t="s">
        <v>185</v>
      </c>
      <c r="R39" s="72" t="s">
        <v>109</v>
      </c>
      <c r="S39" s="72">
        <v>1</v>
      </c>
      <c r="T39" s="72" t="s">
        <v>17</v>
      </c>
      <c r="U39" s="72">
        <v>1</v>
      </c>
      <c r="V39" s="72" t="s">
        <v>95</v>
      </c>
      <c r="W39" s="72" t="s">
        <v>95</v>
      </c>
      <c r="X39" s="72" t="s">
        <v>83</v>
      </c>
      <c r="Y39" s="72">
        <v>0</v>
      </c>
      <c r="Z39" s="72">
        <v>1</v>
      </c>
      <c r="AA39" s="72">
        <v>0</v>
      </c>
      <c r="AB39" s="72">
        <v>0</v>
      </c>
      <c r="AC39" s="72">
        <v>0</v>
      </c>
      <c r="AD39" s="72">
        <v>0</v>
      </c>
      <c r="AE39" s="72">
        <v>0</v>
      </c>
      <c r="AF39" s="72">
        <v>0</v>
      </c>
      <c r="AG39" s="72" t="s">
        <v>83</v>
      </c>
      <c r="AH39" s="72">
        <v>0</v>
      </c>
      <c r="AI39" s="72">
        <v>0</v>
      </c>
      <c r="AJ39" s="72">
        <v>0</v>
      </c>
      <c r="AK39" s="72">
        <v>0</v>
      </c>
      <c r="AL39" s="72">
        <v>0</v>
      </c>
      <c r="AM39" s="72">
        <v>1</v>
      </c>
      <c r="AN39" s="72">
        <v>0</v>
      </c>
      <c r="AO39" s="72">
        <v>0</v>
      </c>
      <c r="AP39" s="72">
        <v>0</v>
      </c>
      <c r="AQ39" s="72" t="s">
        <v>83</v>
      </c>
      <c r="AR39" s="72" t="s">
        <v>105</v>
      </c>
      <c r="AS39" s="72" t="s">
        <v>186</v>
      </c>
      <c r="AT39" s="72" t="s">
        <v>187</v>
      </c>
      <c r="AU39" s="78">
        <v>2.1000000000000001E-2</v>
      </c>
      <c r="AV39" s="73" t="s">
        <v>97</v>
      </c>
      <c r="AW39" s="72">
        <v>3.6999999999999998E-2</v>
      </c>
      <c r="AX39" s="72">
        <v>0.1</v>
      </c>
      <c r="AY39" s="72">
        <v>2</v>
      </c>
      <c r="AZ39" s="72">
        <f t="shared" ref="AZ39:AZ40" si="30">AU39/AW39</f>
        <v>0.56756756756756765</v>
      </c>
      <c r="BA39" s="77"/>
      <c r="BB39" s="72">
        <v>0.56999999999999995</v>
      </c>
      <c r="BC39" s="72">
        <v>403</v>
      </c>
      <c r="BD39" s="72" t="s">
        <v>83</v>
      </c>
      <c r="BE39" s="72">
        <v>0.59</v>
      </c>
      <c r="BF39" s="72">
        <v>405</v>
      </c>
      <c r="BG39" s="72" t="s">
        <v>83</v>
      </c>
      <c r="BH39" s="72">
        <v>808</v>
      </c>
      <c r="BI39" s="72">
        <v>808</v>
      </c>
      <c r="BJ39" s="72">
        <v>0.02</v>
      </c>
      <c r="BK39" s="72" t="s">
        <v>83</v>
      </c>
      <c r="BL39" s="72" t="s">
        <v>83</v>
      </c>
      <c r="BM39" s="72" t="s">
        <v>83</v>
      </c>
      <c r="BN39" s="72" t="s">
        <v>83</v>
      </c>
      <c r="BO39" s="72" t="s">
        <v>83</v>
      </c>
      <c r="BP39" s="72">
        <v>0</v>
      </c>
      <c r="BQ39" s="72">
        <v>0</v>
      </c>
      <c r="BR39" s="72">
        <v>0</v>
      </c>
      <c r="BS39" s="72" t="s">
        <v>83</v>
      </c>
      <c r="BT39" s="72">
        <v>0</v>
      </c>
      <c r="BU39" s="72">
        <v>0</v>
      </c>
      <c r="BV39" s="72">
        <v>0</v>
      </c>
      <c r="BW39" s="92">
        <f t="shared" ref="BW39" si="31">((AZ39^2)/(AZ39^2+BH39))^(1/2)</f>
        <v>1.9962978333032143E-2</v>
      </c>
      <c r="BX39" s="92">
        <f t="shared" si="28"/>
        <v>1.9965630852706161E-2</v>
      </c>
      <c r="BY39" s="92">
        <f t="shared" ref="BY39" si="32">((1-(BX39^2)^2)/(BH39-1))</f>
        <v>1.2391571760805218E-3</v>
      </c>
      <c r="BZ39" s="92">
        <f t="shared" ref="BZ39" si="33">1/(BH39-3)</f>
        <v>1.2422360248447205E-3</v>
      </c>
      <c r="CA39" s="72" t="s">
        <v>83</v>
      </c>
      <c r="CB39" s="72">
        <f t="shared" ref="CB39" si="34">BH39-2</f>
        <v>806</v>
      </c>
      <c r="CC39" s="72" t="s">
        <v>83</v>
      </c>
      <c r="CD39" s="92">
        <f t="shared" ref="CD39" si="35">((AZ39^2)/(AZ39^2+BI39))^(1/2)</f>
        <v>1.9962978333032143E-2</v>
      </c>
      <c r="CE39" s="92">
        <f t="shared" si="29"/>
        <v>1.9965630852706161E-2</v>
      </c>
      <c r="CF39" s="92">
        <f t="shared" ref="CF39" si="36">((1-(CE39^2)^2)/(BI39-1))</f>
        <v>1.2391571760805218E-3</v>
      </c>
      <c r="CG39" s="92">
        <f t="shared" ref="CG39" si="37">1/(BI39-3)</f>
        <v>1.2422360248447205E-3</v>
      </c>
    </row>
    <row r="40" spans="1:85" s="72" customFormat="1" x14ac:dyDescent="0.3">
      <c r="A40" s="72" t="s">
        <v>107</v>
      </c>
      <c r="B40" s="35"/>
      <c r="C40" s="35">
        <v>1574</v>
      </c>
      <c r="D40" s="72">
        <v>515</v>
      </c>
      <c r="E40" s="72" t="s">
        <v>181</v>
      </c>
      <c r="F40" s="72">
        <v>2023</v>
      </c>
      <c r="G40" s="72" t="s">
        <v>182</v>
      </c>
      <c r="H40" s="72" t="s">
        <v>183</v>
      </c>
      <c r="I40" s="72">
        <v>2</v>
      </c>
      <c r="J40" s="72">
        <v>2019</v>
      </c>
      <c r="L40" s="72">
        <v>15</v>
      </c>
      <c r="M40" s="72" t="s">
        <v>84</v>
      </c>
      <c r="N40" s="72" t="s">
        <v>102</v>
      </c>
      <c r="O40" s="72" t="s">
        <v>184</v>
      </c>
      <c r="P40" s="72" t="s">
        <v>87</v>
      </c>
      <c r="Q40" s="72" t="s">
        <v>185</v>
      </c>
      <c r="R40" s="72" t="s">
        <v>109</v>
      </c>
      <c r="S40" s="72">
        <v>1</v>
      </c>
      <c r="T40" s="72" t="s">
        <v>17</v>
      </c>
      <c r="U40" s="72">
        <v>1</v>
      </c>
      <c r="V40" s="72" t="s">
        <v>95</v>
      </c>
      <c r="W40" s="72" t="s">
        <v>95</v>
      </c>
      <c r="X40" s="72" t="s">
        <v>83</v>
      </c>
      <c r="Y40" s="72">
        <v>0</v>
      </c>
      <c r="Z40" s="72">
        <v>1</v>
      </c>
      <c r="AA40" s="72">
        <v>0</v>
      </c>
      <c r="AB40" s="72">
        <v>0</v>
      </c>
      <c r="AC40" s="72">
        <v>0</v>
      </c>
      <c r="AD40" s="72">
        <v>0</v>
      </c>
      <c r="AE40" s="72">
        <v>0</v>
      </c>
      <c r="AF40" s="72">
        <v>0</v>
      </c>
      <c r="AG40" s="72" t="s">
        <v>83</v>
      </c>
      <c r="AH40" s="72">
        <v>0</v>
      </c>
      <c r="AI40" s="72">
        <v>0</v>
      </c>
      <c r="AJ40" s="72">
        <v>0</v>
      </c>
      <c r="AK40" s="72">
        <v>0</v>
      </c>
      <c r="AL40" s="72">
        <v>0</v>
      </c>
      <c r="AM40" s="72">
        <v>1</v>
      </c>
      <c r="AN40" s="72">
        <v>0</v>
      </c>
      <c r="AO40" s="72">
        <v>0</v>
      </c>
      <c r="AP40" s="72">
        <v>0</v>
      </c>
      <c r="AQ40" s="72" t="s">
        <v>83</v>
      </c>
      <c r="AR40" s="72" t="s">
        <v>105</v>
      </c>
      <c r="AS40" s="72" t="s">
        <v>186</v>
      </c>
      <c r="AT40" s="72" t="s">
        <v>187</v>
      </c>
      <c r="AU40" s="78">
        <v>2.3E-2</v>
      </c>
      <c r="AV40" s="73" t="s">
        <v>97</v>
      </c>
      <c r="AW40" s="72">
        <v>3.5000000000000003E-2</v>
      </c>
      <c r="AX40" s="72">
        <v>0.1</v>
      </c>
      <c r="AY40" s="72">
        <v>2</v>
      </c>
      <c r="AZ40" s="72">
        <f t="shared" si="30"/>
        <v>0.65714285714285703</v>
      </c>
      <c r="BA40" s="77"/>
      <c r="BB40" s="72" t="s">
        <v>83</v>
      </c>
      <c r="BC40" s="72" t="s">
        <v>83</v>
      </c>
      <c r="BD40" s="72" t="s">
        <v>83</v>
      </c>
      <c r="BE40" s="72" t="s">
        <v>83</v>
      </c>
      <c r="BF40" s="72" t="s">
        <v>83</v>
      </c>
      <c r="BG40" s="72" t="s">
        <v>83</v>
      </c>
      <c r="BH40" s="72">
        <v>806</v>
      </c>
      <c r="BI40" s="72">
        <v>806</v>
      </c>
      <c r="BJ40" s="72" t="s">
        <v>83</v>
      </c>
      <c r="BK40" s="72" t="s">
        <v>83</v>
      </c>
      <c r="BL40" s="72" t="s">
        <v>83</v>
      </c>
      <c r="BM40" s="72" t="s">
        <v>83</v>
      </c>
      <c r="BN40" s="72" t="s">
        <v>83</v>
      </c>
      <c r="BO40" s="72" t="s">
        <v>83</v>
      </c>
      <c r="BP40" s="72">
        <v>0</v>
      </c>
      <c r="BQ40" s="72">
        <v>0</v>
      </c>
      <c r="BR40" s="72">
        <v>1</v>
      </c>
      <c r="BS40" s="72" t="s">
        <v>83</v>
      </c>
      <c r="BT40" s="72">
        <v>0</v>
      </c>
      <c r="BU40" s="72">
        <v>0</v>
      </c>
      <c r="BV40" s="72">
        <v>0</v>
      </c>
      <c r="BW40" s="92">
        <f t="shared" ref="BW40:BW43" si="38">((AZ40^2)/(AZ40^2+BH40))^(1/2)</f>
        <v>2.3140671610032196E-2</v>
      </c>
      <c r="BX40" s="92">
        <f t="shared" si="28"/>
        <v>2.3144803475670557E-2</v>
      </c>
      <c r="BY40" s="92">
        <f t="shared" ref="BY40:BY43" si="39">((1-(BX40^2)^2)/(BH40-1))</f>
        <v>1.2422356683787232E-3</v>
      </c>
      <c r="BZ40" s="92">
        <f t="shared" ref="BZ40:BZ43" si="40">1/(BH40-3)</f>
        <v>1.2453300124533001E-3</v>
      </c>
      <c r="CA40" s="72" t="s">
        <v>83</v>
      </c>
      <c r="CB40" s="72">
        <f t="shared" ref="CB40:CB43" si="41">BH40-2</f>
        <v>804</v>
      </c>
      <c r="CC40" s="72" t="s">
        <v>83</v>
      </c>
      <c r="CD40" s="92">
        <f t="shared" ref="CD40:CD43" si="42">((AZ40^2)/(AZ40^2+BI40))^(1/2)</f>
        <v>2.3140671610032196E-2</v>
      </c>
      <c r="CE40" s="92">
        <f t="shared" si="29"/>
        <v>2.3144803475670557E-2</v>
      </c>
      <c r="CF40" s="92">
        <f t="shared" ref="CF40:CF43" si="43">((1-(CE40^2)^2)/(BI40-1))</f>
        <v>1.2422356683787232E-3</v>
      </c>
      <c r="CG40" s="92">
        <f t="shared" ref="CG40:CG43" si="44">1/(BI40-3)</f>
        <v>1.2453300124533001E-3</v>
      </c>
    </row>
    <row r="41" spans="1:85" s="72" customFormat="1" x14ac:dyDescent="0.3">
      <c r="A41" s="72" t="s">
        <v>107</v>
      </c>
      <c r="B41" s="35"/>
      <c r="C41" s="35">
        <v>1575</v>
      </c>
      <c r="D41" s="72">
        <v>515</v>
      </c>
      <c r="E41" s="72" t="s">
        <v>181</v>
      </c>
      <c r="F41" s="72">
        <v>2023</v>
      </c>
      <c r="G41" s="72" t="s">
        <v>182</v>
      </c>
      <c r="H41" s="72" t="s">
        <v>183</v>
      </c>
      <c r="I41" s="72">
        <v>2</v>
      </c>
      <c r="J41" s="72">
        <v>2019</v>
      </c>
      <c r="L41" s="72">
        <v>15</v>
      </c>
      <c r="M41" s="72" t="s">
        <v>84</v>
      </c>
      <c r="N41" s="72" t="s">
        <v>102</v>
      </c>
      <c r="O41" s="72" t="s">
        <v>184</v>
      </c>
      <c r="P41" s="72" t="s">
        <v>87</v>
      </c>
      <c r="Q41" s="72" t="s">
        <v>185</v>
      </c>
      <c r="R41" s="72" t="s">
        <v>109</v>
      </c>
      <c r="S41" s="72">
        <v>1</v>
      </c>
      <c r="T41" s="72" t="s">
        <v>17</v>
      </c>
      <c r="U41" s="72">
        <v>1</v>
      </c>
      <c r="V41" s="72" t="s">
        <v>95</v>
      </c>
      <c r="W41" s="72" t="s">
        <v>95</v>
      </c>
      <c r="X41" s="72" t="s">
        <v>83</v>
      </c>
      <c r="Y41" s="72">
        <v>0</v>
      </c>
      <c r="Z41" s="72">
        <v>1</v>
      </c>
      <c r="AA41" s="72">
        <v>0</v>
      </c>
      <c r="AB41" s="72">
        <v>0</v>
      </c>
      <c r="AC41" s="72">
        <v>0</v>
      </c>
      <c r="AD41" s="72">
        <v>0</v>
      </c>
      <c r="AE41" s="72">
        <v>0</v>
      </c>
      <c r="AF41" s="72">
        <v>0</v>
      </c>
      <c r="AG41" s="72" t="s">
        <v>83</v>
      </c>
      <c r="AH41" s="72">
        <v>0</v>
      </c>
      <c r="AI41" s="72">
        <v>0</v>
      </c>
      <c r="AJ41" s="72">
        <v>0</v>
      </c>
      <c r="AK41" s="72">
        <v>0</v>
      </c>
      <c r="AL41" s="72">
        <v>0</v>
      </c>
      <c r="AM41" s="72">
        <v>1</v>
      </c>
      <c r="AN41" s="72">
        <v>0</v>
      </c>
      <c r="AO41" s="72">
        <v>0</v>
      </c>
      <c r="AP41" s="72">
        <v>0</v>
      </c>
      <c r="AQ41" s="72" t="s">
        <v>83</v>
      </c>
      <c r="AR41" s="72" t="s">
        <v>105</v>
      </c>
      <c r="AS41" s="72" t="s">
        <v>186</v>
      </c>
      <c r="AT41" s="72" t="s">
        <v>187</v>
      </c>
      <c r="AU41" s="78">
        <v>2.5999999999999999E-2</v>
      </c>
      <c r="AV41" s="73" t="s">
        <v>97</v>
      </c>
      <c r="AW41" s="72">
        <v>3.5000000000000003E-2</v>
      </c>
      <c r="AX41" s="72">
        <v>0.1</v>
      </c>
      <c r="AY41" s="72">
        <v>2</v>
      </c>
      <c r="AZ41" s="72">
        <f>AU41/AW41</f>
        <v>0.74285714285714277</v>
      </c>
      <c r="BA41" s="77"/>
      <c r="BB41" s="72" t="s">
        <v>83</v>
      </c>
      <c r="BC41" s="72" t="s">
        <v>83</v>
      </c>
      <c r="BD41" s="72" t="s">
        <v>83</v>
      </c>
      <c r="BE41" s="72" t="s">
        <v>83</v>
      </c>
      <c r="BF41" s="72" t="s">
        <v>83</v>
      </c>
      <c r="BG41" s="72" t="s">
        <v>83</v>
      </c>
      <c r="BH41" s="72">
        <v>806</v>
      </c>
      <c r="BI41" s="72">
        <v>806</v>
      </c>
      <c r="BJ41" s="72" t="s">
        <v>83</v>
      </c>
      <c r="BK41" s="72" t="s">
        <v>83</v>
      </c>
      <c r="BL41" s="72" t="s">
        <v>83</v>
      </c>
      <c r="BM41" s="72" t="s">
        <v>83</v>
      </c>
      <c r="BN41" s="72" t="s">
        <v>117</v>
      </c>
      <c r="BO41" s="72" t="s">
        <v>83</v>
      </c>
      <c r="BP41" s="72">
        <v>0</v>
      </c>
      <c r="BQ41" s="72">
        <v>0</v>
      </c>
      <c r="BR41" s="72">
        <v>1</v>
      </c>
      <c r="BS41" s="72" t="s">
        <v>117</v>
      </c>
      <c r="BT41" s="72">
        <v>0</v>
      </c>
      <c r="BU41" s="72">
        <v>0</v>
      </c>
      <c r="BV41" s="72">
        <v>1</v>
      </c>
      <c r="BW41" s="92">
        <f t="shared" si="38"/>
        <v>2.6157074019267531E-2</v>
      </c>
      <c r="BX41" s="92">
        <f t="shared" si="28"/>
        <v>2.6163041960865684E-2</v>
      </c>
      <c r="BY41" s="92">
        <f t="shared" si="39"/>
        <v>1.24223544279904E-3</v>
      </c>
      <c r="BZ41" s="92">
        <f t="shared" si="40"/>
        <v>1.2453300124533001E-3</v>
      </c>
      <c r="CA41" s="72" t="s">
        <v>83</v>
      </c>
      <c r="CB41" s="72">
        <f t="shared" si="41"/>
        <v>804</v>
      </c>
      <c r="CC41" s="72" t="s">
        <v>83</v>
      </c>
      <c r="CD41" s="92">
        <f t="shared" si="42"/>
        <v>2.6157074019267531E-2</v>
      </c>
      <c r="CE41" s="92">
        <f t="shared" si="29"/>
        <v>2.6163041960865684E-2</v>
      </c>
      <c r="CF41" s="92">
        <f t="shared" si="43"/>
        <v>1.24223544279904E-3</v>
      </c>
      <c r="CG41" s="92">
        <f t="shared" si="44"/>
        <v>1.2453300124533001E-3</v>
      </c>
    </row>
    <row r="42" spans="1:85" s="72" customFormat="1" x14ac:dyDescent="0.3">
      <c r="A42" s="72" t="s">
        <v>107</v>
      </c>
      <c r="B42" s="35"/>
      <c r="C42" s="35">
        <v>1576</v>
      </c>
      <c r="D42" s="72">
        <v>515</v>
      </c>
      <c r="E42" s="72" t="s">
        <v>181</v>
      </c>
      <c r="F42" s="72">
        <v>2023</v>
      </c>
      <c r="G42" s="72" t="s">
        <v>182</v>
      </c>
      <c r="H42" s="72" t="s">
        <v>183</v>
      </c>
      <c r="I42" s="72">
        <v>2</v>
      </c>
      <c r="J42" s="72">
        <v>2019</v>
      </c>
      <c r="L42" s="72">
        <v>15</v>
      </c>
      <c r="M42" s="72" t="s">
        <v>84</v>
      </c>
      <c r="N42" s="72" t="s">
        <v>102</v>
      </c>
      <c r="O42" s="72" t="s">
        <v>184</v>
      </c>
      <c r="P42" s="72" t="s">
        <v>87</v>
      </c>
      <c r="Q42" s="72" t="s">
        <v>185</v>
      </c>
      <c r="R42" s="72" t="s">
        <v>109</v>
      </c>
      <c r="S42" s="72">
        <v>1</v>
      </c>
      <c r="T42" s="72" t="s">
        <v>17</v>
      </c>
      <c r="U42" s="72">
        <v>1</v>
      </c>
      <c r="V42" s="72" t="s">
        <v>95</v>
      </c>
      <c r="W42" s="72" t="s">
        <v>95</v>
      </c>
      <c r="X42" s="72" t="s">
        <v>83</v>
      </c>
      <c r="Y42" s="72">
        <v>0</v>
      </c>
      <c r="Z42" s="72">
        <v>1</v>
      </c>
      <c r="AA42" s="72">
        <v>0</v>
      </c>
      <c r="AB42" s="72">
        <v>0</v>
      </c>
      <c r="AC42" s="72">
        <v>0</v>
      </c>
      <c r="AD42" s="72">
        <v>0</v>
      </c>
      <c r="AE42" s="72">
        <v>0</v>
      </c>
      <c r="AF42" s="72">
        <v>0</v>
      </c>
      <c r="AG42" s="72" t="s">
        <v>83</v>
      </c>
      <c r="AH42" s="72">
        <v>0</v>
      </c>
      <c r="AI42" s="72">
        <v>0</v>
      </c>
      <c r="AJ42" s="72">
        <v>0</v>
      </c>
      <c r="AK42" s="72">
        <v>0</v>
      </c>
      <c r="AL42" s="72">
        <v>0</v>
      </c>
      <c r="AM42" s="72">
        <v>1</v>
      </c>
      <c r="AN42" s="72">
        <v>0</v>
      </c>
      <c r="AO42" s="72">
        <v>0</v>
      </c>
      <c r="AP42" s="72">
        <v>0</v>
      </c>
      <c r="AQ42" s="72" t="s">
        <v>83</v>
      </c>
      <c r="AR42" s="72" t="s">
        <v>152</v>
      </c>
      <c r="AS42" s="72" t="s">
        <v>188</v>
      </c>
      <c r="AT42" s="72" t="s">
        <v>187</v>
      </c>
      <c r="AU42" s="78">
        <v>15.845000000000001</v>
      </c>
      <c r="AV42" s="73" t="s">
        <v>97</v>
      </c>
      <c r="AW42" s="72">
        <v>11.645</v>
      </c>
      <c r="AX42" s="72">
        <v>0.1</v>
      </c>
      <c r="AY42" s="72">
        <v>2</v>
      </c>
      <c r="AZ42" s="72">
        <f t="shared" ref="AZ42:AZ43" si="45">AU42/AW42</f>
        <v>1.3606698153714041</v>
      </c>
      <c r="BA42" s="77"/>
      <c r="BB42" s="72" t="s">
        <v>83</v>
      </c>
      <c r="BC42" s="72" t="s">
        <v>83</v>
      </c>
      <c r="BD42" s="72" t="s">
        <v>83</v>
      </c>
      <c r="BE42" s="72" t="s">
        <v>83</v>
      </c>
      <c r="BF42" s="72" t="s">
        <v>83</v>
      </c>
      <c r="BG42" s="72" t="s">
        <v>83</v>
      </c>
      <c r="BH42" s="72">
        <v>806</v>
      </c>
      <c r="BI42" s="72">
        <v>806</v>
      </c>
      <c r="BJ42" s="72" t="s">
        <v>83</v>
      </c>
      <c r="BK42" s="72" t="s">
        <v>83</v>
      </c>
      <c r="BL42" s="72" t="s">
        <v>83</v>
      </c>
      <c r="BM42" s="72" t="s">
        <v>83</v>
      </c>
      <c r="BN42" s="72" t="s">
        <v>83</v>
      </c>
      <c r="BO42" s="72" t="s">
        <v>83</v>
      </c>
      <c r="BP42" s="72">
        <v>0</v>
      </c>
      <c r="BQ42" s="72">
        <v>0</v>
      </c>
      <c r="BR42" s="72">
        <v>1</v>
      </c>
      <c r="BS42" s="72" t="s">
        <v>83</v>
      </c>
      <c r="BT42" s="72">
        <v>0</v>
      </c>
      <c r="BU42" s="72">
        <v>0</v>
      </c>
      <c r="BV42" s="72">
        <v>1</v>
      </c>
      <c r="BW42" s="92">
        <f t="shared" si="38"/>
        <v>4.7872598750708269E-2</v>
      </c>
      <c r="BX42" s="92">
        <f t="shared" si="28"/>
        <v>4.7909220367175771E-2</v>
      </c>
      <c r="BY42" s="92">
        <f t="shared" si="39"/>
        <v>1.2422294802835099E-3</v>
      </c>
      <c r="BZ42" s="92">
        <f t="shared" si="40"/>
        <v>1.2453300124533001E-3</v>
      </c>
      <c r="CA42" s="72" t="s">
        <v>83</v>
      </c>
      <c r="CB42" s="72">
        <f t="shared" si="41"/>
        <v>804</v>
      </c>
      <c r="CC42" s="72" t="s">
        <v>83</v>
      </c>
      <c r="CD42" s="92">
        <f t="shared" si="42"/>
        <v>4.7872598750708269E-2</v>
      </c>
      <c r="CE42" s="92">
        <f t="shared" si="29"/>
        <v>4.7909220367175771E-2</v>
      </c>
      <c r="CF42" s="92">
        <f t="shared" si="43"/>
        <v>1.2422294802835099E-3</v>
      </c>
      <c r="CG42" s="92">
        <f t="shared" si="44"/>
        <v>1.2453300124533001E-3</v>
      </c>
    </row>
    <row r="43" spans="1:85" s="72" customFormat="1" x14ac:dyDescent="0.3">
      <c r="A43" s="72" t="s">
        <v>107</v>
      </c>
      <c r="B43" s="35"/>
      <c r="C43" s="35">
        <v>1577</v>
      </c>
      <c r="D43" s="72">
        <v>515</v>
      </c>
      <c r="E43" s="72" t="s">
        <v>181</v>
      </c>
      <c r="F43" s="72">
        <v>2023</v>
      </c>
      <c r="G43" s="72" t="s">
        <v>182</v>
      </c>
      <c r="H43" s="72" t="s">
        <v>183</v>
      </c>
      <c r="I43" s="72">
        <v>2</v>
      </c>
      <c r="J43" s="72">
        <v>2019</v>
      </c>
      <c r="L43" s="72">
        <v>15</v>
      </c>
      <c r="M43" s="72" t="s">
        <v>84</v>
      </c>
      <c r="N43" s="72" t="s">
        <v>102</v>
      </c>
      <c r="O43" s="72" t="s">
        <v>184</v>
      </c>
      <c r="P43" s="72" t="s">
        <v>87</v>
      </c>
      <c r="Q43" s="72" t="s">
        <v>185</v>
      </c>
      <c r="R43" s="72" t="s">
        <v>109</v>
      </c>
      <c r="S43" s="72">
        <v>1</v>
      </c>
      <c r="T43" s="72" t="s">
        <v>17</v>
      </c>
      <c r="U43" s="72">
        <v>1</v>
      </c>
      <c r="V43" s="72" t="s">
        <v>95</v>
      </c>
      <c r="W43" s="72" t="s">
        <v>95</v>
      </c>
      <c r="X43" s="72" t="s">
        <v>83</v>
      </c>
      <c r="Y43" s="72">
        <v>0</v>
      </c>
      <c r="Z43" s="72">
        <v>1</v>
      </c>
      <c r="AA43" s="72">
        <v>0</v>
      </c>
      <c r="AB43" s="72">
        <v>0</v>
      </c>
      <c r="AC43" s="72">
        <v>0</v>
      </c>
      <c r="AD43" s="72">
        <v>0</v>
      </c>
      <c r="AE43" s="72">
        <v>0</v>
      </c>
      <c r="AF43" s="72">
        <v>0</v>
      </c>
      <c r="AG43" s="72" t="s">
        <v>83</v>
      </c>
      <c r="AH43" s="72">
        <v>0</v>
      </c>
      <c r="AI43" s="72">
        <v>0</v>
      </c>
      <c r="AJ43" s="72">
        <v>0</v>
      </c>
      <c r="AK43" s="72">
        <v>0</v>
      </c>
      <c r="AL43" s="72">
        <v>0</v>
      </c>
      <c r="AM43" s="72">
        <v>1</v>
      </c>
      <c r="AN43" s="72">
        <v>0</v>
      </c>
      <c r="AO43" s="72">
        <v>0</v>
      </c>
      <c r="AP43" s="72">
        <v>0</v>
      </c>
      <c r="AQ43" s="72" t="s">
        <v>83</v>
      </c>
      <c r="AR43" s="72" t="s">
        <v>152</v>
      </c>
      <c r="AS43" s="72" t="s">
        <v>188</v>
      </c>
      <c r="AT43" s="72" t="s">
        <v>187</v>
      </c>
      <c r="AU43" s="78">
        <v>16.456</v>
      </c>
      <c r="AV43" s="73" t="s">
        <v>97</v>
      </c>
      <c r="AW43" s="72">
        <v>11.631</v>
      </c>
      <c r="AX43" s="72">
        <v>0.1</v>
      </c>
      <c r="AY43" s="72">
        <v>2</v>
      </c>
      <c r="AZ43" s="72">
        <f t="shared" si="45"/>
        <v>1.4148396526523943</v>
      </c>
      <c r="BA43" s="77"/>
      <c r="BB43" s="72" t="s">
        <v>83</v>
      </c>
      <c r="BC43" s="72" t="s">
        <v>83</v>
      </c>
      <c r="BD43" s="72" t="s">
        <v>83</v>
      </c>
      <c r="BE43" s="72" t="s">
        <v>83</v>
      </c>
      <c r="BF43" s="72" t="s">
        <v>83</v>
      </c>
      <c r="BG43" s="72" t="s">
        <v>83</v>
      </c>
      <c r="BH43" s="72">
        <v>806</v>
      </c>
      <c r="BI43" s="72">
        <v>806</v>
      </c>
      <c r="BJ43" s="72" t="s">
        <v>83</v>
      </c>
      <c r="BK43" s="72" t="s">
        <v>83</v>
      </c>
      <c r="BL43" s="72" t="s">
        <v>83</v>
      </c>
      <c r="BM43" s="72" t="s">
        <v>83</v>
      </c>
      <c r="BN43" s="72" t="s">
        <v>83</v>
      </c>
      <c r="BO43" s="72" t="s">
        <v>83</v>
      </c>
      <c r="BP43" s="72">
        <v>0</v>
      </c>
      <c r="BQ43" s="72">
        <v>0</v>
      </c>
      <c r="BR43" s="72">
        <v>1</v>
      </c>
      <c r="BS43" s="72" t="s">
        <v>83</v>
      </c>
      <c r="BT43" s="72">
        <v>0</v>
      </c>
      <c r="BU43" s="72">
        <v>0</v>
      </c>
      <c r="BV43" s="72">
        <v>1</v>
      </c>
      <c r="BW43" s="92">
        <f t="shared" si="38"/>
        <v>4.9773830734288621E-2</v>
      </c>
      <c r="BX43" s="92">
        <f t="shared" si="28"/>
        <v>4.9814995739063554E-2</v>
      </c>
      <c r="BY43" s="92">
        <f t="shared" si="39"/>
        <v>1.2422283751428536E-3</v>
      </c>
      <c r="BZ43" s="92">
        <f t="shared" si="40"/>
        <v>1.2453300124533001E-3</v>
      </c>
      <c r="CA43" s="72" t="s">
        <v>83</v>
      </c>
      <c r="CB43" s="72">
        <f t="shared" si="41"/>
        <v>804</v>
      </c>
      <c r="CC43" s="72" t="s">
        <v>83</v>
      </c>
      <c r="CD43" s="92">
        <f t="shared" si="42"/>
        <v>4.9773830734288621E-2</v>
      </c>
      <c r="CE43" s="92">
        <f t="shared" si="29"/>
        <v>4.9814995739063554E-2</v>
      </c>
      <c r="CF43" s="92">
        <f t="shared" si="43"/>
        <v>1.2422283751428536E-3</v>
      </c>
      <c r="CG43" s="92">
        <f t="shared" si="44"/>
        <v>1.2453300124533001E-3</v>
      </c>
    </row>
    <row r="44" spans="1:85" s="110" customFormat="1" x14ac:dyDescent="0.3">
      <c r="A44" s="110" t="s">
        <v>107</v>
      </c>
      <c r="C44" s="103">
        <v>1578</v>
      </c>
      <c r="D44" s="110">
        <v>516</v>
      </c>
      <c r="E44" s="110" t="s">
        <v>189</v>
      </c>
      <c r="F44" s="110">
        <v>2025</v>
      </c>
      <c r="G44" s="110" t="s">
        <v>190</v>
      </c>
      <c r="H44" s="110" t="s">
        <v>191</v>
      </c>
      <c r="I44" s="110">
        <v>2</v>
      </c>
      <c r="J44" s="110">
        <v>2022</v>
      </c>
      <c r="K44" s="106" t="s">
        <v>100</v>
      </c>
      <c r="AU44" s="111"/>
      <c r="AV44" s="111"/>
      <c r="BA44" s="112"/>
      <c r="BY44" s="113"/>
      <c r="BZ44" s="114"/>
      <c r="CA44" s="114"/>
    </row>
    <row r="45" spans="1:85" s="110" customFormat="1" x14ac:dyDescent="0.3">
      <c r="A45" s="110" t="s">
        <v>107</v>
      </c>
      <c r="C45" s="103">
        <v>1579</v>
      </c>
      <c r="D45" s="110">
        <v>517</v>
      </c>
      <c r="E45" s="110" t="s">
        <v>192</v>
      </c>
      <c r="F45" s="110">
        <v>2022</v>
      </c>
      <c r="G45" s="110" t="s">
        <v>193</v>
      </c>
      <c r="H45" s="110" t="s">
        <v>194</v>
      </c>
      <c r="I45" s="110">
        <v>2</v>
      </c>
      <c r="J45" s="110">
        <v>2018</v>
      </c>
      <c r="K45" s="106" t="s">
        <v>100</v>
      </c>
      <c r="AU45" s="111"/>
      <c r="AV45" s="111"/>
      <c r="BA45" s="112"/>
      <c r="BY45" s="113"/>
      <c r="BZ45" s="114"/>
      <c r="CA45" s="114"/>
    </row>
    <row r="46" spans="1:85" s="72" customFormat="1" x14ac:dyDescent="0.3">
      <c r="A46" s="72" t="s">
        <v>115</v>
      </c>
      <c r="B46" s="35"/>
      <c r="C46" s="35">
        <v>1582</v>
      </c>
      <c r="D46" s="72">
        <v>520</v>
      </c>
      <c r="E46" s="72" t="s">
        <v>195</v>
      </c>
      <c r="F46" s="72">
        <v>2024</v>
      </c>
      <c r="G46" s="72" t="s">
        <v>196</v>
      </c>
      <c r="H46" s="72" t="s">
        <v>197</v>
      </c>
      <c r="I46" s="72">
        <v>2</v>
      </c>
      <c r="J46" s="72">
        <v>2009</v>
      </c>
      <c r="L46" s="72">
        <v>1299</v>
      </c>
      <c r="M46" s="72" t="s">
        <v>112</v>
      </c>
      <c r="N46" s="72" t="s">
        <v>85</v>
      </c>
      <c r="O46" s="72" t="s">
        <v>198</v>
      </c>
      <c r="P46" s="72" t="s">
        <v>87</v>
      </c>
      <c r="Q46" s="72" t="s">
        <v>88</v>
      </c>
      <c r="R46" s="72" t="s">
        <v>109</v>
      </c>
      <c r="S46" s="72">
        <v>0</v>
      </c>
      <c r="T46" s="72" t="s">
        <v>110</v>
      </c>
      <c r="U46" s="72">
        <v>0</v>
      </c>
      <c r="V46" s="72" t="s">
        <v>95</v>
      </c>
      <c r="W46" s="72" t="s">
        <v>95</v>
      </c>
      <c r="X46" s="72" t="s">
        <v>83</v>
      </c>
      <c r="Y46" s="72">
        <v>0</v>
      </c>
      <c r="Z46" s="72">
        <v>0</v>
      </c>
      <c r="AA46" s="72">
        <v>0</v>
      </c>
      <c r="AB46" s="72">
        <v>0</v>
      </c>
      <c r="AC46" s="72">
        <v>0</v>
      </c>
      <c r="AD46" s="72">
        <v>1</v>
      </c>
      <c r="AE46" s="72">
        <v>0</v>
      </c>
      <c r="AF46" s="72">
        <v>0</v>
      </c>
      <c r="AG46" s="72" t="s">
        <v>83</v>
      </c>
      <c r="AH46" s="72">
        <v>0</v>
      </c>
      <c r="AI46" s="72">
        <v>0</v>
      </c>
      <c r="AJ46" s="72">
        <v>0</v>
      </c>
      <c r="AK46" s="72">
        <v>1</v>
      </c>
      <c r="AL46" s="72">
        <v>0</v>
      </c>
      <c r="AM46" s="72">
        <v>0</v>
      </c>
      <c r="AN46" s="72">
        <v>0</v>
      </c>
      <c r="AO46" s="72">
        <v>0</v>
      </c>
      <c r="AP46" s="72">
        <v>0</v>
      </c>
      <c r="AQ46" s="72" t="s">
        <v>199</v>
      </c>
      <c r="AR46" s="72" t="s">
        <v>200</v>
      </c>
      <c r="AS46" s="72" t="s">
        <v>201</v>
      </c>
      <c r="AT46" s="72" t="s">
        <v>96</v>
      </c>
      <c r="AU46" s="73">
        <v>1.17</v>
      </c>
      <c r="AV46" s="73" t="s">
        <v>97</v>
      </c>
      <c r="AW46" s="72">
        <v>0.32700000000000001</v>
      </c>
      <c r="AX46" s="72">
        <v>0.01</v>
      </c>
      <c r="AY46" s="72">
        <v>1</v>
      </c>
      <c r="AZ46" s="72">
        <f t="shared" ref="AZ46:AZ52" si="46">AU46/AW46</f>
        <v>3.5779816513761462</v>
      </c>
      <c r="BA46" s="77">
        <f t="shared" ref="BA46:BA52" si="47">EXP(AU46)-1</f>
        <v>2.2219926385284996</v>
      </c>
      <c r="BB46" s="72" t="s">
        <v>83</v>
      </c>
      <c r="BC46" s="72" t="s">
        <v>83</v>
      </c>
      <c r="BD46" s="72" t="s">
        <v>83</v>
      </c>
      <c r="BE46" s="72" t="s">
        <v>83</v>
      </c>
      <c r="BF46" s="72">
        <v>32816</v>
      </c>
      <c r="BG46" s="72" t="s">
        <v>83</v>
      </c>
      <c r="BH46" s="72">
        <v>189674</v>
      </c>
      <c r="BI46" s="72">
        <v>189674</v>
      </c>
      <c r="BJ46" s="72" t="s">
        <v>83</v>
      </c>
      <c r="BK46" s="72" t="s">
        <v>83</v>
      </c>
      <c r="BL46" s="72" t="s">
        <v>202</v>
      </c>
      <c r="BN46" s="72" t="s">
        <v>119</v>
      </c>
      <c r="BO46" s="72" t="s">
        <v>83</v>
      </c>
      <c r="BP46" s="72">
        <v>0</v>
      </c>
      <c r="BQ46" s="72">
        <v>0</v>
      </c>
      <c r="BR46" s="72">
        <v>0</v>
      </c>
      <c r="BS46" s="72" t="s">
        <v>83</v>
      </c>
      <c r="BT46" s="72">
        <v>0</v>
      </c>
      <c r="BU46" s="72">
        <v>0</v>
      </c>
      <c r="BV46" s="72">
        <v>0</v>
      </c>
      <c r="BW46" s="92">
        <f t="shared" ref="BW46:BW47" si="48">((AZ46^2)/(AZ46^2+BH46))^(1/2)</f>
        <v>8.2152266900208087E-3</v>
      </c>
      <c r="BX46" s="92">
        <f t="shared" ref="BX46:BX59" si="49">0.5*LN((1+BW46)/(1-BW46))</f>
        <v>8.2154115125834502E-3</v>
      </c>
      <c r="BY46" s="92">
        <f t="shared" ref="BY46:BY47" si="50">((1-(BX46^2)^2)/(BH46-1))</f>
        <v>5.2722316589324617E-6</v>
      </c>
      <c r="BZ46" s="92">
        <f t="shared" ref="BZ46:BZ47" si="51">1/(BH46-3)</f>
        <v>5.2722872763891163E-6</v>
      </c>
      <c r="CA46" s="72" t="s">
        <v>83</v>
      </c>
      <c r="CB46" s="72">
        <f t="shared" ref="CB46:CB47" si="52">BH46-2</f>
        <v>189672</v>
      </c>
      <c r="CC46" s="72" t="s">
        <v>83</v>
      </c>
      <c r="CD46" s="92">
        <f t="shared" ref="CD46:CD47" si="53">((AZ46^2)/(AZ46^2+BI46))^(1/2)</f>
        <v>8.2152266900208087E-3</v>
      </c>
      <c r="CE46" s="92">
        <f t="shared" ref="CE46:CE59" si="54">0.5*LN((1+CD46)/(1-CD46))</f>
        <v>8.2154115125834502E-3</v>
      </c>
      <c r="CF46" s="92">
        <f t="shared" ref="CF46:CF47" si="55">((1-(CE46^2)^2)/(BI46-1))</f>
        <v>5.2722316589324617E-6</v>
      </c>
      <c r="CG46" s="92">
        <f t="shared" ref="CG46:CG47" si="56">1/(BI46-3)</f>
        <v>5.2722872763891163E-6</v>
      </c>
    </row>
    <row r="47" spans="1:85" s="72" customFormat="1" x14ac:dyDescent="0.3">
      <c r="A47" s="72" t="s">
        <v>115</v>
      </c>
      <c r="B47" s="35"/>
      <c r="C47" s="35">
        <v>1583</v>
      </c>
      <c r="D47" s="72">
        <v>520</v>
      </c>
      <c r="E47" s="72" t="s">
        <v>195</v>
      </c>
      <c r="F47" s="72">
        <v>2024</v>
      </c>
      <c r="G47" s="72" t="s">
        <v>196</v>
      </c>
      <c r="H47" s="72" t="s">
        <v>197</v>
      </c>
      <c r="I47" s="72">
        <v>2</v>
      </c>
      <c r="J47" s="72">
        <v>2010</v>
      </c>
      <c r="L47" s="72">
        <v>1299</v>
      </c>
      <c r="M47" s="72" t="s">
        <v>112</v>
      </c>
      <c r="N47" s="72" t="s">
        <v>85</v>
      </c>
      <c r="O47" s="72" t="s">
        <v>198</v>
      </c>
      <c r="P47" s="72" t="s">
        <v>87</v>
      </c>
      <c r="Q47" s="72" t="s">
        <v>88</v>
      </c>
      <c r="R47" s="72" t="s">
        <v>109</v>
      </c>
      <c r="S47" s="72">
        <v>0</v>
      </c>
      <c r="T47" s="72" t="s">
        <v>110</v>
      </c>
      <c r="U47" s="72">
        <v>0</v>
      </c>
      <c r="V47" s="72" t="s">
        <v>95</v>
      </c>
      <c r="W47" s="72" t="s">
        <v>95</v>
      </c>
      <c r="X47" s="72" t="s">
        <v>83</v>
      </c>
      <c r="Y47" s="72">
        <v>0</v>
      </c>
      <c r="Z47" s="72">
        <v>0</v>
      </c>
      <c r="AA47" s="72">
        <v>0</v>
      </c>
      <c r="AB47" s="72">
        <v>0</v>
      </c>
      <c r="AC47" s="72">
        <v>0</v>
      </c>
      <c r="AD47" s="72">
        <v>1</v>
      </c>
      <c r="AE47" s="72">
        <v>0</v>
      </c>
      <c r="AF47" s="72">
        <v>0</v>
      </c>
      <c r="AG47" s="72" t="s">
        <v>83</v>
      </c>
      <c r="AH47" s="72">
        <v>0</v>
      </c>
      <c r="AI47" s="72">
        <v>0</v>
      </c>
      <c r="AJ47" s="72">
        <v>0</v>
      </c>
      <c r="AK47" s="72">
        <v>1</v>
      </c>
      <c r="AL47" s="72">
        <v>0</v>
      </c>
      <c r="AM47" s="72">
        <v>0</v>
      </c>
      <c r="AN47" s="72">
        <v>0</v>
      </c>
      <c r="AO47" s="72">
        <v>0</v>
      </c>
      <c r="AP47" s="72">
        <v>0</v>
      </c>
      <c r="AQ47" s="72" t="s">
        <v>199</v>
      </c>
      <c r="AR47" s="72" t="s">
        <v>200</v>
      </c>
      <c r="AS47" s="72" t="s">
        <v>201</v>
      </c>
      <c r="AT47" s="72" t="s">
        <v>96</v>
      </c>
      <c r="AU47" s="73">
        <v>0.33</v>
      </c>
      <c r="AV47" s="73" t="s">
        <v>97</v>
      </c>
      <c r="AW47" s="72">
        <v>0.253</v>
      </c>
      <c r="AX47" s="72">
        <v>0.01</v>
      </c>
      <c r="AY47" s="72">
        <v>1</v>
      </c>
      <c r="AZ47" s="72">
        <f t="shared" si="46"/>
        <v>1.3043478260869565</v>
      </c>
      <c r="BA47" s="77">
        <f t="shared" si="47"/>
        <v>0.39096812846378026</v>
      </c>
      <c r="BB47" s="72" t="s">
        <v>83</v>
      </c>
      <c r="BC47" s="72" t="s">
        <v>83</v>
      </c>
      <c r="BD47" s="72" t="s">
        <v>83</v>
      </c>
      <c r="BE47" s="72" t="s">
        <v>83</v>
      </c>
      <c r="BF47" s="72">
        <v>25537</v>
      </c>
      <c r="BG47" s="72" t="s">
        <v>83</v>
      </c>
      <c r="BH47" s="72">
        <v>189674</v>
      </c>
      <c r="BI47" s="72">
        <v>189674</v>
      </c>
      <c r="BJ47" s="72" t="s">
        <v>83</v>
      </c>
      <c r="BK47" s="72" t="s">
        <v>83</v>
      </c>
      <c r="BL47" s="72" t="s">
        <v>202</v>
      </c>
      <c r="BN47" s="72" t="s">
        <v>119</v>
      </c>
      <c r="BO47" s="72" t="s">
        <v>83</v>
      </c>
      <c r="BP47" s="72">
        <v>0</v>
      </c>
      <c r="BQ47" s="72">
        <v>0</v>
      </c>
      <c r="BR47" s="72">
        <v>0</v>
      </c>
      <c r="BS47" s="72" t="s">
        <v>117</v>
      </c>
      <c r="BT47" s="72">
        <v>0</v>
      </c>
      <c r="BU47" s="72">
        <v>0</v>
      </c>
      <c r="BV47" s="72">
        <v>0</v>
      </c>
      <c r="BW47" s="92">
        <f t="shared" si="48"/>
        <v>2.9949361601534206E-3</v>
      </c>
      <c r="BX47" s="92">
        <f t="shared" si="49"/>
        <v>2.9949451147039583E-3</v>
      </c>
      <c r="BY47" s="92">
        <f t="shared" si="50"/>
        <v>5.2722316825248958E-6</v>
      </c>
      <c r="BZ47" s="92">
        <f t="shared" si="51"/>
        <v>5.2722872763891163E-6</v>
      </c>
      <c r="CA47" s="72" t="s">
        <v>83</v>
      </c>
      <c r="CB47" s="72">
        <f t="shared" si="52"/>
        <v>189672</v>
      </c>
      <c r="CC47" s="72" t="s">
        <v>83</v>
      </c>
      <c r="CD47" s="92">
        <f t="shared" si="53"/>
        <v>2.9949361601534206E-3</v>
      </c>
      <c r="CE47" s="92">
        <f t="shared" si="54"/>
        <v>2.9949451147039583E-3</v>
      </c>
      <c r="CF47" s="92">
        <f t="shared" si="55"/>
        <v>5.2722316825248958E-6</v>
      </c>
      <c r="CG47" s="92">
        <f t="shared" si="56"/>
        <v>5.2722872763891163E-6</v>
      </c>
    </row>
    <row r="48" spans="1:85" s="72" customFormat="1" x14ac:dyDescent="0.3">
      <c r="A48" s="72" t="s">
        <v>115</v>
      </c>
      <c r="B48" s="35"/>
      <c r="C48" s="35">
        <v>1584</v>
      </c>
      <c r="D48" s="72">
        <v>520</v>
      </c>
      <c r="E48" s="72" t="s">
        <v>195</v>
      </c>
      <c r="F48" s="72">
        <v>2024</v>
      </c>
      <c r="G48" s="72" t="s">
        <v>196</v>
      </c>
      <c r="H48" s="72" t="s">
        <v>197</v>
      </c>
      <c r="I48" s="72">
        <v>2</v>
      </c>
      <c r="J48" s="72">
        <v>2016</v>
      </c>
      <c r="L48" s="72">
        <v>1299</v>
      </c>
      <c r="M48" s="72" t="s">
        <v>112</v>
      </c>
      <c r="N48" s="72" t="s">
        <v>85</v>
      </c>
      <c r="O48" s="72" t="s">
        <v>203</v>
      </c>
      <c r="P48" s="72" t="s">
        <v>87</v>
      </c>
      <c r="Q48" s="72" t="s">
        <v>88</v>
      </c>
      <c r="R48" s="72" t="s">
        <v>109</v>
      </c>
      <c r="S48" s="72">
        <v>0</v>
      </c>
      <c r="T48" s="72" t="s">
        <v>110</v>
      </c>
      <c r="U48" s="72">
        <v>0</v>
      </c>
      <c r="V48" s="72" t="s">
        <v>95</v>
      </c>
      <c r="W48" s="72" t="s">
        <v>95</v>
      </c>
      <c r="X48" s="72" t="s">
        <v>83</v>
      </c>
      <c r="Y48" s="72">
        <v>0</v>
      </c>
      <c r="Z48" s="72">
        <v>0</v>
      </c>
      <c r="AA48" s="72">
        <v>0</v>
      </c>
      <c r="AB48" s="72">
        <v>0</v>
      </c>
      <c r="AC48" s="72">
        <v>0</v>
      </c>
      <c r="AD48" s="72">
        <v>1</v>
      </c>
      <c r="AE48" s="72">
        <v>0</v>
      </c>
      <c r="AF48" s="72">
        <v>0</v>
      </c>
      <c r="AG48" s="72" t="s">
        <v>83</v>
      </c>
      <c r="AH48" s="72">
        <v>0</v>
      </c>
      <c r="AI48" s="72">
        <v>0</v>
      </c>
      <c r="AJ48" s="72">
        <v>0</v>
      </c>
      <c r="AK48" s="72">
        <v>1</v>
      </c>
      <c r="AL48" s="72">
        <v>0</v>
      </c>
      <c r="AM48" s="72">
        <v>0</v>
      </c>
      <c r="AN48" s="72">
        <v>0</v>
      </c>
      <c r="AO48" s="72">
        <v>0</v>
      </c>
      <c r="AP48" s="72">
        <v>0</v>
      </c>
      <c r="AQ48" s="72" t="s">
        <v>199</v>
      </c>
      <c r="AR48" s="72" t="s">
        <v>200</v>
      </c>
      <c r="AS48" s="72" t="s">
        <v>201</v>
      </c>
      <c r="AT48" s="72" t="s">
        <v>96</v>
      </c>
      <c r="AU48" s="73">
        <v>0.71399999999999997</v>
      </c>
      <c r="AV48" s="73" t="s">
        <v>97</v>
      </c>
      <c r="AW48" s="72">
        <v>0.14399999999999999</v>
      </c>
      <c r="AX48" s="72">
        <v>0.01</v>
      </c>
      <c r="AY48" s="72">
        <v>1</v>
      </c>
      <c r="AZ48" s="72">
        <f t="shared" si="46"/>
        <v>4.9583333333333339</v>
      </c>
      <c r="BA48" s="77">
        <f t="shared" si="47"/>
        <v>1.0421435173290265</v>
      </c>
      <c r="BB48" s="72" t="s">
        <v>83</v>
      </c>
      <c r="BC48" s="72" t="s">
        <v>83</v>
      </c>
      <c r="BD48" s="72" t="s">
        <v>83</v>
      </c>
      <c r="BE48" s="72" t="s">
        <v>83</v>
      </c>
      <c r="BF48" s="72">
        <v>41196</v>
      </c>
      <c r="BG48" s="72" t="s">
        <v>83</v>
      </c>
      <c r="BH48" s="72">
        <v>189674</v>
      </c>
      <c r="BI48" s="72">
        <v>189674</v>
      </c>
      <c r="BJ48" s="72" t="s">
        <v>83</v>
      </c>
      <c r="BK48" s="72" t="s">
        <v>83</v>
      </c>
      <c r="BL48" s="72" t="s">
        <v>204</v>
      </c>
      <c r="BM48" s="72" t="s">
        <v>205</v>
      </c>
      <c r="BN48" s="72" t="s">
        <v>119</v>
      </c>
      <c r="BO48" s="72" t="s">
        <v>83</v>
      </c>
      <c r="BP48" s="72">
        <v>0</v>
      </c>
      <c r="BQ48" s="72">
        <v>0</v>
      </c>
      <c r="BR48" s="72">
        <v>0</v>
      </c>
      <c r="BS48" s="72" t="s">
        <v>83</v>
      </c>
      <c r="BT48" s="72">
        <v>0</v>
      </c>
      <c r="BU48" s="72">
        <v>0</v>
      </c>
      <c r="BV48" s="72">
        <v>0</v>
      </c>
      <c r="BW48" s="92">
        <f t="shared" ref="BW48:BW52" si="57">((AZ48^2)/(AZ48^2+BH48))^(1/2)</f>
        <v>1.1384230327977302E-2</v>
      </c>
      <c r="BX48" s="92">
        <f t="shared" si="49"/>
        <v>1.1384722167630612E-2</v>
      </c>
      <c r="BY48" s="92">
        <f t="shared" ref="BY48:BY52" si="58">((1-(BX48^2)^2)/(BH48-1))</f>
        <v>5.2722315943795675E-6</v>
      </c>
      <c r="BZ48" s="92">
        <f t="shared" ref="BZ48:BZ52" si="59">1/(BH48-3)</f>
        <v>5.2722872763891163E-6</v>
      </c>
      <c r="CA48" s="72" t="s">
        <v>83</v>
      </c>
      <c r="CB48" s="72">
        <f t="shared" ref="CB48:CB52" si="60">BH48-2</f>
        <v>189672</v>
      </c>
      <c r="CC48" s="72" t="s">
        <v>83</v>
      </c>
      <c r="CD48" s="92">
        <f t="shared" ref="CD48:CD52" si="61">((AZ48^2)/(AZ48^2+BI48))^(1/2)</f>
        <v>1.1384230327977302E-2</v>
      </c>
      <c r="CE48" s="92">
        <f t="shared" si="54"/>
        <v>1.1384722167630612E-2</v>
      </c>
      <c r="CF48" s="92">
        <f t="shared" ref="CF48:CF52" si="62">((1-(CE48^2)^2)/(BI48-1))</f>
        <v>5.2722315943795675E-6</v>
      </c>
      <c r="CG48" s="92">
        <f t="shared" ref="CG48:CG52" si="63">1/(BI48-3)</f>
        <v>5.2722872763891163E-6</v>
      </c>
    </row>
    <row r="49" spans="1:87" s="72" customFormat="1" x14ac:dyDescent="0.3">
      <c r="A49" s="72" t="s">
        <v>115</v>
      </c>
      <c r="B49" s="35"/>
      <c r="C49" s="35">
        <v>1585</v>
      </c>
      <c r="D49" s="72">
        <v>520</v>
      </c>
      <c r="E49" s="72" t="s">
        <v>195</v>
      </c>
      <c r="F49" s="72">
        <v>2024</v>
      </c>
      <c r="G49" s="72" t="s">
        <v>196</v>
      </c>
      <c r="H49" s="72" t="s">
        <v>197</v>
      </c>
      <c r="I49" s="72">
        <v>2</v>
      </c>
      <c r="J49" s="72">
        <v>2010</v>
      </c>
      <c r="L49" s="72">
        <v>1299</v>
      </c>
      <c r="M49" s="72" t="s">
        <v>112</v>
      </c>
      <c r="N49" s="72" t="s">
        <v>85</v>
      </c>
      <c r="O49" s="72" t="s">
        <v>198</v>
      </c>
      <c r="P49" s="72" t="s">
        <v>87</v>
      </c>
      <c r="Q49" s="72" t="s">
        <v>88</v>
      </c>
      <c r="R49" s="72" t="s">
        <v>109</v>
      </c>
      <c r="S49" s="72">
        <v>0</v>
      </c>
      <c r="T49" s="72" t="s">
        <v>110</v>
      </c>
      <c r="U49" s="72">
        <v>0</v>
      </c>
      <c r="V49" s="72" t="s">
        <v>95</v>
      </c>
      <c r="W49" s="72" t="s">
        <v>95</v>
      </c>
      <c r="X49" s="72" t="s">
        <v>83</v>
      </c>
      <c r="Y49" s="72">
        <v>0</v>
      </c>
      <c r="Z49" s="72">
        <v>0</v>
      </c>
      <c r="AA49" s="72">
        <v>0</v>
      </c>
      <c r="AB49" s="72">
        <v>0</v>
      </c>
      <c r="AC49" s="72">
        <v>0</v>
      </c>
      <c r="AD49" s="72">
        <v>1</v>
      </c>
      <c r="AE49" s="72">
        <v>0</v>
      </c>
      <c r="AF49" s="72">
        <v>0</v>
      </c>
      <c r="AG49" s="72" t="s">
        <v>83</v>
      </c>
      <c r="AH49" s="72">
        <v>1</v>
      </c>
      <c r="AI49" s="72">
        <v>0</v>
      </c>
      <c r="AJ49" s="72">
        <v>0</v>
      </c>
      <c r="AK49" s="72">
        <v>0</v>
      </c>
      <c r="AL49" s="72">
        <v>0</v>
      </c>
      <c r="AM49" s="72">
        <v>0</v>
      </c>
      <c r="AN49" s="72">
        <v>0</v>
      </c>
      <c r="AO49" s="72">
        <v>0</v>
      </c>
      <c r="AP49" s="72">
        <v>0</v>
      </c>
      <c r="AQ49" s="72" t="s">
        <v>199</v>
      </c>
      <c r="AR49" s="72" t="s">
        <v>200</v>
      </c>
      <c r="AS49" s="72" t="s">
        <v>201</v>
      </c>
      <c r="AT49" s="72" t="s">
        <v>96</v>
      </c>
      <c r="AU49" s="73">
        <v>1.4770000000000001</v>
      </c>
      <c r="AV49" s="73" t="s">
        <v>97</v>
      </c>
      <c r="AW49" s="72">
        <v>0.92</v>
      </c>
      <c r="AX49" s="72" t="s">
        <v>83</v>
      </c>
      <c r="AY49" s="72">
        <v>1</v>
      </c>
      <c r="AZ49" s="72">
        <f t="shared" si="46"/>
        <v>1.6054347826086957</v>
      </c>
      <c r="BA49" s="77">
        <f t="shared" si="47"/>
        <v>3.3797865923781263</v>
      </c>
      <c r="BB49" s="72" t="s">
        <v>83</v>
      </c>
      <c r="BC49" s="72" t="s">
        <v>83</v>
      </c>
      <c r="BD49" s="72" t="s">
        <v>83</v>
      </c>
      <c r="BE49" s="72" t="s">
        <v>83</v>
      </c>
      <c r="BF49" s="72">
        <v>29603</v>
      </c>
      <c r="BG49" s="72" t="s">
        <v>83</v>
      </c>
      <c r="BH49" s="72">
        <v>189674</v>
      </c>
      <c r="BI49" s="72">
        <v>189674</v>
      </c>
      <c r="BJ49" s="72" t="s">
        <v>83</v>
      </c>
      <c r="BK49" s="72" t="s">
        <v>83</v>
      </c>
      <c r="BL49" s="72" t="s">
        <v>206</v>
      </c>
      <c r="BN49" s="72" t="s">
        <v>119</v>
      </c>
      <c r="BO49" s="72" t="s">
        <v>83</v>
      </c>
      <c r="BP49" s="72">
        <v>0</v>
      </c>
      <c r="BQ49" s="72">
        <v>0</v>
      </c>
      <c r="BR49" s="72">
        <v>0</v>
      </c>
      <c r="BS49" s="72" t="s">
        <v>83</v>
      </c>
      <c r="BT49" s="72">
        <v>0</v>
      </c>
      <c r="BU49" s="72">
        <v>0</v>
      </c>
      <c r="BV49" s="72">
        <v>0</v>
      </c>
      <c r="BW49" s="92">
        <f t="shared" si="57"/>
        <v>3.6862587438580841E-3</v>
      </c>
      <c r="BX49" s="92">
        <f t="shared" si="49"/>
        <v>3.6862754409074622E-3</v>
      </c>
      <c r="BY49" s="92">
        <f t="shared" si="58"/>
        <v>5.2722316819755543E-6</v>
      </c>
      <c r="BZ49" s="92">
        <f t="shared" si="59"/>
        <v>5.2722872763891163E-6</v>
      </c>
      <c r="CA49" s="72" t="s">
        <v>83</v>
      </c>
      <c r="CB49" s="72">
        <f t="shared" si="60"/>
        <v>189672</v>
      </c>
      <c r="CC49" s="72" t="s">
        <v>83</v>
      </c>
      <c r="CD49" s="92">
        <f t="shared" si="61"/>
        <v>3.6862587438580841E-3</v>
      </c>
      <c r="CE49" s="92">
        <f t="shared" si="54"/>
        <v>3.6862754409074622E-3</v>
      </c>
      <c r="CF49" s="92">
        <f t="shared" si="62"/>
        <v>5.2722316819755543E-6</v>
      </c>
      <c r="CG49" s="92">
        <f t="shared" si="63"/>
        <v>5.2722872763891163E-6</v>
      </c>
    </row>
    <row r="50" spans="1:87" s="72" customFormat="1" x14ac:dyDescent="0.3">
      <c r="A50" s="72" t="s">
        <v>115</v>
      </c>
      <c r="B50" s="35"/>
      <c r="C50" s="35">
        <v>1586</v>
      </c>
      <c r="D50" s="72">
        <v>520</v>
      </c>
      <c r="E50" s="72" t="s">
        <v>195</v>
      </c>
      <c r="F50" s="72">
        <v>2024</v>
      </c>
      <c r="G50" s="72" t="s">
        <v>196</v>
      </c>
      <c r="H50" s="72" t="s">
        <v>197</v>
      </c>
      <c r="I50" s="72">
        <v>2</v>
      </c>
      <c r="J50" s="72">
        <v>2015</v>
      </c>
      <c r="L50" s="72">
        <v>1299</v>
      </c>
      <c r="M50" s="72" t="s">
        <v>112</v>
      </c>
      <c r="N50" s="72" t="s">
        <v>85</v>
      </c>
      <c r="O50" s="72" t="s">
        <v>207</v>
      </c>
      <c r="P50" s="72" t="s">
        <v>87</v>
      </c>
      <c r="Q50" s="72" t="s">
        <v>88</v>
      </c>
      <c r="R50" s="72" t="s">
        <v>109</v>
      </c>
      <c r="S50" s="72">
        <v>0</v>
      </c>
      <c r="T50" s="72" t="s">
        <v>110</v>
      </c>
      <c r="U50" s="72">
        <v>0</v>
      </c>
      <c r="V50" s="72" t="s">
        <v>95</v>
      </c>
      <c r="W50" s="72" t="s">
        <v>95</v>
      </c>
      <c r="X50" s="72" t="s">
        <v>83</v>
      </c>
      <c r="Y50" s="72">
        <v>0</v>
      </c>
      <c r="Z50" s="72">
        <v>0</v>
      </c>
      <c r="AA50" s="72">
        <v>0</v>
      </c>
      <c r="AB50" s="72">
        <v>0</v>
      </c>
      <c r="AC50" s="72">
        <v>0</v>
      </c>
      <c r="AD50" s="72">
        <v>1</v>
      </c>
      <c r="AE50" s="72">
        <v>0</v>
      </c>
      <c r="AF50" s="72">
        <v>0</v>
      </c>
      <c r="AG50" s="72" t="s">
        <v>83</v>
      </c>
      <c r="AH50" s="72">
        <v>1</v>
      </c>
      <c r="AI50" s="72">
        <v>0</v>
      </c>
      <c r="AJ50" s="72">
        <v>0</v>
      </c>
      <c r="AK50" s="72">
        <v>0</v>
      </c>
      <c r="AL50" s="72">
        <v>0</v>
      </c>
      <c r="AM50" s="72">
        <v>0</v>
      </c>
      <c r="AN50" s="72">
        <v>0</v>
      </c>
      <c r="AO50" s="72">
        <v>0</v>
      </c>
      <c r="AP50" s="72">
        <v>0</v>
      </c>
      <c r="AQ50" s="72" t="s">
        <v>199</v>
      </c>
      <c r="AR50" s="72" t="s">
        <v>200</v>
      </c>
      <c r="AS50" s="72" t="s">
        <v>201</v>
      </c>
      <c r="AT50" s="72" t="s">
        <v>96</v>
      </c>
      <c r="AU50" s="73">
        <v>0.99299999999999999</v>
      </c>
      <c r="AV50" s="73" t="s">
        <v>97</v>
      </c>
      <c r="AW50" s="72">
        <v>0.60899999999999999</v>
      </c>
      <c r="AX50" s="72" t="s">
        <v>83</v>
      </c>
      <c r="AY50" s="72">
        <v>1</v>
      </c>
      <c r="AZ50" s="72">
        <f t="shared" si="46"/>
        <v>1.6305418719211824</v>
      </c>
      <c r="BA50" s="77">
        <f t="shared" si="47"/>
        <v>1.6993202984410791</v>
      </c>
      <c r="BB50" s="72" t="s">
        <v>83</v>
      </c>
      <c r="BC50" s="72" t="s">
        <v>83</v>
      </c>
      <c r="BD50" s="72" t="s">
        <v>83</v>
      </c>
      <c r="BE50" s="72" t="s">
        <v>83</v>
      </c>
      <c r="BF50" s="72">
        <v>10000</v>
      </c>
      <c r="BG50" s="72" t="s">
        <v>83</v>
      </c>
      <c r="BH50" s="72">
        <v>189674</v>
      </c>
      <c r="BI50" s="72">
        <v>189674</v>
      </c>
      <c r="BJ50" s="72" t="s">
        <v>83</v>
      </c>
      <c r="BK50" s="72" t="s">
        <v>83</v>
      </c>
      <c r="BL50" s="72" t="s">
        <v>208</v>
      </c>
      <c r="BM50" s="72" t="s">
        <v>209</v>
      </c>
      <c r="BN50" s="72" t="s">
        <v>119</v>
      </c>
      <c r="BO50" s="72" t="s">
        <v>83</v>
      </c>
      <c r="BP50" s="72">
        <v>0</v>
      </c>
      <c r="BQ50" s="72">
        <v>0</v>
      </c>
      <c r="BR50" s="72">
        <v>0</v>
      </c>
      <c r="BS50" s="72" t="s">
        <v>83</v>
      </c>
      <c r="BT50" s="72">
        <v>0</v>
      </c>
      <c r="BU50" s="72">
        <v>0</v>
      </c>
      <c r="BV50" s="72">
        <v>0</v>
      </c>
      <c r="BW50" s="92">
        <f t="shared" si="57"/>
        <v>3.7439066416273836E-3</v>
      </c>
      <c r="BX50" s="92">
        <f t="shared" si="49"/>
        <v>3.7439241343508196E-3</v>
      </c>
      <c r="BY50" s="92">
        <f t="shared" si="58"/>
        <v>5.2722316819132118E-6</v>
      </c>
      <c r="BZ50" s="92">
        <f t="shared" si="59"/>
        <v>5.2722872763891163E-6</v>
      </c>
      <c r="CA50" s="72" t="s">
        <v>83</v>
      </c>
      <c r="CB50" s="72">
        <f t="shared" si="60"/>
        <v>189672</v>
      </c>
      <c r="CC50" s="72" t="s">
        <v>83</v>
      </c>
      <c r="CD50" s="92">
        <f t="shared" si="61"/>
        <v>3.7439066416273836E-3</v>
      </c>
      <c r="CE50" s="92">
        <f t="shared" si="54"/>
        <v>3.7439241343508196E-3</v>
      </c>
      <c r="CF50" s="92">
        <f t="shared" si="62"/>
        <v>5.2722316819132118E-6</v>
      </c>
      <c r="CG50" s="92">
        <f t="shared" si="63"/>
        <v>5.2722872763891163E-6</v>
      </c>
    </row>
    <row r="51" spans="1:87" s="72" customFormat="1" x14ac:dyDescent="0.3">
      <c r="A51" s="72" t="s">
        <v>115</v>
      </c>
      <c r="B51" s="35"/>
      <c r="C51" s="35">
        <v>1587</v>
      </c>
      <c r="D51" s="72">
        <v>520</v>
      </c>
      <c r="E51" s="72" t="s">
        <v>195</v>
      </c>
      <c r="F51" s="72">
        <v>2024</v>
      </c>
      <c r="G51" s="72" t="s">
        <v>196</v>
      </c>
      <c r="H51" s="72" t="s">
        <v>197</v>
      </c>
      <c r="I51" s="72">
        <v>2</v>
      </c>
      <c r="J51" s="72">
        <v>2015</v>
      </c>
      <c r="L51" s="72">
        <v>1299</v>
      </c>
      <c r="M51" s="72" t="s">
        <v>112</v>
      </c>
      <c r="N51" s="72" t="s">
        <v>85</v>
      </c>
      <c r="O51" s="72" t="s">
        <v>207</v>
      </c>
      <c r="P51" s="72" t="s">
        <v>87</v>
      </c>
      <c r="Q51" s="72" t="s">
        <v>88</v>
      </c>
      <c r="R51" s="72" t="s">
        <v>109</v>
      </c>
      <c r="S51" s="72">
        <v>0</v>
      </c>
      <c r="T51" s="72" t="s">
        <v>110</v>
      </c>
      <c r="U51" s="72">
        <v>0</v>
      </c>
      <c r="V51" s="72" t="s">
        <v>95</v>
      </c>
      <c r="W51" s="72" t="s">
        <v>95</v>
      </c>
      <c r="X51" s="72" t="s">
        <v>83</v>
      </c>
      <c r="Y51" s="72">
        <v>0</v>
      </c>
      <c r="Z51" s="72">
        <v>0</v>
      </c>
      <c r="AA51" s="72">
        <v>0</v>
      </c>
      <c r="AB51" s="72">
        <v>0</v>
      </c>
      <c r="AC51" s="72">
        <v>0</v>
      </c>
      <c r="AD51" s="72">
        <v>1</v>
      </c>
      <c r="AE51" s="72">
        <v>0</v>
      </c>
      <c r="AF51" s="72">
        <v>0</v>
      </c>
      <c r="AG51" s="72" t="s">
        <v>83</v>
      </c>
      <c r="AH51" s="72">
        <v>1</v>
      </c>
      <c r="AI51" s="72">
        <v>0</v>
      </c>
      <c r="AJ51" s="72">
        <v>0</v>
      </c>
      <c r="AK51" s="72">
        <v>0</v>
      </c>
      <c r="AL51" s="72">
        <v>0</v>
      </c>
      <c r="AM51" s="72">
        <v>0</v>
      </c>
      <c r="AN51" s="72">
        <v>0</v>
      </c>
      <c r="AO51" s="72">
        <v>0</v>
      </c>
      <c r="AP51" s="72">
        <v>0</v>
      </c>
      <c r="AQ51" s="72" t="s">
        <v>199</v>
      </c>
      <c r="AR51" s="72" t="s">
        <v>200</v>
      </c>
      <c r="AS51" s="72" t="s">
        <v>201</v>
      </c>
      <c r="AT51" s="72" t="s">
        <v>96</v>
      </c>
      <c r="AU51" s="73">
        <v>0.48</v>
      </c>
      <c r="AV51" s="73" t="s">
        <v>97</v>
      </c>
      <c r="AW51" s="72">
        <v>0.98299999999999998</v>
      </c>
      <c r="AX51" s="72" t="s">
        <v>83</v>
      </c>
      <c r="AY51" s="72">
        <v>1</v>
      </c>
      <c r="AZ51" s="72">
        <f t="shared" si="46"/>
        <v>0.48830111902339773</v>
      </c>
      <c r="BA51" s="77">
        <f t="shared" si="47"/>
        <v>0.61607440219289344</v>
      </c>
      <c r="BB51" s="72" t="s">
        <v>83</v>
      </c>
      <c r="BC51" s="72" t="s">
        <v>83</v>
      </c>
      <c r="BD51" s="72" t="s">
        <v>83</v>
      </c>
      <c r="BE51" s="72" t="s">
        <v>83</v>
      </c>
      <c r="BF51" s="72">
        <v>10000</v>
      </c>
      <c r="BG51" s="72" t="s">
        <v>83</v>
      </c>
      <c r="BH51" s="72">
        <v>189674</v>
      </c>
      <c r="BI51" s="72">
        <v>189674</v>
      </c>
      <c r="BJ51" s="72" t="s">
        <v>83</v>
      </c>
      <c r="BK51" s="72" t="s">
        <v>83</v>
      </c>
      <c r="BL51" s="72" t="s">
        <v>208</v>
      </c>
      <c r="BM51" s="72" t="s">
        <v>209</v>
      </c>
      <c r="BN51" s="72" t="s">
        <v>119</v>
      </c>
      <c r="BO51" s="72" t="s">
        <v>83</v>
      </c>
      <c r="BP51" s="72">
        <v>0</v>
      </c>
      <c r="BQ51" s="72">
        <v>0</v>
      </c>
      <c r="BR51" s="72">
        <v>0</v>
      </c>
      <c r="BS51" s="72" t="s">
        <v>117</v>
      </c>
      <c r="BT51" s="72">
        <v>0</v>
      </c>
      <c r="BU51" s="72">
        <v>0</v>
      </c>
      <c r="BV51" s="72">
        <v>0</v>
      </c>
      <c r="BW51" s="92">
        <f t="shared" si="57"/>
        <v>1.121201177119159E-3</v>
      </c>
      <c r="BX51" s="92">
        <f t="shared" si="49"/>
        <v>1.1212016469371478E-3</v>
      </c>
      <c r="BY51" s="92">
        <f t="shared" si="58"/>
        <v>5.2722316829407441E-6</v>
      </c>
      <c r="BZ51" s="92">
        <f t="shared" si="59"/>
        <v>5.2722872763891163E-6</v>
      </c>
      <c r="CA51" s="72" t="s">
        <v>83</v>
      </c>
      <c r="CB51" s="72">
        <f t="shared" si="60"/>
        <v>189672</v>
      </c>
      <c r="CC51" s="72" t="s">
        <v>83</v>
      </c>
      <c r="CD51" s="92">
        <f t="shared" si="61"/>
        <v>1.121201177119159E-3</v>
      </c>
      <c r="CE51" s="92">
        <f t="shared" si="54"/>
        <v>1.1212016469371478E-3</v>
      </c>
      <c r="CF51" s="92">
        <f t="shared" si="62"/>
        <v>5.2722316829407441E-6</v>
      </c>
      <c r="CG51" s="92">
        <f t="shared" si="63"/>
        <v>5.2722872763891163E-6</v>
      </c>
    </row>
    <row r="52" spans="1:87" s="72" customFormat="1" x14ac:dyDescent="0.3">
      <c r="A52" s="72" t="s">
        <v>115</v>
      </c>
      <c r="B52" s="35"/>
      <c r="C52" s="35">
        <v>1588</v>
      </c>
      <c r="D52" s="72">
        <v>520</v>
      </c>
      <c r="E52" s="72" t="s">
        <v>195</v>
      </c>
      <c r="F52" s="72">
        <v>2024</v>
      </c>
      <c r="G52" s="72" t="s">
        <v>196</v>
      </c>
      <c r="H52" s="72" t="s">
        <v>197</v>
      </c>
      <c r="I52" s="72">
        <v>2</v>
      </c>
      <c r="J52" s="72">
        <v>2015</v>
      </c>
      <c r="L52" s="72">
        <v>1299</v>
      </c>
      <c r="M52" s="72" t="s">
        <v>112</v>
      </c>
      <c r="N52" s="72" t="s">
        <v>85</v>
      </c>
      <c r="O52" s="72" t="s">
        <v>203</v>
      </c>
      <c r="P52" s="72" t="s">
        <v>87</v>
      </c>
      <c r="Q52" s="72" t="s">
        <v>88</v>
      </c>
      <c r="R52" s="72" t="s">
        <v>109</v>
      </c>
      <c r="S52" s="72">
        <v>0</v>
      </c>
      <c r="T52" s="72" t="s">
        <v>110</v>
      </c>
      <c r="U52" s="72">
        <v>0</v>
      </c>
      <c r="V52" s="72" t="s">
        <v>95</v>
      </c>
      <c r="W52" s="72" t="s">
        <v>95</v>
      </c>
      <c r="X52" s="72" t="s">
        <v>83</v>
      </c>
      <c r="Y52" s="72">
        <v>0</v>
      </c>
      <c r="Z52" s="72">
        <v>0</v>
      </c>
      <c r="AA52" s="72">
        <v>0</v>
      </c>
      <c r="AB52" s="72">
        <v>0</v>
      </c>
      <c r="AC52" s="72">
        <v>0</v>
      </c>
      <c r="AD52" s="72">
        <v>1</v>
      </c>
      <c r="AE52" s="72">
        <v>0</v>
      </c>
      <c r="AF52" s="72">
        <v>0</v>
      </c>
      <c r="AG52" s="72" t="s">
        <v>83</v>
      </c>
      <c r="AH52" s="72">
        <v>1</v>
      </c>
      <c r="AI52" s="72">
        <v>0</v>
      </c>
      <c r="AJ52" s="72">
        <v>0</v>
      </c>
      <c r="AK52" s="72">
        <v>0</v>
      </c>
      <c r="AL52" s="72">
        <v>0</v>
      </c>
      <c r="AM52" s="72">
        <v>0</v>
      </c>
      <c r="AN52" s="72">
        <v>0</v>
      </c>
      <c r="AO52" s="72">
        <v>0</v>
      </c>
      <c r="AP52" s="72">
        <v>0</v>
      </c>
      <c r="AQ52" s="72" t="s">
        <v>199</v>
      </c>
      <c r="AR52" s="72" t="s">
        <v>200</v>
      </c>
      <c r="AS52" s="72" t="s">
        <v>201</v>
      </c>
      <c r="AT52" s="72" t="s">
        <v>96</v>
      </c>
      <c r="AU52" s="73">
        <v>0.32300000000000001</v>
      </c>
      <c r="AV52" s="73" t="s">
        <v>97</v>
      </c>
      <c r="AW52" s="72">
        <v>0.218</v>
      </c>
      <c r="AX52" s="72" t="s">
        <v>83</v>
      </c>
      <c r="AY52" s="72">
        <v>1</v>
      </c>
      <c r="AZ52" s="72">
        <f t="shared" si="46"/>
        <v>1.4816513761467891</v>
      </c>
      <c r="BA52" s="77">
        <f t="shared" si="47"/>
        <v>0.38126535090563007</v>
      </c>
      <c r="BB52" s="72" t="s">
        <v>83</v>
      </c>
      <c r="BC52" s="72" t="s">
        <v>83</v>
      </c>
      <c r="BD52" s="72" t="s">
        <v>83</v>
      </c>
      <c r="BE52" s="72" t="s">
        <v>83</v>
      </c>
      <c r="BF52" s="72">
        <v>40522</v>
      </c>
      <c r="BG52" s="72" t="s">
        <v>83</v>
      </c>
      <c r="BH52" s="72">
        <v>189674</v>
      </c>
      <c r="BI52" s="72">
        <v>189674</v>
      </c>
      <c r="BJ52" s="72" t="s">
        <v>83</v>
      </c>
      <c r="BK52" s="72" t="s">
        <v>83</v>
      </c>
      <c r="BL52" s="72" t="s">
        <v>204</v>
      </c>
      <c r="BM52" s="72" t="s">
        <v>205</v>
      </c>
      <c r="BN52" s="72" t="s">
        <v>119</v>
      </c>
      <c r="BO52" s="72" t="s">
        <v>83</v>
      </c>
      <c r="BP52" s="72">
        <v>0</v>
      </c>
      <c r="BQ52" s="72">
        <v>0</v>
      </c>
      <c r="BR52" s="72">
        <v>0</v>
      </c>
      <c r="BS52" s="72" t="s">
        <v>83</v>
      </c>
      <c r="BT52" s="72">
        <v>0</v>
      </c>
      <c r="BU52" s="72">
        <v>0</v>
      </c>
      <c r="BV52" s="72">
        <v>0</v>
      </c>
      <c r="BW52" s="92">
        <f t="shared" si="57"/>
        <v>3.4020415538366117E-3</v>
      </c>
      <c r="BX52" s="92">
        <f t="shared" si="49"/>
        <v>3.4020546788757276E-3</v>
      </c>
      <c r="BY52" s="92">
        <f t="shared" si="58"/>
        <v>5.2722316822428236E-6</v>
      </c>
      <c r="BZ52" s="92">
        <f t="shared" si="59"/>
        <v>5.2722872763891163E-6</v>
      </c>
      <c r="CA52" s="72" t="s">
        <v>83</v>
      </c>
      <c r="CB52" s="72">
        <f t="shared" si="60"/>
        <v>189672</v>
      </c>
      <c r="CC52" s="72" t="s">
        <v>83</v>
      </c>
      <c r="CD52" s="92">
        <f t="shared" si="61"/>
        <v>3.4020415538366117E-3</v>
      </c>
      <c r="CE52" s="92">
        <f t="shared" si="54"/>
        <v>3.4020546788757276E-3</v>
      </c>
      <c r="CF52" s="92">
        <f t="shared" si="62"/>
        <v>5.2722316822428236E-6</v>
      </c>
      <c r="CG52" s="92">
        <f t="shared" si="63"/>
        <v>5.2722872763891163E-6</v>
      </c>
    </row>
    <row r="53" spans="1:87" s="110" customFormat="1" x14ac:dyDescent="0.3">
      <c r="A53" s="110" t="s">
        <v>115</v>
      </c>
      <c r="C53" s="103">
        <v>1596</v>
      </c>
      <c r="D53" s="110">
        <v>523</v>
      </c>
      <c r="E53" s="110" t="s">
        <v>210</v>
      </c>
      <c r="F53" s="110">
        <v>2025</v>
      </c>
      <c r="G53" s="110" t="s">
        <v>211</v>
      </c>
      <c r="H53" s="110" t="s">
        <v>212</v>
      </c>
      <c r="I53" s="110">
        <v>2</v>
      </c>
      <c r="K53" s="106" t="s">
        <v>100</v>
      </c>
      <c r="AU53" s="111"/>
      <c r="AV53" s="111"/>
      <c r="BY53" s="113"/>
      <c r="BZ53" s="114"/>
      <c r="CA53" s="114"/>
    </row>
    <row r="54" spans="1:87" s="72" customFormat="1" x14ac:dyDescent="0.3">
      <c r="A54" s="91" t="s">
        <v>120</v>
      </c>
      <c r="B54" s="35"/>
      <c r="C54" s="35">
        <v>1597</v>
      </c>
      <c r="D54" s="91">
        <v>524</v>
      </c>
      <c r="E54" s="91" t="s">
        <v>213</v>
      </c>
      <c r="F54" s="91">
        <v>2022</v>
      </c>
      <c r="G54" s="91" t="s">
        <v>214</v>
      </c>
      <c r="H54" s="91" t="s">
        <v>215</v>
      </c>
      <c r="I54" s="91">
        <v>2</v>
      </c>
      <c r="J54" s="91" t="s">
        <v>216</v>
      </c>
      <c r="K54" s="91" t="s">
        <v>83</v>
      </c>
      <c r="L54" s="91"/>
      <c r="M54" s="91" t="s">
        <v>217</v>
      </c>
      <c r="N54" s="91" t="s">
        <v>85</v>
      </c>
      <c r="O54" s="91" t="s">
        <v>121</v>
      </c>
      <c r="P54" s="91" t="s">
        <v>87</v>
      </c>
      <c r="Q54" s="91" t="s">
        <v>88</v>
      </c>
      <c r="R54" s="91" t="s">
        <v>89</v>
      </c>
      <c r="S54" s="91">
        <v>0</v>
      </c>
      <c r="T54" s="91" t="s">
        <v>110</v>
      </c>
      <c r="U54" s="91">
        <v>0</v>
      </c>
      <c r="V54" s="91" t="s">
        <v>95</v>
      </c>
      <c r="W54" s="91" t="s">
        <v>95</v>
      </c>
      <c r="X54" s="91" t="s">
        <v>218</v>
      </c>
      <c r="Y54" s="91">
        <v>0</v>
      </c>
      <c r="Z54" s="91">
        <v>0</v>
      </c>
      <c r="AA54" s="91">
        <v>0</v>
      </c>
      <c r="AB54" s="91">
        <v>1</v>
      </c>
      <c r="AC54" s="91">
        <v>0</v>
      </c>
      <c r="AD54" s="91">
        <v>0</v>
      </c>
      <c r="AE54" s="91">
        <v>0</v>
      </c>
      <c r="AF54" s="91">
        <v>0</v>
      </c>
      <c r="AG54" s="91" t="s">
        <v>219</v>
      </c>
      <c r="AH54" s="91">
        <v>0</v>
      </c>
      <c r="AI54" s="91">
        <v>0</v>
      </c>
      <c r="AJ54" s="91">
        <v>0</v>
      </c>
      <c r="AK54" s="91">
        <v>0</v>
      </c>
      <c r="AL54" s="91">
        <v>1</v>
      </c>
      <c r="AM54" s="91">
        <v>0</v>
      </c>
      <c r="AN54" s="91">
        <v>0</v>
      </c>
      <c r="AO54" s="91">
        <v>0</v>
      </c>
      <c r="AP54" s="91">
        <v>0</v>
      </c>
      <c r="AQ54" s="91" t="s">
        <v>217</v>
      </c>
      <c r="AR54" s="91" t="s">
        <v>220</v>
      </c>
      <c r="AS54" s="91" t="s">
        <v>221</v>
      </c>
      <c r="AT54" s="91" t="s">
        <v>187</v>
      </c>
      <c r="AU54" s="91">
        <v>8.0000000000000002E-3</v>
      </c>
      <c r="AV54" s="91" t="s">
        <v>97</v>
      </c>
      <c r="AW54" s="91">
        <v>3.0000000000000001E-3</v>
      </c>
      <c r="AX54" s="91">
        <v>0.01</v>
      </c>
      <c r="AY54" s="91">
        <v>3</v>
      </c>
      <c r="AZ54" s="91">
        <f>(AU54/AW54)</f>
        <v>2.6666666666666665</v>
      </c>
      <c r="BA54" s="93" t="s">
        <v>83</v>
      </c>
      <c r="BB54" s="91" t="s">
        <v>83</v>
      </c>
      <c r="BC54" s="91">
        <v>16521</v>
      </c>
      <c r="BD54" s="91"/>
      <c r="BE54" s="91" t="s">
        <v>83</v>
      </c>
      <c r="BF54" s="91">
        <v>15040</v>
      </c>
      <c r="BG54" s="91" t="s">
        <v>83</v>
      </c>
      <c r="BH54" s="91">
        <v>31561</v>
      </c>
      <c r="BI54" s="91">
        <v>220915</v>
      </c>
      <c r="BJ54" s="91" t="s">
        <v>83</v>
      </c>
      <c r="BK54" s="91" t="s">
        <v>83</v>
      </c>
      <c r="BL54" s="91" t="s">
        <v>222</v>
      </c>
      <c r="BM54" s="91" t="s">
        <v>83</v>
      </c>
      <c r="BN54" s="91" t="s">
        <v>223</v>
      </c>
      <c r="BO54" s="91" t="s">
        <v>83</v>
      </c>
      <c r="BP54" s="91" t="s">
        <v>83</v>
      </c>
      <c r="BQ54" s="91" t="s">
        <v>83</v>
      </c>
      <c r="BR54" s="91" t="s">
        <v>83</v>
      </c>
      <c r="BS54" s="91" t="s">
        <v>83</v>
      </c>
      <c r="BT54" s="91">
        <v>0</v>
      </c>
      <c r="BU54" s="91">
        <v>0</v>
      </c>
      <c r="BV54" s="91">
        <v>1</v>
      </c>
      <c r="BW54" s="92">
        <f t="shared" ref="BW54" si="64">((AZ54^2)/(AZ54^2+BH54))^(1/2)</f>
        <v>1.5008746902698976E-2</v>
      </c>
      <c r="BX54" s="92">
        <f t="shared" si="49"/>
        <v>1.5009874024242769E-2</v>
      </c>
      <c r="BY54" s="92">
        <f t="shared" ref="BY54" si="65">((1-(BX54^2)^2)/(BH54-1))</f>
        <v>3.168567646519547E-5</v>
      </c>
      <c r="BZ54" s="92">
        <f t="shared" ref="BZ54" si="66">1/(BH54-3)</f>
        <v>3.1687686165156219E-5</v>
      </c>
      <c r="CA54" s="72" t="s">
        <v>83</v>
      </c>
      <c r="CB54" s="72">
        <f t="shared" ref="CB54" si="67">BH54-2</f>
        <v>31559</v>
      </c>
      <c r="CC54" s="72" t="s">
        <v>83</v>
      </c>
      <c r="CD54" s="92">
        <f t="shared" ref="CD54" si="68">((AZ54^2)/(AZ54^2+BI54))^(1/2)</f>
        <v>5.6734749275037782E-3</v>
      </c>
      <c r="CE54" s="92">
        <f t="shared" si="54"/>
        <v>5.6735358018840934E-3</v>
      </c>
      <c r="CF54" s="92">
        <f t="shared" ref="CF54" si="69">((1-(CE54^2)^2)/(BI54-1))</f>
        <v>4.5266483743170092E-6</v>
      </c>
      <c r="CG54" s="92">
        <f t="shared" ref="CG54" si="70">1/(BI54-3)</f>
        <v>4.5266893604693271E-6</v>
      </c>
    </row>
    <row r="55" spans="1:87" s="72" customFormat="1" x14ac:dyDescent="0.3">
      <c r="A55" s="91" t="s">
        <v>120</v>
      </c>
      <c r="B55" s="35"/>
      <c r="C55" s="35">
        <v>1598</v>
      </c>
      <c r="D55" s="91">
        <v>524</v>
      </c>
      <c r="E55" s="91" t="s">
        <v>213</v>
      </c>
      <c r="F55" s="91">
        <v>2022</v>
      </c>
      <c r="G55" s="91" t="s">
        <v>214</v>
      </c>
      <c r="H55" s="91" t="s">
        <v>215</v>
      </c>
      <c r="I55" s="91">
        <v>2</v>
      </c>
      <c r="J55" s="91" t="s">
        <v>216</v>
      </c>
      <c r="K55" s="91" t="s">
        <v>83</v>
      </c>
      <c r="L55" s="91"/>
      <c r="M55" s="91" t="s">
        <v>217</v>
      </c>
      <c r="N55" s="91" t="s">
        <v>85</v>
      </c>
      <c r="O55" s="91" t="s">
        <v>121</v>
      </c>
      <c r="P55" s="91" t="s">
        <v>87</v>
      </c>
      <c r="Q55" s="91" t="s">
        <v>88</v>
      </c>
      <c r="R55" s="91" t="s">
        <v>89</v>
      </c>
      <c r="S55" s="91">
        <v>0</v>
      </c>
      <c r="T55" s="91" t="s">
        <v>110</v>
      </c>
      <c r="U55" s="91">
        <v>0</v>
      </c>
      <c r="V55" s="91" t="s">
        <v>95</v>
      </c>
      <c r="W55" s="91" t="s">
        <v>95</v>
      </c>
      <c r="X55" s="91" t="s">
        <v>218</v>
      </c>
      <c r="Y55" s="91">
        <v>0</v>
      </c>
      <c r="Z55" s="91">
        <v>0</v>
      </c>
      <c r="AA55" s="91">
        <v>0</v>
      </c>
      <c r="AB55" s="91">
        <v>1</v>
      </c>
      <c r="AC55" s="91">
        <v>0</v>
      </c>
      <c r="AD55" s="91">
        <v>0</v>
      </c>
      <c r="AE55" s="91">
        <v>0</v>
      </c>
      <c r="AF55" s="91">
        <v>0</v>
      </c>
      <c r="AG55" s="91" t="s">
        <v>219</v>
      </c>
      <c r="AH55" s="91">
        <v>0</v>
      </c>
      <c r="AI55" s="91">
        <v>0</v>
      </c>
      <c r="AJ55" s="91">
        <v>0</v>
      </c>
      <c r="AK55" s="91">
        <v>0</v>
      </c>
      <c r="AL55" s="91">
        <v>1</v>
      </c>
      <c r="AM55" s="91">
        <v>0</v>
      </c>
      <c r="AN55" s="91">
        <v>0</v>
      </c>
      <c r="AO55" s="91">
        <v>0</v>
      </c>
      <c r="AP55" s="91">
        <v>0</v>
      </c>
      <c r="AQ55" s="91" t="s">
        <v>217</v>
      </c>
      <c r="AR55" s="91" t="s">
        <v>220</v>
      </c>
      <c r="AS55" s="91" t="s">
        <v>221</v>
      </c>
      <c r="AT55" s="91" t="s">
        <v>187</v>
      </c>
      <c r="AU55" s="91">
        <v>1.2999999999999999E-2</v>
      </c>
      <c r="AV55" s="91" t="s">
        <v>97</v>
      </c>
      <c r="AW55" s="91">
        <v>3.0000000000000001E-3</v>
      </c>
      <c r="AX55" s="91">
        <v>0.01</v>
      </c>
      <c r="AY55" s="91">
        <v>3</v>
      </c>
      <c r="AZ55" s="91">
        <f t="shared" ref="AZ55:AZ59" si="71">(AU55/AW55)</f>
        <v>4.333333333333333</v>
      </c>
      <c r="BA55" s="93">
        <v>0.11</v>
      </c>
      <c r="BB55" s="91" t="s">
        <v>83</v>
      </c>
      <c r="BC55" s="91">
        <v>16521</v>
      </c>
      <c r="BD55" s="91"/>
      <c r="BE55" s="91" t="s">
        <v>83</v>
      </c>
      <c r="BF55" s="91">
        <v>15040</v>
      </c>
      <c r="BG55" s="91" t="s">
        <v>83</v>
      </c>
      <c r="BH55" s="91">
        <v>31561</v>
      </c>
      <c r="BI55" s="91">
        <v>220915</v>
      </c>
      <c r="BJ55" s="91" t="s">
        <v>83</v>
      </c>
      <c r="BK55" s="91" t="s">
        <v>83</v>
      </c>
      <c r="BL55" s="91" t="s">
        <v>222</v>
      </c>
      <c r="BM55" s="91" t="s">
        <v>83</v>
      </c>
      <c r="BN55" s="91" t="s">
        <v>223</v>
      </c>
      <c r="BO55" s="91" t="s">
        <v>83</v>
      </c>
      <c r="BP55" s="91" t="s">
        <v>83</v>
      </c>
      <c r="BQ55" s="91" t="s">
        <v>83</v>
      </c>
      <c r="BR55" s="91" t="s">
        <v>83</v>
      </c>
      <c r="BS55" s="91" t="s">
        <v>83</v>
      </c>
      <c r="BT55" s="91">
        <v>0</v>
      </c>
      <c r="BU55" s="91">
        <v>0</v>
      </c>
      <c r="BV55" s="91">
        <v>1</v>
      </c>
      <c r="BW55" s="92">
        <f t="shared" ref="BW55:BW59" si="72">((AZ55^2)/(AZ55^2+BH55))^(1/2)</f>
        <v>2.4384708189434518E-2</v>
      </c>
      <c r="BX55" s="92">
        <f t="shared" si="49"/>
        <v>2.4389543077392471E-2</v>
      </c>
      <c r="BY55" s="92">
        <f t="shared" ref="BY55:BY59" si="73">((1-(BX55^2)^2)/(BH55-1))</f>
        <v>3.168566686165088E-5</v>
      </c>
      <c r="BZ55" s="92">
        <f t="shared" ref="BZ55:BZ59" si="74">1/(BH55-3)</f>
        <v>3.1687686165156219E-5</v>
      </c>
      <c r="CA55" s="72" t="s">
        <v>83</v>
      </c>
      <c r="CB55" s="72">
        <f t="shared" ref="CB55:CB59" si="75">BH55-2</f>
        <v>31559</v>
      </c>
      <c r="CC55" s="72" t="s">
        <v>83</v>
      </c>
      <c r="CD55" s="92">
        <f t="shared" ref="CD55:CD59" si="76">((AZ55^2)/(AZ55^2+BI55))^(1/2)</f>
        <v>9.2191533334629941E-3</v>
      </c>
      <c r="CE55" s="92">
        <f t="shared" si="54"/>
        <v>9.2194145339653845E-3</v>
      </c>
      <c r="CF55" s="92">
        <f t="shared" ref="CF55:CF59" si="77">((1-(CE55^2)^2)/(BI55-1))</f>
        <v>4.5266483463040245E-6</v>
      </c>
      <c r="CG55" s="92">
        <f t="shared" ref="CG55:CG59" si="78">1/(BI55-3)</f>
        <v>4.5266893604693271E-6</v>
      </c>
    </row>
    <row r="56" spans="1:87" s="72" customFormat="1" x14ac:dyDescent="0.3">
      <c r="A56" s="91" t="s">
        <v>120</v>
      </c>
      <c r="B56" s="35"/>
      <c r="C56" s="35">
        <v>1599</v>
      </c>
      <c r="D56" s="91">
        <v>524</v>
      </c>
      <c r="E56" s="91" t="s">
        <v>213</v>
      </c>
      <c r="F56" s="91">
        <v>2022</v>
      </c>
      <c r="G56" s="91" t="s">
        <v>214</v>
      </c>
      <c r="H56" s="91" t="s">
        <v>215</v>
      </c>
      <c r="I56" s="91">
        <v>2</v>
      </c>
      <c r="J56" s="91" t="s">
        <v>216</v>
      </c>
      <c r="K56" s="91" t="s">
        <v>83</v>
      </c>
      <c r="L56" s="91"/>
      <c r="M56" s="91" t="s">
        <v>217</v>
      </c>
      <c r="N56" s="91" t="s">
        <v>85</v>
      </c>
      <c r="O56" s="91" t="s">
        <v>121</v>
      </c>
      <c r="P56" s="91" t="s">
        <v>87</v>
      </c>
      <c r="Q56" s="91" t="s">
        <v>88</v>
      </c>
      <c r="R56" s="91" t="s">
        <v>89</v>
      </c>
      <c r="S56" s="91">
        <v>0</v>
      </c>
      <c r="T56" s="91" t="s">
        <v>110</v>
      </c>
      <c r="U56" s="91">
        <v>0</v>
      </c>
      <c r="V56" s="91" t="s">
        <v>95</v>
      </c>
      <c r="W56" s="91" t="s">
        <v>95</v>
      </c>
      <c r="X56" s="91" t="s">
        <v>218</v>
      </c>
      <c r="Y56" s="91">
        <v>0</v>
      </c>
      <c r="Z56" s="91">
        <v>0</v>
      </c>
      <c r="AA56" s="91">
        <v>0</v>
      </c>
      <c r="AB56" s="91">
        <v>1</v>
      </c>
      <c r="AC56" s="91">
        <v>0</v>
      </c>
      <c r="AD56" s="91">
        <v>0</v>
      </c>
      <c r="AE56" s="91">
        <v>0</v>
      </c>
      <c r="AF56" s="91">
        <v>0</v>
      </c>
      <c r="AG56" s="91" t="s">
        <v>219</v>
      </c>
      <c r="AH56" s="91">
        <v>0</v>
      </c>
      <c r="AI56" s="91">
        <v>0</v>
      </c>
      <c r="AJ56" s="91">
        <v>0</v>
      </c>
      <c r="AK56" s="91">
        <v>0</v>
      </c>
      <c r="AL56" s="91">
        <v>1</v>
      </c>
      <c r="AM56" s="91">
        <v>0</v>
      </c>
      <c r="AN56" s="91">
        <v>0</v>
      </c>
      <c r="AO56" s="91">
        <v>0</v>
      </c>
      <c r="AP56" s="91">
        <v>0</v>
      </c>
      <c r="AQ56" s="91" t="s">
        <v>217</v>
      </c>
      <c r="AR56" s="91" t="s">
        <v>220</v>
      </c>
      <c r="AS56" s="91" t="s">
        <v>221</v>
      </c>
      <c r="AT56" s="91" t="s">
        <v>187</v>
      </c>
      <c r="AU56" s="91">
        <v>1.7000000000000001E-2</v>
      </c>
      <c r="AV56" s="91" t="s">
        <v>97</v>
      </c>
      <c r="AW56" s="91">
        <v>3.0000000000000001E-3</v>
      </c>
      <c r="AX56" s="91">
        <v>0.01</v>
      </c>
      <c r="AY56" s="91">
        <v>3</v>
      </c>
      <c r="AZ56" s="91">
        <f t="shared" si="71"/>
        <v>5.666666666666667</v>
      </c>
      <c r="BA56" s="93" t="s">
        <v>83</v>
      </c>
      <c r="BB56" s="91" t="s">
        <v>83</v>
      </c>
      <c r="BC56" s="91">
        <v>16521</v>
      </c>
      <c r="BD56" s="91"/>
      <c r="BE56" s="91" t="s">
        <v>83</v>
      </c>
      <c r="BF56" s="91">
        <v>15040</v>
      </c>
      <c r="BG56" s="91" t="s">
        <v>83</v>
      </c>
      <c r="BH56" s="91">
        <v>31561</v>
      </c>
      <c r="BI56" s="91">
        <v>220915</v>
      </c>
      <c r="BJ56" s="91" t="s">
        <v>83</v>
      </c>
      <c r="BK56" s="91" t="s">
        <v>83</v>
      </c>
      <c r="BL56" s="91" t="s">
        <v>222</v>
      </c>
      <c r="BM56" s="91" t="s">
        <v>83</v>
      </c>
      <c r="BN56" s="91" t="s">
        <v>223</v>
      </c>
      <c r="BO56" s="91" t="s">
        <v>83</v>
      </c>
      <c r="BP56" s="91" t="s">
        <v>83</v>
      </c>
      <c r="BQ56" s="91" t="s">
        <v>83</v>
      </c>
      <c r="BR56" s="91" t="s">
        <v>83</v>
      </c>
      <c r="BS56" s="91" t="s">
        <v>83</v>
      </c>
      <c r="BT56" s="91">
        <v>0</v>
      </c>
      <c r="BU56" s="91">
        <v>0</v>
      </c>
      <c r="BV56" s="91">
        <v>1</v>
      </c>
      <c r="BW56" s="92">
        <f t="shared" si="72"/>
        <v>3.1880965785762022E-2</v>
      </c>
      <c r="BX56" s="92">
        <f t="shared" si="49"/>
        <v>3.1891773606024784E-2</v>
      </c>
      <c r="BY56" s="92">
        <f t="shared" si="73"/>
        <v>3.1685645295869696E-5</v>
      </c>
      <c r="BZ56" s="92">
        <f t="shared" si="74"/>
        <v>3.1687686165156219E-5</v>
      </c>
      <c r="CA56" s="72" t="s">
        <v>83</v>
      </c>
      <c r="CB56" s="72">
        <f t="shared" si="75"/>
        <v>31559</v>
      </c>
      <c r="CC56" s="72" t="s">
        <v>83</v>
      </c>
      <c r="CD56" s="92">
        <f t="shared" si="76"/>
        <v>1.2055452130375573E-2</v>
      </c>
      <c r="CE56" s="92">
        <f t="shared" si="54"/>
        <v>1.2056036203370622E-2</v>
      </c>
      <c r="CF56" s="92">
        <f t="shared" si="77"/>
        <v>4.5266482833770439E-6</v>
      </c>
      <c r="CG56" s="92">
        <f t="shared" si="78"/>
        <v>4.5266893604693271E-6</v>
      </c>
    </row>
    <row r="57" spans="1:87" s="72" customFormat="1" x14ac:dyDescent="0.3">
      <c r="A57" s="91" t="s">
        <v>120</v>
      </c>
      <c r="B57" s="35"/>
      <c r="C57" s="35">
        <v>1600</v>
      </c>
      <c r="D57" s="91">
        <v>524</v>
      </c>
      <c r="E57" s="91" t="s">
        <v>213</v>
      </c>
      <c r="F57" s="91">
        <v>2022</v>
      </c>
      <c r="G57" s="91" t="s">
        <v>214</v>
      </c>
      <c r="H57" s="91" t="s">
        <v>215</v>
      </c>
      <c r="I57" s="91">
        <v>2</v>
      </c>
      <c r="J57" s="91" t="s">
        <v>216</v>
      </c>
      <c r="K57" s="91" t="s">
        <v>83</v>
      </c>
      <c r="L57" s="91"/>
      <c r="M57" s="91" t="s">
        <v>84</v>
      </c>
      <c r="N57" s="91" t="s">
        <v>85</v>
      </c>
      <c r="O57" s="91" t="s">
        <v>121</v>
      </c>
      <c r="P57" s="91" t="s">
        <v>87</v>
      </c>
      <c r="Q57" s="91" t="s">
        <v>88</v>
      </c>
      <c r="R57" s="91" t="s">
        <v>89</v>
      </c>
      <c r="S57" s="91">
        <v>0</v>
      </c>
      <c r="T57" s="91" t="s">
        <v>110</v>
      </c>
      <c r="U57" s="91">
        <v>0</v>
      </c>
      <c r="V57" s="91" t="s">
        <v>95</v>
      </c>
      <c r="W57" s="91" t="s">
        <v>95</v>
      </c>
      <c r="X57" s="91" t="s">
        <v>218</v>
      </c>
      <c r="Y57" s="91">
        <v>0</v>
      </c>
      <c r="Z57" s="91">
        <v>0</v>
      </c>
      <c r="AA57" s="91">
        <v>0</v>
      </c>
      <c r="AB57" s="91">
        <v>1</v>
      </c>
      <c r="AC57" s="91">
        <v>0</v>
      </c>
      <c r="AD57" s="91">
        <v>0</v>
      </c>
      <c r="AE57" s="91">
        <v>0</v>
      </c>
      <c r="AF57" s="91">
        <v>0</v>
      </c>
      <c r="AG57" s="91" t="s">
        <v>219</v>
      </c>
      <c r="AH57" s="91">
        <v>0</v>
      </c>
      <c r="AI57" s="91">
        <v>0</v>
      </c>
      <c r="AJ57" s="91">
        <v>0</v>
      </c>
      <c r="AK57" s="91">
        <v>0</v>
      </c>
      <c r="AL57" s="91">
        <v>1</v>
      </c>
      <c r="AM57" s="91">
        <v>0</v>
      </c>
      <c r="AN57" s="91">
        <v>0</v>
      </c>
      <c r="AO57" s="91">
        <v>0</v>
      </c>
      <c r="AP57" s="91">
        <v>0</v>
      </c>
      <c r="AQ57" s="91" t="s">
        <v>224</v>
      </c>
      <c r="AR57" s="91" t="s">
        <v>83</v>
      </c>
      <c r="AS57" s="91" t="s">
        <v>225</v>
      </c>
      <c r="AT57" s="91" t="s">
        <v>83</v>
      </c>
      <c r="AU57" s="91">
        <v>0.01</v>
      </c>
      <c r="AV57" s="91" t="s">
        <v>97</v>
      </c>
      <c r="AW57" s="91">
        <v>6.0000000000000001E-3</v>
      </c>
      <c r="AX57" s="91">
        <v>0.1</v>
      </c>
      <c r="AY57" s="91">
        <v>3</v>
      </c>
      <c r="AZ57" s="91">
        <f t="shared" si="71"/>
        <v>1.6666666666666667</v>
      </c>
      <c r="BA57" s="93" t="s">
        <v>83</v>
      </c>
      <c r="BB57" s="91" t="s">
        <v>83</v>
      </c>
      <c r="BC57" s="91">
        <v>16521</v>
      </c>
      <c r="BD57" s="91"/>
      <c r="BE57" s="91" t="s">
        <v>83</v>
      </c>
      <c r="BF57" s="91">
        <v>15040</v>
      </c>
      <c r="BG57" s="91" t="s">
        <v>83</v>
      </c>
      <c r="BH57" s="91">
        <v>3247</v>
      </c>
      <c r="BI57" s="91">
        <v>22729</v>
      </c>
      <c r="BJ57" s="91" t="s">
        <v>83</v>
      </c>
      <c r="BK57" s="91" t="s">
        <v>83</v>
      </c>
      <c r="BL57" s="91" t="s">
        <v>222</v>
      </c>
      <c r="BM57" s="91" t="s">
        <v>83</v>
      </c>
      <c r="BN57" s="91" t="s">
        <v>223</v>
      </c>
      <c r="BO57" s="91" t="s">
        <v>83</v>
      </c>
      <c r="BP57" s="91" t="s">
        <v>83</v>
      </c>
      <c r="BQ57" s="91" t="s">
        <v>83</v>
      </c>
      <c r="BR57" s="91" t="s">
        <v>83</v>
      </c>
      <c r="BS57" s="91" t="s">
        <v>83</v>
      </c>
      <c r="BT57" s="91">
        <v>0</v>
      </c>
      <c r="BU57" s="91">
        <v>0</v>
      </c>
      <c r="BV57" s="91">
        <v>1</v>
      </c>
      <c r="BW57" s="92">
        <f t="shared" si="72"/>
        <v>2.9236266857811749E-2</v>
      </c>
      <c r="BX57" s="92">
        <f t="shared" si="49"/>
        <v>2.9244601122833013E-2</v>
      </c>
      <c r="BY57" s="92">
        <f t="shared" si="73"/>
        <v>3.0807124724371258E-4</v>
      </c>
      <c r="BZ57" s="92">
        <f t="shared" si="74"/>
        <v>3.0826140567200987E-4</v>
      </c>
      <c r="CA57" s="72" t="s">
        <v>83</v>
      </c>
      <c r="CB57" s="72">
        <f t="shared" si="75"/>
        <v>3245</v>
      </c>
      <c r="CC57" s="72" t="s">
        <v>83</v>
      </c>
      <c r="CD57" s="92">
        <f t="shared" si="76"/>
        <v>1.1054320416160293E-2</v>
      </c>
      <c r="CE57" s="92">
        <f t="shared" si="54"/>
        <v>1.1054770721124837E-2</v>
      </c>
      <c r="CF57" s="92">
        <f t="shared" si="77"/>
        <v>4.3998591387945072E-5</v>
      </c>
      <c r="CG57" s="92">
        <f t="shared" si="78"/>
        <v>4.4002464137991729E-5</v>
      </c>
    </row>
    <row r="58" spans="1:87" s="72" customFormat="1" x14ac:dyDescent="0.3">
      <c r="A58" s="91" t="s">
        <v>120</v>
      </c>
      <c r="B58" s="35"/>
      <c r="C58" s="35">
        <v>1601</v>
      </c>
      <c r="D58" s="91">
        <v>524</v>
      </c>
      <c r="E58" s="91" t="s">
        <v>213</v>
      </c>
      <c r="F58" s="91">
        <v>2022</v>
      </c>
      <c r="G58" s="91" t="s">
        <v>214</v>
      </c>
      <c r="H58" s="91" t="s">
        <v>215</v>
      </c>
      <c r="I58" s="91">
        <v>2</v>
      </c>
      <c r="J58" s="91" t="s">
        <v>216</v>
      </c>
      <c r="K58" s="91" t="s">
        <v>83</v>
      </c>
      <c r="L58" s="91"/>
      <c r="M58" s="91" t="s">
        <v>84</v>
      </c>
      <c r="N58" s="91" t="s">
        <v>85</v>
      </c>
      <c r="O58" s="91" t="s">
        <v>121</v>
      </c>
      <c r="P58" s="91" t="s">
        <v>87</v>
      </c>
      <c r="Q58" s="91" t="s">
        <v>88</v>
      </c>
      <c r="R58" s="91" t="s">
        <v>89</v>
      </c>
      <c r="S58" s="91">
        <v>0</v>
      </c>
      <c r="T58" s="91" t="s">
        <v>110</v>
      </c>
      <c r="U58" s="91">
        <v>0</v>
      </c>
      <c r="V58" s="91" t="s">
        <v>95</v>
      </c>
      <c r="W58" s="91" t="s">
        <v>95</v>
      </c>
      <c r="X58" s="91" t="s">
        <v>218</v>
      </c>
      <c r="Y58" s="91">
        <v>0</v>
      </c>
      <c r="Z58" s="91">
        <v>0</v>
      </c>
      <c r="AA58" s="91">
        <v>0</v>
      </c>
      <c r="AB58" s="91">
        <v>1</v>
      </c>
      <c r="AC58" s="91">
        <v>0</v>
      </c>
      <c r="AD58" s="91">
        <v>0</v>
      </c>
      <c r="AE58" s="91">
        <v>0</v>
      </c>
      <c r="AF58" s="91">
        <v>0</v>
      </c>
      <c r="AG58" s="91" t="s">
        <v>219</v>
      </c>
      <c r="AH58" s="91">
        <v>0</v>
      </c>
      <c r="AI58" s="91">
        <v>0</v>
      </c>
      <c r="AJ58" s="91">
        <v>0</v>
      </c>
      <c r="AK58" s="91">
        <v>0</v>
      </c>
      <c r="AL58" s="91">
        <v>1</v>
      </c>
      <c r="AM58" s="91">
        <v>0</v>
      </c>
      <c r="AN58" s="91">
        <v>0</v>
      </c>
      <c r="AO58" s="91">
        <v>0</v>
      </c>
      <c r="AP58" s="91">
        <v>0</v>
      </c>
      <c r="AQ58" s="91" t="s">
        <v>224</v>
      </c>
      <c r="AR58" s="91" t="s">
        <v>83</v>
      </c>
      <c r="AS58" s="91" t="s">
        <v>225</v>
      </c>
      <c r="AT58" s="91" t="s">
        <v>83</v>
      </c>
      <c r="AU58" s="91">
        <v>1.2E-2</v>
      </c>
      <c r="AV58" s="91" t="s">
        <v>97</v>
      </c>
      <c r="AW58" s="91">
        <v>4.0000000000000001E-3</v>
      </c>
      <c r="AX58" s="91">
        <v>0.01</v>
      </c>
      <c r="AY58" s="91">
        <v>3</v>
      </c>
      <c r="AZ58" s="91">
        <f t="shared" si="71"/>
        <v>3</v>
      </c>
      <c r="BA58" s="93">
        <v>6.7000000000000004E-2</v>
      </c>
      <c r="BB58" s="91" t="s">
        <v>83</v>
      </c>
      <c r="BC58" s="91">
        <v>16521</v>
      </c>
      <c r="BD58" s="91"/>
      <c r="BE58" s="91" t="s">
        <v>83</v>
      </c>
      <c r="BF58" s="91">
        <v>15040</v>
      </c>
      <c r="BG58" s="91" t="s">
        <v>83</v>
      </c>
      <c r="BH58" s="91">
        <v>3247</v>
      </c>
      <c r="BI58" s="91">
        <v>22729</v>
      </c>
      <c r="BJ58" s="91" t="s">
        <v>83</v>
      </c>
      <c r="BK58" s="91" t="s">
        <v>83</v>
      </c>
      <c r="BL58" s="91" t="s">
        <v>222</v>
      </c>
      <c r="BM58" s="91" t="s">
        <v>83</v>
      </c>
      <c r="BN58" s="91" t="s">
        <v>223</v>
      </c>
      <c r="BO58" s="91" t="s">
        <v>83</v>
      </c>
      <c r="BP58" s="91" t="s">
        <v>83</v>
      </c>
      <c r="BQ58" s="91" t="s">
        <v>83</v>
      </c>
      <c r="BR58" s="91" t="s">
        <v>83</v>
      </c>
      <c r="BS58" s="91" t="s">
        <v>83</v>
      </c>
      <c r="BT58" s="91">
        <v>0</v>
      </c>
      <c r="BU58" s="91">
        <v>0</v>
      </c>
      <c r="BV58" s="91">
        <v>1</v>
      </c>
      <c r="BW58" s="92">
        <f t="shared" si="72"/>
        <v>5.2574972792458617E-2</v>
      </c>
      <c r="BX58" s="92">
        <f t="shared" si="49"/>
        <v>5.2623494604206032E-2</v>
      </c>
      <c r="BY58" s="92">
        <f t="shared" si="73"/>
        <v>3.0806911009029859E-4</v>
      </c>
      <c r="BZ58" s="92">
        <f t="shared" si="74"/>
        <v>3.0826140567200987E-4</v>
      </c>
      <c r="CA58" s="72" t="s">
        <v>83</v>
      </c>
      <c r="CB58" s="72">
        <f t="shared" si="75"/>
        <v>3245</v>
      </c>
      <c r="CC58" s="72" t="s">
        <v>83</v>
      </c>
      <c r="CD58" s="92">
        <f t="shared" si="76"/>
        <v>1.9895054063280217E-2</v>
      </c>
      <c r="CE58" s="92">
        <f t="shared" si="54"/>
        <v>1.9897679595020153E-2</v>
      </c>
      <c r="CF58" s="92">
        <f t="shared" si="77"/>
        <v>4.3998585148240579E-5</v>
      </c>
      <c r="CG58" s="92">
        <f t="shared" si="78"/>
        <v>4.4002464137991729E-5</v>
      </c>
      <c r="CH58" s="92"/>
      <c r="CI58" s="92"/>
    </row>
    <row r="59" spans="1:87" s="72" customFormat="1" x14ac:dyDescent="0.3">
      <c r="A59" s="91" t="s">
        <v>120</v>
      </c>
      <c r="B59" s="35"/>
      <c r="C59" s="35">
        <v>1602</v>
      </c>
      <c r="D59" s="91">
        <v>524</v>
      </c>
      <c r="E59" s="91" t="s">
        <v>213</v>
      </c>
      <c r="F59" s="91">
        <v>2022</v>
      </c>
      <c r="G59" s="91" t="s">
        <v>214</v>
      </c>
      <c r="H59" s="91" t="s">
        <v>215</v>
      </c>
      <c r="I59" s="91">
        <v>2</v>
      </c>
      <c r="J59" s="91" t="s">
        <v>216</v>
      </c>
      <c r="K59" s="91" t="s">
        <v>83</v>
      </c>
      <c r="L59" s="91"/>
      <c r="M59" s="91" t="s">
        <v>84</v>
      </c>
      <c r="N59" s="91" t="s">
        <v>85</v>
      </c>
      <c r="O59" s="91" t="s">
        <v>121</v>
      </c>
      <c r="P59" s="91" t="s">
        <v>87</v>
      </c>
      <c r="Q59" s="91" t="s">
        <v>88</v>
      </c>
      <c r="R59" s="91" t="s">
        <v>89</v>
      </c>
      <c r="S59" s="91">
        <v>0</v>
      </c>
      <c r="T59" s="91" t="s">
        <v>110</v>
      </c>
      <c r="U59" s="91">
        <v>0</v>
      </c>
      <c r="V59" s="91" t="s">
        <v>95</v>
      </c>
      <c r="W59" s="91" t="s">
        <v>95</v>
      </c>
      <c r="X59" s="91" t="s">
        <v>218</v>
      </c>
      <c r="Y59" s="91">
        <v>0</v>
      </c>
      <c r="Z59" s="91">
        <v>0</v>
      </c>
      <c r="AA59" s="91">
        <v>0</v>
      </c>
      <c r="AB59" s="91">
        <v>1</v>
      </c>
      <c r="AC59" s="91">
        <v>0</v>
      </c>
      <c r="AD59" s="91">
        <v>0</v>
      </c>
      <c r="AE59" s="91">
        <v>0</v>
      </c>
      <c r="AF59" s="91">
        <v>0</v>
      </c>
      <c r="AG59" s="91" t="s">
        <v>219</v>
      </c>
      <c r="AH59" s="91">
        <v>0</v>
      </c>
      <c r="AI59" s="91">
        <v>0</v>
      </c>
      <c r="AJ59" s="91">
        <v>0</v>
      </c>
      <c r="AK59" s="91">
        <v>0</v>
      </c>
      <c r="AL59" s="91">
        <v>1</v>
      </c>
      <c r="AM59" s="91">
        <v>0</v>
      </c>
      <c r="AN59" s="91">
        <v>0</v>
      </c>
      <c r="AO59" s="91">
        <v>0</v>
      </c>
      <c r="AP59" s="91">
        <v>0</v>
      </c>
      <c r="AQ59" s="91" t="s">
        <v>224</v>
      </c>
      <c r="AR59" s="91" t="s">
        <v>83</v>
      </c>
      <c r="AS59" s="91" t="s">
        <v>225</v>
      </c>
      <c r="AT59" s="91" t="s">
        <v>83</v>
      </c>
      <c r="AU59" s="91">
        <v>2.1999999999999999E-2</v>
      </c>
      <c r="AV59" s="91" t="s">
        <v>97</v>
      </c>
      <c r="AW59" s="91">
        <v>6.0000000000000001E-3</v>
      </c>
      <c r="AX59" s="91">
        <v>0.01</v>
      </c>
      <c r="AY59" s="91">
        <v>3</v>
      </c>
      <c r="AZ59" s="91">
        <f t="shared" si="71"/>
        <v>3.6666666666666665</v>
      </c>
      <c r="BA59" s="93" t="s">
        <v>83</v>
      </c>
      <c r="BB59" s="91" t="s">
        <v>83</v>
      </c>
      <c r="BC59" s="91">
        <v>16521</v>
      </c>
      <c r="BD59" s="91"/>
      <c r="BE59" s="91" t="s">
        <v>83</v>
      </c>
      <c r="BF59" s="91">
        <v>15040</v>
      </c>
      <c r="BG59" s="91" t="s">
        <v>83</v>
      </c>
      <c r="BH59" s="91">
        <v>3247</v>
      </c>
      <c r="BI59" s="91">
        <v>22729</v>
      </c>
      <c r="BJ59" s="91" t="s">
        <v>83</v>
      </c>
      <c r="BK59" s="91" t="s">
        <v>83</v>
      </c>
      <c r="BL59" s="91" t="s">
        <v>222</v>
      </c>
      <c r="BM59" s="91" t="s">
        <v>83</v>
      </c>
      <c r="BN59" s="91" t="s">
        <v>223</v>
      </c>
      <c r="BO59" s="91" t="s">
        <v>83</v>
      </c>
      <c r="BP59" s="91" t="s">
        <v>83</v>
      </c>
      <c r="BQ59" s="91" t="s">
        <v>83</v>
      </c>
      <c r="BR59" s="91" t="s">
        <v>83</v>
      </c>
      <c r="BS59" s="91" t="s">
        <v>83</v>
      </c>
      <c r="BT59" s="91">
        <v>0</v>
      </c>
      <c r="BU59" s="91">
        <v>0</v>
      </c>
      <c r="BV59" s="91">
        <v>1</v>
      </c>
      <c r="BW59" s="92">
        <f t="shared" si="72"/>
        <v>6.4214488592966856E-2</v>
      </c>
      <c r="BX59" s="92">
        <f t="shared" si="49"/>
        <v>6.4302970435546947E-2</v>
      </c>
      <c r="BY59" s="92">
        <f t="shared" si="73"/>
        <v>3.0806620543237436E-4</v>
      </c>
      <c r="BZ59" s="92">
        <f t="shared" si="74"/>
        <v>3.0826140567200987E-4</v>
      </c>
      <c r="CA59" s="72" t="s">
        <v>83</v>
      </c>
      <c r="CB59" s="72">
        <f t="shared" si="75"/>
        <v>3245</v>
      </c>
      <c r="CC59" s="72" t="s">
        <v>83</v>
      </c>
      <c r="CD59" s="92">
        <f t="shared" si="76"/>
        <v>2.4313801076699521E-2</v>
      </c>
      <c r="CE59" s="92">
        <f t="shared" si="54"/>
        <v>2.4318593899839265E-2</v>
      </c>
      <c r="CF59" s="92">
        <f t="shared" si="77"/>
        <v>4.3998576656684522E-5</v>
      </c>
      <c r="CG59" s="92">
        <f t="shared" si="78"/>
        <v>4.4002464137991729E-5</v>
      </c>
      <c r="CH59" s="92"/>
      <c r="CI59" s="92"/>
    </row>
    <row r="60" spans="1:87" x14ac:dyDescent="0.3">
      <c r="A60" s="35"/>
      <c r="B60" s="35"/>
      <c r="C60" s="35"/>
      <c r="D60" s="35"/>
      <c r="F60" s="35"/>
      <c r="H60" s="2"/>
      <c r="I60" s="35"/>
      <c r="P60" s="35"/>
      <c r="V60" s="35"/>
      <c r="W60" s="35"/>
      <c r="X60" s="35"/>
      <c r="AU60" s="40"/>
      <c r="AV60" s="41"/>
      <c r="BA60" s="44"/>
      <c r="BF60" s="35"/>
      <c r="BT60" s="35"/>
      <c r="BU60" s="35"/>
      <c r="BV60" s="35"/>
      <c r="BW60" s="36"/>
      <c r="BX60" s="36"/>
      <c r="BY60" s="37"/>
      <c r="BZ60" s="36"/>
      <c r="CA60" s="38"/>
      <c r="CF60" s="39"/>
      <c r="CG60" s="39"/>
      <c r="CH60" s="39"/>
      <c r="CI60" s="39"/>
    </row>
    <row r="61" spans="1:87" x14ac:dyDescent="0.3">
      <c r="A61" s="35"/>
      <c r="B61" s="35"/>
      <c r="C61" s="35"/>
      <c r="D61" s="35"/>
      <c r="F61" s="35"/>
      <c r="H61" s="2"/>
      <c r="I61" s="35"/>
      <c r="P61" s="35"/>
      <c r="V61" s="35"/>
      <c r="W61" s="35"/>
      <c r="X61" s="35"/>
      <c r="AU61" s="40"/>
      <c r="AV61" s="41"/>
      <c r="BA61" s="44"/>
      <c r="BF61" s="35"/>
      <c r="BT61" s="35"/>
      <c r="BU61" s="35"/>
      <c r="BV61" s="35"/>
      <c r="BW61" s="36"/>
      <c r="BX61" s="36"/>
      <c r="BY61" s="37"/>
      <c r="BZ61" s="36"/>
      <c r="CA61" s="38"/>
      <c r="CF61" s="39"/>
      <c r="CG61" s="39"/>
      <c r="CH61" s="39"/>
      <c r="CI61" s="39"/>
    </row>
    <row r="62" spans="1:87" x14ac:dyDescent="0.3">
      <c r="A62" s="35"/>
      <c r="B62" s="35"/>
      <c r="C62" s="35"/>
      <c r="D62" s="35"/>
      <c r="F62" s="35"/>
      <c r="H62" s="2"/>
      <c r="I62" s="35"/>
      <c r="P62" s="35"/>
      <c r="V62" s="35"/>
      <c r="W62" s="35"/>
      <c r="X62" s="35"/>
      <c r="AU62" s="40"/>
      <c r="AV62" s="41"/>
      <c r="BA62" s="62"/>
      <c r="BF62" s="35"/>
      <c r="BT62" s="35"/>
      <c r="BU62" s="35"/>
      <c r="BV62" s="35"/>
      <c r="BW62" s="36"/>
      <c r="BX62" s="36"/>
      <c r="BY62" s="37"/>
      <c r="BZ62" s="36"/>
      <c r="CA62" s="38"/>
      <c r="CF62" s="39"/>
      <c r="CG62" s="39"/>
      <c r="CH62" s="39"/>
      <c r="CI62" s="39"/>
    </row>
    <row r="63" spans="1:87" x14ac:dyDescent="0.3">
      <c r="A63" s="35"/>
      <c r="B63" s="35"/>
      <c r="C63" s="35"/>
      <c r="D63" s="35"/>
      <c r="F63" s="35"/>
      <c r="H63" s="2"/>
      <c r="I63" s="35"/>
      <c r="P63" s="35"/>
      <c r="V63" s="35"/>
      <c r="W63" s="35"/>
      <c r="X63" s="35"/>
      <c r="AU63" s="40"/>
      <c r="AV63" s="41"/>
      <c r="BA63" s="62"/>
      <c r="BF63" s="35"/>
      <c r="BT63" s="35"/>
      <c r="BU63" s="35"/>
      <c r="BV63" s="35"/>
      <c r="BW63" s="36"/>
      <c r="BX63" s="36"/>
      <c r="BY63" s="37"/>
      <c r="BZ63" s="36"/>
      <c r="CA63" s="38"/>
      <c r="CF63" s="39"/>
      <c r="CG63" s="39"/>
      <c r="CH63" s="39"/>
      <c r="CI63" s="39"/>
    </row>
    <row r="64" spans="1:87" x14ac:dyDescent="0.3">
      <c r="A64" s="35"/>
      <c r="B64" s="35"/>
      <c r="C64" s="35"/>
      <c r="D64" s="35"/>
      <c r="F64" s="35"/>
      <c r="H64" s="2"/>
      <c r="I64" s="35"/>
      <c r="P64" s="35"/>
      <c r="V64" s="35"/>
      <c r="W64" s="35"/>
      <c r="X64" s="35"/>
      <c r="AU64" s="40"/>
      <c r="AV64" s="41"/>
      <c r="BA64" s="62"/>
      <c r="BF64" s="35"/>
      <c r="BT64" s="35"/>
      <c r="BU64" s="35"/>
      <c r="BV64" s="35"/>
      <c r="BW64" s="36"/>
      <c r="BX64" s="36"/>
      <c r="BY64" s="37"/>
      <c r="BZ64" s="36"/>
      <c r="CA64" s="38"/>
      <c r="CF64" s="39"/>
      <c r="CG64" s="39"/>
      <c r="CH64" s="39"/>
      <c r="CI64" s="39"/>
    </row>
    <row r="65" spans="1:87" x14ac:dyDescent="0.3">
      <c r="A65" s="35"/>
      <c r="B65" s="35"/>
      <c r="C65" s="35"/>
      <c r="D65" s="35"/>
      <c r="F65" s="35"/>
      <c r="H65" s="2"/>
      <c r="I65" s="35"/>
      <c r="P65" s="35"/>
      <c r="V65" s="35"/>
      <c r="W65" s="35"/>
      <c r="X65" s="35"/>
      <c r="AU65" s="40"/>
      <c r="AV65" s="41"/>
      <c r="BA65" s="62"/>
      <c r="BF65" s="35"/>
      <c r="BT65" s="35"/>
      <c r="BU65" s="35"/>
      <c r="BV65" s="35"/>
      <c r="BW65" s="36"/>
      <c r="BX65" s="36"/>
      <c r="BY65" s="37"/>
      <c r="BZ65" s="36"/>
      <c r="CA65" s="38"/>
      <c r="CF65" s="39"/>
      <c r="CG65" s="39"/>
      <c r="CH65" s="39"/>
      <c r="CI65" s="39"/>
    </row>
    <row r="66" spans="1:87" x14ac:dyDescent="0.3">
      <c r="A66" s="35"/>
      <c r="B66" s="35"/>
      <c r="C66" s="35"/>
      <c r="D66" s="35"/>
      <c r="F66" s="35"/>
      <c r="H66" s="2"/>
      <c r="I66" s="35"/>
      <c r="P66" s="35"/>
      <c r="V66" s="35"/>
      <c r="W66" s="35"/>
      <c r="X66" s="35"/>
      <c r="AU66" s="40"/>
      <c r="AV66" s="41"/>
      <c r="BA66" s="62"/>
      <c r="BF66" s="35"/>
      <c r="BT66" s="35"/>
      <c r="BU66" s="35"/>
      <c r="BV66" s="35"/>
      <c r="BW66" s="36"/>
      <c r="BX66" s="36"/>
      <c r="BY66" s="37"/>
      <c r="BZ66" s="36"/>
      <c r="CA66" s="38"/>
      <c r="CF66" s="39"/>
      <c r="CG66" s="39"/>
      <c r="CH66" s="39"/>
      <c r="CI66" s="39"/>
    </row>
    <row r="67" spans="1:87" x14ac:dyDescent="0.3">
      <c r="A67" s="35"/>
      <c r="B67" s="35"/>
      <c r="C67" s="35"/>
      <c r="D67" s="35"/>
      <c r="F67" s="35"/>
      <c r="I67" s="35"/>
      <c r="P67" s="35"/>
      <c r="V67" s="35"/>
      <c r="W67" s="35"/>
      <c r="X67" s="35"/>
      <c r="AT67" s="35"/>
      <c r="AU67" s="42"/>
      <c r="AV67" s="41"/>
      <c r="BA67" s="69"/>
      <c r="BF67" s="35"/>
      <c r="BT67" s="35"/>
      <c r="BU67" s="35"/>
      <c r="BV67" s="35"/>
      <c r="BW67" s="36"/>
      <c r="BX67" s="36"/>
      <c r="BY67" s="37"/>
      <c r="BZ67" s="36"/>
      <c r="CA67" s="38"/>
    </row>
    <row r="68" spans="1:87" x14ac:dyDescent="0.3">
      <c r="A68" s="35"/>
      <c r="B68" s="35"/>
      <c r="C68" s="35"/>
      <c r="D68" s="35"/>
      <c r="F68" s="35"/>
      <c r="I68" s="35"/>
      <c r="P68" s="35"/>
      <c r="V68" s="35"/>
      <c r="W68" s="35"/>
      <c r="X68" s="35"/>
      <c r="AT68" s="35"/>
      <c r="AU68" s="42"/>
      <c r="AV68" s="41"/>
      <c r="BA68" s="69"/>
      <c r="BF68" s="35"/>
      <c r="BT68" s="35"/>
      <c r="BU68" s="35"/>
      <c r="BV68" s="35"/>
      <c r="BW68" s="36"/>
      <c r="BX68" s="36"/>
      <c r="BY68" s="37"/>
      <c r="BZ68" s="36"/>
      <c r="CA68" s="38"/>
    </row>
    <row r="69" spans="1:87" x14ac:dyDescent="0.3">
      <c r="A69" s="35"/>
      <c r="B69" s="35"/>
      <c r="C69" s="35"/>
      <c r="D69" s="35"/>
      <c r="F69" s="35"/>
      <c r="I69" s="35"/>
      <c r="P69" s="35"/>
      <c r="V69" s="35"/>
      <c r="W69" s="35"/>
      <c r="X69" s="35"/>
      <c r="AT69" s="35"/>
      <c r="AU69" s="42"/>
      <c r="AV69" s="41"/>
      <c r="BA69" s="69"/>
      <c r="BT69" s="35"/>
      <c r="BU69" s="35"/>
      <c r="BV69" s="35"/>
      <c r="BW69" s="36"/>
      <c r="BX69" s="36"/>
      <c r="BY69" s="37"/>
      <c r="BZ69" s="36"/>
      <c r="CA69" s="38"/>
    </row>
    <row r="70" spans="1:87" x14ac:dyDescent="0.3">
      <c r="A70" s="35"/>
      <c r="B70" s="35"/>
      <c r="C70" s="35"/>
      <c r="D70" s="35"/>
      <c r="F70" s="35"/>
      <c r="I70" s="35"/>
      <c r="P70" s="35"/>
      <c r="V70" s="35"/>
      <c r="W70" s="35"/>
      <c r="X70" s="35"/>
      <c r="AT70" s="35"/>
      <c r="AU70" s="42"/>
      <c r="AV70" s="41"/>
      <c r="BA70" s="69"/>
      <c r="BT70" s="35"/>
      <c r="BU70" s="35"/>
      <c r="BV70" s="35"/>
      <c r="BW70" s="36"/>
      <c r="BX70" s="36"/>
      <c r="BY70" s="37"/>
      <c r="BZ70" s="36"/>
      <c r="CA70" s="38"/>
    </row>
    <row r="71" spans="1:87" x14ac:dyDescent="0.3">
      <c r="A71" s="35"/>
      <c r="B71" s="35"/>
      <c r="C71" s="35"/>
      <c r="D71" s="35"/>
      <c r="F71" s="35"/>
      <c r="I71" s="35"/>
      <c r="P71" s="35"/>
      <c r="V71" s="35"/>
      <c r="W71" s="35"/>
      <c r="X71" s="35"/>
      <c r="AT71" s="35"/>
      <c r="AU71" s="42"/>
      <c r="AV71" s="41"/>
      <c r="BA71" s="69"/>
      <c r="BT71" s="35"/>
      <c r="BU71" s="35"/>
      <c r="BV71" s="35"/>
      <c r="BW71" s="36"/>
      <c r="BX71" s="36"/>
      <c r="BY71" s="37"/>
      <c r="BZ71" s="36"/>
      <c r="CA71" s="38"/>
    </row>
    <row r="72" spans="1:87" x14ac:dyDescent="0.3">
      <c r="A72" s="35"/>
      <c r="B72" s="35"/>
      <c r="C72" s="35"/>
      <c r="D72" s="35"/>
      <c r="F72" s="35"/>
      <c r="I72" s="35"/>
      <c r="P72" s="35"/>
      <c r="V72" s="35"/>
      <c r="W72" s="35"/>
      <c r="X72" s="35"/>
      <c r="AT72" s="35"/>
      <c r="AU72" s="42"/>
      <c r="AV72" s="41"/>
      <c r="BA72" s="69"/>
      <c r="BT72" s="35"/>
      <c r="BU72" s="35"/>
      <c r="BV72" s="35"/>
      <c r="BW72" s="36"/>
      <c r="BX72" s="36"/>
      <c r="BY72" s="37"/>
      <c r="BZ72" s="36"/>
      <c r="CA72" s="38"/>
    </row>
    <row r="73" spans="1:87" x14ac:dyDescent="0.3">
      <c r="A73" s="35"/>
      <c r="B73" s="35"/>
      <c r="C73" s="35"/>
      <c r="D73" s="35"/>
      <c r="F73" s="35"/>
      <c r="I73" s="35"/>
      <c r="P73" s="35"/>
      <c r="V73" s="35"/>
      <c r="W73" s="35"/>
      <c r="AU73" s="42"/>
      <c r="AV73" s="41"/>
      <c r="BW73" s="36"/>
      <c r="BX73" s="36"/>
      <c r="BY73" s="37"/>
      <c r="BZ73" s="36"/>
      <c r="CA73" s="38"/>
    </row>
    <row r="74" spans="1:87" x14ac:dyDescent="0.3">
      <c r="A74" s="35"/>
      <c r="B74" s="35"/>
      <c r="C74" s="35"/>
      <c r="D74" s="35"/>
      <c r="F74" s="35"/>
      <c r="H74" s="2"/>
      <c r="I74" s="35"/>
      <c r="P74" s="35"/>
      <c r="V74" s="35"/>
      <c r="W74" s="35"/>
      <c r="X74" s="35"/>
      <c r="AS74" s="2"/>
      <c r="AU74" s="42"/>
      <c r="AV74" s="41"/>
      <c r="BA74" s="45"/>
      <c r="BT74" s="35"/>
      <c r="BU74" s="35"/>
      <c r="BV74" s="35"/>
      <c r="BW74" s="36"/>
      <c r="BX74" s="36"/>
      <c r="BY74" s="37"/>
      <c r="BZ74" s="36"/>
      <c r="CA74" s="38"/>
    </row>
    <row r="75" spans="1:87" x14ac:dyDescent="0.3">
      <c r="A75" s="35"/>
      <c r="B75" s="35"/>
      <c r="C75" s="35"/>
      <c r="D75" s="35"/>
      <c r="F75" s="35"/>
      <c r="H75" s="2"/>
      <c r="I75" s="35"/>
      <c r="P75" s="35"/>
      <c r="V75" s="35"/>
      <c r="W75" s="35"/>
      <c r="X75" s="35"/>
      <c r="AU75" s="42"/>
      <c r="AV75" s="41"/>
      <c r="BA75" s="45"/>
      <c r="BT75" s="35"/>
      <c r="BU75" s="35"/>
      <c r="BV75" s="35"/>
      <c r="BW75" s="36"/>
      <c r="BX75" s="36"/>
      <c r="BY75" s="37"/>
      <c r="BZ75" s="36"/>
      <c r="CA75" s="38"/>
    </row>
    <row r="76" spans="1:87" x14ac:dyDescent="0.3">
      <c r="A76" s="35"/>
      <c r="B76" s="35"/>
      <c r="C76" s="35"/>
      <c r="D76" s="35"/>
      <c r="F76" s="35"/>
      <c r="H76" s="2"/>
      <c r="I76" s="35"/>
      <c r="P76" s="35"/>
      <c r="V76" s="35"/>
      <c r="W76" s="35"/>
      <c r="X76" s="35"/>
      <c r="AU76" s="42"/>
      <c r="AV76" s="41"/>
      <c r="BA76" s="45"/>
      <c r="BT76" s="35"/>
      <c r="BU76" s="35"/>
      <c r="BV76" s="35"/>
      <c r="BW76" s="36"/>
      <c r="BX76" s="36"/>
      <c r="BY76" s="37"/>
      <c r="BZ76" s="36"/>
      <c r="CA76" s="38"/>
    </row>
    <row r="77" spans="1:87" x14ac:dyDescent="0.3">
      <c r="A77" s="35"/>
      <c r="B77" s="35"/>
      <c r="C77" s="35"/>
      <c r="D77" s="35"/>
      <c r="F77" s="35"/>
      <c r="H77" s="2"/>
      <c r="I77" s="35"/>
      <c r="P77" s="35"/>
      <c r="V77" s="35"/>
      <c r="W77" s="35"/>
      <c r="X77" s="35"/>
      <c r="AS77" s="2"/>
      <c r="AU77" s="42"/>
      <c r="AV77" s="41"/>
      <c r="BA77" s="45"/>
      <c r="BT77" s="35"/>
      <c r="BU77" s="35"/>
      <c r="BV77" s="35"/>
      <c r="BW77" s="36"/>
      <c r="BX77" s="36"/>
      <c r="BY77" s="37"/>
      <c r="BZ77" s="36"/>
      <c r="CA77" s="38"/>
    </row>
    <row r="78" spans="1:87" x14ac:dyDescent="0.3">
      <c r="A78" s="35"/>
      <c r="B78" s="35"/>
      <c r="C78" s="35"/>
      <c r="D78" s="35"/>
      <c r="F78" s="35"/>
      <c r="H78" s="2"/>
      <c r="I78" s="35"/>
      <c r="P78" s="35"/>
      <c r="V78" s="35"/>
      <c r="W78" s="35"/>
      <c r="X78" s="35"/>
      <c r="AU78" s="42"/>
      <c r="AV78" s="41"/>
      <c r="BA78" s="45"/>
      <c r="BT78" s="35"/>
      <c r="BU78" s="35"/>
      <c r="BV78" s="35"/>
      <c r="BW78" s="36"/>
      <c r="BX78" s="36"/>
      <c r="BY78" s="37"/>
      <c r="BZ78" s="36"/>
      <c r="CA78" s="38"/>
    </row>
    <row r="79" spans="1:87" x14ac:dyDescent="0.3">
      <c r="A79" s="35"/>
      <c r="B79" s="35"/>
      <c r="C79" s="35"/>
      <c r="D79" s="35"/>
      <c r="F79" s="35"/>
      <c r="H79" s="2"/>
      <c r="I79" s="35"/>
      <c r="P79" s="35"/>
      <c r="V79" s="35"/>
      <c r="W79" s="35"/>
      <c r="X79" s="35"/>
      <c r="AU79" s="42"/>
      <c r="AV79" s="41"/>
      <c r="BA79" s="45"/>
      <c r="BT79" s="35"/>
      <c r="BU79" s="35"/>
      <c r="BV79" s="35"/>
      <c r="BW79" s="36"/>
      <c r="BX79" s="36"/>
      <c r="BY79" s="37"/>
      <c r="BZ79" s="36"/>
      <c r="CA79" s="38"/>
    </row>
    <row r="80" spans="1:87" x14ac:dyDescent="0.3">
      <c r="A80" s="35"/>
      <c r="B80" s="35"/>
      <c r="C80" s="35"/>
      <c r="D80" s="35"/>
      <c r="F80" s="35"/>
      <c r="P80" s="35"/>
      <c r="V80" s="35"/>
      <c r="W80" s="35"/>
      <c r="AU80" s="40"/>
      <c r="AV80" s="41"/>
      <c r="BW80" s="36"/>
      <c r="BX80" s="36"/>
      <c r="BY80" s="37"/>
      <c r="BZ80" s="36"/>
      <c r="CA80" s="38"/>
    </row>
    <row r="81" spans="1:79" x14ac:dyDescent="0.3">
      <c r="A81" s="35"/>
      <c r="B81" s="35"/>
      <c r="C81" s="35"/>
      <c r="F81" s="35"/>
      <c r="P81" s="35"/>
      <c r="V81" s="35"/>
      <c r="W81" s="35"/>
      <c r="AU81" s="40"/>
      <c r="AV81" s="41"/>
      <c r="BW81" s="36"/>
      <c r="BX81" s="36"/>
      <c r="BY81" s="37"/>
      <c r="BZ81" s="36"/>
      <c r="CA81" s="38"/>
    </row>
    <row r="82" spans="1:79" x14ac:dyDescent="0.3">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c r="AM82" s="46"/>
      <c r="AN82" s="46"/>
      <c r="AO82" s="46"/>
      <c r="AP82" s="46"/>
      <c r="AQ82" s="46"/>
      <c r="AR82" s="46"/>
      <c r="AS82" s="46"/>
      <c r="AT82" s="46"/>
      <c r="AU82" s="99"/>
      <c r="AV82" s="47"/>
      <c r="AW82" s="46"/>
      <c r="AX82" s="46"/>
      <c r="AY82" s="46"/>
      <c r="AZ82" s="46"/>
      <c r="BA82" s="46"/>
      <c r="BB82" s="46"/>
      <c r="BC82" s="46"/>
      <c r="BD82" s="46"/>
      <c r="BE82" s="46"/>
      <c r="BF82" s="46"/>
      <c r="BG82" s="46"/>
      <c r="BH82" s="46"/>
      <c r="BI82" s="46"/>
      <c r="BJ82" s="46"/>
      <c r="BK82" s="46"/>
      <c r="BL82" s="46"/>
      <c r="BM82" s="46"/>
      <c r="BN82" s="46"/>
      <c r="BO82" s="46"/>
      <c r="BP82" s="46"/>
      <c r="BQ82" s="46"/>
      <c r="BR82" s="46"/>
      <c r="BS82" s="46"/>
      <c r="BT82" s="46"/>
      <c r="BU82" s="46"/>
      <c r="BV82" s="46"/>
      <c r="BW82" s="48"/>
      <c r="BX82" s="48"/>
      <c r="BY82" s="49"/>
      <c r="BZ82" s="48"/>
      <c r="CA82" s="48"/>
    </row>
    <row r="83" spans="1:79" x14ac:dyDescent="0.3">
      <c r="A83" s="35"/>
      <c r="B83" s="35"/>
      <c r="C83" s="35"/>
      <c r="F83" s="35"/>
      <c r="P83" s="35"/>
      <c r="V83" s="35"/>
      <c r="W83" s="35"/>
      <c r="X83" s="35"/>
      <c r="AL83" s="35"/>
      <c r="AM83" s="35"/>
      <c r="AN83" s="35"/>
      <c r="AO83" s="35"/>
      <c r="AP83" s="35"/>
      <c r="AU83" s="40"/>
      <c r="AV83" s="41"/>
      <c r="BA83" s="69"/>
      <c r="BW83" s="36"/>
      <c r="BX83" s="36"/>
      <c r="BY83" s="37"/>
      <c r="BZ83" s="36"/>
      <c r="CA83" s="38"/>
    </row>
    <row r="84" spans="1:79" x14ac:dyDescent="0.3">
      <c r="A84" s="35"/>
      <c r="B84" s="35"/>
      <c r="C84" s="35"/>
      <c r="F84" s="35"/>
      <c r="P84" s="35"/>
      <c r="V84" s="35"/>
      <c r="W84" s="35"/>
      <c r="X84" s="35"/>
      <c r="AL84" s="35"/>
      <c r="AM84" s="35"/>
      <c r="AN84" s="35"/>
      <c r="AO84" s="35"/>
      <c r="AP84" s="35"/>
      <c r="AU84" s="40"/>
      <c r="AV84" s="41"/>
      <c r="BA84" s="69"/>
      <c r="BW84" s="36"/>
      <c r="BX84" s="36"/>
      <c r="BY84" s="37"/>
      <c r="BZ84" s="36"/>
      <c r="CA84" s="38"/>
    </row>
    <row r="85" spans="1:79" x14ac:dyDescent="0.3">
      <c r="A85" s="35"/>
      <c r="B85" s="35"/>
      <c r="C85" s="35"/>
      <c r="F85" s="35"/>
      <c r="P85" s="35"/>
      <c r="V85" s="35"/>
      <c r="W85" s="35"/>
      <c r="X85" s="35"/>
      <c r="AL85" s="35"/>
      <c r="AM85" s="35"/>
      <c r="AN85" s="35"/>
      <c r="AO85" s="35"/>
      <c r="AP85" s="35"/>
      <c r="AU85" s="40"/>
      <c r="AV85" s="41"/>
      <c r="BA85" s="69"/>
      <c r="BW85" s="36"/>
      <c r="BX85" s="36"/>
      <c r="BY85" s="37"/>
      <c r="BZ85" s="36"/>
      <c r="CA85" s="38"/>
    </row>
    <row r="86" spans="1:79" x14ac:dyDescent="0.3">
      <c r="A86" s="35"/>
      <c r="B86" s="35"/>
      <c r="C86" s="35"/>
      <c r="F86" s="35"/>
      <c r="P86" s="35"/>
      <c r="V86" s="35"/>
      <c r="W86" s="35"/>
      <c r="X86" s="35"/>
      <c r="AL86" s="35"/>
      <c r="AM86" s="35"/>
      <c r="AN86" s="35"/>
      <c r="AO86" s="35"/>
      <c r="AP86" s="35"/>
      <c r="AU86" s="40"/>
      <c r="AV86" s="41"/>
      <c r="BA86" s="69"/>
      <c r="BW86" s="36"/>
      <c r="BX86" s="36"/>
      <c r="BY86" s="37"/>
      <c r="BZ86" s="36"/>
      <c r="CA86" s="38"/>
    </row>
    <row r="87" spans="1:79" x14ac:dyDescent="0.3">
      <c r="A87" s="35"/>
      <c r="B87" s="35"/>
      <c r="C87" s="35"/>
      <c r="F87" s="35"/>
      <c r="P87" s="35"/>
      <c r="V87" s="35"/>
      <c r="W87" s="35"/>
      <c r="X87" s="35"/>
      <c r="AL87" s="35"/>
      <c r="AM87" s="35"/>
      <c r="AN87" s="35"/>
      <c r="AO87" s="35"/>
      <c r="AP87" s="35"/>
      <c r="AU87" s="40"/>
      <c r="AV87" s="41"/>
      <c r="BA87" s="69"/>
      <c r="BW87" s="36"/>
      <c r="BX87" s="36"/>
      <c r="BY87" s="37"/>
      <c r="BZ87" s="36"/>
      <c r="CA87" s="38"/>
    </row>
    <row r="88" spans="1:79" x14ac:dyDescent="0.3">
      <c r="A88" s="35"/>
      <c r="B88" s="35"/>
      <c r="C88" s="35"/>
      <c r="F88" s="35"/>
      <c r="P88" s="35"/>
      <c r="V88" s="35"/>
      <c r="W88" s="35"/>
      <c r="X88" s="35"/>
      <c r="AL88" s="35"/>
      <c r="AM88" s="35"/>
      <c r="AN88" s="35"/>
      <c r="AO88" s="35"/>
      <c r="AP88" s="35"/>
      <c r="AU88" s="40"/>
      <c r="AV88" s="41"/>
      <c r="BA88" s="69"/>
      <c r="BW88" s="36"/>
      <c r="BX88" s="36"/>
      <c r="BY88" s="37"/>
      <c r="BZ88" s="36"/>
      <c r="CA88" s="38"/>
    </row>
    <row r="89" spans="1:79" x14ac:dyDescent="0.3">
      <c r="A89" s="35"/>
      <c r="B89" s="35"/>
      <c r="C89" s="35"/>
      <c r="F89" s="35"/>
      <c r="P89" s="35"/>
      <c r="V89" s="35"/>
      <c r="W89" s="35"/>
      <c r="X89" s="35"/>
      <c r="AL89" s="35"/>
      <c r="AM89" s="35"/>
      <c r="AN89" s="35"/>
      <c r="AO89" s="35"/>
      <c r="AP89" s="35"/>
      <c r="AU89" s="40"/>
      <c r="AV89" s="41"/>
      <c r="BA89" s="69"/>
      <c r="BW89" s="36"/>
      <c r="BX89" s="36"/>
      <c r="BY89" s="37"/>
      <c r="BZ89" s="36"/>
      <c r="CA89" s="38"/>
    </row>
    <row r="90" spans="1:79" x14ac:dyDescent="0.3">
      <c r="A90" s="35"/>
      <c r="B90" s="35"/>
      <c r="C90" s="35"/>
      <c r="F90" s="35"/>
      <c r="P90" s="35"/>
      <c r="V90" s="35"/>
      <c r="W90" s="35"/>
      <c r="X90" s="35"/>
      <c r="AL90" s="35"/>
      <c r="AM90" s="35"/>
      <c r="AN90" s="35"/>
      <c r="AO90" s="35"/>
      <c r="AP90" s="35"/>
      <c r="AU90" s="40"/>
      <c r="AV90" s="41"/>
      <c r="BA90" s="69"/>
      <c r="BW90" s="36"/>
      <c r="BX90" s="36"/>
      <c r="BY90" s="37"/>
      <c r="BZ90" s="36"/>
      <c r="CA90" s="38"/>
    </row>
    <row r="91" spans="1:79" x14ac:dyDescent="0.3">
      <c r="A91" s="35"/>
      <c r="B91" s="35"/>
      <c r="C91" s="35"/>
      <c r="F91" s="35"/>
      <c r="P91" s="35"/>
      <c r="V91" s="35"/>
      <c r="W91" s="35"/>
      <c r="X91" s="35"/>
      <c r="AL91" s="35"/>
      <c r="AM91" s="35"/>
      <c r="AN91" s="35"/>
      <c r="AO91" s="35"/>
      <c r="AP91" s="35"/>
      <c r="AU91" s="40"/>
      <c r="AV91" s="41"/>
      <c r="BA91" s="69"/>
      <c r="BW91" s="36"/>
      <c r="BX91" s="36"/>
      <c r="BY91" s="37"/>
      <c r="BZ91" s="36"/>
      <c r="CA91" s="38"/>
    </row>
    <row r="92" spans="1:79" x14ac:dyDescent="0.3">
      <c r="A92" s="35"/>
      <c r="B92" s="35"/>
      <c r="C92" s="35"/>
      <c r="F92" s="35"/>
      <c r="P92" s="35"/>
      <c r="V92" s="35"/>
      <c r="W92" s="35"/>
      <c r="X92" s="35"/>
      <c r="AL92" s="35"/>
      <c r="AM92" s="35"/>
      <c r="AN92" s="35"/>
      <c r="AO92" s="35"/>
      <c r="AP92" s="35"/>
      <c r="AU92" s="40"/>
      <c r="AV92" s="41"/>
      <c r="BA92" s="69"/>
      <c r="BW92" s="36"/>
      <c r="BX92" s="36"/>
      <c r="BY92" s="37"/>
      <c r="BZ92" s="36"/>
      <c r="CA92" s="38"/>
    </row>
    <row r="93" spans="1:79" x14ac:dyDescent="0.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c r="AM93" s="46"/>
      <c r="AN93" s="46"/>
      <c r="AO93" s="46"/>
      <c r="AP93" s="46"/>
      <c r="AQ93" s="46"/>
      <c r="AR93" s="46"/>
      <c r="AS93" s="46"/>
      <c r="AT93" s="46"/>
      <c r="AU93" s="100"/>
      <c r="AV93" s="47"/>
      <c r="AW93" s="46"/>
      <c r="AX93" s="46"/>
      <c r="AY93" s="46"/>
      <c r="AZ93" s="46"/>
      <c r="BA93" s="80"/>
      <c r="BB93" s="46"/>
      <c r="BC93" s="46"/>
      <c r="BD93" s="46"/>
      <c r="BE93" s="46"/>
      <c r="BF93" s="46"/>
      <c r="BG93" s="46"/>
      <c r="BH93" s="46"/>
      <c r="BI93" s="46"/>
      <c r="BJ93" s="46"/>
      <c r="BK93" s="46"/>
      <c r="BL93" s="46"/>
      <c r="BM93" s="46"/>
      <c r="BN93" s="46"/>
      <c r="BO93" s="46"/>
      <c r="BP93" s="46"/>
      <c r="BQ93" s="46"/>
      <c r="BR93" s="46"/>
      <c r="BS93" s="46"/>
      <c r="BT93" s="46"/>
      <c r="BU93" s="46"/>
      <c r="BV93" s="46"/>
      <c r="BW93" s="48"/>
      <c r="BX93" s="48"/>
      <c r="BY93" s="49"/>
      <c r="BZ93" s="48"/>
      <c r="CA93" s="48"/>
    </row>
    <row r="94" spans="1:79" x14ac:dyDescent="0.3">
      <c r="A94" s="35"/>
      <c r="B94" s="35"/>
      <c r="C94" s="35"/>
      <c r="F94" s="35"/>
      <c r="H94" s="50"/>
      <c r="P94" s="35"/>
      <c r="V94" s="35"/>
      <c r="W94" s="35"/>
      <c r="X94" s="35"/>
      <c r="AN94" s="35"/>
      <c r="AS94" s="50"/>
      <c r="AU94" s="40"/>
      <c r="AV94" s="41"/>
      <c r="AW94" s="42"/>
      <c r="AX94" s="35"/>
      <c r="AY94" s="35"/>
      <c r="AZ94" s="35"/>
      <c r="BA94" s="35"/>
      <c r="BB94" s="35"/>
      <c r="BD94" s="35"/>
      <c r="BE94" s="35"/>
      <c r="BG94" s="35"/>
      <c r="BJ94" s="35"/>
      <c r="BK94" s="35"/>
      <c r="BN94" s="35"/>
      <c r="BW94" s="36"/>
      <c r="BX94" s="36"/>
      <c r="BY94" s="37"/>
      <c r="BZ94" s="36"/>
      <c r="CA94" s="38"/>
    </row>
    <row r="95" spans="1:79" x14ac:dyDescent="0.3">
      <c r="A95" s="35"/>
      <c r="B95" s="35"/>
      <c r="C95" s="35"/>
      <c r="F95" s="35"/>
      <c r="H95" s="50"/>
      <c r="P95" s="35"/>
      <c r="V95" s="35"/>
      <c r="W95" s="35"/>
      <c r="X95" s="35"/>
      <c r="AN95" s="35"/>
      <c r="AS95" s="50"/>
      <c r="AU95" s="40"/>
      <c r="AV95" s="41"/>
      <c r="AW95" s="42"/>
      <c r="AX95" s="35"/>
      <c r="AY95" s="35"/>
      <c r="AZ95" s="35"/>
      <c r="BA95" s="35"/>
      <c r="BB95" s="35"/>
      <c r="BD95" s="35"/>
      <c r="BE95" s="35"/>
      <c r="BG95" s="35"/>
      <c r="BJ95" s="35"/>
      <c r="BK95" s="35"/>
      <c r="BN95" s="35"/>
      <c r="BW95" s="36"/>
      <c r="BX95" s="36"/>
      <c r="BY95" s="37"/>
      <c r="BZ95" s="36"/>
      <c r="CA95" s="38"/>
    </row>
    <row r="96" spans="1:79" x14ac:dyDescent="0.3">
      <c r="A96" s="35"/>
      <c r="B96" s="35"/>
      <c r="C96" s="35"/>
      <c r="F96" s="35"/>
      <c r="H96" s="50"/>
      <c r="P96" s="35"/>
      <c r="V96" s="35"/>
      <c r="W96" s="35"/>
      <c r="X96" s="35"/>
      <c r="AN96" s="35"/>
      <c r="AS96" s="50"/>
      <c r="AU96" s="101"/>
      <c r="AV96" s="50"/>
      <c r="AW96" s="50"/>
      <c r="AX96" s="50"/>
      <c r="AY96" s="50"/>
      <c r="AZ96" s="50"/>
      <c r="BA96" s="35"/>
      <c r="BB96" s="35"/>
      <c r="BC96" s="35"/>
      <c r="BD96" s="35"/>
      <c r="BE96" s="35"/>
      <c r="BF96" s="35"/>
      <c r="BG96" s="35"/>
      <c r="BJ96" s="35"/>
      <c r="BK96" s="35"/>
      <c r="BN96" s="35"/>
      <c r="BO96" s="35"/>
      <c r="BP96" s="35"/>
      <c r="BQ96" s="35"/>
      <c r="BR96" s="35"/>
      <c r="BS96" s="35"/>
      <c r="BW96" s="36"/>
      <c r="BX96" s="36"/>
      <c r="BY96" s="37"/>
      <c r="BZ96" s="36"/>
      <c r="CA96" s="38"/>
    </row>
    <row r="97" spans="1:79" x14ac:dyDescent="0.3">
      <c r="A97" s="35"/>
      <c r="B97" s="35"/>
      <c r="C97" s="35"/>
      <c r="F97" s="35"/>
      <c r="H97" s="50"/>
      <c r="P97" s="35"/>
      <c r="V97" s="35"/>
      <c r="W97" s="35"/>
      <c r="X97" s="35"/>
      <c r="AN97" s="35"/>
      <c r="AS97" s="50"/>
      <c r="AU97" s="101"/>
      <c r="AV97" s="50"/>
      <c r="AW97" s="50"/>
      <c r="AX97" s="50"/>
      <c r="AY97" s="50"/>
      <c r="AZ97" s="50"/>
      <c r="BA97" s="35"/>
      <c r="BB97" s="35"/>
      <c r="BC97" s="35"/>
      <c r="BD97" s="35"/>
      <c r="BE97" s="35"/>
      <c r="BF97" s="35"/>
      <c r="BG97" s="35"/>
      <c r="BJ97" s="35"/>
      <c r="BK97" s="35"/>
      <c r="BN97" s="35"/>
      <c r="BO97" s="35"/>
      <c r="BP97" s="35"/>
      <c r="BQ97" s="35"/>
      <c r="BR97" s="35"/>
      <c r="BS97" s="35"/>
      <c r="BW97" s="36"/>
      <c r="BX97" s="36"/>
      <c r="BY97" s="37"/>
      <c r="BZ97" s="36"/>
      <c r="CA97" s="38"/>
    </row>
    <row r="98" spans="1:79" x14ac:dyDescent="0.3">
      <c r="A98" s="35"/>
      <c r="B98" s="35"/>
      <c r="C98" s="35"/>
      <c r="F98" s="35"/>
      <c r="H98" s="50"/>
      <c r="P98" s="35"/>
      <c r="V98" s="35"/>
      <c r="W98" s="35"/>
      <c r="X98" s="35"/>
      <c r="AN98" s="35"/>
      <c r="AS98" s="50"/>
      <c r="AU98" s="101"/>
      <c r="AV98" s="50"/>
      <c r="AW98" s="50"/>
      <c r="AX98" s="50"/>
      <c r="AY98" s="50"/>
      <c r="AZ98" s="50"/>
      <c r="BA98" s="35"/>
      <c r="BB98" s="35"/>
      <c r="BC98" s="35"/>
      <c r="BD98" s="35"/>
      <c r="BE98" s="35"/>
      <c r="BF98" s="35"/>
      <c r="BG98" s="35"/>
      <c r="BJ98" s="35"/>
      <c r="BK98" s="35"/>
      <c r="BN98" s="35"/>
      <c r="BO98" s="35"/>
      <c r="BP98" s="35"/>
      <c r="BQ98" s="35"/>
      <c r="BR98" s="35"/>
      <c r="BS98" s="35"/>
      <c r="BW98" s="36"/>
      <c r="BX98" s="36"/>
      <c r="BY98" s="37"/>
      <c r="BZ98" s="36"/>
      <c r="CA98" s="38"/>
    </row>
    <row r="99" spans="1:79" x14ac:dyDescent="0.3">
      <c r="A99" s="35"/>
      <c r="B99" s="35"/>
      <c r="C99" s="35"/>
      <c r="F99" s="35"/>
      <c r="H99" s="50"/>
      <c r="P99" s="35"/>
      <c r="V99" s="35"/>
      <c r="W99" s="35"/>
      <c r="X99" s="35"/>
      <c r="AN99" s="35"/>
      <c r="AS99" s="50"/>
      <c r="AU99" s="101"/>
      <c r="AV99" s="50"/>
      <c r="AW99" s="50"/>
      <c r="AX99" s="50"/>
      <c r="AY99" s="50"/>
      <c r="AZ99" s="50"/>
      <c r="BA99" s="35"/>
      <c r="BB99" s="35"/>
      <c r="BC99" s="35"/>
      <c r="BD99" s="35"/>
      <c r="BE99" s="35"/>
      <c r="BF99" s="35"/>
      <c r="BG99" s="35"/>
      <c r="BJ99" s="35"/>
      <c r="BK99" s="35"/>
      <c r="BN99" s="35"/>
      <c r="BO99" s="35"/>
      <c r="BP99" s="35"/>
      <c r="BQ99" s="35"/>
      <c r="BR99" s="35"/>
      <c r="BS99" s="35"/>
      <c r="BW99" s="36"/>
      <c r="BX99" s="36"/>
      <c r="BY99" s="37"/>
      <c r="BZ99" s="36"/>
      <c r="CA99" s="38"/>
    </row>
    <row r="100" spans="1:79" x14ac:dyDescent="0.3">
      <c r="A100" s="35"/>
      <c r="B100" s="35"/>
      <c r="C100" s="35"/>
      <c r="F100" s="35"/>
      <c r="H100" s="50"/>
      <c r="P100" s="35"/>
      <c r="V100" s="35"/>
      <c r="W100" s="35"/>
      <c r="X100" s="35"/>
      <c r="AN100" s="35"/>
      <c r="AS100" s="50"/>
      <c r="AU100" s="101"/>
      <c r="AV100" s="51"/>
      <c r="AW100" s="50"/>
      <c r="AX100" s="50"/>
      <c r="AY100" s="50"/>
      <c r="AZ100" s="50"/>
      <c r="BA100" s="35"/>
      <c r="BB100" s="35"/>
      <c r="BC100" s="35"/>
      <c r="BD100" s="35"/>
      <c r="BE100" s="35"/>
      <c r="BF100" s="35"/>
      <c r="BG100" s="35"/>
      <c r="BJ100" s="35"/>
      <c r="BK100" s="35"/>
      <c r="BN100" s="35"/>
      <c r="BO100" s="35"/>
      <c r="BP100" s="35"/>
      <c r="BQ100" s="35"/>
      <c r="BR100" s="35"/>
      <c r="BS100" s="35"/>
      <c r="BW100" s="36"/>
      <c r="BX100" s="36"/>
      <c r="BY100" s="37"/>
      <c r="BZ100" s="36"/>
      <c r="CA100" s="38"/>
    </row>
    <row r="101" spans="1:79" x14ac:dyDescent="0.3">
      <c r="A101" s="35"/>
      <c r="B101" s="35"/>
      <c r="C101" s="35"/>
      <c r="F101" s="35"/>
      <c r="H101" s="50"/>
      <c r="P101" s="35"/>
      <c r="V101" s="35"/>
      <c r="W101" s="35"/>
      <c r="X101" s="35"/>
      <c r="AN101" s="35"/>
      <c r="AS101" s="50"/>
      <c r="AU101" s="101"/>
      <c r="AV101" s="51"/>
      <c r="AW101" s="50"/>
      <c r="AX101" s="50"/>
      <c r="AY101" s="50"/>
      <c r="AZ101" s="50"/>
      <c r="BA101" s="35"/>
      <c r="BB101" s="35"/>
      <c r="BC101" s="35"/>
      <c r="BD101" s="35"/>
      <c r="BE101" s="35"/>
      <c r="BF101" s="35"/>
      <c r="BG101" s="35"/>
      <c r="BJ101" s="35"/>
      <c r="BK101" s="35"/>
      <c r="BN101" s="35"/>
      <c r="BO101" s="35"/>
      <c r="BP101" s="35"/>
      <c r="BQ101" s="35"/>
      <c r="BR101" s="35"/>
      <c r="BS101" s="35"/>
      <c r="BW101" s="36"/>
      <c r="BX101" s="36"/>
      <c r="BY101" s="37"/>
      <c r="BZ101" s="36"/>
      <c r="CA101" s="38"/>
    </row>
    <row r="102" spans="1:79" x14ac:dyDescent="0.3">
      <c r="A102" s="35"/>
      <c r="B102" s="35"/>
      <c r="C102" s="35"/>
      <c r="F102" s="35"/>
      <c r="H102" s="50"/>
      <c r="P102" s="35"/>
      <c r="V102" s="35"/>
      <c r="W102" s="35"/>
      <c r="X102" s="35"/>
      <c r="AN102" s="35"/>
      <c r="AS102" s="50"/>
      <c r="AU102" s="101"/>
      <c r="AV102" s="51"/>
      <c r="AW102" s="50"/>
      <c r="AX102" s="50"/>
      <c r="AY102" s="50"/>
      <c r="AZ102" s="50"/>
      <c r="BA102" s="35"/>
      <c r="BB102" s="35"/>
      <c r="BC102" s="35"/>
      <c r="BD102" s="35"/>
      <c r="BE102" s="35"/>
      <c r="BF102" s="35"/>
      <c r="BG102" s="35"/>
      <c r="BJ102" s="35"/>
      <c r="BK102" s="35"/>
      <c r="BN102" s="35"/>
      <c r="BO102" s="35"/>
      <c r="BP102" s="35"/>
      <c r="BQ102" s="35"/>
      <c r="BR102" s="35"/>
      <c r="BS102" s="35"/>
      <c r="BW102" s="36"/>
      <c r="BX102" s="36"/>
      <c r="BY102" s="37"/>
      <c r="BZ102" s="36"/>
      <c r="CA102" s="38"/>
    </row>
    <row r="103" spans="1:79" x14ac:dyDescent="0.3">
      <c r="A103" s="35"/>
      <c r="B103" s="35"/>
      <c r="C103" s="35"/>
      <c r="F103" s="35"/>
      <c r="H103" s="50"/>
      <c r="P103" s="35"/>
      <c r="V103" s="35"/>
      <c r="W103" s="35"/>
      <c r="X103" s="35"/>
      <c r="AN103" s="35"/>
      <c r="AS103" s="50"/>
      <c r="AU103" s="101"/>
      <c r="AV103" s="51"/>
      <c r="AW103" s="50"/>
      <c r="AX103" s="50"/>
      <c r="AY103" s="50"/>
      <c r="AZ103" s="50"/>
      <c r="BA103" s="35"/>
      <c r="BB103" s="35"/>
      <c r="BC103" s="35"/>
      <c r="BD103" s="35"/>
      <c r="BE103" s="35"/>
      <c r="BF103" s="35"/>
      <c r="BG103" s="35"/>
      <c r="BJ103" s="35"/>
      <c r="BK103" s="35"/>
      <c r="BN103" s="35"/>
      <c r="BO103" s="35"/>
      <c r="BP103" s="35"/>
      <c r="BQ103" s="35"/>
      <c r="BR103" s="35"/>
      <c r="BS103" s="35"/>
      <c r="BW103" s="36"/>
      <c r="BX103" s="36"/>
      <c r="BY103" s="37"/>
      <c r="BZ103" s="36"/>
      <c r="CA103" s="38"/>
    </row>
    <row r="104" spans="1:79" x14ac:dyDescent="0.3">
      <c r="A104" s="35"/>
      <c r="B104" s="35"/>
      <c r="C104" s="35"/>
      <c r="F104" s="35"/>
      <c r="H104" s="50"/>
      <c r="P104" s="35"/>
      <c r="V104" s="35"/>
      <c r="W104" s="35"/>
      <c r="X104" s="35"/>
      <c r="AN104" s="35"/>
      <c r="AS104" s="50"/>
      <c r="AU104" s="101"/>
      <c r="AV104" s="50"/>
      <c r="AW104" s="50"/>
      <c r="AX104" s="50"/>
      <c r="AY104" s="50"/>
      <c r="AZ104" s="50"/>
      <c r="BA104" s="35"/>
      <c r="BB104" s="35"/>
      <c r="BC104" s="35"/>
      <c r="BD104" s="35"/>
      <c r="BE104" s="35"/>
      <c r="BF104" s="35"/>
      <c r="BG104" s="35"/>
      <c r="BJ104" s="35"/>
      <c r="BK104" s="35"/>
      <c r="BN104" s="35"/>
      <c r="BO104" s="35"/>
      <c r="BP104" s="35"/>
      <c r="BQ104" s="35"/>
      <c r="BR104" s="35"/>
      <c r="BS104" s="35"/>
      <c r="BW104" s="36"/>
      <c r="BX104" s="36"/>
      <c r="BY104" s="37"/>
      <c r="BZ104" s="36"/>
      <c r="CA104" s="38"/>
    </row>
    <row r="105" spans="1:79" x14ac:dyDescent="0.3">
      <c r="A105" s="35"/>
      <c r="B105" s="35"/>
      <c r="C105" s="35"/>
      <c r="F105" s="35"/>
      <c r="H105" s="50"/>
      <c r="P105" s="35"/>
      <c r="V105" s="35"/>
      <c r="W105" s="35"/>
      <c r="X105" s="35"/>
      <c r="AN105" s="35"/>
      <c r="AS105" s="50"/>
      <c r="AU105" s="101"/>
      <c r="AV105" s="50"/>
      <c r="AW105" s="50"/>
      <c r="AX105" s="50"/>
      <c r="AY105" s="50"/>
      <c r="AZ105" s="50"/>
      <c r="BA105" s="35"/>
      <c r="BB105" s="35"/>
      <c r="BC105" s="35"/>
      <c r="BD105" s="35"/>
      <c r="BE105" s="35"/>
      <c r="BF105" s="35"/>
      <c r="BG105" s="35"/>
      <c r="BJ105" s="35"/>
      <c r="BK105" s="35"/>
      <c r="BN105" s="35"/>
      <c r="BO105" s="35"/>
      <c r="BP105" s="35"/>
      <c r="BQ105" s="35"/>
      <c r="BR105" s="35"/>
      <c r="BS105" s="35"/>
      <c r="BW105" s="36"/>
      <c r="BX105" s="36"/>
      <c r="BY105" s="37"/>
      <c r="BZ105" s="36"/>
      <c r="CA105" s="38"/>
    </row>
    <row r="106" spans="1:79" x14ac:dyDescent="0.3">
      <c r="A106" s="35"/>
      <c r="B106" s="35"/>
      <c r="C106" s="35"/>
      <c r="F106" s="35"/>
      <c r="H106" s="50"/>
      <c r="P106" s="35"/>
      <c r="V106" s="35"/>
      <c r="W106" s="35"/>
      <c r="X106" s="35"/>
      <c r="AN106" s="35"/>
      <c r="AS106" s="50"/>
      <c r="AU106" s="101"/>
      <c r="AV106" s="50"/>
      <c r="AW106" s="50"/>
      <c r="AX106" s="50"/>
      <c r="AY106" s="50"/>
      <c r="AZ106" s="50"/>
      <c r="BA106" s="35"/>
      <c r="BB106" s="35"/>
      <c r="BC106" s="35"/>
      <c r="BD106" s="35"/>
      <c r="BE106" s="35"/>
      <c r="BF106" s="35"/>
      <c r="BG106" s="35"/>
      <c r="BJ106" s="35"/>
      <c r="BK106" s="35"/>
      <c r="BN106" s="35"/>
      <c r="BO106" s="35"/>
      <c r="BP106" s="35"/>
      <c r="BQ106" s="35"/>
      <c r="BR106" s="35"/>
      <c r="BS106" s="35"/>
      <c r="BW106" s="36"/>
      <c r="BX106" s="36"/>
      <c r="BY106" s="37"/>
      <c r="BZ106" s="36"/>
      <c r="CA106" s="38"/>
    </row>
    <row r="107" spans="1:79" x14ac:dyDescent="0.3">
      <c r="A107" s="35"/>
      <c r="B107" s="35"/>
      <c r="C107" s="35"/>
      <c r="F107" s="35"/>
      <c r="H107" s="50"/>
      <c r="P107" s="35"/>
      <c r="V107" s="35"/>
      <c r="W107" s="35"/>
      <c r="X107" s="35"/>
      <c r="AN107" s="35"/>
      <c r="AS107" s="50"/>
      <c r="AU107" s="101"/>
      <c r="AV107" s="50"/>
      <c r="AW107" s="50"/>
      <c r="AX107" s="50"/>
      <c r="AY107" s="50"/>
      <c r="AZ107" s="50"/>
      <c r="BA107" s="35"/>
      <c r="BB107" s="35"/>
      <c r="BC107" s="35"/>
      <c r="BD107" s="35"/>
      <c r="BE107" s="35"/>
      <c r="BF107" s="35"/>
      <c r="BG107" s="35"/>
      <c r="BJ107" s="35"/>
      <c r="BK107" s="35"/>
      <c r="BN107" s="35"/>
      <c r="BO107" s="35"/>
      <c r="BP107" s="35"/>
      <c r="BQ107" s="35"/>
      <c r="BR107" s="35"/>
      <c r="BS107" s="35"/>
      <c r="BW107" s="36"/>
      <c r="BX107" s="36"/>
      <c r="BY107" s="37"/>
      <c r="BZ107" s="36"/>
      <c r="CA107" s="38"/>
    </row>
    <row r="108" spans="1:79" x14ac:dyDescent="0.3">
      <c r="A108" s="46"/>
      <c r="B108" s="46"/>
      <c r="C108" s="46"/>
      <c r="D108" s="46"/>
      <c r="E108" s="46"/>
      <c r="F108" s="46"/>
      <c r="G108" s="46"/>
      <c r="H108" s="52"/>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c r="AO108" s="46"/>
      <c r="AP108" s="46"/>
      <c r="AQ108" s="46"/>
      <c r="AR108" s="46"/>
      <c r="AS108" s="46"/>
      <c r="AT108" s="46"/>
      <c r="AU108" s="53"/>
      <c r="AV108" s="47"/>
      <c r="AW108" s="46"/>
      <c r="AX108" s="46"/>
      <c r="AY108" s="46"/>
      <c r="AZ108" s="46"/>
      <c r="BA108" s="80"/>
      <c r="BB108" s="46"/>
      <c r="BC108" s="46"/>
      <c r="BD108" s="46"/>
      <c r="BE108" s="46"/>
      <c r="BF108" s="46"/>
      <c r="BG108" s="46"/>
      <c r="BH108" s="46"/>
      <c r="BI108" s="46"/>
      <c r="BJ108" s="46"/>
      <c r="BK108" s="46"/>
      <c r="BL108" s="46"/>
      <c r="BM108" s="46"/>
      <c r="BN108" s="46"/>
      <c r="BO108" s="46"/>
      <c r="BP108" s="46"/>
      <c r="BQ108" s="46"/>
      <c r="BR108" s="46"/>
      <c r="BS108" s="46"/>
      <c r="BT108" s="46"/>
      <c r="BU108" s="46"/>
      <c r="BV108" s="46"/>
      <c r="BY108" s="49"/>
      <c r="BZ108" s="54"/>
      <c r="CA108" s="54"/>
    </row>
    <row r="109" spans="1:79" x14ac:dyDescent="0.3">
      <c r="A109" s="46"/>
      <c r="B109" s="46"/>
      <c r="C109" s="46"/>
      <c r="D109" s="46"/>
      <c r="E109" s="46"/>
      <c r="F109" s="46"/>
      <c r="G109" s="46"/>
      <c r="H109" s="52"/>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c r="AM109" s="46"/>
      <c r="AN109" s="46"/>
      <c r="AO109" s="46"/>
      <c r="AP109" s="46"/>
      <c r="AQ109" s="46"/>
      <c r="AR109" s="46"/>
      <c r="AS109" s="46"/>
      <c r="AT109" s="46"/>
      <c r="AU109" s="53"/>
      <c r="AV109" s="47"/>
      <c r="AW109" s="46"/>
      <c r="AX109" s="46"/>
      <c r="AY109" s="46"/>
      <c r="AZ109" s="46"/>
      <c r="BA109" s="80"/>
      <c r="BB109" s="46"/>
      <c r="BC109" s="46"/>
      <c r="BD109" s="46"/>
      <c r="BE109" s="46"/>
      <c r="BF109" s="46"/>
      <c r="BG109" s="46"/>
      <c r="BH109" s="46"/>
      <c r="BI109" s="46"/>
      <c r="BJ109" s="46"/>
      <c r="BK109" s="46"/>
      <c r="BL109" s="46"/>
      <c r="BM109" s="46"/>
      <c r="BN109" s="46"/>
      <c r="BO109" s="46"/>
      <c r="BP109" s="46"/>
      <c r="BQ109" s="46"/>
      <c r="BR109" s="46"/>
      <c r="BS109" s="46"/>
      <c r="BT109" s="46"/>
      <c r="BU109" s="46"/>
      <c r="BV109" s="46"/>
      <c r="BY109" s="49"/>
      <c r="BZ109" s="54"/>
      <c r="CA109" s="54"/>
    </row>
    <row r="110" spans="1:79" x14ac:dyDescent="0.3">
      <c r="A110" s="46"/>
      <c r="B110" s="46"/>
      <c r="C110" s="46"/>
      <c r="D110" s="46"/>
      <c r="E110" s="46"/>
      <c r="F110" s="46"/>
      <c r="G110" s="46"/>
      <c r="H110" s="52"/>
      <c r="I110" s="46"/>
      <c r="J110" s="46"/>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c r="AM110" s="46"/>
      <c r="AN110" s="46"/>
      <c r="AO110" s="46"/>
      <c r="AP110" s="46"/>
      <c r="AQ110" s="46"/>
      <c r="AR110" s="46"/>
      <c r="AS110" s="46"/>
      <c r="AT110" s="46"/>
      <c r="AU110" s="53"/>
      <c r="AV110" s="47"/>
      <c r="AW110" s="46"/>
      <c r="AX110" s="46"/>
      <c r="AY110" s="46"/>
      <c r="AZ110" s="46"/>
      <c r="BA110" s="80"/>
      <c r="BB110" s="46"/>
      <c r="BC110" s="46"/>
      <c r="BD110" s="46"/>
      <c r="BE110" s="46"/>
      <c r="BF110" s="46"/>
      <c r="BG110" s="46"/>
      <c r="BH110" s="46"/>
      <c r="BI110" s="46"/>
      <c r="BJ110" s="46"/>
      <c r="BK110" s="46"/>
      <c r="BL110" s="46"/>
      <c r="BM110" s="46"/>
      <c r="BN110" s="46"/>
      <c r="BO110" s="46"/>
      <c r="BP110" s="46"/>
      <c r="BQ110" s="46"/>
      <c r="BR110" s="46"/>
      <c r="BS110" s="46"/>
      <c r="BT110" s="46"/>
      <c r="BU110" s="46"/>
      <c r="BV110" s="46"/>
      <c r="BY110" s="49"/>
      <c r="BZ110" s="54"/>
      <c r="CA110" s="54"/>
    </row>
    <row r="111" spans="1:79" x14ac:dyDescent="0.3">
      <c r="A111" s="46"/>
      <c r="B111" s="46"/>
      <c r="C111" s="46"/>
      <c r="D111" s="46"/>
      <c r="E111" s="46"/>
      <c r="F111" s="46"/>
      <c r="G111" s="46"/>
      <c r="H111" s="52"/>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c r="AM111" s="46"/>
      <c r="AN111" s="46"/>
      <c r="AO111" s="46"/>
      <c r="AP111" s="46"/>
      <c r="AQ111" s="46"/>
      <c r="AR111" s="46"/>
      <c r="AS111" s="46"/>
      <c r="AT111" s="46"/>
      <c r="AU111" s="53"/>
      <c r="AV111" s="47"/>
      <c r="AW111" s="46"/>
      <c r="AX111" s="46"/>
      <c r="AY111" s="46"/>
      <c r="AZ111" s="46"/>
      <c r="BA111" s="80"/>
      <c r="BB111" s="46"/>
      <c r="BC111" s="46"/>
      <c r="BD111" s="46"/>
      <c r="BE111" s="46"/>
      <c r="BF111" s="46"/>
      <c r="BG111" s="46"/>
      <c r="BH111" s="46"/>
      <c r="BI111" s="46"/>
      <c r="BJ111" s="46"/>
      <c r="BK111" s="46"/>
      <c r="BL111" s="46"/>
      <c r="BM111" s="46"/>
      <c r="BN111" s="46"/>
      <c r="BO111" s="46"/>
      <c r="BP111" s="46"/>
      <c r="BQ111" s="46"/>
      <c r="BR111" s="46"/>
      <c r="BS111" s="46"/>
      <c r="BT111" s="46"/>
      <c r="BU111" s="46"/>
      <c r="BV111" s="46"/>
      <c r="BY111" s="49"/>
      <c r="BZ111" s="54"/>
      <c r="CA111" s="54"/>
    </row>
    <row r="112" spans="1:79" x14ac:dyDescent="0.3">
      <c r="A112" s="46"/>
      <c r="B112" s="46"/>
      <c r="C112" s="46"/>
      <c r="D112" s="46"/>
      <c r="E112" s="46"/>
      <c r="F112" s="46"/>
      <c r="G112" s="46"/>
      <c r="H112" s="52"/>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c r="AM112" s="46"/>
      <c r="AN112" s="46"/>
      <c r="AO112" s="46"/>
      <c r="AP112" s="46"/>
      <c r="AQ112" s="46"/>
      <c r="AR112" s="46"/>
      <c r="AS112" s="46"/>
      <c r="AT112" s="46"/>
      <c r="AU112" s="53"/>
      <c r="AV112" s="47"/>
      <c r="AW112" s="46"/>
      <c r="AX112" s="46"/>
      <c r="AY112" s="46"/>
      <c r="AZ112" s="46"/>
      <c r="BA112" s="80"/>
      <c r="BB112" s="46"/>
      <c r="BC112" s="46"/>
      <c r="BD112" s="46"/>
      <c r="BE112" s="46"/>
      <c r="BF112" s="46"/>
      <c r="BG112" s="46"/>
      <c r="BH112" s="46"/>
      <c r="BI112" s="46"/>
      <c r="BJ112" s="46"/>
      <c r="BK112" s="46"/>
      <c r="BL112" s="46"/>
      <c r="BM112" s="46"/>
      <c r="BN112" s="46"/>
      <c r="BO112" s="46"/>
      <c r="BP112" s="46"/>
      <c r="BQ112" s="46"/>
      <c r="BR112" s="46"/>
      <c r="BS112" s="46"/>
      <c r="BT112" s="46"/>
      <c r="BU112" s="46"/>
      <c r="BV112" s="46"/>
      <c r="BY112" s="49"/>
      <c r="BZ112" s="54"/>
      <c r="CA112" s="54"/>
    </row>
    <row r="113" spans="1:79" x14ac:dyDescent="0.3">
      <c r="AU113" s="40"/>
      <c r="AV113" s="41"/>
    </row>
    <row r="114" spans="1:79" x14ac:dyDescent="0.3">
      <c r="AU114" s="40"/>
      <c r="AV114" s="41"/>
      <c r="AW114" s="55"/>
    </row>
    <row r="115" spans="1:79" x14ac:dyDescent="0.3">
      <c r="AU115" s="55"/>
      <c r="AV115" s="41"/>
      <c r="AW115" s="55"/>
    </row>
    <row r="116" spans="1:79" x14ac:dyDescent="0.3">
      <c r="AU116" s="40"/>
      <c r="AV116" s="41"/>
    </row>
    <row r="117" spans="1:79" x14ac:dyDescent="0.3">
      <c r="AU117" s="40"/>
      <c r="AV117" s="41"/>
    </row>
    <row r="118" spans="1:79" x14ac:dyDescent="0.3">
      <c r="AU118" s="55"/>
      <c r="AV118" s="41"/>
    </row>
    <row r="119" spans="1:79" x14ac:dyDescent="0.3">
      <c r="AU119" s="55"/>
      <c r="AV119" s="41"/>
    </row>
    <row r="120" spans="1:79" x14ac:dyDescent="0.3">
      <c r="AU120" s="55"/>
      <c r="AV120" s="41"/>
    </row>
    <row r="121" spans="1:79" x14ac:dyDescent="0.3">
      <c r="AU121" s="55"/>
      <c r="AV121" s="41"/>
    </row>
    <row r="122" spans="1:79" x14ac:dyDescent="0.3">
      <c r="A122" s="35"/>
      <c r="B122" s="35"/>
      <c r="C122" s="35"/>
      <c r="F122" s="35"/>
      <c r="V122" s="35"/>
      <c r="W122" s="35"/>
      <c r="X122" s="35"/>
      <c r="AN122" s="35"/>
      <c r="AU122" s="40"/>
      <c r="AV122" s="41"/>
      <c r="AW122" s="79"/>
    </row>
    <row r="123" spans="1:79" x14ac:dyDescent="0.3">
      <c r="A123" s="35"/>
      <c r="B123" s="35"/>
      <c r="C123" s="35"/>
      <c r="F123" s="35"/>
      <c r="V123" s="35"/>
      <c r="W123" s="35"/>
      <c r="X123" s="35"/>
      <c r="AN123" s="35"/>
      <c r="AU123" s="40"/>
      <c r="AV123" s="41"/>
      <c r="AW123" s="79"/>
    </row>
    <row r="124" spans="1:79" x14ac:dyDescent="0.3">
      <c r="A124" s="46"/>
      <c r="B124" s="46"/>
      <c r="C124" s="35"/>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c r="AM124" s="46"/>
      <c r="AN124" s="46"/>
      <c r="AO124" s="46"/>
      <c r="AP124" s="46"/>
      <c r="AQ124" s="46"/>
      <c r="AR124" s="46"/>
      <c r="AS124" s="46"/>
      <c r="AT124" s="46"/>
      <c r="AU124" s="99"/>
      <c r="AV124" s="47"/>
      <c r="AW124" s="102"/>
      <c r="AX124" s="46"/>
      <c r="AY124" s="46"/>
      <c r="AZ124" s="46"/>
      <c r="BA124" s="80"/>
      <c r="BB124" s="46"/>
      <c r="BC124" s="46"/>
      <c r="BD124" s="46"/>
      <c r="BE124" s="46"/>
      <c r="BF124" s="46"/>
      <c r="BG124" s="46"/>
      <c r="BH124" s="46"/>
      <c r="BI124" s="46"/>
      <c r="BJ124" s="46"/>
      <c r="BK124" s="46"/>
      <c r="BL124" s="46"/>
      <c r="BM124" s="46"/>
      <c r="BN124" s="46"/>
      <c r="BO124" s="46"/>
      <c r="BP124" s="46"/>
      <c r="BQ124" s="46"/>
      <c r="BR124" s="46"/>
      <c r="BS124" s="46"/>
      <c r="BT124" s="46"/>
      <c r="BU124" s="46"/>
      <c r="BV124" s="46"/>
      <c r="BY124" s="49"/>
      <c r="BZ124" s="54"/>
      <c r="CA124" s="54"/>
    </row>
    <row r="125" spans="1:79" x14ac:dyDescent="0.3">
      <c r="A125" s="46"/>
      <c r="B125" s="46"/>
      <c r="C125" s="35"/>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c r="AM125" s="46"/>
      <c r="AN125" s="46"/>
      <c r="AO125" s="46"/>
      <c r="AP125" s="46"/>
      <c r="AQ125" s="46"/>
      <c r="AR125" s="46"/>
      <c r="AS125" s="46"/>
      <c r="AT125" s="46"/>
      <c r="AU125" s="99"/>
      <c r="AV125" s="47"/>
      <c r="AW125" s="102"/>
      <c r="AX125" s="46"/>
      <c r="AY125" s="46"/>
      <c r="AZ125" s="46"/>
      <c r="BA125" s="80"/>
      <c r="BB125" s="46"/>
      <c r="BC125" s="46"/>
      <c r="BD125" s="46"/>
      <c r="BE125" s="46"/>
      <c r="BF125" s="46"/>
      <c r="BG125" s="46"/>
      <c r="BH125" s="46"/>
      <c r="BI125" s="46"/>
      <c r="BJ125" s="46"/>
      <c r="BK125" s="46"/>
      <c r="BL125" s="46"/>
      <c r="BM125" s="46"/>
      <c r="BN125" s="46"/>
      <c r="BO125" s="46"/>
      <c r="BP125" s="46"/>
      <c r="BQ125" s="46"/>
      <c r="BR125" s="46"/>
      <c r="BS125" s="46"/>
      <c r="BT125" s="46"/>
      <c r="BU125" s="46"/>
      <c r="BV125" s="46"/>
      <c r="BY125" s="49"/>
      <c r="BZ125" s="54"/>
      <c r="CA125" s="54"/>
    </row>
    <row r="126" spans="1:79" x14ac:dyDescent="0.3">
      <c r="A126" s="35"/>
      <c r="B126" s="35"/>
      <c r="C126" s="35"/>
      <c r="F126" s="35"/>
      <c r="V126" s="35"/>
      <c r="W126" s="35"/>
      <c r="X126" s="35"/>
      <c r="AN126" s="35"/>
      <c r="AU126" s="40"/>
      <c r="AV126" s="41"/>
      <c r="BA126" s="62"/>
    </row>
    <row r="127" spans="1:79" x14ac:dyDescent="0.3">
      <c r="A127" s="35"/>
      <c r="B127" s="35"/>
      <c r="C127" s="35"/>
      <c r="F127" s="35"/>
      <c r="V127" s="35"/>
      <c r="W127" s="35"/>
      <c r="X127" s="35"/>
      <c r="AN127" s="35"/>
      <c r="AU127" s="40"/>
      <c r="AV127" s="41"/>
      <c r="AW127" s="79"/>
      <c r="BA127" s="62"/>
    </row>
    <row r="128" spans="1:79" x14ac:dyDescent="0.3">
      <c r="A128" s="35"/>
      <c r="B128" s="35"/>
      <c r="C128" s="35"/>
      <c r="F128" s="35"/>
      <c r="V128" s="35"/>
      <c r="W128" s="35"/>
      <c r="X128" s="35"/>
      <c r="AN128" s="35"/>
      <c r="AU128" s="40"/>
      <c r="AV128" s="41"/>
      <c r="AW128" s="79"/>
      <c r="BA128" s="62"/>
    </row>
    <row r="129" spans="1:79" x14ac:dyDescent="0.3">
      <c r="A129" s="35"/>
      <c r="B129" s="35"/>
      <c r="C129" s="35"/>
      <c r="F129" s="35"/>
      <c r="V129" s="35"/>
      <c r="W129" s="35"/>
      <c r="X129" s="35"/>
      <c r="AN129" s="35"/>
      <c r="AQ129" s="35"/>
      <c r="AU129" s="40"/>
      <c r="AV129" s="41"/>
      <c r="AW129" s="79"/>
      <c r="BA129" s="62"/>
    </row>
    <row r="130" spans="1:79" x14ac:dyDescent="0.3">
      <c r="A130" s="35"/>
      <c r="B130" s="35"/>
      <c r="C130" s="35"/>
      <c r="F130" s="35"/>
      <c r="V130" s="35"/>
      <c r="W130" s="35"/>
      <c r="X130" s="35"/>
      <c r="AN130" s="35"/>
      <c r="AQ130" s="35"/>
      <c r="AU130" s="40"/>
      <c r="AV130" s="41"/>
      <c r="AW130" s="79"/>
      <c r="BA130" s="62"/>
    </row>
    <row r="131" spans="1:79" x14ac:dyDescent="0.3">
      <c r="A131" s="35"/>
      <c r="B131" s="35"/>
      <c r="C131" s="35"/>
      <c r="F131" s="35"/>
      <c r="V131" s="35"/>
      <c r="W131" s="35"/>
      <c r="X131" s="35"/>
      <c r="AN131" s="35"/>
      <c r="AQ131" s="35"/>
      <c r="AU131" s="40"/>
      <c r="AV131" s="41"/>
      <c r="AW131" s="79"/>
      <c r="BA131" s="62"/>
    </row>
    <row r="132" spans="1:79" x14ac:dyDescent="0.3">
      <c r="A132" s="35"/>
      <c r="B132" s="35"/>
      <c r="C132" s="35"/>
      <c r="F132" s="35"/>
      <c r="V132" s="35"/>
      <c r="W132" s="35"/>
      <c r="X132" s="35"/>
      <c r="AN132" s="35"/>
      <c r="AQ132" s="35"/>
      <c r="AU132" s="40"/>
      <c r="AV132" s="41"/>
      <c r="AW132" s="79"/>
      <c r="BA132" s="62"/>
    </row>
    <row r="133" spans="1:79" x14ac:dyDescent="0.3">
      <c r="A133" s="35"/>
      <c r="B133" s="35"/>
      <c r="C133" s="35"/>
      <c r="F133" s="35"/>
      <c r="V133" s="35"/>
      <c r="W133" s="35"/>
      <c r="X133" s="35"/>
      <c r="AN133" s="35"/>
      <c r="AQ133" s="35"/>
      <c r="AU133" s="40"/>
      <c r="AV133" s="41"/>
      <c r="AW133" s="79"/>
      <c r="BA133" s="62"/>
    </row>
    <row r="134" spans="1:79" x14ac:dyDescent="0.3">
      <c r="A134" s="35"/>
      <c r="B134" s="35"/>
      <c r="C134" s="35"/>
      <c r="F134" s="35"/>
      <c r="V134" s="35"/>
      <c r="W134" s="35"/>
      <c r="X134" s="35"/>
      <c r="AN134" s="35"/>
      <c r="AQ134" s="35"/>
      <c r="AU134" s="40"/>
      <c r="AV134" s="41"/>
      <c r="AW134" s="79"/>
      <c r="BA134" s="62"/>
    </row>
    <row r="135" spans="1:79" x14ac:dyDescent="0.3">
      <c r="C135" s="35"/>
      <c r="AU135" s="40"/>
      <c r="AV135" s="41"/>
      <c r="BY135" s="57"/>
      <c r="BZ135" s="58"/>
      <c r="CA135" s="58"/>
    </row>
    <row r="136" spans="1:79" x14ac:dyDescent="0.3">
      <c r="C136" s="35"/>
      <c r="AU136" s="42"/>
      <c r="AV136" s="41"/>
    </row>
    <row r="137" spans="1:79" x14ac:dyDescent="0.3">
      <c r="C137" s="35"/>
      <c r="AU137" s="40"/>
      <c r="AV137" s="41"/>
      <c r="BA137" s="69"/>
      <c r="BY137" s="57"/>
      <c r="BZ137" s="58"/>
      <c r="CA137" s="58"/>
    </row>
    <row r="138" spans="1:79" x14ac:dyDescent="0.3">
      <c r="C138" s="35"/>
      <c r="AU138" s="40"/>
      <c r="AV138" s="41"/>
      <c r="BA138" s="69"/>
      <c r="BY138" s="57"/>
      <c r="BZ138" s="58"/>
      <c r="CA138" s="58"/>
    </row>
    <row r="139" spans="1:79" x14ac:dyDescent="0.3">
      <c r="C139" s="35"/>
      <c r="AU139" s="40"/>
      <c r="AV139" s="41"/>
      <c r="BA139" s="69"/>
      <c r="BY139" s="57"/>
      <c r="BZ139" s="58"/>
      <c r="CA139" s="58"/>
    </row>
    <row r="140" spans="1:79" x14ac:dyDescent="0.3">
      <c r="C140" s="35"/>
      <c r="AU140" s="40"/>
      <c r="AV140" s="41"/>
      <c r="BA140" s="69"/>
      <c r="BY140" s="57"/>
      <c r="BZ140" s="58"/>
      <c r="CA140" s="58"/>
    </row>
    <row r="141" spans="1:79" x14ac:dyDescent="0.3">
      <c r="C141" s="35"/>
      <c r="AU141" s="40"/>
      <c r="AV141" s="41"/>
      <c r="BA141" s="69"/>
      <c r="BY141" s="57"/>
      <c r="BZ141" s="58"/>
      <c r="CA141" s="58"/>
    </row>
    <row r="142" spans="1:79" x14ac:dyDescent="0.3">
      <c r="C142" s="35"/>
      <c r="AU142" s="40"/>
      <c r="AV142" s="41"/>
      <c r="BA142" s="69"/>
      <c r="BY142" s="57"/>
      <c r="BZ142" s="58"/>
      <c r="CA142" s="58"/>
    </row>
    <row r="143" spans="1:79" x14ac:dyDescent="0.3">
      <c r="A143" s="35"/>
      <c r="B143" s="35"/>
      <c r="C143" s="50"/>
      <c r="D143" s="50"/>
      <c r="E143" s="50"/>
      <c r="F143" s="50"/>
      <c r="I143" s="50"/>
      <c r="J143" s="50"/>
      <c r="K143" s="50"/>
      <c r="L143" s="50"/>
      <c r="M143" s="50"/>
      <c r="N143" s="50"/>
      <c r="O143" s="50"/>
      <c r="V143" s="50"/>
      <c r="W143" s="50"/>
      <c r="X143" s="50"/>
      <c r="Y143" s="50"/>
      <c r="Z143" s="50"/>
      <c r="AA143" s="50"/>
      <c r="AB143" s="50"/>
      <c r="AC143" s="50"/>
      <c r="AD143" s="50"/>
      <c r="AE143" s="50"/>
      <c r="AG143" s="50"/>
      <c r="AH143" s="50"/>
      <c r="AI143" s="50"/>
      <c r="AJ143" s="50"/>
      <c r="AK143" s="50"/>
      <c r="AL143" s="50"/>
      <c r="AM143" s="50"/>
      <c r="AN143" s="50"/>
      <c r="AO143" s="50"/>
      <c r="AP143" s="50"/>
      <c r="AQ143" s="50"/>
      <c r="AR143" s="50"/>
      <c r="AS143" s="50"/>
      <c r="AT143" s="50"/>
      <c r="AU143" s="40"/>
      <c r="AV143" s="41"/>
      <c r="AX143" s="50"/>
      <c r="BA143" s="50"/>
      <c r="BB143" s="50"/>
      <c r="BC143" s="50"/>
      <c r="BD143" s="50"/>
      <c r="BE143" s="50"/>
      <c r="BF143" s="50"/>
      <c r="BG143" s="50"/>
      <c r="BJ143" s="50"/>
      <c r="BK143" s="50"/>
      <c r="BL143" s="50"/>
      <c r="BM143" s="50"/>
      <c r="BN143" s="50"/>
      <c r="BO143" s="50"/>
      <c r="BP143" s="50"/>
      <c r="BQ143" s="50"/>
      <c r="BR143" s="50"/>
      <c r="BS143" s="50"/>
      <c r="BT143" s="50"/>
      <c r="BU143" s="50"/>
      <c r="BV143" s="50"/>
      <c r="BY143" s="57"/>
      <c r="BZ143" s="58"/>
      <c r="CA143" s="58"/>
    </row>
    <row r="144" spans="1:79" x14ac:dyDescent="0.3">
      <c r="AU144" s="40"/>
      <c r="AV144" s="41"/>
      <c r="BA144" s="69"/>
      <c r="BY144" s="57"/>
      <c r="BZ144" s="58"/>
      <c r="CA144" s="58"/>
    </row>
    <row r="145" spans="1:79" x14ac:dyDescent="0.3">
      <c r="AU145" s="40"/>
      <c r="AV145" s="41"/>
      <c r="BA145" s="69"/>
      <c r="BY145" s="57"/>
      <c r="BZ145" s="58"/>
      <c r="CA145" s="58"/>
    </row>
    <row r="146" spans="1:79" x14ac:dyDescent="0.3">
      <c r="A146" s="35"/>
      <c r="B146" s="35"/>
      <c r="D146" s="50"/>
      <c r="F146" s="50"/>
      <c r="I146" s="50"/>
      <c r="K146" s="50"/>
      <c r="L146" s="50"/>
      <c r="M146" s="50"/>
      <c r="N146" s="50"/>
      <c r="O146" s="50"/>
      <c r="V146" s="50"/>
      <c r="W146" s="50"/>
      <c r="X146" s="50"/>
      <c r="Y146" s="50"/>
      <c r="Z146" s="50"/>
      <c r="AA146" s="50"/>
      <c r="AB146" s="50"/>
      <c r="AC146" s="50"/>
      <c r="AD146" s="50"/>
      <c r="AE146" s="50"/>
      <c r="AG146" s="50"/>
      <c r="AH146" s="50"/>
      <c r="AI146" s="50"/>
      <c r="AJ146" s="50"/>
      <c r="AK146" s="50"/>
      <c r="AL146" s="50"/>
      <c r="AM146" s="50"/>
      <c r="AN146" s="50"/>
      <c r="AO146" s="50"/>
      <c r="AP146" s="50"/>
      <c r="AQ146" s="50"/>
      <c r="AS146" s="50"/>
      <c r="AT146" s="50"/>
      <c r="AU146" s="40"/>
      <c r="AV146" s="41"/>
      <c r="BA146" s="50"/>
      <c r="BB146" s="50"/>
      <c r="BC146" s="50"/>
      <c r="BD146" s="50"/>
      <c r="BE146" s="50"/>
      <c r="BF146" s="50"/>
      <c r="BG146" s="50"/>
      <c r="BI146" s="50"/>
      <c r="BJ146" s="50"/>
      <c r="BK146" s="50"/>
      <c r="BL146" s="50"/>
      <c r="BM146" s="50"/>
      <c r="BN146" s="50"/>
      <c r="BO146" s="50"/>
      <c r="BP146" s="50"/>
      <c r="BQ146" s="50"/>
      <c r="BR146" s="50"/>
      <c r="BS146" s="50"/>
      <c r="BT146" s="50"/>
      <c r="BU146" s="50"/>
      <c r="BV146" s="50"/>
    </row>
    <row r="147" spans="1:79" x14ac:dyDescent="0.3">
      <c r="A147" s="35"/>
      <c r="B147" s="35"/>
      <c r="D147" s="50"/>
      <c r="F147" s="50"/>
      <c r="H147" s="56"/>
      <c r="I147" s="50"/>
      <c r="K147" s="50"/>
      <c r="L147" s="50"/>
      <c r="M147" s="50"/>
      <c r="N147" s="50"/>
      <c r="O147" s="50"/>
      <c r="V147" s="50"/>
      <c r="W147" s="50"/>
      <c r="X147" s="50"/>
      <c r="Y147" s="50"/>
      <c r="Z147" s="50"/>
      <c r="AA147" s="50"/>
      <c r="AB147" s="50"/>
      <c r="AC147" s="50"/>
      <c r="AD147" s="50"/>
      <c r="AE147" s="50"/>
      <c r="AG147" s="50"/>
      <c r="AH147" s="50"/>
      <c r="AI147" s="50"/>
      <c r="AJ147" s="50"/>
      <c r="AK147" s="50"/>
      <c r="AL147" s="50"/>
      <c r="AM147" s="50"/>
      <c r="AN147" s="50"/>
      <c r="AO147" s="50"/>
      <c r="AP147" s="50"/>
      <c r="AQ147" s="50"/>
      <c r="AS147" s="50"/>
      <c r="AT147" s="59"/>
      <c r="AU147" s="40"/>
      <c r="AV147" s="41"/>
      <c r="AY147" s="56"/>
      <c r="AZ147" s="56"/>
      <c r="BA147" s="50"/>
      <c r="BB147" s="50"/>
      <c r="BC147" s="50"/>
      <c r="BD147" s="50"/>
      <c r="BE147" s="50"/>
      <c r="BF147" s="50"/>
      <c r="BG147" s="50"/>
      <c r="BH147" s="56"/>
      <c r="BI147" s="50"/>
      <c r="BJ147" s="50"/>
      <c r="BK147" s="50"/>
      <c r="BL147" s="50"/>
      <c r="BM147" s="50"/>
      <c r="BN147" s="50"/>
      <c r="BO147" s="50"/>
      <c r="BP147" s="50"/>
      <c r="BQ147" s="50"/>
      <c r="BR147" s="50"/>
      <c r="BS147" s="50"/>
      <c r="BT147" s="50"/>
      <c r="BU147" s="50"/>
      <c r="BV147" s="50"/>
    </row>
    <row r="148" spans="1:79" x14ac:dyDescent="0.3">
      <c r="A148" s="35"/>
      <c r="B148" s="35"/>
      <c r="D148" s="50"/>
      <c r="F148" s="50"/>
      <c r="H148" s="56"/>
      <c r="I148" s="50"/>
      <c r="K148" s="50"/>
      <c r="L148" s="50"/>
      <c r="M148" s="50"/>
      <c r="N148" s="50"/>
      <c r="O148" s="50"/>
      <c r="V148" s="50"/>
      <c r="W148" s="50"/>
      <c r="X148" s="50"/>
      <c r="Y148" s="50"/>
      <c r="Z148" s="50"/>
      <c r="AA148" s="50"/>
      <c r="AB148" s="50"/>
      <c r="AC148" s="50"/>
      <c r="AD148" s="50"/>
      <c r="AE148" s="50"/>
      <c r="AG148" s="50"/>
      <c r="AH148" s="50"/>
      <c r="AI148" s="50"/>
      <c r="AJ148" s="50"/>
      <c r="AK148" s="50"/>
      <c r="AL148" s="50"/>
      <c r="AM148" s="50"/>
      <c r="AN148" s="50"/>
      <c r="AO148" s="50"/>
      <c r="AP148" s="50"/>
      <c r="AQ148" s="50"/>
      <c r="AS148" s="50"/>
      <c r="AT148" s="59"/>
      <c r="AU148" s="40"/>
      <c r="AV148" s="41"/>
      <c r="AY148" s="56"/>
      <c r="AZ148" s="56"/>
      <c r="BA148" s="50"/>
      <c r="BB148" s="50"/>
      <c r="BC148" s="50"/>
      <c r="BD148" s="50"/>
      <c r="BE148" s="50"/>
      <c r="BF148" s="50"/>
      <c r="BG148" s="50"/>
      <c r="BH148" s="56"/>
      <c r="BI148" s="50"/>
      <c r="BJ148" s="50"/>
      <c r="BK148" s="50"/>
      <c r="BL148" s="50"/>
      <c r="BM148" s="50"/>
      <c r="BN148" s="50"/>
      <c r="BO148" s="50"/>
      <c r="BP148" s="50"/>
      <c r="BQ148" s="50"/>
      <c r="BR148" s="50"/>
      <c r="BS148" s="50"/>
      <c r="BT148" s="50"/>
      <c r="BU148" s="50"/>
      <c r="BV148" s="50"/>
    </row>
    <row r="149" spans="1:79" x14ac:dyDescent="0.3">
      <c r="A149" s="35"/>
      <c r="B149" s="35"/>
      <c r="D149" s="50"/>
      <c r="F149" s="50"/>
      <c r="I149" s="50"/>
      <c r="K149" s="50"/>
      <c r="L149" s="50"/>
      <c r="M149" s="50"/>
      <c r="N149" s="50"/>
      <c r="O149" s="50"/>
      <c r="V149" s="50"/>
      <c r="W149" s="50"/>
      <c r="X149" s="50"/>
      <c r="Y149" s="50"/>
      <c r="Z149" s="50"/>
      <c r="AA149" s="50"/>
      <c r="AB149" s="50"/>
      <c r="AC149" s="50"/>
      <c r="AD149" s="50"/>
      <c r="AE149" s="50"/>
      <c r="AG149" s="50"/>
      <c r="AH149" s="50"/>
      <c r="AI149" s="50"/>
      <c r="AJ149" s="50"/>
      <c r="AK149" s="50"/>
      <c r="AL149" s="50"/>
      <c r="AM149" s="50"/>
      <c r="AN149" s="50"/>
      <c r="AO149" s="50"/>
      <c r="AP149" s="50"/>
      <c r="AQ149" s="50"/>
      <c r="AS149" s="50"/>
      <c r="AT149" s="50"/>
      <c r="AU149" s="40"/>
      <c r="AV149" s="41"/>
      <c r="BA149" s="50"/>
      <c r="BB149" s="50"/>
      <c r="BC149" s="50"/>
      <c r="BD149" s="50"/>
      <c r="BE149" s="50"/>
      <c r="BF149" s="50"/>
      <c r="BG149" s="50"/>
      <c r="BI149" s="50"/>
      <c r="BJ149" s="50"/>
      <c r="BK149" s="50"/>
      <c r="BL149" s="50"/>
      <c r="BM149" s="50"/>
      <c r="BN149" s="50"/>
      <c r="BO149" s="50"/>
      <c r="BP149" s="50"/>
      <c r="BQ149" s="50"/>
      <c r="BR149" s="50"/>
      <c r="BS149" s="50"/>
      <c r="BT149" s="50"/>
      <c r="BU149" s="50"/>
      <c r="BV149" s="50"/>
    </row>
    <row r="150" spans="1:79" x14ac:dyDescent="0.3">
      <c r="A150" s="35"/>
      <c r="B150" s="35"/>
      <c r="D150" s="50"/>
      <c r="F150" s="50"/>
      <c r="I150" s="50"/>
      <c r="K150" s="50"/>
      <c r="L150" s="50"/>
      <c r="M150" s="50"/>
      <c r="N150" s="50"/>
      <c r="O150" s="50"/>
      <c r="R150" s="35"/>
      <c r="V150" s="50"/>
      <c r="W150" s="50"/>
      <c r="X150" s="50"/>
      <c r="Y150" s="50"/>
      <c r="Z150" s="50"/>
      <c r="AA150" s="50"/>
      <c r="AB150" s="50"/>
      <c r="AC150" s="50"/>
      <c r="AD150" s="50"/>
      <c r="AE150" s="50"/>
      <c r="AG150" s="50"/>
      <c r="AH150" s="50"/>
      <c r="AI150" s="50"/>
      <c r="AJ150" s="50"/>
      <c r="AK150" s="50"/>
      <c r="AL150" s="50"/>
      <c r="AM150" s="50"/>
      <c r="AN150" s="50"/>
      <c r="AO150" s="50"/>
      <c r="AP150" s="50"/>
      <c r="AQ150" s="50"/>
      <c r="AS150" s="50"/>
      <c r="AT150" s="50"/>
      <c r="AU150" s="40"/>
      <c r="AV150" s="41"/>
      <c r="BA150" s="50"/>
      <c r="BB150" s="50"/>
      <c r="BC150" s="50"/>
      <c r="BD150" s="50"/>
      <c r="BE150" s="50"/>
      <c r="BF150" s="50"/>
      <c r="BG150" s="50"/>
      <c r="BI150" s="50"/>
      <c r="BJ150" s="50"/>
      <c r="BK150" s="50"/>
      <c r="BL150" s="50"/>
      <c r="BM150" s="50"/>
      <c r="BN150" s="50"/>
      <c r="BO150" s="50"/>
      <c r="BP150" s="50"/>
      <c r="BQ150" s="50"/>
      <c r="BR150" s="50"/>
      <c r="BS150" s="50"/>
      <c r="BT150" s="50"/>
      <c r="BU150" s="50"/>
      <c r="BV150" s="50"/>
    </row>
    <row r="151" spans="1:79" x14ac:dyDescent="0.3">
      <c r="A151" s="35"/>
      <c r="B151" s="35"/>
      <c r="D151" s="50"/>
      <c r="F151" s="50"/>
      <c r="I151" s="50"/>
      <c r="K151" s="50"/>
      <c r="L151" s="50"/>
      <c r="M151" s="50"/>
      <c r="N151" s="50"/>
      <c r="O151" s="50"/>
      <c r="R151" s="35"/>
      <c r="V151" s="50"/>
      <c r="W151" s="50"/>
      <c r="X151" s="50"/>
      <c r="Y151" s="50"/>
      <c r="Z151" s="50"/>
      <c r="AA151" s="50"/>
      <c r="AB151" s="50"/>
      <c r="AC151" s="50"/>
      <c r="AD151" s="50"/>
      <c r="AE151" s="50"/>
      <c r="AG151" s="50"/>
      <c r="AH151" s="50"/>
      <c r="AI151" s="50"/>
      <c r="AJ151" s="50"/>
      <c r="AK151" s="50"/>
      <c r="AL151" s="50"/>
      <c r="AM151" s="50"/>
      <c r="AN151" s="50"/>
      <c r="AO151" s="50"/>
      <c r="AP151" s="50"/>
      <c r="AQ151" s="50"/>
      <c r="AS151" s="50"/>
      <c r="AT151" s="50"/>
      <c r="AU151" s="40"/>
      <c r="AV151" s="41"/>
      <c r="BA151" s="50"/>
      <c r="BB151" s="50"/>
      <c r="BC151" s="50"/>
      <c r="BD151" s="50"/>
      <c r="BE151" s="50"/>
      <c r="BF151" s="50"/>
      <c r="BG151" s="50"/>
      <c r="BI151" s="50"/>
      <c r="BJ151" s="50"/>
      <c r="BK151" s="50"/>
      <c r="BL151" s="50"/>
      <c r="BM151" s="50"/>
      <c r="BN151" s="50"/>
      <c r="BO151" s="50"/>
      <c r="BP151" s="50"/>
      <c r="BQ151" s="50"/>
      <c r="BR151" s="50"/>
      <c r="BS151" s="50"/>
      <c r="BT151" s="50"/>
      <c r="BU151" s="50"/>
      <c r="BV151" s="50"/>
    </row>
    <row r="152" spans="1:79" x14ac:dyDescent="0.3">
      <c r="AU152" s="42"/>
      <c r="AV152" s="41"/>
      <c r="BA152" s="69"/>
      <c r="BY152" s="57"/>
      <c r="BZ152" s="58"/>
      <c r="CA152" s="58"/>
    </row>
    <row r="153" spans="1:79" x14ac:dyDescent="0.3">
      <c r="AU153" s="42"/>
      <c r="AV153" s="41"/>
      <c r="BA153" s="69"/>
      <c r="BY153" s="57"/>
      <c r="BZ153" s="58"/>
      <c r="CA153" s="58"/>
    </row>
    <row r="154" spans="1:79" x14ac:dyDescent="0.3">
      <c r="AU154" s="42"/>
      <c r="AV154" s="41"/>
      <c r="BA154" s="69"/>
      <c r="BY154" s="57"/>
      <c r="BZ154" s="58"/>
      <c r="CA154" s="58"/>
    </row>
    <row r="155" spans="1:79" x14ac:dyDescent="0.3">
      <c r="AU155" s="42"/>
      <c r="AV155" s="41"/>
      <c r="BA155" s="69"/>
      <c r="BY155" s="57"/>
      <c r="BZ155" s="58"/>
      <c r="CA155" s="58"/>
    </row>
    <row r="156" spans="1:79" x14ac:dyDescent="0.3">
      <c r="AU156" s="42"/>
      <c r="AV156" s="41"/>
      <c r="BA156" s="69"/>
      <c r="BY156" s="57"/>
      <c r="BZ156" s="58"/>
      <c r="CA156" s="58"/>
    </row>
    <row r="157" spans="1:79" x14ac:dyDescent="0.3">
      <c r="AU157" s="42"/>
      <c r="AV157" s="41"/>
      <c r="BA157" s="69"/>
      <c r="BY157" s="57"/>
      <c r="BZ157" s="58"/>
      <c r="CA157" s="58"/>
    </row>
    <row r="158" spans="1:79" x14ac:dyDescent="0.3">
      <c r="AU158" s="41"/>
      <c r="AV158" s="41"/>
      <c r="BA158" s="62"/>
      <c r="BY158" s="57"/>
      <c r="BZ158" s="58"/>
      <c r="CA158" s="58"/>
    </row>
    <row r="159" spans="1:79" x14ac:dyDescent="0.3">
      <c r="AU159" s="41"/>
      <c r="AV159" s="41"/>
      <c r="AW159" s="41"/>
      <c r="BA159" s="62"/>
      <c r="BY159" s="57"/>
      <c r="BZ159" s="58"/>
      <c r="CA159" s="58"/>
    </row>
    <row r="160" spans="1:79" x14ac:dyDescent="0.3">
      <c r="AU160" s="41"/>
      <c r="AV160" s="41"/>
      <c r="BA160" s="62"/>
      <c r="BY160" s="57"/>
      <c r="BZ160" s="58"/>
      <c r="CA160" s="58"/>
    </row>
    <row r="161" spans="1:87" x14ac:dyDescent="0.3">
      <c r="AU161" s="41"/>
      <c r="AV161" s="41"/>
      <c r="BA161" s="62"/>
      <c r="BY161" s="57"/>
      <c r="BZ161" s="58"/>
      <c r="CA161" s="58"/>
    </row>
    <row r="162" spans="1:87" x14ac:dyDescent="0.3">
      <c r="AU162" s="41"/>
      <c r="AV162" s="41"/>
      <c r="BA162" s="62"/>
      <c r="BY162" s="57"/>
      <c r="BZ162" s="58"/>
      <c r="CA162" s="58"/>
    </row>
    <row r="163" spans="1:87" x14ac:dyDescent="0.3">
      <c r="AU163" s="41"/>
      <c r="AV163" s="41"/>
      <c r="BA163" s="62"/>
      <c r="BY163" s="57"/>
      <c r="BZ163" s="58"/>
      <c r="CA163" s="58"/>
    </row>
    <row r="164" spans="1:87" x14ac:dyDescent="0.3">
      <c r="AU164" s="41"/>
      <c r="AV164" s="41"/>
      <c r="BA164" s="62"/>
      <c r="BY164" s="57"/>
      <c r="BZ164" s="58"/>
      <c r="CA164" s="58"/>
    </row>
    <row r="165" spans="1:87" x14ac:dyDescent="0.3">
      <c r="AU165" s="41"/>
      <c r="AV165" s="41"/>
      <c r="BA165" s="62"/>
      <c r="BY165" s="57"/>
      <c r="BZ165" s="58"/>
      <c r="CA165" s="58"/>
    </row>
    <row r="166" spans="1:87" x14ac:dyDescent="0.3">
      <c r="A166" s="35"/>
      <c r="B166" s="35"/>
      <c r="C166" s="50"/>
      <c r="D166" s="50"/>
      <c r="F166" s="50"/>
      <c r="I166" s="50"/>
      <c r="K166" s="50"/>
      <c r="X166" s="50"/>
      <c r="AU166" s="41"/>
      <c r="AV166" s="41"/>
      <c r="BY166" s="57"/>
      <c r="BZ166" s="58"/>
      <c r="CA166" s="58"/>
    </row>
    <row r="167" spans="1:87" x14ac:dyDescent="0.3">
      <c r="AU167" s="42"/>
      <c r="AV167" s="41"/>
      <c r="BA167" s="60"/>
      <c r="CF167" s="39"/>
      <c r="CG167" s="39"/>
      <c r="CH167" s="39"/>
      <c r="CI167" s="39"/>
    </row>
    <row r="168" spans="1:87" x14ac:dyDescent="0.3">
      <c r="AU168" s="42"/>
      <c r="AV168" s="41"/>
      <c r="BA168" s="60"/>
      <c r="CF168" s="39"/>
      <c r="CG168" s="39"/>
      <c r="CH168" s="39"/>
      <c r="CI168" s="39"/>
    </row>
    <row r="169" spans="1:87" x14ac:dyDescent="0.3">
      <c r="Q169" s="35"/>
      <c r="AS169" s="35"/>
      <c r="AU169" s="42"/>
      <c r="AV169" s="41"/>
      <c r="BA169" s="60"/>
      <c r="CF169" s="39"/>
      <c r="CG169" s="39"/>
      <c r="CH169" s="39"/>
      <c r="CI169" s="39"/>
    </row>
    <row r="170" spans="1:87" x14ac:dyDescent="0.3">
      <c r="Q170" s="35"/>
      <c r="AS170" s="35"/>
      <c r="AU170" s="42"/>
      <c r="AV170" s="41"/>
      <c r="BA170" s="60"/>
      <c r="CF170" s="39"/>
      <c r="CG170" s="39"/>
      <c r="CH170" s="39"/>
      <c r="CI170" s="39"/>
    </row>
    <row r="171" spans="1:87" x14ac:dyDescent="0.3">
      <c r="A171" s="35"/>
      <c r="B171" s="35"/>
      <c r="C171" s="50"/>
      <c r="D171" s="50"/>
      <c r="F171" s="50"/>
      <c r="I171" s="50"/>
      <c r="K171" s="50"/>
      <c r="L171" s="50"/>
      <c r="M171" s="50"/>
      <c r="T171" s="35"/>
      <c r="V171" s="50"/>
      <c r="W171" s="50"/>
      <c r="X171" s="50"/>
      <c r="Y171" s="50"/>
      <c r="Z171" s="50"/>
      <c r="AA171" s="50"/>
      <c r="AB171" s="50"/>
      <c r="AC171" s="50"/>
      <c r="AD171" s="50"/>
      <c r="AE171" s="50"/>
      <c r="AF171" s="50"/>
      <c r="AH171" s="50"/>
      <c r="AI171" s="50"/>
      <c r="AJ171" s="50"/>
      <c r="AK171" s="50"/>
      <c r="AL171" s="50"/>
      <c r="AM171" s="50"/>
      <c r="AN171" s="50"/>
      <c r="AO171" s="50"/>
      <c r="AP171" s="50"/>
      <c r="AV171" s="41"/>
      <c r="BA171" s="81"/>
      <c r="BB171" s="50"/>
      <c r="BC171" s="50"/>
      <c r="BD171" s="50"/>
      <c r="BE171" s="50"/>
      <c r="BF171" s="50"/>
      <c r="BG171" s="50"/>
      <c r="BH171" s="50"/>
      <c r="BI171" s="50"/>
      <c r="BJ171" s="50"/>
      <c r="BK171" s="50"/>
      <c r="BL171" s="50"/>
      <c r="BM171" s="50"/>
      <c r="BN171" s="50"/>
      <c r="BO171" s="50"/>
      <c r="BP171" s="50"/>
      <c r="BQ171" s="50"/>
      <c r="BR171" s="50"/>
      <c r="BS171" s="50"/>
      <c r="BT171" s="50"/>
      <c r="BU171" s="50"/>
      <c r="BV171" s="50"/>
    </row>
    <row r="172" spans="1:87" x14ac:dyDescent="0.3">
      <c r="A172" s="35"/>
      <c r="B172" s="35"/>
      <c r="C172" s="50"/>
      <c r="D172" s="50"/>
      <c r="F172" s="50"/>
      <c r="I172" s="50"/>
      <c r="K172" s="50"/>
      <c r="L172" s="50"/>
      <c r="M172" s="50"/>
      <c r="T172" s="35"/>
      <c r="V172" s="50"/>
      <c r="W172" s="50"/>
      <c r="X172" s="50"/>
      <c r="Y172" s="50"/>
      <c r="Z172" s="50"/>
      <c r="AA172" s="50"/>
      <c r="AB172" s="50"/>
      <c r="AC172" s="50"/>
      <c r="AD172" s="50"/>
      <c r="AE172" s="50"/>
      <c r="AF172" s="50"/>
      <c r="AH172" s="50"/>
      <c r="AI172" s="50"/>
      <c r="AJ172" s="50"/>
      <c r="AK172" s="50"/>
      <c r="AL172" s="50"/>
      <c r="AM172" s="50"/>
      <c r="AN172" s="50"/>
      <c r="AO172" s="50"/>
      <c r="AP172" s="50"/>
      <c r="AV172" s="41"/>
      <c r="BA172" s="81"/>
      <c r="BB172" s="50"/>
      <c r="BC172" s="50"/>
      <c r="BD172" s="50"/>
      <c r="BE172" s="50"/>
      <c r="BF172" s="50"/>
      <c r="BG172" s="50"/>
      <c r="BH172" s="50"/>
      <c r="BI172" s="50"/>
      <c r="BJ172" s="50"/>
      <c r="BK172" s="50"/>
      <c r="BL172" s="50"/>
      <c r="BM172" s="50"/>
      <c r="BN172" s="50"/>
      <c r="BO172" s="50"/>
      <c r="BP172" s="50"/>
      <c r="BQ172" s="50"/>
      <c r="BR172" s="50"/>
      <c r="BS172" s="50"/>
      <c r="BT172" s="50"/>
      <c r="BU172" s="50"/>
      <c r="BV172" s="50"/>
    </row>
    <row r="173" spans="1:87" x14ac:dyDescent="0.3">
      <c r="A173" s="35"/>
      <c r="B173" s="35"/>
      <c r="C173" s="50"/>
      <c r="D173" s="50"/>
      <c r="F173" s="50"/>
      <c r="I173" s="50"/>
      <c r="K173" s="50"/>
      <c r="L173" s="50"/>
      <c r="M173" s="50"/>
      <c r="T173" s="35"/>
      <c r="V173" s="50"/>
      <c r="W173" s="50"/>
      <c r="X173" s="50"/>
      <c r="Y173" s="50"/>
      <c r="Z173" s="50"/>
      <c r="AA173" s="50"/>
      <c r="AB173" s="50"/>
      <c r="AC173" s="50"/>
      <c r="AD173" s="50"/>
      <c r="AE173" s="50"/>
      <c r="AF173" s="50"/>
      <c r="AG173" s="50"/>
      <c r="AH173" s="50"/>
      <c r="AI173" s="50"/>
      <c r="AJ173" s="50"/>
      <c r="AK173" s="50"/>
      <c r="AL173" s="50"/>
      <c r="AM173" s="50"/>
      <c r="AN173" s="50"/>
      <c r="AO173" s="50"/>
      <c r="AP173" s="50"/>
      <c r="AU173" s="41"/>
      <c r="AV173" s="41"/>
      <c r="AZ173" s="50"/>
      <c r="BA173" s="81"/>
      <c r="BB173" s="50"/>
      <c r="BC173" s="50"/>
      <c r="BD173" s="50"/>
      <c r="BE173" s="50"/>
      <c r="BF173" s="50"/>
      <c r="BG173" s="50"/>
      <c r="BH173" s="50"/>
      <c r="BI173" s="50"/>
      <c r="BJ173" s="50"/>
      <c r="BK173" s="50"/>
      <c r="BL173" s="50"/>
      <c r="BM173" s="50"/>
      <c r="BN173" s="50"/>
      <c r="BO173" s="50"/>
      <c r="BP173" s="50"/>
      <c r="BQ173" s="50"/>
      <c r="BR173" s="50"/>
      <c r="BS173" s="50"/>
      <c r="BT173" s="50"/>
      <c r="BU173" s="50"/>
      <c r="BV173" s="50"/>
    </row>
    <row r="174" spans="1:87" x14ac:dyDescent="0.3">
      <c r="A174" s="35"/>
      <c r="B174" s="35"/>
      <c r="C174" s="50"/>
      <c r="D174" s="50"/>
      <c r="F174" s="50"/>
      <c r="I174" s="50"/>
      <c r="K174" s="50"/>
      <c r="L174" s="50"/>
      <c r="M174" s="50"/>
      <c r="T174" s="35"/>
      <c r="V174" s="50"/>
      <c r="W174" s="50"/>
      <c r="X174" s="50"/>
      <c r="Y174" s="50"/>
      <c r="Z174" s="50"/>
      <c r="AA174" s="50"/>
      <c r="AB174" s="50"/>
      <c r="AC174" s="50"/>
      <c r="AD174" s="50"/>
      <c r="AE174" s="50"/>
      <c r="AF174" s="50"/>
      <c r="AG174" s="50"/>
      <c r="AH174" s="50"/>
      <c r="AI174" s="50"/>
      <c r="AJ174" s="50"/>
      <c r="AK174" s="50"/>
      <c r="AL174" s="50"/>
      <c r="AM174" s="50"/>
      <c r="AN174" s="50"/>
      <c r="AO174" s="50"/>
      <c r="AP174" s="50"/>
      <c r="AU174" s="41"/>
      <c r="AV174" s="41"/>
      <c r="AZ174" s="50"/>
      <c r="BA174" s="81"/>
      <c r="BB174" s="50"/>
      <c r="BC174" s="50"/>
      <c r="BD174" s="50"/>
      <c r="BE174" s="50"/>
      <c r="BF174" s="50"/>
      <c r="BG174" s="50"/>
      <c r="BH174" s="50"/>
      <c r="BI174" s="50"/>
      <c r="BJ174" s="50"/>
      <c r="BK174" s="50"/>
      <c r="BL174" s="50"/>
      <c r="BM174" s="50"/>
      <c r="BN174" s="50"/>
      <c r="BO174" s="50"/>
      <c r="BP174" s="50"/>
      <c r="BQ174" s="50"/>
      <c r="BR174" s="50"/>
      <c r="BS174" s="50"/>
      <c r="BT174" s="50"/>
      <c r="BU174" s="50"/>
      <c r="BV174" s="50"/>
    </row>
    <row r="175" spans="1:87" x14ac:dyDescent="0.3">
      <c r="A175" s="35"/>
      <c r="B175" s="35"/>
      <c r="C175" s="50"/>
      <c r="D175" s="50"/>
      <c r="F175" s="50"/>
      <c r="I175" s="50"/>
      <c r="K175" s="50"/>
      <c r="L175" s="50"/>
      <c r="M175" s="50"/>
      <c r="T175" s="35"/>
      <c r="V175" s="50"/>
      <c r="W175" s="50"/>
      <c r="X175" s="50"/>
      <c r="Y175" s="50"/>
      <c r="Z175" s="50"/>
      <c r="AA175" s="50"/>
      <c r="AB175" s="50"/>
      <c r="AC175" s="50"/>
      <c r="AD175" s="50"/>
      <c r="AE175" s="50"/>
      <c r="AF175" s="50"/>
      <c r="AG175" s="50"/>
      <c r="AH175" s="50"/>
      <c r="AI175" s="50"/>
      <c r="AJ175" s="50"/>
      <c r="AK175" s="50"/>
      <c r="AL175" s="50"/>
      <c r="AM175" s="50"/>
      <c r="AN175" s="50"/>
      <c r="AO175" s="50"/>
      <c r="AP175" s="50"/>
      <c r="AU175" s="41"/>
      <c r="AV175" s="41"/>
      <c r="AZ175" s="50"/>
      <c r="BA175" s="81"/>
      <c r="BB175" s="50"/>
      <c r="BC175" s="50"/>
      <c r="BD175" s="50"/>
      <c r="BE175" s="50"/>
      <c r="BF175" s="50"/>
      <c r="BG175" s="50"/>
      <c r="BH175" s="50"/>
      <c r="BI175" s="50"/>
      <c r="BJ175" s="50"/>
      <c r="BK175" s="50"/>
      <c r="BL175" s="50"/>
      <c r="BM175" s="50"/>
      <c r="BN175" s="50"/>
      <c r="BO175" s="50"/>
      <c r="BP175" s="50"/>
      <c r="BQ175" s="50"/>
      <c r="BR175" s="50"/>
      <c r="BS175" s="50"/>
      <c r="BT175" s="50"/>
      <c r="BU175" s="50"/>
      <c r="BV175" s="50"/>
    </row>
    <row r="176" spans="1:87" x14ac:dyDescent="0.3">
      <c r="A176" s="35"/>
      <c r="B176" s="35"/>
      <c r="C176" s="50"/>
      <c r="D176" s="50"/>
      <c r="F176" s="50"/>
      <c r="I176" s="50"/>
      <c r="K176" s="50"/>
      <c r="L176" s="50"/>
      <c r="M176" s="50"/>
      <c r="T176" s="35"/>
      <c r="V176" s="50"/>
      <c r="W176" s="50"/>
      <c r="X176" s="50"/>
      <c r="Y176" s="50"/>
      <c r="Z176" s="50"/>
      <c r="AA176" s="50"/>
      <c r="AB176" s="50"/>
      <c r="AC176" s="50"/>
      <c r="AD176" s="50"/>
      <c r="AE176" s="50"/>
      <c r="AF176" s="50"/>
      <c r="AG176" s="50"/>
      <c r="AH176" s="50"/>
      <c r="AI176" s="50"/>
      <c r="AJ176" s="50"/>
      <c r="AK176" s="50"/>
      <c r="AL176" s="50"/>
      <c r="AM176" s="50"/>
      <c r="AN176" s="50"/>
      <c r="AO176" s="50"/>
      <c r="AP176" s="50"/>
      <c r="AU176" s="41"/>
      <c r="AV176" s="41"/>
      <c r="AZ176" s="50"/>
      <c r="BA176" s="81"/>
      <c r="BB176" s="50"/>
      <c r="BC176" s="50"/>
      <c r="BD176" s="50"/>
      <c r="BE176" s="50"/>
      <c r="BF176" s="50"/>
      <c r="BG176" s="50"/>
      <c r="BH176" s="50"/>
      <c r="BI176" s="50"/>
      <c r="BJ176" s="50"/>
      <c r="BK176" s="50"/>
      <c r="BL176" s="50"/>
      <c r="BM176" s="50"/>
      <c r="BN176" s="50"/>
      <c r="BO176" s="50"/>
      <c r="BP176" s="50"/>
      <c r="BQ176" s="50"/>
      <c r="BR176" s="50"/>
      <c r="BS176" s="50"/>
      <c r="BT176" s="50"/>
      <c r="BU176" s="50"/>
      <c r="BV176" s="50"/>
    </row>
    <row r="177" spans="1:89" x14ac:dyDescent="0.3">
      <c r="A177" s="35"/>
      <c r="B177" s="35"/>
      <c r="C177" s="50"/>
      <c r="D177" s="50"/>
      <c r="F177" s="50"/>
      <c r="I177" s="50"/>
      <c r="L177" s="50"/>
      <c r="V177" s="50"/>
      <c r="W177" s="50"/>
      <c r="X177" s="50"/>
      <c r="Y177" s="50"/>
      <c r="Z177" s="50"/>
      <c r="AA177" s="50"/>
      <c r="AB177" s="50"/>
      <c r="AC177" s="50"/>
      <c r="AD177" s="50"/>
      <c r="AE177" s="50"/>
      <c r="AF177" s="50"/>
      <c r="AG177" s="50"/>
      <c r="AH177" s="50"/>
      <c r="AI177" s="50"/>
      <c r="AJ177" s="50"/>
      <c r="AK177" s="50"/>
      <c r="AL177" s="50"/>
      <c r="AM177" s="50"/>
      <c r="AN177" s="50"/>
      <c r="AO177" s="50"/>
      <c r="AP177" s="50"/>
      <c r="AU177" s="41"/>
      <c r="AV177" s="41"/>
      <c r="AZ177" s="50"/>
      <c r="BA177" s="50"/>
      <c r="BB177" s="50"/>
      <c r="BC177" s="50"/>
      <c r="BD177" s="50"/>
      <c r="BE177" s="50"/>
      <c r="BF177" s="50"/>
      <c r="BG177" s="50"/>
      <c r="BH177" s="50"/>
      <c r="BI177" s="50"/>
      <c r="BJ177" s="50"/>
      <c r="BK177" s="50"/>
      <c r="BL177" s="50"/>
      <c r="BM177" s="50"/>
      <c r="BN177" s="50"/>
      <c r="BO177" s="50"/>
      <c r="BP177" s="50"/>
      <c r="BQ177" s="50"/>
      <c r="BR177" s="50"/>
      <c r="BS177" s="50"/>
      <c r="BT177" s="50"/>
      <c r="BU177" s="50"/>
      <c r="BV177" s="50"/>
      <c r="BY177" s="57"/>
      <c r="BZ177" s="58"/>
      <c r="CA177" s="58"/>
    </row>
    <row r="178" spans="1:89" x14ac:dyDescent="0.3">
      <c r="A178" s="35"/>
      <c r="B178" s="35"/>
      <c r="C178" s="50"/>
      <c r="D178" s="50"/>
      <c r="F178" s="50"/>
      <c r="I178" s="50"/>
      <c r="K178" s="50"/>
      <c r="L178" s="50"/>
      <c r="T178" s="35"/>
      <c r="V178" s="50"/>
      <c r="W178" s="50"/>
      <c r="X178" s="50"/>
      <c r="Y178" s="50"/>
      <c r="Z178" s="50"/>
      <c r="AA178" s="50"/>
      <c r="AB178" s="50"/>
      <c r="AC178" s="50"/>
      <c r="AD178" s="50"/>
      <c r="AE178" s="50"/>
      <c r="AF178" s="50"/>
      <c r="AG178" s="50"/>
      <c r="AH178" s="50"/>
      <c r="AI178" s="50"/>
      <c r="AJ178" s="50"/>
      <c r="AK178" s="50"/>
      <c r="AL178" s="50"/>
      <c r="AM178" s="50"/>
      <c r="AN178" s="50"/>
      <c r="AO178" s="50"/>
      <c r="AP178" s="50"/>
      <c r="AU178" s="40"/>
      <c r="AV178" s="41"/>
      <c r="AZ178" s="50"/>
      <c r="BA178" s="81"/>
      <c r="BB178" s="50"/>
      <c r="BC178" s="50"/>
      <c r="BD178" s="50"/>
      <c r="BE178" s="50"/>
      <c r="BF178" s="50"/>
      <c r="BG178" s="50"/>
      <c r="BH178" s="50"/>
      <c r="BI178" s="50"/>
      <c r="BJ178" s="50"/>
      <c r="BK178" s="50"/>
      <c r="BL178" s="50"/>
      <c r="BM178" s="50"/>
      <c r="BN178" s="50"/>
      <c r="BP178" s="50"/>
      <c r="BR178" s="50"/>
      <c r="BT178" s="50"/>
      <c r="BU178" s="50"/>
      <c r="BV178" s="50"/>
    </row>
    <row r="179" spans="1:89" x14ac:dyDescent="0.3">
      <c r="A179" s="35"/>
      <c r="B179" s="35"/>
      <c r="C179" s="50"/>
      <c r="D179" s="50"/>
      <c r="F179" s="50"/>
      <c r="I179" s="50"/>
      <c r="K179" s="50"/>
      <c r="L179" s="50"/>
      <c r="T179" s="35"/>
      <c r="V179" s="50"/>
      <c r="W179" s="50"/>
      <c r="X179" s="50"/>
      <c r="Y179" s="50"/>
      <c r="Z179" s="50"/>
      <c r="AA179" s="50"/>
      <c r="AB179" s="50"/>
      <c r="AC179" s="50"/>
      <c r="AD179" s="50"/>
      <c r="AE179" s="50"/>
      <c r="AF179" s="50"/>
      <c r="AG179" s="50"/>
      <c r="AH179" s="50"/>
      <c r="AI179" s="50"/>
      <c r="AJ179" s="50"/>
      <c r="AK179" s="50"/>
      <c r="AL179" s="50"/>
      <c r="AM179" s="50"/>
      <c r="AN179" s="50"/>
      <c r="AO179" s="50"/>
      <c r="AP179" s="50"/>
      <c r="AU179" s="40"/>
      <c r="AV179" s="41"/>
      <c r="AZ179" s="50"/>
      <c r="BA179" s="81"/>
      <c r="BB179" s="50"/>
      <c r="BC179" s="50"/>
      <c r="BD179" s="50"/>
      <c r="BE179" s="50"/>
      <c r="BF179" s="50"/>
      <c r="BG179" s="50"/>
      <c r="BH179" s="50"/>
      <c r="BI179" s="50"/>
      <c r="BJ179" s="50"/>
      <c r="BK179" s="50"/>
      <c r="BL179" s="50"/>
      <c r="BM179" s="50"/>
      <c r="BN179" s="50"/>
      <c r="BP179" s="50"/>
      <c r="BR179" s="50"/>
      <c r="BT179" s="50"/>
      <c r="BU179" s="50"/>
      <c r="BV179" s="50"/>
    </row>
    <row r="180" spans="1:89" x14ac:dyDescent="0.3">
      <c r="A180" s="35"/>
      <c r="B180" s="35"/>
      <c r="C180" s="50"/>
      <c r="D180" s="50"/>
      <c r="F180" s="50"/>
      <c r="I180" s="50"/>
      <c r="K180" s="50"/>
      <c r="L180" s="50"/>
      <c r="T180" s="35"/>
      <c r="V180" s="50"/>
      <c r="W180" s="50"/>
      <c r="X180" s="50"/>
      <c r="Y180" s="50"/>
      <c r="Z180" s="50"/>
      <c r="AA180" s="50"/>
      <c r="AB180" s="50"/>
      <c r="AC180" s="50"/>
      <c r="AD180" s="50"/>
      <c r="AE180" s="50"/>
      <c r="AF180" s="50"/>
      <c r="AG180" s="50"/>
      <c r="AH180" s="50"/>
      <c r="AI180" s="50"/>
      <c r="AJ180" s="50"/>
      <c r="AK180" s="50"/>
      <c r="AL180" s="50"/>
      <c r="AM180" s="50"/>
      <c r="AN180" s="50"/>
      <c r="AO180" s="50"/>
      <c r="AP180" s="50"/>
      <c r="AU180" s="41"/>
      <c r="AV180" s="41"/>
      <c r="AX180" s="58"/>
      <c r="AZ180" s="50"/>
      <c r="BA180" s="50"/>
      <c r="BB180" s="50"/>
      <c r="BC180" s="50"/>
      <c r="BD180" s="50"/>
      <c r="BE180" s="50"/>
      <c r="BF180" s="50"/>
      <c r="BG180" s="50"/>
      <c r="BH180" s="50"/>
      <c r="BI180" s="50"/>
      <c r="BJ180" s="50"/>
      <c r="BK180" s="50"/>
      <c r="BL180" s="50"/>
      <c r="BM180" s="50"/>
      <c r="BN180" s="50"/>
      <c r="BP180" s="50"/>
      <c r="BR180" s="50"/>
      <c r="BT180" s="50"/>
      <c r="BU180" s="50"/>
      <c r="BV180" s="50"/>
    </row>
    <row r="181" spans="1:89" x14ac:dyDescent="0.3">
      <c r="A181" s="35"/>
      <c r="B181" s="35"/>
      <c r="C181" s="50"/>
      <c r="D181" s="50"/>
      <c r="F181" s="50"/>
      <c r="I181" s="50"/>
      <c r="K181" s="50"/>
      <c r="L181" s="50"/>
      <c r="T181" s="35"/>
      <c r="V181" s="50"/>
      <c r="W181" s="50"/>
      <c r="X181" s="50"/>
      <c r="Y181" s="50"/>
      <c r="Z181" s="50"/>
      <c r="AA181" s="50"/>
      <c r="AB181" s="50"/>
      <c r="AC181" s="50"/>
      <c r="AD181" s="50"/>
      <c r="AE181" s="50"/>
      <c r="AF181" s="50"/>
      <c r="AG181" s="50"/>
      <c r="AH181" s="50"/>
      <c r="AI181" s="50"/>
      <c r="AJ181" s="50"/>
      <c r="AK181" s="50"/>
      <c r="AL181" s="50"/>
      <c r="AM181" s="50"/>
      <c r="AN181" s="50"/>
      <c r="AO181" s="50"/>
      <c r="AP181" s="50"/>
      <c r="AU181" s="41"/>
      <c r="AV181" s="41"/>
      <c r="AZ181" s="50"/>
      <c r="BA181" s="50"/>
      <c r="BB181" s="50"/>
      <c r="BC181" s="50"/>
      <c r="BD181" s="50"/>
      <c r="BE181" s="50"/>
      <c r="BF181" s="50"/>
      <c r="BG181" s="50"/>
      <c r="BH181" s="50"/>
      <c r="BI181" s="50"/>
      <c r="BJ181" s="50"/>
      <c r="BK181" s="50"/>
      <c r="BL181" s="50"/>
      <c r="BM181" s="50"/>
      <c r="BN181" s="50"/>
      <c r="BP181" s="50"/>
      <c r="BR181" s="50"/>
      <c r="BT181" s="50"/>
      <c r="BU181" s="50"/>
      <c r="BV181" s="50"/>
    </row>
    <row r="182" spans="1:89" x14ac:dyDescent="0.3">
      <c r="A182" s="35"/>
      <c r="B182" s="35"/>
      <c r="C182" s="50"/>
      <c r="D182" s="50"/>
      <c r="F182" s="50"/>
      <c r="I182" s="50"/>
      <c r="K182" s="50"/>
      <c r="L182" s="50"/>
      <c r="R182" s="35"/>
      <c r="T182" s="35"/>
      <c r="V182" s="50"/>
      <c r="W182" s="50"/>
      <c r="X182" s="50"/>
      <c r="Y182" s="50"/>
      <c r="Z182" s="50"/>
      <c r="AA182" s="50"/>
      <c r="AB182" s="50"/>
      <c r="AC182" s="50"/>
      <c r="AD182" s="50"/>
      <c r="AE182" s="50"/>
      <c r="AF182" s="50"/>
      <c r="AG182" s="50"/>
      <c r="AH182" s="50"/>
      <c r="AI182" s="50"/>
      <c r="AJ182" s="50"/>
      <c r="AK182" s="50"/>
      <c r="AL182" s="50"/>
      <c r="AM182" s="50"/>
      <c r="AN182" s="50"/>
      <c r="AO182" s="50"/>
      <c r="AP182" s="50"/>
      <c r="AU182" s="41"/>
      <c r="AV182" s="41"/>
      <c r="BA182" s="81"/>
      <c r="BB182" s="50"/>
      <c r="BC182" s="50"/>
      <c r="BD182" s="50"/>
      <c r="BE182" s="50"/>
      <c r="BF182" s="50"/>
      <c r="BG182" s="50"/>
      <c r="BH182" s="82"/>
      <c r="BI182" s="50"/>
      <c r="BJ182" s="50"/>
      <c r="BK182" s="50"/>
      <c r="BL182" s="50"/>
      <c r="BM182" s="50"/>
      <c r="BN182" s="50"/>
      <c r="BO182" s="50"/>
      <c r="BP182" s="50"/>
      <c r="BQ182" s="50"/>
      <c r="BR182" s="50"/>
      <c r="BS182" s="50"/>
      <c r="BT182" s="50"/>
      <c r="BU182" s="50"/>
      <c r="BV182" s="50"/>
    </row>
    <row r="183" spans="1:89" x14ac:dyDescent="0.3">
      <c r="A183" s="35"/>
      <c r="B183" s="35"/>
      <c r="C183" s="50"/>
      <c r="D183" s="50"/>
      <c r="F183" s="50"/>
      <c r="I183" s="50"/>
      <c r="K183" s="50"/>
      <c r="L183" s="50"/>
      <c r="R183" s="35"/>
      <c r="T183" s="35"/>
      <c r="V183" s="50"/>
      <c r="W183" s="50"/>
      <c r="X183" s="50"/>
      <c r="Y183" s="50"/>
      <c r="Z183" s="50"/>
      <c r="AA183" s="50"/>
      <c r="AB183" s="50"/>
      <c r="AC183" s="50"/>
      <c r="AD183" s="50"/>
      <c r="AE183" s="50"/>
      <c r="AF183" s="50"/>
      <c r="AG183" s="50"/>
      <c r="AH183" s="50"/>
      <c r="AI183" s="50"/>
      <c r="AJ183" s="50"/>
      <c r="AK183" s="50"/>
      <c r="AL183" s="50"/>
      <c r="AM183" s="50"/>
      <c r="AN183" s="50"/>
      <c r="AO183" s="50"/>
      <c r="AP183" s="50"/>
      <c r="AU183" s="41"/>
      <c r="AV183" s="41"/>
      <c r="BA183" s="81"/>
      <c r="BB183" s="50"/>
      <c r="BC183" s="50"/>
      <c r="BD183" s="50"/>
      <c r="BE183" s="50"/>
      <c r="BF183" s="50"/>
      <c r="BG183" s="50"/>
      <c r="BH183" s="82"/>
      <c r="BI183" s="50"/>
      <c r="BJ183" s="50"/>
      <c r="BK183" s="50"/>
      <c r="BL183" s="50"/>
      <c r="BM183" s="50"/>
      <c r="BN183" s="50"/>
      <c r="BO183" s="50"/>
      <c r="BP183" s="50"/>
      <c r="BQ183" s="50"/>
      <c r="BR183" s="50"/>
      <c r="BS183" s="50"/>
      <c r="BT183" s="50"/>
      <c r="BU183" s="50"/>
      <c r="BV183" s="50"/>
    </row>
    <row r="184" spans="1:89" x14ac:dyDescent="0.3">
      <c r="A184" s="35"/>
      <c r="B184" s="35"/>
      <c r="C184" s="50"/>
      <c r="D184" s="50"/>
      <c r="F184" s="50"/>
      <c r="I184" s="50"/>
      <c r="K184" s="50"/>
      <c r="AU184" s="41"/>
      <c r="AV184" s="41"/>
      <c r="BY184" s="57"/>
      <c r="BZ184" s="58"/>
      <c r="CA184" s="58"/>
    </row>
    <row r="185" spans="1:89" x14ac:dyDescent="0.3">
      <c r="A185" s="35"/>
      <c r="B185" s="35"/>
      <c r="C185" s="50"/>
      <c r="D185" s="50"/>
      <c r="F185" s="50"/>
      <c r="I185" s="50"/>
      <c r="K185" s="50"/>
      <c r="V185" s="50"/>
      <c r="W185" s="50"/>
      <c r="X185" s="50"/>
      <c r="Y185" s="50"/>
      <c r="Z185" s="50"/>
      <c r="AA185" s="50"/>
      <c r="AB185" s="50"/>
      <c r="AC185" s="50"/>
      <c r="AD185" s="50"/>
      <c r="AE185" s="50"/>
      <c r="AF185" s="50"/>
      <c r="AG185" s="50"/>
      <c r="AH185" s="50"/>
      <c r="AI185" s="50"/>
      <c r="AJ185" s="50"/>
      <c r="AK185" s="50"/>
      <c r="AL185" s="50"/>
      <c r="AM185" s="50"/>
      <c r="AN185" s="50"/>
      <c r="AO185" s="50"/>
      <c r="AP185" s="50"/>
      <c r="AU185" s="40"/>
      <c r="AV185" s="41"/>
      <c r="BA185" s="62"/>
      <c r="BB185" s="50"/>
      <c r="BC185" s="50"/>
      <c r="BD185" s="50"/>
      <c r="BE185" s="50"/>
      <c r="BF185" s="50"/>
      <c r="BG185" s="50"/>
      <c r="BH185" s="50"/>
      <c r="BI185" s="82"/>
      <c r="BJ185" s="50"/>
      <c r="BK185" s="50"/>
      <c r="BL185" s="50"/>
      <c r="BM185" s="50"/>
      <c r="BO185" s="50"/>
      <c r="BP185" s="50"/>
      <c r="BQ185" s="50"/>
      <c r="BR185" s="50"/>
      <c r="BS185" s="50"/>
      <c r="BT185" s="50"/>
      <c r="BU185" s="50"/>
      <c r="BV185" s="50"/>
      <c r="CF185" s="39"/>
      <c r="CG185" s="39"/>
      <c r="CH185" s="39"/>
      <c r="CI185" s="39"/>
    </row>
    <row r="186" spans="1:89" x14ac:dyDescent="0.3">
      <c r="A186" s="35"/>
      <c r="B186" s="35"/>
      <c r="C186" s="50"/>
      <c r="D186" s="50"/>
      <c r="F186" s="50"/>
      <c r="I186" s="50"/>
      <c r="K186" s="50"/>
      <c r="V186" s="50"/>
      <c r="W186" s="50"/>
      <c r="X186" s="50"/>
      <c r="Y186" s="50"/>
      <c r="Z186" s="50"/>
      <c r="AA186" s="50"/>
      <c r="AB186" s="50"/>
      <c r="AC186" s="50"/>
      <c r="AD186" s="50"/>
      <c r="AE186" s="50"/>
      <c r="AF186" s="50"/>
      <c r="AG186" s="50"/>
      <c r="AH186" s="50"/>
      <c r="AI186" s="50"/>
      <c r="AJ186" s="50"/>
      <c r="AK186" s="50"/>
      <c r="AL186" s="50"/>
      <c r="AM186" s="50"/>
      <c r="AN186" s="50"/>
      <c r="AO186" s="50"/>
      <c r="AP186" s="50"/>
      <c r="AV186" s="41"/>
      <c r="BA186" s="62"/>
      <c r="BB186" s="50"/>
      <c r="BC186" s="50"/>
      <c r="BD186" s="50"/>
      <c r="BE186" s="50"/>
      <c r="BF186" s="50"/>
      <c r="BG186" s="50"/>
      <c r="BH186" s="50"/>
      <c r="BI186" s="82"/>
      <c r="BJ186" s="50"/>
      <c r="BK186" s="50"/>
      <c r="BL186" s="50"/>
      <c r="BM186" s="50"/>
      <c r="BO186" s="50"/>
      <c r="BP186" s="50"/>
      <c r="BQ186" s="50"/>
      <c r="BR186" s="50"/>
      <c r="BS186" s="50"/>
      <c r="BT186" s="50"/>
      <c r="BU186" s="50"/>
      <c r="BV186" s="50"/>
      <c r="CF186" s="39"/>
      <c r="CG186" s="39"/>
      <c r="CH186" s="39"/>
      <c r="CI186" s="39"/>
      <c r="CK186" s="83"/>
    </row>
    <row r="187" spans="1:89" x14ac:dyDescent="0.3">
      <c r="A187" s="35"/>
      <c r="B187" s="35"/>
      <c r="C187" s="50"/>
      <c r="D187" s="50"/>
      <c r="F187" s="50"/>
      <c r="I187" s="50"/>
      <c r="K187" s="50"/>
      <c r="V187" s="50"/>
      <c r="W187" s="50"/>
      <c r="X187" s="50"/>
      <c r="Y187" s="50"/>
      <c r="Z187" s="50"/>
      <c r="AA187" s="50"/>
      <c r="AB187" s="50"/>
      <c r="AC187" s="50"/>
      <c r="AD187" s="50"/>
      <c r="AE187" s="50"/>
      <c r="AF187" s="50"/>
      <c r="AG187" s="50"/>
      <c r="AH187" s="50"/>
      <c r="AI187" s="50"/>
      <c r="AJ187" s="50"/>
      <c r="AK187" s="50"/>
      <c r="AL187" s="50"/>
      <c r="AM187" s="50"/>
      <c r="AN187" s="50"/>
      <c r="AO187" s="50"/>
      <c r="AP187" s="50"/>
      <c r="AU187" s="40"/>
      <c r="AV187" s="41"/>
      <c r="BA187" s="62"/>
      <c r="BB187" s="50"/>
      <c r="BC187" s="50"/>
      <c r="BD187" s="50"/>
      <c r="BE187" s="50"/>
      <c r="BF187" s="50"/>
      <c r="BG187" s="50"/>
      <c r="BH187" s="50"/>
      <c r="BI187" s="82"/>
      <c r="BJ187" s="50"/>
      <c r="BK187" s="50"/>
      <c r="BL187" s="50"/>
      <c r="BM187" s="50"/>
      <c r="BO187" s="50"/>
      <c r="BP187" s="50"/>
      <c r="BQ187" s="50"/>
      <c r="BR187" s="50"/>
      <c r="BS187" s="50"/>
      <c r="BT187" s="50"/>
      <c r="BU187" s="50"/>
      <c r="BV187" s="50"/>
      <c r="CF187" s="39"/>
      <c r="CG187" s="39"/>
      <c r="CH187" s="39"/>
      <c r="CI187" s="39"/>
    </row>
    <row r="188" spans="1:89" x14ac:dyDescent="0.3">
      <c r="A188" s="35"/>
      <c r="B188" s="35"/>
      <c r="C188" s="50"/>
      <c r="D188" s="50"/>
      <c r="F188" s="50"/>
      <c r="I188" s="50"/>
      <c r="K188" s="50"/>
      <c r="V188" s="50"/>
      <c r="W188" s="50"/>
      <c r="X188" s="50"/>
      <c r="Y188" s="50"/>
      <c r="Z188" s="50"/>
      <c r="AA188" s="50"/>
      <c r="AB188" s="50"/>
      <c r="AC188" s="50"/>
      <c r="AD188" s="50"/>
      <c r="AE188" s="50"/>
      <c r="AF188" s="50"/>
      <c r="AG188" s="50"/>
      <c r="AH188" s="50"/>
      <c r="AI188" s="50"/>
      <c r="AJ188" s="50"/>
      <c r="AK188" s="50"/>
      <c r="AL188" s="50"/>
      <c r="AM188" s="50"/>
      <c r="AN188" s="50"/>
      <c r="AO188" s="50"/>
      <c r="AP188" s="50"/>
      <c r="AU188" s="40"/>
      <c r="AV188" s="41"/>
      <c r="BA188" s="62"/>
      <c r="BB188" s="50"/>
      <c r="BC188" s="50"/>
      <c r="BD188" s="50"/>
      <c r="BE188" s="50"/>
      <c r="BF188" s="50"/>
      <c r="BG188" s="50"/>
      <c r="BH188" s="50"/>
      <c r="BI188" s="82"/>
      <c r="BJ188" s="50"/>
      <c r="BK188" s="50"/>
      <c r="BL188" s="50"/>
      <c r="BM188" s="50"/>
      <c r="BO188" s="50"/>
      <c r="BP188" s="50"/>
      <c r="BQ188" s="50"/>
      <c r="BR188" s="50"/>
      <c r="BS188" s="50"/>
      <c r="BT188" s="50"/>
      <c r="BU188" s="50"/>
      <c r="BV188" s="50"/>
      <c r="CF188" s="39"/>
      <c r="CG188" s="39"/>
      <c r="CH188" s="39"/>
      <c r="CI188" s="39"/>
    </row>
    <row r="189" spans="1:89" x14ac:dyDescent="0.3">
      <c r="A189" s="35"/>
      <c r="B189" s="35"/>
      <c r="C189" s="50"/>
      <c r="D189" s="50"/>
      <c r="F189" s="50"/>
      <c r="I189" s="50"/>
      <c r="K189" s="50"/>
      <c r="R189" s="35"/>
      <c r="V189" s="50"/>
      <c r="W189" s="50"/>
      <c r="X189" s="50"/>
      <c r="Y189" s="50"/>
      <c r="Z189" s="50"/>
      <c r="AA189" s="50"/>
      <c r="AB189" s="50"/>
      <c r="AC189" s="50"/>
      <c r="AD189" s="50"/>
      <c r="AE189" s="50"/>
      <c r="AF189" s="50"/>
      <c r="AG189" s="50"/>
      <c r="AH189" s="50"/>
      <c r="AI189" s="50"/>
      <c r="AJ189" s="50"/>
      <c r="AK189" s="50"/>
      <c r="AL189" s="50"/>
      <c r="AM189" s="50"/>
      <c r="AN189" s="50"/>
      <c r="AO189" s="50"/>
      <c r="AP189" s="50"/>
      <c r="AU189" s="41"/>
      <c r="AV189" s="41"/>
      <c r="BA189" s="62"/>
      <c r="BB189" s="50"/>
      <c r="BC189" s="50"/>
      <c r="BD189" s="50"/>
      <c r="BE189" s="50"/>
      <c r="BF189" s="50"/>
      <c r="BG189" s="50"/>
      <c r="BJ189" s="50"/>
      <c r="BK189" s="50"/>
      <c r="BL189" s="50"/>
      <c r="BM189" s="50"/>
      <c r="BO189" s="50"/>
      <c r="BP189" s="50"/>
      <c r="BQ189" s="50"/>
      <c r="BR189" s="50"/>
      <c r="BS189" s="50"/>
      <c r="BT189" s="50"/>
      <c r="BU189" s="50"/>
      <c r="BV189" s="50"/>
      <c r="CF189" s="39"/>
      <c r="CG189" s="39"/>
      <c r="CH189" s="39"/>
      <c r="CI189" s="39"/>
    </row>
    <row r="190" spans="1:89" x14ac:dyDescent="0.3">
      <c r="A190" s="35"/>
      <c r="B190" s="35"/>
      <c r="C190" s="50"/>
      <c r="D190" s="50"/>
      <c r="F190" s="50"/>
      <c r="I190" s="50"/>
      <c r="K190" s="50"/>
      <c r="R190" s="35"/>
      <c r="V190" s="50"/>
      <c r="W190" s="50"/>
      <c r="X190" s="50"/>
      <c r="Y190" s="50"/>
      <c r="Z190" s="50"/>
      <c r="AA190" s="50"/>
      <c r="AB190" s="50"/>
      <c r="AC190" s="50"/>
      <c r="AD190" s="50"/>
      <c r="AE190" s="50"/>
      <c r="AF190" s="50"/>
      <c r="AG190" s="50"/>
      <c r="AH190" s="50"/>
      <c r="AI190" s="50"/>
      <c r="AJ190" s="50"/>
      <c r="AK190" s="50"/>
      <c r="AL190" s="50"/>
      <c r="AM190" s="50"/>
      <c r="AN190" s="50"/>
      <c r="AO190" s="50"/>
      <c r="AP190" s="50"/>
      <c r="AU190" s="41"/>
      <c r="AV190" s="41"/>
      <c r="BA190" s="62"/>
      <c r="BB190" s="50"/>
      <c r="BC190" s="50"/>
      <c r="BD190" s="50"/>
      <c r="BE190" s="50"/>
      <c r="BF190" s="50"/>
      <c r="BG190" s="50"/>
      <c r="BJ190" s="50"/>
      <c r="BK190" s="50"/>
      <c r="BL190" s="50"/>
      <c r="BM190" s="50"/>
      <c r="BO190" s="50"/>
      <c r="BP190" s="50"/>
      <c r="BQ190" s="50"/>
      <c r="BR190" s="50"/>
      <c r="BS190" s="50"/>
      <c r="BT190" s="50"/>
      <c r="BU190" s="50"/>
      <c r="BV190" s="50"/>
      <c r="CF190" s="39"/>
      <c r="CG190" s="39"/>
      <c r="CH190" s="39"/>
      <c r="CI190" s="39"/>
      <c r="CK190" s="83"/>
    </row>
    <row r="191" spans="1:89" x14ac:dyDescent="0.3">
      <c r="A191" s="35"/>
      <c r="B191" s="35"/>
      <c r="C191" s="50"/>
      <c r="D191" s="50"/>
      <c r="F191" s="50"/>
      <c r="I191" s="50"/>
      <c r="K191" s="50"/>
      <c r="V191" s="50"/>
      <c r="W191" s="50"/>
      <c r="X191" s="50"/>
      <c r="Y191" s="50"/>
      <c r="Z191" s="50"/>
      <c r="AA191" s="50"/>
      <c r="AB191" s="50"/>
      <c r="AC191" s="50"/>
      <c r="AD191" s="50"/>
      <c r="AE191" s="50"/>
      <c r="AF191" s="50"/>
      <c r="AG191" s="50"/>
      <c r="AH191" s="50"/>
      <c r="AI191" s="50"/>
      <c r="AJ191" s="50"/>
      <c r="AK191" s="50"/>
      <c r="AL191" s="50"/>
      <c r="AM191" s="50"/>
      <c r="AN191" s="50"/>
      <c r="AO191" s="50"/>
      <c r="AP191" s="50"/>
      <c r="AU191" s="42"/>
      <c r="AV191" s="41"/>
      <c r="BA191" s="62"/>
      <c r="BB191" s="50"/>
      <c r="BC191" s="50"/>
      <c r="BD191" s="50"/>
      <c r="BE191" s="50"/>
      <c r="BF191" s="50"/>
      <c r="BG191" s="50"/>
      <c r="BH191" s="82"/>
      <c r="BI191" s="82"/>
      <c r="BJ191" s="50"/>
      <c r="BK191" s="50"/>
      <c r="BL191" s="50"/>
      <c r="BM191" s="50"/>
      <c r="BN191" s="50"/>
      <c r="BO191" s="50"/>
      <c r="BP191" s="50"/>
      <c r="BQ191" s="50"/>
      <c r="BR191" s="50"/>
      <c r="BS191" s="50"/>
      <c r="BT191" s="50"/>
      <c r="BU191" s="50"/>
      <c r="BV191" s="50"/>
      <c r="CF191" s="39"/>
      <c r="CG191" s="39"/>
      <c r="CH191" s="39"/>
      <c r="CI191" s="39"/>
    </row>
    <row r="192" spans="1:89" x14ac:dyDescent="0.3">
      <c r="A192" s="35"/>
      <c r="B192" s="35"/>
      <c r="C192" s="50"/>
      <c r="D192" s="50"/>
      <c r="F192" s="50"/>
      <c r="I192" s="50"/>
      <c r="K192" s="50"/>
      <c r="V192" s="50"/>
      <c r="W192" s="50"/>
      <c r="X192" s="50"/>
      <c r="Y192" s="50"/>
      <c r="Z192" s="50"/>
      <c r="AA192" s="50"/>
      <c r="AB192" s="50"/>
      <c r="AC192" s="50"/>
      <c r="AD192" s="50"/>
      <c r="AE192" s="50"/>
      <c r="AF192" s="50"/>
      <c r="AG192" s="50"/>
      <c r="AH192" s="50"/>
      <c r="AI192" s="50"/>
      <c r="AJ192" s="50"/>
      <c r="AK192" s="50"/>
      <c r="AL192" s="50"/>
      <c r="AM192" s="50"/>
      <c r="AN192" s="50"/>
      <c r="AO192" s="50"/>
      <c r="AP192" s="50"/>
      <c r="AU192" s="42"/>
      <c r="AV192" s="41"/>
      <c r="BA192" s="62"/>
      <c r="BB192" s="50"/>
      <c r="BC192" s="50"/>
      <c r="BD192" s="50"/>
      <c r="BE192" s="50"/>
      <c r="BF192" s="50"/>
      <c r="BG192" s="50"/>
      <c r="BH192" s="82"/>
      <c r="BI192" s="82"/>
      <c r="BJ192" s="50"/>
      <c r="BK192" s="50"/>
      <c r="BL192" s="50"/>
      <c r="BM192" s="50"/>
      <c r="BN192" s="50"/>
      <c r="BO192" s="50"/>
      <c r="BP192" s="50"/>
      <c r="BQ192" s="50"/>
      <c r="BR192" s="50"/>
      <c r="BS192" s="50"/>
      <c r="BT192" s="50"/>
      <c r="BU192" s="50"/>
      <c r="BV192" s="50"/>
      <c r="CF192" s="39"/>
      <c r="CG192" s="39"/>
      <c r="CH192" s="39"/>
      <c r="CI192" s="39"/>
      <c r="CK192" s="83"/>
    </row>
    <row r="193" spans="1:87" x14ac:dyDescent="0.3">
      <c r="A193" s="35"/>
      <c r="B193" s="35"/>
      <c r="C193" s="50"/>
      <c r="D193" s="50"/>
      <c r="F193" s="50"/>
      <c r="I193" s="50"/>
      <c r="K193" s="50"/>
      <c r="V193" s="50"/>
      <c r="W193" s="50"/>
      <c r="X193" s="50"/>
      <c r="Y193" s="50"/>
      <c r="Z193" s="50"/>
      <c r="AA193" s="50"/>
      <c r="AB193" s="50"/>
      <c r="AC193" s="50"/>
      <c r="AD193" s="50"/>
      <c r="AE193" s="50"/>
      <c r="AF193" s="50"/>
      <c r="AG193" s="50"/>
      <c r="AH193" s="50"/>
      <c r="AI193" s="50"/>
      <c r="AJ193" s="50"/>
      <c r="AK193" s="50"/>
      <c r="AL193" s="50"/>
      <c r="AM193" s="50"/>
      <c r="AN193" s="50"/>
      <c r="AO193" s="50"/>
      <c r="AP193" s="50"/>
      <c r="AU193" s="42"/>
      <c r="AV193" s="41"/>
      <c r="BA193" s="62"/>
      <c r="BB193" s="50"/>
      <c r="BC193" s="50"/>
      <c r="BD193" s="50"/>
      <c r="BE193" s="50"/>
      <c r="BF193" s="50"/>
      <c r="BG193" s="50"/>
      <c r="BH193" s="82"/>
      <c r="BI193" s="82"/>
      <c r="BJ193" s="50"/>
      <c r="BK193" s="50"/>
      <c r="BL193" s="50"/>
      <c r="BM193" s="50"/>
      <c r="BN193" s="50"/>
      <c r="BO193" s="50"/>
      <c r="BP193" s="50"/>
      <c r="BQ193" s="50"/>
      <c r="BR193" s="50"/>
      <c r="BS193" s="50"/>
      <c r="BT193" s="50"/>
      <c r="BU193" s="50"/>
      <c r="BV193" s="50"/>
      <c r="CF193" s="39"/>
      <c r="CG193" s="39"/>
      <c r="CH193" s="39"/>
      <c r="CI193" s="39"/>
    </row>
    <row r="194" spans="1:87" x14ac:dyDescent="0.3">
      <c r="A194" s="35"/>
      <c r="B194" s="35"/>
      <c r="C194" s="50"/>
      <c r="D194" s="50"/>
      <c r="F194" s="50"/>
      <c r="I194" s="50"/>
      <c r="K194" s="50"/>
      <c r="V194" s="50"/>
      <c r="W194" s="50"/>
      <c r="X194" s="50"/>
      <c r="Y194" s="50"/>
      <c r="Z194" s="50"/>
      <c r="AA194" s="50"/>
      <c r="AB194" s="50"/>
      <c r="AC194" s="50"/>
      <c r="AD194" s="50"/>
      <c r="AE194" s="50"/>
      <c r="AF194" s="50"/>
      <c r="AG194" s="50"/>
      <c r="AH194" s="50"/>
      <c r="AI194" s="50"/>
      <c r="AJ194" s="50"/>
      <c r="AK194" s="50"/>
      <c r="AL194" s="50"/>
      <c r="AM194" s="50"/>
      <c r="AN194" s="50"/>
      <c r="AO194" s="50"/>
      <c r="AP194" s="50"/>
      <c r="AU194" s="42"/>
      <c r="AV194" s="41"/>
      <c r="BA194" s="62"/>
      <c r="BB194" s="50"/>
      <c r="BC194" s="50"/>
      <c r="BD194" s="50"/>
      <c r="BE194" s="50"/>
      <c r="BF194" s="50"/>
      <c r="BG194" s="50"/>
      <c r="BH194" s="82"/>
      <c r="BI194" s="82"/>
      <c r="BJ194" s="50"/>
      <c r="BK194" s="50"/>
      <c r="BL194" s="50"/>
      <c r="BM194" s="50"/>
      <c r="BN194" s="50"/>
      <c r="BO194" s="50"/>
      <c r="BP194" s="50"/>
      <c r="BQ194" s="50"/>
      <c r="BR194" s="50"/>
      <c r="BS194" s="50"/>
      <c r="BT194" s="50"/>
      <c r="BU194" s="50"/>
      <c r="BV194" s="50"/>
      <c r="CF194" s="39"/>
      <c r="CG194" s="39"/>
      <c r="CH194" s="39"/>
      <c r="CI194" s="39"/>
    </row>
    <row r="195" spans="1:87" x14ac:dyDescent="0.3">
      <c r="G195" s="61"/>
      <c r="Q195" s="35"/>
      <c r="AU195" s="42"/>
      <c r="AV195" s="41"/>
      <c r="BA195" s="62"/>
      <c r="BH195" s="82"/>
      <c r="BI195" s="82"/>
      <c r="BY195" s="57"/>
      <c r="BZ195" s="58"/>
      <c r="CA195" s="58"/>
      <c r="CF195" s="39"/>
      <c r="CG195" s="39"/>
      <c r="CH195" s="39"/>
      <c r="CI195" s="39"/>
    </row>
    <row r="196" spans="1:87" x14ac:dyDescent="0.3">
      <c r="G196" s="61"/>
      <c r="Q196" s="35"/>
      <c r="AU196" s="42"/>
      <c r="AV196" s="41"/>
      <c r="AW196" s="84"/>
      <c r="BA196" s="62"/>
      <c r="BH196" s="82"/>
      <c r="BI196" s="82"/>
      <c r="BY196" s="57"/>
      <c r="BZ196" s="58"/>
      <c r="CA196" s="58"/>
      <c r="CF196" s="39"/>
      <c r="CG196" s="39"/>
      <c r="CH196" s="39"/>
      <c r="CI196" s="39"/>
    </row>
    <row r="197" spans="1:87" x14ac:dyDescent="0.3">
      <c r="G197" s="61"/>
      <c r="Q197" s="35"/>
      <c r="AS197" s="35"/>
      <c r="AU197" s="42"/>
      <c r="AV197" s="41"/>
      <c r="BA197" s="62"/>
      <c r="BH197" s="82"/>
      <c r="BI197" s="82"/>
      <c r="BY197" s="57"/>
      <c r="BZ197" s="58"/>
      <c r="CA197" s="58"/>
      <c r="CF197" s="39"/>
      <c r="CG197" s="39"/>
      <c r="CH197" s="39"/>
      <c r="CI197" s="39"/>
    </row>
    <row r="198" spans="1:87" x14ac:dyDescent="0.3">
      <c r="A198" s="35"/>
      <c r="B198" s="35"/>
      <c r="C198" s="50"/>
      <c r="D198" s="50"/>
      <c r="F198" s="50"/>
      <c r="I198" s="50"/>
      <c r="K198" s="50"/>
      <c r="V198" s="50"/>
      <c r="W198" s="50"/>
      <c r="X198" s="50"/>
      <c r="Y198" s="50"/>
      <c r="Z198" s="50"/>
      <c r="AA198" s="50"/>
      <c r="AB198" s="50"/>
      <c r="AC198" s="50"/>
      <c r="AD198" s="50"/>
      <c r="AE198" s="50"/>
      <c r="AF198" s="50"/>
      <c r="AH198" s="50"/>
      <c r="AI198" s="50"/>
      <c r="AJ198" s="50"/>
      <c r="AK198" s="50"/>
      <c r="AL198" s="50"/>
      <c r="AM198" s="50"/>
      <c r="AN198" s="50"/>
      <c r="AO198" s="50"/>
      <c r="AP198" s="50"/>
      <c r="AU198" s="41"/>
      <c r="AV198" s="41"/>
      <c r="BA198" s="45"/>
      <c r="BL198" s="50"/>
      <c r="BM198" s="50"/>
      <c r="BN198" s="50"/>
      <c r="BP198" s="50"/>
      <c r="BR198" s="50"/>
      <c r="BY198" s="57"/>
      <c r="BZ198" s="58"/>
      <c r="CA198" s="58"/>
    </row>
    <row r="199" spans="1:87" x14ac:dyDescent="0.3">
      <c r="A199" s="35"/>
      <c r="B199" s="35"/>
      <c r="C199" s="50"/>
      <c r="D199" s="50"/>
      <c r="F199" s="50"/>
      <c r="I199" s="50"/>
      <c r="K199" s="50"/>
      <c r="V199" s="50"/>
      <c r="W199" s="50"/>
      <c r="X199" s="50"/>
      <c r="Y199" s="50"/>
      <c r="Z199" s="50"/>
      <c r="AA199" s="50"/>
      <c r="AB199" s="50"/>
      <c r="AC199" s="50"/>
      <c r="AD199" s="50"/>
      <c r="AE199" s="50"/>
      <c r="AF199" s="50"/>
      <c r="AH199" s="50"/>
      <c r="AI199" s="50"/>
      <c r="AJ199" s="50"/>
      <c r="AK199" s="50"/>
      <c r="AL199" s="50"/>
      <c r="AM199" s="50"/>
      <c r="AN199" s="50"/>
      <c r="AO199" s="50"/>
      <c r="AP199" s="50"/>
      <c r="AU199" s="41"/>
      <c r="AV199" s="41"/>
      <c r="BA199" s="45"/>
      <c r="BL199" s="50"/>
      <c r="BM199" s="50"/>
      <c r="BN199" s="50"/>
      <c r="BP199" s="50"/>
      <c r="BR199" s="50"/>
      <c r="BY199" s="57"/>
      <c r="BZ199" s="58"/>
      <c r="CA199" s="58"/>
    </row>
    <row r="200" spans="1:87" x14ac:dyDescent="0.3">
      <c r="A200" s="35"/>
      <c r="B200" s="35"/>
      <c r="C200" s="50"/>
      <c r="D200" s="50"/>
      <c r="F200" s="50"/>
      <c r="I200" s="50"/>
      <c r="K200" s="50"/>
      <c r="M200" s="50"/>
      <c r="T200" s="35"/>
      <c r="V200" s="50"/>
      <c r="W200" s="50"/>
      <c r="X200" s="50"/>
      <c r="Y200" s="50"/>
      <c r="Z200" s="50"/>
      <c r="AA200" s="50"/>
      <c r="AB200" s="50"/>
      <c r="AC200" s="50"/>
      <c r="AD200" s="50"/>
      <c r="AE200" s="50"/>
      <c r="AF200" s="50"/>
      <c r="AH200" s="50"/>
      <c r="AI200" s="50"/>
      <c r="AJ200" s="50"/>
      <c r="AK200" s="50"/>
      <c r="AL200" s="50"/>
      <c r="AM200" s="50"/>
      <c r="AN200" s="50"/>
      <c r="AO200" s="50"/>
      <c r="AP200" s="50"/>
      <c r="AU200" s="42"/>
      <c r="AV200" s="41"/>
      <c r="BL200" s="50"/>
      <c r="BM200" s="50"/>
      <c r="BN200" s="50"/>
      <c r="BO200" s="50"/>
      <c r="BP200" s="50"/>
      <c r="BR200" s="50"/>
      <c r="BS200" s="50"/>
      <c r="BT200" s="50"/>
      <c r="BU200" s="50"/>
      <c r="BV200" s="50"/>
    </row>
    <row r="201" spans="1:87" x14ac:dyDescent="0.3">
      <c r="A201" s="35"/>
      <c r="B201" s="35"/>
      <c r="C201" s="50"/>
      <c r="D201" s="50"/>
      <c r="F201" s="50"/>
      <c r="I201" s="50"/>
      <c r="K201" s="50"/>
      <c r="M201" s="50"/>
      <c r="T201" s="35"/>
      <c r="V201" s="50"/>
      <c r="W201" s="50"/>
      <c r="X201" s="50"/>
      <c r="Y201" s="50"/>
      <c r="Z201" s="50"/>
      <c r="AA201" s="50"/>
      <c r="AB201" s="50"/>
      <c r="AC201" s="50"/>
      <c r="AD201" s="50"/>
      <c r="AE201" s="50"/>
      <c r="AF201" s="50"/>
      <c r="AH201" s="50"/>
      <c r="AI201" s="50"/>
      <c r="AJ201" s="50"/>
      <c r="AK201" s="50"/>
      <c r="AL201" s="50"/>
      <c r="AM201" s="50"/>
      <c r="AN201" s="50"/>
      <c r="AO201" s="50"/>
      <c r="AP201" s="50"/>
      <c r="AU201" s="42"/>
      <c r="AV201" s="41"/>
      <c r="BL201" s="50"/>
      <c r="BM201" s="50"/>
      <c r="BN201" s="50"/>
      <c r="BO201" s="50"/>
      <c r="BP201" s="50"/>
      <c r="BR201" s="50"/>
      <c r="BS201" s="50"/>
      <c r="BT201" s="50"/>
      <c r="BU201" s="50"/>
      <c r="BV201" s="50"/>
    </row>
    <row r="202" spans="1:87" x14ac:dyDescent="0.3">
      <c r="A202" s="35"/>
      <c r="B202" s="35"/>
      <c r="C202" s="50"/>
      <c r="D202" s="50"/>
      <c r="F202" s="50"/>
      <c r="I202" s="50"/>
      <c r="K202" s="50"/>
      <c r="M202" s="50"/>
      <c r="T202" s="35"/>
      <c r="V202" s="50"/>
      <c r="W202" s="50"/>
      <c r="X202" s="50"/>
      <c r="Y202" s="50"/>
      <c r="Z202" s="50"/>
      <c r="AA202" s="50"/>
      <c r="AB202" s="50"/>
      <c r="AC202" s="50"/>
      <c r="AD202" s="50"/>
      <c r="AE202" s="50"/>
      <c r="AF202" s="50"/>
      <c r="AH202" s="50"/>
      <c r="AI202" s="50"/>
      <c r="AJ202" s="50"/>
      <c r="AK202" s="50"/>
      <c r="AL202" s="50"/>
      <c r="AM202" s="50"/>
      <c r="AN202" s="50"/>
      <c r="AO202" s="50"/>
      <c r="AP202" s="50"/>
      <c r="AU202" s="42"/>
      <c r="AV202" s="41"/>
      <c r="BL202" s="50"/>
      <c r="BM202" s="50"/>
      <c r="BN202" s="50"/>
      <c r="BO202" s="50"/>
      <c r="BP202" s="50"/>
      <c r="BR202" s="50"/>
      <c r="BS202" s="50"/>
      <c r="BT202" s="50"/>
      <c r="BU202" s="50"/>
      <c r="BV202" s="50"/>
    </row>
    <row r="203" spans="1:87" x14ac:dyDescent="0.3">
      <c r="A203" s="35"/>
      <c r="B203" s="35"/>
      <c r="C203" s="50"/>
      <c r="D203" s="50"/>
      <c r="F203" s="50"/>
      <c r="I203" s="50"/>
      <c r="K203" s="50"/>
      <c r="M203" s="50"/>
      <c r="T203" s="35"/>
      <c r="V203" s="50"/>
      <c r="W203" s="50"/>
      <c r="X203" s="50"/>
      <c r="Y203" s="50"/>
      <c r="Z203" s="50"/>
      <c r="AA203" s="50"/>
      <c r="AB203" s="50"/>
      <c r="AC203" s="50"/>
      <c r="AD203" s="50"/>
      <c r="AE203" s="50"/>
      <c r="AF203" s="50"/>
      <c r="AH203" s="50"/>
      <c r="AI203" s="50"/>
      <c r="AJ203" s="50"/>
      <c r="AK203" s="50"/>
      <c r="AL203" s="50"/>
      <c r="AM203" s="50"/>
      <c r="AN203" s="50"/>
      <c r="AO203" s="50"/>
      <c r="AP203" s="50"/>
      <c r="AU203" s="42"/>
      <c r="AV203" s="41"/>
      <c r="BL203" s="50"/>
      <c r="BM203" s="50"/>
      <c r="BN203" s="50"/>
      <c r="BO203" s="50"/>
      <c r="BP203" s="50"/>
      <c r="BR203" s="50"/>
      <c r="BS203" s="50"/>
      <c r="BT203" s="50"/>
      <c r="BU203" s="50"/>
      <c r="BV203" s="50"/>
    </row>
    <row r="204" spans="1:87" x14ac:dyDescent="0.3">
      <c r="A204" s="35"/>
      <c r="B204" s="35"/>
      <c r="C204" s="50"/>
      <c r="D204" s="50"/>
      <c r="F204" s="50"/>
      <c r="I204" s="50"/>
      <c r="K204" s="50"/>
      <c r="M204" s="50"/>
      <c r="T204" s="35"/>
      <c r="V204" s="50"/>
      <c r="W204" s="50"/>
      <c r="X204" s="50"/>
      <c r="Y204" s="50"/>
      <c r="Z204" s="50"/>
      <c r="AA204" s="50"/>
      <c r="AB204" s="50"/>
      <c r="AC204" s="50"/>
      <c r="AD204" s="50"/>
      <c r="AE204" s="50"/>
      <c r="AF204" s="50"/>
      <c r="AH204" s="50"/>
      <c r="AI204" s="50"/>
      <c r="AJ204" s="50"/>
      <c r="AK204" s="50"/>
      <c r="AL204" s="50"/>
      <c r="AM204" s="50"/>
      <c r="AN204" s="50"/>
      <c r="AO204" s="50"/>
      <c r="AP204" s="50"/>
      <c r="AU204" s="42"/>
      <c r="AV204" s="41"/>
      <c r="BL204" s="50"/>
      <c r="BM204" s="50"/>
      <c r="BN204" s="50"/>
      <c r="BO204" s="50"/>
      <c r="BP204" s="50"/>
      <c r="BR204" s="50"/>
      <c r="BS204" s="50"/>
      <c r="BT204" s="50"/>
      <c r="BU204" s="50"/>
      <c r="BV204" s="50"/>
    </row>
    <row r="205" spans="1:87" x14ac:dyDescent="0.3">
      <c r="A205" s="35"/>
      <c r="B205" s="35"/>
      <c r="C205" s="50"/>
      <c r="D205" s="50"/>
      <c r="F205" s="50"/>
      <c r="I205" s="50"/>
      <c r="K205" s="50"/>
      <c r="M205" s="50"/>
      <c r="T205" s="35"/>
      <c r="V205" s="50"/>
      <c r="W205" s="50"/>
      <c r="X205" s="50"/>
      <c r="Y205" s="50"/>
      <c r="Z205" s="50"/>
      <c r="AA205" s="50"/>
      <c r="AB205" s="50"/>
      <c r="AC205" s="50"/>
      <c r="AD205" s="50"/>
      <c r="AE205" s="50"/>
      <c r="AF205" s="50"/>
      <c r="AH205" s="50"/>
      <c r="AI205" s="50"/>
      <c r="AJ205" s="50"/>
      <c r="AK205" s="50"/>
      <c r="AL205" s="50"/>
      <c r="AM205" s="50"/>
      <c r="AN205" s="50"/>
      <c r="AO205" s="50"/>
      <c r="AP205" s="50"/>
      <c r="AU205" s="42"/>
      <c r="AV205" s="41"/>
      <c r="BL205" s="50"/>
      <c r="BM205" s="50"/>
      <c r="BN205" s="50"/>
      <c r="BO205" s="50"/>
      <c r="BP205" s="50"/>
      <c r="BR205" s="50"/>
      <c r="BS205" s="50"/>
      <c r="BT205" s="50"/>
      <c r="BU205" s="50"/>
      <c r="BV205" s="50"/>
    </row>
    <row r="206" spans="1:87" x14ac:dyDescent="0.3">
      <c r="A206" s="35"/>
      <c r="B206" s="35"/>
      <c r="C206" s="50"/>
      <c r="D206" s="50"/>
      <c r="F206" s="50"/>
      <c r="I206" s="50"/>
      <c r="K206" s="50"/>
      <c r="M206" s="50"/>
      <c r="T206" s="35"/>
      <c r="V206" s="50"/>
      <c r="W206" s="50"/>
      <c r="X206" s="50"/>
      <c r="Y206" s="50"/>
      <c r="Z206" s="50"/>
      <c r="AA206" s="50"/>
      <c r="AB206" s="50"/>
      <c r="AC206" s="50"/>
      <c r="AD206" s="50"/>
      <c r="AE206" s="50"/>
      <c r="AF206" s="50"/>
      <c r="AH206" s="50"/>
      <c r="AI206" s="50"/>
      <c r="AJ206" s="50"/>
      <c r="AK206" s="50"/>
      <c r="AL206" s="50"/>
      <c r="AM206" s="50"/>
      <c r="AN206" s="50"/>
      <c r="AO206" s="50"/>
      <c r="AP206" s="50"/>
      <c r="AU206" s="42"/>
      <c r="AV206" s="41"/>
      <c r="BL206" s="50"/>
      <c r="BM206" s="50"/>
      <c r="BN206" s="50"/>
      <c r="BO206" s="50"/>
      <c r="BP206" s="50"/>
      <c r="BR206" s="50"/>
      <c r="BS206" s="50"/>
      <c r="BT206" s="50"/>
      <c r="BU206" s="50"/>
      <c r="BV206" s="50"/>
    </row>
    <row r="207" spans="1:87" x14ac:dyDescent="0.3">
      <c r="A207" s="35"/>
      <c r="B207" s="35"/>
      <c r="C207" s="50"/>
      <c r="D207" s="50"/>
      <c r="F207" s="50"/>
      <c r="I207" s="50"/>
      <c r="K207" s="50"/>
      <c r="M207" s="50"/>
      <c r="T207" s="35"/>
      <c r="V207" s="50"/>
      <c r="W207" s="50"/>
      <c r="X207" s="50"/>
      <c r="Y207" s="50"/>
      <c r="Z207" s="50"/>
      <c r="AA207" s="50"/>
      <c r="AB207" s="50"/>
      <c r="AC207" s="50"/>
      <c r="AD207" s="50"/>
      <c r="AE207" s="50"/>
      <c r="AF207" s="50"/>
      <c r="AH207" s="50"/>
      <c r="AI207" s="50"/>
      <c r="AJ207" s="50"/>
      <c r="AK207" s="50"/>
      <c r="AL207" s="50"/>
      <c r="AM207" s="50"/>
      <c r="AN207" s="50"/>
      <c r="AO207" s="50"/>
      <c r="AP207" s="50"/>
      <c r="AU207" s="42"/>
      <c r="AV207" s="41"/>
      <c r="BL207" s="50"/>
      <c r="BM207" s="50"/>
      <c r="BN207" s="50"/>
      <c r="BO207" s="50"/>
      <c r="BP207" s="50"/>
      <c r="BR207" s="50"/>
      <c r="BS207" s="50"/>
      <c r="BT207" s="50"/>
      <c r="BU207" s="50"/>
      <c r="BV207" s="50"/>
    </row>
    <row r="208" spans="1:87" x14ac:dyDescent="0.3">
      <c r="A208" s="35"/>
      <c r="B208" s="35"/>
      <c r="C208" s="50"/>
      <c r="D208" s="50"/>
      <c r="E208" s="61"/>
      <c r="F208" s="50"/>
      <c r="I208" s="50"/>
      <c r="K208" s="50"/>
      <c r="M208" s="50"/>
      <c r="O208" s="50"/>
      <c r="Q208" s="50"/>
      <c r="T208" s="35"/>
      <c r="V208" s="50"/>
      <c r="W208" s="50"/>
      <c r="X208" s="50"/>
      <c r="Y208" s="50"/>
      <c r="Z208" s="50"/>
      <c r="AA208" s="50"/>
      <c r="AB208" s="50"/>
      <c r="AC208" s="50"/>
      <c r="AD208" s="50"/>
      <c r="AE208" s="50"/>
      <c r="AF208" s="50"/>
      <c r="AH208" s="50"/>
      <c r="AI208" s="50"/>
      <c r="AJ208" s="50"/>
      <c r="AK208" s="50"/>
      <c r="AL208" s="50"/>
      <c r="AM208" s="50"/>
      <c r="AN208" s="50"/>
      <c r="AO208" s="50"/>
      <c r="AP208" s="50"/>
      <c r="AU208" s="42"/>
      <c r="AV208" s="41"/>
      <c r="BL208" s="50"/>
      <c r="BM208" s="50"/>
      <c r="BN208" s="50"/>
      <c r="BR208" s="50"/>
      <c r="BS208" s="50"/>
      <c r="BT208" s="50"/>
      <c r="BU208" s="50"/>
      <c r="BV208" s="50"/>
    </row>
    <row r="209" spans="1:79" x14ac:dyDescent="0.3">
      <c r="A209" s="35"/>
      <c r="B209" s="35"/>
      <c r="C209" s="50"/>
      <c r="D209" s="50"/>
      <c r="E209" s="61"/>
      <c r="F209" s="50"/>
      <c r="I209" s="50"/>
      <c r="K209" s="50"/>
      <c r="M209" s="50"/>
      <c r="O209" s="50"/>
      <c r="Q209" s="50"/>
      <c r="T209" s="35"/>
      <c r="V209" s="50"/>
      <c r="W209" s="50"/>
      <c r="X209" s="50"/>
      <c r="Y209" s="50"/>
      <c r="Z209" s="50"/>
      <c r="AA209" s="50"/>
      <c r="AB209" s="50"/>
      <c r="AC209" s="50"/>
      <c r="AD209" s="50"/>
      <c r="AE209" s="50"/>
      <c r="AF209" s="50"/>
      <c r="AH209" s="50"/>
      <c r="AI209" s="50"/>
      <c r="AJ209" s="50"/>
      <c r="AK209" s="50"/>
      <c r="AL209" s="50"/>
      <c r="AM209" s="50"/>
      <c r="AN209" s="50"/>
      <c r="AO209" s="50"/>
      <c r="AP209" s="50"/>
      <c r="AU209" s="42"/>
      <c r="AV209" s="41"/>
      <c r="BL209" s="50"/>
      <c r="BM209" s="50"/>
      <c r="BN209" s="50"/>
      <c r="BR209" s="50"/>
      <c r="BS209" s="50"/>
      <c r="BT209" s="50"/>
      <c r="BU209" s="50"/>
      <c r="BV209" s="50"/>
    </row>
    <row r="210" spans="1:79" x14ac:dyDescent="0.3">
      <c r="A210" s="35"/>
      <c r="B210" s="35"/>
      <c r="C210" s="50"/>
      <c r="D210" s="50"/>
      <c r="E210" s="61"/>
      <c r="F210" s="50"/>
      <c r="I210" s="50"/>
      <c r="K210" s="50"/>
      <c r="M210" s="50"/>
      <c r="O210" s="50"/>
      <c r="Q210" s="50"/>
      <c r="T210" s="35"/>
      <c r="V210" s="50"/>
      <c r="W210" s="50"/>
      <c r="X210" s="50"/>
      <c r="Y210" s="50"/>
      <c r="Z210" s="50"/>
      <c r="AA210" s="50"/>
      <c r="AB210" s="50"/>
      <c r="AC210" s="50"/>
      <c r="AD210" s="50"/>
      <c r="AE210" s="50"/>
      <c r="AF210" s="50"/>
      <c r="AH210" s="50"/>
      <c r="AI210" s="50"/>
      <c r="AJ210" s="50"/>
      <c r="AK210" s="50"/>
      <c r="AL210" s="50"/>
      <c r="AM210" s="50"/>
      <c r="AN210" s="50"/>
      <c r="AO210" s="50"/>
      <c r="AP210" s="50"/>
      <c r="AU210" s="42"/>
      <c r="AV210" s="41"/>
      <c r="BL210" s="50"/>
      <c r="BM210" s="50"/>
      <c r="BN210" s="50"/>
      <c r="BR210" s="50"/>
      <c r="BS210" s="50"/>
      <c r="BT210" s="50"/>
      <c r="BU210" s="50"/>
      <c r="BV210" s="50"/>
    </row>
    <row r="211" spans="1:79" x14ac:dyDescent="0.3">
      <c r="A211" s="35"/>
      <c r="B211" s="35"/>
      <c r="C211" s="50"/>
      <c r="D211" s="50"/>
      <c r="E211" s="61"/>
      <c r="F211" s="50"/>
      <c r="I211" s="50"/>
      <c r="K211" s="50"/>
      <c r="M211" s="50"/>
      <c r="O211" s="50"/>
      <c r="Q211" s="50"/>
      <c r="T211" s="35"/>
      <c r="V211" s="50"/>
      <c r="W211" s="50"/>
      <c r="X211" s="50"/>
      <c r="Y211" s="50"/>
      <c r="Z211" s="50"/>
      <c r="AA211" s="50"/>
      <c r="AB211" s="50"/>
      <c r="AC211" s="50"/>
      <c r="AD211" s="50"/>
      <c r="AE211" s="50"/>
      <c r="AF211" s="50"/>
      <c r="AH211" s="50"/>
      <c r="AI211" s="50"/>
      <c r="AJ211" s="50"/>
      <c r="AK211" s="50"/>
      <c r="AL211" s="50"/>
      <c r="AM211" s="50"/>
      <c r="AN211" s="50"/>
      <c r="AO211" s="50"/>
      <c r="AP211" s="50"/>
      <c r="AU211" s="42"/>
      <c r="AV211" s="41"/>
      <c r="BL211" s="50"/>
      <c r="BM211" s="50"/>
      <c r="BN211" s="50"/>
      <c r="BR211" s="50"/>
      <c r="BS211" s="50"/>
      <c r="BT211" s="50"/>
      <c r="BU211" s="50"/>
      <c r="BV211" s="50"/>
    </row>
    <row r="212" spans="1:79" x14ac:dyDescent="0.3">
      <c r="A212" s="35"/>
      <c r="B212" s="35"/>
      <c r="C212" s="50"/>
      <c r="D212" s="50"/>
      <c r="E212" s="61"/>
      <c r="F212" s="50"/>
      <c r="I212" s="50"/>
      <c r="K212" s="50"/>
      <c r="M212" s="50"/>
      <c r="O212" s="50"/>
      <c r="Q212" s="50"/>
      <c r="T212" s="35"/>
      <c r="V212" s="50"/>
      <c r="W212" s="50"/>
      <c r="X212" s="50"/>
      <c r="Y212" s="50"/>
      <c r="Z212" s="50"/>
      <c r="AA212" s="50"/>
      <c r="AB212" s="50"/>
      <c r="AC212" s="50"/>
      <c r="AD212" s="50"/>
      <c r="AE212" s="50"/>
      <c r="AF212" s="50"/>
      <c r="AH212" s="50"/>
      <c r="AI212" s="50"/>
      <c r="AJ212" s="50"/>
      <c r="AK212" s="50"/>
      <c r="AL212" s="50"/>
      <c r="AM212" s="50"/>
      <c r="AN212" s="50"/>
      <c r="AO212" s="50"/>
      <c r="AP212" s="50"/>
      <c r="AU212" s="42"/>
      <c r="AV212" s="41"/>
      <c r="BL212" s="50"/>
      <c r="BM212" s="50"/>
      <c r="BN212" s="50"/>
      <c r="BR212" s="50"/>
      <c r="BS212" s="50"/>
      <c r="BT212" s="50"/>
      <c r="BU212" s="50"/>
      <c r="BV212" s="50"/>
    </row>
    <row r="213" spans="1:79" x14ac:dyDescent="0.3">
      <c r="A213" s="35"/>
      <c r="B213" s="35"/>
      <c r="C213" s="50"/>
      <c r="D213" s="50"/>
      <c r="E213" s="61"/>
      <c r="F213" s="50"/>
      <c r="I213" s="50"/>
      <c r="K213" s="50"/>
      <c r="M213" s="50"/>
      <c r="O213" s="50"/>
      <c r="Q213" s="50"/>
      <c r="T213" s="35"/>
      <c r="V213" s="50"/>
      <c r="W213" s="50"/>
      <c r="X213" s="50"/>
      <c r="Y213" s="50"/>
      <c r="Z213" s="50"/>
      <c r="AA213" s="50"/>
      <c r="AB213" s="50"/>
      <c r="AC213" s="50"/>
      <c r="AD213" s="50"/>
      <c r="AE213" s="50"/>
      <c r="AF213" s="50"/>
      <c r="AH213" s="50"/>
      <c r="AI213" s="50"/>
      <c r="AJ213" s="50"/>
      <c r="AK213" s="50"/>
      <c r="AL213" s="50"/>
      <c r="AM213" s="50"/>
      <c r="AN213" s="50"/>
      <c r="AO213" s="50"/>
      <c r="AP213" s="50"/>
      <c r="AU213" s="42"/>
      <c r="AV213" s="41"/>
      <c r="BL213" s="50"/>
      <c r="BM213" s="50"/>
      <c r="BN213" s="50"/>
      <c r="BR213" s="50"/>
      <c r="BS213" s="50"/>
      <c r="BT213" s="50"/>
      <c r="BU213" s="50"/>
      <c r="BV213" s="50"/>
    </row>
    <row r="214" spans="1:79" x14ac:dyDescent="0.3">
      <c r="A214" s="35"/>
      <c r="B214" s="35"/>
      <c r="C214" s="50"/>
      <c r="D214" s="50"/>
      <c r="E214" s="61"/>
      <c r="F214" s="50"/>
      <c r="I214" s="50"/>
      <c r="K214" s="50"/>
      <c r="M214" s="50"/>
      <c r="O214" s="50"/>
      <c r="Q214" s="50"/>
      <c r="T214" s="35"/>
      <c r="V214" s="50"/>
      <c r="W214" s="50"/>
      <c r="X214" s="50"/>
      <c r="Y214" s="50"/>
      <c r="Z214" s="50"/>
      <c r="AA214" s="50"/>
      <c r="AB214" s="50"/>
      <c r="AC214" s="50"/>
      <c r="AD214" s="50"/>
      <c r="AE214" s="50"/>
      <c r="AF214" s="50"/>
      <c r="AH214" s="50"/>
      <c r="AI214" s="50"/>
      <c r="AJ214" s="50"/>
      <c r="AK214" s="50"/>
      <c r="AL214" s="50"/>
      <c r="AM214" s="50"/>
      <c r="AN214" s="50"/>
      <c r="AO214" s="50"/>
      <c r="AP214" s="50"/>
      <c r="AU214" s="42"/>
      <c r="AV214" s="41"/>
      <c r="BL214" s="50"/>
      <c r="BM214" s="50"/>
      <c r="BN214" s="50"/>
      <c r="BR214" s="50"/>
      <c r="BS214" s="50"/>
      <c r="BT214" s="50"/>
      <c r="BU214" s="50"/>
      <c r="BV214" s="50"/>
    </row>
    <row r="215" spans="1:79" x14ac:dyDescent="0.3">
      <c r="A215" s="35"/>
      <c r="B215" s="35"/>
      <c r="C215" s="50"/>
      <c r="D215" s="50"/>
      <c r="E215" s="61"/>
      <c r="F215" s="50"/>
      <c r="I215" s="50"/>
      <c r="K215" s="50"/>
      <c r="M215" s="50"/>
      <c r="O215" s="50"/>
      <c r="Q215" s="50"/>
      <c r="R215" s="35"/>
      <c r="V215" s="50"/>
      <c r="W215" s="50"/>
      <c r="X215" s="50"/>
      <c r="Y215" s="50"/>
      <c r="Z215" s="50"/>
      <c r="AA215" s="50"/>
      <c r="AB215" s="50"/>
      <c r="AC215" s="50"/>
      <c r="AD215" s="50"/>
      <c r="AE215" s="50"/>
      <c r="AF215" s="50"/>
      <c r="AH215" s="50"/>
      <c r="AI215" s="50"/>
      <c r="AJ215" s="50"/>
      <c r="AK215" s="50"/>
      <c r="AL215" s="50"/>
      <c r="AM215" s="50"/>
      <c r="AN215" s="50"/>
      <c r="AO215" s="50"/>
      <c r="AP215" s="50"/>
      <c r="AU215" s="40"/>
      <c r="AV215" s="41"/>
      <c r="BL215" s="50"/>
      <c r="BM215" s="50"/>
      <c r="BN215" s="50"/>
      <c r="BT215" s="50"/>
      <c r="BU215" s="50"/>
      <c r="BV215" s="50"/>
    </row>
    <row r="216" spans="1:79" x14ac:dyDescent="0.3">
      <c r="A216" s="35"/>
      <c r="B216" s="35"/>
      <c r="C216" s="50"/>
      <c r="D216" s="50"/>
      <c r="E216" s="61"/>
      <c r="F216" s="50"/>
      <c r="I216" s="50"/>
      <c r="K216" s="50"/>
      <c r="M216" s="50"/>
      <c r="O216" s="50"/>
      <c r="Q216" s="50"/>
      <c r="R216" s="35"/>
      <c r="T216" s="35"/>
      <c r="V216" s="50"/>
      <c r="W216" s="50"/>
      <c r="X216" s="50"/>
      <c r="Y216" s="50"/>
      <c r="Z216" s="50"/>
      <c r="AA216" s="50"/>
      <c r="AB216" s="50"/>
      <c r="AC216" s="50"/>
      <c r="AD216" s="50"/>
      <c r="AE216" s="50"/>
      <c r="AF216" s="50"/>
      <c r="AH216" s="50"/>
      <c r="AI216" s="50"/>
      <c r="AJ216" s="50"/>
      <c r="AK216" s="50"/>
      <c r="AL216" s="50"/>
      <c r="AM216" s="50"/>
      <c r="AN216" s="50"/>
      <c r="AO216" s="50"/>
      <c r="AP216" s="50"/>
      <c r="AU216" s="41"/>
      <c r="AV216" s="41"/>
      <c r="BL216" s="50"/>
      <c r="BM216" s="50"/>
      <c r="BN216" s="50"/>
      <c r="BT216" s="50"/>
      <c r="BU216" s="50"/>
      <c r="BV216" s="50"/>
    </row>
    <row r="217" spans="1:79" x14ac:dyDescent="0.3">
      <c r="A217" s="35"/>
      <c r="B217" s="35"/>
      <c r="C217" s="50"/>
      <c r="D217" s="50"/>
      <c r="E217" s="61"/>
      <c r="F217" s="50"/>
      <c r="I217" s="50"/>
      <c r="K217" s="50"/>
      <c r="M217" s="50"/>
      <c r="O217" s="50"/>
      <c r="Q217" s="50"/>
      <c r="R217" s="35"/>
      <c r="T217" s="35"/>
      <c r="V217" s="50"/>
      <c r="W217" s="50"/>
      <c r="X217" s="50"/>
      <c r="Y217" s="50"/>
      <c r="Z217" s="50"/>
      <c r="AA217" s="50"/>
      <c r="AB217" s="50"/>
      <c r="AC217" s="50"/>
      <c r="AD217" s="50"/>
      <c r="AE217" s="50"/>
      <c r="AF217" s="50"/>
      <c r="AH217" s="50"/>
      <c r="AI217" s="50"/>
      <c r="AJ217" s="50"/>
      <c r="AK217" s="50"/>
      <c r="AL217" s="50"/>
      <c r="AM217" s="50"/>
      <c r="AN217" s="50"/>
      <c r="AO217" s="50"/>
      <c r="AP217" s="50"/>
      <c r="AU217" s="41"/>
      <c r="AV217" s="41"/>
      <c r="BL217" s="50"/>
      <c r="BM217" s="50"/>
      <c r="BN217" s="50"/>
      <c r="BT217" s="50"/>
      <c r="BU217" s="50"/>
      <c r="BV217" s="50"/>
    </row>
    <row r="218" spans="1:79" x14ac:dyDescent="0.3">
      <c r="A218" s="35"/>
      <c r="B218" s="35"/>
      <c r="C218" s="50"/>
      <c r="D218" s="50"/>
      <c r="E218" s="61"/>
      <c r="F218" s="50"/>
      <c r="I218" s="50"/>
      <c r="K218" s="50"/>
      <c r="M218" s="50"/>
      <c r="O218" s="50"/>
      <c r="Q218" s="50"/>
      <c r="R218" s="35"/>
      <c r="T218" s="35"/>
      <c r="V218" s="50"/>
      <c r="W218" s="50"/>
      <c r="X218" s="50"/>
      <c r="Y218" s="50"/>
      <c r="Z218" s="50"/>
      <c r="AA218" s="50"/>
      <c r="AB218" s="50"/>
      <c r="AC218" s="50"/>
      <c r="AD218" s="50"/>
      <c r="AE218" s="50"/>
      <c r="AF218" s="50"/>
      <c r="AH218" s="50"/>
      <c r="AI218" s="50"/>
      <c r="AJ218" s="50"/>
      <c r="AK218" s="50"/>
      <c r="AL218" s="50"/>
      <c r="AM218" s="50"/>
      <c r="AN218" s="50"/>
      <c r="AO218" s="50"/>
      <c r="AP218" s="50"/>
      <c r="AU218" s="41"/>
      <c r="AV218" s="41"/>
      <c r="BL218" s="50"/>
      <c r="BM218" s="50"/>
      <c r="BN218" s="50"/>
      <c r="BT218" s="50"/>
      <c r="BU218" s="50"/>
      <c r="BV218" s="50"/>
    </row>
    <row r="219" spans="1:79" x14ac:dyDescent="0.3">
      <c r="A219" s="35"/>
      <c r="B219" s="35"/>
      <c r="C219" s="50"/>
      <c r="D219" s="50"/>
      <c r="E219" s="61"/>
      <c r="F219" s="50"/>
      <c r="I219" s="50"/>
      <c r="K219" s="50"/>
      <c r="M219" s="50"/>
      <c r="O219" s="50"/>
      <c r="Q219" s="50"/>
      <c r="R219" s="35"/>
      <c r="T219" s="35"/>
      <c r="V219" s="50"/>
      <c r="W219" s="50"/>
      <c r="X219" s="50"/>
      <c r="Y219" s="50"/>
      <c r="Z219" s="50"/>
      <c r="AA219" s="50"/>
      <c r="AB219" s="50"/>
      <c r="AC219" s="50"/>
      <c r="AD219" s="50"/>
      <c r="AE219" s="50"/>
      <c r="AF219" s="50"/>
      <c r="AH219" s="50"/>
      <c r="AI219" s="50"/>
      <c r="AJ219" s="50"/>
      <c r="AK219" s="50"/>
      <c r="AL219" s="50"/>
      <c r="AM219" s="50"/>
      <c r="AN219" s="50"/>
      <c r="AO219" s="50"/>
      <c r="AP219" s="50"/>
      <c r="AQ219" s="50"/>
      <c r="AU219" s="42"/>
      <c r="AV219" s="41"/>
      <c r="BI219" s="85"/>
      <c r="BM219" s="50"/>
      <c r="BN219" s="50"/>
      <c r="BR219" s="45"/>
      <c r="BT219" s="50"/>
      <c r="BU219" s="50"/>
      <c r="BV219" s="50"/>
    </row>
    <row r="220" spans="1:79" x14ac:dyDescent="0.3">
      <c r="A220" s="35"/>
      <c r="B220" s="35"/>
      <c r="C220" s="50"/>
      <c r="D220" s="50"/>
      <c r="E220" s="61"/>
      <c r="F220" s="50"/>
      <c r="I220" s="50"/>
      <c r="K220" s="50"/>
      <c r="M220" s="50"/>
      <c r="O220" s="50"/>
      <c r="Q220" s="50"/>
      <c r="R220" s="35"/>
      <c r="T220" s="35"/>
      <c r="V220" s="50"/>
      <c r="W220" s="50"/>
      <c r="X220" s="50"/>
      <c r="Y220" s="50"/>
      <c r="Z220" s="50"/>
      <c r="AA220" s="50"/>
      <c r="AB220" s="50"/>
      <c r="AC220" s="50"/>
      <c r="AD220" s="50"/>
      <c r="AE220" s="50"/>
      <c r="AF220" s="50"/>
      <c r="AH220" s="50"/>
      <c r="AI220" s="50"/>
      <c r="AJ220" s="50"/>
      <c r="AK220" s="50"/>
      <c r="AL220" s="50"/>
      <c r="AM220" s="50"/>
      <c r="AN220" s="50"/>
      <c r="AO220" s="50"/>
      <c r="AP220" s="50"/>
      <c r="AQ220" s="50"/>
      <c r="AU220" s="42"/>
      <c r="AV220" s="41"/>
      <c r="AW220" s="84"/>
      <c r="BI220" s="85"/>
      <c r="BM220" s="50"/>
      <c r="BN220" s="50"/>
      <c r="BR220" s="45"/>
      <c r="BT220" s="50"/>
      <c r="BU220" s="50"/>
      <c r="BV220" s="50"/>
    </row>
    <row r="221" spans="1:79" x14ac:dyDescent="0.3">
      <c r="A221" s="35"/>
      <c r="B221" s="35"/>
      <c r="C221" s="50"/>
      <c r="D221" s="50"/>
      <c r="I221" s="50"/>
      <c r="K221" s="50"/>
      <c r="Y221" s="50"/>
      <c r="Z221" s="50"/>
      <c r="AA221" s="50"/>
      <c r="AB221" s="50"/>
      <c r="AC221" s="50"/>
      <c r="AD221" s="50"/>
      <c r="AE221" s="50"/>
      <c r="AF221" s="50"/>
      <c r="AH221" s="50"/>
      <c r="AI221" s="50"/>
      <c r="AJ221" s="50"/>
      <c r="AK221" s="50"/>
      <c r="AL221" s="50"/>
      <c r="AU221" s="41"/>
      <c r="AV221" s="41"/>
      <c r="BY221" s="57"/>
      <c r="BZ221" s="58"/>
      <c r="CA221" s="58"/>
    </row>
    <row r="222" spans="1:79" x14ac:dyDescent="0.3">
      <c r="AU222" s="41"/>
      <c r="AV222" s="41"/>
      <c r="AX222" s="58"/>
      <c r="BA222" s="50"/>
      <c r="BY222" s="57"/>
      <c r="BZ222" s="58"/>
      <c r="CA222" s="58"/>
    </row>
    <row r="223" spans="1:79" x14ac:dyDescent="0.3">
      <c r="AU223" s="41"/>
      <c r="AV223" s="41"/>
      <c r="AX223" s="58"/>
      <c r="BA223" s="50"/>
      <c r="BY223" s="57"/>
      <c r="BZ223" s="58"/>
      <c r="CA223" s="58"/>
    </row>
    <row r="224" spans="1:79" x14ac:dyDescent="0.3">
      <c r="AU224" s="41"/>
      <c r="AV224" s="41"/>
      <c r="AX224" s="58"/>
      <c r="BA224" s="50"/>
      <c r="BY224" s="57"/>
      <c r="BZ224" s="58"/>
      <c r="CA224" s="58"/>
    </row>
    <row r="225" spans="1:83" x14ac:dyDescent="0.3">
      <c r="AU225" s="41"/>
      <c r="AV225" s="41"/>
      <c r="AX225" s="58"/>
      <c r="BA225" s="50"/>
      <c r="BY225" s="57"/>
      <c r="BZ225" s="58"/>
      <c r="CA225" s="58"/>
    </row>
    <row r="226" spans="1:83" x14ac:dyDescent="0.3">
      <c r="A226" s="35"/>
      <c r="B226" s="35"/>
      <c r="C226" s="50"/>
      <c r="D226" s="50"/>
      <c r="F226" s="50"/>
      <c r="I226" s="50"/>
      <c r="X226" s="50"/>
      <c r="AU226" s="41"/>
      <c r="AV226" s="41"/>
      <c r="BP226" s="50"/>
      <c r="BR226" s="50"/>
      <c r="BY226" s="57"/>
      <c r="BZ226" s="58"/>
      <c r="CA226" s="58"/>
    </row>
    <row r="227" spans="1:83" x14ac:dyDescent="0.3">
      <c r="A227" s="35"/>
      <c r="B227" s="35"/>
      <c r="C227" s="50"/>
      <c r="D227" s="50"/>
      <c r="F227" s="50"/>
      <c r="I227" s="50"/>
      <c r="K227" s="50"/>
      <c r="L227" s="50"/>
      <c r="X227" s="50"/>
      <c r="Y227" s="50"/>
      <c r="Z227" s="50"/>
      <c r="AA227" s="50"/>
      <c r="AB227" s="50"/>
      <c r="AC227" s="50"/>
      <c r="AD227" s="50"/>
      <c r="AE227" s="50"/>
      <c r="AF227" s="50"/>
      <c r="AH227" s="50"/>
      <c r="AI227" s="50"/>
      <c r="AJ227" s="50"/>
      <c r="AK227" s="50"/>
      <c r="AL227" s="50"/>
      <c r="AM227" s="50"/>
      <c r="AN227" s="50"/>
      <c r="AO227" s="50"/>
      <c r="AP227" s="50"/>
      <c r="AU227" s="79"/>
      <c r="AV227" s="41"/>
      <c r="AW227" s="79"/>
      <c r="AX227" s="58"/>
      <c r="AZ227" s="86"/>
      <c r="BB227" s="50"/>
      <c r="BC227" s="50"/>
      <c r="BD227" s="50"/>
      <c r="BE227" s="50"/>
      <c r="BF227" s="50"/>
      <c r="BG227" s="50"/>
      <c r="BH227" s="50"/>
      <c r="BJ227" s="50"/>
      <c r="BK227" s="50"/>
      <c r="BL227" s="50"/>
      <c r="BM227" s="50"/>
      <c r="BN227" s="50"/>
      <c r="BP227" s="50"/>
      <c r="BR227" s="50"/>
    </row>
    <row r="228" spans="1:83" x14ac:dyDescent="0.3">
      <c r="A228" s="35"/>
      <c r="B228" s="35"/>
      <c r="C228" s="50"/>
      <c r="D228" s="50"/>
      <c r="F228" s="50"/>
      <c r="I228" s="50"/>
      <c r="K228" s="50"/>
      <c r="L228" s="50"/>
      <c r="X228" s="50"/>
      <c r="Y228" s="50"/>
      <c r="Z228" s="50"/>
      <c r="AA228" s="50"/>
      <c r="AB228" s="50"/>
      <c r="AC228" s="50"/>
      <c r="AD228" s="50"/>
      <c r="AE228" s="50"/>
      <c r="AF228" s="50"/>
      <c r="AH228" s="50"/>
      <c r="AI228" s="50"/>
      <c r="AJ228" s="50"/>
      <c r="AK228" s="50"/>
      <c r="AL228" s="50"/>
      <c r="AM228" s="50"/>
      <c r="AN228" s="50"/>
      <c r="AO228" s="50"/>
      <c r="AP228" s="50"/>
      <c r="AU228" s="79"/>
      <c r="AV228" s="41"/>
      <c r="AW228" s="79"/>
      <c r="AX228" s="58"/>
      <c r="AZ228" s="86"/>
      <c r="BB228" s="50"/>
      <c r="BC228" s="50"/>
      <c r="BD228" s="50"/>
      <c r="BE228" s="50"/>
      <c r="BF228" s="50"/>
      <c r="BG228" s="50"/>
      <c r="BH228" s="50"/>
      <c r="BJ228" s="50"/>
      <c r="BK228" s="50"/>
      <c r="BL228" s="50"/>
      <c r="BM228" s="50"/>
      <c r="BN228" s="50"/>
      <c r="BP228" s="50"/>
      <c r="BR228" s="50"/>
    </row>
    <row r="229" spans="1:83" x14ac:dyDescent="0.3">
      <c r="A229" s="35"/>
      <c r="B229" s="35"/>
      <c r="C229" s="50"/>
      <c r="D229" s="50"/>
      <c r="F229" s="50"/>
      <c r="I229" s="50"/>
      <c r="K229" s="50"/>
      <c r="L229" s="50"/>
      <c r="X229" s="50"/>
      <c r="Y229" s="50"/>
      <c r="Z229" s="50"/>
      <c r="AA229" s="50"/>
      <c r="AB229" s="50"/>
      <c r="AC229" s="50"/>
      <c r="AD229" s="50"/>
      <c r="AE229" s="50"/>
      <c r="AF229" s="50"/>
      <c r="AH229" s="50"/>
      <c r="AI229" s="50"/>
      <c r="AJ229" s="50"/>
      <c r="AK229" s="50"/>
      <c r="AL229" s="50"/>
      <c r="AM229" s="50"/>
      <c r="AN229" s="50"/>
      <c r="AO229" s="50"/>
      <c r="AP229" s="50"/>
      <c r="AU229" s="79"/>
      <c r="AV229" s="41"/>
      <c r="AW229" s="79"/>
      <c r="AX229" s="58"/>
      <c r="AZ229" s="86"/>
      <c r="BB229" s="50"/>
      <c r="BC229" s="50"/>
      <c r="BD229" s="50"/>
      <c r="BE229" s="50"/>
      <c r="BF229" s="50"/>
      <c r="BG229" s="50"/>
      <c r="BH229" s="50"/>
      <c r="BJ229" s="50"/>
      <c r="BK229" s="50"/>
      <c r="BL229" s="50"/>
      <c r="BM229" s="50"/>
      <c r="BN229" s="50"/>
      <c r="BP229" s="50"/>
      <c r="BR229" s="50"/>
    </row>
    <row r="230" spans="1:83" x14ac:dyDescent="0.3">
      <c r="A230" s="35"/>
      <c r="B230" s="35"/>
      <c r="C230" s="50"/>
      <c r="D230" s="50"/>
      <c r="F230" s="50"/>
      <c r="I230" s="50"/>
      <c r="K230" s="50"/>
      <c r="L230" s="50"/>
      <c r="X230" s="50"/>
      <c r="Y230" s="50"/>
      <c r="Z230" s="50"/>
      <c r="AA230" s="50"/>
      <c r="AB230" s="50"/>
      <c r="AC230" s="50"/>
      <c r="AD230" s="50"/>
      <c r="AE230" s="50"/>
      <c r="AF230" s="50"/>
      <c r="AH230" s="50"/>
      <c r="AI230" s="50"/>
      <c r="AJ230" s="50"/>
      <c r="AK230" s="50"/>
      <c r="AL230" s="50"/>
      <c r="AM230" s="50"/>
      <c r="AN230" s="50"/>
      <c r="AO230" s="50"/>
      <c r="AP230" s="50"/>
      <c r="AU230" s="79"/>
      <c r="AV230" s="41"/>
      <c r="AW230" s="79"/>
      <c r="AX230" s="58"/>
      <c r="AZ230" s="86"/>
      <c r="BB230" s="50"/>
      <c r="BC230" s="50"/>
      <c r="BD230" s="50"/>
      <c r="BE230" s="50"/>
      <c r="BF230" s="50"/>
      <c r="BG230" s="50"/>
      <c r="BH230" s="50"/>
      <c r="BJ230" s="50"/>
      <c r="BK230" s="50"/>
      <c r="BL230" s="50"/>
      <c r="BM230" s="50"/>
      <c r="BN230" s="50"/>
      <c r="BP230" s="50"/>
      <c r="BR230" s="50"/>
    </row>
    <row r="231" spans="1:83" x14ac:dyDescent="0.3">
      <c r="A231" s="35"/>
      <c r="B231" s="35"/>
      <c r="C231" s="50"/>
      <c r="D231" s="50"/>
      <c r="F231" s="50"/>
      <c r="I231" s="50"/>
      <c r="K231" s="50"/>
      <c r="L231" s="50"/>
      <c r="X231" s="50"/>
      <c r="Y231" s="50"/>
      <c r="Z231" s="50"/>
      <c r="AA231" s="50"/>
      <c r="AB231" s="50"/>
      <c r="AC231" s="50"/>
      <c r="AD231" s="50"/>
      <c r="AE231" s="50"/>
      <c r="AF231" s="50"/>
      <c r="AH231" s="50"/>
      <c r="AI231" s="50"/>
      <c r="AJ231" s="50"/>
      <c r="AK231" s="50"/>
      <c r="AL231" s="50"/>
      <c r="AM231" s="50"/>
      <c r="AN231" s="50"/>
      <c r="AO231" s="50"/>
      <c r="AP231" s="50"/>
      <c r="AU231" s="79"/>
      <c r="AV231" s="41"/>
      <c r="AW231" s="79"/>
      <c r="AX231" s="58"/>
      <c r="AZ231" s="86"/>
      <c r="BB231" s="50"/>
      <c r="BC231" s="50"/>
      <c r="BD231" s="50"/>
      <c r="BE231" s="50"/>
      <c r="BF231" s="50"/>
      <c r="BG231" s="50"/>
      <c r="BH231" s="50"/>
      <c r="BJ231" s="50"/>
      <c r="BK231" s="50"/>
      <c r="BL231" s="50"/>
      <c r="BM231" s="50"/>
      <c r="BN231" s="50"/>
      <c r="BP231" s="50"/>
      <c r="BR231" s="50"/>
    </row>
    <row r="232" spans="1:83" x14ac:dyDescent="0.3">
      <c r="A232" s="35"/>
      <c r="B232" s="35"/>
      <c r="C232" s="50"/>
      <c r="D232" s="50"/>
      <c r="F232" s="50"/>
      <c r="I232" s="50"/>
      <c r="K232" s="50"/>
      <c r="L232" s="50"/>
      <c r="O232" s="2"/>
      <c r="X232" s="50"/>
      <c r="Y232" s="50"/>
      <c r="Z232" s="50"/>
      <c r="AA232" s="50"/>
      <c r="AB232" s="50"/>
      <c r="AC232" s="50"/>
      <c r="AD232" s="50"/>
      <c r="AE232" s="50"/>
      <c r="AF232" s="50"/>
      <c r="AH232" s="50"/>
      <c r="AI232" s="50"/>
      <c r="AJ232" s="50"/>
      <c r="AK232" s="50"/>
      <c r="AL232" s="50"/>
      <c r="AM232" s="50"/>
      <c r="AN232" s="50"/>
      <c r="AO232" s="50"/>
      <c r="AP232" s="50"/>
      <c r="AU232" s="79"/>
      <c r="AV232" s="41"/>
      <c r="AW232" s="79"/>
      <c r="AX232" s="58"/>
      <c r="AZ232" s="86"/>
      <c r="BB232" s="50"/>
      <c r="BC232" s="50"/>
      <c r="BD232" s="50"/>
      <c r="BE232" s="50"/>
      <c r="BF232" s="50"/>
      <c r="BG232" s="50"/>
      <c r="BH232" s="50"/>
      <c r="BJ232" s="50"/>
      <c r="BK232" s="50"/>
      <c r="BL232" s="50"/>
      <c r="BM232" s="50"/>
      <c r="BN232" s="50"/>
      <c r="BP232" s="50"/>
      <c r="BR232" s="50"/>
    </row>
    <row r="233" spans="1:83" x14ac:dyDescent="0.3">
      <c r="A233" s="35"/>
      <c r="B233" s="35"/>
      <c r="C233" s="50"/>
      <c r="D233" s="50"/>
      <c r="F233" s="50"/>
      <c r="I233" s="50"/>
      <c r="K233" s="50"/>
      <c r="L233" s="50"/>
      <c r="X233" s="50"/>
      <c r="Y233" s="50"/>
      <c r="Z233" s="50"/>
      <c r="AA233" s="50"/>
      <c r="AB233" s="50"/>
      <c r="AC233" s="50"/>
      <c r="AD233" s="50"/>
      <c r="AE233" s="50"/>
      <c r="AF233" s="50"/>
      <c r="AH233" s="50"/>
      <c r="AI233" s="50"/>
      <c r="AJ233" s="50"/>
      <c r="AK233" s="50"/>
      <c r="AL233" s="50"/>
      <c r="AM233" s="50"/>
      <c r="AN233" s="50"/>
      <c r="AO233" s="50"/>
      <c r="AP233" s="50"/>
      <c r="AU233" s="79"/>
      <c r="AV233" s="41"/>
      <c r="AW233" s="79"/>
      <c r="AX233" s="58"/>
      <c r="AZ233" s="86"/>
      <c r="BB233" s="50"/>
      <c r="BC233" s="50"/>
      <c r="BD233" s="50"/>
      <c r="BE233" s="50"/>
      <c r="BF233" s="50"/>
      <c r="BG233" s="50"/>
      <c r="BH233" s="50"/>
      <c r="BJ233" s="50"/>
      <c r="BK233" s="50"/>
      <c r="BL233" s="50"/>
      <c r="BM233" s="50"/>
      <c r="BN233" s="50"/>
      <c r="BP233" s="50"/>
      <c r="BR233" s="50"/>
    </row>
    <row r="234" spans="1:83" x14ac:dyDescent="0.3">
      <c r="A234" s="35"/>
      <c r="B234" s="35"/>
      <c r="C234" s="50"/>
      <c r="D234" s="50"/>
      <c r="F234" s="50"/>
      <c r="I234" s="50"/>
      <c r="K234" s="50"/>
      <c r="L234" s="50"/>
      <c r="X234" s="50"/>
      <c r="Y234" s="50"/>
      <c r="Z234" s="50"/>
      <c r="AA234" s="50"/>
      <c r="AB234" s="50"/>
      <c r="AC234" s="50"/>
      <c r="AD234" s="50"/>
      <c r="AE234" s="50"/>
      <c r="AF234" s="50"/>
      <c r="AH234" s="50"/>
      <c r="AI234" s="50"/>
      <c r="AJ234" s="50"/>
      <c r="AK234" s="50"/>
      <c r="AL234" s="50"/>
      <c r="AM234" s="50"/>
      <c r="AN234" s="50"/>
      <c r="AO234" s="50"/>
      <c r="AP234" s="50"/>
      <c r="AU234" s="79"/>
      <c r="AV234" s="41"/>
      <c r="AW234" s="79"/>
      <c r="AX234" s="58"/>
      <c r="AZ234" s="86"/>
      <c r="BB234" s="50"/>
      <c r="BC234" s="50"/>
      <c r="BD234" s="50"/>
      <c r="BE234" s="50"/>
      <c r="BF234" s="50"/>
      <c r="BG234" s="50"/>
      <c r="BH234" s="50"/>
      <c r="BJ234" s="50"/>
      <c r="BK234" s="50"/>
      <c r="BL234" s="50"/>
      <c r="BM234" s="50"/>
      <c r="BN234" s="50"/>
      <c r="BP234" s="50"/>
      <c r="BR234" s="50"/>
    </row>
    <row r="235" spans="1:83" x14ac:dyDescent="0.3">
      <c r="A235" s="35"/>
      <c r="B235" s="35"/>
      <c r="C235" s="50"/>
      <c r="D235" s="50"/>
      <c r="F235" s="50"/>
      <c r="I235" s="50"/>
      <c r="K235" s="50"/>
      <c r="L235" s="50"/>
      <c r="M235" s="50"/>
      <c r="N235" s="50"/>
      <c r="P235" s="50"/>
      <c r="X235" s="50"/>
      <c r="Y235" s="50"/>
      <c r="Z235" s="50"/>
      <c r="AA235" s="50"/>
      <c r="AB235" s="50"/>
      <c r="AC235" s="50"/>
      <c r="AD235" s="50"/>
      <c r="AE235" s="50"/>
      <c r="AF235" s="50"/>
      <c r="AH235" s="50"/>
      <c r="AI235" s="50"/>
      <c r="AJ235" s="50"/>
      <c r="AK235" s="50"/>
      <c r="AL235" s="50"/>
      <c r="AM235" s="50"/>
      <c r="AN235" s="50"/>
      <c r="AO235" s="50"/>
      <c r="AP235" s="50"/>
      <c r="AU235" s="79"/>
      <c r="AV235" s="41"/>
      <c r="AW235" s="79"/>
      <c r="AX235" s="58"/>
      <c r="AZ235" s="58"/>
      <c r="BB235" s="50"/>
      <c r="BC235" s="50"/>
      <c r="BD235" s="50"/>
      <c r="BE235" s="50"/>
      <c r="BF235" s="50"/>
      <c r="BG235" s="50"/>
      <c r="BH235" s="50"/>
      <c r="BJ235" s="50"/>
      <c r="BK235" s="50"/>
      <c r="BL235" s="50"/>
      <c r="BM235" s="50"/>
      <c r="BN235" s="50"/>
      <c r="BP235" s="50"/>
      <c r="BR235" s="50"/>
    </row>
    <row r="236" spans="1:83" x14ac:dyDescent="0.3">
      <c r="A236" s="35"/>
      <c r="B236" s="35"/>
      <c r="C236" s="50"/>
      <c r="D236" s="50"/>
      <c r="F236" s="50"/>
      <c r="I236" s="50"/>
      <c r="K236" s="50"/>
      <c r="L236" s="50"/>
      <c r="M236" s="50"/>
      <c r="N236" s="50"/>
      <c r="P236" s="50"/>
      <c r="X236" s="50"/>
      <c r="Y236" s="50"/>
      <c r="Z236" s="50"/>
      <c r="AA236" s="50"/>
      <c r="AB236" s="50"/>
      <c r="AC236" s="50"/>
      <c r="AD236" s="50"/>
      <c r="AE236" s="50"/>
      <c r="AF236" s="50"/>
      <c r="AH236" s="50"/>
      <c r="AI236" s="50"/>
      <c r="AJ236" s="50"/>
      <c r="AK236" s="50"/>
      <c r="AL236" s="50"/>
      <c r="AM236" s="50"/>
      <c r="AN236" s="50"/>
      <c r="AO236" s="50"/>
      <c r="AP236" s="50"/>
      <c r="AU236" s="79"/>
      <c r="AV236" s="41"/>
      <c r="AW236" s="79"/>
      <c r="AX236" s="58"/>
      <c r="AZ236" s="58"/>
      <c r="BB236" s="50"/>
      <c r="BC236" s="50"/>
      <c r="BD236" s="50"/>
      <c r="BE236" s="50"/>
      <c r="BF236" s="50"/>
      <c r="BG236" s="50"/>
      <c r="BH236" s="50"/>
      <c r="BJ236" s="50"/>
      <c r="BK236" s="50"/>
      <c r="BL236" s="50"/>
      <c r="BM236" s="50"/>
      <c r="BN236" s="50"/>
      <c r="BP236" s="50"/>
      <c r="BR236" s="50"/>
    </row>
    <row r="237" spans="1:83" x14ac:dyDescent="0.3">
      <c r="A237" s="35"/>
      <c r="B237" s="35"/>
      <c r="C237" s="50"/>
      <c r="D237" s="50"/>
      <c r="F237" s="50"/>
      <c r="I237" s="50"/>
      <c r="K237" s="50"/>
      <c r="L237" s="50"/>
      <c r="M237" s="50"/>
      <c r="N237" s="50"/>
      <c r="P237" s="50"/>
      <c r="X237" s="50"/>
      <c r="Y237" s="50"/>
      <c r="Z237" s="50"/>
      <c r="AA237" s="50"/>
      <c r="AB237" s="50"/>
      <c r="AC237" s="50"/>
      <c r="AD237" s="50"/>
      <c r="AE237" s="50"/>
      <c r="AF237" s="50"/>
      <c r="AH237" s="50"/>
      <c r="AI237" s="50"/>
      <c r="AJ237" s="50"/>
      <c r="AK237" s="50"/>
      <c r="AL237" s="50"/>
      <c r="AM237" s="50"/>
      <c r="AN237" s="50"/>
      <c r="AO237" s="50"/>
      <c r="AP237" s="50"/>
      <c r="AU237" s="79"/>
      <c r="AV237" s="41"/>
      <c r="AW237" s="79"/>
      <c r="AX237" s="58"/>
      <c r="AZ237" s="58"/>
      <c r="BB237" s="50"/>
      <c r="BC237" s="50"/>
      <c r="BD237" s="50"/>
      <c r="BE237" s="50"/>
      <c r="BF237" s="50"/>
      <c r="BG237" s="50"/>
      <c r="BH237" s="50"/>
      <c r="BJ237" s="50"/>
      <c r="BK237" s="50"/>
      <c r="BL237" s="50"/>
      <c r="BM237" s="50"/>
      <c r="BN237" s="50"/>
      <c r="BP237" s="50"/>
      <c r="BR237" s="50"/>
    </row>
    <row r="238" spans="1:83" x14ac:dyDescent="0.3">
      <c r="A238" s="35"/>
      <c r="B238" s="35"/>
      <c r="C238" s="50"/>
      <c r="D238" s="50"/>
      <c r="F238" s="50"/>
      <c r="I238" s="50"/>
      <c r="K238" s="50"/>
      <c r="L238" s="50"/>
      <c r="M238" s="50"/>
      <c r="N238" s="50"/>
      <c r="P238" s="50"/>
      <c r="X238" s="50"/>
      <c r="Y238" s="50"/>
      <c r="Z238" s="50"/>
      <c r="AA238" s="50"/>
      <c r="AB238" s="50"/>
      <c r="AC238" s="50"/>
      <c r="AD238" s="50"/>
      <c r="AE238" s="50"/>
      <c r="AF238" s="50"/>
      <c r="AH238" s="50"/>
      <c r="AI238" s="50"/>
      <c r="AJ238" s="50"/>
      <c r="AK238" s="50"/>
      <c r="AL238" s="50"/>
      <c r="AM238" s="50"/>
      <c r="AN238" s="50"/>
      <c r="AO238" s="50"/>
      <c r="AP238" s="50"/>
      <c r="AU238" s="79"/>
      <c r="AV238" s="41"/>
      <c r="AW238" s="79"/>
      <c r="AX238" s="58"/>
      <c r="AZ238" s="58"/>
      <c r="BB238" s="50"/>
      <c r="BC238" s="50"/>
      <c r="BD238" s="50"/>
      <c r="BE238" s="50"/>
      <c r="BF238" s="50"/>
      <c r="BG238" s="50"/>
      <c r="BH238" s="50"/>
      <c r="BJ238" s="50"/>
      <c r="BK238" s="50"/>
      <c r="BL238" s="50"/>
      <c r="BM238" s="50"/>
      <c r="BN238" s="50"/>
      <c r="BP238" s="50"/>
      <c r="BR238" s="50"/>
    </row>
    <row r="239" spans="1:83" x14ac:dyDescent="0.3">
      <c r="A239" s="35"/>
      <c r="B239" s="35"/>
      <c r="C239" s="50"/>
      <c r="D239" s="50"/>
      <c r="F239" s="50"/>
      <c r="I239" s="50"/>
      <c r="AU239" s="41"/>
      <c r="AV239" s="41"/>
      <c r="BR239" s="50"/>
      <c r="BY239" s="57"/>
      <c r="BZ239" s="58"/>
      <c r="CA239" s="58"/>
    </row>
    <row r="240" spans="1:83" x14ac:dyDescent="0.3">
      <c r="A240" s="46"/>
      <c r="B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c r="AM240" s="46"/>
      <c r="AN240" s="46"/>
      <c r="AO240" s="46"/>
      <c r="AP240" s="46"/>
      <c r="AQ240" s="46"/>
      <c r="AR240" s="46"/>
      <c r="AS240" s="46"/>
      <c r="AT240" s="46"/>
      <c r="AU240" s="53"/>
      <c r="AV240" s="47"/>
      <c r="AW240" s="46"/>
      <c r="AX240" s="46"/>
      <c r="AY240" s="46"/>
      <c r="AZ240" s="46"/>
      <c r="BA240" s="87"/>
      <c r="BB240" s="46"/>
      <c r="BC240" s="46"/>
      <c r="BD240" s="46"/>
      <c r="BE240" s="46"/>
      <c r="BF240" s="46"/>
      <c r="BG240" s="46"/>
      <c r="BH240" s="46"/>
      <c r="BI240" s="46"/>
      <c r="BJ240" s="46"/>
      <c r="BK240" s="46"/>
      <c r="BL240" s="46"/>
      <c r="BM240" s="46"/>
      <c r="BN240" s="46"/>
      <c r="BO240" s="46"/>
      <c r="BP240" s="46"/>
      <c r="BQ240" s="46"/>
      <c r="BR240" s="46"/>
      <c r="BS240" s="46"/>
      <c r="BT240" s="46"/>
      <c r="BU240" s="46"/>
      <c r="BV240" s="46"/>
      <c r="BW240" s="46"/>
      <c r="BX240" s="46"/>
      <c r="BY240" s="49"/>
      <c r="BZ240" s="54"/>
      <c r="CA240" s="54"/>
      <c r="CB240" s="46"/>
      <c r="CC240" s="46"/>
      <c r="CD240" s="46"/>
      <c r="CE240" s="46"/>
    </row>
    <row r="241" spans="1:79" x14ac:dyDescent="0.3">
      <c r="AU241" s="41"/>
      <c r="AV241" s="41"/>
      <c r="BA241" s="88"/>
      <c r="BY241" s="57"/>
      <c r="BZ241" s="58"/>
      <c r="CA241" s="58"/>
    </row>
    <row r="242" spans="1:79" x14ac:dyDescent="0.3">
      <c r="AU242" s="41"/>
      <c r="AV242" s="41"/>
      <c r="BA242" s="88"/>
      <c r="BY242" s="57"/>
      <c r="BZ242" s="58"/>
      <c r="CA242" s="58"/>
    </row>
    <row r="243" spans="1:79" x14ac:dyDescent="0.3">
      <c r="AU243" s="41"/>
      <c r="AV243" s="41"/>
      <c r="BA243" s="88"/>
      <c r="BY243" s="57"/>
      <c r="BZ243" s="58"/>
      <c r="CA243" s="58"/>
    </row>
    <row r="244" spans="1:79" x14ac:dyDescent="0.3">
      <c r="A244" s="46"/>
      <c r="B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c r="AK244" s="46"/>
      <c r="AL244" s="46"/>
      <c r="AM244" s="46"/>
      <c r="AN244" s="46"/>
      <c r="AO244" s="46"/>
      <c r="AP244" s="46"/>
      <c r="AQ244" s="46"/>
      <c r="AR244" s="46"/>
      <c r="AS244" s="46"/>
      <c r="AT244" s="46"/>
      <c r="AU244" s="47"/>
      <c r="AV244" s="47"/>
      <c r="AW244" s="46"/>
      <c r="AX244" s="46"/>
      <c r="AY244" s="46"/>
      <c r="AZ244" s="46"/>
      <c r="BA244" s="46"/>
      <c r="BB244" s="46"/>
      <c r="BC244" s="46"/>
      <c r="BD244" s="46"/>
      <c r="BE244" s="46"/>
      <c r="BF244" s="46"/>
      <c r="BG244" s="46"/>
      <c r="BH244" s="46"/>
      <c r="BI244" s="46"/>
      <c r="BJ244" s="46"/>
      <c r="BK244" s="46"/>
      <c r="BL244" s="46"/>
      <c r="BM244" s="46"/>
      <c r="BN244" s="46"/>
      <c r="BO244" s="46"/>
      <c r="BP244" s="46"/>
      <c r="BQ244" s="46"/>
      <c r="BR244" s="46"/>
      <c r="BS244" s="46"/>
      <c r="BT244" s="46"/>
      <c r="BU244" s="46"/>
      <c r="BV244" s="46"/>
      <c r="BY244" s="49"/>
      <c r="BZ244" s="54"/>
      <c r="CA244" s="54"/>
    </row>
    <row r="245" spans="1:79" x14ac:dyDescent="0.3">
      <c r="AU245" s="41"/>
      <c r="AV245" s="41"/>
      <c r="BA245" s="88"/>
    </row>
    <row r="246" spans="1:79" x14ac:dyDescent="0.3">
      <c r="A246" s="35"/>
      <c r="B246" s="35"/>
      <c r="D246" s="50"/>
      <c r="F246" s="50"/>
      <c r="I246" s="50"/>
      <c r="K246" s="50"/>
      <c r="L246" s="50"/>
      <c r="X246" s="50"/>
      <c r="Y246" s="50"/>
      <c r="Z246" s="50"/>
      <c r="AA246" s="50"/>
      <c r="AB246" s="50"/>
      <c r="AC246" s="50"/>
      <c r="AD246" s="50"/>
      <c r="AE246" s="50"/>
      <c r="AF246" s="50"/>
      <c r="AH246" s="50"/>
      <c r="AI246" s="50"/>
      <c r="AJ246" s="50"/>
      <c r="AK246" s="50"/>
      <c r="AL246" s="50"/>
      <c r="AM246" s="50"/>
      <c r="AN246" s="50"/>
      <c r="AO246" s="50"/>
      <c r="AP246" s="50"/>
      <c r="AU246" s="41"/>
      <c r="AV246" s="41"/>
      <c r="AX246" s="84"/>
      <c r="BA246" s="62"/>
      <c r="BB246" s="50"/>
      <c r="BC246" s="50"/>
      <c r="BD246" s="50"/>
      <c r="BE246" s="50"/>
      <c r="BF246" s="50"/>
      <c r="BG246" s="50"/>
      <c r="BH246" s="50"/>
      <c r="BJ246" s="50"/>
      <c r="BK246" s="50"/>
      <c r="BL246" s="50"/>
      <c r="BM246" s="50"/>
      <c r="BN246" s="50"/>
      <c r="BO246" s="50"/>
      <c r="BP246" s="50"/>
      <c r="BQ246" s="50"/>
      <c r="BR246" s="50"/>
      <c r="BS246" s="50"/>
      <c r="BT246" s="50"/>
      <c r="BU246" s="50"/>
      <c r="BV246" s="50"/>
    </row>
    <row r="247" spans="1:79" x14ac:dyDescent="0.3">
      <c r="A247" s="35"/>
      <c r="B247" s="35"/>
      <c r="D247" s="50"/>
      <c r="F247" s="50"/>
      <c r="I247" s="50"/>
      <c r="K247" s="50"/>
      <c r="L247" s="50"/>
      <c r="X247" s="50"/>
      <c r="Y247" s="50"/>
      <c r="Z247" s="50"/>
      <c r="AA247" s="50"/>
      <c r="AB247" s="50"/>
      <c r="AC247" s="50"/>
      <c r="AD247" s="50"/>
      <c r="AE247" s="50"/>
      <c r="AF247" s="50"/>
      <c r="AH247" s="50"/>
      <c r="AI247" s="50"/>
      <c r="AJ247" s="50"/>
      <c r="AK247" s="50"/>
      <c r="AL247" s="50"/>
      <c r="AM247" s="50"/>
      <c r="AN247" s="50"/>
      <c r="AO247" s="50"/>
      <c r="AP247" s="50"/>
      <c r="AU247" s="41"/>
      <c r="AV247" s="41"/>
      <c r="AX247" s="84"/>
      <c r="BA247" s="62"/>
      <c r="BB247" s="50"/>
      <c r="BC247" s="50"/>
      <c r="BD247" s="50"/>
      <c r="BE247" s="50"/>
      <c r="BF247" s="50"/>
      <c r="BG247" s="50"/>
      <c r="BH247" s="50"/>
      <c r="BJ247" s="50"/>
      <c r="BK247" s="50"/>
      <c r="BL247" s="50"/>
      <c r="BM247" s="50"/>
      <c r="BN247" s="50"/>
      <c r="BO247" s="50"/>
      <c r="BP247" s="50"/>
      <c r="BQ247" s="50"/>
      <c r="BR247" s="50"/>
      <c r="BS247" s="50"/>
      <c r="BT247" s="50"/>
      <c r="BU247" s="50"/>
      <c r="BV247" s="50"/>
      <c r="BW247" s="50"/>
      <c r="BX247" s="50"/>
    </row>
    <row r="248" spans="1:79" x14ac:dyDescent="0.3">
      <c r="A248" s="35"/>
      <c r="B248" s="35"/>
      <c r="D248" s="50"/>
      <c r="F248" s="50"/>
      <c r="I248" s="50"/>
      <c r="K248" s="50"/>
      <c r="L248" s="50"/>
      <c r="X248" s="50"/>
      <c r="Y248" s="50"/>
      <c r="Z248" s="50"/>
      <c r="AA248" s="50"/>
      <c r="AB248" s="50"/>
      <c r="AC248" s="50"/>
      <c r="AD248" s="50"/>
      <c r="AE248" s="50"/>
      <c r="AF248" s="50"/>
      <c r="AH248" s="50"/>
      <c r="AI248" s="50"/>
      <c r="AJ248" s="50"/>
      <c r="AK248" s="50"/>
      <c r="AL248" s="50"/>
      <c r="AM248" s="50"/>
      <c r="AN248" s="50"/>
      <c r="AO248" s="50"/>
      <c r="AP248" s="50"/>
      <c r="AU248" s="41"/>
      <c r="AV248" s="41"/>
      <c r="AX248" s="84"/>
      <c r="BA248" s="62"/>
      <c r="BB248" s="50"/>
      <c r="BC248" s="50"/>
      <c r="BD248" s="50"/>
      <c r="BE248" s="50"/>
      <c r="BF248" s="50"/>
      <c r="BG248" s="50"/>
      <c r="BH248" s="50"/>
      <c r="BJ248" s="50"/>
      <c r="BK248" s="50"/>
      <c r="BL248" s="50"/>
      <c r="BM248" s="50"/>
      <c r="BN248" s="50"/>
      <c r="BO248" s="50"/>
      <c r="BP248" s="50"/>
      <c r="BQ248" s="50"/>
      <c r="BR248" s="50"/>
      <c r="BS248" s="50"/>
      <c r="BT248" s="50"/>
      <c r="BU248" s="50"/>
      <c r="BV248" s="50"/>
    </row>
    <row r="249" spans="1:79" x14ac:dyDescent="0.3">
      <c r="A249" s="35"/>
      <c r="B249" s="35"/>
      <c r="D249" s="50"/>
      <c r="F249" s="50"/>
      <c r="I249" s="50"/>
      <c r="K249" s="50"/>
      <c r="L249" s="50"/>
      <c r="X249" s="50"/>
      <c r="Y249" s="50"/>
      <c r="Z249" s="50"/>
      <c r="AA249" s="50"/>
      <c r="AB249" s="50"/>
      <c r="AC249" s="50"/>
      <c r="AD249" s="50"/>
      <c r="AE249" s="50"/>
      <c r="AF249" s="50"/>
      <c r="AH249" s="50"/>
      <c r="AI249" s="50"/>
      <c r="AJ249" s="50"/>
      <c r="AK249" s="50"/>
      <c r="AL249" s="50"/>
      <c r="AM249" s="50"/>
      <c r="AN249" s="50"/>
      <c r="AO249" s="50"/>
      <c r="AP249" s="50"/>
      <c r="AU249" s="41"/>
      <c r="AV249" s="41"/>
      <c r="AX249" s="84"/>
      <c r="BA249" s="62"/>
      <c r="BB249" s="50"/>
      <c r="BC249" s="50"/>
      <c r="BD249" s="50"/>
      <c r="BE249" s="50"/>
      <c r="BF249" s="50"/>
      <c r="BG249" s="50"/>
      <c r="BH249" s="50"/>
      <c r="BJ249" s="50"/>
      <c r="BK249" s="50"/>
      <c r="BL249" s="50"/>
      <c r="BM249" s="50"/>
      <c r="BN249" s="50"/>
      <c r="BO249" s="50"/>
      <c r="BP249" s="50"/>
      <c r="BQ249" s="50"/>
      <c r="BR249" s="50"/>
      <c r="BS249" s="50"/>
      <c r="BT249" s="50"/>
      <c r="BU249" s="50"/>
      <c r="BV249" s="50"/>
      <c r="BW249" s="50"/>
      <c r="BX249" s="50"/>
    </row>
    <row r="250" spans="1:79" x14ac:dyDescent="0.3">
      <c r="AU250" s="42"/>
      <c r="AV250" s="41"/>
      <c r="BA250" s="62"/>
    </row>
    <row r="251" spans="1:79" x14ac:dyDescent="0.3">
      <c r="AU251" s="42"/>
      <c r="AV251" s="41"/>
      <c r="BA251" s="62"/>
    </row>
    <row r="252" spans="1:79" x14ac:dyDescent="0.3">
      <c r="AU252" s="42"/>
      <c r="AV252" s="41"/>
      <c r="BA252" s="62"/>
    </row>
    <row r="253" spans="1:79" x14ac:dyDescent="0.3">
      <c r="AU253" s="42"/>
      <c r="AV253" s="41"/>
      <c r="BA253" s="62"/>
    </row>
    <row r="254" spans="1:79" x14ac:dyDescent="0.3">
      <c r="AU254" s="42"/>
      <c r="AV254" s="41"/>
      <c r="BA254" s="62"/>
    </row>
    <row r="255" spans="1:79" x14ac:dyDescent="0.3">
      <c r="AU255" s="42"/>
      <c r="AV255" s="41"/>
      <c r="BA255" s="62"/>
    </row>
    <row r="256" spans="1:79" x14ac:dyDescent="0.3">
      <c r="AU256" s="42"/>
      <c r="AV256" s="41"/>
      <c r="BA256" s="62"/>
    </row>
    <row r="257" spans="1:79" x14ac:dyDescent="0.3">
      <c r="AU257" s="42"/>
      <c r="AV257" s="41"/>
      <c r="BA257" s="62"/>
    </row>
    <row r="258" spans="1:79" x14ac:dyDescent="0.3">
      <c r="AU258" s="42"/>
      <c r="AV258" s="41"/>
      <c r="BA258" s="62"/>
    </row>
    <row r="259" spans="1:79" x14ac:dyDescent="0.3">
      <c r="AU259" s="42"/>
      <c r="AV259" s="41"/>
      <c r="BA259" s="62"/>
    </row>
    <row r="260" spans="1:79" x14ac:dyDescent="0.3">
      <c r="AV260" s="41"/>
      <c r="BA260" s="62"/>
    </row>
    <row r="261" spans="1:79" x14ac:dyDescent="0.3">
      <c r="AV261" s="41"/>
      <c r="BA261" s="62"/>
    </row>
    <row r="262" spans="1:79" x14ac:dyDescent="0.3">
      <c r="AV262" s="41"/>
      <c r="AZ262" s="43"/>
      <c r="BA262" s="44"/>
    </row>
    <row r="263" spans="1:79" x14ac:dyDescent="0.3">
      <c r="H263" s="61"/>
      <c r="AU263" s="42"/>
    </row>
    <row r="264" spans="1:79" x14ac:dyDescent="0.3">
      <c r="A264" s="35"/>
      <c r="B264" s="35"/>
      <c r="D264" s="50"/>
      <c r="E264" s="50"/>
      <c r="H264" s="61"/>
      <c r="P264" s="35"/>
      <c r="V264" s="35"/>
      <c r="W264" s="35"/>
      <c r="AQ264" s="2"/>
      <c r="AR264" s="2"/>
      <c r="AU264" s="40"/>
    </row>
    <row r="265" spans="1:79" x14ac:dyDescent="0.3">
      <c r="A265" s="35"/>
      <c r="B265" s="35"/>
      <c r="D265" s="50"/>
      <c r="E265" s="50"/>
      <c r="P265" s="35"/>
      <c r="V265" s="35"/>
      <c r="W265" s="35"/>
      <c r="AQ265" s="2"/>
      <c r="AR265" s="2"/>
      <c r="AU265" s="40"/>
    </row>
    <row r="266" spans="1:79" x14ac:dyDescent="0.3">
      <c r="A266" s="35"/>
      <c r="B266" s="35"/>
      <c r="D266" s="50"/>
      <c r="E266" s="50"/>
      <c r="P266" s="35"/>
      <c r="V266" s="35"/>
      <c r="W266" s="35"/>
      <c r="AQ266" s="2"/>
      <c r="AR266" s="2"/>
      <c r="AU266" s="40"/>
    </row>
    <row r="267" spans="1:79" x14ac:dyDescent="0.3">
      <c r="A267" s="35"/>
      <c r="B267" s="35"/>
      <c r="D267" s="50"/>
      <c r="E267" s="50"/>
      <c r="P267" s="35"/>
      <c r="V267" s="35"/>
      <c r="W267" s="35"/>
      <c r="AQ267" s="2"/>
      <c r="AR267" s="2"/>
      <c r="AU267" s="40"/>
    </row>
    <row r="268" spans="1:79" x14ac:dyDescent="0.3">
      <c r="A268" s="35"/>
      <c r="B268" s="35"/>
      <c r="D268" s="50"/>
      <c r="E268" s="50"/>
      <c r="P268" s="35"/>
      <c r="V268" s="35"/>
      <c r="W268" s="35"/>
      <c r="AQ268" s="2"/>
      <c r="AR268" s="2"/>
      <c r="AU268" s="40"/>
    </row>
    <row r="269" spans="1:79" x14ac:dyDescent="0.3">
      <c r="A269" s="35"/>
      <c r="B269" s="35"/>
      <c r="D269" s="50"/>
      <c r="E269" s="50"/>
      <c r="P269" s="35"/>
      <c r="V269" s="35"/>
      <c r="W269" s="35"/>
      <c r="AQ269" s="2"/>
      <c r="AR269" s="2"/>
      <c r="AU269" s="40"/>
    </row>
    <row r="270" spans="1:79" x14ac:dyDescent="0.3">
      <c r="A270" s="35"/>
      <c r="B270" s="35"/>
      <c r="D270" s="35"/>
      <c r="I270" s="35"/>
      <c r="P270" s="35"/>
      <c r="V270" s="35"/>
      <c r="W270" s="35"/>
      <c r="Y270" s="35"/>
      <c r="Z270" s="35"/>
      <c r="AA270" s="35"/>
      <c r="AB270" s="35"/>
      <c r="AC270" s="35"/>
      <c r="AD270" s="35"/>
      <c r="AE270" s="35"/>
      <c r="AF270" s="35"/>
      <c r="AH270" s="35"/>
      <c r="AI270" s="35"/>
      <c r="AJ270" s="35"/>
      <c r="AK270" s="35"/>
      <c r="AL270" s="35"/>
      <c r="AM270" s="35"/>
      <c r="AN270" s="35"/>
      <c r="AO270" s="35"/>
      <c r="AP270" s="35"/>
      <c r="AU270" s="40"/>
      <c r="AV270" s="41"/>
      <c r="AW270" s="41"/>
      <c r="BA270" s="35"/>
      <c r="BB270" s="35"/>
      <c r="BC270" s="35"/>
      <c r="BD270" s="35"/>
      <c r="BE270" s="35"/>
      <c r="BF270" s="35"/>
      <c r="BG270" s="35"/>
      <c r="BJ270" s="35"/>
      <c r="BK270" s="35"/>
      <c r="BL270" s="35"/>
      <c r="BM270" s="35"/>
      <c r="BN270" s="35"/>
      <c r="BO270" s="35"/>
      <c r="BP270" s="35"/>
      <c r="BW270" s="36"/>
      <c r="BX270" s="36"/>
      <c r="BY270" s="37"/>
      <c r="BZ270" s="36"/>
      <c r="CA270" s="38"/>
    </row>
    <row r="271" spans="1:79" x14ac:dyDescent="0.3">
      <c r="A271" s="35"/>
      <c r="B271" s="35"/>
      <c r="D271" s="35"/>
      <c r="I271" s="35"/>
      <c r="P271" s="35"/>
      <c r="V271" s="35"/>
      <c r="W271" s="35"/>
      <c r="Y271" s="35"/>
      <c r="Z271" s="35"/>
      <c r="AA271" s="35"/>
      <c r="AB271" s="35"/>
      <c r="AC271" s="35"/>
      <c r="AD271" s="35"/>
      <c r="AE271" s="35"/>
      <c r="AF271" s="35"/>
      <c r="AH271" s="35"/>
      <c r="AI271" s="35"/>
      <c r="AJ271" s="35"/>
      <c r="AK271" s="35"/>
      <c r="AL271" s="35"/>
      <c r="AM271" s="35"/>
      <c r="AN271" s="35"/>
      <c r="AO271" s="35"/>
      <c r="AP271" s="35"/>
      <c r="AU271" s="40"/>
      <c r="AV271" s="41"/>
      <c r="AW271" s="41"/>
      <c r="BA271" s="35"/>
      <c r="BB271" s="35"/>
      <c r="BC271" s="35"/>
      <c r="BD271" s="35"/>
      <c r="BE271" s="35"/>
      <c r="BF271" s="35"/>
      <c r="BG271" s="35"/>
      <c r="BJ271" s="35"/>
      <c r="BK271" s="35"/>
      <c r="BL271" s="35"/>
      <c r="BM271" s="35"/>
      <c r="BN271" s="35"/>
      <c r="BO271" s="35"/>
      <c r="BP271" s="35"/>
      <c r="BW271" s="36"/>
      <c r="BX271" s="36"/>
      <c r="BY271" s="37"/>
      <c r="BZ271" s="36"/>
      <c r="CA271" s="38"/>
    </row>
    <row r="272" spans="1:79" x14ac:dyDescent="0.3">
      <c r="A272" s="35"/>
      <c r="B272" s="35"/>
      <c r="D272" s="35"/>
      <c r="I272" s="35"/>
      <c r="P272" s="35"/>
      <c r="V272" s="35"/>
      <c r="W272" s="35"/>
      <c r="Y272" s="35"/>
      <c r="Z272" s="35"/>
      <c r="AA272" s="35"/>
      <c r="AB272" s="35"/>
      <c r="AC272" s="35"/>
      <c r="AD272" s="35"/>
      <c r="AE272" s="35"/>
      <c r="AF272" s="35"/>
      <c r="AH272" s="35"/>
      <c r="AI272" s="35"/>
      <c r="AJ272" s="35"/>
      <c r="AK272" s="35"/>
      <c r="AL272" s="35"/>
      <c r="AM272" s="35"/>
      <c r="AN272" s="35"/>
      <c r="AO272" s="35"/>
      <c r="AP272" s="35"/>
      <c r="AU272" s="40"/>
      <c r="AV272" s="41"/>
      <c r="AW272" s="41"/>
      <c r="BA272" s="35"/>
      <c r="BB272" s="35"/>
      <c r="BC272" s="35"/>
      <c r="BD272" s="35"/>
      <c r="BE272" s="35"/>
      <c r="BF272" s="35"/>
      <c r="BG272" s="35"/>
      <c r="BJ272" s="35"/>
      <c r="BK272" s="35"/>
      <c r="BL272" s="35"/>
      <c r="BM272" s="35"/>
      <c r="BN272" s="35"/>
      <c r="BO272" s="35"/>
      <c r="BP272" s="35"/>
      <c r="BW272" s="36"/>
      <c r="BX272" s="36"/>
      <c r="BY272" s="37"/>
      <c r="BZ272" s="36"/>
      <c r="CA272" s="38"/>
    </row>
    <row r="273" spans="1:87" x14ac:dyDescent="0.3">
      <c r="A273" s="35"/>
      <c r="B273" s="35"/>
      <c r="D273" s="35"/>
      <c r="I273" s="35"/>
      <c r="P273" s="35"/>
      <c r="V273" s="35"/>
      <c r="W273" s="35"/>
      <c r="Y273" s="35"/>
      <c r="Z273" s="35"/>
      <c r="AA273" s="35"/>
      <c r="AB273" s="35"/>
      <c r="AC273" s="35"/>
      <c r="AD273" s="35"/>
      <c r="AE273" s="35"/>
      <c r="AF273" s="35"/>
      <c r="AG273" s="35"/>
      <c r="AH273" s="35"/>
      <c r="AI273" s="35"/>
      <c r="AJ273" s="35"/>
      <c r="AK273" s="35"/>
      <c r="AL273" s="35"/>
      <c r="AM273" s="35"/>
      <c r="AN273" s="35"/>
      <c r="AO273" s="35"/>
      <c r="AP273" s="35"/>
      <c r="AU273" s="40"/>
      <c r="AV273" s="41"/>
      <c r="AW273" s="41"/>
      <c r="BA273" s="35"/>
      <c r="BB273" s="35"/>
      <c r="BC273" s="35"/>
      <c r="BD273" s="35"/>
      <c r="BE273" s="35"/>
      <c r="BF273" s="35"/>
      <c r="BG273" s="35"/>
      <c r="BJ273" s="35"/>
      <c r="BK273" s="35"/>
      <c r="BL273" s="35"/>
      <c r="BM273" s="35"/>
      <c r="BN273" s="35"/>
      <c r="BO273" s="35"/>
      <c r="BP273" s="35"/>
      <c r="BW273" s="36"/>
      <c r="BX273" s="36"/>
      <c r="BY273" s="37"/>
      <c r="BZ273" s="36"/>
      <c r="CA273" s="38"/>
    </row>
    <row r="274" spans="1:87" x14ac:dyDescent="0.3">
      <c r="A274" s="35"/>
      <c r="B274" s="35"/>
      <c r="D274" s="35"/>
      <c r="I274" s="35"/>
      <c r="P274" s="35"/>
      <c r="V274" s="35"/>
      <c r="W274" s="35"/>
      <c r="Y274" s="35"/>
      <c r="Z274" s="35"/>
      <c r="AA274" s="35"/>
      <c r="AB274" s="35"/>
      <c r="AC274" s="35"/>
      <c r="AD274" s="35"/>
      <c r="AE274" s="35"/>
      <c r="AF274" s="35"/>
      <c r="AG274" s="35"/>
      <c r="AH274" s="35"/>
      <c r="AI274" s="35"/>
      <c r="AJ274" s="35"/>
      <c r="AK274" s="35"/>
      <c r="AL274" s="35"/>
      <c r="AM274" s="35"/>
      <c r="AN274" s="35"/>
      <c r="AO274" s="35"/>
      <c r="AP274" s="35"/>
      <c r="AU274" s="40"/>
      <c r="AV274" s="41"/>
      <c r="AW274" s="41"/>
      <c r="BA274" s="35"/>
      <c r="BB274" s="35"/>
      <c r="BC274" s="35"/>
      <c r="BD274" s="35"/>
      <c r="BE274" s="35"/>
      <c r="BF274" s="35"/>
      <c r="BG274" s="35"/>
      <c r="BJ274" s="35"/>
      <c r="BK274" s="35"/>
      <c r="BL274" s="35"/>
      <c r="BM274" s="35"/>
      <c r="BN274" s="35"/>
      <c r="BO274" s="35"/>
      <c r="BP274" s="35"/>
      <c r="BW274" s="36"/>
      <c r="BX274" s="36"/>
      <c r="BY274" s="37"/>
      <c r="BZ274" s="36"/>
      <c r="CA274" s="38"/>
    </row>
    <row r="275" spans="1:87" x14ac:dyDescent="0.3">
      <c r="A275" s="35"/>
      <c r="B275" s="35"/>
      <c r="D275" s="35"/>
      <c r="I275" s="35"/>
      <c r="P275" s="35"/>
      <c r="V275" s="35"/>
      <c r="W275" s="35"/>
      <c r="Y275" s="35"/>
      <c r="Z275" s="35"/>
      <c r="AA275" s="35"/>
      <c r="AB275" s="35"/>
      <c r="AC275" s="35"/>
      <c r="AD275" s="35"/>
      <c r="AE275" s="35"/>
      <c r="AF275" s="35"/>
      <c r="AG275" s="35"/>
      <c r="AH275" s="35"/>
      <c r="AI275" s="35"/>
      <c r="AJ275" s="35"/>
      <c r="AK275" s="35"/>
      <c r="AL275" s="35"/>
      <c r="AM275" s="35"/>
      <c r="AN275" s="35"/>
      <c r="AO275" s="35"/>
      <c r="AP275" s="35"/>
      <c r="AU275" s="40"/>
      <c r="AV275" s="41"/>
      <c r="AW275" s="41"/>
      <c r="BA275" s="35"/>
      <c r="BB275" s="35"/>
      <c r="BC275" s="35"/>
      <c r="BD275" s="35"/>
      <c r="BE275" s="35"/>
      <c r="BF275" s="35"/>
      <c r="BG275" s="35"/>
      <c r="BJ275" s="35"/>
      <c r="BK275" s="35"/>
      <c r="BL275" s="35"/>
      <c r="BM275" s="35"/>
      <c r="BN275" s="35"/>
      <c r="BO275" s="35"/>
      <c r="BP275" s="35"/>
      <c r="BW275" s="36"/>
      <c r="BX275" s="36"/>
      <c r="BY275" s="37"/>
      <c r="BZ275" s="36"/>
      <c r="CA275" s="38"/>
    </row>
    <row r="276" spans="1:87" x14ac:dyDescent="0.3">
      <c r="AV276" s="41"/>
      <c r="BA276" s="62"/>
    </row>
    <row r="277" spans="1:87" x14ac:dyDescent="0.3">
      <c r="AV277" s="41"/>
      <c r="BA277" s="62"/>
    </row>
    <row r="278" spans="1:87" x14ac:dyDescent="0.3">
      <c r="AV278" s="41"/>
      <c r="BA278" s="62"/>
    </row>
    <row r="279" spans="1:87" x14ac:dyDescent="0.3">
      <c r="AU279" s="40"/>
      <c r="AV279" s="41"/>
      <c r="BA279" s="88"/>
    </row>
    <row r="280" spans="1:87" x14ac:dyDescent="0.3">
      <c r="AU280" s="40"/>
      <c r="AV280" s="41"/>
      <c r="BA280" s="88"/>
    </row>
    <row r="281" spans="1:87" x14ac:dyDescent="0.3">
      <c r="A281" s="35"/>
      <c r="B281" s="35"/>
      <c r="D281" s="35"/>
      <c r="I281" s="35"/>
      <c r="P281" s="35"/>
      <c r="Y281" s="35"/>
      <c r="Z281" s="35"/>
      <c r="AA281" s="35"/>
      <c r="AB281" s="35"/>
      <c r="AC281" s="35"/>
      <c r="AD281" s="35"/>
      <c r="AE281" s="35"/>
      <c r="AF281" s="35"/>
      <c r="AG281" s="35"/>
      <c r="AH281" s="35"/>
      <c r="AI281" s="35"/>
      <c r="AJ281" s="35"/>
      <c r="AK281" s="35"/>
      <c r="AL281" s="35"/>
      <c r="AM281" s="35"/>
      <c r="AN281" s="35"/>
      <c r="AO281" s="35"/>
      <c r="AP281" s="35"/>
      <c r="AU281" s="41"/>
      <c r="AV281" s="41"/>
      <c r="BA281" s="62"/>
      <c r="BB281" s="35"/>
      <c r="BC281" s="35"/>
      <c r="BD281" s="35"/>
      <c r="BE281" s="35"/>
      <c r="BF281" s="35"/>
      <c r="BG281" s="35"/>
      <c r="BJ281" s="35"/>
      <c r="BK281" s="35"/>
      <c r="BN281" s="35"/>
      <c r="BO281" s="35"/>
      <c r="BP281" s="35"/>
      <c r="BQ281" s="35"/>
      <c r="BR281" s="35"/>
      <c r="BS281" s="35"/>
    </row>
    <row r="282" spans="1:87" x14ac:dyDescent="0.3">
      <c r="A282" s="35"/>
      <c r="B282" s="35"/>
      <c r="D282" s="35"/>
      <c r="I282" s="35"/>
      <c r="P282" s="35"/>
      <c r="Y282" s="35"/>
      <c r="Z282" s="35"/>
      <c r="AA282" s="35"/>
      <c r="AB282" s="35"/>
      <c r="AC282" s="35"/>
      <c r="AD282" s="35"/>
      <c r="AE282" s="35"/>
      <c r="AF282" s="35"/>
      <c r="AG282" s="35"/>
      <c r="AH282" s="35"/>
      <c r="AI282" s="35"/>
      <c r="AJ282" s="35"/>
      <c r="AK282" s="35"/>
      <c r="AL282" s="35"/>
      <c r="AM282" s="35"/>
      <c r="AN282" s="35"/>
      <c r="AO282" s="35"/>
      <c r="AP282" s="35"/>
      <c r="AU282" s="41"/>
      <c r="AV282" s="41"/>
      <c r="BA282" s="62"/>
      <c r="BB282" s="35"/>
      <c r="BC282" s="35"/>
      <c r="BD282" s="35"/>
      <c r="BE282" s="35"/>
      <c r="BF282" s="35"/>
      <c r="BG282" s="35"/>
      <c r="BJ282" s="35"/>
      <c r="BK282" s="35"/>
      <c r="BN282" s="35"/>
      <c r="BO282" s="35"/>
      <c r="BP282" s="35"/>
      <c r="BQ282" s="35"/>
      <c r="BR282" s="35"/>
      <c r="BS282" s="35"/>
    </row>
    <row r="283" spans="1:87" x14ac:dyDescent="0.3">
      <c r="AQ283" s="35"/>
      <c r="AV283" s="41"/>
      <c r="AW283" s="41"/>
      <c r="BA283" s="62"/>
      <c r="BG283" s="89"/>
      <c r="BY283" s="57"/>
      <c r="BZ283" s="58"/>
      <c r="CA283" s="58"/>
      <c r="CF283" s="39"/>
      <c r="CG283" s="39"/>
      <c r="CH283" s="39"/>
      <c r="CI283" s="39"/>
    </row>
    <row r="284" spans="1:87" x14ac:dyDescent="0.3">
      <c r="AQ284" s="35"/>
      <c r="AV284" s="41"/>
      <c r="AW284" s="41"/>
      <c r="BA284" s="62"/>
      <c r="BG284" s="89"/>
      <c r="BY284" s="57"/>
      <c r="BZ284" s="58"/>
      <c r="CA284" s="58"/>
      <c r="CF284" s="39"/>
      <c r="CG284" s="39"/>
      <c r="CH284" s="90"/>
      <c r="CI284" s="39"/>
    </row>
    <row r="285" spans="1:87" x14ac:dyDescent="0.3">
      <c r="AV285" s="41"/>
      <c r="AW285" s="41"/>
      <c r="BA285" s="62"/>
      <c r="BG285" s="89"/>
      <c r="BY285" s="57"/>
      <c r="BZ285" s="58"/>
      <c r="CA285" s="58"/>
      <c r="CF285" s="39"/>
      <c r="CG285" s="39"/>
      <c r="CH285" s="90"/>
      <c r="CI285" s="39"/>
    </row>
    <row r="286" spans="1:87" x14ac:dyDescent="0.3">
      <c r="D286" s="35"/>
      <c r="F286" s="35"/>
      <c r="I286" s="35"/>
      <c r="P286" s="35"/>
      <c r="V286" s="35"/>
      <c r="W286" s="35"/>
      <c r="Y286" s="35"/>
      <c r="Z286" s="35"/>
      <c r="AA286" s="35"/>
      <c r="AB286" s="35"/>
      <c r="AC286" s="35"/>
      <c r="AD286" s="35"/>
      <c r="AE286" s="35"/>
      <c r="AF286" s="35"/>
      <c r="AH286" s="35"/>
      <c r="AI286" s="35"/>
      <c r="AJ286" s="35"/>
      <c r="AK286" s="35"/>
      <c r="AL286" s="35"/>
      <c r="AM286" s="35"/>
      <c r="AN286" s="35"/>
      <c r="AO286" s="35"/>
      <c r="AP286" s="35"/>
      <c r="AU286" s="40"/>
      <c r="AV286" s="41"/>
      <c r="BA286" s="35"/>
      <c r="BB286" s="35"/>
      <c r="BC286" s="35"/>
      <c r="BD286" s="35"/>
      <c r="BE286" s="35"/>
      <c r="BF286" s="35"/>
      <c r="BG286" s="35"/>
      <c r="BJ286" s="35"/>
      <c r="BK286" s="35"/>
      <c r="BL286" s="35"/>
      <c r="BM286" s="35"/>
      <c r="BN286" s="35"/>
      <c r="BO286" s="35"/>
      <c r="BP286" s="35"/>
      <c r="BR286" s="35"/>
      <c r="BW286" s="36"/>
      <c r="BX286" s="37"/>
      <c r="BY286" s="36"/>
      <c r="BZ286" s="38"/>
    </row>
    <row r="287" spans="1:87" x14ac:dyDescent="0.3">
      <c r="D287" s="35"/>
      <c r="F287" s="35"/>
      <c r="I287" s="35"/>
      <c r="P287" s="35"/>
      <c r="V287" s="35"/>
      <c r="W287" s="35"/>
      <c r="Y287" s="35"/>
      <c r="Z287" s="35"/>
      <c r="AA287" s="35"/>
      <c r="AB287" s="35"/>
      <c r="AC287" s="35"/>
      <c r="AD287" s="35"/>
      <c r="AE287" s="35"/>
      <c r="AF287" s="35"/>
      <c r="AH287" s="35"/>
      <c r="AI287" s="35"/>
      <c r="AJ287" s="35"/>
      <c r="AK287" s="35"/>
      <c r="AL287" s="35"/>
      <c r="AM287" s="35"/>
      <c r="AN287" s="35"/>
      <c r="AO287" s="35"/>
      <c r="AP287" s="35"/>
      <c r="AU287" s="40"/>
      <c r="AV287" s="41"/>
      <c r="BA287" s="35"/>
      <c r="BB287" s="35"/>
      <c r="BC287" s="35"/>
      <c r="BD287" s="35"/>
      <c r="BE287" s="35"/>
      <c r="BF287" s="35"/>
      <c r="BG287" s="35"/>
      <c r="BJ287" s="35"/>
      <c r="BK287" s="35"/>
      <c r="BL287" s="35"/>
      <c r="BM287" s="35"/>
      <c r="BN287" s="35"/>
      <c r="BO287" s="35"/>
      <c r="BP287" s="35"/>
      <c r="BR287" s="35"/>
      <c r="BW287" s="36"/>
      <c r="BX287" s="37"/>
      <c r="BY287" s="36"/>
      <c r="BZ287" s="38"/>
    </row>
    <row r="288" spans="1:87" x14ac:dyDescent="0.3">
      <c r="D288" s="35"/>
      <c r="F288" s="35"/>
      <c r="I288" s="35"/>
      <c r="P288" s="35"/>
      <c r="V288" s="35"/>
      <c r="W288" s="35"/>
      <c r="Y288" s="35"/>
      <c r="Z288" s="35"/>
      <c r="AA288" s="35"/>
      <c r="AB288" s="35"/>
      <c r="AC288" s="35"/>
      <c r="AD288" s="35"/>
      <c r="AE288" s="35"/>
      <c r="AF288" s="35"/>
      <c r="AH288" s="35"/>
      <c r="AI288" s="35"/>
      <c r="AJ288" s="35"/>
      <c r="AK288" s="35"/>
      <c r="AL288" s="35"/>
      <c r="AM288" s="35"/>
      <c r="AN288" s="35"/>
      <c r="AO288" s="35"/>
      <c r="AP288" s="35"/>
      <c r="AU288" s="40"/>
      <c r="AV288" s="41"/>
      <c r="BA288" s="35"/>
      <c r="BB288" s="35"/>
      <c r="BC288" s="35"/>
      <c r="BD288" s="35"/>
      <c r="BE288" s="35"/>
      <c r="BF288" s="35"/>
      <c r="BG288" s="35"/>
      <c r="BJ288" s="35"/>
      <c r="BK288" s="35"/>
      <c r="BL288" s="35"/>
      <c r="BM288" s="35"/>
      <c r="BN288" s="35"/>
      <c r="BO288" s="35"/>
      <c r="BP288" s="35"/>
      <c r="BR288" s="35"/>
      <c r="BW288" s="36"/>
      <c r="BX288" s="37"/>
      <c r="BY288" s="36"/>
      <c r="BZ288" s="38"/>
    </row>
    <row r="289" spans="1:78" x14ac:dyDescent="0.3">
      <c r="D289" s="35"/>
      <c r="F289" s="35"/>
      <c r="I289" s="35"/>
      <c r="P289" s="35"/>
      <c r="V289" s="35"/>
      <c r="W289" s="35"/>
      <c r="Y289" s="35"/>
      <c r="Z289" s="35"/>
      <c r="AA289" s="35"/>
      <c r="AB289" s="35"/>
      <c r="AC289" s="35"/>
      <c r="AD289" s="35"/>
      <c r="AE289" s="35"/>
      <c r="AF289" s="35"/>
      <c r="AG289" s="35"/>
      <c r="AH289" s="35"/>
      <c r="AI289" s="35"/>
      <c r="AJ289" s="35"/>
      <c r="AK289" s="35"/>
      <c r="AL289" s="35"/>
      <c r="AM289" s="35"/>
      <c r="AN289" s="35"/>
      <c r="AO289" s="35"/>
      <c r="AP289" s="35"/>
      <c r="AU289" s="40"/>
      <c r="AV289" s="41"/>
      <c r="BA289" s="35"/>
      <c r="BB289" s="35"/>
      <c r="BC289" s="35"/>
      <c r="BD289" s="35"/>
      <c r="BE289" s="35"/>
      <c r="BF289" s="35"/>
      <c r="BG289" s="35"/>
      <c r="BJ289" s="35"/>
      <c r="BK289" s="35"/>
      <c r="BL289" s="35"/>
      <c r="BM289" s="35"/>
      <c r="BN289" s="35"/>
      <c r="BO289" s="35"/>
      <c r="BP289" s="35"/>
      <c r="BR289" s="35"/>
      <c r="BW289" s="36"/>
      <c r="BX289" s="37"/>
      <c r="BY289" s="36"/>
      <c r="BZ289" s="38"/>
    </row>
    <row r="290" spans="1:78" x14ac:dyDescent="0.3">
      <c r="D290" s="35"/>
      <c r="F290" s="35"/>
      <c r="I290" s="35"/>
      <c r="P290" s="35"/>
      <c r="V290" s="35"/>
      <c r="W290" s="35"/>
      <c r="Y290" s="35"/>
      <c r="Z290" s="35"/>
      <c r="AA290" s="35"/>
      <c r="AB290" s="35"/>
      <c r="AC290" s="35"/>
      <c r="AD290" s="35"/>
      <c r="AE290" s="35"/>
      <c r="AF290" s="35"/>
      <c r="AG290" s="35"/>
      <c r="AH290" s="35"/>
      <c r="AI290" s="35"/>
      <c r="AJ290" s="35"/>
      <c r="AK290" s="35"/>
      <c r="AL290" s="35"/>
      <c r="AM290" s="35"/>
      <c r="AN290" s="35"/>
      <c r="AO290" s="35"/>
      <c r="AP290" s="35"/>
      <c r="AU290" s="40"/>
      <c r="AV290" s="41"/>
      <c r="BA290" s="35"/>
      <c r="BB290" s="35"/>
      <c r="BC290" s="35"/>
      <c r="BD290" s="35"/>
      <c r="BE290" s="35"/>
      <c r="BF290" s="35"/>
      <c r="BG290" s="35"/>
      <c r="BJ290" s="35"/>
      <c r="BK290" s="35"/>
      <c r="BL290" s="35"/>
      <c r="BM290" s="35"/>
      <c r="BN290" s="35"/>
      <c r="BO290" s="35"/>
      <c r="BP290" s="35"/>
      <c r="BR290" s="35"/>
      <c r="BW290" s="36"/>
      <c r="BX290" s="37"/>
      <c r="BY290" s="36"/>
      <c r="BZ290" s="38"/>
    </row>
    <row r="291" spans="1:78" x14ac:dyDescent="0.3">
      <c r="D291" s="35"/>
      <c r="F291" s="35"/>
      <c r="I291" s="35"/>
      <c r="P291" s="35"/>
      <c r="V291" s="35"/>
      <c r="W291" s="35"/>
      <c r="Y291" s="35"/>
      <c r="Z291" s="35"/>
      <c r="AA291" s="35"/>
      <c r="AB291" s="35"/>
      <c r="AC291" s="35"/>
      <c r="AD291" s="35"/>
      <c r="AE291" s="35"/>
      <c r="AF291" s="35"/>
      <c r="AG291" s="35"/>
      <c r="AH291" s="35"/>
      <c r="AI291" s="35"/>
      <c r="AJ291" s="35"/>
      <c r="AK291" s="35"/>
      <c r="AL291" s="35"/>
      <c r="AM291" s="35"/>
      <c r="AN291" s="35"/>
      <c r="AO291" s="35"/>
      <c r="AP291" s="35"/>
      <c r="AU291" s="40"/>
      <c r="AV291" s="41"/>
      <c r="BA291" s="35"/>
      <c r="BB291" s="35"/>
      <c r="BC291" s="35"/>
      <c r="BD291" s="35"/>
      <c r="BE291" s="35"/>
      <c r="BF291" s="35"/>
      <c r="BG291" s="35"/>
      <c r="BJ291" s="35"/>
      <c r="BK291" s="35"/>
      <c r="BL291" s="35"/>
      <c r="BM291" s="35"/>
      <c r="BN291" s="35"/>
      <c r="BO291" s="35"/>
      <c r="BP291" s="35"/>
      <c r="BR291" s="35"/>
      <c r="BW291" s="36"/>
      <c r="BX291" s="37"/>
      <c r="BY291" s="36"/>
      <c r="BZ291" s="38"/>
    </row>
    <row r="292" spans="1:78" x14ac:dyDescent="0.3">
      <c r="D292" s="35"/>
      <c r="F292" s="35"/>
      <c r="I292" s="35"/>
      <c r="P292" s="35"/>
      <c r="V292" s="35"/>
      <c r="W292" s="35"/>
      <c r="Y292" s="35"/>
      <c r="Z292" s="35"/>
      <c r="AA292" s="35"/>
      <c r="AB292" s="35"/>
      <c r="AC292" s="35"/>
      <c r="AD292" s="35"/>
      <c r="AE292" s="35"/>
      <c r="AF292" s="35"/>
      <c r="AG292" s="35"/>
      <c r="AH292" s="35"/>
      <c r="AI292" s="35"/>
      <c r="AJ292" s="35"/>
      <c r="AK292" s="35"/>
      <c r="AL292" s="35"/>
      <c r="AM292" s="35"/>
      <c r="AN292" s="35"/>
      <c r="AO292" s="35"/>
      <c r="AP292" s="35"/>
      <c r="AU292" s="40"/>
      <c r="AV292" s="41"/>
      <c r="BA292" s="35"/>
      <c r="BB292" s="35"/>
      <c r="BC292" s="35"/>
      <c r="BD292" s="35"/>
      <c r="BE292" s="35"/>
      <c r="BF292" s="35"/>
      <c r="BG292" s="35"/>
      <c r="BJ292" s="35"/>
      <c r="BK292" s="35"/>
      <c r="BL292" s="35"/>
      <c r="BM292" s="35"/>
      <c r="BN292" s="35"/>
      <c r="BO292" s="35"/>
      <c r="BP292" s="35"/>
      <c r="BR292" s="35"/>
      <c r="BW292" s="36"/>
      <c r="BX292" s="37"/>
      <c r="BY292" s="36"/>
      <c r="BZ292" s="38"/>
    </row>
    <row r="293" spans="1:78" x14ac:dyDescent="0.3">
      <c r="D293" s="35"/>
      <c r="F293" s="35"/>
      <c r="I293" s="35"/>
      <c r="P293" s="35"/>
      <c r="V293" s="35"/>
      <c r="W293" s="35"/>
      <c r="Y293" s="35"/>
      <c r="Z293" s="35"/>
      <c r="AA293" s="35"/>
      <c r="AB293" s="35"/>
      <c r="AC293" s="35"/>
      <c r="AD293" s="35"/>
      <c r="AE293" s="35"/>
      <c r="AF293" s="35"/>
      <c r="AG293" s="35"/>
      <c r="AH293" s="35"/>
      <c r="AI293" s="35"/>
      <c r="AJ293" s="35"/>
      <c r="AK293" s="35"/>
      <c r="AL293" s="35"/>
      <c r="AM293" s="35"/>
      <c r="AN293" s="35"/>
      <c r="AO293" s="35"/>
      <c r="AP293" s="35"/>
      <c r="AU293" s="40"/>
      <c r="AV293" s="41"/>
      <c r="BA293" s="35"/>
      <c r="BB293" s="35"/>
      <c r="BC293" s="35"/>
      <c r="BD293" s="35"/>
      <c r="BE293" s="35"/>
      <c r="BF293" s="35"/>
      <c r="BG293" s="35"/>
      <c r="BJ293" s="35"/>
      <c r="BK293" s="35"/>
      <c r="BL293" s="35"/>
      <c r="BM293" s="35"/>
      <c r="BN293" s="35"/>
      <c r="BO293" s="35"/>
      <c r="BP293" s="35"/>
      <c r="BR293" s="35"/>
      <c r="BW293" s="36"/>
      <c r="BX293" s="37"/>
      <c r="BY293" s="36"/>
      <c r="BZ293" s="38"/>
    </row>
    <row r="294" spans="1:78" x14ac:dyDescent="0.3">
      <c r="D294" s="35"/>
      <c r="F294" s="35"/>
      <c r="I294" s="35"/>
      <c r="P294" s="35"/>
      <c r="V294" s="35"/>
      <c r="W294" s="35"/>
      <c r="Y294" s="35"/>
      <c r="Z294" s="35"/>
      <c r="AA294" s="35"/>
      <c r="AB294" s="35"/>
      <c r="AC294" s="35"/>
      <c r="AD294" s="35"/>
      <c r="AE294" s="35"/>
      <c r="AF294" s="35"/>
      <c r="AH294" s="35"/>
      <c r="AI294" s="35"/>
      <c r="AJ294" s="35"/>
      <c r="AK294" s="35"/>
      <c r="AL294" s="35"/>
      <c r="AM294" s="35"/>
      <c r="AN294" s="35"/>
      <c r="AO294" s="35"/>
      <c r="AP294" s="35"/>
      <c r="AU294" s="40"/>
      <c r="AV294" s="41"/>
      <c r="BA294" s="35"/>
      <c r="BB294" s="35"/>
      <c r="BC294" s="35"/>
      <c r="BD294" s="35"/>
      <c r="BE294" s="35"/>
      <c r="BF294" s="35"/>
      <c r="BG294" s="35"/>
      <c r="BJ294" s="35"/>
      <c r="BK294" s="35"/>
      <c r="BL294" s="35"/>
      <c r="BM294" s="35"/>
      <c r="BN294" s="35"/>
      <c r="BO294" s="35"/>
      <c r="BP294" s="35"/>
      <c r="BR294" s="35"/>
      <c r="BW294" s="36"/>
      <c r="BX294" s="37"/>
      <c r="BY294" s="36"/>
      <c r="BZ294" s="38"/>
    </row>
    <row r="295" spans="1:78" x14ac:dyDescent="0.3">
      <c r="D295" s="35"/>
      <c r="F295" s="35"/>
      <c r="I295" s="35"/>
      <c r="P295" s="35"/>
      <c r="V295" s="35"/>
      <c r="W295" s="35"/>
      <c r="Y295" s="35"/>
      <c r="Z295" s="35"/>
      <c r="AA295" s="35"/>
      <c r="AB295" s="35"/>
      <c r="AC295" s="35"/>
      <c r="AD295" s="35"/>
      <c r="AE295" s="35"/>
      <c r="AF295" s="35"/>
      <c r="AH295" s="35"/>
      <c r="AI295" s="35"/>
      <c r="AJ295" s="35"/>
      <c r="AK295" s="35"/>
      <c r="AL295" s="35"/>
      <c r="AM295" s="35"/>
      <c r="AN295" s="35"/>
      <c r="AO295" s="35"/>
      <c r="AP295" s="35"/>
      <c r="AU295" s="40"/>
      <c r="AV295" s="41"/>
      <c r="BA295" s="35"/>
      <c r="BB295" s="35"/>
      <c r="BC295" s="35"/>
      <c r="BD295" s="35"/>
      <c r="BE295" s="35"/>
      <c r="BF295" s="35"/>
      <c r="BG295" s="35"/>
      <c r="BJ295" s="35"/>
      <c r="BK295" s="35"/>
      <c r="BL295" s="35"/>
      <c r="BM295" s="35"/>
      <c r="BN295" s="35"/>
      <c r="BO295" s="35"/>
      <c r="BP295" s="35"/>
      <c r="BR295" s="35"/>
      <c r="BW295" s="36"/>
      <c r="BX295" s="37"/>
      <c r="BY295" s="36"/>
      <c r="BZ295" s="38"/>
    </row>
    <row r="296" spans="1:78" x14ac:dyDescent="0.3">
      <c r="D296" s="35"/>
      <c r="F296" s="35"/>
      <c r="I296" s="35"/>
      <c r="P296" s="35"/>
      <c r="V296" s="35"/>
      <c r="W296" s="35"/>
      <c r="Y296" s="35"/>
      <c r="Z296" s="35"/>
      <c r="AA296" s="35"/>
      <c r="AB296" s="35"/>
      <c r="AC296" s="35"/>
      <c r="AD296" s="35"/>
      <c r="AE296" s="35"/>
      <c r="AF296" s="35"/>
      <c r="AH296" s="35"/>
      <c r="AI296" s="35"/>
      <c r="AJ296" s="35"/>
      <c r="AK296" s="35"/>
      <c r="AL296" s="35"/>
      <c r="AM296" s="35"/>
      <c r="AN296" s="35"/>
      <c r="AO296" s="35"/>
      <c r="AP296" s="35"/>
      <c r="AU296" s="40"/>
      <c r="AV296" s="41"/>
      <c r="BA296" s="35"/>
      <c r="BB296" s="35"/>
      <c r="BC296" s="35"/>
      <c r="BD296" s="35"/>
      <c r="BE296" s="35"/>
      <c r="BF296" s="35"/>
      <c r="BG296" s="35"/>
      <c r="BJ296" s="35"/>
      <c r="BK296" s="35"/>
      <c r="BL296" s="35"/>
      <c r="BM296" s="35"/>
      <c r="BN296" s="35"/>
      <c r="BO296" s="35"/>
      <c r="BP296" s="35"/>
      <c r="BR296" s="35"/>
      <c r="BW296" s="36"/>
      <c r="BX296" s="37"/>
      <c r="BY296" s="36"/>
      <c r="BZ296" s="38"/>
    </row>
    <row r="297" spans="1:78" x14ac:dyDescent="0.3">
      <c r="D297" s="35"/>
      <c r="F297" s="35"/>
      <c r="I297" s="35"/>
      <c r="P297" s="35"/>
      <c r="V297" s="35"/>
      <c r="W297" s="35"/>
      <c r="Y297" s="35"/>
      <c r="Z297" s="35"/>
      <c r="AA297" s="35"/>
      <c r="AB297" s="35"/>
      <c r="AC297" s="35"/>
      <c r="AD297" s="35"/>
      <c r="AE297" s="35"/>
      <c r="AF297" s="35"/>
      <c r="AH297" s="35"/>
      <c r="AI297" s="35"/>
      <c r="AJ297" s="35"/>
      <c r="AK297" s="35"/>
      <c r="AL297" s="35"/>
      <c r="AM297" s="35"/>
      <c r="AN297" s="35"/>
      <c r="AO297" s="35"/>
      <c r="AP297" s="35"/>
      <c r="AU297" s="40"/>
      <c r="AV297" s="41"/>
      <c r="BA297" s="35"/>
      <c r="BB297" s="35"/>
      <c r="BC297" s="35"/>
      <c r="BD297" s="35"/>
      <c r="BE297" s="35"/>
      <c r="BF297" s="35"/>
      <c r="BG297" s="35"/>
      <c r="BJ297" s="35"/>
      <c r="BK297" s="35"/>
      <c r="BL297" s="35"/>
      <c r="BM297" s="35"/>
      <c r="BN297" s="35"/>
      <c r="BO297" s="35"/>
      <c r="BP297" s="35"/>
      <c r="BR297" s="35"/>
      <c r="BW297" s="36"/>
      <c r="BX297" s="37"/>
      <c r="BY297" s="36"/>
      <c r="BZ297" s="38"/>
    </row>
    <row r="298" spans="1:78" x14ac:dyDescent="0.3">
      <c r="A298" s="35"/>
      <c r="B298" s="35"/>
      <c r="D298" s="35"/>
      <c r="I298" s="35"/>
      <c r="P298" s="35"/>
      <c r="Y298" s="35"/>
      <c r="Z298" s="35"/>
      <c r="AA298" s="35"/>
      <c r="AB298" s="35"/>
      <c r="AC298" s="35"/>
      <c r="AD298" s="35"/>
      <c r="AE298" s="35"/>
      <c r="AF298" s="35"/>
      <c r="AG298" s="35"/>
      <c r="AH298" s="35"/>
      <c r="AI298" s="35"/>
      <c r="AJ298" s="35"/>
      <c r="AK298" s="35"/>
      <c r="AL298" s="35"/>
      <c r="AM298" s="35"/>
      <c r="AN298" s="35"/>
      <c r="AO298" s="35"/>
      <c r="AP298" s="35"/>
      <c r="AU298" s="41"/>
      <c r="AV298" s="41"/>
      <c r="AZ298" s="43"/>
      <c r="BA298" s="44"/>
      <c r="BB298" s="35"/>
      <c r="BC298" s="35"/>
      <c r="BD298" s="35"/>
      <c r="BE298" s="35"/>
      <c r="BF298" s="35"/>
      <c r="BG298" s="35"/>
      <c r="BJ298" s="35"/>
      <c r="BK298" s="35"/>
      <c r="BN298" s="35"/>
      <c r="BO298" s="35"/>
      <c r="BP298" s="35"/>
      <c r="BQ298" s="35"/>
      <c r="BR298" s="35"/>
      <c r="BS298" s="35"/>
    </row>
    <row r="299" spans="1:78" x14ac:dyDescent="0.3">
      <c r="A299" s="35"/>
      <c r="B299" s="35"/>
      <c r="D299" s="35"/>
      <c r="I299" s="35"/>
      <c r="P299" s="35"/>
      <c r="Y299" s="35"/>
      <c r="Z299" s="35"/>
      <c r="AA299" s="35"/>
      <c r="AB299" s="35"/>
      <c r="AC299" s="35"/>
      <c r="AD299" s="35"/>
      <c r="AE299" s="35"/>
      <c r="AF299" s="35"/>
      <c r="AG299" s="35"/>
      <c r="AH299" s="35"/>
      <c r="AI299" s="35"/>
      <c r="AJ299" s="35"/>
      <c r="AK299" s="35"/>
      <c r="AL299" s="35"/>
      <c r="AM299" s="35"/>
      <c r="AN299" s="35"/>
      <c r="AO299" s="35"/>
      <c r="AP299" s="35"/>
      <c r="AU299" s="41"/>
      <c r="AV299" s="41"/>
      <c r="AZ299" s="43"/>
      <c r="BA299" s="44"/>
      <c r="BB299" s="35"/>
      <c r="BC299" s="35"/>
      <c r="BD299" s="35"/>
      <c r="BE299" s="35"/>
      <c r="BF299" s="35"/>
      <c r="BG299" s="35"/>
      <c r="BJ299" s="35"/>
      <c r="BK299" s="35"/>
      <c r="BN299" s="35"/>
      <c r="BO299" s="35"/>
      <c r="BP299" s="35"/>
      <c r="BQ299" s="35"/>
      <c r="BR299" s="35"/>
      <c r="BS299" s="35"/>
    </row>
    <row r="300" spans="1:78" x14ac:dyDescent="0.3">
      <c r="A300" s="35"/>
      <c r="B300" s="35"/>
      <c r="D300" s="35"/>
      <c r="I300" s="35"/>
      <c r="P300" s="35"/>
      <c r="Y300" s="35"/>
      <c r="Z300" s="35"/>
      <c r="AA300" s="35"/>
      <c r="AB300" s="35"/>
      <c r="AC300" s="35"/>
      <c r="AD300" s="35"/>
      <c r="AE300" s="35"/>
      <c r="AF300" s="35"/>
      <c r="AG300" s="35"/>
      <c r="AH300" s="35"/>
      <c r="AI300" s="35"/>
      <c r="AJ300" s="35"/>
      <c r="AK300" s="35"/>
      <c r="AL300" s="35"/>
      <c r="AM300" s="35"/>
      <c r="AN300" s="35"/>
      <c r="AO300" s="35"/>
      <c r="AP300" s="35"/>
      <c r="AU300" s="41"/>
      <c r="AV300" s="41"/>
      <c r="AZ300" s="43"/>
      <c r="BA300" s="44"/>
      <c r="BB300" s="35"/>
      <c r="BC300" s="35"/>
      <c r="BD300" s="35"/>
      <c r="BE300" s="35"/>
      <c r="BF300" s="35"/>
      <c r="BG300" s="35"/>
      <c r="BJ300" s="35"/>
      <c r="BK300" s="35"/>
      <c r="BN300" s="35"/>
      <c r="BO300" s="35"/>
      <c r="BP300" s="35"/>
      <c r="BQ300" s="35"/>
      <c r="BR300" s="35"/>
      <c r="BS300" s="35"/>
    </row>
    <row r="301" spans="1:78" x14ac:dyDescent="0.3">
      <c r="A301" s="35"/>
      <c r="B301" s="35"/>
      <c r="D301" s="35"/>
      <c r="I301" s="35"/>
      <c r="P301" s="35"/>
      <c r="Y301" s="35"/>
      <c r="Z301" s="35"/>
      <c r="AA301" s="35"/>
      <c r="AB301" s="35"/>
      <c r="AC301" s="35"/>
      <c r="AD301" s="35"/>
      <c r="AE301" s="35"/>
      <c r="AF301" s="35"/>
      <c r="AG301" s="35"/>
      <c r="AH301" s="35"/>
      <c r="AI301" s="35"/>
      <c r="AJ301" s="35"/>
      <c r="AK301" s="35"/>
      <c r="AL301" s="35"/>
      <c r="AM301" s="35"/>
      <c r="AN301" s="35"/>
      <c r="AO301" s="35"/>
      <c r="AP301" s="35"/>
      <c r="AU301" s="41"/>
      <c r="AV301" s="41"/>
      <c r="AZ301" s="43"/>
      <c r="BA301" s="44"/>
      <c r="BB301" s="35"/>
      <c r="BC301" s="35"/>
      <c r="BD301" s="35"/>
      <c r="BE301" s="35"/>
      <c r="BF301" s="35"/>
      <c r="BG301" s="35"/>
      <c r="BJ301" s="35"/>
      <c r="BK301" s="35"/>
      <c r="BN301" s="35"/>
      <c r="BO301" s="35"/>
      <c r="BP301" s="35"/>
      <c r="BQ301" s="35"/>
      <c r="BR301" s="35"/>
      <c r="BS301" s="35"/>
    </row>
    <row r="302" spans="1:78" x14ac:dyDescent="0.3">
      <c r="D302" s="50"/>
      <c r="F302" s="50"/>
      <c r="I302" s="50"/>
      <c r="L302" s="50"/>
      <c r="N302" s="50"/>
      <c r="X302" s="50"/>
      <c r="Y302" s="50"/>
      <c r="Z302" s="50"/>
      <c r="AA302" s="50"/>
      <c r="AB302" s="50"/>
      <c r="AC302" s="50"/>
      <c r="AD302" s="50"/>
      <c r="AE302" s="50"/>
      <c r="AF302" s="50"/>
      <c r="AG302" s="50"/>
      <c r="AH302" s="50"/>
      <c r="AI302" s="50"/>
      <c r="AJ302" s="50"/>
      <c r="AK302" s="50"/>
      <c r="AL302" s="50"/>
      <c r="AM302" s="50"/>
      <c r="AN302" s="50"/>
      <c r="AO302" s="50"/>
      <c r="AP302" s="50"/>
      <c r="AU302" s="41"/>
      <c r="AV302" s="41"/>
      <c r="AZ302" s="43"/>
      <c r="BA302" s="44"/>
      <c r="BB302" s="45"/>
      <c r="BT302" s="50"/>
      <c r="BU302" s="50"/>
      <c r="BV302" s="50"/>
    </row>
    <row r="303" spans="1:78" x14ac:dyDescent="0.3">
      <c r="AP303" s="35"/>
      <c r="AV303" s="41"/>
      <c r="AW303" s="41"/>
      <c r="AZ303" s="43"/>
      <c r="BA303" s="44"/>
    </row>
    <row r="304" spans="1:78" x14ac:dyDescent="0.3">
      <c r="AP304" s="35"/>
      <c r="AV304" s="41"/>
      <c r="AW304" s="41"/>
      <c r="AZ304" s="43"/>
      <c r="BA304" s="44"/>
    </row>
    <row r="305" spans="42:87" x14ac:dyDescent="0.3">
      <c r="AP305" s="35"/>
      <c r="AV305" s="41"/>
      <c r="AW305" s="41"/>
      <c r="AZ305" s="43"/>
      <c r="BA305" s="44"/>
    </row>
    <row r="306" spans="42:87" x14ac:dyDescent="0.3">
      <c r="AP306" s="35"/>
      <c r="AV306" s="41"/>
      <c r="AW306" s="41"/>
      <c r="AZ306" s="43"/>
      <c r="BA306" s="44"/>
    </row>
    <row r="307" spans="42:87" x14ac:dyDescent="0.3">
      <c r="AP307" s="35"/>
      <c r="AV307" s="41"/>
      <c r="AW307" s="41"/>
      <c r="AZ307" s="43"/>
      <c r="BA307" s="44"/>
    </row>
    <row r="308" spans="42:87" x14ac:dyDescent="0.3">
      <c r="AP308" s="35"/>
      <c r="AV308" s="41"/>
      <c r="AW308" s="41"/>
      <c r="AZ308" s="43"/>
      <c r="BA308" s="44"/>
    </row>
    <row r="309" spans="42:87" x14ac:dyDescent="0.3">
      <c r="AU309" s="55"/>
      <c r="AV309" s="41"/>
      <c r="AX309" s="43"/>
      <c r="BA309" s="63"/>
    </row>
    <row r="310" spans="42:87" x14ac:dyDescent="0.3">
      <c r="AU310" s="55"/>
      <c r="AV310" s="41"/>
      <c r="AX310" s="43"/>
      <c r="BA310" s="63"/>
    </row>
    <row r="311" spans="42:87" x14ac:dyDescent="0.3">
      <c r="AU311" s="55"/>
      <c r="AV311" s="41"/>
      <c r="AX311" s="43"/>
      <c r="BA311" s="63"/>
    </row>
    <row r="312" spans="42:87" x14ac:dyDescent="0.3">
      <c r="AU312" s="55"/>
      <c r="AV312" s="41"/>
      <c r="AX312" s="43"/>
      <c r="BA312" s="63"/>
    </row>
    <row r="313" spans="42:87" x14ac:dyDescent="0.3">
      <c r="AU313" s="55"/>
      <c r="AV313" s="41"/>
      <c r="AX313" s="43"/>
      <c r="BA313" s="63"/>
    </row>
    <row r="314" spans="42:87" x14ac:dyDescent="0.3">
      <c r="AU314" s="55"/>
      <c r="AV314" s="41"/>
      <c r="AX314" s="43"/>
      <c r="BA314" s="63"/>
    </row>
    <row r="315" spans="42:87" x14ac:dyDescent="0.3">
      <c r="AU315" s="55"/>
      <c r="AV315" s="41"/>
      <c r="AX315" s="43"/>
      <c r="BA315" s="63"/>
    </row>
    <row r="316" spans="42:87" x14ac:dyDescent="0.3">
      <c r="AU316" s="55"/>
      <c r="AV316" s="41"/>
      <c r="AX316" s="43"/>
      <c r="BA316" s="63"/>
    </row>
    <row r="317" spans="42:87" x14ac:dyDescent="0.3">
      <c r="AU317" s="55"/>
      <c r="AV317" s="41"/>
      <c r="AX317" s="43"/>
      <c r="BA317" s="63"/>
    </row>
    <row r="318" spans="42:87" x14ac:dyDescent="0.3">
      <c r="AU318" s="40"/>
      <c r="AV318" s="41"/>
      <c r="BA318" s="45"/>
      <c r="BY318" s="57"/>
      <c r="BZ318" s="58"/>
      <c r="CA318" s="58"/>
      <c r="CF318" s="39"/>
      <c r="CG318" s="39"/>
      <c r="CH318" s="39"/>
      <c r="CI318" s="39"/>
    </row>
    <row r="319" spans="42:87" x14ac:dyDescent="0.3">
      <c r="AP319" s="35"/>
      <c r="AV319" s="41"/>
      <c r="AW319" s="41"/>
      <c r="AZ319" s="43"/>
      <c r="BA319" s="44"/>
      <c r="BY319" s="57"/>
      <c r="BZ319" s="58"/>
      <c r="CA319" s="58"/>
    </row>
    <row r="320" spans="42:87" x14ac:dyDescent="0.3">
      <c r="AU320" s="41"/>
      <c r="AV320" s="41"/>
      <c r="BA320" s="60"/>
      <c r="CF320" s="39"/>
      <c r="CG320" s="39"/>
      <c r="CH320" s="39"/>
      <c r="CI320" s="39"/>
    </row>
    <row r="321" spans="42:87" x14ac:dyDescent="0.3">
      <c r="AU321" s="41"/>
      <c r="AV321" s="41"/>
      <c r="BA321" s="60"/>
      <c r="CF321" s="39"/>
      <c r="CG321" s="39"/>
      <c r="CH321" s="39"/>
      <c r="CI321" s="39"/>
    </row>
    <row r="322" spans="42:87" x14ac:dyDescent="0.3">
      <c r="AU322" s="41"/>
      <c r="AV322" s="41"/>
      <c r="AY322" s="56"/>
      <c r="BA322" s="60"/>
      <c r="CF322" s="39"/>
      <c r="CG322" s="39"/>
      <c r="CH322" s="39"/>
      <c r="CI322" s="39"/>
    </row>
    <row r="323" spans="42:87" x14ac:dyDescent="0.3">
      <c r="AU323" s="41"/>
      <c r="AV323" s="41"/>
      <c r="AY323" s="56"/>
      <c r="BA323" s="60"/>
      <c r="CF323" s="39"/>
      <c r="CG323" s="39"/>
      <c r="CH323" s="39"/>
      <c r="CI323" s="39"/>
    </row>
    <row r="324" spans="42:87" x14ac:dyDescent="0.3">
      <c r="AP324" s="35"/>
      <c r="AV324" s="41"/>
      <c r="AW324" s="41"/>
      <c r="AZ324" s="43"/>
      <c r="BA324" s="44"/>
    </row>
    <row r="325" spans="42:87" x14ac:dyDescent="0.3">
      <c r="AP325" s="35"/>
      <c r="AV325" s="41"/>
      <c r="AW325" s="41"/>
      <c r="AZ325" s="43"/>
      <c r="BA325" s="44"/>
    </row>
    <row r="326" spans="42:87" x14ac:dyDescent="0.3">
      <c r="AP326" s="35"/>
      <c r="AV326" s="41"/>
      <c r="AW326" s="41"/>
      <c r="AZ326" s="43"/>
      <c r="BA326" s="44"/>
    </row>
    <row r="327" spans="42:87" x14ac:dyDescent="0.3">
      <c r="AP327" s="35"/>
      <c r="AV327" s="41"/>
      <c r="AW327" s="41"/>
      <c r="AZ327" s="43"/>
      <c r="BA327" s="44"/>
    </row>
    <row r="337" spans="49:53" x14ac:dyDescent="0.3">
      <c r="AW337" s="1">
        <f>((EXP(AU318))-1)*100</f>
        <v>0</v>
      </c>
      <c r="AY337" s="1">
        <f>(EXP(0.1831)-1)*100</f>
        <v>20.093449552591114</v>
      </c>
    </row>
    <row r="338" spans="49:53" x14ac:dyDescent="0.3">
      <c r="AW338" s="1">
        <f>((EXP(AU318))-1)*100</f>
        <v>0</v>
      </c>
    </row>
    <row r="340" spans="49:53" x14ac:dyDescent="0.3">
      <c r="BA340" s="64"/>
    </row>
    <row r="341" spans="49:53" x14ac:dyDescent="0.3">
      <c r="BA341" s="64"/>
    </row>
    <row r="343" spans="49:53" x14ac:dyDescent="0.3">
      <c r="BA343" s="65"/>
    </row>
  </sheetData>
  <dataValidations count="5">
    <dataValidation type="whole" allowBlank="1" showInputMessage="1" showErrorMessage="1" sqref="S21:S53 U21:U53 AH21:AP53">
      <formula1>0</formula1>
      <formula2>1</formula2>
    </dataValidation>
    <dataValidation type="whole" errorStyle="warning" allowBlank="1" showInputMessage="1" showErrorMessage="1" errorTitle="Error" error="Please fill in either 1 or 0_x000a_If the Study is:_x000a_Usage - 1_x000a_Purchase - 0" promptTitle="If Study = Usage/Purchase" prompt="If the Study is:_x000a_Usage - 1_x000a_Purchase - 2" sqref="I21:I53">
      <formula1>0</formula1>
      <formula2>2</formula2>
    </dataValidation>
    <dataValidation allowBlank="1" showInputMessage="1" showErrorMessage="1" errorTitle="int" error="Choose 1 or 0" promptTitle="Intervention" prompt="Yes - 1_x000a_No - 0" sqref="AD21:AG53"/>
    <dataValidation type="whole" allowBlank="1" showInputMessage="1" showErrorMessage="1" errorTitle="int" error="Choose 1 or 0" promptTitle="Intervention" prompt="Yes - 1_x000a_No - 0" sqref="Y21:AC53">
      <formula1>0</formula1>
      <formula2>1</formula2>
    </dataValidation>
    <dataValidation errorStyle="warning" allowBlank="1" showInputMessage="1" showErrorMessage="1" sqref="BM21:BM31 BM34:BM53"/>
  </dataValidations>
  <pageMargins left="0.7" right="0.7" top="0.78740157499999996" bottom="0.78740157499999996" header="0.3" footer="0.3"/>
  <pageSetup paperSize="9" orientation="portrait"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14:formula1>
            <xm:f>'Lists for variables'!$F$2:$F$30</xm:f>
          </x14:formula1>
          <xm:sqref>M1:M20 M54:M1048576</xm:sqref>
        </x14:dataValidation>
        <x14:dataValidation type="list" allowBlank="1" showInputMessage="1" showErrorMessage="1">
          <x14:formula1>
            <xm:f>'Lists for variables'!$D$2:$D$6</xm:f>
          </x14:formula1>
          <xm:sqref>N1:N20 N54:N1048576</xm:sqref>
        </x14:dataValidation>
        <x14:dataValidation type="list" allowBlank="1" showInputMessage="1" showErrorMessage="1">
          <x14:formula1>
            <xm:f>'Lists for variables'!$H$2:$H$7</xm:f>
          </x14:formula1>
          <xm:sqref>Q1:Q20 Q54:Q1048576</xm:sqref>
        </x14:dataValidation>
        <x14:dataValidation type="list" allowBlank="1" showInputMessage="1" showErrorMessage="1">
          <x14:formula1>
            <xm:f>'Lists for variables'!$L$2:$L$10</xm:f>
          </x14:formula1>
          <xm:sqref>R1:R20 R54:R1048576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9"/>
  <sheetViews>
    <sheetView topLeftCell="E4" workbookViewId="0">
      <selection activeCell="G2" sqref="G2"/>
    </sheetView>
  </sheetViews>
  <sheetFormatPr baseColWidth="10" defaultColWidth="10.58203125" defaultRowHeight="13" x14ac:dyDescent="0.3"/>
  <cols>
    <col min="1" max="1" width="7.25" style="1" customWidth="1"/>
    <col min="2" max="2" width="5.5" style="1" customWidth="1"/>
    <col min="3" max="3" width="14.33203125" style="1" bestFit="1" customWidth="1"/>
    <col min="4" max="4" width="10.5" style="1" customWidth="1"/>
    <col min="5" max="5" width="14.83203125" style="1" bestFit="1" customWidth="1"/>
    <col min="6" max="6" width="16.33203125" style="1" bestFit="1" customWidth="1"/>
    <col min="7" max="7" width="14.08203125" style="1" bestFit="1" customWidth="1"/>
    <col min="8" max="8" width="16.58203125" style="1" bestFit="1" customWidth="1"/>
    <col min="9" max="9" width="12.83203125" style="1" bestFit="1" customWidth="1"/>
    <col min="10" max="10" width="13.5" style="1" bestFit="1" customWidth="1"/>
    <col min="11" max="11" width="3.58203125" style="1" customWidth="1"/>
    <col min="12" max="12" width="13.08203125" style="1" bestFit="1" customWidth="1"/>
    <col min="13" max="13" width="19.83203125" style="1" bestFit="1" customWidth="1"/>
    <col min="14" max="14" width="6.5" style="1" customWidth="1"/>
    <col min="15" max="15" width="8.83203125" style="1" customWidth="1"/>
    <col min="16" max="16" width="18.83203125" style="1" bestFit="1" customWidth="1"/>
    <col min="17" max="17" width="10.58203125" style="1"/>
    <col min="18" max="18" width="6.33203125" style="1" customWidth="1"/>
    <col min="19" max="19" width="7.33203125" style="1" customWidth="1"/>
    <col min="20" max="16384" width="10.58203125" style="1"/>
  </cols>
  <sheetData>
    <row r="1" spans="1:19" s="67" customFormat="1" x14ac:dyDescent="0.3">
      <c r="A1" s="67" t="s">
        <v>226</v>
      </c>
      <c r="B1" s="67" t="s">
        <v>17</v>
      </c>
      <c r="C1" s="68" t="s">
        <v>227</v>
      </c>
      <c r="D1" s="67" t="s">
        <v>11</v>
      </c>
      <c r="E1" s="68" t="s">
        <v>45</v>
      </c>
      <c r="F1" s="67" t="s">
        <v>10</v>
      </c>
      <c r="G1" s="67" t="s">
        <v>228</v>
      </c>
      <c r="H1" s="68" t="s">
        <v>14</v>
      </c>
      <c r="I1" s="67" t="s">
        <v>42</v>
      </c>
      <c r="J1" s="67" t="s">
        <v>8</v>
      </c>
      <c r="K1" s="67" t="s">
        <v>229</v>
      </c>
      <c r="L1" s="67" t="s">
        <v>15</v>
      </c>
      <c r="M1" s="67" t="s">
        <v>13</v>
      </c>
      <c r="N1" s="67" t="s">
        <v>12</v>
      </c>
      <c r="O1" s="67" t="s">
        <v>65</v>
      </c>
      <c r="P1" s="20" t="s">
        <v>40</v>
      </c>
      <c r="R1" s="67" t="s">
        <v>3</v>
      </c>
      <c r="S1" s="67" t="s">
        <v>4</v>
      </c>
    </row>
    <row r="2" spans="1:19" ht="26" x14ac:dyDescent="0.3">
      <c r="A2" s="1">
        <v>0</v>
      </c>
      <c r="B2" s="1" t="s">
        <v>17</v>
      </c>
      <c r="C2" s="1" t="s">
        <v>119</v>
      </c>
      <c r="D2" s="1" t="s">
        <v>230</v>
      </c>
      <c r="E2" s="1">
        <v>1</v>
      </c>
      <c r="F2" s="1" t="s">
        <v>92</v>
      </c>
      <c r="G2" s="2" t="s">
        <v>152</v>
      </c>
      <c r="H2" s="1" t="s">
        <v>144</v>
      </c>
      <c r="I2" s="1" t="s">
        <v>97</v>
      </c>
      <c r="J2" s="1" t="s">
        <v>231</v>
      </c>
      <c r="K2" s="1" t="s">
        <v>95</v>
      </c>
      <c r="L2" s="1" t="s">
        <v>232</v>
      </c>
      <c r="M2" s="1" t="s">
        <v>87</v>
      </c>
      <c r="N2" s="1" t="s">
        <v>106</v>
      </c>
      <c r="O2" s="1" t="s">
        <v>111</v>
      </c>
      <c r="P2" s="43" t="s">
        <v>187</v>
      </c>
      <c r="R2" s="59" t="s">
        <v>233</v>
      </c>
      <c r="S2" s="59" t="s">
        <v>234</v>
      </c>
    </row>
    <row r="3" spans="1:19" ht="26" x14ac:dyDescent="0.3">
      <c r="A3" s="1">
        <v>1</v>
      </c>
      <c r="B3" s="1" t="s">
        <v>235</v>
      </c>
      <c r="C3" s="1" t="s">
        <v>223</v>
      </c>
      <c r="D3" s="1" t="s">
        <v>102</v>
      </c>
      <c r="E3" s="1">
        <v>2</v>
      </c>
      <c r="F3" s="1" t="s">
        <v>143</v>
      </c>
      <c r="G3" s="2" t="s">
        <v>200</v>
      </c>
      <c r="H3" s="1" t="s">
        <v>135</v>
      </c>
      <c r="I3" s="1" t="s">
        <v>91</v>
      </c>
      <c r="J3" s="1" t="s">
        <v>236</v>
      </c>
      <c r="K3" s="1" t="s">
        <v>90</v>
      </c>
      <c r="L3" s="1" t="s">
        <v>237</v>
      </c>
      <c r="M3" s="1" t="s">
        <v>82</v>
      </c>
      <c r="N3" s="1" t="s">
        <v>238</v>
      </c>
      <c r="O3" s="1" t="s">
        <v>147</v>
      </c>
      <c r="P3" s="43" t="s">
        <v>96</v>
      </c>
      <c r="R3" s="50" t="s">
        <v>239</v>
      </c>
      <c r="S3" s="50" t="s">
        <v>240</v>
      </c>
    </row>
    <row r="4" spans="1:19" ht="39" x14ac:dyDescent="0.3">
      <c r="A4" s="1" t="s">
        <v>83</v>
      </c>
      <c r="B4" s="1" t="s">
        <v>110</v>
      </c>
      <c r="C4" s="1" t="s">
        <v>83</v>
      </c>
      <c r="D4" s="1" t="s">
        <v>93</v>
      </c>
      <c r="E4" s="1">
        <v>3</v>
      </c>
      <c r="F4" s="1" t="s">
        <v>241</v>
      </c>
      <c r="G4" s="2" t="s">
        <v>105</v>
      </c>
      <c r="H4" s="1" t="s">
        <v>185</v>
      </c>
      <c r="J4" s="1" t="s">
        <v>242</v>
      </c>
      <c r="L4" s="1" t="s">
        <v>145</v>
      </c>
      <c r="M4" s="1" t="s">
        <v>108</v>
      </c>
      <c r="N4" s="1" t="s">
        <v>243</v>
      </c>
      <c r="O4" s="1" t="s">
        <v>170</v>
      </c>
      <c r="P4" s="43" t="s">
        <v>244</v>
      </c>
      <c r="R4" s="61" t="s">
        <v>245</v>
      </c>
      <c r="S4" s="61" t="s">
        <v>246</v>
      </c>
    </row>
    <row r="5" spans="1:19" ht="39" x14ac:dyDescent="0.3">
      <c r="D5" s="1" t="s">
        <v>85</v>
      </c>
      <c r="F5" s="1" t="s">
        <v>84</v>
      </c>
      <c r="G5" s="66" t="s">
        <v>114</v>
      </c>
      <c r="H5" s="1" t="s">
        <v>247</v>
      </c>
      <c r="J5" s="43" t="s">
        <v>248</v>
      </c>
      <c r="L5" s="1" t="s">
        <v>249</v>
      </c>
      <c r="M5" s="1" t="s">
        <v>83</v>
      </c>
      <c r="N5" s="1" t="s">
        <v>250</v>
      </c>
      <c r="O5" s="43" t="s">
        <v>251</v>
      </c>
      <c r="P5" s="1" t="s">
        <v>83</v>
      </c>
      <c r="R5" s="50" t="s">
        <v>252</v>
      </c>
      <c r="S5" s="50" t="s">
        <v>253</v>
      </c>
    </row>
    <row r="6" spans="1:19" x14ac:dyDescent="0.3">
      <c r="D6" s="43" t="s">
        <v>254</v>
      </c>
      <c r="F6" s="1" t="s">
        <v>255</v>
      </c>
      <c r="H6" s="1" t="s">
        <v>104</v>
      </c>
      <c r="J6" s="1" t="s">
        <v>256</v>
      </c>
      <c r="L6" s="1" t="s">
        <v>257</v>
      </c>
      <c r="N6" s="1" t="s">
        <v>94</v>
      </c>
      <c r="O6" s="1" t="s">
        <v>83</v>
      </c>
      <c r="R6" s="50" t="s">
        <v>258</v>
      </c>
      <c r="S6" s="50" t="s">
        <v>259</v>
      </c>
    </row>
    <row r="7" spans="1:19" x14ac:dyDescent="0.3">
      <c r="F7" s="1" t="s">
        <v>116</v>
      </c>
      <c r="H7" s="1" t="s">
        <v>88</v>
      </c>
      <c r="J7" s="43" t="s">
        <v>260</v>
      </c>
      <c r="L7" s="1" t="s">
        <v>89</v>
      </c>
      <c r="N7" s="1" t="s">
        <v>138</v>
      </c>
      <c r="O7" s="1" t="s">
        <v>261</v>
      </c>
      <c r="R7" s="50" t="s">
        <v>262</v>
      </c>
      <c r="S7" s="50" t="s">
        <v>263</v>
      </c>
    </row>
    <row r="8" spans="1:19" x14ac:dyDescent="0.3">
      <c r="F8" s="1" t="s">
        <v>264</v>
      </c>
      <c r="J8" s="43" t="s">
        <v>265</v>
      </c>
      <c r="L8" s="1" t="s">
        <v>261</v>
      </c>
      <c r="N8" s="1" t="s">
        <v>266</v>
      </c>
      <c r="R8" s="50" t="s">
        <v>267</v>
      </c>
      <c r="S8" s="50" t="s">
        <v>268</v>
      </c>
    </row>
    <row r="9" spans="1:19" x14ac:dyDescent="0.3">
      <c r="F9" s="1" t="s">
        <v>269</v>
      </c>
      <c r="J9" s="1" t="s">
        <v>261</v>
      </c>
      <c r="L9" s="1" t="s">
        <v>270</v>
      </c>
      <c r="N9" s="1" t="s">
        <v>271</v>
      </c>
      <c r="R9" s="61" t="s">
        <v>272</v>
      </c>
      <c r="S9" s="61" t="s">
        <v>273</v>
      </c>
    </row>
    <row r="10" spans="1:19" x14ac:dyDescent="0.3">
      <c r="F10" s="1" t="s">
        <v>274</v>
      </c>
      <c r="J10" s="1" t="s">
        <v>275</v>
      </c>
      <c r="L10" s="1" t="s">
        <v>109</v>
      </c>
      <c r="N10" s="1" t="s">
        <v>163</v>
      </c>
      <c r="R10" s="61" t="s">
        <v>276</v>
      </c>
      <c r="S10" s="61" t="s">
        <v>277</v>
      </c>
    </row>
    <row r="11" spans="1:19" x14ac:dyDescent="0.3">
      <c r="F11" s="1" t="s">
        <v>278</v>
      </c>
      <c r="J11" s="1" t="s">
        <v>279</v>
      </c>
      <c r="N11" s="1" t="s">
        <v>280</v>
      </c>
      <c r="R11" s="61" t="s">
        <v>281</v>
      </c>
      <c r="S11" s="61" t="s">
        <v>282</v>
      </c>
    </row>
    <row r="12" spans="1:19" x14ac:dyDescent="0.3">
      <c r="F12" s="1" t="s">
        <v>283</v>
      </c>
      <c r="J12" s="1" t="s">
        <v>83</v>
      </c>
      <c r="N12" s="1" t="s">
        <v>284</v>
      </c>
      <c r="R12" s="61" t="s">
        <v>285</v>
      </c>
      <c r="S12" s="61" t="s">
        <v>286</v>
      </c>
    </row>
    <row r="13" spans="1:19" x14ac:dyDescent="0.3">
      <c r="F13" s="1" t="s">
        <v>287</v>
      </c>
      <c r="N13" s="1" t="s">
        <v>288</v>
      </c>
      <c r="R13" s="50" t="s">
        <v>289</v>
      </c>
      <c r="S13" s="50" t="s">
        <v>290</v>
      </c>
    </row>
    <row r="14" spans="1:19" x14ac:dyDescent="0.3">
      <c r="F14" s="43" t="s">
        <v>291</v>
      </c>
      <c r="N14" s="1" t="s">
        <v>103</v>
      </c>
      <c r="R14" s="61" t="s">
        <v>292</v>
      </c>
      <c r="S14" s="61" t="s">
        <v>293</v>
      </c>
    </row>
    <row r="15" spans="1:19" x14ac:dyDescent="0.3">
      <c r="F15" s="43" t="s">
        <v>274</v>
      </c>
      <c r="N15" s="1" t="s">
        <v>118</v>
      </c>
      <c r="R15" s="50" t="s">
        <v>294</v>
      </c>
      <c r="S15" s="50" t="s">
        <v>295</v>
      </c>
    </row>
    <row r="16" spans="1:19" x14ac:dyDescent="0.3">
      <c r="F16" s="43" t="s">
        <v>296</v>
      </c>
      <c r="N16" s="1" t="s">
        <v>113</v>
      </c>
      <c r="R16" s="50" t="s">
        <v>297</v>
      </c>
      <c r="S16" s="50" t="s">
        <v>298</v>
      </c>
    </row>
    <row r="17" spans="6:19" x14ac:dyDescent="0.3">
      <c r="F17" s="43" t="s">
        <v>101</v>
      </c>
      <c r="N17" s="1" t="s">
        <v>134</v>
      </c>
      <c r="R17" s="61" t="s">
        <v>299</v>
      </c>
      <c r="S17" s="61" t="s">
        <v>300</v>
      </c>
    </row>
    <row r="18" spans="6:19" x14ac:dyDescent="0.3">
      <c r="F18" s="43" t="s">
        <v>301</v>
      </c>
      <c r="N18" s="1" t="s">
        <v>302</v>
      </c>
      <c r="R18" s="50" t="s">
        <v>303</v>
      </c>
      <c r="S18" s="50" t="s">
        <v>304</v>
      </c>
    </row>
    <row r="19" spans="6:19" x14ac:dyDescent="0.3">
      <c r="F19" s="43" t="s">
        <v>305</v>
      </c>
      <c r="N19" s="1" t="s">
        <v>306</v>
      </c>
      <c r="R19" s="61" t="s">
        <v>307</v>
      </c>
      <c r="S19" s="1" t="s">
        <v>308</v>
      </c>
    </row>
    <row r="20" spans="6:19" x14ac:dyDescent="0.3">
      <c r="F20" s="43" t="s">
        <v>112</v>
      </c>
      <c r="N20" s="1" t="s">
        <v>198</v>
      </c>
      <c r="R20" s="50" t="s">
        <v>309</v>
      </c>
      <c r="S20" s="50" t="s">
        <v>310</v>
      </c>
    </row>
    <row r="21" spans="6:19" x14ac:dyDescent="0.3">
      <c r="F21" s="43" t="s">
        <v>311</v>
      </c>
      <c r="N21" s="1" t="s">
        <v>312</v>
      </c>
      <c r="R21" s="61" t="s">
        <v>313</v>
      </c>
      <c r="S21" s="61" t="s">
        <v>314</v>
      </c>
    </row>
    <row r="22" spans="6:19" x14ac:dyDescent="0.3">
      <c r="F22" s="43" t="s">
        <v>162</v>
      </c>
      <c r="N22" s="1" t="s">
        <v>139</v>
      </c>
      <c r="R22" s="50" t="s">
        <v>313</v>
      </c>
      <c r="S22" s="50" t="s">
        <v>315</v>
      </c>
    </row>
    <row r="23" spans="6:19" x14ac:dyDescent="0.3">
      <c r="F23" s="43" t="s">
        <v>81</v>
      </c>
      <c r="N23" s="1" t="s">
        <v>316</v>
      </c>
      <c r="R23" s="61" t="s">
        <v>317</v>
      </c>
      <c r="S23" s="61" t="s">
        <v>318</v>
      </c>
    </row>
    <row r="24" spans="6:19" x14ac:dyDescent="0.3">
      <c r="F24" s="43" t="s">
        <v>319</v>
      </c>
      <c r="N24" s="1" t="s">
        <v>320</v>
      </c>
      <c r="R24" s="61" t="s">
        <v>321</v>
      </c>
      <c r="S24" s="61" t="s">
        <v>322</v>
      </c>
    </row>
    <row r="25" spans="6:19" x14ac:dyDescent="0.3">
      <c r="F25" s="43" t="s">
        <v>323</v>
      </c>
      <c r="N25" s="1" t="s">
        <v>324</v>
      </c>
      <c r="R25" s="61" t="s">
        <v>325</v>
      </c>
      <c r="S25" s="61" t="s">
        <v>326</v>
      </c>
    </row>
    <row r="26" spans="6:19" x14ac:dyDescent="0.3">
      <c r="F26" s="43" t="s">
        <v>327</v>
      </c>
      <c r="N26" s="1" t="s">
        <v>328</v>
      </c>
      <c r="R26" s="61" t="s">
        <v>329</v>
      </c>
      <c r="S26" s="61" t="s">
        <v>330</v>
      </c>
    </row>
    <row r="27" spans="6:19" x14ac:dyDescent="0.3">
      <c r="F27" s="43" t="s">
        <v>331</v>
      </c>
      <c r="N27" s="1" t="s">
        <v>332</v>
      </c>
      <c r="R27" s="61" t="s">
        <v>333</v>
      </c>
      <c r="S27" s="61" t="s">
        <v>334</v>
      </c>
    </row>
    <row r="28" spans="6:19" x14ac:dyDescent="0.3">
      <c r="F28" s="43" t="s">
        <v>335</v>
      </c>
      <c r="N28" s="1" t="s">
        <v>336</v>
      </c>
      <c r="R28" s="61" t="s">
        <v>337</v>
      </c>
      <c r="S28" s="61" t="s">
        <v>338</v>
      </c>
    </row>
    <row r="29" spans="6:19" x14ac:dyDescent="0.3">
      <c r="F29" s="43" t="s">
        <v>339</v>
      </c>
      <c r="N29" s="1" t="s">
        <v>340</v>
      </c>
      <c r="R29" s="61" t="s">
        <v>341</v>
      </c>
      <c r="S29" s="61" t="s">
        <v>342</v>
      </c>
    </row>
    <row r="30" spans="6:19" x14ac:dyDescent="0.3">
      <c r="F30" s="43" t="s">
        <v>343</v>
      </c>
      <c r="N30" s="1" t="s">
        <v>344</v>
      </c>
      <c r="R30" s="61" t="s">
        <v>345</v>
      </c>
      <c r="S30" s="61" t="s">
        <v>346</v>
      </c>
    </row>
    <row r="31" spans="6:19" x14ac:dyDescent="0.3">
      <c r="N31" s="1" t="s">
        <v>347</v>
      </c>
      <c r="R31" s="61" t="s">
        <v>348</v>
      </c>
      <c r="S31" s="61" t="s">
        <v>349</v>
      </c>
    </row>
    <row r="32" spans="6:19" x14ac:dyDescent="0.3">
      <c r="N32" s="1" t="s">
        <v>350</v>
      </c>
      <c r="R32" s="61" t="s">
        <v>351</v>
      </c>
      <c r="S32" s="61" t="s">
        <v>352</v>
      </c>
    </row>
    <row r="33" spans="14:19" x14ac:dyDescent="0.3">
      <c r="N33" s="1" t="s">
        <v>86</v>
      </c>
      <c r="R33" s="61" t="s">
        <v>353</v>
      </c>
      <c r="S33" s="61" t="s">
        <v>354</v>
      </c>
    </row>
    <row r="34" spans="14:19" x14ac:dyDescent="0.3">
      <c r="R34" s="61" t="s">
        <v>355</v>
      </c>
      <c r="S34" s="61" t="s">
        <v>356</v>
      </c>
    </row>
    <row r="35" spans="14:19" x14ac:dyDescent="0.3">
      <c r="R35" s="61" t="s">
        <v>357</v>
      </c>
      <c r="S35" s="61" t="s">
        <v>358</v>
      </c>
    </row>
    <row r="36" spans="14:19" x14ac:dyDescent="0.3">
      <c r="R36" s="61" t="s">
        <v>359</v>
      </c>
      <c r="S36" s="61" t="s">
        <v>360</v>
      </c>
    </row>
    <row r="37" spans="14:19" x14ac:dyDescent="0.3">
      <c r="R37" s="50" t="s">
        <v>361</v>
      </c>
      <c r="S37" s="50" t="s">
        <v>362</v>
      </c>
    </row>
    <row r="38" spans="14:19" x14ac:dyDescent="0.3">
      <c r="R38" s="50" t="s">
        <v>363</v>
      </c>
      <c r="S38" s="50" t="s">
        <v>364</v>
      </c>
    </row>
    <row r="39" spans="14:19" x14ac:dyDescent="0.3">
      <c r="R39" s="50" t="s">
        <v>363</v>
      </c>
      <c r="S39" s="50" t="s">
        <v>365</v>
      </c>
    </row>
    <row r="40" spans="14:19" x14ac:dyDescent="0.3">
      <c r="R40" s="61" t="s">
        <v>366</v>
      </c>
      <c r="S40" s="61" t="s">
        <v>367</v>
      </c>
    </row>
    <row r="41" spans="14:19" x14ac:dyDescent="0.3">
      <c r="R41" s="61" t="s">
        <v>368</v>
      </c>
      <c r="S41" s="61" t="s">
        <v>369</v>
      </c>
    </row>
    <row r="42" spans="14:19" x14ac:dyDescent="0.3">
      <c r="R42" s="50" t="s">
        <v>370</v>
      </c>
      <c r="S42" s="50" t="s">
        <v>371</v>
      </c>
    </row>
    <row r="43" spans="14:19" x14ac:dyDescent="0.3">
      <c r="R43" s="50" t="s">
        <v>370</v>
      </c>
      <c r="S43" s="50" t="s">
        <v>372</v>
      </c>
    </row>
    <row r="44" spans="14:19" x14ac:dyDescent="0.3">
      <c r="R44" s="61" t="s">
        <v>373</v>
      </c>
      <c r="S44" s="56" t="s">
        <v>374</v>
      </c>
    </row>
    <row r="45" spans="14:19" x14ac:dyDescent="0.3">
      <c r="R45" s="50" t="s">
        <v>375</v>
      </c>
      <c r="S45" s="50" t="s">
        <v>376</v>
      </c>
    </row>
    <row r="46" spans="14:19" x14ac:dyDescent="0.3">
      <c r="R46" s="61" t="s">
        <v>377</v>
      </c>
      <c r="S46" s="61" t="s">
        <v>378</v>
      </c>
    </row>
    <row r="47" spans="14:19" x14ac:dyDescent="0.3">
      <c r="R47" s="50" t="s">
        <v>379</v>
      </c>
      <c r="S47" s="50" t="s">
        <v>380</v>
      </c>
    </row>
    <row r="48" spans="14:19" x14ac:dyDescent="0.3">
      <c r="R48" s="61" t="s">
        <v>381</v>
      </c>
      <c r="S48" s="61" t="s">
        <v>382</v>
      </c>
    </row>
    <row r="49" spans="18:19" x14ac:dyDescent="0.3">
      <c r="R49" s="61" t="s">
        <v>383</v>
      </c>
      <c r="S49" s="61" t="s">
        <v>384</v>
      </c>
    </row>
    <row r="50" spans="18:19" x14ac:dyDescent="0.3">
      <c r="R50" s="61" t="s">
        <v>385</v>
      </c>
      <c r="S50" s="61" t="s">
        <v>386</v>
      </c>
    </row>
    <row r="51" spans="18:19" x14ac:dyDescent="0.3">
      <c r="R51" s="61" t="s">
        <v>387</v>
      </c>
      <c r="S51" s="61" t="s">
        <v>388</v>
      </c>
    </row>
    <row r="52" spans="18:19" x14ac:dyDescent="0.3">
      <c r="R52" s="61" t="s">
        <v>389</v>
      </c>
      <c r="S52" s="61" t="s">
        <v>390</v>
      </c>
    </row>
    <row r="53" spans="18:19" x14ac:dyDescent="0.3">
      <c r="R53" s="61" t="s">
        <v>391</v>
      </c>
      <c r="S53" s="56" t="s">
        <v>392</v>
      </c>
    </row>
    <row r="54" spans="18:19" x14ac:dyDescent="0.3">
      <c r="R54" s="61" t="s">
        <v>393</v>
      </c>
      <c r="S54" s="61" t="s">
        <v>394</v>
      </c>
    </row>
    <row r="55" spans="18:19" x14ac:dyDescent="0.3">
      <c r="R55" s="61" t="s">
        <v>395</v>
      </c>
      <c r="S55" s="61" t="s">
        <v>396</v>
      </c>
    </row>
    <row r="56" spans="18:19" x14ac:dyDescent="0.3">
      <c r="R56" s="61" t="s">
        <v>397</v>
      </c>
      <c r="S56" s="61" t="s">
        <v>398</v>
      </c>
    </row>
    <row r="57" spans="18:19" x14ac:dyDescent="0.3">
      <c r="R57" s="61" t="s">
        <v>399</v>
      </c>
      <c r="S57" s="61" t="s">
        <v>400</v>
      </c>
    </row>
    <row r="58" spans="18:19" x14ac:dyDescent="0.3">
      <c r="R58" s="61" t="s">
        <v>401</v>
      </c>
      <c r="S58" s="61" t="s">
        <v>402</v>
      </c>
    </row>
    <row r="59" spans="18:19" x14ac:dyDescent="0.3">
      <c r="R59" s="61" t="s">
        <v>403</v>
      </c>
      <c r="S59" s="61" t="s">
        <v>404</v>
      </c>
    </row>
    <row r="60" spans="18:19" x14ac:dyDescent="0.3">
      <c r="R60" s="61" t="s">
        <v>405</v>
      </c>
      <c r="S60" s="61" t="s">
        <v>406</v>
      </c>
    </row>
    <row r="61" spans="18:19" x14ac:dyDescent="0.3">
      <c r="R61" s="61" t="s">
        <v>407</v>
      </c>
      <c r="S61" s="61" t="s">
        <v>408</v>
      </c>
    </row>
    <row r="62" spans="18:19" x14ac:dyDescent="0.3">
      <c r="R62" s="61" t="s">
        <v>409</v>
      </c>
      <c r="S62" s="61" t="s">
        <v>410</v>
      </c>
    </row>
    <row r="63" spans="18:19" x14ac:dyDescent="0.3">
      <c r="R63" s="61" t="s">
        <v>411</v>
      </c>
      <c r="S63" s="61" t="s">
        <v>412</v>
      </c>
    </row>
    <row r="64" spans="18:19" x14ac:dyDescent="0.3">
      <c r="R64" s="61" t="s">
        <v>413</v>
      </c>
      <c r="S64" s="61" t="s">
        <v>414</v>
      </c>
    </row>
    <row r="65" spans="18:19" x14ac:dyDescent="0.3">
      <c r="R65" s="61" t="s">
        <v>415</v>
      </c>
      <c r="S65" s="61" t="s">
        <v>416</v>
      </c>
    </row>
    <row r="66" spans="18:19" x14ac:dyDescent="0.3">
      <c r="R66" s="61" t="s">
        <v>417</v>
      </c>
      <c r="S66" s="61" t="s">
        <v>418</v>
      </c>
    </row>
    <row r="67" spans="18:19" x14ac:dyDescent="0.3">
      <c r="R67" s="61" t="s">
        <v>419</v>
      </c>
      <c r="S67" s="61" t="s">
        <v>420</v>
      </c>
    </row>
    <row r="68" spans="18:19" x14ac:dyDescent="0.3">
      <c r="R68" s="61" t="s">
        <v>421</v>
      </c>
      <c r="S68" s="61" t="s">
        <v>422</v>
      </c>
    </row>
    <row r="69" spans="18:19" x14ac:dyDescent="0.3">
      <c r="R69" s="61" t="s">
        <v>423</v>
      </c>
      <c r="S69" s="61" t="s">
        <v>424</v>
      </c>
    </row>
    <row r="70" spans="18:19" x14ac:dyDescent="0.3">
      <c r="R70" s="61" t="s">
        <v>425</v>
      </c>
      <c r="S70" s="61" t="s">
        <v>426</v>
      </c>
    </row>
    <row r="71" spans="18:19" x14ac:dyDescent="0.3">
      <c r="R71" s="61" t="s">
        <v>427</v>
      </c>
      <c r="S71" s="61" t="s">
        <v>428</v>
      </c>
    </row>
    <row r="72" spans="18:19" x14ac:dyDescent="0.3">
      <c r="R72" s="61" t="s">
        <v>429</v>
      </c>
      <c r="S72" s="1" t="s">
        <v>430</v>
      </c>
    </row>
    <row r="73" spans="18:19" x14ac:dyDescent="0.3">
      <c r="R73" s="50" t="s">
        <v>429</v>
      </c>
      <c r="S73" s="50" t="s">
        <v>431</v>
      </c>
    </row>
    <row r="74" spans="18:19" x14ac:dyDescent="0.3">
      <c r="R74" s="61" t="s">
        <v>432</v>
      </c>
      <c r="S74" s="61" t="s">
        <v>433</v>
      </c>
    </row>
    <row r="75" spans="18:19" x14ac:dyDescent="0.3">
      <c r="R75" s="50" t="s">
        <v>434</v>
      </c>
      <c r="S75" s="50" t="s">
        <v>435</v>
      </c>
    </row>
    <row r="76" spans="18:19" x14ac:dyDescent="0.3">
      <c r="R76" s="61" t="s">
        <v>436</v>
      </c>
      <c r="S76" s="61" t="s">
        <v>437</v>
      </c>
    </row>
    <row r="77" spans="18:19" x14ac:dyDescent="0.3">
      <c r="R77" s="61" t="s">
        <v>438</v>
      </c>
      <c r="S77" s="61" t="s">
        <v>439</v>
      </c>
    </row>
    <row r="78" spans="18:19" x14ac:dyDescent="0.3">
      <c r="R78" s="50" t="s">
        <v>440</v>
      </c>
      <c r="S78" s="50" t="s">
        <v>441</v>
      </c>
    </row>
    <row r="79" spans="18:19" x14ac:dyDescent="0.3">
      <c r="R79" s="50" t="s">
        <v>442</v>
      </c>
      <c r="S79" s="50" t="s">
        <v>443</v>
      </c>
    </row>
    <row r="80" spans="18:19" x14ac:dyDescent="0.3">
      <c r="R80" s="61" t="s">
        <v>444</v>
      </c>
      <c r="S80" s="61" t="s">
        <v>445</v>
      </c>
    </row>
    <row r="81" spans="18:19" x14ac:dyDescent="0.3">
      <c r="R81" s="61" t="s">
        <v>446</v>
      </c>
      <c r="S81" s="61" t="s">
        <v>447</v>
      </c>
    </row>
    <row r="82" spans="18:19" x14ac:dyDescent="0.3">
      <c r="R82" s="61" t="s">
        <v>448</v>
      </c>
      <c r="S82" s="61" t="s">
        <v>449</v>
      </c>
    </row>
    <row r="83" spans="18:19" x14ac:dyDescent="0.3">
      <c r="R83" s="50" t="s">
        <v>450</v>
      </c>
      <c r="S83" s="50" t="s">
        <v>451</v>
      </c>
    </row>
    <row r="84" spans="18:19" x14ac:dyDescent="0.3">
      <c r="R84" s="50" t="s">
        <v>450</v>
      </c>
      <c r="S84" s="50" t="s">
        <v>452</v>
      </c>
    </row>
    <row r="85" spans="18:19" x14ac:dyDescent="0.3">
      <c r="R85" s="61" t="s">
        <v>453</v>
      </c>
      <c r="S85" s="61" t="s">
        <v>454</v>
      </c>
    </row>
    <row r="86" spans="18:19" x14ac:dyDescent="0.3">
      <c r="R86" s="61" t="s">
        <v>455</v>
      </c>
      <c r="S86" s="61" t="s">
        <v>456</v>
      </c>
    </row>
    <row r="87" spans="18:19" x14ac:dyDescent="0.3">
      <c r="R87" s="61" t="s">
        <v>457</v>
      </c>
      <c r="S87" s="61" t="s">
        <v>458</v>
      </c>
    </row>
    <row r="88" spans="18:19" x14ac:dyDescent="0.3">
      <c r="R88" s="61" t="s">
        <v>459</v>
      </c>
      <c r="S88" s="61" t="s">
        <v>460</v>
      </c>
    </row>
    <row r="89" spans="18:19" x14ac:dyDescent="0.3">
      <c r="R89" s="61" t="s">
        <v>461</v>
      </c>
      <c r="S89" s="61" t="s">
        <v>462</v>
      </c>
    </row>
    <row r="90" spans="18:19" x14ac:dyDescent="0.3">
      <c r="R90" s="61" t="s">
        <v>463</v>
      </c>
      <c r="S90" s="61" t="s">
        <v>464</v>
      </c>
    </row>
    <row r="91" spans="18:19" x14ac:dyDescent="0.3">
      <c r="R91" s="61" t="s">
        <v>465</v>
      </c>
      <c r="S91" s="61" t="s">
        <v>466</v>
      </c>
    </row>
    <row r="92" spans="18:19" x14ac:dyDescent="0.3">
      <c r="R92" s="61" t="s">
        <v>467</v>
      </c>
      <c r="S92" s="61" t="s">
        <v>468</v>
      </c>
    </row>
    <row r="93" spans="18:19" x14ac:dyDescent="0.3">
      <c r="R93" s="61" t="s">
        <v>469</v>
      </c>
      <c r="S93" s="1" t="s">
        <v>470</v>
      </c>
    </row>
    <row r="94" spans="18:19" x14ac:dyDescent="0.3">
      <c r="R94" s="61" t="s">
        <v>471</v>
      </c>
      <c r="S94" s="61" t="s">
        <v>472</v>
      </c>
    </row>
    <row r="95" spans="18:19" x14ac:dyDescent="0.3">
      <c r="R95" s="61" t="s">
        <v>473</v>
      </c>
      <c r="S95" s="61" t="s">
        <v>474</v>
      </c>
    </row>
    <row r="96" spans="18:19" x14ac:dyDescent="0.3">
      <c r="R96" s="61" t="s">
        <v>475</v>
      </c>
      <c r="S96" s="1" t="s">
        <v>476</v>
      </c>
    </row>
    <row r="97" spans="18:19" x14ac:dyDescent="0.3">
      <c r="R97" s="61" t="s">
        <v>477</v>
      </c>
      <c r="S97" s="35" t="s">
        <v>452</v>
      </c>
    </row>
    <row r="98" spans="18:19" x14ac:dyDescent="0.3">
      <c r="R98" s="35" t="s">
        <v>478</v>
      </c>
      <c r="S98" s="35" t="s">
        <v>479</v>
      </c>
    </row>
    <row r="99" spans="18:19" x14ac:dyDescent="0.3">
      <c r="R99" s="61" t="s">
        <v>480</v>
      </c>
      <c r="S99" s="1" t="s">
        <v>481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Appliances</vt:lpstr>
      <vt:lpstr>Lists for variables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Danilenko</dc:creator>
  <cp:keywords/>
  <dc:description/>
  <cp:lastModifiedBy>Diana Danilenko</cp:lastModifiedBy>
  <cp:revision/>
  <dcterms:created xsi:type="dcterms:W3CDTF">2025-10-20T08:59:05Z</dcterms:created>
  <dcterms:modified xsi:type="dcterms:W3CDTF">2025-11-10T15:45:29Z</dcterms:modified>
  <cp:category/>
  <cp:contentStatus/>
</cp:coreProperties>
</file>