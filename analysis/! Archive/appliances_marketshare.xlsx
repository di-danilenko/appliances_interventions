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9"/>
  <workbookPr defaultThemeVersion="166925"/>
  <mc:AlternateContent xmlns:mc="http://schemas.openxmlformats.org/markup-compatibility/2006">
    <mc:Choice Requires="x15">
      <x15ac:absPath xmlns:x15ac="http://schemas.microsoft.com/office/spreadsheetml/2010/11/ac" url="/Users/dianadanilenko/Desktop/appliances_interventions/"/>
    </mc:Choice>
  </mc:AlternateContent>
  <xr:revisionPtr revIDLastSave="0" documentId="13_ncr:1_{280565B6-046C-6C4D-81E0-C681B2293FBE}" xr6:coauthVersionLast="47" xr6:coauthVersionMax="47" xr10:uidLastSave="{00000000-0000-0000-0000-000000000000}"/>
  <bookViews>
    <workbookView xWindow="-5280" yWindow="-21100" windowWidth="28300" windowHeight="21100" activeTab="1" xr2:uid="{00000000-000D-0000-FFFF-FFFF00000000}"/>
  </bookViews>
  <sheets>
    <sheet name="Usage" sheetId="5" state="hidden" r:id="rId1"/>
    <sheet name="Appliances" sheetId="4" r:id="rId2"/>
    <sheet name="Summary" sheetId="7" r:id="rId3"/>
    <sheet name="Lists for variables" sheetId="3" r:id="rId4"/>
  </sheets>
  <definedNames>
    <definedName name="_xlnm._FilterDatabase" localSheetId="1" hidden="1">Appliances!$AR$1:$AR$47</definedName>
    <definedName name="_xlnm._FilterDatabase" localSheetId="0" hidden="1">Usage!$A$1:$BN$53</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7" i="4" l="1"/>
  <c r="BA6" i="4"/>
  <c r="BA5" i="4"/>
  <c r="BA25" i="4" l="1"/>
  <c r="CH41" i="4" l="1"/>
  <c r="CA41" i="4"/>
  <c r="BA41" i="4"/>
  <c r="AZ41" i="4"/>
  <c r="CE41" i="4" s="1"/>
  <c r="CF41" i="4" s="1"/>
  <c r="CG41" i="4" s="1"/>
  <c r="CH40" i="4"/>
  <c r="CA40" i="4"/>
  <c r="BA40" i="4"/>
  <c r="AZ40" i="4"/>
  <c r="BX40" i="4" s="1"/>
  <c r="BY40" i="4" s="1"/>
  <c r="BZ40" i="4" s="1"/>
  <c r="CH39" i="4"/>
  <c r="CA39" i="4"/>
  <c r="BA39" i="4"/>
  <c r="AZ39" i="4"/>
  <c r="CE39" i="4" s="1"/>
  <c r="CF39" i="4" s="1"/>
  <c r="CG39" i="4" s="1"/>
  <c r="BA38" i="4"/>
  <c r="BA2" i="4"/>
  <c r="BA3" i="4"/>
  <c r="BA4" i="4"/>
  <c r="BA8" i="4"/>
  <c r="BA9" i="4"/>
  <c r="BA10" i="4"/>
  <c r="BA11" i="4"/>
  <c r="BA12" i="4"/>
  <c r="BA13" i="4"/>
  <c r="BA14" i="4"/>
  <c r="BA15" i="4"/>
  <c r="BA16" i="4"/>
  <c r="BA17" i="4"/>
  <c r="BA18" i="4"/>
  <c r="BA19" i="4"/>
  <c r="BA20" i="4"/>
  <c r="BA21" i="4"/>
  <c r="BA22" i="4"/>
  <c r="BA23" i="4"/>
  <c r="BA24" i="4"/>
  <c r="BA26" i="4"/>
  <c r="BA27" i="4"/>
  <c r="BA28" i="4"/>
  <c r="CH3" i="4"/>
  <c r="CH4" i="4"/>
  <c r="CH5" i="4"/>
  <c r="CH6" i="4"/>
  <c r="CH7" i="4"/>
  <c r="CH8" i="4"/>
  <c r="CH9" i="4"/>
  <c r="CH10" i="4"/>
  <c r="CH11" i="4"/>
  <c r="CH12" i="4"/>
  <c r="CH13" i="4"/>
  <c r="CH14" i="4"/>
  <c r="CH15" i="4"/>
  <c r="CH16" i="4"/>
  <c r="CH38" i="4"/>
  <c r="CH29" i="4"/>
  <c r="CH30" i="4"/>
  <c r="CH31" i="4"/>
  <c r="CH32" i="4"/>
  <c r="CH33" i="4"/>
  <c r="CH34" i="4"/>
  <c r="CH35" i="4"/>
  <c r="CH36" i="4"/>
  <c r="CH37" i="4"/>
  <c r="CH2" i="4"/>
  <c r="CA3" i="4"/>
  <c r="CA4" i="4"/>
  <c r="CA2" i="4"/>
  <c r="AZ38" i="4"/>
  <c r="BX38" i="4" s="1"/>
  <c r="BY38" i="4" s="1"/>
  <c r="BZ38" i="4" s="1"/>
  <c r="CA26" i="4"/>
  <c r="CA27" i="4"/>
  <c r="CA28" i="4"/>
  <c r="CA25" i="4"/>
  <c r="CA17" i="4"/>
  <c r="CA18" i="4"/>
  <c r="CA19" i="4"/>
  <c r="CA20" i="4"/>
  <c r="CA21" i="4"/>
  <c r="CA22" i="4"/>
  <c r="CA23" i="4"/>
  <c r="CA24" i="4"/>
  <c r="CA9" i="4"/>
  <c r="CA10" i="4"/>
  <c r="CA11" i="4"/>
  <c r="CA12" i="4"/>
  <c r="CA13" i="4"/>
  <c r="CA14" i="4"/>
  <c r="CA15" i="4"/>
  <c r="CA16" i="4"/>
  <c r="CA29" i="4"/>
  <c r="CA30" i="4"/>
  <c r="CA31" i="4"/>
  <c r="CA32" i="4"/>
  <c r="CA33" i="4"/>
  <c r="CA34" i="4"/>
  <c r="CA35" i="4"/>
  <c r="CA36" i="4"/>
  <c r="CA37" i="4"/>
  <c r="CA8" i="4"/>
  <c r="CA5" i="4"/>
  <c r="CA6" i="4"/>
  <c r="CA7" i="4"/>
  <c r="CA38" i="4"/>
  <c r="BX39" i="4" l="1"/>
  <c r="BY39" i="4" s="1"/>
  <c r="BZ39" i="4" s="1"/>
  <c r="BX41" i="4"/>
  <c r="BY41" i="4" s="1"/>
  <c r="BZ41" i="4" s="1"/>
  <c r="CE40" i="4"/>
  <c r="CF40" i="4" s="1"/>
  <c r="CG40" i="4" s="1"/>
  <c r="CE38" i="4"/>
  <c r="CF38" i="4" s="1"/>
  <c r="CG38" i="4" s="1"/>
  <c r="BA30" i="4"/>
  <c r="BA31" i="4"/>
  <c r="BA32" i="4"/>
  <c r="BA33" i="4"/>
  <c r="BA34" i="4"/>
  <c r="BA35" i="4"/>
  <c r="BA36" i="4"/>
  <c r="BA37" i="4"/>
  <c r="BA29" i="4"/>
  <c r="AZ30" i="4"/>
  <c r="AZ31" i="4"/>
  <c r="AZ32" i="4"/>
  <c r="AZ33" i="4"/>
  <c r="AZ34" i="4"/>
  <c r="AZ35" i="4"/>
  <c r="AZ36" i="4"/>
  <c r="AZ37" i="4"/>
  <c r="AZ29" i="4"/>
  <c r="BX35" i="4" l="1"/>
  <c r="BY35" i="4" s="1"/>
  <c r="BZ35" i="4" s="1"/>
  <c r="CE35" i="4"/>
  <c r="CF35" i="4" s="1"/>
  <c r="CG35" i="4" s="1"/>
  <c r="BX31" i="4"/>
  <c r="BY31" i="4" s="1"/>
  <c r="BZ31" i="4" s="1"/>
  <c r="CE31" i="4"/>
  <c r="CF31" i="4" s="1"/>
  <c r="CG31" i="4" s="1"/>
  <c r="BX29" i="4"/>
  <c r="BY29" i="4" s="1"/>
  <c r="BZ29" i="4" s="1"/>
  <c r="CE29" i="4"/>
  <c r="CF29" i="4" s="1"/>
  <c r="CG29" i="4" s="1"/>
  <c r="BX34" i="4"/>
  <c r="BY34" i="4" s="1"/>
  <c r="BZ34" i="4" s="1"/>
  <c r="CE34" i="4"/>
  <c r="CF34" i="4" s="1"/>
  <c r="CG34" i="4" s="1"/>
  <c r="BX30" i="4"/>
  <c r="BY30" i="4" s="1"/>
  <c r="BZ30" i="4" s="1"/>
  <c r="CE30" i="4"/>
  <c r="CF30" i="4" s="1"/>
  <c r="CG30" i="4" s="1"/>
  <c r="BX37" i="4"/>
  <c r="BY37" i="4" s="1"/>
  <c r="BZ37" i="4" s="1"/>
  <c r="CE37" i="4"/>
  <c r="CF37" i="4" s="1"/>
  <c r="CG37" i="4" s="1"/>
  <c r="BX33" i="4"/>
  <c r="BY33" i="4" s="1"/>
  <c r="BZ33" i="4" s="1"/>
  <c r="CE33" i="4"/>
  <c r="CF33" i="4" s="1"/>
  <c r="CG33" i="4" s="1"/>
  <c r="BX36" i="4"/>
  <c r="BY36" i="4" s="1"/>
  <c r="BZ36" i="4" s="1"/>
  <c r="CE36" i="4"/>
  <c r="CF36" i="4" s="1"/>
  <c r="CG36" i="4" s="1"/>
  <c r="BX32" i="4"/>
  <c r="BY32" i="4" s="1"/>
  <c r="BZ32" i="4" s="1"/>
  <c r="CE32" i="4"/>
  <c r="CF32" i="4" s="1"/>
  <c r="CG32" i="4" s="1"/>
  <c r="AZ18" i="4"/>
  <c r="BJ28" i="4"/>
  <c r="CH28" i="4" s="1"/>
  <c r="AZ28" i="4"/>
  <c r="BJ27" i="4"/>
  <c r="CH27" i="4" s="1"/>
  <c r="AZ27" i="4"/>
  <c r="BJ26" i="4"/>
  <c r="CH26" i="4" s="1"/>
  <c r="AZ26" i="4"/>
  <c r="BJ25" i="4"/>
  <c r="CH25" i="4" s="1"/>
  <c r="AZ25" i="4"/>
  <c r="BJ24" i="4"/>
  <c r="CH24" i="4" s="1"/>
  <c r="AZ24" i="4"/>
  <c r="BJ23" i="4"/>
  <c r="CH23" i="4" s="1"/>
  <c r="AZ23" i="4"/>
  <c r="BJ22" i="4"/>
  <c r="CH22" i="4" s="1"/>
  <c r="AZ22" i="4"/>
  <c r="BJ21" i="4"/>
  <c r="CH21" i="4" s="1"/>
  <c r="AZ21" i="4"/>
  <c r="BJ20" i="4"/>
  <c r="CH20" i="4" s="1"/>
  <c r="AZ20" i="4"/>
  <c r="BJ19" i="4"/>
  <c r="CH19" i="4" s="1"/>
  <c r="AZ19" i="4"/>
  <c r="BJ18" i="4"/>
  <c r="CH18" i="4" s="1"/>
  <c r="BJ17" i="4"/>
  <c r="CH17" i="4" s="1"/>
  <c r="AZ17" i="4"/>
  <c r="BX19" i="4" l="1"/>
  <c r="BY19" i="4" s="1"/>
  <c r="BZ19" i="4" s="1"/>
  <c r="CE19" i="4"/>
  <c r="CF19" i="4" s="1"/>
  <c r="CG19" i="4" s="1"/>
  <c r="BX21" i="4"/>
  <c r="BY21" i="4" s="1"/>
  <c r="BZ21" i="4" s="1"/>
  <c r="CE21" i="4"/>
  <c r="CF21" i="4" s="1"/>
  <c r="CG21" i="4" s="1"/>
  <c r="BX23" i="4"/>
  <c r="BY23" i="4" s="1"/>
  <c r="BZ23" i="4" s="1"/>
  <c r="CE23" i="4"/>
  <c r="CF23" i="4" s="1"/>
  <c r="CG23" i="4" s="1"/>
  <c r="BX25" i="4"/>
  <c r="BY25" i="4" s="1"/>
  <c r="BZ25" i="4" s="1"/>
  <c r="CE25" i="4"/>
  <c r="CF25" i="4" s="1"/>
  <c r="CG25" i="4" s="1"/>
  <c r="BX27" i="4"/>
  <c r="BY27" i="4" s="1"/>
  <c r="BZ27" i="4" s="1"/>
  <c r="CE27" i="4"/>
  <c r="CF27" i="4" s="1"/>
  <c r="CG27" i="4" s="1"/>
  <c r="BX18" i="4"/>
  <c r="BY18" i="4" s="1"/>
  <c r="BZ18" i="4" s="1"/>
  <c r="CE18" i="4"/>
  <c r="CF18" i="4" s="1"/>
  <c r="CG18" i="4" s="1"/>
  <c r="BX17" i="4"/>
  <c r="BY17" i="4" s="1"/>
  <c r="BZ17" i="4" s="1"/>
  <c r="CE17" i="4"/>
  <c r="CF17" i="4" s="1"/>
  <c r="CG17" i="4" s="1"/>
  <c r="BX20" i="4"/>
  <c r="BY20" i="4" s="1"/>
  <c r="BZ20" i="4" s="1"/>
  <c r="CE20" i="4"/>
  <c r="CF20" i="4" s="1"/>
  <c r="CG20" i="4" s="1"/>
  <c r="BX22" i="4"/>
  <c r="BY22" i="4" s="1"/>
  <c r="BZ22" i="4" s="1"/>
  <c r="CE22" i="4"/>
  <c r="CF22" i="4" s="1"/>
  <c r="CG22" i="4" s="1"/>
  <c r="BX24" i="4"/>
  <c r="BY24" i="4" s="1"/>
  <c r="BZ24" i="4" s="1"/>
  <c r="CE24" i="4"/>
  <c r="CF24" i="4" s="1"/>
  <c r="CG24" i="4" s="1"/>
  <c r="BX26" i="4"/>
  <c r="BY26" i="4" s="1"/>
  <c r="BZ26" i="4" s="1"/>
  <c r="CE26" i="4"/>
  <c r="CF26" i="4" s="1"/>
  <c r="CG26" i="4" s="1"/>
  <c r="BX28" i="4"/>
  <c r="BY28" i="4" s="1"/>
  <c r="BZ28" i="4" s="1"/>
  <c r="CE28" i="4"/>
  <c r="CF28" i="4" s="1"/>
  <c r="CG28" i="4" s="1"/>
  <c r="AZ16" i="4"/>
  <c r="AZ15" i="4"/>
  <c r="AZ14" i="4"/>
  <c r="AZ13" i="4"/>
  <c r="AZ12" i="4"/>
  <c r="AZ11" i="4"/>
  <c r="AZ10" i="4"/>
  <c r="AZ9" i="4"/>
  <c r="AZ8" i="4"/>
  <c r="BX9" i="4" l="1"/>
  <c r="BY9" i="4" s="1"/>
  <c r="BZ9" i="4" s="1"/>
  <c r="CE9" i="4"/>
  <c r="CF9" i="4" s="1"/>
  <c r="CG9" i="4" s="1"/>
  <c r="BX10" i="4"/>
  <c r="BY10" i="4" s="1"/>
  <c r="BZ10" i="4" s="1"/>
  <c r="CE10" i="4"/>
  <c r="CF10" i="4" s="1"/>
  <c r="CG10" i="4" s="1"/>
  <c r="BX14" i="4"/>
  <c r="BY14" i="4" s="1"/>
  <c r="BZ14" i="4" s="1"/>
  <c r="CE14" i="4"/>
  <c r="CF14" i="4" s="1"/>
  <c r="CG14" i="4" s="1"/>
  <c r="BX11" i="4"/>
  <c r="BY11" i="4" s="1"/>
  <c r="BZ11" i="4" s="1"/>
  <c r="CE11" i="4"/>
  <c r="CF11" i="4" s="1"/>
  <c r="CG11" i="4" s="1"/>
  <c r="BX15" i="4"/>
  <c r="BY15" i="4" s="1"/>
  <c r="BZ15" i="4" s="1"/>
  <c r="CE15" i="4"/>
  <c r="CF15" i="4" s="1"/>
  <c r="CG15" i="4" s="1"/>
  <c r="BX13" i="4"/>
  <c r="BY13" i="4" s="1"/>
  <c r="BZ13" i="4" s="1"/>
  <c r="CE13" i="4"/>
  <c r="CF13" i="4" s="1"/>
  <c r="CG13" i="4" s="1"/>
  <c r="BX8" i="4"/>
  <c r="BY8" i="4" s="1"/>
  <c r="BZ8" i="4" s="1"/>
  <c r="CE8" i="4"/>
  <c r="CF8" i="4" s="1"/>
  <c r="CG8" i="4" s="1"/>
  <c r="BX12" i="4"/>
  <c r="BY12" i="4" s="1"/>
  <c r="BZ12" i="4" s="1"/>
  <c r="CE12" i="4"/>
  <c r="CF12" i="4" s="1"/>
  <c r="CG12" i="4" s="1"/>
  <c r="BX16" i="4"/>
  <c r="BY16" i="4" s="1"/>
  <c r="BZ16" i="4" s="1"/>
  <c r="CE16" i="4"/>
  <c r="CF16" i="4" s="1"/>
  <c r="CG16" i="4" s="1"/>
  <c r="AZ7" i="4"/>
  <c r="AZ6" i="4"/>
  <c r="AZ5" i="4"/>
  <c r="BX7" i="4" l="1"/>
  <c r="BY7" i="4" s="1"/>
  <c r="BZ7" i="4" s="1"/>
  <c r="CE7" i="4"/>
  <c r="CF7" i="4" s="1"/>
  <c r="CG7" i="4" s="1"/>
  <c r="BX5" i="4"/>
  <c r="BY5" i="4" s="1"/>
  <c r="BZ5" i="4" s="1"/>
  <c r="CE5" i="4"/>
  <c r="CF5" i="4" s="1"/>
  <c r="CG5" i="4" s="1"/>
  <c r="BX6" i="4"/>
  <c r="BY6" i="4" s="1"/>
  <c r="BZ6" i="4" s="1"/>
  <c r="CE6" i="4"/>
  <c r="CF6" i="4" s="1"/>
  <c r="CG6" i="4" s="1"/>
  <c r="AZ3" i="4"/>
  <c r="CE3" i="4" s="1"/>
  <c r="CF3" i="4" s="1"/>
  <c r="CG3" i="4" s="1"/>
  <c r="AZ4" i="4"/>
  <c r="CE4" i="4" s="1"/>
  <c r="CF4" i="4" s="1"/>
  <c r="CG4" i="4" s="1"/>
  <c r="AZ2" i="4"/>
  <c r="CE2" i="4" s="1"/>
  <c r="CF2" i="4" s="1"/>
  <c r="CG2" i="4" s="1"/>
  <c r="BX2" i="4" l="1"/>
  <c r="BY2" i="4" s="1"/>
  <c r="BZ2" i="4" s="1"/>
  <c r="BX3" i="4"/>
  <c r="BY3" i="4" s="1"/>
  <c r="BZ3" i="4" s="1"/>
  <c r="BX4" i="4"/>
  <c r="BY4" i="4" s="1"/>
  <c r="BZ4" i="4" s="1"/>
  <c r="BM53" i="5"/>
  <c r="BJ53" i="5"/>
  <c r="BK53" i="5" s="1"/>
  <c r="BL53" i="5" s="1"/>
  <c r="BI53" i="5"/>
  <c r="BG53" i="5"/>
  <c r="BK52" i="5"/>
  <c r="BG52" i="5"/>
  <c r="AL52" i="5"/>
  <c r="BM52" i="5" s="1"/>
  <c r="BM51" i="5"/>
  <c r="AP51" i="5"/>
  <c r="BM50" i="5"/>
  <c r="AP50" i="5"/>
  <c r="B50" i="5"/>
  <c r="B51" i="5" s="1"/>
  <c r="B52" i="5" s="1"/>
  <c r="BM49" i="5"/>
  <c r="BK49" i="5"/>
  <c r="BL49" i="5" s="1"/>
  <c r="AP49" i="5"/>
  <c r="BM48" i="5"/>
  <c r="AP48" i="5"/>
  <c r="BM47" i="5"/>
  <c r="AP47" i="5"/>
  <c r="BM46" i="5"/>
  <c r="AP46" i="5"/>
  <c r="B46" i="5"/>
  <c r="B47" i="5" s="1"/>
  <c r="B48" i="5" s="1"/>
  <c r="BM45" i="5"/>
  <c r="AP45" i="5"/>
  <c r="BM44" i="5"/>
  <c r="AP44" i="5"/>
  <c r="BM43" i="5"/>
  <c r="AP43" i="5"/>
  <c r="BN42" i="5"/>
  <c r="BJ42" i="5" s="1"/>
  <c r="BK42" i="5" s="1"/>
  <c r="BG42" i="5"/>
  <c r="AQ42" i="5"/>
  <c r="AL42" i="5"/>
  <c r="BM42" i="5" s="1"/>
  <c r="B42" i="5"/>
  <c r="B43" i="5" s="1"/>
  <c r="B44" i="5" s="1"/>
  <c r="BN41" i="5"/>
  <c r="BJ41" i="5" s="1"/>
  <c r="BK41" i="5" s="1"/>
  <c r="BG41" i="5"/>
  <c r="AQ41" i="5"/>
  <c r="AL41" i="5"/>
  <c r="BM41" i="5" s="1"/>
  <c r="BK40" i="5"/>
  <c r="BG40" i="5"/>
  <c r="AQ40" i="5"/>
  <c r="AL40" i="5"/>
  <c r="BM40" i="5" s="1"/>
  <c r="BK39" i="5"/>
  <c r="BG39" i="5"/>
  <c r="AQ39" i="5"/>
  <c r="AL39" i="5"/>
  <c r="BM39" i="5" s="1"/>
  <c r="BM38" i="5"/>
  <c r="AP38" i="5"/>
  <c r="B38" i="5"/>
  <c r="B39" i="5" s="1"/>
  <c r="B40" i="5" s="1"/>
  <c r="BM37" i="5"/>
  <c r="AP37" i="5"/>
  <c r="BM36" i="5"/>
  <c r="BK36" i="5"/>
  <c r="BL36" i="5" s="1"/>
  <c r="BG36" i="5"/>
  <c r="BM35" i="5"/>
  <c r="BK35" i="5"/>
  <c r="BL35" i="5" s="1"/>
  <c r="BG35" i="5"/>
  <c r="BM34" i="5"/>
  <c r="BJ34" i="5"/>
  <c r="BK34" i="5" s="1"/>
  <c r="BL34" i="5" s="1"/>
  <c r="BI34" i="5"/>
  <c r="BG34" i="5"/>
  <c r="BM33" i="5"/>
  <c r="BK33" i="5"/>
  <c r="BL33" i="5" s="1"/>
  <c r="BG33" i="5"/>
  <c r="BM32" i="5"/>
  <c r="BG32" i="5"/>
  <c r="AZ32" i="5"/>
  <c r="AP32" i="5"/>
  <c r="BM31" i="5"/>
  <c r="BG31" i="5"/>
  <c r="AZ31" i="5"/>
  <c r="AP31" i="5"/>
  <c r="BM30" i="5"/>
  <c r="BG30" i="5"/>
  <c r="AZ30" i="5"/>
  <c r="AP30" i="5"/>
  <c r="B30" i="5"/>
  <c r="B31" i="5" s="1"/>
  <c r="BM29" i="5"/>
  <c r="BG29" i="5"/>
  <c r="AZ29" i="5"/>
  <c r="AP29" i="5"/>
  <c r="BM28" i="5"/>
  <c r="AP28" i="5"/>
  <c r="BM27" i="5"/>
  <c r="AP27" i="5"/>
  <c r="BM26" i="5"/>
  <c r="AP26" i="5"/>
  <c r="BM25" i="5"/>
  <c r="AP25" i="5"/>
  <c r="BM24" i="5"/>
  <c r="AP24" i="5"/>
  <c r="BM23" i="5"/>
  <c r="AP23" i="5"/>
  <c r="BM22" i="5"/>
  <c r="BI22" i="5"/>
  <c r="BH22" i="5"/>
  <c r="BG22" i="5"/>
  <c r="AM22" i="5"/>
  <c r="BJ22" i="5" s="1"/>
  <c r="BK22" i="5" s="1"/>
  <c r="BL22" i="5" s="1"/>
  <c r="BM21" i="5"/>
  <c r="BI21" i="5"/>
  <c r="BH21" i="5"/>
  <c r="BG21" i="5"/>
  <c r="AM21" i="5"/>
  <c r="BJ21" i="5" s="1"/>
  <c r="BK21" i="5" s="1"/>
  <c r="BL21" i="5" s="1"/>
  <c r="BM20" i="5"/>
  <c r="BI20" i="5"/>
  <c r="BH20" i="5"/>
  <c r="BG20" i="5"/>
  <c r="AM20" i="5"/>
  <c r="BJ20" i="5" s="1"/>
  <c r="BK20" i="5" s="1"/>
  <c r="BL20" i="5" s="1"/>
  <c r="BM19" i="5"/>
  <c r="BK19" i="5"/>
  <c r="BL19" i="5" s="1"/>
  <c r="AQ19" i="5"/>
  <c r="AM19" i="5"/>
  <c r="BM18" i="5"/>
  <c r="BK18" i="5"/>
  <c r="BL18" i="5" s="1"/>
  <c r="AQ18" i="5"/>
  <c r="AM18" i="5"/>
  <c r="B18" i="5"/>
  <c r="B19" i="5" s="1"/>
  <c r="BM17" i="5"/>
  <c r="BK17" i="5"/>
  <c r="BL17" i="5" s="1"/>
  <c r="AQ17" i="5"/>
  <c r="AM17" i="5"/>
  <c r="BM16" i="5"/>
  <c r="BI16" i="5"/>
  <c r="AM16" i="5"/>
  <c r="BJ16" i="5" s="1"/>
  <c r="BK16" i="5" s="1"/>
  <c r="BL16" i="5" s="1"/>
  <c r="BM15" i="5"/>
  <c r="BK15" i="5"/>
  <c r="BL15" i="5" s="1"/>
  <c r="AM15" i="5"/>
  <c r="B15" i="5"/>
  <c r="B16" i="5" s="1"/>
  <c r="BM14" i="5"/>
  <c r="BK14" i="5"/>
  <c r="BL14" i="5" s="1"/>
  <c r="AM14" i="5"/>
  <c r="BM13" i="5"/>
  <c r="BI13" i="5"/>
  <c r="AM13" i="5"/>
  <c r="BJ13" i="5" s="1"/>
  <c r="BK13" i="5" s="1"/>
  <c r="BL13" i="5" s="1"/>
  <c r="BM12" i="5"/>
  <c r="AP12" i="5"/>
  <c r="AF12" i="5"/>
  <c r="BM11" i="5"/>
  <c r="AP11" i="5"/>
  <c r="AF11" i="5"/>
  <c r="B11" i="5"/>
  <c r="B12" i="5" s="1"/>
  <c r="BM10" i="5"/>
  <c r="AP10" i="5"/>
  <c r="AF10" i="5"/>
  <c r="BM9" i="5"/>
  <c r="BH9" i="5"/>
  <c r="BG9" i="5"/>
  <c r="AP9" i="5"/>
  <c r="BN9" i="5" s="1"/>
  <c r="BM8" i="5"/>
  <c r="BH8" i="5"/>
  <c r="BG8" i="5"/>
  <c r="AP8" i="5"/>
  <c r="BN8" i="5" s="1"/>
  <c r="BM7" i="5"/>
  <c r="BH7" i="5"/>
  <c r="BG7" i="5"/>
  <c r="AP7" i="5"/>
  <c r="BN7" i="5" s="1"/>
  <c r="BM6" i="5"/>
  <c r="BH6" i="5"/>
  <c r="BG6" i="5"/>
  <c r="AP6" i="5"/>
  <c r="BN6" i="5" s="1"/>
  <c r="BM5" i="5"/>
  <c r="BH5" i="5"/>
  <c r="BG5" i="5"/>
  <c r="AP5" i="5"/>
  <c r="BN5" i="5" s="1"/>
  <c r="BM4" i="5"/>
  <c r="BH4" i="5"/>
  <c r="BG4" i="5"/>
  <c r="AP4" i="5"/>
  <c r="BN4" i="5" s="1"/>
  <c r="BM3" i="5"/>
  <c r="BH3" i="5"/>
  <c r="BG3" i="5"/>
  <c r="AP3" i="5"/>
  <c r="BN3" i="5" s="1"/>
  <c r="BM2" i="5"/>
  <c r="BH2" i="5"/>
  <c r="BG2" i="5"/>
  <c r="AP2" i="5"/>
  <c r="BN2" i="5" s="1"/>
  <c r="B2" i="5"/>
  <c r="B3" i="5" s="1"/>
  <c r="B4" i="5" s="1"/>
  <c r="B5" i="5" s="1"/>
  <c r="B6" i="5" s="1"/>
  <c r="B7" i="5" s="1"/>
  <c r="B8" i="5" s="1"/>
  <c r="B9" i="5" s="1"/>
  <c r="BI41" i="5" l="1"/>
  <c r="BI42" i="5"/>
  <c r="BJ2" i="5"/>
  <c r="BK2" i="5" s="1"/>
  <c r="BL2" i="5" s="1"/>
  <c r="BI2" i="5"/>
  <c r="BJ3" i="5"/>
  <c r="BK3" i="5" s="1"/>
  <c r="BL3" i="5" s="1"/>
  <c r="BI3" i="5"/>
  <c r="BJ4" i="5"/>
  <c r="BK4" i="5" s="1"/>
  <c r="BL4" i="5" s="1"/>
  <c r="BI4" i="5"/>
  <c r="BJ5" i="5"/>
  <c r="BK5" i="5" s="1"/>
  <c r="BL5" i="5" s="1"/>
  <c r="BI5" i="5"/>
  <c r="BJ6" i="5"/>
  <c r="BK6" i="5" s="1"/>
  <c r="BL6" i="5" s="1"/>
  <c r="BI6" i="5"/>
  <c r="BJ7" i="5"/>
  <c r="BK7" i="5" s="1"/>
  <c r="BL7" i="5" s="1"/>
  <c r="BI7" i="5"/>
  <c r="BJ8" i="5"/>
  <c r="BK8" i="5" s="1"/>
  <c r="BL8" i="5" s="1"/>
  <c r="BI8" i="5"/>
  <c r="BJ9" i="5"/>
  <c r="BK9" i="5" s="1"/>
  <c r="BL9" i="5" s="1"/>
  <c r="BI9" i="5"/>
  <c r="BJ10" i="5"/>
  <c r="BK10" i="5" s="1"/>
  <c r="BL10" i="5" s="1"/>
  <c r="BI10" i="5"/>
  <c r="BJ11" i="5"/>
  <c r="BK11" i="5" s="1"/>
  <c r="BL11" i="5" s="1"/>
  <c r="BI11" i="5"/>
  <c r="BJ12" i="5"/>
  <c r="BK12" i="5" s="1"/>
  <c r="BL12" i="5" s="1"/>
  <c r="BI12" i="5"/>
  <c r="BJ23" i="5"/>
  <c r="BK23" i="5" s="1"/>
  <c r="BL23" i="5" s="1"/>
  <c r="BI23" i="5"/>
  <c r="BJ24" i="5"/>
  <c r="BK24" i="5" s="1"/>
  <c r="BL24" i="5" s="1"/>
  <c r="BI24" i="5"/>
  <c r="BJ25" i="5"/>
  <c r="BK25" i="5" s="1"/>
  <c r="BL25" i="5" s="1"/>
  <c r="BI25" i="5"/>
  <c r="BJ26" i="5"/>
  <c r="BK26" i="5" s="1"/>
  <c r="BL26" i="5" s="1"/>
  <c r="BI26" i="5"/>
  <c r="BJ27" i="5"/>
  <c r="BK27" i="5" s="1"/>
  <c r="BL27" i="5" s="1"/>
  <c r="BI27" i="5"/>
  <c r="BJ28" i="5"/>
  <c r="BK28" i="5" s="1"/>
  <c r="BL28" i="5" s="1"/>
  <c r="BI28" i="5"/>
  <c r="BJ29" i="5"/>
  <c r="BK29" i="5" s="1"/>
  <c r="BL29" i="5" s="1"/>
  <c r="BI29" i="5"/>
  <c r="BJ30" i="5"/>
  <c r="BK30" i="5" s="1"/>
  <c r="BL30" i="5" s="1"/>
  <c r="BI30" i="5"/>
  <c r="BJ31" i="5"/>
  <c r="BK31" i="5" s="1"/>
  <c r="BL31" i="5" s="1"/>
  <c r="BI31" i="5"/>
  <c r="BJ32" i="5"/>
  <c r="BK32" i="5" s="1"/>
  <c r="BL32" i="5" s="1"/>
  <c r="BI32" i="5"/>
  <c r="BJ37" i="5"/>
  <c r="BK37" i="5" s="1"/>
  <c r="BL37" i="5" s="1"/>
  <c r="BI37" i="5"/>
  <c r="BJ38" i="5"/>
  <c r="BK38" i="5" s="1"/>
  <c r="BL38" i="5" s="1"/>
  <c r="BI38" i="5"/>
  <c r="BL39" i="5"/>
  <c r="BL40" i="5"/>
  <c r="BL41" i="5"/>
  <c r="BL42" i="5"/>
  <c r="BJ43" i="5"/>
  <c r="BK43" i="5" s="1"/>
  <c r="BL43" i="5" s="1"/>
  <c r="BI43" i="5"/>
  <c r="BJ44" i="5"/>
  <c r="BK44" i="5" s="1"/>
  <c r="BL44" i="5" s="1"/>
  <c r="BI44" i="5"/>
  <c r="BJ45" i="5"/>
  <c r="BK45" i="5" s="1"/>
  <c r="BL45" i="5" s="1"/>
  <c r="BI45" i="5"/>
  <c r="BJ46" i="5"/>
  <c r="BK46" i="5" s="1"/>
  <c r="BL46" i="5" s="1"/>
  <c r="BI46" i="5"/>
  <c r="BJ47" i="5"/>
  <c r="BK47" i="5" s="1"/>
  <c r="BL47" i="5" s="1"/>
  <c r="BI47" i="5"/>
  <c r="BJ48" i="5"/>
  <c r="BK48" i="5" s="1"/>
  <c r="BL48" i="5" s="1"/>
  <c r="BI48" i="5"/>
  <c r="BJ50" i="5"/>
  <c r="BK50" i="5" s="1"/>
  <c r="BL50" i="5" s="1"/>
  <c r="BI50" i="5"/>
  <c r="BJ51" i="5"/>
  <c r="BK51" i="5" s="1"/>
  <c r="BL51" i="5" s="1"/>
  <c r="BI51" i="5"/>
  <c r="BL52"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tc={73C2226C-6106-4DC2-88CF-9C0A06F48311}</author>
    <author>tc={CEE78422-255C-40DC-AFED-5AA185CC03E1}</author>
    <author>tc={C7CEED71-5EFE-4791-84D8-7010C40A69F0}</author>
  </authors>
  <commentList>
    <comment ref="AQ1"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is this supposed to capture mean difference between control and treatment or ?</t>
      </text>
    </comment>
    <comment ref="AZ1"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daily kWh</t>
      </text>
    </comment>
    <comment ref="AQ22"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in kWh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tc={1DD52412-77C6-1E43-B8CC-07AD562D2C6E}</author>
  </authors>
  <commentList>
    <comment ref="AA1" authorId="0" shapeId="0" xr:uid="{00000000-0006-0000-0100-000001000000}">
      <text>
        <t>[Threaded comment]
Your version of Excel allows you to read this threaded comment; however, any edits to it will get removed if the file is opened in a newer version of Excel. Learn more: https://go.microsoft.com/fwlink/?linkid=870924
Comment:
    check label studies from srmt for label type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tc={CF36070F-7893-4948-8AB8-1CADF6EBBFD9}</author>
  </authors>
  <commentList>
    <comment ref="D6"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a bit confused as of where it’s correlation and where - quasi-experimental
Reply:
    the way i reassessed this was - market statistics - correlation, whereas hypothetical choice - quasi-experimental</t>
      </text>
    </comment>
  </commentList>
</comments>
</file>

<file path=xl/sharedStrings.xml><?xml version="1.0" encoding="utf-8"?>
<sst xmlns="http://schemas.openxmlformats.org/spreadsheetml/2006/main" count="3289" uniqueCount="597">
  <si>
    <t>Coder</t>
  </si>
  <si>
    <t>sr_no</t>
  </si>
  <si>
    <t>study_ID</t>
  </si>
  <si>
    <t>Authors</t>
  </si>
  <si>
    <t>doc_title</t>
  </si>
  <si>
    <t>abstract</t>
  </si>
  <si>
    <t>year_data_study</t>
  </si>
  <si>
    <t>exclusion_reason</t>
  </si>
  <si>
    <t>page</t>
  </si>
  <si>
    <t>statistical_technique</t>
  </si>
  <si>
    <t>study_design</t>
  </si>
  <si>
    <t>study_type</t>
  </si>
  <si>
    <t>feedback</t>
  </si>
  <si>
    <t>rebate</t>
  </si>
  <si>
    <t>information</t>
  </si>
  <si>
    <t>label</t>
  </si>
  <si>
    <t>tax_credit</t>
  </si>
  <si>
    <t>washing_machine</t>
  </si>
  <si>
    <t>diswasher</t>
  </si>
  <si>
    <t>refrigerator</t>
  </si>
  <si>
    <t>heat_pump</t>
  </si>
  <si>
    <t>lighting</t>
  </si>
  <si>
    <t>water_heater</t>
  </si>
  <si>
    <t>air_conditioning</t>
  </si>
  <si>
    <t>tv</t>
  </si>
  <si>
    <t>Notes</t>
  </si>
  <si>
    <t>dep_variable usage</t>
  </si>
  <si>
    <t xml:space="preserve">coefficient </t>
  </si>
  <si>
    <t>effect_direction</t>
  </si>
  <si>
    <t>coefficient_se</t>
  </si>
  <si>
    <t>PercentChange</t>
  </si>
  <si>
    <t>control_mean</t>
  </si>
  <si>
    <t>control_sample_size</t>
  </si>
  <si>
    <t>control_sd</t>
  </si>
  <si>
    <t>treated_mean</t>
  </si>
  <si>
    <t>treatment_sample_size</t>
  </si>
  <si>
    <t>treated_sd</t>
  </si>
  <si>
    <t>total_sample_size</t>
  </si>
  <si>
    <t>total_observations</t>
  </si>
  <si>
    <t>p_value</t>
  </si>
  <si>
    <t>significance_bound</t>
  </si>
  <si>
    <t>test_statistic</t>
  </si>
  <si>
    <t>diff_mean</t>
  </si>
  <si>
    <t>pooled_sd</t>
  </si>
  <si>
    <t>controls Electricity use</t>
  </si>
  <si>
    <t>controls Environmental attitudes</t>
  </si>
  <si>
    <t>controls HH controls (demographics)</t>
  </si>
  <si>
    <t>controls Residence controls</t>
  </si>
  <si>
    <t>controls Seasonal controls</t>
  </si>
  <si>
    <t>controls Weather controls</t>
  </si>
  <si>
    <t>country</t>
  </si>
  <si>
    <t>Baseline Consumption</t>
  </si>
  <si>
    <t>Notes_BaselineConsumption</t>
  </si>
  <si>
    <t>randomisation_dummy</t>
  </si>
  <si>
    <t>Opt_in</t>
  </si>
  <si>
    <t>outOfSampleBias</t>
  </si>
  <si>
    <t>reportingBiases</t>
  </si>
  <si>
    <t>Notes_Biases</t>
  </si>
  <si>
    <t>interventionDuration</t>
  </si>
  <si>
    <t>interventionTreatmentPeriod</t>
  </si>
  <si>
    <t>r_effect_size_sample</t>
  </si>
  <si>
    <t>r_effect_size_obsversation</t>
  </si>
  <si>
    <t>z_value</t>
  </si>
  <si>
    <t>r_variance</t>
  </si>
  <si>
    <t>z_variance</t>
  </si>
  <si>
    <t>d_value</t>
  </si>
  <si>
    <t>Significance in Original study</t>
  </si>
  <si>
    <t>note</t>
  </si>
  <si>
    <t>DD</t>
  </si>
  <si>
    <t>Asensio, Delmas, 2015</t>
  </si>
  <si>
    <t>Nonprice incentives and energy conservation</t>
  </si>
  <si>
    <t>In the electricity sector, energy conservation through technological and behavioral change is estimated to have a savings potential of 123 million metric tons of carbon per year, which represents 20% of US household direct emissions in the United States. In this article, we investigate the effectiveness of nonprice information strategies to motivate conservation behavior. We introduce environment and health-based messaging as a behavioral strategy to reduce energy use in the home and promote energy conserva- tion. In a randomized controlled trial with real-time appliance- level energy metering, we find that environment and health-based information strategies, which communicate the environmental and public health externalities of electricity production, such as pounds of pollutants, childhood asthma, and cancer, outperform monetary savings information to drive behavioral change in the home. Environment and health-based information treatments motivated 8% energy savings versus control and were particularly effective on families with children, who achieved up to 19% energy savings. Our results are based on a panel of 3.4 million hourly appliance-level kilowatt–hour observations for 118 residen- ces over 8 mo. We discuss the relative impacts of both cost-savings information and environmental health messaging strategies with residential consumers.</t>
  </si>
  <si>
    <t>2011-2012</t>
  </si>
  <si>
    <t>NA</t>
  </si>
  <si>
    <t>SI Appendix</t>
  </si>
  <si>
    <t>RCT</t>
  </si>
  <si>
    <t>Control &amp; Treatment</t>
  </si>
  <si>
    <t>info - monetary, reported as heating/cooling</t>
  </si>
  <si>
    <t>electricity consumption</t>
  </si>
  <si>
    <t>?</t>
  </si>
  <si>
    <t>increase</t>
  </si>
  <si>
    <t>US</t>
  </si>
  <si>
    <t>slightly below the national average</t>
  </si>
  <si>
    <t>Probably No</t>
  </si>
  <si>
    <t>significant</t>
  </si>
  <si>
    <t>info - health, reported as heating/cooling</t>
  </si>
  <si>
    <t>decrease</t>
  </si>
  <si>
    <t>not significant</t>
  </si>
  <si>
    <t>info - monetary</t>
  </si>
  <si>
    <t>info - health</t>
  </si>
  <si>
    <t>Brülisauer, Goette, Jiang, Schmitz, Schubert, 2018</t>
  </si>
  <si>
    <t>Appliance specific feedback and social comparisons: Evidence from a field experiment on electricity saving</t>
  </si>
  <si>
    <t>Feedback about individual electricity consumption relative to others in the popu- lation is widely used to steer behavior and reduce electricity consumption. This feedback usually informs households about their aggregate electricity consumption relative to others. While aggregate consumption feedback already translates into significant energy savings, it may leave potential savings untapped because house- holds lack the knowledge where to save most efficiently. In this paper, we provide households with detailed feedback about their consumption of a specific high energy use appliance (air-conditioning) relative to other households. We thereby also exo- genously vary a households’ reference group about which they receive the appliance specific consumption information. We find that our appliance specific feedback is a powerful tool to curb electricity consumption. Households significantly reduce their average air-conditioning consumption by 17% in our treatment groups. Our effects are not driven by comparative feedback to specific reference groups. We interpret this as encouraging evidence to promote the use of appliance specific consumption feedback to realize electricity savings.</t>
  </si>
  <si>
    <t>linear probability model</t>
  </si>
  <si>
    <t>Diff in Diff</t>
  </si>
  <si>
    <t>average peers</t>
  </si>
  <si>
    <t>Singapore</t>
  </si>
  <si>
    <t>identifiable peers</t>
  </si>
  <si>
    <t>unidentifiable peers</t>
  </si>
  <si>
    <t>Delmas, Lessem, 2012</t>
  </si>
  <si>
    <t>SAVING POWER TO CONSERVE YOUR REPUTATION?
THE EFFECTIVENESS OF PRIVATE VERSUS PUBLIC INFORMATION</t>
  </si>
  <si>
    <t xml:space="preserve">
Environmental damage is often an unseen byproduct of other activities. Disclosing environmental impact privately to consumers can reduce the costs and/or increase the moral benefits of conservation behaviors, while publicly disclosing such information can provide an additional motivation for conservation - cultivating a green reputation. In a unique field experiment in the residence halls at the University of California – Los Angeles, we test the efficacy of detailed private and public information on electricity conservation. Private information was given through real-time appliance level feedback and social norms over usage, and public information was given through a publicly visible conservation rating. Our analysis is based on 7,120 daily observations about energy use from heating and cooling, lights and plug load for 66 rooms collected over an academic year. Our results suggest that while private information alone was ineffective, public information combined with private information motivated a 20 percent reduction in electricity consumption achieved through lower use of heating and cooling. Public information was particularly effective for above median energy users.</t>
  </si>
  <si>
    <t>2010-2011</t>
  </si>
  <si>
    <t>private</t>
  </si>
  <si>
    <t>public</t>
  </si>
  <si>
    <t>Becker, Seligman 1978</t>
  </si>
  <si>
    <t>Reducing Air Conditioning Waste by Signalling it is Cool Outside</t>
  </si>
  <si>
    <t>diff of means</t>
  </si>
  <si>
    <t>electricity consumption (daily)</t>
  </si>
  <si>
    <t>Herter, Wood, Blozis, 2013</t>
  </si>
  <si>
    <t xml:space="preserve">
The effects of combining dynamic pricing, AC load control, and real-time energy feedback: SMUD’S 2011 Residential Summer Solutions Study</t>
  </si>
  <si>
    <t>The 2011 Residential Summer Solutions Study compared the hourly load effects of three dif- ferent real-time information treatments and two pro- gram options. The information treatments included: Baseline information (no real-time data), real-time Home information (whole-house data), and real-time Appliance information (data for the whole house plus three individual appliances). Compared to the Baseline group, real-time Home information lowered overall energy use by about 4 %. Real-time information at both the Home and Appliance levels had a significant effect on non-event peak loads: compared to the Baseline group, real-time Home data lowered peak load by 5 %, while Appliance data lowered peak load by 7 %. All three information treatments averaged a 1-kW (40 %) load shed during events. The customer-chosen program options included a dynamic time-of-use rate and a load control incentive program. Customers were more likely to sign up for the dynamic rate, and those who did saved significantly more peak load on both event days (&gt;50 % savings) and non-event days (&gt;20 % savings) than did those on the load control program alone. In addition, those on the dynamic rate saved twice as much on their summer bills as did those who chose to remain on the standard tiered rate. At the end of the summer, more than 90 % of participants signed up to participate again the following year.control incentive program. Customers were more likely to sign up for the dynamic rate, and those who did saved significantly more peak load on both event days (&gt;50 % savings) and non-event days (&gt;20 % savings) than did those on the load control program alone. In addition, those on the dynamic rate saved twice as much on their summer bills as did those who chose to remain on the standard tiered rate. At the end of the summer, more than 90 % of participants signed up to participate again the following year.</t>
  </si>
  <si>
    <t>pre and post</t>
  </si>
  <si>
    <t>house electricity consumption (overall 24 hours)</t>
  </si>
  <si>
    <t>house electricity consumption (non-event peak load)</t>
  </si>
  <si>
    <t>house electricity consumption (event peak load)</t>
  </si>
  <si>
    <t>Ito, Ida, Tanaka, 2018</t>
  </si>
  <si>
    <t>Moral Suasion and Economic Incentives: Field Experimental Evidence from Energy Demand</t>
  </si>
  <si>
    <t>Firms and governments often use moral suasion and economic incentives to influence intrinsic and extrinsic motivations for economic activities. To investigate persistence of such interventions, we randomly assign households to moral suasion and dynamic pricing that stimulate energy conservation during peak-demand hours. We find significant habituation and dishabituation for moral suasion—the treatment effect diminishes after repeated interventions but can be restored to the original level by a sufficient time interval between interventions. Economic incentives induce larger treatment effects, little habituation, and significant habit formation. Our results suggest moral suasion and economic incentives produce substantially different short-run and long-run policy impacts.</t>
  </si>
  <si>
    <t>2012-2013</t>
  </si>
  <si>
    <t>OLS</t>
  </si>
  <si>
    <t>moral</t>
  </si>
  <si>
    <t>energy-efficient use of appliance (dummy)</t>
  </si>
  <si>
    <t>not reported</t>
  </si>
  <si>
    <t>Japan</t>
  </si>
  <si>
    <t>economic</t>
  </si>
  <si>
    <t>Davis, Fuchs, Gertler, 2014</t>
  </si>
  <si>
    <t>Cash for Coolers: Evaluating a Large-Scale Appliance Replacement Program in Mexico</t>
  </si>
  <si>
    <t>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t>
  </si>
  <si>
    <t>2009-2012</t>
  </si>
  <si>
    <t>electricity consumption (monthly)</t>
  </si>
  <si>
    <t>Mexico</t>
  </si>
  <si>
    <t>DECC, 2014</t>
  </si>
  <si>
    <t>Evaluation of the DECC/John Lewis energy labelling trial</t>
  </si>
  <si>
    <t>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t>
  </si>
  <si>
    <t>2013-2014</t>
  </si>
  <si>
    <t>washing machine</t>
  </si>
  <si>
    <t>electricity consumption (yearly)</t>
  </si>
  <si>
    <t>UK</t>
  </si>
  <si>
    <t>Probably Yes</t>
  </si>
  <si>
    <t xml:space="preserve">self-selected sample of stores, training of personnel </t>
  </si>
  <si>
    <t>washer dryer</t>
  </si>
  <si>
    <t>tumble dryer condenser</t>
  </si>
  <si>
    <t>tumble dryer vented</t>
  </si>
  <si>
    <t>Deutsch, 2010</t>
  </si>
  <si>
    <t>Life Cycle Cost Disclosure, Consumer Behavior, and Business Implications</t>
  </si>
  <si>
    <t>Comprehensive assessments of final consumption have iden- tified “housing” as a major contributor to total environmental impacts. Within this category, electrical-energy-using products are important. Do consumers opt for more energy-efficient household appliances if they are provided with life cycle cost (LCC)—that is, the sum of purchase price and operating cost estimated over the life span of the appliance? And what con- sequences does LCC disclosure have for business? Physical energy figures shown on appliance labels may be cognitively demanding for consumers, whereas monetary information promises to simplify the decision problem. Despite the rising interest in monetary cost disclosure, its effectiveness relative to physical cost disclosure has not been rigorously evaluated. This research approached the question of effectiveness with an online field experiment for washing machines. Customers of a commercially operating online shop were randomly assigned to two groups. The control group was provided with regular product price information; the treatment group received addi- tional LCC information. A total of 2,065 clicks were recorded and analyzed with multiple regression that controlled for sev- eral product characteristics. The evidence suggests that LCC disclosure decreases the mean specific energy use of chosen washing machines by 0.8% (p &lt; 0.01) and their mean specific water use by 0.7% (p &lt; 0.05). As to business implications, LCC disclosure had no effect on the indicator of retail vol- ume, which makes it unattractive for retailers to provide LCC on their own initiative.</t>
  </si>
  <si>
    <t>electricity consumption (per cycle)</t>
  </si>
  <si>
    <t>Germany</t>
  </si>
  <si>
    <t>control</t>
  </si>
  <si>
    <t>limited appliance selection on the website, the actual effect size probably higher</t>
  </si>
  <si>
    <t>SR</t>
  </si>
  <si>
    <t>Sammer, Wustenhagen, 2006</t>
  </si>
  <si>
    <t xml:space="preserve">The Influence of Eco-Labelling on Consumer Behaviour – Results of a Discrete Choice Analysis for Washing Machines </t>
  </si>
  <si>
    <t xml:space="preserve">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t>
  </si>
  <si>
    <t>logit</t>
  </si>
  <si>
    <t>Switzerland</t>
  </si>
  <si>
    <t>Study chooses surveyors who are already at supermarket and only 6 supermarkets most of which are in suburban areas</t>
  </si>
  <si>
    <t>Stadelmann, Schubert, 2018</t>
  </si>
  <si>
    <r>
      <t>How Do Di</t>
    </r>
    <r>
      <rPr>
        <sz val="13"/>
        <color theme="1"/>
        <rFont val="AdvOT596495f2+fb"/>
      </rPr>
      <t>ff</t>
    </r>
    <r>
      <rPr>
        <sz val="13"/>
        <color theme="1"/>
        <rFont val="AdvOT596495f2"/>
      </rPr>
      <t>erent Designs of Energy Labels In</t>
    </r>
    <r>
      <rPr>
        <sz val="13"/>
        <color theme="1"/>
        <rFont val="AdvOT596495f2+fb"/>
      </rPr>
      <t>fl</t>
    </r>
    <r>
      <rPr>
        <sz val="13"/>
        <color theme="1"/>
        <rFont val="AdvOT596495f2"/>
      </rPr>
      <t xml:space="preserve">uence Purchases of Household Appliances? A Field Study in Switzerland </t>
    </r>
  </si>
  <si>
    <r>
      <t>Energy labels are a key element of energy e</t>
    </r>
    <r>
      <rPr>
        <sz val="7"/>
        <color theme="1"/>
        <rFont val="AdvOT596495f2+fb"/>
      </rPr>
      <t>ffi</t>
    </r>
    <r>
      <rPr>
        <sz val="7"/>
        <color theme="1"/>
        <rFont val="AdvOT596495f2"/>
      </rPr>
      <t xml:space="preserve">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t>
    </r>
    <r>
      <rPr>
        <sz val="7"/>
        <color theme="1"/>
        <rFont val="AdvOT596495f2+fb"/>
      </rPr>
      <t>fi</t>
    </r>
    <r>
      <rPr>
        <sz val="7"/>
        <color theme="1"/>
        <rFont val="AdvOT596495f2"/>
      </rPr>
      <t xml:space="preserve">eld. We analyze private purchases of household appliances, especially freezers, vacuum cleaners and tumble dryers. We </t>
    </r>
    <r>
      <rPr>
        <sz val="7"/>
        <color theme="1"/>
        <rFont val="AdvOT596495f2+fb"/>
      </rPr>
      <t>fi</t>
    </r>
    <r>
      <rPr>
        <sz val="7"/>
        <color theme="1"/>
        <rFont val="AdvOT596495f2"/>
      </rPr>
      <t>nd that the display of any of the two energy labels increases the sales proportion of energy-e</t>
    </r>
    <r>
      <rPr>
        <sz val="7"/>
        <color theme="1"/>
        <rFont val="AdvOT596495f2+fb"/>
      </rPr>
      <t>ffi</t>
    </r>
    <r>
      <rPr>
        <sz val="7"/>
        <color theme="1"/>
        <rFont val="AdvOT596495f2"/>
      </rPr>
      <t>cient appliances compared to the absence of any energy label. At the same time, we observe a volume-e</t>
    </r>
    <r>
      <rPr>
        <sz val="7"/>
        <color theme="1"/>
        <rFont val="AdvOT596495f2+fb"/>
      </rPr>
      <t>ff</t>
    </r>
    <r>
      <rPr>
        <sz val="7"/>
        <color theme="1"/>
        <rFont val="AdvOT596495f2"/>
      </rPr>
      <t>ect for freezers: The average size of purchased freezers is larger when any of the two energy labels is displayed compared to the absence of any energy label. The in</t>
    </r>
    <r>
      <rPr>
        <sz val="7"/>
        <color theme="1"/>
        <rFont val="AdvOT596495f2+fb"/>
      </rPr>
      <t>fl</t>
    </r>
    <r>
      <rPr>
        <sz val="7"/>
        <color theme="1"/>
        <rFont val="AdvOT596495f2"/>
      </rPr>
      <t>uence of the two di</t>
    </r>
    <r>
      <rPr>
        <sz val="7"/>
        <color theme="1"/>
        <rFont val="AdvOT596495f2+fb"/>
      </rPr>
      <t>ff</t>
    </r>
    <r>
      <rPr>
        <sz val="7"/>
        <color theme="1"/>
        <rFont val="AdvOT596495f2"/>
      </rPr>
      <t>erent energy labels is similar except for vacuum cleaners, for which monetary information might have an adverse e</t>
    </r>
    <r>
      <rPr>
        <sz val="7"/>
        <color theme="1"/>
        <rFont val="AdvOT596495f2+fb"/>
      </rPr>
      <t>ff</t>
    </r>
    <r>
      <rPr>
        <sz val="7"/>
        <color theme="1"/>
        <rFont val="AdvOT596495f2"/>
      </rPr>
      <t xml:space="preserve">ect. </t>
    </r>
  </si>
  <si>
    <t>freezer</t>
  </si>
  <si>
    <t>mean expected annual electricity consumption</t>
  </si>
  <si>
    <t>country specific?</t>
  </si>
  <si>
    <t>dryer</t>
  </si>
  <si>
    <t>Houde, Aldy, 2017</t>
  </si>
  <si>
    <t>Consumers' Response to State Energy Efficient Appliance Rebate Programs.</t>
  </si>
  <si>
    <r>
      <t xml:space="preserve">Through an evaluation of the 2009 Recovery Act's State Energy </t>
    </r>
    <r>
      <rPr>
        <sz val="12"/>
        <color theme="1"/>
        <rFont val="Code2000"/>
      </rPr>
      <t xml:space="preserve">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t>
    </r>
  </si>
  <si>
    <t xml:space="preserve">log of kWh </t>
  </si>
  <si>
    <t>Kallbekken, Saelen, Hermansen, 2013</t>
  </si>
  <si>
    <t xml:space="preserve">Bridging the Energy Efficiency Gap: A Field Experiment on Lifetime Energy Costs and Household Appliances </t>
  </si>
  <si>
    <r>
      <t xml:space="preserve">Abstract </t>
    </r>
    <r>
      <rPr>
        <sz val="9"/>
        <color rgb="FF111111"/>
        <rFont val="AdvTT3713a231"/>
      </rPr>
      <t xml:space="preserve">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 </t>
    </r>
  </si>
  <si>
    <t>synthetic control method</t>
  </si>
  <si>
    <t>average energy use</t>
  </si>
  <si>
    <t>Norway</t>
  </si>
  <si>
    <t>Alberini, Gans, Towe, 2016</t>
  </si>
  <si>
    <t>Free Riding, Upsizing, and Energy Efficiency Incentives in Maryland Homes</t>
  </si>
  <si>
    <t>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t>
  </si>
  <si>
    <t>energy consumption</t>
  </si>
  <si>
    <t>per billing period (i.e. monthly)</t>
  </si>
  <si>
    <t>Our sampling frame is a mix of stratified and choice-based sampling (see table 1), which means that it is necessary to calculate and use appropriate weights when extrapolating sample statistics to the population.</t>
  </si>
  <si>
    <t>coder</t>
  </si>
  <si>
    <t>authors</t>
  </si>
  <si>
    <t>year_publication</t>
  </si>
  <si>
    <t>incentive_follow_through</t>
  </si>
  <si>
    <t>experimental_setting</t>
  </si>
  <si>
    <t>participant_type</t>
  </si>
  <si>
    <t>aware_of_study</t>
  </si>
  <si>
    <t>opt_in</t>
  </si>
  <si>
    <t>notes_bias</t>
  </si>
  <si>
    <t>subsidy</t>
  </si>
  <si>
    <t>loan</t>
  </si>
  <si>
    <t>choice_architecture</t>
  </si>
  <si>
    <t>notes_intervention</t>
  </si>
  <si>
    <t>clothes_dryer</t>
  </si>
  <si>
    <t>ac</t>
  </si>
  <si>
    <t>notes_dep_var</t>
  </si>
  <si>
    <t>dep_variable_purchase_category</t>
  </si>
  <si>
    <t>dep_var_original_study</t>
  </si>
  <si>
    <t>dep_var_transformation</t>
  </si>
  <si>
    <t>t_stat</t>
  </si>
  <si>
    <t>percent_change</t>
  </si>
  <si>
    <t>percent_change(binary predictor)</t>
  </si>
  <si>
    <t>monetary_incentive_size</t>
  </si>
  <si>
    <t>monetary_incentive_relative</t>
  </si>
  <si>
    <t>monetary_incentive_timeframe</t>
  </si>
  <si>
    <t>label_monetary</t>
  </si>
  <si>
    <t>label_monetary_size</t>
  </si>
  <si>
    <t>label_consumption</t>
  </si>
  <si>
    <t>label_consumption_size</t>
  </si>
  <si>
    <t>label_scale</t>
  </si>
  <si>
    <t>controls energy prices</t>
  </si>
  <si>
    <t>controls environmental attitudes</t>
  </si>
  <si>
    <t>controls demographics</t>
  </si>
  <si>
    <t>df</t>
  </si>
  <si>
    <t>comments</t>
  </si>
  <si>
    <t>r_value_obs</t>
  </si>
  <si>
    <t>z_value_obs</t>
  </si>
  <si>
    <t>r_variance_obs</t>
  </si>
  <si>
    <t>z_variance_obs</t>
  </si>
  <si>
    <t>all</t>
  </si>
  <si>
    <t>Datta, Filippini</t>
  </si>
  <si>
    <t>Analysing the impact of ENERGY STAR rebate
policies in the US</t>
  </si>
  <si>
    <t>In this paper, we estimate the impact of 
rebate policies in various US states on the sales share
of ENERGY STAR household appliances. We use
annual ENERGY STAR sales data for clothes washers,
dishwashers, refrigerators and air conditioners
from 2001 to 2006 and the variation in the coverage of
rebates across US states and over time to identify the
impact of rebate policies.We use, at first, a differencein-
differences approach to estimate this impact.
Then, we take into account the possibility of rebate policies being endogenous and use instrumental variables
approaches in fixed effects panel data regression
models. Results suggest that rebate policies increase
the sales share of ENERGY STAR household appliances
by 3.3 to 6.6 percentage points, and this represents
an impact of 9 to 18 % on the mean level of the
sales share of ENERGY STAR household appliances
in the US between 2001 and 2006. We conclude that
rebates on ENERGY STAR appliances increase the
uptake of energy-efficient appliances.</t>
  </si>
  <si>
    <t>2001-2006</t>
  </si>
  <si>
    <t>diff-in-diff</t>
  </si>
  <si>
    <t>revealed preference</t>
  </si>
  <si>
    <t>pre-recorded (no experiment)</t>
  </si>
  <si>
    <t>residents</t>
  </si>
  <si>
    <t>no such option</t>
  </si>
  <si>
    <t>probably no</t>
  </si>
  <si>
    <t>not reported separately for each appliance</t>
  </si>
  <si>
    <t>market share of efficient appliance</t>
  </si>
  <si>
    <t>share of ENERGY STAR household
appliance type</t>
  </si>
  <si>
    <t>2SLS</t>
  </si>
  <si>
    <t>IV</t>
  </si>
  <si>
    <t>Datta, Gulati</t>
  </si>
  <si>
    <t>Utility rebates for ENERGY STAR appliances: Are they effective?</t>
  </si>
  <si>
    <t>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t>
  </si>
  <si>
    <t>share of energy star appliance vs non energy star appliance</t>
  </si>
  <si>
    <t>log scale</t>
  </si>
  <si>
    <t>delayed</t>
  </si>
  <si>
    <t>Houde, Aldy</t>
  </si>
  <si>
    <t>Belt and suspenders and more: the incremental impact of energy efficiency subsidies in the presence of existing policy instruments</t>
  </si>
  <si>
    <t>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t>
  </si>
  <si>
    <t>individuals</t>
  </si>
  <si>
    <t>energy star market share</t>
  </si>
  <si>
    <t>Carroll, Denny, Lyons</t>
  </si>
  <si>
    <t>The Effects of Energy Cost Labelling on Appliance Purchasing Decisions: Trial Results from Ireland</t>
  </si>
  <si>
    <t>Household failure to minimize the total costs of energy-consuming investments has become known as the Benergy efficiency gap.^ This paper explores if this is partly the result of imperfect information related to future energy costs. We test this hypothesis by adding 5-year consumption cost labels to the tumble dryer lineup of four outlets of an Irish electrical retailer. Although we observe a reduction in the average energy consumption of dryer sales, our analysis does not show a statistically significant effect. However, we highlight a number of experimental limitations in our trial which potentially undermine this treatment effect. In addition, mixed findings from previous research suggest that further trials should be conducted before Blifetime^ energy cost labelling is removed from potential policy options to increase the energy efficiency of household appliances.</t>
  </si>
  <si>
    <t>negative binomial count model</t>
  </si>
  <si>
    <t>Ireland</t>
  </si>
  <si>
    <t>retailer</t>
  </si>
  <si>
    <t>store visitors</t>
  </si>
  <si>
    <t>mandatory energy labelling scheme and mandatory energy performance standard</t>
  </si>
  <si>
    <t>log of a model's sales</t>
  </si>
  <si>
    <t>other</t>
  </si>
  <si>
    <t>TK</t>
  </si>
  <si>
    <t>Schleich, Durand, Brugger</t>
  </si>
  <si>
    <t>How effective are energy-efficiency incentive programs? Evidence from Italian homeowners</t>
  </si>
  <si>
    <t>In most countries, minimum energy performance standards (MEPS) and energy labels are the key policies to
accelerate the diffusion of energy-efficient appliances and to help meet energy efficiency and climate policy
targets. This paper estimates country-specific multivariate econometric models for eight EU countries over the
period of 2007–2017 to evaluate the combined effects of changes in the MEPS and the energy labels entering into
force in the EU in 2010 and 2011. The findings suggest that these policies increased the market share of cold
appliances (refrigerators and fridge-freezer combinations) with an energy label of A+ and better between about
15 and 38 percentage points. For these appliances, autonomous developments (captured through a time trend)
are estimated to range between 5 and 10 percentage points per year. Thus, failure to account for autonomous
developments would have resulted in substantially overestimating the combined effects of MEPS and energy
label policies in the EU. The findings further imply that policy evaluations should allow for policy effectiveness
and autonomous</t>
  </si>
  <si>
    <t>2007-2017</t>
  </si>
  <si>
    <t>quasi-experimental</t>
  </si>
  <si>
    <t xml:space="preserve">study tries to distinguish between time effects and effect of labels. Probbaly not successful. Not very reliable </t>
  </si>
  <si>
    <t xml:space="preserve">here choice architecture refers to the MANDATORY phasing out of low energy effieicncy appliances </t>
  </si>
  <si>
    <t>The dependent variable sharel
tji stands for the share of
energy efficiency class l in the sales of a particular product category in
year t in country j.</t>
  </si>
  <si>
    <t>alphabetical with +</t>
  </si>
  <si>
    <t>Spain</t>
  </si>
  <si>
    <t>France</t>
  </si>
  <si>
    <t>Italy</t>
  </si>
  <si>
    <t>Poland</t>
  </si>
  <si>
    <t>Romania</t>
  </si>
  <si>
    <t>Sweden</t>
  </si>
  <si>
    <t xml:space="preserve">Wang B, Deng, Liu, Sun, Wang ZH </t>
  </si>
  <si>
    <t>Effect of energy efficiency labels on household appliance choice in China: Sustainable consumption or irrational intertemporal choice?</t>
  </si>
  <si>
    <t>Energy consumption has caused severe environmental problems, such as climate change and air pollution. The
energy efficiency label is an environmental information policy that provides consumers with energy consumption
information of products to change consumers’ choices and guide consumers to green consumption. Current
evaluations mainly focus on consumers’ purchase intention toward energy efficiency labels through questionnaire
survey and simulation experiment. Our study paper used the real purchase data on China’s largest online
sales platform to explore consumers’ energy-efficiency home appliance purchase behaviors. This paper found
that the energy efficiency labeling policy does not promote consumers’ green consumption behavior, an increase
of energy efficiency grade raises the sales of refrigerator by 24.47%, however, the price of the product can
negatively regulate the relationship between the energy efficiency grade and the sales. The results of heterogeneity
analysis show that when the product price is in the low-price range, consumers will choose high energyconsuming
household appliances; only for consumers who purchase mid-to-high-priced products, energy efficiency
labeling policies played a guiding role in green consumption. This will cause the energy-saving products
more expensive, and consumers are less willing to buy energy-saving products resulting in an energy efficiency
paradox. Through further analysis of questionnaire survey data, the results indicate that the energy efficiency
paradox is not caused by rational factors, but irrational intertemporal choices. Therefore, accurate assessment of
the effect of energy efficiency labels is crucial to promote consumers’ green consumption behavior and mitigate
climate change.</t>
  </si>
  <si>
    <t>2016-2017</t>
  </si>
  <si>
    <t>China</t>
  </si>
  <si>
    <t>probably yes</t>
  </si>
  <si>
    <t xml:space="preserve">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t>
  </si>
  <si>
    <t>2) tries to measure the effect of labels though it is not really that of labels vs. no labels but rather higher efficiency vs. lower efficiency</t>
  </si>
  <si>
    <t>Log of actual sales in units of the product</t>
  </si>
  <si>
    <t>numerical</t>
  </si>
  <si>
    <t>Behavior intention to change to Energy efficient household appliance</t>
  </si>
  <si>
    <t>ES market share</t>
  </si>
  <si>
    <t>purschase (probability) of efficient appliance</t>
  </si>
  <si>
    <t>Row Labels</t>
  </si>
  <si>
    <t>Count of sr_no</t>
  </si>
  <si>
    <t>Average of r_effect_size_sample2</t>
  </si>
  <si>
    <t>Average of r_variance2</t>
  </si>
  <si>
    <t>Average of z_value2</t>
  </si>
  <si>
    <t>Average of z_variance2</t>
  </si>
  <si>
    <t>Average of d_value2</t>
  </si>
  <si>
    <t>Count of study_ID</t>
  </si>
  <si>
    <t>Count of year_publication</t>
  </si>
  <si>
    <t>Count of exclusion_reason</t>
  </si>
  <si>
    <t>Count of statistical_technique</t>
  </si>
  <si>
    <t>Count of study_design</t>
  </si>
  <si>
    <t>Count of country</t>
  </si>
  <si>
    <t>Count of incentive_follow_through</t>
  </si>
  <si>
    <t>Count of experimental_setting</t>
  </si>
  <si>
    <t>Count of participant_type</t>
  </si>
  <si>
    <t>Count of aware_of_study</t>
  </si>
  <si>
    <t>Count of opt_in</t>
  </si>
  <si>
    <t>Count of randomisation_dummy</t>
  </si>
  <si>
    <t>Count of outOfSampleBias</t>
  </si>
  <si>
    <t>Count of reportingBiases</t>
  </si>
  <si>
    <t>Sum of feedback</t>
  </si>
  <si>
    <t>Sum of information</t>
  </si>
  <si>
    <t>Sum of label</t>
  </si>
  <si>
    <t>Sum of rebate</t>
  </si>
  <si>
    <t>Sum of tax_credit</t>
  </si>
  <si>
    <t>Sum of subsidy</t>
  </si>
  <si>
    <t>Sum of loan</t>
  </si>
  <si>
    <t>Sum of choice_architecture</t>
  </si>
  <si>
    <t>Sum of clothes_dryer</t>
  </si>
  <si>
    <t>Sum of washing_machine</t>
  </si>
  <si>
    <t>Sum of diswasher</t>
  </si>
  <si>
    <t>Sum of refrigerator</t>
  </si>
  <si>
    <t>Sum of heat_pump</t>
  </si>
  <si>
    <t>Sum of lighting</t>
  </si>
  <si>
    <t>Sum of water_heater</t>
  </si>
  <si>
    <t>Sum of ac</t>
  </si>
  <si>
    <t>Sum of tv</t>
  </si>
  <si>
    <t>Count of dep_variable_purchase_category</t>
  </si>
  <si>
    <t>Count of dep_var_transformation</t>
  </si>
  <si>
    <t xml:space="preserve">Count of coefficient </t>
  </si>
  <si>
    <t>Count of effect_direction</t>
  </si>
  <si>
    <t>Count of coefficient_se</t>
  </si>
  <si>
    <t>Count of p_value</t>
  </si>
  <si>
    <t>Count of significance_bound</t>
  </si>
  <si>
    <t>Count of t_stat</t>
  </si>
  <si>
    <t>Count of percent_change</t>
  </si>
  <si>
    <t>Count of percent_change(binary predictor)</t>
  </si>
  <si>
    <t>Count of total_sample_size</t>
  </si>
  <si>
    <t>Count of diff_mean</t>
  </si>
  <si>
    <t>Count of monetary_incentive_size</t>
  </si>
  <si>
    <t>Count of monetary_incentive_relative</t>
  </si>
  <si>
    <t>Count of monetary_incentive_timeframe</t>
  </si>
  <si>
    <t>Count of label_monetary</t>
  </si>
  <si>
    <t>Count of label_consumption</t>
  </si>
  <si>
    <t>Count of label_scale</t>
  </si>
  <si>
    <t>Sum of controls energy prices</t>
  </si>
  <si>
    <t>Sum of controls environmental attitudes</t>
  </si>
  <si>
    <t>Sum of controls demographics</t>
  </si>
  <si>
    <t>Average of df</t>
  </si>
  <si>
    <t>Count of study_design2</t>
  </si>
  <si>
    <t>Count of country2</t>
  </si>
  <si>
    <t>ANOVA</t>
  </si>
  <si>
    <t>ITT</t>
  </si>
  <si>
    <t>mixed logit</t>
  </si>
  <si>
    <t>multinomial logit</t>
  </si>
  <si>
    <t>negative binomial regression</t>
  </si>
  <si>
    <t>nested logit</t>
  </si>
  <si>
    <t>ordered probit</t>
  </si>
  <si>
    <t>probit</t>
  </si>
  <si>
    <t>structural model</t>
  </si>
  <si>
    <t>Grand Total</t>
  </si>
  <si>
    <t>controlls</t>
  </si>
  <si>
    <t>rebate_timeframe</t>
  </si>
  <si>
    <t>dep_var_category</t>
  </si>
  <si>
    <t>bias</t>
  </si>
  <si>
    <t xml:space="preserve">current </t>
  </si>
  <si>
    <t>WTP for efficient appliance</t>
  </si>
  <si>
    <t>simulation</t>
  </si>
  <si>
    <t>students</t>
  </si>
  <si>
    <t>dummy (0/1)</t>
  </si>
  <si>
    <t>Alberini, Bigano</t>
  </si>
  <si>
    <t>opt_out</t>
  </si>
  <si>
    <t>control &amp; treatment</t>
  </si>
  <si>
    <t>online</t>
  </si>
  <si>
    <t>PoC</t>
  </si>
  <si>
    <t>stated preference</t>
  </si>
  <si>
    <t>alphabetical</t>
  </si>
  <si>
    <t>Alberini, Bigano, Boeri</t>
  </si>
  <si>
    <t>Looking for free riding: energy efficiency incentives and Italian homeowners</t>
  </si>
  <si>
    <t>RDD</t>
  </si>
  <si>
    <t>lab</t>
  </si>
  <si>
    <t>dep_var</t>
  </si>
  <si>
    <t>homeowners</t>
  </si>
  <si>
    <t>self-reported behaviour</t>
  </si>
  <si>
    <t>odds ratio</t>
  </si>
  <si>
    <t>Alberini, Towe</t>
  </si>
  <si>
    <t>Information v. energy efficiency incentives: Evidence from residential electricity consumption in Maryland</t>
  </si>
  <si>
    <t>energy use after switching to a more efficient appliance</t>
  </si>
  <si>
    <t>sales agent</t>
  </si>
  <si>
    <t>review</t>
  </si>
  <si>
    <t>tenants</t>
  </si>
  <si>
    <t>binary</t>
  </si>
  <si>
    <t>Allcott, Sweeney</t>
  </si>
  <si>
    <t>The Role of Sales Agents in Information Disclosure: Evidence from a Field Experiment</t>
  </si>
  <si>
    <t>correlation</t>
  </si>
  <si>
    <t>propensity score matching</t>
  </si>
  <si>
    <t>household</t>
  </si>
  <si>
    <t>uncertainty / sample size missing</t>
  </si>
  <si>
    <t>callers</t>
  </si>
  <si>
    <t>Allcott, Taubinsky</t>
  </si>
  <si>
    <t>Evaluating Behaviorally Motivated Policy: Experimental Evidence from the Lightbulb Market</t>
  </si>
  <si>
    <t>quality</t>
  </si>
  <si>
    <t>Anderson, Claxton</t>
  </si>
  <si>
    <t>Barriers to Consumer Choice of Energy Efficient Products</t>
  </si>
  <si>
    <t>case study</t>
  </si>
  <si>
    <t>India</t>
  </si>
  <si>
    <t>Andor, Gerster, Goette</t>
  </si>
  <si>
    <t>How effective is the European Union energy label? Evidence from a real-stakes experiment</t>
  </si>
  <si>
    <t>unclear</t>
  </si>
  <si>
    <t>Russia</t>
  </si>
  <si>
    <t>Asinyaka</t>
  </si>
  <si>
    <t>Willingness to Pay for Energy Efficient Refrigerating Appliances in Accra, Ghana: A Choice Experiment Approach</t>
  </si>
  <si>
    <t>intervention</t>
  </si>
  <si>
    <t>Aydin, Kok, Brounen</t>
  </si>
  <si>
    <t>Energy efficiency and household behavior: the rebound effect in the residential sector</t>
  </si>
  <si>
    <t>no appliance breakdown</t>
  </si>
  <si>
    <t>Nigeria</t>
  </si>
  <si>
    <t>Berman, Cooper, Geller</t>
  </si>
  <si>
    <t>COMPENDIUM OF UTILITY-SPONSORED ENERGY EFFICIENCY REBATE PROGRAMS.</t>
  </si>
  <si>
    <t>Kenya</t>
  </si>
  <si>
    <t>Caldwell, Vaughn, Harrod E, Harrod J</t>
  </si>
  <si>
    <t>Social Marketing-Enhanced Home Energy Education Encourages Adoption of Energy-Saving Practices</t>
  </si>
  <si>
    <t>Malaysia</t>
  </si>
  <si>
    <t>Chun, Jiang</t>
  </si>
  <si>
    <t>How households in Pakistan take on energy efficient lighting technology</t>
  </si>
  <si>
    <t>Australia</t>
  </si>
  <si>
    <t>Analysing the impact of ENERGY STAR rebate policies in the US</t>
  </si>
  <si>
    <t>log-linear model</t>
  </si>
  <si>
    <t>Canada</t>
  </si>
  <si>
    <t>Davis</t>
  </si>
  <si>
    <t>Durable goods and residential demand for energy and water: evidence from a field trial</t>
  </si>
  <si>
    <t>Greece</t>
  </si>
  <si>
    <t>Davis, Fuchs, Gertler</t>
  </si>
  <si>
    <t>coarsened exact matching</t>
  </si>
  <si>
    <t>EU</t>
  </si>
  <si>
    <t>Davis, Metcalf</t>
  </si>
  <si>
    <t>DOES BETTER INFORMATION LEAD TO BETTER CHOICES? EVIDENCE FROM
ENERGY-EFFICIENCY LABELS</t>
  </si>
  <si>
    <t>OLS - FE</t>
  </si>
  <si>
    <t>Austria</t>
  </si>
  <si>
    <t>del Mar Sola, de Ayala, Galarraga</t>
  </si>
  <si>
    <t>The Effect of Providing Monetary Information on Energy Savings for Household Appliances: A Field Trial in Spain</t>
  </si>
  <si>
    <t>OLS - RE</t>
  </si>
  <si>
    <t>Australia, Canada, Chile, France, Israel, Korea, Japan, Netherlands, Spain, Sweden, Switzerland</t>
  </si>
  <si>
    <t>Deutsch</t>
  </si>
  <si>
    <t>The effect of life-cycle cost disclosure on consumer behavior: evidence from a field experiment with cooling appliances</t>
  </si>
  <si>
    <t>Life Cycle Cost Disclosure, Consumer Behavior, and Business Implications: Evidence From an Online Field Experiment</t>
  </si>
  <si>
    <t>France, Germany, Italy, Poland, Romania, Spain, Sweden, UK</t>
  </si>
  <si>
    <t>Dieu-Hang, Grafton, Martinez-Espineira, Garcia-Valinas</t>
  </si>
  <si>
    <t>Household adoption of energy and water-efficient appliances: An analysis of attitudes, labelling and complementary green behaviours in selected OECD countries</t>
  </si>
  <si>
    <t>double bounded contingent valuation model</t>
  </si>
  <si>
    <t>South Korea</t>
  </si>
  <si>
    <t>Dong, Futawatari</t>
  </si>
  <si>
    <t>The study of low-carbon policy influence on consumers' energy efficiency household appliance purchase behavior</t>
  </si>
  <si>
    <t>Pakistan</t>
  </si>
  <si>
    <t>Faure, Guetlein, Schleich</t>
  </si>
  <si>
    <t>Effects of rescaling the EU energy label on household preferences for top-rated appliances</t>
  </si>
  <si>
    <t>difference-in-difference-in-difference</t>
  </si>
  <si>
    <t>Denmark</t>
  </si>
  <si>
    <t>Figueroa, de Moliere, Pegels, Never, Kutzner</t>
  </si>
  <si>
    <t>Show me (more than) the money! Assessing the social and psychological dimensions to energy efficient lighting in Kenya</t>
  </si>
  <si>
    <t>random parameter logit</t>
  </si>
  <si>
    <t>Galaraga, Heres, Gonzalez, Eguino</t>
  </si>
  <si>
    <t>Price premium for high-efficiency refrigerators and calculation of price-elasticities for close-substitutes: a methodology using hedonic pricing and demand systems</t>
  </si>
  <si>
    <t>VAR</t>
  </si>
  <si>
    <t>Galarraga, Gonzalez-Eguino, Markandya</t>
  </si>
  <si>
    <t>Willingness to pay and price elasticities of demand for energy-efficient appliances: Combining the hedonic approach and demand systems</t>
  </si>
  <si>
    <t>Gana, Hoppe</t>
  </si>
  <si>
    <t>Assessment of the Governance System Regarding Adoption of Energy Efficient Appliances by Households in Nigeria</t>
  </si>
  <si>
    <t>generalised linear mixed modelling</t>
  </si>
  <si>
    <t>Ghozali, Kaneko</t>
  </si>
  <si>
    <t>Consumer behavior and ecolabeling</t>
  </si>
  <si>
    <t>Goto H, Goto M, Sueyoshi</t>
  </si>
  <si>
    <t>Consumer choice on ecologically efficient water heaters: Marketing strategy and policy implications in Japan</t>
  </si>
  <si>
    <t xml:space="preserve">France, Slovenia, Szech Republic, Portugal </t>
  </si>
  <si>
    <t>Granda, Birner, Aron, Woodward</t>
  </si>
  <si>
    <t>The IFC/GEF Poland Efficient Lighting Project (PELP) final results</t>
  </si>
  <si>
    <t>Haas</t>
  </si>
  <si>
    <t>Some empirical findings of an Austrian appliance turn-in program</t>
  </si>
  <si>
    <t>Hafner, Elmes, Read, White</t>
  </si>
  <si>
    <t>Exploring the role of normative, financial and environmental information in promoting uptake of energy efficient technologies</t>
  </si>
  <si>
    <t>Harajli, Chalak</t>
  </si>
  <si>
    <t>Willingness to Pay for Energy Efficient Appliances: The Case of Lebanese Consumers</t>
  </si>
  <si>
    <t>Harrington</t>
  </si>
  <si>
    <t>Quantifying energy savings from replacement of old refrigerators</t>
  </si>
  <si>
    <t>Heinzle</t>
  </si>
  <si>
    <t>Disclosure of energy operating cost information: A silver bullet for overcoming the energy-efficiency gap?</t>
  </si>
  <si>
    <t>Heinzle, Wüstenhagen</t>
  </si>
  <si>
    <t>Disimproving the European Energy Label's value for consumers? Results from a consumer survey</t>
  </si>
  <si>
    <t>Dynamic Adjustment of Eco-labeling Schemes and Consumer Choice - the Revision of the EU Energy Label as a Missed Opportunity?: Dynamic Adjustment of Eco-labelling Schemes &amp; Consumer Choice</t>
  </si>
  <si>
    <t>Hirst, Carney, O'Neal</t>
  </si>
  <si>
    <t>Alternative technologies for US residential water heating. Energy savings and economic benefits</t>
  </si>
  <si>
    <t>Hlakotsa, Lencwe, Ngobeni, Chowdhury</t>
  </si>
  <si>
    <t>Energy Efficient Water Heating using Air Source Heat Pumps</t>
  </si>
  <si>
    <t>Consumers' Response to State Energy Efficient Appliance Rebate Programs</t>
  </si>
  <si>
    <t>Ito, Ida, Tanaka</t>
  </si>
  <si>
    <t>Jain, Rao, Patwardhan</t>
  </si>
  <si>
    <t>Consumer preference for labels in the purchase decisions of air conditioners in India</t>
  </si>
  <si>
    <t>Jeong, Kim</t>
  </si>
  <si>
    <t>The effects of energy efficiency and environmental labels on appliance choice in South Korea</t>
  </si>
  <si>
    <t>Kallbekken, Saelen, Hermansen</t>
  </si>
  <si>
    <t>Bridging the Energy Efficiency Gap: A Field Experiment on Lifetime Energy Costs and Household Appliances</t>
  </si>
  <si>
    <t>Kusaka, Kojima, Watanabe</t>
  </si>
  <si>
    <t>Environmental consciousness, economic gain and consumer choice of energy efficient appliances in Thailand, China and India</t>
  </si>
  <si>
    <t>Li, Cao</t>
  </si>
  <si>
    <t>Effectiveness of China's Labeling and Incentive Programs for Household Energy Conservation and Policy Implications</t>
  </si>
  <si>
    <t>Liang, Liu, Qiu, Wang, Xing</t>
  </si>
  <si>
    <t>Time-of-Use Electricity Pricing and Residential Low-carbon Energy Technology Adoption</t>
  </si>
  <si>
    <t>Liddle, Loi, Owen, Tao</t>
  </si>
  <si>
    <t>Evaluating consumption and cost savings from new air-conditioner purchases: The case of Singapore</t>
  </si>
  <si>
    <t>Liu, Jin</t>
  </si>
  <si>
    <t>Visualisation approach and economic incentives toward low carbon practices in households: A survey study in Hyogo, Japan</t>
  </si>
  <si>
    <t>London Economics</t>
  </si>
  <si>
    <t>Study on the impact of the energy label – and potential changes to it – on consumer understanding and on purchase decisions</t>
  </si>
  <si>
    <t>Ma, Yu, Urban</t>
  </si>
  <si>
    <t>Green transition of energy systems in rural China: National survey evidence of households' discrete choices on water heaters</t>
  </si>
  <si>
    <t>Mahlia, Masjuki, Choudhury, Ghazali</t>
  </si>
  <si>
    <t>Economical and environmental impact of room air conditioners energy labels in Malaysia</t>
  </si>
  <si>
    <t>Menita, Domingos, Domingues, Alves, Calixto, Garcia, Faria, Miguel</t>
  </si>
  <si>
    <t>Measurement and verification in energy efficiency projects involving solar water heating systems in homes of low-income families - Case studies</t>
  </si>
  <si>
    <t>Mills, Schleich</t>
  </si>
  <si>
    <t>What's driving energy efficient appliance label awareness and purchase propensity?</t>
  </si>
  <si>
    <t>Min, Azevedo, Michalek, de Bruin</t>
  </si>
  <si>
    <t>Labeling energy cost on light bulbs lowers implicit discount rates</t>
  </si>
  <si>
    <t>Mizobuchi, Takeuchi</t>
  </si>
  <si>
    <t>Replacement or additional purchase: The impact of energy-efficient appliances on household electricity saving under public pressures</t>
  </si>
  <si>
    <t>Modic</t>
  </si>
  <si>
    <t>Energy use in households</t>
  </si>
  <si>
    <t>Nakano, Zusman, Nugroho, Kaswanto, Arifin N, Munandar, Arifin HS, Muchtar, Gomi, Fujita</t>
  </si>
  <si>
    <t>Determinants of energy savings in Indonesia: The case of LED lighting in Bogor</t>
  </si>
  <si>
    <t>Neves, Oliveira</t>
  </si>
  <si>
    <t>Drivers of consumers' change to an energy-efficient heating appliance (EEHA) in households: Evidence from five European countries</t>
  </si>
  <si>
    <t>Nishijima, Kagawa, Nansai, Oguchi</t>
  </si>
  <si>
    <t>Effects of product replacement programs on climate change</t>
  </si>
  <si>
    <t>Ohler, Loomis, Ilves</t>
  </si>
  <si>
    <t>A study of electricity savings from energy star appliances using household survey data</t>
  </si>
  <si>
    <t>Olsthoorn, Schleich, Gassmann, Faure</t>
  </si>
  <si>
    <t>Free riding and rebates for residential energy efficiency upgrades: A multi-country contingent valuation experiment</t>
  </si>
  <si>
    <t>Onuma, Matsumoto, Arimura</t>
  </si>
  <si>
    <t>How much household electricity consumption is actually saved by replacement with Light-Emitting Diodes (LEDs)?</t>
  </si>
  <si>
    <t>Orset</t>
  </si>
  <si>
    <t>Is information a good policy instrument to influence the energy behaviour of households?</t>
  </si>
  <si>
    <t>Peters, McWhinnie</t>
  </si>
  <si>
    <t>On the rebound: estimating direct rebound effects for Australian households</t>
  </si>
  <si>
    <t>Radpour, Mondal, Kumar</t>
  </si>
  <si>
    <t>Market penetration modeling of high energy efficiency appliances in the residential sector</t>
  </si>
  <si>
    <t>Raynaud, Osso, Bourges, Duplessis, Adnot</t>
  </si>
  <si>
    <t>Evidence of an indirect rebound effect with reveresible heat pumps: having air conditioning but not using it?</t>
  </si>
  <si>
    <t>Ren, Tibbs, McLauchlan, Ma, Harrington</t>
  </si>
  <si>
    <t>Refrigerator cost trap for low-income households: Developments in measurement and verification of appliance replacements</t>
  </si>
  <si>
    <t>Revelt, Train</t>
  </si>
  <si>
    <t>MIXED LOGIT WITH REPEATED CHOICES: HOUSEHOLDS’ CHOICES
OF APPLIANCE EFFICIENCY LEVEL</t>
  </si>
  <si>
    <t>Mixed logit with repeated choices: households' choices of appliance efficiency level</t>
  </si>
  <si>
    <t>Ridge</t>
  </si>
  <si>
    <t>Energy Conservation for Low-Income Households: The Evaporative Cooler Experience</t>
  </si>
  <si>
    <t>Sammer, Wuestenhagen</t>
  </si>
  <si>
    <t>The influence of eco-labelling on consumer behaviour – results of a discrete choice analysis for washing machines</t>
  </si>
  <si>
    <t>How effective are EU minimum energy performance standards and energy labels for cold appliances?</t>
  </si>
  <si>
    <t>Schultz, Colehour, Vohr, Bonn, Bullock, Sadler</t>
  </si>
  <si>
    <t>Using Social Marketing to Spur Residential Adoption of ENERGY STAR®-Certified LED Lighting</t>
  </si>
  <si>
    <t>Skourtos, Damigos, Tourkolias, Kontogianni</t>
  </si>
  <si>
    <t>Efficient energy labelling: the impact of information content and style on product choice</t>
  </si>
  <si>
    <t>Stadelmann, Schubert</t>
  </si>
  <si>
    <t>How Do Different Designs of Energy Labels Influence Purchases of Household Appliances? A Field Study in Switzerland</t>
  </si>
  <si>
    <t>Suffolk, Poortinga</t>
  </si>
  <si>
    <t>Behavioural changes after energy efficiency improvements in residential properties</t>
  </si>
  <si>
    <t>Sulyma, Chin, Du Pont, Ference, Martin, Phumaraphand, Tiedemann, Wikler, Zariffa</t>
  </si>
  <si>
    <t>Taking the pulse of Thailand's DSM market transformation programs</t>
  </si>
  <si>
    <t>Sun</t>
  </si>
  <si>
    <t>Heterogeneous direct rebound effect: Theory and evidence from the Energy Star program</t>
  </si>
  <si>
    <t>Train, Atherton</t>
  </si>
  <si>
    <t>REBATES, LOANS, AND CUSTOMERS CHOICE OF APPLIANCE EFFICIENCY LEVEL - COMBINING STATED AND REVEALED-PREFERENCE DATA</t>
  </si>
  <si>
    <t>Free Riding, Upsizing, and Energy Efﬁciency Incentives in Maryland Homes</t>
  </si>
  <si>
    <t>Turdaliev</t>
  </si>
  <si>
    <t>Increasing Block Rate Electricity Pricing and Propensity to Purchase Electrical Appliances: Evidence from a Natural Experiment in Russia</t>
  </si>
  <si>
    <t>Ward, Clark, Jensen, Yen, Russell</t>
  </si>
  <si>
    <t>Factors influencing willingness-to-pay for the ENERGY STAR (R) label</t>
  </si>
  <si>
    <t>Wasi, Carson</t>
  </si>
  <si>
    <t>The influence of rebate programs on the demand for water heaters: The case of New South Wales</t>
  </si>
  <si>
    <t>Webber, Brown, Koomey</t>
  </si>
  <si>
    <t>Savings estimates for the ENERGY STAR (R) voluntary labeling program</t>
  </si>
  <si>
    <t>Yao, Liu, Yan</t>
  </si>
  <si>
    <t>A quantile approach to assess the effectiveness of the subsidy policy for energy-efficient home appliances: Evidence from Rizhao, China</t>
  </si>
  <si>
    <t>Zha, Yang, Wang, Zhou</t>
  </si>
  <si>
    <t>Appliance energy labels and consumer heterogeneity: A latent class approach based on a discrete choice experiment in China</t>
  </si>
  <si>
    <t>Bjerregaard, Møller</t>
  </si>
  <si>
    <t>The Impact of EU's energy labeling policy: An econometric analysis of inceased transparency in the market of cold appliances in Denmark</t>
  </si>
  <si>
    <t>Zhou, Bukenya</t>
  </si>
  <si>
    <t>Information inefficiency and willingness-to-pay forenergy-efficient technology: A stated preference approach for China Energy Label</t>
  </si>
  <si>
    <t>Newell, Siikamäki</t>
  </si>
  <si>
    <t>Nudging Energy Efficiency Behavior: The Role of Information Labels</t>
  </si>
  <si>
    <t>Shen, Saijo</t>
  </si>
  <si>
    <t>Does an energy efficiency label alter consumers’ purchasing decisions? A latent
class approach based on a stated choice experiment in Shanghai</t>
  </si>
  <si>
    <t>Li, Clark, Jensen, Yen</t>
  </si>
  <si>
    <t>The Effect of Mail-in Utility Rebates on Willingness-to-Pay for ENERGY STAR® Certified Refrigerators</t>
  </si>
  <si>
    <t>Alberini, Gans, Towe</t>
  </si>
  <si>
    <t>DECC</t>
  </si>
  <si>
    <t>Oländer, Thogersen</t>
  </si>
  <si>
    <t>Informing Versus Nudging in Environmental Policy</t>
  </si>
  <si>
    <t>dishwasher</t>
  </si>
  <si>
    <t>counterfactual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</si>
</sst>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_);[Red]\(0.00\)"/>
    <numFmt numFmtId="165" formatCode="#,##0.000"/>
    <numFmt numFmtId="166" formatCode="0.000"/>
    <numFmt numFmtId="167" formatCode="0.000_);[Red]\(0.000\)"/>
    <numFmt numFmtId="168" formatCode="0.0000_);[Red]\(0.0000\)"/>
    <numFmt numFmtId="169" formatCode="0.00000_);[Red]\(0.00000\)"/>
    <numFmt numFmtId="170" formatCode="0.0000000"/>
    <numFmt numFmtId="171" formatCode="0.0000"/>
    <numFmt numFmtId="172" formatCode="0.0000;[Red]0.0000"/>
  </numFmts>
  <fonts count="38">
    <font>
      <sz val="12"/>
      <color theme="1"/>
      <name val="Calibri"/>
      <family val="2"/>
      <scheme val="minor"/>
    </font>
    <font>
      <b/>
      <sz val="11"/>
      <name val="Calibri"/>
      <family val="2"/>
      <scheme val="minor"/>
    </font>
    <font>
      <b/>
      <sz val="12"/>
      <color theme="1"/>
      <name val="Calibri (Body)"/>
    </font>
    <font>
      <b/>
      <sz val="12"/>
      <name val="Calibri (Body)"/>
    </font>
    <font>
      <b/>
      <sz val="11"/>
      <color theme="1"/>
      <name val="Calibri"/>
      <family val="2"/>
      <scheme val="minor"/>
    </font>
    <font>
      <sz val="12"/>
      <color theme="1"/>
      <name val="Calibri"/>
      <family val="2"/>
    </font>
    <font>
      <sz val="12"/>
      <color rgb="FF000000"/>
      <name val="Calibri"/>
      <family val="2"/>
      <charset val="1"/>
    </font>
    <font>
      <sz val="12"/>
      <color rgb="FF111111"/>
      <name val="Calibri"/>
      <family val="2"/>
      <charset val="1"/>
    </font>
    <font>
      <sz val="12"/>
      <color rgb="FF000000"/>
      <name val="Calibri"/>
      <family val="2"/>
    </font>
    <font>
      <sz val="11"/>
      <color rgb="FF444444"/>
      <name val="Calibri"/>
      <family val="2"/>
    </font>
    <font>
      <sz val="11"/>
      <color rgb="FF202124"/>
      <name val="Calibri"/>
      <family val="2"/>
    </font>
    <font>
      <sz val="11"/>
      <color rgb="FF444444"/>
      <name val="Calibri"/>
      <family val="2"/>
      <charset val="1"/>
    </font>
    <font>
      <sz val="12"/>
      <color rgb="FF000000"/>
      <name val="Calibri"/>
      <family val="2"/>
      <scheme val="minor"/>
    </font>
    <font>
      <sz val="12"/>
      <color theme="1"/>
      <name val="TimesNewRoman"/>
    </font>
    <font>
      <sz val="9"/>
      <color rgb="FF111111"/>
      <name val="AdvTT3713a231"/>
    </font>
    <font>
      <sz val="13"/>
      <color theme="1"/>
      <name val="AdvOT596495f2"/>
    </font>
    <font>
      <sz val="13"/>
      <color theme="1"/>
      <name val="AdvOT596495f2+fb"/>
    </font>
    <font>
      <sz val="7"/>
      <color theme="1"/>
      <name val="AdvOT596495f2"/>
    </font>
    <font>
      <sz val="7"/>
      <color theme="1"/>
      <name val="AdvOT596495f2+fb"/>
    </font>
    <font>
      <b/>
      <sz val="12"/>
      <name val="Calibri"/>
      <family val="2"/>
      <scheme val="minor"/>
    </font>
    <font>
      <sz val="12"/>
      <color theme="1"/>
      <name val="Code2000"/>
    </font>
    <font>
      <sz val="12"/>
      <color theme="1"/>
      <name val="Calibri (Body)"/>
    </font>
    <font>
      <b/>
      <sz val="12"/>
      <color theme="1"/>
      <name val="Calibri"/>
      <family val="2"/>
      <scheme val="minor"/>
    </font>
    <font>
      <sz val="11"/>
      <color theme="1"/>
      <name val="Calibri"/>
      <family val="2"/>
      <scheme val="minor"/>
    </font>
    <font>
      <sz val="12"/>
      <name val="Calibri"/>
      <family val="2"/>
      <scheme val="minor"/>
    </font>
    <font>
      <sz val="8"/>
      <name val="Calibri"/>
      <family val="2"/>
      <scheme val="minor"/>
    </font>
    <font>
      <sz val="12"/>
      <color theme="1"/>
      <name val="Calibri"/>
      <family val="2"/>
      <scheme val="minor"/>
    </font>
    <font>
      <sz val="11"/>
      <name val="Calibri"/>
      <family val="2"/>
      <scheme val="minor"/>
    </font>
    <font>
      <sz val="11"/>
      <color rgb="FF000000"/>
      <name val="Calibri"/>
      <family val="2"/>
      <scheme val="minor"/>
    </font>
    <font>
      <sz val="12"/>
      <color rgb="FFFF0000"/>
      <name val="Calibri"/>
      <family val="2"/>
      <scheme val="minor"/>
    </font>
    <font>
      <u/>
      <sz val="12"/>
      <color theme="10"/>
      <name val="Calibri"/>
      <family val="2"/>
      <scheme val="minor"/>
    </font>
    <font>
      <sz val="12"/>
      <color rgb="FFFF0000"/>
      <name val="Calibri (Body)"/>
    </font>
    <font>
      <b/>
      <sz val="12"/>
      <color rgb="FF000000"/>
      <name val="Calibri"/>
      <family val="2"/>
    </font>
    <font>
      <sz val="12"/>
      <color rgb="FFFF0000"/>
      <name val="Calibri"/>
      <family val="2"/>
      <charset val="1"/>
    </font>
    <font>
      <sz val="12"/>
      <color rgb="FFFF0000"/>
      <name val="Calibri"/>
      <family val="2"/>
    </font>
    <font>
      <sz val="12"/>
      <color theme="1"/>
      <name val="Calibri"/>
      <family val="2"/>
      <charset val="1"/>
    </font>
    <font>
      <sz val="12"/>
      <name val="Calibri (Body)"/>
    </font>
    <font>
      <sz val="12"/>
      <name val="Calibri"/>
      <family val="2"/>
      <charset val="1"/>
    </font>
  </fonts>
  <fills count="20">
    <fill>
      <patternFill patternType="none"/>
    </fill>
    <fill>
      <patternFill patternType="gray125"/>
    </fill>
    <fill>
      <patternFill patternType="solid">
        <fgColor theme="0"/>
        <bgColor theme="9"/>
      </patternFill>
    </fill>
    <fill>
      <patternFill patternType="solid">
        <fgColor rgb="FFF2F2F2"/>
        <bgColor indexed="64"/>
      </patternFill>
    </fill>
    <fill>
      <patternFill patternType="solid">
        <fgColor rgb="FFFFF2CC"/>
        <bgColor indexed="64"/>
      </patternFill>
    </fill>
    <fill>
      <patternFill patternType="solid">
        <fgColor rgb="FFFFFFFF"/>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theme="9"/>
      </patternFill>
    </fill>
    <fill>
      <patternFill patternType="solid">
        <fgColor theme="6" tint="0.79998168889431442"/>
        <bgColor indexed="64"/>
      </patternFill>
    </fill>
    <fill>
      <patternFill patternType="solid">
        <fgColor theme="7" tint="0.79998168889431442"/>
        <bgColor theme="9"/>
      </patternFill>
    </fill>
    <fill>
      <patternFill patternType="solid">
        <fgColor theme="9" tint="0.79998168889431442"/>
        <bgColor theme="9"/>
      </patternFill>
    </fill>
    <fill>
      <patternFill patternType="solid">
        <fgColor rgb="FFFFFF00"/>
        <bgColor indexed="64"/>
      </patternFill>
    </fill>
    <fill>
      <patternFill patternType="solid">
        <fgColor rgb="FFD9E1F2"/>
        <bgColor indexed="64"/>
      </patternFill>
    </fill>
    <fill>
      <patternFill patternType="solid">
        <fgColor rgb="FFFCE4D6"/>
        <bgColor indexed="64"/>
      </patternFill>
    </fill>
    <fill>
      <patternFill patternType="solid">
        <fgColor theme="2"/>
        <bgColor indexed="64"/>
      </patternFill>
    </fill>
    <fill>
      <patternFill patternType="solid">
        <fgColor rgb="FFFFF2CC"/>
        <bgColor rgb="FF000000"/>
      </patternFill>
    </fill>
  </fills>
  <borders count="10">
    <border>
      <left/>
      <right/>
      <top/>
      <bottom/>
      <diagonal/>
    </border>
    <border>
      <left style="thin">
        <color theme="9" tint="0.39997558519241921"/>
      </left>
      <right/>
      <top style="thin">
        <color theme="9" tint="0.39997558519241921"/>
      </top>
      <bottom style="thin">
        <color theme="9" tint="0.39997558519241921"/>
      </bottom>
      <diagonal/>
    </border>
    <border>
      <left style="thin">
        <color indexed="64"/>
      </left>
      <right/>
      <top/>
      <bottom/>
      <diagonal/>
    </border>
    <border>
      <left/>
      <right style="thin">
        <color indexed="64"/>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right style="thin">
        <color rgb="FF000000"/>
      </right>
      <top/>
      <bottom/>
      <diagonal/>
    </border>
    <border>
      <left style="thin">
        <color theme="9" tint="0.39997558519241921"/>
      </left>
      <right style="thin">
        <color rgb="FF000000"/>
      </right>
      <top style="thin">
        <color theme="9" tint="0.39997558519241921"/>
      </top>
      <bottom style="thin">
        <color theme="9" tint="0.39997558519241921"/>
      </bottom>
      <diagonal/>
    </border>
    <border>
      <left/>
      <right style="thin">
        <color rgb="FF000000"/>
      </right>
      <top style="thin">
        <color theme="9" tint="0.39997558519241921"/>
      </top>
      <bottom style="thin">
        <color theme="9" tint="0.39997558519241921"/>
      </bottom>
      <diagonal/>
    </border>
    <border>
      <left style="thin">
        <color rgb="FF000000"/>
      </left>
      <right/>
      <top style="thin">
        <color theme="9" tint="0.39997558519241921"/>
      </top>
      <bottom style="thin">
        <color theme="9" tint="0.39997558519241921"/>
      </bottom>
      <diagonal/>
    </border>
  </borders>
  <cellStyleXfs count="3">
    <xf numFmtId="0" fontId="0" fillId="0" borderId="0"/>
    <xf numFmtId="9" fontId="26" fillId="0" borderId="0" applyFont="0" applyFill="0" applyBorder="0" applyAlignment="0" applyProtection="0"/>
    <xf numFmtId="0" fontId="30" fillId="0" borderId="0" applyNumberFormat="0" applyFill="0" applyBorder="0" applyAlignment="0" applyProtection="0"/>
  </cellStyleXfs>
  <cellXfs count="132">
    <xf numFmtId="0" fontId="0" fillId="0" borderId="0" xfId="0"/>
    <xf numFmtId="0" fontId="1" fillId="2" borderId="1" xfId="0" applyFont="1" applyFill="1" applyBorder="1" applyAlignment="1">
      <alignment wrapText="1"/>
    </xf>
    <xf numFmtId="0" fontId="2" fillId="0" borderId="0" xfId="0" applyFont="1"/>
    <xf numFmtId="0" fontId="3" fillId="2" borderId="1" xfId="0" applyFont="1" applyFill="1" applyBorder="1" applyAlignment="1">
      <alignment wrapText="1"/>
    </xf>
    <xf numFmtId="0" fontId="2" fillId="0" borderId="2" xfId="0" applyFont="1" applyBorder="1"/>
    <xf numFmtId="0" fontId="2" fillId="0" borderId="0" xfId="0" applyFont="1" applyAlignment="1">
      <alignment wrapText="1"/>
    </xf>
    <xf numFmtId="0" fontId="2" fillId="0" borderId="3" xfId="0" applyFont="1" applyBorder="1"/>
    <xf numFmtId="164" fontId="0" fillId="0" borderId="0" xfId="0" applyNumberFormat="1"/>
    <xf numFmtId="0" fontId="1" fillId="2" borderId="4" xfId="0" applyFont="1" applyFill="1" applyBorder="1" applyAlignment="1">
      <alignment wrapText="1"/>
    </xf>
    <xf numFmtId="0" fontId="4" fillId="0" borderId="5" xfId="0" applyFont="1" applyBorder="1"/>
    <xf numFmtId="0" fontId="5" fillId="0" borderId="0" xfId="0" applyFont="1"/>
    <xf numFmtId="0" fontId="6" fillId="0" borderId="0" xfId="0" applyFont="1"/>
    <xf numFmtId="0" fontId="0" fillId="3" borderId="0" xfId="0" applyFill="1"/>
    <xf numFmtId="0" fontId="2" fillId="3" borderId="2" xfId="0" applyFont="1" applyFill="1" applyBorder="1"/>
    <xf numFmtId="0" fontId="0" fillId="4" borderId="0" xfId="0" applyFill="1"/>
    <xf numFmtId="0" fontId="6" fillId="5" borderId="0" xfId="0" applyFont="1" applyFill="1"/>
    <xf numFmtId="166" fontId="0" fillId="0" borderId="0" xfId="0" applyNumberFormat="1"/>
    <xf numFmtId="0" fontId="0" fillId="5" borderId="0" xfId="0" applyFill="1"/>
    <xf numFmtId="0" fontId="8" fillId="0" borderId="0" xfId="0" applyFont="1"/>
    <xf numFmtId="0" fontId="11" fillId="0" borderId="0" xfId="0" quotePrefix="1" applyFont="1"/>
    <xf numFmtId="164" fontId="0" fillId="5" borderId="0" xfId="0" applyNumberFormat="1" applyFill="1"/>
    <xf numFmtId="168" fontId="0" fillId="0" borderId="0" xfId="0" applyNumberFormat="1"/>
    <xf numFmtId="0" fontId="13" fillId="0" borderId="0" xfId="0" applyFont="1"/>
    <xf numFmtId="0" fontId="1" fillId="0" borderId="1" xfId="0" applyFont="1" applyBorder="1" applyAlignment="1">
      <alignment wrapText="1"/>
    </xf>
    <xf numFmtId="0" fontId="1" fillId="5" borderId="1" xfId="0" applyFont="1" applyFill="1" applyBorder="1" applyAlignment="1">
      <alignment wrapText="1"/>
    </xf>
    <xf numFmtId="169" fontId="0" fillId="0" borderId="0" xfId="0" applyNumberFormat="1"/>
    <xf numFmtId="0" fontId="0" fillId="0" borderId="0" xfId="0" applyAlignment="1">
      <alignment wrapText="1"/>
    </xf>
    <xf numFmtId="0" fontId="0" fillId="0" borderId="0" xfId="0" applyAlignment="1">
      <alignment horizontal="right"/>
    </xf>
    <xf numFmtId="170" fontId="4" fillId="0" borderId="5" xfId="0" applyNumberFormat="1" applyFont="1" applyBorder="1"/>
    <xf numFmtId="170" fontId="19" fillId="2" borderId="0" xfId="0" applyNumberFormat="1" applyFont="1" applyFill="1" applyAlignment="1">
      <alignment wrapText="1"/>
    </xf>
    <xf numFmtId="170" fontId="0" fillId="0" borderId="0" xfId="0" applyNumberFormat="1"/>
    <xf numFmtId="0" fontId="10" fillId="0" borderId="0" xfId="0" applyFont="1"/>
    <xf numFmtId="0" fontId="12" fillId="0" borderId="0" xfId="0" applyFont="1"/>
    <xf numFmtId="164" fontId="12" fillId="0" borderId="0" xfId="0" applyNumberFormat="1" applyFont="1"/>
    <xf numFmtId="0" fontId="11" fillId="0" borderId="0" xfId="0" applyFont="1"/>
    <xf numFmtId="165" fontId="0" fillId="0" borderId="0" xfId="0" applyNumberFormat="1"/>
    <xf numFmtId="0" fontId="9" fillId="0" borderId="0" xfId="0" applyFont="1"/>
    <xf numFmtId="0" fontId="22" fillId="0" borderId="0" xfId="0" applyFont="1" applyAlignment="1">
      <alignment wrapText="1"/>
    </xf>
    <xf numFmtId="0" fontId="19" fillId="2" borderId="1" xfId="0" applyFont="1" applyFill="1" applyBorder="1"/>
    <xf numFmtId="0" fontId="22" fillId="0" borderId="0" xfId="0" applyFont="1"/>
    <xf numFmtId="0" fontId="0" fillId="15" borderId="0" xfId="0" applyFill="1" applyAlignment="1">
      <alignment wrapText="1"/>
    </xf>
    <xf numFmtId="0" fontId="0" fillId="15" borderId="0" xfId="0" applyFill="1"/>
    <xf numFmtId="0" fontId="2" fillId="15" borderId="0" xfId="0" applyFont="1" applyFill="1"/>
    <xf numFmtId="0" fontId="8" fillId="15" borderId="0" xfId="0" applyFont="1" applyFill="1"/>
    <xf numFmtId="0" fontId="23" fillId="0" borderId="0" xfId="0" applyFont="1" applyAlignment="1">
      <alignment vertical="center"/>
    </xf>
    <xf numFmtId="0" fontId="5" fillId="15" borderId="0" xfId="0" applyFont="1" applyFill="1"/>
    <xf numFmtId="0" fontId="27" fillId="0" borderId="0" xfId="0" applyFont="1"/>
    <xf numFmtId="0" fontId="27" fillId="15" borderId="0" xfId="0" applyFont="1" applyFill="1"/>
    <xf numFmtId="164" fontId="0" fillId="15" borderId="0" xfId="0" applyNumberFormat="1" applyFill="1"/>
    <xf numFmtId="168" fontId="0" fillId="15" borderId="0" xfId="0" applyNumberFormat="1" applyFill="1"/>
    <xf numFmtId="0" fontId="12" fillId="15" borderId="0" xfId="0" applyFont="1" applyFill="1"/>
    <xf numFmtId="170" fontId="0" fillId="15" borderId="0" xfId="0" applyNumberFormat="1" applyFill="1"/>
    <xf numFmtId="0" fontId="11" fillId="15" borderId="0" xfId="0" quotePrefix="1" applyFont="1" applyFill="1"/>
    <xf numFmtId="167" fontId="0" fillId="15" borderId="0" xfId="0" applyNumberFormat="1" applyFill="1"/>
    <xf numFmtId="0" fontId="6" fillId="15" borderId="0" xfId="0" applyFont="1" applyFill="1"/>
    <xf numFmtId="0" fontId="13" fillId="15" borderId="0" xfId="0" applyFont="1" applyFill="1"/>
    <xf numFmtId="0" fontId="22" fillId="15" borderId="0" xfId="0" applyFont="1" applyFill="1"/>
    <xf numFmtId="0" fontId="28" fillId="0" borderId="0" xfId="0" applyFont="1"/>
    <xf numFmtId="0" fontId="2" fillId="10" borderId="0" xfId="0" applyFont="1" applyFill="1"/>
    <xf numFmtId="0" fontId="3" fillId="10" borderId="1" xfId="0" applyFont="1" applyFill="1" applyBorder="1"/>
    <xf numFmtId="0" fontId="3" fillId="10" borderId="0" xfId="0" applyFont="1" applyFill="1"/>
    <xf numFmtId="0" fontId="22" fillId="10" borderId="0" xfId="0" applyFont="1" applyFill="1"/>
    <xf numFmtId="0" fontId="2" fillId="10" borderId="6" xfId="0" applyFont="1" applyFill="1" applyBorder="1"/>
    <xf numFmtId="0" fontId="2" fillId="7" borderId="0" xfId="0" applyFont="1" applyFill="1"/>
    <xf numFmtId="0" fontId="22" fillId="13" borderId="4" xfId="0" applyFont="1" applyFill="1" applyBorder="1"/>
    <xf numFmtId="0" fontId="22" fillId="17" borderId="9" xfId="0" applyFont="1" applyFill="1" applyBorder="1"/>
    <xf numFmtId="0" fontId="22" fillId="17" borderId="1" xfId="0" applyFont="1" applyFill="1" applyBorder="1"/>
    <xf numFmtId="0" fontId="22" fillId="9" borderId="1" xfId="0" applyFont="1" applyFill="1" applyBorder="1"/>
    <xf numFmtId="0" fontId="22" fillId="17" borderId="0" xfId="0" applyFont="1" applyFill="1"/>
    <xf numFmtId="0" fontId="22" fillId="17" borderId="4" xfId="0" applyFont="1" applyFill="1" applyBorder="1"/>
    <xf numFmtId="0" fontId="22" fillId="17" borderId="8" xfId="0" applyFont="1" applyFill="1" applyBorder="1"/>
    <xf numFmtId="0" fontId="2" fillId="6" borderId="2" xfId="0" applyFont="1" applyFill="1" applyBorder="1"/>
    <xf numFmtId="0" fontId="2" fillId="6" borderId="0" xfId="0" applyFont="1" applyFill="1"/>
    <xf numFmtId="0" fontId="2" fillId="8" borderId="2" xfId="0" applyFont="1" applyFill="1" applyBorder="1"/>
    <xf numFmtId="0" fontId="2" fillId="8" borderId="0" xfId="0" applyFont="1" applyFill="1"/>
    <xf numFmtId="0" fontId="2" fillId="10" borderId="2" xfId="0" applyFont="1" applyFill="1" applyBorder="1"/>
    <xf numFmtId="0" fontId="3" fillId="14" borderId="1" xfId="0" applyFont="1" applyFill="1" applyBorder="1"/>
    <xf numFmtId="0" fontId="19" fillId="14" borderId="1" xfId="0" applyFont="1" applyFill="1" applyBorder="1"/>
    <xf numFmtId="0" fontId="19" fillId="14" borderId="7" xfId="0" applyFont="1" applyFill="1" applyBorder="1"/>
    <xf numFmtId="0" fontId="19" fillId="14" borderId="4" xfId="0" applyFont="1" applyFill="1" applyBorder="1"/>
    <xf numFmtId="0" fontId="19" fillId="7" borderId="4" xfId="0" applyFont="1" applyFill="1" applyBorder="1"/>
    <xf numFmtId="0" fontId="19" fillId="7" borderId="1" xfId="0" applyFont="1" applyFill="1" applyBorder="1"/>
    <xf numFmtId="0" fontId="19" fillId="7" borderId="7" xfId="0" applyFont="1" applyFill="1" applyBorder="1"/>
    <xf numFmtId="0" fontId="19" fillId="11" borderId="4" xfId="0" applyFont="1" applyFill="1" applyBorder="1"/>
    <xf numFmtId="0" fontId="19" fillId="11" borderId="1" xfId="0" applyFont="1" applyFill="1" applyBorder="1"/>
    <xf numFmtId="0" fontId="19" fillId="11" borderId="7" xfId="0" applyFont="1" applyFill="1" applyBorder="1"/>
    <xf numFmtId="0" fontId="19" fillId="12" borderId="4" xfId="0" applyFont="1" applyFill="1" applyBorder="1"/>
    <xf numFmtId="0" fontId="19" fillId="12" borderId="1" xfId="0" applyFont="1" applyFill="1" applyBorder="1"/>
    <xf numFmtId="0" fontId="22" fillId="16" borderId="4" xfId="0" applyFont="1" applyFill="1" applyBorder="1"/>
    <xf numFmtId="0" fontId="22" fillId="16" borderId="1" xfId="0" applyFont="1" applyFill="1" applyBorder="1"/>
    <xf numFmtId="0" fontId="22" fillId="16" borderId="7" xfId="0" applyFont="1" applyFill="1" applyBorder="1"/>
    <xf numFmtId="170" fontId="19" fillId="2" borderId="0" xfId="0" applyNumberFormat="1" applyFont="1" applyFill="1"/>
    <xf numFmtId="170" fontId="22" fillId="0" borderId="0" xfId="0" applyNumberFormat="1" applyFont="1"/>
    <xf numFmtId="0" fontId="21" fillId="0" borderId="0" xfId="0" applyFont="1"/>
    <xf numFmtId="0" fontId="7" fillId="0" borderId="0" xfId="0" applyFont="1"/>
    <xf numFmtId="0" fontId="29" fillId="0" borderId="0" xfId="0" applyFont="1"/>
    <xf numFmtId="170" fontId="24" fillId="0" borderId="0" xfId="0" applyNumberFormat="1" applyFont="1"/>
    <xf numFmtId="0" fontId="0" fillId="18" borderId="0" xfId="0" applyFill="1"/>
    <xf numFmtId="168" fontId="5" fillId="0" borderId="0" xfId="0" applyNumberFormat="1" applyFont="1"/>
    <xf numFmtId="164" fontId="5" fillId="0" borderId="0" xfId="0" applyNumberFormat="1" applyFont="1"/>
    <xf numFmtId="10" fontId="0" fillId="5" borderId="0" xfId="1" applyNumberFormat="1" applyFont="1" applyFill="1" applyAlignment="1"/>
    <xf numFmtId="172" fontId="0" fillId="0" borderId="0" xfId="0" applyNumberFormat="1"/>
    <xf numFmtId="0" fontId="30" fillId="0" borderId="0" xfId="2" applyAlignment="1"/>
    <xf numFmtId="0" fontId="0" fillId="0" borderId="0" xfId="0" pivotButton="1"/>
    <xf numFmtId="0" fontId="0" fillId="0" borderId="0" xfId="0" applyAlignment="1">
      <alignment horizontal="left"/>
    </xf>
    <xf numFmtId="0" fontId="31" fillId="0" borderId="0" xfId="0" applyFont="1"/>
    <xf numFmtId="0" fontId="32" fillId="19" borderId="0" xfId="0" applyFont="1" applyFill="1"/>
    <xf numFmtId="0" fontId="33" fillId="0" borderId="0" xfId="0" applyFont="1"/>
    <xf numFmtId="0" fontId="34" fillId="0" borderId="0" xfId="0" applyFont="1"/>
    <xf numFmtId="10" fontId="29" fillId="15" borderId="0" xfId="1" applyNumberFormat="1" applyFont="1" applyFill="1" applyAlignment="1"/>
    <xf numFmtId="170" fontId="29" fillId="0" borderId="0" xfId="0" applyNumberFormat="1" applyFont="1"/>
    <xf numFmtId="171" fontId="21" fillId="0" borderId="0" xfId="0" applyNumberFormat="1" applyFont="1"/>
    <xf numFmtId="164" fontId="21" fillId="0" borderId="0" xfId="0" applyNumberFormat="1" applyFont="1"/>
    <xf numFmtId="2" fontId="21" fillId="0" borderId="0" xfId="0" applyNumberFormat="1" applyFont="1"/>
    <xf numFmtId="1" fontId="21" fillId="0" borderId="0" xfId="0" applyNumberFormat="1" applyFont="1"/>
    <xf numFmtId="0" fontId="21" fillId="15" borderId="0" xfId="0" applyFont="1" applyFill="1"/>
    <xf numFmtId="170" fontId="21" fillId="0" borderId="0" xfId="0" applyNumberFormat="1" applyFont="1"/>
    <xf numFmtId="170" fontId="21" fillId="15" borderId="0" xfId="0" applyNumberFormat="1" applyFont="1" applyFill="1"/>
    <xf numFmtId="0" fontId="35" fillId="0" borderId="0" xfId="0" applyFont="1"/>
    <xf numFmtId="167" fontId="29" fillId="0" borderId="0" xfId="0" applyNumberFormat="1" applyFont="1"/>
    <xf numFmtId="167" fontId="0" fillId="0" borderId="0" xfId="0" applyNumberFormat="1"/>
    <xf numFmtId="10" fontId="0" fillId="0" borderId="0" xfId="1" applyNumberFormat="1" applyFont="1" applyFill="1" applyAlignment="1"/>
    <xf numFmtId="0" fontId="36" fillId="0" borderId="0" xfId="0" applyFont="1"/>
    <xf numFmtId="0" fontId="37" fillId="0" borderId="0" xfId="0" applyFont="1"/>
    <xf numFmtId="0" fontId="24" fillId="0" borderId="0" xfId="0" applyFont="1"/>
    <xf numFmtId="0" fontId="36" fillId="7" borderId="0" xfId="0" applyFont="1" applyFill="1"/>
    <xf numFmtId="171" fontId="36" fillId="0" borderId="0" xfId="0" applyNumberFormat="1" applyFont="1"/>
    <xf numFmtId="164" fontId="36" fillId="0" borderId="0" xfId="0" applyNumberFormat="1" applyFont="1"/>
    <xf numFmtId="2" fontId="36" fillId="0" borderId="0" xfId="0" applyNumberFormat="1" applyFont="1"/>
    <xf numFmtId="10" fontId="24" fillId="5" borderId="0" xfId="1" applyNumberFormat="1" applyFont="1" applyFill="1" applyAlignment="1"/>
    <xf numFmtId="170" fontId="36" fillId="15" borderId="0" xfId="0" applyNumberFormat="1" applyFont="1" applyFill="1"/>
    <xf numFmtId="170" fontId="36" fillId="0" borderId="0" xfId="0" applyNumberFormat="1" applyFont="1"/>
  </cellXfs>
  <cellStyles count="3">
    <cellStyle name="Hyperlink" xfId="2" builtinId="8"/>
    <cellStyle name="Normal" xfId="0" builtinId="0"/>
    <cellStyle name="Per 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iana Danilenko" id="{30BB1996-8EFC-476E-8528-976729F6D7F5}" userId="5bdd78ed22bf5b4c" providerId="Windows Live"/>
  <person displayName="Diana Danilenko" id="{07E012BB-865F-6142-9A86-EDCC0A8503F7}" userId="S::Diana.Danilenko@cmsa3.onmicrosoft.com::e115ff8c-f9a3-4954-929e-3e7023cc4893"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057.552441087966" createdVersion="8" refreshedVersion="8" minRefreshableVersion="3" recordCount="334" xr:uid="{00000000-000A-0000-FFFF-FFFF09000000}">
  <cacheSource type="worksheet">
    <worksheetSource ref="A1:CD1048576" sheet="Appliances"/>
  </cacheSource>
  <cacheFields count="92">
    <cacheField name="coder" numFmtId="0">
      <sharedItems containsBlank="1" count="6">
        <s v="DD"/>
        <s v="all"/>
        <s v="SH"/>
        <s v="LT"/>
        <s v="TK"/>
        <m/>
      </sharedItems>
    </cacheField>
    <cacheField name="study_ID_purchaseprobability" numFmtId="0">
      <sharedItems containsString="0" containsBlank="1" containsNumber="1" containsInteger="1" minValue="1" maxValue="30"/>
    </cacheField>
    <cacheField name="sr_no" numFmtId="0">
      <sharedItems containsBlank="1" containsMixedTypes="1" containsNumber="1" containsInteger="1" minValue="1001" maxValue="3050"/>
    </cacheField>
    <cacheField name="study_ID" numFmtId="0">
      <sharedItems containsBlank="1" containsMixedTypes="1" containsNumber="1" containsInteger="1" minValue="101" maxValue="407"/>
    </cacheField>
    <cacheField name="authors" numFmtId="0">
      <sharedItems containsBlank="1"/>
    </cacheField>
    <cacheField name="year_publication" numFmtId="0">
      <sharedItems containsString="0" containsBlank="1" containsNumber="1" containsInteger="1" minValue="1979" maxValue="2021"/>
    </cacheField>
    <cacheField name="doc_title" numFmtId="0">
      <sharedItems containsBlank="1"/>
    </cacheField>
    <cacheField name="abstract" numFmtId="0">
      <sharedItems containsBlank="1" longText="1"/>
    </cacheField>
    <cacheField name="study_type" numFmtId="0">
      <sharedItems containsString="0" containsBlank="1" containsNumber="1" containsInteger="1" minValue="1" maxValue="2"/>
    </cacheField>
    <cacheField name="year_data_study" numFmtId="0">
      <sharedItems containsBlank="1" containsMixedTypes="1" containsNumber="1" containsInteger="1" minValue="1982" maxValue="2020"/>
    </cacheField>
    <cacheField name="exclusion_reason" numFmtId="0">
      <sharedItems containsBlank="1" count="16">
        <s v="NA"/>
        <s v="dep_var"/>
        <s v="review"/>
        <s v="uncertainty / sample size missing"/>
        <s v="no clear uncertainty measure"/>
        <s v="No energy but water efficiency? (see notes_dep_var)"/>
        <s v="quality"/>
        <s v="stated preferences"/>
        <s v="case study"/>
        <s v="simulation"/>
        <s v="no appliance breakdown"/>
        <s v="intervention"/>
        <s v="stated preferences; there is no real intervention. They measure the effect of knowledge about policies and labels on the willingness to adopt efficient lighting"/>
        <s v="no clear uncertainty measure / household level use"/>
        <s v="Standard errors, implied t-statistics and p-values do not match. There must be something wrong"/>
        <m/>
      </sharedItems>
    </cacheField>
    <cacheField name="page" numFmtId="0">
      <sharedItems containsBlank="1" containsMixedTypes="1" containsNumber="1" containsInteger="1" minValue="4" maxValue="3571"/>
    </cacheField>
    <cacheField name="statistical_technique" numFmtId="0">
      <sharedItems containsBlank="1" count="28">
        <s v="linear probability model"/>
        <s v="weighted least squares"/>
        <s v="ITT"/>
        <s v="diff of means"/>
        <s v="OLS"/>
        <s v="logit"/>
        <m/>
        <s v="VAR"/>
        <s v="negative binomial count model"/>
        <s v="IV"/>
        <s v="2SLS"/>
        <s v="negative binomial regression"/>
        <s v="probit"/>
        <s v="ANOVA"/>
        <s v="mixed logit"/>
        <s v="nested logit"/>
        <s v="tobit"/>
        <s v="descriptive statistics"/>
        <s v="multinomial logit"/>
        <s v="synthetic control method"/>
        <s v="OLS - FE"/>
        <s v="OLS - RE"/>
        <s v="coarsened exact matching"/>
        <s v="ordered probit"/>
        <s v="ordinal logit"/>
        <s v="structural model"/>
        <s v="random parameter logit"/>
        <s v="conditional logit"/>
      </sharedItems>
    </cacheField>
    <cacheField name="study_design" numFmtId="0">
      <sharedItems containsBlank="1" count="8">
        <s v="pre and post"/>
        <s v="diff-in-diff"/>
        <s v="control &amp; treatment"/>
        <s v="quasi-experimental"/>
        <m/>
        <s v="correlation"/>
        <s v="Diff in Diff"/>
        <s v="choice experiment"/>
      </sharedItems>
    </cacheField>
    <cacheField name="country" numFmtId="0">
      <sharedItems containsBlank="1" count="36">
        <s v="Italy"/>
        <s v="US"/>
        <s v="Canada"/>
        <s v="Germany"/>
        <s v="Ghana"/>
        <m/>
        <s v="Denmark"/>
        <s v="Ireland"/>
        <s v="Pakistan"/>
        <s v="Mexico"/>
        <s v="UK"/>
        <s v="Spain"/>
        <s v="Australia, Canada, Chile, France, Israel, Korea, Japan, Netherlands, Spain, Sweden, Switzerland"/>
        <s v="China"/>
        <s v="Kenya"/>
        <s v="Nigeria"/>
        <s v="Japan"/>
        <s v="Lebanon"/>
        <s v="South Africa"/>
        <s v="India"/>
        <s v="South Korea"/>
        <s v="Norway"/>
        <s v="Singapore"/>
        <s v="France, Slovenia, Szech Republic, Portugal "/>
        <s v="Malaysia"/>
        <s v="Brazil"/>
        <s v="Indonesia"/>
        <s v="France, Germany, Italy, Portugal, Spain"/>
        <s v="Portugal"/>
        <s v="France"/>
        <s v="Australia"/>
        <s v="Switzerland"/>
        <s v="Poland"/>
        <s v="Romania"/>
        <s v="Sweden"/>
        <s v="Greece"/>
      </sharedItems>
    </cacheField>
    <cacheField name="incentive_follow_through" numFmtId="0">
      <sharedItems containsBlank="1"/>
    </cacheField>
    <cacheField name="experimental_setting" numFmtId="0">
      <sharedItems containsBlank="1"/>
    </cacheField>
    <cacheField name="participant_type" numFmtId="0">
      <sharedItems containsBlank="1"/>
    </cacheField>
    <cacheField name="aware_of_study" numFmtId="0">
      <sharedItems containsBlank="1" containsMixedTypes="1" containsNumber="1" containsInteger="1" minValue="0" maxValue="1"/>
    </cacheField>
    <cacheField name="opt_in" numFmtId="0">
      <sharedItems containsBlank="1"/>
    </cacheField>
    <cacheField name="randomisation_dummy" numFmtId="0">
      <sharedItems containsBlank="1" containsMixedTypes="1" containsNumber="1" containsInteger="1" minValue="0" maxValue="1"/>
    </cacheField>
    <cacheField name="outOfSampleBias" numFmtId="0">
      <sharedItems containsBlank="1"/>
    </cacheField>
    <cacheField name="reportingBiases" numFmtId="0">
      <sharedItems containsBlank="1"/>
    </cacheField>
    <cacheField name="notes_bias" numFmtId="0">
      <sharedItems containsBlank="1" longText="1"/>
    </cacheField>
    <cacheField name="feedback" numFmtId="0">
      <sharedItems containsString="0" containsBlank="1" containsNumber="1" containsInteger="1" minValue="0" maxValue="1"/>
    </cacheField>
    <cacheField name="information" numFmtId="0">
      <sharedItems containsString="0" containsBlank="1" containsNumber="1" containsInteger="1" minValue="0" maxValue="1"/>
    </cacheField>
    <cacheField name="label" numFmtId="0">
      <sharedItems containsString="0" containsBlank="1" containsNumber="1" containsInteger="1" minValue="0" maxValue="1"/>
    </cacheField>
    <cacheField name="rebate" numFmtId="0">
      <sharedItems containsString="0" containsBlank="1" containsNumber="1" containsInteger="1" minValue="0" maxValue="1"/>
    </cacheField>
    <cacheField name="tax_credit" numFmtId="0">
      <sharedItems containsString="0" containsBlank="1" containsNumber="1" containsInteger="1" minValue="0" maxValue="1"/>
    </cacheField>
    <cacheField name="subsidy" numFmtId="0">
      <sharedItems containsString="0" containsBlank="1" containsNumber="1" containsInteger="1" minValue="0" maxValue="1"/>
    </cacheField>
    <cacheField name="loan" numFmtId="0">
      <sharedItems containsString="0" containsBlank="1" containsNumber="1" containsInteger="1" minValue="0" maxValue="1"/>
    </cacheField>
    <cacheField name="choice_architecture" numFmtId="0">
      <sharedItems containsString="0" containsBlank="1" containsNumber="1" containsInteger="1" minValue="0" maxValue="1"/>
    </cacheField>
    <cacheField name="notes_intervention" numFmtId="0">
      <sharedItems containsBlank="1"/>
    </cacheField>
    <cacheField name="washing_machine" numFmtId="0">
      <sharedItems containsString="0" containsBlank="1" containsNumber="1" containsInteger="1" minValue="0" maxValue="1"/>
    </cacheField>
    <cacheField name="clothes_dryer" numFmtId="0">
      <sharedItems containsString="0" containsBlank="1" containsNumber="1" containsInteger="1" minValue="0" maxValue="1"/>
    </cacheField>
    <cacheField name="diswasher" numFmtId="0">
      <sharedItems containsString="0" containsBlank="1" containsNumber="1" containsInteger="1" minValue="0" maxValue="1"/>
    </cacheField>
    <cacheField name="refrigerator" numFmtId="0">
      <sharedItems containsString="0" containsBlank="1" containsNumber="1" containsInteger="1" minValue="0" maxValue="1"/>
    </cacheField>
    <cacheField name="heat_pump" numFmtId="0">
      <sharedItems containsString="0" containsBlank="1" containsNumber="1" containsInteger="1" minValue="0" maxValue="1"/>
    </cacheField>
    <cacheField name="lighting" numFmtId="0">
      <sharedItems containsString="0" containsBlank="1" containsNumber="1" containsInteger="1" minValue="0" maxValue="1"/>
    </cacheField>
    <cacheField name="water_heater" numFmtId="0">
      <sharedItems containsString="0" containsBlank="1" containsNumber="1" containsInteger="1" minValue="0" maxValue="1"/>
    </cacheField>
    <cacheField name="ac" numFmtId="0">
      <sharedItems containsString="0" containsBlank="1" containsNumber="1" containsInteger="1" minValue="0" maxValue="1"/>
    </cacheField>
    <cacheField name="tv" numFmtId="0">
      <sharedItems containsString="0" containsBlank="1" containsNumber="1" containsInteger="1" minValue="0" maxValue="1"/>
    </cacheField>
    <cacheField name="notes_dep_var" numFmtId="0">
      <sharedItems containsBlank="1"/>
    </cacheField>
    <cacheField name="dep_variable_purchase_category" numFmtId="0">
      <sharedItems containsBlank="1" count="5">
        <s v="purschase (probability) of efficient appliance"/>
        <s v="energy use after switching to a more efficient appliance"/>
        <s v="WTP for efficient appliance"/>
        <m/>
        <s v="market share of efficient appliance"/>
      </sharedItems>
    </cacheField>
    <cacheField name="dep_var_original_study" numFmtId="0">
      <sharedItems containsBlank="1"/>
    </cacheField>
    <cacheField name="dep_var_transformation" numFmtId="0">
      <sharedItems containsBlank="1"/>
    </cacheField>
    <cacheField name="coefficient " numFmtId="0">
      <sharedItems containsBlank="1" containsMixedTypes="1" containsNumber="1" minValue="0" maxValue="3586.4569999999999"/>
    </cacheField>
    <cacheField name="effect_direction" numFmtId="0">
      <sharedItems containsBlank="1"/>
    </cacheField>
    <cacheField name="coefficient_se" numFmtId="0">
      <sharedItems containsBlank="1" containsMixedTypes="1" containsNumber="1" minValue="4.0000000000000002E-4" maxValue="2082.6759999999999"/>
    </cacheField>
    <cacheField name="p_value" numFmtId="0">
      <sharedItems containsBlank="1" containsMixedTypes="1" containsNumber="1" minValue="0" maxValue="0.99199999999999999"/>
    </cacheField>
    <cacheField name="significance_bound" numFmtId="0">
      <sharedItems containsBlank="1" containsMixedTypes="1" containsNumber="1" containsInteger="1" minValue="1" maxValue="3"/>
    </cacheField>
    <cacheField name="t_stat" numFmtId="0">
      <sharedItems containsBlank="1" containsMixedTypes="1" containsNumber="1" minValue="0" maxValue="960"/>
    </cacheField>
    <cacheField name="percent_change" numFmtId="0">
      <sharedItems containsBlank="1" containsMixedTypes="1" containsNumber="1" minValue="0" maxValue="796.11582942023051"/>
    </cacheField>
    <cacheField name="percent_change(binary predictor)" numFmtId="0">
      <sharedItems containsBlank="1" containsMixedTypes="1" containsNumber="1" minValue="0.5" maxValue="0.9758729785823308"/>
    </cacheField>
    <cacheField name="control_mean" numFmtId="0">
      <sharedItems containsBlank="1" containsMixedTypes="1" containsNumber="1" minValue="0.27" maxValue="959"/>
    </cacheField>
    <cacheField name="control_sample_size" numFmtId="0">
      <sharedItems containsBlank="1" containsMixedTypes="1" containsNumber="1" containsInteger="1" minValue="3" maxValue="13471"/>
    </cacheField>
    <cacheField name="control_sd" numFmtId="0">
      <sharedItems containsBlank="1" containsMixedTypes="1" containsNumber="1" minValue="2.1" maxValue="7.5"/>
    </cacheField>
    <cacheField name="treated_mean" numFmtId="0">
      <sharedItems containsBlank="1" containsMixedTypes="1" containsNumber="1" minValue="0.5" maxValue="8593"/>
    </cacheField>
    <cacheField name="treatment_sample_size" numFmtId="0">
      <sharedItems containsBlank="1" containsMixedTypes="1" containsNumber="1" minValue="1" maxValue="5672"/>
    </cacheField>
    <cacheField name="treated_sd" numFmtId="0">
      <sharedItems containsBlank="1" containsMixedTypes="1" containsNumber="1" minValue="0" maxValue="6.2"/>
    </cacheField>
    <cacheField name="total_sample_size" numFmtId="0">
      <sharedItems containsBlank="1" containsMixedTypes="1" containsNumber="1" containsInteger="1" minValue="1" maxValue="957080"/>
    </cacheField>
    <cacheField name="total_observations" numFmtId="0">
      <sharedItems containsBlank="1" containsMixedTypes="1" containsNumber="1" containsInteger="1" minValue="1" maxValue="957080"/>
    </cacheField>
    <cacheField name="diff_mean" numFmtId="0">
      <sharedItems containsBlank="1" containsMixedTypes="1" containsNumber="1" minValue="0" maxValue="8352"/>
    </cacheField>
    <cacheField name="pooled_sd" numFmtId="0">
      <sharedItems containsBlank="1"/>
    </cacheField>
    <cacheField name="monetary_incentive_size" numFmtId="0">
      <sharedItems containsBlank="1" containsMixedTypes="1" containsNumber="1" minValue="0" maxValue="10000"/>
    </cacheField>
    <cacheField name="monetary_incentive_relative" numFmtId="0">
      <sharedItems containsBlank="1" containsMixedTypes="1" containsNumber="1" minValue="0" maxValue="1"/>
    </cacheField>
    <cacheField name="monetary_incentive_timeframe" numFmtId="0">
      <sharedItems containsBlank="1"/>
    </cacheField>
    <cacheField name="label_monetary" numFmtId="0">
      <sharedItems containsBlank="1" containsMixedTypes="1" containsNumber="1" containsInteger="1" minValue="0" maxValue="1"/>
    </cacheField>
    <cacheField name="label_monetary_size" numFmtId="0">
      <sharedItems containsBlank="1" containsMixedTypes="1" containsNumber="1" minValue="0" maxValue="486"/>
    </cacheField>
    <cacheField name="label_consumption" numFmtId="0">
      <sharedItems containsBlank="1" containsMixedTypes="1" containsNumber="1" containsInteger="1" minValue="0" maxValue="1"/>
    </cacheField>
    <cacheField name="label_consumption_size" numFmtId="0">
      <sharedItems containsBlank="1" containsMixedTypes="1" containsNumber="1" minValue="0" maxValue="2560"/>
    </cacheField>
    <cacheField name="label_scale" numFmtId="0">
      <sharedItems containsBlank="1" containsMixedTypes="1" containsNumber="1" minValue="3.8627414089036701E-4" maxValue="3.8627414089036701E-4"/>
    </cacheField>
    <cacheField name="controls energy prices" numFmtId="0">
      <sharedItems containsString="0" containsBlank="1" containsNumber="1" containsInteger="1" minValue="0" maxValue="1"/>
    </cacheField>
    <cacheField name="controls environmental attitudes" numFmtId="0">
      <sharedItems containsString="0" containsBlank="1" containsNumber="1" containsInteger="1" minValue="0" maxValue="1"/>
    </cacheField>
    <cacheField name="controls demographics" numFmtId="0">
      <sharedItems containsString="0" containsBlank="1" containsNumber="1" containsInteger="1" minValue="0" maxValue="1"/>
    </cacheField>
    <cacheField name="r_effect_size_sample" numFmtId="0">
      <sharedItems containsString="0" containsBlank="1" containsNumber="1" containsInteger="1" minValue="0" maxValue="0"/>
    </cacheField>
    <cacheField name="r_effect_size_obsversation" numFmtId="0">
      <sharedItems containsString="0" containsBlank="1" containsNumber="1" containsInteger="1" minValue="1" maxValue="1"/>
    </cacheField>
    <cacheField name="z_value" numFmtId="0">
      <sharedItems containsNonDate="0" containsString="0" containsBlank="1"/>
    </cacheField>
    <cacheField name="r_variance" numFmtId="0">
      <sharedItems containsNonDate="0" containsString="0" containsBlank="1"/>
    </cacheField>
    <cacheField name="z_variance" numFmtId="0">
      <sharedItems containsNonDate="0" containsString="0" containsBlank="1"/>
    </cacheField>
    <cacheField name="d_value" numFmtId="0">
      <sharedItems containsNonDate="0" containsString="0" containsBlank="1"/>
    </cacheField>
    <cacheField name="z_value_sample" numFmtId="0">
      <sharedItems containsNonDate="0" containsString="0" containsBlank="1"/>
    </cacheField>
    <cacheField name="z_variance_sample" numFmtId="0">
      <sharedItems containsNonDate="0" containsString="0" containsBlank="1"/>
    </cacheField>
    <cacheField name="Significance from Original Study" numFmtId="0">
      <sharedItems containsNonDate="0" containsString="0" containsBlank="1"/>
    </cacheField>
    <cacheField name="Did intervention have desired effect (positive/decrease)" numFmtId="0">
      <sharedItems containsNonDate="0" containsString="0" containsBlank="1"/>
    </cacheField>
    <cacheField name="r_effect_size_sample2" numFmtId="0">
      <sharedItems containsBlank="1" containsMixedTypes="1" containsNumber="1" minValue="0" maxValue="0.99999997132859308"/>
    </cacheField>
    <cacheField name="z_value2" numFmtId="0">
      <sharedItems containsBlank="1" containsMixedTypes="1" containsNumber="1" minValue="0" maxValue="9.0302563258721591"/>
    </cacheField>
    <cacheField name="r_variance2" numFmtId="0">
      <sharedItems containsBlank="1" containsMixedTypes="1" containsNumber="1" minValue="-1329.7346701207366" maxValue="2.822476458784471E-2"/>
    </cacheField>
    <cacheField name="z_variance2" numFmtId="0">
      <sharedItems containsBlank="1" containsMixedTypes="1" containsNumber="1" minValue="1.0448480111840532E-6" maxValue="0.33333333333333331"/>
    </cacheField>
    <cacheField name="d_value2" numFmtId="0">
      <sharedItems containsBlank="1" containsMixedTypes="1" containsNumber="1" minValue="0" maxValue="8352"/>
    </cacheField>
    <cacheField name="df" numFmtId="0">
      <sharedItems containsString="0" containsBlank="1" containsNumber="1" containsInteger="1" minValue="4" maxValue="81094"/>
    </cacheField>
    <cacheField name="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x v="0"/>
    <n v="1"/>
    <n v="1070"/>
    <n v="112"/>
    <s v="Alberini, Bigano, Boeri"/>
    <n v="2013"/>
    <s v="Looking for free riding: energy efficiency incentives and Italian homeowners "/>
    <s v="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
    <n v="2"/>
    <s v="2004-2009"/>
    <x v="0"/>
    <n v="14"/>
    <x v="0"/>
    <x v="0"/>
    <x v="0"/>
    <s v="self-reported behaviour"/>
    <s v="household"/>
    <s v="homeowners"/>
    <n v="0"/>
    <s v="opt_in"/>
    <n v="0"/>
    <s v="probably no"/>
    <s v="probably no"/>
    <s v="NA"/>
    <n v="0"/>
    <n v="1"/>
    <n v="0"/>
    <n v="0"/>
    <n v="1"/>
    <n v="0"/>
    <n v="0"/>
    <n v="0"/>
    <s v="NA"/>
    <n v="0"/>
    <n v="0"/>
    <n v="0"/>
    <n v="0"/>
    <n v="1"/>
    <n v="0"/>
    <n v="0"/>
    <n v="0"/>
    <n v="0"/>
    <s v="NA"/>
    <x v="0"/>
    <s v="likelihood of replacing the heating system"/>
    <s v="dummy (0/1)"/>
    <n v="1.6000000000000001E-4"/>
    <s v="decrease"/>
    <n v="1.4545454545454547E-3"/>
    <s v="NA"/>
    <n v="3"/>
    <n v="0.11"/>
    <n v="1.6001280068267398E-4"/>
    <n v="0.50003999999991466"/>
    <s v="NA"/>
    <s v="NA"/>
    <s v="NA"/>
    <s v="NA"/>
    <s v="NA"/>
    <s v="NA"/>
    <n v="81095"/>
    <n v="81095"/>
    <s v="NA"/>
    <s v="NA"/>
    <s v="NA"/>
    <n v="0.55000000000000004"/>
    <s v="delayed"/>
    <n v="0"/>
    <n v="0"/>
    <n v="1"/>
    <n v="3.8627412167859866E-4"/>
    <n v="3.8627414089036701E-4"/>
    <n v="0"/>
    <n v="0"/>
    <n v="1"/>
    <m/>
    <m/>
    <m/>
    <m/>
    <m/>
    <m/>
    <m/>
    <m/>
    <m/>
    <m/>
    <n v="3.8627412167859866E-4"/>
    <n v="3.8627414089036701E-4"/>
    <n v="1.233136853527977E-5"/>
    <n v="1.2331672668080699E-5"/>
    <s v="NA"/>
    <n v="81094"/>
    <s v="NA"/>
  </r>
  <r>
    <x v="0"/>
    <n v="1"/>
    <n v="1070"/>
    <n v="112"/>
    <s v="Alberini, Bigano, Boeri"/>
    <n v="2013"/>
    <s v="Looking for free riding: energy efficiency incentives and Italian homeowners "/>
    <s v="We examine the effect of energy efficiency incentives on household energy efficiency home im- provements. Starting in February 2007, Italian homeowners have been able to avail themselves of tax credits on the purchase and installation costs of certain types of energy efficiency renovations. We examine two such renovations—door/window replacements and heating system replacements—using multi-year cross- section data from the Italian Consumer Expenditure Survey and focusing on a narrow period around the introduction of the tax credits. Our regressions control for dwelling and household characteristics and economy-wide factors likely to influence the replace- ment rates. The effects of the policy are different for the two types of renovations. With window replacements, the policy is generally associated with a 30 % or stron- ger increase in the renovation rates and number of renovations. In the simplest econometric models, the effect is not statistically significant, but the results get stronger when we allow for heterogeneous effects across the country. With heating system replacements, simpler models suggest that the tax credits policy had no effect whatsoever or that free riding was rampant, i.e., people are now accepting subsidies for replacements that they would have done anyway. Further examination suggests a strong degree of heterogeneity in the effects across warmer and colder parts of the country, and effects in the colder areas that are even more pronounced than those for window replacements. These results should, howev- er, be interpreted with caution due to the low rates of renovations, which imply that the effects are estimated relatively imprecisely."/>
    <n v="2"/>
    <s v="2004-2009"/>
    <x v="0"/>
    <n v="14"/>
    <x v="0"/>
    <x v="0"/>
    <x v="0"/>
    <s v="self-reported behaviour"/>
    <s v="household"/>
    <s v="homeowners"/>
    <n v="0"/>
    <s v="opt_in"/>
    <n v="0"/>
    <s v="probably no"/>
    <s v="probably no"/>
    <s v="NA"/>
    <n v="0"/>
    <n v="1"/>
    <n v="0"/>
    <n v="0"/>
    <n v="1"/>
    <n v="0"/>
    <n v="0"/>
    <n v="0"/>
    <s v="NA"/>
    <n v="0"/>
    <n v="0"/>
    <n v="0"/>
    <n v="0"/>
    <n v="1"/>
    <n v="0"/>
    <n v="0"/>
    <n v="0"/>
    <n v="0"/>
    <s v="NA"/>
    <x v="0"/>
    <s v="likelihood of replacing the heating system"/>
    <s v="dummy (0/1)"/>
    <n v="3.8500000000000001E-3"/>
    <s v="decrease"/>
    <n v="2.3765432098765433E-3"/>
    <s v="NA"/>
    <n v="3"/>
    <n v="1.62"/>
    <n v="3.8574207702657404E-3"/>
    <n v="0.50096249881111377"/>
    <s v="NA"/>
    <s v="NA"/>
    <s v="NA"/>
    <s v="NA"/>
    <s v="NA"/>
    <s v="NA"/>
    <n v="81095"/>
    <n v="81095"/>
    <s v="NA"/>
    <s v="NA"/>
    <s v="NA"/>
    <n v="0.55000000000000004"/>
    <s v="delayed"/>
    <s v="NA"/>
    <s v="NA"/>
    <s v="NA"/>
    <s v="NA"/>
    <s v="NA"/>
    <n v="0"/>
    <n v="0"/>
    <n v="1"/>
    <m/>
    <m/>
    <m/>
    <m/>
    <m/>
    <m/>
    <m/>
    <m/>
    <m/>
    <m/>
    <n v="5.6886727140571178E-3"/>
    <n v="5.688734078955906E-3"/>
    <n v="1.2331368522365657E-5"/>
    <n v="1.2331672668080699E-5"/>
    <s v="NA"/>
    <n v="81094"/>
    <s v="NA"/>
  </r>
  <r>
    <x v="0"/>
    <m/>
    <n v="1290"/>
    <n v="148"/>
    <s v="Alberini, Gans, Towe"/>
    <n v="2016"/>
    <s v="Free Riding, Upsizing, and Energy Efﬁciency Incentives in Maryland Homes"/>
    <s v="We use a unique dataset that combines an original survey of households, infor- mation about the structural characteristics of their homes, utility-provided elec- tricity usage records and program participation status, to study the uptake of energy efficiency incentives and their effect on residential electricity consump- tion. Attention is restricted to homes where heating and cooling is provided ex- clusively by air-source heat pumps. We deploy a difference-in-difference study design and find that replacing a heat pump with a new one does reduce electricity usage by 8% on average. The effect differs dramatically across households based upon whether they receive an incentive towards the purchase of a new heat pump. Among incentive recipients, the effect is small, and the larger the incentive, the smaller the reduction in electricity usage. These findings suggest that capital costs are incorporated into the (long-term) cost of energy, generating an apparent re- bound effect that is much more pronounced for incentive recipients."/>
    <n v="1"/>
    <n v="2011"/>
    <x v="0"/>
    <n v="280"/>
    <x v="0"/>
    <x v="1"/>
    <x v="1"/>
    <s v="revealed preference"/>
    <s v="household"/>
    <s v="homeowners"/>
    <n v="0"/>
    <s v="opt_in"/>
    <n v="0"/>
    <s v="probably yes"/>
    <s v="probably no"/>
    <s v="Our sampling frame is a mix of stratified and choice-based sampling (see table 1), which means that it is necessary to calculate and use appropriate weights when extrapolating sample statistics to the population."/>
    <n v="0"/>
    <n v="0"/>
    <n v="0"/>
    <n v="1"/>
    <n v="0"/>
    <n v="0"/>
    <n v="0"/>
    <n v="0"/>
    <s v="NA"/>
    <n v="0"/>
    <n v="0"/>
    <n v="0"/>
    <n v="0"/>
    <n v="1"/>
    <n v="0"/>
    <n v="0"/>
    <n v="0"/>
    <n v="0"/>
    <s v="the percentage change in energy use that occurs when a heat pump is replaced with a_x000a_new, more efficient one"/>
    <x v="1"/>
    <s v="energy consumption (monthly)"/>
    <s v="log scale"/>
    <n v="3.5900000000000001E-2"/>
    <s v="decrease"/>
    <n v="3.5544554455445548E-2"/>
    <s v="NA"/>
    <n v="3"/>
    <n v="1.01"/>
    <n v="0.08"/>
    <m/>
    <s v="NA"/>
    <s v="NA"/>
    <s v="NA"/>
    <s v="NA"/>
    <s v="NA"/>
    <s v="NA"/>
    <n v="1153"/>
    <n v="13923"/>
    <s v="NA"/>
    <s v="NA"/>
    <s v="200 to 500$"/>
    <s v="NA"/>
    <s v="delayed"/>
    <s v="NA"/>
    <s v="NA"/>
    <s v="NA"/>
    <s v="NA"/>
    <s v="NA"/>
    <n v="1"/>
    <n v="1"/>
    <n v="1"/>
    <m/>
    <m/>
    <m/>
    <m/>
    <m/>
    <m/>
    <m/>
    <m/>
    <m/>
    <m/>
    <n v="2.9731353950735877E-2"/>
    <n v="2.9740118977144511E-2"/>
    <n v="8.6805487647964076E-4"/>
    <n v="8.6956521739130438E-4"/>
    <m/>
    <m/>
    <m/>
  </r>
  <r>
    <x v="0"/>
    <m/>
    <n v="1159"/>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7"/>
    <x v="1"/>
    <x v="2"/>
    <x v="1"/>
    <s v="revealed preference"/>
    <s v="household"/>
    <s v="homeowners"/>
    <n v="0"/>
    <s v="opt_in"/>
    <n v="0"/>
    <s v="probably no"/>
    <s v="probably no"/>
    <s v="NA"/>
    <n v="1"/>
    <n v="0"/>
    <n v="0"/>
    <n v="0"/>
    <n v="0"/>
    <n v="0"/>
    <n v="0"/>
    <n v="0"/>
    <s v="QHEC - quick house electricity checkup - free audit"/>
    <n v="0"/>
    <n v="0"/>
    <n v="0"/>
    <n v="0"/>
    <n v="1"/>
    <n v="0"/>
    <n v="0"/>
    <n v="0"/>
    <n v="0"/>
    <s v="NA"/>
    <x v="1"/>
    <s v="ln electricity use"/>
    <s v="log scale"/>
    <n v="2.7799999999999998E-2"/>
    <s v="decrease"/>
    <n v="1.3627450980392156E-2"/>
    <n v="2.0687000000000001E-2"/>
    <n v="3"/>
    <n v="2.04"/>
    <n v="2.8190025851083211E-2"/>
    <m/>
    <s v="NA"/>
    <n v="10676"/>
    <s v="NA"/>
    <s v="NA"/>
    <n v="378"/>
    <s v="NA"/>
    <n v="11054"/>
    <n v="108387"/>
    <s v="NA"/>
    <s v="NA"/>
    <s v="from 200 to 400"/>
    <n v="0.1"/>
    <s v="current "/>
    <s v="NA"/>
    <s v="NA"/>
    <s v="NA"/>
    <s v="NA"/>
    <s v="NA"/>
    <n v="0"/>
    <n v="0"/>
    <n v="1"/>
    <m/>
    <m/>
    <m/>
    <m/>
    <m/>
    <m/>
    <m/>
    <m/>
    <m/>
    <m/>
    <n v="1.9399418017388252E-2"/>
    <n v="1.9401852142681517E-2"/>
    <n v="9.0473161883565525E-5"/>
    <n v="9.0489548457153195E-5"/>
    <m/>
    <m/>
    <m/>
  </r>
  <r>
    <x v="0"/>
    <m/>
    <n v="1160"/>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7"/>
    <x v="1"/>
    <x v="2"/>
    <x v="1"/>
    <s v="revealed preference"/>
    <s v="household"/>
    <s v="homeowners"/>
    <n v="0"/>
    <s v="opt_in"/>
    <n v="0"/>
    <s v="probably no"/>
    <s v="probably no"/>
    <s v="NA"/>
    <n v="1"/>
    <n v="0"/>
    <n v="0"/>
    <n v="0"/>
    <n v="0"/>
    <n v="0"/>
    <n v="0"/>
    <n v="0"/>
    <s v="QHEC - quick house electricity checkup - free audit"/>
    <n v="0"/>
    <n v="0"/>
    <n v="0"/>
    <n v="0"/>
    <n v="1"/>
    <n v="0"/>
    <n v="0"/>
    <n v="0"/>
    <n v="0"/>
    <s v="with CEM"/>
    <x v="1"/>
    <s v="ln electricity use"/>
    <s v="log scale"/>
    <n v="5.4399999999999997E-2"/>
    <s v="decrease"/>
    <n v="1.4986225895316804E-2"/>
    <n v="1.4200000000000001E-4"/>
    <n v="3"/>
    <n v="3.63"/>
    <n v="5.590688044596992E-2"/>
    <m/>
    <s v="NA"/>
    <n v="10676"/>
    <s v="NA"/>
    <s v="NA"/>
    <n v="378"/>
    <s v="NA"/>
    <n v="11054"/>
    <n v="37511"/>
    <s v="NA"/>
    <s v="NA"/>
    <s v="from 200 to 400"/>
    <n v="0.1"/>
    <s v="current "/>
    <s v="NA"/>
    <s v="NA"/>
    <s v="NA"/>
    <s v="NA"/>
    <s v="NA"/>
    <n v="0"/>
    <n v="0"/>
    <n v="1"/>
    <m/>
    <m/>
    <m/>
    <m/>
    <m/>
    <m/>
    <m/>
    <m/>
    <m/>
    <m/>
    <n v="3.4505490005142594E-2"/>
    <n v="3.4519194206964816E-2"/>
    <n v="9.0473046245324396E-5"/>
    <n v="9.0489548457153195E-5"/>
    <m/>
    <m/>
    <m/>
  </r>
  <r>
    <x v="0"/>
    <m/>
    <n v="1161"/>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8"/>
    <x v="1"/>
    <x v="2"/>
    <x v="1"/>
    <s v="revealed preference"/>
    <s v="household"/>
    <s v="homeowners"/>
    <n v="0"/>
    <s v="opt_in"/>
    <n v="0"/>
    <s v="probably no"/>
    <s v="probably no"/>
    <s v="NA"/>
    <n v="0"/>
    <n v="0"/>
    <n v="0"/>
    <n v="1"/>
    <n v="0"/>
    <n v="0"/>
    <n v="0"/>
    <n v="0"/>
    <s v="QHEC - quick house electricity checkup - free audit"/>
    <n v="0"/>
    <n v="0"/>
    <n v="0"/>
    <n v="0"/>
    <n v="1"/>
    <n v="0"/>
    <n v="0"/>
    <n v="0"/>
    <n v="0"/>
    <s v="NA"/>
    <x v="1"/>
    <s v="ln electricity use"/>
    <s v="log scale"/>
    <n v="5.4600000000000003E-2"/>
    <s v="decrease"/>
    <n v="1.7333333333333336E-2"/>
    <n v="8.1899999999999996E-4"/>
    <n v="3"/>
    <n v="3.15"/>
    <n v="5.6118082941604586E-2"/>
    <m/>
    <s v="NA"/>
    <n v="10676"/>
    <s v="NA"/>
    <s v="NA"/>
    <n v="430"/>
    <s v="NA"/>
    <n v="11106"/>
    <n v="68754"/>
    <s v="NA"/>
    <s v="NA"/>
    <s v="from 200 to 400"/>
    <n v="0.1"/>
    <s v="current "/>
    <s v="NA"/>
    <s v="NA"/>
    <s v="NA"/>
    <s v="NA"/>
    <s v="NA"/>
    <n v="0"/>
    <n v="0"/>
    <n v="1"/>
    <m/>
    <m/>
    <m/>
    <m/>
    <m/>
    <m/>
    <m/>
    <m/>
    <m/>
    <m/>
    <n v="2.9877055832671907E-2"/>
    <n v="2.9885950400025899E-2"/>
    <n v="9.0049455402728065E-5"/>
    <n v="9.0065747996037111E-5"/>
    <m/>
    <m/>
    <m/>
  </r>
  <r>
    <x v="0"/>
    <m/>
    <n v="1162"/>
    <n v="137"/>
    <s v="Alberini, Towe"/>
    <n v="2015"/>
    <s v="Information v. energy efficiency incentives: Evidence from residential electricity consumption in Maryland"/>
    <s v="We focus on two utility programs intended to reduce energy usage and the associated CO2 emissions—a home_x000a_energy audit and rebates on the purchase of high-efficiency air-source heat pumps. We use a unique panel_x000a_dataset from participating and non-participating households to estimate the average treatment effect of participating_x000a_in either program on electricity usage. We fit models with household-by-season, season-by-year, and_x000a_household-by-year fixed effects to account for all possible confounders that might influence energy usage._x000a_Since the programs are voluntary, we seek to restore near-exogeneity of the program “treatment” by matching_x000a_participating households with control households. We deploy coarsened exact matching (CEM; Iacus et al.,_x000a_2011) as our main matching method.We ask whether it is sufficient tomatch households based on past electricity_x000a_usage, or if we gain by adding structural characteristics of the home, including heating system type.We find_x000a_that the two programs reduce electricity usage by 5% on average. The effects are strong in both winter and summer_x000a_for the energy audit groups but appear to be stronger in the winter for the heat pump rebate group. Adding_x000a_house characteristics to thematching variables does seemto affect results, suggesting that using past usage alone,_x000a_or house characteristics alone, may not be sufficient to identify the effects of program participation."/>
    <n v="1"/>
    <s v="2008-2012"/>
    <x v="0"/>
    <s v="S38"/>
    <x v="1"/>
    <x v="2"/>
    <x v="1"/>
    <s v="revealed preference"/>
    <s v="household"/>
    <s v="homeowners"/>
    <n v="0"/>
    <s v="opt_in"/>
    <n v="0"/>
    <s v="probably no"/>
    <s v="probably no"/>
    <s v="NA"/>
    <n v="0"/>
    <n v="0"/>
    <n v="0"/>
    <n v="1"/>
    <n v="0"/>
    <n v="0"/>
    <n v="0"/>
    <n v="0"/>
    <s v="QHEC - quick house electricity checkup - free audit"/>
    <n v="0"/>
    <n v="0"/>
    <n v="0"/>
    <n v="0"/>
    <n v="1"/>
    <n v="0"/>
    <n v="0"/>
    <n v="0"/>
    <n v="0"/>
    <s v="with CEM"/>
    <x v="1"/>
    <s v="ln electricity use"/>
    <s v="log scale"/>
    <n v="4.19E-2"/>
    <s v="decrease"/>
    <n v="1.682730923694779E-2"/>
    <n v="6.3940000000000004E-3"/>
    <n v="3"/>
    <n v="2.4900000000000002"/>
    <n v="4.2790194517186686E-2"/>
    <m/>
    <s v="NA"/>
    <n v="10676"/>
    <s v="NA"/>
    <s v="NA"/>
    <n v="430"/>
    <s v="NA"/>
    <n v="11106"/>
    <n v="33268"/>
    <s v="NA"/>
    <s v="NA"/>
    <s v="from 200 to 400"/>
    <n v="0.1"/>
    <s v="current "/>
    <s v="NA"/>
    <s v="NA"/>
    <s v="NA"/>
    <s v="NA"/>
    <s v="NA"/>
    <n v="0"/>
    <n v="0"/>
    <n v="1"/>
    <m/>
    <m/>
    <m/>
    <m/>
    <m/>
    <m/>
    <m/>
    <m/>
    <m/>
    <m/>
    <n v="2.3621056611749961E-2"/>
    <n v="2.3625451239868967E-2"/>
    <n v="9.0049499185523786E-5"/>
    <n v="9.0065747996037111E-5"/>
    <m/>
    <m/>
    <m/>
  </r>
  <r>
    <x v="1"/>
    <n v="2"/>
    <n v="1003"/>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1"/>
    <n v="0"/>
    <n v="0"/>
    <n v="0"/>
    <n v="0"/>
    <n v="0"/>
    <n v="0"/>
    <s v="focus on phase 1 as there the effect is separated from agent incentivisation"/>
    <n v="0"/>
    <n v="0"/>
    <n v="0"/>
    <n v="0"/>
    <n v="0"/>
    <n v="0"/>
    <n v="1"/>
    <n v="0"/>
    <n v="0"/>
    <s v="NA"/>
    <x v="0"/>
    <s v="whether the consumer purchases an Energy Star model"/>
    <s v="dummy (0/1)"/>
    <n v="0"/>
    <s v="increase"/>
    <n v="2E-3"/>
    <n v="0.1"/>
    <n v="2"/>
    <n v="0"/>
    <n v="0"/>
    <n v="0.5"/>
    <s v="NA"/>
    <s v="NA"/>
    <s v="NA"/>
    <s v="NA"/>
    <n v="2525.8000000000002"/>
    <s v="NA"/>
    <n v="23347"/>
    <n v="23347"/>
    <s v="NA"/>
    <s v="NA"/>
    <s v="NA"/>
    <s v="NA"/>
    <s v="NA"/>
    <s v="NA"/>
    <s v="NA"/>
    <s v="NA"/>
    <s v="NA"/>
    <s v="NA"/>
    <n v="0"/>
    <n v="1"/>
    <n v="1"/>
    <m/>
    <m/>
    <m/>
    <m/>
    <m/>
    <m/>
    <m/>
    <m/>
    <m/>
    <m/>
    <n v="0"/>
    <n v="0"/>
    <n v="4.2833890173905597E-5"/>
    <n v="4.2837559972583965E-5"/>
    <s v="NA"/>
    <n v="23345"/>
    <s v="NA"/>
  </r>
  <r>
    <x v="1"/>
    <n v="2"/>
    <n v="1002"/>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0"/>
    <n v="0"/>
    <n v="1"/>
    <n v="0"/>
    <n v="0"/>
    <n v="0"/>
    <n v="0"/>
    <s v="focus on phase 1 as there the effect is separated from agent incentivisation"/>
    <n v="0"/>
    <n v="0"/>
    <n v="0"/>
    <n v="0"/>
    <n v="0"/>
    <n v="0"/>
    <n v="1"/>
    <n v="0"/>
    <n v="0"/>
    <s v="NA"/>
    <x v="0"/>
    <s v="whether the consumer purchases an Energy Star model"/>
    <s v="dummy (0/1)"/>
    <n v="1E-3"/>
    <s v="increase"/>
    <n v="1E-3"/>
    <n v="0.1"/>
    <n v="2"/>
    <n v="1"/>
    <n v="1.0005001667083846E-3"/>
    <n v="0.50024999997916664"/>
    <s v="NA"/>
    <s v="NA"/>
    <s v="NA"/>
    <s v="NA"/>
    <n v="2525.8000000000002"/>
    <s v="NA"/>
    <n v="23347"/>
    <n v="23347"/>
    <s v="NA"/>
    <s v="NA"/>
    <n v="25"/>
    <s v="NA"/>
    <s v="current "/>
    <s v="NA"/>
    <s v="NA"/>
    <s v="NA"/>
    <s v="NA"/>
    <s v="NA"/>
    <n v="0"/>
    <n v="1"/>
    <n v="1"/>
    <m/>
    <m/>
    <m/>
    <m/>
    <m/>
    <m/>
    <m/>
    <m/>
    <m/>
    <m/>
    <n v="6.5444801935631517E-3"/>
    <n v="6.5445736298086485E-3"/>
    <n v="4.2833890095325423E-5"/>
    <n v="4.2837559972583965E-5"/>
    <s v="NA"/>
    <n v="23345"/>
    <s v="NA"/>
  </r>
  <r>
    <x v="1"/>
    <n v="2"/>
    <n v="1001"/>
    <n v="101"/>
    <s v="Allcott, Sweeney"/>
    <n v="2016"/>
    <s v="The Role of Sales Agents in Information Disclosure:_x000a_Evidence from a Field Experiment"/>
    <s v="With a large nationwide retailer, we run a natural field experiment to measure the effects of energy use_x000a_information disclosure, customer rebates, and sales agent incentives on demand for energy-efficient durable_x000a_goods. Although a combination of large rebates plus sales incentives substantially increases market share,_x000a_information and sales incentives alone each have zero statistical effect and explain at most a small fraction of_x000a_the low baseline market share. Sales agents strategically comply only partially with the experiment, targeting_x000a_information to more interested consumers but not discussing energy efficiency with the disinterested majority._x000a_These results suggest that seller-provided information is not a major barrier to energy-efficiency investments at_x000a_current prices in this context."/>
    <n v="2"/>
    <s v="2012-2013"/>
    <x v="0"/>
    <n v="13"/>
    <x v="2"/>
    <x v="2"/>
    <x v="1"/>
    <s v="revealed preference"/>
    <s v="sales agent"/>
    <s v="caller"/>
    <n v="0"/>
    <s v="no such option"/>
    <n v="1"/>
    <s v="probably no"/>
    <s v="probably no"/>
    <s v="NA"/>
    <n v="0"/>
    <n v="0"/>
    <n v="0"/>
    <n v="1"/>
    <n v="0"/>
    <n v="0"/>
    <n v="0"/>
    <n v="0"/>
    <s v="focus on phase 1 as there the effect is separated from agent incentivisation"/>
    <n v="0"/>
    <n v="0"/>
    <n v="0"/>
    <n v="0"/>
    <n v="0"/>
    <n v="0"/>
    <n v="1"/>
    <n v="0"/>
    <n v="0"/>
    <s v="NA"/>
    <x v="0"/>
    <s v="whether the consumer purchases an Energy Star model"/>
    <s v="dummy (0/1)"/>
    <n v="6.0000000000000001E-3"/>
    <s v="increase"/>
    <n v="3.0000000000000001E-3"/>
    <n v="0.05"/>
    <n v="1"/>
    <n v="2"/>
    <n v="6.0180360540649236E-3"/>
    <n v="0.50149999550001623"/>
    <s v="NA"/>
    <s v="NA"/>
    <s v="NA"/>
    <s v="NA"/>
    <n v="2525.8000000000002"/>
    <s v="NA"/>
    <n v="23347"/>
    <n v="23347"/>
    <s v="NA"/>
    <s v="NA"/>
    <n v="100"/>
    <s v="NA"/>
    <s v="current "/>
    <s v="NA"/>
    <s v="NA"/>
    <s v="NA"/>
    <s v="NA"/>
    <s v="NA"/>
    <n v="0"/>
    <n v="1"/>
    <n v="1"/>
    <m/>
    <m/>
    <m/>
    <m/>
    <m/>
    <m/>
    <m/>
    <m/>
    <m/>
    <m/>
    <n v="1.308811956355478E-2"/>
    <n v="1.3088866967087377E-2"/>
    <n v="4.2833888916730603E-5"/>
    <n v="4.2837559972583965E-5"/>
    <s v="NA"/>
    <n v="23345"/>
    <s v="NA"/>
  </r>
  <r>
    <x v="0"/>
    <n v="3"/>
    <n v="1087"/>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1"/>
    <n v="0"/>
    <n v="0"/>
    <n v="0"/>
    <n v="0"/>
    <n v="0"/>
    <n v="0"/>
    <s v="NA"/>
    <n v="0"/>
    <n v="0"/>
    <n v="0"/>
    <n v="0"/>
    <n v="0"/>
    <n v="1"/>
    <n v="0"/>
    <n v="0"/>
    <n v="0"/>
    <s v="NA"/>
    <x v="0"/>
    <s v="purchased CFL"/>
    <s v="dummy (0/1)"/>
    <n v="4.0000000000000001E-3"/>
    <s v="increase"/>
    <n v="3.3000000000000002E-2"/>
    <n v="0.1"/>
    <n v="2"/>
    <n v="0.12121212121212122"/>
    <n v="4.0080106773419111E-3"/>
    <n v="0.50099999866666878"/>
    <s v="NA"/>
    <s v="NA"/>
    <s v="NA"/>
    <s v="NA"/>
    <s v="NA"/>
    <s v="NA"/>
    <n v="1087"/>
    <n v="1087"/>
    <s v="NA"/>
    <s v="NA"/>
    <s v="NA"/>
    <s v="NA"/>
    <s v="NA"/>
    <s v="NA"/>
    <s v="NA"/>
    <s v="NA"/>
    <s v="NA"/>
    <s v="NA"/>
    <n v="0"/>
    <n v="0"/>
    <n v="1"/>
    <m/>
    <m/>
    <m/>
    <m/>
    <m/>
    <m/>
    <m/>
    <m/>
    <m/>
    <m/>
    <n v="3.6764472949663419E-3"/>
    <n v="3.6764638590456372E-3"/>
    <n v="9.2081031290728113E-4"/>
    <n v="9.225092250922509E-4"/>
    <s v="NA"/>
    <n v="1085"/>
    <s v="NA"/>
  </r>
  <r>
    <x v="0"/>
    <n v="3"/>
    <n v="1086"/>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1"/>
    <x v="3"/>
    <x v="2"/>
    <x v="1"/>
    <s v="revealed preference"/>
    <s v="online"/>
    <s v="residents"/>
    <n v="1"/>
    <s v="no such option"/>
    <n v="1"/>
    <s v="probably no"/>
    <s v="probably no"/>
    <s v="NA"/>
    <n v="0"/>
    <n v="1"/>
    <n v="0"/>
    <n v="0"/>
    <n v="0"/>
    <n v="0"/>
    <n v="0"/>
    <n v="0"/>
    <s v="NA"/>
    <n v="0"/>
    <n v="0"/>
    <n v="0"/>
    <n v="0"/>
    <n v="0"/>
    <n v="1"/>
    <n v="0"/>
    <n v="0"/>
    <n v="0"/>
    <s v="NA"/>
    <x v="0"/>
    <s v="purchased CFL"/>
    <s v="NA"/>
    <n v="8.0000000000000002E-3"/>
    <s v="decrease"/>
    <n v="2.7E-2"/>
    <n v="0.1"/>
    <n v="2"/>
    <n v="0.29629629629629628"/>
    <s v="NA"/>
    <m/>
    <s v="NA"/>
    <n v="294"/>
    <s v="NA"/>
    <s v="NA"/>
    <n v="793"/>
    <s v="NA"/>
    <n v="1087"/>
    <n v="1087"/>
    <n v="8.0000000000000002E-3"/>
    <s v="NA"/>
    <s v="NA"/>
    <s v="NA"/>
    <s v="NA"/>
    <s v="NA"/>
    <s v="NA"/>
    <s v="NA"/>
    <s v="NA"/>
    <s v="NA"/>
    <n v="0"/>
    <n v="0"/>
    <n v="1"/>
    <m/>
    <m/>
    <m/>
    <m/>
    <m/>
    <m/>
    <m/>
    <m/>
    <m/>
    <m/>
    <n v="0.14654866108946232"/>
    <n v="0.14761150876627599"/>
    <n v="9.2037314237067909E-4"/>
    <n v="9.225092250922509E-4"/>
    <n v="0.29629629629629628"/>
    <n v="1085"/>
    <s v="NA"/>
  </r>
  <r>
    <x v="0"/>
    <n v="3"/>
    <n v="1085"/>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1"/>
    <x v="3"/>
    <x v="2"/>
    <x v="1"/>
    <s v="revealed preference"/>
    <s v="online"/>
    <s v="residents"/>
    <n v="1"/>
    <s v="no such option"/>
    <n v="1"/>
    <s v="probably no"/>
    <s v="probably no"/>
    <s v="NA"/>
    <n v="0"/>
    <n v="1"/>
    <n v="0"/>
    <n v="0"/>
    <n v="0"/>
    <n v="0"/>
    <n v="0"/>
    <n v="0"/>
    <s v="NA"/>
    <n v="0"/>
    <n v="0"/>
    <n v="0"/>
    <n v="0"/>
    <n v="0"/>
    <n v="1"/>
    <n v="0"/>
    <n v="0"/>
    <n v="0"/>
    <s v="NA"/>
    <x v="0"/>
    <s v="purchased CFL"/>
    <s v="NA"/>
    <n v="1.0999999999999999E-2"/>
    <s v="increase"/>
    <n v="2.5000000000000001E-2"/>
    <n v="0.1"/>
    <n v="2"/>
    <n v="0.43999999999999995"/>
    <s v="NA"/>
    <m/>
    <s v="NA"/>
    <n v="294"/>
    <s v="NA"/>
    <s v="NA"/>
    <n v="793"/>
    <s v="NA"/>
    <n v="1087"/>
    <n v="1087"/>
    <n v="1.0999999999999999E-2"/>
    <s v="NA"/>
    <s v="NA"/>
    <s v="NA"/>
    <s v="NA"/>
    <s v="NA"/>
    <s v="NA"/>
    <s v="NA"/>
    <s v="NA"/>
    <s v="NA"/>
    <n v="0"/>
    <n v="0"/>
    <n v="1"/>
    <m/>
    <m/>
    <m/>
    <m/>
    <m/>
    <m/>
    <m/>
    <m/>
    <m/>
    <m/>
    <n v="0.21486178267511974"/>
    <n v="0.21826290743988225"/>
    <n v="9.1872058431916861E-4"/>
    <n v="9.225092250922509E-4"/>
    <n v="0.43999999999999995"/>
    <n v="1085"/>
    <s v="NA"/>
  </r>
  <r>
    <x v="0"/>
    <n v="3"/>
    <n v="1089"/>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1"/>
    <n v="0"/>
    <n v="1"/>
    <n v="0"/>
    <n v="0"/>
    <n v="0"/>
    <n v="0"/>
    <s v="NA"/>
    <n v="0"/>
    <n v="0"/>
    <n v="0"/>
    <n v="0"/>
    <n v="0"/>
    <n v="1"/>
    <n v="0"/>
    <n v="0"/>
    <n v="0"/>
    <s v="NA"/>
    <x v="0"/>
    <s v="purchased CFL"/>
    <s v="dummy (0/1)"/>
    <n v="5.3999999999999999E-2"/>
    <s v="increase"/>
    <n v="6.6000000000000003E-2"/>
    <n v="0.1"/>
    <n v="2"/>
    <n v="0.81818181818181812"/>
    <n v="5.5484602155080109E-2"/>
    <n v="0.51349672045631156"/>
    <s v="NA"/>
    <s v="NA"/>
    <s v="NA"/>
    <s v="NA"/>
    <s v="NA"/>
    <s v="NA"/>
    <n v="1087"/>
    <n v="1087"/>
    <s v="NA"/>
    <s v="NA"/>
    <s v="NA"/>
    <s v="NA"/>
    <s v="current "/>
    <s v="NA"/>
    <s v="NA"/>
    <s v="NA"/>
    <s v="NA"/>
    <s v="NA"/>
    <n v="0"/>
    <n v="0"/>
    <n v="1"/>
    <m/>
    <m/>
    <m/>
    <m/>
    <m/>
    <m/>
    <m/>
    <m/>
    <m/>
    <m/>
    <n v="2.4808549041116852E-2"/>
    <n v="2.4813640511901335E-2"/>
    <n v="9.2080996398975789E-4"/>
    <n v="9.225092250922509E-4"/>
    <s v="NA"/>
    <n v="1085"/>
    <s v="NA"/>
  </r>
  <r>
    <x v="0"/>
    <n v="3"/>
    <n v="1088"/>
    <n v="115"/>
    <s v="Allcott, Taubinsky"/>
    <n v="2016"/>
    <s v="Evaluating Behaviorally Motivated Policy: Experimental Evidence from the Lightbulb Market"/>
    <s v="Imperfect information and inattention to energy costs are important potential motivations for energy efficiency standards and subsidies. We evaluate these motivations in the lightbulb market using a theoretical model and two randomized experiments. We derive welfare effects as functions of reduced-form sufficient statistics capturing economic and psychological parameters, which we estimate using a novel within-subject information disclosure experiment. The main results suggest that moderate subsidies for energy-efficient lightbulbs may increase welfare, but informational and attentional biases alone do not justify a ban on incandescent lightbulbs. Our results and techniques generate broader methodological insights into welfare analysis with misoptimizing consumers. "/>
    <n v="2"/>
    <s v="NA (TESS)"/>
    <x v="0"/>
    <n v="2532"/>
    <x v="0"/>
    <x v="2"/>
    <x v="1"/>
    <s v="revealed preference"/>
    <s v="online"/>
    <s v="residents"/>
    <n v="1"/>
    <s v="no such option"/>
    <n v="1"/>
    <s v="probably no"/>
    <s v="probably no"/>
    <s v="NA"/>
    <n v="0"/>
    <n v="0"/>
    <n v="0"/>
    <n v="1"/>
    <n v="0"/>
    <n v="0"/>
    <n v="0"/>
    <n v="0"/>
    <s v="NA"/>
    <n v="0"/>
    <n v="0"/>
    <n v="0"/>
    <n v="0"/>
    <n v="0"/>
    <n v="1"/>
    <n v="0"/>
    <n v="0"/>
    <n v="0"/>
    <s v="NA"/>
    <x v="0"/>
    <s v="purchased CFL"/>
    <s v="dummy (0/1)"/>
    <n v="0.105"/>
    <s v="increase"/>
    <n v="3.3000000000000002E-2"/>
    <n v="0.01"/>
    <n v="1"/>
    <n v="3.1818181818181817"/>
    <n v="0.11071061035570517"/>
    <n v="0.5262259093720687"/>
    <s v="NA"/>
    <s v="NA"/>
    <s v="NA"/>
    <s v="NA"/>
    <s v="NA"/>
    <s v="NA"/>
    <n v="1087"/>
    <n v="1087"/>
    <s v="NA"/>
    <s v="NA"/>
    <s v="NA"/>
    <s v="NA"/>
    <s v="current "/>
    <s v="NA"/>
    <s v="NA"/>
    <s v="NA"/>
    <s v="NA"/>
    <s v="NA"/>
    <n v="0"/>
    <n v="0"/>
    <n v="1"/>
    <m/>
    <m/>
    <m/>
    <m/>
    <m/>
    <m/>
    <m/>
    <m/>
    <m/>
    <m/>
    <n v="9.6061089497837926E-2"/>
    <n v="9.6358211658461979E-2"/>
    <n v="9.2073093051564905E-4"/>
    <n v="9.225092250922509E-4"/>
    <s v="NA"/>
    <n v="1085"/>
    <s v="NA"/>
  </r>
  <r>
    <x v="0"/>
    <n v="4"/>
    <n v="1112"/>
    <n v="121"/>
    <s v="Anderson, Claxton"/>
    <n v="1982"/>
    <s v="Barriers to Consumer Choice of Energy Efficient Products"/>
    <s v="A number of barriers deter consumers from making energy conserving choices when buying major durables. In a field experiment, refrigerator energy labels and sales staff emphasis were manipulated in an attempt to help put these barriers into perspective. Energy information was most effective in the low price market segment when consumers were choosing between manual and frost-free refrig- erators."/>
    <n v="2"/>
    <n v="1982"/>
    <x v="0"/>
    <n v="167"/>
    <x v="3"/>
    <x v="2"/>
    <x v="2"/>
    <s v="revealed preference"/>
    <s v="retailer"/>
    <s v="store visitors"/>
    <n v="0"/>
    <s v="no such option"/>
    <n v="0"/>
    <s v="probably no"/>
    <s v="probably no"/>
    <s v="can't disentangle scepific effects for each intervention ?"/>
    <n v="0"/>
    <n v="1"/>
    <n v="1"/>
    <n v="0"/>
    <n v="0"/>
    <n v="0"/>
    <n v="0"/>
    <n v="0"/>
    <s v="can't disentangle scepific effects for each intervention - emphasis on energy information and label "/>
    <n v="0"/>
    <n v="0"/>
    <n v="0"/>
    <n v="1"/>
    <n v="0"/>
    <n v="0"/>
    <n v="0"/>
    <n v="0"/>
    <n v="0"/>
    <s v="treatments effect not differentiated"/>
    <x v="0"/>
    <s v="NA"/>
    <s v="odds ratio"/>
    <s v="NA"/>
    <s v="increase"/>
    <n v="2.287361707025994"/>
    <n v="0.05"/>
    <n v="2"/>
    <n v="4.53"/>
    <n v="0.85185185185185175"/>
    <m/>
    <n v="0.27"/>
    <n v="26"/>
    <s v="NA"/>
    <n v="0.5"/>
    <n v="16"/>
    <s v="NA"/>
    <n v="119"/>
    <n v="1116"/>
    <n v="0.22999999999999998"/>
    <s v="NA"/>
    <s v="NA"/>
    <s v="NA"/>
    <s v="NA"/>
    <n v="1"/>
    <n v="43"/>
    <n v="1"/>
    <n v="123"/>
    <s v="other"/>
    <n v="0"/>
    <n v="0"/>
    <n v="0"/>
    <m/>
    <m/>
    <m/>
    <m/>
    <m/>
    <m/>
    <m/>
    <m/>
    <m/>
    <m/>
    <n v="5.0212842027547909E-2"/>
    <n v="5.0255107024421791E-2"/>
    <n v="8.4745222158217736E-3"/>
    <n v="8.6206896551724137E-3"/>
    <n v="0.1005525270854708"/>
    <n v="117"/>
    <s v="NA"/>
  </r>
  <r>
    <x v="0"/>
    <m/>
    <n v="1071"/>
    <n v="113"/>
    <s v="Andor, Gerster, Goette"/>
    <n v="2019"/>
    <s v="How effective is the European Union energy label? Evidence from a real-stakes experiment"/>
    <s v="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
    <n v="2"/>
    <n v="2019"/>
    <x v="0"/>
    <n v="5"/>
    <x v="4"/>
    <x v="2"/>
    <x v="3"/>
    <s v="revealed preference"/>
    <s v="online"/>
    <s v="homeowners"/>
    <n v="1"/>
    <s v="opt_in"/>
    <n v="1"/>
    <s v="probably no"/>
    <s v="probably no"/>
    <s v="NA"/>
    <n v="0"/>
    <n v="0"/>
    <n v="1"/>
    <n v="0"/>
    <n v="0"/>
    <n v="0"/>
    <n v="0"/>
    <n v="0"/>
    <s v="NA"/>
    <n v="0"/>
    <n v="0"/>
    <n v="0"/>
    <n v="0"/>
    <n v="0"/>
    <n v="1"/>
    <n v="0"/>
    <n v="0"/>
    <n v="0"/>
    <s v="NA"/>
    <x v="2"/>
    <s v="relative WTP for LED vs CFL (diff experimental conditions)"/>
    <s v="NA"/>
    <n v="0.14099999999999999"/>
    <s v="increase"/>
    <n v="0.32"/>
    <n v="0.1"/>
    <n v="2"/>
    <n v="0.44062499999999993"/>
    <s v="NA"/>
    <m/>
    <s v="NA"/>
    <n v="216"/>
    <s v="NA"/>
    <s v="NA"/>
    <n v="119"/>
    <s v="NA"/>
    <n v="335"/>
    <n v="335"/>
    <s v="NA"/>
    <s v="NA"/>
    <s v="NA"/>
    <s v="NA"/>
    <s v="NA"/>
    <n v="0"/>
    <s v="NA"/>
    <n v="1"/>
    <n v="7"/>
    <s v="alphabetical with +"/>
    <n v="1"/>
    <n v="0"/>
    <n v="1"/>
    <m/>
    <m/>
    <m/>
    <m/>
    <m/>
    <m/>
    <m/>
    <m/>
    <m/>
    <m/>
    <n v="2.4066942415906588E-2"/>
    <n v="2.4071590697916326E-2"/>
    <n v="2.9940109708011158E-3"/>
    <n v="3.0120481927710845E-3"/>
    <m/>
    <m/>
    <m/>
  </r>
  <r>
    <x v="0"/>
    <m/>
    <n v="1072"/>
    <n v="113"/>
    <s v="Andor, Gerster, Goette"/>
    <n v="2019"/>
    <s v="How effective is the European Union energy label? Evidence from a real-stakes experiment"/>
    <s v="Imperfect information and inattention can lead consumers to undervalue the energy efficiency of products, contributing to growing environmental problems and climate change. To nudge individuals towards energy efficiency, environmental certification schemes, such as the European Union (EU) energy label, present grade-like efficiency classes. In a real-stakes randomized controlled trial, we contrast this approach with a control condition that gives no energy-related information and an alternative treatment condition that provides detailed information on the lifetime cost of energy-using durables. Our results show that the EU energy label does not increase demand for energy-efficient products over a control condition. By contrast, lifetime-cost information increases the willingness-to- pay for energy efficiency considerably."/>
    <n v="2"/>
    <n v="2019"/>
    <x v="0"/>
    <n v="5"/>
    <x v="4"/>
    <x v="2"/>
    <x v="3"/>
    <s v="revealed preference"/>
    <s v="online"/>
    <s v="homeowners"/>
    <n v="1"/>
    <s v="opt_in"/>
    <n v="1"/>
    <s v="probably no"/>
    <s v="probably no"/>
    <s v="NA"/>
    <n v="0"/>
    <n v="0"/>
    <n v="1"/>
    <n v="0"/>
    <n v="0"/>
    <n v="0"/>
    <n v="0"/>
    <n v="0"/>
    <s v="NA"/>
    <n v="0"/>
    <n v="0"/>
    <n v="0"/>
    <n v="0"/>
    <n v="0"/>
    <n v="1"/>
    <n v="0"/>
    <n v="0"/>
    <n v="0"/>
    <s v="NA"/>
    <x v="2"/>
    <s v="relative WTP for LED vs CFL (diff experimental conditions)"/>
    <s v="NA"/>
    <n v="1.331"/>
    <s v="increase"/>
    <n v="0.34499999999999997"/>
    <n v="0.01"/>
    <n v="1"/>
    <n v="3.8579710144927537"/>
    <s v="NA"/>
    <m/>
    <s v="NA"/>
    <n v="216"/>
    <s v="NA"/>
    <s v="NA"/>
    <n v="224"/>
    <s v="NA"/>
    <n v="440"/>
    <n v="440"/>
    <s v="NA"/>
    <s v="NA"/>
    <s v="NA"/>
    <s v="NA"/>
    <s v="NA"/>
    <n v="1"/>
    <n v="32.4771"/>
    <n v="0"/>
    <s v="NA"/>
    <s v="NA"/>
    <n v="1"/>
    <n v="0"/>
    <n v="1"/>
    <m/>
    <m/>
    <m/>
    <m/>
    <m/>
    <m/>
    <m/>
    <m/>
    <m/>
    <m/>
    <n v="0.18088754235543161"/>
    <n v="0.18290010196181533"/>
    <n v="2.2753552022091081E-3"/>
    <n v="2.2883295194508009E-3"/>
    <m/>
    <m/>
    <m/>
  </r>
  <r>
    <x v="2"/>
    <m/>
    <n v="1266"/>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6379999999999999"/>
    <s v="increase"/>
    <s v="NA"/>
    <n v="0.01"/>
    <n v="1"/>
    <s v="NA"/>
    <s v="NA"/>
    <m/>
    <s v="NA"/>
    <s v="NA"/>
    <s v="NA"/>
    <s v="NA"/>
    <s v="NA"/>
    <s v="NA"/>
    <n v="165"/>
    <n v="2673"/>
    <s v="NA"/>
    <s v="NA"/>
    <s v="NA"/>
    <s v="NA"/>
    <s v="NA"/>
    <s v="NA"/>
    <s v="NA"/>
    <s v="NA"/>
    <s v="NA"/>
    <s v="NA"/>
    <n v="0"/>
    <n v="0"/>
    <n v="0"/>
    <m/>
    <m/>
    <m/>
    <m/>
    <m/>
    <m/>
    <m/>
    <m/>
    <m/>
    <m/>
    <e v="#VALUE!"/>
    <e v="#VALUE!"/>
    <e v="#VALUE!"/>
    <n v="6.1728395061728392E-3"/>
    <m/>
    <m/>
    <m/>
  </r>
  <r>
    <x v="2"/>
    <m/>
    <n v="1267"/>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246"/>
    <s v="increase"/>
    <s v="NA"/>
    <n v="0.05"/>
    <n v="1"/>
    <s v="NA"/>
    <s v="NA"/>
    <m/>
    <s v="NA"/>
    <s v="NA"/>
    <s v="NA"/>
    <s v="NA"/>
    <s v="NA"/>
    <s v="NA"/>
    <n v="165"/>
    <n v="2232"/>
    <s v="NA"/>
    <s v="NA"/>
    <s v="NA"/>
    <s v="NA"/>
    <s v="NA"/>
    <s v="NA"/>
    <s v="NA"/>
    <s v="NA"/>
    <s v="NA"/>
    <s v="NA"/>
    <n v="0"/>
    <n v="0"/>
    <n v="0"/>
    <m/>
    <m/>
    <m/>
    <m/>
    <m/>
    <m/>
    <m/>
    <m/>
    <m/>
    <m/>
    <e v="#VALUE!"/>
    <e v="#VALUE!"/>
    <e v="#VALUE!"/>
    <n v="6.1728395061728392E-3"/>
    <m/>
    <m/>
    <m/>
  </r>
  <r>
    <x v="2"/>
    <m/>
    <n v="1268"/>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86"/>
    <s v="increase"/>
    <s v="NA"/>
    <n v="0.01"/>
    <n v="1"/>
    <s v="NA"/>
    <s v="NA"/>
    <m/>
    <s v="NA"/>
    <s v="NA"/>
    <s v="NA"/>
    <s v="NA"/>
    <s v="NA"/>
    <s v="NA"/>
    <n v="165"/>
    <n v="2673"/>
    <s v="NA"/>
    <s v="NA"/>
    <s v="NA"/>
    <s v="NA"/>
    <s v="NA"/>
    <s v="NA"/>
    <s v="NA"/>
    <s v="NA"/>
    <s v="NA"/>
    <s v="NA"/>
    <n v="0"/>
    <n v="0"/>
    <n v="0"/>
    <m/>
    <m/>
    <m/>
    <m/>
    <m/>
    <m/>
    <m/>
    <m/>
    <m/>
    <m/>
    <e v="#VALUE!"/>
    <e v="#VALUE!"/>
    <e v="#VALUE!"/>
    <n v="6.1728395061728392E-3"/>
    <m/>
    <m/>
    <m/>
  </r>
  <r>
    <x v="2"/>
    <m/>
    <n v="1269"/>
    <n v="406"/>
    <s v="Asinyaka"/>
    <n v="2019"/>
    <s v="Willingness to Pay for Energy Efficient Refrigerating Appliances in Accra, Ghana: A Choice Experiment Approach"/>
    <s v="The use of energy efficient refrigerating appliances in the domestic sector holds promise for savings on energy, CO2 emissions and CFC leakages, and more so for developing countries than for developed countries. However, the low saliency of energy efficiency and monetary savings impedes the uptake of energy efficient appliances by end-use consumers and suppliers of residential appliances. Moreover, there is the lack of information on how consumers value different refrigerating appliances and appliance features as well as how much they are willing to pay for same. Applying a choice experiment approach, this paper valued consumers’ preferences for energy efficient refrigerating appli_x0002_ances and found that willingness to pay (WTP) is significant and positive at GH¢3,078.12 ($690). However, evidence of the influence of socio-demographics on WTP and preferences is inconclusive."/>
    <n v="2"/>
    <s v="NA"/>
    <x v="0"/>
    <n v="31"/>
    <x v="5"/>
    <x v="3"/>
    <x v="4"/>
    <s v="revealed preference"/>
    <s v="unclear"/>
    <s v="individuals"/>
    <n v="1"/>
    <s v="NA"/>
    <n v="1"/>
    <s v="probably yes"/>
    <s v="probably no"/>
    <s v="refers only to eight suburbs of the city of Accra"/>
    <n v="0"/>
    <n v="1"/>
    <n v="1"/>
    <n v="0"/>
    <n v="0"/>
    <n v="0"/>
    <n v="0"/>
    <n v="0"/>
    <s v="NA"/>
    <n v="0"/>
    <n v="0"/>
    <n v="1"/>
    <n v="0"/>
    <n v="0"/>
    <n v="0"/>
    <n v="0"/>
    <n v="0"/>
    <n v="0"/>
    <s v="dummy choice for a refrigerator"/>
    <x v="2"/>
    <s v="dummy choice for a refrigerator"/>
    <s v="dummy (0/1)"/>
    <n v="1.7370000000000001"/>
    <s v="increase"/>
    <s v="NA"/>
    <n v="0.05"/>
    <n v="1"/>
    <s v="NA"/>
    <s v="NA"/>
    <m/>
    <s v="NA"/>
    <s v="NA"/>
    <s v="NA"/>
    <s v="NA"/>
    <s v="NA"/>
    <s v="NA"/>
    <n v="165"/>
    <n v="2232"/>
    <s v="NA"/>
    <s v="NA"/>
    <s v="NA"/>
    <s v="NA"/>
    <s v="NA"/>
    <s v="NA"/>
    <s v="NA"/>
    <s v="NA"/>
    <s v="NA"/>
    <s v="NA"/>
    <n v="0"/>
    <n v="0"/>
    <n v="0"/>
    <m/>
    <m/>
    <m/>
    <m/>
    <m/>
    <m/>
    <m/>
    <m/>
    <m/>
    <m/>
    <e v="#VALUE!"/>
    <e v="#VALUE!"/>
    <e v="#VALUE!"/>
    <n v="6.1728395061728392E-3"/>
    <m/>
    <m/>
    <m/>
  </r>
  <r>
    <x v="0"/>
    <m/>
    <s v="NA"/>
    <s v="NA"/>
    <s v="Aydin, Kok, Brounen"/>
    <n v="2017"/>
    <s v="Energy efficiency and household behavior: the rebound effect in the residential sector"/>
    <s v="This article investigates the rebound effect in residential heating, using a sample of 563,000_x000a_households in the Netherlands. Using instrumental variable and fixed-effects approaches, we_x000a_address potential endogeneity concerns. The results show a rebound effect of 26.7% among_x000a_homeowners, and 41.3% among tenants.We corroborate the findings through a quasiexperimental_x000a_analysis, using a large retrofit subsidy program.We also document significant heterogeneity in the_x000a_rebound effect, determined by household wealth and income, and the actual energy use intensity._x000a_The findings in this article confirm the important role of household behavior in determining the_x000a_outcomes of energy efficiency improvement programs."/>
    <n v="1"/>
    <s v="2008-2011"/>
    <x v="1"/>
    <m/>
    <x v="6"/>
    <x v="3"/>
    <x v="5"/>
    <m/>
    <m/>
    <s v="homeowners"/>
    <m/>
    <m/>
    <m/>
    <m/>
    <m/>
    <m/>
    <m/>
    <m/>
    <m/>
    <m/>
    <m/>
    <m/>
    <m/>
    <m/>
    <m/>
    <m/>
    <m/>
    <m/>
    <m/>
    <m/>
    <m/>
    <m/>
    <m/>
    <m/>
    <m/>
    <x v="3"/>
    <m/>
    <m/>
    <m/>
    <m/>
    <m/>
    <m/>
    <m/>
    <m/>
    <m/>
    <m/>
    <m/>
    <m/>
    <m/>
    <m/>
    <m/>
    <m/>
    <m/>
    <m/>
    <m/>
    <m/>
    <m/>
    <m/>
    <m/>
    <m/>
    <m/>
    <m/>
    <m/>
    <m/>
    <m/>
    <m/>
    <m/>
    <m/>
    <m/>
    <m/>
    <m/>
    <m/>
    <m/>
    <m/>
    <m/>
    <m/>
    <m/>
    <m/>
    <m/>
    <m/>
    <m/>
    <m/>
    <m/>
    <m/>
  </r>
  <r>
    <x v="0"/>
    <m/>
    <s v="NA"/>
    <s v="NA"/>
    <s v="Berman, Cooper, Geller"/>
    <n v="1987"/>
    <s v="COMPENDIUM OF UTILITY-SPONSORED ENERGY EFFICIENCY REBATE PROGRAMS."/>
    <s v="Rebate programs are becoming increasingly popular among utilities across the_x000a_country as a method to persuade customers to purchase more energy efficient_x000a_appliances, space conditioning systems, lighting products and motors~ While there_x000a_is substantial experience with and interest in utility rebate programs, utilities_x000a_and other organizations lack comprehensive information on other utility-sponsored_x000a_energy efficient rebate programs~ The authors developed this Compendium to fill_x000a_that gape_x000a_This Compendium contains information on 59 energy efficiency rebate programs, based_x000a_upon a survey of 157 utilitieso The information on each rebate program has been_x000a_cross-tabulated and analyzed to identify such variables as program characteristics,_x000a_products included, efficiency levels, rebate amounts, funding levels, energy and_x000a_peak power savings, and the cost of peak demand reductione Summary conclusions_x000a_about these variables are also presentede"/>
    <n v="2"/>
    <m/>
    <x v="2"/>
    <m/>
    <x v="6"/>
    <x v="4"/>
    <x v="5"/>
    <m/>
    <m/>
    <m/>
    <m/>
    <m/>
    <m/>
    <m/>
    <m/>
    <m/>
    <m/>
    <m/>
    <m/>
    <m/>
    <m/>
    <m/>
    <m/>
    <m/>
    <m/>
    <m/>
    <m/>
    <m/>
    <m/>
    <m/>
    <m/>
    <m/>
    <m/>
    <m/>
    <m/>
    <x v="3"/>
    <m/>
    <m/>
    <m/>
    <m/>
    <m/>
    <m/>
    <m/>
    <m/>
    <m/>
    <m/>
    <m/>
    <m/>
    <m/>
    <m/>
    <m/>
    <m/>
    <m/>
    <m/>
    <m/>
    <m/>
    <m/>
    <m/>
    <m/>
    <m/>
    <m/>
    <m/>
    <m/>
    <m/>
    <m/>
    <m/>
    <m/>
    <m/>
    <m/>
    <m/>
    <m/>
    <m/>
    <m/>
    <m/>
    <m/>
    <m/>
    <m/>
    <m/>
    <m/>
    <m/>
    <m/>
    <m/>
    <m/>
    <m/>
  </r>
  <r>
    <x v="0"/>
    <m/>
    <s v="NA"/>
    <s v="NA"/>
    <s v="Bjerregaard, Møller"/>
    <n v="2019"/>
    <s v="The Impact of EU's energy labeling policy: An econometric analysis of inceased transparency in the market of cold appliances in Denmark"/>
    <s v="In 2010 the EU decided to change the energy efficiency label for electrical appliances, so that the most effective_x000a_appliances became more visible to consumers. We apply a Cointegrated Vector-Auto-Regressive (CVAR) model_x000a_to assess the quantitative impact of this change on monthly sales (2005–2017) in the Danish markets for cold_x000a_appliances of high and low efficiencies. The data support large effects with the expected signs. In particular, we_x000a_find that the change increased sales of high-efficiency appliances by 55%, at the announcement, and by a further_x000a_42% when implemented. Sales of low-efficiency appliances were not affected by the announcement, but decreased,_x000a_as a result of the implementation for online sales by 45%. These conclusions derive from the analysis of_x000a_a well-specified VAR within which we take into account sample dependence, outliers and exogenous level shifts."/>
    <n v="2"/>
    <s v="2005-2017"/>
    <x v="3"/>
    <m/>
    <x v="7"/>
    <x v="5"/>
    <x v="6"/>
    <s v="revealed preference"/>
    <m/>
    <m/>
    <n v="0"/>
    <s v="no such option"/>
    <n v="0"/>
    <s v="probably no"/>
    <s v="probably no"/>
    <s v="NA"/>
    <n v="0"/>
    <n v="0"/>
    <n v="1"/>
    <n v="0"/>
    <n v="0"/>
    <n v="0"/>
    <n v="0"/>
    <n v="0"/>
    <s v="announcement - label compared to old and not absence of label"/>
    <n v="0"/>
    <n v="0"/>
    <n v="0"/>
    <n v="1"/>
    <n v="0"/>
    <n v="0"/>
    <n v="0"/>
    <n v="0"/>
    <n v="0"/>
    <s v="market statistics"/>
    <x v="4"/>
    <m/>
    <s v="NA"/>
    <m/>
    <m/>
    <m/>
    <m/>
    <m/>
    <m/>
    <n v="0.55000000000000004"/>
    <m/>
    <m/>
    <m/>
    <m/>
    <m/>
    <m/>
    <m/>
    <m/>
    <m/>
    <m/>
    <m/>
    <s v="NA"/>
    <s v="NA"/>
    <s v="NA"/>
    <n v="0"/>
    <s v="NA"/>
    <n v="1"/>
    <s v="NA"/>
    <s v="alphabetical with +"/>
    <m/>
    <m/>
    <m/>
    <m/>
    <m/>
    <m/>
    <m/>
    <m/>
    <m/>
    <m/>
    <m/>
    <m/>
    <m/>
    <m/>
    <m/>
    <m/>
    <m/>
    <m/>
    <m/>
    <m/>
  </r>
  <r>
    <x v="0"/>
    <m/>
    <s v="NA"/>
    <s v="NA"/>
    <s v="Bjerregaard, Møller"/>
    <n v="2019"/>
    <s v="The Impact of EU's energy labeling policy: An econometric analysis of inceased transparency in the market of cold appliances in Denmark"/>
    <s v="In 2010 the EU decided to change the energy efficiency label for electrical appliances, so that the most effective_x000a_appliances became more visible to consumers. We apply a Cointegrated Vector-Auto-Regressive (CVAR) model_x000a_to assess the quantitative impact of this change on monthly sales (2005–2017) in the Danish markets for cold_x000a_appliances of high and low efficiencies. The data support large effects with the expected signs. In particular, we_x000a_find that the change increased sales of high-efficiency appliances by 55%, at the announcement, and by a further_x000a_42% when implemented. Sales of low-efficiency appliances were not affected by the announcement, but decreased,_x000a_as a result of the implementation for online sales by 45%. These conclusions derive from the analysis of_x000a_a well-specified VAR within which we take into account sample dependence, outliers and exogenous level shifts."/>
    <n v="2"/>
    <s v="2005-2017"/>
    <x v="3"/>
    <m/>
    <x v="7"/>
    <x v="5"/>
    <x v="6"/>
    <s v="revealed preference"/>
    <m/>
    <m/>
    <n v="0"/>
    <s v="no such option"/>
    <n v="0"/>
    <s v="probably no"/>
    <s v="probably no"/>
    <s v="NA"/>
    <n v="0"/>
    <n v="0"/>
    <n v="1"/>
    <n v="0"/>
    <n v="0"/>
    <n v="0"/>
    <n v="0"/>
    <n v="0"/>
    <s v="implementation label compared to old and not absence of label"/>
    <n v="0"/>
    <n v="0"/>
    <n v="0"/>
    <n v="1"/>
    <n v="0"/>
    <n v="0"/>
    <n v="0"/>
    <n v="0"/>
    <n v="0"/>
    <s v="market statistics"/>
    <x v="4"/>
    <m/>
    <s v="NA"/>
    <m/>
    <m/>
    <m/>
    <m/>
    <m/>
    <m/>
    <n v="0.42"/>
    <m/>
    <m/>
    <m/>
    <m/>
    <m/>
    <m/>
    <m/>
    <m/>
    <m/>
    <m/>
    <m/>
    <s v="NA"/>
    <s v="NA"/>
    <s v="NA"/>
    <n v="0"/>
    <s v="NA"/>
    <n v="1"/>
    <s v="NA"/>
    <s v="alphabetical with +"/>
    <m/>
    <m/>
    <m/>
    <m/>
    <m/>
    <m/>
    <m/>
    <m/>
    <m/>
    <m/>
    <m/>
    <m/>
    <m/>
    <m/>
    <m/>
    <m/>
    <m/>
    <m/>
    <m/>
    <m/>
  </r>
  <r>
    <x v="2"/>
    <n v="5"/>
    <n v="1274"/>
    <n v="401"/>
    <s v="Caldwell, Vaughan, Harrod, Harrod"/>
    <n v="2019"/>
    <s v="Social Marketing–Enhanced Home Energy Education Encourages Adoption of Energy-Saving Practices"/>
    <s v="We developed a program centered on a social marketing–enhanced home energy education visit to encourage homeowner adoption of specific energy conservation measures. We randomly assigned 170 homeowners to an experimental condition that included energy education before an energy audit or a control condition that included only an energy audit. Participants in the experimental condition adopted more no-cost and low-cost one-time energy conservation changes, such as adjusting refrigerator/freezer temperatures and lowering hot water temperature. However, they did not invest more in home energy renovations or other costly changes, such as replacing inefficient appliances. We discuss implications of this experiment for enhancing effectiveness of Extension-based energy education programs."/>
    <n v="2"/>
    <s v="NA"/>
    <x v="0"/>
    <n v="4"/>
    <x v="3"/>
    <x v="2"/>
    <x v="1"/>
    <s v="self-reported behaviour"/>
    <s v="household"/>
    <s v="homeowners"/>
    <n v="0"/>
    <s v="no such option"/>
    <n v="0"/>
    <s v="probably yes"/>
    <s v="probably no"/>
    <s v="small sample size, outcome reported in percentage of households"/>
    <n v="0"/>
    <n v="1"/>
    <n v="0"/>
    <n v="0"/>
    <n v="0"/>
    <n v="0"/>
    <n v="0"/>
    <n v="0"/>
    <s v="Intervention is combination of energy audit + energy education visit vs. audit only. Customers qualify for the study by requesting an  audit."/>
    <n v="0"/>
    <n v="0"/>
    <n v="0"/>
    <n v="0"/>
    <n v="0"/>
    <n v="1"/>
    <n v="0"/>
    <n v="0"/>
    <n v="0"/>
    <s v="percentage of households who purchased efficient lighting"/>
    <x v="0"/>
    <s v="probability of appliance purchase"/>
    <s v="NA"/>
    <s v="NA"/>
    <s v="increase"/>
    <s v="NA"/>
    <n v="0.16600000000000001"/>
    <s v="NA"/>
    <s v="NA"/>
    <n v="0.18"/>
    <m/>
    <s v="NA"/>
    <n v="54"/>
    <s v="NA"/>
    <s v="NA"/>
    <n v="53"/>
    <s v="NA"/>
    <n v="107"/>
    <n v="107"/>
    <s v="NA"/>
    <s v="NA"/>
    <s v="NA"/>
    <s v="NA"/>
    <s v="NA"/>
    <s v="NA"/>
    <s v="NA"/>
    <s v="NA"/>
    <s v="NA"/>
    <s v="NA"/>
    <n v="0"/>
    <n v="0"/>
    <n v="0"/>
    <m/>
    <m/>
    <m/>
    <m/>
    <m/>
    <m/>
    <m/>
    <m/>
    <m/>
    <m/>
    <e v="#VALUE!"/>
    <e v="#VALUE!"/>
    <e v="#VALUE!"/>
    <n v="9.6153846153846159E-3"/>
    <e v="#VALUE!"/>
    <n v="105"/>
    <s v="these have only % change reported and no absolute diff of means"/>
  </r>
  <r>
    <x v="0"/>
    <m/>
    <n v="1113"/>
    <n v="122"/>
    <s v="Carroll, Denny, Lyons"/>
    <n v="2016"/>
    <s v="The Effects of Energy Cost Labelling on Appliance Purchasing Decisions: Trial Results from Ireland"/>
    <s v="Household failure to minimize the total costs of energy-consuming investments has become known as the Benergy efficiency gap.^ This paper explores if this is partly the result of imperfect information related to future energy costs. We test this hypothesis by adding 5-year consumption cost labels to the tumble dryer lineup of four outlets of an Irish electrical retailer. Although we observe a reduction in the average energy consumption of dryer sales, our analysis does not show a statistically significant effect. However, we highlight a number of experimental limitations in our trial which potentially undermine this treatment effect. In addition, mixed findings from previous research suggest that further trials should be conducted before Blifetime^ energy cost labelling is removed from potential policy options to increase the energy efficiency of household appliances."/>
    <n v="2"/>
    <n v="2013"/>
    <x v="0"/>
    <n v="33"/>
    <x v="8"/>
    <x v="1"/>
    <x v="7"/>
    <s v="revealed preference"/>
    <s v="retailer"/>
    <s v="store visitors"/>
    <n v="0"/>
    <s v="no such option"/>
    <n v="0"/>
    <s v="probably no"/>
    <s v="probably no"/>
    <s v="NA"/>
    <n v="0"/>
    <n v="0"/>
    <n v="1"/>
    <n v="0"/>
    <n v="0"/>
    <n v="0"/>
    <n v="0"/>
    <n v="0"/>
    <s v="mandatory energy labelling scheme and mandatory energy performance standard"/>
    <n v="0"/>
    <n v="1"/>
    <n v="0"/>
    <n v="0"/>
    <n v="0"/>
    <n v="0"/>
    <n v="0"/>
    <n v="0"/>
    <n v="0"/>
    <s v="NA"/>
    <x v="4"/>
    <s v="log of a model's sales"/>
    <s v="log scale"/>
    <n v="1.24"/>
    <s v="increase"/>
    <n v="0.53400000000000003"/>
    <s v="NA"/>
    <n v="3"/>
    <s v="=TINV(AW3,CM3)"/>
    <s v="NA"/>
    <m/>
    <s v="NA"/>
    <s v="NA"/>
    <s v="NA"/>
    <s v="NA"/>
    <s v="NA"/>
    <s v="NA"/>
    <n v="1620"/>
    <n v="1620"/>
    <s v="NA"/>
    <s v="NA"/>
    <s v="NA"/>
    <s v="NA"/>
    <s v="NA"/>
    <n v="1"/>
    <n v="486"/>
    <n v="1"/>
    <n v="2560"/>
    <s v="other"/>
    <n v="0"/>
    <n v="0"/>
    <n v="1"/>
    <m/>
    <m/>
    <m/>
    <m/>
    <m/>
    <m/>
    <m/>
    <m/>
    <m/>
    <m/>
    <e v="#VALUE!"/>
    <e v="#VALUE!"/>
    <e v="#VALUE!"/>
    <n v="6.1842918985776133E-4"/>
    <m/>
    <m/>
    <m/>
  </r>
  <r>
    <x v="0"/>
    <m/>
    <n v="1165"/>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4"/>
    <x v="5"/>
    <x v="8"/>
    <s v="self-reported behaviour"/>
    <s v="household"/>
    <s v="homeowners"/>
    <n v="0"/>
    <s v="no such option"/>
    <n v="0"/>
    <s v="probably no"/>
    <s v="probably no"/>
    <s v="NA"/>
    <n v="0"/>
    <n v="0"/>
    <n v="0"/>
    <n v="0"/>
    <n v="0"/>
    <n v="0"/>
    <n v="0"/>
    <n v="1"/>
    <s v="no behavioural incentive per se"/>
    <n v="0"/>
    <n v="0"/>
    <n v="0"/>
    <n v="0"/>
    <n v="0"/>
    <n v="1"/>
    <n v="0"/>
    <n v="0"/>
    <n v="0"/>
    <s v="NA"/>
    <x v="1"/>
    <s v="log avg wattage"/>
    <s v="log scale"/>
    <n v="0.77300000000000002"/>
    <s v="decrease"/>
    <n v="3.7999999999999999E-2"/>
    <n v="0.01"/>
    <n v="1"/>
    <n v="20.342105263157897"/>
    <n v="1.1662552812206535"/>
    <m/>
    <s v="NA"/>
    <s v="NA"/>
    <s v="NA"/>
    <s v="NA"/>
    <s v="NA"/>
    <s v="NA"/>
    <n v="2445"/>
    <n v="2445"/>
    <s v="NA"/>
    <s v="NA"/>
    <s v="NA"/>
    <s v="NA"/>
    <s v="NA"/>
    <s v="NA"/>
    <s v="NA"/>
    <s v="NA"/>
    <s v="NA"/>
    <s v="NA"/>
    <n v="0"/>
    <n v="0"/>
    <n v="0"/>
    <m/>
    <m/>
    <m/>
    <m/>
    <m/>
    <m/>
    <m/>
    <m/>
    <m/>
    <m/>
    <n v="0.38045554301813767"/>
    <n v="0.40059218306919919"/>
    <n v="3.9862850415234801E-4"/>
    <n v="4.0950040950040953E-4"/>
    <m/>
    <m/>
    <m/>
  </r>
  <r>
    <x v="0"/>
    <m/>
    <n v="1166"/>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9"/>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avg wattage"/>
    <s v="log scale"/>
    <n v="0.84"/>
    <s v="decrease"/>
    <n v="6.0999999999999999E-2"/>
    <n v="0.01"/>
    <n v="1"/>
    <n v="13.770491803278688"/>
    <n v="1.3163669767810915"/>
    <m/>
    <s v="NA"/>
    <s v="NA"/>
    <s v="NA"/>
    <s v="NA"/>
    <s v="NA"/>
    <s v="NA"/>
    <n v="2433"/>
    <n v="2433"/>
    <s v="NA"/>
    <s v="NA"/>
    <s v="NA"/>
    <s v="NA"/>
    <s v="NA"/>
    <s v="NA"/>
    <s v="NA"/>
    <s v="NA"/>
    <s v="NA"/>
    <s v="NA"/>
    <n v="1"/>
    <n v="1"/>
    <n v="1"/>
    <m/>
    <m/>
    <m/>
    <m/>
    <m/>
    <m/>
    <m/>
    <m/>
    <m/>
    <m/>
    <n v="0.26889407517381664"/>
    <n v="0.27567131993753202"/>
    <n v="4.0880954322490722E-4"/>
    <n v="4.1152263374485596E-4"/>
    <m/>
    <m/>
    <m/>
  </r>
  <r>
    <x v="0"/>
    <m/>
    <n v="1167"/>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4"/>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lumen adjusted wattage"/>
    <s v="log scale"/>
    <n v="1.0999999999999999E-2"/>
    <s v="decrease"/>
    <n v="0.03"/>
    <n v="0.1"/>
    <n v="2"/>
    <n v="0.36666666666666664"/>
    <n v="1.1060722444719451E-2"/>
    <m/>
    <s v="NA"/>
    <s v="NA"/>
    <s v="NA"/>
    <s v="NA"/>
    <s v="NA"/>
    <s v="NA"/>
    <n v="2445"/>
    <n v="2445"/>
    <s v="NA"/>
    <s v="NA"/>
    <s v="NA"/>
    <s v="NA"/>
    <s v="NA"/>
    <s v="NA"/>
    <s v="NA"/>
    <s v="NA"/>
    <s v="NA"/>
    <s v="NA"/>
    <n v="0"/>
    <n v="0"/>
    <n v="0"/>
    <m/>
    <m/>
    <m/>
    <m/>
    <m/>
    <m/>
    <m/>
    <m/>
    <m/>
    <m/>
    <n v="7.4151520133472265E-3"/>
    <n v="7.4152879239220478E-3"/>
    <n v="4.0916530154520679E-4"/>
    <n v="4.0950040950040953E-4"/>
    <m/>
    <m/>
    <m/>
  </r>
  <r>
    <x v="0"/>
    <m/>
    <n v="1168"/>
    <n v="139"/>
    <s v="Chun, Jiang"/>
    <n v="2013"/>
    <s v="How households in Pakistan take on energy efficient lighting technology"/>
    <s v="A household survey in Pakistan is used to examine drivers of more efficient compact fluorescent light bulb (CFL)_x000a_adoption and the impact of CFL adoption on the demand for lighting services. Higher price of a CFL to an incandescent_x000a_bulb (IB) and limited knowledge about the life span of CFLs versus IBs are found to lower adoption rates_x000a_by as much as 20%.While CFL adoption increases the technical efficiency of household lighting, the lower cost for_x000a_lighting services results in estimated rebound effects that decrease potential energy savings by 23% to 35% due to_x000a_increased brightness and extended hours of use. These findings have important implications for household welfare_x000a_and cost-benefit tradeoffs for CFL projects."/>
    <n v="1"/>
    <n v="2009"/>
    <x v="0"/>
    <n v="283"/>
    <x v="9"/>
    <x v="5"/>
    <x v="8"/>
    <s v="self-reported behaviour"/>
    <s v="household"/>
    <s v="homeowners"/>
    <n v="0"/>
    <s v="no such option"/>
    <n v="0"/>
    <s v="probably no"/>
    <s v="probably no"/>
    <s v="NA"/>
    <n v="0"/>
    <n v="0"/>
    <n v="0"/>
    <n v="0"/>
    <n v="0"/>
    <n v="0"/>
    <n v="0"/>
    <n v="1"/>
    <s v="no behavioural incentive per se - switch to CFL from IB"/>
    <n v="0"/>
    <n v="0"/>
    <n v="0"/>
    <n v="0"/>
    <n v="0"/>
    <n v="1"/>
    <n v="0"/>
    <n v="0"/>
    <n v="0"/>
    <s v="NA"/>
    <x v="1"/>
    <s v="log lumen adjusted wattage"/>
    <s v="log scale"/>
    <n v="9.5000000000000001E-2"/>
    <s v="increase"/>
    <n v="5.6000000000000001E-2"/>
    <n v="0.1"/>
    <n v="1"/>
    <n v="1.6964285714285714"/>
    <n v="9.9658855126102841E-2"/>
    <m/>
    <s v="NA"/>
    <s v="NA"/>
    <s v="NA"/>
    <s v="NA"/>
    <s v="NA"/>
    <s v="NA"/>
    <n v="2433"/>
    <n v="2433"/>
    <s v="NA"/>
    <s v="NA"/>
    <s v="NA"/>
    <s v="NA"/>
    <s v="NA"/>
    <s v="NA"/>
    <s v="NA"/>
    <s v="NA"/>
    <s v="NA"/>
    <s v="NA"/>
    <n v="1"/>
    <n v="1"/>
    <n v="1"/>
    <m/>
    <m/>
    <m/>
    <m/>
    <m/>
    <m/>
    <m/>
    <m/>
    <m/>
    <m/>
    <n v="3.4372239036265163E-2"/>
    <n v="3.4385785009859983E-2"/>
    <n v="4.1118363567940286E-4"/>
    <n v="4.1152263374485596E-4"/>
    <m/>
    <m/>
    <m/>
  </r>
  <r>
    <x v="1"/>
    <m/>
    <n v="1004"/>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0"/>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3.3000000000000002E-2"/>
    <s v="increase"/>
    <n v="1.7000000000000001E-2"/>
    <n v="0.05"/>
    <n v="1"/>
    <n v="1.9411764705882353"/>
    <s v="NA"/>
    <m/>
    <s v="NA"/>
    <s v="NA"/>
    <s v="NA"/>
    <s v="NA"/>
    <s v="NA"/>
    <s v="NA"/>
    <s v="NA"/>
    <n v="1128"/>
    <s v="NA"/>
    <s v="NA"/>
    <s v="NA"/>
    <s v="NA"/>
    <s v="NA"/>
    <s v="NA"/>
    <s v="NA"/>
    <s v="NA"/>
    <s v="NA"/>
    <s v="NA"/>
    <n v="1"/>
    <n v="1"/>
    <n v="1"/>
    <m/>
    <m/>
    <m/>
    <m/>
    <m/>
    <m/>
    <m/>
    <m/>
    <m/>
    <m/>
    <e v="#VALUE!"/>
    <e v="#VALUE!"/>
    <e v="#VALUE!"/>
    <e v="#VALUE!"/>
    <m/>
    <m/>
    <m/>
  </r>
  <r>
    <x v="1"/>
    <m/>
    <n v="1005"/>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10"/>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0.107"/>
    <s v="increase"/>
    <n v="0.124"/>
    <n v="0.1"/>
    <n v="2"/>
    <n v="0.86290322580645162"/>
    <s v="NA"/>
    <m/>
    <s v="NA"/>
    <s v="NA"/>
    <s v="NA"/>
    <s v="NA"/>
    <s v="NA"/>
    <s v="NA"/>
    <s v="NA"/>
    <n v="1104"/>
    <s v="NA"/>
    <s v="NA"/>
    <s v="NA"/>
    <s v="NA"/>
    <s v="NA"/>
    <s v="NA"/>
    <s v="NA"/>
    <s v="NA"/>
    <s v="NA"/>
    <s v="NA"/>
    <n v="1"/>
    <n v="1"/>
    <n v="1"/>
    <m/>
    <m/>
    <m/>
    <m/>
    <m/>
    <m/>
    <m/>
    <m/>
    <m/>
    <m/>
    <e v="#VALUE!"/>
    <e v="#VALUE!"/>
    <e v="#VALUE!"/>
    <e v="#VALUE!"/>
    <m/>
    <m/>
    <m/>
  </r>
  <r>
    <x v="1"/>
    <m/>
    <n v="1006"/>
    <n v="102"/>
    <s v="Datta, Filippini"/>
    <n v="2016"/>
    <s v="Analysing the impact of ENERGY STAR rebate_x000a_policies in the US"/>
    <s v="In this paper, we estimate the impact of _x000a_rebate policies in various US states on the sales share_x000a_of ENERGY STAR household appliances. We use_x000a_annual ENERGY STAR sales data for clothes washers,_x000a_dishwashers, refrigerators and air conditioners_x000a_from 2001 to 2006 and the variation in the coverage of_x000a_rebates across US states and over time to identify the_x000a_impact of rebate policies.We use, at first, a differencein-_x000a_differences approach to estimate this impact._x000a_Then, we take into account the possibility of rebate policies being endogenous and use instrumental variables_x000a_approaches in fixed effects panel data regression_x000a_models. Results suggest that rebate policies increase_x000a_the sales share of ENERGY STAR household appliances_x000a_by 3.3 to 6.6 percentage points, and this represents_x000a_an impact of 9 to 18 % on the mean level of the_x000a_sales share of ENERGY STAR household appliances_x000a_in the US between 2001 and 2006. We conclude that_x000a_rebates on ENERGY STAR appliances increase the_x000a_uptake of energy-efficient appliances."/>
    <n v="2"/>
    <s v="2001-2006"/>
    <x v="0"/>
    <n v="689"/>
    <x v="9"/>
    <x v="6"/>
    <x v="1"/>
    <s v="revealed preference"/>
    <s v="pre-recorded (no experiment)"/>
    <s v="residents"/>
    <n v="0"/>
    <s v="no such option"/>
    <n v="0"/>
    <s v="probably no"/>
    <s v="probably no"/>
    <s v="NA"/>
    <n v="0"/>
    <n v="0"/>
    <n v="0"/>
    <n v="1"/>
    <n v="0"/>
    <n v="0"/>
    <n v="0"/>
    <n v="0"/>
    <s v="NA"/>
    <n v="1"/>
    <n v="0"/>
    <n v="1"/>
    <n v="1"/>
    <n v="0"/>
    <n v="0"/>
    <n v="0"/>
    <n v="1"/>
    <n v="0"/>
    <s v="not reported separately for each appliance"/>
    <x v="4"/>
    <s v="share of ENERGY STAR household_x000a_appliance type"/>
    <s v="NA"/>
    <n v="6.6000000000000003E-2"/>
    <s v="increase"/>
    <n v="3.1E-2"/>
    <n v="0.05"/>
    <n v="1"/>
    <n v="2.1290322580645165"/>
    <s v="NA"/>
    <m/>
    <s v="NA"/>
    <s v="NA"/>
    <s v="NA"/>
    <s v="NA"/>
    <s v="NA"/>
    <s v="NA"/>
    <s v="NA"/>
    <n v="1128"/>
    <s v="NA"/>
    <s v="NA"/>
    <s v="NA"/>
    <s v="NA"/>
    <s v="NA"/>
    <s v="NA"/>
    <s v="NA"/>
    <s v="NA"/>
    <s v="NA"/>
    <s v="NA"/>
    <n v="1"/>
    <n v="1"/>
    <n v="1"/>
    <m/>
    <m/>
    <m/>
    <m/>
    <m/>
    <m/>
    <m/>
    <m/>
    <m/>
    <m/>
    <e v="#VALUE!"/>
    <e v="#VALUE!"/>
    <e v="#VALUE!"/>
    <e v="#VALUE!"/>
    <m/>
    <m/>
    <m/>
  </r>
  <r>
    <x v="0"/>
    <m/>
    <n v="1073"/>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1.181"/>
    <s v="increase"/>
    <n v="0.161"/>
    <n v="0.01"/>
    <n v="1"/>
    <n v="7.3354037267080745"/>
    <s v="NA"/>
    <m/>
    <s v="NA"/>
    <s v="NA"/>
    <s v="NA"/>
    <s v="NA"/>
    <s v="NA"/>
    <s v="NA"/>
    <n v="1200"/>
    <n v="1200"/>
    <s v="NA"/>
    <s v="NA"/>
    <n v="68.653999999999996"/>
    <s v="NA"/>
    <s v="delayed"/>
    <s v="NA"/>
    <s v="NA"/>
    <s v="NA"/>
    <s v="NA"/>
    <s v="NA"/>
    <n v="0"/>
    <n v="0"/>
    <n v="1"/>
    <m/>
    <m/>
    <m/>
    <m/>
    <m/>
    <m/>
    <m/>
    <m/>
    <m/>
    <m/>
    <n v="0.20716122845709467"/>
    <n v="0.21020345181527472"/>
    <n v="8.3240003533893779E-4"/>
    <n v="8.3542188805346695E-4"/>
    <m/>
    <m/>
    <m/>
  </r>
  <r>
    <x v="0"/>
    <m/>
    <n v="1074"/>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1.1559999999999999"/>
    <s v="increase"/>
    <n v="0.16500000000000001"/>
    <n v="0.01"/>
    <n v="1"/>
    <n v="7.006060606060605"/>
    <s v="NA"/>
    <m/>
    <s v="NA"/>
    <s v="NA"/>
    <s v="NA"/>
    <s v="NA"/>
    <s v="NA"/>
    <s v="NA"/>
    <n v="1200"/>
    <n v="1200"/>
    <s v="NA"/>
    <s v="NA"/>
    <n v="68.653999999999996"/>
    <s v="NA"/>
    <s v="delayed"/>
    <s v="NA"/>
    <s v="NA"/>
    <s v="NA"/>
    <s v="NA"/>
    <s v="NA"/>
    <n v="0"/>
    <n v="0"/>
    <n v="1"/>
    <m/>
    <m/>
    <m/>
    <m/>
    <m/>
    <m/>
    <m/>
    <m/>
    <m/>
    <m/>
    <n v="0.19823389455053378"/>
    <n v="0.20089353544961"/>
    <n v="8.3266990381727121E-4"/>
    <n v="8.3542188805346695E-4"/>
    <m/>
    <m/>
    <m/>
  </r>
  <r>
    <x v="0"/>
    <m/>
    <n v="1075"/>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0.23599999999999999"/>
    <s v="increase"/>
    <n v="7.6999999999999999E-2"/>
    <n v="0.01"/>
    <n v="1"/>
    <n v="3.0649350649350646"/>
    <s v="NA"/>
    <m/>
    <s v="NA"/>
    <s v="NA"/>
    <s v="NA"/>
    <s v="NA"/>
    <s v="NA"/>
    <s v="NA"/>
    <n v="1200"/>
    <n v="1200"/>
    <s v="NA"/>
    <s v="NA"/>
    <n v="68.653999999999996"/>
    <s v="NA"/>
    <s v="delayed"/>
    <s v="NA"/>
    <s v="NA"/>
    <s v="NA"/>
    <s v="NA"/>
    <s v="NA"/>
    <n v="0"/>
    <n v="0"/>
    <n v="1"/>
    <m/>
    <m/>
    <m/>
    <m/>
    <m/>
    <m/>
    <m/>
    <m/>
    <m/>
    <m/>
    <n v="8.8132766729768969E-2"/>
    <n v="8.8362023146500421E-2"/>
    <n v="8.3397751252971112E-4"/>
    <n v="8.3542188805346695E-4"/>
    <m/>
    <m/>
    <m/>
  </r>
  <r>
    <x v="0"/>
    <m/>
    <n v="1076"/>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1"/>
    <n v="0"/>
    <n v="0"/>
    <n v="0"/>
    <n v="0"/>
    <n v="0"/>
    <n v="0"/>
    <n v="0"/>
    <n v="0"/>
    <s v="NA"/>
    <x v="4"/>
    <s v="share of energy star appliance vs non energy star appliance"/>
    <s v="log scale"/>
    <n v="0.39500000000000002"/>
    <s v="increase"/>
    <n v="0.13200000000000001"/>
    <n v="0.01"/>
    <n v="1"/>
    <n v="2.9924242424242422"/>
    <s v="NA"/>
    <m/>
    <s v="NA"/>
    <s v="NA"/>
    <s v="NA"/>
    <s v="NA"/>
    <s v="NA"/>
    <s v="NA"/>
    <n v="1200"/>
    <n v="1200"/>
    <s v="NA"/>
    <s v="NA"/>
    <n v="68.653999999999996"/>
    <s v="NA"/>
    <s v="delayed"/>
    <s v="NA"/>
    <s v="NA"/>
    <s v="NA"/>
    <s v="NA"/>
    <s v="NA"/>
    <n v="0"/>
    <n v="0"/>
    <n v="1"/>
    <m/>
    <m/>
    <m/>
    <m/>
    <m/>
    <m/>
    <m/>
    <m/>
    <m/>
    <m/>
    <n v="8.6063334338985817E-2"/>
    <n v="8.6276771120091189E-2"/>
    <n v="8.3398214479539034E-4"/>
    <n v="8.3542188805346695E-4"/>
    <m/>
    <m/>
    <m/>
  </r>
  <r>
    <x v="0"/>
    <m/>
    <n v="1077"/>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2.6779999999999999"/>
    <s v="increase"/>
    <n v="0.45"/>
    <n v="0.01"/>
    <n v="1"/>
    <n v="5.9511111111111106"/>
    <s v="NA"/>
    <m/>
    <s v="NA"/>
    <s v="NA"/>
    <s v="NA"/>
    <s v="NA"/>
    <s v="NA"/>
    <s v="NA"/>
    <n v="1199"/>
    <n v="1199"/>
    <s v="NA"/>
    <s v="NA"/>
    <n v="34.347999999999999"/>
    <s v="NA"/>
    <s v="delayed"/>
    <s v="NA"/>
    <s v="NA"/>
    <s v="NA"/>
    <s v="NA"/>
    <s v="NA"/>
    <n v="0"/>
    <n v="0"/>
    <n v="1"/>
    <m/>
    <m/>
    <m/>
    <m/>
    <m/>
    <m/>
    <m/>
    <m/>
    <m/>
    <m/>
    <n v="0.16938203115368139"/>
    <n v="0.17103037260946002"/>
    <n v="8.3401031408957341E-4"/>
    <n v="8.3612040133779263E-4"/>
    <m/>
    <m/>
    <m/>
  </r>
  <r>
    <x v="0"/>
    <m/>
    <n v="1078"/>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2.617"/>
    <s v="increase"/>
    <n v="0.45600000000000002"/>
    <n v="0.01"/>
    <n v="1"/>
    <n v="5.7390350877192979"/>
    <s v="NA"/>
    <m/>
    <s v="NA"/>
    <s v="NA"/>
    <s v="NA"/>
    <s v="NA"/>
    <s v="NA"/>
    <s v="NA"/>
    <n v="1199"/>
    <n v="1199"/>
    <s v="NA"/>
    <s v="NA"/>
    <n v="34.347999999999999"/>
    <s v="NA"/>
    <s v="delayed"/>
    <s v="NA"/>
    <s v="NA"/>
    <s v="NA"/>
    <s v="NA"/>
    <s v="NA"/>
    <n v="0"/>
    <n v="0"/>
    <n v="1"/>
    <m/>
    <m/>
    <m/>
    <m/>
    <m/>
    <m/>
    <m/>
    <m/>
    <m/>
    <m/>
    <n v="0.16351014904569258"/>
    <n v="0.16499115897987898"/>
    <n v="8.3410597514365812E-4"/>
    <n v="8.3612040133779263E-4"/>
    <m/>
    <m/>
    <m/>
  </r>
  <r>
    <x v="0"/>
    <m/>
    <n v="1079"/>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1.1240000000000001"/>
    <s v="decrease"/>
    <n v="0.42899999999999999"/>
    <n v="0.05"/>
    <n v="1"/>
    <n v="2.6200466200466201"/>
    <s v="NA"/>
    <m/>
    <s v="NA"/>
    <s v="NA"/>
    <s v="NA"/>
    <s v="NA"/>
    <s v="NA"/>
    <s v="NA"/>
    <n v="1199"/>
    <n v="1199"/>
    <s v="NA"/>
    <s v="NA"/>
    <n v="34.347999999999999"/>
    <s v="NA"/>
    <s v="delayed"/>
    <s v="NA"/>
    <s v="NA"/>
    <s v="NA"/>
    <s v="NA"/>
    <s v="NA"/>
    <n v="0"/>
    <n v="0"/>
    <n v="1"/>
    <m/>
    <m/>
    <m/>
    <m/>
    <m/>
    <m/>
    <m/>
    <m/>
    <m/>
    <m/>
    <n v="7.545008581866168E-2"/>
    <n v="7.5593748794722831E-2"/>
    <n v="8.3469728335796656E-4"/>
    <n v="8.3612040133779263E-4"/>
    <m/>
    <m/>
    <m/>
  </r>
  <r>
    <x v="0"/>
    <m/>
    <n v="1080"/>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1"/>
    <n v="0"/>
    <n v="0"/>
    <n v="0"/>
    <n v="0"/>
    <n v="0"/>
    <n v="0"/>
    <s v="NA"/>
    <x v="4"/>
    <s v="share of energy star appliance vs non energy star appliance"/>
    <s v="log scale"/>
    <n v="0.60399999999999998"/>
    <s v="decrease"/>
    <n v="0.41699999999999998"/>
    <n v="0.1"/>
    <n v="2"/>
    <n v="1.4484412470023982"/>
    <s v="NA"/>
    <m/>
    <s v="NA"/>
    <s v="NA"/>
    <s v="NA"/>
    <s v="NA"/>
    <s v="NA"/>
    <s v="NA"/>
    <n v="1199"/>
    <n v="1199"/>
    <s v="NA"/>
    <s v="NA"/>
    <n v="34.347999999999999"/>
    <s v="NA"/>
    <s v="delayed"/>
    <s v="NA"/>
    <s v="NA"/>
    <s v="NA"/>
    <s v="NA"/>
    <s v="NA"/>
    <n v="0"/>
    <n v="0"/>
    <n v="1"/>
    <m/>
    <m/>
    <m/>
    <m/>
    <m/>
    <m/>
    <m/>
    <m/>
    <m/>
    <m/>
    <n v="4.1793781222559251E-2"/>
    <n v="4.1818140770501222E-2"/>
    <n v="8.3472198818807463E-4"/>
    <n v="8.3612040133779263E-4"/>
    <m/>
    <m/>
    <m/>
  </r>
  <r>
    <x v="0"/>
    <m/>
    <n v="1081"/>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171"/>
    <s v="increase"/>
    <n v="0.26900000000000002"/>
    <n v="0.01"/>
    <n v="1"/>
    <n v="4.3531598513011147"/>
    <s v="NA"/>
    <m/>
    <s v="NA"/>
    <s v="NA"/>
    <s v="NA"/>
    <s v="NA"/>
    <s v="NA"/>
    <s v="NA"/>
    <n v="1200"/>
    <n v="1200"/>
    <s v="NA"/>
    <s v="NA"/>
    <n v="49.061999999999998"/>
    <s v="NA"/>
    <s v="delayed"/>
    <s v="NA"/>
    <s v="NA"/>
    <s v="NA"/>
    <s v="NA"/>
    <s v="NA"/>
    <n v="0"/>
    <n v="0"/>
    <n v="1"/>
    <m/>
    <m/>
    <m/>
    <m/>
    <m/>
    <m/>
    <m/>
    <m/>
    <m/>
    <m/>
    <n v="0.12468427062360037"/>
    <n v="0.12533648603448228"/>
    <n v="8.3382253539962601E-4"/>
    <n v="8.3542188805346695E-4"/>
    <m/>
    <m/>
    <m/>
  </r>
  <r>
    <x v="0"/>
    <m/>
    <n v="1082"/>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03"/>
    <s v="increase"/>
    <n v="0.27200000000000002"/>
    <n v="0.01"/>
    <n v="1"/>
    <n v="3.7867647058823528"/>
    <s v="NA"/>
    <m/>
    <s v="NA"/>
    <s v="NA"/>
    <s v="NA"/>
    <s v="NA"/>
    <s v="NA"/>
    <s v="NA"/>
    <n v="1200"/>
    <n v="1200"/>
    <s v="NA"/>
    <s v="NA"/>
    <n v="49.061999999999998"/>
    <s v="NA"/>
    <s v="delayed"/>
    <s v="NA"/>
    <s v="NA"/>
    <s v="NA"/>
    <s v="NA"/>
    <s v="NA"/>
    <n v="0"/>
    <n v="0"/>
    <n v="1"/>
    <m/>
    <m/>
    <m/>
    <m/>
    <m/>
    <m/>
    <m/>
    <m/>
    <m/>
    <m/>
    <n v="0.10866714177304562"/>
    <n v="0.10909793182920374"/>
    <n v="8.3391020338338315E-4"/>
    <n v="8.3542188805346695E-4"/>
    <m/>
    <m/>
    <m/>
  </r>
  <r>
    <x v="0"/>
    <m/>
    <n v="1083"/>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1.2E-2"/>
    <s v="increase"/>
    <n v="0.113"/>
    <n v="0.1"/>
    <n v="2"/>
    <n v="0.10619469026548672"/>
    <s v="NA"/>
    <m/>
    <s v="NA"/>
    <s v="NA"/>
    <s v="NA"/>
    <s v="NA"/>
    <s v="NA"/>
    <s v="NA"/>
    <n v="1200"/>
    <n v="1200"/>
    <s v="NA"/>
    <s v="NA"/>
    <n v="49.061999999999998"/>
    <s v="NA"/>
    <s v="delayed"/>
    <s v="NA"/>
    <s v="NA"/>
    <s v="NA"/>
    <s v="NA"/>
    <s v="NA"/>
    <n v="0"/>
    <n v="0"/>
    <n v="1"/>
    <m/>
    <m/>
    <m/>
    <m/>
    <m/>
    <m/>
    <m/>
    <m/>
    <m/>
    <m/>
    <n v="3.0655622458887941E-3"/>
    <n v="3.0655718489923326E-3"/>
    <n v="8.3402835689047757E-4"/>
    <n v="8.3542188805346695E-4"/>
    <m/>
    <m/>
    <m/>
  </r>
  <r>
    <x v="0"/>
    <m/>
    <n v="1084"/>
    <n v="114"/>
    <s v="Datta, Gulati"/>
    <n v="2014"/>
    <s v="Utility rebates for ENERGY STAR appliances: Are they effective?"/>
    <s v="We estimate the impact of utility cash rebates on the market share of ENERGY STAR appliances by exploiting the variation in timing and size of rebates across US states. We find that a dollar increase in the population-weighted utility rebate raises the share of ENERGY STAR qualified clothes washers by 0.4%, but does not affect dishwasher and refrigerator shares. Using information on energy saved by an ENERGY STAR appliance and assuming a redemption rate of 40%, the cost per tonne of carbon saved is about $140 for the clothes washers rebate program. The corresponding cost of a megawatt hour saved, about $28, is lower than the estimated cost of building and operating an additional power plant and the average on-peak spot price. We conclude that the ENERGY STAR clothes washers rebate program is, on average, a cost-effective way for utilities to reduce electricity demand."/>
    <n v="2"/>
    <s v="2001-2006"/>
    <x v="0"/>
    <n v="489"/>
    <x v="5"/>
    <x v="0"/>
    <x v="1"/>
    <s v="revealed preference"/>
    <s v="pre-recorded (no experiment)"/>
    <s v="residents"/>
    <n v="0"/>
    <s v="opt_in"/>
    <n v="0"/>
    <s v="probably no"/>
    <s v="probably no"/>
    <s v="NA"/>
    <n v="0"/>
    <n v="0"/>
    <n v="0"/>
    <n v="1"/>
    <n v="0"/>
    <n v="0"/>
    <n v="0"/>
    <n v="0"/>
    <s v="NA"/>
    <n v="0"/>
    <n v="0"/>
    <n v="0"/>
    <n v="1"/>
    <n v="0"/>
    <n v="0"/>
    <n v="0"/>
    <n v="0"/>
    <n v="0"/>
    <s v="NA"/>
    <x v="4"/>
    <s v="share of energy star appliance vs non energy star appliance"/>
    <s v="log scale"/>
    <n v="0.28199999999999997"/>
    <s v="increase"/>
    <n v="0.15"/>
    <n v="0.1"/>
    <n v="1"/>
    <n v="1.88"/>
    <s v="NA"/>
    <m/>
    <s v="NA"/>
    <s v="NA"/>
    <s v="NA"/>
    <s v="NA"/>
    <s v="NA"/>
    <s v="NA"/>
    <n v="1200"/>
    <n v="1200"/>
    <s v="NA"/>
    <s v="NA"/>
    <n v="49.061999999999998"/>
    <s v="NA"/>
    <s v="delayed"/>
    <s v="NA"/>
    <s v="NA"/>
    <s v="NA"/>
    <s v="NA"/>
    <s v="NA"/>
    <n v="0"/>
    <n v="0"/>
    <n v="1"/>
    <m/>
    <m/>
    <m/>
    <m/>
    <m/>
    <m/>
    <m/>
    <m/>
    <m/>
    <m/>
    <n v="5.4191178438811397E-2"/>
    <n v="5.4244319557796482E-2"/>
    <n v="8.3402113595524175E-4"/>
    <n v="8.3542188805346695E-4"/>
    <m/>
    <m/>
    <m/>
  </r>
  <r>
    <x v="3"/>
    <m/>
    <n v="1234"/>
    <n v="310"/>
    <s v="Davis"/>
    <n v="2008"/>
    <s v="Durable goods and residential demand for energy and water: evidence from a field trial"/>
    <s v="This article describes a household production model in which energy-efficient durable goods cost less to operate so households may use them more. The model is estimated using household_x0002_level data from a field trial in which participants received high-efficiency clothes washers free of charge. The estimation strategy exploits this quasi-random replacement of washers to derive precise estimates of the household production technology and a demand function for clothes washing. During the field trial, households increased clothes washing on average by 5.6% after receiving a high-efficiency washer, implying a price elasticity of −.06. The complete model is used to evaluate the cost-effectiveness of recent changes in minimum efficiency standards for clothes washers."/>
    <n v="1"/>
    <n v="1997"/>
    <x v="4"/>
    <n v="535"/>
    <x v="3"/>
    <x v="0"/>
    <x v="1"/>
    <s v="self-reported behavior"/>
    <s v="household"/>
    <s v="residents"/>
    <n v="1"/>
    <s v="opt_in"/>
    <n v="0"/>
    <s v="probably yes"/>
    <s v="probably yes"/>
    <s v="some important controls were not implemented in the analyses, so the effects might be overestimated (see p. 537)"/>
    <n v="0"/>
    <n v="0"/>
    <n v="0"/>
    <n v="0"/>
    <n v="0"/>
    <n v="0"/>
    <n v="0"/>
    <n v="0"/>
    <s v="NA"/>
    <n v="1"/>
    <n v="0"/>
    <n v="0"/>
    <n v="0"/>
    <n v="0"/>
    <n v="0"/>
    <n v="0"/>
    <n v="0"/>
    <n v="0"/>
    <s v="NA"/>
    <x v="1"/>
    <s v="energy use of washing calculated from Table 1"/>
    <s v="NA"/>
    <n v="0.37445148468642925"/>
    <s v="decrease"/>
    <e v="#VALUE!"/>
    <s v="NA"/>
    <s v="NA"/>
    <s v="NA"/>
    <n v="0.45419354838709675"/>
    <m/>
    <n v="7.75"/>
    <n v="95"/>
    <s v="NA"/>
    <n v="4.2300000000000004"/>
    <n v="95"/>
    <s v="NA"/>
    <n v="95"/>
    <n v="18233"/>
    <s v="NA"/>
    <s v="NA"/>
    <s v="NA"/>
    <s v="NA"/>
    <s v="NA"/>
    <s v="NA"/>
    <s v="NA"/>
    <s v="NA"/>
    <s v="NA"/>
    <s v="NA"/>
    <n v="0"/>
    <n v="0"/>
    <n v="0"/>
    <m/>
    <m/>
    <m/>
    <m/>
    <m/>
    <m/>
    <m/>
    <m/>
    <m/>
    <m/>
    <m/>
    <n v="0"/>
    <n v="1.0638297872340425E-2"/>
    <n v="1.0869565217391304E-2"/>
    <e v="#VALUE!"/>
    <m/>
    <m/>
  </r>
  <r>
    <x v="0"/>
    <m/>
    <n v="1292"/>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1"/>
    <n v="0"/>
    <n v="0"/>
    <n v="0"/>
    <n v="0"/>
    <n v="0"/>
    <s v="the effect_x000a_of refrigerator and air conditioner replacement on household electricity consumption"/>
    <x v="1"/>
    <s v="electricity consumption (monthly)"/>
    <s v="NA"/>
    <n v="11.4"/>
    <s v="decrease"/>
    <n v="0.7"/>
    <n v="0.05"/>
    <n v="1"/>
    <n v="16.285714285714288"/>
    <s v="NA"/>
    <m/>
    <s v="NA"/>
    <s v="NA"/>
    <s v="NA"/>
    <s v="NA"/>
    <s v="NA"/>
    <s v="NA"/>
    <n v="957080"/>
    <n v="957080"/>
    <s v="NA"/>
    <s v="NA"/>
    <s v="30 to 170$"/>
    <s v="NA"/>
    <s v="current "/>
    <s v="NA"/>
    <s v="NA"/>
    <s v="NA"/>
    <s v="NA"/>
    <s v="NA"/>
    <n v="1"/>
    <n v="0"/>
    <n v="1"/>
    <m/>
    <m/>
    <m/>
    <m/>
    <m/>
    <m/>
    <m/>
    <m/>
    <m/>
    <m/>
    <n v="1.6644567843645545E-2"/>
    <n v="1.6646105178647452E-2"/>
    <n v="1.0448457475501714E-6"/>
    <n v="1.0448480111840532E-6"/>
    <m/>
    <m/>
    <m/>
  </r>
  <r>
    <x v="0"/>
    <m/>
    <n v="1293"/>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1"/>
    <n v="0"/>
    <n v="0"/>
    <n v="0"/>
    <n v="0"/>
    <n v="0"/>
    <s v="the effect_x000a_of refrigerator and air conditioner replacement on household electricity consumption"/>
    <x v="1"/>
    <s v="electricity consumption (monthly)"/>
    <s v="NA"/>
    <n v="11.9"/>
    <s v="decrease"/>
    <n v="0.75"/>
    <n v="0.05"/>
    <n v="1"/>
    <n v="15.866666666666667"/>
    <s v="NA"/>
    <m/>
    <s v="NA"/>
    <s v="NA"/>
    <s v="NA"/>
    <s v="NA"/>
    <s v="NA"/>
    <s v="NA"/>
    <n v="957080"/>
    <n v="957080"/>
    <s v="NA"/>
    <s v="NA"/>
    <s v="30 to 170$"/>
    <s v="NA"/>
    <s v="current "/>
    <s v="NA"/>
    <s v="NA"/>
    <s v="NA"/>
    <s v="NA"/>
    <s v="NA"/>
    <n v="1"/>
    <n v="0"/>
    <n v="1"/>
    <m/>
    <m/>
    <m/>
    <m/>
    <m/>
    <m/>
    <m/>
    <m/>
    <m/>
    <m/>
    <n v="1.6216400678486488E-2"/>
    <n v="1.6217822387367728E-2"/>
    <n v="1.0448457554931792E-6"/>
    <n v="1.0448480111840532E-6"/>
    <m/>
    <m/>
    <m/>
  </r>
  <r>
    <x v="0"/>
    <m/>
    <n v="1294"/>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0"/>
    <n v="0"/>
    <n v="0"/>
    <n v="0"/>
    <n v="1"/>
    <n v="0"/>
    <s v="the effect_x000a_of refrigerator and air conditioner replacement on household electricity consumption"/>
    <x v="1"/>
    <s v="electricity consumption (monthly)"/>
    <s v="NA"/>
    <n v="1.4"/>
    <s v="increase"/>
    <n v="1.2"/>
    <n v="0.1"/>
    <n v="2"/>
    <n v="1.1666666666666667"/>
    <s v="NA"/>
    <m/>
    <s v="NA"/>
    <s v="NA"/>
    <s v="NA"/>
    <s v="NA"/>
    <s v="NA"/>
    <s v="NA"/>
    <n v="957080"/>
    <n v="957080"/>
    <s v="NA"/>
    <s v="NA"/>
    <s v="30 to 170$"/>
    <s v="NA"/>
    <s v="current "/>
    <s v="NA"/>
    <s v="NA"/>
    <s v="NA"/>
    <s v="NA"/>
    <s v="NA"/>
    <n v="1"/>
    <n v="0"/>
    <n v="1"/>
    <m/>
    <m/>
    <m/>
    <m/>
    <m/>
    <m/>
    <m/>
    <m/>
    <m/>
    <m/>
    <n v="1.1925383671592018E-3"/>
    <n v="1.1925389324815921E-3"/>
    <n v="1.0448458277717697E-6"/>
    <n v="1.0448480111840532E-6"/>
    <m/>
    <m/>
    <m/>
  </r>
  <r>
    <x v="0"/>
    <m/>
    <n v="1295"/>
    <n v="150"/>
    <s v="Davis, Fuchs, Gertler"/>
    <n v="2014"/>
    <s v="Cash for Coolers: Evaluating a Large-Scale Appliance Replacement Program in Mexico"/>
    <s v="This paper evaluates a large-scale appliance replacement program in Mexico that from 2009 to 2012 helped 1.9 million households replace their old refrigerators and air conditioners with energy- efficient models. Using household-level billing records from the universe of Mexican residential customers, we find that refrigerator replacement reduces electricity consumption by 8 percent, about one-quarter of what was predicted by ex ante analyses. Moreover, we find that air conditioning replacement actually increases electricity consumption. Overall, we find that the program is an expensive way to reduce externalities from energy use, reducing carbon dioxide emissions at a program cost of over $500 per ton."/>
    <n v="1"/>
    <s v="2009-2012"/>
    <x v="0"/>
    <n v="222"/>
    <x v="4"/>
    <x v="1"/>
    <x v="9"/>
    <s v="revealed preference"/>
    <s v="household"/>
    <s v="individuals"/>
    <n v="0"/>
    <s v="opt_in"/>
    <n v="0"/>
    <s v="probably no"/>
    <s v="probably no"/>
    <s v="NA"/>
    <n v="0"/>
    <n v="0"/>
    <n v="0"/>
    <n v="1"/>
    <n v="0"/>
    <n v="0"/>
    <n v="0"/>
    <n v="0"/>
    <s v="NA"/>
    <n v="0"/>
    <n v="0"/>
    <n v="0"/>
    <n v="0"/>
    <n v="0"/>
    <n v="0"/>
    <n v="0"/>
    <n v="1"/>
    <n v="0"/>
    <s v="the effect_x000a_of refrigerator and air conditioner replacement on household electricity consumption"/>
    <x v="1"/>
    <s v="electricity consumption (monthly)"/>
    <s v="NA"/>
    <n v="1.2"/>
    <s v="increase"/>
    <n v="1.3"/>
    <n v="0.1"/>
    <n v="2"/>
    <n v="0.92307692307692302"/>
    <s v="NA"/>
    <m/>
    <s v="NA"/>
    <s v="NA"/>
    <s v="NA"/>
    <s v="NA"/>
    <s v="NA"/>
    <s v="NA"/>
    <n v="957080"/>
    <n v="957080"/>
    <s v="NA"/>
    <s v="NA"/>
    <s v="30 to 170$"/>
    <s v="NA"/>
    <s v="current "/>
    <s v="NA"/>
    <s v="NA"/>
    <s v="NA"/>
    <s v="NA"/>
    <s v="NA"/>
    <n v="1"/>
    <n v="0"/>
    <n v="1"/>
    <m/>
    <m/>
    <m/>
    <m/>
    <m/>
    <m/>
    <m/>
    <m/>
    <m/>
    <m/>
    <n v="9.4354709087100688E-4"/>
    <n v="9.4354737087855463E-4"/>
    <n v="1.0448458277730546E-6"/>
    <n v="1.0448480111840532E-6"/>
    <m/>
    <m/>
    <m/>
  </r>
  <r>
    <x v="0"/>
    <m/>
    <n v="1059"/>
    <n v="110"/>
    <s v="Davis, Metcalf"/>
    <n v="2014"/>
    <s v="DOES BETTER INFORMATION LEAD TO BETTER CHOICES? EVIDENCE FROM_x000a_ENERGY-EFFICIENCY LABELS"/>
    <s v="Information provision is a key element of government energy-efficiency policy, but the information_x000a_that is provided is often too coarse to allow consumers to make efficient decisions. An important example_x000a_is the ubiquitous yellow “EnergyGuide” label, which is required by law to be displayed on all major_x000a_appliances sold in the United States. These labels report energy cost information based on average_x000a_national usage and energy prices. We conduct an online randomized controlled trial to measure the_x000a_potential benefits from providing more accurate information. We find that state-specific labels lead_x000a_to significantly better choices. Consumers invest about the same amount overall in energy-efficiency,_x000a_but the allocation is much better with more investment in high-usage high-price states and less investment_x000a_in low-usage low-price states. The implied aggregate cost savings are larger than any reasonable estimate_x000a_of the cost of implementing state-specific labels."/>
    <n v="2"/>
    <n v="2014"/>
    <x v="0"/>
    <n v="35"/>
    <x v="4"/>
    <x v="2"/>
    <x v="1"/>
    <s v="stated preference"/>
    <s v="household"/>
    <s v="residents"/>
    <n v="1"/>
    <s v="no such option"/>
    <n v="1"/>
    <s v="probably no"/>
    <s v="probably no"/>
    <s v="NA"/>
    <n v="0"/>
    <n v="0"/>
    <n v="1"/>
    <n v="0"/>
    <n v="0"/>
    <n v="0"/>
    <n v="0"/>
    <n v="0"/>
    <s v="comparison of two different labels (one with operation costs based on national-level energy price, the other with OC based on state-level energy price)"/>
    <n v="0"/>
    <n v="0"/>
    <n v="0"/>
    <n v="0"/>
    <n v="0"/>
    <n v="0"/>
    <n v="0"/>
    <n v="1"/>
    <n v="0"/>
    <s v="difference between labels and not absence / presence of a label"/>
    <x v="2"/>
    <s v="purchase price (investment in energy efficiency)"/>
    <s v="NA"/>
    <n v="3.4359999999999999"/>
    <s v="increase"/>
    <n v="4.9960000000000004"/>
    <s v="NA"/>
    <n v="3"/>
    <n v="0.687750200160128"/>
    <s v="NA"/>
    <m/>
    <s v="NA"/>
    <s v="NA"/>
    <s v="NA"/>
    <s v="NA"/>
    <s v="NA"/>
    <s v="NA"/>
    <n v="2440"/>
    <n v="7275"/>
    <s v="NA"/>
    <s v="NA"/>
    <s v="NA"/>
    <s v="NA"/>
    <s v="NA"/>
    <n v="1"/>
    <s v="NA"/>
    <n v="0"/>
    <n v="0"/>
    <s v="numerical"/>
    <n v="1"/>
    <n v="0"/>
    <n v="1"/>
    <m/>
    <m/>
    <m/>
    <m/>
    <m/>
    <m/>
    <m/>
    <m/>
    <m/>
    <m/>
    <n v="1.3921746511164878E-2"/>
    <n v="1.3922646030325031E-2"/>
    <n v="4.1000408463551713E-4"/>
    <n v="4.103405826836274E-4"/>
    <m/>
    <m/>
    <m/>
  </r>
  <r>
    <x v="0"/>
    <n v="6"/>
    <n v="1210"/>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1"/>
    <n v="0"/>
    <n v="0"/>
    <n v="0"/>
    <n v="0"/>
    <n v="0"/>
    <n v="0"/>
    <n v="0"/>
    <n v="0"/>
    <s v="interval outcome measure denoting the kWh/year for a given product type purchased"/>
    <x v="0"/>
    <s v="energy consumption (in kWh/year) of appliance sold"/>
    <s v="NA"/>
    <s v="NA"/>
    <s v="increase"/>
    <n v="1"/>
    <n v="0.1"/>
    <n v="2"/>
    <n v="1.671552762454859"/>
    <n v="0.21"/>
    <m/>
    <s v="NA"/>
    <n v="19"/>
    <s v="NA"/>
    <s v="NA"/>
    <n v="19"/>
    <s v="NA"/>
    <n v="60"/>
    <n v="51591"/>
    <s v="NA"/>
    <s v="NA"/>
    <s v="NA"/>
    <s v="NA"/>
    <s v="NA"/>
    <n v="1"/>
    <n v="185"/>
    <s v="NA"/>
    <s v="NA"/>
    <s v="NA"/>
    <n v="0"/>
    <n v="0"/>
    <n v="0"/>
    <m/>
    <m/>
    <m/>
    <m/>
    <m/>
    <m/>
    <m/>
    <m/>
    <m/>
    <m/>
    <e v="#VALUE!"/>
    <e v="#VALUE!"/>
    <e v="#VALUE!"/>
    <n v="1.7543859649122806E-2"/>
    <e v="#VALUE!"/>
    <n v="58"/>
    <s v="these have only % change reported and no absolute diff of means"/>
  </r>
  <r>
    <x v="0"/>
    <n v="6"/>
    <n v="1211"/>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decrease"/>
    <n v="0.98275932949058287"/>
    <n v="0.06"/>
    <n v="1"/>
    <n v="2.06"/>
    <n v="0.71"/>
    <m/>
    <s v="NA"/>
    <n v="19"/>
    <s v="NA"/>
    <s v="NA"/>
    <n v="19"/>
    <s v="NA"/>
    <n v="13"/>
    <n v="51591"/>
    <s v="NA"/>
    <s v="NA"/>
    <s v="NA"/>
    <s v="NA"/>
    <s v="NA"/>
    <n v="1"/>
    <n v="185"/>
    <s v="NA"/>
    <s v="NA"/>
    <s v="NA"/>
    <n v="0"/>
    <n v="0"/>
    <n v="0"/>
    <m/>
    <m/>
    <m/>
    <m/>
    <m/>
    <m/>
    <m/>
    <m/>
    <m/>
    <m/>
    <e v="#VALUE!"/>
    <e v="#VALUE!"/>
    <e v="#VALUE!"/>
    <n v="0.1"/>
    <e v="#VALUE!"/>
    <n v="11"/>
    <s v="these have only % change reported and no absolute diff of means"/>
  </r>
  <r>
    <x v="0"/>
    <n v="6"/>
    <n v="1212"/>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increase"/>
    <n v="1"/>
    <n v="0.1"/>
    <n v="2"/>
    <n v="1.6938887483837093"/>
    <n v="0.08"/>
    <m/>
    <s v="NA"/>
    <n v="19"/>
    <s v="NA"/>
    <s v="NA"/>
    <n v="19"/>
    <s v="NA"/>
    <n v="34"/>
    <n v="51591"/>
    <s v="NA"/>
    <s v="NA"/>
    <s v="NA"/>
    <s v="NA"/>
    <s v="NA"/>
    <n v="1"/>
    <n v="185"/>
    <s v="NA"/>
    <s v="NA"/>
    <s v="NA"/>
    <n v="0"/>
    <n v="0"/>
    <n v="0"/>
    <m/>
    <m/>
    <m/>
    <m/>
    <m/>
    <m/>
    <m/>
    <m/>
    <m/>
    <m/>
    <e v="#VALUE!"/>
    <e v="#VALUE!"/>
    <e v="#VALUE!"/>
    <n v="3.2258064516129031E-2"/>
    <e v="#VALUE!"/>
    <n v="32"/>
    <s v="these have only % change reported and no absolute diff of means"/>
  </r>
  <r>
    <x v="0"/>
    <n v="6"/>
    <n v="1214"/>
    <n v="151"/>
    <s v="DECC"/>
    <n v="2014"/>
    <s v="Evaluation of the DECC/John Lewis energy labelling trial"/>
    <s v="The Department of Energy and Climate Change (DECC) conducted a behavioural trial in partnership with John Lewis and the Behavioural Insights team (BIT). It moves forward the evidence base around the effectiveness of behavioural nudges, specifically in relation to information barriers and energy demand reductions associated with purchasing of appliances through the provision of lifetime running costs."/>
    <n v="1"/>
    <s v="2013-2014"/>
    <x v="0"/>
    <n v="25"/>
    <x v="3"/>
    <x v="2"/>
    <x v="10"/>
    <s v="revealed preference"/>
    <s v="retailer"/>
    <s v="store visitors"/>
    <n v="0"/>
    <s v="opt_in"/>
    <n v="1"/>
    <s v="probably yes"/>
    <s v="probably no"/>
    <s v="self-selected sample of stores, training of personnel "/>
    <n v="0"/>
    <n v="0"/>
    <n v="1"/>
    <n v="0"/>
    <n v="0"/>
    <n v="0"/>
    <n v="0"/>
    <n v="0"/>
    <s v="NA"/>
    <n v="0"/>
    <n v="1"/>
    <n v="0"/>
    <n v="0"/>
    <n v="0"/>
    <n v="0"/>
    <n v="0"/>
    <n v="0"/>
    <n v="0"/>
    <s v="interval outcome measure denoting the kWh/year for a given product type purchased"/>
    <x v="0"/>
    <s v="energy consumption (in kWh/year) of appliance sold"/>
    <s v="NA"/>
    <s v="NA"/>
    <s v="decrease"/>
    <n v="1"/>
    <n v="0.1"/>
    <n v="2"/>
    <n v="1.9431802805153031"/>
    <n v="0.08"/>
    <m/>
    <s v="NA"/>
    <n v="19"/>
    <s v="NA"/>
    <s v="NA"/>
    <n v="19"/>
    <s v="NA"/>
    <n v="8"/>
    <n v="51591"/>
    <s v="NA"/>
    <s v="NA"/>
    <s v="NA"/>
    <s v="NA"/>
    <s v="NA"/>
    <n v="1"/>
    <n v="185"/>
    <s v="NA"/>
    <s v="NA"/>
    <s v="NA"/>
    <n v="0"/>
    <n v="0"/>
    <n v="0"/>
    <m/>
    <m/>
    <m/>
    <m/>
    <m/>
    <m/>
    <m/>
    <m/>
    <m/>
    <m/>
    <e v="#VALUE!"/>
    <e v="#VALUE!"/>
    <e v="#VALUE!"/>
    <n v="0.2"/>
    <e v="#VALUE!"/>
    <n v="6"/>
    <s v="these have only % change reported and no absolute diff of means"/>
  </r>
  <r>
    <x v="0"/>
    <n v="7"/>
    <n v="1103"/>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3.1600000000000003E-2"/>
    <s v="increase"/>
    <n v="1.66E-2"/>
    <n v="0.1"/>
    <n v="1"/>
    <n v="1.9036144578313254"/>
    <n v="3.1600000000000003E-2"/>
    <n v="0.5078993426803039"/>
    <s v="NA"/>
    <s v="NA"/>
    <s v="NA"/>
    <s v="NA"/>
    <s v="NA"/>
    <s v="NA"/>
    <n v="1350"/>
    <n v="1350"/>
    <s v="NA"/>
    <s v="NA"/>
    <s v="NA"/>
    <s v="NA"/>
    <s v="NA"/>
    <n v="1"/>
    <s v="NA"/>
    <n v="0"/>
    <s v="NA"/>
    <s v="NA"/>
    <n v="0"/>
    <n v="0"/>
    <n v="1"/>
    <m/>
    <m/>
    <m/>
    <m/>
    <m/>
    <m/>
    <m/>
    <m/>
    <m/>
    <m/>
    <n v="5.1740427422851322E-2"/>
    <n v="5.1786672673630553E-2"/>
    <n v="7.4128451269814776E-4"/>
    <n v="7.4239049740163323E-4"/>
    <s v="NA"/>
    <n v="1349"/>
    <s v="NA"/>
  </r>
  <r>
    <x v="0"/>
    <n v="7"/>
    <n v="1104"/>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9.8500000000000004E-2"/>
    <s v="decrease"/>
    <n v="0.13600000000000001"/>
    <n v="0.1"/>
    <n v="2"/>
    <n v="0.72426470588235292"/>
    <n v="9.8500000000000004E-2"/>
    <n v="0.52460510947254324"/>
    <s v="NA"/>
    <s v="NA"/>
    <s v="NA"/>
    <s v="NA"/>
    <s v="NA"/>
    <s v="NA"/>
    <n v="1350"/>
    <n v="1350"/>
    <s v="NA"/>
    <s v="NA"/>
    <s v="NA"/>
    <s v="NA"/>
    <s v="NA"/>
    <n v="0"/>
    <s v="NA"/>
    <n v="1"/>
    <s v="NA"/>
    <s v="NA"/>
    <n v="0"/>
    <n v="0"/>
    <n v="1"/>
    <m/>
    <m/>
    <m/>
    <m/>
    <m/>
    <m/>
    <m/>
    <m/>
    <m/>
    <m/>
    <n v="1.97081599806469E-2"/>
    <n v="1.9710712201246074E-2"/>
    <n v="7.4128973243757566E-4"/>
    <n v="7.4239049740163323E-4"/>
    <s v="NA"/>
    <n v="1349"/>
    <s v="NA"/>
  </r>
  <r>
    <x v="0"/>
    <n v="7"/>
    <n v="1106"/>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9.98E-2"/>
    <s v="increase"/>
    <n v="0.14899999999999999"/>
    <n v="0.1"/>
    <n v="2"/>
    <n v="0.66979865771812086"/>
    <n v="9.98E-2"/>
    <n v="0.52492931202189808"/>
    <s v="NA"/>
    <s v="NA"/>
    <s v="NA"/>
    <s v="NA"/>
    <s v="NA"/>
    <s v="NA"/>
    <n v="827"/>
    <n v="827"/>
    <s v="NA"/>
    <s v="NA"/>
    <s v="NA"/>
    <s v="NA"/>
    <s v="NA"/>
    <n v="1"/>
    <s v="NA"/>
    <n v="0"/>
    <s v="NA"/>
    <s v="NA"/>
    <n v="0"/>
    <n v="0"/>
    <n v="1"/>
    <m/>
    <m/>
    <m/>
    <m/>
    <m/>
    <m/>
    <m/>
    <m/>
    <m/>
    <m/>
    <n v="2.3284866493189758E-2"/>
    <n v="2.3289076097877604E-2"/>
    <n v="1.2106533968798787E-3"/>
    <n v="1.2135922330097086E-3"/>
    <s v="NA"/>
    <n v="826"/>
    <s v="NA"/>
  </r>
  <r>
    <x v="0"/>
    <n v="7"/>
    <n v="1111"/>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21199999999999999"/>
    <s v="increase"/>
    <n v="0.42499999999999999"/>
    <n v="0.1"/>
    <n v="2"/>
    <n v="0.49882352941176472"/>
    <n v="0.21199999999999999"/>
    <n v="0.55280238544469362"/>
    <s v="NA"/>
    <s v="NA"/>
    <s v="NA"/>
    <s v="NA"/>
    <s v="NA"/>
    <s v="NA"/>
    <n v="421"/>
    <n v="421"/>
    <s v="NA"/>
    <s v="NA"/>
    <s v="NA"/>
    <s v="NA"/>
    <s v="NA"/>
    <n v="1"/>
    <s v="NA"/>
    <n v="1"/>
    <s v="NA"/>
    <s v="NA"/>
    <n v="0"/>
    <n v="0"/>
    <n v="1"/>
    <m/>
    <m/>
    <m/>
    <m/>
    <m/>
    <m/>
    <m/>
    <m/>
    <m/>
    <m/>
    <n v="2.4303990103568901E-2"/>
    <n v="2.4308777125756856E-2"/>
    <n v="2.3809515495655199E-3"/>
    <n v="2.3923444976076554E-3"/>
    <s v="NA"/>
    <n v="420"/>
    <s v="NA"/>
  </r>
  <r>
    <x v="0"/>
    <n v="7"/>
    <n v="1110"/>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33300000000000002"/>
    <s v="decrease"/>
    <n v="0.85399999999999998"/>
    <n v="0.1"/>
    <n v="2"/>
    <n v="0.38992974238875883"/>
    <n v="0.33300000000000002"/>
    <n v="0.58248914351160219"/>
    <s v="NA"/>
    <s v="NA"/>
    <s v="NA"/>
    <s v="NA"/>
    <s v="NA"/>
    <s v="NA"/>
    <n v="421"/>
    <n v="421"/>
    <s v="NA"/>
    <s v="NA"/>
    <s v="NA"/>
    <s v="NA"/>
    <s v="NA"/>
    <n v="0"/>
    <s v="NA"/>
    <n v="1"/>
    <s v="NA"/>
    <s v="NA"/>
    <n v="0"/>
    <n v="0"/>
    <n v="1"/>
    <m/>
    <m/>
    <m/>
    <m/>
    <m/>
    <m/>
    <m/>
    <m/>
    <m/>
    <m/>
    <n v="1.9000582083692302E-2"/>
    <n v="1.900286912258764E-2"/>
    <n v="2.380952070476821E-3"/>
    <n v="2.3923444976076554E-3"/>
    <s v="NA"/>
    <n v="420"/>
    <s v="NA"/>
  </r>
  <r>
    <x v="0"/>
    <n v="7"/>
    <n v="1108"/>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0.371"/>
    <s v="increase"/>
    <n v="0.20799999999999999"/>
    <n v="0.1"/>
    <n v="1"/>
    <n v="1.7836538461538463"/>
    <n v="0.371"/>
    <n v="0.59170059157021893"/>
    <s v="NA"/>
    <s v="NA"/>
    <s v="NA"/>
    <s v="NA"/>
    <s v="NA"/>
    <s v="NA"/>
    <n v="827"/>
    <n v="827"/>
    <s v="NA"/>
    <s v="NA"/>
    <s v="NA"/>
    <s v="NA"/>
    <s v="NA"/>
    <n v="1"/>
    <s v="NA"/>
    <n v="1"/>
    <s v="NA"/>
    <s v="NA"/>
    <n v="0"/>
    <n v="0"/>
    <n v="1"/>
    <m/>
    <m/>
    <m/>
    <m/>
    <m/>
    <m/>
    <m/>
    <m/>
    <m/>
    <m/>
    <n v="6.1904763633413101E-2"/>
    <n v="6.1984023096366379E-2"/>
    <n v="1.2106358824323096E-3"/>
    <n v="1.2135922330097086E-3"/>
    <s v="NA"/>
    <n v="826"/>
    <s v="NA"/>
  </r>
  <r>
    <x v="0"/>
    <n v="7"/>
    <n v="1107"/>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0"/>
    <n v="0"/>
    <n v="0"/>
    <n v="0"/>
    <n v="0"/>
    <n v="0"/>
    <s v="additional information - on the label"/>
    <n v="0"/>
    <n v="0"/>
    <n v="0"/>
    <n v="1"/>
    <n v="0"/>
    <n v="0"/>
    <n v="0"/>
    <n v="0"/>
    <n v="0"/>
    <s v="the marginal effects of the explanatory variables for all the appliances on the_x000a_probability of purchasers acquiring an appliance labelled with high energy efficiency"/>
    <x v="0"/>
    <s v="probability of appliance purchase"/>
    <s v="dummy (0/1)"/>
    <n v="0.48599999999999999"/>
    <s v="increase"/>
    <n v="0.20399999999999999"/>
    <n v="0.05"/>
    <n v="1"/>
    <n v="2.3823529411764706"/>
    <n v="0.48599999999999999"/>
    <n v="0.61916368289936063"/>
    <s v="NA"/>
    <s v="NA"/>
    <s v="NA"/>
    <s v="NA"/>
    <s v="NA"/>
    <s v="NA"/>
    <n v="827"/>
    <n v="827"/>
    <s v="NA"/>
    <s v="NA"/>
    <s v="NA"/>
    <s v="NA"/>
    <s v="NA"/>
    <n v="0"/>
    <s v="NA"/>
    <n v="1"/>
    <s v="NA"/>
    <s v="NA"/>
    <n v="0"/>
    <n v="0"/>
    <n v="1"/>
    <m/>
    <m/>
    <m/>
    <m/>
    <m/>
    <m/>
    <m/>
    <m/>
    <m/>
    <m/>
    <n v="8.2559714236340495E-2"/>
    <n v="8.2748063723839957E-2"/>
    <n v="1.2105969918599373E-3"/>
    <n v="1.2135922330097086E-3"/>
    <s v="NA"/>
    <n v="826"/>
    <s v="NA"/>
  </r>
  <r>
    <x v="0"/>
    <n v="7"/>
    <n v="1105"/>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1"/>
    <n v="1"/>
    <n v="0"/>
    <n v="0"/>
    <n v="0"/>
    <n v="0"/>
    <n v="0"/>
    <s v="additional information - on the label"/>
    <n v="1"/>
    <n v="0"/>
    <n v="0"/>
    <n v="0"/>
    <n v="0"/>
    <n v="0"/>
    <n v="0"/>
    <n v="0"/>
    <n v="0"/>
    <s v="the marginal effects of the explanatory variables for all the appliances on the_x000a_probability of purchasers acquiring an appliance labelled with high energy efficiency"/>
    <x v="0"/>
    <s v="probability of appliance purchase"/>
    <s v="dummy (0/1)"/>
    <n v="0.48899999999999999"/>
    <s v="decrease"/>
    <n v="0.30299999999999999"/>
    <n v="0.1"/>
    <n v="2"/>
    <n v="1.613861386138614"/>
    <n v="0.48899999999999999"/>
    <n v="0.6198708296204114"/>
    <s v="NA"/>
    <s v="NA"/>
    <s v="NA"/>
    <s v="NA"/>
    <s v="NA"/>
    <s v="NA"/>
    <n v="1350"/>
    <n v="1350"/>
    <s v="NA"/>
    <s v="NA"/>
    <s v="NA"/>
    <s v="NA"/>
    <s v="NA"/>
    <n v="1"/>
    <s v="NA"/>
    <n v="1"/>
    <s v="NA"/>
    <s v="NA"/>
    <n v="0"/>
    <n v="0"/>
    <n v="1"/>
    <m/>
    <m/>
    <m/>
    <m/>
    <m/>
    <m/>
    <m/>
    <m/>
    <m/>
    <m/>
    <n v="4.3881433738989228E-2"/>
    <n v="4.3909632065429631E-2"/>
    <n v="7.4128708865891613E-4"/>
    <n v="7.4239049740163323E-4"/>
    <s v="NA"/>
    <n v="1349"/>
    <s v="NA"/>
  </r>
  <r>
    <x v="0"/>
    <n v="7"/>
    <n v="1109"/>
    <n v="120"/>
    <s v="del Mar Sola, de Ayala, Galarraga"/>
    <n v="2021"/>
    <s v="The Effect of Providing Monetary Information on Energy Savings for Household Appliances: A Field Trial in Spain"/>
    <s v="Energy labels are one of the most widely used policies in the European Union for increasing the energy efficiency of household appliances. However, their effectiveness in promoting energy-efficient purchases has sometimes been called into question. One of the reasons for this is that consumers may have difficulties in fully understanding the energy consumption information provided on labels (in kilowatt-hour per year). Some authors argue that to avoid this problem energy consumption information should be converted into monetary information. We analyse whether providing monetary informa- tion on lifetime energy savings can significantly increase purchases of energy-efficient appliances. To that end, a field experiment was carried out with small retailers in Spain. The experiment involved three types of appliances: washing machines, fridges and dishwashers. The impact of monetary information on actual purchases of appliances was tested in different ways: (i) by including a monetary label to display energy savings during the lifetime of the product; (ii) by the monetary information provided by sales staff; and (iii) by combining (i) and (ii). We find that the effectiveness of providing monetary information depends on the appliance and the specific way in which the information is provided. For washing machines, providing monetary information through a monetary label seems effective in promoting the purchase of highly energy-efficient appliances. However, for fridges, both monetary information provided by staff alone and the combination of the monetary label and information from sales staff seem to be effective in promoting purchases of A+++ fridges. Surprisingly, no effect is found for dishwashers. "/>
    <n v="2"/>
    <n v="2018"/>
    <x v="0"/>
    <n v="296"/>
    <x v="5"/>
    <x v="0"/>
    <x v="11"/>
    <s v="revealed preference"/>
    <s v="retailer"/>
    <s v="store visitors"/>
    <n v="0"/>
    <s v="no such option"/>
    <n v="1"/>
    <s v="probably no"/>
    <s v="probably no"/>
    <s v="NA"/>
    <n v="0"/>
    <n v="0"/>
    <n v="1"/>
    <n v="0"/>
    <n v="0"/>
    <n v="0"/>
    <n v="0"/>
    <n v="0"/>
    <s v="additional information - on the label"/>
    <n v="0"/>
    <n v="0"/>
    <n v="1"/>
    <n v="0"/>
    <n v="0"/>
    <n v="0"/>
    <n v="0"/>
    <n v="0"/>
    <n v="0"/>
    <s v="the marginal effects of the explanatory variables for all the appliances on the_x000a_probability of purchasers acquiring an appliance labelled with high energy efficiency"/>
    <x v="0"/>
    <s v="probability of appliance purchase"/>
    <s v="dummy (0/1)"/>
    <n v="0.65100000000000002"/>
    <s v="decrease"/>
    <n v="0.57399999999999995"/>
    <n v="0.1"/>
    <n v="2"/>
    <n v="1.1341463414634148"/>
    <n v="0.65100000000000002"/>
    <n v="0.65723577499294228"/>
    <s v="NA"/>
    <s v="NA"/>
    <s v="NA"/>
    <s v="NA"/>
    <s v="NA"/>
    <s v="NA"/>
    <n v="421"/>
    <n v="421"/>
    <s v="NA"/>
    <s v="NA"/>
    <s v="NA"/>
    <s v="NA"/>
    <s v="NA"/>
    <n v="1"/>
    <s v="NA"/>
    <n v="0"/>
    <s v="NA"/>
    <s v="NA"/>
    <n v="0"/>
    <n v="0"/>
    <n v="1"/>
    <m/>
    <m/>
    <m/>
    <m/>
    <m/>
    <m/>
    <m/>
    <m/>
    <m/>
    <m/>
    <n v="5.5190662378218035E-2"/>
    <n v="5.5246802103969622E-2"/>
    <n v="2.3809302000460694E-3"/>
    <n v="2.3923444976076554E-3"/>
    <s v="NA"/>
    <n v="420"/>
    <s v="NA"/>
  </r>
  <r>
    <x v="0"/>
    <n v="8"/>
    <n v="1157"/>
    <n v="136"/>
    <s v="Deutsch"/>
    <n v="2010"/>
    <s v="The effect of life-cycle cost disclosure on consumer behavior: evidence from a field experiment with cooling appliances"/>
    <s v="Theory suggests that providing consumers_x000a_with an estimated life-cycle cost (LCC) may make_x000a_them buy more energy-efficient household appliances_x000a_in cases where energy efficiency is cost effective. This_x000a_article evaluates the link between the provision of_x000a_LCC and consumer behavior by using an online field_x000a_experiment for cooling appliances. Internet users_x000a_arriving at a commercially operating price comparison_x000a_website were randomly assigned to two experimental_x000a_groups, and the groups were exposed to different_x000a_visual stimuli. The control group received regular_x000a_product price information, whereas the treatment_x000a_group was offered additional information about_x000a_estimated operating cost and total LCC. Consumers’_x000a_click behavior was evaluated with multiple regression_x000a_controlling for several product characteristics (n=_x000a_1,969 clicks). We find that LCC disclosure reduces_x000a_the mean specific energy use of chosen cooling_x000a_appliances by 2.5% (p&lt;0.01), making it a potentially_x000a_interesting approach for environmental policy regarding_x000a_the market transformation toward more energy-efficient_x000a_household appliances. However, LCC disclosure also_x000a_decreases the number of clicks from the price comparison_x000a_website to final retailers by about 23% (p&lt;0.01),_x000a_which makes it—in the format chosen here—undesirable_x000a_from a business perspective. Therefore, future research_x000a_should clarify under what (if any) conditions can_x000a_monetary energy cost disclosure be associated with_x000a_more positive effects for price comparison websites."/>
    <n v="2"/>
    <n v="2006"/>
    <x v="0"/>
    <n v="313"/>
    <x v="11"/>
    <x v="2"/>
    <x v="3"/>
    <s v="stated preference"/>
    <s v="online"/>
    <s v="individuals"/>
    <n v="0"/>
    <s v="opt_out"/>
    <n v="1"/>
    <s v="probably no"/>
    <s v="probably no"/>
    <s v="NA"/>
    <n v="0"/>
    <n v="1"/>
    <n v="0"/>
    <n v="0"/>
    <n v="0"/>
    <n v="0"/>
    <n v="0"/>
    <n v="0"/>
    <s v="LCC information disclosed to the treatment group"/>
    <n v="0"/>
    <n v="0"/>
    <n v="0"/>
    <n v="1"/>
    <n v="0"/>
    <n v="0"/>
    <n v="0"/>
    <n v="0"/>
    <n v="0"/>
    <s v="click-throughs (not even stated preference purchase strictly)"/>
    <x v="0"/>
    <s v="Effect of life-cycle_x000a_cost disclosure on the_x000a_overall number of_x000a_click-throughs"/>
    <s v="log scale"/>
    <n v="0.19"/>
    <s v="decrease"/>
    <n v="7.8512396694214878E-2"/>
    <n v="1.4999999999999999E-2"/>
    <n v="3"/>
    <n v="2.42"/>
    <n v="0.20924959765725148"/>
    <n v="0.54735761814308925"/>
    <s v="NA"/>
    <s v="NA"/>
    <s v="NA"/>
    <s v="NA"/>
    <s v="NA"/>
    <s v="NA"/>
    <n v="2910"/>
    <n v="2910"/>
    <s v="NA"/>
    <s v="NA"/>
    <s v="NA"/>
    <s v="NA"/>
    <s v="NA"/>
    <s v="NA"/>
    <s v="NA"/>
    <s v="NA"/>
    <s v="NA"/>
    <s v="NA"/>
    <n v="0"/>
    <n v="0"/>
    <n v="0"/>
    <m/>
    <m/>
    <m/>
    <m/>
    <m/>
    <m/>
    <m/>
    <m/>
    <m/>
    <m/>
    <n v="4.4815918320490998E-2"/>
    <n v="4.4845958286761807E-2"/>
    <n v="3.4375935209197533E-4"/>
    <n v="3.4399724802201581E-4"/>
    <s v="NA"/>
    <n v="2908"/>
    <s v="NA"/>
  </r>
  <r>
    <x v="0"/>
    <n v="8"/>
    <n v="1158"/>
    <n v="136"/>
    <s v="Deutsch"/>
    <n v="2010"/>
    <s v="The effect of life-cycle cost disclosure on consumer behavior: evidence from a field experiment with cooling appliances"/>
    <s v="Theory suggests that providing consumers_x000a_with an estimated life-cycle cost (LCC) may make_x000a_them buy more energy-efficient household appliances_x000a_in cases where energy efficiency is cost effective. This_x000a_article evaluates the link between the provision of_x000a_LCC and consumer behavior by using an online field_x000a_experiment for cooling appliances. Internet users_x000a_arriving at a commercially operating price comparison_x000a_website were randomly assigned to two experimental_x000a_groups, and the groups were exposed to different_x000a_visual stimuli. The control group received regular_x000a_product price information, whereas the treatment_x000a_group was offered additional information about_x000a_estimated operating cost and total LCC. Consumers’_x000a_click behavior was evaluated with multiple regression_x000a_controlling for several product characteristics (n=_x000a_1,969 clicks). We find that LCC disclosure reduces_x000a_the mean specific energy use of chosen cooling_x000a_appliances by 2.5% (p&lt;0.01), making it a potentially_x000a_interesting approach for environmental policy regarding_x000a_the market transformation toward more energy-efficient_x000a_household appliances. However, LCC disclosure also_x000a_decreases the number of clicks from the price comparison_x000a_website to final retailers by about 23% (p&lt;0.01),_x000a_which makes it—in the format chosen here—undesirable_x000a_from a business perspective. Therefore, future research_x000a_should clarify under what (if any) conditions can_x000a_monetary energy cost disclosure be associated with_x000a_more positive effects for price comparison websites."/>
    <n v="2"/>
    <n v="2006"/>
    <x v="0"/>
    <n v="313"/>
    <x v="11"/>
    <x v="2"/>
    <x v="3"/>
    <s v="stated preference"/>
    <s v="online"/>
    <s v="individuals"/>
    <n v="0"/>
    <s v="opt_out"/>
    <n v="1"/>
    <s v="probably no"/>
    <s v="probably no "/>
    <s v="NA"/>
    <n v="0"/>
    <n v="1"/>
    <n v="0"/>
    <n v="0"/>
    <n v="0"/>
    <n v="0"/>
    <n v="0"/>
    <n v="0"/>
    <s v="LCC information disclosed to the treatment group"/>
    <n v="0"/>
    <n v="0"/>
    <n v="0"/>
    <n v="1"/>
    <n v="0"/>
    <n v="0"/>
    <n v="0"/>
    <n v="0"/>
    <n v="0"/>
    <s v="click-throughs (not even stated preference purchase strictly)"/>
    <x v="0"/>
    <s v="Effect of life-cycle_x000a_cost disclosure on the_x000a_overall number of_x000a_click-throughs"/>
    <s v="log scale"/>
    <n v="0.21"/>
    <s v="decrease"/>
    <n v="7.6363636363636356E-2"/>
    <n v="6.0000000000000001E-3"/>
    <n v="3"/>
    <n v="2.75"/>
    <n v="0.23367805995674318"/>
    <n v="0.5523079095743253"/>
    <s v="NA"/>
    <s v="NA"/>
    <s v="NA"/>
    <s v="NA"/>
    <s v="NA"/>
    <s v="NA"/>
    <n v="2910"/>
    <n v="2910"/>
    <s v="NA"/>
    <s v="NA"/>
    <s v="NA"/>
    <s v="NA"/>
    <s v="NA"/>
    <s v="NA"/>
    <s v="NA"/>
    <s v="NA"/>
    <s v="NA"/>
    <s v="NA"/>
    <n v="0"/>
    <n v="0"/>
    <n v="0"/>
    <m/>
    <m/>
    <m/>
    <m/>
    <m/>
    <m/>
    <m/>
    <m/>
    <m/>
    <m/>
    <n v="5.0912287415050349E-2"/>
    <n v="5.0956345207376796E-2"/>
    <n v="3.4375842486513699E-4"/>
    <n v="3.4399724802201581E-4"/>
    <s v="NA"/>
    <n v="2908"/>
    <s v="NA"/>
  </r>
  <r>
    <x v="3"/>
    <n v="9"/>
    <n v="1248"/>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yes"/>
    <s v="unclear N sample size for this specification"/>
    <n v="0"/>
    <n v="0"/>
    <n v="1"/>
    <n v="0"/>
    <n v="0"/>
    <n v="0"/>
    <n v="0"/>
    <n v="0"/>
    <s v="&quot;Recognize&quot; Energy Label"/>
    <n v="0"/>
    <n v="0"/>
    <n v="0"/>
    <n v="0"/>
    <n v="0"/>
    <n v="1"/>
    <n v="0"/>
    <n v="0"/>
    <n v="0"/>
    <s v="investing in energy-efficient appliances; coefficients are marginal effects"/>
    <x v="0"/>
    <s v="investing in energy-efficient appliances"/>
    <s v="dummy (0/1)"/>
    <n v="0.05"/>
    <s v="increase"/>
    <s v="NA"/>
    <n v="0.01"/>
    <n v="1"/>
    <n v="2.5764354463748322"/>
    <n v="5.1271096376024117E-2"/>
    <n v="0.51249739648421033"/>
    <s v="NA"/>
    <s v="NA"/>
    <s v="NA"/>
    <s v="NA"/>
    <s v="NA"/>
    <s v="NA"/>
    <n v="8115"/>
    <n v="8115"/>
    <s v="NA"/>
    <s v="NA"/>
    <s v="NA"/>
    <s v="NA"/>
    <s v="NA"/>
    <s v="NA"/>
    <s v="NA"/>
    <n v="1"/>
    <s v="NA"/>
    <s v="NA"/>
    <n v="0"/>
    <n v="1"/>
    <n v="1"/>
    <m/>
    <m/>
    <m/>
    <m/>
    <m/>
    <m/>
    <m/>
    <m/>
    <m/>
    <m/>
    <n v="2.8588900354369999E-2"/>
    <n v="2.8596692985986098E-2"/>
    <n v="1.2324369377013031E-4"/>
    <n v="1.232741617357002E-4"/>
    <s v="NA"/>
    <n v="8113"/>
    <s v="NA"/>
  </r>
  <r>
    <x v="3"/>
    <n v="9"/>
    <n v="1247"/>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no"/>
    <s v="NA"/>
    <n v="0"/>
    <n v="0"/>
    <n v="1"/>
    <n v="0"/>
    <n v="0"/>
    <n v="0"/>
    <n v="0"/>
    <n v="0"/>
    <s v="&quot;Recognize&quot; Energy Label"/>
    <n v="1"/>
    <n v="0"/>
    <n v="0"/>
    <n v="1"/>
    <n v="0"/>
    <n v="0"/>
    <n v="0"/>
    <n v="0"/>
    <n v="0"/>
    <s v="investing in energy-efficient appliances; coefficients are marginal effects"/>
    <x v="0"/>
    <s v="investing in energy-efficient appliances"/>
    <s v="dummy (0/1)"/>
    <n v="7.4999999999999997E-2"/>
    <s v="increase"/>
    <s v="NA"/>
    <n v="0.01"/>
    <n v="1"/>
    <n v="2.5764354463748322"/>
    <n v="7.788415088463152E-2"/>
    <n v="0.51874121587853528"/>
    <s v="NA"/>
    <s v="NA"/>
    <s v="NA"/>
    <s v="NA"/>
    <s v="NA"/>
    <s v="NA"/>
    <n v="8115"/>
    <n v="8115"/>
    <s v="NA"/>
    <s v="NA"/>
    <s v="NA"/>
    <s v="NA"/>
    <s v="NA"/>
    <s v="NA"/>
    <s v="NA"/>
    <n v="1"/>
    <s v="NA"/>
    <s v="NA"/>
    <n v="0"/>
    <n v="1"/>
    <n v="1"/>
    <m/>
    <m/>
    <m/>
    <m/>
    <m/>
    <m/>
    <m/>
    <m/>
    <m/>
    <m/>
    <n v="2.8588900354369999E-2"/>
    <n v="2.8596692985986098E-2"/>
    <n v="1.2324369377013031E-4"/>
    <n v="1.232741617357002E-4"/>
    <s v="NA"/>
    <n v="8113"/>
    <s v="NA"/>
  </r>
  <r>
    <x v="3"/>
    <n v="9"/>
    <n v="1249"/>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0"/>
    <n v="147"/>
    <x v="12"/>
    <x v="5"/>
    <x v="12"/>
    <s v="self-reported behaviour"/>
    <s v="household"/>
    <s v="residents"/>
    <n v="1"/>
    <s v="opt_in"/>
    <n v="0"/>
    <s v="probably no"/>
    <s v="probably no"/>
    <s v="NA"/>
    <n v="0"/>
    <n v="0"/>
    <n v="1"/>
    <n v="0"/>
    <n v="0"/>
    <n v="0"/>
    <n v="0"/>
    <n v="0"/>
    <s v="&quot;Trust&quot; Energy Label"/>
    <n v="1"/>
    <n v="0"/>
    <n v="0"/>
    <n v="1"/>
    <n v="0"/>
    <n v="0"/>
    <n v="0"/>
    <n v="0"/>
    <n v="0"/>
    <s v="investing in energy-efficient appliances; coefficients are marginal effects"/>
    <x v="0"/>
    <s v="investing in energy-efficient appliances"/>
    <s v="dummy (0/1)"/>
    <n v="8.6999999999999994E-2"/>
    <s v="increase"/>
    <s v="NA"/>
    <n v="0.01"/>
    <n v="1"/>
    <n v="2.5776085962794295"/>
    <n v="9.0896679718277751E-2"/>
    <n v="0.52173629156332213"/>
    <s v="NA"/>
    <s v="NA"/>
    <s v="NA"/>
    <s v="NA"/>
    <s v="NA"/>
    <s v="NA"/>
    <n v="2767"/>
    <n v="2767"/>
    <s v="NA"/>
    <s v="NA"/>
    <s v="NA"/>
    <s v="NA"/>
    <s v="NA"/>
    <s v="NA"/>
    <s v="NA"/>
    <n v="1"/>
    <s v="NA"/>
    <s v="NA"/>
    <n v="0"/>
    <n v="1"/>
    <n v="1"/>
    <m/>
    <m/>
    <m/>
    <m/>
    <m/>
    <m/>
    <m/>
    <m/>
    <m/>
    <m/>
    <n v="4.8943115053431581E-2"/>
    <n v="4.8982251228669553E-2"/>
    <n v="3.6153081834669693E-4"/>
    <n v="3.6179450072358897E-4"/>
    <s v="NA"/>
    <n v="2765"/>
    <s v="NA"/>
  </r>
  <r>
    <x v="3"/>
    <n v="9"/>
    <n v="1231"/>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Water tank to collect rain water"/>
    <x v="0"/>
    <s v="Water tank to collect rain water"/>
    <s v="dummy (0/1)"/>
    <n v="9.5000000000000001E-2"/>
    <s v="increase"/>
    <s v="NA"/>
    <n v="0.01"/>
    <n v="1"/>
    <n v="2.5767673605962078"/>
    <n v="9.9658855126102841E-2"/>
    <n v="0.52373215412656104"/>
    <s v="NA"/>
    <s v="NA"/>
    <s v="NA"/>
    <s v="NA"/>
    <s v="NA"/>
    <s v="NA"/>
    <n v="5245"/>
    <n v="5245"/>
    <s v="NA"/>
    <s v="NA"/>
    <s v="NA"/>
    <s v="NA"/>
    <s v="NA"/>
    <s v="NA"/>
    <s v="NA"/>
    <n v="1"/>
    <s v="NA"/>
    <s v="NA"/>
    <n v="0"/>
    <n v="1"/>
    <n v="1"/>
    <m/>
    <m/>
    <m/>
    <m/>
    <m/>
    <m/>
    <m/>
    <m/>
    <m/>
    <m/>
    <n v="3.5557215848955014E-2"/>
    <n v="3.5572212407713834E-2"/>
    <n v="1.9069382128292258E-4"/>
    <n v="1.9076688286913393E-4"/>
    <s v="NA"/>
    <n v="5243"/>
    <s v="odd dep_var"/>
  </r>
  <r>
    <x v="3"/>
    <n v="9"/>
    <n v="1230"/>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Water flow restrictor taps/low flow shower head"/>
    <x v="0"/>
    <s v="Water flow restrictor taps/low flow shower head"/>
    <s v="dummy (0/1)"/>
    <n v="0.18099999999999999"/>
    <s v="increase"/>
    <s v="NA"/>
    <n v="0.01"/>
    <n v="1"/>
    <n v="2.5767673605962078"/>
    <n v="0.19841517929319963"/>
    <n v="0.5451268671091033"/>
    <s v="NA"/>
    <s v="NA"/>
    <s v="NA"/>
    <s v="NA"/>
    <s v="NA"/>
    <s v="NA"/>
    <n v="5245"/>
    <n v="5245"/>
    <s v="NA"/>
    <s v="NA"/>
    <s v="NA"/>
    <s v="NA"/>
    <s v="NA"/>
    <s v="NA"/>
    <s v="NA"/>
    <n v="1"/>
    <s v="NA"/>
    <s v="NA"/>
    <n v="0"/>
    <n v="1"/>
    <n v="1"/>
    <m/>
    <m/>
    <m/>
    <m/>
    <m/>
    <m/>
    <m/>
    <m/>
    <m/>
    <m/>
    <n v="3.5557215848955014E-2"/>
    <n v="3.5572212407713834E-2"/>
    <n v="1.9069382128292258E-4"/>
    <n v="1.9076688286913393E-4"/>
    <s v="NA"/>
    <n v="5243"/>
    <s v="odd dep_var"/>
  </r>
  <r>
    <x v="3"/>
    <n v="9"/>
    <n v="1229"/>
    <n v="302"/>
    <s v="Dieu-Hang, Grafton, Matrinez-Espineira, Garcia-Valinas"/>
    <n v="2017"/>
    <s v="Household adoption of energy and water-efficient appliances: An analysis of attitudes, labelling and complementary green behaviours in selected OECD countries"/>
    <s v="Using a household-based data set of more than 12,000 households from 11 OECD countries, we analyse the factors underlying the decision by households to adopt energy-efficient and water-efficient equip_x0002_ment. We evaluate the roles of both attitudes and labelling schemes on the adoption of energy and water-efficient equipment, and also the interaction and complementarity between energy and water conservation behaviours. Our findings show: one, ‘green’ social norms and favourable attitudes towards the environment are associated with an increased likelihood of households' adoption of energy and water-efficient appliances; two, households' purchase decisions are positively affected by their aware_x0002_ness, understanding, and trust of labelling schemes; and three, there is evidence of complementarity between energy conservation and water conservation behaviours."/>
    <n v="2"/>
    <s v="NA"/>
    <x v="5"/>
    <n v="145"/>
    <x v="12"/>
    <x v="5"/>
    <x v="12"/>
    <s v="self-reported behaviour"/>
    <s v="household"/>
    <s v="residents"/>
    <n v="1"/>
    <s v="opt_in"/>
    <n v="0"/>
    <s v="probably no"/>
    <s v="probably no"/>
    <s v="NA"/>
    <n v="0"/>
    <n v="0"/>
    <n v="1"/>
    <n v="0"/>
    <n v="0"/>
    <n v="0"/>
    <n v="0"/>
    <n v="0"/>
    <s v="NA"/>
    <n v="0"/>
    <n v="0"/>
    <n v="0"/>
    <n v="0"/>
    <n v="0"/>
    <n v="0"/>
    <n v="0"/>
    <n v="0"/>
    <n v="0"/>
    <s v="Low volume or dual flush toilets"/>
    <x v="0"/>
    <s v="Low volume or dual flush toilets"/>
    <s v="dummy (0/1)"/>
    <n v="0.191"/>
    <s v="increase"/>
    <s v="NA"/>
    <n v="0.01"/>
    <n v="1"/>
    <n v="2.5767673605962078"/>
    <n v="0.21045945208129946"/>
    <n v="0.54760536364581069"/>
    <s v="NA"/>
    <s v="NA"/>
    <s v="NA"/>
    <s v="NA"/>
    <s v="NA"/>
    <s v="NA"/>
    <n v="5245"/>
    <n v="5245"/>
    <s v="NA"/>
    <s v="NA"/>
    <s v="NA"/>
    <s v="NA"/>
    <s v="NA"/>
    <s v="NA"/>
    <s v="NA"/>
    <n v="1"/>
    <s v="NA"/>
    <s v="NA"/>
    <n v="0"/>
    <n v="1"/>
    <n v="1"/>
    <m/>
    <m/>
    <m/>
    <m/>
    <m/>
    <m/>
    <m/>
    <m/>
    <m/>
    <m/>
    <n v="3.5557215848955014E-2"/>
    <n v="3.5572212407713834E-2"/>
    <n v="1.9069382128292258E-4"/>
    <n v="1.9076688286913393E-4"/>
    <s v="NA"/>
    <n v="5243"/>
    <s v="odd dep_var"/>
  </r>
  <r>
    <x v="0"/>
    <m/>
    <s v="NA"/>
    <s v="NA"/>
    <s v="Dong, Futawatari"/>
    <n v="2013"/>
    <s v="The study of low-carbon policy influence on consumers' energy efficiency household appliance purchase behavior"/>
    <s v="Sequences of low carbon policies are aimed at reducing greenhouse gases and increasing energy_x000a_efficiency—also in the household sector in China. However, not all the policies are useful to guideconsumers’_x000a_purchase behavior. Consumer’s environmental friendly purchase behavior is affected not only by personal_x000a_influence but also by external environmental forces. While information provision policies may be effective in_x000a_encouraging certain consumers to understand the energy effiency household appliance, but not promote_x000a_purchases; fiscal incentive may be more attractive during pre-purchase period (information collection);_x000a_regulation instrument regards as the most effectivelyinstrument to influence consumers’ energy efficiency_x000a_household appliance purchase behavior, but useless to advance citizen’s environmental awareness. Analysis of a_x000a_survey dataset of Chinese households observes considerable heterogeneity in terms of influence of three policy_x000a_instruments, in line with our conjectures."/>
    <n v="2"/>
    <n v="2012"/>
    <x v="6"/>
    <m/>
    <x v="13"/>
    <x v="4"/>
    <x v="13"/>
    <s v="stated preference"/>
    <s v="household"/>
    <m/>
    <n v="1"/>
    <s v="opt_in"/>
    <n v="1"/>
    <s v="probably no"/>
    <s v="probably no"/>
    <s v="no appliance breakdown, some data dropped from the study halfway through, no uncertainty specifications"/>
    <m/>
    <m/>
    <m/>
    <m/>
    <m/>
    <m/>
    <m/>
    <m/>
    <m/>
    <m/>
    <m/>
    <m/>
    <m/>
    <m/>
    <m/>
    <m/>
    <m/>
    <m/>
    <m/>
    <x v="3"/>
    <m/>
    <m/>
    <m/>
    <m/>
    <m/>
    <m/>
    <m/>
    <m/>
    <m/>
    <m/>
    <m/>
    <m/>
    <m/>
    <m/>
    <m/>
    <m/>
    <m/>
    <m/>
    <m/>
    <m/>
    <m/>
    <m/>
    <m/>
    <m/>
    <m/>
    <m/>
    <m/>
    <m/>
    <n v="0"/>
    <n v="1"/>
    <n v="1"/>
    <m/>
    <m/>
    <m/>
    <m/>
    <m/>
    <m/>
    <m/>
    <m/>
    <m/>
    <m/>
    <m/>
    <m/>
    <m/>
    <m/>
    <m/>
    <m/>
    <m/>
  </r>
  <r>
    <x v="3"/>
    <m/>
    <n v="1241"/>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0.55700000000000005"/>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2"/>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1.58"/>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3"/>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0.17"/>
    <s v="increase"/>
    <e v="#VALUE!"/>
    <n v="0.311"/>
    <n v="3"/>
    <s v="NA"/>
    <s v="NA"/>
    <m/>
    <s v="NA"/>
    <s v="NA"/>
    <s v="NA"/>
    <s v="NA"/>
    <s v="NA"/>
    <s v="NA"/>
    <n v="1099"/>
    <n v="13188"/>
    <s v="NA"/>
    <s v="NA"/>
    <s v="NA"/>
    <s v="NA"/>
    <s v="NA"/>
    <s v="NA"/>
    <s v="NA"/>
    <n v="1"/>
    <n v="1"/>
    <s v="alphabetical with +"/>
    <n v="0"/>
    <n v="0"/>
    <n v="0"/>
    <m/>
    <m/>
    <m/>
    <m/>
    <m/>
    <m/>
    <m/>
    <m/>
    <m/>
    <m/>
    <e v="#VALUE!"/>
    <e v="#VALUE!"/>
    <e v="#VALUE!"/>
    <n v="9.1240875912408756E-4"/>
    <e v="#VALUE!"/>
    <m/>
    <m/>
  </r>
  <r>
    <x v="3"/>
    <m/>
    <n v="1244"/>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1.1140000000000001"/>
    <s v="increase"/>
    <e v="#VALUE!"/>
    <n v="0"/>
    <n v="3"/>
    <s v="NA"/>
    <s v="NA"/>
    <m/>
    <s v="NA"/>
    <s v="NA"/>
    <s v="NA"/>
    <s v="NA"/>
    <s v="NA"/>
    <s v="NA"/>
    <n v="1099"/>
    <n v="13188"/>
    <s v="NA"/>
    <s v="NA"/>
    <s v="NA"/>
    <s v="NA"/>
    <s v="NA"/>
    <s v="NA"/>
    <s v="NA"/>
    <n v="1"/>
    <n v="1"/>
    <s v="alphabetical with +"/>
    <n v="0"/>
    <n v="0"/>
    <n v="0"/>
    <m/>
    <m/>
    <m/>
    <m/>
    <m/>
    <m/>
    <m/>
    <m/>
    <m/>
    <m/>
    <e v="#VALUE!"/>
    <e v="#VALUE!"/>
    <e v="#VALUE!"/>
    <n v="9.1240875912408756E-4"/>
    <e v="#VALUE!"/>
    <m/>
    <m/>
  </r>
  <r>
    <x v="3"/>
    <m/>
    <n v="1245"/>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6.0999999999999999E-2"/>
    <s v="decrease"/>
    <e v="#VALUE!"/>
    <n v="0.71299999999999997"/>
    <n v="3"/>
    <s v="NA"/>
    <s v="NA"/>
    <m/>
    <s v="NA"/>
    <s v="NA"/>
    <s v="NA"/>
    <s v="NA"/>
    <s v="NA"/>
    <s v="NA"/>
    <n v="1099"/>
    <n v="13188"/>
    <s v="NA"/>
    <s v="NA"/>
    <s v="NA"/>
    <s v="NA"/>
    <s v="NA"/>
    <s v="NA"/>
    <s v="NA"/>
    <n v="1"/>
    <n v="1"/>
    <s v="alphabetical with +"/>
    <n v="0"/>
    <n v="0"/>
    <n v="0"/>
    <m/>
    <m/>
    <m/>
    <m/>
    <m/>
    <m/>
    <m/>
    <m/>
    <m/>
    <m/>
    <e v="#VALUE!"/>
    <e v="#VALUE!"/>
    <e v="#VALUE!"/>
    <n v="9.1240875912408756E-4"/>
    <e v="#VALUE!"/>
    <m/>
    <m/>
  </r>
  <r>
    <x v="3"/>
    <m/>
    <n v="1246"/>
    <n v="312"/>
    <s v="Faure, Guetlein, Schleich"/>
    <n v="2021"/>
    <s v="Effects of rescaling the EU energy label on household preferences for top-rated appliances"/>
    <s v="The European Union has decided to replace its previously existing A+++ to D labelling _x000a_scheme for cold appliances with a rescaled A to G labelling scheme in 2021. _x000a_Employing a demographically representative discrete choice experiment on refrigerator _x000a_adoption using an online survey among more than 1000 households in Germany, this _x000a_paper explores the effects of the rescaled scheme compared to the previous scheme _x000a_on the stated uptake of top-rated refrigerators, i.e. those classified A+++ under the _x000a_previous scheme and B under the rescaled scheme. Since in practice both schemes _x000a_may be shown for a transitory period, the paper also explores the effects of displaying _x000a_both labels simultaneously. The findings from estimating a mixed logit model suggest _x000a_that showing the rescaled label alone significantly increases valuation of top-rated _x000a_refrigerators compared to showing the previous A+++ to D label alone. In comparison, _x000a_when the previous A+++ to D and the rescaled A to G schemes are shown _x000a_simultaneously, no benefits of introducing the rescaled label are found. Thus, _x000a_policymakers should strive to enforce the application of the rescaled label scheme as quickly as possible and to shorten transitory periods where both labels are shown _x000a_simultaneously. "/>
    <n v="2"/>
    <n v="2018"/>
    <x v="7"/>
    <n v="17"/>
    <x v="14"/>
    <x v="7"/>
    <x v="3"/>
    <s v="stated preference"/>
    <s v="online"/>
    <s v="residents"/>
    <n v="1"/>
    <s v="opt_out"/>
    <n v="1"/>
    <s v="probably no"/>
    <s v="probably no"/>
    <s v="As it is stated preference, hypothetical bias may be an issue"/>
    <n v="0"/>
    <n v="0"/>
    <n v="1"/>
    <n v="0"/>
    <n v="0"/>
    <n v="0"/>
    <n v="0"/>
    <n v="0"/>
    <s v="here it is possible to differentiate the label from actual efficiency"/>
    <n v="0"/>
    <n v="0"/>
    <n v="0"/>
    <n v="1"/>
    <n v="0"/>
    <n v="0"/>
    <n v="0"/>
    <n v="0"/>
    <n v="0"/>
    <s v="dummy choice for a refrigerator"/>
    <x v="2"/>
    <s v="dummy choice for a refrigerator"/>
    <s v="dummy (0/1)"/>
    <n v="2E-3"/>
    <s v="decrease"/>
    <e v="#VALUE!"/>
    <n v="0.99199999999999999"/>
    <n v="3"/>
    <s v="NA"/>
    <s v="NA"/>
    <m/>
    <s v="NA"/>
    <s v="NA"/>
    <s v="NA"/>
    <s v="NA"/>
    <s v="NA"/>
    <s v="NA"/>
    <n v="1099"/>
    <n v="13188"/>
    <s v="NA"/>
    <s v="NA"/>
    <s v="NA"/>
    <s v="NA"/>
    <s v="NA"/>
    <s v="NA"/>
    <s v="NA"/>
    <n v="1"/>
    <n v="1"/>
    <s v="alphabetical with +"/>
    <n v="0"/>
    <n v="0"/>
    <n v="0"/>
    <m/>
    <m/>
    <m/>
    <m/>
    <m/>
    <m/>
    <m/>
    <m/>
    <m/>
    <m/>
    <e v="#VALUE!"/>
    <e v="#VALUE!"/>
    <e v="#VALUE!"/>
    <n v="9.1240875912408756E-4"/>
    <e v="#VALUE!"/>
    <m/>
    <m/>
  </r>
  <r>
    <x v="0"/>
    <n v="10"/>
    <n v="1017"/>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0"/>
    <n v="0"/>
    <n v="0"/>
    <s v="NA"/>
    <n v="0"/>
    <n v="0"/>
    <n v="0"/>
    <n v="0"/>
    <n v="0"/>
    <n v="1"/>
    <n v="0"/>
    <n v="0"/>
    <n v="0"/>
    <s v="NA"/>
    <x v="0"/>
    <s v="CFL uptake"/>
    <s v="dummy (0/1)"/>
    <n v="4.0000000000000001E-3"/>
    <s v="increase"/>
    <n v="0.121"/>
    <n v="0.1"/>
    <n v="2"/>
    <n v="3.3057851239669422E-2"/>
    <n v="4.0080106773419111E-3"/>
    <n v="0.50099999866666878"/>
    <s v="NA"/>
    <n v="71"/>
    <s v="NA"/>
    <s v="NA"/>
    <n v="85"/>
    <s v="NA"/>
    <n v="156"/>
    <n v="156"/>
    <s v="NA"/>
    <s v="NA"/>
    <s v="NA"/>
    <s v="NA"/>
    <s v="NA"/>
    <s v="NA"/>
    <s v="NA"/>
    <s v="NA"/>
    <s v="NA"/>
    <s v="NA"/>
    <n v="1"/>
    <n v="0"/>
    <n v="1"/>
    <m/>
    <m/>
    <m/>
    <m/>
    <m/>
    <m/>
    <m/>
    <m/>
    <m/>
    <m/>
    <n v="2.646737073353082E-3"/>
    <n v="2.6467432537016708E-3"/>
    <n v="6.4516129029092029E-3"/>
    <n v="6.5359477124183009E-3"/>
    <s v="NA"/>
    <n v="154"/>
    <s v="NA"/>
  </r>
  <r>
    <x v="0"/>
    <n v="10"/>
    <n v="1014"/>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0"/>
    <n v="0"/>
    <n v="0"/>
    <s v="NA"/>
    <n v="0"/>
    <n v="0"/>
    <n v="0"/>
    <n v="0"/>
    <n v="0"/>
    <n v="1"/>
    <n v="0"/>
    <n v="0"/>
    <n v="0"/>
    <s v="NA"/>
    <x v="0"/>
    <s v="CFL uptake"/>
    <s v="dummy (0/1)"/>
    <n v="5.0000000000000001E-3"/>
    <s v="decrease"/>
    <n v="0.109"/>
    <n v="0.1"/>
    <n v="2"/>
    <n v="4.5871559633027525E-2"/>
    <n v="5.0125208594009596E-3"/>
    <n v="0.50124999739583986"/>
    <s v="NA"/>
    <n v="71"/>
    <s v="NA"/>
    <s v="NA"/>
    <n v="85"/>
    <s v="NA"/>
    <n v="156"/>
    <n v="156"/>
    <s v="NA"/>
    <s v="NA"/>
    <s v="NA"/>
    <s v="NA"/>
    <s v="NA"/>
    <s v="NA"/>
    <s v="NA"/>
    <s v="NA"/>
    <s v="NA"/>
    <s v="NA"/>
    <n v="0"/>
    <n v="0"/>
    <n v="0"/>
    <m/>
    <m/>
    <m/>
    <m/>
    <m/>
    <m/>
    <m/>
    <m/>
    <m/>
    <m/>
    <n v="3.6726393090550187E-3"/>
    <n v="3.6726558217171222E-3"/>
    <n v="6.4516129020520197E-3"/>
    <n v="6.5359477124183009E-3"/>
    <s v="NA"/>
    <n v="154"/>
    <s v="NA"/>
  </r>
  <r>
    <x v="0"/>
    <n v="10"/>
    <n v="1016"/>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0"/>
    <n v="0"/>
    <n v="0"/>
    <n v="0"/>
    <n v="1"/>
    <n v="0"/>
    <n v="0"/>
    <s v="NA"/>
    <n v="0"/>
    <n v="0"/>
    <n v="0"/>
    <n v="0"/>
    <n v="0"/>
    <n v="1"/>
    <n v="0"/>
    <n v="0"/>
    <n v="0"/>
    <s v="NA"/>
    <x v="0"/>
    <s v="CFL uptake"/>
    <s v="dummy (0/1)"/>
    <n v="0.214"/>
    <s v="increase"/>
    <n v="8.7999999999999995E-2"/>
    <n v="0.05"/>
    <n v="1"/>
    <n v="2.4318181818181821"/>
    <n v="0.23862265479345224"/>
    <n v="0.55329675688810287"/>
    <s v="NA"/>
    <n v="71"/>
    <s v="NA"/>
    <s v="NA"/>
    <n v="84"/>
    <s v="NA"/>
    <n v="155"/>
    <n v="155"/>
    <s v="NA"/>
    <s v="NA"/>
    <s v="NA"/>
    <s v="NA"/>
    <s v="NA"/>
    <s v="NA"/>
    <s v="NA"/>
    <s v="NA"/>
    <s v="NA"/>
    <s v="NA"/>
    <n v="0"/>
    <n v="0"/>
    <n v="0"/>
    <m/>
    <m/>
    <m/>
    <m/>
    <m/>
    <m/>
    <m/>
    <m/>
    <m/>
    <m/>
    <n v="0.19170548423159203"/>
    <n v="0.1941071241446195"/>
    <n v="6.4842883135948935E-3"/>
    <n v="6.5789473684210523E-3"/>
    <s v="NA"/>
    <n v="153"/>
    <s v="NA"/>
  </r>
  <r>
    <x v="0"/>
    <n v="10"/>
    <n v="1019"/>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0"/>
    <n v="0"/>
    <n v="0"/>
    <n v="0"/>
    <n v="1"/>
    <n v="0"/>
    <n v="0"/>
    <s v="NA"/>
    <n v="0"/>
    <n v="0"/>
    <n v="0"/>
    <n v="0"/>
    <n v="0"/>
    <n v="1"/>
    <n v="0"/>
    <n v="0"/>
    <n v="0"/>
    <s v="NA"/>
    <x v="0"/>
    <s v="CFL uptake"/>
    <s v="dummy (0/1)"/>
    <n v="0.22500000000000001"/>
    <s v="increase"/>
    <n v="8.5999999999999993E-2"/>
    <n v="0.01"/>
    <n v="1"/>
    <n v="2.6162790697674421"/>
    <n v="0.25232271619186442"/>
    <n v="0.55601389054461992"/>
    <s v="NA"/>
    <n v="71"/>
    <s v="NA"/>
    <s v="NA"/>
    <n v="84"/>
    <s v="NA"/>
    <n v="155"/>
    <n v="155"/>
    <s v="NA"/>
    <s v="NA"/>
    <s v="NA"/>
    <s v="NA"/>
    <s v="NA"/>
    <s v="NA"/>
    <s v="NA"/>
    <s v="NA"/>
    <s v="NA"/>
    <s v="NA"/>
    <n v="1"/>
    <n v="0"/>
    <n v="1"/>
    <m/>
    <m/>
    <m/>
    <m/>
    <m/>
    <m/>
    <m/>
    <m/>
    <m/>
    <m/>
    <n v="0.2056527568985681"/>
    <n v="0.20862785334941172"/>
    <n v="6.4812046998817896E-3"/>
    <n v="6.5789473684210523E-3"/>
    <s v="NA"/>
    <n v="153"/>
    <s v="NA"/>
  </r>
  <r>
    <x v="0"/>
    <n v="10"/>
    <n v="1015"/>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1"/>
    <n v="0"/>
    <n v="0"/>
    <s v="NA"/>
    <n v="0"/>
    <n v="0"/>
    <n v="0"/>
    <n v="0"/>
    <n v="0"/>
    <n v="1"/>
    <n v="0"/>
    <n v="0"/>
    <n v="0"/>
    <s v="NA"/>
    <x v="0"/>
    <s v="CFL uptake"/>
    <s v="dummy (0/1)"/>
    <n v="0.61699999999999999"/>
    <s v="increase"/>
    <n v="0.121"/>
    <n v="0.01"/>
    <n v="1"/>
    <n v="5.0991735537190079"/>
    <n v="0.85335961453808529"/>
    <n v="0.64953593830061807"/>
    <s v="NA"/>
    <n v="71"/>
    <s v="NA"/>
    <s v="NA"/>
    <n v="77"/>
    <s v="NA"/>
    <n v="148"/>
    <n v="148"/>
    <s v="NA"/>
    <s v="NA"/>
    <s v="NA"/>
    <s v="NA"/>
    <s v="NA"/>
    <s v="NA"/>
    <s v="NA"/>
    <s v="NA"/>
    <s v="NA"/>
    <s v="NA"/>
    <n v="0"/>
    <n v="0"/>
    <n v="0"/>
    <m/>
    <m/>
    <m/>
    <m/>
    <m/>
    <m/>
    <m/>
    <m/>
    <m/>
    <m/>
    <n v="0.38656560447568655"/>
    <n v="0.40775592843557701"/>
    <n v="6.6146665576027192E-3"/>
    <n v="6.8965517241379309E-3"/>
    <s v="NA"/>
    <n v="146"/>
    <s v="NA"/>
  </r>
  <r>
    <x v="0"/>
    <n v="10"/>
    <n v="1018"/>
    <n v="105"/>
    <s v="Figueroa, Molière, Pegels, Never, Kutzner"/>
    <n v="2019"/>
    <s v="Show me (more than) the money! Assessing the social and psychological_x000a_dimensions to energy efficient lighting in Kenya"/>
    <s v="Despite economic, social and environmental benefits, the uptake of energy-saving compact fluorescent lamp_x000a_light bulbs (CFLs) in Kibera, an informal settlement in Nairobi, remains low. We conducted a randomized_x000a_controlled field experiment involving 651 Kibera residents assessing whether the joint impact of monetary incentives_x000a_and behavioral interventions (pre-commitment and simplified information highlighting CFL benefits)_x000a_could increase CFL uptake. A monetary incentive covering the incremental cost of a CFL compared to an incandescent_x000a_bulb positively impacted uptake. However, adding simplified information more than tripled the_x000a_impact of the monetary incentive alone, resulting in a remarkable uptake rate of about 84%. While a post endline_x000a_survey conducted two years following the administration of the randomized control trial does not find lasting_x000a_effects, this paper provides evidence for additional behavioral hypotheses in developing countries, also assessing_x000a_the contribution of intelligence and measured discount rates to account for potential household present bias. It is_x000a_to date the only intervention of its type that explores the extent to which behavioral interventions can complement_x000a_monetary incentives."/>
    <n v="2"/>
    <s v="2014-2016"/>
    <x v="0"/>
    <n v="230"/>
    <x v="5"/>
    <x v="2"/>
    <x v="14"/>
    <s v="self-reported behaviour"/>
    <s v="household"/>
    <s v="residents"/>
    <n v="1"/>
    <s v="opt_in"/>
    <n v="1"/>
    <s v="probably yes"/>
    <s v="probably no"/>
    <s v="informal settlement in Kibera (poor population)"/>
    <n v="0"/>
    <n v="1"/>
    <n v="0"/>
    <n v="0"/>
    <n v="0"/>
    <n v="1"/>
    <n v="0"/>
    <n v="0"/>
    <s v="NA"/>
    <n v="0"/>
    <n v="0"/>
    <n v="0"/>
    <n v="0"/>
    <n v="0"/>
    <n v="1"/>
    <n v="0"/>
    <n v="0"/>
    <n v="0"/>
    <s v="NA"/>
    <x v="0"/>
    <s v="CFL uptake"/>
    <s v="dummy (0/1)"/>
    <n v="0.629"/>
    <s v="increase"/>
    <n v="0.121"/>
    <n v="0.01"/>
    <n v="1"/>
    <n v="5.1983471074380168"/>
    <n v="0.87573390717751165"/>
    <n v="0.65226268066592974"/>
    <s v="NA"/>
    <n v="71"/>
    <s v="NA"/>
    <s v="NA"/>
    <n v="77"/>
    <s v="NA"/>
    <n v="148"/>
    <n v="148"/>
    <s v="NA"/>
    <s v="NA"/>
    <s v="NA"/>
    <s v="NA"/>
    <s v="NA"/>
    <s v="NA"/>
    <s v="NA"/>
    <s v="NA"/>
    <s v="NA"/>
    <s v="NA"/>
    <n v="1"/>
    <n v="0"/>
    <n v="1"/>
    <m/>
    <m/>
    <m/>
    <m/>
    <m/>
    <m/>
    <m/>
    <m/>
    <m/>
    <m/>
    <n v="0.3929324948845429"/>
    <n v="0.41526325821269588"/>
    <n v="6.6004300266440307E-3"/>
    <n v="6.8965517241379309E-3"/>
    <s v="NA"/>
    <n v="146"/>
    <s v="NA"/>
  </r>
  <r>
    <x v="3"/>
    <m/>
    <n v="1232"/>
    <n v="304"/>
    <s v="Galarraga, Gonzalez-Eguino, Markandya"/>
    <n v="2011"/>
    <s v="Willingness to pay and price elasticities of demand for energy-efficient appliances: Combining the hedonic approach and demand systems"/>
    <s v="This article proposes a combined approach for estimating willingness to pay for the attributes represented by energy efficiency labels and providing reliable price elasticities of demand (own and cross) for close substitutes (e.g. those with low energy efficiency and those with higher energy efficiency). This is done by using the results of the hedonic approach together with the Quantity Based Demand System (QBDS) model. The elasticity results obtained with the latter are then compared with those simulated using the Linear Almost Ideal Demand System (LA/AIDS). The methodology is applied to the dishwasher market in Spain: it is found that 15.6% of the final price is actually paid for the energy efficiency attribute. This accounts for about €80 of the average market price. The elasticity results confirm that energy efficient appliances are more price elastic than regular ones."/>
    <n v="2"/>
    <n v="2009"/>
    <x v="0"/>
    <s v="S69"/>
    <x v="4"/>
    <x v="5"/>
    <x v="11"/>
    <s v="revealed preference"/>
    <s v="retailer"/>
    <s v="store visitors"/>
    <n v="0"/>
    <s v="no such option"/>
    <n v="0"/>
    <s v="probably yes"/>
    <s v="probably no"/>
    <s v="Market prices do not reveal much on consumer behavior"/>
    <n v="0"/>
    <n v="0"/>
    <n v="1"/>
    <n v="0"/>
    <n v="0"/>
    <n v="0"/>
    <n v="0"/>
    <n v="0"/>
    <s v="impossible to separate the effect of the label from energy efficiency"/>
    <n v="0"/>
    <n v="0"/>
    <n v="1"/>
    <n v="0"/>
    <n v="0"/>
    <n v="0"/>
    <n v="0"/>
    <n v="0"/>
    <n v="0"/>
    <s v="lprice"/>
    <x v="2"/>
    <s v="estimated price-premium for the most energy-efficient refrigerators"/>
    <s v="log scale"/>
    <n v="0.156"/>
    <s v="increase"/>
    <e v="#VALUE!"/>
    <n v="0.08"/>
    <n v="3"/>
    <s v="NA"/>
    <s v="NA"/>
    <m/>
    <s v="NA"/>
    <s v="NA"/>
    <s v="NA"/>
    <s v="NA"/>
    <s v="NA"/>
    <s v="NA"/>
    <n v="318"/>
    <n v="318"/>
    <s v="NA"/>
    <s v="NA"/>
    <s v="NA"/>
    <s v="NA"/>
    <s v="NA"/>
    <s v="NA"/>
    <s v="NA"/>
    <n v="1"/>
    <s v="NA"/>
    <s v="binary"/>
    <n v="0"/>
    <n v="0"/>
    <n v="0"/>
    <m/>
    <m/>
    <m/>
    <m/>
    <m/>
    <m/>
    <m/>
    <m/>
    <m/>
    <m/>
    <e v="#VALUE!"/>
    <e v="#VALUE!"/>
    <e v="#VALUE!"/>
    <n v="3.1746031746031746E-3"/>
    <e v="#VALUE!"/>
    <m/>
    <m/>
  </r>
  <r>
    <x v="0"/>
    <m/>
    <n v="1013"/>
    <n v="104"/>
    <s v="Galarraga, Heres, Gonzalez-Eguino"/>
    <n v="2011"/>
    <s v="Price premium for high-efficiency refrigerators and calculation of price-elasticities_x000a_for close-substitutes: a methodology using hedonic pricing and demand systems"/>
    <s v="This article uses the hedonic method to estimate the price premium paid for the highest energyefficiency_x000a_label (Aþ) in the refrigerators market of the Basque Autonomous Community (Spain). The_x000a_estimated figure is 8.9% of the final price or about 60 euro, which represents one third of the energy_x000a_savings that a consumer obtains during the lifetime of a refrigerator with the highest energy-efficiency_x000a_label. This figure is then combined with the linear version of the Almost Ideal Demand System (LA/AIDS)_x000a_to obtain own and cross-price elasticities of demand. The method presented here could be useful for_x000a_policy design and analysis. Our results indicate that the demand for refrigerators with the highest_x000a_energy-efficiency label is highly sensitive to price variations."/>
    <n v="2"/>
    <n v="2009"/>
    <x v="0"/>
    <n v="2077"/>
    <x v="4"/>
    <x v="3"/>
    <x v="11"/>
    <s v="revealed preference"/>
    <s v="retailer"/>
    <s v="store visitors"/>
    <n v="0"/>
    <s v="no such option"/>
    <n v="0"/>
    <s v="probably no"/>
    <s v="probably no"/>
    <s v="not in meta regression - ? dynamics rather than demand"/>
    <n v="0"/>
    <n v="0"/>
    <n v="1"/>
    <n v="0"/>
    <n v="0"/>
    <n v="0"/>
    <n v="0"/>
    <n v="0"/>
    <s v="impossible to separate the effect of the label from energy efficiency"/>
    <n v="0"/>
    <n v="0"/>
    <n v="0"/>
    <n v="1"/>
    <n v="0"/>
    <n v="0"/>
    <n v="0"/>
    <n v="0"/>
    <n v="0"/>
    <s v="lprice"/>
    <x v="2"/>
    <s v="estimated price-premium for the most energy-efficient refrigerators"/>
    <s v="log scale"/>
    <n v="8.8999999999999996E-2"/>
    <s v="increase"/>
    <n v="2.1999999999999999E-2"/>
    <n v="0.01"/>
    <n v="1"/>
    <n v="4.0454545454545459"/>
    <s v="NA"/>
    <m/>
    <s v="NA"/>
    <s v="NA"/>
    <s v="NA"/>
    <s v="NA"/>
    <s v="NA"/>
    <s v="NA"/>
    <n v="676"/>
    <n v="676"/>
    <s v="NA"/>
    <s v="NA"/>
    <s v="NA"/>
    <s v="NA"/>
    <s v="NA"/>
    <s v="NA"/>
    <s v="NA"/>
    <s v="NA"/>
    <s v="NA"/>
    <s v="alphabetical with +"/>
    <n v="0"/>
    <n v="0"/>
    <n v="0"/>
    <m/>
    <m/>
    <m/>
    <m/>
    <m/>
    <m/>
    <m/>
    <m/>
    <m/>
    <m/>
    <n v="0.15374448735583945"/>
    <n v="0.15497333468721167"/>
    <n v="1.4806269577269365E-3"/>
    <n v="1.4858841010401188E-3"/>
    <m/>
    <m/>
    <m/>
  </r>
  <r>
    <x v="0"/>
    <m/>
    <s v="NA"/>
    <s v="NA"/>
    <s v="Gana, Hoppe"/>
    <n v="2017"/>
    <s v="Assessment of the Governance System Regarding_x000a_Adoption of Energy Efficient Appliances by_x000a_Households in Nigeria"/>
    <s v="The adoption of energy efficient electrical appliances by households has a great potential_x000a_to reduce electricity consumption in Nigeria. A well-formulated and implemented policy (mix) to_x000a_spur adoption is said to be required to drive this process. This article presents an assessment_x000a_of policies that aim to spur adoption among households, and the related governance system._x000a_The analytical framework used for this analysis is the Governance Assessment Tool (GAT). Data_x000a_collection involved semi-structured interviews, a review of policy documents, and secondary_x000a_quantitative data. The results show that policies in Nigeria had little effect in meeting pre-set_x000a_goals. The governance system was found to be weakly developed due to a lack of policy, the_x000a_overlapping work of different governmental organizations, a lack of appropriate resources, and a_x000a_lack of householders’ involvement in agenda-setting and decision-making processes. Current actions_x000a_mostly depend on local programmes that run via donor aid. They include the free exchange of CFL_x000a_bulbs and metering studies of end user energy consumption. The results add further insight in the_x000a_fields of governance and policy on energy efficiency issues in developing countries. This article also_x000a_provides suggestions for the design of policies that target the adoption of energy efficient electrical_x000a_appliances among households in Nigeria."/>
    <n v="2"/>
    <n v="2009"/>
    <x v="3"/>
    <n v="9"/>
    <x v="3"/>
    <x v="0"/>
    <x v="15"/>
    <s v="revealed preference"/>
    <s v="household"/>
    <m/>
    <m/>
    <m/>
    <m/>
    <m/>
    <m/>
    <m/>
    <n v="0"/>
    <n v="0"/>
    <n v="0"/>
    <n v="0"/>
    <n v="0"/>
    <n v="1"/>
    <n v="0"/>
    <n v="0"/>
    <s v="free exchange for a CFL - full subsidy"/>
    <n v="0"/>
    <n v="0"/>
    <n v="0"/>
    <n v="0"/>
    <n v="0"/>
    <n v="1"/>
    <n v="0"/>
    <n v="0"/>
    <n v="0"/>
    <m/>
    <x v="3"/>
    <m/>
    <m/>
    <m/>
    <m/>
    <m/>
    <m/>
    <m/>
    <m/>
    <m/>
    <m/>
    <m/>
    <m/>
    <m/>
    <m/>
    <m/>
    <m/>
    <m/>
    <m/>
    <m/>
    <m/>
    <m/>
    <m/>
    <m/>
    <m/>
    <m/>
    <m/>
    <m/>
    <m/>
    <n v="0"/>
    <m/>
    <n v="0"/>
    <m/>
    <m/>
    <m/>
    <m/>
    <m/>
    <m/>
    <m/>
    <m/>
    <m/>
    <m/>
    <m/>
    <m/>
    <m/>
    <m/>
    <m/>
    <m/>
    <m/>
  </r>
  <r>
    <x v="0"/>
    <n v="11"/>
    <n v="1026"/>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1.7999999999999999E-2"/>
    <s v="increase"/>
    <s v="NA"/>
    <n v="0.05"/>
    <n v="2"/>
    <n v="1.962795497038498"/>
    <n v="1.8162976389793695E-2"/>
    <n v="0.50449987850393641"/>
    <s v="NA"/>
    <s v="NA"/>
    <s v="NA"/>
    <s v="NA"/>
    <n v="40"/>
    <s v="NA"/>
    <n v="841"/>
    <n v="841"/>
    <s v="NA"/>
    <s v="NA"/>
    <n v="235.29"/>
    <s v="from 0,05 to 0,1"/>
    <s v="NA"/>
    <s v="NA"/>
    <s v="NA"/>
    <s v="NA"/>
    <s v="NA"/>
    <s v="NA"/>
    <n v="1"/>
    <n v="1"/>
    <n v="1"/>
    <m/>
    <m/>
    <m/>
    <m/>
    <m/>
    <m/>
    <m/>
    <m/>
    <m/>
    <m/>
    <n v="6.7528109143524445E-2"/>
    <n v="6.7631034648244742E-2"/>
    <n v="1.190451284427091E-3"/>
    <n v="1.1933174224343676E-3"/>
    <s v="NA"/>
    <n v="839"/>
    <s v="NA"/>
  </r>
  <r>
    <x v="0"/>
    <n v="11"/>
    <n v="1030"/>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5.1999999999999998E-2"/>
    <s v="decrease"/>
    <s v="NA"/>
    <n v="0.05"/>
    <n v="2"/>
    <n v="1.962795497038498"/>
    <n v="5.3375742513364743E-2"/>
    <n v="0.51299707145854179"/>
    <s v="NA"/>
    <s v="NA"/>
    <s v="NA"/>
    <s v="NA"/>
    <n v="66"/>
    <s v="NA"/>
    <n v="841"/>
    <n v="841"/>
    <s v="NA"/>
    <s v="NA"/>
    <n v="0"/>
    <n v="0"/>
    <s v="NA"/>
    <s v="NA"/>
    <s v="NA"/>
    <s v="NA"/>
    <s v="NA"/>
    <s v="NA"/>
    <n v="1"/>
    <n v="1"/>
    <n v="1"/>
    <m/>
    <m/>
    <m/>
    <m/>
    <m/>
    <m/>
    <m/>
    <m/>
    <m/>
    <m/>
    <n v="6.7528109143524445E-2"/>
    <n v="6.7631034648244742E-2"/>
    <n v="1.190451284427091E-3"/>
    <n v="1.1933174224343676E-3"/>
    <s v="NA"/>
    <n v="839"/>
    <s v="NA"/>
  </r>
  <r>
    <x v="0"/>
    <n v="11"/>
    <n v="1033"/>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5.2999999999999999E-2"/>
    <s v="increase"/>
    <s v="NA"/>
    <n v="0.05"/>
    <n v="2"/>
    <n v="1.962795497038498"/>
    <n v="5.4429645119355996E-2"/>
    <n v="0.51324689926682643"/>
    <s v="NA"/>
    <s v="NA"/>
    <s v="NA"/>
    <s v="NA"/>
    <n v="60"/>
    <s v="NA"/>
    <n v="841"/>
    <n v="841"/>
    <s v="NA"/>
    <s v="NA"/>
    <n v="0"/>
    <n v="0"/>
    <s v="NA"/>
    <s v="NA"/>
    <s v="NA"/>
    <s v="NA"/>
    <s v="NA"/>
    <s v="NA"/>
    <n v="1"/>
    <n v="1"/>
    <n v="1"/>
    <m/>
    <m/>
    <m/>
    <m/>
    <m/>
    <m/>
    <m/>
    <m/>
    <m/>
    <m/>
    <n v="6.7528109143524445E-2"/>
    <n v="6.7631034648244742E-2"/>
    <n v="1.190451284427091E-3"/>
    <n v="1.1933174224343676E-3"/>
    <s v="NA"/>
    <n v="839"/>
    <s v="NA"/>
  </r>
  <r>
    <x v="0"/>
    <n v="11"/>
    <n v="1020"/>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20499999999999999"/>
    <s v="increase"/>
    <s v="NA"/>
    <n v="0.05"/>
    <n v="2"/>
    <n v="1.962795497038498"/>
    <n v="0.2275250649631777"/>
    <n v="0.55107126930734196"/>
    <s v="NA"/>
    <s v="NA"/>
    <s v="NA"/>
    <s v="NA"/>
    <n v="54"/>
    <s v="NA"/>
    <n v="841"/>
    <n v="841"/>
    <s v="NA"/>
    <s v="NA"/>
    <n v="235.29"/>
    <s v="from 0,05 to 0,1"/>
    <s v="NA"/>
    <s v="NA"/>
    <s v="NA"/>
    <s v="NA"/>
    <s v="NA"/>
    <s v="NA"/>
    <n v="1"/>
    <n v="1"/>
    <n v="1"/>
    <m/>
    <m/>
    <m/>
    <m/>
    <m/>
    <m/>
    <m/>
    <m/>
    <m/>
    <m/>
    <n v="6.7528109143524445E-2"/>
    <n v="6.7631034648244742E-2"/>
    <n v="1.190451284427091E-3"/>
    <n v="1.1933174224343676E-3"/>
    <s v="NA"/>
    <n v="839"/>
    <s v="NA"/>
  </r>
  <r>
    <x v="0"/>
    <n v="11"/>
    <n v="1023"/>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218"/>
    <s v="increase"/>
    <s v="NA"/>
    <n v="0.05"/>
    <n v="2"/>
    <n v="1.962795497038498"/>
    <n v="0.2435870676190619"/>
    <n v="0.55428518267346782"/>
    <s v="NA"/>
    <s v="NA"/>
    <s v="NA"/>
    <s v="NA"/>
    <n v="48"/>
    <s v="NA"/>
    <n v="841"/>
    <n v="841"/>
    <s v="NA"/>
    <s v="NA"/>
    <n v="235.29"/>
    <s v="from 0,05 to 0,1"/>
    <s v="NA"/>
    <s v="NA"/>
    <s v="NA"/>
    <s v="NA"/>
    <s v="NA"/>
    <s v="NA"/>
    <n v="1"/>
    <n v="1"/>
    <n v="1"/>
    <m/>
    <m/>
    <m/>
    <m/>
    <m/>
    <m/>
    <m/>
    <m/>
    <m/>
    <m/>
    <n v="6.7528109143524445E-2"/>
    <n v="6.7631034648244742E-2"/>
    <n v="1.190451284427091E-3"/>
    <n v="1.1933174224343676E-3"/>
    <s v="NA"/>
    <n v="839"/>
    <s v="NA"/>
  </r>
  <r>
    <x v="0"/>
    <n v="11"/>
    <n v="1032"/>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35199999999999998"/>
    <s v="decrease"/>
    <s v="NA"/>
    <n v="0.05"/>
    <n v="2"/>
    <n v="1.962795497038498"/>
    <n v="0.42190852371857734"/>
    <n v="0.58710248954216959"/>
    <s v="NA"/>
    <s v="NA"/>
    <s v="NA"/>
    <s v="NA"/>
    <n v="60"/>
    <s v="NA"/>
    <n v="841"/>
    <n v="841"/>
    <s v="NA"/>
    <s v="NA"/>
    <n v="235.29"/>
    <s v="from 0,05 to 0,1"/>
    <s v="NA"/>
    <s v="NA"/>
    <s v="NA"/>
    <s v="NA"/>
    <s v="NA"/>
    <s v="NA"/>
    <n v="1"/>
    <n v="1"/>
    <n v="1"/>
    <m/>
    <m/>
    <m/>
    <m/>
    <m/>
    <m/>
    <m/>
    <m/>
    <m/>
    <m/>
    <n v="6.7528109143524445E-2"/>
    <n v="6.7631034648244742E-2"/>
    <n v="1.190451284427091E-3"/>
    <n v="1.1933174224343676E-3"/>
    <s v="NA"/>
    <n v="839"/>
    <s v="NA"/>
  </r>
  <r>
    <x v="0"/>
    <n v="11"/>
    <n v="1024"/>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46899999999999997"/>
    <s v="increase"/>
    <s v="NA"/>
    <n v="0.05"/>
    <n v="2"/>
    <n v="1.962795497038498"/>
    <n v="0.59839499875464042"/>
    <n v="0.61514704250921037"/>
    <s v="NA"/>
    <s v="NA"/>
    <s v="NA"/>
    <s v="NA"/>
    <n v="48"/>
    <s v="NA"/>
    <n v="841"/>
    <n v="841"/>
    <s v="NA"/>
    <s v="NA"/>
    <n v="0"/>
    <n v="0"/>
    <s v="NA"/>
    <s v="NA"/>
    <s v="NA"/>
    <s v="NA"/>
    <s v="NA"/>
    <s v="NA"/>
    <n v="1"/>
    <n v="1"/>
    <n v="1"/>
    <m/>
    <m/>
    <m/>
    <m/>
    <m/>
    <m/>
    <m/>
    <m/>
    <m/>
    <m/>
    <n v="6.7528109143524445E-2"/>
    <n v="6.7631034648244742E-2"/>
    <n v="1.190451284427091E-3"/>
    <n v="1.1933174224343676E-3"/>
    <s v="NA"/>
    <n v="839"/>
    <s v="NA"/>
  </r>
  <r>
    <x v="0"/>
    <n v="11"/>
    <n v="1029"/>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jozu"/>
    <x v="0"/>
    <s v="a selection probability of a specific type of water_x000a_heater, compared to the conventional gas/oil water heater (as a base_x000a_category)"/>
    <s v="log scale"/>
    <n v="0.47199999999999998"/>
    <s v="decrease"/>
    <s v="NA"/>
    <n v="0.05"/>
    <n v="2"/>
    <n v="1.962795497038498"/>
    <n v="0.60319738372657405"/>
    <n v="0.61585702019703836"/>
    <s v="NA"/>
    <s v="NA"/>
    <s v="NA"/>
    <s v="NA"/>
    <n v="66"/>
    <s v="NA"/>
    <n v="841"/>
    <n v="841"/>
    <s v="NA"/>
    <s v="NA"/>
    <n v="235.29"/>
    <s v="from 0,05 to 0,1"/>
    <s v="NA"/>
    <s v="NA"/>
    <s v="NA"/>
    <s v="NA"/>
    <s v="NA"/>
    <s v="NA"/>
    <n v="1"/>
    <n v="1"/>
    <n v="1"/>
    <m/>
    <m/>
    <m/>
    <m/>
    <m/>
    <m/>
    <m/>
    <m/>
    <m/>
    <m/>
    <n v="6.7528109143524445E-2"/>
    <n v="6.7631034648244742E-2"/>
    <n v="1.190451284427091E-3"/>
    <n v="1.1933174224343676E-3"/>
    <s v="NA"/>
    <n v="839"/>
    <s v="NA"/>
  </r>
  <r>
    <x v="0"/>
    <n v="11"/>
    <n v="1021"/>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47799999999999998"/>
    <s v="increase"/>
    <s v="NA"/>
    <n v="0.05"/>
    <n v="2"/>
    <n v="1.962795497038498"/>
    <n v="0.61284548338362299"/>
    <n v="0.61727549280679062"/>
    <s v="NA"/>
    <s v="NA"/>
    <s v="NA"/>
    <s v="NA"/>
    <n v="54"/>
    <s v="NA"/>
    <n v="841"/>
    <n v="841"/>
    <s v="NA"/>
    <s v="NA"/>
    <n v="0"/>
    <n v="0"/>
    <s v="NA"/>
    <s v="NA"/>
    <s v="NA"/>
    <s v="NA"/>
    <s v="NA"/>
    <s v="NA"/>
    <n v="1"/>
    <n v="1"/>
    <n v="1"/>
    <m/>
    <m/>
    <m/>
    <m/>
    <m/>
    <m/>
    <m/>
    <m/>
    <m/>
    <m/>
    <n v="6.7528109143524445E-2"/>
    <n v="6.7631034648244742E-2"/>
    <n v="1.190451284427091E-3"/>
    <n v="1.1933174224343676E-3"/>
    <s v="NA"/>
    <n v="839"/>
    <s v="NA"/>
  </r>
  <r>
    <x v="0"/>
    <n v="11"/>
    <n v="1027"/>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conventional electric"/>
    <x v="0"/>
    <s v="a selection probability of a specific type of water_x000a_heater, compared to the conventional gas/oil water heater (as a base_x000a_category)"/>
    <s v="log scale"/>
    <n v="0.84799999999999998"/>
    <s v="increase"/>
    <s v="NA"/>
    <n v="0.05"/>
    <n v="2"/>
    <n v="1.962795497038498"/>
    <n v="1.3349722343978727"/>
    <n v="0.70014742860953705"/>
    <s v="NA"/>
    <s v="NA"/>
    <s v="NA"/>
    <s v="NA"/>
    <n v="40"/>
    <s v="NA"/>
    <n v="841"/>
    <n v="841"/>
    <s v="NA"/>
    <s v="NA"/>
    <n v="0"/>
    <n v="0"/>
    <s v="NA"/>
    <s v="NA"/>
    <s v="NA"/>
    <s v="NA"/>
    <s v="NA"/>
    <s v="NA"/>
    <n v="1"/>
    <n v="1"/>
    <n v="1"/>
    <m/>
    <m/>
    <m/>
    <m/>
    <m/>
    <m/>
    <m/>
    <m/>
    <m/>
    <m/>
    <n v="6.7528109143524445E-2"/>
    <n v="6.7631034648244742E-2"/>
    <n v="1.190451284427091E-3"/>
    <n v="1.1933174224343676E-3"/>
    <s v="NA"/>
    <n v="839"/>
    <s v="NA"/>
  </r>
  <r>
    <x v="0"/>
    <n v="11"/>
    <n v="1031"/>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028"/>
    <s v="increase"/>
    <s v="NA"/>
    <n v="0.01"/>
    <n v="1"/>
    <n v="2.5817018839793482"/>
    <n v="1.7954693014284624"/>
    <n v="0.73652797043473905"/>
    <s v="NA"/>
    <s v="NA"/>
    <s v="NA"/>
    <s v="NA"/>
    <n v="66"/>
    <s v="NA"/>
    <n v="841"/>
    <n v="841"/>
    <s v="NA"/>
    <s v="NA"/>
    <n v="470.59"/>
    <s v="from 0,04 to 0,07 "/>
    <s v="NA"/>
    <s v="NA"/>
    <s v="NA"/>
    <s v="NA"/>
    <s v="NA"/>
    <s v="NA"/>
    <n v="1"/>
    <n v="1"/>
    <n v="1"/>
    <m/>
    <m/>
    <m/>
    <m/>
    <m/>
    <m/>
    <m/>
    <m/>
    <m/>
    <m/>
    <n v="8.8673513868765694E-2"/>
    <n v="8.890702958732373E-2"/>
    <n v="1.1904018089446793E-3"/>
    <n v="1.1933174224343676E-3"/>
    <s v="NA"/>
    <n v="839"/>
    <s v="NA"/>
  </r>
  <r>
    <x v="0"/>
    <n v="11"/>
    <n v="1034"/>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034"/>
    <s v="increase"/>
    <s v="NA"/>
    <n v="0.01"/>
    <n v="1"/>
    <n v="2.5817018839793482"/>
    <n v="1.8122925364724907"/>
    <n v="0.73769064403297369"/>
    <s v="NA"/>
    <s v="NA"/>
    <s v="NA"/>
    <s v="NA"/>
    <n v="60"/>
    <s v="NA"/>
    <n v="841"/>
    <n v="841"/>
    <s v="NA"/>
    <s v="NA"/>
    <n v="470.59"/>
    <s v="from 0,04 to 0,07 "/>
    <s v="NA"/>
    <s v="NA"/>
    <s v="NA"/>
    <s v="NA"/>
    <s v="NA"/>
    <s v="NA"/>
    <n v="1"/>
    <n v="1"/>
    <n v="1"/>
    <m/>
    <m/>
    <m/>
    <m/>
    <m/>
    <m/>
    <m/>
    <m/>
    <m/>
    <m/>
    <n v="8.8673513868765694E-2"/>
    <n v="8.890702958732373E-2"/>
    <n v="1.1904018089446793E-3"/>
    <n v="1.1933174224343676E-3"/>
    <s v="NA"/>
    <n v="839"/>
    <s v="NA"/>
  </r>
  <r>
    <x v="0"/>
    <n v="11"/>
    <n v="1025"/>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6839999999999999"/>
    <s v="increase"/>
    <s v="NA"/>
    <n v="0.01"/>
    <n v="1"/>
    <n v="2.5817018839793482"/>
    <n v="4.3870611767441066"/>
    <n v="0.84343347083615006"/>
    <s v="NA"/>
    <s v="NA"/>
    <s v="NA"/>
    <s v="NA"/>
    <n v="48"/>
    <s v="NA"/>
    <n v="841"/>
    <n v="841"/>
    <s v="NA"/>
    <s v="NA"/>
    <n v="470.59"/>
    <s v="from 0,04 to 0,07 "/>
    <s v="NA"/>
    <s v="NA"/>
    <s v="NA"/>
    <s v="NA"/>
    <s v="NA"/>
    <s v="NA"/>
    <n v="1"/>
    <n v="1"/>
    <n v="1"/>
    <m/>
    <m/>
    <m/>
    <m/>
    <m/>
    <m/>
    <m/>
    <m/>
    <m/>
    <m/>
    <n v="8.8673513868765694E-2"/>
    <n v="8.890702958732373E-2"/>
    <n v="1.1904018089446793E-3"/>
    <n v="1.1933174224343676E-3"/>
    <s v="NA"/>
    <n v="839"/>
    <s v="NA"/>
  </r>
  <r>
    <x v="0"/>
    <n v="11"/>
    <n v="1022"/>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1"/>
    <x v="14"/>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6879999999999999"/>
    <s v="increase"/>
    <s v="NA"/>
    <n v="0.01"/>
    <n v="1"/>
    <n v="2.5817018839793482"/>
    <n v="4.4086525754599908"/>
    <n v="0.84396095930848247"/>
    <s v="NA"/>
    <s v="NA"/>
    <s v="NA"/>
    <s v="NA"/>
    <n v="54"/>
    <s v="NA"/>
    <n v="841"/>
    <n v="841"/>
    <s v="NA"/>
    <s v="NA"/>
    <n v="470.59"/>
    <s v="from 0,04 to 0,07 "/>
    <s v="NA"/>
    <s v="NA"/>
    <s v="NA"/>
    <s v="NA"/>
    <s v="NA"/>
    <s v="NA"/>
    <n v="1"/>
    <n v="1"/>
    <n v="1"/>
    <m/>
    <m/>
    <m/>
    <m/>
    <m/>
    <m/>
    <m/>
    <m/>
    <m/>
    <m/>
    <n v="8.8673513868765694E-2"/>
    <n v="8.890702958732373E-2"/>
    <n v="1.1904018089446793E-3"/>
    <n v="1.1933174224343676E-3"/>
    <s v="NA"/>
    <n v="839"/>
    <s v="NA"/>
  </r>
  <r>
    <x v="0"/>
    <n v="11"/>
    <n v="1028"/>
    <n v="106"/>
    <s v="Goto H, Goto M, Sueyoshi"/>
    <n v="2010"/>
    <s v="Consumer choice on ecologically efficient water heaters: Marketing strategy and policy implications in Japan"/>
    <s v="This study examines how consumers select ecologically efficient water heaters in Japan. Energy conservation_x000a_in household water heating is increasingly important for reducing an amount of CO2 emission, because the_x000a_share of water heating in household energy consumption is approximately 30%. Recently, Japanese_x000a_households have widely used ecologically efficient electric heat pump water heaters (Eco Cute) or gasfired_x000a_water heaters (Eco Jozu). The total number of such efficient water heaters sold in Japan was more than_x000a_2.5 million at the end of 2008. This study investigates various factors and impacts of marketing strategy for_x000a_promoting the appliances in Japan. We apply mixed and nested logit models to a disaggregated choice data on_x000a_water heaters from 2004 to 2008. This study considers retail energy prices, a government financial support_x000a_and marketing activities as important factors for appliance selection. In addition, we consider consumers'_x000a_housing attributes such as floor space and age of building. This empirical study finds two business_x000a_implications. One of the two implications is that an increase in an energy price may enhance a choice_x000a_probability of Eco Cute and Eco Jozu because a price increase invites consumer's consciousness on energy_x000a_conservation so that a cost reduction on energy consumption becomes essential in a use of the efficient_x000a_appliances. The other implication is that marketing activities, especially by recommendations from sales_x000a_representatives and/or housing suppliers, are important for consumer behaviors. The other important_x000a_findings are discussed in this study. This business experience in Japan is useful to the other countries where_x000a_ecologically efficient water heaters are not popular at the current moment."/>
    <n v="2"/>
    <n v="2008"/>
    <x v="0"/>
    <n v="203"/>
    <x v="15"/>
    <x v="5"/>
    <x v="16"/>
    <s v="self-reported behaviour"/>
    <s v="household"/>
    <s v="homeowners"/>
    <n v="1"/>
    <s v="opt_in"/>
    <n v="0"/>
    <s v="probably no"/>
    <s v="probably no"/>
    <s v="NA"/>
    <n v="0"/>
    <n v="0"/>
    <n v="0"/>
    <n v="0"/>
    <n v="0"/>
    <n v="1"/>
    <n v="0"/>
    <n v="0"/>
    <s v="cognition of subsidy (0=not know 1=know)"/>
    <n v="0"/>
    <n v="0"/>
    <n v="0"/>
    <n v="0"/>
    <n v="0"/>
    <n v="0"/>
    <n v="1"/>
    <n v="0"/>
    <n v="0"/>
    <s v="eco cute"/>
    <x v="0"/>
    <s v="a selection probability of a specific type of water_x000a_heater, compared to the conventional gas/oil water heater (as a base_x000a_category)"/>
    <s v="log scale"/>
    <n v="1.8759999999999999"/>
    <s v="increase"/>
    <s v="NA"/>
    <n v="0.01"/>
    <n v="1"/>
    <n v="2.5817018839793482"/>
    <n v="5.5273432009470769"/>
    <n v="0.86715100224549591"/>
    <s v="NA"/>
    <s v="NA"/>
    <s v="NA"/>
    <s v="NA"/>
    <n v="40"/>
    <s v="NA"/>
    <n v="841"/>
    <n v="841"/>
    <s v="NA"/>
    <s v="NA"/>
    <n v="470.59"/>
    <s v="from 0,04 to 0,07 "/>
    <s v="NA"/>
    <s v="NA"/>
    <s v="NA"/>
    <s v="NA"/>
    <s v="NA"/>
    <s v="NA"/>
    <n v="1"/>
    <n v="1"/>
    <n v="1"/>
    <m/>
    <m/>
    <m/>
    <m/>
    <m/>
    <m/>
    <m/>
    <m/>
    <m/>
    <m/>
    <n v="8.8673513868765694E-2"/>
    <n v="8.890702958732373E-2"/>
    <n v="1.1904018089446793E-3"/>
    <n v="1.1933174224343676E-3"/>
    <s v="NA"/>
    <n v="839"/>
    <s v="NA"/>
  </r>
  <r>
    <x v="0"/>
    <n v="12"/>
    <n v="1149"/>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0"/>
    <n v="0"/>
    <n v="0"/>
    <n v="0"/>
    <n v="0"/>
    <n v="0"/>
    <n v="0"/>
    <s v="environmental + no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1.33"/>
    <s v="increase"/>
    <s v="NA"/>
    <n v="0.01"/>
    <n v="2"/>
    <n v="2.5840895721013624"/>
    <s v="NA"/>
    <m/>
    <s v="NA"/>
    <s v="NA"/>
    <s v="NA"/>
    <s v="NA"/>
    <s v="NA"/>
    <s v="NA"/>
    <n v="599"/>
    <n v="599"/>
    <s v="NA"/>
    <s v="NA"/>
    <s v="NA"/>
    <s v="NA"/>
    <s v="NA"/>
    <s v="NA"/>
    <s v="NA"/>
    <s v="NA"/>
    <s v="NA"/>
    <s v="NA"/>
    <n v="0"/>
    <n v="0"/>
    <n v="1"/>
    <m/>
    <m/>
    <m/>
    <m/>
    <m/>
    <m/>
    <m/>
    <m/>
    <m/>
    <m/>
    <n v="0.10499940460515129"/>
    <n v="0.10538784580628262"/>
    <n v="1.6720345208693912E-3"/>
    <n v="1.6778523489932886E-3"/>
    <s v="NA"/>
    <n v="597"/>
    <s v="NA"/>
  </r>
  <r>
    <x v="0"/>
    <n v="12"/>
    <n v="1150"/>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0"/>
    <n v="0"/>
    <n v="0"/>
    <n v="0"/>
    <n v="0"/>
    <n v="0"/>
    <n v="0"/>
    <s v="financial + no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2.82"/>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0"/>
    <n v="12"/>
    <n v="1151"/>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1"/>
    <n v="0"/>
    <n v="0"/>
    <n v="0"/>
    <n v="0"/>
    <n v="0"/>
    <n v="0"/>
    <s v="environmental +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3.09"/>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0"/>
    <n v="12"/>
    <n v="1152"/>
    <n v="133"/>
    <s v="Hafner, Elmes, Read, White"/>
    <n v="2019"/>
    <s v="Exploring the role of normative, financial and environmental information in promoting uptake of energy efficient technologies"/>
    <s v="The potential of normative and feedback (financial vs. environmental) information in guiding pro-environmental_x000a_decision-making behaviour was explored in a 2 × 2 (plus control) choice experiment. Using the context of home_x000a_heating, 599 non-student participants from the UK general public were asked to choose between a standard_x000a_heating system (a gas boiler) and a relatively more-energy efficient option (a heat pump). In line with evidence_x000a_for the energy efficiency gap for sustainable innovations, there was low uptake of the heat pump (32.5%) in the_x000a_control condition where no frame information was provided. Yet, in both conditions where normative information_x000a_was provided, respondents were significantly more likely (vs. control) to choose the heat pump (financial_x000a_+ norm OR 3.63; 95% CIs 2.13,6.19; environmental + norm OR 3.09; 95% CIs 1.67,4.79), advancing_x000a_understanding of normative social influence in the context of pro-environmental purchase behaviour. When_x000a_normative information was not provided, only financial (OR 2.82; 95% CIs 1.67,4.79) but not environmental_x000a_(OR 1.33; 95% CIs 0.78,2.26), feedback was associated with a significantly greater likelihood of heat pump_x000a_choice. The main effect of normative information was replicated for behavioural intentions (though only for_x000a_homeowners), but there was no norm-feedback interaction (regardless of homeownership). The implications for_x000a_researchers looking to promote ‘green’ choice in the context of new technology adoption are discussed."/>
    <n v="2"/>
    <n v="2016"/>
    <x v="0"/>
    <n v="31"/>
    <x v="13"/>
    <x v="2"/>
    <x v="10"/>
    <s v="stated preference"/>
    <s v="online"/>
    <s v="individuals"/>
    <n v="1"/>
    <s v="opt_out"/>
    <n v="1"/>
    <s v="probably no"/>
    <s v="probably no"/>
    <s v="NA"/>
    <n v="1"/>
    <n v="1"/>
    <n v="0"/>
    <n v="0"/>
    <n v="0"/>
    <n v="0"/>
    <n v="0"/>
    <n v="0"/>
    <s v="financial +  normative information"/>
    <n v="0"/>
    <n v="0"/>
    <n v="0"/>
    <n v="0"/>
    <n v="1"/>
    <n v="0"/>
    <n v="0"/>
    <n v="0"/>
    <n v="0"/>
    <s v="NA"/>
    <x v="0"/>
    <s v="likelihood of a participant in the comparison condition to choose a more energy-efficient appliance compared to the odds if a participant in the control grpup to choose a less efficient appliance"/>
    <s v="odds ratio"/>
    <n v="3.63"/>
    <s v="increase"/>
    <s v="NA"/>
    <n v="1E-3"/>
    <n v="1"/>
    <n v="3.3068980114241935"/>
    <s v="NA"/>
    <m/>
    <s v="NA"/>
    <s v="NA"/>
    <s v="NA"/>
    <s v="NA"/>
    <s v="NA"/>
    <s v="NA"/>
    <n v="599"/>
    <n v="599"/>
    <s v="NA"/>
    <s v="NA"/>
    <s v="NA"/>
    <s v="NA"/>
    <s v="NA"/>
    <s v="NA"/>
    <s v="NA"/>
    <s v="NA"/>
    <s v="NA"/>
    <s v="NA"/>
    <n v="0"/>
    <n v="0"/>
    <n v="1"/>
    <m/>
    <m/>
    <m/>
    <m/>
    <m/>
    <m/>
    <m/>
    <m/>
    <m/>
    <m/>
    <n v="0.13389945792371422"/>
    <n v="0.13470840884771776"/>
    <n v="1.6716901501424388E-3"/>
    <n v="1.6778523489932886E-3"/>
    <s v="NA"/>
    <n v="597"/>
    <s v="NA"/>
  </r>
  <r>
    <x v="2"/>
    <m/>
    <n v="1261"/>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1"/>
    <n v="0"/>
    <n v="0"/>
    <n v="0"/>
    <n v="0"/>
    <n v="0"/>
    <n v="0"/>
    <n v="0"/>
    <n v="0"/>
    <s v="WTP"/>
    <x v="2"/>
    <s v="WTP"/>
    <s v="NA"/>
    <n v="0.66400000000000003"/>
    <s v="decrease"/>
    <s v="NA"/>
    <n v="0.1"/>
    <n v="2"/>
    <s v="NA"/>
    <s v="NA"/>
    <m/>
    <s v="NA"/>
    <s v="NA"/>
    <s v="NA"/>
    <s v="NA"/>
    <s v="NA"/>
    <s v="NA"/>
    <n v="605"/>
    <n v="605"/>
    <s v="NA"/>
    <s v="NA"/>
    <s v="NA"/>
    <s v="NA"/>
    <s v="NA"/>
    <s v="NA"/>
    <s v="NA"/>
    <s v="NA"/>
    <s v="NA"/>
    <s v="NA"/>
    <n v="0"/>
    <n v="1"/>
    <n v="0"/>
    <m/>
    <m/>
    <m/>
    <m/>
    <m/>
    <m/>
    <m/>
    <m/>
    <m/>
    <m/>
    <e v="#VALUE!"/>
    <e v="#VALUE!"/>
    <e v="#VALUE!"/>
    <n v="1.6611295681063123E-3"/>
    <m/>
    <m/>
    <m/>
  </r>
  <r>
    <x v="2"/>
    <m/>
    <n v="1262"/>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0"/>
    <n v="0"/>
    <n v="1"/>
    <n v="0"/>
    <s v="WTP"/>
    <x v="2"/>
    <s v="WTP"/>
    <s v="NA"/>
    <n v="6.96"/>
    <s v="increase"/>
    <s v="NA"/>
    <n v="0.05"/>
    <n v="1"/>
    <s v="NA"/>
    <s v="NA"/>
    <m/>
    <s v="NA"/>
    <s v="NA"/>
    <s v="NA"/>
    <s v="NA"/>
    <s v="NA"/>
    <s v="NA"/>
    <n v="605"/>
    <n v="605"/>
    <s v="NA"/>
    <s v="NA"/>
    <s v="NA"/>
    <s v="NA"/>
    <s v="NA"/>
    <s v="NA"/>
    <s v="NA"/>
    <s v="NA"/>
    <s v="NA"/>
    <s v="NA"/>
    <n v="0"/>
    <n v="1"/>
    <n v="0"/>
    <m/>
    <m/>
    <m/>
    <m/>
    <m/>
    <m/>
    <m/>
    <m/>
    <m/>
    <m/>
    <e v="#VALUE!"/>
    <e v="#VALUE!"/>
    <e v="#VALUE!"/>
    <n v="1.6611295681063123E-3"/>
    <m/>
    <m/>
    <m/>
  </r>
  <r>
    <x v="2"/>
    <m/>
    <n v="1263"/>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0"/>
    <n v="0"/>
    <n v="0"/>
    <n v="1"/>
    <s v="WTP"/>
    <x v="2"/>
    <s v="WTP"/>
    <s v="NA"/>
    <n v="1.591"/>
    <s v="increase"/>
    <s v="NA"/>
    <n v="0.1"/>
    <n v="2"/>
    <s v="NA"/>
    <s v="NA"/>
    <m/>
    <s v="NA"/>
    <s v="NA"/>
    <s v="NA"/>
    <s v="NA"/>
    <s v="NA"/>
    <s v="NA"/>
    <n v="605"/>
    <n v="605"/>
    <s v="NA"/>
    <s v="NA"/>
    <s v="NA"/>
    <s v="NA"/>
    <s v="NA"/>
    <s v="NA"/>
    <s v="NA"/>
    <s v="NA"/>
    <s v="NA"/>
    <s v="NA"/>
    <n v="0"/>
    <n v="1"/>
    <n v="0"/>
    <m/>
    <m/>
    <m/>
    <m/>
    <m/>
    <m/>
    <m/>
    <m/>
    <m/>
    <m/>
    <e v="#VALUE!"/>
    <e v="#VALUE!"/>
    <e v="#VALUE!"/>
    <n v="1.6611295681063123E-3"/>
    <m/>
    <m/>
    <m/>
  </r>
  <r>
    <x v="2"/>
    <m/>
    <n v="1264"/>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0"/>
    <n v="0"/>
    <n v="1"/>
    <n v="0"/>
    <n v="0"/>
    <n v="0"/>
    <s v="WTP"/>
    <x v="2"/>
    <s v="WTP"/>
    <s v="NA"/>
    <n v="1.585"/>
    <s v="increase"/>
    <s v="NA"/>
    <n v="0.01"/>
    <n v="1"/>
    <s v="NA"/>
    <s v="NA"/>
    <m/>
    <s v="NA"/>
    <s v="NA"/>
    <s v="NA"/>
    <s v="NA"/>
    <s v="NA"/>
    <s v="NA"/>
    <n v="605"/>
    <n v="605"/>
    <s v="NA"/>
    <s v="NA"/>
    <s v="NA"/>
    <s v="NA"/>
    <s v="NA"/>
    <s v="NA"/>
    <s v="NA"/>
    <s v="NA"/>
    <s v="NA"/>
    <s v="NA"/>
    <n v="0"/>
    <n v="1"/>
    <n v="0"/>
    <m/>
    <m/>
    <m/>
    <m/>
    <m/>
    <m/>
    <m/>
    <m/>
    <m/>
    <m/>
    <e v="#VALUE!"/>
    <e v="#VALUE!"/>
    <e v="#VALUE!"/>
    <n v="1.6611295681063123E-3"/>
    <m/>
    <m/>
    <m/>
  </r>
  <r>
    <x v="2"/>
    <m/>
    <n v="1265"/>
    <n v="405"/>
    <s v="Harajli, Chalak"/>
    <n v="2019"/>
    <s v="Willingness to Pay for Energy Efficient Appliances: The Case of Lebanese Consumers"/>
    <s v="A contingent valuation study was conducted to elicit the willingness to pay (WTP) of Lebanese citizens for five types of energy-efficient home appliances: washing machines, air conditioners, televisions, light bulbs, and refrigerators. A face-to-face survey is designed to this end, with data collection achieving a sample of 605 households geographically representative of the Lebanese population. A multivariate Tobit model was used to gauge the effects of socio-demographic characteristics, attitudes, perceptions, behavior, and experience on the WTP across all these appliances, while accounting for potential correlations between these WTP values. Findings provide evidence of the importance of several socio–demographics in determining WTP for more energy efficient appliances, such as income, education, and age, and the importance of perceptions and experience covariates, not least the implementation of energy labelling and the cost of electricity. In terms of policy implications, this study highlights the need to legally enforce a shift in payment mode from renting per capacity (kW) to purchasing per power (kWh) consumed for electricity in the back-up power sector, and the immediate introduction of a local labelling scheme for home appliances."/>
    <n v="2"/>
    <s v="2016-2017"/>
    <x v="0"/>
    <n v="9"/>
    <x v="16"/>
    <x v="3"/>
    <x v="17"/>
    <s v="revealed preference"/>
    <s v="household"/>
    <s v="residents"/>
    <n v="1"/>
    <s v="no such option"/>
    <s v="NA"/>
    <s v="probably no"/>
    <s v="probably no"/>
    <s v="NA"/>
    <n v="0"/>
    <n v="1"/>
    <n v="0"/>
    <n v="0"/>
    <n v="0"/>
    <n v="0"/>
    <n v="0"/>
    <n v="0"/>
    <s v="in the model, the treated group is the reference category, therefore the results are counterintuitive. "/>
    <n v="0"/>
    <n v="0"/>
    <n v="0"/>
    <n v="1"/>
    <n v="0"/>
    <n v="0"/>
    <n v="0"/>
    <n v="0"/>
    <n v="0"/>
    <s v="WTP"/>
    <x v="2"/>
    <s v="WTP"/>
    <s v="NA"/>
    <n v="1.7"/>
    <s v="decrease"/>
    <s v="NA"/>
    <n v="0.1"/>
    <n v="2"/>
    <s v="NA"/>
    <s v="NA"/>
    <m/>
    <s v="NA"/>
    <s v="NA"/>
    <s v="NA"/>
    <s v="NA"/>
    <s v="NA"/>
    <s v="NA"/>
    <n v="605"/>
    <n v="605"/>
    <s v="NA"/>
    <s v="NA"/>
    <s v="NA"/>
    <s v="NA"/>
    <s v="NA"/>
    <s v="NA"/>
    <s v="NA"/>
    <s v="NA"/>
    <s v="NA"/>
    <s v="NA"/>
    <n v="0"/>
    <n v="1"/>
    <n v="0"/>
    <m/>
    <m/>
    <m/>
    <m/>
    <m/>
    <m/>
    <m/>
    <m/>
    <m/>
    <m/>
    <e v="#VALUE!"/>
    <e v="#VALUE!"/>
    <e v="#VALUE!"/>
    <n v="1.6611295681063123E-3"/>
    <m/>
    <m/>
    <m/>
  </r>
  <r>
    <x v="0"/>
    <m/>
    <s v="NA"/>
    <s v="NA"/>
    <s v="Harrington"/>
    <n v="2017"/>
    <s v="Quantifying energy savings from replacement of old refrigerators"/>
    <s v="energy consumption of refrigerating appliances in the field, the data is very complex and difficult to interpret. Field data _x000a_measured in houses has constantly fluctuating room temperatures and is subject to somewhat random interactions with _x000a_householders through door openings and the placement of food and drinks to be cooled. Another problem with field data is that _x000a_household indoor temperatures are quite seasonal and significant periods of data are required to quantify these effects. _x000a_This paper analyses the results of 21 refrigerator replacements that have occurred in Melbourne, Gippsland (Victoria) and"/>
    <n v="1"/>
    <m/>
    <x v="8"/>
    <s v="check maybe they have aggregate results in supplementary materials?"/>
    <x v="6"/>
    <x v="4"/>
    <x v="5"/>
    <m/>
    <m/>
    <m/>
    <m/>
    <m/>
    <m/>
    <m/>
    <m/>
    <s v="small sample size, no statistical analysis of the results, only descriptive statistics for each household"/>
    <m/>
    <m/>
    <m/>
    <m/>
    <m/>
    <m/>
    <m/>
    <m/>
    <m/>
    <m/>
    <m/>
    <m/>
    <m/>
    <m/>
    <m/>
    <m/>
    <m/>
    <m/>
    <m/>
    <x v="3"/>
    <m/>
    <m/>
    <m/>
    <m/>
    <m/>
    <m/>
    <m/>
    <m/>
    <m/>
    <m/>
    <m/>
    <m/>
    <m/>
    <m/>
    <m/>
    <m/>
    <m/>
    <m/>
    <m/>
    <m/>
    <m/>
    <m/>
    <m/>
    <m/>
    <m/>
    <m/>
    <m/>
    <m/>
    <m/>
    <m/>
    <m/>
    <m/>
    <m/>
    <m/>
    <m/>
    <m/>
    <m/>
    <m/>
    <m/>
    <m/>
    <m/>
    <m/>
    <m/>
    <m/>
    <m/>
    <m/>
    <m/>
    <m/>
  </r>
  <r>
    <x v="0"/>
    <n v="13"/>
    <n v="1121"/>
    <n v="126"/>
    <s v="Heinzle, Wüstenhagen"/>
    <n v="2010"/>
    <s v="Disimproving the European Energy Label's value for consumers? Results from a consumer survey"/>
    <s v="&quot;The European labelling scheme was introduced to counteract the rise in energy consumption by in- creasing consumer awareness on real energy use. Since its introduction in the mid-nineties it has not kept up with the state of the art. After years of technological advancements and better know-how, an update of the scale became necessary because many products now have the highest energy-efficiency class. After months of negotiations, members of the European Parliament and representatives from the European Commission finally reached a consensus with a compromise proposal from the Swedish Presidency. As a basis for classification, the system would continue using letters A to G, but would expand the A categories into a maximum of three tiers (A+, A++, A+++). Environmental and consumer groups criticise this proposal and support the retention of a simple, closed A-G energy label, provided that a dynamic system would be implemented. The purpose of this paper is to provide evidence of the effect of two discussed labelling schemes on consumer decisions regarding televisions. The findings are based on 2,244 observations, where half of the consumers surveyed were exposed to the existing label and the other half received an otherwise identical survey, but using the new categories._x000a_The survey shows that the well-known A-G closed scheme has a greater impact on consumer deci- sions than an A+++ style label. The results clearly show that introducing the new label with its addi- tional categories weakens the effect of the label, resulting in lower awareness of consumers about en- ergy efficiency as an important attribute.&quot;"/>
    <n v="2"/>
    <n v="2009"/>
    <x v="0"/>
    <n v="13"/>
    <x v="5"/>
    <x v="0"/>
    <x v="3"/>
    <s v="stated preference"/>
    <s v="online"/>
    <s v="individuals"/>
    <n v="1"/>
    <s v="opt_out"/>
    <n v="1"/>
    <s v="probably no"/>
    <s v="probably no"/>
    <s v="NA"/>
    <n v="0"/>
    <n v="0"/>
    <n v="1"/>
    <n v="0"/>
    <n v="0"/>
    <n v="0"/>
    <n v="0"/>
    <n v="0"/>
    <s v="Respondents were split up into two different samples, which only differed with regard to the presentation_x000a_format of the label."/>
    <n v="0"/>
    <n v="0"/>
    <n v="0"/>
    <n v="0"/>
    <n v="0"/>
    <n v="0"/>
    <n v="0"/>
    <n v="0"/>
    <n v="1"/>
    <s v="Baysian Hierarchical modeling"/>
    <x v="0"/>
    <s v="the probability of an individual choosing the efficient appliance in a particular choice task"/>
    <s v="log scale"/>
    <n v="2.17"/>
    <s v="increase"/>
    <n v="0.11"/>
    <n v="0.01"/>
    <n v="1"/>
    <n v="19.727272727272727"/>
    <n v="7.7582840407408344"/>
    <n v="0.89752296655590269"/>
    <s v="NA"/>
    <s v="NA"/>
    <s v="NA"/>
    <s v="NA"/>
    <s v="NA"/>
    <s v="NA"/>
    <n v="97"/>
    <n v="1164"/>
    <s v="NA"/>
    <s v="NA"/>
    <s v="NA"/>
    <s v="NA"/>
    <s v="NA"/>
    <n v="0"/>
    <s v="NA"/>
    <n v="0"/>
    <s v="NA"/>
    <s v="alphabetical with +"/>
    <n v="0"/>
    <n v="0"/>
    <n v="1"/>
    <m/>
    <m/>
    <m/>
    <m/>
    <m/>
    <m/>
    <m/>
    <m/>
    <m/>
    <m/>
    <n v="0.89469513235852893"/>
    <n v="1.4449767900329058"/>
    <n v="-3.4995503034195442E-2"/>
    <n v="1.0638297872340425E-2"/>
    <s v="NA"/>
    <n v="96"/>
    <s v="NA"/>
  </r>
  <r>
    <x v="0"/>
    <n v="13"/>
    <n v="1120"/>
    <n v="126"/>
    <s v="Heinzle, Wüstenhagen"/>
    <n v="2010"/>
    <s v="Disimproving the European Energy Label's value for consumers? Results from a consumer survey"/>
    <s v="&quot;The European labelling scheme was introduced to counteract the rise in energy consumption by in- creasing consumer awareness on real energy use. Since its introduction in the mid-nineties it has not kept up with the state of the art. After years of technological advancements and better know-how, an update of the scale became necessary because many products now have the highest energy-efficiency class. After months of negotiations, members of the European Parliament and representatives from the European Commission finally reached a consensus with a compromise proposal from the Swedish Presidency. As a basis for classification, the system would continue using letters A to G, but would expand the A categories into a maximum of three tiers (A+, A++, A+++). Environmental and consumer groups criticise this proposal and support the retention of a simple, closed A-G energy label, provided that a dynamic system would be implemented. The purpose of this paper is to provide evidence of the effect of two discussed labelling schemes on consumer decisions regarding televisions. The findings are based on 2,244 observations, where half of the consumers surveyed were exposed to the existing label and the other half received an otherwise identical survey, but using the new categories._x000a_The survey shows that the well-known A-G closed scheme has a greater impact on consumer deci- sions than an A+++ style label. The results clearly show that introducing the new label with its addi- tional categories weakens the effect of the label, resulting in lower awareness of consumers about en- ergy efficiency as an important attribute.&quot;"/>
    <n v="2"/>
    <n v="2009"/>
    <x v="0"/>
    <n v="13"/>
    <x v="5"/>
    <x v="0"/>
    <x v="3"/>
    <s v="stated preference"/>
    <s v="online"/>
    <s v="individuals"/>
    <n v="1"/>
    <s v="opt_out"/>
    <n v="1"/>
    <s v="probably no"/>
    <s v="probably no"/>
    <s v="NA"/>
    <n v="0"/>
    <n v="0"/>
    <n v="1"/>
    <n v="0"/>
    <n v="0"/>
    <n v="0"/>
    <n v="0"/>
    <n v="0"/>
    <s v="Respondents were split up into two different samples, which only differed with regard to the presentation_x000a_format of the label."/>
    <n v="0"/>
    <n v="0"/>
    <n v="0"/>
    <n v="0"/>
    <n v="0"/>
    <n v="0"/>
    <n v="0"/>
    <n v="0"/>
    <n v="1"/>
    <s v="Baysian Hierarchical modeling"/>
    <x v="0"/>
    <s v="the probability of an individual choosing the efficient appliance in a particular choice task"/>
    <s v="log scale"/>
    <n v="3.18"/>
    <s v="increase"/>
    <n v="0.13"/>
    <n v="0.01"/>
    <n v="1"/>
    <n v="24.461538461538463"/>
    <n v="23.046753552064498"/>
    <n v="0.96007466604718616"/>
    <s v="NA"/>
    <s v="NA"/>
    <s v="NA"/>
    <s v="NA"/>
    <s v="NA"/>
    <s v="NA"/>
    <n v="90"/>
    <n v="1080"/>
    <s v="NA"/>
    <s v="NA"/>
    <s v="NA"/>
    <s v="NA"/>
    <s v="NA"/>
    <n v="0"/>
    <s v="NA"/>
    <n v="0"/>
    <s v="NA"/>
    <s v="alphabetical"/>
    <n v="0"/>
    <n v="0"/>
    <n v="1"/>
    <m/>
    <m/>
    <m/>
    <m/>
    <m/>
    <m/>
    <m/>
    <m/>
    <m/>
    <m/>
    <n v="0.93233886735311322"/>
    <n v="1.6759872465436003"/>
    <n v="-7.7416921417931925E-2"/>
    <n v="1.1494252873563218E-2"/>
    <s v="NA"/>
    <n v="89"/>
    <s v="NA"/>
  </r>
  <r>
    <x v="0"/>
    <n v="13"/>
    <n v="1134"/>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
    <s v="NA"/>
    <s v="NA"/>
    <e v="#VALUE!"/>
    <n v="0.33700000000000002"/>
    <e v="#NUM!"/>
    <s v="NA"/>
    <s v="NA"/>
    <s v="NA"/>
    <s v="NA"/>
    <s v="NA"/>
    <s v="NA"/>
    <n v="90"/>
    <n v="1080"/>
    <s v="NA"/>
    <s v="NA"/>
    <s v="NA"/>
    <s v="NA"/>
    <s v="NA"/>
    <n v="0"/>
    <s v="NA"/>
    <n v="0"/>
    <s v="NA"/>
    <s v="alphabetical"/>
    <n v="0"/>
    <n v="0"/>
    <n v="0"/>
    <m/>
    <m/>
    <m/>
    <m/>
    <m/>
    <m/>
    <m/>
    <m/>
    <m/>
    <m/>
    <n v="4.2087673934074338E-2"/>
    <n v="4.2112551359627833E-2"/>
    <n v="1.123591971702094E-2"/>
    <n v="1.1494252873563218E-2"/>
    <n v="8.4250000000000005E-2"/>
    <n v="89"/>
    <s v="NA"/>
  </r>
  <r>
    <x v="0"/>
    <n v="13"/>
    <n v="1135"/>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1"/>
    <s v="NA"/>
    <s v="NA"/>
    <e v="#VALUE!"/>
    <n v="7.4999999999999997E-2"/>
    <e v="#NUM!"/>
    <s v="NA"/>
    <s v="NA"/>
    <s v="NA"/>
    <s v="NA"/>
    <s v="NA"/>
    <s v="NA"/>
    <n v="97"/>
    <n v="1164"/>
    <s v="NA"/>
    <s v="NA"/>
    <s v="NA"/>
    <s v="NA"/>
    <s v="NA"/>
    <n v="0"/>
    <s v="NA"/>
    <n v="0"/>
    <s v="NA"/>
    <s v="alphabetical with +"/>
    <n v="0"/>
    <n v="0"/>
    <n v="0"/>
    <m/>
    <m/>
    <m/>
    <m/>
    <m/>
    <m/>
    <m/>
    <m/>
    <m/>
    <m/>
    <n v="1.785429641688294E-2"/>
    <n v="1.7856193952969043E-2"/>
    <n v="1.0416665607694988E-2"/>
    <n v="1.0638297872340425E-2"/>
    <n v="3.5714285714285712E-2"/>
    <n v="96"/>
    <s v="NA"/>
  </r>
  <r>
    <x v="0"/>
    <n v="13"/>
    <n v="1136"/>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6"/>
    <s v="NA"/>
    <s v="NA"/>
    <e v="#VALUE!"/>
    <n v="0.191"/>
    <e v="#NUM!"/>
    <s v="NA"/>
    <s v="NA"/>
    <s v="NA"/>
    <s v="NA"/>
    <s v="NA"/>
    <s v="NA"/>
    <n v="90"/>
    <n v="1080"/>
    <s v="NA"/>
    <s v="NA"/>
    <s v="NA"/>
    <s v="NA"/>
    <s v="NA"/>
    <n v="0"/>
    <s v="NA"/>
    <n v="0"/>
    <s v="NA"/>
    <s v="alphabetical"/>
    <n v="0"/>
    <n v="0"/>
    <n v="0"/>
    <m/>
    <m/>
    <m/>
    <m/>
    <m/>
    <m/>
    <m/>
    <m/>
    <m/>
    <m/>
    <n v="3.6706016626389615E-2"/>
    <n v="3.6722515025129569E-2"/>
    <n v="1.1235934622825631E-2"/>
    <n v="1.1494252873563218E-2"/>
    <n v="7.3461538461538467E-2"/>
    <n v="89"/>
    <s v="NA"/>
  </r>
  <r>
    <x v="0"/>
    <n v="13"/>
    <n v="1137"/>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3.1"/>
    <s v="NA"/>
    <s v="NA"/>
    <e v="#VALUE!"/>
    <n v="0.214"/>
    <e v="#NUM!"/>
    <s v="NA"/>
    <s v="NA"/>
    <s v="NA"/>
    <s v="NA"/>
    <s v="NA"/>
    <s v="NA"/>
    <n v="97"/>
    <n v="1164"/>
    <s v="NA"/>
    <s v="NA"/>
    <s v="NA"/>
    <s v="NA"/>
    <s v="NA"/>
    <n v="0"/>
    <s v="NA"/>
    <n v="0"/>
    <s v="NA"/>
    <s v="alphabetical with +"/>
    <n v="0"/>
    <n v="0"/>
    <n v="0"/>
    <m/>
    <m/>
    <m/>
    <m/>
    <m/>
    <m/>
    <m/>
    <m/>
    <m/>
    <m/>
    <n v="3.4495586763078345E-2"/>
    <n v="3.4509279163151156E-2"/>
    <n v="1.0416651893543523E-2"/>
    <n v="1.0638297872340425E-2"/>
    <n v="6.9032258064516128E-2"/>
    <n v="96"/>
    <s v="NA"/>
  </r>
  <r>
    <x v="0"/>
    <n v="13"/>
    <n v="1138"/>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2.8"/>
    <s v="NA"/>
    <s v="NA"/>
    <e v="#VALUE!"/>
    <n v="0.16500000000000001"/>
    <e v="#NUM!"/>
    <s v="NA"/>
    <s v="NA"/>
    <s v="NA"/>
    <s v="NA"/>
    <s v="NA"/>
    <s v="NA"/>
    <n v="90"/>
    <n v="1080"/>
    <s v="NA"/>
    <s v="NA"/>
    <s v="NA"/>
    <s v="NA"/>
    <s v="NA"/>
    <n v="0"/>
    <s v="NA"/>
    <n v="0"/>
    <s v="NA"/>
    <s v="alphabetical"/>
    <n v="0"/>
    <n v="0"/>
    <n v="0"/>
    <m/>
    <m/>
    <m/>
    <m/>
    <m/>
    <m/>
    <m/>
    <m/>
    <m/>
    <m/>
    <n v="2.9451504412310325E-2"/>
    <n v="2.946002417111681E-2"/>
    <n v="1.1235946592828075E-2"/>
    <n v="1.1494252873563218E-2"/>
    <n v="5.8928571428571434E-2"/>
    <n v="89"/>
    <s v="NA"/>
  </r>
  <r>
    <x v="0"/>
    <n v="13"/>
    <n v="1139"/>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3.2"/>
    <s v="NA"/>
    <s v="NA"/>
    <e v="#VALUE!"/>
    <n v="0.254"/>
    <e v="#NUM!"/>
    <s v="NA"/>
    <s v="NA"/>
    <s v="NA"/>
    <s v="NA"/>
    <s v="NA"/>
    <s v="NA"/>
    <n v="97"/>
    <n v="1164"/>
    <s v="NA"/>
    <s v="NA"/>
    <s v="NA"/>
    <s v="NA"/>
    <s v="NA"/>
    <n v="0"/>
    <s v="NA"/>
    <n v="0"/>
    <s v="NA"/>
    <s v="alphabetical with +"/>
    <n v="0"/>
    <n v="0"/>
    <n v="0"/>
    <m/>
    <m/>
    <m/>
    <m/>
    <m/>
    <m/>
    <m/>
    <m/>
    <m/>
    <m/>
    <n v="3.9656281030740814E-2"/>
    <n v="3.9677088763029514E-2"/>
    <n v="1.0416640850725469E-2"/>
    <n v="1.0638297872340425E-2"/>
    <n v="7.9375000000000001E-2"/>
    <n v="96"/>
    <s v="NA"/>
  </r>
  <r>
    <x v="0"/>
    <n v="13"/>
    <n v="1140"/>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0999999999999996"/>
    <s v="NA"/>
    <s v="NA"/>
    <e v="#VALUE!"/>
    <n v="0.30880000000000002"/>
    <e v="#NUM!"/>
    <s v="NA"/>
    <s v="NA"/>
    <s v="NA"/>
    <s v="NA"/>
    <s v="NA"/>
    <s v="NA"/>
    <n v="90"/>
    <n v="1080"/>
    <s v="NA"/>
    <s v="NA"/>
    <s v="NA"/>
    <s v="NA"/>
    <s v="NA"/>
    <n v="0"/>
    <s v="NA"/>
    <n v="0"/>
    <s v="NA"/>
    <s v="alphabetical"/>
    <n v="0"/>
    <n v="0"/>
    <n v="0"/>
    <m/>
    <m/>
    <m/>
    <m/>
    <m/>
    <m/>
    <m/>
    <m/>
    <m/>
    <m/>
    <n v="3.7631861937430795E-2"/>
    <n v="3.7649641255509014E-2"/>
    <n v="1.1235932479848823E-2"/>
    <n v="1.1494252873563218E-2"/>
    <n v="7.5317073170731719E-2"/>
    <n v="89"/>
    <s v="NA"/>
  </r>
  <r>
    <x v="0"/>
    <n v="13"/>
    <n v="1141"/>
    <n v="129"/>
    <s v="Heinzle, Wüstenhagen"/>
    <n v="2012"/>
    <s v="Dynamic Adjustment of Eco-labeling Schemes and Consumer Choice - the Revision of the EU Energy Label as a Missed Opportunity?: Dynamic Adjustment of Eco-labelling Schemes &amp; Consumer Choice"/>
    <s v="Products with a superior environmental performance, such as a high level of energy efficiency, are typically subject to information asymmetries. Therefore these product attributes are often undervalued in purchase decisions. Signaling, e.g. energy labeling, can overcome these asymmetries, with positive implications for effective consumer decisions, competitive advantage for suppliers of energy‐efficient goods, and for societal goals such as mitigating climate change. However, there is a scarcity of research investigating how energy labels actually influence consumer choice. The recent revision of the European Union energy label provided a unique opportunity to investigate the effectiveness of energy labeling in a quasi field‐experimental setting. We show that the proposed extension of the seven‐point A–G rating scale by adding new classes A+, A++, etc. will result in a lower perceived importance of energy efficiency in consumer decision‐making. Based on a stated preference survey investigating 2244 choices by German consumers, we conclude that the revision actually undermines the label’s ability to overcome information asymmetries, hence potentially contributing to market failure. "/>
    <n v="2"/>
    <n v="2009"/>
    <x v="0"/>
    <n v="67"/>
    <x v="5"/>
    <x v="0"/>
    <x v="3"/>
    <s v="stated preference"/>
    <s v="online"/>
    <s v="individuals"/>
    <n v="1"/>
    <s v="opt_out"/>
    <n v="0"/>
    <s v="probably no"/>
    <s v="probably no"/>
    <s v="NA"/>
    <n v="0"/>
    <n v="0"/>
    <n v="1"/>
    <n v="0"/>
    <n v="0"/>
    <n v="0"/>
    <n v="0"/>
    <n v="0"/>
    <s v="NA"/>
    <n v="0"/>
    <n v="0"/>
    <n v="0"/>
    <n v="0"/>
    <n v="0"/>
    <n v="0"/>
    <n v="0"/>
    <n v="0"/>
    <n v="1"/>
    <s v="Baysian Hierarchical modeling"/>
    <x v="0"/>
    <s v="choice of a high-efficiency appliance"/>
    <s v="dummy (0/1)"/>
    <e v="#NUM!"/>
    <s v="increase"/>
    <n v="4.3"/>
    <s v="NA"/>
    <s v="NA"/>
    <e v="#VALUE!"/>
    <n v="0.45700000000000002"/>
    <e v="#NUM!"/>
    <s v="NA"/>
    <s v="NA"/>
    <s v="NA"/>
    <s v="NA"/>
    <s v="NA"/>
    <s v="NA"/>
    <n v="97"/>
    <n v="1164"/>
    <s v="NA"/>
    <s v="NA"/>
    <s v="NA"/>
    <s v="NA"/>
    <s v="NA"/>
    <n v="0"/>
    <s v="NA"/>
    <n v="0"/>
    <s v="NA"/>
    <s v="alphabetical with +"/>
    <n v="0"/>
    <n v="0"/>
    <n v="0"/>
    <m/>
    <m/>
    <m/>
    <m/>
    <m/>
    <m/>
    <m/>
    <m/>
    <m/>
    <m/>
    <n v="5.306466542985009E-2"/>
    <n v="5.3114557283637655E-2"/>
    <n v="1.0416583761226261E-2"/>
    <n v="1.0638297872340425E-2"/>
    <n v="0.10627906976744186"/>
    <n v="96"/>
    <s v="NA"/>
  </r>
  <r>
    <x v="0"/>
    <m/>
    <s v="NA"/>
    <s v="NA"/>
    <s v="Hirst, Carney, O'Neal"/>
    <n v="1979"/>
    <s v="Alternative technologies for US residential water heating. Energy savings and economic benefits"/>
    <m/>
    <m/>
    <m/>
    <x v="9"/>
    <m/>
    <x v="6"/>
    <x v="4"/>
    <x v="5"/>
    <m/>
    <m/>
    <m/>
    <m/>
    <m/>
    <m/>
    <m/>
    <m/>
    <m/>
    <m/>
    <m/>
    <m/>
    <m/>
    <m/>
    <m/>
    <m/>
    <m/>
    <m/>
    <m/>
    <m/>
    <m/>
    <m/>
    <m/>
    <m/>
    <m/>
    <m/>
    <m/>
    <m/>
    <x v="3"/>
    <m/>
    <m/>
    <m/>
    <m/>
    <m/>
    <m/>
    <m/>
    <m/>
    <m/>
    <m/>
    <m/>
    <m/>
    <m/>
    <m/>
    <m/>
    <m/>
    <m/>
    <m/>
    <m/>
    <m/>
    <m/>
    <m/>
    <m/>
    <m/>
    <m/>
    <m/>
    <m/>
    <m/>
    <m/>
    <m/>
    <m/>
    <m/>
    <m/>
    <m/>
    <m/>
    <m/>
    <m/>
    <m/>
    <m/>
    <m/>
    <m/>
    <m/>
    <m/>
    <m/>
    <m/>
    <m/>
    <m/>
    <m/>
  </r>
  <r>
    <x v="2"/>
    <m/>
    <n v="1254"/>
    <n v="402"/>
    <s v="Hlakotsa, Lencwe, Ngobeni, Chowdhury"/>
    <n v="2019"/>
    <s v="Energy Efficient Water Heating using Air Source Heat Pumps"/>
    <s v="The objective of the project is to save electricity on water heating by means of measuring, verifying the energy consumption, demand and energy cost savings, as well as emission impacts. Calculations for sizing the heat pumps to match the electricity boilers output were conducted. Measured data was captured in Microsoft excel toolkit to calculate the electricity energy savings. These were achieved through replacement of conventional water heating electrical boilers with heat pumps, which is an energy efficient water heating technology at Ben Eden Ben Avon residential complex. The complex consist of 153 apartments at Benmore Gardens, Parkmore. Therefore, the contribution of these paper is to determine the energy savings and achieve Demand Side Management for Eskom, thus, ensuring clients benefit financially through reduced monthly electricity consumption. Furthermore, strain will be reduced from the electricity utility network system. The project is classified as an Energy Efficiency and the targeted equipment is of a 140 kW and 180 kW element water boilers at the Ben Avon Ben Eden residential buildings basement."/>
    <n v="1"/>
    <s v="NA"/>
    <x v="8"/>
    <n v="6"/>
    <x v="17"/>
    <x v="0"/>
    <x v="18"/>
    <s v="revealed preference"/>
    <s v="household"/>
    <s v="residents"/>
    <n v="1"/>
    <s v="no such option"/>
    <n v="0"/>
    <s v="probably yes"/>
    <s v="probably no"/>
    <s v="conducted in an apartment complex, no random selection"/>
    <n v="0"/>
    <n v="0"/>
    <n v="0"/>
    <n v="0"/>
    <n v="0"/>
    <n v="0"/>
    <n v="0"/>
    <n v="0"/>
    <s v="Replacement of water heaters"/>
    <n v="0"/>
    <n v="0"/>
    <n v="0"/>
    <n v="0"/>
    <n v="0"/>
    <n v="0"/>
    <n v="1"/>
    <n v="0"/>
    <n v="0"/>
    <s v="average savings reported in conclusion"/>
    <x v="1"/>
    <s v="monthly energy savings in kW"/>
    <s v="NA"/>
    <n v="100"/>
    <s v="increase"/>
    <s v="NA"/>
    <s v="NA"/>
    <s v="NA"/>
    <s v="NA"/>
    <s v="NA"/>
    <m/>
    <s v="NA"/>
    <s v="NA"/>
    <s v="NA"/>
    <s v="NA"/>
    <n v="1"/>
    <n v="0"/>
    <n v="1"/>
    <n v="1"/>
    <s v="NA"/>
    <s v="NA"/>
    <s v="NA"/>
    <s v="NA"/>
    <s v="NA"/>
    <s v="NA"/>
    <s v="NA"/>
    <s v="NA"/>
    <s v="NA"/>
    <s v="NA"/>
    <n v="0"/>
    <n v="0"/>
    <n v="0"/>
    <m/>
    <m/>
    <m/>
    <m/>
    <m/>
    <m/>
    <m/>
    <m/>
    <m/>
    <m/>
    <m/>
    <m/>
    <m/>
    <m/>
    <m/>
    <m/>
    <m/>
  </r>
  <r>
    <x v="0"/>
    <m/>
    <n v="1090"/>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0.1"/>
    <s v="increase"/>
    <n v="2.1000000000000001E-2"/>
    <s v="NA"/>
    <n v="3"/>
    <n v="4.7619047619047619"/>
    <s v="NA"/>
    <m/>
    <s v="NA"/>
    <s v="NA"/>
    <s v="NA"/>
    <s v="NA"/>
    <s v="NA"/>
    <s v="NA"/>
    <n v="12450"/>
    <n v="12450"/>
    <s v="NA"/>
    <s v="NA"/>
    <n v="128"/>
    <n v="0.1"/>
    <s v="delayed"/>
    <s v="NA"/>
    <s v="NA"/>
    <s v="NA"/>
    <s v="NA"/>
    <s v="NA"/>
    <n v="0"/>
    <n v="1"/>
    <n v="0"/>
    <m/>
    <m/>
    <m/>
    <m/>
    <m/>
    <m/>
    <m/>
    <m/>
    <m/>
    <m/>
    <n v="4.2638399008658186E-2"/>
    <n v="4.2664266571193814E-2"/>
    <n v="8.0327471019973139E-5"/>
    <n v="8.0340644331967548E-5"/>
    <m/>
    <m/>
    <m/>
  </r>
  <r>
    <x v="0"/>
    <m/>
    <n v="1091"/>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1.2E-2"/>
    <s v="increase"/>
    <n v="6.0000000000000001E-3"/>
    <s v="NA"/>
    <n v="3"/>
    <n v="2"/>
    <s v="NA"/>
    <m/>
    <s v="NA"/>
    <s v="NA"/>
    <s v="NA"/>
    <s v="NA"/>
    <s v="NA"/>
    <s v="NA"/>
    <n v="12450"/>
    <n v="12450"/>
    <s v="NA"/>
    <s v="NA"/>
    <n v="128"/>
    <n v="0.1"/>
    <s v="delayed"/>
    <s v="NA"/>
    <s v="NA"/>
    <s v="NA"/>
    <s v="NA"/>
    <s v="NA"/>
    <n v="0"/>
    <n v="1"/>
    <n v="0"/>
    <m/>
    <m/>
    <m/>
    <m/>
    <m/>
    <m/>
    <m/>
    <m/>
    <m/>
    <m/>
    <n v="1.7921549865299986E-2"/>
    <n v="1.7923468927909639E-2"/>
    <n v="8.0327728877657888E-5"/>
    <n v="8.0340644331967548E-5"/>
    <m/>
    <m/>
    <m/>
  </r>
  <r>
    <x v="0"/>
    <m/>
    <n v="1092"/>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0"/>
    <n v="1"/>
    <n v="0"/>
    <n v="0"/>
    <n v="0"/>
    <n v="0"/>
    <n v="0"/>
    <s v="NA"/>
    <x v="4"/>
    <s v="energy star market share"/>
    <s v="log scale"/>
    <n v="8.5000000000000006E-3"/>
    <s v="decrease"/>
    <n v="5.0000000000000001E-3"/>
    <s v="NA"/>
    <n v="3"/>
    <n v="1.7000000000000002"/>
    <s v="NA"/>
    <m/>
    <s v="NA"/>
    <s v="NA"/>
    <s v="NA"/>
    <s v="NA"/>
    <s v="NA"/>
    <s v="NA"/>
    <n v="12450"/>
    <n v="12450"/>
    <s v="NA"/>
    <s v="NA"/>
    <n v="128"/>
    <n v="0.1"/>
    <s v="delayed"/>
    <s v="NA"/>
    <s v="NA"/>
    <s v="NA"/>
    <s v="NA"/>
    <s v="NA"/>
    <n v="0"/>
    <n v="1"/>
    <n v="0"/>
    <m/>
    <m/>
    <m/>
    <m/>
    <m/>
    <m/>
    <m/>
    <m/>
    <m/>
    <m/>
    <n v="1.5233996288374733E-2"/>
    <n v="1.5235174927247961E-2"/>
    <n v="8.0327732839962263E-5"/>
    <n v="8.0340644331967548E-5"/>
    <m/>
    <m/>
    <m/>
  </r>
  <r>
    <x v="0"/>
    <m/>
    <n v="1093"/>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6.7000000000000004E-2"/>
    <s v="increase"/>
    <n v="1.6E-2"/>
    <s v="NA"/>
    <n v="3"/>
    <n v="0.53125"/>
    <s v="NA"/>
    <m/>
    <s v="NA"/>
    <s v="NA"/>
    <s v="NA"/>
    <s v="NA"/>
    <s v="NA"/>
    <s v="NA"/>
    <n v="12100"/>
    <n v="12100"/>
    <s v="NA"/>
    <s v="NA"/>
    <n v="128"/>
    <n v="0.1"/>
    <s v="delayed"/>
    <s v="NA"/>
    <s v="NA"/>
    <s v="NA"/>
    <s v="NA"/>
    <s v="NA"/>
    <n v="0"/>
    <n v="1"/>
    <n v="0"/>
    <m/>
    <m/>
    <m/>
    <m/>
    <m/>
    <m/>
    <m/>
    <m/>
    <m/>
    <m/>
    <n v="4.8294891321417933E-3"/>
    <n v="4.8295266802795347E-3"/>
    <n v="8.2651458753283386E-5"/>
    <n v="8.2665123584359755E-5"/>
    <m/>
    <m/>
    <m/>
  </r>
  <r>
    <x v="0"/>
    <m/>
    <n v="1094"/>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9.7000000000000003E-3"/>
    <s v="increase"/>
    <n v="3.0000000000000001E-3"/>
    <s v="NA"/>
    <n v="3"/>
    <n v="1.6666666666666667"/>
    <s v="NA"/>
    <m/>
    <s v="NA"/>
    <s v="NA"/>
    <s v="NA"/>
    <s v="NA"/>
    <s v="NA"/>
    <s v="NA"/>
    <n v="12100"/>
    <n v="12100"/>
    <s v="NA"/>
    <s v="NA"/>
    <n v="128"/>
    <n v="0.1"/>
    <s v="delayed"/>
    <s v="NA"/>
    <s v="NA"/>
    <s v="NA"/>
    <s v="NA"/>
    <s v="NA"/>
    <n v="0"/>
    <n v="1"/>
    <n v="0"/>
    <m/>
    <m/>
    <m/>
    <m/>
    <m/>
    <m/>
    <m/>
    <m/>
    <m/>
    <m/>
    <n v="1.5149776296267388E-2"/>
    <n v="1.5150935493184629E-2"/>
    <n v="8.2651454443045618E-5"/>
    <n v="8.2665123584359755E-5"/>
    <m/>
    <m/>
    <m/>
  </r>
  <r>
    <x v="0"/>
    <m/>
    <n v="1095"/>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1"/>
    <n v="0"/>
    <n v="0"/>
    <n v="0"/>
    <n v="0"/>
    <n v="0"/>
    <n v="0"/>
    <n v="0"/>
    <n v="0"/>
    <s v="NA"/>
    <x v="4"/>
    <s v="energy star market share"/>
    <s v="log scale"/>
    <n v="7.0000000000000001E-3"/>
    <s v="decrease"/>
    <n v="4.0000000000000001E-3"/>
    <s v="NA"/>
    <n v="3"/>
    <n v="1.75"/>
    <s v="NA"/>
    <m/>
    <s v="NA"/>
    <s v="NA"/>
    <s v="NA"/>
    <s v="NA"/>
    <s v="NA"/>
    <s v="NA"/>
    <n v="12100"/>
    <n v="12100"/>
    <s v="NA"/>
    <s v="NA"/>
    <n v="128"/>
    <n v="0.1"/>
    <s v="delayed"/>
    <s v="NA"/>
    <s v="NA"/>
    <s v="NA"/>
    <s v="NA"/>
    <s v="NA"/>
    <n v="0"/>
    <n v="1"/>
    <n v="0"/>
    <m/>
    <m/>
    <m/>
    <m/>
    <m/>
    <m/>
    <m/>
    <m/>
    <m/>
    <m/>
    <n v="1.5907078002301091E-2"/>
    <n v="1.5908419889220204E-2"/>
    <n v="8.2651453504555366E-5"/>
    <n v="8.2665123584359755E-5"/>
    <m/>
    <m/>
    <m/>
  </r>
  <r>
    <x v="0"/>
    <m/>
    <n v="1096"/>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9.6000000000000002E-2"/>
    <s v="increase"/>
    <n v="1.7999999999999999E-2"/>
    <s v="NA"/>
    <n v="3"/>
    <n v="5.3333333333333339"/>
    <s v="NA"/>
    <m/>
    <s v="NA"/>
    <s v="NA"/>
    <s v="NA"/>
    <s v="NA"/>
    <s v="NA"/>
    <s v="NA"/>
    <n v="12600"/>
    <n v="12600"/>
    <s v="NA"/>
    <s v="NA"/>
    <n v="128"/>
    <n v="0.1"/>
    <s v="delayed"/>
    <s v="NA"/>
    <s v="NA"/>
    <s v="NA"/>
    <s v="NA"/>
    <s v="NA"/>
    <n v="0"/>
    <n v="1"/>
    <n v="0"/>
    <m/>
    <m/>
    <m/>
    <m/>
    <m/>
    <m/>
    <m/>
    <m/>
    <m/>
    <m/>
    <n v="4.7459569987691901E-2"/>
    <n v="4.7495251036885983E-2"/>
    <n v="7.9370974789384351E-5"/>
    <n v="7.9383980312772889E-5"/>
    <m/>
    <m/>
    <m/>
  </r>
  <r>
    <x v="0"/>
    <m/>
    <n v="1097"/>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2.1000000000000001E-2"/>
    <s v="decrease"/>
    <n v="7.0000000000000001E-3"/>
    <s v="NA"/>
    <n v="3"/>
    <n v="3"/>
    <s v="NA"/>
    <m/>
    <s v="NA"/>
    <s v="NA"/>
    <s v="NA"/>
    <s v="NA"/>
    <s v="NA"/>
    <s v="NA"/>
    <n v="12600"/>
    <n v="12600"/>
    <s v="NA"/>
    <s v="NA"/>
    <n v="128"/>
    <n v="0.1"/>
    <s v="delayed"/>
    <s v="NA"/>
    <s v="NA"/>
    <s v="NA"/>
    <s v="NA"/>
    <s v="NA"/>
    <n v="0"/>
    <n v="1"/>
    <n v="0"/>
    <m/>
    <m/>
    <m/>
    <m/>
    <m/>
    <m/>
    <m/>
    <m/>
    <m/>
    <m/>
    <n v="2.6716584257263244E-2"/>
    <n v="2.672294353203979E-2"/>
    <n v="7.9371338204520307E-5"/>
    <n v="7.9383980312772889E-5"/>
    <m/>
    <m/>
    <m/>
  </r>
  <r>
    <x v="0"/>
    <m/>
    <n v="1098"/>
    <n v="117"/>
    <s v="Houde, Aldy"/>
    <n v="2014"/>
    <s v="Belt and suspenders and more: the incremental impact of energy efficiency subsidies in the presence of existing policy instruments"/>
    <s v="The effectiveness of investment subsidies depends on the existing array of regulatory and informationmandates, especially in the energy efficiency space. Some consumers respond to information disclosureby purchasing energy-efficient durables (and thus may increase the inframarginal take-up of a subsequentsubsidy), while other consumers may locate at the lower bound of a minimum efficiency standard(and a given subsidy may be insufficient to change their investment toward a more energy-efficientoption). We investigate the incremental impact of energy efficiency rebates in the context of regulatoryand information mandates by evaluating the State Energy Efficient Appliance Rebate Program (SEEARP)implemented through the 2009 American Recovery and Reinvestment Act. The design of the program- Federal funds allocated to states on a per capita basis with significant discretion in state programdesignandimplementation-facilitatesourempiricalanalysis.Usingtransaction-leveldataonappliancesales, we show that most program participants were inframarginal due to important short-term intertemporalsubstitutions where consumers delayed their purchases by a few weeks. We findevidence that someconsumers accelerated the replacement of their old appliances by a few years,but overall the impactof the program on long-term energy demand is likely to be very small. Ourestimated measures of cost-effectiveness are an order of magnitude higher than estimated for otherenergy efficiency programs in the literature. We also show that designing subsidies that reflect, inpart, underlying attribute-based regulatory mandates can result in perverse effects, such as upgradingto larger, less energy-efficient models."/>
    <n v="2"/>
    <n v="2009"/>
    <x v="0"/>
    <n v="40"/>
    <x v="4"/>
    <x v="1"/>
    <x v="1"/>
    <s v="revealed preference"/>
    <s v="pre-recorded (no experiment)"/>
    <s v="individuals"/>
    <n v="0"/>
    <s v="opt_in"/>
    <n v="0"/>
    <s v="probably no"/>
    <s v="probably no"/>
    <s v="NA"/>
    <n v="0"/>
    <n v="0"/>
    <n v="0"/>
    <n v="1"/>
    <n v="0"/>
    <n v="0"/>
    <n v="0"/>
    <n v="0"/>
    <s v="NA"/>
    <n v="0"/>
    <n v="0"/>
    <n v="1"/>
    <n v="0"/>
    <n v="0"/>
    <n v="0"/>
    <n v="0"/>
    <n v="0"/>
    <n v="0"/>
    <s v="NA"/>
    <x v="4"/>
    <s v="energy star market share"/>
    <s v="log scale"/>
    <n v="2.3999999999999998E-3"/>
    <s v="decrease"/>
    <n v="5.0000000000000001E-3"/>
    <s v="NA"/>
    <n v="3"/>
    <n v="0.47999999999999993"/>
    <s v="NA"/>
    <m/>
    <s v="NA"/>
    <s v="NA"/>
    <s v="NA"/>
    <s v="NA"/>
    <s v="NA"/>
    <s v="NA"/>
    <n v="12600"/>
    <n v="12600"/>
    <s v="NA"/>
    <s v="NA"/>
    <n v="128"/>
    <n v="0.1"/>
    <s v="delayed"/>
    <s v="NA"/>
    <s v="NA"/>
    <s v="NA"/>
    <s v="NA"/>
    <s v="NA"/>
    <n v="0"/>
    <n v="1"/>
    <n v="0"/>
    <m/>
    <m/>
    <m/>
    <m/>
    <m/>
    <m/>
    <m/>
    <m/>
    <m/>
    <m/>
    <n v="4.2761407746332884E-3"/>
    <n v="4.2761668385387485E-3"/>
    <n v="7.9371378654308805E-5"/>
    <n v="7.9383980312772889E-5"/>
    <m/>
    <m/>
    <m/>
  </r>
  <r>
    <x v="0"/>
    <m/>
    <n v="1281"/>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Behavior intention to change to Energy efficient household appliance"/>
    <s v="log scale"/>
    <n v="2.1000000000000001E-2"/>
    <s v="increase"/>
    <n v="5.0000000000000001E-3"/>
    <s v="NA"/>
    <n v="3"/>
    <n v="4.2"/>
    <n v="2.1000000000000001E-2"/>
    <m/>
    <s v="NA"/>
    <s v="NA"/>
    <s v="NA"/>
    <s v="NA"/>
    <s v="NA"/>
    <s v="NA"/>
    <n v="12450"/>
    <n v="12450"/>
    <s v="NA"/>
    <s v="NA"/>
    <n v="100"/>
    <s v="NA"/>
    <s v="delayed"/>
    <s v="NA"/>
    <s v="NA"/>
    <s v="NA"/>
    <s v="NA"/>
    <s v="NA"/>
    <n v="0"/>
    <n v="1"/>
    <n v="0"/>
    <m/>
    <m/>
    <m/>
    <m/>
    <m/>
    <m/>
    <m/>
    <m/>
    <m/>
    <m/>
    <n v="3.7614661992478114E-2"/>
    <n v="3.7632416929352756E-2"/>
    <n v="8.0327576060803895E-5"/>
    <n v="8.0340644331967548E-5"/>
    <m/>
    <m/>
    <m/>
  </r>
  <r>
    <x v="0"/>
    <m/>
    <n v="1282"/>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ES market share"/>
    <s v="log scale"/>
    <n v="2.3999999999999998E-3"/>
    <s v="increase"/>
    <n v="2E-3"/>
    <s v="NA"/>
    <n v="3"/>
    <n v="1.2"/>
    <n v="2.3999999999999998E-3"/>
    <m/>
    <s v="NA"/>
    <s v="NA"/>
    <s v="NA"/>
    <s v="NA"/>
    <s v="NA"/>
    <s v="NA"/>
    <n v="12450"/>
    <n v="12450"/>
    <s v="NA"/>
    <s v="NA"/>
    <n v="100"/>
    <s v="NA"/>
    <s v="delayed"/>
    <s v="NA"/>
    <s v="NA"/>
    <s v="NA"/>
    <s v="NA"/>
    <s v="NA"/>
    <n v="0"/>
    <n v="1"/>
    <n v="0"/>
    <m/>
    <m/>
    <m/>
    <m/>
    <m/>
    <m/>
    <m/>
    <m/>
    <m/>
    <m/>
    <n v="1.0754035256628266E-2"/>
    <n v="1.0754449850854842E-2"/>
    <n v="8.0327736093114527E-5"/>
    <n v="8.0340644331967548E-5"/>
    <m/>
    <m/>
    <m/>
  </r>
  <r>
    <x v="0"/>
    <m/>
    <n v="1283"/>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0"/>
    <n v="1"/>
    <n v="0"/>
    <n v="0"/>
    <n v="0"/>
    <n v="0"/>
    <n v="0"/>
    <s v="NA"/>
    <x v="4"/>
    <s v="ES market share"/>
    <s v="log scale"/>
    <n v="3.1E-4"/>
    <s v="decrease"/>
    <n v="1E-3"/>
    <s v="NA"/>
    <n v="3"/>
    <n v="0.31"/>
    <n v="3.1E-4"/>
    <m/>
    <s v="NA"/>
    <s v="NA"/>
    <s v="NA"/>
    <s v="NA"/>
    <s v="NA"/>
    <s v="NA"/>
    <n v="12450"/>
    <n v="12450"/>
    <s v="NA"/>
    <s v="NA"/>
    <n v="100"/>
    <s v="NA"/>
    <s v="delayed"/>
    <s v="NA"/>
    <s v="NA"/>
    <s v="NA"/>
    <s v="NA"/>
    <s v="NA"/>
    <n v="0"/>
    <n v="1"/>
    <n v="0"/>
    <m/>
    <m/>
    <m/>
    <m/>
    <m/>
    <m/>
    <m/>
    <m/>
    <m/>
    <m/>
    <n v="2.7782757101175023E-3"/>
    <n v="2.7782828584835876E-3"/>
    <n v="8.0327737162857996E-5"/>
    <n v="8.0340644331967548E-5"/>
    <m/>
    <m/>
    <m/>
  </r>
  <r>
    <x v="0"/>
    <m/>
    <n v="1284"/>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2.1000000000000001E-2"/>
    <s v="increase"/>
    <n v="5.0000000000000001E-3"/>
    <s v="NA"/>
    <n v="3"/>
    <n v="4.2"/>
    <n v="2.1000000000000001E-2"/>
    <m/>
    <s v="NA"/>
    <s v="NA"/>
    <s v="NA"/>
    <s v="NA"/>
    <s v="NA"/>
    <s v="NA"/>
    <n v="12100"/>
    <n v="12100"/>
    <s v="NA"/>
    <s v="NA"/>
    <n v="100"/>
    <s v="NA"/>
    <s v="delayed"/>
    <s v="NA"/>
    <s v="NA"/>
    <s v="NA"/>
    <s v="NA"/>
    <s v="NA"/>
    <n v="0"/>
    <n v="1"/>
    <n v="0"/>
    <m/>
    <m/>
    <m/>
    <m/>
    <m/>
    <m/>
    <m/>
    <m/>
    <m/>
    <m/>
    <n v="3.8154016870275712E-2"/>
    <n v="3.8172547027553468E-2"/>
    <n v="8.2651283307154936E-5"/>
    <n v="8.2665123584359755E-5"/>
    <m/>
    <m/>
    <m/>
  </r>
  <r>
    <x v="0"/>
    <m/>
    <n v="1285"/>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8.7000000000000001E-4"/>
    <s v="increase"/>
    <n v="1E-3"/>
    <s v="NA"/>
    <n v="3"/>
    <n v="0.87"/>
    <n v="8.7000000000000001E-4"/>
    <m/>
    <s v="NA"/>
    <s v="NA"/>
    <s v="NA"/>
    <s v="NA"/>
    <s v="NA"/>
    <s v="NA"/>
    <n v="12100"/>
    <n v="12100"/>
    <s v="NA"/>
    <s v="NA"/>
    <n v="100"/>
    <s v="NA"/>
    <s v="delayed"/>
    <s v="NA"/>
    <s v="NA"/>
    <s v="NA"/>
    <s v="NA"/>
    <s v="NA"/>
    <n v="0"/>
    <n v="1"/>
    <n v="0"/>
    <m/>
    <m/>
    <m/>
    <m/>
    <m/>
    <m/>
    <m/>
    <m/>
    <m/>
    <m/>
    <n v="7.9088435491706417E-3"/>
    <n v="7.9090084542367822E-3"/>
    <n v="8.2651458474848776E-5"/>
    <n v="8.2665123584359755E-5"/>
    <m/>
    <m/>
    <m/>
  </r>
  <r>
    <x v="0"/>
    <m/>
    <n v="1286"/>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1"/>
    <n v="0"/>
    <n v="0"/>
    <n v="0"/>
    <n v="0"/>
    <n v="0"/>
    <n v="0"/>
    <n v="0"/>
    <n v="0"/>
    <s v="NA"/>
    <x v="4"/>
    <s v="ES market share"/>
    <s v="log scale"/>
    <n v="6.3000000000000003E-4"/>
    <s v="decrease"/>
    <n v="1E-3"/>
    <s v="NA"/>
    <n v="3"/>
    <n v="0.63"/>
    <n v="6.3000000000000003E-4"/>
    <m/>
    <s v="NA"/>
    <s v="NA"/>
    <s v="NA"/>
    <s v="NA"/>
    <s v="NA"/>
    <s v="NA"/>
    <n v="12100"/>
    <n v="12100"/>
    <s v="NA"/>
    <s v="NA"/>
    <n v="100"/>
    <s v="NA"/>
    <s v="delayed"/>
    <s v="NA"/>
    <s v="NA"/>
    <s v="NA"/>
    <s v="NA"/>
    <s v="NA"/>
    <n v="0"/>
    <n v="1"/>
    <n v="0"/>
    <m/>
    <m/>
    <m/>
    <m/>
    <m/>
    <m/>
    <m/>
    <m/>
    <m/>
    <m/>
    <n v="5.7271787975774974E-3"/>
    <n v="5.7272414170662115E-3"/>
    <n v="8.2651458709321021E-5"/>
    <n v="8.2665123584359755E-5"/>
    <m/>
    <m/>
    <m/>
  </r>
  <r>
    <x v="0"/>
    <m/>
    <n v="1287"/>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7.3000000000000001E-3"/>
    <s v="increase"/>
    <n v="3.0000000000000001E-3"/>
    <s v="NA"/>
    <n v="3"/>
    <n v="2.4333333333333331"/>
    <n v="7.3000000000000001E-3"/>
    <m/>
    <s v="NA"/>
    <s v="NA"/>
    <s v="NA"/>
    <s v="NA"/>
    <s v="NA"/>
    <s v="NA"/>
    <n v="12600"/>
    <n v="12600"/>
    <s v="NA"/>
    <s v="NA"/>
    <n v="100"/>
    <s v="NA"/>
    <s v="delayed"/>
    <s v="NA"/>
    <s v="NA"/>
    <s v="NA"/>
    <s v="NA"/>
    <s v="NA"/>
    <n v="0"/>
    <n v="1"/>
    <n v="0"/>
    <m/>
    <m/>
    <m/>
    <m/>
    <m/>
    <m/>
    <m/>
    <m/>
    <m/>
    <m/>
    <n v="2.1672764551373083E-2"/>
    <n v="2.1676158803532894E-2"/>
    <n v="7.9371361158462602E-5"/>
    <n v="7.9383980312772889E-5"/>
    <m/>
    <m/>
    <m/>
  </r>
  <r>
    <x v="0"/>
    <m/>
    <n v="1288"/>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2.5999999999999998E-4"/>
    <s v="decrease"/>
    <n v="1E-3"/>
    <s v="NA"/>
    <n v="3"/>
    <n v="0.25999999999999995"/>
    <n v="2.5999999999999998E-4"/>
    <m/>
    <s v="NA"/>
    <s v="NA"/>
    <s v="NA"/>
    <s v="NA"/>
    <s v="NA"/>
    <s v="NA"/>
    <n v="12600"/>
    <n v="12600"/>
    <s v="NA"/>
    <s v="NA"/>
    <n v="100"/>
    <s v="NA"/>
    <s v="delayed"/>
    <s v="NA"/>
    <s v="NA"/>
    <s v="NA"/>
    <s v="NA"/>
    <s v="NA"/>
    <n v="0"/>
    <n v="1"/>
    <n v="0"/>
    <m/>
    <m/>
    <m/>
    <m/>
    <m/>
    <m/>
    <m/>
    <m/>
    <m/>
    <m/>
    <n v="2.3162578831289918E-3"/>
    <n v="2.3162620254225598E-3"/>
    <n v="7.9371378678563058E-5"/>
    <n v="7.9383980312772889E-5"/>
    <m/>
    <m/>
    <m/>
  </r>
  <r>
    <x v="0"/>
    <m/>
    <n v="1289"/>
    <n v="147"/>
    <s v="Houde, Aldy"/>
    <n v="2017"/>
    <s v="Consumers' Response to State Energy Efficient Appliance Rebate Programs."/>
    <s v="Through an evaluation of the 2009 Recovery Act's State Energy Efficient Appliance Rebate Program, this paper examines consum ers' response to energy efficiency rebates. The analysis shows that 70 percent of consumers claiming a rebate were inframarginal and an additional 15 percent-20 percent of consumers simply delayed their purchases by a few weeks. Consumers responded to rebates by upgrading to higher quality, but less energy-efficient models. Overall the impact of the program on long-term energy demand is likely to be small. Measures of government expenditure per unit of energy saved are an order of magnitude higher than estimates for other energy efficiency program "/>
    <n v="1"/>
    <n v="2009"/>
    <x v="0"/>
    <n v="40"/>
    <x v="4"/>
    <x v="1"/>
    <x v="1"/>
    <s v="revealed preference"/>
    <s v="pre-recorded (no experiment)"/>
    <s v="individuals"/>
    <n v="0"/>
    <s v="opt_in"/>
    <n v="0"/>
    <s v="probably no"/>
    <s v="probably no"/>
    <s v="NA"/>
    <n v="0"/>
    <n v="0"/>
    <n v="0"/>
    <n v="1"/>
    <n v="0"/>
    <n v="0"/>
    <n v="0"/>
    <n v="0"/>
    <s v="NA"/>
    <n v="0"/>
    <n v="0"/>
    <n v="1"/>
    <n v="0"/>
    <n v="0"/>
    <n v="0"/>
    <n v="0"/>
    <n v="0"/>
    <n v="0"/>
    <s v="NA"/>
    <x v="4"/>
    <s v="ES market share"/>
    <s v="log scale"/>
    <n v="6.9999999999999999E-4"/>
    <s v="decrease"/>
    <n v="2E-3"/>
    <s v="NA"/>
    <n v="3"/>
    <n v="0.35"/>
    <n v="6.9999999999999999E-4"/>
    <m/>
    <s v="NA"/>
    <s v="NA"/>
    <s v="NA"/>
    <s v="NA"/>
    <s v="NA"/>
    <s v="NA"/>
    <n v="12600"/>
    <n v="12600"/>
    <s v="NA"/>
    <s v="NA"/>
    <n v="100"/>
    <s v="NA"/>
    <s v="delayed"/>
    <s v="NA"/>
    <s v="NA"/>
    <s v="NA"/>
    <s v="NA"/>
    <s v="NA"/>
    <n v="0"/>
    <n v="1"/>
    <n v="0"/>
    <m/>
    <m/>
    <m/>
    <m/>
    <m/>
    <m/>
    <m/>
    <m/>
    <m/>
    <m/>
    <n v="3.1180326652452241E-3"/>
    <n v="3.1180427699413972E-3"/>
    <n v="7.937137867334543E-5"/>
    <n v="7.9383980312772889E-5"/>
    <m/>
    <m/>
    <m/>
  </r>
  <r>
    <x v="0"/>
    <m/>
    <s v="NA"/>
    <s v="NA"/>
    <s v="Ito, Ida, Tanaka"/>
    <n v="2018"/>
    <s v="Moral Suasion and Economic Incentives: Field Experimental Evidence from Energy Demand"/>
    <s v="Firms and governments often use moral suasion and economic incentives to influence intrinsic and extrinsic motivations for economic activities. To investigate persistence of such interventions, we randomly assign households to moral suasion and dynamic pricing that stimulate energy conservation during peak-demand hours. We find significant habituation and dishabituation for moral suasion—the treatment effect diminishes after repeated interventions but can be restored to the original level by a sufficient time interval between interventions. Economic incentives induce larger treatment effects, little habituation, and significant habit formation. Our results suggest moral suasion and economic incentives produce substantially different short-run and long-run policy impacts."/>
    <n v="2"/>
    <s v="2012-2013"/>
    <x v="1"/>
    <m/>
    <x v="6"/>
    <x v="4"/>
    <x v="5"/>
    <m/>
    <m/>
    <m/>
    <m/>
    <s v="opt_out"/>
    <m/>
    <m/>
    <m/>
    <m/>
    <m/>
    <m/>
    <m/>
    <m/>
    <m/>
    <m/>
    <m/>
    <m/>
    <m/>
    <m/>
    <m/>
    <m/>
    <m/>
    <m/>
    <m/>
    <m/>
    <m/>
    <m/>
    <m/>
    <x v="3"/>
    <m/>
    <m/>
    <m/>
    <m/>
    <m/>
    <m/>
    <m/>
    <m/>
    <m/>
    <m/>
    <m/>
    <m/>
    <m/>
    <m/>
    <m/>
    <m/>
    <m/>
    <m/>
    <m/>
    <m/>
    <m/>
    <m/>
    <m/>
    <m/>
    <m/>
    <m/>
    <m/>
    <m/>
    <m/>
    <m/>
    <m/>
    <m/>
    <m/>
    <m/>
    <m/>
    <m/>
    <m/>
    <m/>
    <m/>
    <m/>
    <m/>
    <m/>
    <m/>
    <m/>
    <m/>
    <m/>
    <m/>
    <m/>
  </r>
  <r>
    <x v="0"/>
    <n v="14"/>
    <n v="1118"/>
    <n v="124"/>
    <s v="Jain, Rao, Patwardhan"/>
    <n v="2018"/>
    <s v="Consumer preference for labels in the purchase decisions of air conditioners in India"/>
    <s v="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 "/>
    <n v="2"/>
    <n v="2015"/>
    <x v="0"/>
    <n v="28"/>
    <x v="5"/>
    <x v="0"/>
    <x v="19"/>
    <s v="stated preference"/>
    <s v="household"/>
    <s v="individuals"/>
    <n v="1"/>
    <s v="opt_out"/>
    <n v="0"/>
    <s v="probably no"/>
    <s v="probably no"/>
    <s v="NA"/>
    <n v="0"/>
    <n v="0"/>
    <n v="1"/>
    <n v="0"/>
    <n v="0"/>
    <n v="0"/>
    <n v="0"/>
    <n v="0"/>
    <s v="base - no label for not efficient"/>
    <n v="0"/>
    <n v="0"/>
    <n v="0"/>
    <n v="0"/>
    <n v="0"/>
    <n v="0"/>
    <n v="0"/>
    <n v="1"/>
    <n v="0"/>
    <s v="3-star rating"/>
    <x v="0"/>
    <s v="choice of a high-efficiency appliance"/>
    <s v="dummy (0/1)"/>
    <n v="0.53"/>
    <s v="increase"/>
    <n v="0.26"/>
    <s v="NA"/>
    <n v="3"/>
    <n v="2.0384615384615383"/>
    <n v="0.6989323086185506"/>
    <n v="0.62948311196739493"/>
    <s v="NA"/>
    <s v="NA"/>
    <s v="NA"/>
    <s v="NA"/>
    <s v="NA"/>
    <s v="NA"/>
    <n v="148"/>
    <n v="1184"/>
    <s v="NA"/>
    <s v="NA"/>
    <s v="NA"/>
    <s v="NA"/>
    <s v="NA"/>
    <n v="0"/>
    <s v="NA"/>
    <n v="0"/>
    <s v="NA"/>
    <s v="numerical"/>
    <n v="0"/>
    <n v="0"/>
    <n v="1"/>
    <m/>
    <m/>
    <m/>
    <m/>
    <m/>
    <m/>
    <m/>
    <m/>
    <m/>
    <m/>
    <n v="0.16525664934411763"/>
    <n v="0.16678616424140319"/>
    <n v="6.7974570051877199E-3"/>
    <n v="6.8965517241379309E-3"/>
    <s v="NA"/>
    <n v="147"/>
    <s v="NA"/>
  </r>
  <r>
    <x v="0"/>
    <n v="14"/>
    <n v="1119"/>
    <n v="124"/>
    <s v="Jain, Rao, Patwardhan"/>
    <n v="2018"/>
    <s v="Consumer preference for labels in the purchase decisions of air conditioners in India"/>
    <s v="Appliance labels provide consumers with information on energy usage of appliances and mandatory label- ing is an important policy tool for promoting the adoption of efficient appliances. Following global practice, standards and labeling programs have been adopted in India for various appliances since 2006. This paper provides empirical support for this approach, by estimating the value placed by consumers in India on energy labels. The estimates of willingness to pay (WTP) for energy labels and higher efficiency as indicated on labels are obtained using a discrete choice experiment in purchase decisions of air conditioners. A mixed logit model is specified to estimate the parameters for chosen attributes of air conditioners. The results show that consumers place a positive value on the presence of labels. The preference for star rating levels is het- erogeneous in the sample. The WTP for higher star rating is estimated which is a useful input in designing other energy efficiency programs in conjunction with the labeling program. "/>
    <n v="2"/>
    <n v="2015"/>
    <x v="0"/>
    <n v="28"/>
    <x v="5"/>
    <x v="0"/>
    <x v="19"/>
    <s v="stated preference"/>
    <s v="household"/>
    <s v="individuals"/>
    <n v="1"/>
    <s v="opt_out"/>
    <n v="0"/>
    <s v="probably no"/>
    <s v="probably no"/>
    <s v="NA"/>
    <n v="0"/>
    <n v="0"/>
    <n v="1"/>
    <n v="0"/>
    <n v="0"/>
    <n v="0"/>
    <n v="0"/>
    <n v="0"/>
    <s v="base - no label for not efficient"/>
    <n v="0"/>
    <n v="0"/>
    <n v="0"/>
    <n v="0"/>
    <n v="0"/>
    <n v="0"/>
    <n v="0"/>
    <n v="1"/>
    <n v="0"/>
    <s v="5-star rating"/>
    <x v="0"/>
    <s v="choice of a high-efficiency appliance"/>
    <s v="dummy (0/1)"/>
    <n v="1.0900000000000001"/>
    <s v="increase"/>
    <n v="0.39"/>
    <s v="NA"/>
    <n v="3"/>
    <n v="2.7948717948717952"/>
    <n v="1.9742740725630656"/>
    <n v="0.74838172160706429"/>
    <s v="NA"/>
    <s v="NA"/>
    <s v="NA"/>
    <s v="NA"/>
    <s v="NA"/>
    <s v="NA"/>
    <n v="148"/>
    <n v="1184"/>
    <s v="NA"/>
    <s v="NA"/>
    <s v="NA"/>
    <s v="NA"/>
    <s v="NA"/>
    <n v="0"/>
    <s v="NA"/>
    <n v="0"/>
    <s v="NA"/>
    <s v="numerical"/>
    <n v="0"/>
    <n v="0"/>
    <n v="1"/>
    <m/>
    <m/>
    <m/>
    <m/>
    <m/>
    <m/>
    <m/>
    <m/>
    <m/>
    <m/>
    <n v="0.22390428433112008"/>
    <n v="0.22776270171385027"/>
    <n v="6.7844142609794983E-3"/>
    <n v="6.8965517241379309E-3"/>
    <s v="NA"/>
    <n v="147"/>
    <s v="NA"/>
  </r>
  <r>
    <x v="0"/>
    <n v="15"/>
    <n v="1154"/>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2"/>
    <x v="14"/>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NA"/>
    <x v="0"/>
    <s v="estimation results for refrigerator choice (highest efficiency grade)"/>
    <s v="dummy (0/1)"/>
    <n v="0.25530000000000003"/>
    <s v="increase"/>
    <s v="NA"/>
    <n v="1.23E-2"/>
    <n v="3"/>
    <n v="2.5125829401851192"/>
    <n v="0.29084881743573221"/>
    <n v="0.56348057873179402"/>
    <s v="NA"/>
    <s v="NA"/>
    <s v="NA"/>
    <s v="NA"/>
    <s v="NA"/>
    <s v="NA"/>
    <n v="500"/>
    <n v="2000"/>
    <s v="NA"/>
    <s v="NA"/>
    <s v="NA"/>
    <s v="NA"/>
    <s v="NA"/>
    <n v="0"/>
    <s v="NA"/>
    <n v="1"/>
    <s v="NA"/>
    <s v="numerical"/>
    <n v="0"/>
    <n v="0"/>
    <n v="1"/>
    <m/>
    <m/>
    <m/>
    <m/>
    <m/>
    <m/>
    <m/>
    <m/>
    <m/>
    <m/>
    <n v="0.11166339711480726"/>
    <n v="0.11213100003996684"/>
    <n v="2.0036912035849494E-3"/>
    <n v="2.012072434607646E-3"/>
    <s v="NA"/>
    <n v="498"/>
    <s v="NA"/>
  </r>
  <r>
    <x v="0"/>
    <n v="15"/>
    <n v="1153"/>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2"/>
    <x v="18"/>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NA"/>
    <x v="0"/>
    <s v="estimation results for refrigerator choice (highest efficiency grade)"/>
    <s v="dummy (0/1)"/>
    <n v="0.30480000000000002"/>
    <s v="increase"/>
    <s v="NA"/>
    <n v="1.6999999999999999E-3"/>
    <n v="3"/>
    <n v="3.1553563075360742"/>
    <n v="0.35635370513631415"/>
    <n v="0.5756154953221887"/>
    <s v="NA"/>
    <s v="NA"/>
    <s v="NA"/>
    <s v="NA"/>
    <s v="NA"/>
    <s v="NA"/>
    <n v="500"/>
    <n v="2000"/>
    <s v="NA"/>
    <s v="NA"/>
    <s v="NA"/>
    <s v="NA"/>
    <s v="NA"/>
    <n v="0"/>
    <s v="NA"/>
    <n v="1"/>
    <s v="NA"/>
    <s v="numerical"/>
    <n v="0"/>
    <n v="0"/>
    <n v="1"/>
    <m/>
    <m/>
    <m/>
    <m/>
    <m/>
    <m/>
    <m/>
    <m/>
    <m/>
    <m/>
    <n v="0.13972751589048554"/>
    <n v="0.14064765530909937"/>
    <n v="2.0032238113323235E-3"/>
    <n v="2.012072434607646E-3"/>
    <s v="NA"/>
    <n v="498"/>
    <s v="NA"/>
  </r>
  <r>
    <x v="0"/>
    <m/>
    <n v="1155"/>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3"/>
    <x v="18"/>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in 10,000 KRW"/>
    <x v="2"/>
    <s v="MWTP estimation results for refrigerator choice (highest efficiency grade)"/>
    <s v="NA"/>
    <n v="15.91"/>
    <s v="increase"/>
    <s v="NA"/>
    <n v="0"/>
    <n v="1"/>
    <s v="NA"/>
    <s v="NA"/>
    <m/>
    <s v="NA"/>
    <s v="NA"/>
    <s v="NA"/>
    <s v="NA"/>
    <s v="NA"/>
    <s v="NA"/>
    <n v="500"/>
    <n v="2000"/>
    <s v="NA"/>
    <s v="NA"/>
    <s v="NA"/>
    <s v="NA"/>
    <s v="NA"/>
    <n v="0"/>
    <s v="NA"/>
    <n v="1"/>
    <s v="NA"/>
    <s v="numerical"/>
    <n v="0"/>
    <n v="0"/>
    <n v="1"/>
    <m/>
    <m/>
    <m/>
    <m/>
    <m/>
    <m/>
    <m/>
    <m/>
    <m/>
    <m/>
    <e v="#VALUE!"/>
    <e v="#VALUE!"/>
    <e v="#VALUE!"/>
    <n v="2.012072434607646E-3"/>
    <m/>
    <m/>
    <m/>
  </r>
  <r>
    <x v="0"/>
    <m/>
    <n v="1156"/>
    <n v="135"/>
    <s v="Jeong, Kim"/>
    <n v="2014"/>
    <s v="The effects of energy efficiency and environmental labels on appliance choice in South Korea"/>
    <s v="This paper investigates the effects of energy_x000a_efficiency and environmental labels on households’_x000a_choice of appliances, using a discrete choice experiment_x000a_approach. Labeling programs currently operated by the_x000a_South Korean government are considered in the empirical_x000a_study, and the effects of such labels on appliance_x000a_choice. This paper found that households showed a_x000a_positive preference for labeled appliances, and an intention_x000a_to pay more to purchase appliances with energy_x000a_efficiency, and/or other environmental labels, with more_x000a_value placed on energy efficiency labels than other_x000a_environmental labels. The results of this study offer_x000a_implications for both the government and manufacturers._x000a_For promotion of “green” appliances, it is recommended_x000a_that the South Korean government expand the_x000a_list of items mandatorily included in its labeling programs._x000a_For manufacturers, it is worth noting that consumers_x000a_properly identify the information regarding energy_x000a_efficiency, and environmental friendliness with_x000a_reasonable monetary value. Thus, appliance manufacturers_x000a_would be wise to concentrate on improving_x000a_energy efficiency grades, and acquiring environmental_x000a_labels."/>
    <n v="2"/>
    <n v="2012"/>
    <x v="0"/>
    <n v="13"/>
    <x v="14"/>
    <x v="3"/>
    <x v="20"/>
    <s v="stated preference"/>
    <s v="online"/>
    <s v="individuals"/>
    <n v="0"/>
    <s v="opt_out"/>
    <n v="0"/>
    <s v="probably no"/>
    <s v="probably no"/>
    <s v="NA"/>
    <n v="0"/>
    <n v="0"/>
    <n v="1"/>
    <n v="0"/>
    <n v="0"/>
    <n v="0"/>
    <n v="0"/>
    <n v="0"/>
    <s v="effect of energy efficiency in itself rather than label (the Energy Efficiency Grade Label)"/>
    <n v="0"/>
    <n v="0"/>
    <n v="0"/>
    <n v="1"/>
    <n v="0"/>
    <n v="0"/>
    <n v="0"/>
    <n v="0"/>
    <n v="0"/>
    <s v="in 10,000 KRW"/>
    <x v="2"/>
    <s v="MWTP estimation results for refrigerator choice (highest efficiency grade)"/>
    <s v="NA"/>
    <n v="13.19"/>
    <s v="increase"/>
    <s v="NA"/>
    <n v="0.01"/>
    <n v="3"/>
    <s v="NA"/>
    <s v="NA"/>
    <m/>
    <s v="NA"/>
    <s v="NA"/>
    <s v="NA"/>
    <s v="NA"/>
    <s v="NA"/>
    <s v="NA"/>
    <n v="500"/>
    <n v="2000"/>
    <s v="NA"/>
    <s v="NA"/>
    <s v="NA"/>
    <s v="NA"/>
    <s v="NA"/>
    <n v="0"/>
    <s v="NA"/>
    <n v="1"/>
    <s v="NA"/>
    <s v="numerical"/>
    <n v="0"/>
    <n v="0"/>
    <n v="1"/>
    <m/>
    <m/>
    <m/>
    <m/>
    <m/>
    <m/>
    <m/>
    <m/>
    <m/>
    <m/>
    <e v="#VALUE!"/>
    <e v="#VALUE!"/>
    <e v="#VALUE!"/>
    <n v="2.012072434607646E-3"/>
    <m/>
    <m/>
    <m/>
  </r>
  <r>
    <x v="0"/>
    <n v="16"/>
    <n v="1209"/>
    <n v="149"/>
    <s v="Kallbekken, Saelen, Hermansen"/>
    <n v="2013"/>
    <s v="Bridging the Energy Efficiency Gap: A Field Experiment on Lifetime Energy Costs and Household Appliances"/>
    <s v="Providing consumers with information that can lead to more energy-efficient choices can help reduce energy use and greenhouse gas emissions while reducing costs to consumers. A natural field experiment is conducted in collaboration with an electrical retailer to test strategies for influencing sales of household appliances. The experiment involves two product categories, fridge-freezers and tumble driers. Information on lifetime energy cost of appliances is provided through a label and training of sales staff. For fridge- freezers, the authors find no significant effects. For tumble driers, the combined treatment and training treatment reduce average energy use of tumble driers sold by 4.9% and 3.4%, respectively. The effect is strongest initially, over 12% on average for the first 3 months for the combined treatment but declines over time. The effect is significant at the 5% level for the combined treatment while not significant for sales staff training. "/>
    <n v="1"/>
    <n v="2011"/>
    <x v="0"/>
    <n v="11"/>
    <x v="19"/>
    <x v="2"/>
    <x v="21"/>
    <s v="revealed preference"/>
    <s v="retailer"/>
    <s v="store visitors"/>
    <n v="0"/>
    <s v="no such option"/>
    <n v="0"/>
    <s v="probably no"/>
    <s v="probably no"/>
    <s v="NA"/>
    <n v="0"/>
    <n v="0"/>
    <n v="1"/>
    <n v="0"/>
    <n v="0"/>
    <n v="0"/>
    <n v="0"/>
    <n v="0"/>
    <s v="additional label - compared to the EU A+++ label scale"/>
    <n v="0"/>
    <n v="1"/>
    <n v="0"/>
    <n v="0"/>
    <n v="0"/>
    <n v="0"/>
    <n v="0"/>
    <n v="0"/>
    <n v="0"/>
    <s v="NA"/>
    <x v="0"/>
    <s v="average energy use of the appliance sold"/>
    <s v="NA"/>
    <n v="2.3E-2"/>
    <s v="increase"/>
    <s v="NA"/>
    <n v="0.1"/>
    <n v="2"/>
    <n v="1.6449332384326785"/>
    <n v="2.326653954721758E-2"/>
    <n v="0.50574974653424165"/>
    <s v="NA"/>
    <n v="13471"/>
    <s v="NA"/>
    <s v="NA"/>
    <n v="5672"/>
    <s v="NA"/>
    <n v="19143"/>
    <n v="19143"/>
    <s v="NA"/>
    <s v="NA"/>
    <s v="NA"/>
    <s v="NA"/>
    <s v="NA"/>
    <n v="1"/>
    <n v="371.17189999999999"/>
    <n v="0"/>
    <s v="NA"/>
    <s v="alphabetical with +"/>
    <n v="0"/>
    <n v="0"/>
    <n v="0"/>
    <m/>
    <m/>
    <m/>
    <m/>
    <m/>
    <m/>
    <m/>
    <m/>
    <m/>
    <m/>
    <n v="1.1888103724369721E-2"/>
    <n v="1.1888663808582136E-2"/>
    <n v="5.2241144082275201E-5"/>
    <n v="5.2246603970741903E-5"/>
    <s v="NA"/>
    <n v="19141"/>
    <s v="dep_var - energy use of the appliance sold - opposite sign"/>
  </r>
  <r>
    <x v="0"/>
    <m/>
    <s v="NA"/>
    <s v="NA"/>
    <s v="Kusaka, Kojima, Watanabe"/>
    <m/>
    <m/>
    <m/>
    <n v="2"/>
    <m/>
    <x v="10"/>
    <m/>
    <x v="6"/>
    <x v="5"/>
    <x v="5"/>
    <s v="revealed preference"/>
    <m/>
    <m/>
    <n v="0"/>
    <s v="no such option"/>
    <m/>
    <m/>
    <m/>
    <m/>
    <n v="0"/>
    <n v="0"/>
    <n v="1"/>
    <n v="0"/>
    <n v="0"/>
    <n v="0"/>
    <n v="0"/>
    <n v="1"/>
    <s v="here choice architecture refers to the MANDATORY phasing out of low energy effieicncy appliances "/>
    <n v="0"/>
    <n v="0"/>
    <n v="0"/>
    <n v="0"/>
    <n v="0"/>
    <m/>
    <m/>
    <m/>
    <m/>
    <m/>
    <x v="3"/>
    <m/>
    <m/>
    <m/>
    <m/>
    <m/>
    <m/>
    <m/>
    <m/>
    <m/>
    <m/>
    <m/>
    <m/>
    <m/>
    <m/>
    <m/>
    <m/>
    <m/>
    <m/>
    <m/>
    <m/>
    <m/>
    <m/>
    <m/>
    <m/>
    <m/>
    <m/>
    <m/>
    <m/>
    <m/>
    <m/>
    <m/>
    <m/>
    <m/>
    <m/>
    <m/>
    <m/>
    <m/>
    <m/>
    <m/>
    <m/>
    <m/>
    <m/>
    <m/>
    <m/>
    <m/>
    <m/>
    <m/>
    <m/>
  </r>
  <r>
    <x v="4"/>
    <n v="17"/>
    <n v="1217"/>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
    <n v="0"/>
    <n v="0"/>
    <n v="1"/>
    <n v="0"/>
    <n v="0"/>
    <n v="0"/>
    <n v="0"/>
    <n v="0"/>
    <s v="NA"/>
    <n v="1"/>
    <n v="0"/>
    <n v="0"/>
    <n v="0"/>
    <n v="0"/>
    <n v="0"/>
    <n v="0"/>
    <n v="0"/>
    <n v="0"/>
    <s v="NA"/>
    <x v="0"/>
    <s v="y represents the possession of energy-efficient"/>
    <s v="dummy (0/1)"/>
    <n v="0.35299999999999998"/>
    <s v="increase"/>
    <n v="7.0999999999999994E-2"/>
    <n v="0"/>
    <n v="3"/>
    <n v="3.2990742119196153"/>
    <n v="0.42333114343360179"/>
    <n v="0.58734488156533704"/>
    <s v="NA"/>
    <s v="NA"/>
    <s v="NA"/>
    <s v="NA"/>
    <s v="NA"/>
    <s v="NA"/>
    <n v="1143"/>
    <n v="1143"/>
    <s v="NA"/>
    <s v="NA"/>
    <s v="NA"/>
    <s v="NA"/>
    <s v="NA"/>
    <s v="NA"/>
    <s v="NA"/>
    <s v="NA"/>
    <s v="NA"/>
    <s v="NA"/>
    <n v="0"/>
    <n v="0"/>
    <n v="1"/>
    <m/>
    <m/>
    <m/>
    <m/>
    <m/>
    <m/>
    <m/>
    <m/>
    <m/>
    <m/>
    <n v="9.712052690463481E-2"/>
    <n v="9.7427626579518284E-2"/>
    <n v="8.7557784521213747E-4"/>
    <n v="8.7719298245614037E-4"/>
    <s v="NA"/>
    <n v="1141"/>
    <s v="NA"/>
  </r>
  <r>
    <x v="4"/>
    <n v="17"/>
    <n v="1215"/>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
    <n v="0"/>
    <n v="0"/>
    <n v="1"/>
    <n v="0"/>
    <n v="0"/>
    <n v="0"/>
    <n v="0"/>
    <n v="0"/>
    <s v="NA"/>
    <n v="0"/>
    <n v="0"/>
    <n v="0"/>
    <n v="0"/>
    <n v="0"/>
    <n v="0"/>
    <n v="0"/>
    <n v="1"/>
    <n v="0"/>
    <s v="NA"/>
    <x v="0"/>
    <s v="y represents the possession of energy-efficient"/>
    <s v="dummy (0/1)"/>
    <n v="0.39400000000000002"/>
    <s v="increase"/>
    <n v="7.0999999999999994E-2"/>
    <n v="0"/>
    <n v="3"/>
    <n v="3.2990742119196153"/>
    <n v="0.48290054867475307"/>
    <n v="0.59724524587432648"/>
    <s v="NA"/>
    <s v="NA"/>
    <s v="NA"/>
    <s v="NA"/>
    <s v="NA"/>
    <s v="NA"/>
    <n v="1143"/>
    <n v="1143"/>
    <s v="NA"/>
    <s v="NA"/>
    <s v="NA"/>
    <s v="NA"/>
    <s v="NA"/>
    <s v="NA"/>
    <s v="NA"/>
    <s v="NA"/>
    <s v="NA"/>
    <s v="NA"/>
    <n v="0"/>
    <n v="0"/>
    <n v="1"/>
    <m/>
    <m/>
    <m/>
    <m/>
    <m/>
    <m/>
    <m/>
    <m/>
    <m/>
    <m/>
    <n v="9.712052690463481E-2"/>
    <n v="9.7427626579518284E-2"/>
    <n v="8.7557784521213747E-4"/>
    <n v="8.7719298245614037E-4"/>
    <s v="NA"/>
    <n v="1141"/>
    <s v="NA"/>
  </r>
  <r>
    <x v="4"/>
    <n v="17"/>
    <n v="1216"/>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overall a paper with very poor study design (not experimental) and low internal and external validity"/>
    <n v="0"/>
    <n v="0"/>
    <n v="0"/>
    <n v="0"/>
    <n v="0"/>
    <n v="1"/>
    <n v="0"/>
    <n v="0"/>
    <s v="NA"/>
    <n v="0"/>
    <n v="0"/>
    <n v="0"/>
    <n v="0"/>
    <n v="0"/>
    <n v="0"/>
    <n v="0"/>
    <n v="1"/>
    <n v="0"/>
    <s v="NA"/>
    <x v="0"/>
    <s v="y represents the possession of energy-efficient"/>
    <s v="dummy (0/1)"/>
    <n v="0.45500000000000002"/>
    <s v="increase"/>
    <n v="0.22"/>
    <n v="3.7999999999999999E-2"/>
    <n v="3"/>
    <n v="2.0772692016703491"/>
    <n v="0.57617338303399124"/>
    <n v="0.61182736900173718"/>
    <s v="NA"/>
    <s v="NA"/>
    <s v="NA"/>
    <s v="NA"/>
    <s v="NA"/>
    <s v="NA"/>
    <n v="1143"/>
    <n v="1143"/>
    <s v="NA"/>
    <s v="NA"/>
    <s v="NA"/>
    <s v="NA"/>
    <s v="NA"/>
    <s v="NA"/>
    <s v="NA"/>
    <s v="NA"/>
    <s v="NA"/>
    <s v="NA"/>
    <n v="0"/>
    <n v="0"/>
    <n v="1"/>
    <n v="0"/>
    <n v="1"/>
    <m/>
    <m/>
    <m/>
    <m/>
    <m/>
    <m/>
    <m/>
    <m/>
    <n v="6.1326960044274084E-2"/>
    <n v="6.1404017491195166E-2"/>
    <n v="8.7564429394170699E-4"/>
    <n v="8.7719298245614037E-4"/>
    <s v="NA"/>
    <n v="1141"/>
    <s v="NA"/>
  </r>
  <r>
    <x v="4"/>
    <n v="17"/>
    <n v="1218"/>
    <n v="201"/>
    <s v="Li, Cao"/>
    <n v="2021"/>
    <s v="Effectiveness of China's Labeling and Incentive Programs for Household Energy Conservation and Policy Implications"/>
    <s v="With incomplete information about the potential benefits and costs of energy-using_x000a_durables, households may be unwilling to invest in products that are more energy-efficient but_x000a_also more expensive in purchase decisions. To deal with this problem, labeling policy has been developed_x000a_to guide customers’ energy consumption decisions by providing understandable information to_x000a_evaluate the energy efficiency of products. Over the last 20 years, China has implemented a series of_x000a_mandatory and voluntary energy labeling and incentive policies to reduce energy use and improve_x000a_the energy efficiency of durable goods in dwellings. This study has employed empirical survey_x000a_data from the Chinese General Social Survey to study the implementation effectiveness of these_x000a_policies and explore demographic factors behind consumer investments in energy-saving durables by_x000a_using the logistic regression model. Statistical results show that energy efficiency labeling, incentive_x000a_programs, education levels, and regional differences of customers appear to be strong predictors for_x000a_investing in energy-efficient air conditioners and washing machines. House size is a decisive factor_x000a_in driving consumers to choose energy-saving air conditioners. In light of the above results, the_x000a_study suggests improved policy for motivating consumers to purchase energy-efficient appliances_x000a_in dwellings."/>
    <n v="2"/>
    <n v="2015"/>
    <x v="0"/>
    <n v="10"/>
    <x v="5"/>
    <x v="5"/>
    <x v="13"/>
    <s v="NA"/>
    <s v="household"/>
    <s v="residents"/>
    <n v="0"/>
    <s v="no such option"/>
    <n v="0"/>
    <s v="probably yes"/>
    <s v="probably yes"/>
    <s v="household panel,  no causation, considers year of labeling law same as purchase of a labeled appliance, survey sample not representative of the general population, overall a paper with very poor study design (not experimental) and low internal and external validity"/>
    <n v="0"/>
    <n v="0"/>
    <n v="0"/>
    <n v="0"/>
    <n v="0"/>
    <n v="1"/>
    <n v="0"/>
    <n v="0"/>
    <s v="NA"/>
    <n v="1"/>
    <n v="0"/>
    <n v="0"/>
    <n v="0"/>
    <n v="0"/>
    <n v="0"/>
    <n v="0"/>
    <n v="0"/>
    <n v="0"/>
    <s v="NA"/>
    <x v="0"/>
    <s v="y represents the possession of energy-efficient"/>
    <s v="dummy (0/1)"/>
    <n v="0.64200000000000002"/>
    <s v="increase"/>
    <n v="0.21199999999999999"/>
    <n v="2E-3"/>
    <n v="3"/>
    <n v="3.0973904269614785"/>
    <n v="0.90027763655522586"/>
    <n v="0.65520542330294296"/>
    <s v="NA"/>
    <s v="NA"/>
    <s v="NA"/>
    <s v="NA"/>
    <s v="NA"/>
    <s v="NA"/>
    <n v="1143"/>
    <n v="1143"/>
    <s v="NA"/>
    <s v="NA"/>
    <s v="NA"/>
    <s v="NA"/>
    <s v="NA"/>
    <s v="NA"/>
    <s v="NA"/>
    <s v="NA"/>
    <s v="NA"/>
    <s v="NA"/>
    <n v="0"/>
    <n v="0"/>
    <n v="1"/>
    <n v="0"/>
    <n v="1"/>
    <m/>
    <m/>
    <m/>
    <m/>
    <m/>
    <m/>
    <m/>
    <m/>
    <n v="9.1234229157469829E-2"/>
    <n v="9.1488635914083044E-2"/>
    <n v="8.7559539426075063E-4"/>
    <n v="8.7719298245614037E-4"/>
    <s v="NA"/>
    <n v="1141"/>
    <s v="NA"/>
  </r>
  <r>
    <x v="0"/>
    <m/>
    <n v="1191"/>
    <n v="144"/>
    <s v="Li, Clark, Jensen, Yen"/>
    <n v="2014"/>
    <s v="The Effect of Mail-in Utility Rebates on Willingness-to-Pay for ENERGY STAR® Certified Refrigerators"/>
    <s v="The number and variety of governmental programs designed to promote energy_x000a_efficiency have increased over time. Examples include mandatory minimum efficiency standards,_x000a_subsidies for more energy efficient goods and services, and consumer labels, such_x000a_as the United States Environmental Protection Agency’s ENERGY STAR®. While there_x000a_has been considerable research on the effects of these programs in isolation, there has been_x000a_less of a focus on joint effects or interactions between programs. This study examines how_x000a_the offer of a mail-in rebate influences consumer willingness-to-pay for an ENERGY STARcertified_x000a_refrigerator. Data used for this study were collected from an online survey containing_x000a_a hypothetical choice experiment conducted in the United States in 2009. Results suggest_x000a_that the offer of a rebate induces uncertainty about the quality of ENERGY STAR-certified_x000a_refrigerators and, thus, could actually reduce willingness-to-pay for such refrigerators."/>
    <n v="2"/>
    <n v="2009"/>
    <x v="0"/>
    <n v="13"/>
    <x v="18"/>
    <x v="3"/>
    <x v="1"/>
    <s v="stated preference"/>
    <s v="online"/>
    <s v="individuals"/>
    <n v="1"/>
    <s v="opt_out"/>
    <n v="1"/>
    <s v="probably no"/>
    <s v="probably no"/>
    <s v="NA"/>
    <n v="0"/>
    <n v="0"/>
    <n v="1"/>
    <n v="1"/>
    <n v="0"/>
    <n v="0"/>
    <n v="0"/>
    <n v="0"/>
    <s v="Energy Star label with a rebate"/>
    <n v="0"/>
    <n v="0"/>
    <n v="0"/>
    <n v="1"/>
    <n v="0"/>
    <n v="0"/>
    <n v="0"/>
    <n v="0"/>
    <n v="0"/>
    <s v="NA"/>
    <x v="2"/>
    <s v="Maximum simulated likelihood estimates: ES refrigerator choice"/>
    <s v="log scale"/>
    <n v="2.08"/>
    <s v="increase"/>
    <n v="0.22900000000000001"/>
    <n v="0.01"/>
    <n v="1"/>
    <n v="9.0829694323144103"/>
    <s v="NA"/>
    <m/>
    <s v="NA"/>
    <s v="NA"/>
    <s v="NA"/>
    <s v="NA"/>
    <s v="NA"/>
    <s v="NA"/>
    <n v="355"/>
    <n v="19860"/>
    <s v="NA"/>
    <s v="NA"/>
    <n v="50"/>
    <s v="NA"/>
    <s v="delayed"/>
    <n v="1"/>
    <n v="14"/>
    <n v="1"/>
    <n v="0.2"/>
    <s v="NA"/>
    <n v="0"/>
    <n v="0"/>
    <n v="1"/>
    <m/>
    <m/>
    <m/>
    <m/>
    <m/>
    <m/>
    <m/>
    <m/>
    <m/>
    <m/>
    <n v="0.43424883131426489"/>
    <n v="0.46512108920045175"/>
    <n v="2.6926498047349623E-3"/>
    <n v="2.840909090909091E-3"/>
    <m/>
    <m/>
    <m/>
  </r>
  <r>
    <x v="0"/>
    <m/>
    <n v="1192"/>
    <n v="144"/>
    <s v="Li, Clark, Jensen, Yen"/>
    <n v="2014"/>
    <s v="The Effect of Mail-in Utility Rebates on Willingness-to-Pay for ENERGY STAR® Certified Refrigerators"/>
    <s v="The number and variety of governmental programs designed to promote energy_x000a_efficiency have increased over time. Examples include mandatory minimum efficiency standards,_x000a_subsidies for more energy efficient goods and services, and consumer labels, such_x000a_as the United States Environmental Protection Agency’s ENERGY STAR®. While there_x000a_has been considerable research on the effects of these programs in isolation, there has been_x000a_less of a focus on joint effects or interactions between programs. This study examines how_x000a_the offer of a mail-in rebate influences consumer willingness-to-pay for an ENERGY STARcertified_x000a_refrigerator. Data used for this study were collected from an online survey containing_x000a_a hypothetical choice experiment conducted in the United States in 2009. Results suggest_x000a_that the offer of a rebate induces uncertainty about the quality of ENERGY STAR-certified_x000a_refrigerators and, thus, could actually reduce willingness-to-pay for such refrigerators."/>
    <n v="2"/>
    <n v="2009"/>
    <x v="0"/>
    <n v="13"/>
    <x v="18"/>
    <x v="3"/>
    <x v="1"/>
    <s v="stated preference"/>
    <s v="online"/>
    <s v="individuals"/>
    <n v="1"/>
    <s v="opt_out"/>
    <n v="1"/>
    <s v="probably no"/>
    <s v="probably no"/>
    <s v="NA"/>
    <n v="0"/>
    <n v="0"/>
    <n v="1"/>
    <n v="0"/>
    <n v="0"/>
    <n v="0"/>
    <n v="0"/>
    <n v="0"/>
    <s v="Energy Star label without rebate"/>
    <n v="0"/>
    <n v="0"/>
    <n v="0"/>
    <n v="1"/>
    <n v="0"/>
    <n v="0"/>
    <n v="0"/>
    <n v="0"/>
    <n v="0"/>
    <s v="NA"/>
    <x v="2"/>
    <s v="Maximum simulated likelihood estimates: ES refrigerator choice"/>
    <s v="log scale"/>
    <n v="2.3839999999999999"/>
    <s v="increase"/>
    <n v="0.18"/>
    <n v="0.01"/>
    <n v="1"/>
    <n v="13.244444444444444"/>
    <s v="NA"/>
    <m/>
    <s v="NA"/>
    <s v="NA"/>
    <s v="NA"/>
    <s v="NA"/>
    <s v="NA"/>
    <s v="NA"/>
    <n v="349"/>
    <n v="19452"/>
    <s v="NA"/>
    <s v="NA"/>
    <s v="NA"/>
    <s v="NA"/>
    <s v="NA"/>
    <n v="1"/>
    <n v="14"/>
    <n v="1"/>
    <n v="0.2"/>
    <s v="NA"/>
    <n v="0"/>
    <n v="0"/>
    <n v="1"/>
    <m/>
    <m/>
    <m/>
    <m/>
    <m/>
    <m/>
    <m/>
    <m/>
    <m/>
    <m/>
    <n v="0.57835709203923469"/>
    <n v="0.65999050186206398"/>
    <n v="2.3283435703186023E-3"/>
    <n v="2.8901734104046241E-3"/>
    <m/>
    <m/>
    <m/>
  </r>
  <r>
    <x v="4"/>
    <m/>
    <s v="NA"/>
    <s v="NA"/>
    <s v="Liang, Liu, Qiu, Wang, Xing"/>
    <n v="2020"/>
    <s v="Time-of-Use Electricity Pricing and Residential Low-carbon Energy Technology Adoption"/>
    <s v="This paper provides the first empirical evidence on the correlation between Time-_x000a_Of-Use (TOU) electricity pricing and the adoption of energy efficient appliances_x000a_and solar panels. We use household-level data in Phoenix, Arizona from an appliance_x000a_saturation survey of about 16,000 customers conducted by a major electric_x000a_utility. Our empirical results show that TOU consumers are associated with 27%_x000a_higher likelihood to install solar panels but not more likely to adopt energy-efficient_x000a_air conditioning based on the propensity score matching and coarsened exact_x000a_matching methods. The findings highlight that policy makers could combine TOU_x000a_and solar panels when implementing educational programs or when giving out_x000a_financial incentives to consumers. Our results imply that TOU is associated with_x000a_a similar impact of the incentive offered by $2,070~$10,472 tax credits or rebates_x000a_on solar adoption."/>
    <n v="2"/>
    <n v="2020"/>
    <x v="11"/>
    <m/>
    <x v="6"/>
    <x v="4"/>
    <x v="5"/>
    <m/>
    <m/>
    <m/>
    <m/>
    <s v="NA"/>
    <m/>
    <m/>
    <m/>
    <s v="the intervention is time of use pricing. Not really included in the scope of the study"/>
    <m/>
    <m/>
    <m/>
    <m/>
    <m/>
    <m/>
    <m/>
    <m/>
    <m/>
    <m/>
    <m/>
    <m/>
    <m/>
    <m/>
    <m/>
    <m/>
    <m/>
    <m/>
    <m/>
    <x v="3"/>
    <m/>
    <m/>
    <m/>
    <m/>
    <m/>
    <m/>
    <m/>
    <m/>
    <m/>
    <m/>
    <m/>
    <m/>
    <m/>
    <m/>
    <m/>
    <m/>
    <m/>
    <m/>
    <m/>
    <m/>
    <m/>
    <m/>
    <m/>
    <m/>
    <s v="NA"/>
    <m/>
    <s v="NA"/>
    <m/>
    <m/>
    <m/>
    <m/>
    <m/>
    <m/>
    <m/>
    <m/>
    <m/>
    <m/>
    <m/>
    <m/>
    <m/>
    <m/>
    <m/>
    <m/>
    <m/>
    <m/>
    <m/>
    <m/>
    <m/>
  </r>
  <r>
    <x v="0"/>
    <m/>
    <n v="1035"/>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8000000000000003E-2"/>
    <s v="decrease"/>
    <n v="2.1000000000000001E-2"/>
    <n v="0.01"/>
    <n v="1"/>
    <n v="2.7619047619047619"/>
    <n v="5.9714995710287599E-2"/>
    <m/>
    <s v="NA"/>
    <n v="378"/>
    <s v="NA"/>
    <s v="NA"/>
    <n v="193"/>
    <s v="NA"/>
    <n v="571"/>
    <n v="25685"/>
    <s v="NA"/>
    <s v="NA"/>
    <s v="NA"/>
    <s v="NA"/>
    <s v="NA"/>
    <s v="NA"/>
    <s v="NA"/>
    <s v="NA"/>
    <s v="NA"/>
    <s v="NA"/>
    <n v="1"/>
    <n v="0"/>
    <n v="1"/>
    <m/>
    <m/>
    <m/>
    <m/>
    <m/>
    <m/>
    <m/>
    <m/>
    <m/>
    <m/>
    <n v="0.11481772350402021"/>
    <n v="0.11532630395472614"/>
    <n v="1.754075624280991E-3"/>
    <n v="1.7605633802816902E-3"/>
    <m/>
    <m/>
    <m/>
  </r>
  <r>
    <x v="0"/>
    <m/>
    <n v="1036"/>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3999999999999999E-2"/>
    <s v="decrease"/>
    <n v="2.1000000000000001E-2"/>
    <n v="0.05"/>
    <n v="1"/>
    <n v="2.5714285714285712"/>
    <n v="5.5484602155080109E-2"/>
    <m/>
    <s v="NA"/>
    <n v="378"/>
    <s v="NA"/>
    <s v="NA"/>
    <n v="193"/>
    <s v="NA"/>
    <n v="571"/>
    <n v="25685"/>
    <s v="NA"/>
    <s v="NA"/>
    <s v="NA"/>
    <s v="NA"/>
    <s v="NA"/>
    <s v="NA"/>
    <s v="NA"/>
    <s v="NA"/>
    <s v="NA"/>
    <s v="NA"/>
    <n v="1"/>
    <n v="0"/>
    <n v="1"/>
    <m/>
    <m/>
    <m/>
    <m/>
    <m/>
    <m/>
    <m/>
    <m/>
    <m/>
    <m/>
    <n v="0.10699322282140411"/>
    <n v="0.10740432025194586"/>
    <n v="1.7541525050915158E-3"/>
    <n v="1.7605633802816902E-3"/>
    <m/>
    <m/>
    <m/>
  </r>
  <r>
    <x v="0"/>
    <m/>
    <n v="1037"/>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3999999999999999E-2"/>
    <s v="decrease"/>
    <n v="2.1000000000000001E-2"/>
    <n v="0.01"/>
    <n v="1"/>
    <n v="2.5714285714285712"/>
    <n v="5.5484602155080109E-2"/>
    <m/>
    <s v="NA"/>
    <n v="378"/>
    <s v="NA"/>
    <s v="NA"/>
    <n v="193"/>
    <s v="NA"/>
    <n v="571"/>
    <n v="25685"/>
    <s v="NA"/>
    <s v="NA"/>
    <s v="NA"/>
    <s v="NA"/>
    <s v="NA"/>
    <s v="NA"/>
    <s v="NA"/>
    <s v="NA"/>
    <s v="NA"/>
    <s v="NA"/>
    <n v="1"/>
    <n v="0"/>
    <n v="1"/>
    <m/>
    <m/>
    <m/>
    <m/>
    <m/>
    <m/>
    <m/>
    <m/>
    <m/>
    <m/>
    <n v="0.10699322282140411"/>
    <n v="0.10740432025194586"/>
    <n v="1.7541525050915158E-3"/>
    <n v="1.7605633802816902E-3"/>
    <m/>
    <m/>
    <m/>
  </r>
  <r>
    <x v="0"/>
    <m/>
    <n v="1038"/>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1999999999999998E-2"/>
    <s v="decrease"/>
    <n v="2.1000000000000001E-2"/>
    <n v="0.05"/>
    <n v="1"/>
    <n v="2.4761904761904758"/>
    <n v="5.3375742513364743E-2"/>
    <m/>
    <s v="NA"/>
    <n v="378"/>
    <s v="NA"/>
    <s v="NA"/>
    <n v="193"/>
    <s v="NA"/>
    <n v="571"/>
    <n v="25685"/>
    <s v="NA"/>
    <s v="NA"/>
    <s v="NA"/>
    <s v="NA"/>
    <s v="NA"/>
    <s v="NA"/>
    <s v="NA"/>
    <s v="NA"/>
    <s v="NA"/>
    <s v="NA"/>
    <n v="1"/>
    <n v="0"/>
    <n v="1"/>
    <m/>
    <m/>
    <m/>
    <m/>
    <m/>
    <m/>
    <m/>
    <m/>
    <m/>
    <m/>
    <n v="0.10307341191556092"/>
    <n v="0.10344077825830729"/>
    <n v="1.7541851054656437E-3"/>
    <n v="1.7605633802816902E-3"/>
    <m/>
    <m/>
    <m/>
  </r>
  <r>
    <x v="0"/>
    <m/>
    <n v="1039"/>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6000000000000001E-2"/>
    <s v="decrease"/>
    <n v="2.1000000000000001E-2"/>
    <n v="0.01"/>
    <n v="1"/>
    <n v="2.6666666666666665"/>
    <n v="5.7597683736611227E-2"/>
    <m/>
    <s v="NA"/>
    <n v="378"/>
    <s v="NA"/>
    <s v="NA"/>
    <n v="193"/>
    <s v="NA"/>
    <n v="571"/>
    <n v="24920"/>
    <s v="NA"/>
    <s v="NA"/>
    <s v="NA"/>
    <s v="NA"/>
    <s v="NA"/>
    <s v="NA"/>
    <s v="NA"/>
    <s v="NA"/>
    <s v="NA"/>
    <s v="NA"/>
    <n v="1"/>
    <n v="0"/>
    <n v="1"/>
    <m/>
    <m/>
    <m/>
    <m/>
    <m/>
    <m/>
    <m/>
    <m/>
    <m/>
    <m/>
    <n v="0.1109080511509852"/>
    <n v="0.11136618214120936"/>
    <n v="1.7541161049408759E-3"/>
    <n v="1.7605633802816902E-3"/>
    <m/>
    <m/>
    <m/>
  </r>
  <r>
    <x v="0"/>
    <m/>
    <n v="1040"/>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5"/>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4.4999999999999998E-2"/>
    <s v="decrease"/>
    <n v="2.1999999999999999E-2"/>
    <n v="0.05"/>
    <n v="1"/>
    <n v="2.0454545454545454"/>
    <n v="4.6027859908716939E-2"/>
    <m/>
    <s v="NA"/>
    <n v="378"/>
    <s v="NA"/>
    <s v="NA"/>
    <n v="193"/>
    <s v="NA"/>
    <n v="571"/>
    <n v="22626"/>
    <s v="NA"/>
    <s v="NA"/>
    <s v="NA"/>
    <s v="NA"/>
    <s v="NA"/>
    <s v="NA"/>
    <s v="NA"/>
    <s v="NA"/>
    <s v="NA"/>
    <s v="NA"/>
    <n v="1"/>
    <n v="0"/>
    <n v="1"/>
    <m/>
    <m/>
    <m/>
    <m/>
    <m/>
    <m/>
    <m/>
    <m/>
    <m/>
    <m/>
    <n v="8.5287714841797826E-2"/>
    <n v="8.5495416206607486E-2"/>
    <n v="1.7542922310596193E-3"/>
    <n v="1.7605633802816902E-3"/>
    <m/>
    <m/>
    <m/>
  </r>
  <r>
    <x v="0"/>
    <m/>
    <n v="1041"/>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5.7000000000000002E-2"/>
    <s v="decrease"/>
    <n v="2.9000000000000001E-2"/>
    <n v="0.01"/>
    <n v="1"/>
    <n v="1.9655172413793103"/>
    <n v="5.8655810395500163E-2"/>
    <m/>
    <s v="NA"/>
    <n v="378"/>
    <s v="NA"/>
    <s v="NA"/>
    <n v="193"/>
    <s v="NA"/>
    <n v="571"/>
    <n v="25685"/>
    <s v="NA"/>
    <s v="NA"/>
    <s v="NA"/>
    <s v="NA"/>
    <s v="NA"/>
    <s v="NA"/>
    <s v="NA"/>
    <s v="NA"/>
    <s v="NA"/>
    <s v="NA"/>
    <n v="1"/>
    <n v="0"/>
    <n v="1"/>
    <m/>
    <m/>
    <m/>
    <m/>
    <m/>
    <m/>
    <m/>
    <m/>
    <m/>
    <m/>
    <n v="8.1977483380554009E-2"/>
    <n v="8.2161865388990771E-2"/>
    <n v="1.7543060171508703E-3"/>
    <n v="1.7605633802816902E-3"/>
    <m/>
    <m/>
    <m/>
  </r>
  <r>
    <x v="0"/>
    <m/>
    <n v="1042"/>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0"/>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4000000000000001E-2"/>
    <s v="decrease"/>
    <n v="2.1000000000000001E-2"/>
    <n v="0.05"/>
    <n v="1"/>
    <n v="3.0476190476190474"/>
    <n v="6.6092398761505189E-2"/>
    <m/>
    <s v="NA"/>
    <n v="378"/>
    <s v="NA"/>
    <s v="NA"/>
    <n v="193"/>
    <s v="NA"/>
    <n v="571"/>
    <n v="25685"/>
    <s v="NA"/>
    <s v="NA"/>
    <s v="NA"/>
    <s v="NA"/>
    <s v="NA"/>
    <s v="NA"/>
    <s v="NA"/>
    <s v="NA"/>
    <s v="NA"/>
    <s v="NA"/>
    <n v="1"/>
    <n v="0"/>
    <n v="1"/>
    <m/>
    <m/>
    <m/>
    <m/>
    <m/>
    <m/>
    <m/>
    <m/>
    <m/>
    <m/>
    <n v="0.12651408859229724"/>
    <n v="0.12719563288286462"/>
    <n v="1.7539267521528995E-3"/>
    <n v="1.7605633802816902E-3"/>
    <m/>
    <m/>
    <m/>
  </r>
  <r>
    <x v="0"/>
    <m/>
    <n v="1043"/>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1"/>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5000000000000002E-2"/>
    <s v="decrease"/>
    <n v="2.1000000000000001E-2"/>
    <n v="0.01"/>
    <n v="1"/>
    <n v="3.0952380952380953"/>
    <n v="6.7159024384192634E-2"/>
    <m/>
    <s v="NA"/>
    <n v="378"/>
    <s v="NA"/>
    <s v="NA"/>
    <n v="193"/>
    <s v="NA"/>
    <n v="571"/>
    <n v="24920"/>
    <s v="NA"/>
    <s v="NA"/>
    <s v="NA"/>
    <s v="NA"/>
    <s v="NA"/>
    <s v="NA"/>
    <s v="NA"/>
    <s v="NA"/>
    <s v="NA"/>
    <s v="NA"/>
    <n v="1"/>
    <n v="0"/>
    <n v="1"/>
    <m/>
    <m/>
    <m/>
    <m/>
    <m/>
    <m/>
    <m/>
    <m/>
    <m/>
    <m/>
    <n v="0.12845849802371542"/>
    <n v="0.12917216710458213"/>
    <n v="1.7538975364909846E-3"/>
    <n v="1.7605633802816902E-3"/>
    <m/>
    <m/>
    <m/>
  </r>
  <r>
    <x v="0"/>
    <m/>
    <n v="1044"/>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6"/>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7.8E-2"/>
    <s v="decrease"/>
    <n v="2.1999999999999999E-2"/>
    <n v="0.01"/>
    <n v="1"/>
    <n v="3.5454545454545459"/>
    <n v="8.1122658670083059E-2"/>
    <m/>
    <s v="NA"/>
    <n v="378"/>
    <s v="NA"/>
    <s v="NA"/>
    <n v="193"/>
    <s v="NA"/>
    <n v="571"/>
    <n v="20600"/>
    <s v="NA"/>
    <s v="NA"/>
    <s v="NA"/>
    <s v="NA"/>
    <s v="NA"/>
    <s v="NA"/>
    <s v="NA"/>
    <s v="NA"/>
    <s v="NA"/>
    <s v="NA"/>
    <n v="1"/>
    <n v="0"/>
    <n v="1"/>
    <m/>
    <m/>
    <m/>
    <m/>
    <m/>
    <m/>
    <m/>
    <m/>
    <m/>
    <m/>
    <n v="0.14676596375341069"/>
    <n v="0.14783358799274471"/>
    <n v="1.753548015859059E-3"/>
    <n v="1.7605633802816902E-3"/>
    <m/>
    <m/>
    <m/>
  </r>
  <r>
    <x v="0"/>
    <m/>
    <n v="1045"/>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7"/>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7.8E-2"/>
    <s v="decrease"/>
    <n v="2.1999999999999999E-2"/>
    <n v="0.01"/>
    <n v="1"/>
    <n v="3.5454545454545459"/>
    <n v="8.1122658670083059E-2"/>
    <m/>
    <s v="NA"/>
    <n v="378"/>
    <s v="NA"/>
    <s v="NA"/>
    <n v="193"/>
    <s v="NA"/>
    <n v="571"/>
    <n v="20600"/>
    <s v="NA"/>
    <s v="NA"/>
    <s v="NA"/>
    <s v="NA"/>
    <s v="NA"/>
    <s v="NA"/>
    <s v="NA"/>
    <s v="NA"/>
    <s v="NA"/>
    <s v="NA"/>
    <n v="1"/>
    <n v="0"/>
    <n v="1"/>
    <m/>
    <m/>
    <m/>
    <m/>
    <m/>
    <m/>
    <m/>
    <m/>
    <m/>
    <m/>
    <n v="0.14676596375341069"/>
    <n v="0.14783358799274471"/>
    <n v="1.753548015859059E-3"/>
    <n v="1.7605633802816902E-3"/>
    <m/>
    <m/>
    <m/>
  </r>
  <r>
    <x v="0"/>
    <m/>
    <n v="1046"/>
    <n v="107"/>
    <s v="Liddle, Loi, Owen, Tao"/>
    <n v="2020"/>
    <s v="Evaluating consumption and cost savings from new air-conditioner purchases: The case of Singapore"/>
    <s v="Air conditioning (AC) is a major source of household electricity consumption in Singapore and there is evidence_x000a_that the efficiency of ACs could be improved substantially. Employing 45 months of energy bills and survey data_x000a_and the Fixed Effects difference-in-differences estimator, we calculated a savings of 7.8% of total energy consumption_x000a_after the purchase of a more efficient AC compared to an estimated expected savings of 12.6%. This_x000a_suggests a rebound or take-back of savings around 38.2%. Such a less-than-100% of theoretical savings achieved_x000a_is in line with other (outside Singapore) estimates and economic/behavioural theory since after purchasing a new_x000a_AC, households may (i) use a lower temperature setting or (ii) use the AC longer in order to (1) fulfil (previously)_x000a_unmet demand and/or (2) respond to the effective lower costs of running the AC. Our results have implications_x000a_for both energy efficiency labelling policies and for Singapore’s recently implemented carbon tax."/>
    <n v="1"/>
    <s v="2015-2017"/>
    <x v="0"/>
    <n v="7"/>
    <x v="22"/>
    <x v="5"/>
    <x v="22"/>
    <s v="self-reported behaviour"/>
    <s v="household"/>
    <s v="homeowners"/>
    <n v="1"/>
    <s v="no such option"/>
    <n v="0"/>
    <s v="probably no"/>
    <s v="probably no"/>
    <s v="NA"/>
    <n v="0"/>
    <n v="0"/>
    <n v="1"/>
    <n v="0"/>
    <n v="0"/>
    <n v="0"/>
    <n v="0"/>
    <n v="0"/>
    <s v="mandatory energy labelling scheme and mandatory energy performance standard"/>
    <n v="0"/>
    <n v="0"/>
    <n v="0"/>
    <n v="0"/>
    <n v="0"/>
    <n v="0"/>
    <n v="0"/>
    <n v="1"/>
    <n v="0"/>
    <s v="NA"/>
    <x v="1"/>
    <s v="electricity savings from the purchase of a new air-conditioner as an Average Treatment on the Treated Effect"/>
    <s v="log scale"/>
    <n v="6.9000000000000006E-2"/>
    <s v="decrease"/>
    <n v="2.5999999999999999E-2"/>
    <n v="0.01"/>
    <n v="1"/>
    <n v="2.6538461538461542"/>
    <n v="7.1436209148346252E-2"/>
    <m/>
    <s v="NA"/>
    <n v="378"/>
    <s v="NA"/>
    <s v="NA"/>
    <n v="193"/>
    <s v="NA"/>
    <n v="571"/>
    <n v="20600"/>
    <s v="NA"/>
    <s v="NA"/>
    <s v="NA"/>
    <s v="NA"/>
    <s v="NA"/>
    <s v="NA"/>
    <s v="NA"/>
    <s v="NA"/>
    <s v="NA"/>
    <s v="NA"/>
    <n v="1"/>
    <n v="0"/>
    <n v="1"/>
    <m/>
    <m/>
    <m/>
    <m/>
    <m/>
    <m/>
    <m/>
    <m/>
    <m/>
    <m/>
    <n v="0.11038135154213211"/>
    <n v="0.11083295461476669"/>
    <n v="1.7541212363579208E-3"/>
    <n v="1.7605633802816902E-3"/>
    <m/>
    <m/>
    <m/>
  </r>
  <r>
    <x v="1"/>
    <n v="18"/>
    <n v="1010"/>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1"/>
    <n v="0"/>
    <n v="0"/>
    <s v="NA"/>
    <n v="0"/>
    <n v="0"/>
    <n v="0"/>
    <n v="0"/>
    <n v="0"/>
    <n v="0"/>
    <n v="1"/>
    <n v="0"/>
    <n v="0"/>
    <s v="aggregated already implemented and planned installations together?"/>
    <x v="0"/>
    <s v="adoption of renewable and energy saving appliances"/>
    <s v="dummy (0/1)"/>
    <n v="0.105"/>
    <s v="increase"/>
    <s v="NA"/>
    <n v="0.1"/>
    <n v="2"/>
    <n v="1.6540291281334114"/>
    <n v="4.2000000000000003E-2"/>
    <n v="0.5262259093720687"/>
    <s v="NA"/>
    <s v="NA"/>
    <s v="NA"/>
    <s v="NA"/>
    <s v="NA"/>
    <s v="NA"/>
    <n v="169"/>
    <n v="169"/>
    <s v="NA"/>
    <s v="NA"/>
    <s v="NA"/>
    <s v="NA"/>
    <s v="current "/>
    <s v="NA"/>
    <s v="NA"/>
    <s v="NA"/>
    <s v="NA"/>
    <s v="NA"/>
    <n v="0"/>
    <n v="0"/>
    <n v="1"/>
    <m/>
    <m/>
    <m/>
    <m/>
    <m/>
    <m/>
    <m/>
    <m/>
    <m/>
    <m/>
    <n v="0.12621550782577576"/>
    <n v="0.12689220699041071"/>
    <n v="5.9508377228610727E-3"/>
    <n v="6.024096385542169E-3"/>
    <s v="NA"/>
    <n v="167"/>
    <s v="NA"/>
  </r>
  <r>
    <x v="1"/>
    <n v="18"/>
    <n v="1009"/>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1"/>
    <n v="0"/>
    <n v="0"/>
    <s v="NA"/>
    <n v="0"/>
    <n v="0"/>
    <n v="0"/>
    <n v="0"/>
    <n v="0"/>
    <n v="0"/>
    <n v="0"/>
    <n v="1"/>
    <n v="0"/>
    <s v="aggregated already implemented and planned installations together?"/>
    <x v="0"/>
    <s v="adoption of renewable and energy saving appliances"/>
    <s v="dummy (0/1)"/>
    <n v="0.42199999999999999"/>
    <s v="increase"/>
    <s v="NA"/>
    <n v="0.01"/>
    <n v="1"/>
    <n v="2.6014087465590463"/>
    <n v="0.16600000000000001"/>
    <n v="0.60396173310922441"/>
    <s v="NA"/>
    <s v="NA"/>
    <s v="NA"/>
    <s v="NA"/>
    <s v="NA"/>
    <s v="NA"/>
    <n v="196"/>
    <n v="196"/>
    <s v="NA"/>
    <s v="NA"/>
    <s v="NA"/>
    <s v="NA"/>
    <s v="current "/>
    <s v="NA"/>
    <s v="NA"/>
    <s v="NA"/>
    <s v="NA"/>
    <s v="NA"/>
    <n v="0"/>
    <n v="0"/>
    <n v="1"/>
    <m/>
    <m/>
    <m/>
    <m/>
    <m/>
    <m/>
    <m/>
    <m/>
    <m/>
    <m/>
    <n v="0.18268782595451913"/>
    <n v="0.18476191295756308"/>
    <n v="5.1222290649031235E-3"/>
    <n v="5.1813471502590676E-3"/>
    <s v="NA"/>
    <n v="194"/>
    <s v="NA"/>
  </r>
  <r>
    <x v="1"/>
    <n v="18"/>
    <n v="1011"/>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0"/>
    <n v="1"/>
    <n v="0"/>
    <s v="NA"/>
    <n v="0"/>
    <n v="0"/>
    <n v="0"/>
    <n v="0"/>
    <n v="0"/>
    <n v="0"/>
    <n v="0"/>
    <n v="1"/>
    <n v="0"/>
    <s v="aggregated already implemented and planned installations together?"/>
    <x v="0"/>
    <s v="adoption of renewable and energy saving appliances"/>
    <s v="dummy (0/1)"/>
    <n v="0.60199999999999998"/>
    <s v="decrease"/>
    <s v="NA"/>
    <n v="0.05"/>
    <n v="1"/>
    <n v="1.9722675325821368"/>
    <n v="0.23599999999999999"/>
    <n v="0.64611374129762467"/>
    <s v="NA"/>
    <s v="NA"/>
    <s v="NA"/>
    <s v="NA"/>
    <s v="NA"/>
    <s v="NA"/>
    <n v="196"/>
    <n v="196"/>
    <s v="NA"/>
    <s v="NA"/>
    <s v="NA"/>
    <s v="NA"/>
    <s v="current "/>
    <s v="NA"/>
    <s v="NA"/>
    <s v="NA"/>
    <s v="NA"/>
    <s v="NA"/>
    <n v="0"/>
    <n v="0"/>
    <n v="1"/>
    <m/>
    <m/>
    <m/>
    <m/>
    <m/>
    <m/>
    <m/>
    <m/>
    <m/>
    <m/>
    <n v="0.13949879819299352"/>
    <n v="0.14041439085865218"/>
    <n v="5.126211648265694E-3"/>
    <n v="5.1813471502590676E-3"/>
    <s v="NA"/>
    <n v="194"/>
    <s v="NA"/>
  </r>
  <r>
    <x v="1"/>
    <n v="18"/>
    <n v="1008"/>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1"/>
    <n v="0"/>
    <n v="0"/>
    <n v="0"/>
    <n v="0"/>
    <n v="0"/>
    <n v="0"/>
    <n v="0"/>
    <s v="NA"/>
    <n v="0"/>
    <n v="0"/>
    <n v="0"/>
    <n v="0"/>
    <n v="0"/>
    <n v="0"/>
    <n v="1"/>
    <n v="0"/>
    <n v="0"/>
    <s v="aggregated already implemented and planned installations together?"/>
    <x v="0"/>
    <s v="adoption of renewable and energy saving appliances"/>
    <s v="dummy (0/1)"/>
    <n v="0.65300000000000002"/>
    <s v="increase"/>
    <s v="NA"/>
    <n v="0.05"/>
    <n v="1"/>
    <n v="1.9742709570280526"/>
    <n v="0.25600000000000001"/>
    <n v="0.6576861870231604"/>
    <s v="NA"/>
    <s v="NA"/>
    <s v="NA"/>
    <s v="NA"/>
    <s v="NA"/>
    <s v="NA"/>
    <n v="169"/>
    <n v="169"/>
    <s v="NA"/>
    <s v="NA"/>
    <s v="NA"/>
    <s v="NA"/>
    <s v="NA"/>
    <s v="NA"/>
    <s v="NA"/>
    <s v="NA"/>
    <s v="NA"/>
    <s v="NA"/>
    <n v="0"/>
    <n v="0"/>
    <n v="1"/>
    <m/>
    <m/>
    <m/>
    <m/>
    <m/>
    <m/>
    <m/>
    <m/>
    <m/>
    <m/>
    <n v="0.15014542072566855"/>
    <n v="0.15128920726322537"/>
    <n v="5.9492626192623162E-3"/>
    <n v="6.024096385542169E-3"/>
    <s v="NA"/>
    <n v="167"/>
    <s v="NA"/>
  </r>
  <r>
    <x v="1"/>
    <n v="18"/>
    <n v="1012"/>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0"/>
    <n v="0"/>
    <n v="0"/>
    <n v="0"/>
    <n v="0"/>
    <n v="0"/>
    <n v="1"/>
    <n v="0"/>
    <s v="NA"/>
    <n v="0"/>
    <n v="0"/>
    <n v="0"/>
    <n v="0"/>
    <n v="0"/>
    <n v="0"/>
    <n v="1"/>
    <n v="0"/>
    <n v="0"/>
    <s v="aggregated already implemented and planned installations together?"/>
    <x v="0"/>
    <s v="adoption of renewable and energy saving appliances"/>
    <s v="dummy (0/1)"/>
    <n v="0.70499999999999996"/>
    <s v="increase"/>
    <s v="NA"/>
    <n v="0.1"/>
    <n v="1"/>
    <n v="1.6540291281334114"/>
    <n v="0.26200000000000001"/>
    <n v="0.66929540277744604"/>
    <s v="NA"/>
    <s v="NA"/>
    <s v="NA"/>
    <s v="NA"/>
    <s v="NA"/>
    <s v="NA"/>
    <n v="169"/>
    <n v="169"/>
    <s v="NA"/>
    <s v="NA"/>
    <s v="NA"/>
    <s v="NA"/>
    <s v="current "/>
    <s v="NA"/>
    <s v="NA"/>
    <s v="NA"/>
    <s v="NA"/>
    <s v="NA"/>
    <n v="0"/>
    <n v="0"/>
    <n v="1"/>
    <m/>
    <m/>
    <m/>
    <m/>
    <m/>
    <m/>
    <m/>
    <m/>
    <m/>
    <m/>
    <n v="0.12621550782577576"/>
    <n v="0.12689220699041071"/>
    <n v="5.9508377228610727E-3"/>
    <n v="6.024096385542169E-3"/>
    <s v="NA"/>
    <n v="167"/>
    <s v="NA"/>
  </r>
  <r>
    <x v="1"/>
    <n v="18"/>
    <n v="1007"/>
    <n v="103"/>
    <s v="Liu, Jin"/>
    <n v="2019"/>
    <s v="Visualisation Approach and Economic Incentives toward Low Carbon Practices in_x000a_Households: A Survey Study in Hyogo, Japan"/>
    <s v="Considering the great significance of residential sector for deep decarbonisation in_x000a_the medium and long term, this study analyses the effectiveness of an emissions visualisation_x000a_approach and economic incentives in promoting household low-carbon practices. The data was_x000a_gathered by a questionnaire survey from 406 households in Hyogo Prefecture, Japan, which_x000a_received eco-home diagnosis in the past three years. The result confirms that around 40% of the_x000a_samples installed home energy management system (HEMS) as the visualisation tool, and many_x000a_households received low-carbon subsidies; however, few of them have utilised the low-interest_x000a_loan from the government of Hyogo. Household lifestyle efforts are less associated with the policy_x000a_measures and some differ due to family characteristics, i.e., the age of head of the household._x000a_Replacing household equipment with low-carbon items is largely determined by the visualisation_x000a_approach and availability of economic incentives. As an example, the installation of HEMS would_x000a_increase the probability of replacement with an electric heat pump water heater by 25.6% and the_x000a_introduction of solar PV system by 55.9%. This study assists in understanding household lowcarbon_x000a_practices and their relationship with the related policy measures."/>
    <n v="2"/>
    <n v="2018"/>
    <x v="0"/>
    <n v="23"/>
    <x v="23"/>
    <x v="3"/>
    <x v="16"/>
    <s v="self-reported behaviour"/>
    <s v="household"/>
    <s v="homeowners"/>
    <n v="0"/>
    <s v="opt_in"/>
    <n v="0"/>
    <s v="probably yes"/>
    <s v="probably yes"/>
    <s v="NA"/>
    <n v="1"/>
    <n v="0"/>
    <n v="0"/>
    <n v="0"/>
    <n v="0"/>
    <n v="0"/>
    <n v="0"/>
    <n v="0"/>
    <s v="NA"/>
    <n v="0"/>
    <n v="0"/>
    <n v="0"/>
    <n v="0"/>
    <n v="0"/>
    <n v="0"/>
    <n v="0"/>
    <n v="1"/>
    <n v="0"/>
    <s v="aggregated already implemented and planned installations together?"/>
    <x v="0"/>
    <s v="adoption of renewable and energy saving appliances "/>
    <s v="dummy (0/1)"/>
    <n v="0.80900000000000005"/>
    <s v="increase"/>
    <s v="NA"/>
    <n v="0.01"/>
    <n v="1"/>
    <n v="2.6014087465590463"/>
    <n v="0.31"/>
    <n v="0.69189636943595911"/>
    <s v="NA"/>
    <s v="NA"/>
    <s v="NA"/>
    <s v="NA"/>
    <s v="NA"/>
    <s v="NA"/>
    <n v="196"/>
    <n v="196"/>
    <s v="NA"/>
    <s v="NA"/>
    <s v="NA"/>
    <s v="NA"/>
    <s v="NA"/>
    <s v="NA"/>
    <s v="NA"/>
    <s v="NA"/>
    <s v="NA"/>
    <s v="NA"/>
    <n v="0"/>
    <n v="0"/>
    <n v="1"/>
    <m/>
    <m/>
    <m/>
    <m/>
    <m/>
    <m/>
    <m/>
    <m/>
    <m/>
    <m/>
    <n v="0.18268782595451913"/>
    <n v="0.18476191295756308"/>
    <n v="5.1222290649031235E-3"/>
    <n v="5.1813471502590676E-3"/>
    <s v="NA"/>
    <n v="194"/>
    <s v="NA"/>
  </r>
  <r>
    <x v="0"/>
    <n v="19"/>
    <n v="1130"/>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4.4999999999999998E-2"/>
    <s v="increase"/>
    <n v="0.27100000000000002"/>
    <s v="NA"/>
    <n v="3"/>
    <n v="0.16605166051660514"/>
    <n v="4.6027859908716939E-2"/>
    <n v="0.51124810194685477"/>
    <s v="NA"/>
    <s v="NA"/>
    <s v="NA"/>
    <s v="NA"/>
    <s v="NA"/>
    <s v="NA"/>
    <n v="504"/>
    <n v="504"/>
    <s v="NA"/>
    <s v="NA"/>
    <s v="NA"/>
    <s v="NA"/>
    <s v="NA"/>
    <n v="0"/>
    <s v="NA"/>
    <n v="0"/>
    <s v="NA"/>
    <s v="other"/>
    <n v="0"/>
    <n v="0"/>
    <n v="1"/>
    <m/>
    <m/>
    <m/>
    <m/>
    <m/>
    <m/>
    <m/>
    <m/>
    <m/>
    <m/>
    <n v="7.3963265165038466E-3"/>
    <n v="7.396461394537558E-3"/>
    <n v="1.9880715646263896E-3"/>
    <n v="1.996007984031936E-3"/>
    <s v="NA"/>
    <n v="502"/>
    <s v="NA"/>
  </r>
  <r>
    <x v="0"/>
    <n v="19"/>
    <n v="1131"/>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184"/>
    <s v="increase"/>
    <n v="0.26900000000000002"/>
    <s v="NA"/>
    <n v="3"/>
    <n v="0.68401486988847582"/>
    <n v="0.20201582309630139"/>
    <n v="0.54587065655419365"/>
    <s v="NA"/>
    <s v="NA"/>
    <s v="NA"/>
    <s v="NA"/>
    <s v="NA"/>
    <s v="NA"/>
    <n v="504"/>
    <n v="504"/>
    <s v="NA"/>
    <s v="NA"/>
    <s v="NA"/>
    <s v="NA"/>
    <s v="NA"/>
    <n v="0"/>
    <s v="NA"/>
    <n v="0"/>
    <s v="NA"/>
    <s v="alphabetical"/>
    <n v="0"/>
    <n v="0"/>
    <n v="1"/>
    <m/>
    <m/>
    <m/>
    <m/>
    <m/>
    <m/>
    <m/>
    <m/>
    <m/>
    <m/>
    <n v="3.0454311448901306E-2"/>
    <n v="3.0463731795209874E-2"/>
    <n v="1.988069858337372E-3"/>
    <n v="1.996007984031936E-3"/>
    <s v="NA"/>
    <n v="502"/>
    <s v="NA"/>
  </r>
  <r>
    <x v="0"/>
    <n v="19"/>
    <n v="1129"/>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0.22800000000000001"/>
    <s v="increase"/>
    <n v="0.26900000000000002"/>
    <s v="NA"/>
    <n v="3"/>
    <n v="0.84758364312267653"/>
    <n v="0.25608532543234408"/>
    <n v="0.55675435289294073"/>
    <s v="NA"/>
    <s v="NA"/>
    <s v="NA"/>
    <s v="NA"/>
    <s v="NA"/>
    <s v="NA"/>
    <n v="504"/>
    <n v="504"/>
    <s v="NA"/>
    <s v="NA"/>
    <s v="NA"/>
    <s v="NA"/>
    <s v="NA"/>
    <n v="0"/>
    <s v="NA"/>
    <n v="0"/>
    <s v="NA"/>
    <s v="numerical"/>
    <n v="0"/>
    <n v="0"/>
    <n v="1"/>
    <m/>
    <m/>
    <m/>
    <m/>
    <m/>
    <m/>
    <m/>
    <m/>
    <m/>
    <m/>
    <n v="3.7727497501766814E-2"/>
    <n v="3.7745412792349338E-2"/>
    <n v="1.9880675351566339E-3"/>
    <n v="1.996007984031936E-3"/>
    <s v="NA"/>
    <n v="502"/>
    <s v="NA"/>
  </r>
  <r>
    <x v="0"/>
    <n v="19"/>
    <n v="1132"/>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26500000000000001"/>
    <s v="decrease"/>
    <n v="0.27300000000000002"/>
    <s v="NA"/>
    <n v="3"/>
    <n v="0.97069597069597069"/>
    <n v="0.30343097577836886"/>
    <n v="0.56586500289548169"/>
    <s v="NA"/>
    <s v="NA"/>
    <s v="NA"/>
    <s v="NA"/>
    <s v="NA"/>
    <s v="NA"/>
    <n v="504"/>
    <n v="504"/>
    <s v="NA"/>
    <s v="NA"/>
    <s v="NA"/>
    <s v="NA"/>
    <s v="NA"/>
    <n v="0"/>
    <s v="NA"/>
    <n v="0"/>
    <s v="NA"/>
    <s v="numerical"/>
    <n v="0"/>
    <n v="0"/>
    <n v="1"/>
    <m/>
    <m/>
    <m/>
    <m/>
    <m/>
    <m/>
    <m/>
    <m/>
    <m/>
    <m/>
    <n v="4.3197873779519926E-2"/>
    <n v="4.322477379226973E-2"/>
    <n v="1.9880646305212315E-3"/>
    <n v="1.996007984031936E-3"/>
    <s v="NA"/>
    <n v="502"/>
    <s v="NA"/>
  </r>
  <r>
    <x v="0"/>
    <n v="19"/>
    <n v="1133"/>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1"/>
    <n v="0"/>
    <n v="0"/>
    <n v="0"/>
    <n v="0"/>
    <n v="0"/>
    <n v="0"/>
    <n v="0"/>
    <n v="0"/>
    <s v="NA"/>
    <x v="0"/>
    <s v="choice of a high-efficiency appliance"/>
    <s v="dummy (0/1)"/>
    <n v="0.34599999999999997"/>
    <s v="increase"/>
    <n v="0.26800000000000002"/>
    <s v="NA"/>
    <n v="3"/>
    <n v="1.2910447761194028"/>
    <n v="0.41340261581767712"/>
    <n v="0.58564725444237853"/>
    <s v="NA"/>
    <s v="NA"/>
    <s v="NA"/>
    <s v="NA"/>
    <s v="NA"/>
    <s v="NA"/>
    <n v="504"/>
    <n v="504"/>
    <s v="NA"/>
    <s v="NA"/>
    <s v="NA"/>
    <s v="NA"/>
    <s v="NA"/>
    <n v="0"/>
    <s v="NA"/>
    <n v="0"/>
    <s v="NA"/>
    <s v="other"/>
    <n v="0"/>
    <n v="0"/>
    <n v="1"/>
    <m/>
    <m/>
    <m/>
    <m/>
    <m/>
    <m/>
    <m/>
    <m/>
    <m/>
    <m/>
    <n v="5.7412847349308176E-2"/>
    <n v="5.7476054483562668E-2"/>
    <n v="1.9880498745698505E-3"/>
    <n v="1.996007984031936E-3"/>
    <s v="NA"/>
    <n v="502"/>
    <s v="NA"/>
  </r>
  <r>
    <x v="0"/>
    <n v="19"/>
    <n v="1128"/>
    <n v="128"/>
    <s v="London Economics"/>
    <n v="2014"/>
    <s v="Study on the impact of the energy label – and potential changes to it – on consumer understanding and on purchase decisions"/>
    <s v="This study provides an assessment of alternative energy label designs. The study explores consumers’ understanding of the individual elements of the energy label and how the label design influences consumer choice. To this end, the study implemented two behavioural experiments to measure cognitive and behavioural responses to various label elements."/>
    <n v="2"/>
    <n v="2014"/>
    <x v="0"/>
    <n v="133"/>
    <x v="5"/>
    <x v="2"/>
    <x v="23"/>
    <s v="stated preference"/>
    <s v="retailer"/>
    <s v="store visitors"/>
    <n v="1"/>
    <s v="opt_out"/>
    <n v="1"/>
    <s v="probably no"/>
    <s v="probably no"/>
    <s v="NA"/>
    <n v="0"/>
    <n v="0"/>
    <n v="1"/>
    <n v="0"/>
    <n v="0"/>
    <n v="0"/>
    <n v="0"/>
    <n v="0"/>
    <s v="baseline is the existing EU labelling programme"/>
    <n v="0"/>
    <n v="0"/>
    <n v="0"/>
    <n v="0"/>
    <n v="0"/>
    <n v="0"/>
    <n v="0"/>
    <n v="0"/>
    <n v="1"/>
    <s v="NA"/>
    <x v="0"/>
    <s v="choice of a high-efficiency appliance"/>
    <s v="dummy (0/1)"/>
    <n v="0.47499999999999998"/>
    <s v="increase"/>
    <n v="0.26700000000000002"/>
    <n v="0.1"/>
    <n v="1"/>
    <n v="1.7790262172284643"/>
    <n v="0.60801419748578289"/>
    <n v="0.61656650452131923"/>
    <s v="NA"/>
    <s v="NA"/>
    <s v="NA"/>
    <s v="NA"/>
    <s v="NA"/>
    <s v="NA"/>
    <n v="504"/>
    <n v="504"/>
    <s v="NA"/>
    <s v="NA"/>
    <s v="NA"/>
    <s v="NA"/>
    <s v="NA"/>
    <n v="0"/>
    <s v="NA"/>
    <n v="0"/>
    <s v="NA"/>
    <s v="alphabetical"/>
    <n v="0"/>
    <n v="0"/>
    <n v="1"/>
    <m/>
    <m/>
    <m/>
    <m/>
    <m/>
    <m/>
    <m/>
    <m/>
    <m/>
    <m/>
    <n v="7.8996479816553555E-2"/>
    <n v="7.9161422211521337E-2"/>
    <n v="1.9879935001832043E-3"/>
    <n v="1.996007984031936E-3"/>
    <s v="NA"/>
    <n v="502"/>
    <s v="NA"/>
  </r>
  <r>
    <x v="0"/>
    <n v="20"/>
    <n v="1048"/>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0.57299999999999995"/>
    <s v="decrease"/>
    <n v="0.29399999999999998"/>
    <n v="0.1"/>
    <n v="1"/>
    <n v="1.9489795918367347"/>
    <n v="0.77357981775294093"/>
    <n v="0.63945512092377221"/>
    <s v="NA"/>
    <s v="NA"/>
    <s v="NA"/>
    <s v="NA"/>
    <n v="36"/>
    <s v="NA"/>
    <n v="3404"/>
    <n v="3404"/>
    <s v="NA"/>
    <s v="NA"/>
    <s v="NA"/>
    <n v="0.13"/>
    <s v="NA"/>
    <s v="NA"/>
    <s v="NA"/>
    <s v="NA"/>
    <s v="NA"/>
    <s v="NA"/>
    <n v="1"/>
    <n v="1"/>
    <n v="1"/>
    <m/>
    <m/>
    <m/>
    <m/>
    <m/>
    <m/>
    <m/>
    <m/>
    <m/>
    <m/>
    <n v="3.3386457206729767E-2"/>
    <n v="3.339887030924775E-2"/>
    <n v="2.9385799462070103E-4"/>
    <n v="2.9403116730373417E-4"/>
    <s v="NA"/>
    <n v="3402"/>
    <s v="NA"/>
  </r>
  <r>
    <x v="0"/>
    <n v="20"/>
    <n v="1051"/>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0.77300000000000002"/>
    <s v="decrease"/>
    <n v="0.65300000000000002"/>
    <n v="0.1"/>
    <n v="2"/>
    <n v="1.1837672281776417"/>
    <n v="1.1662552812206535"/>
    <n v="0.68416949639812985"/>
    <s v="NA"/>
    <s v="NA"/>
    <s v="NA"/>
    <s v="NA"/>
    <s v="NA"/>
    <s v="NA"/>
    <n v="3404"/>
    <n v="3404"/>
    <s v="NA"/>
    <s v="NA"/>
    <s v="NA"/>
    <n v="0.13"/>
    <s v="NA"/>
    <s v="NA"/>
    <s v="NA"/>
    <s v="NA"/>
    <s v="NA"/>
    <s v="NA"/>
    <n v="1"/>
    <n v="1"/>
    <n v="1"/>
    <m/>
    <m/>
    <m/>
    <m/>
    <m/>
    <m/>
    <m/>
    <m/>
    <m/>
    <m/>
    <n v="2.0285334036980945E-2"/>
    <n v="2.0288117160492912E-2"/>
    <n v="2.9385831048460269E-4"/>
    <n v="2.9403116730373417E-4"/>
    <s v="NA"/>
    <n v="3402"/>
    <s v="NA"/>
  </r>
  <r>
    <x v="0"/>
    <n v="20"/>
    <n v="1049"/>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solar, base elc."/>
    <x v="0"/>
    <s v="water heater usage (electricity, LPG, solar, others)"/>
    <s v="dummy (0/1)"/>
    <n v="1.0780000000000001"/>
    <s v="increase"/>
    <n v="0.55600000000000005"/>
    <n v="0.1"/>
    <n v="1"/>
    <n v="1.9388489208633093"/>
    <n v="1.938796077398218"/>
    <n v="0.7461153153527682"/>
    <s v="NA"/>
    <s v="NA"/>
    <s v="NA"/>
    <s v="NA"/>
    <s v="NA"/>
    <s v="NA"/>
    <n v="3404"/>
    <n v="3404"/>
    <s v="NA"/>
    <s v="NA"/>
    <s v="NA"/>
    <n v="0.13"/>
    <s v="NA"/>
    <s v="NA"/>
    <s v="NA"/>
    <s v="NA"/>
    <s v="NA"/>
    <s v="NA"/>
    <n v="1"/>
    <n v="1"/>
    <n v="1"/>
    <m/>
    <m/>
    <m/>
    <m/>
    <m/>
    <m/>
    <m/>
    <m/>
    <m/>
    <m/>
    <n v="3.3213108476623197E-2"/>
    <n v="3.3225329143150836E-2"/>
    <n v="2.9385800216136389E-4"/>
    <n v="2.9403116730373417E-4"/>
    <s v="NA"/>
    <n v="3402"/>
    <s v="NA"/>
  </r>
  <r>
    <x v="0"/>
    <n v="20"/>
    <n v="1052"/>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solar, base LPG"/>
    <x v="0"/>
    <s v="water heater usage (electricity, LPG, solar, others)"/>
    <s v="dummy (0/1)"/>
    <n v="1.107"/>
    <s v="increase"/>
    <n v="0.83799999999999997"/>
    <n v="0.1"/>
    <n v="2"/>
    <n v="1.3210023866348448"/>
    <n v="2.0252689602207656"/>
    <n v="0.75156939576401494"/>
    <s v="NA"/>
    <s v="NA"/>
    <s v="NA"/>
    <s v="NA"/>
    <s v="NA"/>
    <s v="NA"/>
    <n v="3404"/>
    <n v="3404"/>
    <s v="NA"/>
    <s v="NA"/>
    <s v="NA"/>
    <n v="0.13"/>
    <s v="NA"/>
    <s v="NA"/>
    <s v="NA"/>
    <s v="NA"/>
    <s v="NA"/>
    <s v="NA"/>
    <n v="1"/>
    <n v="1"/>
    <n v="1"/>
    <m/>
    <m/>
    <m/>
    <m/>
    <m/>
    <m/>
    <m/>
    <m/>
    <m/>
    <m/>
    <n v="2.263588794559478E-2"/>
    <n v="2.2639755219163907E-2"/>
    <n v="2.9385828306898831E-4"/>
    <n v="2.9403116730373417E-4"/>
    <s v="NA"/>
    <n v="3402"/>
    <s v="NA"/>
  </r>
  <r>
    <x v="0"/>
    <n v="20"/>
    <n v="1047"/>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6"/>
    <x v="18"/>
    <x v="3"/>
    <x v="13"/>
    <s v="self-reported behaviour"/>
    <s v="household"/>
    <s v="homeowners"/>
    <n v="1"/>
    <s v="opt_in"/>
    <n v="0"/>
    <s v="probably no"/>
    <s v="probably no"/>
    <s v="NA"/>
    <n v="0"/>
    <n v="0"/>
    <n v="0"/>
    <n v="0"/>
    <n v="0"/>
    <n v="1"/>
    <n v="0"/>
    <n v="0"/>
    <s v="NA"/>
    <n v="0"/>
    <n v="0"/>
    <n v="0"/>
    <n v="0"/>
    <n v="0"/>
    <n v="0"/>
    <n v="1"/>
    <n v="0"/>
    <n v="0"/>
    <s v="LPG, base elec."/>
    <x v="0"/>
    <s v="water heater usage (electricity, LPG, solar, others)"/>
    <s v="dummy (0/1)"/>
    <n v="1.651"/>
    <s v="decrease"/>
    <n v="0.58599999999999997"/>
    <n v="0.01"/>
    <n v="1"/>
    <n v="2.81740614334471"/>
    <n v="4.2121894113649896"/>
    <n v="0.83902615748152587"/>
    <s v="NA"/>
    <s v="NA"/>
    <s v="NA"/>
    <s v="NA"/>
    <n v="36"/>
    <s v="NA"/>
    <n v="3404"/>
    <n v="3404"/>
    <s v="NA"/>
    <s v="NA"/>
    <s v="NA"/>
    <n v="0.13"/>
    <s v="NA"/>
    <s v="NA"/>
    <s v="NA"/>
    <s v="NA"/>
    <s v="NA"/>
    <s v="NA"/>
    <n v="1"/>
    <n v="1"/>
    <n v="1"/>
    <m/>
    <m/>
    <m/>
    <m/>
    <m/>
    <m/>
    <m/>
    <m/>
    <m/>
    <m/>
    <n v="4.823351432140318E-2"/>
    <n v="4.8270971259459908E-2"/>
    <n v="2.9385676482401629E-4"/>
    <n v="2.9403116730373417E-4"/>
    <s v="NA"/>
    <n v="3402"/>
    <s v="NA"/>
  </r>
  <r>
    <x v="0"/>
    <n v="20"/>
    <n v="1050"/>
    <n v="108"/>
    <s v="Ma, Yu, Urban"/>
    <n v="2018"/>
    <s v="Green transition of energy systems in rural China: National survey evidence of households' discrete choices on water heaters"/>
    <s v="Energy systems in rural China are experiencing a transition from traditional fossil fuels to renewables. This paper_x000a_aims to investigate the potential factors that influence the choices of rural residents regarding water heaters with_x000a_a focus on the low-carbon transition to solar water heating systems. To this end, a face-to-face questionnaire_x000a_survey is undertaken with 3404 rural households randomly selected among 12 representative provinces. A_x000a_comprehensive set of discrete choice modelling approaches were used. The empirical results show that (1)_x000a_sociodemographic variables have significant effects on residents’ first-stage choice of a water heater (to buy or not_x000a_to buy) but few effects on the second-stage decision to choose electric, LPG, or solar water heaters (which type to_x000a_buy); (2) information spillover is important to facilitate the usage of water heaters, particularly of solar products;_x000a_(3) the electricity price, which is regulated at a very low rate, has no apparent effect on the choice of solar water_x000a_heaters; (4) government subsidy has a significant effect in the first stage but no differentiated effect on the_x000a_decision choice in the second stage. Policy and managerial implications are presented to speed up the ongoing_x000a_low-carbon transition of energy systems in China."/>
    <n v="2"/>
    <n v="2014"/>
    <x v="0"/>
    <n v="567"/>
    <x v="15"/>
    <x v="3"/>
    <x v="13"/>
    <s v="self-reported behaviour"/>
    <s v="household"/>
    <s v="homeowners"/>
    <n v="1"/>
    <s v="opt_in"/>
    <n v="0"/>
    <s v="probably no"/>
    <s v="probably no"/>
    <s v="NA"/>
    <n v="0"/>
    <n v="0"/>
    <n v="0"/>
    <n v="0"/>
    <n v="0"/>
    <n v="1"/>
    <n v="0"/>
    <n v="0"/>
    <s v="NA"/>
    <n v="0"/>
    <n v="0"/>
    <n v="0"/>
    <n v="0"/>
    <n v="0"/>
    <n v="0"/>
    <n v="1"/>
    <n v="0"/>
    <n v="0"/>
    <s v="LPG, base elec."/>
    <x v="0"/>
    <s v="water heater usage (electricity, LPG, solar, others)"/>
    <s v="dummy (0/1)"/>
    <n v="1.881"/>
    <s v="decrease"/>
    <n v="1.145"/>
    <n v="0.1"/>
    <n v="2"/>
    <n v="1.6427947598253274"/>
    <n v="5.5600616448982949"/>
    <n v="0.86772594629901956"/>
    <s v="NA"/>
    <s v="NA"/>
    <s v="NA"/>
    <s v="NA"/>
    <s v="NA"/>
    <s v="NA"/>
    <n v="3404"/>
    <n v="3404"/>
    <s v="NA"/>
    <s v="NA"/>
    <s v="NA"/>
    <n v="0.13"/>
    <s v="NA"/>
    <s v="NA"/>
    <s v="NA"/>
    <s v="NA"/>
    <s v="NA"/>
    <s v="NA"/>
    <n v="1"/>
    <n v="1"/>
    <n v="1"/>
    <m/>
    <m/>
    <m/>
    <m/>
    <m/>
    <m/>
    <m/>
    <m/>
    <m/>
    <m/>
    <n v="2.8145984341816754E-2"/>
    <n v="2.8153420259375738E-2"/>
    <n v="2.9385817565716929E-4"/>
    <n v="2.9403116730373417E-4"/>
    <s v="NA"/>
    <n v="3402"/>
    <s v="NA"/>
  </r>
  <r>
    <x v="0"/>
    <m/>
    <s v="NA"/>
    <s v="NA"/>
    <s v="Mahlia, Masjuki, Choudhury, Ghazali"/>
    <n v="2002"/>
    <s v="Economical and environmental impact of room air conditioners energy labels in Malaysia"/>
    <s v="The usage of residential electrical appliances for the last two decades has increased rapidly in Malaysia_x000a_together with the increasing income per capita. Like other developing countries with hot and humid climates,_x000a_Malaysia has been experiencing dramatic growth in the number of use of air conditioners, and the_x000a_usage will be higher in the future. In order to reduce energy consumption in the residential sector, the_x000a_Department of Electricity and Gas Supply considers implementing energy labels for room air conditioners_x000a_sometime in the coming year. This study attempts to calculate the economical and environmental impact of_x000a_implementing this program in Malaysia. The study found the savings has exceeded the investment cost and_x000a_the program has reduced the emissions caused by burning fossil fuel."/>
    <n v="1"/>
    <m/>
    <x v="9"/>
    <m/>
    <x v="6"/>
    <x v="4"/>
    <x v="24"/>
    <m/>
    <m/>
    <m/>
    <m/>
    <m/>
    <m/>
    <m/>
    <m/>
    <m/>
    <m/>
    <m/>
    <m/>
    <m/>
    <m/>
    <m/>
    <m/>
    <m/>
    <m/>
    <m/>
    <m/>
    <m/>
    <m/>
    <m/>
    <m/>
    <m/>
    <m/>
    <m/>
    <m/>
    <x v="3"/>
    <m/>
    <m/>
    <m/>
    <m/>
    <m/>
    <m/>
    <m/>
    <m/>
    <m/>
    <m/>
    <m/>
    <m/>
    <m/>
    <m/>
    <m/>
    <m/>
    <m/>
    <m/>
    <m/>
    <m/>
    <m/>
    <m/>
    <m/>
    <m/>
    <m/>
    <m/>
    <m/>
    <m/>
    <m/>
    <m/>
    <m/>
    <m/>
    <m/>
    <m/>
    <m/>
    <m/>
    <m/>
    <m/>
    <m/>
    <m/>
    <m/>
    <m/>
    <m/>
    <m/>
    <m/>
    <m/>
    <m/>
    <m/>
  </r>
  <r>
    <x v="2"/>
    <m/>
    <n v="1255"/>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544"/>
    <s v="NA"/>
    <s v="NA"/>
    <n v="544"/>
    <s v="NA"/>
    <n v="544"/>
    <s v="NA"/>
    <n v="7.96"/>
    <s v="NA"/>
    <s v="NA"/>
    <s v="NA"/>
    <s v="NA"/>
    <s v="NA"/>
    <s v="NA"/>
    <s v="NA"/>
    <s v="NA"/>
    <s v="NA"/>
    <n v="0"/>
    <n v="0"/>
    <n v="0"/>
    <m/>
    <m/>
    <m/>
    <m/>
    <m/>
    <m/>
    <m/>
    <m/>
    <m/>
    <m/>
    <m/>
    <m/>
    <m/>
    <m/>
    <m/>
    <m/>
    <m/>
  </r>
  <r>
    <x v="2"/>
    <m/>
    <n v="1256"/>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478"/>
    <s v="NA"/>
    <s v="NA"/>
    <n v="478"/>
    <s v="NA"/>
    <n v="478"/>
    <s v="NA"/>
    <n v="46.36"/>
    <s v="NA"/>
    <s v="NA"/>
    <s v="NA"/>
    <s v="NA"/>
    <s v="NA"/>
    <s v="NA"/>
    <s v="NA"/>
    <s v="NA"/>
    <s v="NA"/>
    <n v="0"/>
    <n v="0"/>
    <n v="0"/>
    <m/>
    <m/>
    <m/>
    <m/>
    <m/>
    <m/>
    <m/>
    <m/>
    <m/>
    <m/>
    <m/>
    <m/>
    <m/>
    <m/>
    <m/>
    <m/>
    <m/>
  </r>
  <r>
    <x v="2"/>
    <m/>
    <n v="1257"/>
    <n v="403"/>
    <s v="Menita, Domingos, Domingues, Alves, Calixto, Garcia, Faria, Miguel "/>
    <n v="2016"/>
    <s v="Measurement and Verification in Energy Efficiency Projects involving Solar Water Heating Systems in Homes of Low-Income Families – Case Studies"/>
    <s v="Solar water heating in homes of low-income families as Energy Efficiency Action enables energetic benefits from points of view of the consumer and the Brazilian electrical system, thereby reducing environmental impacts associated with generation, transmission and distribution of electricity. The purpose of the present study is to evaluate these gains through measurement and verification methodology adapted from the International Performance Measurement and Verification Protocol, from case studies involving Energy Efficiency Projects in the Goiás State, Brazil. Results show that the electricity saved from the replacement of electric showers by solar water heating systems in homes of low-income families has great potential to bring financial benefits to such families, and that the reduction in peak demand obtained from this Energy Efficiency Action is advantageous to the Brazilian electrical system. Contributions concerning the application of the methodology are also obtained through this study."/>
    <n v="1"/>
    <s v="2008, 2010, 2014"/>
    <x v="0"/>
    <n v="588"/>
    <x v="3"/>
    <x v="0"/>
    <x v="25"/>
    <s v="revealed preference"/>
    <s v="household"/>
    <s v="residents"/>
    <n v="1"/>
    <s v="no such option"/>
    <n v="0"/>
    <s v="probably yes"/>
    <s v="probably no"/>
    <s v="three case studies, not necessarily representative"/>
    <n v="0"/>
    <n v="0"/>
    <n v="0"/>
    <n v="0"/>
    <n v="0"/>
    <n v="0"/>
    <n v="0"/>
    <n v="0"/>
    <s v="Replacement of efficient water heaters with solar heaters"/>
    <n v="0"/>
    <n v="0"/>
    <n v="0"/>
    <n v="0"/>
    <n v="0"/>
    <n v="0"/>
    <n v="1"/>
    <n v="0"/>
    <n v="0"/>
    <s v="Average monthly consumption of electricity avoided per house"/>
    <x v="1"/>
    <s v="monthly energy savings in kW"/>
    <s v="NA"/>
    <s v="NA"/>
    <s v="decrease"/>
    <s v="NA"/>
    <s v="NA"/>
    <s v="NA"/>
    <s v="NA"/>
    <s v="NA"/>
    <m/>
    <s v="NA"/>
    <n v="1081"/>
    <s v="NA"/>
    <s v="NA"/>
    <n v="1081"/>
    <s v="NA"/>
    <n v="1081"/>
    <s v="NA"/>
    <n v="48.18"/>
    <s v="NA"/>
    <s v="NA"/>
    <s v="NA"/>
    <s v="NA"/>
    <s v="NA"/>
    <s v="NA"/>
    <s v="NA"/>
    <s v="NA"/>
    <s v="NA"/>
    <n v="0"/>
    <n v="0"/>
    <n v="0"/>
    <m/>
    <m/>
    <m/>
    <m/>
    <m/>
    <m/>
    <m/>
    <m/>
    <m/>
    <m/>
    <m/>
    <m/>
    <m/>
    <m/>
    <m/>
    <m/>
    <m/>
  </r>
  <r>
    <x v="4"/>
    <m/>
    <s v="NA"/>
    <s v="NA"/>
    <s v="Mills, Schleich"/>
    <n v="2010"/>
    <s v="What’s Driving Energy Efficient Appliance Label Awareness and Purchase Propensity?"/>
    <s v="The EU appliance energy consumption labeling scheme is a key component of efforts to increase the diffusion of energy-efficient household appliances. In this paper, the determinants of consumer knowledge of the energy label for house-hold appliances and the choice of class-A energy-efficient appliances are jointly estimated using data from a large survey of more than 20,000 German house-holds. The results for five major appliances suggest that lack of knowledge of the energy label can generate considerable bias in both estimates of rates of uptake of class-A appliances and in estimates of the underlying determinants of choice of class-A appliance. Simulations of the choice to purchase a class-A appliance, given knowledge of the labeling framework, reveal that residence characteristics and, in several cases, regional electricity prices strongly increase the propensity to purchase a class-A appliance, but socio-economic characteris-tics have surprisingly little impact on appliance energy-class choice."/>
    <n v="2"/>
    <n v="2002"/>
    <x v="1"/>
    <m/>
    <x v="6"/>
    <x v="4"/>
    <x v="5"/>
    <m/>
    <m/>
    <m/>
    <m/>
    <m/>
    <m/>
    <m/>
    <m/>
    <m/>
    <m/>
    <m/>
    <m/>
    <m/>
    <m/>
    <m/>
    <m/>
    <m/>
    <m/>
    <m/>
    <m/>
    <m/>
    <m/>
    <m/>
    <m/>
    <m/>
    <m/>
    <m/>
    <m/>
    <x v="3"/>
    <m/>
    <m/>
    <m/>
    <m/>
    <m/>
    <m/>
    <m/>
    <m/>
    <m/>
    <m/>
    <m/>
    <m/>
    <m/>
    <m/>
    <m/>
    <m/>
    <m/>
    <m/>
    <m/>
    <m/>
    <m/>
    <m/>
    <m/>
    <m/>
    <m/>
    <m/>
    <s v="NA"/>
    <m/>
    <m/>
    <m/>
    <m/>
    <m/>
    <m/>
    <m/>
    <m/>
    <m/>
    <m/>
    <m/>
    <m/>
    <m/>
    <m/>
    <m/>
    <m/>
    <m/>
    <m/>
    <m/>
    <m/>
    <m/>
  </r>
  <r>
    <x v="0"/>
    <m/>
    <n v="1213"/>
    <n v="146"/>
    <s v="Min, Azevedo, Michalek, de Bruin"/>
    <n v="2014"/>
    <s v="Labeling energy cost on light bulbs lowers implicit discount rates"/>
    <s v="Lighting accounts for nearly 20% of overall U.S. electricity consumption and 18% of U.S. residential electricity_x000a_consumption. A transition to alternative energy-efficient technologies could reduce this energy consumption_x000a_considerably. To quantify the influence of factors that drive consumer choices for light bulbs, we conducted a_x000a_choice-based conjoint field experiment with 183 participants. We estimated discrete choice models from the_x000a_data, and found that politically liberal consumers have a stronger preference for compact fluorescent lighting_x000a_technology and for low energy consumption. Greater willingness to pay for lower energy consumption and longer_x000a_lifewas observed in conditions where estimated operating cost information was provided. Providing estimated_x000a_annual cost information to consumers reduced their implicit discount rate by a factor of five, lowering barriers_x000a_to adoption of energy efficient alternativeswith higher up-front costs; however, evenwith cost information provided,_x000a_consumers continued to use implicit discount rates of around 100%, which is larger than that experienced_x000a_for other energy technologies."/>
    <n v="2"/>
    <n v="2014"/>
    <x v="0"/>
    <n v="46"/>
    <x v="0"/>
    <x v="2"/>
    <x v="1"/>
    <s v="stated preference"/>
    <s v="lab"/>
    <s v="individuals"/>
    <n v="1"/>
    <s v="opt_out"/>
    <n v="1"/>
    <s v="probably no"/>
    <s v="probably yes"/>
    <s v="only report IDR without WTP - available upon request"/>
    <n v="0"/>
    <n v="1"/>
    <n v="0"/>
    <n v="0"/>
    <n v="0"/>
    <n v="0"/>
    <n v="0"/>
    <n v="0"/>
    <s v="operating cost information (baseline - no such information)"/>
    <n v="0"/>
    <n v="0"/>
    <n v="0"/>
    <n v="0"/>
    <n v="0"/>
    <n v="1"/>
    <n v="0"/>
    <n v="0"/>
    <n v="0"/>
    <s v="NA"/>
    <x v="2"/>
    <s v="WTP for CFL"/>
    <s v="log scale"/>
    <m/>
    <m/>
    <m/>
    <m/>
    <m/>
    <m/>
    <m/>
    <m/>
    <s v="NA"/>
    <s v="NA"/>
    <s v="NA"/>
    <s v="NA"/>
    <s v="NA"/>
    <s v="NA"/>
    <s v="NA"/>
    <n v="6652"/>
    <s v="NA"/>
    <s v="NA"/>
    <s v="NA"/>
    <s v="NA"/>
    <s v="NA"/>
    <s v="NA"/>
    <s v="NA"/>
    <s v="NA"/>
    <s v="NA"/>
    <s v="NA"/>
    <n v="0"/>
    <n v="1"/>
    <n v="1"/>
    <m/>
    <m/>
    <m/>
    <m/>
    <m/>
    <m/>
    <m/>
    <m/>
    <m/>
    <m/>
    <e v="#VALUE!"/>
    <e v="#VALUE!"/>
    <e v="#VALUE!"/>
    <e v="#VALUE!"/>
    <m/>
    <m/>
    <m/>
  </r>
  <r>
    <x v="0"/>
    <m/>
    <n v="1169"/>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purchase of energy efficient air-conditioner"/>
    <x v="1"/>
    <s v="the logarithmic value of the electricity_x000a_consumption (kWh)"/>
    <s v="log scale"/>
    <n v="3.8109999999999999"/>
    <s v="decrease"/>
    <n v="2.3719999999999999"/>
    <n v="0.1"/>
    <n v="2"/>
    <n v="1.6066610455311974"/>
    <n v="44.19561188793142"/>
    <m/>
    <s v="NA"/>
    <s v="NA"/>
    <s v="NA"/>
    <s v="NA"/>
    <s v="NA"/>
    <s v="NA"/>
    <n v="310"/>
    <n v="310"/>
    <s v="NA"/>
    <s v="NA"/>
    <s v="NA"/>
    <s v="NA"/>
    <s v="NA"/>
    <s v="NA"/>
    <s v="NA"/>
    <s v="NA"/>
    <s v="NA"/>
    <s v="NA"/>
    <n v="1"/>
    <n v="1"/>
    <n v="1"/>
    <m/>
    <m/>
    <m/>
    <m/>
    <m/>
    <m/>
    <m/>
    <m/>
    <m/>
    <m/>
    <n v="9.0874644742587773E-2"/>
    <n v="9.112604528874467E-2"/>
    <n v="3.2360227971281281E-3"/>
    <n v="3.2573289902280132E-3"/>
    <m/>
    <m/>
    <m/>
  </r>
  <r>
    <x v="0"/>
    <m/>
    <n v="1170"/>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replacement"/>
    <x v="1"/>
    <s v="the logarithmic value of the electricity_x000a_consumption (kWh)"/>
    <s v="log scale"/>
    <n v="1.9039999999999999"/>
    <s v="decrease"/>
    <n v="2.82"/>
    <n v="0.1"/>
    <n v="2"/>
    <n v="0.67517730496453898"/>
    <n v="5.7126915785915049"/>
    <m/>
    <s v="NA"/>
    <s v="NA"/>
    <s v="NA"/>
    <s v="NA"/>
    <s v="NA"/>
    <s v="NA"/>
    <n v="310"/>
    <n v="310"/>
    <s v="NA"/>
    <s v="NA"/>
    <s v="NA"/>
    <s v="NA"/>
    <s v="NA"/>
    <s v="NA"/>
    <s v="NA"/>
    <s v="NA"/>
    <s v="NA"/>
    <s v="NA"/>
    <n v="1"/>
    <n v="1"/>
    <n v="1"/>
    <m/>
    <m/>
    <m/>
    <m/>
    <m/>
    <m/>
    <m/>
    <m/>
    <m/>
    <m/>
    <n v="3.8319329539764628E-2"/>
    <n v="3.8338101745567565E-2"/>
    <n v="3.2362389632958908E-3"/>
    <n v="3.2573289902280132E-3"/>
    <m/>
    <m/>
    <m/>
  </r>
  <r>
    <x v="0"/>
    <m/>
    <n v="1171"/>
    <n v="140"/>
    <s v="Mizobuchi, Takeuchi"/>
    <n v="2016"/>
    <s v="Replacement or additional purchase: The impact of energy-efficient appliances on household electricity saving under public pressures"/>
    <s v="This study examined the influence of additional and replacement purchases of energy-efficient airconditioners_x000a_on power savings. We used a questionnaire survey and measured electricity use data from_x000a_339 Japanese households, collected from two city areas with different level of government-requested_x000a_electricity-saving rates, namely, Osaka (10%) and Matsuyama (5%). The main findings of our study are as_x000a_follows: (1) Households that purchased energy-efficient air-conditioners saved more electricity than_x000a_those that did not. (2) “Additional-purchase households” showed significant energy savings, whereas_x000a_“replacement households” did not. The rebound effect may negate the energy-saving effects of a new airconditioner._x000a_(3) Altruistic attitude is associated with more active participation in power saving._x000a_(4) Households in Osaka saved more electricity than those in Matsuyama, probably because the government_x000a_call to save electricity was more forceful."/>
    <n v="1"/>
    <s v="2011-2012"/>
    <x v="0"/>
    <n v="143"/>
    <x v="4"/>
    <x v="5"/>
    <x v="16"/>
    <s v="revealed preference"/>
    <s v="online"/>
    <s v="residents"/>
    <n v="0"/>
    <s v="no such option"/>
    <n v="0"/>
    <s v="probably yes"/>
    <s v="probably no"/>
    <s v="government calls for energy savings due to shortage"/>
    <n v="0"/>
    <n v="0"/>
    <n v="0"/>
    <n v="0"/>
    <n v="0"/>
    <n v="0"/>
    <n v="0"/>
    <n v="1"/>
    <s v="Due to the Top Runner Program by the Japanese government, air-conditioner companies must continue to upgrade the energy efficiency of their air-conditioners on a yearly basis."/>
    <n v="0"/>
    <n v="0"/>
    <n v="0"/>
    <n v="0"/>
    <n v="0"/>
    <n v="0"/>
    <n v="0"/>
    <n v="1"/>
    <n v="0"/>
    <s v="after additional purchase"/>
    <x v="1"/>
    <s v="the logarithmic value of the electricity_x000a_consumption (kWh)"/>
    <s v="log scale"/>
    <n v="6.681"/>
    <s v="decrease"/>
    <n v="3.4260000000000002"/>
    <n v="0.1"/>
    <n v="1"/>
    <n v="1.9500875656742556"/>
    <n v="796.11582942023051"/>
    <m/>
    <s v="NA"/>
    <s v="NA"/>
    <s v="NA"/>
    <s v="NA"/>
    <s v="NA"/>
    <s v="NA"/>
    <n v="310"/>
    <n v="310"/>
    <s v="NA"/>
    <s v="NA"/>
    <s v="NA"/>
    <s v="NA"/>
    <s v="NA"/>
    <s v="NA"/>
    <s v="NA"/>
    <s v="NA"/>
    <s v="NA"/>
    <s v="NA"/>
    <n v="1"/>
    <n v="1"/>
    <n v="1"/>
    <m/>
    <m/>
    <m/>
    <m/>
    <m/>
    <m/>
    <m/>
    <m/>
    <m/>
    <m/>
    <n v="0.11008437401907406"/>
    <n v="0.11053232404190938"/>
    <n v="3.235762897306693E-3"/>
    <n v="3.2573289902280132E-3"/>
    <m/>
    <m/>
    <m/>
  </r>
  <r>
    <x v="3"/>
    <n v="21"/>
    <n v="1270"/>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09"/>
    <s v="increase"/>
    <n v="0.12"/>
    <n v="0.05"/>
    <n v="2"/>
    <n v="1.6474057119344734"/>
    <n v="9.4174283705210415E-2"/>
    <n v="0.52248482479180014"/>
    <s v="NA"/>
    <s v="NA"/>
    <s v="NA"/>
    <s v="NA"/>
    <s v="NA"/>
    <s v="NA"/>
    <n v="600"/>
    <n v="600"/>
    <s v="NA"/>
    <s v="NA"/>
    <s v="NA"/>
    <s v="NA"/>
    <s v="NA"/>
    <s v="NA"/>
    <s v="NA"/>
    <s v="NA"/>
    <s v="NA"/>
    <s v="NA"/>
    <n v="0"/>
    <n v="1"/>
    <n v="1"/>
    <m/>
    <m/>
    <m/>
    <m/>
    <m/>
    <m/>
    <m/>
    <m/>
    <m/>
    <m/>
    <n v="6.7103465160314887E-2"/>
    <n v="6.7204457661064573E-2"/>
    <n v="1.6694150280093312E-3"/>
    <n v="1.6750418760469012E-3"/>
    <s v="NA"/>
    <n v="598"/>
    <s v="NA"/>
  </r>
  <r>
    <x v="3"/>
    <n v="21"/>
    <n v="1271"/>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1"/>
    <s v="increase"/>
    <n v="0.11"/>
    <n v="0.05"/>
    <n v="2"/>
    <n v="1.6474057119344734"/>
    <n v="0.10517091807564771"/>
    <n v="0.52497918747894001"/>
    <s v="NA"/>
    <s v="NA"/>
    <s v="NA"/>
    <s v="NA"/>
    <s v="NA"/>
    <s v="NA"/>
    <n v="600"/>
    <n v="600"/>
    <s v="NA"/>
    <s v="NA"/>
    <s v="NA"/>
    <s v="NA"/>
    <s v="NA"/>
    <s v="NA"/>
    <s v="NA"/>
    <s v="NA"/>
    <s v="NA"/>
    <s v="NA"/>
    <n v="0"/>
    <n v="1"/>
    <n v="1"/>
    <m/>
    <m/>
    <m/>
    <m/>
    <m/>
    <m/>
    <m/>
    <m/>
    <m/>
    <m/>
    <n v="6.7103465160314887E-2"/>
    <n v="6.7204457661064573E-2"/>
    <n v="1.6694150280093312E-3"/>
    <n v="1.6750418760469012E-3"/>
    <s v="NA"/>
    <n v="598"/>
    <s v="NA"/>
  </r>
  <r>
    <x v="3"/>
    <n v="21"/>
    <n v="1252"/>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21"/>
    <s v="increase"/>
    <n v="0.03"/>
    <n v="0.05"/>
    <n v="1"/>
    <n v="1.9639388980555066"/>
    <n v="0.23367805995674318"/>
    <n v="0.5523079095743253"/>
    <s v="NA"/>
    <s v="NA"/>
    <s v="NA"/>
    <s v="NA"/>
    <s v="NA"/>
    <s v="NA"/>
    <n v="600"/>
    <n v="600"/>
    <s v="NA"/>
    <s v="NA"/>
    <s v="NA"/>
    <s v="NA"/>
    <s v="NA"/>
    <s v="NA"/>
    <s v="NA"/>
    <s v="NA"/>
    <s v="NA"/>
    <s v="NA"/>
    <n v="0"/>
    <n v="1"/>
    <n v="1"/>
    <m/>
    <m/>
    <m/>
    <m/>
    <m/>
    <m/>
    <m/>
    <m/>
    <m/>
    <m/>
    <n v="7.9920998150068992E-2"/>
    <n v="8.0091814824645752E-2"/>
    <n v="1.6693803867099848E-3"/>
    <n v="1.6750418760469012E-3"/>
    <s v="NA"/>
    <n v="598"/>
    <s v="NA"/>
  </r>
  <r>
    <x v="3"/>
    <n v="21"/>
    <n v="1253"/>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0"/>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27"/>
    <s v="increase"/>
    <n v="0.05"/>
    <n v="0.05"/>
    <n v="1"/>
    <n v="1.9639388980555066"/>
    <n v="0.3099644507332473"/>
    <n v="0.56709290496545439"/>
    <s v="NA"/>
    <s v="NA"/>
    <s v="NA"/>
    <s v="NA"/>
    <s v="NA"/>
    <s v="NA"/>
    <n v="600"/>
    <n v="600"/>
    <s v="NA"/>
    <s v="NA"/>
    <s v="NA"/>
    <s v="NA"/>
    <s v="NA"/>
    <s v="NA"/>
    <s v="NA"/>
    <s v="NA"/>
    <s v="NA"/>
    <s v="NA"/>
    <n v="0"/>
    <n v="1"/>
    <n v="1"/>
    <m/>
    <m/>
    <m/>
    <m/>
    <m/>
    <m/>
    <m/>
    <m/>
    <m/>
    <m/>
    <n v="7.9920998150068992E-2"/>
    <n v="8.0091814824645752E-2"/>
    <n v="1.6693803867099848E-3"/>
    <n v="1.6750418760469012E-3"/>
    <s v="NA"/>
    <n v="598"/>
    <s v="NA"/>
  </r>
  <r>
    <x v="3"/>
    <n v="21"/>
    <n v="1273"/>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1"/>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85"/>
    <s v="increase"/>
    <n v="0.11"/>
    <n v="0.05"/>
    <n v="1"/>
    <n v="1.9639388980555066"/>
    <n v="1.3396468519259908"/>
    <n v="0.70056714247397289"/>
    <s v="NA"/>
    <s v="NA"/>
    <s v="NA"/>
    <s v="NA"/>
    <s v="NA"/>
    <s v="NA"/>
    <n v="600"/>
    <n v="600"/>
    <s v="NA"/>
    <s v="NA"/>
    <s v="NA"/>
    <s v="NA"/>
    <s v="NA"/>
    <s v="NA"/>
    <s v="NA"/>
    <s v="NA"/>
    <s v="NA"/>
    <s v="NA"/>
    <n v="0"/>
    <n v="1"/>
    <n v="1"/>
    <m/>
    <m/>
    <m/>
    <m/>
    <m/>
    <m/>
    <m/>
    <m/>
    <m/>
    <m/>
    <n v="7.9920998150068992E-2"/>
    <n v="8.0091814824645752E-2"/>
    <n v="1.6693803867099848E-3"/>
    <n v="1.6750418760469012E-3"/>
    <s v="NA"/>
    <n v="598"/>
    <s v="NA"/>
  </r>
  <r>
    <x v="3"/>
    <n v="21"/>
    <n v="1272"/>
    <n v="313"/>
    <s v="Nakano, Zusman, Nugroho, Kaswanto, Arifin N, Munandar, Arifin HS, Muchtar, Gomi, Fujita"/>
    <n v="2018"/>
    <s v="Determinants of Energy Savings in Indonesia: the case of LED lighting in Bogor"/>
    <s v="This article analyzes which factors influenced willingness to purchase residential electricity savings technologies in Bogor, Indonesia. Survey data collected from 600 households between October and 2 November 2015 was used to test hypotheses on demographic, informational, and participatory determinants of willingness to invest in energy efficient lighting. Results of an ordinal logit regression on 600 respondents in Bogor show willingness to purchase these technologies were positively correlated with information and participation variables. The estimates from these fuller models suggest that information of both relevant policies and training in the workplace were more likely to purchase energy saving lightings relative to those with less information. The national energy efficiency labelling program are shown to have a positive effect on purchasing LED lightings. Moreover, information should be as specific to the local and personal context as possible. A lack of information could to some degree be compensated by engaging in environmentally-related activities—with regular participants more likely to change their willingness to change purchasing behavior than less frequent participants."/>
    <n v="2"/>
    <n v="2015"/>
    <x v="12"/>
    <n v="13"/>
    <x v="24"/>
    <x v="7"/>
    <x v="26"/>
    <s v="stated preference"/>
    <s v="household"/>
    <s v="residents"/>
    <n v="1"/>
    <s v="opt_out"/>
    <n v="0"/>
    <s v="probably yes"/>
    <s v="probably no"/>
    <s v="just study one city of Indonesia (Bogor), but they are convincing that the sample is quite representative regarding the population in the city; As it is stated preference, hypothetical bias may be an issue"/>
    <n v="0"/>
    <n v="1"/>
    <n v="1"/>
    <n v="0"/>
    <n v="0"/>
    <n v="0"/>
    <n v="0"/>
    <n v="0"/>
    <s v="there is no real intervention. They measure the effect of knowledge about policies and labels on the willingness to adopt efficient lighting"/>
    <n v="0"/>
    <n v="0"/>
    <n v="0"/>
    <n v="0"/>
    <n v="0"/>
    <n v="1"/>
    <n v="0"/>
    <n v="0"/>
    <n v="0"/>
    <s v="whether the respondent is willing to change from conventional lightning to LED; the coding of the dependent variable is not clear though"/>
    <x v="0"/>
    <s v="coefficient form ordered logit model"/>
    <s v="dummy (0/1)"/>
    <n v="0.87"/>
    <s v="increase"/>
    <n v="0.1"/>
    <n v="0.05"/>
    <n v="1"/>
    <n v="1.9639388980555066"/>
    <n v="1.3869108535242765"/>
    <n v="0.70474569799809106"/>
    <s v="NA"/>
    <s v="NA"/>
    <s v="NA"/>
    <s v="NA"/>
    <s v="NA"/>
    <s v="NA"/>
    <n v="600"/>
    <n v="600"/>
    <s v="NA"/>
    <s v="NA"/>
    <s v="NA"/>
    <s v="NA"/>
    <s v="NA"/>
    <s v="NA"/>
    <s v="NA"/>
    <s v="NA"/>
    <s v="NA"/>
    <s v="NA"/>
    <n v="0"/>
    <n v="1"/>
    <n v="1"/>
    <m/>
    <m/>
    <m/>
    <m/>
    <m/>
    <m/>
    <m/>
    <m/>
    <m/>
    <m/>
    <n v="7.9920998150068992E-2"/>
    <n v="8.0091814824645752E-2"/>
    <n v="1.6693803867099848E-3"/>
    <n v="1.6750418760469012E-3"/>
    <s v="NA"/>
    <n v="598"/>
    <s v="NA"/>
  </r>
  <r>
    <x v="2"/>
    <n v="22"/>
    <n v="1278"/>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3"/>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7.0000000000000001E-3"/>
    <s v="increase"/>
    <s v="NA"/>
    <n v="0.1"/>
    <n v="2"/>
    <n v="1.6458012044463048"/>
    <n v="7.0245572668485856E-3"/>
    <n v="0.50174999285420174"/>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80"/>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0"/>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1.2999999999999999E-2"/>
    <s v="decrease"/>
    <s v="NA"/>
    <n v="0.1"/>
    <n v="2"/>
    <n v="1.6458012044463048"/>
    <n v="1.3084867359809182E-2"/>
    <n v="0.50324995422994023"/>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9"/>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3"/>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1.4E-2"/>
    <s v="decrease"/>
    <s v="NA"/>
    <n v="0.1"/>
    <n v="2"/>
    <n v="1.6458012044463048"/>
    <n v="1.4098458938492264E-2"/>
    <n v="0.50349994283445376"/>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9"/>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11"/>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0.04"/>
    <s v="increase"/>
    <s v="NA"/>
    <n v="0.1"/>
    <n v="1"/>
    <n v="1.6458012044463048"/>
    <n v="4.0810774192388211E-2"/>
    <n v="0.50999866687996553"/>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8"/>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11"/>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4.1000000000000002E-2"/>
    <s v="decrease"/>
    <s v="NA"/>
    <n v="0.1"/>
    <n v="1"/>
    <n v="1.6458012044463048"/>
    <n v="4.1852105545479468E-2"/>
    <n v="0.51024856438715938"/>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1"/>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0"/>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5.8999999999999997E-2"/>
    <s v="increase"/>
    <s v="NA"/>
    <n v="0.1"/>
    <n v="2"/>
    <n v="1.6458012044463048"/>
    <n v="6.0775240740158942E-2"/>
    <n v="0.51474572275973451"/>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5"/>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7"/>
    <s v="stated preference"/>
    <s v="online"/>
    <s v="individuals"/>
    <n v="1"/>
    <s v="NA"/>
    <n v="0"/>
    <s v="probably no"/>
    <s v="probably no"/>
    <s v="NA"/>
    <n v="0"/>
    <n v="0"/>
    <n v="1"/>
    <n v="0"/>
    <n v="0"/>
    <n v="0"/>
    <n v="0"/>
    <n v="0"/>
    <s v="NA"/>
    <n v="0"/>
    <n v="0"/>
    <n v="0"/>
    <n v="0"/>
    <n v="0"/>
    <n v="0"/>
    <n v="0"/>
    <n v="0"/>
    <n v="0"/>
    <s v="attitude on heating equipment use"/>
    <x v="0"/>
    <s v="attitude on heating equipment use - behavior change"/>
    <s v="log scale"/>
    <n v="6.4000000000000001E-2"/>
    <s v="decrease"/>
    <s v="NA"/>
    <n v="0.05"/>
    <n v="1"/>
    <n v="1.9614394515458273"/>
    <n v="6.6092398761505189E-2"/>
    <n v="0.51599454090270203"/>
    <s v="NA"/>
    <s v="NA"/>
    <s v="AN"/>
    <s v="NA"/>
    <s v="NA"/>
    <s v="NA"/>
    <n v="1611"/>
    <n v="1611"/>
    <s v="NA"/>
    <s v="NA"/>
    <s v="NA"/>
    <s v="NA"/>
    <s v="NA"/>
    <s v="NA"/>
    <s v="NA"/>
    <s v="NA"/>
    <s v="NA"/>
    <s v="NA"/>
    <n v="0"/>
    <n v="1"/>
    <n v="1"/>
    <m/>
    <m/>
    <m/>
    <m/>
    <m/>
    <m/>
    <m/>
    <m/>
    <m/>
    <m/>
    <n v="4.8810042166661197E-2"/>
    <n v="4.8848859679970422E-2"/>
    <n v="6.2111447577430079E-4"/>
    <n v="6.2189054726368158E-4"/>
    <s v="NA"/>
    <n v="1609"/>
    <s v="NA"/>
  </r>
  <r>
    <x v="2"/>
    <n v="22"/>
    <n v="1275"/>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7"/>
    <s v="stated preference"/>
    <s v="online"/>
    <s v="individuals"/>
    <n v="1"/>
    <s v="NA"/>
    <n v="0"/>
    <s v="probably no"/>
    <s v="probably no"/>
    <s v="NA"/>
    <n v="0"/>
    <n v="0"/>
    <n v="1"/>
    <n v="0"/>
    <n v="0"/>
    <n v="0"/>
    <n v="0"/>
    <n v="0"/>
    <s v="NA"/>
    <n v="0"/>
    <n v="0"/>
    <n v="0"/>
    <n v="0"/>
    <n v="0"/>
    <n v="0"/>
    <n v="0"/>
    <n v="0"/>
    <n v="0"/>
    <s v="attitude on heating equipment use"/>
    <x v="0"/>
    <s v="attitude on heating equipment use - behavior change"/>
    <s v="log scale"/>
    <n v="6.7000000000000004E-2"/>
    <s v="decrease"/>
    <s v="NA"/>
    <n v="0.05"/>
    <n v="1"/>
    <n v="1.9614394515458273"/>
    <n v="6.9295478174600245E-2"/>
    <n v="0.51674373691565023"/>
    <s v="NA"/>
    <s v="NA"/>
    <s v="AN"/>
    <s v="NA"/>
    <s v="NA"/>
    <s v="NA"/>
    <n v="1611"/>
    <n v="1611"/>
    <s v="NA"/>
    <s v="NA"/>
    <s v="NA"/>
    <s v="NA"/>
    <s v="NA"/>
    <s v="NA"/>
    <s v="NA"/>
    <s v="NA"/>
    <s v="NA"/>
    <s v="NA"/>
    <n v="0"/>
    <n v="1"/>
    <n v="1"/>
    <m/>
    <m/>
    <m/>
    <m/>
    <m/>
    <m/>
    <m/>
    <m/>
    <m/>
    <m/>
    <n v="4.8810042166661197E-2"/>
    <n v="4.8848859679970422E-2"/>
    <n v="6.2111447577430079E-4"/>
    <n v="6.2189054726368158E-4"/>
    <s v="NA"/>
    <n v="1609"/>
    <s v="NA"/>
  </r>
  <r>
    <x v="2"/>
    <n v="22"/>
    <n v="1296"/>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8"/>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7.2999999999999995E-2"/>
    <s v="decrease"/>
    <s v="NA"/>
    <n v="0.1"/>
    <n v="2"/>
    <n v="1.6458012044463048"/>
    <n v="7.5730536914703439E-2"/>
    <n v="0.5182418997957380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97"/>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8"/>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7.2999999999999995E-2"/>
    <s v="increase"/>
    <s v="NA"/>
    <n v="0.1"/>
    <n v="2"/>
    <n v="1.6458012044463048"/>
    <n v="7.5730536914703439E-2"/>
    <n v="0.5182418997957380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7"/>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9"/>
    <x v="25"/>
    <x v="3"/>
    <x v="29"/>
    <s v="stated preference"/>
    <s v="online"/>
    <s v="individuals"/>
    <n v="1"/>
    <s v="NA"/>
    <n v="0"/>
    <s v="probably no"/>
    <s v="probably no"/>
    <s v="NA"/>
    <n v="0"/>
    <n v="0"/>
    <n v="1"/>
    <n v="0"/>
    <n v="0"/>
    <n v="0"/>
    <n v="0"/>
    <n v="0"/>
    <s v="NA"/>
    <n v="0"/>
    <n v="0"/>
    <n v="0"/>
    <n v="0"/>
    <n v="0"/>
    <n v="0"/>
    <n v="0"/>
    <n v="0"/>
    <n v="0"/>
    <s v="attitude on heating equipment use"/>
    <x v="0"/>
    <s v="Behavior intention to change to Energy efficient household appliance"/>
    <s v="log scale"/>
    <n v="9.9000000000000005E-2"/>
    <s v="increase"/>
    <s v="NA"/>
    <n v="0.05"/>
    <n v="1"/>
    <n v="1.9614394515458273"/>
    <n v="0.10406629955888191"/>
    <n v="0.52472980523016299"/>
    <s v="NA"/>
    <s v="NA"/>
    <s v="AN"/>
    <s v="NA"/>
    <s v="NA"/>
    <s v="NA"/>
    <n v="1611"/>
    <n v="1611"/>
    <s v="NA"/>
    <s v="NA"/>
    <s v="NA"/>
    <s v="NA"/>
    <s v="NA"/>
    <s v="NA"/>
    <s v="NA"/>
    <s v="NA"/>
    <s v="NA"/>
    <s v="NA"/>
    <n v="0"/>
    <n v="1"/>
    <n v="1"/>
    <m/>
    <m/>
    <m/>
    <m/>
    <m/>
    <m/>
    <m/>
    <m/>
    <m/>
    <m/>
    <n v="4.0969891212699401E-2"/>
    <n v="4.0992837417654034E-2"/>
    <n v="6.2111625851744845E-4"/>
    <n v="6.2189054726368158E-4"/>
    <s v="NA"/>
    <n v="1609"/>
    <s v="NA"/>
  </r>
  <r>
    <x v="2"/>
    <n v="22"/>
    <n v="1276"/>
    <n v="407"/>
    <s v="Neves, Oliveira"/>
    <n v="2021"/>
    <s v="Drivers of consumers’ change to an energy-efficient heating appliance (EEHA) in households: Evidence from five European countries"/>
    <s v="Residential buildings are significant contributors to global energy consumption. Hence, numerous articles have studied occupants’ energy behaviors to promote households’ change toward energy efficiency. However, the drivers of these behaviors, analyzed in a unified view of several perspectives, have not been fully explored in the literature. Moreover, the intention to adopt an energy-efficient heating appliance (EEHA) has never been investigated in order to understand what drives people to change their current appliances. To fill this gap, our work gathers six relevant contexts (triggers, barriers, engagement, house characteristics, co-benefits, and communication channels) to predict behavior change (both attitude on heating equipment use and intention to change to an EEHA). We tested our model based on a sample of 1611 observations collected in five European countries, using structural equation modeling. Our work reveals the significance of energy efficiency and labeling as motivations, and operation and maintenance as barriers. Co-benefits and communication channels also greatly affect consumer behavior intention, namely organizational and web media channels. Our results also emphasize the importance of consumer engagement in the topic of energy, being the strongest effect on behavior intention. These findings have practical implications for both energy and governmental organizations to increase house_x0002_holds’ energy efficiency."/>
    <n v="2"/>
    <s v="2019-2020"/>
    <x v="0"/>
    <n v="8"/>
    <x v="25"/>
    <x v="3"/>
    <x v="29"/>
    <s v="stated preference"/>
    <s v="online"/>
    <s v="individuals"/>
    <n v="1"/>
    <s v="NA"/>
    <n v="0"/>
    <s v="probably no"/>
    <s v="probably no"/>
    <s v="NA"/>
    <n v="0"/>
    <n v="0"/>
    <n v="1"/>
    <n v="0"/>
    <n v="0"/>
    <n v="0"/>
    <n v="0"/>
    <n v="0"/>
    <s v="NA"/>
    <n v="0"/>
    <n v="0"/>
    <n v="0"/>
    <n v="0"/>
    <n v="0"/>
    <n v="0"/>
    <n v="0"/>
    <n v="0"/>
    <n v="0"/>
    <s v="Behavior intention to change to Energy efficient household appliance"/>
    <x v="0"/>
    <s v="attitude on heating equipment use - behavior change"/>
    <s v="log scale"/>
    <n v="0.161"/>
    <s v="decrease"/>
    <s v="NA"/>
    <n v="0.01"/>
    <n v="1"/>
    <n v="2.5788883732398911"/>
    <n v="0.17468496881387163"/>
    <n v="0.54016328142212455"/>
    <s v="NA"/>
    <s v="NA"/>
    <s v="AN"/>
    <s v="NA"/>
    <s v="NA"/>
    <s v="NA"/>
    <n v="1611"/>
    <n v="1611"/>
    <s v="NA"/>
    <s v="NA"/>
    <s v="NA"/>
    <s v="NA"/>
    <s v="NA"/>
    <s v="NA"/>
    <s v="NA"/>
    <s v="NA"/>
    <s v="NA"/>
    <s v="NA"/>
    <n v="0"/>
    <n v="1"/>
    <n v="1"/>
    <m/>
    <m/>
    <m/>
    <m/>
    <m/>
    <m/>
    <m/>
    <m/>
    <m/>
    <m/>
    <n v="6.411950690189884E-2"/>
    <n v="6.4207596049565968E-2"/>
    <n v="6.2110745592692065E-4"/>
    <n v="6.2189054726368158E-4"/>
    <s v="NA"/>
    <n v="1609"/>
    <s v="NA"/>
  </r>
  <r>
    <x v="0"/>
    <m/>
    <n v="1180"/>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operating cost information (baseline - current EnergyGuide label)"/>
    <n v="0"/>
    <n v="0"/>
    <n v="0"/>
    <n v="0"/>
    <n v="0"/>
    <n v="0"/>
    <n v="1"/>
    <n v="0"/>
    <n v="0"/>
    <s v="individual discount rate"/>
    <x v="2"/>
    <s v="WTP for reduced present value operating cost"/>
    <s v="NA"/>
    <n v="0.7"/>
    <s v="increase"/>
    <n v="9.8591549295774641E-2"/>
    <n v="0.1"/>
    <n v="1"/>
    <n v="7.1"/>
    <s v="NA"/>
    <m/>
    <s v="NA"/>
    <s v="NA"/>
    <s v="NA"/>
    <s v="NA"/>
    <s v="NA"/>
    <s v="NA"/>
    <n v="1184"/>
    <n v="1184"/>
    <s v="NA"/>
    <s v="NA"/>
    <s v="NA"/>
    <s v="NA"/>
    <s v="NA"/>
    <n v="1"/>
    <n v="288"/>
    <n v="0"/>
    <s v="NA"/>
    <s v="NA"/>
    <n v="1"/>
    <n v="0"/>
    <n v="1"/>
    <m/>
    <m/>
    <m/>
    <m/>
    <m/>
    <m/>
    <m/>
    <m/>
    <m/>
    <m/>
    <n v="0.2020824660717096"/>
    <n v="0.20490273447739515"/>
    <n v="8.4381846898462422E-4"/>
    <n v="8.4674005080440302E-4"/>
    <m/>
    <m/>
    <m/>
  </r>
  <r>
    <x v="0"/>
    <m/>
    <n v="1181"/>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operating cost relative to range (baseline - current EnergyGuide label)"/>
    <n v="0"/>
    <n v="0"/>
    <n v="0"/>
    <n v="0"/>
    <n v="0"/>
    <n v="0"/>
    <n v="1"/>
    <n v="0"/>
    <n v="0"/>
    <s v="individual discount rate"/>
    <x v="2"/>
    <s v="WTP for reduced present value operating cost"/>
    <s v="NA"/>
    <n v="0.111"/>
    <s v="increase"/>
    <n v="0.15416666666666667"/>
    <n v="0.1"/>
    <n v="2"/>
    <n v="0.72"/>
    <s v="NA"/>
    <m/>
    <s v="NA"/>
    <s v="NA"/>
    <s v="NA"/>
    <s v="NA"/>
    <s v="NA"/>
    <s v="NA"/>
    <n v="1184"/>
    <n v="1184"/>
    <s v="NA"/>
    <s v="NA"/>
    <s v="NA"/>
    <s v="NA"/>
    <s v="NA"/>
    <n v="1"/>
    <n v="288"/>
    <n v="0"/>
    <s v="NA"/>
    <s v="NA"/>
    <n v="1"/>
    <n v="0"/>
    <n v="1"/>
    <m/>
    <m/>
    <m/>
    <m/>
    <m/>
    <m/>
    <m/>
    <m/>
    <m/>
    <m/>
    <n v="2.0919995692237577E-2"/>
    <n v="2.0923048346211292E-2"/>
    <n v="8.453083756162019E-4"/>
    <n v="8.4674005080440302E-4"/>
    <m/>
    <m/>
    <m/>
  </r>
  <r>
    <x v="0"/>
    <m/>
    <n v="1182"/>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0"/>
    <n v="1"/>
    <n v="0"/>
    <n v="0"/>
    <n v="0"/>
    <n v="0"/>
    <n v="0"/>
    <s v="EnergyGuide image"/>
    <n v="0"/>
    <n v="0"/>
    <n v="0"/>
    <n v="0"/>
    <n v="0"/>
    <n v="0"/>
    <n v="1"/>
    <n v="0"/>
    <n v="0"/>
    <s v="individual discount rate"/>
    <x v="2"/>
    <s v="WTP for reduced present value operating cost"/>
    <s v="NA"/>
    <n v="0.13200000000000001"/>
    <s v="decrease"/>
    <n v="0.11478260869565218"/>
    <n v="0.1"/>
    <n v="2"/>
    <n v="1.1499999999999999"/>
    <s v="NA"/>
    <m/>
    <s v="NA"/>
    <s v="NA"/>
    <s v="NA"/>
    <s v="NA"/>
    <s v="NA"/>
    <s v="NA"/>
    <n v="1184"/>
    <n v="1184"/>
    <s v="NA"/>
    <s v="NA"/>
    <s v="NA"/>
    <s v="NA"/>
    <s v="NA"/>
    <n v="1"/>
    <n v="288"/>
    <n v="0"/>
    <s v="NA"/>
    <s v="NA"/>
    <n v="1"/>
    <n v="0"/>
    <n v="1"/>
    <m/>
    <m/>
    <m/>
    <m/>
    <m/>
    <m/>
    <m/>
    <m/>
    <m/>
    <m/>
    <n v="3.3402546418006968E-2"/>
    <n v="3.341497748312889E-2"/>
    <n v="8.4530748376344727E-4"/>
    <n v="8.4674005080440302E-4"/>
    <m/>
    <m/>
    <m/>
  </r>
  <r>
    <x v="0"/>
    <m/>
    <n v="1183"/>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0"/>
    <n v="1"/>
    <n v="0"/>
    <n v="0"/>
    <n v="0"/>
    <n v="0"/>
    <n v="0"/>
    <s v="Energy Star logo (baseline - current EnergyGuide label)"/>
    <n v="0"/>
    <n v="0"/>
    <n v="0"/>
    <n v="0"/>
    <n v="0"/>
    <n v="0"/>
    <n v="1"/>
    <n v="0"/>
    <n v="0"/>
    <s v="individual discount rate"/>
    <x v="2"/>
    <s v="WTP for reduced present value operating cost"/>
    <s v="NA"/>
    <n v="0.152"/>
    <s v="decrease"/>
    <n v="0.14476190476190476"/>
    <n v="0.1"/>
    <n v="2"/>
    <n v="1.05"/>
    <s v="NA"/>
    <m/>
    <s v="NA"/>
    <s v="NA"/>
    <s v="NA"/>
    <s v="NA"/>
    <s v="NA"/>
    <s v="NA"/>
    <n v="1184"/>
    <n v="1184"/>
    <s v="NA"/>
    <s v="NA"/>
    <s v="NA"/>
    <s v="NA"/>
    <s v="NA"/>
    <n v="1"/>
    <n v="288"/>
    <n v="0"/>
    <s v="NA"/>
    <s v="NA"/>
    <n v="1"/>
    <n v="0"/>
    <n v="1"/>
    <m/>
    <m/>
    <m/>
    <m/>
    <m/>
    <m/>
    <m/>
    <m/>
    <m/>
    <m/>
    <n v="3.050080782390133E-2"/>
    <n v="3.0510271400002755E-2"/>
    <n v="8.453078051298751E-4"/>
    <n v="8.4674005080440302E-4"/>
    <m/>
    <m/>
    <m/>
  </r>
  <r>
    <x v="0"/>
    <m/>
    <n v="1184"/>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physical energy info (baseline - current EnergyGuide label)"/>
    <n v="0"/>
    <n v="0"/>
    <n v="0"/>
    <n v="0"/>
    <n v="0"/>
    <n v="0"/>
    <n v="1"/>
    <n v="0"/>
    <n v="0"/>
    <s v="individual discount rate"/>
    <x v="2"/>
    <s v="WTP for reduced present value operating cost"/>
    <s v="NA"/>
    <n v="0.34"/>
    <s v="increase"/>
    <n v="0.15044247787610621"/>
    <n v="0.1"/>
    <n v="1"/>
    <n v="2.2599999999999998"/>
    <s v="NA"/>
    <m/>
    <s v="NA"/>
    <s v="NA"/>
    <s v="NA"/>
    <s v="NA"/>
    <s v="NA"/>
    <s v="NA"/>
    <n v="1184"/>
    <n v="1184"/>
    <s v="NA"/>
    <s v="NA"/>
    <s v="NA"/>
    <s v="NA"/>
    <s v="NA"/>
    <n v="1"/>
    <n v="288"/>
    <n v="0"/>
    <s v="NA"/>
    <s v="NA"/>
    <n v="1"/>
    <n v="0"/>
    <n v="1"/>
    <m/>
    <m/>
    <m/>
    <m/>
    <m/>
    <m/>
    <m/>
    <m/>
    <m/>
    <m/>
    <n v="6.5538705898597463E-2"/>
    <n v="6.563278509260187E-2"/>
    <n v="8.4529285210817155E-4"/>
    <n v="8.4674005080440302E-4"/>
    <m/>
    <m/>
    <m/>
  </r>
  <r>
    <x v="0"/>
    <m/>
    <n v="1185"/>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CO2 emission info (baseline - current EnergyGuide label)"/>
    <n v="0"/>
    <n v="0"/>
    <n v="0"/>
    <n v="0"/>
    <n v="0"/>
    <n v="0"/>
    <n v="1"/>
    <n v="0"/>
    <n v="0"/>
    <s v="individual discount rate"/>
    <x v="2"/>
    <s v="WTP for reduced present value operating cost"/>
    <s v="NA"/>
    <n v="0.249"/>
    <s v="increase"/>
    <n v="0.13387096774193546"/>
    <n v="0.1"/>
    <n v="1"/>
    <n v="1.86"/>
    <s v="NA"/>
    <m/>
    <s v="NA"/>
    <s v="NA"/>
    <s v="NA"/>
    <s v="NA"/>
    <s v="NA"/>
    <s v="NA"/>
    <n v="1184"/>
    <n v="1184"/>
    <s v="NA"/>
    <s v="NA"/>
    <s v="NA"/>
    <s v="NA"/>
    <s v="NA"/>
    <n v="1"/>
    <n v="288"/>
    <n v="0"/>
    <s v="NA"/>
    <s v="NA"/>
    <n v="1"/>
    <n v="0"/>
    <n v="1"/>
    <m/>
    <m/>
    <m/>
    <m/>
    <m/>
    <m/>
    <m/>
    <m/>
    <m/>
    <m/>
    <n v="5.3976351182136464E-2"/>
    <n v="5.402886207559579E-2"/>
    <n v="8.4530133453125005E-4"/>
    <n v="8.4674005080440302E-4"/>
    <m/>
    <m/>
    <m/>
  </r>
  <r>
    <x v="0"/>
    <m/>
    <n v="1186"/>
    <n v="142"/>
    <s v="Newell, Siikamäki"/>
    <n v="2014"/>
    <s v="Nudging Energy Efficiency Behavior: The Role of Information Labels"/>
    <s v="We use choice experiments and randomized information treatments to_x000a_study the effectiveness of alternative energy efficiency labels in guiding households’_x000a_energy efficiency decisions. We disentangle the relative importance of different types_x000a_of information and distinguish it from intertemporal behavior. We find that insufficient_x000a_information can lead to considerable undervaluation of energy efficiency._x000a_Simple information on the monetary value of energy savings was the most important_x000a_element guiding cost-efficient energy efficiency investments, with information on_x000a_physical energy use and carbon dioxide emissions having additional but lesser importance._x000a_The degree to which the current US EnergyGuide label guided cost-efficient_x000a_decisions depends on the discount rate. Using elicited individual discount rates, the_x000a_current EnergyGuide label came very close to guiding cost-efficient decisions. Using a_x000a_uniform 5% discount rate, the current label led to one-third undervaluation of energy_x000a_efficiency. Our results reinforce the centrality of discounting in understanding individual_x000a_behavior and guiding policy."/>
    <n v="2"/>
    <n v="2011"/>
    <x v="0"/>
    <n v="582"/>
    <x v="18"/>
    <x v="3"/>
    <x v="1"/>
    <s v="stated preference"/>
    <s v="online"/>
    <s v="residents"/>
    <n v="1"/>
    <s v="opt_out"/>
    <n v="1"/>
    <s v="probably no"/>
    <s v="probably no"/>
    <s v="NA"/>
    <n v="0"/>
    <n v="1"/>
    <n v="1"/>
    <n v="0"/>
    <n v="0"/>
    <n v="0"/>
    <n v="0"/>
    <n v="0"/>
    <s v="relative grade info (baseline - current EnergyGuide label)"/>
    <n v="0"/>
    <n v="0"/>
    <n v="0"/>
    <n v="0"/>
    <n v="0"/>
    <n v="0"/>
    <n v="1"/>
    <n v="0"/>
    <n v="0"/>
    <s v="individual discount rate"/>
    <x v="2"/>
    <s v="WTP for reduced present value operating cost"/>
    <s v="NA"/>
    <n v="0.64200000000000002"/>
    <s v="increase"/>
    <n v="0.19337349397590362"/>
    <n v="0.1"/>
    <n v="1"/>
    <n v="3.32"/>
    <s v="NA"/>
    <m/>
    <s v="NA"/>
    <s v="NA"/>
    <s v="NA"/>
    <s v="NA"/>
    <s v="NA"/>
    <s v="NA"/>
    <n v="1184"/>
    <n v="1184"/>
    <s v="NA"/>
    <s v="NA"/>
    <s v="NA"/>
    <s v="NA"/>
    <s v="NA"/>
    <n v="1"/>
    <n v="288"/>
    <n v="0"/>
    <s v="NA"/>
    <s v="NA"/>
    <n v="1"/>
    <n v="0"/>
    <n v="1"/>
    <m/>
    <m/>
    <m/>
    <m/>
    <m/>
    <m/>
    <m/>
    <m/>
    <m/>
    <m/>
    <n v="9.6039537672003544E-2"/>
    <n v="9.633645915133221E-2"/>
    <n v="8.4523572980515279E-4"/>
    <n v="8.4674005080440302E-4"/>
    <m/>
    <m/>
    <m/>
  </r>
  <r>
    <x v="3"/>
    <n v="23"/>
    <n v="1219"/>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499999999999999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0"/>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6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1"/>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7000000000000001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2"/>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799999999999999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3"/>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9E-2"/>
    <e v="#VALUE!"/>
    <s v="NA"/>
    <s v="NA"/>
    <s v="NA"/>
    <s v="NA"/>
    <s v="NA"/>
    <s v="NA"/>
    <n v="6445"/>
    <n v="6445"/>
    <s v="NA"/>
    <s v="NA"/>
    <n v="10000"/>
    <s v="NA"/>
    <s v="NA"/>
    <s v="NA"/>
    <s v="NA"/>
    <s v="NA"/>
    <s v="NA"/>
    <s v="NA"/>
    <n v="1"/>
    <n v="0"/>
    <n v="0"/>
    <m/>
    <m/>
    <m/>
    <m/>
    <m/>
    <m/>
    <m/>
    <m/>
    <m/>
    <m/>
    <n v="3.2078253247327888E-2"/>
    <n v="3.2089263039774128E-2"/>
    <n v="1.5518295153244398E-4"/>
    <n v="1.552312946289972E-4"/>
    <s v="NA"/>
    <n v="6444"/>
    <s v="NA"/>
  </r>
  <r>
    <x v="3"/>
    <n v="23"/>
    <n v="1224"/>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decrease"/>
    <s v="NA"/>
    <n v="0.01"/>
    <n v="1"/>
    <n v="2.5765924815279417"/>
    <n v="1E-3"/>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5"/>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decrease"/>
    <s v="NA"/>
    <n v="0.01"/>
    <n v="1"/>
    <n v="2.5765924815279417"/>
    <n v="1E-4"/>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6"/>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5.9999999999999995E-4"/>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7"/>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1E-3"/>
    <e v="#VALUE!"/>
    <s v="NA"/>
    <s v="NA"/>
    <s v="NA"/>
    <s v="NA"/>
    <s v="NA"/>
    <s v="NA"/>
    <n v="6445"/>
    <n v="6445"/>
    <s v="NA"/>
    <s v="NA"/>
    <n v="4000"/>
    <s v="NA"/>
    <s v="NA"/>
    <s v="NA"/>
    <s v="NA"/>
    <s v="NA"/>
    <s v="NA"/>
    <s v="NA"/>
    <n v="1"/>
    <n v="0"/>
    <n v="0"/>
    <m/>
    <m/>
    <m/>
    <m/>
    <m/>
    <m/>
    <m/>
    <m/>
    <m/>
    <m/>
    <n v="3.2078253247327888E-2"/>
    <n v="3.2089263039774128E-2"/>
    <n v="1.5518295153244398E-4"/>
    <n v="1.552312946289972E-4"/>
    <s v="NA"/>
    <n v="6444"/>
    <s v="NA"/>
  </r>
  <r>
    <x v="3"/>
    <n v="23"/>
    <n v="1228"/>
    <n v="301"/>
    <s v="Nishijima, Kagawa, Nansai, Oguchi"/>
    <n v="2019"/>
    <s v="Effects of product replacement programs on climate change"/>
    <s v="Product replacement programs promote the replacement of durable goods such as automobiles, home appliances and houses with new energy-efficient products using financial incentives such as subsidies. Many countries have implemented such programs to reduce environmental loads. These programs affect the point in time at which the decision to replace a product is made (and acted on) by consumers, which, in turn, influences the overall effectiveness of the program. Thus, in order to improve the policy design of these replacement programs, it is necessary to consider the mechanism of the consumer product replacement decision. This study examines the effects of the Japanese Home Appliance Eco-Point Pro_x0002_gram on the timing of household air conditioner replacements and the resulting GHG emission reduction effects and assesses the program's cost-effectiveness using a dynamic discrete choice model and an input eoutput model. We found that the program increased the air conditioner replacement rate by 1.5%e1.9% and reduced GHG emissions by 28,516 tCO2eq. However, the cost per ton of CO2eq reduced was approximately 978 US dollars, which is quite high compared to the GHG emission reduction costs of other programs. We conclude that the Home Appliance Eco-Point Program as constituted in 2009e2010 was not a cost-effective means to reduce GHG emissions and that appropriate policy coordination needs to be conducted in order to improve the cost-effectiveness of such programs in the future."/>
    <n v="2"/>
    <s v="2005-2013"/>
    <x v="0"/>
    <n v="163"/>
    <x v="25"/>
    <x v="0"/>
    <x v="16"/>
    <s v="revealed preference"/>
    <s v="pre-recorded (no experiment)"/>
    <s v="residents"/>
    <n v="0"/>
    <s v="no such option"/>
    <n v="0"/>
    <s v="probably yes"/>
    <s v="probably yes"/>
    <s v="results are simulations from an estimated discrete choice model, likely not very robust"/>
    <n v="0"/>
    <n v="0"/>
    <n v="0"/>
    <n v="1"/>
    <n v="0"/>
    <n v="0"/>
    <n v="0"/>
    <n v="0"/>
    <s v="Program that grants a reward when an old appliance was replaced by a more efficient one"/>
    <n v="0"/>
    <n v="0"/>
    <n v="0"/>
    <n v="0"/>
    <n v="0"/>
    <n v="0"/>
    <n v="0"/>
    <n v="1"/>
    <n v="0"/>
    <s v="NA"/>
    <x v="0"/>
    <s v="AC replacement rate"/>
    <s v="dummy (0/1)"/>
    <s v="NA"/>
    <s v="increase"/>
    <s v="NA"/>
    <n v="0.01"/>
    <n v="1"/>
    <n v="2.5765924815279417"/>
    <n v="2E-3"/>
    <e v="#VALUE!"/>
    <s v="NA"/>
    <s v="NA"/>
    <s v="NA"/>
    <s v="NA"/>
    <s v="NA"/>
    <s v="NA"/>
    <n v="6445"/>
    <n v="6445"/>
    <s v="NA"/>
    <s v="NA"/>
    <n v="4000"/>
    <s v="NA"/>
    <s v="NA"/>
    <s v="NA"/>
    <s v="NA"/>
    <s v="NA"/>
    <s v="NA"/>
    <s v="NA"/>
    <n v="1"/>
    <n v="0"/>
    <n v="0"/>
    <m/>
    <m/>
    <m/>
    <m/>
    <m/>
    <m/>
    <m/>
    <m/>
    <m/>
    <m/>
    <n v="3.2078253247327888E-2"/>
    <n v="3.2089263039774128E-2"/>
    <n v="1.5518295153244398E-4"/>
    <n v="1.552312946289972E-4"/>
    <s v="NA"/>
    <n v="6444"/>
    <s v="NA"/>
  </r>
  <r>
    <x v="0"/>
    <m/>
    <s v="NA"/>
    <s v="NA"/>
    <s v="Olsthoorn, Schleich, Gassmann, Faure"/>
    <n v="2017"/>
    <s v="Free riding and rebates for residential energy efficiency upgrades: A multi-country contingent valuation experiment"/>
    <s v="The cost-effectiveness of energy technology upgrade programs critically depends on free riding. This paper assesses_x000a_ex ante the effects of free riding on the cost-effectiveness of a rebate programthat promotes the adoption_x000a_of energy-efficient heating systems, relying on contingent valuation choice experiments carried out through_x000a_identical representative surveys in eight EU Members States. The analysis distinguishes between strong and_x000a_weak free riders: strong free riders already plan to adopt a new heating system in the next five years; weak_x000a_free riders decide to purchase once propositioned with an attractive technology package (and therefore do not_x000a_require a rebate to adopt). The reservation rebates for incentivized adopters (thosewho decide to adopt because_x000a_of a rebate) differ substantially across countries. On average, they amount to approximately 40% of the heating_x000a_system's purchasing price, suggesting generally high opportunity costs for premature upgrades. The reservation_x000a_rebate andweak free-ridership varywith income, risk and time preferences, and environmental identity. At a rebate_x000a_level that corresponds to half the purchase price of the offered heating system, the estimated share of free_x000a_riders exceeded 50% for most countries, with a typically higher share of weak free riders than strong free riders._x000a_Specific rebate cost estimates (in €/tCO2) differ considerably across countries, suggesting that cooperation can_x000a_yield budgetary benefits."/>
    <n v="2"/>
    <n v="2016"/>
    <x v="1"/>
    <m/>
    <x v="6"/>
    <x v="4"/>
    <x v="5"/>
    <m/>
    <m/>
    <m/>
    <m/>
    <m/>
    <m/>
    <m/>
    <m/>
    <m/>
    <m/>
    <m/>
    <m/>
    <m/>
    <m/>
    <m/>
    <m/>
    <m/>
    <m/>
    <m/>
    <m/>
    <m/>
    <m/>
    <m/>
    <m/>
    <m/>
    <m/>
    <m/>
    <m/>
    <x v="3"/>
    <m/>
    <m/>
    <m/>
    <m/>
    <m/>
    <m/>
    <m/>
    <m/>
    <m/>
    <m/>
    <m/>
    <m/>
    <m/>
    <m/>
    <m/>
    <m/>
    <m/>
    <m/>
    <m/>
    <m/>
    <m/>
    <m/>
    <m/>
    <m/>
    <m/>
    <m/>
    <m/>
    <m/>
    <m/>
    <m/>
    <m/>
    <m/>
    <m/>
    <m/>
    <m/>
    <m/>
    <m/>
    <m/>
    <m/>
    <m/>
    <m/>
    <m/>
    <m/>
    <m/>
    <m/>
    <m/>
    <m/>
    <m/>
  </r>
  <r>
    <x v="2"/>
    <m/>
    <n v="1258"/>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25.879000000000001"/>
    <s v="increase"/>
    <n v="15.298"/>
    <n v="0.1"/>
    <n v="1"/>
    <s v="NA"/>
    <s v="NA"/>
    <m/>
    <s v="NA"/>
    <s v="NA"/>
    <s v="NA"/>
    <s v="NA"/>
    <s v="NA"/>
    <s v="NA"/>
    <n v="217"/>
    <n v="868"/>
    <s v="NA"/>
    <s v="NA"/>
    <s v="NA"/>
    <s v="NA"/>
    <s v="NA"/>
    <s v="NA"/>
    <s v="NA"/>
    <s v="NA"/>
    <s v="NA"/>
    <s v="NA"/>
    <n v="0"/>
    <n v="0"/>
    <n v="1"/>
    <m/>
    <m/>
    <m/>
    <m/>
    <m/>
    <m/>
    <m/>
    <m/>
    <m/>
    <m/>
    <e v="#VALUE!"/>
    <e v="#VALUE!"/>
    <e v="#VALUE!"/>
    <n v="4.6728971962616819E-3"/>
    <m/>
    <m/>
    <m/>
  </r>
  <r>
    <x v="2"/>
    <m/>
    <n v="1259"/>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45.747"/>
    <s v="increase"/>
    <n v="18.632000000000001"/>
    <n v="0.05"/>
    <n v="1"/>
    <s v="NA"/>
    <s v="NA"/>
    <m/>
    <s v="NA"/>
    <s v="NA"/>
    <s v="NA"/>
    <s v="NA"/>
    <s v="NA"/>
    <s v="NA"/>
    <n v="217"/>
    <n v="868"/>
    <s v="NA"/>
    <s v="NA"/>
    <s v="NA"/>
    <s v="NA"/>
    <s v="NA"/>
    <s v="NA"/>
    <s v="NA"/>
    <s v="NA"/>
    <s v="NA"/>
    <s v="NA"/>
    <n v="0"/>
    <n v="0"/>
    <n v="1"/>
    <m/>
    <m/>
    <m/>
    <m/>
    <m/>
    <m/>
    <m/>
    <m/>
    <m/>
    <m/>
    <e v="#VALUE!"/>
    <e v="#VALUE!"/>
    <e v="#VALUE!"/>
    <n v="4.6728971962616819E-3"/>
    <m/>
    <m/>
    <m/>
  </r>
  <r>
    <x v="2"/>
    <m/>
    <n v="1260"/>
    <n v="404"/>
    <s v="Orset"/>
    <n v="2021"/>
    <s v="Is information a good policy instrument to influence the energy behaviour of households?"/>
    <s v="Despite several financial aids intended to promote the energy transition, the French people continue to buy energy-intensive products and are not interested in improving the energy performance of their homes. We propose a new measure which consists of provision of information to change individual behaviour. Currently, health and the environment are the prime concerns and we propose to encourage individuals to reduce their energy consumption by informing them of the environmental and health consequences linked to energy consumption. To test the validity of our proposal, we use the willingness to pay for more energy efficient equipment and thermal insulation. We conducted an online survey which included messages on the link between environment-energy and health-energy. We showed that it affected households’ energy behaviour. We compared this strategy with policies already in place. We found that policies that combined provision of information with a subsidy, increase sales of goods that reduce energy consumption and was the best option from a social welfare perspective."/>
    <n v="2"/>
    <n v="2017"/>
    <x v="0"/>
    <n v="11"/>
    <x v="4"/>
    <x v="3"/>
    <x v="29"/>
    <s v="revealed preference"/>
    <s v="online"/>
    <s v="individuals"/>
    <n v="1"/>
    <s v="opt_in"/>
    <n v="1"/>
    <s v="probably yes"/>
    <s v="probably yes"/>
    <s v="Opt in online survey, but with quotas. Was distributed via social meida, so people without an account could not be reached. Seemingly only significant results were reported in table B.5 on page 11. (Message 3 is missing)"/>
    <n v="0"/>
    <n v="1"/>
    <n v="0"/>
    <n v="0"/>
    <n v="0"/>
    <n v="0"/>
    <n v="0"/>
    <n v="0"/>
    <s v="Information treatment received before WTP questionnaire"/>
    <n v="0"/>
    <n v="0"/>
    <n v="0"/>
    <n v="0"/>
    <n v="0"/>
    <n v="0"/>
    <n v="1"/>
    <n v="0"/>
    <n v="0"/>
    <s v="difference in WTPs between choices 𝑖 + 1"/>
    <x v="2"/>
    <s v="WTP difference in €"/>
    <s v="NA"/>
    <n v="33.076000000000001"/>
    <s v="increase"/>
    <n v="18.632000000000001"/>
    <n v="0.1"/>
    <n v="1"/>
    <s v="NA"/>
    <s v="NA"/>
    <m/>
    <s v="NA"/>
    <s v="NA"/>
    <s v="NA"/>
    <s v="NA"/>
    <s v="NA"/>
    <s v="NA"/>
    <n v="217"/>
    <n v="868"/>
    <s v="NA"/>
    <s v="NA"/>
    <s v="NA"/>
    <s v="NA"/>
    <s v="NA"/>
    <s v="NA"/>
    <s v="NA"/>
    <s v="NA"/>
    <s v="NA"/>
    <s v="NA"/>
    <n v="0"/>
    <n v="0"/>
    <n v="1"/>
    <m/>
    <m/>
    <m/>
    <m/>
    <m/>
    <m/>
    <m/>
    <m/>
    <m/>
    <m/>
    <e v="#VALUE!"/>
    <e v="#VALUE!"/>
    <e v="#VALUE!"/>
    <n v="4.6728971962616819E-3"/>
    <m/>
    <m/>
    <m/>
  </r>
  <r>
    <x v="0"/>
    <m/>
    <s v="NA"/>
    <s v="NA"/>
    <s v="Raynaud, Osso, Bourges, Duplessis, Adnot"/>
    <n v="2015"/>
    <s v="Evidence of an indirect rebound effect with reveresible heat pumps: having air conditioning but not using it?"/>
    <m/>
    <n v="1"/>
    <m/>
    <x v="1"/>
    <m/>
    <x v="6"/>
    <x v="4"/>
    <x v="5"/>
    <m/>
    <m/>
    <m/>
    <m/>
    <m/>
    <m/>
    <m/>
    <m/>
    <m/>
    <m/>
    <m/>
    <m/>
    <m/>
    <m/>
    <m/>
    <m/>
    <m/>
    <m/>
    <m/>
    <m/>
    <m/>
    <m/>
    <m/>
    <m/>
    <m/>
    <m/>
    <m/>
    <m/>
    <x v="3"/>
    <m/>
    <m/>
    <m/>
    <m/>
    <m/>
    <m/>
    <m/>
    <m/>
    <m/>
    <m/>
    <m/>
    <m/>
    <m/>
    <m/>
    <m/>
    <m/>
    <m/>
    <m/>
    <m/>
    <m/>
    <m/>
    <m/>
    <m/>
    <m/>
    <m/>
    <m/>
    <m/>
    <m/>
    <m/>
    <m/>
    <m/>
    <m/>
    <m/>
    <m/>
    <m/>
    <m/>
    <m/>
    <m/>
    <m/>
    <m/>
    <m/>
    <m/>
    <m/>
    <m/>
    <m/>
    <m/>
    <m/>
    <m/>
  </r>
  <r>
    <x v="0"/>
    <m/>
    <n v="1146"/>
    <n v="131"/>
    <s v="Ren, Tibbs, McLauchlan, Ma, Harrington"/>
    <n v="2021"/>
    <s v="Refrigerator cost trap for low-income households: Developments in measurement and verification of appliance replacements"/>
    <s v="Energy efficiency of domestic refrigerators has markedly improved over recent years. Despite these improvements,_x000a_low-income households in Australia still tend to own older and less energy-efficient refrigerators. Replacement_x000a_of old refrigerators with energy-efficient appliances presents an important opportunity to reduce_x000a_both greenhouse gas emissions and the electricity bills of households for sustainable development. This paper_x000a_presents the measurement and verification of energy savings froma sample of 16 household refrigerator replacements_x000a_under the Appliance Replacement Offer of the NewSouthWales Government, Australia. In-homemonitoring_x000a_and laboratory testing were conducted for both old and new refrigerators. A key challenge for this study was_x000a_to estimate the energy savings of the replacement in each household based on limited in-home monitoring data._x000a_The annual energy savings from the refrigerator replacement in the households were estimated using the artificial_x000a_neural networks (ANN)models for indoor air temperature prediction and the empiricalmodels for the refrigerator_x000a_energy consumption estimation. The experimental and estimation results both showed that most of the_x000a_households achieved substantial energy savings from the replacement. The average annual energy cost savings_x000a_and the average payback period of the refrigerator replacements were 53% and 4.3 years, respectively. It was_x000a_also found that the energy savings could be compromised if the size of the new refrigerator was much larger_x000a_than the old unit or if the efficiency of the old refrigerator was reasonably good."/>
    <n v="1"/>
    <s v="2017-2018"/>
    <x v="8"/>
    <n v="13"/>
    <x v="3"/>
    <x v="0"/>
    <x v="30"/>
    <s v="revealed preference"/>
    <s v="household"/>
    <s v="residents"/>
    <n v="1"/>
    <s v="opt_in"/>
    <n v="0"/>
    <s v="probably yes"/>
    <s v="probably no"/>
    <s v="small sample size, no statistical analysis of the results, only descriptive statistics for each household"/>
    <n v="0"/>
    <n v="0"/>
    <n v="0"/>
    <n v="0"/>
    <n v="0"/>
    <n v="1"/>
    <n v="0"/>
    <n v="0"/>
    <s v="can't disentangle scepific effects for each intervention ? - marketing, subsidy, help with installation"/>
    <n v="0"/>
    <n v="0"/>
    <n v="0"/>
    <n v="1"/>
    <n v="0"/>
    <n v="0"/>
    <n v="0"/>
    <n v="0"/>
    <n v="0"/>
    <s v="NA"/>
    <x v="1"/>
    <s v="annual electricity consumption for refrigeration"/>
    <s v="log scale"/>
    <n v="0.42526773540434409"/>
    <s v="decrease"/>
    <s v="NA"/>
    <s v="NA"/>
    <s v="NA"/>
    <s v="NA"/>
    <n v="0.53"/>
    <m/>
    <s v="NA"/>
    <s v="NA"/>
    <s v="NA"/>
    <s v="NA"/>
    <s v="NA"/>
    <s v="NA"/>
    <n v="14"/>
    <n v="14"/>
    <s v="NA"/>
    <s v="NA"/>
    <s v="NA"/>
    <n v="0.45"/>
    <s v="current "/>
    <s v="NA"/>
    <s v="NA"/>
    <s v="NA"/>
    <s v="NA"/>
    <s v="NA"/>
    <n v="0"/>
    <n v="0"/>
    <n v="0"/>
    <m/>
    <m/>
    <m/>
    <m/>
    <m/>
    <m/>
    <m/>
    <m/>
    <m/>
    <m/>
    <m/>
    <m/>
    <m/>
    <m/>
    <e v="#VALUE!"/>
    <m/>
    <m/>
  </r>
  <r>
    <x v="0"/>
    <n v="24"/>
    <n v="1061"/>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5"/>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1.7500000000000002E-2"/>
    <s v="decrease"/>
    <n v="0.26400000000000001"/>
    <s v="NA"/>
    <n v="3"/>
    <n v="6.6287878787878785E-2"/>
    <n v="1.7654022150761728E-2"/>
    <n v="0.50437488834977351"/>
    <s v="NA"/>
    <s v="NA"/>
    <s v="NA"/>
    <s v="NA"/>
    <s v="NA"/>
    <s v="NA"/>
    <n v="375"/>
    <n v="6081"/>
    <s v="NA"/>
    <s v="NA"/>
    <s v="NA"/>
    <s v="NA"/>
    <s v="NA"/>
    <s v="NA"/>
    <s v="NA"/>
    <s v="NA"/>
    <s v="NA"/>
    <s v="NA"/>
    <n v="0"/>
    <n v="0"/>
    <n v="0"/>
    <m/>
    <m/>
    <m/>
    <m/>
    <m/>
    <m/>
    <m/>
    <m/>
    <m/>
    <m/>
    <n v="3.4230712863917989E-3"/>
    <n v="3.4230846563371624E-3"/>
    <n v="2.673796791076738E-3"/>
    <n v="2.6881720430107529E-3"/>
    <s v="NA"/>
    <n v="373"/>
    <s v="NA"/>
  </r>
  <r>
    <x v="0"/>
    <n v="24"/>
    <n v="1062"/>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2.1999999999999999E-2"/>
    <s v="increase"/>
    <n v="0.21199999999999999"/>
    <s v="NA"/>
    <n v="3"/>
    <n v="0.10377358490566037"/>
    <n v="2.2243784470438177E-2"/>
    <n v="0.50549977817740277"/>
    <s v="NA"/>
    <s v="NA"/>
    <s v="NA"/>
    <s v="NA"/>
    <s v="NA"/>
    <s v="NA"/>
    <n v="375"/>
    <n v="6081"/>
    <s v="NA"/>
    <s v="NA"/>
    <s v="NA"/>
    <s v="NA"/>
    <s v="NA"/>
    <s v="NA"/>
    <s v="NA"/>
    <s v="NA"/>
    <s v="NA"/>
    <s v="NA"/>
    <n v="0"/>
    <n v="0"/>
    <n v="0"/>
    <m/>
    <m/>
    <m/>
    <m/>
    <m/>
    <m/>
    <m/>
    <m/>
    <m/>
    <m/>
    <n v="5.3587679376424701E-3"/>
    <n v="5.3588192333564287E-3"/>
    <n v="2.6737967892388691E-3"/>
    <n v="2.6881720430107529E-3"/>
    <s v="NA"/>
    <n v="373"/>
    <s v="NA"/>
  </r>
  <r>
    <x v="0"/>
    <n v="24"/>
    <n v="1064"/>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2"/>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14599999999999999"/>
    <s v="decrease"/>
    <n v="0.188"/>
    <s v="NA"/>
    <n v="3"/>
    <n v="0.77659574468085102"/>
    <n v="0.15719618805079616"/>
    <n v="0.53643530174064413"/>
    <s v="NA"/>
    <s v="NA"/>
    <s v="NA"/>
    <s v="NA"/>
    <s v="NA"/>
    <s v="NA"/>
    <n v="375"/>
    <n v="6081"/>
    <s v="NA"/>
    <s v="NA"/>
    <s v="NA"/>
    <s v="NA"/>
    <s v="NA"/>
    <s v="NA"/>
    <s v="NA"/>
    <s v="NA"/>
    <s v="NA"/>
    <s v="NA"/>
    <n v="0"/>
    <n v="0"/>
    <n v="1"/>
    <m/>
    <m/>
    <m/>
    <m/>
    <m/>
    <m/>
    <m/>
    <m/>
    <m/>
    <m/>
    <n v="4.0071022261504372E-2"/>
    <n v="4.0092490118533643E-2"/>
    <n v="2.6737898829954023E-3"/>
    <n v="2.6881720430107529E-3"/>
    <s v="NA"/>
    <n v="373"/>
    <s v="NA"/>
  </r>
  <r>
    <x v="0"/>
    <n v="24"/>
    <n v="1063"/>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156"/>
    <s v="increase"/>
    <n v="0.621"/>
    <s v="NA"/>
    <n v="3"/>
    <n v="0.25120772946859904"/>
    <n v="0.16882620308986906"/>
    <n v="0.53892110000546534"/>
    <s v="NA"/>
    <s v="NA"/>
    <s v="NA"/>
    <s v="NA"/>
    <s v="NA"/>
    <s v="NA"/>
    <n v="375"/>
    <n v="6081"/>
    <s v="NA"/>
    <s v="NA"/>
    <s v="NA"/>
    <s v="NA"/>
    <s v="NA"/>
    <s v="NA"/>
    <s v="NA"/>
    <s v="NA"/>
    <s v="NA"/>
    <s v="NA"/>
    <n v="0"/>
    <n v="0"/>
    <n v="0"/>
    <m/>
    <m/>
    <m/>
    <m/>
    <m/>
    <m/>
    <m/>
    <m/>
    <m/>
    <m/>
    <n v="1.2971220010807293E-2"/>
    <n v="1.2971947564531299E-2"/>
    <n v="2.6737967157345667E-3"/>
    <n v="2.6881720430107529E-3"/>
    <s v="NA"/>
    <n v="373"/>
    <s v="NA"/>
  </r>
  <r>
    <x v="0"/>
    <n v="24"/>
    <n v="1067"/>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191"/>
    <s v="decrease"/>
    <n v="0.53300000000000003"/>
    <s v="NA"/>
    <n v="3"/>
    <n v="0.35834896810506567"/>
    <n v="0.21045945208129946"/>
    <n v="0.54760536364581069"/>
    <s v="NA"/>
    <s v="NA"/>
    <s v="NA"/>
    <s v="NA"/>
    <s v="NA"/>
    <s v="NA"/>
    <n v="375"/>
    <n v="6081"/>
    <s v="NA"/>
    <s v="NA"/>
    <s v="NA"/>
    <s v="NA"/>
    <s v="NA"/>
    <s v="NA"/>
    <s v="NA"/>
    <s v="NA"/>
    <s v="NA"/>
    <s v="NA"/>
    <n v="0"/>
    <n v="0"/>
    <n v="1"/>
    <m/>
    <m/>
    <m/>
    <m/>
    <m/>
    <m/>
    <m/>
    <m/>
    <m/>
    <m/>
    <n v="1.8501893543383965E-2"/>
    <n v="1.8504005166909823E-2"/>
    <n v="2.6737964779771865E-3"/>
    <n v="2.6881720430107529E-3"/>
    <s v="NA"/>
    <n v="373"/>
    <s v="NA"/>
  </r>
  <r>
    <x v="0"/>
    <n v="24"/>
    <n v="1066"/>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19900000000000001"/>
    <s v="increase"/>
    <n v="0.188"/>
    <s v="NA"/>
    <n v="3"/>
    <n v="1.0585106382978724"/>
    <n v="0.22018196589987249"/>
    <n v="0.54958646842503955"/>
    <s v="NA"/>
    <s v="NA"/>
    <s v="NA"/>
    <s v="NA"/>
    <s v="NA"/>
    <s v="NA"/>
    <n v="375"/>
    <n v="6081"/>
    <s v="NA"/>
    <s v="NA"/>
    <s v="NA"/>
    <s v="NA"/>
    <s v="NA"/>
    <s v="NA"/>
    <s v="NA"/>
    <s v="NA"/>
    <s v="NA"/>
    <s v="NA"/>
    <n v="0"/>
    <n v="0"/>
    <n v="1"/>
    <m/>
    <m/>
    <m/>
    <m/>
    <m/>
    <m/>
    <m/>
    <m/>
    <m/>
    <m/>
    <n v="5.4579776966369314E-2"/>
    <n v="5.4634070889081947E-2"/>
    <n v="2.6737729692011378E-3"/>
    <n v="2.6881720430107529E-3"/>
    <s v="NA"/>
    <n v="373"/>
    <s v="NA"/>
  </r>
  <r>
    <x v="0"/>
    <n v="24"/>
    <n v="1060"/>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1"/>
    <x v="5"/>
    <x v="2"/>
    <x v="1"/>
    <s v="stat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0.22900000000000001"/>
    <s v="increase"/>
    <n v="0.109"/>
    <s v="NA"/>
    <n v="3"/>
    <n v="2.1009174311926606"/>
    <n v="0.2573420390098391"/>
    <n v="0.55700111781082129"/>
    <s v="NA"/>
    <s v="NA"/>
    <s v="NA"/>
    <s v="NA"/>
    <s v="NA"/>
    <s v="NA"/>
    <n v="375"/>
    <n v="6081"/>
    <s v="NA"/>
    <s v="NA"/>
    <s v="NA"/>
    <s v="NA"/>
    <s v="NA"/>
    <s v="NA"/>
    <s v="NA"/>
    <s v="NA"/>
    <s v="NA"/>
    <s v="NA"/>
    <n v="0"/>
    <n v="0"/>
    <n v="0"/>
    <m/>
    <m/>
    <m/>
    <m/>
    <m/>
    <m/>
    <m/>
    <m/>
    <m/>
    <m/>
    <n v="0.1078580072117359"/>
    <n v="0.10827920105368449"/>
    <n v="2.6734292480947645E-3"/>
    <n v="2.6881720430107529E-3"/>
    <s v="NA"/>
    <n v="373"/>
    <s v="NA"/>
  </r>
  <r>
    <x v="0"/>
    <n v="24"/>
    <n v="1065"/>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2"/>
    <x v="14"/>
    <x v="2"/>
    <x v="1"/>
    <s v="stated preference"/>
    <s v="household"/>
    <s v="residents"/>
    <n v="1"/>
    <s v="no such option"/>
    <n v="0"/>
    <s v="probably no"/>
    <s v="probably no"/>
    <s v="NA"/>
    <n v="0"/>
    <n v="0"/>
    <n v="0"/>
    <n v="0"/>
    <n v="0"/>
    <n v="0"/>
    <n v="1"/>
    <n v="0"/>
    <s v="NA"/>
    <n v="0"/>
    <n v="0"/>
    <n v="0"/>
    <n v="1"/>
    <n v="0"/>
    <n v="0"/>
    <n v="0"/>
    <n v="0"/>
    <n v="0"/>
    <s v="confusing between WTP and probability to purchase"/>
    <x v="0"/>
    <s v="choice of a high-efficiency appliance"/>
    <s v="dummy (0/1)"/>
    <n v="0.27500000000000002"/>
    <s v="increase"/>
    <n v="0.77100000000000002"/>
    <s v="NA"/>
    <n v="3"/>
    <n v="0.35667963683527887"/>
    <n v="0.31653067486762154"/>
    <n v="0.56831998347824808"/>
    <s v="NA"/>
    <s v="NA"/>
    <s v="NA"/>
    <s v="NA"/>
    <s v="NA"/>
    <s v="NA"/>
    <n v="375"/>
    <n v="6081"/>
    <s v="NA"/>
    <s v="NA"/>
    <s v="NA"/>
    <s v="NA"/>
    <s v="NA"/>
    <s v="NA"/>
    <s v="NA"/>
    <s v="NA"/>
    <s v="NA"/>
    <s v="NA"/>
    <n v="0"/>
    <n v="0"/>
    <n v="1"/>
    <m/>
    <m/>
    <m/>
    <m/>
    <m/>
    <m/>
    <m/>
    <m/>
    <m/>
    <m/>
    <n v="1.8415733701710926E-2"/>
    <n v="1.8417815958123879E-2"/>
    <n v="2.6737964837768528E-3"/>
    <n v="2.6881720430107529E-3"/>
    <s v="NA"/>
    <n v="373"/>
    <s v="NA"/>
  </r>
  <r>
    <x v="0"/>
    <n v="24"/>
    <n v="1069"/>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reveal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3.01"/>
    <s v="decrease"/>
    <n v="2.17"/>
    <s v="NA"/>
    <n v="3"/>
    <n v="1.3870967741935483"/>
    <n v="19.287399925240926"/>
    <n v="0.95302385432171643"/>
    <s v="NA"/>
    <s v="NA"/>
    <s v="NA"/>
    <s v="NA"/>
    <s v="NA"/>
    <s v="NA"/>
    <n v="163"/>
    <n v="163"/>
    <s v="NA"/>
    <s v="NA"/>
    <s v="NA"/>
    <s v="NA"/>
    <s v="NA"/>
    <s v="NA"/>
    <s v="NA"/>
    <s v="NA"/>
    <s v="NA"/>
    <s v="NA"/>
    <n v="0"/>
    <n v="0"/>
    <n v="1"/>
    <m/>
    <m/>
    <m/>
    <m/>
    <m/>
    <m/>
    <m/>
    <m/>
    <m/>
    <m/>
    <n v="0.10801020309415331"/>
    <n v="0.10843319088266559"/>
    <n v="6.1719861429199588E-3"/>
    <n v="6.2500000000000003E-3"/>
    <s v="NA"/>
    <n v="161"/>
    <s v="NA"/>
  </r>
  <r>
    <x v="0"/>
    <n v="24"/>
    <n v="1068"/>
    <n v="111"/>
    <s v="Revelt, Train"/>
    <n v="1998"/>
    <s v="MIXED LOGIT WITH REPEATED CHOICES: HOUSEHOLDS’ CHOICES_x000a_OF APPLIANCE EFFICIENCY LEVEL"/>
    <s v="Mixed logit models, also called random-parameters or errorcomponents_x000a_logit, are a generalization of standard logit that do not exhibit_x000a_the restrictive ‘‘independence from irrelevant alternatives’’ property and_x000a_explicitly account for correlations in unobserved utility over repeated_x000a_choices by each customer. Mixed logits are estimated for households’_x000a_choices of appliances under utility-sponsored programs that offer rebates_x000a_or loans on high-efficiency appliances."/>
    <n v="2"/>
    <n v="1998"/>
    <x v="0"/>
    <n v="654"/>
    <x v="14"/>
    <x v="2"/>
    <x v="1"/>
    <s v="revealed preference"/>
    <s v="household"/>
    <s v="residents"/>
    <n v="1"/>
    <s v="no such option"/>
    <n v="0"/>
    <s v="probably no"/>
    <s v="probably no"/>
    <s v="NA"/>
    <n v="0"/>
    <n v="0"/>
    <n v="0"/>
    <n v="1"/>
    <n v="0"/>
    <n v="0"/>
    <n v="0"/>
    <n v="0"/>
    <s v="NA"/>
    <n v="0"/>
    <n v="0"/>
    <n v="0"/>
    <n v="1"/>
    <n v="0"/>
    <n v="0"/>
    <n v="0"/>
    <n v="0"/>
    <n v="0"/>
    <s v="confusing between WTP and probability to purchase"/>
    <x v="0"/>
    <s v="choice of a high-efficiency appliance"/>
    <s v="dummy (0/1)"/>
    <n v="3.7"/>
    <s v="decrease"/>
    <n v="7.31"/>
    <s v="NA"/>
    <n v="3"/>
    <n v="0.50615595075239406"/>
    <n v="39.447304360067399"/>
    <n v="0.9758729785823308"/>
    <s v="NA"/>
    <s v="NA"/>
    <s v="NA"/>
    <s v="NA"/>
    <s v="NA"/>
    <s v="NA"/>
    <n v="163"/>
    <n v="163"/>
    <s v="NA"/>
    <s v="NA"/>
    <s v="NA"/>
    <s v="NA"/>
    <s v="NA"/>
    <s v="NA"/>
    <s v="NA"/>
    <s v="NA"/>
    <s v="NA"/>
    <s v="NA"/>
    <n v="0"/>
    <n v="0"/>
    <n v="1"/>
    <m/>
    <m/>
    <m/>
    <m/>
    <m/>
    <m/>
    <m/>
    <m/>
    <m/>
    <m/>
    <n v="3.9614074457903617E-2"/>
    <n v="3.9634815781559279E-2"/>
    <n v="6.1728242729301415E-3"/>
    <n v="6.2500000000000003E-3"/>
    <s v="NA"/>
    <n v="161"/>
    <s v="NA"/>
  </r>
  <r>
    <x v="0"/>
    <m/>
    <n v="1163"/>
    <n v="138"/>
    <s v="Ridge"/>
    <n v="1988"/>
    <s v="Energy Conservation for Low-Income Households: The Evaporative Cooler Experience"/>
    <s v="Since November 1983, the Southern California Edison Company (SCE) has been offering_x000a_a free evaporative cooler to low-income customers who alreadypossess an air conditioner._x000a_To qualify for a free cooler, a cooler must first be recommended in an SCEenergy audit as_x000a_being cost-effective. The cooler, which has a much lower k W demand than a typical air_x000a_conditioner, is to be used not as a replacement for one’s air conditioner but rather to_x000a_supplant it during certain parts of the day, thus reducing k Wh consumption. The research_x000a_design used is the nonequivalent control group. The econometric analysis indicates that_x000a_the net reduction due to the installation of a cooler is 2.64 kWh per day."/>
    <n v="1"/>
    <n v="1985"/>
    <x v="0"/>
    <n v="178"/>
    <x v="0"/>
    <x v="2"/>
    <x v="1"/>
    <s v="revealed preference"/>
    <s v="household"/>
    <s v="individuals"/>
    <n v="0"/>
    <s v="opt_in"/>
    <n v="0"/>
    <s v="probably no"/>
    <s v="probably no"/>
    <s v="NA"/>
    <n v="0"/>
    <n v="0"/>
    <n v="0"/>
    <n v="1"/>
    <n v="0"/>
    <n v="0"/>
    <n v="0"/>
    <n v="1"/>
    <s v="offering a free evaporative cooler to low-income customers who already possess an air-conditioner"/>
    <n v="0"/>
    <n v="0"/>
    <n v="0"/>
    <n v="0"/>
    <n v="0"/>
    <n v="0"/>
    <n v="0"/>
    <n v="1"/>
    <n v="0"/>
    <s v="NA"/>
    <x v="1"/>
    <s v="average daily kWh consumption within a given billing period"/>
    <s v="log scale"/>
    <n v="0.01"/>
    <s v="decrease"/>
    <n v="4.3478260869565216E-2"/>
    <n v="0.81640000000000001"/>
    <n v="2"/>
    <n v="0.23"/>
    <n v="1.0050167084167949E-2"/>
    <m/>
    <s v="NA"/>
    <n v="109"/>
    <s v="NA"/>
    <s v="NA"/>
    <n v="406"/>
    <s v="NA"/>
    <n v="515"/>
    <n v="515"/>
    <s v="NA"/>
    <s v="NA"/>
    <s v="NA"/>
    <n v="1"/>
    <s v="current "/>
    <s v="NA"/>
    <s v="NA"/>
    <s v="NA"/>
    <s v="NA"/>
    <s v="NA"/>
    <n v="1"/>
    <n v="1"/>
    <n v="1"/>
    <m/>
    <m/>
    <m/>
    <m/>
    <m/>
    <m/>
    <m/>
    <m/>
    <m/>
    <m/>
    <n v="1.0134490446309997E-2"/>
    <n v="1.0134837431758794E-2"/>
    <n v="1.9455252713028077E-3"/>
    <n v="1.953125E-3"/>
    <m/>
    <m/>
    <m/>
  </r>
  <r>
    <x v="0"/>
    <m/>
    <n v="1164"/>
    <n v="138"/>
    <s v="Ridge"/>
    <n v="1988"/>
    <s v="Energy Conservation for Low-Income Households: The Evaporative Cooler Experience"/>
    <s v="Since November 1983, the Southern California Edison Company (SCE) has been offering_x000a_a free evaporative cooler to low-income customers who alreadypossess an air conditioner._x000a_To qualify for a free cooler, a cooler must first be recommended in an SCEenergy audit as_x000a_being cost-effective. The cooler, which has a much lower k W demand than a typical air_x000a_conditioner, is to be used not as a replacement for one’s air conditioner but rather to_x000a_supplant it during certain parts of the day, thus reducing k Wh consumption. The research_x000a_design used is the nonequivalent control group. The econometric analysis indicates that_x000a_the net reduction due to the installation of a cooler is 2.64 kWh per day."/>
    <n v="1"/>
    <n v="1985"/>
    <x v="0"/>
    <n v="178"/>
    <x v="0"/>
    <x v="2"/>
    <x v="1"/>
    <s v="revealed preference"/>
    <s v="household"/>
    <s v="individuals"/>
    <n v="0"/>
    <s v="opt_in"/>
    <n v="0"/>
    <s v="probably no"/>
    <s v="probably no"/>
    <s v="NA"/>
    <n v="0"/>
    <n v="0"/>
    <n v="0"/>
    <n v="1"/>
    <n v="0"/>
    <n v="0"/>
    <n v="0"/>
    <n v="1"/>
    <s v="offering a free evaporative cooler to low-income customers who already possess an air-conditioner"/>
    <n v="0"/>
    <n v="0"/>
    <n v="0"/>
    <n v="0"/>
    <n v="0"/>
    <n v="0"/>
    <n v="0"/>
    <n v="1"/>
    <n v="0"/>
    <s v="interaction with LN(cooling deegree days)"/>
    <x v="1"/>
    <s v="average daily kWh consumption within a given billing period"/>
    <s v="log scale"/>
    <n v="0.12"/>
    <s v="decrease"/>
    <n v="2.4844720496894408E-2"/>
    <n v="1E-4"/>
    <n v="3"/>
    <n v="4.83"/>
    <n v="0.12749685157937574"/>
    <m/>
    <s v="NA"/>
    <n v="109"/>
    <s v="NA"/>
    <s v="NA"/>
    <n v="406"/>
    <s v="NA"/>
    <n v="515"/>
    <n v="515"/>
    <s v="NA"/>
    <s v="NA"/>
    <s v="NA"/>
    <n v="1"/>
    <s v="current "/>
    <s v="NA"/>
    <s v="NA"/>
    <s v="NA"/>
    <s v="NA"/>
    <s v="NA"/>
    <n v="1"/>
    <n v="1"/>
    <n v="1"/>
    <m/>
    <m/>
    <m/>
    <m/>
    <m/>
    <m/>
    <m/>
    <m/>
    <m/>
    <m/>
    <n v="0.20817246417215696"/>
    <n v="0.21126026317506777"/>
    <n v="1.9416499666781906E-3"/>
    <n v="1.953125E-3"/>
    <m/>
    <m/>
    <m/>
  </r>
  <r>
    <x v="0"/>
    <n v="25"/>
    <n v="1102"/>
    <n v="119"/>
    <s v="Sammer, Wuestenhagen"/>
    <n v="2006"/>
    <s v="The influence of eco-labelling on consumer behaviour – results of a discrete choice analysis for washing machines"/>
    <s v="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
    <n v="2"/>
    <n v="2005"/>
    <x v="0"/>
    <n v="193"/>
    <x v="5"/>
    <x v="0"/>
    <x v="31"/>
    <s v="revealed preference"/>
    <s v="retailer"/>
    <s v="store visitors"/>
    <n v="1"/>
    <s v="no such option"/>
    <n v="0"/>
    <s v="probably yes"/>
    <s v="probably yes"/>
    <s v="Study chooses surveyors who are already at supermarket and only 6 supermarkets most of which are in suburban areas"/>
    <n v="0"/>
    <n v="0"/>
    <n v="1"/>
    <n v="0"/>
    <n v="0"/>
    <n v="0"/>
    <n v="0"/>
    <n v="0"/>
    <s v="NA"/>
    <n v="1"/>
    <n v="0"/>
    <n v="0"/>
    <n v="0"/>
    <n v="0"/>
    <n v="0"/>
    <n v="0"/>
    <n v="0"/>
    <n v="0"/>
    <s v="importance of the label in choice of energy efficient appliance - energy efficiency rating B"/>
    <x v="0"/>
    <s v="probability of choice of energy efficient appliance"/>
    <s v="log scale"/>
    <n v="0.24340000000000001"/>
    <s v="increase"/>
    <n v="8.2799999999999999E-2"/>
    <n v="0.01"/>
    <n v="1"/>
    <n v="2.9396135265700485"/>
    <n v="0.27557875358719897"/>
    <n v="0.56055135493614083"/>
    <s v="NA"/>
    <s v="NA"/>
    <s v="NA"/>
    <s v="NA"/>
    <s v="NA"/>
    <s v="NA"/>
    <n v="151"/>
    <n v="151"/>
    <s v="NA"/>
    <s v="NA"/>
    <s v="NA"/>
    <s v="NA"/>
    <s v="NA"/>
    <s v="NA"/>
    <s v="NA"/>
    <s v="NA"/>
    <s v="NA"/>
    <s v="alphabetical"/>
    <n v="0"/>
    <n v="0"/>
    <n v="0"/>
    <m/>
    <m/>
    <m/>
    <m/>
    <m/>
    <m/>
    <m/>
    <m/>
    <m/>
    <m/>
    <n v="0.23265777562024986"/>
    <n v="0.23699751145474932"/>
    <n v="6.6456345063166536E-3"/>
    <n v="6.7567567567567571E-3"/>
    <s v="NA"/>
    <n v="150"/>
    <s v="NA"/>
  </r>
  <r>
    <x v="0"/>
    <n v="25"/>
    <n v="1101"/>
    <n v="119"/>
    <s v="Sammer, Wuestenhagen"/>
    <n v="2006"/>
    <s v="The influence of eco-labelling on consumer behaviour – results of a discrete choice analysis for washing machines"/>
    <s v="Eco-labelling is an important tool to overcome market failure due to information asymmetries for environmental products. While previous research has discussed the importance of labelling, this paper provides empirical data on the influence of eco- labels on consumer behaviour for household appliances. It reports on the results of a survey involving a total of 151 choice-based conjoint interviews conducted in Switzer- land in Spring 2004. Choice-based conjoint analysis (also known as discrete choice) has been applied to reveal the relative importance of various product attributes for consumers. The EU energy label is used for the product category chosen in our survey, washing machines, and we investigate the relative importance of this eco-label com- pared with other product features (such as brand name) in consumers’ purchasing decisions. We draw conclusions for sustainability marketing and policy. Copyright © 2006 John Wiley &amp; Sons, Ltd and ERP Environment. "/>
    <n v="2"/>
    <n v="2005"/>
    <x v="0"/>
    <n v="193"/>
    <x v="5"/>
    <x v="0"/>
    <x v="31"/>
    <s v="revealed preference"/>
    <s v="retailer"/>
    <s v="store visitors"/>
    <n v="1"/>
    <s v="no such option"/>
    <n v="0"/>
    <s v="probably yes"/>
    <s v="probably yes"/>
    <s v="Study chooses surveyors who are already at supermarket and only 6 supermarkets most of which are in suburban areas"/>
    <n v="0"/>
    <n v="0"/>
    <n v="1"/>
    <n v="0"/>
    <n v="0"/>
    <n v="0"/>
    <n v="0"/>
    <n v="0"/>
    <s v="NA"/>
    <n v="1"/>
    <n v="0"/>
    <n v="0"/>
    <n v="0"/>
    <n v="0"/>
    <n v="0"/>
    <n v="0"/>
    <n v="0"/>
    <n v="0"/>
    <s v="importance of the label in choice of energy efficient appliance - energy efficiency rating A"/>
    <x v="0"/>
    <s v="probability of choice of energy efficient appliance"/>
    <s v="log scale"/>
    <n v="0.4874"/>
    <s v="increase"/>
    <n v="9.1800000000000007E-2"/>
    <n v="0.01"/>
    <n v="1"/>
    <n v="5.3093681917211324"/>
    <n v="0.62807771023382664"/>
    <n v="0.61949374780434951"/>
    <s v="NA"/>
    <s v="NA"/>
    <s v="NA"/>
    <s v="NA"/>
    <s v="NA"/>
    <s v="NA"/>
    <n v="151"/>
    <n v="151"/>
    <s v="NA"/>
    <s v="NA"/>
    <s v="NA"/>
    <s v="NA"/>
    <s v="NA"/>
    <s v="NA"/>
    <s v="NA"/>
    <s v="NA"/>
    <s v="NA"/>
    <s v="alphabetical"/>
    <n v="0"/>
    <n v="0"/>
    <n v="0"/>
    <m/>
    <m/>
    <m/>
    <m/>
    <m/>
    <m/>
    <m/>
    <m/>
    <m/>
    <m/>
    <n v="0.39663103881354556"/>
    <n v="0.41964466459073052"/>
    <n v="6.4599214053169289E-3"/>
    <n v="6.7567567567567571E-3"/>
    <s v="NA"/>
    <n v="150"/>
    <s v="NA"/>
  </r>
  <r>
    <x v="4"/>
    <m/>
    <n v="1197"/>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6500000000000001"/>
    <s v="increase"/>
    <n v="1.4E-2"/>
    <n v="0.05"/>
    <n v="1"/>
    <n v="11.785714285714286"/>
    <s v="NA"/>
    <m/>
    <s v="NA"/>
    <s v="NA"/>
    <s v="NA"/>
    <s v="NA"/>
    <s v="NA"/>
    <s v="NA"/>
    <n v="1143"/>
    <n v="1143"/>
    <s v="NA"/>
    <s v="NA"/>
    <s v="NA"/>
    <s v="NA"/>
    <s v="NA"/>
    <n v="0"/>
    <s v="NA"/>
    <n v="0"/>
    <s v="NA"/>
    <s v="alphabetical with +"/>
    <n v="0"/>
    <n v="0"/>
    <n v="0"/>
    <m/>
    <m/>
    <m/>
    <m/>
    <m/>
    <m/>
    <m/>
    <m/>
    <m/>
    <m/>
    <n v="0.32917611569084376"/>
    <n v="0.34190396617995006"/>
    <n v="8.6369070253296037E-4"/>
    <n v="8.7719298245614037E-4"/>
    <m/>
    <m/>
    <m/>
  </r>
  <r>
    <x v="4"/>
    <m/>
    <n v="1198"/>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11"/>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38400000000000001"/>
    <s v="increase"/>
    <n v="4.0000000000000002E-4"/>
    <n v="0.01"/>
    <n v="1"/>
    <n v="960"/>
    <s v="NA"/>
    <m/>
    <s v="NA"/>
    <s v="NA"/>
    <s v="NA"/>
    <s v="NA"/>
    <s v="NA"/>
    <s v="NA"/>
    <n v="1143"/>
    <n v="1143"/>
    <s v="NA"/>
    <s v="NA"/>
    <s v="NA"/>
    <s v="NA"/>
    <s v="NA"/>
    <n v="0"/>
    <s v="NA"/>
    <n v="0"/>
    <s v="NA"/>
    <s v="alphabetical with +"/>
    <n v="0"/>
    <n v="0"/>
    <n v="0"/>
    <m/>
    <m/>
    <m/>
    <m/>
    <m/>
    <m/>
    <m/>
    <m/>
    <m/>
    <m/>
    <n v="0.99938045903497763"/>
    <n v="4.0396845476129251"/>
    <n v="-0.23232174563184291"/>
    <n v="8.7719298245614037E-4"/>
    <m/>
    <m/>
    <m/>
  </r>
  <r>
    <x v="4"/>
    <m/>
    <n v="1199"/>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29"/>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88"/>
    <s v="increase"/>
    <n v="6.0000000000000001E-3"/>
    <n v="0.01"/>
    <n v="1"/>
    <n v="31.333333333333332"/>
    <s v="NA"/>
    <m/>
    <s v="NA"/>
    <s v="NA"/>
    <s v="NA"/>
    <s v="NA"/>
    <s v="NA"/>
    <s v="NA"/>
    <n v="1143"/>
    <n v="1143"/>
    <s v="NA"/>
    <s v="NA"/>
    <s v="NA"/>
    <s v="NA"/>
    <s v="NA"/>
    <n v="0"/>
    <s v="NA"/>
    <n v="0"/>
    <s v="NA"/>
    <s v="alphabetical with +"/>
    <n v="0"/>
    <n v="0"/>
    <n v="0"/>
    <m/>
    <m/>
    <m/>
    <m/>
    <m/>
    <m/>
    <m/>
    <m/>
    <m/>
    <m/>
    <n v="0.6797509779625166"/>
    <n v="0.8286509734911085"/>
    <n v="4.6277994673218209E-4"/>
    <n v="8.7719298245614037E-4"/>
    <m/>
    <m/>
    <m/>
  </r>
  <r>
    <x v="4"/>
    <m/>
    <n v="1200"/>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0"/>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7799999999999999"/>
    <s v="increase"/>
    <n v="4.0000000000000002E-4"/>
    <n v="0.01"/>
    <n v="1"/>
    <n v="444.99999999999994"/>
    <s v="NA"/>
    <m/>
    <s v="NA"/>
    <s v="NA"/>
    <s v="NA"/>
    <s v="NA"/>
    <s v="NA"/>
    <s v="NA"/>
    <n v="1143"/>
    <n v="1143"/>
    <s v="NA"/>
    <s v="NA"/>
    <s v="NA"/>
    <s v="NA"/>
    <s v="NA"/>
    <n v="0"/>
    <s v="NA"/>
    <n v="0"/>
    <s v="NA"/>
    <s v="alphabetical with +"/>
    <n v="0"/>
    <n v="0"/>
    <n v="0"/>
    <m/>
    <m/>
    <m/>
    <m/>
    <m/>
    <m/>
    <m/>
    <m/>
    <m/>
    <m/>
    <n v="0.9971264344531976"/>
    <n v="3.2719555170560017"/>
    <n v="-9.9484991759079461E-2"/>
    <n v="8.7719298245614037E-4"/>
    <m/>
    <m/>
    <m/>
  </r>
  <r>
    <x v="4"/>
    <m/>
    <n v="1201"/>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2"/>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22500000000000001"/>
    <s v="increase"/>
    <n v="4.0000000000000002E-4"/>
    <n v="0.01"/>
    <n v="1"/>
    <n v="562.5"/>
    <s v="NA"/>
    <m/>
    <s v="NA"/>
    <s v="NA"/>
    <s v="NA"/>
    <s v="NA"/>
    <s v="NA"/>
    <s v="NA"/>
    <n v="1143"/>
    <n v="1143"/>
    <s v="NA"/>
    <s v="NA"/>
    <s v="NA"/>
    <s v="NA"/>
    <s v="NA"/>
    <n v="0"/>
    <s v="NA"/>
    <n v="0"/>
    <s v="NA"/>
    <s v="alphabetical with +"/>
    <n v="0"/>
    <n v="0"/>
    <n v="0"/>
    <m/>
    <m/>
    <m/>
    <m/>
    <m/>
    <m/>
    <m/>
    <m/>
    <m/>
    <m/>
    <n v="0.99819865675054298"/>
    <n v="3.5057343728871753"/>
    <n v="-0.13139086207881251"/>
    <n v="8.7719298245614037E-4"/>
    <m/>
    <m/>
    <m/>
  </r>
  <r>
    <x v="4"/>
    <m/>
    <n v="1202"/>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3"/>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217"/>
    <s v="increase"/>
    <n v="1.0999999999999999E-2"/>
    <n v="0.05"/>
    <n v="1"/>
    <n v="19.727272727272727"/>
    <s v="NA"/>
    <m/>
    <s v="NA"/>
    <s v="NA"/>
    <s v="NA"/>
    <s v="NA"/>
    <s v="NA"/>
    <s v="NA"/>
    <n v="1143"/>
    <n v="1143"/>
    <s v="NA"/>
    <s v="NA"/>
    <s v="NA"/>
    <s v="NA"/>
    <s v="NA"/>
    <n v="0"/>
    <s v="NA"/>
    <n v="0"/>
    <s v="NA"/>
    <s v="alphabetical with +"/>
    <n v="0"/>
    <n v="0"/>
    <n v="0"/>
    <m/>
    <m/>
    <m/>
    <m/>
    <m/>
    <m/>
    <m/>
    <m/>
    <m/>
    <m/>
    <n v="0.50398108716659962"/>
    <n v="0.55462843634902004"/>
    <n v="7.9279722006820284E-4"/>
    <n v="8.7719298245614037E-4"/>
    <m/>
    <m/>
    <m/>
  </r>
  <r>
    <x v="4"/>
    <m/>
    <n v="1203"/>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34"/>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32900000000000001"/>
    <s v="increase"/>
    <n v="1E-3"/>
    <n v="0.01"/>
    <n v="1"/>
    <n v="329"/>
    <s v="NA"/>
    <m/>
    <s v="NA"/>
    <s v="NA"/>
    <s v="NA"/>
    <s v="NA"/>
    <s v="NA"/>
    <s v="NA"/>
    <n v="1143"/>
    <n v="1143"/>
    <s v="NA"/>
    <s v="NA"/>
    <s v="NA"/>
    <s v="NA"/>
    <s v="NA"/>
    <n v="0"/>
    <s v="NA"/>
    <n v="0"/>
    <s v="NA"/>
    <s v="alphabetical with +"/>
    <n v="0"/>
    <n v="0"/>
    <n v="0"/>
    <m/>
    <m/>
    <m/>
    <m/>
    <m/>
    <m/>
    <m/>
    <m/>
    <m/>
    <m/>
    <n v="0.99476156646916469"/>
    <n v="2.9711286487420243"/>
    <n v="-6.736131167647591E-2"/>
    <n v="8.7719298245614037E-4"/>
    <m/>
    <m/>
    <m/>
  </r>
  <r>
    <x v="4"/>
    <m/>
    <n v="1204"/>
    <n v="202"/>
    <s v="Schleich, Durand, Brugger"/>
    <n v="2021"/>
    <s v="How effective are energy-efficiency incentive programs? Evidence from Italian homeowners"/>
    <s v="In most countries, minimum energy performance standards (MEPS) and energy labels are the key policies to_x000a_accelerate the diffusion of energy-efficient appliances and to help meet energy efficiency and climate policy_x000a_targets. This paper estimates country-specific multivariate econometric models for eight EU countries over the_x000a_period of 2007–2017 to evaluate the combined effects of changes in the MEPS and the energy labels entering into_x000a_force in the EU in 2010 and 2011. The findings suggest that these policies increased the market share of cold_x000a_appliances (refrigerators and fridge-freezer combinations) with an energy label of A+ and better between about_x000a_15 and 38 percentage points. For these appliances, autonomous developments (captured through a time trend)_x000a_are estimated to range between 5 and 10 percentage points per year. Thus, failure to account for autonomous_x000a_developments would have resulted in substantially overestimating the combined effects of MEPS and energy_x000a_label policies in the EU. The findings further imply that policy evaluations should allow for policy effectiveness_x000a_and autonomous"/>
    <n v="2"/>
    <s v="2007-2017"/>
    <x v="0"/>
    <n v="8"/>
    <x v="4"/>
    <x v="5"/>
    <x v="10"/>
    <s v="NA"/>
    <s v="pre-recorded (no experiment)"/>
    <s v="NA"/>
    <s v="NA"/>
    <s v="NA"/>
    <s v="NA"/>
    <s v="probably no"/>
    <s v="probably no"/>
    <s v="study tries to distinguish between time effects and effect of labels. Probbaly not successful. Not very reliable "/>
    <n v="0"/>
    <n v="0"/>
    <n v="1"/>
    <n v="0"/>
    <n v="0"/>
    <n v="0"/>
    <n v="0"/>
    <n v="1"/>
    <s v="here choice architecture refers to the MANDATORY phasing out of low energy effieicncy appliances "/>
    <n v="0"/>
    <n v="0"/>
    <n v="0"/>
    <n v="1"/>
    <n v="0"/>
    <n v="0"/>
    <n v="0"/>
    <n v="0"/>
    <n v="0"/>
    <s v="NA"/>
    <x v="4"/>
    <s v="The dependent variable sharel_x000a_tji stands for the share of_x000a_energy efficiency class l in the sales of a particular product category in_x000a_year t in country j."/>
    <s v="NA"/>
    <n v="0.152"/>
    <s v="increase"/>
    <n v="0.107"/>
    <n v="0.1"/>
    <n v="2"/>
    <n v="1.4205607476635513"/>
    <s v="NA"/>
    <m/>
    <s v="NA"/>
    <s v="NA"/>
    <s v="NA"/>
    <s v="NA"/>
    <s v="NA"/>
    <s v="NA"/>
    <n v="1143"/>
    <n v="1143"/>
    <s v="NA"/>
    <s v="NA"/>
    <s v="NA"/>
    <s v="NA"/>
    <s v="NA"/>
    <n v="0"/>
    <s v="NA"/>
    <n v="0"/>
    <s v="NA"/>
    <s v="alphabetical with +"/>
    <n v="0"/>
    <n v="0"/>
    <n v="0"/>
    <m/>
    <m/>
    <m/>
    <m/>
    <m/>
    <m/>
    <m/>
    <m/>
    <m/>
    <m/>
    <n v="4.1981084605393931E-2"/>
    <n v="4.2005773365978882E-2"/>
    <n v="8.7565401628082187E-4"/>
    <n v="8.7719298245614037E-4"/>
    <m/>
    <m/>
    <m/>
  </r>
  <r>
    <x v="3"/>
    <m/>
    <n v="1233"/>
    <n v="309"/>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1"/>
    <s v="2013-2014"/>
    <x v="13"/>
    <s v="73-74"/>
    <x v="3"/>
    <x v="2"/>
    <x v="1"/>
    <s v="revealed preference"/>
    <s v="household"/>
    <s v="residents"/>
    <n v="1"/>
    <s v="opt_in"/>
    <n v="0"/>
    <s v="probably yes"/>
    <s v="probably no"/>
    <s v="study under contract with Energy Star"/>
    <n v="0"/>
    <n v="1"/>
    <n v="1"/>
    <n v="1"/>
    <n v="0"/>
    <n v="0"/>
    <n v="0"/>
    <n v="0"/>
    <s v="NA"/>
    <n v="0"/>
    <n v="0"/>
    <n v="0"/>
    <n v="0"/>
    <n v="0"/>
    <n v="1"/>
    <n v="0"/>
    <n v="0"/>
    <n v="0"/>
    <s v="NA"/>
    <x v="1"/>
    <s v="the average daily energy consumption (kWh)"/>
    <s v="NA"/>
    <n v="5.4961558073974334E-2"/>
    <s v="decrease"/>
    <e v="#VALUE!"/>
    <s v="NA"/>
    <s v="NA"/>
    <s v="NA"/>
    <n v="5.6500000000000002E-2"/>
    <m/>
    <n v="18.86"/>
    <n v="6176"/>
    <s v="NA"/>
    <n v="17.84"/>
    <n v="54"/>
    <s v="NA"/>
    <n v="6230"/>
    <n v="6230"/>
    <s v="NA"/>
    <s v="NA"/>
    <s v="NA"/>
    <s v="NA"/>
    <s v="NA"/>
    <s v="NA"/>
    <s v="NA"/>
    <s v="NA"/>
    <s v="NA"/>
    <s v="NA"/>
    <n v="1"/>
    <n v="0"/>
    <n v="0"/>
    <m/>
    <m/>
    <m/>
    <m/>
    <m/>
    <m/>
    <m/>
    <m/>
    <m/>
    <m/>
    <m/>
    <m/>
    <m/>
    <m/>
    <e v="#VALUE!"/>
    <m/>
    <m/>
  </r>
  <r>
    <x v="3"/>
    <n v="26"/>
    <n v="1250"/>
    <n v="303"/>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2"/>
    <n v="2013"/>
    <x v="0"/>
    <n v="67"/>
    <x v="3"/>
    <x v="0"/>
    <x v="1"/>
    <s v="revealed preference"/>
    <s v="retailer"/>
    <s v="store visitors"/>
    <n v="0"/>
    <s v="opt_in"/>
    <n v="0"/>
    <s v="probably yes"/>
    <s v="probably yes"/>
    <s v="study under contract with Energy Star, at least one number (896%) was reported incorrectly, which was spotted while coding"/>
    <n v="0"/>
    <n v="1"/>
    <n v="1"/>
    <n v="1"/>
    <n v="0"/>
    <n v="0"/>
    <n v="0"/>
    <n v="0"/>
    <s v="NA"/>
    <n v="0"/>
    <n v="0"/>
    <n v="0"/>
    <n v="0"/>
    <n v="0"/>
    <n v="1"/>
    <n v="0"/>
    <n v="0"/>
    <n v="0"/>
    <s v="LED bulbs sold"/>
    <x v="0"/>
    <s v="LED bulbs sold"/>
    <s v="NA"/>
    <s v="NA"/>
    <s v="increase"/>
    <s v="NA"/>
    <s v="NA"/>
    <s v="N A"/>
    <s v="NA"/>
    <n v="7.9603753910323256"/>
    <m/>
    <n v="959"/>
    <n v="3"/>
    <s v="NA"/>
    <n v="8593"/>
    <n v="3"/>
    <s v="NA"/>
    <n v="6"/>
    <s v="NA"/>
    <n v="7634"/>
    <s v="NA"/>
    <s v="NA"/>
    <s v="NA"/>
    <s v="NA"/>
    <s v="NA"/>
    <s v="NA"/>
    <n v="1"/>
    <s v="NA"/>
    <s v="NA"/>
    <n v="0"/>
    <n v="0"/>
    <n v="0"/>
    <m/>
    <m/>
    <m/>
    <m/>
    <m/>
    <m/>
    <m/>
    <m/>
    <m/>
    <m/>
    <e v="#VALUE!"/>
    <e v="#VALUE!"/>
    <e v="#VALUE!"/>
    <n v="0.33333333333333331"/>
    <e v="#VALUE!"/>
    <n v="4"/>
    <s v="not enough data"/>
  </r>
  <r>
    <x v="3"/>
    <n v="26"/>
    <n v="1251"/>
    <n v="303"/>
    <s v="Schultz, Colehour, Vohr, Bonn, Bullock, Sadler"/>
    <n v="2015"/>
    <s v="Using Social Marketing to Spur Residential Adoption of ENERGY STAR®-Certified LED Lighting"/>
    <s v="Recent technological advancements in lighting have produced light bulbs that are dramatically more efficient than the traditional incandescent bulb. Yet despite these benefits, the marketplace has been slow to adopt these newer and more efficient bulbs. To help facilitate this change, the Environmental Protection Agency’s ENERGY STAR program conducted a series of pilot behavior change campaigns to encourage residents to purchase and install ENERGY STAR-certified light-emitting diode (LED) lights. Campaigns were conducted with Duke Energy and Efficiency Vermont aimed at encouraging residents to purchase and install certified LED lighting in their homes. The campaigns used community_x0002_based social marketing (CBSM) as the platform for developing the overarching strategy and were developed to highlight the benefits of certified LED lights and to decrease the barriers. In Vermont, a school-based fund-raiser was used to promote certified LED bulbs, and in North Carolina, special in-store lighting events were held at Home Depot and Costco retail locations. Both programs were implemented using a control group, and quantitative outcomes were tracked. Reported results highlight the increase in sales of certified LEDs associated with the campaigns. Survey data are also reported from participants in the two campaigns, along with tests for spillover of the newly adopted behavior into other lighting purchases and behaviors. The lessons learned from these two CBSM pilots are synthesized into turnkey materials that can be adopted by other organizations looking to promote the adoption of LED lights."/>
    <n v="2"/>
    <n v="2013"/>
    <x v="0"/>
    <n v="67"/>
    <x v="3"/>
    <x v="2"/>
    <x v="1"/>
    <s v="revealed preference"/>
    <s v="retailer"/>
    <s v="store visitors"/>
    <n v="0"/>
    <s v="opt_in"/>
    <n v="0"/>
    <s v="probably yes"/>
    <s v="probably yes"/>
    <s v="study under contract with Energy Star, at least one number (896%) was reported incorrectly, which was spotted while coding"/>
    <n v="0"/>
    <n v="1"/>
    <n v="1"/>
    <n v="1"/>
    <n v="0"/>
    <n v="0"/>
    <n v="0"/>
    <n v="0"/>
    <s v="NA"/>
    <n v="0"/>
    <n v="0"/>
    <n v="0"/>
    <n v="0"/>
    <n v="0"/>
    <n v="1"/>
    <n v="0"/>
    <n v="0"/>
    <n v="0"/>
    <s v="LED bulbs sold"/>
    <x v="0"/>
    <s v="LED bulbs sold"/>
    <s v="NA"/>
    <s v="NA"/>
    <s v="increase"/>
    <n v="1"/>
    <n v="0.02"/>
    <n v="1"/>
    <n v="3.7469473879791968"/>
    <n v="34.655601659751035"/>
    <m/>
    <n v="241"/>
    <n v="3"/>
    <s v="NA"/>
    <n v="8593"/>
    <n v="3"/>
    <s v="NA"/>
    <n v="6"/>
    <s v="NA"/>
    <n v="8352"/>
    <s v="NA"/>
    <s v="NA"/>
    <s v="NA"/>
    <s v="NA"/>
    <s v="NA"/>
    <s v="NA"/>
    <n v="1"/>
    <s v="NA"/>
    <s v="NA"/>
    <n v="0"/>
    <n v="0"/>
    <n v="0"/>
    <m/>
    <m/>
    <m/>
    <m/>
    <m/>
    <m/>
    <m/>
    <m/>
    <m/>
    <m/>
    <n v="0.99999997132859308"/>
    <n v="9.0302563258721591"/>
    <n v="-1329.7346701207366"/>
    <n v="0.33333333333333331"/>
    <n v="8352"/>
    <n v="4"/>
    <s v="outlier"/>
  </r>
  <r>
    <x v="0"/>
    <m/>
    <n v="1187"/>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69"/>
    <x v="26"/>
    <x v="3"/>
    <x v="13"/>
    <s v="stated preference"/>
    <s v="retailer"/>
    <s v="individuals"/>
    <n v="1"/>
    <s v="opt_out"/>
    <n v="1"/>
    <s v="probably no"/>
    <s v="probably no"/>
    <s v="effect of label or energy efficiency?"/>
    <n v="0"/>
    <n v="0"/>
    <n v="1"/>
    <n v="0"/>
    <n v="0"/>
    <n v="0"/>
    <n v="0"/>
    <n v="0"/>
    <s v="China Energy Efficiency Label"/>
    <n v="0"/>
    <n v="0"/>
    <n v="0"/>
    <n v="0"/>
    <n v="0"/>
    <n v="0"/>
    <n v="0"/>
    <n v="1"/>
    <n v="0"/>
    <s v="NA"/>
    <x v="2"/>
    <s v="WTP for highest energy rank"/>
    <s v="NA"/>
    <n v="0.49590000000000001"/>
    <s v="increase"/>
    <s v="NA"/>
    <n v="0.1"/>
    <n v="1"/>
    <s v="NA"/>
    <s v="NA"/>
    <m/>
    <s v="NA"/>
    <s v="NA"/>
    <s v="NA"/>
    <s v="NA"/>
    <s v="NA"/>
    <s v="NA"/>
    <n v="600"/>
    <n v="3600"/>
    <s v="NA"/>
    <s v="NA"/>
    <s v="NA"/>
    <s v="NA"/>
    <s v="NA"/>
    <m/>
    <m/>
    <m/>
    <m/>
    <m/>
    <n v="0"/>
    <n v="1"/>
    <n v="1"/>
    <m/>
    <m/>
    <m/>
    <m/>
    <m/>
    <m/>
    <m/>
    <m/>
    <m/>
    <m/>
    <e v="#VALUE!"/>
    <e v="#VALUE!"/>
    <e v="#VALUE!"/>
    <n v="1.6750418760469012E-3"/>
    <m/>
    <m/>
    <m/>
  </r>
  <r>
    <x v="0"/>
    <m/>
    <n v="1188"/>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0"/>
    <x v="26"/>
    <x v="3"/>
    <x v="13"/>
    <s v="stated preference"/>
    <s v="retailer"/>
    <s v="individuals"/>
    <n v="1"/>
    <s v="opt_out"/>
    <n v="1"/>
    <s v="probably no"/>
    <s v="probably no"/>
    <s v="effect of label or energy efficiency?"/>
    <n v="0"/>
    <n v="0"/>
    <n v="1"/>
    <n v="0"/>
    <n v="0"/>
    <n v="0"/>
    <n v="0"/>
    <n v="0"/>
    <s v="China Energy Efficiency Label"/>
    <n v="0"/>
    <n v="0"/>
    <n v="0"/>
    <n v="1"/>
    <n v="0"/>
    <n v="0"/>
    <n v="0"/>
    <n v="0"/>
    <n v="0"/>
    <s v="NA"/>
    <x v="2"/>
    <s v="WTP for highest energy rank"/>
    <s v="NA"/>
    <n v="0.17399999999999999"/>
    <s v="increase"/>
    <s v="NA"/>
    <n v="0.1"/>
    <n v="1"/>
    <s v="NA"/>
    <s v="NA"/>
    <m/>
    <s v="NA"/>
    <s v="NA"/>
    <s v="NA"/>
    <s v="NA"/>
    <s v="NA"/>
    <s v="NA"/>
    <n v="600"/>
    <n v="3600"/>
    <s v="NA"/>
    <s v="NA"/>
    <s v="NA"/>
    <s v="NA"/>
    <s v="NA"/>
    <m/>
    <m/>
    <m/>
    <m/>
    <m/>
    <n v="0"/>
    <n v="1"/>
    <n v="1"/>
    <m/>
    <m/>
    <m/>
    <m/>
    <m/>
    <m/>
    <m/>
    <m/>
    <m/>
    <m/>
    <e v="#VALUE!"/>
    <e v="#VALUE!"/>
    <e v="#VALUE!"/>
    <n v="1.6750418760469012E-3"/>
    <m/>
    <m/>
    <m/>
  </r>
  <r>
    <x v="0"/>
    <m/>
    <n v="1189"/>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0"/>
    <x v="26"/>
    <x v="3"/>
    <x v="13"/>
    <s v="stated preference"/>
    <s v="online"/>
    <s v="individuals"/>
    <n v="1"/>
    <s v="opt_out"/>
    <n v="1"/>
    <s v="probably no"/>
    <s v="probably no"/>
    <s v="effect of label or energy efficiency?"/>
    <n v="0"/>
    <n v="0"/>
    <n v="1"/>
    <n v="0"/>
    <n v="0"/>
    <n v="0"/>
    <n v="0"/>
    <n v="0"/>
    <s v="China Energy Efficiency Label"/>
    <n v="0"/>
    <n v="0"/>
    <n v="0"/>
    <n v="0"/>
    <n v="0"/>
    <n v="0"/>
    <n v="0"/>
    <n v="1"/>
    <n v="0"/>
    <s v="NA"/>
    <x v="2"/>
    <s v="WTP for highest energy rank"/>
    <s v="NA"/>
    <n v="3.0964"/>
    <s v="increase"/>
    <s v="NA"/>
    <n v="0.1"/>
    <n v="1"/>
    <s v="NA"/>
    <s v="NA"/>
    <m/>
    <s v="NA"/>
    <s v="NA"/>
    <s v="NA"/>
    <s v="NA"/>
    <s v="NA"/>
    <s v="NA"/>
    <n v="600"/>
    <n v="3600"/>
    <s v="NA"/>
    <s v="NA"/>
    <s v="NA"/>
    <s v="NA"/>
    <s v="NA"/>
    <m/>
    <m/>
    <m/>
    <m/>
    <m/>
    <n v="0"/>
    <n v="1"/>
    <n v="1"/>
    <m/>
    <m/>
    <m/>
    <m/>
    <m/>
    <m/>
    <m/>
    <m/>
    <m/>
    <m/>
    <e v="#VALUE!"/>
    <e v="#VALUE!"/>
    <e v="#VALUE!"/>
    <n v="1.6750418760469012E-3"/>
    <m/>
    <m/>
    <m/>
  </r>
  <r>
    <x v="0"/>
    <m/>
    <n v="1190"/>
    <n v="143"/>
    <s v="Shen, Saijo"/>
    <n v="2009"/>
    <s v="Does an energy efficiency label alter consumers’ purchasing decisions? A latent_x000a_class approach based on a stated choice experiment in Shanghai"/>
    <s v="In this paper we conducted a hypothetical choice experiment in Shanghai, China, to examine whether the_x000a_China Energy Efficiency Label influences consumers’ choices of air conditioners and refrigerators. A latent_x000a_class approach was applied to observe both heterogeneities among the respondents and product brands._x000a_Our results suggested that consumers in Shanghai were well aware of the China Energy Efficiency Label_x000a_and tended to pay more attention to products with such labels. In addition, air conditioners and_x000a_refrigerators affixed with a hypothetical label that indicates saving in electricity bills compared with_x000a_a standard model received significant preferences, which suggested that the more information manufacturers_x000a_provide, the more their products would be preferred by consumers. Finally, weighted by class_x000a_probability, the willingness to pay values for more energy efficient refrigerators were higher than those_x000a_for more energy efficient air conditioners, implying that Shanghai consumers have greater incentive to_x000a_pay more for appliances they use more frequently."/>
    <n v="2"/>
    <n v="2006"/>
    <x v="0"/>
    <n v="3571"/>
    <x v="26"/>
    <x v="3"/>
    <x v="13"/>
    <s v="stated preference"/>
    <s v="online"/>
    <s v="individuals"/>
    <n v="1"/>
    <s v="opt_out"/>
    <n v="1"/>
    <s v="probably no"/>
    <s v="probably no"/>
    <s v="effect of label or energy efficiency?"/>
    <n v="0"/>
    <n v="0"/>
    <n v="1"/>
    <n v="0"/>
    <n v="0"/>
    <n v="0"/>
    <n v="0"/>
    <n v="0"/>
    <s v="China Energy Efficiency Label"/>
    <n v="0"/>
    <n v="0"/>
    <n v="0"/>
    <n v="1"/>
    <n v="0"/>
    <n v="0"/>
    <n v="0"/>
    <n v="0"/>
    <n v="0"/>
    <s v="NA"/>
    <x v="2"/>
    <s v="WTP for highest energy rank"/>
    <s v="NA"/>
    <n v="3.5619999999999998"/>
    <s v="increase"/>
    <s v="NA"/>
    <n v="0.05"/>
    <n v="1"/>
    <s v="NA"/>
    <s v="NA"/>
    <m/>
    <s v="NA"/>
    <s v="NA"/>
    <s v="NA"/>
    <s v="NA"/>
    <s v="NA"/>
    <s v="NA"/>
    <n v="600"/>
    <n v="3600"/>
    <s v="NA"/>
    <s v="NA"/>
    <s v="NA"/>
    <s v="NA"/>
    <s v="NA"/>
    <m/>
    <m/>
    <m/>
    <m/>
    <m/>
    <n v="0"/>
    <n v="1"/>
    <n v="1"/>
    <m/>
    <m/>
    <m/>
    <m/>
    <m/>
    <m/>
    <m/>
    <m/>
    <m/>
    <m/>
    <e v="#VALUE!"/>
    <e v="#VALUE!"/>
    <e v="#VALUE!"/>
    <n v="1.6750418760469012E-3"/>
    <m/>
    <m/>
    <m/>
  </r>
  <r>
    <x v="0"/>
    <m/>
    <n v="1122"/>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0"/>
    <n v="0"/>
    <n v="0"/>
    <n v="0"/>
    <n v="0"/>
    <n v="0"/>
    <s v="mixed interventions"/>
    <n v="0"/>
    <n v="0"/>
    <n v="0"/>
    <n v="1"/>
    <n v="0"/>
    <n v="0"/>
    <n v="0"/>
    <n v="0"/>
    <n v="0"/>
    <s v="NA"/>
    <x v="2"/>
    <s v="marginal WTP for energy efficiency improvement"/>
    <s v="NA"/>
    <n v="0.1305"/>
    <s v="increase"/>
    <s v="NA"/>
    <n v="0.05"/>
    <n v="1"/>
    <n v="2.0280999999999998"/>
    <s v="NA"/>
    <m/>
    <s v="NA"/>
    <s v="NA"/>
    <s v="NA"/>
    <s v="NA"/>
    <s v="NA"/>
    <s v="NA"/>
    <n v="36"/>
    <n v="8928"/>
    <s v="NA"/>
    <s v="NA"/>
    <s v="NA"/>
    <s v="NA"/>
    <s v="NA"/>
    <s v="NA"/>
    <s v="NA"/>
    <s v="NA"/>
    <s v="NA"/>
    <s v="NA"/>
    <n v="0"/>
    <n v="0"/>
    <n v="0"/>
    <m/>
    <m/>
    <m/>
    <m/>
    <m/>
    <m/>
    <m/>
    <m/>
    <m/>
    <m/>
    <n v="0.32021801928313393"/>
    <n v="0.33189001894838011"/>
    <n v="2.822476458784471E-2"/>
    <n v="3.0303030303030304E-2"/>
    <m/>
    <m/>
    <m/>
  </r>
  <r>
    <x v="0"/>
    <m/>
    <n v="1123"/>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0"/>
    <n v="1"/>
    <n v="0"/>
    <n v="0"/>
    <n v="0"/>
    <n v="0"/>
    <n v="0"/>
    <s v="mixed interventions"/>
    <n v="0"/>
    <n v="0"/>
    <n v="0"/>
    <n v="1"/>
    <n v="0"/>
    <n v="0"/>
    <n v="0"/>
    <n v="0"/>
    <n v="0"/>
    <s v="NA"/>
    <x v="2"/>
    <s v="marginal WTP for energy efficiency improvement"/>
    <s v="NA"/>
    <n v="0.28129999999999999"/>
    <s v="increase"/>
    <s v="NA"/>
    <n v="0.05"/>
    <n v="1"/>
    <n v="2.0280999999999998"/>
    <s v="NA"/>
    <m/>
    <s v="NA"/>
    <s v="NA"/>
    <s v="NA"/>
    <s v="NA"/>
    <s v="NA"/>
    <s v="NA"/>
    <n v="36"/>
    <n v="8928"/>
    <s v="NA"/>
    <s v="NA"/>
    <s v="NA"/>
    <s v="NA"/>
    <s v="NA"/>
    <s v="NA"/>
    <s v="NA"/>
    <s v="NA"/>
    <s v="NA"/>
    <s v="NA"/>
    <n v="0"/>
    <n v="0"/>
    <n v="0"/>
    <m/>
    <m/>
    <m/>
    <m/>
    <m/>
    <m/>
    <m/>
    <m/>
    <m/>
    <m/>
    <n v="0.32021801928313393"/>
    <n v="0.33189001894838011"/>
    <n v="2.822476458784471E-2"/>
    <n v="3.0303030303030304E-2"/>
    <m/>
    <m/>
    <m/>
  </r>
  <r>
    <x v="0"/>
    <m/>
    <n v="1124"/>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0.49790000000000001"/>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5"/>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1.0802"/>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6"/>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0.60389999999999999"/>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m/>
    <n v="1127"/>
    <n v="127"/>
    <s v="Skourtos, Damigos, Tourkolias, Kontogianni"/>
    <n v="2021"/>
    <s v="Efficient energy labelling: the impact of information content and style on product choice"/>
    <s v="It is widely acknowledged that energy labels guide consumers towards more energy-saving appli- ances. However, the effectiveness of energy labelling schemes should not be taken for granted; the quality and the amount of information, as well as the way that information is displayed on energy labels may affect consumers’ choices. The paper presents the results of a choice-based experiment conducted in Greece on a ran- dom sample of 992 individuals. The respondents were assigned to one of four experimental conditions: (i) a labelled experiment without additional information on the estimated cost of energy (Control sample); (ii) a labelled experiment with additional information on th "/>
    <n v="2"/>
    <n v="2017"/>
    <x v="0"/>
    <n v="58"/>
    <x v="5"/>
    <x v="2"/>
    <x v="35"/>
    <s v="stated preference"/>
    <s v="online"/>
    <s v="individuals"/>
    <n v="1"/>
    <s v="opt_out"/>
    <n v="1"/>
    <s v="probably no"/>
    <s v="probably no"/>
    <s v="NA"/>
    <n v="0"/>
    <n v="1"/>
    <n v="1"/>
    <n v="0"/>
    <n v="0"/>
    <n v="0"/>
    <n v="0"/>
    <n v="0"/>
    <s v="mixed interventions"/>
    <n v="0"/>
    <n v="0"/>
    <n v="0"/>
    <n v="1"/>
    <n v="0"/>
    <n v="0"/>
    <n v="0"/>
    <n v="0"/>
    <n v="0"/>
    <s v="NA"/>
    <x v="2"/>
    <s v="marginal WTP for energy efficiency improvement"/>
    <s v="NA"/>
    <n v="1.1668000000000001"/>
    <s v="increase"/>
    <s v="NA"/>
    <n v="1E-3"/>
    <n v="1"/>
    <n v="3.5821000000000001"/>
    <s v="NA"/>
    <m/>
    <s v="NA"/>
    <s v="NA"/>
    <s v="NA"/>
    <s v="NA"/>
    <s v="NA"/>
    <s v="NA"/>
    <n v="36"/>
    <n v="8928"/>
    <s v="NA"/>
    <s v="NA"/>
    <s v="NA"/>
    <s v="NA"/>
    <s v="NA"/>
    <s v="NA"/>
    <s v="NA"/>
    <s v="NA"/>
    <s v="NA"/>
    <s v="NA"/>
    <n v="0"/>
    <n v="0"/>
    <n v="0"/>
    <m/>
    <m/>
    <m/>
    <m/>
    <m/>
    <m/>
    <m/>
    <m/>
    <m/>
    <m/>
    <n v="0.5126110197955529"/>
    <n v="0.56626502857004413"/>
    <n v="2.5633705048672264E-2"/>
    <n v="3.0303030303030304E-2"/>
    <m/>
    <m/>
    <m/>
  </r>
  <r>
    <x v="0"/>
    <n v="27"/>
    <n v="1193"/>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0"/>
    <n v="0"/>
    <n v="1"/>
    <n v="0"/>
    <n v="0"/>
    <n v="0"/>
    <n v="0"/>
    <n v="0"/>
    <s v="NA"/>
    <x v="0"/>
    <s v="mean expected annual electricity consumption of appliances purchased"/>
    <s v="NA"/>
    <s v="NA"/>
    <s v="decrease"/>
    <n v="2.4"/>
    <n v="0.1"/>
    <n v="2"/>
    <n v="1.6512273926074998"/>
    <n v="0"/>
    <m/>
    <n v="199.5"/>
    <n v="100"/>
    <n v="2.1"/>
    <n v="199.5"/>
    <n v="141"/>
    <n v="1.4"/>
    <n v="241"/>
    <n v="241"/>
    <n v="0"/>
    <s v="NA"/>
    <s v="NA"/>
    <s v="NA"/>
    <s v="NA"/>
    <n v="0"/>
    <s v="NA"/>
    <n v="0"/>
    <s v="NA"/>
    <s v="alphabetical with +"/>
    <n v="0"/>
    <n v="0"/>
    <n v="0"/>
    <m/>
    <m/>
    <m/>
    <m/>
    <m/>
    <m/>
    <m/>
    <m/>
    <m/>
    <m/>
    <n v="0"/>
    <n v="0"/>
    <n v="4.1666666666666666E-3"/>
    <n v="4.2016806722689074E-3"/>
    <n v="0"/>
    <n v="240"/>
    <s v="NA"/>
  </r>
  <r>
    <x v="0"/>
    <n v="27"/>
    <n v="1194"/>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0"/>
    <n v="0"/>
    <n v="1"/>
    <n v="0"/>
    <n v="0"/>
    <n v="0"/>
    <n v="0"/>
    <n v="0"/>
    <s v="NA"/>
    <x v="0"/>
    <s v="mean expected annual electricity consumption of appliances purchased"/>
    <s v="NA"/>
    <s v="NA"/>
    <s v="increase"/>
    <n v="2.8"/>
    <n v="0.1"/>
    <n v="2"/>
    <n v="1.6521770093863108"/>
    <n v="3.0075187969924528E-3"/>
    <m/>
    <n v="199.5"/>
    <n v="100"/>
    <n v="2.1"/>
    <n v="200.1"/>
    <n v="110"/>
    <n v="1.9"/>
    <n v="210"/>
    <n v="210"/>
    <n v="0.59999999999999432"/>
    <s v="NA"/>
    <s v="NA"/>
    <s v="NA"/>
    <s v="NA"/>
    <n v="0"/>
    <s v="NA"/>
    <n v="0"/>
    <s v="NA"/>
    <s v="alphabetical with +"/>
    <n v="0"/>
    <n v="0"/>
    <n v="0"/>
    <m/>
    <m/>
    <m/>
    <m/>
    <m/>
    <m/>
    <m/>
    <m/>
    <m/>
    <m/>
    <n v="0.10653312363426425"/>
    <n v="0.10693891620630497"/>
    <n v="4.7840632510233495E-3"/>
    <n v="4.830917874396135E-3"/>
    <n v="0.21428571428571228"/>
    <n v="209"/>
    <s v="NA"/>
  </r>
  <r>
    <x v="0"/>
    <n v="27"/>
    <n v="1195"/>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1"/>
    <n v="0"/>
    <n v="0"/>
    <n v="0"/>
    <n v="0"/>
    <n v="0"/>
    <n v="0"/>
    <n v="0"/>
    <s v="NA"/>
    <x v="0"/>
    <s v="mean expected annual electricity consumption of appliances purchased"/>
    <s v="NA"/>
    <s v="NA"/>
    <s v="decrease"/>
    <n v="9.5"/>
    <n v="0.05"/>
    <n v="1"/>
    <n v="1.9776"/>
    <n v="8.0264791063301519E-2"/>
    <m/>
    <n v="241.7"/>
    <n v="66"/>
    <n v="7.5"/>
    <n v="222.3"/>
    <n v="70"/>
    <n v="5.8"/>
    <n v="136"/>
    <n v="136"/>
    <n v="19.399999999999977"/>
    <s v="NA"/>
    <s v="NA"/>
    <s v="NA"/>
    <s v="NA"/>
    <n v="0"/>
    <s v="NA"/>
    <n v="0"/>
    <s v="NA"/>
    <s v="alphabetical with +"/>
    <n v="0"/>
    <n v="0"/>
    <n v="0"/>
    <m/>
    <m/>
    <m/>
    <m/>
    <m/>
    <m/>
    <m/>
    <m/>
    <m/>
    <m/>
    <n v="0.71443371736545624"/>
    <n v="0.89618197281213685"/>
    <n v="2.6293534933306177E-3"/>
    <n v="7.5187969924812026E-3"/>
    <n v="2.0421052631578922"/>
    <n v="135"/>
    <s v="NA"/>
  </r>
  <r>
    <x v="0"/>
    <n v="27"/>
    <n v="1196"/>
    <n v="145"/>
    <s v="Stadelmann, Schubert"/>
    <n v="2018"/>
    <s v="How Do Different Designs of Energy Labels Influence Purchases of Household Appliances? A Field Study in Switzerland"/>
    <s v="Energy labels are a key element of energy efficiency policies. They provide information on appliances' energy consumption and aim at increasing consumers' attention to this characteristic. A well-known example is the EU Energy Label, which is required by law to be displayed on most energy-using durables in the EU as well as in Switzerland. In cooperation with a large online retailer in Switzerland we assess the impact of the EU Energy Label and of a newly designed monetary lifetime-oriented energy label in the field. We analyze private purchases of household appliances, especially freezers, vacuum cleaners and tumble dryers. We find that the display of any of the two energy labels increases the sales proportion of energy-efficient appliances compared to the absence of any energy label. At the same time, we observe a volume-effect for freezers: The average size of purchased freezers is larger when any of the two energy labels is displayed compared to the absence of any energy label. The influence of the two different energy labels is similar except for vacuum cleaners, for which monetary information might have an adverse effect. "/>
    <n v="1"/>
    <n v="2015"/>
    <x v="0"/>
    <n v="122"/>
    <x v="3"/>
    <x v="0"/>
    <x v="31"/>
    <s v="revealed preference"/>
    <s v="online"/>
    <s v="individuals"/>
    <n v="0"/>
    <s v="no such option"/>
    <n v="0"/>
    <s v="probably yes"/>
    <s v="probably yes"/>
    <s v="country specific (?)"/>
    <n v="0"/>
    <n v="1"/>
    <n v="1"/>
    <n v="0"/>
    <n v="0"/>
    <n v="0"/>
    <n v="0"/>
    <n v="0"/>
    <s v="additional information - in the description, base is just the label"/>
    <n v="0"/>
    <n v="1"/>
    <n v="0"/>
    <n v="0"/>
    <n v="0"/>
    <n v="0"/>
    <n v="0"/>
    <n v="0"/>
    <n v="0"/>
    <s v="NA"/>
    <x v="0"/>
    <s v="mean expected annual electricity consumption of appliances purchased"/>
    <s v="NA"/>
    <s v="NA"/>
    <s v="decrease"/>
    <n v="9.9"/>
    <n v="0.05"/>
    <n v="1"/>
    <n v="1.9776"/>
    <n v="9.6400496483243628E-2"/>
    <m/>
    <n v="241.7"/>
    <n v="66"/>
    <n v="7.5"/>
    <n v="218.4"/>
    <n v="58"/>
    <n v="6.2"/>
    <n v="124"/>
    <n v="124"/>
    <n v="23.299999999999983"/>
    <s v="NA"/>
    <s v="NA"/>
    <s v="NA"/>
    <s v="NA"/>
    <n v="0"/>
    <s v="NA"/>
    <n v="0"/>
    <s v="NA"/>
    <s v="alphabetical with +"/>
    <n v="0"/>
    <n v="0"/>
    <n v="0"/>
    <m/>
    <m/>
    <m/>
    <m/>
    <m/>
    <m/>
    <m/>
    <m/>
    <m/>
    <m/>
    <n v="0.76202000564235584"/>
    <n v="1.0010147737770376"/>
    <n v="-3.305103970764036E-5"/>
    <n v="8.2644628099173556E-3"/>
    <n v="2.3535353535353516"/>
    <n v="123"/>
    <s v="NA"/>
  </r>
  <r>
    <x v="0"/>
    <m/>
    <n v="1142"/>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7"/>
    <x v="4"/>
    <x v="5"/>
    <x v="1"/>
    <s v="revealed preference"/>
    <s v="pre-recorded (no experiment)"/>
    <s v="homeowners"/>
    <n v="0"/>
    <s v="no such option"/>
    <n v="0"/>
    <s v="probably no"/>
    <s v="probably no"/>
    <s v="NA"/>
    <n v="0"/>
    <n v="0"/>
    <n v="0"/>
    <n v="0"/>
    <n v="0"/>
    <n v="0"/>
    <n v="0"/>
    <n v="1"/>
    <s v="effect of energy efficiency in itself rather than label"/>
    <n v="0"/>
    <n v="0"/>
    <n v="1"/>
    <n v="0"/>
    <n v="0"/>
    <n v="0"/>
    <n v="0"/>
    <n v="0"/>
    <n v="0"/>
    <s v="for owners of ES dishwasher"/>
    <x v="1"/>
    <s v="annual electricity consumption, excluding space heating and cooling,_x000a_water heating and refrigeration."/>
    <s v="NA"/>
    <n v="405.995"/>
    <s v="decrease"/>
    <n v="222.90799999999999"/>
    <n v="0.05"/>
    <n v="1"/>
    <n v="1.8213567929369965"/>
    <s v="NA"/>
    <m/>
    <s v="NA"/>
    <s v="NA"/>
    <s v="NA"/>
    <s v="NA"/>
    <s v="NA"/>
    <s v="NA"/>
    <n v="1761"/>
    <n v="1761"/>
    <s v="NA"/>
    <s v="NA"/>
    <s v="NA"/>
    <s v="NA"/>
    <s v="NA"/>
    <s v="NA"/>
    <s v="NA"/>
    <s v="NA"/>
    <s v="NA"/>
    <s v="NA"/>
    <n v="1"/>
    <n v="0"/>
    <n v="1"/>
    <m/>
    <m/>
    <m/>
    <m/>
    <m/>
    <m/>
    <m/>
    <m/>
    <m/>
    <m/>
    <n v="4.336173775143707E-2"/>
    <n v="4.3388945280999909E-2"/>
    <n v="5.6817980444038869E-4"/>
    <n v="5.6882821387940839E-4"/>
    <m/>
    <m/>
    <m/>
  </r>
  <r>
    <x v="0"/>
    <m/>
    <n v="1143"/>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7"/>
    <x v="10"/>
    <x v="5"/>
    <x v="1"/>
    <s v="revealed preference"/>
    <s v="pre-recorded (no experiment)"/>
    <s v="homeowners"/>
    <n v="0"/>
    <s v="no such option"/>
    <n v="0"/>
    <s v="probably no"/>
    <s v="probably no"/>
    <s v="NA"/>
    <n v="0"/>
    <n v="0"/>
    <n v="0"/>
    <n v="0"/>
    <n v="0"/>
    <n v="0"/>
    <n v="0"/>
    <n v="1"/>
    <s v="effect of energy efficiency in itself rather than label"/>
    <n v="0"/>
    <n v="0"/>
    <n v="1"/>
    <n v="0"/>
    <n v="0"/>
    <n v="0"/>
    <n v="0"/>
    <n v="0"/>
    <n v="0"/>
    <s v="for owners of ES dishwasher"/>
    <x v="1"/>
    <s v="annual electricity consumption, excluding space heating and cooling,_x000a_water heating and refrigeration."/>
    <s v="NA"/>
    <n v="3586.4569999999999"/>
    <s v="decrease"/>
    <n v="2082.6759999999999"/>
    <n v="0.05"/>
    <n v="1"/>
    <n v="1.7220426989123607"/>
    <s v="NA"/>
    <m/>
    <s v="NA"/>
    <s v="NA"/>
    <s v="NA"/>
    <s v="NA"/>
    <s v="NA"/>
    <s v="NA"/>
    <n v="1761"/>
    <n v="1761"/>
    <s v="NA"/>
    <s v="NA"/>
    <s v="NA"/>
    <s v="NA"/>
    <s v="NA"/>
    <s v="NA"/>
    <s v="NA"/>
    <s v="NA"/>
    <s v="NA"/>
    <s v="NA"/>
    <n v="1"/>
    <n v="0"/>
    <n v="1"/>
    <m/>
    <m/>
    <m/>
    <m/>
    <m/>
    <m/>
    <m/>
    <m/>
    <m/>
    <m/>
    <n v="4.1001418393220745E-2"/>
    <n v="4.1024417647402674E-2"/>
    <n v="5.6818020880763031E-4"/>
    <n v="5.6882821387940839E-4"/>
    <m/>
    <m/>
    <m/>
  </r>
  <r>
    <x v="0"/>
    <m/>
    <n v="1144"/>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8"/>
    <x v="4"/>
    <x v="5"/>
    <x v="1"/>
    <s v="revealed preference"/>
    <s v="pre-recorded (no experiment)"/>
    <s v="homeowners"/>
    <n v="0"/>
    <s v="no such option"/>
    <n v="0"/>
    <s v="probably no"/>
    <s v="probably no"/>
    <s v="NA"/>
    <n v="0"/>
    <n v="0"/>
    <n v="0"/>
    <n v="0"/>
    <n v="0"/>
    <n v="0"/>
    <n v="0"/>
    <n v="1"/>
    <s v="effect of energy efficiency in itself rather than label"/>
    <n v="0"/>
    <n v="0"/>
    <n v="0"/>
    <n v="0"/>
    <n v="0"/>
    <n v="0"/>
    <n v="0"/>
    <n v="1"/>
    <n v="0"/>
    <s v="for owners of ES AC"/>
    <x v="1"/>
    <s v="annual electricity consumption, excluding space heating and cooling,_x000a_water heating and refrigeration."/>
    <s v="NA"/>
    <n v="212.39500000000001"/>
    <s v="increase"/>
    <n v="92.537000000000006"/>
    <n v="0.05"/>
    <n v="1"/>
    <n v="2.2952440645363477"/>
    <s v="NA"/>
    <m/>
    <s v="NA"/>
    <s v="NA"/>
    <s v="NA"/>
    <s v="NA"/>
    <s v="NA"/>
    <s v="NA"/>
    <n v="907"/>
    <n v="907"/>
    <s v="NA"/>
    <s v="NA"/>
    <s v="NA"/>
    <s v="NA"/>
    <s v="NA"/>
    <s v="NA"/>
    <s v="NA"/>
    <s v="NA"/>
    <s v="NA"/>
    <s v="NA"/>
    <n v="1"/>
    <n v="0"/>
    <n v="1"/>
    <m/>
    <m/>
    <m/>
    <m/>
    <m/>
    <m/>
    <m/>
    <m/>
    <m/>
    <m/>
    <n v="7.5991955053229768E-2"/>
    <n v="7.6138742860659789E-2"/>
    <n v="1.1037156661555521E-3"/>
    <n v="1.1061946902654867E-3"/>
    <m/>
    <m/>
    <m/>
  </r>
  <r>
    <x v="0"/>
    <m/>
    <n v="1145"/>
    <n v="130"/>
    <s v="Sun"/>
    <n v="2018"/>
    <s v="Heterogeneous direct rebound effect: Theory and evidence from the Energy Star program"/>
    <s v="Improvements in energy efficiency change the relative prices of energy services and thus the consumption_x000a_of those services. This so-called direct rebound effect changes the energy savings that improved efficiency_x000a_might otherwise achieve. This paper develops a theoretical model that shows the sign of the direct_x000a_rebound effect depends on the type of energy service. Empirical evidence from the 2009 Residential_x000a_Energy Consumption Survey data shows a negative direct rebound effect for Energy Star dishwashers and a_x000a_potentially positive direct rebound effect for Energy Star air conditioners. Negative rebound effects amplify_x000a_energy savings, while positive rebound effects offset energy savings from using more efficient technologies."/>
    <n v="1"/>
    <n v="2009"/>
    <x v="0"/>
    <n v="348"/>
    <x v="10"/>
    <x v="5"/>
    <x v="1"/>
    <s v="revealed preference"/>
    <s v="pre-recorded (no experiment)"/>
    <s v="homeowners"/>
    <n v="0"/>
    <s v="no such option"/>
    <n v="0"/>
    <s v="probably no"/>
    <s v="probably no"/>
    <s v="NA"/>
    <n v="0"/>
    <n v="0"/>
    <n v="0"/>
    <n v="0"/>
    <n v="0"/>
    <n v="0"/>
    <n v="0"/>
    <n v="1"/>
    <s v="effect of energy efficiency in itself rather than label"/>
    <n v="0"/>
    <n v="0"/>
    <n v="0"/>
    <n v="0"/>
    <n v="0"/>
    <n v="0"/>
    <n v="0"/>
    <n v="1"/>
    <n v="0"/>
    <s v="for owners of ES AC "/>
    <x v="1"/>
    <s v="annual electricity consumption, excluding space heating and cooling,_x000a_water heating and refrigeration."/>
    <s v="NA"/>
    <n v="301.86700000000002"/>
    <s v="increase"/>
    <n v="652.24300000000005"/>
    <n v="0.05"/>
    <n v="2"/>
    <n v="0.4628137059347513"/>
    <s v="NA"/>
    <m/>
    <s v="NA"/>
    <s v="NA"/>
    <s v="NA"/>
    <s v="NA"/>
    <s v="NA"/>
    <s v="NA"/>
    <n v="907"/>
    <n v="907"/>
    <s v="NA"/>
    <s v="NA"/>
    <s v="NA"/>
    <s v="NA"/>
    <s v="NA"/>
    <s v="NA"/>
    <s v="NA"/>
    <s v="NA"/>
    <s v="NA"/>
    <s v="NA"/>
    <n v="1"/>
    <n v="0"/>
    <n v="1"/>
    <m/>
    <m/>
    <m/>
    <m/>
    <m/>
    <m/>
    <m/>
    <m/>
    <m/>
    <m/>
    <n v="1.5365662610743538E-2"/>
    <n v="1.5366872078105973E-2"/>
    <n v="1.1037526978339323E-3"/>
    <n v="1.1061946902654867E-3"/>
    <m/>
    <m/>
    <m/>
  </r>
  <r>
    <x v="0"/>
    <n v="28"/>
    <n v="1116"/>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revealed preference"/>
    <s v="household"/>
    <s v="individuals"/>
    <n v="0"/>
    <s v="no such option"/>
    <n v="0"/>
    <s v="probably no"/>
    <s v="probably no"/>
    <s v="NA"/>
    <n v="0"/>
    <n v="0"/>
    <n v="0"/>
    <n v="1"/>
    <n v="0"/>
    <n v="0"/>
    <n v="0"/>
    <n v="0"/>
    <s v="NA"/>
    <n v="0"/>
    <n v="0"/>
    <n v="0"/>
    <n v="1"/>
    <n v="0"/>
    <n v="0"/>
    <n v="0"/>
    <n v="0"/>
    <n v="0"/>
    <s v="NA"/>
    <x v="0"/>
    <s v="choice of a high-efficiency appliance"/>
    <s v="dummy (0/1)"/>
    <n v="0.46400000000000002"/>
    <s v="decrease"/>
    <n v="0.27294117647058824"/>
    <s v="NA"/>
    <n v="3"/>
    <n v="1.7"/>
    <n v="0.59042297044003922"/>
    <n v="0.61396265729139654"/>
    <s v="NA"/>
    <s v="NA"/>
    <s v="NA"/>
    <s v="NA"/>
    <s v="NA"/>
    <s v="NA"/>
    <n v="163"/>
    <n v="163"/>
    <s v="NA"/>
    <s v="NA"/>
    <s v="NA"/>
    <s v="NA"/>
    <s v="current "/>
    <n v="0"/>
    <s v="NA"/>
    <n v="0"/>
    <s v="NA"/>
    <s v="NA"/>
    <n v="0"/>
    <n v="0"/>
    <n v="1"/>
    <m/>
    <m/>
    <m/>
    <m/>
    <m/>
    <m/>
    <m/>
    <m/>
    <m/>
    <m/>
    <n v="0.13198932802100058"/>
    <n v="0.13276391084197656"/>
    <n v="6.1709216981397832E-3"/>
    <n v="6.2500000000000003E-3"/>
    <s v="NA"/>
    <n v="161"/>
    <s v="NA"/>
  </r>
  <r>
    <x v="0"/>
    <n v="28"/>
    <n v="1117"/>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revealed preference"/>
    <s v="household"/>
    <s v="individuals"/>
    <n v="0"/>
    <s v="no such option"/>
    <n v="0"/>
    <s v="probably no"/>
    <s v="probably no"/>
    <s v="NA"/>
    <n v="0"/>
    <n v="0"/>
    <n v="0"/>
    <n v="1"/>
    <n v="0"/>
    <n v="0"/>
    <n v="0"/>
    <n v="0"/>
    <s v="NA"/>
    <n v="0"/>
    <n v="0"/>
    <n v="0"/>
    <n v="0"/>
    <n v="0"/>
    <n v="0"/>
    <n v="0"/>
    <n v="1"/>
    <n v="0"/>
    <s v="NA"/>
    <x v="0"/>
    <s v="choice of a high-efficiency appliance"/>
    <s v="dummy (0/1)"/>
    <n v="0.72899999999999998"/>
    <s v="decrease"/>
    <n v="0.38368421052631579"/>
    <s v="NA"/>
    <n v="3"/>
    <n v="1.9"/>
    <n v="1.0730065642609921"/>
    <n v="0.67458579111740891"/>
    <s v="NA"/>
    <s v="NA"/>
    <s v="NA"/>
    <s v="NA"/>
    <s v="NA"/>
    <s v="NA"/>
    <n v="68"/>
    <n v="68"/>
    <s v="NA"/>
    <s v="NA"/>
    <s v="NA"/>
    <s v="NA"/>
    <s v="current "/>
    <n v="0"/>
    <s v="NA"/>
    <n v="0"/>
    <s v="NA"/>
    <s v="NA"/>
    <n v="0"/>
    <n v="0"/>
    <n v="1"/>
    <m/>
    <m/>
    <m/>
    <m/>
    <m/>
    <m/>
    <m/>
    <m/>
    <m/>
    <m/>
    <n v="0.22452606449532778"/>
    <n v="0.22841739493205201"/>
    <n v="1.4884743595396476E-2"/>
    <n v="1.5384615384615385E-2"/>
    <s v="NA"/>
    <n v="66"/>
    <s v="NA"/>
  </r>
  <r>
    <x v="0"/>
    <n v="28"/>
    <n v="1115"/>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stated preference"/>
    <s v="household"/>
    <s v="individuals"/>
    <n v="1"/>
    <s v="no such option"/>
    <n v="0"/>
    <s v="probably no"/>
    <s v="probably no"/>
    <s v="NA"/>
    <n v="0"/>
    <n v="0"/>
    <n v="0"/>
    <n v="1"/>
    <n v="0"/>
    <n v="0"/>
    <n v="0"/>
    <n v="0"/>
    <s v="NA"/>
    <n v="0"/>
    <n v="0"/>
    <n v="0"/>
    <n v="0"/>
    <n v="0"/>
    <n v="0"/>
    <n v="0"/>
    <n v="1"/>
    <n v="0"/>
    <s v="NA"/>
    <x v="0"/>
    <s v="choice of a high-efficiency appliance"/>
    <s v="dummy (0/1)"/>
    <n v="1.05"/>
    <s v="increase"/>
    <n v="0.16666666666666669"/>
    <s v="NA"/>
    <n v="3"/>
    <n v="6.3"/>
    <n v="1.8576511180631639"/>
    <n v="0.740774899182154"/>
    <s v="NA"/>
    <s v="NA"/>
    <s v="NA"/>
    <s v="NA"/>
    <s v="NA"/>
    <s v="NA"/>
    <n v="188"/>
    <n v="188"/>
    <s v="NA"/>
    <s v="NA"/>
    <s v="NA"/>
    <s v="NA"/>
    <s v="current "/>
    <n v="0"/>
    <s v="NA"/>
    <n v="0"/>
    <s v="NA"/>
    <s v="NA"/>
    <n v="0"/>
    <n v="0"/>
    <n v="1"/>
    <m/>
    <m/>
    <m/>
    <m/>
    <m/>
    <m/>
    <m/>
    <m/>
    <m/>
    <m/>
    <n v="0.41751162367646544"/>
    <n v="0.44467450263070185"/>
    <n v="5.1385064509683826E-3"/>
    <n v="5.4054054054054057E-3"/>
    <s v="NA"/>
    <n v="186"/>
    <s v="NA"/>
  </r>
  <r>
    <x v="0"/>
    <n v="28"/>
    <n v="1114"/>
    <n v="123"/>
    <s v="Train, Atherton"/>
    <n v="1995"/>
    <s v="REBATES, LOANS, AND CUSTOMERS CHOICE OF APPLIANCE EFFICIENCY LEVEL - COMBINING STATED AND REVEALED-PREFERENCE DATA"/>
    <s v="_x000a_Residential customers ' choice of efficiency level for appliances , and their participation in demand-side management (DSM) programs, are examined using data on customers' stated preferences in hypothetical (i.e., conjoint-type) situations and their revealed preferences in real-world choices. The analysis_x000a_provides information on customers' willingness to pay for energy savings, the importance of rebates in customers' decisions, and customers' response to DSM_x000a_programs that offer loans for purchases of high-efficiency appliances. An estimated model is used to forecast the decisions of customers under: higher rebates, replacement of rebates with finance programs, offering of loans and rebates as alternative options for customers, and the elimination of DSM_x000a_programs. We find that attractive loans (e.g., low interest rates, long repayment periods) are necessary to have the same effect as rebates. Programs that offer_x000a_customers the option of loans or rebates are found to be far more effective than programs that offer only loans or only rebates."/>
    <n v="2"/>
    <n v="1995"/>
    <x v="0"/>
    <n v="62"/>
    <x v="5"/>
    <x v="3"/>
    <x v="1"/>
    <s v="stated preference"/>
    <s v="household"/>
    <s v="individuals"/>
    <n v="1"/>
    <s v="no such option"/>
    <n v="0"/>
    <s v="probably no"/>
    <s v="probably no"/>
    <s v="NA"/>
    <n v="0"/>
    <n v="0"/>
    <n v="0"/>
    <n v="1"/>
    <n v="0"/>
    <n v="0"/>
    <n v="0"/>
    <n v="0"/>
    <s v="NA"/>
    <n v="0"/>
    <n v="0"/>
    <n v="0"/>
    <n v="1"/>
    <n v="0"/>
    <n v="0"/>
    <n v="0"/>
    <n v="0"/>
    <n v="0"/>
    <s v="NA"/>
    <x v="0"/>
    <s v="choice of a high-efficiency appliance"/>
    <s v="dummy (0/1)"/>
    <n v="1.68"/>
    <s v="increase"/>
    <n v="6.4864864864864868E-2"/>
    <s v="NA"/>
    <n v="3"/>
    <n v="25.9"/>
    <n v="4.3655559711219745"/>
    <n v="0.84290453111454722"/>
    <s v="NA"/>
    <s v="NA"/>
    <s v="NA"/>
    <s v="NA"/>
    <s v="NA"/>
    <s v="NA"/>
    <n v="400"/>
    <n v="400"/>
    <s v="NA"/>
    <s v="NA"/>
    <s v="NA"/>
    <s v="NA"/>
    <s v="current "/>
    <n v="0"/>
    <s v="NA"/>
    <n v="0"/>
    <s v="NA"/>
    <s v="NA"/>
    <n v="0"/>
    <n v="0"/>
    <n v="1"/>
    <m/>
    <m/>
    <m/>
    <m/>
    <m/>
    <m/>
    <m/>
    <m/>
    <m/>
    <m/>
    <n v="0.79148657877430995"/>
    <n v="1.0753988177746068"/>
    <n v="-8.4574447130334037E-4"/>
    <n v="2.5188916876574307E-3"/>
    <s v="NA"/>
    <n v="398"/>
    <s v="NA"/>
  </r>
  <r>
    <x v="4"/>
    <m/>
    <n v="1205"/>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27960000000000002"/>
    <s v="decrease"/>
    <n v="6.9599999999999995E-2"/>
    <n v="1E-3"/>
    <n v="1"/>
    <n v="4.0172413793103452"/>
    <s v="NA"/>
    <m/>
    <s v="NA"/>
    <s v="NA"/>
    <s v="NA"/>
    <s v="NA"/>
    <s v="NA"/>
    <s v="NA"/>
    <n v="1301"/>
    <n v="1301"/>
    <s v="NA"/>
    <s v="NA"/>
    <s v="NA"/>
    <s v="NA"/>
    <s v="NA"/>
    <n v="0"/>
    <s v="NA"/>
    <n v="0"/>
    <s v="NA"/>
    <s v="numerical"/>
    <n v="0"/>
    <n v="0"/>
    <n v="0"/>
    <m/>
    <m/>
    <m/>
    <m/>
    <m/>
    <m/>
    <m/>
    <m/>
    <m/>
    <m/>
    <n v="0.11069098448260768"/>
    <n v="0.11114641752432197"/>
    <n v="7.6911337722476367E-4"/>
    <n v="7.7041602465331282E-4"/>
    <m/>
    <m/>
    <m/>
  </r>
  <r>
    <x v="4"/>
    <m/>
    <n v="1206"/>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4.5100000000000001E-2"/>
    <s v="decrease"/>
    <n v="0.1074"/>
    <n v="0.1"/>
    <n v="2"/>
    <n v="0.41992551210428308"/>
    <s v="NA"/>
    <m/>
    <s v="NA"/>
    <s v="NA"/>
    <s v="NA"/>
    <s v="NA"/>
    <s v="NA"/>
    <s v="NA"/>
    <n v="1002"/>
    <n v="1002"/>
    <s v="NA"/>
    <s v="NA"/>
    <s v="NA"/>
    <s v="NA"/>
    <s v="NA"/>
    <n v="0"/>
    <s v="NA"/>
    <n v="0"/>
    <s v="NA"/>
    <s v="numerical"/>
    <n v="0"/>
    <n v="0"/>
    <n v="0"/>
    <m/>
    <m/>
    <m/>
    <m/>
    <m/>
    <m/>
    <m/>
    <m/>
    <m/>
    <m/>
    <n v="1.3264784180382344E-2"/>
    <n v="1.326556226201467E-2"/>
    <n v="9.9900096806468473E-4"/>
    <n v="1.001001001001001E-3"/>
    <m/>
    <m/>
    <m/>
  </r>
  <r>
    <x v="4"/>
    <m/>
    <n v="1207"/>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33500000000000002"/>
    <s v="increase"/>
    <n v="0.14960000000000001"/>
    <n v="0.05"/>
    <n v="1"/>
    <n v="2.2393048128342246"/>
    <s v="NA"/>
    <m/>
    <s v="NA"/>
    <s v="NA"/>
    <s v="NA"/>
    <s v="NA"/>
    <s v="NA"/>
    <s v="NA"/>
    <n v="326"/>
    <n v="326"/>
    <s v="NA"/>
    <s v="NA"/>
    <s v="NA"/>
    <s v="NA"/>
    <s v="NA"/>
    <n v="0"/>
    <s v="NA"/>
    <n v="0"/>
    <s v="NA"/>
    <s v="numerical"/>
    <n v="0"/>
    <n v="0"/>
    <n v="0"/>
    <m/>
    <m/>
    <m/>
    <m/>
    <m/>
    <m/>
    <m/>
    <m/>
    <m/>
    <m/>
    <n v="0.12308063083097449"/>
    <n v="0.12370785144137753"/>
    <n v="3.0762024579447773E-3"/>
    <n v="3.0959752321981426E-3"/>
    <m/>
    <m/>
    <m/>
  </r>
  <r>
    <x v="4"/>
    <m/>
    <n v="1208"/>
    <n v="203"/>
    <s v="Wang B, Deng, Liu, Sun, Wang ZH "/>
    <n v="2021"/>
    <s v="Effect of energy efficiency labels on household appliance choice in China: Sustainable consumption or irrational intertemporal choice?"/>
    <s v="Energy consumption has caused severe environmental problems, such as climate change and air pollution. The_x000a_energy efficiency label is an environmental information policy that provides consumers with energy consumption_x000a_information of products to change consumers’ choices and guide consumers to green consumption. Current_x000a_evaluations mainly focus on consumers’ purchase intention toward energy efficiency labels through questionnaire_x000a_survey and simulation experiment. Our study paper used the real purchase data on China’s largest online_x000a_sales platform to explore consumers’ energy-efficiency home appliance purchase behaviors. This paper found_x000a_that the energy efficiency labeling policy does not promote consumers’ green consumption behavior, an increase_x000a_of energy efficiency grade raises the sales of refrigerator by 24.47%, however, the price of the product can_x000a_negatively regulate the relationship between the energy efficiency grade and the sales. The results of heterogeneity_x000a_analysis show that when the product price is in the low-price range, consumers will choose high energyconsuming_x000a_household appliances; only for consumers who purchase mid-to-high-priced products, energy efficiency_x000a_labeling policies played a guiding role in green consumption. This will cause the energy-saving products_x000a_more expensive, and consumers are less willing to buy energy-saving products resulting in an energy efficiency_x000a_paradox. Through further analysis of questionnaire survey data, the results indicate that the energy efficiency_x000a_paradox is not caused by rational factors, but irrational intertemporal choices. Therefore, accurate assessment of_x000a_the effect of energy efficiency labels is crucial to promote consumers’ green consumption behavior and mitigate_x000a_climate change."/>
    <n v="2"/>
    <s v="2016-2017"/>
    <x v="0"/>
    <n v="5"/>
    <x v="4"/>
    <x v="5"/>
    <x v="13"/>
    <s v="NA"/>
    <s v="NA"/>
    <s v="NA"/>
    <s v="NA"/>
    <s v="NA"/>
    <s v="NA"/>
    <s v="probably yes"/>
    <s v="probably no"/>
    <s v="1)decent quality though the differentiation between different price levels was not given. Could be just trying to get an effect of efficiency on sales 2) only online sales so has limited out of sample validity 3)Sales were of last month whereas price of this month from the website. Does JD.com give sales of an item?? Weird. "/>
    <n v="0"/>
    <n v="0"/>
    <n v="1"/>
    <n v="0"/>
    <n v="0"/>
    <n v="0"/>
    <n v="0"/>
    <n v="0"/>
    <s v="2) tries to measure the effect of labels though it is not really that of labels vs. no labels but rather higher efficiency vs. lower efficiency"/>
    <n v="0"/>
    <n v="0"/>
    <n v="0"/>
    <n v="1"/>
    <n v="0"/>
    <n v="0"/>
    <n v="0"/>
    <n v="0"/>
    <n v="0"/>
    <s v="NA"/>
    <x v="4"/>
    <s v="Log of actual sales in units of the product"/>
    <s v="NA"/>
    <n v="0.4017"/>
    <s v="decrease"/>
    <n v="0.35070000000000001"/>
    <n v="0.1"/>
    <n v="2"/>
    <n v="1.1454234388366125"/>
    <s v="NA"/>
    <m/>
    <s v="NA"/>
    <s v="NA"/>
    <s v="NA"/>
    <s v="NA"/>
    <s v="NA"/>
    <s v="NA"/>
    <n v="208"/>
    <n v="208"/>
    <s v="NA"/>
    <s v="NA"/>
    <s v="NA"/>
    <s v="NA"/>
    <s v="NA"/>
    <n v="0"/>
    <s v="NA"/>
    <n v="0"/>
    <s v="NA"/>
    <s v="numerical"/>
    <n v="0"/>
    <n v="0"/>
    <n v="0"/>
    <m/>
    <m/>
    <m/>
    <m/>
    <m/>
    <m/>
    <m/>
    <m/>
    <m/>
    <m/>
    <n v="7.9171524466324972E-2"/>
    <n v="7.9337568530044145E-2"/>
    <n v="4.8307264729563464E-3"/>
    <n v="4.8780487804878049E-3"/>
    <m/>
    <m/>
    <m/>
  </r>
  <r>
    <x v="0"/>
    <m/>
    <n v="1099"/>
    <n v="118"/>
    <s v="Ward, Clark, Jensen, Yen, Russell"/>
    <n v="2011"/>
    <s v="Factors influencing willingness-to-pay for the ENERGY STAR (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 "/>
    <n v="2"/>
    <n v="2009"/>
    <x v="0"/>
    <n v="1454"/>
    <x v="5"/>
    <x v="0"/>
    <x v="1"/>
    <s v="stated preference"/>
    <s v="online"/>
    <s v="individuals"/>
    <n v="1"/>
    <s v="no such option"/>
    <n v="0"/>
    <s v="probably no"/>
    <s v="probably no"/>
    <s v="NA"/>
    <n v="0"/>
    <n v="0"/>
    <n v="1"/>
    <n v="0"/>
    <n v="0"/>
    <n v="0"/>
    <n v="0"/>
    <n v="0"/>
    <s v="NA"/>
    <n v="0"/>
    <n v="0"/>
    <n v="0"/>
    <n v="1"/>
    <n v="0"/>
    <n v="0"/>
    <n v="0"/>
    <n v="0"/>
    <n v="0"/>
    <s v="NA"/>
    <x v="2"/>
    <s v="WTP for Energy Star labelled refrigerator"/>
    <s v="NA"/>
    <n v="1.0760000000000001"/>
    <s v="increase"/>
    <n v="5.3746253746253754E-2"/>
    <s v="NA"/>
    <n v="3"/>
    <n v="20.02"/>
    <s v="NA"/>
    <m/>
    <s v="NA"/>
    <s v="NA"/>
    <s v="NA"/>
    <s v="NA"/>
    <s v="NA"/>
    <s v="NA"/>
    <n v="1395"/>
    <n v="1395"/>
    <s v="NA"/>
    <s v="NA"/>
    <s v="NA"/>
    <s v="NA"/>
    <s v="NA"/>
    <s v="NA"/>
    <s v="NA"/>
    <s v="NA"/>
    <s v="NA"/>
    <s v="NA"/>
    <n v="0"/>
    <n v="1"/>
    <n v="1"/>
    <m/>
    <m/>
    <m/>
    <m/>
    <m/>
    <m/>
    <m/>
    <m/>
    <m/>
    <m/>
    <n v="0.47242735990047685"/>
    <n v="0.51319051047617226"/>
    <n v="6.6760340037102519E-4"/>
    <n v="7.1839080459770114E-4"/>
    <m/>
    <m/>
    <m/>
  </r>
  <r>
    <x v="0"/>
    <m/>
    <n v="1100"/>
    <n v="118"/>
    <s v="Ward, Clark, Jensen, Yen, Russell"/>
    <n v="2011"/>
    <s v="Factors influencing willingness-to-pay for the ENERGY STAR (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 motivated by both private (energy cost savings) and public (environmental) benefits. "/>
    <n v="2"/>
    <n v="2009"/>
    <x v="0"/>
    <n v="1454"/>
    <x v="5"/>
    <x v="0"/>
    <x v="1"/>
    <s v="stated preference"/>
    <s v="online"/>
    <s v="individuals"/>
    <n v="1"/>
    <s v="no such option"/>
    <n v="0"/>
    <s v="probably no"/>
    <s v="probably no"/>
    <s v="NA"/>
    <n v="0"/>
    <n v="0"/>
    <n v="1"/>
    <n v="0"/>
    <n v="0"/>
    <n v="0"/>
    <n v="0"/>
    <n v="0"/>
    <s v="NA"/>
    <n v="0"/>
    <n v="0"/>
    <n v="0"/>
    <n v="1"/>
    <n v="0"/>
    <n v="0"/>
    <n v="0"/>
    <n v="0"/>
    <n v="0"/>
    <s v="NA"/>
    <x v="2"/>
    <s v="WTP for Energy Star labelled refrigerator"/>
    <s v="NA"/>
    <n v="2.1459999999999999"/>
    <s v="increase"/>
    <n v="0.18628472222222223"/>
    <s v="NA"/>
    <n v="3"/>
    <n v="11.52"/>
    <s v="NA"/>
    <m/>
    <s v="NA"/>
    <s v="NA"/>
    <s v="NA"/>
    <s v="NA"/>
    <s v="NA"/>
    <s v="NA"/>
    <n v="1395"/>
    <n v="1395"/>
    <s v="NA"/>
    <s v="NA"/>
    <s v="NA"/>
    <s v="NA"/>
    <s v="NA"/>
    <s v="NA"/>
    <s v="NA"/>
    <s v="NA"/>
    <s v="NA"/>
    <s v="NA"/>
    <n v="0"/>
    <n v="1"/>
    <n v="1"/>
    <m/>
    <m/>
    <m/>
    <m/>
    <m/>
    <m/>
    <m/>
    <m/>
    <m/>
    <m/>
    <n v="0.29473516954008327"/>
    <n v="0.3037440363085756"/>
    <n v="7.1125395357683058E-4"/>
    <n v="7.1839080459770114E-4"/>
    <m/>
    <m/>
    <m/>
  </r>
  <r>
    <x v="3"/>
    <m/>
    <n v="1235"/>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58.70999999999998"/>
    <s v="increase"/>
    <e v="#VALUE!"/>
    <n v="0.01"/>
    <n v="1"/>
    <s v="NA"/>
    <s v="NA"/>
    <m/>
    <s v="NA"/>
    <s v="NA"/>
    <s v="NA"/>
    <s v="NA"/>
    <s v="NA"/>
    <s v="NA"/>
    <n v="1395"/>
    <n v="19860"/>
    <s v="NA"/>
    <s v="NA"/>
    <s v="NA"/>
    <s v="NA"/>
    <s v="NA"/>
    <s v="NA"/>
    <s v="NA"/>
    <n v="1"/>
    <s v="NA"/>
    <s v="NA"/>
    <n v="0"/>
    <n v="0"/>
    <n v="0"/>
    <m/>
    <m/>
    <m/>
    <m/>
    <m/>
    <m/>
    <m/>
    <m/>
    <m/>
    <m/>
    <e v="#VALUE!"/>
    <e v="#VALUE!"/>
    <e v="#VALUE!"/>
    <n v="7.1839080459770114E-4"/>
    <e v="#VALUE!"/>
    <m/>
    <m/>
  </r>
  <r>
    <x v="3"/>
    <m/>
    <n v="1236"/>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49.82"/>
    <s v="increase"/>
    <e v="#VALUE!"/>
    <n v="0.01"/>
    <n v="1"/>
    <s v="NA"/>
    <s v="NA"/>
    <m/>
    <s v="NA"/>
    <s v="NA"/>
    <s v="NA"/>
    <s v="NA"/>
    <s v="NA"/>
    <s v="NA"/>
    <n v="1395"/>
    <n v="19860"/>
    <s v="NA"/>
    <s v="NA"/>
    <s v="NA"/>
    <s v="NA"/>
    <s v="NA"/>
    <s v="NA"/>
    <s v="NA"/>
    <n v="1"/>
    <s v="NA"/>
    <s v="NA"/>
    <n v="1"/>
    <n v="1"/>
    <n v="1"/>
    <m/>
    <m/>
    <m/>
    <m/>
    <m/>
    <m/>
    <m/>
    <m/>
    <m/>
    <m/>
    <e v="#VALUE!"/>
    <e v="#VALUE!"/>
    <e v="#VALUE!"/>
    <n v="7.1839080459770114E-4"/>
    <e v="#VALUE!"/>
    <m/>
    <m/>
  </r>
  <r>
    <x v="3"/>
    <m/>
    <n v="1237"/>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275.45"/>
    <s v="increase"/>
    <e v="#VALUE!"/>
    <n v="0.01"/>
    <n v="1"/>
    <s v="NA"/>
    <s v="NA"/>
    <m/>
    <s v="NA"/>
    <s v="NA"/>
    <s v="NA"/>
    <s v="NA"/>
    <s v="NA"/>
    <s v="NA"/>
    <n v="1395"/>
    <n v="19860"/>
    <s v="NA"/>
    <s v="NA"/>
    <s v="NA"/>
    <s v="NA"/>
    <s v="NA"/>
    <s v="NA"/>
    <s v="NA"/>
    <n v="1"/>
    <s v="NA"/>
    <s v="NA"/>
    <n v="0"/>
    <n v="0"/>
    <n v="0"/>
    <m/>
    <m/>
    <m/>
    <m/>
    <m/>
    <m/>
    <m/>
    <m/>
    <m/>
    <m/>
    <e v="#VALUE!"/>
    <e v="#VALUE!"/>
    <e v="#VALUE!"/>
    <n v="7.1839080459770114E-4"/>
    <e v="#VALUE!"/>
    <m/>
    <m/>
  </r>
  <r>
    <x v="3"/>
    <m/>
    <n v="1238"/>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Marginal WTP for higher efficiency"/>
    <s v="NA"/>
    <n v="349.3"/>
    <s v="increase"/>
    <e v="#VALUE!"/>
    <n v="0.05"/>
    <n v="1"/>
    <s v="NA"/>
    <s v="NA"/>
    <m/>
    <s v="NA"/>
    <s v="NA"/>
    <s v="NA"/>
    <s v="NA"/>
    <s v="NA"/>
    <s v="NA"/>
    <n v="1395"/>
    <n v="19860"/>
    <s v="NA"/>
    <s v="NA"/>
    <s v="NA"/>
    <s v="NA"/>
    <s v="NA"/>
    <s v="NA"/>
    <s v="NA"/>
    <n v="1"/>
    <s v="NA"/>
    <s v="NA"/>
    <n v="1"/>
    <n v="1"/>
    <n v="1"/>
    <m/>
    <m/>
    <m/>
    <m/>
    <m/>
    <m/>
    <m/>
    <m/>
    <m/>
    <m/>
    <e v="#VALUE!"/>
    <e v="#VALUE!"/>
    <e v="#VALUE!"/>
    <n v="7.1839080459770114E-4"/>
    <e v="#VALUE!"/>
    <m/>
    <m/>
  </r>
  <r>
    <x v="3"/>
    <m/>
    <n v="1239"/>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7"/>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Coefficient from conditional logit model"/>
    <s v="NA"/>
    <n v="1.0760000000000001"/>
    <s v="increase"/>
    <e v="#VALUE!"/>
    <s v="NA"/>
    <s v="NA"/>
    <n v="20.02"/>
    <s v="NA"/>
    <m/>
    <s v="NA"/>
    <s v="NA"/>
    <s v="NA"/>
    <s v="NA"/>
    <s v="NA"/>
    <s v="NA"/>
    <n v="1395"/>
    <n v="19860"/>
    <s v="NA"/>
    <s v="NA"/>
    <s v="NA"/>
    <s v="NA"/>
    <s v="NA"/>
    <s v="NA"/>
    <s v="NA"/>
    <n v="1"/>
    <s v="NA"/>
    <s v="NA"/>
    <n v="0"/>
    <n v="0"/>
    <n v="0"/>
    <m/>
    <m/>
    <m/>
    <m/>
    <m/>
    <m/>
    <m/>
    <m/>
    <m/>
    <m/>
    <n v="0.47242735990047685"/>
    <n v="0.51319051047617226"/>
    <n v="6.6760340037102519E-4"/>
    <n v="7.1839080459770114E-4"/>
    <e v="#VALUE!"/>
    <m/>
    <m/>
  </r>
  <r>
    <x v="3"/>
    <m/>
    <n v="1240"/>
    <n v="311"/>
    <s v="Ward, Clark, Jensen, Yen, Russell"/>
    <n v="2011"/>
    <s v="Factors influencing willingness-to-pay for the ENERGYSTAR label"/>
    <s v="In the United States, nearly 17% of greenhouse gas emissions come from residential energy use. Increases in energy efficiency for the residential sector can generate significant energy savings and emissions reductions. Consumer labels, such as the US Environmental Protection Agency’s ENERGY STAR, promote conservation by providing consumers with information on energy usage for household appliances. This study examines how the ENERGY STAR label affects consumer preferences for refrigerators. The results of an online survey of a national sample of adults suggest that consumers are, on average, willing to pay an extra $249.82–$349.30 for a refrigerator that has been awarded the ENERGY STAR label. Furthermore, the results provide evidence that respondent willingness-to-pay wasmotivated by both private (energy cost savings) and public (environmental) benefits."/>
    <n v="2"/>
    <n v="2009"/>
    <x v="7"/>
    <n v="1456"/>
    <x v="26"/>
    <x v="7"/>
    <x v="1"/>
    <s v="stated preference"/>
    <s v="online"/>
    <s v="residents"/>
    <n v="1"/>
    <s v="opt_in"/>
    <n v="1"/>
    <s v="probably no"/>
    <s v="probably no"/>
    <s v="As it is stated preference, hypothetical bias may be an issue"/>
    <n v="0"/>
    <n v="0"/>
    <n v="1"/>
    <n v="0"/>
    <n v="0"/>
    <n v="0"/>
    <n v="0"/>
    <n v="0"/>
    <s v="impossible to separate the effect of the label from energy efficiency"/>
    <n v="0"/>
    <n v="0"/>
    <n v="0"/>
    <n v="1"/>
    <n v="0"/>
    <n v="0"/>
    <n v="0"/>
    <n v="0"/>
    <n v="0"/>
    <s v="NA"/>
    <x v="2"/>
    <s v="Coefficient from conditional random parameter logit model"/>
    <s v="NA"/>
    <n v="2.1459999999999999"/>
    <s v="increase"/>
    <e v="#VALUE!"/>
    <s v="NA"/>
    <s v="NA"/>
    <n v="11.52"/>
    <s v="NA"/>
    <m/>
    <s v="NA"/>
    <s v="NA"/>
    <s v="NA"/>
    <s v="NA"/>
    <s v="NA"/>
    <s v="NA"/>
    <n v="1395"/>
    <n v="19860"/>
    <s v="NA"/>
    <s v="NA"/>
    <s v="NA"/>
    <s v="NA"/>
    <s v="NA"/>
    <s v="NA"/>
    <s v="NA"/>
    <n v="1"/>
    <s v="NA"/>
    <s v="NA"/>
    <n v="0"/>
    <n v="0"/>
    <n v="0"/>
    <m/>
    <m/>
    <m/>
    <m/>
    <m/>
    <m/>
    <m/>
    <m/>
    <m/>
    <m/>
    <n v="0.29473516954008327"/>
    <n v="0.3037440363085756"/>
    <n v="7.1125395357683058E-4"/>
    <n v="7.1839080459770114E-4"/>
    <e v="#VALUE!"/>
    <m/>
    <m/>
  </r>
  <r>
    <x v="0"/>
    <n v="29"/>
    <n v="1057"/>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solar/heat pump"/>
    <s v="log scale"/>
    <n v="0.16"/>
    <s v="increase"/>
    <n v="0.06"/>
    <n v="0.05"/>
    <n v="1"/>
    <n v="2.666666666666667"/>
    <n v="0.16"/>
    <n v="0.53991488455556569"/>
    <s v="NA"/>
    <s v="NA"/>
    <s v="NA"/>
    <s v="NA"/>
    <n v="408"/>
    <s v="NA"/>
    <n v="408"/>
    <n v="408"/>
    <s v="NA"/>
    <s v="NA"/>
    <n v="1000"/>
    <s v="from 0,15 to 0,29"/>
    <s v="NA"/>
    <s v="NA"/>
    <s v="NA"/>
    <s v="NA"/>
    <s v="NA"/>
    <s v="NA"/>
    <n v="1"/>
    <n v="0"/>
    <n v="1"/>
    <m/>
    <m/>
    <m/>
    <m/>
    <m/>
    <m/>
    <m/>
    <m/>
    <m/>
    <m/>
    <n v="0.13088399820073771"/>
    <n v="0.13163914998451526"/>
    <n v="2.456264644741489E-3"/>
    <n v="2.4691358024691358E-3"/>
    <s v="NA"/>
    <n v="406"/>
    <s v="NA"/>
  </r>
  <r>
    <x v="0"/>
    <n v="29"/>
    <n v="1054"/>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solar/heat pump"/>
    <s v="log scale"/>
    <n v="0.19"/>
    <s v="increase"/>
    <n v="0.06"/>
    <n v="0.05"/>
    <n v="1"/>
    <n v="3.166666666666667"/>
    <n v="0.19"/>
    <n v="0.54735761814308925"/>
    <s v="NA"/>
    <s v="NA"/>
    <s v="NA"/>
    <s v="NA"/>
    <n v="408"/>
    <s v="NA"/>
    <n v="408"/>
    <n v="408"/>
    <s v="NA"/>
    <s v="NA"/>
    <n v="1000"/>
    <s v="from 0,15 to 0,29"/>
    <s v="NA"/>
    <s v="NA"/>
    <s v="NA"/>
    <s v="NA"/>
    <s v="NA"/>
    <s v="NA"/>
    <n v="0"/>
    <n v="0"/>
    <n v="0"/>
    <m/>
    <m/>
    <m/>
    <m/>
    <m/>
    <m/>
    <m/>
    <m/>
    <m/>
    <m/>
    <n v="0.15488158338148386"/>
    <n v="0.15613816847007514"/>
    <n v="2.4555421575795317E-3"/>
    <n v="2.4691358024691358E-3"/>
    <s v="NA"/>
    <n v="406"/>
    <s v="NA"/>
  </r>
  <r>
    <x v="0"/>
    <n v="29"/>
    <n v="1056"/>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gas"/>
    <s v="log scale"/>
    <n v="0.25"/>
    <s v="decrease"/>
    <n v="0.13"/>
    <n v="0.1"/>
    <n v="1"/>
    <n v="1.9230769230769229"/>
    <n v="0.25"/>
    <n v="0.56217650088579807"/>
    <s v="NA"/>
    <s v="NA"/>
    <s v="NA"/>
    <s v="NA"/>
    <n v="408"/>
    <s v="NA"/>
    <n v="408"/>
    <n v="408"/>
    <s v="NA"/>
    <s v="NA"/>
    <n v="300"/>
    <s v="from 0,12 to 0,2"/>
    <s v="NA"/>
    <s v="NA"/>
    <s v="NA"/>
    <s v="NA"/>
    <s v="NA"/>
    <s v="NA"/>
    <n v="1"/>
    <n v="0"/>
    <n v="1"/>
    <m/>
    <m/>
    <m/>
    <m/>
    <m/>
    <m/>
    <m/>
    <m/>
    <m/>
    <m/>
    <n v="9.4777916885651653E-2"/>
    <n v="9.5063248374700635E-2"/>
    <n v="2.4568017991350942E-3"/>
    <n v="2.4691358024691358E-3"/>
    <s v="NA"/>
    <n v="406"/>
    <s v="NA"/>
  </r>
  <r>
    <x v="0"/>
    <n v="29"/>
    <n v="1053"/>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 gas access"/>
    <x v="0"/>
    <s v="probability of switching from electric to gas"/>
    <s v="log scale"/>
    <n v="0.27"/>
    <s v="decrease"/>
    <n v="0.11"/>
    <n v="0.05"/>
    <n v="1"/>
    <n v="2.4545454545454546"/>
    <n v="0.27"/>
    <n v="0.56709290496545439"/>
    <s v="NA"/>
    <s v="NA"/>
    <s v="NA"/>
    <s v="NA"/>
    <n v="408"/>
    <s v="NA"/>
    <n v="408"/>
    <n v="408"/>
    <s v="NA"/>
    <s v="NA"/>
    <n v="300"/>
    <s v="from 0,12 to 0,2"/>
    <s v="NA"/>
    <s v="NA"/>
    <s v="NA"/>
    <s v="NA"/>
    <s v="NA"/>
    <s v="NA"/>
    <n v="0"/>
    <n v="0"/>
    <n v="0"/>
    <m/>
    <m/>
    <m/>
    <m/>
    <m/>
    <m/>
    <m/>
    <m/>
    <m/>
    <m/>
    <n v="0.12063071568651137"/>
    <n v="0.12122100832937013"/>
    <n v="2.4564719181916828E-3"/>
    <n v="2.4691358024691358E-3"/>
    <s v="NA"/>
    <n v="406"/>
    <s v="NA"/>
  </r>
  <r>
    <x v="0"/>
    <n v="29"/>
    <n v="1058"/>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out gas access"/>
    <x v="0"/>
    <s v="probability of switching from electric to solar/heat pump"/>
    <s v="log scale"/>
    <n v="0.41"/>
    <s v="increase"/>
    <n v="0.08"/>
    <n v="0.05"/>
    <n v="1"/>
    <n v="5.125"/>
    <n v="0.41"/>
    <n v="0.60108787884836967"/>
    <s v="NA"/>
    <s v="NA"/>
    <s v="NA"/>
    <s v="NA"/>
    <n v="504"/>
    <s v="NA"/>
    <n v="504"/>
    <n v="504"/>
    <s v="NA"/>
    <s v="NA"/>
    <n v="1000"/>
    <s v="from 0,15 to 0,29"/>
    <s v="NA"/>
    <s v="NA"/>
    <s v="NA"/>
    <s v="NA"/>
    <s v="NA"/>
    <s v="NA"/>
    <n v="1"/>
    <n v="0"/>
    <n v="1"/>
    <m/>
    <m/>
    <m/>
    <m/>
    <m/>
    <m/>
    <m/>
    <m/>
    <m/>
    <m/>
    <n v="0.22256001017320373"/>
    <n v="0.22634792532420528"/>
    <n v="1.9828531619001622E-3"/>
    <n v="1.996007984031936E-3"/>
    <s v="NA"/>
    <n v="502"/>
    <s v="NA"/>
  </r>
  <r>
    <x v="0"/>
    <n v="29"/>
    <n v="1055"/>
    <n v="109"/>
    <s v="Wasi, Carson"/>
    <n v="2013"/>
    <s v="The influence of rebate programs on the demand for water heaters: The case of New South Wales"/>
    <s v="This paper examines the role of Australian hotwater systemrebate programs in shifting the existing stock of electric_x000a_water heaters toward more climate friendly versions using two unique data sets from New South Wales_x000a_homeowners. The first data set is based on a survey of householdswho recently purchased awater heater before_x000a_and after the rebate programs were in place. The other is based on a set of stated preference questions asked of_x000a_households soon to face a replacement decision.While the former allows us to look at recent responses, the latter_x000a_enables us to forecast future demand.We find that the programs significantly increase shares of solar/heat pump_x000a_systems. The programs, however, appear less effective in reducing the stock of electric heaters for households_x000a_with access to natural gas. This pattern is consistent in both datasets. Results from the discrete choice_x000a_experiments suggest considerable heterogeneity with respect to household preferences toward different types_x000a_of water heaters and the discount rates they hold. The effective cost of reducing carbon emissions via incentives_x000a_for water heater replacement is considered from the counterfactual perspective of no government incentives."/>
    <n v="2"/>
    <s v="2010-2011"/>
    <x v="0"/>
    <n v="649"/>
    <x v="5"/>
    <x v="1"/>
    <x v="30"/>
    <s v="revealed preference"/>
    <s v="household"/>
    <s v="homeowners"/>
    <n v="0"/>
    <s v="opt_in"/>
    <n v="0"/>
    <s v="probably no"/>
    <s v="probably no"/>
    <s v="NA"/>
    <n v="0"/>
    <n v="0"/>
    <n v="0"/>
    <n v="1"/>
    <n v="0"/>
    <n v="0"/>
    <n v="0"/>
    <n v="0"/>
    <s v="NA"/>
    <n v="0"/>
    <n v="0"/>
    <n v="0"/>
    <n v="0"/>
    <n v="0"/>
    <n v="0"/>
    <n v="1"/>
    <n v="0"/>
    <n v="0"/>
    <s v="sample without gas access"/>
    <x v="0"/>
    <s v="probability of switching from electric to solar/heat pump"/>
    <s v="log scale"/>
    <n v="0.43"/>
    <s v="increase"/>
    <n v="0.06"/>
    <n v="0.05"/>
    <n v="1"/>
    <n v="7.166666666666667"/>
    <n v="0.43"/>
    <n v="0.6058736684317606"/>
    <s v="NA"/>
    <s v="NA"/>
    <s v="NA"/>
    <s v="NA"/>
    <n v="504"/>
    <s v="NA"/>
    <n v="504"/>
    <n v="504"/>
    <s v="NA"/>
    <s v="NA"/>
    <n v="1000"/>
    <s v="from 0,15 to 0,29"/>
    <s v="NA"/>
    <s v="NA"/>
    <s v="NA"/>
    <s v="NA"/>
    <s v="NA"/>
    <s v="NA"/>
    <n v="0"/>
    <n v="0"/>
    <n v="0"/>
    <m/>
    <m/>
    <m/>
    <m/>
    <m/>
    <m/>
    <m/>
    <m/>
    <m/>
    <m/>
    <n v="0.30410913966714348"/>
    <n v="0.31404129843807849"/>
    <n v="1.96873501693395E-3"/>
    <n v="1.996007984031936E-3"/>
    <s v="NA"/>
    <n v="502"/>
    <s v="NA"/>
  </r>
  <r>
    <x v="0"/>
    <m/>
    <s v="NA"/>
    <s v="NA"/>
    <s v="Webber, Brown, Koomey"/>
    <n v="2000"/>
    <s v="Savings estimates for the ENERGY STAR (R) voluntary labeling program"/>
    <s v="ENERGY STARt is a voluntary labeling program designed to identify and promote energy-e$cient products. Operated jointly by the_x000a_Environmental Protection Agency (EPA) and the US Department of Energy (DOE), ENERGY STAR labels exist for more than 20_x000a_products, spanning o$ce equipment, residential heating and cooling equipment, new homes, commercial and residential lighting,_x000a_home electronics, and major appliances. We present estimates of the energy, dollar and carbon savings already achieved by the_x000a_program and provide savings forecasts for several market penetration scenarios for the period 2001}2010._x000a_The target market penetration forecast represents our best estimate of future ENERGY STAR savings. It is based on realistic market_x000a_penetration goals for each of the products. We also provide a forecast under the assumption of 100% market penetration; that is, we_x000a_assume that all purchasers buy ENERGY STAR-compliant products instead of standard e$ciency products throughout the analysis_x000a_period. Finally, we assess the sensitivity of our target penetration case forecasts to greater or lesser marketing success by EPA and_x000a_DOE, lower-than-expected future energy prices, and higher or lower rates of carbon emissions by electricity generators."/>
    <m/>
    <m/>
    <x v="9"/>
    <m/>
    <x v="6"/>
    <x v="4"/>
    <x v="5"/>
    <m/>
    <m/>
    <m/>
    <m/>
    <m/>
    <m/>
    <m/>
    <m/>
    <m/>
    <m/>
    <m/>
    <m/>
    <m/>
    <m/>
    <m/>
    <m/>
    <m/>
    <m/>
    <m/>
    <m/>
    <m/>
    <m/>
    <m/>
    <m/>
    <m/>
    <m/>
    <m/>
    <m/>
    <x v="3"/>
    <m/>
    <m/>
    <m/>
    <m/>
    <m/>
    <m/>
    <m/>
    <m/>
    <m/>
    <m/>
    <m/>
    <m/>
    <m/>
    <m/>
    <m/>
    <m/>
    <m/>
    <m/>
    <m/>
    <m/>
    <m/>
    <m/>
    <m/>
    <m/>
    <m/>
    <m/>
    <m/>
    <m/>
    <m/>
    <m/>
    <m/>
    <m/>
    <m/>
    <m/>
    <m/>
    <m/>
    <m/>
    <m/>
    <m/>
    <m/>
    <m/>
    <m/>
    <m/>
    <m/>
    <m/>
    <m/>
    <m/>
    <m/>
  </r>
  <r>
    <x v="0"/>
    <n v="30"/>
    <n v="1147"/>
    <n v="132"/>
    <s v="Zha, Yang, Wang, Zhou"/>
    <n v="2020"/>
    <s v="Appliance energy labels and consumer heterogeneity: A latent class approach based on a discrete choice experiment in China"/>
    <s v="Given the growing concerns about environmental protection, a focus on energy label behavior is of particular public interest, as labels can communicate to consumers the sustainability of products. Based on a discrete choice experiment, we measure consumer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
    <n v="2"/>
    <n v="2017"/>
    <x v="0"/>
    <n v="5"/>
    <x v="14"/>
    <x v="3"/>
    <x v="13"/>
    <s v="stated preference"/>
    <s v="retailer"/>
    <s v="individuals"/>
    <n v="1"/>
    <s v="opt_out"/>
    <n v="1"/>
    <s v="probably no"/>
    <s v="probably no"/>
    <s v="NA"/>
    <n v="0"/>
    <n v="0"/>
    <n v="1"/>
    <n v="0"/>
    <n v="0"/>
    <n v="0"/>
    <n v="0"/>
    <n v="0"/>
    <s v="effect of energy efficiency in itself rather than label (China Energy Label program)"/>
    <n v="0"/>
    <n v="0"/>
    <n v="0"/>
    <n v="1"/>
    <n v="0"/>
    <n v="0"/>
    <n v="0"/>
    <n v="0"/>
    <n v="0"/>
    <s v="NA"/>
    <x v="0"/>
    <s v="probability of a consumer choosing an energy-efficient appliance"/>
    <s v="log scale"/>
    <n v="0.34670000000000001"/>
    <s v="increase"/>
    <n v="4.1000000000000002E-2"/>
    <n v="0.01"/>
    <n v="1"/>
    <n v="8.4560975609756088"/>
    <n v="0.41439234401320402"/>
    <n v="0.58581710943557763"/>
    <s v="NA"/>
    <s v="NA"/>
    <s v="NA"/>
    <s v="NA"/>
    <s v="NA"/>
    <s v="NA"/>
    <n v="325"/>
    <n v="5200"/>
    <s v="NA"/>
    <s v="NA"/>
    <s v="NA"/>
    <s v="NA"/>
    <s v="NA"/>
    <s v="NA"/>
    <s v="NA"/>
    <s v="NA"/>
    <s v="NA"/>
    <s v="NA"/>
    <n v="0"/>
    <n v="1"/>
    <n v="1"/>
    <m/>
    <m/>
    <m/>
    <m/>
    <m/>
    <m/>
    <m/>
    <m/>
    <m/>
    <m/>
    <n v="0.42466388635349994"/>
    <n v="0.45336839008312346"/>
    <n v="2.9560250538296882E-3"/>
    <n v="3.105590062111801E-3"/>
    <s v="NA"/>
    <n v="323"/>
    <s v="NA"/>
  </r>
  <r>
    <x v="0"/>
    <n v="30"/>
    <n v="1148"/>
    <n v="132"/>
    <s v="Zha, Yang, Wang, Zhou"/>
    <n v="2020"/>
    <s v="Appliance energy labels and consumer heterogeneity: A latent class approach based on a discrete choice experiment in China"/>
    <s v="Given the growing concerns about environmental protection, a focus on energy label behavior is of particular public interest, as labels can communicate to consumers the sustainability of products. Based on a discrete choice experiment, we measure consumers' awareness and attitudes regarding refrigerators and washing machines. A mixed logit model is specified to quantify the attributes consumers look for when choosing the two electrical ap- pliances. In the latent class model, four classes are observed. The results of the study reveal that the energy label program in China is effective. However, consumers do not always choose the energy efficient appliances, and their failure to do so is often related to an energy efficiency gap. Interestingly, both the largest groups for the re- frigerator (33.17%) and washing machine (36.6%) tend to prefer the two electrical appliances with the lowest price. Both are foreign brands, with low energy label and larger overall capacity. Consumers are also willing to pay more for an improved energy grade label on the refrigerator (731.16 yuan) than on the washing machine (424.76 yuan). Suggestions regarding how to increase the probability of consumers choosing energy efficient ap- pliances are also given in this paper."/>
    <n v="2"/>
    <n v="2017"/>
    <x v="0"/>
    <n v="5"/>
    <x v="14"/>
    <x v="3"/>
    <x v="13"/>
    <s v="stated preference"/>
    <s v="retailer"/>
    <s v="individuals"/>
    <n v="1"/>
    <s v="opt_out"/>
    <n v="1"/>
    <s v="probably no"/>
    <s v="probably no"/>
    <s v="NA"/>
    <n v="0"/>
    <n v="0"/>
    <n v="1"/>
    <n v="0"/>
    <n v="0"/>
    <n v="0"/>
    <n v="0"/>
    <n v="0"/>
    <s v="effect of energy efficiency in itself rather than label (China Energy Label program)"/>
    <n v="1"/>
    <n v="0"/>
    <n v="0"/>
    <n v="0"/>
    <n v="0"/>
    <n v="0"/>
    <n v="0"/>
    <n v="0"/>
    <n v="0"/>
    <s v="NA"/>
    <x v="0"/>
    <s v="probability of a consumer choosing an energy-efficient appliance"/>
    <s v="log scale"/>
    <n v="0.35460000000000003"/>
    <s v="increase"/>
    <n v="4.02E-2"/>
    <n v="0.01"/>
    <n v="1"/>
    <n v="8.8208955223880601"/>
    <n v="0.42561029609900869"/>
    <n v="0.58773262069003773"/>
    <s v="NA"/>
    <s v="NA"/>
    <s v="NA"/>
    <s v="NA"/>
    <s v="NA"/>
    <s v="NA"/>
    <n v="325"/>
    <n v="5200"/>
    <s v="NA"/>
    <s v="NA"/>
    <s v="NA"/>
    <s v="NA"/>
    <s v="NA"/>
    <s v="NA"/>
    <s v="NA"/>
    <s v="NA"/>
    <s v="NA"/>
    <s v="NA"/>
    <n v="0"/>
    <n v="1"/>
    <n v="1"/>
    <m/>
    <m/>
    <m/>
    <m/>
    <m/>
    <m/>
    <m/>
    <m/>
    <m/>
    <m/>
    <n v="0.43950470421982007"/>
    <n v="0.47161676421139942"/>
    <n v="2.9337292848981796E-3"/>
    <n v="3.105590062111801E-3"/>
    <s v="NA"/>
    <n v="323"/>
    <s v="NA"/>
  </r>
  <r>
    <x v="0"/>
    <m/>
    <n v="1172"/>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9.5000000000000001E-2"/>
    <s v="decrease"/>
    <s v="NA"/>
    <n v="0.05"/>
    <n v="1"/>
    <s v="NA"/>
    <s v="NA"/>
    <m/>
    <s v="NA"/>
    <s v="NA"/>
    <s v="NA"/>
    <s v="NA"/>
    <s v="NA"/>
    <s v="NA"/>
    <s v="NA"/>
    <m/>
    <s v="NA"/>
    <s v="NA"/>
    <s v="NA"/>
    <s v="NA"/>
    <s v="NA"/>
    <s v="NA"/>
    <s v="NA"/>
    <n v="0"/>
    <s v="NA"/>
    <s v="numerical"/>
    <n v="0"/>
    <n v="0"/>
    <n v="1"/>
    <m/>
    <m/>
    <m/>
    <m/>
    <m/>
    <m/>
    <m/>
    <m/>
    <m/>
    <m/>
    <e v="#VALUE!"/>
    <e v="#VALUE!"/>
    <e v="#VALUE!"/>
    <e v="#VALUE!"/>
    <m/>
    <m/>
    <m/>
  </r>
  <r>
    <x v="0"/>
    <m/>
    <n v="1173"/>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8.3000000000000004E-2"/>
    <s v="decrease"/>
    <s v="NA"/>
    <n v="0.1"/>
    <n v="1"/>
    <s v="NA"/>
    <s v="NA"/>
    <m/>
    <s v="NA"/>
    <s v="NA"/>
    <s v="NA"/>
    <s v="NA"/>
    <s v="NA"/>
    <s v="NA"/>
    <s v="NA"/>
    <m/>
    <s v="NA"/>
    <s v="NA"/>
    <s v="NA"/>
    <s v="NA"/>
    <s v="NA"/>
    <s v="NA"/>
    <s v="NA"/>
    <n v="0"/>
    <s v="NA"/>
    <s v="numerical"/>
    <n v="0"/>
    <n v="0"/>
    <n v="1"/>
    <m/>
    <m/>
    <m/>
    <m/>
    <m/>
    <m/>
    <m/>
    <m/>
    <m/>
    <m/>
    <e v="#VALUE!"/>
    <e v="#VALUE!"/>
    <e v="#VALUE!"/>
    <e v="#VALUE!"/>
    <m/>
    <m/>
    <m/>
  </r>
  <r>
    <x v="0"/>
    <m/>
    <n v="1174"/>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0.13300000000000001"/>
    <s v="decrease"/>
    <s v="NA"/>
    <n v="0.1"/>
    <n v="1"/>
    <s v="NA"/>
    <s v="NA"/>
    <m/>
    <s v="NA"/>
    <s v="NA"/>
    <s v="NA"/>
    <s v="NA"/>
    <s v="NA"/>
    <s v="NA"/>
    <s v="NA"/>
    <m/>
    <s v="NA"/>
    <s v="NA"/>
    <s v="NA"/>
    <s v="NA"/>
    <s v="NA"/>
    <s v="NA"/>
    <s v="NA"/>
    <n v="0"/>
    <s v="NA"/>
    <s v="numerical"/>
    <n v="0"/>
    <n v="0"/>
    <n v="1"/>
    <m/>
    <m/>
    <m/>
    <m/>
    <m/>
    <m/>
    <m/>
    <m/>
    <m/>
    <m/>
    <e v="#VALUE!"/>
    <e v="#VALUE!"/>
    <e v="#VALUE!"/>
    <e v="#VALUE!"/>
    <m/>
    <m/>
    <m/>
  </r>
  <r>
    <x v="0"/>
    <m/>
    <n v="1175"/>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less information on the label"/>
    <n v="0"/>
    <n v="0"/>
    <n v="0"/>
    <n v="0"/>
    <n v="0"/>
    <n v="0"/>
    <n v="0"/>
    <n v="1"/>
    <n v="0"/>
    <s v="estimates of WTP (RMB) for the premium of variable-speed room ACs"/>
    <x v="2"/>
    <s v="consumers’ WTP for variable-speed room AC over constant-speed room AC"/>
    <s v="NA"/>
    <n v="9.5000000000000001E-2"/>
    <s v="decrease"/>
    <s v="NA"/>
    <n v="0.1"/>
    <n v="2"/>
    <s v="NA"/>
    <s v="NA"/>
    <m/>
    <s v="NA"/>
    <s v="NA"/>
    <s v="NA"/>
    <s v="NA"/>
    <s v="NA"/>
    <s v="NA"/>
    <s v="NA"/>
    <m/>
    <s v="NA"/>
    <s v="NA"/>
    <s v="NA"/>
    <s v="NA"/>
    <s v="NA"/>
    <s v="NA"/>
    <s v="NA"/>
    <n v="0"/>
    <s v="NA"/>
    <s v="numerical"/>
    <n v="0"/>
    <n v="0"/>
    <n v="1"/>
    <m/>
    <m/>
    <m/>
    <m/>
    <m/>
    <m/>
    <m/>
    <m/>
    <m/>
    <m/>
    <e v="#VALUE!"/>
    <e v="#VALUE!"/>
    <e v="#VALUE!"/>
    <e v="#VALUE!"/>
    <m/>
    <m/>
    <m/>
  </r>
  <r>
    <x v="0"/>
    <m/>
    <n v="1176"/>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4000000000000001"/>
    <s v="increase"/>
    <s v="NA"/>
    <n v="0.01"/>
    <n v="1"/>
    <s v="NA"/>
    <s v="NA"/>
    <m/>
    <s v="NA"/>
    <s v="NA"/>
    <s v="NA"/>
    <s v="NA"/>
    <s v="NA"/>
    <s v="NA"/>
    <s v="NA"/>
    <m/>
    <s v="NA"/>
    <s v="NA"/>
    <s v="NA"/>
    <s v="NA"/>
    <s v="NA"/>
    <s v="NA"/>
    <s v="NA"/>
    <n v="1"/>
    <s v="NA"/>
    <s v="numerical"/>
    <n v="0"/>
    <n v="0"/>
    <n v="1"/>
    <m/>
    <m/>
    <m/>
    <m/>
    <m/>
    <m/>
    <m/>
    <m/>
    <m/>
    <m/>
    <e v="#VALUE!"/>
    <e v="#VALUE!"/>
    <e v="#VALUE!"/>
    <e v="#VALUE!"/>
    <m/>
    <m/>
    <m/>
  </r>
  <r>
    <x v="0"/>
    <m/>
    <n v="1177"/>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8"/>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4299999999999999"/>
    <s v="increase"/>
    <s v="NA"/>
    <n v="0.01"/>
    <n v="1"/>
    <s v="NA"/>
    <s v="NA"/>
    <m/>
    <s v="NA"/>
    <s v="NA"/>
    <s v="NA"/>
    <s v="NA"/>
    <s v="NA"/>
    <s v="NA"/>
    <s v="NA"/>
    <m/>
    <s v="NA"/>
    <s v="NA"/>
    <s v="NA"/>
    <s v="NA"/>
    <s v="NA"/>
    <s v="NA"/>
    <s v="NA"/>
    <n v="1"/>
    <s v="NA"/>
    <s v="numerical"/>
    <n v="0"/>
    <n v="0"/>
    <n v="1"/>
    <m/>
    <m/>
    <m/>
    <m/>
    <m/>
    <m/>
    <m/>
    <m/>
    <m/>
    <m/>
    <e v="#VALUE!"/>
    <e v="#VALUE!"/>
    <e v="#VALUE!"/>
    <e v="#VALUE!"/>
    <m/>
    <m/>
    <m/>
  </r>
  <r>
    <x v="0"/>
    <m/>
    <n v="1178"/>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3"/>
    <x v="0"/>
    <n v="17"/>
    <x v="14"/>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22"/>
    <s v="increase"/>
    <s v="NA"/>
    <n v="0.01"/>
    <n v="1"/>
    <s v="NA"/>
    <s v="NA"/>
    <m/>
    <s v="NA"/>
    <s v="NA"/>
    <s v="NA"/>
    <s v="NA"/>
    <s v="NA"/>
    <s v="NA"/>
    <s v="NA"/>
    <m/>
    <s v="NA"/>
    <s v="NA"/>
    <s v="NA"/>
    <s v="NA"/>
    <s v="NA"/>
    <s v="NA"/>
    <s v="NA"/>
    <n v="1"/>
    <s v="NA"/>
    <s v="numerical"/>
    <n v="0"/>
    <n v="0"/>
    <n v="1"/>
    <m/>
    <m/>
    <m/>
    <m/>
    <m/>
    <m/>
    <m/>
    <m/>
    <m/>
    <m/>
    <e v="#VALUE!"/>
    <e v="#VALUE!"/>
    <e v="#VALUE!"/>
    <e v="#VALUE!"/>
    <m/>
    <m/>
    <m/>
  </r>
  <r>
    <x v="0"/>
    <m/>
    <n v="1179"/>
    <n v="141"/>
    <s v="Zhou, Bukenya"/>
    <n v="2016"/>
    <s v="Information inefficiency and willingness-to-pay forenergy-efficient technology: A stated preference approach for China Energy Label"/>
    <s v="The paperexaminestheextenttowhichconsumers'willingness-to-payforenergy-efficient roomair_x000a_conditioners maybealteredbycorrectingtheinformationinefficiency ontheChinaEnergyLabel.The_x000a_data arecollectedfromadiscretechoiceexperimentwithtwoalternatives(variable-speedandconstant-_x000a_speed roomairconditioners)characterizedbyattributesofbrand,purchasepriceandenergygrade._x000a_Three versionsofthequestionnaireswithchoicesetsdifferingonlyinenergyconsumptionindicators_x000a_weredistributedrandomlyto1602potentialconsumersinNanjing,Chinaandasampleof1569was_x000a_obtained afterdroppingmissingdata.Theanalysiswithmultinomialandmixedlogitmodelsrevealthat_x000a_the pricepremiumthatconsumersarewillingtopayforavariable-speedroomACoveraconstant-speed_x000a_room ACincreasessignificantly whenenergyconsumptioninformationbecomescomparableandad-_x000a_ditional energy-relatedinformationisprovided.Furthermore,theimpactofinformationonWTPvaries_x000a_under differentenergy-savingscenarios.ItissuggestedthatChinaEnergyLabelshouldcorrectin-_x000a_formation inefficiency byadoptingsameenergyindicatorsforroomACswithdifferenttechnologiesand_x000a_providingenergyconsumptioninformationbasedondifferentclimatezones."/>
    <n v="2"/>
    <n v="2011"/>
    <x v="0"/>
    <n v="17"/>
    <x v="14"/>
    <x v="3"/>
    <x v="13"/>
    <s v="stated preference"/>
    <s v="household"/>
    <s v="residents"/>
    <n v="1"/>
    <s v="opt_out"/>
    <n v="1"/>
    <s v="probably no"/>
    <s v="probably no"/>
    <s v="NA"/>
    <n v="0"/>
    <n v="1"/>
    <n v="1"/>
    <n v="0"/>
    <n v="0"/>
    <n v="0"/>
    <n v="0"/>
    <n v="0"/>
    <s v="additional information - on the label"/>
    <n v="0"/>
    <n v="0"/>
    <n v="0"/>
    <n v="0"/>
    <n v="0"/>
    <n v="0"/>
    <n v="0"/>
    <n v="1"/>
    <n v="0"/>
    <s v="estimates of WTP (RMB) for the premium of variable-speed room ACs"/>
    <x v="2"/>
    <s v="consumers’ WTP for variable-speed room AC over constant-speed room AC"/>
    <s v="NA"/>
    <n v="0.159"/>
    <s v="increase"/>
    <s v="NA"/>
    <n v="0.05"/>
    <n v="1"/>
    <s v="NA"/>
    <s v="NA"/>
    <m/>
    <s v="NA"/>
    <s v="NA"/>
    <s v="NA"/>
    <s v="NA"/>
    <s v="NA"/>
    <s v="NA"/>
    <s v="NA"/>
    <m/>
    <s v="NA"/>
    <s v="NA"/>
    <s v="NA"/>
    <s v="NA"/>
    <s v="NA"/>
    <s v="NA"/>
    <s v="NA"/>
    <n v="1"/>
    <s v="NA"/>
    <s v="numerical"/>
    <n v="0"/>
    <n v="0"/>
    <n v="1"/>
    <m/>
    <m/>
    <m/>
    <m/>
    <m/>
    <m/>
    <m/>
    <m/>
    <m/>
    <m/>
    <e v="#VALUE!"/>
    <e v="#VALUE!"/>
    <e v="#VALUE!"/>
    <e v="#VALUE!"/>
    <m/>
    <m/>
    <m/>
  </r>
  <r>
    <x v="3"/>
    <m/>
    <n v="3049"/>
    <n v="313"/>
    <s v="Yao, Liu, Yan"/>
    <n v="2014"/>
    <s v="A quantile approach to assess the effectiveness of the subsidy policy for energy-efficient home appliances: Evidence from Rizhao, China"/>
    <s v="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
    <n v="1"/>
    <n v="2013"/>
    <x v="14"/>
    <n v="514"/>
    <x v="4"/>
    <x v="5"/>
    <x v="13"/>
    <s v="revealed preference"/>
    <s v="household"/>
    <s v="residents"/>
    <n v="1"/>
    <s v="NA"/>
    <n v="0"/>
    <s v="probably no"/>
    <s v="probably yes"/>
    <s v="Significance stars and t-values do not match"/>
    <n v="0"/>
    <n v="0"/>
    <n v="0"/>
    <n v="1"/>
    <n v="0"/>
    <n v="0"/>
    <n v="0"/>
    <n v="0"/>
    <s v="NA"/>
    <n v="1"/>
    <n v="0"/>
    <n v="0"/>
    <n v="1"/>
    <n v="0"/>
    <n v="0"/>
    <n v="1"/>
    <n v="1"/>
    <n v="1"/>
    <s v="NA"/>
    <x v="1"/>
    <s v="kWh"/>
    <s v="NA"/>
    <n v="0.154"/>
    <s v="decrease"/>
    <s v="NA"/>
    <n v="0.05"/>
    <n v="1"/>
    <s v="NA"/>
    <s v="NA"/>
    <m/>
    <s v="NA"/>
    <s v="NA"/>
    <s v="AN"/>
    <s v="NA"/>
    <s v="NA"/>
    <s v="NA"/>
    <n v="400"/>
    <n v="400"/>
    <s v="NA"/>
    <s v="NA"/>
    <s v="16-64 USD"/>
    <s v="NA"/>
    <s v="NA"/>
    <s v="NA"/>
    <s v="NA"/>
    <s v="NA"/>
    <s v="NA"/>
    <s v="NA"/>
    <n v="0"/>
    <n v="1"/>
    <n v="1"/>
    <m/>
    <m/>
    <m/>
    <m/>
    <m/>
    <m/>
    <m/>
    <m/>
    <m/>
    <m/>
    <e v="#VALUE!"/>
    <e v="#VALUE!"/>
    <e v="#VALUE!"/>
    <n v="2.5188916876574307E-3"/>
    <m/>
    <m/>
    <m/>
  </r>
  <r>
    <x v="3"/>
    <m/>
    <n v="3050"/>
    <n v="313"/>
    <s v="Yao, Liu, Yan"/>
    <n v="2014"/>
    <s v="A quantile approach to assess the effectiveness of the subsidy policy for energy-efficient home appliances: Evidence from Rizhao, China"/>
    <s v="A one-year subsidy program for energy-efficient home appliances has been implemented in China. We construct a dataset consisting of participant and non-participant households in both urban and rural areas of Rizhao city. By applying a quantile regression and counterfactual analysis, this study disentangles the impact of this subsidy program and inherent household attributes on per capita residential electricity consumption. First, contrary to the mean regression, the elasticity of electricity consumption to household׳s income, age, education and energy-saving awareness, varies markedly across the electricity consumption distribution and shows discrepancy between urban and rural areas. Second, while inherent household attributes are identified as a primary determinant to the changes in residential electricity consumption, the effect induced by the subsidy incentive is more significant at the middle of the electricity consumption distribution than at the tails. Third, there are significant rebound effects that lead to overall increase in household electricity consumption. Our results suggest that the disparity between urban and rural regions and targeted consumer behavior changes should be taken into account to ensure the effectiveness of a future energy-efficient subsidy program."/>
    <n v="1"/>
    <n v="2013"/>
    <x v="14"/>
    <n v="514"/>
    <x v="4"/>
    <x v="5"/>
    <x v="13"/>
    <s v="revealed preference"/>
    <s v="household"/>
    <s v="residents"/>
    <n v="1"/>
    <s v="NA"/>
    <n v="0"/>
    <s v="probably no"/>
    <s v="probably yes"/>
    <s v="Significance stars and t-values do not match"/>
    <n v="0"/>
    <n v="0"/>
    <n v="0"/>
    <n v="1"/>
    <n v="0"/>
    <n v="0"/>
    <n v="0"/>
    <n v="0"/>
    <s v="NA"/>
    <n v="1"/>
    <n v="0"/>
    <n v="0"/>
    <n v="1"/>
    <n v="0"/>
    <n v="0"/>
    <n v="1"/>
    <n v="1"/>
    <n v="1"/>
    <s v="NA"/>
    <x v="1"/>
    <s v="kWh"/>
    <s v="NA"/>
    <n v="0.28299999999999997"/>
    <s v="increase"/>
    <s v="NA"/>
    <n v="0.01"/>
    <n v="1"/>
    <s v="NA"/>
    <s v="NA"/>
    <m/>
    <s v="NA"/>
    <s v="NA"/>
    <s v="AN"/>
    <s v="NA"/>
    <s v="NA"/>
    <s v="NA"/>
    <n v="400"/>
    <n v="400"/>
    <s v="NA"/>
    <s v="NA"/>
    <s v="16-64 USD"/>
    <s v="NA"/>
    <s v="NA"/>
    <s v="NA"/>
    <s v="NA"/>
    <s v="NA"/>
    <s v="NA"/>
    <s v="NA"/>
    <n v="0"/>
    <n v="1"/>
    <n v="1"/>
    <m/>
    <m/>
    <m/>
    <m/>
    <m/>
    <m/>
    <m/>
    <m/>
    <m/>
    <m/>
    <e v="#VALUE!"/>
    <e v="#VALUE!"/>
    <e v="#VALUE!"/>
    <n v="2.5188916876574307E-3"/>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r>
    <x v="5"/>
    <m/>
    <m/>
    <m/>
    <m/>
    <m/>
    <m/>
    <m/>
    <m/>
    <m/>
    <x v="15"/>
    <m/>
    <x v="6"/>
    <x v="4"/>
    <x v="5"/>
    <m/>
    <m/>
    <m/>
    <m/>
    <m/>
    <m/>
    <m/>
    <m/>
    <m/>
    <m/>
    <m/>
    <m/>
    <m/>
    <m/>
    <m/>
    <m/>
    <m/>
    <m/>
    <m/>
    <m/>
    <m/>
    <m/>
    <m/>
    <m/>
    <m/>
    <m/>
    <m/>
    <m/>
    <x v="3"/>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J18" firstHeaderRow="0" firstDataRow="1" firstDataCol="1" rowPageCount="2" colPageCount="1"/>
  <pivotFields count="92">
    <pivotField showAll="0"/>
    <pivotField showAll="0"/>
    <pivotField dataField="1" showAll="0"/>
    <pivotField dataField="1" showAll="0"/>
    <pivotField showAll="0"/>
    <pivotField dataField="1" showAll="0"/>
    <pivotField showAll="0"/>
    <pivotField showAll="0"/>
    <pivotField showAll="0"/>
    <pivotField showAll="0"/>
    <pivotField axis="axisPage" dataField="1" multipleItemSelectionAllowed="1" showAll="0">
      <items count="17">
        <item h="1" x="8"/>
        <item h="1" x="1"/>
        <item h="1" x="11"/>
        <item x="0"/>
        <item h="1" x="10"/>
        <item h="1" x="4"/>
        <item h="1" x="13"/>
        <item h="1" x="5"/>
        <item h="1" x="6"/>
        <item h="1" x="2"/>
        <item h="1" x="9"/>
        <item h="1" x="14"/>
        <item h="1" x="7"/>
        <item h="1" x="12"/>
        <item h="1" x="3"/>
        <item h="1" x="15"/>
        <item t="default"/>
      </items>
    </pivotField>
    <pivotField showAll="0"/>
    <pivotField axis="axisRow" dataField="1" showAll="0">
      <items count="29">
        <item x="10"/>
        <item x="13"/>
        <item x="22"/>
        <item x="27"/>
        <item x="17"/>
        <item x="3"/>
        <item x="2"/>
        <item x="9"/>
        <item x="0"/>
        <item x="5"/>
        <item x="14"/>
        <item x="18"/>
        <item x="8"/>
        <item x="11"/>
        <item x="15"/>
        <item x="4"/>
        <item x="20"/>
        <item x="21"/>
        <item x="23"/>
        <item x="24"/>
        <item x="12"/>
        <item x="26"/>
        <item x="25"/>
        <item x="19"/>
        <item x="16"/>
        <item x="7"/>
        <item x="1"/>
        <item x="6"/>
        <item t="default"/>
      </items>
    </pivotField>
    <pivotField dataField="1" showAll="0">
      <items count="9">
        <item x="7"/>
        <item x="2"/>
        <item x="5"/>
        <item x="6"/>
        <item x="1"/>
        <item x="0"/>
        <item x="3"/>
        <item x="4"/>
        <item t="default"/>
      </items>
    </pivotField>
    <pivotField dataField="1" showAll="0">
      <items count="37">
        <item x="30"/>
        <item x="12"/>
        <item x="25"/>
        <item x="2"/>
        <item x="13"/>
        <item x="6"/>
        <item x="29"/>
        <item x="27"/>
        <item x="23"/>
        <item x="3"/>
        <item x="4"/>
        <item x="35"/>
        <item x="19"/>
        <item x="26"/>
        <item x="7"/>
        <item x="0"/>
        <item x="16"/>
        <item x="14"/>
        <item x="17"/>
        <item x="24"/>
        <item x="9"/>
        <item x="15"/>
        <item x="21"/>
        <item x="8"/>
        <item x="32"/>
        <item x="28"/>
        <item x="33"/>
        <item x="22"/>
        <item x="18"/>
        <item x="20"/>
        <item x="11"/>
        <item x="34"/>
        <item x="31"/>
        <item x="10"/>
        <item x="1"/>
        <item x="5"/>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axis="axisPage" dataField="1" multipleItemSelectionAllowed="1" showAll="0">
      <items count="6">
        <item h="1" x="1"/>
        <item h="1" x="4"/>
        <item x="0"/>
        <item h="1" x="2"/>
        <item h="1" x="3"/>
        <item t="default"/>
      </items>
    </pivotField>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dataField="1" showAll="0"/>
    <pivotField showAll="0"/>
    <pivotField dataField="1" showAll="0"/>
    <pivotField showAll="0"/>
    <pivotField dataField="1" showAll="0"/>
    <pivotField dataField="1" showAll="0"/>
    <pivotField dataField="1" showAll="0"/>
    <pivotField dataField="1" showAll="0"/>
    <pivotField showAll="0"/>
    <pivotField dataField="1"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s>
  <rowFields count="1">
    <field x="12"/>
  </rowFields>
  <rowItems count="14">
    <i>
      <x v="1"/>
    </i>
    <i>
      <x v="5"/>
    </i>
    <i>
      <x v="6"/>
    </i>
    <i>
      <x v="8"/>
    </i>
    <i>
      <x v="9"/>
    </i>
    <i>
      <x v="10"/>
    </i>
    <i>
      <x v="11"/>
    </i>
    <i>
      <x v="13"/>
    </i>
    <i>
      <x v="14"/>
    </i>
    <i>
      <x v="18"/>
    </i>
    <i>
      <x v="20"/>
    </i>
    <i>
      <x v="22"/>
    </i>
    <i>
      <x v="23"/>
    </i>
    <i t="grand">
      <x/>
    </i>
  </rowItems>
  <colFields count="1">
    <field x="-2"/>
  </colFields>
  <colItems count="61">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colItems>
  <pageFields count="2">
    <pageField fld="10" hier="-1"/>
    <pageField fld="43" hier="-1"/>
  </pageFields>
  <dataFields count="61">
    <dataField name="Count of sr_no" fld="2" subtotal="count" baseField="0" baseItem="0"/>
    <dataField name="Average of r_effect_size_sample2" fld="85" subtotal="average" baseField="0" baseItem="0"/>
    <dataField name="Average of r_variance2" fld="87" subtotal="average" baseField="0" baseItem="0"/>
    <dataField name="Average of z_value2" fld="86" subtotal="average" baseField="0" baseItem="0"/>
    <dataField name="Average of z_variance2" fld="88" subtotal="average" baseField="0" baseItem="0"/>
    <dataField name="Average of d_value2" fld="89" subtotal="average" baseField="0" baseItem="0"/>
    <dataField name="Count of study_ID" fld="3" subtotal="count" baseField="0" baseItem="0"/>
    <dataField name="Count of year_publication" fld="5" subtotal="count" baseField="0" baseItem="0"/>
    <dataField name="Count of exclusion_reason" fld="10" subtotal="count" baseField="0" baseItem="0"/>
    <dataField name="Count of statistical_technique" fld="12" subtotal="count" baseField="0" baseItem="0"/>
    <dataField name="Count of study_design" fld="13" subtotal="count" baseField="0" baseItem="0"/>
    <dataField name="Count of country" fld="14" subtotal="count" baseField="0" baseItem="0"/>
    <dataField name="Count of incentive_follow_through" fld="15" subtotal="count" baseField="0" baseItem="0"/>
    <dataField name="Count of experimental_setting" fld="16" subtotal="count" baseField="0" baseItem="0"/>
    <dataField name="Count of participant_type" fld="17" subtotal="count" baseField="0" baseItem="0"/>
    <dataField name="Count of aware_of_study" fld="18" subtotal="count" baseField="0" baseItem="0"/>
    <dataField name="Count of opt_in" fld="19" subtotal="count" baseField="0" baseItem="0"/>
    <dataField name="Count of randomisation_dummy" fld="20" subtotal="count" baseField="0" baseItem="0"/>
    <dataField name="Count of outOfSampleBias" fld="21" subtotal="count" baseField="0" baseItem="0"/>
    <dataField name="Count of reportingBiases" fld="22" subtotal="count" baseField="0" baseItem="0"/>
    <dataField name="Sum of feedback" fld="24" baseField="0" baseItem="0"/>
    <dataField name="Sum of information" fld="25" baseField="0" baseItem="0"/>
    <dataField name="Sum of label" fld="26" baseField="0" baseItem="0"/>
    <dataField name="Sum of rebate" fld="27" baseField="0" baseItem="0"/>
    <dataField name="Sum of tax_credit" fld="28" baseField="0" baseItem="0"/>
    <dataField name="Sum of subsidy" fld="29" baseField="0" baseItem="0"/>
    <dataField name="Sum of loan" fld="30" baseField="0" baseItem="0"/>
    <dataField name="Sum of choice_architecture" fld="31" baseField="0" baseItem="0"/>
    <dataField name="Sum of clothes_dryer" fld="34" baseField="0" baseItem="0"/>
    <dataField name="Sum of washing_machine" fld="33" baseField="0" baseItem="0"/>
    <dataField name="Sum of diswasher" fld="35" baseField="0" baseItem="0"/>
    <dataField name="Sum of refrigerator" fld="36" baseField="0" baseItem="0"/>
    <dataField name="Sum of heat_pump" fld="37" baseField="0" baseItem="0"/>
    <dataField name="Sum of lighting" fld="38" baseField="0" baseItem="0"/>
    <dataField name="Sum of water_heater" fld="39" baseField="0" baseItem="0"/>
    <dataField name="Sum of ac" fld="40" baseField="0" baseItem="0"/>
    <dataField name="Sum of tv" fld="41" baseField="0" baseItem="0"/>
    <dataField name="Count of dep_variable_purchase_category" fld="43" subtotal="count" baseField="0" baseItem="0"/>
    <dataField name="Count of dep_var_transformation" fld="45" subtotal="count" baseField="0" baseItem="0"/>
    <dataField name="Count of coefficient " fld="46" subtotal="count" baseField="0" baseItem="0"/>
    <dataField name="Count of effect_direction" fld="47" subtotal="count" baseField="0" baseItem="0"/>
    <dataField name="Count of coefficient_se" fld="48" subtotal="count" baseField="0" baseItem="0"/>
    <dataField name="Count of p_value" fld="49" subtotal="count" baseField="0" baseItem="0"/>
    <dataField name="Count of significance_bound" fld="50" subtotal="count" baseField="0" baseItem="0"/>
    <dataField name="Count of t_stat" fld="51" subtotal="count" baseField="0" baseItem="0"/>
    <dataField name="Count of percent_change" fld="52" subtotal="count" baseField="0" baseItem="0"/>
    <dataField name="Count of percent_change(binary predictor)" fld="53" subtotal="count" baseField="0" baseItem="0"/>
    <dataField name="Count of total_sample_size" fld="60" subtotal="count" baseField="0" baseItem="0"/>
    <dataField name="Count of diff_mean" fld="62" subtotal="count" baseField="0" baseItem="0"/>
    <dataField name="Count of monetary_incentive_size" fld="64" subtotal="count" baseField="0" baseItem="0"/>
    <dataField name="Count of monetary_incentive_relative" fld="65" subtotal="count" baseField="0" baseItem="0"/>
    <dataField name="Count of monetary_incentive_timeframe" fld="66" subtotal="count" baseField="0" baseItem="0"/>
    <dataField name="Count of label_monetary" fld="67" subtotal="count" baseField="0" baseItem="0"/>
    <dataField name="Count of label_consumption" fld="69" subtotal="count" baseField="0" baseItem="0"/>
    <dataField name="Count of label_scale" fld="71" subtotal="count" baseField="0" baseItem="0"/>
    <dataField name="Sum of controls energy prices" fld="72" baseField="0" baseItem="0"/>
    <dataField name="Sum of controls environmental attitudes" fld="73" baseField="0" baseItem="0"/>
    <dataField name="Sum of controls demographics" fld="74" baseField="0" baseItem="0"/>
    <dataField name="Average of df" fld="90" subtotal="average" baseField="0" baseItem="0"/>
    <dataField name="Count of study_design2" fld="13" subtotal="count" baseField="0" baseItem="0"/>
    <dataField name="Count of country2"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Q1" dT="2022-03-11T12:27:31.40" personId="{30BB1996-8EFC-476E-8528-976729F6D7F5}" id="{73C2226C-6106-4DC2-88CF-9C0A06F48311}">
    <text>is this supposed to capture mean difference between control and treatment or ?</text>
  </threadedComment>
  <threadedComment ref="AZ1" dT="2022-03-16T09:52:50.19" personId="{30BB1996-8EFC-476E-8528-976729F6D7F5}" id="{CEE78422-255C-40DC-AFED-5AA185CC03E1}" done="1">
    <text>daily kWh</text>
  </threadedComment>
  <threadedComment ref="AQ22" dT="2022-04-15T14:32:51.71" personId="{30BB1996-8EFC-476E-8528-976729F6D7F5}" id="{C7CEED71-5EFE-4791-84D8-7010C40A69F0}">
    <text>in kWh</text>
  </threadedComment>
</ThreadedComments>
</file>

<file path=xl/threadedComments/threadedComment2.xml><?xml version="1.0" encoding="utf-8"?>
<ThreadedComments xmlns="http://schemas.microsoft.com/office/spreadsheetml/2018/threadedcomments" xmlns:x="http://schemas.openxmlformats.org/spreadsheetml/2006/main">
  <threadedComment ref="AA1" dT="2022-11-21T17:36:05.27" personId="{07E012BB-865F-6142-9A86-EDCC0A8503F7}" id="{1DD52412-77C6-1E43-B8CC-07AD562D2C6E}">
    <text>check label studies from srmt for label type</text>
  </threadedComment>
</ThreadedComments>
</file>

<file path=xl/threadedComments/threadedComment3.xml><?xml version="1.0" encoding="utf-8"?>
<ThreadedComments xmlns="http://schemas.microsoft.com/office/spreadsheetml/2018/threadedcomments" xmlns:x="http://schemas.openxmlformats.org/spreadsheetml/2006/main">
  <threadedComment ref="D6" dT="2022-12-21T13:31:39.91" personId="{07E012BB-865F-6142-9A86-EDCC0A8503F7}" id="{CF36070F-7893-4948-8AB8-1CADF6EBBFD9}">
    <text>a bit confused as of where it’s correlation and where - quasi-experimental</text>
  </threadedComment>
  <threadedComment ref="D6" dT="2022-12-21T13:34:50.65" personId="{07E012BB-865F-6142-9A86-EDCC0A8503F7}" id="{21819F94-1C20-934A-90F0-3C08AE6D69A6}" parentId="{CF36070F-7893-4948-8AB8-1CADF6EBBFD9}">
    <text>the way i reassessed this was - market statistics - correlation, whereas hypothetical choice - quasi-experimental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53"/>
  <sheetViews>
    <sheetView zoomScale="75" workbookViewId="0">
      <pane xSplit="1" ySplit="1" topLeftCell="B29" activePane="bottomRight" state="frozen"/>
      <selection pane="topRight" activeCell="B1" sqref="B1"/>
      <selection pane="bottomLeft" activeCell="A2" sqref="A2"/>
      <selection pane="bottomRight" activeCell="A43" sqref="A43:XFD51"/>
    </sheetView>
  </sheetViews>
  <sheetFormatPr baseColWidth="10" defaultColWidth="11" defaultRowHeight="16"/>
  <cols>
    <col min="4" max="4" width="20.6640625" customWidth="1"/>
    <col min="5" max="5" width="14.1640625" customWidth="1"/>
    <col min="7" max="7" width="16.1640625" customWidth="1"/>
    <col min="8" max="8" width="16.6640625" customWidth="1"/>
    <col min="10" max="10" width="18.1640625" bestFit="1" customWidth="1"/>
    <col min="11" max="11" width="12" hidden="1" customWidth="1"/>
    <col min="12" max="17" width="0" hidden="1" customWidth="1"/>
    <col min="18" max="18" width="16" hidden="1" customWidth="1"/>
    <col min="19" max="22" width="0" hidden="1" customWidth="1"/>
    <col min="23" max="24" width="12.1640625" hidden="1" customWidth="1"/>
    <col min="25" max="25" width="0" hidden="1" customWidth="1"/>
    <col min="26" max="26" width="0" style="12" hidden="1" customWidth="1"/>
    <col min="27" max="27" width="18.6640625" hidden="1" customWidth="1"/>
    <col min="28" max="28" width="14.1640625" style="7" bestFit="1" customWidth="1"/>
    <col min="29" max="29" width="14.6640625" style="7" customWidth="1"/>
    <col min="30" max="30" width="13.6640625" customWidth="1"/>
    <col min="31" max="31" width="14.6640625" customWidth="1"/>
    <col min="32" max="32" width="13.6640625" hidden="1" customWidth="1"/>
    <col min="33" max="33" width="19.1640625" hidden="1" customWidth="1"/>
    <col min="34" max="34" width="10.6640625" hidden="1" customWidth="1"/>
    <col min="35" max="35" width="13.1640625" hidden="1" customWidth="1"/>
    <col min="36" max="36" width="22.1640625" hidden="1" customWidth="1"/>
    <col min="37" max="37" width="10.6640625" hidden="1" customWidth="1"/>
    <col min="38" max="38" width="18.1640625" customWidth="1"/>
    <col min="39" max="39" width="14.1640625" customWidth="1"/>
    <col min="40" max="40" width="9.6640625" customWidth="1"/>
    <col min="41" max="41" width="19.1640625" customWidth="1"/>
    <col min="42" max="42" width="12.1640625" customWidth="1"/>
    <col min="44" max="45" width="0" hidden="1" customWidth="1"/>
    <col min="46" max="47" width="13.1640625" hidden="1" customWidth="1"/>
    <col min="48" max="51" width="0" hidden="1" customWidth="1"/>
    <col min="52" max="52" width="13.6640625" style="17" hidden="1" customWidth="1"/>
    <col min="53" max="53" width="26.5" hidden="1" customWidth="1"/>
    <col min="54" max="54" width="20.6640625" hidden="1" customWidth="1"/>
    <col min="55" max="55" width="0" hidden="1" customWidth="1"/>
    <col min="56" max="56" width="17.6640625" hidden="1" customWidth="1"/>
    <col min="57" max="57" width="16.1640625" hidden="1" customWidth="1"/>
    <col min="58" max="58" width="15.1640625" hidden="1" customWidth="1"/>
    <col min="59" max="59" width="20.6640625" hidden="1" customWidth="1"/>
    <col min="60" max="60" width="24.6640625" hidden="1" customWidth="1"/>
    <col min="61" max="61" width="19.6640625" style="30" bestFit="1" customWidth="1"/>
    <col min="62" max="62" width="24.1640625" style="30" bestFit="1" customWidth="1"/>
    <col min="63" max="65" width="11" style="30"/>
    <col min="67" max="67" width="25.1640625" bestFit="1" customWidth="1"/>
  </cols>
  <sheetData>
    <row r="1" spans="1:68" ht="48">
      <c r="A1" s="2" t="s">
        <v>0</v>
      </c>
      <c r="B1" s="2" t="s">
        <v>1</v>
      </c>
      <c r="C1" s="2" t="s">
        <v>2</v>
      </c>
      <c r="D1" s="3" t="s">
        <v>3</v>
      </c>
      <c r="E1" s="2" t="s">
        <v>4</v>
      </c>
      <c r="F1" s="2" t="s">
        <v>5</v>
      </c>
      <c r="G1" s="5" t="s">
        <v>6</v>
      </c>
      <c r="H1" s="2" t="s">
        <v>7</v>
      </c>
      <c r="I1" s="2" t="s">
        <v>8</v>
      </c>
      <c r="J1" s="2" t="s">
        <v>9</v>
      </c>
      <c r="K1" s="2" t="s">
        <v>10</v>
      </c>
      <c r="L1" s="6" t="s">
        <v>11</v>
      </c>
      <c r="M1" s="4" t="s">
        <v>12</v>
      </c>
      <c r="N1" s="2" t="s">
        <v>13</v>
      </c>
      <c r="O1" s="2" t="s">
        <v>14</v>
      </c>
      <c r="P1" s="2" t="s">
        <v>15</v>
      </c>
      <c r="Q1" s="2" t="s">
        <v>16</v>
      </c>
      <c r="R1" s="4" t="s">
        <v>17</v>
      </c>
      <c r="S1" s="2" t="s">
        <v>18</v>
      </c>
      <c r="T1" s="2" t="s">
        <v>19</v>
      </c>
      <c r="U1" s="2" t="s">
        <v>20</v>
      </c>
      <c r="V1" s="2" t="s">
        <v>21</v>
      </c>
      <c r="W1" s="2" t="s">
        <v>22</v>
      </c>
      <c r="X1" s="2" t="s">
        <v>23</v>
      </c>
      <c r="Y1" s="2" t="s">
        <v>24</v>
      </c>
      <c r="Z1" s="13" t="s">
        <v>25</v>
      </c>
      <c r="AA1" s="5" t="s">
        <v>26</v>
      </c>
      <c r="AB1" s="2" t="s">
        <v>27</v>
      </c>
      <c r="AC1" s="2" t="s">
        <v>28</v>
      </c>
      <c r="AD1" s="3" t="s">
        <v>29</v>
      </c>
      <c r="AE1" s="1" t="s">
        <v>30</v>
      </c>
      <c r="AF1" s="1" t="s">
        <v>31</v>
      </c>
      <c r="AG1" s="1" t="s">
        <v>32</v>
      </c>
      <c r="AH1" s="1" t="s">
        <v>33</v>
      </c>
      <c r="AI1" s="1" t="s">
        <v>34</v>
      </c>
      <c r="AJ1" s="1" t="s">
        <v>35</v>
      </c>
      <c r="AK1" s="1" t="s">
        <v>36</v>
      </c>
      <c r="AL1" s="1" t="s">
        <v>37</v>
      </c>
      <c r="AM1" s="1" t="s">
        <v>38</v>
      </c>
      <c r="AN1" s="3" t="s">
        <v>39</v>
      </c>
      <c r="AO1" s="1" t="s">
        <v>40</v>
      </c>
      <c r="AP1" s="23" t="s">
        <v>41</v>
      </c>
      <c r="AQ1" s="1" t="s">
        <v>42</v>
      </c>
      <c r="AR1" s="1" t="s">
        <v>43</v>
      </c>
      <c r="AS1" s="1" t="s">
        <v>44</v>
      </c>
      <c r="AT1" s="1" t="s">
        <v>45</v>
      </c>
      <c r="AU1" s="1" t="s">
        <v>46</v>
      </c>
      <c r="AV1" s="1" t="s">
        <v>47</v>
      </c>
      <c r="AW1" s="1" t="s">
        <v>48</v>
      </c>
      <c r="AX1" s="1" t="s">
        <v>49</v>
      </c>
      <c r="AY1" s="1" t="s">
        <v>50</v>
      </c>
      <c r="AZ1" s="24" t="s">
        <v>51</v>
      </c>
      <c r="BA1" s="1" t="s">
        <v>52</v>
      </c>
      <c r="BB1" s="1" t="s">
        <v>53</v>
      </c>
      <c r="BC1" s="1" t="s">
        <v>54</v>
      </c>
      <c r="BD1" s="8" t="s">
        <v>55</v>
      </c>
      <c r="BE1" s="8" t="s">
        <v>56</v>
      </c>
      <c r="BF1" s="8" t="s">
        <v>57</v>
      </c>
      <c r="BG1" s="1" t="s">
        <v>58</v>
      </c>
      <c r="BH1" s="9" t="s">
        <v>59</v>
      </c>
      <c r="BI1" s="28" t="s">
        <v>60</v>
      </c>
      <c r="BJ1" s="28" t="s">
        <v>61</v>
      </c>
      <c r="BK1" s="29" t="s">
        <v>62</v>
      </c>
      <c r="BL1" s="30" t="s">
        <v>63</v>
      </c>
      <c r="BM1" s="30" t="s">
        <v>64</v>
      </c>
      <c r="BN1" t="s">
        <v>65</v>
      </c>
      <c r="BO1" t="s">
        <v>66</v>
      </c>
      <c r="BP1" t="s">
        <v>67</v>
      </c>
    </row>
    <row r="2" spans="1:68" hidden="1">
      <c r="A2" s="32" t="s">
        <v>68</v>
      </c>
      <c r="B2" s="32">
        <f>1</f>
        <v>1</v>
      </c>
      <c r="C2" s="32">
        <v>1000</v>
      </c>
      <c r="D2" s="32" t="s">
        <v>69</v>
      </c>
      <c r="E2" s="11" t="s">
        <v>70</v>
      </c>
      <c r="F2" s="18" t="s">
        <v>71</v>
      </c>
      <c r="G2" s="32" t="s">
        <v>72</v>
      </c>
      <c r="H2" s="32" t="s">
        <v>73</v>
      </c>
      <c r="I2" s="32" t="s">
        <v>74</v>
      </c>
      <c r="J2" s="32" t="s">
        <v>75</v>
      </c>
      <c r="K2" s="32" t="s">
        <v>76</v>
      </c>
      <c r="L2" s="32">
        <v>1</v>
      </c>
      <c r="M2" s="32">
        <v>0</v>
      </c>
      <c r="N2" s="32">
        <v>0</v>
      </c>
      <c r="O2" s="32">
        <v>1</v>
      </c>
      <c r="P2" s="32">
        <v>0</v>
      </c>
      <c r="Q2" s="32">
        <v>0</v>
      </c>
      <c r="R2" s="32">
        <v>0</v>
      </c>
      <c r="S2" s="32">
        <v>0</v>
      </c>
      <c r="T2" s="32">
        <v>0</v>
      </c>
      <c r="U2" s="32">
        <v>1</v>
      </c>
      <c r="V2" s="32">
        <v>0</v>
      </c>
      <c r="W2" s="32">
        <v>0</v>
      </c>
      <c r="X2" s="32">
        <v>0</v>
      </c>
      <c r="Y2" s="32">
        <v>0</v>
      </c>
      <c r="Z2" s="32" t="s">
        <v>77</v>
      </c>
      <c r="AA2" s="32" t="s">
        <v>78</v>
      </c>
      <c r="AB2" s="7" t="s">
        <v>79</v>
      </c>
      <c r="AC2" s="7" t="s">
        <v>80</v>
      </c>
      <c r="AD2">
        <v>2.7789999999999999</v>
      </c>
      <c r="AE2" s="35">
        <v>5.3310000000000004</v>
      </c>
      <c r="AF2" t="s">
        <v>73</v>
      </c>
      <c r="AG2">
        <v>986</v>
      </c>
      <c r="AH2" t="s">
        <v>73</v>
      </c>
      <c r="AI2" t="s">
        <v>73</v>
      </c>
      <c r="AJ2">
        <v>118</v>
      </c>
      <c r="AK2" t="s">
        <v>73</v>
      </c>
      <c r="AL2">
        <v>1102</v>
      </c>
      <c r="AM2">
        <v>490994</v>
      </c>
      <c r="AN2">
        <v>0.1</v>
      </c>
      <c r="AO2">
        <v>3</v>
      </c>
      <c r="AP2">
        <f t="shared" ref="AP2:AP9" si="0">AE2/AD2</f>
        <v>1.9183159409859665</v>
      </c>
      <c r="AQ2" t="s">
        <v>73</v>
      </c>
      <c r="AR2" t="s">
        <v>73</v>
      </c>
      <c r="AS2">
        <v>1</v>
      </c>
      <c r="AT2">
        <v>1</v>
      </c>
      <c r="AU2">
        <v>1</v>
      </c>
      <c r="AV2">
        <v>1</v>
      </c>
      <c r="AW2">
        <v>0</v>
      </c>
      <c r="AX2">
        <v>1</v>
      </c>
      <c r="AY2" t="s">
        <v>81</v>
      </c>
      <c r="AZ2">
        <v>8.4290000000000003</v>
      </c>
      <c r="BA2" s="36" t="s">
        <v>82</v>
      </c>
      <c r="BB2">
        <v>1</v>
      </c>
      <c r="BC2">
        <v>1</v>
      </c>
      <c r="BD2" t="s">
        <v>83</v>
      </c>
      <c r="BE2" t="s">
        <v>83</v>
      </c>
      <c r="BF2" t="s">
        <v>73</v>
      </c>
      <c r="BG2">
        <f t="shared" ref="BG2:BG8" si="1" xml:space="preserve"> 8 * 4.345</f>
        <v>34.76</v>
      </c>
      <c r="BH2" s="16">
        <f t="shared" ref="BH2:BH9" si="2">100 / 7</f>
        <v>14.285714285714286</v>
      </c>
      <c r="BI2" s="30">
        <f>BN2/(((BN2^2)+4)^1/2)</f>
        <v>4.5505228789443943E-3</v>
      </c>
      <c r="BJ2" s="30">
        <f>BN2/(((BN2^2)+4)^1/2)</f>
        <v>4.5505228789443943E-3</v>
      </c>
      <c r="BK2" s="30">
        <f>0.5*LN((1+BJ2)/(1-BJ2))</f>
        <v>4.5505542889525165E-3</v>
      </c>
      <c r="BL2" s="30">
        <f>((1-(BK2^2)^2)/(AL2-1))</f>
        <v>9.0826521305285878E-4</v>
      </c>
      <c r="BM2" s="30">
        <f>1/(AL2-3)</f>
        <v>9.099181073703367E-4</v>
      </c>
      <c r="BN2">
        <f>AP2*(((AG2+AJ2)/(AG2*AJ2))^1/2)</f>
        <v>9.1012342234009485E-3</v>
      </c>
      <c r="BO2" t="s">
        <v>84</v>
      </c>
    </row>
    <row r="3" spans="1:68" hidden="1">
      <c r="A3" s="32" t="s">
        <v>68</v>
      </c>
      <c r="B3" s="32">
        <f t="shared" ref="B3:B9" si="3">B2+1</f>
        <v>2</v>
      </c>
      <c r="C3" s="32">
        <v>1000</v>
      </c>
      <c r="D3" s="32" t="s">
        <v>69</v>
      </c>
      <c r="E3" s="18" t="s">
        <v>70</v>
      </c>
      <c r="F3" s="18" t="s">
        <v>71</v>
      </c>
      <c r="G3" s="32" t="s">
        <v>72</v>
      </c>
      <c r="H3" s="32" t="s">
        <v>73</v>
      </c>
      <c r="I3" s="32" t="s">
        <v>74</v>
      </c>
      <c r="J3" s="32" t="s">
        <v>75</v>
      </c>
      <c r="K3" s="32" t="s">
        <v>76</v>
      </c>
      <c r="L3" s="32">
        <v>1</v>
      </c>
      <c r="M3" s="32">
        <v>0</v>
      </c>
      <c r="N3" s="32">
        <v>0</v>
      </c>
      <c r="O3" s="32">
        <v>1</v>
      </c>
      <c r="P3" s="32">
        <v>0</v>
      </c>
      <c r="Q3" s="32">
        <v>0</v>
      </c>
      <c r="R3" s="32">
        <v>0</v>
      </c>
      <c r="S3" s="32">
        <v>0</v>
      </c>
      <c r="T3" s="32">
        <v>0</v>
      </c>
      <c r="U3" s="32">
        <v>1</v>
      </c>
      <c r="V3" s="32">
        <v>0</v>
      </c>
      <c r="W3" s="32">
        <v>0</v>
      </c>
      <c r="X3" s="32">
        <v>0</v>
      </c>
      <c r="Y3" s="32">
        <v>0</v>
      </c>
      <c r="Z3" s="32" t="s">
        <v>85</v>
      </c>
      <c r="AA3" s="32" t="s">
        <v>78</v>
      </c>
      <c r="AB3" s="7" t="s">
        <v>79</v>
      </c>
      <c r="AC3" s="7" t="s">
        <v>86</v>
      </c>
      <c r="AD3">
        <v>2.5539999999999998</v>
      </c>
      <c r="AE3">
        <v>2.5670000000000002</v>
      </c>
      <c r="AF3" t="s">
        <v>73</v>
      </c>
      <c r="AG3">
        <v>986</v>
      </c>
      <c r="AH3" t="s">
        <v>73</v>
      </c>
      <c r="AI3" t="s">
        <v>73</v>
      </c>
      <c r="AJ3">
        <v>118</v>
      </c>
      <c r="AK3" t="s">
        <v>73</v>
      </c>
      <c r="AL3">
        <v>1102</v>
      </c>
      <c r="AM3">
        <v>490994</v>
      </c>
      <c r="AN3">
        <v>0.1</v>
      </c>
      <c r="AO3">
        <v>1</v>
      </c>
      <c r="AP3">
        <f t="shared" si="0"/>
        <v>1.0050900548159751</v>
      </c>
      <c r="AQ3" t="s">
        <v>73</v>
      </c>
      <c r="AR3" t="s">
        <v>73</v>
      </c>
      <c r="AS3">
        <v>1</v>
      </c>
      <c r="AT3">
        <v>1</v>
      </c>
      <c r="AU3">
        <v>1</v>
      </c>
      <c r="AV3">
        <v>1</v>
      </c>
      <c r="AW3">
        <v>0</v>
      </c>
      <c r="AX3">
        <v>1</v>
      </c>
      <c r="AY3" t="s">
        <v>81</v>
      </c>
      <c r="AZ3">
        <v>8.4290000000000003</v>
      </c>
      <c r="BA3" s="36" t="s">
        <v>82</v>
      </c>
      <c r="BB3">
        <v>1</v>
      </c>
      <c r="BC3">
        <v>1</v>
      </c>
      <c r="BD3" t="s">
        <v>83</v>
      </c>
      <c r="BE3" t="s">
        <v>83</v>
      </c>
      <c r="BF3" t="s">
        <v>73</v>
      </c>
      <c r="BG3">
        <f t="shared" si="1"/>
        <v>34.76</v>
      </c>
      <c r="BH3" s="16">
        <f t="shared" si="2"/>
        <v>14.285714285714286</v>
      </c>
      <c r="BI3" s="30">
        <f t="shared" ref="BI3:BI9" si="4">BN3/(((BN3^2)+4)^1/2)</f>
        <v>2.3842548059692906E-3</v>
      </c>
      <c r="BJ3" s="30">
        <f>-BN3/(((BN3^2)+4)^1/2)</f>
        <v>-2.3842548059692906E-3</v>
      </c>
      <c r="BK3" s="30">
        <f>0.5*LN((1+BJ3)/(1-BJ3))</f>
        <v>-2.3842593238860717E-3</v>
      </c>
      <c r="BL3" s="30">
        <f t="shared" ref="BL3:BL9" si="5">((1-(BK3^2)^2)/(AL3-1))</f>
        <v>9.0826521341297393E-4</v>
      </c>
      <c r="BM3" s="30">
        <f t="shared" ref="BM3:BM9" si="6">1/(AL3-3)</f>
        <v>9.099181073703367E-4</v>
      </c>
      <c r="BN3">
        <f t="shared" ref="BN3:BN9" si="7">AP3*(((AG3+AJ3)/(AG3*AJ3))^1/2)</f>
        <v>4.7685367196549861E-3</v>
      </c>
      <c r="BO3" t="s">
        <v>87</v>
      </c>
    </row>
    <row r="4" spans="1:68" hidden="1">
      <c r="A4" s="32" t="s">
        <v>68</v>
      </c>
      <c r="B4" s="32">
        <f t="shared" si="3"/>
        <v>3</v>
      </c>
      <c r="C4" s="32">
        <v>1000</v>
      </c>
      <c r="D4" s="32" t="s">
        <v>69</v>
      </c>
      <c r="E4" s="18" t="s">
        <v>70</v>
      </c>
      <c r="F4" s="18" t="s">
        <v>71</v>
      </c>
      <c r="G4" s="32" t="s">
        <v>72</v>
      </c>
      <c r="H4" s="32" t="s">
        <v>73</v>
      </c>
      <c r="I4" s="32" t="s">
        <v>74</v>
      </c>
      <c r="J4" s="32" t="s">
        <v>75</v>
      </c>
      <c r="K4" s="32" t="s">
        <v>76</v>
      </c>
      <c r="L4" s="32">
        <v>1</v>
      </c>
      <c r="M4" s="32">
        <v>0</v>
      </c>
      <c r="N4" s="32">
        <v>0</v>
      </c>
      <c r="O4" s="32">
        <v>1</v>
      </c>
      <c r="P4" s="32">
        <v>0</v>
      </c>
      <c r="Q4" s="32">
        <v>0</v>
      </c>
      <c r="R4" s="32">
        <v>0</v>
      </c>
      <c r="S4" s="32">
        <v>0</v>
      </c>
      <c r="T4" s="32">
        <v>0</v>
      </c>
      <c r="U4" s="32">
        <v>0</v>
      </c>
      <c r="V4" s="32">
        <v>1</v>
      </c>
      <c r="W4" s="32">
        <v>0</v>
      </c>
      <c r="X4" s="32">
        <v>0</v>
      </c>
      <c r="Y4" s="32">
        <v>0</v>
      </c>
      <c r="Z4" s="32" t="s">
        <v>88</v>
      </c>
      <c r="AA4" s="32" t="s">
        <v>78</v>
      </c>
      <c r="AB4" s="7" t="s">
        <v>79</v>
      </c>
      <c r="AC4" s="7" t="s">
        <v>86</v>
      </c>
      <c r="AD4">
        <v>4.274</v>
      </c>
      <c r="AE4">
        <v>11.46</v>
      </c>
      <c r="AF4" t="s">
        <v>73</v>
      </c>
      <c r="AG4">
        <v>986</v>
      </c>
      <c r="AH4" t="s">
        <v>73</v>
      </c>
      <c r="AI4" t="s">
        <v>73</v>
      </c>
      <c r="AJ4">
        <v>118</v>
      </c>
      <c r="AK4" t="s">
        <v>73</v>
      </c>
      <c r="AL4">
        <v>1102</v>
      </c>
      <c r="AM4">
        <v>490994</v>
      </c>
      <c r="AN4">
        <v>0.01</v>
      </c>
      <c r="AO4">
        <v>3</v>
      </c>
      <c r="AP4">
        <f t="shared" si="0"/>
        <v>2.6813289658399628</v>
      </c>
      <c r="AQ4" t="s">
        <v>73</v>
      </c>
      <c r="AR4" t="s">
        <v>73</v>
      </c>
      <c r="AS4">
        <v>1</v>
      </c>
      <c r="AT4">
        <v>1</v>
      </c>
      <c r="AU4">
        <v>1</v>
      </c>
      <c r="AV4">
        <v>1</v>
      </c>
      <c r="AW4">
        <v>0</v>
      </c>
      <c r="AX4">
        <v>1</v>
      </c>
      <c r="AY4" t="s">
        <v>81</v>
      </c>
      <c r="AZ4">
        <v>8.4290000000000003</v>
      </c>
      <c r="BA4" s="36" t="s">
        <v>82</v>
      </c>
      <c r="BB4">
        <v>1</v>
      </c>
      <c r="BC4">
        <v>1</v>
      </c>
      <c r="BD4" t="s">
        <v>83</v>
      </c>
      <c r="BE4" t="s">
        <v>83</v>
      </c>
      <c r="BF4" t="s">
        <v>73</v>
      </c>
      <c r="BG4">
        <f t="shared" si="1"/>
        <v>34.76</v>
      </c>
      <c r="BH4" s="16">
        <f t="shared" si="2"/>
        <v>14.285714285714286</v>
      </c>
      <c r="BI4" s="30">
        <f t="shared" si="4"/>
        <v>6.3603745250294498E-3</v>
      </c>
      <c r="BJ4" s="30">
        <f>-BN4/(((BN4^2)+4)^1/2)</f>
        <v>-6.3603745250294498E-3</v>
      </c>
      <c r="BK4" s="30">
        <f t="shared" ref="BK4:BK9" si="8">0.5*LN((1+BJ4)/(1-BJ4))</f>
        <v>-6.360460295413573E-3</v>
      </c>
      <c r="BL4" s="30">
        <f t="shared" si="5"/>
        <v>9.0826521195581846E-4</v>
      </c>
      <c r="BM4" s="30">
        <f t="shared" si="6"/>
        <v>9.099181073703367E-4</v>
      </c>
      <c r="BN4">
        <f t="shared" si="7"/>
        <v>1.2721263701513214E-2</v>
      </c>
      <c r="BO4" t="s">
        <v>84</v>
      </c>
    </row>
    <row r="5" spans="1:68" hidden="1">
      <c r="A5" s="32" t="s">
        <v>68</v>
      </c>
      <c r="B5" s="32">
        <f t="shared" si="3"/>
        <v>4</v>
      </c>
      <c r="C5" s="32">
        <v>1000</v>
      </c>
      <c r="D5" s="32" t="s">
        <v>69</v>
      </c>
      <c r="E5" s="18" t="s">
        <v>70</v>
      </c>
      <c r="F5" s="18" t="s">
        <v>71</v>
      </c>
      <c r="G5" s="32" t="s">
        <v>72</v>
      </c>
      <c r="H5" s="32" t="s">
        <v>73</v>
      </c>
      <c r="I5" s="32" t="s">
        <v>74</v>
      </c>
      <c r="J5" s="32" t="s">
        <v>75</v>
      </c>
      <c r="K5" s="32" t="s">
        <v>76</v>
      </c>
      <c r="L5" s="32">
        <v>1</v>
      </c>
      <c r="M5" s="32">
        <v>0</v>
      </c>
      <c r="N5" s="32">
        <v>0</v>
      </c>
      <c r="O5" s="32">
        <v>1</v>
      </c>
      <c r="P5" s="32">
        <v>0</v>
      </c>
      <c r="Q5" s="32">
        <v>0</v>
      </c>
      <c r="R5" s="32">
        <v>0</v>
      </c>
      <c r="S5" s="32">
        <v>0</v>
      </c>
      <c r="T5" s="32">
        <v>0</v>
      </c>
      <c r="U5" s="32">
        <v>0</v>
      </c>
      <c r="V5" s="32">
        <v>1</v>
      </c>
      <c r="W5" s="32">
        <v>0</v>
      </c>
      <c r="X5" s="32">
        <v>0</v>
      </c>
      <c r="Y5" s="32">
        <v>0</v>
      </c>
      <c r="Z5" s="32" t="s">
        <v>89</v>
      </c>
      <c r="AA5" s="32" t="s">
        <v>78</v>
      </c>
      <c r="AB5" s="7" t="s">
        <v>79</v>
      </c>
      <c r="AC5" s="7" t="s">
        <v>86</v>
      </c>
      <c r="AD5">
        <v>2.3239999999999998</v>
      </c>
      <c r="AE5">
        <v>9.0109999999999992</v>
      </c>
      <c r="AF5" t="s">
        <v>73</v>
      </c>
      <c r="AG5">
        <v>986</v>
      </c>
      <c r="AH5" t="s">
        <v>73</v>
      </c>
      <c r="AI5" t="s">
        <v>73</v>
      </c>
      <c r="AJ5">
        <v>118</v>
      </c>
      <c r="AK5" t="s">
        <v>73</v>
      </c>
      <c r="AL5">
        <v>1102</v>
      </c>
      <c r="AM5">
        <v>490994</v>
      </c>
      <c r="AN5">
        <v>0.01</v>
      </c>
      <c r="AO5">
        <v>3</v>
      </c>
      <c r="AP5">
        <f t="shared" si="0"/>
        <v>3.8773666092943202</v>
      </c>
      <c r="AQ5" t="s">
        <v>73</v>
      </c>
      <c r="AR5" t="s">
        <v>73</v>
      </c>
      <c r="AS5">
        <v>1</v>
      </c>
      <c r="AT5">
        <v>1</v>
      </c>
      <c r="AU5">
        <v>1</v>
      </c>
      <c r="AV5">
        <v>1</v>
      </c>
      <c r="AW5">
        <v>0</v>
      </c>
      <c r="AX5">
        <v>1</v>
      </c>
      <c r="AY5" t="s">
        <v>81</v>
      </c>
      <c r="AZ5">
        <v>8.4290000000000003</v>
      </c>
      <c r="BA5" s="36" t="s">
        <v>82</v>
      </c>
      <c r="BB5">
        <v>1</v>
      </c>
      <c r="BC5">
        <v>1</v>
      </c>
      <c r="BD5" t="s">
        <v>83</v>
      </c>
      <c r="BE5" t="s">
        <v>83</v>
      </c>
      <c r="BF5" t="s">
        <v>73</v>
      </c>
      <c r="BG5">
        <f t="shared" si="1"/>
        <v>34.76</v>
      </c>
      <c r="BH5" s="16">
        <f t="shared" si="2"/>
        <v>14.285714285714286</v>
      </c>
      <c r="BI5" s="30">
        <f t="shared" si="4"/>
        <v>9.1970868093620775E-3</v>
      </c>
      <c r="BJ5" s="30">
        <f>-BN5/(((BN5^2)+4)^1/2)</f>
        <v>-9.1970868093620775E-3</v>
      </c>
      <c r="BK5" s="30">
        <f t="shared" si="8"/>
        <v>-9.1973461386959127E-3</v>
      </c>
      <c r="BL5" s="30">
        <f t="shared" si="5"/>
        <v>9.0826520694308171E-4</v>
      </c>
      <c r="BM5" s="30">
        <f t="shared" si="6"/>
        <v>9.099181073703367E-4</v>
      </c>
      <c r="BN5">
        <f t="shared" si="7"/>
        <v>1.8395729779028987E-2</v>
      </c>
      <c r="BO5" t="s">
        <v>84</v>
      </c>
    </row>
    <row r="6" spans="1:68" hidden="1">
      <c r="A6" s="32" t="s">
        <v>68</v>
      </c>
      <c r="B6" s="32">
        <f t="shared" si="3"/>
        <v>5</v>
      </c>
      <c r="C6" s="32">
        <v>1000</v>
      </c>
      <c r="D6" s="32" t="s">
        <v>69</v>
      </c>
      <c r="E6" s="18" t="s">
        <v>70</v>
      </c>
      <c r="F6" s="18" t="s">
        <v>71</v>
      </c>
      <c r="G6" s="32" t="s">
        <v>72</v>
      </c>
      <c r="H6" s="32" t="s">
        <v>73</v>
      </c>
      <c r="I6" s="32" t="s">
        <v>74</v>
      </c>
      <c r="J6" s="32" t="s">
        <v>75</v>
      </c>
      <c r="K6" s="32" t="s">
        <v>76</v>
      </c>
      <c r="L6" s="32">
        <v>1</v>
      </c>
      <c r="M6" s="32">
        <v>0</v>
      </c>
      <c r="N6" s="32">
        <v>0</v>
      </c>
      <c r="O6" s="32">
        <v>1</v>
      </c>
      <c r="P6" s="32">
        <v>0</v>
      </c>
      <c r="Q6" s="32">
        <v>0</v>
      </c>
      <c r="R6" s="32">
        <v>0</v>
      </c>
      <c r="S6" s="32">
        <v>0</v>
      </c>
      <c r="T6" s="32">
        <v>1</v>
      </c>
      <c r="U6" s="32">
        <v>0</v>
      </c>
      <c r="V6" s="32">
        <v>0</v>
      </c>
      <c r="W6" s="32">
        <v>0</v>
      </c>
      <c r="X6" s="32">
        <v>0</v>
      </c>
      <c r="Y6" s="32">
        <v>0</v>
      </c>
      <c r="Z6" s="32" t="s">
        <v>88</v>
      </c>
      <c r="AA6" s="32" t="s">
        <v>78</v>
      </c>
      <c r="AB6" s="7" t="s">
        <v>79</v>
      </c>
      <c r="AC6" s="7" t="s">
        <v>80</v>
      </c>
      <c r="AD6">
        <v>2.153</v>
      </c>
      <c r="AE6">
        <v>8.8439999999999994</v>
      </c>
      <c r="AF6" t="s">
        <v>73</v>
      </c>
      <c r="AG6">
        <v>986</v>
      </c>
      <c r="AH6" t="s">
        <v>73</v>
      </c>
      <c r="AI6" t="s">
        <v>73</v>
      </c>
      <c r="AJ6">
        <v>118</v>
      </c>
      <c r="AK6" t="s">
        <v>73</v>
      </c>
      <c r="AL6">
        <v>1102</v>
      </c>
      <c r="AM6">
        <v>490994</v>
      </c>
      <c r="AN6">
        <v>0.01</v>
      </c>
      <c r="AO6">
        <v>3</v>
      </c>
      <c r="AP6">
        <f t="shared" si="0"/>
        <v>4.1077566186716208</v>
      </c>
      <c r="AQ6" t="s">
        <v>73</v>
      </c>
      <c r="AR6" t="s">
        <v>73</v>
      </c>
      <c r="AS6">
        <v>1</v>
      </c>
      <c r="AT6">
        <v>1</v>
      </c>
      <c r="AU6">
        <v>1</v>
      </c>
      <c r="AV6">
        <v>1</v>
      </c>
      <c r="AW6">
        <v>0</v>
      </c>
      <c r="AX6">
        <v>1</v>
      </c>
      <c r="AY6" t="s">
        <v>81</v>
      </c>
      <c r="AZ6">
        <v>8.4290000000000003</v>
      </c>
      <c r="BA6" s="36" t="s">
        <v>82</v>
      </c>
      <c r="BB6">
        <v>1</v>
      </c>
      <c r="BC6">
        <v>1</v>
      </c>
      <c r="BD6" t="s">
        <v>83</v>
      </c>
      <c r="BE6" t="s">
        <v>83</v>
      </c>
      <c r="BF6" t="s">
        <v>73</v>
      </c>
      <c r="BG6">
        <f xml:space="preserve"> 8 * 4.345</f>
        <v>34.76</v>
      </c>
      <c r="BH6" s="16">
        <f t="shared" si="2"/>
        <v>14.285714285714286</v>
      </c>
      <c r="BI6" s="30">
        <f t="shared" si="4"/>
        <v>9.7434694590755513E-3</v>
      </c>
      <c r="BJ6" s="30">
        <f>BN6/(((BN6^2)+4)^1/2)</f>
        <v>9.7434694590755513E-3</v>
      </c>
      <c r="BK6" s="30">
        <f t="shared" si="8"/>
        <v>9.7437778093708034E-3</v>
      </c>
      <c r="BL6" s="30">
        <f t="shared" si="5"/>
        <v>9.0826520525537455E-4</v>
      </c>
      <c r="BM6" s="30">
        <f t="shared" si="6"/>
        <v>9.099181073703367E-4</v>
      </c>
      <c r="BN6">
        <f t="shared" si="7"/>
        <v>1.9488789265881105E-2</v>
      </c>
      <c r="BO6" t="s">
        <v>84</v>
      </c>
    </row>
    <row r="7" spans="1:68" hidden="1">
      <c r="A7" s="32" t="s">
        <v>68</v>
      </c>
      <c r="B7" s="32">
        <f t="shared" si="3"/>
        <v>6</v>
      </c>
      <c r="C7" s="32">
        <v>1000</v>
      </c>
      <c r="D7" s="32" t="s">
        <v>69</v>
      </c>
      <c r="E7" s="18" t="s">
        <v>70</v>
      </c>
      <c r="F7" s="18" t="s">
        <v>71</v>
      </c>
      <c r="G7" s="32" t="s">
        <v>72</v>
      </c>
      <c r="H7" s="32" t="s">
        <v>73</v>
      </c>
      <c r="I7" s="32" t="s">
        <v>74</v>
      </c>
      <c r="J7" s="32" t="s">
        <v>75</v>
      </c>
      <c r="K7" s="32" t="s">
        <v>76</v>
      </c>
      <c r="L7" s="32">
        <v>1</v>
      </c>
      <c r="M7" s="32">
        <v>0</v>
      </c>
      <c r="N7" s="32">
        <v>0</v>
      </c>
      <c r="O7" s="32">
        <v>1</v>
      </c>
      <c r="P7" s="32">
        <v>0</v>
      </c>
      <c r="Q7" s="32">
        <v>0</v>
      </c>
      <c r="R7" s="32">
        <v>0</v>
      </c>
      <c r="S7" s="32">
        <v>0</v>
      </c>
      <c r="T7" s="32">
        <v>1</v>
      </c>
      <c r="U7" s="32">
        <v>0</v>
      </c>
      <c r="V7" s="32">
        <v>0</v>
      </c>
      <c r="W7" s="32">
        <v>0</v>
      </c>
      <c r="X7" s="32">
        <v>0</v>
      </c>
      <c r="Y7" s="32">
        <v>0</v>
      </c>
      <c r="Z7" s="32" t="s">
        <v>89</v>
      </c>
      <c r="AA7" s="32" t="s">
        <v>78</v>
      </c>
      <c r="AB7" s="7" t="s">
        <v>79</v>
      </c>
      <c r="AC7" s="7" t="s">
        <v>80</v>
      </c>
      <c r="AD7">
        <v>1.9810000000000001</v>
      </c>
      <c r="AE7">
        <v>8.673</v>
      </c>
      <c r="AF7" t="s">
        <v>73</v>
      </c>
      <c r="AG7">
        <v>986</v>
      </c>
      <c r="AH7" t="s">
        <v>73</v>
      </c>
      <c r="AI7" t="s">
        <v>73</v>
      </c>
      <c r="AJ7">
        <v>118</v>
      </c>
      <c r="AK7" t="s">
        <v>73</v>
      </c>
      <c r="AL7">
        <v>1102</v>
      </c>
      <c r="AM7">
        <v>490994</v>
      </c>
      <c r="AN7">
        <v>0.01</v>
      </c>
      <c r="AO7">
        <v>3</v>
      </c>
      <c r="AP7">
        <f t="shared" si="0"/>
        <v>4.3780918727915195</v>
      </c>
      <c r="AQ7" t="s">
        <v>73</v>
      </c>
      <c r="AR7" t="s">
        <v>73</v>
      </c>
      <c r="AS7">
        <v>1</v>
      </c>
      <c r="AT7">
        <v>1</v>
      </c>
      <c r="AU7">
        <v>1</v>
      </c>
      <c r="AV7">
        <v>1</v>
      </c>
      <c r="AW7">
        <v>0</v>
      </c>
      <c r="AX7">
        <v>1</v>
      </c>
      <c r="AY7" t="s">
        <v>81</v>
      </c>
      <c r="AZ7">
        <v>8.4290000000000003</v>
      </c>
      <c r="BA7" s="36" t="s">
        <v>82</v>
      </c>
      <c r="BB7">
        <v>1</v>
      </c>
      <c r="BC7">
        <v>1</v>
      </c>
      <c r="BD7" t="s">
        <v>83</v>
      </c>
      <c r="BE7" t="s">
        <v>83</v>
      </c>
      <c r="BF7" t="s">
        <v>73</v>
      </c>
      <c r="BG7">
        <f t="shared" si="1"/>
        <v>34.76</v>
      </c>
      <c r="BH7" s="16">
        <f t="shared" si="2"/>
        <v>14.285714285714286</v>
      </c>
      <c r="BI7" s="30">
        <f t="shared" si="4"/>
        <v>1.0384562133079813E-2</v>
      </c>
      <c r="BJ7" s="30">
        <f>BN7/(((BN7^2)+4)^1/2)</f>
        <v>1.0384562133079813E-2</v>
      </c>
      <c r="BK7" s="30">
        <f t="shared" si="8"/>
        <v>1.0384935444618987E-2</v>
      </c>
      <c r="BL7" s="30">
        <f t="shared" si="5"/>
        <v>9.0826520287833751E-4</v>
      </c>
      <c r="BM7" s="30">
        <f t="shared" si="6"/>
        <v>9.099181073703367E-4</v>
      </c>
      <c r="BN7">
        <f t="shared" si="7"/>
        <v>2.0771364473655917E-2</v>
      </c>
      <c r="BO7" t="s">
        <v>84</v>
      </c>
    </row>
    <row r="8" spans="1:68" hidden="1">
      <c r="A8" s="32" t="s">
        <v>68</v>
      </c>
      <c r="B8" s="32">
        <f t="shared" si="3"/>
        <v>7</v>
      </c>
      <c r="C8" s="32">
        <v>1000</v>
      </c>
      <c r="D8" s="32" t="s">
        <v>69</v>
      </c>
      <c r="E8" s="18" t="s">
        <v>70</v>
      </c>
      <c r="F8" s="18" t="s">
        <v>71</v>
      </c>
      <c r="G8" s="32" t="s">
        <v>72</v>
      </c>
      <c r="H8" s="32" t="s">
        <v>73</v>
      </c>
      <c r="I8" s="32" t="s">
        <v>74</v>
      </c>
      <c r="J8" s="32" t="s">
        <v>75</v>
      </c>
      <c r="K8" s="32" t="s">
        <v>76</v>
      </c>
      <c r="L8" s="32">
        <v>1</v>
      </c>
      <c r="M8" s="32">
        <v>0</v>
      </c>
      <c r="N8" s="32">
        <v>0</v>
      </c>
      <c r="O8" s="32">
        <v>1</v>
      </c>
      <c r="P8" s="32">
        <v>0</v>
      </c>
      <c r="Q8" s="32">
        <v>0</v>
      </c>
      <c r="R8" s="32">
        <v>0</v>
      </c>
      <c r="S8" s="32">
        <v>1</v>
      </c>
      <c r="T8" s="32">
        <v>0</v>
      </c>
      <c r="U8" s="32">
        <v>0</v>
      </c>
      <c r="V8" s="32">
        <v>0</v>
      </c>
      <c r="W8" s="32">
        <v>0</v>
      </c>
      <c r="X8" s="32">
        <v>0</v>
      </c>
      <c r="Y8" s="32">
        <v>0</v>
      </c>
      <c r="Z8" s="32" t="s">
        <v>88</v>
      </c>
      <c r="AA8" s="32" t="s">
        <v>78</v>
      </c>
      <c r="AB8" s="7" t="s">
        <v>79</v>
      </c>
      <c r="AC8" s="7" t="s">
        <v>80</v>
      </c>
      <c r="AD8">
        <v>3.9180000000000001</v>
      </c>
      <c r="AE8">
        <v>3.26</v>
      </c>
      <c r="AF8" t="s">
        <v>73</v>
      </c>
      <c r="AG8">
        <v>986</v>
      </c>
      <c r="AH8" t="s">
        <v>73</v>
      </c>
      <c r="AI8" t="s">
        <v>73</v>
      </c>
      <c r="AJ8">
        <v>118</v>
      </c>
      <c r="AK8" t="s">
        <v>73</v>
      </c>
      <c r="AL8">
        <v>1102</v>
      </c>
      <c r="AM8">
        <v>490994</v>
      </c>
      <c r="AN8">
        <v>0.1</v>
      </c>
      <c r="AO8">
        <v>1</v>
      </c>
      <c r="AP8">
        <f t="shared" si="0"/>
        <v>0.83205717202654406</v>
      </c>
      <c r="AQ8" t="s">
        <v>73</v>
      </c>
      <c r="AR8" t="s">
        <v>73</v>
      </c>
      <c r="AS8">
        <v>1</v>
      </c>
      <c r="AT8">
        <v>1</v>
      </c>
      <c r="AU8">
        <v>1</v>
      </c>
      <c r="AV8">
        <v>1</v>
      </c>
      <c r="AW8">
        <v>0</v>
      </c>
      <c r="AX8">
        <v>1</v>
      </c>
      <c r="AY8" t="s">
        <v>81</v>
      </c>
      <c r="AZ8">
        <v>8.4290000000000003</v>
      </c>
      <c r="BA8" s="36" t="s">
        <v>82</v>
      </c>
      <c r="BB8">
        <v>1</v>
      </c>
      <c r="BC8">
        <v>1</v>
      </c>
      <c r="BD8" t="s">
        <v>83</v>
      </c>
      <c r="BE8" t="s">
        <v>83</v>
      </c>
      <c r="BF8" t="s">
        <v>73</v>
      </c>
      <c r="BG8">
        <f t="shared" si="1"/>
        <v>34.76</v>
      </c>
      <c r="BH8" s="16">
        <f t="shared" si="2"/>
        <v>14.285714285714286</v>
      </c>
      <c r="BI8" s="30">
        <f t="shared" si="4"/>
        <v>1.9737931447071306E-3</v>
      </c>
      <c r="BJ8" s="30">
        <f>BN8/(((BN8^2)+4)^1/2)</f>
        <v>1.9737931447071306E-3</v>
      </c>
      <c r="BK8" s="30">
        <f t="shared" si="8"/>
        <v>1.9737957079199297E-3</v>
      </c>
      <c r="BL8" s="30">
        <f t="shared" si="5"/>
        <v>9.0826521342853971E-4</v>
      </c>
      <c r="BM8" s="30">
        <f t="shared" si="6"/>
        <v>9.099181073703367E-4</v>
      </c>
      <c r="BN8">
        <f t="shared" si="7"/>
        <v>3.9476016687751596E-3</v>
      </c>
      <c r="BO8" t="s">
        <v>87</v>
      </c>
    </row>
    <row r="9" spans="1:68" hidden="1">
      <c r="A9" s="32" t="s">
        <v>68</v>
      </c>
      <c r="B9" s="32">
        <f t="shared" si="3"/>
        <v>8</v>
      </c>
      <c r="C9" s="32">
        <v>1000</v>
      </c>
      <c r="D9" s="32" t="s">
        <v>69</v>
      </c>
      <c r="E9" s="18" t="s">
        <v>70</v>
      </c>
      <c r="F9" s="18" t="s">
        <v>71</v>
      </c>
      <c r="G9" s="32" t="s">
        <v>72</v>
      </c>
      <c r="H9" s="32" t="s">
        <v>73</v>
      </c>
      <c r="I9" s="32" t="s">
        <v>74</v>
      </c>
      <c r="J9" s="32" t="s">
        <v>75</v>
      </c>
      <c r="K9" s="32" t="s">
        <v>76</v>
      </c>
      <c r="L9" s="32">
        <v>1</v>
      </c>
      <c r="M9" s="32">
        <v>0</v>
      </c>
      <c r="N9" s="32">
        <v>0</v>
      </c>
      <c r="O9" s="32">
        <v>1</v>
      </c>
      <c r="P9" s="32">
        <v>0</v>
      </c>
      <c r="Q9" s="32">
        <v>0</v>
      </c>
      <c r="R9" s="32">
        <v>0</v>
      </c>
      <c r="S9" s="32">
        <v>1</v>
      </c>
      <c r="T9" s="32">
        <v>0</v>
      </c>
      <c r="U9" s="32">
        <v>0</v>
      </c>
      <c r="V9" s="32">
        <v>0</v>
      </c>
      <c r="W9" s="32">
        <v>0</v>
      </c>
      <c r="X9" s="32">
        <v>0</v>
      </c>
      <c r="Y9" s="32">
        <v>0</v>
      </c>
      <c r="Z9" s="32" t="s">
        <v>89</v>
      </c>
      <c r="AA9" s="32" t="s">
        <v>78</v>
      </c>
      <c r="AB9" s="7" t="s">
        <v>79</v>
      </c>
      <c r="AC9" s="7" t="s">
        <v>86</v>
      </c>
      <c r="AD9">
        <v>2.4710000000000001</v>
      </c>
      <c r="AE9">
        <v>3.79</v>
      </c>
      <c r="AF9" t="s">
        <v>73</v>
      </c>
      <c r="AG9">
        <v>986</v>
      </c>
      <c r="AH9" t="s">
        <v>73</v>
      </c>
      <c r="AI9" t="s">
        <v>73</v>
      </c>
      <c r="AJ9">
        <v>118</v>
      </c>
      <c r="AK9" t="s">
        <v>73</v>
      </c>
      <c r="AL9">
        <v>1102</v>
      </c>
      <c r="AM9">
        <v>490994</v>
      </c>
      <c r="AN9">
        <v>0.1</v>
      </c>
      <c r="AO9">
        <v>1</v>
      </c>
      <c r="AP9">
        <f t="shared" si="0"/>
        <v>1.5337919870497774</v>
      </c>
      <c r="AQ9" t="s">
        <v>73</v>
      </c>
      <c r="AR9" t="s">
        <v>73</v>
      </c>
      <c r="AS9">
        <v>1</v>
      </c>
      <c r="AT9">
        <v>1</v>
      </c>
      <c r="AU9">
        <v>1</v>
      </c>
      <c r="AV9">
        <v>1</v>
      </c>
      <c r="AW9">
        <v>0</v>
      </c>
      <c r="AX9">
        <v>1</v>
      </c>
      <c r="AY9" t="s">
        <v>81</v>
      </c>
      <c r="AZ9">
        <v>8.4290000000000003</v>
      </c>
      <c r="BA9" s="36" t="s">
        <v>82</v>
      </c>
      <c r="BB9">
        <v>1</v>
      </c>
      <c r="BC9">
        <v>1</v>
      </c>
      <c r="BD9" t="s">
        <v>83</v>
      </c>
      <c r="BE9" t="s">
        <v>83</v>
      </c>
      <c r="BF9" t="s">
        <v>73</v>
      </c>
      <c r="BG9">
        <f xml:space="preserve"> 8 * 4.345</f>
        <v>34.76</v>
      </c>
      <c r="BH9" s="16">
        <f t="shared" si="2"/>
        <v>14.285714285714286</v>
      </c>
      <c r="BI9" s="30">
        <f t="shared" si="4"/>
        <v>3.6384036198495772E-3</v>
      </c>
      <c r="BJ9" s="30">
        <f>-BN9/(((BN9^2)+4)^1/2)</f>
        <v>-3.6384036198495772E-3</v>
      </c>
      <c r="BK9" s="30">
        <f t="shared" si="8"/>
        <v>-3.6384196750163253E-3</v>
      </c>
      <c r="BL9" s="30">
        <f t="shared" si="5"/>
        <v>9.0826521328315416E-4</v>
      </c>
      <c r="BM9" s="30">
        <f t="shared" si="6"/>
        <v>9.099181073703367E-4</v>
      </c>
      <c r="BN9">
        <f t="shared" si="7"/>
        <v>7.276903572484934E-3</v>
      </c>
      <c r="BO9" t="s">
        <v>87</v>
      </c>
    </row>
    <row r="10" spans="1:68" hidden="1">
      <c r="A10" t="s">
        <v>68</v>
      </c>
      <c r="B10">
        <v>9</v>
      </c>
      <c r="C10">
        <v>1001</v>
      </c>
      <c r="D10" t="s">
        <v>90</v>
      </c>
      <c r="E10" t="s">
        <v>91</v>
      </c>
      <c r="F10" t="s">
        <v>92</v>
      </c>
      <c r="G10">
        <v>2016</v>
      </c>
      <c r="H10" t="s">
        <v>73</v>
      </c>
      <c r="I10">
        <v>16</v>
      </c>
      <c r="J10" t="s">
        <v>93</v>
      </c>
      <c r="K10" t="s">
        <v>94</v>
      </c>
      <c r="L10">
        <v>1</v>
      </c>
      <c r="M10">
        <v>1</v>
      </c>
      <c r="N10">
        <v>0</v>
      </c>
      <c r="O10">
        <v>0</v>
      </c>
      <c r="P10">
        <v>0</v>
      </c>
      <c r="Q10">
        <v>0</v>
      </c>
      <c r="R10">
        <v>0</v>
      </c>
      <c r="S10">
        <v>0</v>
      </c>
      <c r="T10">
        <v>0</v>
      </c>
      <c r="U10">
        <v>0</v>
      </c>
      <c r="V10">
        <v>0</v>
      </c>
      <c r="W10">
        <v>0</v>
      </c>
      <c r="X10">
        <v>1</v>
      </c>
      <c r="Y10">
        <v>0</v>
      </c>
      <c r="Z10" s="12" t="s">
        <v>95</v>
      </c>
      <c r="AA10" t="s">
        <v>78</v>
      </c>
      <c r="AB10" s="16">
        <v>0.55000000000000004</v>
      </c>
      <c r="AC10" s="7" t="s">
        <v>86</v>
      </c>
      <c r="AD10" s="17">
        <v>0.21199999999999999</v>
      </c>
      <c r="AE10" t="s">
        <v>73</v>
      </c>
      <c r="AF10">
        <f>(2.52+2.46)/2</f>
        <v>2.4900000000000002</v>
      </c>
      <c r="AG10">
        <v>37</v>
      </c>
      <c r="AH10" s="17">
        <v>2.4500000000000002</v>
      </c>
      <c r="AI10" t="s">
        <v>73</v>
      </c>
      <c r="AJ10">
        <v>76</v>
      </c>
      <c r="AK10" t="s">
        <v>73</v>
      </c>
      <c r="AL10">
        <v>389</v>
      </c>
      <c r="AM10">
        <v>389</v>
      </c>
      <c r="AN10">
        <v>0.05</v>
      </c>
      <c r="AO10">
        <v>3</v>
      </c>
      <c r="AP10">
        <f>AB10/AD10</f>
        <v>2.5943396226415096</v>
      </c>
      <c r="AQ10" t="s">
        <v>73</v>
      </c>
      <c r="AR10" s="17">
        <v>0.16800000000000001</v>
      </c>
      <c r="AS10">
        <v>1</v>
      </c>
      <c r="AT10">
        <v>0</v>
      </c>
      <c r="AU10">
        <v>1</v>
      </c>
      <c r="AV10">
        <v>1</v>
      </c>
      <c r="AW10">
        <v>1</v>
      </c>
      <c r="AX10">
        <v>0</v>
      </c>
      <c r="AY10" t="s">
        <v>96</v>
      </c>
      <c r="AZ10" s="17">
        <v>2.31</v>
      </c>
      <c r="BA10" t="s">
        <v>73</v>
      </c>
      <c r="BB10">
        <v>1</v>
      </c>
      <c r="BC10">
        <v>1</v>
      </c>
      <c r="BD10" t="s">
        <v>83</v>
      </c>
      <c r="BE10" t="s">
        <v>83</v>
      </c>
      <c r="BF10" t="s">
        <v>73</v>
      </c>
      <c r="BG10">
        <v>14</v>
      </c>
      <c r="BH10">
        <v>7</v>
      </c>
      <c r="BI10" s="30">
        <f>(((AP10^2)/(AP10^2+AL10))^1/2)</f>
        <v>8.5040152445929103E-3</v>
      </c>
      <c r="BJ10" s="30">
        <f>-(((AP10^2)/(AP10^2+AM10))^1/2)</f>
        <v>-8.5040152445929103E-3</v>
      </c>
      <c r="BK10" s="30">
        <f>0.5*LN((1+BJ10)/(1-BJ10))</f>
        <v>-8.5042202520602649E-3</v>
      </c>
      <c r="BL10" s="30">
        <f>((1-(BK10^2)^2)/(AL10-1))</f>
        <v>2.5773195741483576E-3</v>
      </c>
      <c r="BM10" s="30">
        <f>1/(AL10-3)</f>
        <v>2.5906735751295338E-3</v>
      </c>
      <c r="BO10" t="s">
        <v>84</v>
      </c>
    </row>
    <row r="11" spans="1:68" hidden="1">
      <c r="A11" t="s">
        <v>68</v>
      </c>
      <c r="B11">
        <f>B10+1</f>
        <v>10</v>
      </c>
      <c r="C11">
        <v>1001</v>
      </c>
      <c r="D11" t="s">
        <v>90</v>
      </c>
      <c r="E11" t="s">
        <v>91</v>
      </c>
      <c r="F11" t="s">
        <v>92</v>
      </c>
      <c r="G11">
        <v>2016</v>
      </c>
      <c r="H11" t="s">
        <v>73</v>
      </c>
      <c r="I11">
        <v>16</v>
      </c>
      <c r="J11" t="s">
        <v>93</v>
      </c>
      <c r="K11" t="s">
        <v>94</v>
      </c>
      <c r="L11">
        <v>1</v>
      </c>
      <c r="M11">
        <v>1</v>
      </c>
      <c r="N11">
        <v>0</v>
      </c>
      <c r="O11">
        <v>0</v>
      </c>
      <c r="P11">
        <v>0</v>
      </c>
      <c r="Q11">
        <v>0</v>
      </c>
      <c r="R11">
        <v>0</v>
      </c>
      <c r="S11">
        <v>0</v>
      </c>
      <c r="T11">
        <v>0</v>
      </c>
      <c r="U11">
        <v>0</v>
      </c>
      <c r="V11">
        <v>0</v>
      </c>
      <c r="W11">
        <v>0</v>
      </c>
      <c r="X11">
        <v>1</v>
      </c>
      <c r="Y11">
        <v>0</v>
      </c>
      <c r="Z11" s="12" t="s">
        <v>97</v>
      </c>
      <c r="AA11" t="s">
        <v>78</v>
      </c>
      <c r="AB11" s="16">
        <v>0.17</v>
      </c>
      <c r="AC11" s="7" t="s">
        <v>86</v>
      </c>
      <c r="AD11" s="17">
        <v>0.183</v>
      </c>
      <c r="AE11" t="s">
        <v>73</v>
      </c>
      <c r="AF11">
        <f>(2.52+2.46)/2</f>
        <v>2.4900000000000002</v>
      </c>
      <c r="AG11">
        <v>37</v>
      </c>
      <c r="AH11" s="17">
        <v>2.4500000000000002</v>
      </c>
      <c r="AI11" t="s">
        <v>73</v>
      </c>
      <c r="AJ11">
        <v>138</v>
      </c>
      <c r="AK11" t="s">
        <v>73</v>
      </c>
      <c r="AL11">
        <v>389</v>
      </c>
      <c r="AM11">
        <v>389</v>
      </c>
      <c r="AN11">
        <v>0.1</v>
      </c>
      <c r="AO11" s="17">
        <v>1</v>
      </c>
      <c r="AP11">
        <f>AB11/AD11</f>
        <v>0.92896174863387981</v>
      </c>
      <c r="AQ11" t="s">
        <v>73</v>
      </c>
      <c r="AR11" s="17">
        <v>0.16800000000000001</v>
      </c>
      <c r="AS11">
        <v>1</v>
      </c>
      <c r="AT11">
        <v>0</v>
      </c>
      <c r="AU11">
        <v>1</v>
      </c>
      <c r="AV11">
        <v>1</v>
      </c>
      <c r="AW11">
        <v>1</v>
      </c>
      <c r="AX11">
        <v>0</v>
      </c>
      <c r="AY11" t="s">
        <v>96</v>
      </c>
      <c r="AZ11" s="17">
        <v>2.31</v>
      </c>
      <c r="BA11" t="s">
        <v>73</v>
      </c>
      <c r="BB11">
        <v>1</v>
      </c>
      <c r="BC11">
        <v>1</v>
      </c>
      <c r="BD11" t="s">
        <v>83</v>
      </c>
      <c r="BE11" t="s">
        <v>83</v>
      </c>
      <c r="BF11" t="s">
        <v>73</v>
      </c>
      <c r="BG11">
        <v>14</v>
      </c>
      <c r="BH11">
        <v>7</v>
      </c>
      <c r="BI11" s="30">
        <f>(((AP11^2)/(AP11^2+AL11))^1/2)</f>
        <v>1.1067605761313026E-3</v>
      </c>
      <c r="BJ11" s="30">
        <f>-(((AP11^2)/(AP11^2+AM11))^1/2)</f>
        <v>-1.1067605761313026E-3</v>
      </c>
      <c r="BK11" s="30">
        <f t="shared" ref="BK11:BK42" si="9">0.5*LN((1+BJ11)/(1-BJ11))</f>
        <v>-1.1067610280289801E-3</v>
      </c>
      <c r="BL11" s="30">
        <f t="shared" ref="BL11:BL40" si="10">((1-(BK11^2)^2)/(AL11-1))</f>
        <v>2.5773195876249988E-3</v>
      </c>
      <c r="BM11" s="30">
        <f t="shared" ref="BM11:BM40" si="11">1/(AL11-3)</f>
        <v>2.5906735751295338E-3</v>
      </c>
      <c r="BO11" t="s">
        <v>87</v>
      </c>
    </row>
    <row r="12" spans="1:68" hidden="1">
      <c r="A12" t="s">
        <v>68</v>
      </c>
      <c r="B12">
        <f>B11+1</f>
        <v>11</v>
      </c>
      <c r="C12">
        <v>1001</v>
      </c>
      <c r="D12" t="s">
        <v>90</v>
      </c>
      <c r="E12" t="s">
        <v>91</v>
      </c>
      <c r="F12" t="s">
        <v>92</v>
      </c>
      <c r="G12">
        <v>2016</v>
      </c>
      <c r="H12" t="s">
        <v>73</v>
      </c>
      <c r="I12">
        <v>16</v>
      </c>
      <c r="J12" t="s">
        <v>93</v>
      </c>
      <c r="K12" t="s">
        <v>94</v>
      </c>
      <c r="L12">
        <v>1</v>
      </c>
      <c r="M12">
        <v>1</v>
      </c>
      <c r="N12">
        <v>0</v>
      </c>
      <c r="O12">
        <v>0</v>
      </c>
      <c r="P12">
        <v>0</v>
      </c>
      <c r="Q12">
        <v>0</v>
      </c>
      <c r="R12">
        <v>0</v>
      </c>
      <c r="S12">
        <v>0</v>
      </c>
      <c r="T12">
        <v>0</v>
      </c>
      <c r="U12">
        <v>0</v>
      </c>
      <c r="V12">
        <v>0</v>
      </c>
      <c r="W12">
        <v>0</v>
      </c>
      <c r="X12">
        <v>1</v>
      </c>
      <c r="Y12">
        <v>0</v>
      </c>
      <c r="Z12" s="12" t="s">
        <v>98</v>
      </c>
      <c r="AA12" t="s">
        <v>78</v>
      </c>
      <c r="AB12">
        <v>0.41899999999999998</v>
      </c>
      <c r="AC12" s="7" t="s">
        <v>86</v>
      </c>
      <c r="AD12" s="17">
        <v>0.215</v>
      </c>
      <c r="AE12" t="s">
        <v>73</v>
      </c>
      <c r="AF12">
        <f>(2.52+2.46)/2</f>
        <v>2.4900000000000002</v>
      </c>
      <c r="AG12">
        <v>37</v>
      </c>
      <c r="AH12" s="17">
        <v>2.4500000000000002</v>
      </c>
      <c r="AI12" t="s">
        <v>73</v>
      </c>
      <c r="AJ12">
        <v>138</v>
      </c>
      <c r="AK12" t="s">
        <v>73</v>
      </c>
      <c r="AL12">
        <v>389</v>
      </c>
      <c r="AM12">
        <v>389</v>
      </c>
      <c r="AN12">
        <v>0.1</v>
      </c>
      <c r="AO12">
        <v>3</v>
      </c>
      <c r="AP12">
        <f>AB12/AD12</f>
        <v>1.9488372093023256</v>
      </c>
      <c r="AQ12" t="s">
        <v>73</v>
      </c>
      <c r="AR12" s="17">
        <v>0.16800000000000001</v>
      </c>
      <c r="AS12">
        <v>1</v>
      </c>
      <c r="AT12">
        <v>0</v>
      </c>
      <c r="AU12">
        <v>1</v>
      </c>
      <c r="AV12">
        <v>1</v>
      </c>
      <c r="AW12">
        <v>1</v>
      </c>
      <c r="AX12">
        <v>0</v>
      </c>
      <c r="AY12" t="s">
        <v>96</v>
      </c>
      <c r="AZ12" s="17">
        <v>2.31</v>
      </c>
      <c r="BA12" t="s">
        <v>73</v>
      </c>
      <c r="BB12">
        <v>1</v>
      </c>
      <c r="BC12">
        <v>1</v>
      </c>
      <c r="BD12" t="s">
        <v>83</v>
      </c>
      <c r="BE12" t="s">
        <v>83</v>
      </c>
      <c r="BF12" t="s">
        <v>73</v>
      </c>
      <c r="BG12">
        <v>14</v>
      </c>
      <c r="BH12">
        <v>7</v>
      </c>
      <c r="BI12" s="30">
        <f>(((AP12^2)/(AP12^2+AL12))^1/2)</f>
        <v>4.8345037303893371E-3</v>
      </c>
      <c r="BJ12" s="30">
        <f>- (((AP12^2)/(AP12^2+AM12))^1/2)</f>
        <v>-4.8345037303893371E-3</v>
      </c>
      <c r="BK12" s="30">
        <f t="shared" si="9"/>
        <v>-4.8345413956116306E-3</v>
      </c>
      <c r="BL12" s="30">
        <f t="shared" si="10"/>
        <v>2.5773195862209088E-3</v>
      </c>
      <c r="BM12" s="30">
        <f t="shared" si="11"/>
        <v>2.5906735751295338E-3</v>
      </c>
      <c r="BO12" t="s">
        <v>84</v>
      </c>
    </row>
    <row r="13" spans="1:68" hidden="1">
      <c r="A13" t="s">
        <v>68</v>
      </c>
      <c r="B13">
        <v>12</v>
      </c>
      <c r="C13">
        <v>1002</v>
      </c>
      <c r="D13" t="s">
        <v>99</v>
      </c>
      <c r="E13" t="s">
        <v>100</v>
      </c>
      <c r="F13" t="s">
        <v>101</v>
      </c>
      <c r="G13" t="s">
        <v>102</v>
      </c>
      <c r="H13" t="s">
        <v>73</v>
      </c>
      <c r="I13">
        <v>37</v>
      </c>
      <c r="J13" t="s">
        <v>93</v>
      </c>
      <c r="K13" t="s">
        <v>76</v>
      </c>
      <c r="L13">
        <v>1</v>
      </c>
      <c r="M13">
        <v>1</v>
      </c>
      <c r="N13">
        <v>0</v>
      </c>
      <c r="O13">
        <v>0</v>
      </c>
      <c r="P13">
        <v>0</v>
      </c>
      <c r="Q13">
        <v>0</v>
      </c>
      <c r="R13">
        <v>0</v>
      </c>
      <c r="S13">
        <v>0</v>
      </c>
      <c r="T13">
        <v>0</v>
      </c>
      <c r="U13">
        <v>0</v>
      </c>
      <c r="V13">
        <v>1</v>
      </c>
      <c r="W13">
        <v>0</v>
      </c>
      <c r="X13">
        <v>0</v>
      </c>
      <c r="Y13">
        <v>0</v>
      </c>
      <c r="Z13" t="s">
        <v>103</v>
      </c>
      <c r="AA13" t="s">
        <v>78</v>
      </c>
      <c r="AB13" t="s">
        <v>73</v>
      </c>
      <c r="AC13" s="7" t="s">
        <v>86</v>
      </c>
      <c r="AD13" t="s">
        <v>73</v>
      </c>
      <c r="AE13">
        <v>20</v>
      </c>
      <c r="AF13" t="s">
        <v>73</v>
      </c>
      <c r="AG13" t="s">
        <v>73</v>
      </c>
      <c r="AH13" t="s">
        <v>73</v>
      </c>
      <c r="AI13" t="s">
        <v>73</v>
      </c>
      <c r="AJ13" t="s">
        <v>73</v>
      </c>
      <c r="AK13" t="s">
        <v>73</v>
      </c>
      <c r="AL13">
        <v>102</v>
      </c>
      <c r="AM13">
        <f>7120+1879</f>
        <v>8999</v>
      </c>
      <c r="AN13">
        <v>0.1</v>
      </c>
      <c r="AO13">
        <v>2</v>
      </c>
      <c r="AP13">
        <v>1.6598999999999999</v>
      </c>
      <c r="AQ13" t="s">
        <v>73</v>
      </c>
      <c r="AR13" t="s">
        <v>73</v>
      </c>
      <c r="AS13">
        <v>1</v>
      </c>
      <c r="AT13">
        <v>1</v>
      </c>
      <c r="AU13">
        <v>1</v>
      </c>
      <c r="AV13">
        <v>1</v>
      </c>
      <c r="AW13">
        <v>0</v>
      </c>
      <c r="AX13">
        <v>1</v>
      </c>
      <c r="AY13" t="s">
        <v>81</v>
      </c>
      <c r="AZ13">
        <v>0.28837000000000002</v>
      </c>
      <c r="BA13" t="s">
        <v>73</v>
      </c>
      <c r="BB13">
        <v>1</v>
      </c>
      <c r="BC13">
        <v>1</v>
      </c>
      <c r="BD13" t="s">
        <v>83</v>
      </c>
      <c r="BE13" t="s">
        <v>83</v>
      </c>
      <c r="BF13" t="s">
        <v>73</v>
      </c>
      <c r="BG13" s="31">
        <v>52.143000000000001</v>
      </c>
      <c r="BH13">
        <v>5</v>
      </c>
      <c r="BI13" s="30">
        <f>(((AP13^2)/(AP13^2+AL13))^1/2)</f>
        <v>1.3150975900023379E-2</v>
      </c>
      <c r="BJ13" s="30">
        <f>- (((AP13^2)/(AP13^2+AM13))^1/2)</f>
        <v>-1.5304059752610345E-4</v>
      </c>
      <c r="BK13" s="30">
        <f t="shared" si="9"/>
        <v>-1.5304059872088668E-4</v>
      </c>
      <c r="BL13" s="30">
        <f t="shared" si="10"/>
        <v>9.9009900990098959E-3</v>
      </c>
      <c r="BM13" s="30">
        <f t="shared" si="11"/>
        <v>1.0101010101010102E-2</v>
      </c>
    </row>
    <row r="14" spans="1:68" hidden="1">
      <c r="A14" t="s">
        <v>68</v>
      </c>
      <c r="B14">
        <v>13</v>
      </c>
      <c r="C14">
        <v>1002</v>
      </c>
      <c r="D14" t="s">
        <v>99</v>
      </c>
      <c r="E14" t="s">
        <v>100</v>
      </c>
      <c r="F14" t="s">
        <v>101</v>
      </c>
      <c r="G14" t="s">
        <v>102</v>
      </c>
      <c r="H14" t="s">
        <v>73</v>
      </c>
      <c r="I14">
        <v>37</v>
      </c>
      <c r="J14" t="s">
        <v>93</v>
      </c>
      <c r="K14" t="s">
        <v>76</v>
      </c>
      <c r="L14">
        <v>1</v>
      </c>
      <c r="M14">
        <v>1</v>
      </c>
      <c r="N14">
        <v>0</v>
      </c>
      <c r="O14">
        <v>0</v>
      </c>
      <c r="P14">
        <v>0</v>
      </c>
      <c r="Q14">
        <v>0</v>
      </c>
      <c r="R14">
        <v>0</v>
      </c>
      <c r="S14">
        <v>0</v>
      </c>
      <c r="T14">
        <v>0</v>
      </c>
      <c r="U14">
        <v>0</v>
      </c>
      <c r="V14">
        <v>1</v>
      </c>
      <c r="W14">
        <v>0</v>
      </c>
      <c r="X14">
        <v>0</v>
      </c>
      <c r="Y14">
        <v>0</v>
      </c>
      <c r="Z14" t="s">
        <v>104</v>
      </c>
      <c r="AA14" t="s">
        <v>78</v>
      </c>
      <c r="AB14" t="s">
        <v>73</v>
      </c>
      <c r="AC14" s="7" t="s">
        <v>86</v>
      </c>
      <c r="AD14" t="s">
        <v>73</v>
      </c>
      <c r="AE14">
        <v>5</v>
      </c>
      <c r="AF14" t="s">
        <v>73</v>
      </c>
      <c r="AG14" t="s">
        <v>73</v>
      </c>
      <c r="AH14" t="s">
        <v>73</v>
      </c>
      <c r="AI14" t="s">
        <v>73</v>
      </c>
      <c r="AJ14" t="s">
        <v>73</v>
      </c>
      <c r="AK14" t="s">
        <v>73</v>
      </c>
      <c r="AL14">
        <v>102</v>
      </c>
      <c r="AM14">
        <f>7120+1879</f>
        <v>8999</v>
      </c>
      <c r="AN14">
        <v>0.1</v>
      </c>
      <c r="AO14">
        <v>1</v>
      </c>
      <c r="AP14" t="s">
        <v>73</v>
      </c>
      <c r="AQ14" t="s">
        <v>73</v>
      </c>
      <c r="AR14" t="s">
        <v>73</v>
      </c>
      <c r="AS14">
        <v>1</v>
      </c>
      <c r="AT14">
        <v>1</v>
      </c>
      <c r="AU14">
        <v>1</v>
      </c>
      <c r="AV14">
        <v>1</v>
      </c>
      <c r="AW14">
        <v>0</v>
      </c>
      <c r="AX14">
        <v>1</v>
      </c>
      <c r="AY14" t="s">
        <v>81</v>
      </c>
      <c r="AZ14">
        <v>0.28837000000000002</v>
      </c>
      <c r="BA14" t="s">
        <v>73</v>
      </c>
      <c r="BB14">
        <v>1</v>
      </c>
      <c r="BC14">
        <v>1</v>
      </c>
      <c r="BD14" t="s">
        <v>83</v>
      </c>
      <c r="BE14" t="s">
        <v>83</v>
      </c>
      <c r="BF14" t="s">
        <v>73</v>
      </c>
      <c r="BG14" s="31">
        <v>52.143000000000001</v>
      </c>
      <c r="BH14">
        <v>12</v>
      </c>
      <c r="BI14" s="30">
        <v>0</v>
      </c>
      <c r="BJ14" s="30">
        <v>0</v>
      </c>
      <c r="BK14" s="30">
        <f t="shared" si="9"/>
        <v>0</v>
      </c>
      <c r="BL14" s="30">
        <f t="shared" si="10"/>
        <v>9.9009900990099011E-3</v>
      </c>
      <c r="BM14" s="30">
        <f t="shared" si="11"/>
        <v>1.0101010101010102E-2</v>
      </c>
    </row>
    <row r="15" spans="1:68" hidden="1">
      <c r="A15" t="s">
        <v>68</v>
      </c>
      <c r="B15">
        <f>B14+1</f>
        <v>14</v>
      </c>
      <c r="C15">
        <v>1002</v>
      </c>
      <c r="D15" t="s">
        <v>99</v>
      </c>
      <c r="E15" t="s">
        <v>100</v>
      </c>
      <c r="F15" t="s">
        <v>101</v>
      </c>
      <c r="G15" t="s">
        <v>102</v>
      </c>
      <c r="H15" t="s">
        <v>73</v>
      </c>
      <c r="I15">
        <v>37</v>
      </c>
      <c r="J15" t="s">
        <v>93</v>
      </c>
      <c r="K15" t="s">
        <v>76</v>
      </c>
      <c r="L15">
        <v>1</v>
      </c>
      <c r="M15">
        <v>1</v>
      </c>
      <c r="N15">
        <v>0</v>
      </c>
      <c r="O15">
        <v>0</v>
      </c>
      <c r="P15">
        <v>0</v>
      </c>
      <c r="Q15">
        <v>0</v>
      </c>
      <c r="R15">
        <v>0</v>
      </c>
      <c r="S15">
        <v>0</v>
      </c>
      <c r="T15">
        <v>0</v>
      </c>
      <c r="U15">
        <v>1</v>
      </c>
      <c r="V15">
        <v>0</v>
      </c>
      <c r="W15">
        <v>0</v>
      </c>
      <c r="X15">
        <v>0</v>
      </c>
      <c r="Y15">
        <v>0</v>
      </c>
      <c r="Z15" t="s">
        <v>103</v>
      </c>
      <c r="AA15" t="s">
        <v>78</v>
      </c>
      <c r="AB15" t="s">
        <v>73</v>
      </c>
      <c r="AC15" s="7" t="s">
        <v>86</v>
      </c>
      <c r="AD15" t="s">
        <v>73</v>
      </c>
      <c r="AE15" t="s">
        <v>73</v>
      </c>
      <c r="AF15" t="s">
        <v>73</v>
      </c>
      <c r="AG15" t="s">
        <v>73</v>
      </c>
      <c r="AH15" t="s">
        <v>73</v>
      </c>
      <c r="AI15" t="s">
        <v>73</v>
      </c>
      <c r="AJ15" t="s">
        <v>73</v>
      </c>
      <c r="AK15" t="s">
        <v>73</v>
      </c>
      <c r="AL15">
        <v>102</v>
      </c>
      <c r="AM15">
        <f>7120+1879</f>
        <v>8999</v>
      </c>
      <c r="AN15">
        <v>0.1</v>
      </c>
      <c r="AO15">
        <v>1</v>
      </c>
      <c r="AP15" t="s">
        <v>73</v>
      </c>
      <c r="AQ15" t="s">
        <v>73</v>
      </c>
      <c r="AR15" t="s">
        <v>73</v>
      </c>
      <c r="AS15">
        <v>1</v>
      </c>
      <c r="AT15">
        <v>1</v>
      </c>
      <c r="AU15">
        <v>1</v>
      </c>
      <c r="AV15">
        <v>1</v>
      </c>
      <c r="AW15">
        <v>0</v>
      </c>
      <c r="AX15">
        <v>1</v>
      </c>
      <c r="AY15" t="s">
        <v>81</v>
      </c>
      <c r="AZ15">
        <v>4.43337</v>
      </c>
      <c r="BA15" t="s">
        <v>73</v>
      </c>
      <c r="BB15">
        <v>1</v>
      </c>
      <c r="BC15">
        <v>1</v>
      </c>
      <c r="BD15" t="s">
        <v>83</v>
      </c>
      <c r="BE15" t="s">
        <v>83</v>
      </c>
      <c r="BF15" t="s">
        <v>73</v>
      </c>
      <c r="BG15" s="31">
        <v>52.143000000000001</v>
      </c>
      <c r="BH15">
        <v>5</v>
      </c>
      <c r="BI15" s="30">
        <v>0</v>
      </c>
      <c r="BJ15" s="30">
        <v>0</v>
      </c>
      <c r="BK15" s="30">
        <f t="shared" si="9"/>
        <v>0</v>
      </c>
      <c r="BL15" s="30">
        <f t="shared" si="10"/>
        <v>9.9009900990099011E-3</v>
      </c>
      <c r="BM15" s="30">
        <f t="shared" si="11"/>
        <v>1.0101010101010102E-2</v>
      </c>
    </row>
    <row r="16" spans="1:68" hidden="1">
      <c r="A16" t="s">
        <v>68</v>
      </c>
      <c r="B16">
        <f>B15+1</f>
        <v>15</v>
      </c>
      <c r="C16">
        <v>1002</v>
      </c>
      <c r="D16" t="s">
        <v>99</v>
      </c>
      <c r="E16" t="s">
        <v>100</v>
      </c>
      <c r="F16" t="s">
        <v>101</v>
      </c>
      <c r="G16" t="s">
        <v>102</v>
      </c>
      <c r="H16" t="s">
        <v>73</v>
      </c>
      <c r="I16">
        <v>37</v>
      </c>
      <c r="J16" t="s">
        <v>93</v>
      </c>
      <c r="K16" t="s">
        <v>76</v>
      </c>
      <c r="L16">
        <v>1</v>
      </c>
      <c r="M16">
        <v>1</v>
      </c>
      <c r="N16">
        <v>0</v>
      </c>
      <c r="O16">
        <v>0</v>
      </c>
      <c r="P16">
        <v>0</v>
      </c>
      <c r="Q16">
        <v>0</v>
      </c>
      <c r="R16">
        <v>0</v>
      </c>
      <c r="S16">
        <v>0</v>
      </c>
      <c r="T16">
        <v>0</v>
      </c>
      <c r="U16">
        <v>1</v>
      </c>
      <c r="V16">
        <v>0</v>
      </c>
      <c r="W16">
        <v>0</v>
      </c>
      <c r="X16">
        <v>0</v>
      </c>
      <c r="Y16">
        <v>0</v>
      </c>
      <c r="Z16" t="s">
        <v>104</v>
      </c>
      <c r="AA16" t="s">
        <v>78</v>
      </c>
      <c r="AB16" t="s">
        <v>73</v>
      </c>
      <c r="AC16" s="7" t="s">
        <v>86</v>
      </c>
      <c r="AD16" t="s">
        <v>73</v>
      </c>
      <c r="AE16">
        <v>25</v>
      </c>
      <c r="AF16" t="s">
        <v>73</v>
      </c>
      <c r="AG16" t="s">
        <v>73</v>
      </c>
      <c r="AH16" t="s">
        <v>73</v>
      </c>
      <c r="AI16" t="s">
        <v>73</v>
      </c>
      <c r="AJ16" t="s">
        <v>73</v>
      </c>
      <c r="AK16" t="s">
        <v>73</v>
      </c>
      <c r="AL16">
        <v>102</v>
      </c>
      <c r="AM16">
        <f>7120+1879</f>
        <v>8999</v>
      </c>
      <c r="AN16">
        <v>0.05</v>
      </c>
      <c r="AO16">
        <v>2</v>
      </c>
      <c r="AP16">
        <v>1.9835</v>
      </c>
      <c r="AQ16" t="s">
        <v>73</v>
      </c>
      <c r="AR16" t="s">
        <v>73</v>
      </c>
      <c r="AS16">
        <v>1</v>
      </c>
      <c r="AT16">
        <v>1</v>
      </c>
      <c r="AU16">
        <v>1</v>
      </c>
      <c r="AV16">
        <v>1</v>
      </c>
      <c r="AW16">
        <v>0</v>
      </c>
      <c r="AX16">
        <v>1</v>
      </c>
      <c r="AY16" t="s">
        <v>81</v>
      </c>
      <c r="AZ16">
        <v>4.43337</v>
      </c>
      <c r="BA16" t="s">
        <v>73</v>
      </c>
      <c r="BB16">
        <v>1</v>
      </c>
      <c r="BC16">
        <v>1</v>
      </c>
      <c r="BD16" t="s">
        <v>83</v>
      </c>
      <c r="BE16" t="s">
        <v>83</v>
      </c>
      <c r="BF16" t="s">
        <v>73</v>
      </c>
      <c r="BG16" s="31">
        <v>52.143000000000001</v>
      </c>
      <c r="BH16">
        <v>12</v>
      </c>
      <c r="BI16" s="30">
        <f>(((AP16^2)/(AP16^2+AL16))^1/2)</f>
        <v>1.8569402358829156E-2</v>
      </c>
      <c r="BJ16" s="30">
        <f>- (((AP16^2)/(AP16^2+AM16))^1/2)</f>
        <v>-2.1849944312748784E-4</v>
      </c>
      <c r="BK16" s="30">
        <f t="shared" si="9"/>
        <v>-2.1849944660474072E-4</v>
      </c>
      <c r="BL16" s="30">
        <f t="shared" si="10"/>
        <v>9.9009900990098786E-3</v>
      </c>
      <c r="BM16" s="30">
        <f t="shared" si="11"/>
        <v>1.0101010101010102E-2</v>
      </c>
    </row>
    <row r="17" spans="1:67" hidden="1">
      <c r="A17" t="s">
        <v>68</v>
      </c>
      <c r="B17">
        <v>16</v>
      </c>
      <c r="C17">
        <v>1003</v>
      </c>
      <c r="D17" t="s">
        <v>105</v>
      </c>
      <c r="E17" t="s">
        <v>106</v>
      </c>
      <c r="F17" t="s">
        <v>73</v>
      </c>
      <c r="G17">
        <v>1978</v>
      </c>
      <c r="H17" t="s">
        <v>73</v>
      </c>
      <c r="I17">
        <v>414</v>
      </c>
      <c r="J17" t="s">
        <v>107</v>
      </c>
      <c r="K17" t="s">
        <v>76</v>
      </c>
      <c r="L17">
        <v>1</v>
      </c>
      <c r="M17">
        <v>1</v>
      </c>
      <c r="N17">
        <v>0</v>
      </c>
      <c r="O17">
        <v>1</v>
      </c>
      <c r="P17">
        <v>0</v>
      </c>
      <c r="Q17">
        <v>0</v>
      </c>
      <c r="R17">
        <v>0</v>
      </c>
      <c r="S17">
        <v>0</v>
      </c>
      <c r="T17">
        <v>0</v>
      </c>
      <c r="U17">
        <v>0</v>
      </c>
      <c r="V17">
        <v>0</v>
      </c>
      <c r="W17">
        <v>0</v>
      </c>
      <c r="X17">
        <v>1</v>
      </c>
      <c r="Y17">
        <v>0</v>
      </c>
      <c r="Z17" t="s">
        <v>73</v>
      </c>
      <c r="AA17" t="s">
        <v>108</v>
      </c>
      <c r="AB17" t="s">
        <v>73</v>
      </c>
      <c r="AC17" s="7" t="s">
        <v>86</v>
      </c>
      <c r="AD17" t="s">
        <v>73</v>
      </c>
      <c r="AE17" t="s">
        <v>73</v>
      </c>
      <c r="AF17">
        <v>22.76</v>
      </c>
      <c r="AG17" t="s">
        <v>73</v>
      </c>
      <c r="AH17">
        <v>6.02</v>
      </c>
      <c r="AI17">
        <v>18.3</v>
      </c>
      <c r="AJ17" t="s">
        <v>73</v>
      </c>
      <c r="AK17">
        <v>2.96</v>
      </c>
      <c r="AL17">
        <v>40</v>
      </c>
      <c r="AM17">
        <f>3*4*AL17</f>
        <v>480</v>
      </c>
      <c r="AN17">
        <v>0.1</v>
      </c>
      <c r="AO17">
        <v>1</v>
      </c>
      <c r="AP17" t="s">
        <v>73</v>
      </c>
      <c r="AQ17">
        <f>AF17-AI17</f>
        <v>4.4600000000000009</v>
      </c>
      <c r="AR17" t="s">
        <v>73</v>
      </c>
      <c r="AS17">
        <v>1</v>
      </c>
      <c r="AT17">
        <v>0</v>
      </c>
      <c r="AU17">
        <v>0</v>
      </c>
      <c r="AV17">
        <v>1</v>
      </c>
      <c r="AW17">
        <v>0</v>
      </c>
      <c r="AX17">
        <v>1</v>
      </c>
      <c r="AY17" t="s">
        <v>81</v>
      </c>
      <c r="AZ17" s="32" t="s">
        <v>73</v>
      </c>
      <c r="BA17" t="s">
        <v>73</v>
      </c>
      <c r="BB17">
        <v>1</v>
      </c>
      <c r="BC17">
        <v>1</v>
      </c>
      <c r="BD17" t="s">
        <v>83</v>
      </c>
      <c r="BE17" t="s">
        <v>83</v>
      </c>
      <c r="BF17" t="s">
        <v>73</v>
      </c>
      <c r="BG17" t="s">
        <v>79</v>
      </c>
      <c r="BH17">
        <v>4</v>
      </c>
      <c r="BI17" s="30">
        <v>0</v>
      </c>
      <c r="BJ17" s="30">
        <v>0</v>
      </c>
      <c r="BK17" s="30">
        <f t="shared" si="9"/>
        <v>0</v>
      </c>
      <c r="BL17" s="30">
        <f t="shared" si="10"/>
        <v>2.564102564102564E-2</v>
      </c>
      <c r="BM17" s="30">
        <f t="shared" si="11"/>
        <v>2.7027027027027029E-2</v>
      </c>
    </row>
    <row r="18" spans="1:67" hidden="1">
      <c r="A18" t="s">
        <v>68</v>
      </c>
      <c r="B18">
        <f>B17+1</f>
        <v>17</v>
      </c>
      <c r="C18">
        <v>1003</v>
      </c>
      <c r="D18" t="s">
        <v>105</v>
      </c>
      <c r="E18" t="s">
        <v>106</v>
      </c>
      <c r="F18" t="s">
        <v>73</v>
      </c>
      <c r="G18">
        <v>1978</v>
      </c>
      <c r="H18" t="s">
        <v>73</v>
      </c>
      <c r="I18">
        <v>414</v>
      </c>
      <c r="J18" t="s">
        <v>107</v>
      </c>
      <c r="K18" t="s">
        <v>76</v>
      </c>
      <c r="L18">
        <v>1</v>
      </c>
      <c r="M18">
        <v>1</v>
      </c>
      <c r="N18">
        <v>0</v>
      </c>
      <c r="O18">
        <v>0</v>
      </c>
      <c r="P18">
        <v>0</v>
      </c>
      <c r="Q18">
        <v>0</v>
      </c>
      <c r="R18">
        <v>0</v>
      </c>
      <c r="S18">
        <v>0</v>
      </c>
      <c r="T18">
        <v>0</v>
      </c>
      <c r="U18">
        <v>0</v>
      </c>
      <c r="V18">
        <v>0</v>
      </c>
      <c r="W18">
        <v>0</v>
      </c>
      <c r="X18">
        <v>1</v>
      </c>
      <c r="Y18">
        <v>0</v>
      </c>
      <c r="Z18" t="s">
        <v>73</v>
      </c>
      <c r="AA18" t="s">
        <v>108</v>
      </c>
      <c r="AB18" t="s">
        <v>73</v>
      </c>
      <c r="AC18" s="7" t="s">
        <v>86</v>
      </c>
      <c r="AD18" t="s">
        <v>73</v>
      </c>
      <c r="AE18" t="s">
        <v>73</v>
      </c>
      <c r="AF18">
        <v>22.76</v>
      </c>
      <c r="AG18" t="s">
        <v>73</v>
      </c>
      <c r="AH18">
        <v>6.02</v>
      </c>
      <c r="AI18">
        <v>20.61</v>
      </c>
      <c r="AJ18" t="s">
        <v>73</v>
      </c>
      <c r="AK18">
        <v>5.69</v>
      </c>
      <c r="AL18">
        <v>40</v>
      </c>
      <c r="AM18">
        <f>3*4*AL18</f>
        <v>480</v>
      </c>
      <c r="AN18">
        <v>0.1</v>
      </c>
      <c r="AO18">
        <v>1</v>
      </c>
      <c r="AP18" t="s">
        <v>73</v>
      </c>
      <c r="AQ18">
        <f>AF18-AI18</f>
        <v>2.1500000000000021</v>
      </c>
      <c r="AR18" t="s">
        <v>73</v>
      </c>
      <c r="AS18">
        <v>1</v>
      </c>
      <c r="AT18">
        <v>0</v>
      </c>
      <c r="AU18">
        <v>0</v>
      </c>
      <c r="AV18">
        <v>1</v>
      </c>
      <c r="AW18">
        <v>0</v>
      </c>
      <c r="AX18">
        <v>1</v>
      </c>
      <c r="AY18" t="s">
        <v>81</v>
      </c>
      <c r="AZ18" s="32" t="s">
        <v>73</v>
      </c>
      <c r="BA18" t="s">
        <v>73</v>
      </c>
      <c r="BB18">
        <v>1</v>
      </c>
      <c r="BC18">
        <v>1</v>
      </c>
      <c r="BD18" t="s">
        <v>83</v>
      </c>
      <c r="BE18" t="s">
        <v>83</v>
      </c>
      <c r="BF18" t="s">
        <v>73</v>
      </c>
      <c r="BG18" t="s">
        <v>79</v>
      </c>
      <c r="BH18">
        <v>4</v>
      </c>
      <c r="BI18" s="30">
        <v>0</v>
      </c>
      <c r="BJ18" s="30">
        <v>0</v>
      </c>
      <c r="BK18" s="30">
        <f t="shared" si="9"/>
        <v>0</v>
      </c>
      <c r="BL18" s="30">
        <f t="shared" si="10"/>
        <v>2.564102564102564E-2</v>
      </c>
      <c r="BM18" s="30">
        <f t="shared" si="11"/>
        <v>2.7027027027027029E-2</v>
      </c>
    </row>
    <row r="19" spans="1:67" hidden="1">
      <c r="A19" t="s">
        <v>68</v>
      </c>
      <c r="B19">
        <f>B18+1</f>
        <v>18</v>
      </c>
      <c r="C19">
        <v>1003</v>
      </c>
      <c r="D19" t="s">
        <v>105</v>
      </c>
      <c r="E19" t="s">
        <v>106</v>
      </c>
      <c r="F19" t="s">
        <v>73</v>
      </c>
      <c r="G19">
        <v>1978</v>
      </c>
      <c r="H19" t="s">
        <v>73</v>
      </c>
      <c r="I19">
        <v>414</v>
      </c>
      <c r="J19" t="s">
        <v>107</v>
      </c>
      <c r="K19" t="s">
        <v>76</v>
      </c>
      <c r="L19">
        <v>1</v>
      </c>
      <c r="M19">
        <v>0</v>
      </c>
      <c r="N19">
        <v>0</v>
      </c>
      <c r="O19">
        <v>1</v>
      </c>
      <c r="P19">
        <v>0</v>
      </c>
      <c r="Q19">
        <v>0</v>
      </c>
      <c r="R19">
        <v>0</v>
      </c>
      <c r="S19">
        <v>0</v>
      </c>
      <c r="T19">
        <v>0</v>
      </c>
      <c r="U19">
        <v>0</v>
      </c>
      <c r="V19">
        <v>0</v>
      </c>
      <c r="W19">
        <v>0</v>
      </c>
      <c r="X19">
        <v>1</v>
      </c>
      <c r="Y19">
        <v>0</v>
      </c>
      <c r="Z19" t="s">
        <v>73</v>
      </c>
      <c r="AA19" t="s">
        <v>108</v>
      </c>
      <c r="AB19" t="s">
        <v>73</v>
      </c>
      <c r="AC19" s="7" t="s">
        <v>86</v>
      </c>
      <c r="AD19" t="s">
        <v>73</v>
      </c>
      <c r="AE19" t="s">
        <v>73</v>
      </c>
      <c r="AF19">
        <v>22.76</v>
      </c>
      <c r="AG19" t="s">
        <v>73</v>
      </c>
      <c r="AH19">
        <v>6.02</v>
      </c>
      <c r="AI19">
        <v>18.239999999999998</v>
      </c>
      <c r="AJ19" t="s">
        <v>73</v>
      </c>
      <c r="AK19">
        <v>4.5</v>
      </c>
      <c r="AL19">
        <v>40</v>
      </c>
      <c r="AM19">
        <f>3*4*AL19</f>
        <v>480</v>
      </c>
      <c r="AN19">
        <v>0.1</v>
      </c>
      <c r="AO19">
        <v>1</v>
      </c>
      <c r="AP19" t="s">
        <v>73</v>
      </c>
      <c r="AQ19">
        <f>AF19-AI19</f>
        <v>4.5200000000000031</v>
      </c>
      <c r="AR19" t="s">
        <v>73</v>
      </c>
      <c r="AS19">
        <v>1</v>
      </c>
      <c r="AT19">
        <v>0</v>
      </c>
      <c r="AU19">
        <v>0</v>
      </c>
      <c r="AV19">
        <v>1</v>
      </c>
      <c r="AW19">
        <v>0</v>
      </c>
      <c r="AX19">
        <v>1</v>
      </c>
      <c r="AY19" t="s">
        <v>81</v>
      </c>
      <c r="AZ19" s="32" t="s">
        <v>73</v>
      </c>
      <c r="BA19" t="s">
        <v>73</v>
      </c>
      <c r="BB19">
        <v>1</v>
      </c>
      <c r="BC19">
        <v>1</v>
      </c>
      <c r="BD19" t="s">
        <v>83</v>
      </c>
      <c r="BE19" t="s">
        <v>83</v>
      </c>
      <c r="BF19" t="s">
        <v>73</v>
      </c>
      <c r="BG19" t="s">
        <v>79</v>
      </c>
      <c r="BH19">
        <v>4</v>
      </c>
      <c r="BI19" s="30">
        <v>0</v>
      </c>
      <c r="BJ19" s="30">
        <v>0</v>
      </c>
      <c r="BK19" s="30">
        <f t="shared" si="9"/>
        <v>0</v>
      </c>
      <c r="BL19" s="30">
        <f t="shared" si="10"/>
        <v>2.564102564102564E-2</v>
      </c>
      <c r="BM19" s="30">
        <f t="shared" si="11"/>
        <v>2.7027027027027029E-2</v>
      </c>
    </row>
    <row r="20" spans="1:67" s="32" customFormat="1" hidden="1">
      <c r="A20" s="32" t="s">
        <v>68</v>
      </c>
      <c r="B20" s="32">
        <v>19</v>
      </c>
      <c r="C20" s="32">
        <v>1004</v>
      </c>
      <c r="D20" s="32" t="s">
        <v>109</v>
      </c>
      <c r="E20" s="32" t="s">
        <v>110</v>
      </c>
      <c r="F20" s="32" t="s">
        <v>111</v>
      </c>
      <c r="G20" s="32">
        <v>2011</v>
      </c>
      <c r="H20" s="32" t="s">
        <v>73</v>
      </c>
      <c r="I20" s="32">
        <v>647</v>
      </c>
      <c r="J20" s="32" t="s">
        <v>107</v>
      </c>
      <c r="K20" s="32" t="s">
        <v>112</v>
      </c>
      <c r="L20" s="32">
        <v>1</v>
      </c>
      <c r="M20">
        <v>0</v>
      </c>
      <c r="N20">
        <v>0</v>
      </c>
      <c r="O20" s="32">
        <v>1</v>
      </c>
      <c r="P20">
        <v>0</v>
      </c>
      <c r="Q20">
        <v>0</v>
      </c>
      <c r="R20">
        <v>0</v>
      </c>
      <c r="S20">
        <v>0</v>
      </c>
      <c r="T20">
        <v>0</v>
      </c>
      <c r="U20">
        <v>0</v>
      </c>
      <c r="V20">
        <v>0</v>
      </c>
      <c r="W20">
        <v>0</v>
      </c>
      <c r="X20">
        <v>1</v>
      </c>
      <c r="Y20">
        <v>0</v>
      </c>
      <c r="Z20" s="32" t="s">
        <v>73</v>
      </c>
      <c r="AA20" t="s">
        <v>113</v>
      </c>
      <c r="AB20" s="33" t="s">
        <v>73</v>
      </c>
      <c r="AC20" s="33" t="s">
        <v>86</v>
      </c>
      <c r="AD20" t="s">
        <v>73</v>
      </c>
      <c r="AE20" s="32">
        <v>5.6</v>
      </c>
      <c r="AF20" s="32" t="s">
        <v>73</v>
      </c>
      <c r="AG20" s="32" t="s">
        <v>73</v>
      </c>
      <c r="AH20" s="32" t="s">
        <v>73</v>
      </c>
      <c r="AI20" s="32" t="s">
        <v>73</v>
      </c>
      <c r="AJ20" s="32">
        <v>88</v>
      </c>
      <c r="AK20" s="32" t="s">
        <v>73</v>
      </c>
      <c r="AL20" s="32">
        <v>88</v>
      </c>
      <c r="AM20" s="32">
        <f>168*13</f>
        <v>2184</v>
      </c>
      <c r="AN20" s="32">
        <v>0.01</v>
      </c>
      <c r="AO20" s="32">
        <v>2</v>
      </c>
      <c r="AP20" s="32">
        <v>2.6328999999999998</v>
      </c>
      <c r="AQ20" s="32">
        <v>7.0000000000000007E-2</v>
      </c>
      <c r="AR20" s="32" t="s">
        <v>73</v>
      </c>
      <c r="AS20" s="32">
        <v>1</v>
      </c>
      <c r="AT20">
        <v>0</v>
      </c>
      <c r="AU20">
        <v>0</v>
      </c>
      <c r="AV20">
        <v>0</v>
      </c>
      <c r="AW20">
        <v>0</v>
      </c>
      <c r="AX20">
        <v>1</v>
      </c>
      <c r="AY20" s="32" t="s">
        <v>81</v>
      </c>
      <c r="AZ20" s="32" t="s">
        <v>73</v>
      </c>
      <c r="BA20" t="s">
        <v>73</v>
      </c>
      <c r="BB20">
        <v>1</v>
      </c>
      <c r="BC20">
        <v>1</v>
      </c>
      <c r="BD20" t="s">
        <v>83</v>
      </c>
      <c r="BE20" t="s">
        <v>83</v>
      </c>
      <c r="BF20" t="s">
        <v>73</v>
      </c>
      <c r="BG20" s="19">
        <f t="shared" ref="BG20:BH22" si="12" xml:space="preserve"> 3 * 4.345</f>
        <v>13.035</v>
      </c>
      <c r="BH20" s="19">
        <f t="shared" si="12"/>
        <v>13.035</v>
      </c>
      <c r="BI20" s="30">
        <f>(((AP20^2)/(AP20^2+AL20))^1/2)</f>
        <v>3.6511137184787101E-2</v>
      </c>
      <c r="BJ20" s="30">
        <f>- (((AP20^2)/(AP20^2+AM20))^1/2)</f>
        <v>-1.5820121062933097E-3</v>
      </c>
      <c r="BK20" s="30">
        <f t="shared" si="9"/>
        <v>-1.5820134260953714E-3</v>
      </c>
      <c r="BL20" s="30">
        <f t="shared" si="10"/>
        <v>1.149425287349122E-2</v>
      </c>
      <c r="BM20" s="30">
        <f t="shared" si="11"/>
        <v>1.1764705882352941E-2</v>
      </c>
    </row>
    <row r="21" spans="1:67" s="32" customFormat="1" hidden="1">
      <c r="A21" s="32" t="s">
        <v>68</v>
      </c>
      <c r="B21" s="32">
        <v>20</v>
      </c>
      <c r="C21" s="32">
        <v>1004</v>
      </c>
      <c r="D21" s="32" t="s">
        <v>109</v>
      </c>
      <c r="E21" s="32" t="s">
        <v>110</v>
      </c>
      <c r="F21" s="32" t="s">
        <v>111</v>
      </c>
      <c r="G21" s="32">
        <v>2011</v>
      </c>
      <c r="H21" s="32" t="s">
        <v>73</v>
      </c>
      <c r="I21" s="32">
        <v>647</v>
      </c>
      <c r="J21" s="32" t="s">
        <v>107</v>
      </c>
      <c r="K21" s="32" t="s">
        <v>112</v>
      </c>
      <c r="L21" s="32">
        <v>1</v>
      </c>
      <c r="M21">
        <v>0</v>
      </c>
      <c r="N21">
        <v>0</v>
      </c>
      <c r="O21" s="32">
        <v>1</v>
      </c>
      <c r="P21">
        <v>0</v>
      </c>
      <c r="Q21">
        <v>0</v>
      </c>
      <c r="R21">
        <v>0</v>
      </c>
      <c r="S21">
        <v>0</v>
      </c>
      <c r="T21">
        <v>0</v>
      </c>
      <c r="U21">
        <v>0</v>
      </c>
      <c r="V21">
        <v>0</v>
      </c>
      <c r="W21">
        <v>0</v>
      </c>
      <c r="X21">
        <v>1</v>
      </c>
      <c r="Y21">
        <v>0</v>
      </c>
      <c r="Z21" s="32" t="s">
        <v>73</v>
      </c>
      <c r="AA21" t="s">
        <v>114</v>
      </c>
      <c r="AB21" s="33" t="s">
        <v>73</v>
      </c>
      <c r="AC21" s="33" t="s">
        <v>86</v>
      </c>
      <c r="AD21" t="s">
        <v>73</v>
      </c>
      <c r="AE21" s="32">
        <v>17</v>
      </c>
      <c r="AF21" s="32" t="s">
        <v>73</v>
      </c>
      <c r="AG21" s="32" t="s">
        <v>73</v>
      </c>
      <c r="AH21" s="32" t="s">
        <v>73</v>
      </c>
      <c r="AI21" s="32" t="s">
        <v>73</v>
      </c>
      <c r="AJ21" s="32">
        <v>88</v>
      </c>
      <c r="AK21" s="32" t="s">
        <v>73</v>
      </c>
      <c r="AL21" s="32">
        <v>88</v>
      </c>
      <c r="AM21" s="32">
        <f>168*13</f>
        <v>2184</v>
      </c>
      <c r="AN21" s="32">
        <v>0.01</v>
      </c>
      <c r="AO21" s="32">
        <v>2</v>
      </c>
      <c r="AP21" s="32">
        <v>2.6328999999999998</v>
      </c>
      <c r="AQ21" s="32">
        <v>0.45</v>
      </c>
      <c r="AR21" s="32" t="s">
        <v>73</v>
      </c>
      <c r="AS21" s="32">
        <v>1</v>
      </c>
      <c r="AT21">
        <v>0</v>
      </c>
      <c r="AU21">
        <v>0</v>
      </c>
      <c r="AV21">
        <v>0</v>
      </c>
      <c r="AW21">
        <v>0</v>
      </c>
      <c r="AX21">
        <v>1</v>
      </c>
      <c r="AY21" s="32" t="s">
        <v>81</v>
      </c>
      <c r="AZ21" s="32" t="s">
        <v>73</v>
      </c>
      <c r="BA21" t="s">
        <v>73</v>
      </c>
      <c r="BB21">
        <v>1</v>
      </c>
      <c r="BC21">
        <v>1</v>
      </c>
      <c r="BD21" t="s">
        <v>83</v>
      </c>
      <c r="BE21" t="s">
        <v>83</v>
      </c>
      <c r="BF21" t="s">
        <v>73</v>
      </c>
      <c r="BG21" s="19">
        <f t="shared" si="12"/>
        <v>13.035</v>
      </c>
      <c r="BH21" s="19">
        <f t="shared" si="12"/>
        <v>13.035</v>
      </c>
      <c r="BI21" s="30">
        <f>(((AP21^2)/(AP21^2+AL21))^1/2)</f>
        <v>3.6511137184787101E-2</v>
      </c>
      <c r="BJ21" s="30">
        <f>- (((AP21^2)/(AP21^2+AM21))^1/2)</f>
        <v>-1.5820121062933097E-3</v>
      </c>
      <c r="BK21" s="30">
        <f t="shared" si="9"/>
        <v>-1.5820134260953714E-3</v>
      </c>
      <c r="BL21" s="30">
        <f t="shared" si="10"/>
        <v>1.149425287349122E-2</v>
      </c>
      <c r="BM21" s="30">
        <f t="shared" si="11"/>
        <v>1.1764705882352941E-2</v>
      </c>
    </row>
    <row r="22" spans="1:67" s="32" customFormat="1" hidden="1">
      <c r="A22" s="32" t="s">
        <v>68</v>
      </c>
      <c r="B22" s="32">
        <v>21</v>
      </c>
      <c r="C22" s="32">
        <v>1004</v>
      </c>
      <c r="D22" s="32" t="s">
        <v>109</v>
      </c>
      <c r="E22" s="32" t="s">
        <v>110</v>
      </c>
      <c r="F22" s="32" t="s">
        <v>111</v>
      </c>
      <c r="G22" s="32">
        <v>2011</v>
      </c>
      <c r="H22" s="32" t="s">
        <v>73</v>
      </c>
      <c r="I22" s="32">
        <v>647</v>
      </c>
      <c r="J22" s="32" t="s">
        <v>107</v>
      </c>
      <c r="K22" s="32" t="s">
        <v>112</v>
      </c>
      <c r="L22" s="32">
        <v>1</v>
      </c>
      <c r="M22">
        <v>0</v>
      </c>
      <c r="N22">
        <v>0</v>
      </c>
      <c r="O22" s="32">
        <v>1</v>
      </c>
      <c r="P22">
        <v>0</v>
      </c>
      <c r="Q22">
        <v>0</v>
      </c>
      <c r="R22">
        <v>0</v>
      </c>
      <c r="S22">
        <v>0</v>
      </c>
      <c r="T22">
        <v>0</v>
      </c>
      <c r="U22">
        <v>0</v>
      </c>
      <c r="V22">
        <v>0</v>
      </c>
      <c r="W22">
        <v>0</v>
      </c>
      <c r="X22">
        <v>1</v>
      </c>
      <c r="Y22">
        <v>0</v>
      </c>
      <c r="Z22" s="32" t="s">
        <v>73</v>
      </c>
      <c r="AA22" t="s">
        <v>115</v>
      </c>
      <c r="AB22" s="33" t="s">
        <v>73</v>
      </c>
      <c r="AC22" s="33" t="s">
        <v>86</v>
      </c>
      <c r="AD22" t="s">
        <v>73</v>
      </c>
      <c r="AE22" s="32">
        <v>38</v>
      </c>
      <c r="AF22" s="32" t="s">
        <v>73</v>
      </c>
      <c r="AG22" s="32" t="s">
        <v>73</v>
      </c>
      <c r="AH22" s="32" t="s">
        <v>73</v>
      </c>
      <c r="AI22" s="32" t="s">
        <v>73</v>
      </c>
      <c r="AJ22" s="32">
        <v>88</v>
      </c>
      <c r="AK22" s="32" t="s">
        <v>73</v>
      </c>
      <c r="AL22" s="32">
        <v>88</v>
      </c>
      <c r="AM22" s="32">
        <f>168*13</f>
        <v>2184</v>
      </c>
      <c r="AN22" s="32">
        <v>0.01</v>
      </c>
      <c r="AO22" s="32">
        <v>2</v>
      </c>
      <c r="AP22" s="32">
        <v>2.6328999999999998</v>
      </c>
      <c r="AQ22" s="32">
        <v>0.98</v>
      </c>
      <c r="AR22" s="32" t="s">
        <v>73</v>
      </c>
      <c r="AS22" s="32">
        <v>1</v>
      </c>
      <c r="AT22">
        <v>0</v>
      </c>
      <c r="AU22">
        <v>0</v>
      </c>
      <c r="AV22">
        <v>0</v>
      </c>
      <c r="AW22">
        <v>0</v>
      </c>
      <c r="AX22">
        <v>1</v>
      </c>
      <c r="AY22" s="32" t="s">
        <v>81</v>
      </c>
      <c r="AZ22" s="32" t="s">
        <v>73</v>
      </c>
      <c r="BA22" t="s">
        <v>73</v>
      </c>
      <c r="BB22">
        <v>1</v>
      </c>
      <c r="BC22">
        <v>1</v>
      </c>
      <c r="BD22" t="s">
        <v>83</v>
      </c>
      <c r="BE22" t="s">
        <v>83</v>
      </c>
      <c r="BF22" t="s">
        <v>73</v>
      </c>
      <c r="BG22" s="19">
        <f t="shared" si="12"/>
        <v>13.035</v>
      </c>
      <c r="BH22" s="19">
        <f t="shared" si="12"/>
        <v>13.035</v>
      </c>
      <c r="BI22" s="30">
        <f>(((AP22^2)/(AP22^2+AL22))^1/2)</f>
        <v>3.6511137184787101E-2</v>
      </c>
      <c r="BJ22" s="30">
        <f>- (((AP22^2)/(AP22^2+AM22))^1/2)</f>
        <v>-1.5820121062933097E-3</v>
      </c>
      <c r="BK22" s="30">
        <f t="shared" si="9"/>
        <v>-1.5820134260953714E-3</v>
      </c>
      <c r="BL22" s="30">
        <f t="shared" si="10"/>
        <v>1.149425287349122E-2</v>
      </c>
      <c r="BM22" s="30">
        <f t="shared" si="11"/>
        <v>1.1764705882352941E-2</v>
      </c>
    </row>
    <row r="23" spans="1:67" hidden="1">
      <c r="A23" t="s">
        <v>68</v>
      </c>
      <c r="B23">
        <v>22</v>
      </c>
      <c r="C23">
        <v>1005</v>
      </c>
      <c r="D23" t="s">
        <v>116</v>
      </c>
      <c r="E23" t="s">
        <v>117</v>
      </c>
      <c r="F23" t="s">
        <v>118</v>
      </c>
      <c r="G23" t="s">
        <v>119</v>
      </c>
      <c r="H23" t="s">
        <v>73</v>
      </c>
      <c r="J23" t="s">
        <v>120</v>
      </c>
      <c r="K23" t="s">
        <v>76</v>
      </c>
      <c r="L23">
        <v>1</v>
      </c>
      <c r="M23">
        <v>0</v>
      </c>
      <c r="N23">
        <v>0</v>
      </c>
      <c r="O23">
        <v>1</v>
      </c>
      <c r="P23">
        <v>0</v>
      </c>
      <c r="Q23">
        <v>0</v>
      </c>
      <c r="R23">
        <v>0</v>
      </c>
      <c r="S23">
        <v>0</v>
      </c>
      <c r="T23">
        <v>0</v>
      </c>
      <c r="U23">
        <v>0</v>
      </c>
      <c r="V23">
        <v>0</v>
      </c>
      <c r="W23">
        <v>0</v>
      </c>
      <c r="X23">
        <v>1</v>
      </c>
      <c r="Y23">
        <v>0</v>
      </c>
      <c r="Z23" t="s">
        <v>121</v>
      </c>
      <c r="AA23" t="s">
        <v>122</v>
      </c>
      <c r="AB23" s="7">
        <v>0</v>
      </c>
      <c r="AC23" s="7" t="s">
        <v>86</v>
      </c>
      <c r="AD23">
        <v>0.06</v>
      </c>
      <c r="AE23" t="s">
        <v>73</v>
      </c>
      <c r="AF23" t="s">
        <v>73</v>
      </c>
      <c r="AG23">
        <v>153</v>
      </c>
      <c r="AI23" s="32" t="s">
        <v>73</v>
      </c>
      <c r="AJ23">
        <v>154</v>
      </c>
      <c r="AK23" t="s">
        <v>73</v>
      </c>
      <c r="AL23">
        <v>691</v>
      </c>
      <c r="AM23">
        <v>691</v>
      </c>
      <c r="AN23" t="s">
        <v>123</v>
      </c>
      <c r="AO23">
        <v>3</v>
      </c>
      <c r="AP23">
        <f t="shared" ref="AP23:AP28" si="13">AB23/AD23</f>
        <v>0</v>
      </c>
      <c r="AQ23" t="s">
        <v>73</v>
      </c>
      <c r="AR23" t="s">
        <v>73</v>
      </c>
      <c r="AS23">
        <v>1</v>
      </c>
      <c r="AT23">
        <v>0</v>
      </c>
      <c r="AU23">
        <v>1</v>
      </c>
      <c r="AV23">
        <v>1</v>
      </c>
      <c r="AW23">
        <v>1</v>
      </c>
      <c r="AX23">
        <v>0</v>
      </c>
      <c r="AY23" t="s">
        <v>124</v>
      </c>
      <c r="AZ23">
        <v>16.23</v>
      </c>
      <c r="BA23" t="s">
        <v>73</v>
      </c>
      <c r="BB23">
        <v>1</v>
      </c>
      <c r="BC23">
        <v>1</v>
      </c>
      <c r="BD23" t="s">
        <v>83</v>
      </c>
      <c r="BE23" t="s">
        <v>83</v>
      </c>
      <c r="BF23" t="s">
        <v>73</v>
      </c>
      <c r="BG23" t="s">
        <v>79</v>
      </c>
      <c r="BH23" t="s">
        <v>79</v>
      </c>
      <c r="BI23" s="30">
        <f>(((AP23^2)/(AP23^2+AL23))^1/2)</f>
        <v>0</v>
      </c>
      <c r="BJ23" s="30">
        <f>- (((AP23^2)/(AP23^2+AM23))^1/2)</f>
        <v>0</v>
      </c>
      <c r="BK23" s="30">
        <f t="shared" si="9"/>
        <v>0</v>
      </c>
      <c r="BL23" s="30">
        <f t="shared" si="10"/>
        <v>1.4492753623188406E-3</v>
      </c>
      <c r="BM23" s="30">
        <f t="shared" si="11"/>
        <v>1.4534883720930232E-3</v>
      </c>
      <c r="BO23" t="s">
        <v>87</v>
      </c>
    </row>
    <row r="24" spans="1:67" hidden="1">
      <c r="A24" t="s">
        <v>68</v>
      </c>
      <c r="B24">
        <v>23</v>
      </c>
      <c r="C24">
        <v>1005</v>
      </c>
      <c r="D24" t="s">
        <v>116</v>
      </c>
      <c r="E24" t="s">
        <v>117</v>
      </c>
      <c r="F24" t="s">
        <v>118</v>
      </c>
      <c r="G24" t="s">
        <v>119</v>
      </c>
      <c r="H24" t="s">
        <v>73</v>
      </c>
      <c r="J24" t="s">
        <v>120</v>
      </c>
      <c r="K24" t="s">
        <v>76</v>
      </c>
      <c r="L24">
        <v>1</v>
      </c>
      <c r="M24">
        <v>0</v>
      </c>
      <c r="N24">
        <v>0</v>
      </c>
      <c r="O24">
        <v>1</v>
      </c>
      <c r="P24">
        <v>0</v>
      </c>
      <c r="Q24">
        <v>0</v>
      </c>
      <c r="R24">
        <v>0</v>
      </c>
      <c r="S24">
        <v>0</v>
      </c>
      <c r="T24">
        <v>0</v>
      </c>
      <c r="U24">
        <v>1</v>
      </c>
      <c r="V24">
        <v>0</v>
      </c>
      <c r="W24">
        <v>0</v>
      </c>
      <c r="X24">
        <v>0</v>
      </c>
      <c r="Y24">
        <v>0</v>
      </c>
      <c r="Z24" t="s">
        <v>121</v>
      </c>
      <c r="AA24" t="s">
        <v>122</v>
      </c>
      <c r="AB24" s="7">
        <v>0.08</v>
      </c>
      <c r="AC24" s="7" t="s">
        <v>80</v>
      </c>
      <c r="AD24">
        <v>0.06</v>
      </c>
      <c r="AE24" t="s">
        <v>73</v>
      </c>
      <c r="AF24" t="s">
        <v>73</v>
      </c>
      <c r="AG24">
        <v>153</v>
      </c>
      <c r="AI24" t="s">
        <v>73</v>
      </c>
      <c r="AJ24">
        <v>154</v>
      </c>
      <c r="AK24" t="s">
        <v>73</v>
      </c>
      <c r="AL24">
        <v>691</v>
      </c>
      <c r="AM24">
        <v>691</v>
      </c>
      <c r="AN24" t="s">
        <v>123</v>
      </c>
      <c r="AO24">
        <v>3</v>
      </c>
      <c r="AP24">
        <f t="shared" si="13"/>
        <v>1.3333333333333335</v>
      </c>
      <c r="AQ24" t="s">
        <v>73</v>
      </c>
      <c r="AR24" t="s">
        <v>73</v>
      </c>
      <c r="AS24">
        <v>1</v>
      </c>
      <c r="AT24">
        <v>0</v>
      </c>
      <c r="AU24">
        <v>1</v>
      </c>
      <c r="AV24">
        <v>1</v>
      </c>
      <c r="AW24">
        <v>1</v>
      </c>
      <c r="AX24">
        <v>0</v>
      </c>
      <c r="AY24" t="s">
        <v>124</v>
      </c>
      <c r="AZ24">
        <v>16.23</v>
      </c>
      <c r="BA24" t="s">
        <v>73</v>
      </c>
      <c r="BB24">
        <v>1</v>
      </c>
      <c r="BC24">
        <v>1</v>
      </c>
      <c r="BD24" t="s">
        <v>83</v>
      </c>
      <c r="BE24" t="s">
        <v>83</v>
      </c>
      <c r="BF24" t="s">
        <v>73</v>
      </c>
      <c r="BG24" t="s">
        <v>79</v>
      </c>
      <c r="BH24" t="s">
        <v>79</v>
      </c>
      <c r="BI24" s="30">
        <f t="shared" ref="BI24:BI32" si="14">(((AP24^2)/(AP24^2+AL24))^1/2)</f>
        <v>1.2830793905372897E-3</v>
      </c>
      <c r="BJ24" s="30">
        <f t="shared" ref="BJ24:BJ32" si="15">(((AP24^2)/(AP24^2+AM24))^1/2)</f>
        <v>1.2830793905372897E-3</v>
      </c>
      <c r="BK24" s="30">
        <f t="shared" si="9"/>
        <v>1.283080094646139E-3</v>
      </c>
      <c r="BL24" s="30">
        <f t="shared" si="10"/>
        <v>1.4492753623149127E-3</v>
      </c>
      <c r="BM24" s="30">
        <f t="shared" si="11"/>
        <v>1.4534883720930232E-3</v>
      </c>
      <c r="BO24" t="s">
        <v>87</v>
      </c>
    </row>
    <row r="25" spans="1:67" hidden="1">
      <c r="A25" t="s">
        <v>68</v>
      </c>
      <c r="B25">
        <v>24</v>
      </c>
      <c r="C25">
        <v>1005</v>
      </c>
      <c r="D25" t="s">
        <v>116</v>
      </c>
      <c r="E25" t="s">
        <v>117</v>
      </c>
      <c r="F25" t="s">
        <v>118</v>
      </c>
      <c r="G25" t="s">
        <v>119</v>
      </c>
      <c r="H25" t="s">
        <v>73</v>
      </c>
      <c r="J25" t="s">
        <v>120</v>
      </c>
      <c r="K25" t="s">
        <v>76</v>
      </c>
      <c r="L25">
        <v>1</v>
      </c>
      <c r="M25">
        <v>0</v>
      </c>
      <c r="N25">
        <v>0</v>
      </c>
      <c r="O25">
        <v>1</v>
      </c>
      <c r="P25">
        <v>0</v>
      </c>
      <c r="Q25">
        <v>0</v>
      </c>
      <c r="R25">
        <v>0</v>
      </c>
      <c r="S25">
        <v>1</v>
      </c>
      <c r="T25">
        <v>0</v>
      </c>
      <c r="U25">
        <v>0</v>
      </c>
      <c r="V25">
        <v>0</v>
      </c>
      <c r="W25">
        <v>0</v>
      </c>
      <c r="X25">
        <v>0</v>
      </c>
      <c r="Y25">
        <v>0</v>
      </c>
      <c r="Z25" t="s">
        <v>121</v>
      </c>
      <c r="AA25" t="s">
        <v>122</v>
      </c>
      <c r="AB25" s="7">
        <v>0.03</v>
      </c>
      <c r="AC25" s="7" t="s">
        <v>86</v>
      </c>
      <c r="AD25">
        <v>0.03</v>
      </c>
      <c r="AE25" t="s">
        <v>73</v>
      </c>
      <c r="AF25" t="s">
        <v>73</v>
      </c>
      <c r="AG25">
        <v>153</v>
      </c>
      <c r="AI25" t="s">
        <v>73</v>
      </c>
      <c r="AJ25">
        <v>154</v>
      </c>
      <c r="AK25" t="s">
        <v>73</v>
      </c>
      <c r="AL25">
        <v>691</v>
      </c>
      <c r="AM25">
        <v>691</v>
      </c>
      <c r="AN25" t="s">
        <v>123</v>
      </c>
      <c r="AO25">
        <v>3</v>
      </c>
      <c r="AP25">
        <f t="shared" si="13"/>
        <v>1</v>
      </c>
      <c r="AQ25" t="s">
        <v>73</v>
      </c>
      <c r="AR25" t="s">
        <v>73</v>
      </c>
      <c r="AS25">
        <v>1</v>
      </c>
      <c r="AT25">
        <v>0</v>
      </c>
      <c r="AU25">
        <v>1</v>
      </c>
      <c r="AV25">
        <v>1</v>
      </c>
      <c r="AW25">
        <v>1</v>
      </c>
      <c r="AX25">
        <v>0</v>
      </c>
      <c r="AY25" t="s">
        <v>124</v>
      </c>
      <c r="AZ25">
        <v>16.23</v>
      </c>
      <c r="BA25" t="s">
        <v>73</v>
      </c>
      <c r="BB25">
        <v>1</v>
      </c>
      <c r="BC25">
        <v>1</v>
      </c>
      <c r="BD25" t="s">
        <v>83</v>
      </c>
      <c r="BE25" t="s">
        <v>83</v>
      </c>
      <c r="BF25" t="s">
        <v>73</v>
      </c>
      <c r="BG25" t="s">
        <v>79</v>
      </c>
      <c r="BH25" t="s">
        <v>79</v>
      </c>
      <c r="BI25" s="30">
        <f t="shared" si="14"/>
        <v>7.2254335260115603E-4</v>
      </c>
      <c r="BJ25" s="30">
        <f>- (((AP25^2)/(AP25^2+AM25))^1/2)</f>
        <v>-7.2254335260115603E-4</v>
      </c>
      <c r="BK25" s="30">
        <f t="shared" si="9"/>
        <v>-7.2254347834034267E-4</v>
      </c>
      <c r="BL25" s="30">
        <f t="shared" si="10"/>
        <v>1.4492753623184455E-3</v>
      </c>
      <c r="BM25" s="30">
        <f t="shared" si="11"/>
        <v>1.4534883720930232E-3</v>
      </c>
      <c r="BO25" t="s">
        <v>87</v>
      </c>
    </row>
    <row r="26" spans="1:67" hidden="1">
      <c r="A26" t="s">
        <v>68</v>
      </c>
      <c r="B26">
        <v>25</v>
      </c>
      <c r="C26">
        <v>1005</v>
      </c>
      <c r="D26" t="s">
        <v>116</v>
      </c>
      <c r="E26" t="s">
        <v>117</v>
      </c>
      <c r="F26" t="s">
        <v>118</v>
      </c>
      <c r="G26" t="s">
        <v>119</v>
      </c>
      <c r="H26" t="s">
        <v>73</v>
      </c>
      <c r="J26" t="s">
        <v>120</v>
      </c>
      <c r="K26" t="s">
        <v>76</v>
      </c>
      <c r="L26">
        <v>1</v>
      </c>
      <c r="M26">
        <v>0</v>
      </c>
      <c r="N26">
        <v>0</v>
      </c>
      <c r="O26">
        <v>1</v>
      </c>
      <c r="P26">
        <v>0</v>
      </c>
      <c r="Q26">
        <v>0</v>
      </c>
      <c r="R26">
        <v>0</v>
      </c>
      <c r="S26">
        <v>0</v>
      </c>
      <c r="T26">
        <v>0</v>
      </c>
      <c r="U26">
        <v>0</v>
      </c>
      <c r="V26">
        <v>0</v>
      </c>
      <c r="W26">
        <v>0</v>
      </c>
      <c r="X26">
        <v>1</v>
      </c>
      <c r="Y26">
        <v>0</v>
      </c>
      <c r="Z26" t="s">
        <v>125</v>
      </c>
      <c r="AA26" t="s">
        <v>122</v>
      </c>
      <c r="AB26" s="7">
        <v>0.13</v>
      </c>
      <c r="AC26" s="7" t="s">
        <v>80</v>
      </c>
      <c r="AD26">
        <v>0.05</v>
      </c>
      <c r="AE26" t="s">
        <v>73</v>
      </c>
      <c r="AF26" t="s">
        <v>73</v>
      </c>
      <c r="AG26">
        <v>153</v>
      </c>
      <c r="AI26" t="s">
        <v>73</v>
      </c>
      <c r="AJ26">
        <v>384</v>
      </c>
      <c r="AK26" t="s">
        <v>73</v>
      </c>
      <c r="AL26">
        <v>691</v>
      </c>
      <c r="AM26">
        <v>691</v>
      </c>
      <c r="AN26" t="s">
        <v>123</v>
      </c>
      <c r="AO26">
        <v>3</v>
      </c>
      <c r="AP26">
        <f t="shared" si="13"/>
        <v>2.6</v>
      </c>
      <c r="AQ26" t="s">
        <v>73</v>
      </c>
      <c r="AR26" t="s">
        <v>73</v>
      </c>
      <c r="AS26">
        <v>1</v>
      </c>
      <c r="AT26">
        <v>0</v>
      </c>
      <c r="AU26">
        <v>1</v>
      </c>
      <c r="AV26">
        <v>1</v>
      </c>
      <c r="AW26">
        <v>1</v>
      </c>
      <c r="AX26">
        <v>0</v>
      </c>
      <c r="AY26" t="s">
        <v>124</v>
      </c>
      <c r="AZ26">
        <v>16.23</v>
      </c>
      <c r="BA26" t="s">
        <v>73</v>
      </c>
      <c r="BB26">
        <v>1</v>
      </c>
      <c r="BC26">
        <v>1</v>
      </c>
      <c r="BD26" t="s">
        <v>83</v>
      </c>
      <c r="BE26" t="s">
        <v>83</v>
      </c>
      <c r="BF26" t="s">
        <v>73</v>
      </c>
      <c r="BG26" t="s">
        <v>79</v>
      </c>
      <c r="BH26" t="s">
        <v>79</v>
      </c>
      <c r="BI26" s="30">
        <f t="shared" si="14"/>
        <v>4.8440724604448529E-3</v>
      </c>
      <c r="BJ26" s="30">
        <f t="shared" si="15"/>
        <v>4.8440724604448529E-3</v>
      </c>
      <c r="BK26" s="30">
        <f t="shared" si="9"/>
        <v>4.8441103497597737E-3</v>
      </c>
      <c r="BL26" s="30">
        <f t="shared" si="10"/>
        <v>1.4492753615208331E-3</v>
      </c>
      <c r="BM26" s="30">
        <f t="shared" si="11"/>
        <v>1.4534883720930232E-3</v>
      </c>
      <c r="BO26" t="s">
        <v>84</v>
      </c>
    </row>
    <row r="27" spans="1:67" hidden="1">
      <c r="A27" t="s">
        <v>68</v>
      </c>
      <c r="B27">
        <v>26</v>
      </c>
      <c r="C27">
        <v>1005</v>
      </c>
      <c r="D27" t="s">
        <v>116</v>
      </c>
      <c r="E27" t="s">
        <v>117</v>
      </c>
      <c r="F27" t="s">
        <v>118</v>
      </c>
      <c r="G27" t="s">
        <v>119</v>
      </c>
      <c r="H27" t="s">
        <v>73</v>
      </c>
      <c r="J27" t="s">
        <v>120</v>
      </c>
      <c r="K27" t="s">
        <v>76</v>
      </c>
      <c r="L27">
        <v>1</v>
      </c>
      <c r="M27">
        <v>0</v>
      </c>
      <c r="N27">
        <v>0</v>
      </c>
      <c r="O27">
        <v>1</v>
      </c>
      <c r="P27">
        <v>0</v>
      </c>
      <c r="Q27">
        <v>0</v>
      </c>
      <c r="R27">
        <v>0</v>
      </c>
      <c r="S27">
        <v>0</v>
      </c>
      <c r="T27">
        <v>0</v>
      </c>
      <c r="U27">
        <v>1</v>
      </c>
      <c r="V27">
        <v>0</v>
      </c>
      <c r="W27">
        <v>0</v>
      </c>
      <c r="X27">
        <v>0</v>
      </c>
      <c r="Y27">
        <v>0</v>
      </c>
      <c r="Z27" t="s">
        <v>125</v>
      </c>
      <c r="AA27" t="s">
        <v>122</v>
      </c>
      <c r="AB27" s="7">
        <v>0.15</v>
      </c>
      <c r="AC27" s="7" t="s">
        <v>80</v>
      </c>
      <c r="AD27">
        <v>0.05</v>
      </c>
      <c r="AE27" t="s">
        <v>73</v>
      </c>
      <c r="AF27" t="s">
        <v>73</v>
      </c>
      <c r="AG27">
        <v>153</v>
      </c>
      <c r="AI27" t="s">
        <v>73</v>
      </c>
      <c r="AJ27">
        <v>384</v>
      </c>
      <c r="AK27" t="s">
        <v>73</v>
      </c>
      <c r="AL27">
        <v>691</v>
      </c>
      <c r="AM27">
        <v>691</v>
      </c>
      <c r="AN27" t="s">
        <v>123</v>
      </c>
      <c r="AO27">
        <v>3</v>
      </c>
      <c r="AP27">
        <f t="shared" si="13"/>
        <v>2.9999999999999996</v>
      </c>
      <c r="AQ27" t="s">
        <v>73</v>
      </c>
      <c r="AR27" t="s">
        <v>73</v>
      </c>
      <c r="AS27">
        <v>1</v>
      </c>
      <c r="AT27">
        <v>0</v>
      </c>
      <c r="AU27">
        <v>1</v>
      </c>
      <c r="AV27">
        <v>1</v>
      </c>
      <c r="AW27">
        <v>1</v>
      </c>
      <c r="AX27">
        <v>0</v>
      </c>
      <c r="AY27" t="s">
        <v>124</v>
      </c>
      <c r="AZ27">
        <v>16.23</v>
      </c>
      <c r="BA27" t="s">
        <v>73</v>
      </c>
      <c r="BB27">
        <v>1</v>
      </c>
      <c r="BC27">
        <v>1</v>
      </c>
      <c r="BD27" t="s">
        <v>83</v>
      </c>
      <c r="BE27" t="s">
        <v>83</v>
      </c>
      <c r="BF27" t="s">
        <v>73</v>
      </c>
      <c r="BG27" t="s">
        <v>79</v>
      </c>
      <c r="BH27" t="s">
        <v>79</v>
      </c>
      <c r="BI27" s="30">
        <f t="shared" si="14"/>
        <v>6.4285714285714276E-3</v>
      </c>
      <c r="BJ27" s="30">
        <f t="shared" si="15"/>
        <v>6.4285714285714276E-3</v>
      </c>
      <c r="BK27" s="30">
        <f t="shared" si="9"/>
        <v>6.4286599876186967E-3</v>
      </c>
      <c r="BL27" s="30">
        <f t="shared" si="10"/>
        <v>1.4492753598435127E-3</v>
      </c>
      <c r="BM27" s="30">
        <f t="shared" si="11"/>
        <v>1.4534883720930232E-3</v>
      </c>
      <c r="BO27" t="s">
        <v>84</v>
      </c>
    </row>
    <row r="28" spans="1:67" hidden="1">
      <c r="A28" t="s">
        <v>68</v>
      </c>
      <c r="B28">
        <v>27</v>
      </c>
      <c r="C28">
        <v>1005</v>
      </c>
      <c r="D28" t="s">
        <v>116</v>
      </c>
      <c r="E28" t="s">
        <v>117</v>
      </c>
      <c r="F28" t="s">
        <v>118</v>
      </c>
      <c r="G28" t="s">
        <v>119</v>
      </c>
      <c r="H28" t="s">
        <v>73</v>
      </c>
      <c r="J28" t="s">
        <v>120</v>
      </c>
      <c r="K28" t="s">
        <v>76</v>
      </c>
      <c r="L28">
        <v>1</v>
      </c>
      <c r="M28">
        <v>0</v>
      </c>
      <c r="N28">
        <v>0</v>
      </c>
      <c r="O28">
        <v>1</v>
      </c>
      <c r="P28">
        <v>0</v>
      </c>
      <c r="Q28">
        <v>0</v>
      </c>
      <c r="R28">
        <v>0</v>
      </c>
      <c r="S28">
        <v>1</v>
      </c>
      <c r="T28">
        <v>0</v>
      </c>
      <c r="U28">
        <v>0</v>
      </c>
      <c r="V28">
        <v>0</v>
      </c>
      <c r="W28">
        <v>0</v>
      </c>
      <c r="X28">
        <v>0</v>
      </c>
      <c r="Y28">
        <v>0</v>
      </c>
      <c r="Z28" t="s">
        <v>125</v>
      </c>
      <c r="AA28" t="s">
        <v>122</v>
      </c>
      <c r="AB28" s="7">
        <v>0.08</v>
      </c>
      <c r="AC28" s="7" t="s">
        <v>80</v>
      </c>
      <c r="AD28">
        <v>0.03</v>
      </c>
      <c r="AE28" t="s">
        <v>73</v>
      </c>
      <c r="AF28" t="s">
        <v>73</v>
      </c>
      <c r="AG28">
        <v>153</v>
      </c>
      <c r="AI28" t="s">
        <v>73</v>
      </c>
      <c r="AJ28">
        <v>384</v>
      </c>
      <c r="AK28" t="s">
        <v>73</v>
      </c>
      <c r="AL28">
        <v>691</v>
      </c>
      <c r="AM28">
        <v>691</v>
      </c>
      <c r="AN28" t="s">
        <v>123</v>
      </c>
      <c r="AO28">
        <v>3</v>
      </c>
      <c r="AP28">
        <f t="shared" si="13"/>
        <v>2.666666666666667</v>
      </c>
      <c r="AQ28" t="s">
        <v>73</v>
      </c>
      <c r="AR28" t="s">
        <v>73</v>
      </c>
      <c r="AS28">
        <v>1</v>
      </c>
      <c r="AT28">
        <v>0</v>
      </c>
      <c r="AU28">
        <v>1</v>
      </c>
      <c r="AV28">
        <v>1</v>
      </c>
      <c r="AW28">
        <v>1</v>
      </c>
      <c r="AX28">
        <v>0</v>
      </c>
      <c r="AY28" t="s">
        <v>124</v>
      </c>
      <c r="AZ28">
        <v>16.23</v>
      </c>
      <c r="BA28" t="s">
        <v>73</v>
      </c>
      <c r="BB28">
        <v>1</v>
      </c>
      <c r="BC28">
        <v>1</v>
      </c>
      <c r="BD28" t="s">
        <v>83</v>
      </c>
      <c r="BE28" t="s">
        <v>83</v>
      </c>
      <c r="BF28" t="s">
        <v>73</v>
      </c>
      <c r="BG28" t="s">
        <v>79</v>
      </c>
      <c r="BH28" t="s">
        <v>79</v>
      </c>
      <c r="BI28" s="30">
        <f t="shared" si="14"/>
        <v>5.0931083877128773E-3</v>
      </c>
      <c r="BJ28" s="30">
        <f t="shared" si="15"/>
        <v>5.0931083877128773E-3</v>
      </c>
      <c r="BK28" s="30">
        <f t="shared" si="9"/>
        <v>5.0931524263895488E-3</v>
      </c>
      <c r="BL28" s="30">
        <f t="shared" si="10"/>
        <v>1.4492753613436318E-3</v>
      </c>
      <c r="BM28" s="30">
        <f t="shared" si="11"/>
        <v>1.4534883720930232E-3</v>
      </c>
      <c r="BO28" t="s">
        <v>84</v>
      </c>
    </row>
    <row r="29" spans="1:67" s="41" customFormat="1">
      <c r="A29" s="41" t="s">
        <v>68</v>
      </c>
      <c r="B29" s="41">
        <v>28</v>
      </c>
      <c r="C29" s="41">
        <v>1006</v>
      </c>
      <c r="D29" s="41" t="s">
        <v>126</v>
      </c>
      <c r="E29" s="45" t="s">
        <v>127</v>
      </c>
      <c r="F29" s="41" t="s">
        <v>128</v>
      </c>
      <c r="G29" s="41" t="s">
        <v>129</v>
      </c>
      <c r="H29" s="41" t="s">
        <v>73</v>
      </c>
      <c r="I29" s="41">
        <v>222</v>
      </c>
      <c r="J29" s="41" t="s">
        <v>120</v>
      </c>
      <c r="K29" s="41" t="s">
        <v>94</v>
      </c>
      <c r="L29" s="41">
        <v>1</v>
      </c>
      <c r="M29" s="41">
        <v>0</v>
      </c>
      <c r="N29" s="41">
        <v>1</v>
      </c>
      <c r="O29" s="41">
        <v>0</v>
      </c>
      <c r="P29" s="41">
        <v>0</v>
      </c>
      <c r="Q29" s="41">
        <v>0</v>
      </c>
      <c r="R29" s="41">
        <v>0</v>
      </c>
      <c r="S29" s="41">
        <v>0</v>
      </c>
      <c r="T29" s="41">
        <v>1</v>
      </c>
      <c r="U29" s="41">
        <v>0</v>
      </c>
      <c r="V29" s="41">
        <v>0</v>
      </c>
      <c r="W29" s="41">
        <v>0</v>
      </c>
      <c r="X29" s="41">
        <v>0</v>
      </c>
      <c r="Y29" s="41">
        <v>0</v>
      </c>
      <c r="Z29" s="41" t="s">
        <v>73</v>
      </c>
      <c r="AA29" s="41" t="s">
        <v>130</v>
      </c>
      <c r="AB29" s="48">
        <v>11.4</v>
      </c>
      <c r="AC29" s="48" t="s">
        <v>86</v>
      </c>
      <c r="AD29" s="41">
        <v>0.7</v>
      </c>
      <c r="AE29" s="41" t="s">
        <v>73</v>
      </c>
      <c r="AF29" s="41" t="s">
        <v>73</v>
      </c>
      <c r="AG29" s="41" t="s">
        <v>73</v>
      </c>
      <c r="AH29" s="41" t="s">
        <v>73</v>
      </c>
      <c r="AI29" s="41" t="s">
        <v>73</v>
      </c>
      <c r="AJ29" s="41" t="s">
        <v>73</v>
      </c>
      <c r="AK29" s="41" t="s">
        <v>73</v>
      </c>
      <c r="AL29" s="41">
        <v>957080</v>
      </c>
      <c r="AM29" s="41">
        <v>957080</v>
      </c>
      <c r="AN29" s="41">
        <v>0.05</v>
      </c>
      <c r="AO29" s="41">
        <v>3</v>
      </c>
      <c r="AP29" s="41">
        <f>AB29/AD29</f>
        <v>16.285714285714288</v>
      </c>
      <c r="AQ29" s="41" t="s">
        <v>73</v>
      </c>
      <c r="AR29" s="41" t="s">
        <v>73</v>
      </c>
      <c r="AS29" s="41">
        <v>1</v>
      </c>
      <c r="AT29" s="41">
        <v>0</v>
      </c>
      <c r="AU29" s="41">
        <v>1</v>
      </c>
      <c r="AV29" s="41">
        <v>1</v>
      </c>
      <c r="AW29" s="41">
        <v>1</v>
      </c>
      <c r="AX29" s="41">
        <v>1</v>
      </c>
      <c r="AY29" s="41" t="s">
        <v>131</v>
      </c>
      <c r="AZ29" s="40">
        <f>395/30.417</f>
        <v>12.986159055791168</v>
      </c>
      <c r="BA29" s="41" t="s">
        <v>73</v>
      </c>
      <c r="BB29" s="41">
        <v>0</v>
      </c>
      <c r="BC29" s="41">
        <v>1</v>
      </c>
      <c r="BD29" s="41" t="s">
        <v>83</v>
      </c>
      <c r="BE29" s="41" t="s">
        <v>83</v>
      </c>
      <c r="BF29" s="41" t="s">
        <v>73</v>
      </c>
      <c r="BG29" s="52">
        <f xml:space="preserve"> 23 * 4.345</f>
        <v>99.934999999999988</v>
      </c>
      <c r="BH29" s="41">
        <v>0</v>
      </c>
      <c r="BI29" s="51">
        <f t="shared" si="14"/>
        <v>1.3852081935085967E-4</v>
      </c>
      <c r="BJ29" s="51">
        <f>- (((AP29^2)/(AP29^2+AM29))^1/2)</f>
        <v>-1.3852081935085967E-4</v>
      </c>
      <c r="BK29" s="51">
        <f t="shared" si="9"/>
        <v>-1.3852082023689679E-4</v>
      </c>
      <c r="BL29" s="51">
        <f t="shared" si="10"/>
        <v>1.0448458277738824E-6</v>
      </c>
      <c r="BM29" s="51">
        <f t="shared" si="11"/>
        <v>1.0448480111840532E-6</v>
      </c>
      <c r="BO29" s="41" t="s">
        <v>84</v>
      </c>
    </row>
    <row r="30" spans="1:67" s="41" customFormat="1">
      <c r="A30" s="41" t="s">
        <v>68</v>
      </c>
      <c r="B30" s="41">
        <f>B29+1</f>
        <v>29</v>
      </c>
      <c r="C30" s="41">
        <v>1006</v>
      </c>
      <c r="D30" s="41" t="s">
        <v>126</v>
      </c>
      <c r="E30" s="45" t="s">
        <v>127</v>
      </c>
      <c r="F30" s="41" t="s">
        <v>128</v>
      </c>
      <c r="G30" s="41" t="s">
        <v>129</v>
      </c>
      <c r="H30" s="41" t="s">
        <v>73</v>
      </c>
      <c r="I30" s="41">
        <v>222</v>
      </c>
      <c r="J30" s="41" t="s">
        <v>120</v>
      </c>
      <c r="K30" s="41" t="s">
        <v>94</v>
      </c>
      <c r="L30" s="41">
        <v>1</v>
      </c>
      <c r="M30" s="41">
        <v>0</v>
      </c>
      <c r="N30" s="41">
        <v>1</v>
      </c>
      <c r="O30" s="41">
        <v>0</v>
      </c>
      <c r="P30" s="41">
        <v>0</v>
      </c>
      <c r="Q30" s="41">
        <v>0</v>
      </c>
      <c r="R30" s="41">
        <v>0</v>
      </c>
      <c r="S30" s="41">
        <v>0</v>
      </c>
      <c r="T30" s="41">
        <v>1</v>
      </c>
      <c r="U30" s="41">
        <v>0</v>
      </c>
      <c r="V30" s="41">
        <v>0</v>
      </c>
      <c r="W30" s="41">
        <v>0</v>
      </c>
      <c r="X30" s="41">
        <v>0</v>
      </c>
      <c r="Y30" s="41">
        <v>0</v>
      </c>
      <c r="Z30" s="41" t="s">
        <v>73</v>
      </c>
      <c r="AA30" s="41" t="s">
        <v>130</v>
      </c>
      <c r="AB30" s="48">
        <v>11.9</v>
      </c>
      <c r="AC30" s="48" t="s">
        <v>86</v>
      </c>
      <c r="AD30" s="41">
        <v>0.75</v>
      </c>
      <c r="AE30" s="41" t="s">
        <v>73</v>
      </c>
      <c r="AF30" s="41" t="s">
        <v>73</v>
      </c>
      <c r="AG30" s="41" t="s">
        <v>73</v>
      </c>
      <c r="AH30" s="41" t="s">
        <v>73</v>
      </c>
      <c r="AI30" s="41" t="s">
        <v>73</v>
      </c>
      <c r="AJ30" s="41" t="s">
        <v>73</v>
      </c>
      <c r="AK30" s="41" t="s">
        <v>73</v>
      </c>
      <c r="AL30" s="41">
        <v>957080</v>
      </c>
      <c r="AM30" s="41">
        <v>957080</v>
      </c>
      <c r="AN30" s="41">
        <v>0.05</v>
      </c>
      <c r="AO30" s="41">
        <v>3</v>
      </c>
      <c r="AP30" s="41">
        <f>AB30/AD30</f>
        <v>15.866666666666667</v>
      </c>
      <c r="AQ30" s="41" t="s">
        <v>73</v>
      </c>
      <c r="AR30" s="41" t="s">
        <v>73</v>
      </c>
      <c r="AS30" s="41">
        <v>1</v>
      </c>
      <c r="AT30" s="41">
        <v>0</v>
      </c>
      <c r="AU30" s="41">
        <v>1</v>
      </c>
      <c r="AV30" s="41">
        <v>1</v>
      </c>
      <c r="AW30" s="41">
        <v>1</v>
      </c>
      <c r="AX30" s="41">
        <v>1</v>
      </c>
      <c r="AY30" s="41" t="s">
        <v>131</v>
      </c>
      <c r="AZ30" s="40">
        <f>395/30.417</f>
        <v>12.986159055791168</v>
      </c>
      <c r="BA30" s="41" t="s">
        <v>73</v>
      </c>
      <c r="BB30" s="41">
        <v>0</v>
      </c>
      <c r="BC30" s="41">
        <v>1</v>
      </c>
      <c r="BD30" s="41" t="s">
        <v>83</v>
      </c>
      <c r="BE30" s="41" t="s">
        <v>83</v>
      </c>
      <c r="BF30" s="41" t="s">
        <v>73</v>
      </c>
      <c r="BG30" s="52">
        <f xml:space="preserve"> 23 * 4.345</f>
        <v>99.934999999999988</v>
      </c>
      <c r="BH30" s="41">
        <v>0</v>
      </c>
      <c r="BI30" s="51">
        <f t="shared" si="14"/>
        <v>1.3148582548260852E-4</v>
      </c>
      <c r="BJ30" s="51">
        <f>- (((AP30^2)/(AP30^2+AM30))^1/2)</f>
        <v>-1.3148582548260852E-4</v>
      </c>
      <c r="BK30" s="51">
        <f t="shared" si="9"/>
        <v>-1.3148582624031952E-4</v>
      </c>
      <c r="BL30" s="51">
        <f t="shared" si="10"/>
        <v>1.0448458277738824E-6</v>
      </c>
      <c r="BM30" s="51">
        <f t="shared" si="11"/>
        <v>1.0448480111840532E-6</v>
      </c>
      <c r="BO30" s="41" t="s">
        <v>84</v>
      </c>
    </row>
    <row r="31" spans="1:67" s="41" customFormat="1">
      <c r="A31" s="41" t="s">
        <v>68</v>
      </c>
      <c r="B31" s="41">
        <f>B30+1</f>
        <v>30</v>
      </c>
      <c r="C31" s="41">
        <v>1006</v>
      </c>
      <c r="D31" s="41" t="s">
        <v>126</v>
      </c>
      <c r="E31" s="45" t="s">
        <v>127</v>
      </c>
      <c r="F31" s="41" t="s">
        <v>128</v>
      </c>
      <c r="G31" s="41" t="s">
        <v>129</v>
      </c>
      <c r="H31" s="41" t="s">
        <v>73</v>
      </c>
      <c r="I31" s="41">
        <v>222</v>
      </c>
      <c r="J31" s="41" t="s">
        <v>120</v>
      </c>
      <c r="K31" s="41" t="s">
        <v>94</v>
      </c>
      <c r="L31" s="41">
        <v>1</v>
      </c>
      <c r="M31" s="41">
        <v>0</v>
      </c>
      <c r="N31" s="41">
        <v>1</v>
      </c>
      <c r="O31" s="41">
        <v>0</v>
      </c>
      <c r="P31" s="41">
        <v>0</v>
      </c>
      <c r="Q31" s="41">
        <v>0</v>
      </c>
      <c r="R31" s="41">
        <v>0</v>
      </c>
      <c r="S31" s="41">
        <v>0</v>
      </c>
      <c r="T31" s="41">
        <v>0</v>
      </c>
      <c r="U31" s="41">
        <v>0</v>
      </c>
      <c r="V31" s="41">
        <v>0</v>
      </c>
      <c r="W31" s="41">
        <v>0</v>
      </c>
      <c r="X31" s="41">
        <v>1</v>
      </c>
      <c r="Y31" s="41">
        <v>0</v>
      </c>
      <c r="Z31" s="41" t="s">
        <v>73</v>
      </c>
      <c r="AA31" s="41" t="s">
        <v>130</v>
      </c>
      <c r="AB31" s="48">
        <v>1.4</v>
      </c>
      <c r="AC31" s="48" t="s">
        <v>80</v>
      </c>
      <c r="AD31" s="41">
        <v>1.2</v>
      </c>
      <c r="AE31" s="41" t="s">
        <v>73</v>
      </c>
      <c r="AF31" s="41" t="s">
        <v>73</v>
      </c>
      <c r="AG31" s="41" t="s">
        <v>73</v>
      </c>
      <c r="AH31" s="41" t="s">
        <v>73</v>
      </c>
      <c r="AI31" s="41" t="s">
        <v>73</v>
      </c>
      <c r="AJ31" s="41" t="s">
        <v>73</v>
      </c>
      <c r="AK31" s="41" t="s">
        <v>73</v>
      </c>
      <c r="AL31" s="41">
        <v>957080</v>
      </c>
      <c r="AM31" s="41">
        <v>957080</v>
      </c>
      <c r="AN31" s="41">
        <v>0.1</v>
      </c>
      <c r="AO31" s="41">
        <v>3</v>
      </c>
      <c r="AP31" s="41">
        <f>AB31/AD31</f>
        <v>1.1666666666666667</v>
      </c>
      <c r="AQ31" s="41" t="s">
        <v>73</v>
      </c>
      <c r="AR31" s="41" t="s">
        <v>73</v>
      </c>
      <c r="AS31" s="41">
        <v>1</v>
      </c>
      <c r="AT31" s="41">
        <v>0</v>
      </c>
      <c r="AU31" s="41">
        <v>1</v>
      </c>
      <c r="AV31" s="41">
        <v>1</v>
      </c>
      <c r="AW31" s="41">
        <v>1</v>
      </c>
      <c r="AX31" s="41">
        <v>1</v>
      </c>
      <c r="AY31" s="41" t="s">
        <v>131</v>
      </c>
      <c r="AZ31" s="41">
        <f>153/30.417</f>
        <v>5.030081862116579</v>
      </c>
      <c r="BA31" s="41" t="s">
        <v>73</v>
      </c>
      <c r="BB31" s="41">
        <v>0</v>
      </c>
      <c r="BC31" s="41">
        <v>1</v>
      </c>
      <c r="BD31" s="41" t="s">
        <v>83</v>
      </c>
      <c r="BE31" s="41" t="s">
        <v>83</v>
      </c>
      <c r="BF31" s="41" t="s">
        <v>73</v>
      </c>
      <c r="BG31" s="52">
        <f xml:space="preserve"> 23 * 4.345</f>
        <v>99.934999999999988</v>
      </c>
      <c r="BH31" s="41">
        <v>0</v>
      </c>
      <c r="BI31" s="51">
        <f t="shared" si="14"/>
        <v>7.1107387857336768E-7</v>
      </c>
      <c r="BJ31" s="51">
        <f t="shared" si="15"/>
        <v>7.1107387857336768E-7</v>
      </c>
      <c r="BK31" s="51">
        <f t="shared" si="9"/>
        <v>7.1107387863679901E-7</v>
      </c>
      <c r="BL31" s="51">
        <f t="shared" si="10"/>
        <v>1.0448458277738828E-6</v>
      </c>
      <c r="BM31" s="51">
        <f t="shared" si="11"/>
        <v>1.0448480111840532E-6</v>
      </c>
      <c r="BO31" s="41" t="s">
        <v>87</v>
      </c>
    </row>
    <row r="32" spans="1:67" s="41" customFormat="1">
      <c r="A32" s="41" t="s">
        <v>68</v>
      </c>
      <c r="B32" s="41">
        <v>31</v>
      </c>
      <c r="C32" s="41">
        <v>1006</v>
      </c>
      <c r="D32" s="41" t="s">
        <v>126</v>
      </c>
      <c r="E32" s="45" t="s">
        <v>127</v>
      </c>
      <c r="F32" s="41" t="s">
        <v>128</v>
      </c>
      <c r="G32" s="41" t="s">
        <v>129</v>
      </c>
      <c r="H32" s="41" t="s">
        <v>73</v>
      </c>
      <c r="I32" s="41">
        <v>222</v>
      </c>
      <c r="J32" s="41" t="s">
        <v>120</v>
      </c>
      <c r="K32" s="41" t="s">
        <v>94</v>
      </c>
      <c r="L32" s="41">
        <v>1</v>
      </c>
      <c r="M32" s="41">
        <v>0</v>
      </c>
      <c r="N32" s="41">
        <v>1</v>
      </c>
      <c r="O32" s="41">
        <v>0</v>
      </c>
      <c r="P32" s="41">
        <v>0</v>
      </c>
      <c r="Q32" s="41">
        <v>0</v>
      </c>
      <c r="R32" s="41">
        <v>0</v>
      </c>
      <c r="S32" s="41">
        <v>0</v>
      </c>
      <c r="T32" s="41">
        <v>0</v>
      </c>
      <c r="U32" s="41">
        <v>0</v>
      </c>
      <c r="V32" s="41">
        <v>0</v>
      </c>
      <c r="W32" s="41">
        <v>0</v>
      </c>
      <c r="X32" s="41">
        <v>1</v>
      </c>
      <c r="Y32" s="41">
        <v>0</v>
      </c>
      <c r="Z32" s="41" t="s">
        <v>73</v>
      </c>
      <c r="AA32" s="41" t="s">
        <v>130</v>
      </c>
      <c r="AB32" s="48">
        <v>1.2</v>
      </c>
      <c r="AC32" s="48" t="s">
        <v>80</v>
      </c>
      <c r="AD32" s="41">
        <v>1.3</v>
      </c>
      <c r="AE32" s="41" t="s">
        <v>73</v>
      </c>
      <c r="AF32" s="41" t="s">
        <v>73</v>
      </c>
      <c r="AG32" s="41" t="s">
        <v>73</v>
      </c>
      <c r="AH32" s="41" t="s">
        <v>73</v>
      </c>
      <c r="AI32" s="41" t="s">
        <v>73</v>
      </c>
      <c r="AJ32" s="41" t="s">
        <v>73</v>
      </c>
      <c r="AK32" s="41" t="s">
        <v>73</v>
      </c>
      <c r="AL32" s="41">
        <v>957080</v>
      </c>
      <c r="AM32" s="41">
        <v>957080</v>
      </c>
      <c r="AN32" s="41">
        <v>0.1</v>
      </c>
      <c r="AO32" s="41">
        <v>3</v>
      </c>
      <c r="AP32" s="41">
        <f>AB32/AD32</f>
        <v>0.92307692307692302</v>
      </c>
      <c r="AQ32" s="41" t="s">
        <v>73</v>
      </c>
      <c r="AR32" s="41" t="s">
        <v>73</v>
      </c>
      <c r="AS32" s="41">
        <v>1</v>
      </c>
      <c r="AT32" s="41">
        <v>0</v>
      </c>
      <c r="AU32" s="41">
        <v>1</v>
      </c>
      <c r="AV32" s="41">
        <v>1</v>
      </c>
      <c r="AW32" s="41">
        <v>1</v>
      </c>
      <c r="AX32" s="41">
        <v>1</v>
      </c>
      <c r="AY32" s="41" t="s">
        <v>131</v>
      </c>
      <c r="AZ32" s="41">
        <f>153/30.417</f>
        <v>5.030081862116579</v>
      </c>
      <c r="BA32" s="41" t="s">
        <v>73</v>
      </c>
      <c r="BB32" s="41">
        <v>0</v>
      </c>
      <c r="BC32" s="41">
        <v>1</v>
      </c>
      <c r="BD32" s="41" t="s">
        <v>83</v>
      </c>
      <c r="BE32" s="41" t="s">
        <v>83</v>
      </c>
      <c r="BF32" s="41" t="s">
        <v>73</v>
      </c>
      <c r="BG32" s="52">
        <f xml:space="preserve"> 23 * 4.345</f>
        <v>99.934999999999988</v>
      </c>
      <c r="BH32" s="41">
        <v>0</v>
      </c>
      <c r="BI32" s="51">
        <f t="shared" si="14"/>
        <v>4.4514055634557005E-7</v>
      </c>
      <c r="BJ32" s="51">
        <f t="shared" si="15"/>
        <v>4.4514055634557005E-7</v>
      </c>
      <c r="BK32" s="51">
        <f t="shared" si="9"/>
        <v>4.4514055632903819E-7</v>
      </c>
      <c r="BL32" s="51">
        <f t="shared" si="10"/>
        <v>1.0448458277738828E-6</v>
      </c>
      <c r="BM32" s="51">
        <f t="shared" si="11"/>
        <v>1.0448480111840532E-6</v>
      </c>
      <c r="BO32" s="41" t="s">
        <v>87</v>
      </c>
    </row>
    <row r="33" spans="1:66" hidden="1">
      <c r="A33" t="s">
        <v>68</v>
      </c>
      <c r="B33">
        <v>32</v>
      </c>
      <c r="C33">
        <v>1007</v>
      </c>
      <c r="D33" t="s">
        <v>132</v>
      </c>
      <c r="E33" t="s">
        <v>133</v>
      </c>
      <c r="F33" t="s">
        <v>134</v>
      </c>
      <c r="G33" t="s">
        <v>135</v>
      </c>
      <c r="H33" s="32" t="s">
        <v>73</v>
      </c>
      <c r="I33">
        <v>25</v>
      </c>
      <c r="J33" t="s">
        <v>107</v>
      </c>
      <c r="K33" t="s">
        <v>76</v>
      </c>
      <c r="L33">
        <v>1</v>
      </c>
      <c r="M33">
        <v>0</v>
      </c>
      <c r="N33">
        <v>0</v>
      </c>
      <c r="O33">
        <v>0</v>
      </c>
      <c r="P33">
        <v>1</v>
      </c>
      <c r="Q33">
        <v>0</v>
      </c>
      <c r="R33">
        <v>1</v>
      </c>
      <c r="S33">
        <v>0</v>
      </c>
      <c r="T33">
        <v>0</v>
      </c>
      <c r="U33">
        <v>0</v>
      </c>
      <c r="V33">
        <v>0</v>
      </c>
      <c r="W33">
        <v>0</v>
      </c>
      <c r="X33">
        <v>0</v>
      </c>
      <c r="Y33">
        <v>0</v>
      </c>
      <c r="Z33" t="s">
        <v>136</v>
      </c>
      <c r="AA33" s="34" t="s">
        <v>137</v>
      </c>
      <c r="AB33" s="7" t="s">
        <v>73</v>
      </c>
      <c r="AC33" s="7" t="s">
        <v>80</v>
      </c>
      <c r="AD33" t="s">
        <v>73</v>
      </c>
      <c r="AE33">
        <v>0.21</v>
      </c>
      <c r="AF33" t="s">
        <v>73</v>
      </c>
      <c r="AG33">
        <v>19</v>
      </c>
      <c r="AH33" t="s">
        <v>73</v>
      </c>
      <c r="AI33" t="s">
        <v>73</v>
      </c>
      <c r="AJ33">
        <v>19</v>
      </c>
      <c r="AK33" t="s">
        <v>73</v>
      </c>
      <c r="AL33">
        <v>60</v>
      </c>
      <c r="AM33">
        <v>51591</v>
      </c>
      <c r="AN33">
        <v>0.1</v>
      </c>
      <c r="AO33">
        <v>1</v>
      </c>
      <c r="AP33" t="s">
        <v>73</v>
      </c>
      <c r="AR33" t="s">
        <v>73</v>
      </c>
      <c r="AS33">
        <v>0</v>
      </c>
      <c r="AT33">
        <v>0</v>
      </c>
      <c r="AU33">
        <v>0</v>
      </c>
      <c r="AV33">
        <v>0</v>
      </c>
      <c r="AW33">
        <v>1</v>
      </c>
      <c r="AX33">
        <v>0</v>
      </c>
      <c r="AY33" t="s">
        <v>138</v>
      </c>
      <c r="AZ33" t="s">
        <v>73</v>
      </c>
      <c r="BA33" t="s">
        <v>73</v>
      </c>
      <c r="BB33">
        <v>1</v>
      </c>
      <c r="BC33">
        <v>1</v>
      </c>
      <c r="BD33" t="s">
        <v>139</v>
      </c>
      <c r="BE33" t="s">
        <v>83</v>
      </c>
      <c r="BF33" t="s">
        <v>140</v>
      </c>
      <c r="BG33">
        <f>6*4.345</f>
        <v>26.07</v>
      </c>
      <c r="BH33">
        <v>0</v>
      </c>
      <c r="BI33" s="30">
        <v>0</v>
      </c>
      <c r="BJ33" s="30">
        <v>0</v>
      </c>
      <c r="BK33" s="30">
        <f t="shared" si="9"/>
        <v>0</v>
      </c>
      <c r="BL33" s="30">
        <f t="shared" si="10"/>
        <v>1.6949152542372881E-2</v>
      </c>
      <c r="BM33" s="30">
        <f t="shared" si="11"/>
        <v>1.7543859649122806E-2</v>
      </c>
    </row>
    <row r="34" spans="1:66" hidden="1">
      <c r="A34" t="s">
        <v>68</v>
      </c>
      <c r="B34">
        <v>33</v>
      </c>
      <c r="C34">
        <v>1007</v>
      </c>
      <c r="D34" t="s">
        <v>132</v>
      </c>
      <c r="E34" t="s">
        <v>133</v>
      </c>
      <c r="F34" t="s">
        <v>134</v>
      </c>
      <c r="G34" t="s">
        <v>135</v>
      </c>
      <c r="H34" s="32" t="s">
        <v>73</v>
      </c>
      <c r="I34">
        <v>25</v>
      </c>
      <c r="J34" t="s">
        <v>107</v>
      </c>
      <c r="K34" t="s">
        <v>76</v>
      </c>
      <c r="L34">
        <v>1</v>
      </c>
      <c r="M34">
        <v>0</v>
      </c>
      <c r="N34">
        <v>0</v>
      </c>
      <c r="O34">
        <v>0</v>
      </c>
      <c r="P34">
        <v>1</v>
      </c>
      <c r="Q34">
        <v>0</v>
      </c>
      <c r="R34">
        <v>1</v>
      </c>
      <c r="S34">
        <v>0</v>
      </c>
      <c r="T34">
        <v>0</v>
      </c>
      <c r="U34">
        <v>0</v>
      </c>
      <c r="V34">
        <v>0</v>
      </c>
      <c r="W34">
        <v>0</v>
      </c>
      <c r="X34">
        <v>0</v>
      </c>
      <c r="Y34">
        <v>0</v>
      </c>
      <c r="Z34" t="s">
        <v>141</v>
      </c>
      <c r="AA34" s="34" t="s">
        <v>137</v>
      </c>
      <c r="AB34" s="7" t="s">
        <v>73</v>
      </c>
      <c r="AC34" s="7" t="s">
        <v>86</v>
      </c>
      <c r="AD34" t="s">
        <v>73</v>
      </c>
      <c r="AE34">
        <v>0.71</v>
      </c>
      <c r="AF34" t="s">
        <v>73</v>
      </c>
      <c r="AG34">
        <v>19</v>
      </c>
      <c r="AH34" t="s">
        <v>73</v>
      </c>
      <c r="AI34" t="s">
        <v>73</v>
      </c>
      <c r="AJ34">
        <v>19</v>
      </c>
      <c r="AK34" t="s">
        <v>73</v>
      </c>
      <c r="AL34">
        <v>13</v>
      </c>
      <c r="AM34">
        <v>51591</v>
      </c>
      <c r="AN34">
        <v>0.06</v>
      </c>
      <c r="AO34">
        <v>2</v>
      </c>
      <c r="AP34">
        <v>2.06</v>
      </c>
      <c r="AR34" t="s">
        <v>73</v>
      </c>
      <c r="AS34">
        <v>0</v>
      </c>
      <c r="AT34">
        <v>0</v>
      </c>
      <c r="AU34">
        <v>0</v>
      </c>
      <c r="AV34">
        <v>0</v>
      </c>
      <c r="AW34">
        <v>1</v>
      </c>
      <c r="AX34">
        <v>0</v>
      </c>
      <c r="AY34" t="s">
        <v>138</v>
      </c>
      <c r="AZ34" t="s">
        <v>73</v>
      </c>
      <c r="BA34" t="s">
        <v>73</v>
      </c>
      <c r="BB34">
        <v>1</v>
      </c>
      <c r="BC34">
        <v>1</v>
      </c>
      <c r="BD34" t="s">
        <v>139</v>
      </c>
      <c r="BE34" t="s">
        <v>83</v>
      </c>
      <c r="BF34" t="s">
        <v>140</v>
      </c>
      <c r="BG34">
        <f>6*4.345</f>
        <v>26.07</v>
      </c>
      <c r="BH34">
        <v>0</v>
      </c>
      <c r="BI34" s="30">
        <f>(((AP34^2)/(AP34^2+AL34))^1/2)</f>
        <v>0.12304855134658654</v>
      </c>
      <c r="BJ34" s="30">
        <f>- (((AP34^2)/(AP34^2+AM34))^1/2)</f>
        <v>-4.1123945773947269E-5</v>
      </c>
      <c r="BK34" s="30">
        <f t="shared" si="9"/>
        <v>-4.1123945797180848E-5</v>
      </c>
      <c r="BL34" s="30">
        <f t="shared" si="10"/>
        <v>8.3333333333333329E-2</v>
      </c>
      <c r="BM34" s="30">
        <f t="shared" si="11"/>
        <v>0.1</v>
      </c>
    </row>
    <row r="35" spans="1:66" hidden="1">
      <c r="A35" t="s">
        <v>68</v>
      </c>
      <c r="B35">
        <v>34</v>
      </c>
      <c r="C35">
        <v>1007</v>
      </c>
      <c r="D35" t="s">
        <v>132</v>
      </c>
      <c r="E35" t="s">
        <v>133</v>
      </c>
      <c r="F35" t="s">
        <v>134</v>
      </c>
      <c r="G35" t="s">
        <v>135</v>
      </c>
      <c r="H35" s="32" t="s">
        <v>73</v>
      </c>
      <c r="I35">
        <v>25</v>
      </c>
      <c r="J35" t="s">
        <v>107</v>
      </c>
      <c r="K35" t="s">
        <v>76</v>
      </c>
      <c r="L35">
        <v>1</v>
      </c>
      <c r="M35">
        <v>0</v>
      </c>
      <c r="N35">
        <v>0</v>
      </c>
      <c r="O35">
        <v>0</v>
      </c>
      <c r="P35">
        <v>1</v>
      </c>
      <c r="Q35">
        <v>0</v>
      </c>
      <c r="R35">
        <v>1</v>
      </c>
      <c r="S35">
        <v>0</v>
      </c>
      <c r="T35">
        <v>0</v>
      </c>
      <c r="U35">
        <v>0</v>
      </c>
      <c r="V35">
        <v>0</v>
      </c>
      <c r="W35">
        <v>0</v>
      </c>
      <c r="X35">
        <v>0</v>
      </c>
      <c r="Y35">
        <v>0</v>
      </c>
      <c r="Z35" t="s">
        <v>142</v>
      </c>
      <c r="AA35" s="34" t="s">
        <v>137</v>
      </c>
      <c r="AB35" s="7" t="s">
        <v>73</v>
      </c>
      <c r="AC35" s="7" t="s">
        <v>80</v>
      </c>
      <c r="AD35" t="s">
        <v>73</v>
      </c>
      <c r="AE35">
        <v>0.08</v>
      </c>
      <c r="AF35" t="s">
        <v>73</v>
      </c>
      <c r="AG35">
        <v>19</v>
      </c>
      <c r="AH35" t="s">
        <v>73</v>
      </c>
      <c r="AI35" t="s">
        <v>73</v>
      </c>
      <c r="AJ35">
        <v>19</v>
      </c>
      <c r="AK35" t="s">
        <v>73</v>
      </c>
      <c r="AL35">
        <v>34</v>
      </c>
      <c r="AM35">
        <v>51591</v>
      </c>
      <c r="AN35">
        <v>0.1</v>
      </c>
      <c r="AO35">
        <v>1</v>
      </c>
      <c r="AP35" t="s">
        <v>73</v>
      </c>
      <c r="AR35" t="s">
        <v>73</v>
      </c>
      <c r="AS35">
        <v>0</v>
      </c>
      <c r="AT35">
        <v>0</v>
      </c>
      <c r="AU35">
        <v>0</v>
      </c>
      <c r="AV35">
        <v>0</v>
      </c>
      <c r="AW35">
        <v>1</v>
      </c>
      <c r="AX35">
        <v>0</v>
      </c>
      <c r="AY35" t="s">
        <v>138</v>
      </c>
      <c r="AZ35" t="s">
        <v>73</v>
      </c>
      <c r="BA35" t="s">
        <v>73</v>
      </c>
      <c r="BB35">
        <v>1</v>
      </c>
      <c r="BC35">
        <v>1</v>
      </c>
      <c r="BD35" t="s">
        <v>139</v>
      </c>
      <c r="BE35" t="s">
        <v>83</v>
      </c>
      <c r="BF35" t="s">
        <v>140</v>
      </c>
      <c r="BG35">
        <f>6*4.345</f>
        <v>26.07</v>
      </c>
      <c r="BH35">
        <v>0</v>
      </c>
      <c r="BI35" s="30">
        <v>0</v>
      </c>
      <c r="BJ35" s="30">
        <v>0</v>
      </c>
      <c r="BK35" s="30">
        <f t="shared" si="9"/>
        <v>0</v>
      </c>
      <c r="BL35" s="30">
        <f t="shared" si="10"/>
        <v>3.0303030303030304E-2</v>
      </c>
      <c r="BM35" s="30">
        <f t="shared" si="11"/>
        <v>3.2258064516129031E-2</v>
      </c>
    </row>
    <row r="36" spans="1:66" hidden="1">
      <c r="A36" t="s">
        <v>68</v>
      </c>
      <c r="B36">
        <v>35</v>
      </c>
      <c r="C36">
        <v>1007</v>
      </c>
      <c r="D36" t="s">
        <v>132</v>
      </c>
      <c r="E36" t="s">
        <v>133</v>
      </c>
      <c r="F36" t="s">
        <v>134</v>
      </c>
      <c r="G36" t="s">
        <v>135</v>
      </c>
      <c r="H36" s="32" t="s">
        <v>73</v>
      </c>
      <c r="I36">
        <v>25</v>
      </c>
      <c r="J36" t="s">
        <v>107</v>
      </c>
      <c r="K36" t="s">
        <v>76</v>
      </c>
      <c r="L36">
        <v>1</v>
      </c>
      <c r="M36">
        <v>0</v>
      </c>
      <c r="N36">
        <v>0</v>
      </c>
      <c r="O36">
        <v>0</v>
      </c>
      <c r="P36">
        <v>1</v>
      </c>
      <c r="Q36">
        <v>0</v>
      </c>
      <c r="R36">
        <v>1</v>
      </c>
      <c r="S36">
        <v>0</v>
      </c>
      <c r="T36">
        <v>0</v>
      </c>
      <c r="U36">
        <v>0</v>
      </c>
      <c r="V36">
        <v>0</v>
      </c>
      <c r="W36">
        <v>0</v>
      </c>
      <c r="X36">
        <v>0</v>
      </c>
      <c r="Y36">
        <v>0</v>
      </c>
      <c r="Z36" t="s">
        <v>143</v>
      </c>
      <c r="AA36" s="34" t="s">
        <v>137</v>
      </c>
      <c r="AB36" s="7" t="s">
        <v>73</v>
      </c>
      <c r="AC36" s="7" t="s">
        <v>86</v>
      </c>
      <c r="AD36" t="s">
        <v>73</v>
      </c>
      <c r="AE36">
        <v>0.08</v>
      </c>
      <c r="AF36" t="s">
        <v>73</v>
      </c>
      <c r="AG36">
        <v>19</v>
      </c>
      <c r="AH36" t="s">
        <v>73</v>
      </c>
      <c r="AI36" t="s">
        <v>73</v>
      </c>
      <c r="AJ36">
        <v>19</v>
      </c>
      <c r="AK36" t="s">
        <v>73</v>
      </c>
      <c r="AL36">
        <v>8</v>
      </c>
      <c r="AM36">
        <v>51591</v>
      </c>
      <c r="AN36">
        <v>0.1</v>
      </c>
      <c r="AO36">
        <v>1</v>
      </c>
      <c r="AP36" t="s">
        <v>73</v>
      </c>
      <c r="AR36" t="s">
        <v>73</v>
      </c>
      <c r="AS36">
        <v>0</v>
      </c>
      <c r="AT36">
        <v>0</v>
      </c>
      <c r="AU36">
        <v>0</v>
      </c>
      <c r="AV36">
        <v>0</v>
      </c>
      <c r="AW36">
        <v>1</v>
      </c>
      <c r="AX36">
        <v>0</v>
      </c>
      <c r="AY36" t="s">
        <v>138</v>
      </c>
      <c r="AZ36" t="s">
        <v>73</v>
      </c>
      <c r="BA36" t="s">
        <v>73</v>
      </c>
      <c r="BB36">
        <v>1</v>
      </c>
      <c r="BC36">
        <v>1</v>
      </c>
      <c r="BD36" t="s">
        <v>139</v>
      </c>
      <c r="BE36" t="s">
        <v>83</v>
      </c>
      <c r="BF36" t="s">
        <v>140</v>
      </c>
      <c r="BG36">
        <f>6*4.345</f>
        <v>26.07</v>
      </c>
      <c r="BH36">
        <v>0</v>
      </c>
      <c r="BI36" s="30">
        <v>0</v>
      </c>
      <c r="BJ36" s="30">
        <v>0</v>
      </c>
      <c r="BK36" s="30">
        <f t="shared" si="9"/>
        <v>0</v>
      </c>
      <c r="BL36" s="30">
        <f t="shared" si="10"/>
        <v>0.14285714285714285</v>
      </c>
      <c r="BM36" s="30">
        <f t="shared" si="11"/>
        <v>0.2</v>
      </c>
    </row>
    <row r="37" spans="1:66" s="41" customFormat="1">
      <c r="A37" s="41" t="s">
        <v>68</v>
      </c>
      <c r="B37" s="41">
        <v>36</v>
      </c>
      <c r="C37" s="41">
        <v>1008</v>
      </c>
      <c r="D37" s="41" t="s">
        <v>144</v>
      </c>
      <c r="E37" s="41" t="s">
        <v>145</v>
      </c>
      <c r="F37" s="41" t="s">
        <v>146</v>
      </c>
      <c r="G37" s="41">
        <v>2006</v>
      </c>
      <c r="H37" s="50" t="s">
        <v>73</v>
      </c>
      <c r="I37" s="41">
        <v>112</v>
      </c>
      <c r="J37" s="41" t="s">
        <v>93</v>
      </c>
      <c r="K37" s="41" t="s">
        <v>76</v>
      </c>
      <c r="L37" s="41">
        <v>1</v>
      </c>
      <c r="M37" s="41">
        <v>0</v>
      </c>
      <c r="N37" s="41">
        <v>0</v>
      </c>
      <c r="O37" s="41">
        <v>0</v>
      </c>
      <c r="P37" s="41">
        <v>1</v>
      </c>
      <c r="Q37" s="41">
        <v>0</v>
      </c>
      <c r="R37" s="41">
        <v>1</v>
      </c>
      <c r="S37" s="41">
        <v>0</v>
      </c>
      <c r="T37" s="41">
        <v>0</v>
      </c>
      <c r="U37" s="41">
        <v>0</v>
      </c>
      <c r="V37" s="41">
        <v>0</v>
      </c>
      <c r="W37" s="41">
        <v>0</v>
      </c>
      <c r="X37" s="41">
        <v>0</v>
      </c>
      <c r="Y37" s="41">
        <v>0</v>
      </c>
      <c r="Z37" s="41" t="s">
        <v>73</v>
      </c>
      <c r="AA37" s="41" t="s">
        <v>147</v>
      </c>
      <c r="AB37" s="49">
        <v>8.3000000000000001E-3</v>
      </c>
      <c r="AC37" s="48" t="s">
        <v>86</v>
      </c>
      <c r="AD37" s="41">
        <v>2.5999999999999999E-3</v>
      </c>
      <c r="AE37" s="41">
        <v>0.08</v>
      </c>
      <c r="AF37" s="41">
        <v>0.97499999999999998</v>
      </c>
      <c r="AG37" s="41">
        <v>1040</v>
      </c>
      <c r="AH37" s="41">
        <v>0.11799999999999999</v>
      </c>
      <c r="AI37" s="41">
        <v>0.96899999999999997</v>
      </c>
      <c r="AJ37" s="41">
        <v>1025</v>
      </c>
      <c r="AK37" s="41">
        <v>0.115</v>
      </c>
      <c r="AL37" s="41">
        <v>2065</v>
      </c>
      <c r="AM37" s="41">
        <v>2065</v>
      </c>
      <c r="AN37" s="41">
        <v>1E-3</v>
      </c>
      <c r="AO37" s="41">
        <v>3</v>
      </c>
      <c r="AP37" s="41">
        <f>AB37/AD37</f>
        <v>3.1923076923076925</v>
      </c>
      <c r="AR37" s="41" t="s">
        <v>73</v>
      </c>
      <c r="AS37" s="41">
        <v>0</v>
      </c>
      <c r="AT37" s="41">
        <v>0</v>
      </c>
      <c r="AU37" s="41">
        <v>0</v>
      </c>
      <c r="AV37" s="41">
        <v>0</v>
      </c>
      <c r="AW37" s="41">
        <v>0</v>
      </c>
      <c r="AX37" s="41">
        <v>0</v>
      </c>
      <c r="AY37" s="41" t="s">
        <v>148</v>
      </c>
      <c r="AZ37" s="41">
        <v>0.97499999999999998</v>
      </c>
      <c r="BA37" s="41" t="s">
        <v>149</v>
      </c>
      <c r="BB37" s="41">
        <v>1</v>
      </c>
      <c r="BC37" s="41">
        <v>0</v>
      </c>
      <c r="BD37" s="41" t="s">
        <v>139</v>
      </c>
      <c r="BE37" s="41" t="s">
        <v>83</v>
      </c>
      <c r="BF37" s="41" t="s">
        <v>150</v>
      </c>
      <c r="BG37" s="41">
        <v>0</v>
      </c>
      <c r="BH37" s="41">
        <v>0</v>
      </c>
      <c r="BI37" s="51">
        <f>(((AP37^2)/(AP37^2+AL37))^1/2)</f>
        <v>2.4553954901131926E-3</v>
      </c>
      <c r="BJ37" s="51">
        <f>- (((AP37^2)/(AP37^2+AM37))^1/2)</f>
        <v>-2.4553954901131926E-3</v>
      </c>
      <c r="BK37" s="51">
        <f t="shared" si="9"/>
        <v>-2.4554004246305243E-3</v>
      </c>
      <c r="BL37" s="51">
        <f t="shared" si="10"/>
        <v>4.8449612401339694E-4</v>
      </c>
      <c r="BM37" s="51">
        <f t="shared" si="11"/>
        <v>4.8496605237633366E-4</v>
      </c>
    </row>
    <row r="38" spans="1:66" hidden="1">
      <c r="A38" s="10" t="s">
        <v>151</v>
      </c>
      <c r="B38" s="17">
        <f>B37+1</f>
        <v>37</v>
      </c>
      <c r="C38" s="11">
        <v>1009</v>
      </c>
      <c r="D38" s="10" t="s">
        <v>152</v>
      </c>
      <c r="E38" s="22" t="s">
        <v>153</v>
      </c>
      <c r="F38" s="22" t="s">
        <v>154</v>
      </c>
      <c r="G38">
        <v>2005</v>
      </c>
      <c r="H38" t="s">
        <v>73</v>
      </c>
      <c r="I38">
        <v>193</v>
      </c>
      <c r="J38" t="s">
        <v>155</v>
      </c>
      <c r="K38" t="s">
        <v>112</v>
      </c>
      <c r="L38">
        <v>2</v>
      </c>
      <c r="M38">
        <v>0</v>
      </c>
      <c r="N38">
        <v>0</v>
      </c>
      <c r="O38">
        <v>0</v>
      </c>
      <c r="P38">
        <v>1</v>
      </c>
      <c r="Q38">
        <v>0</v>
      </c>
      <c r="R38">
        <v>0</v>
      </c>
      <c r="S38">
        <v>0</v>
      </c>
      <c r="T38">
        <v>0</v>
      </c>
      <c r="U38">
        <v>0</v>
      </c>
      <c r="V38">
        <v>0</v>
      </c>
      <c r="W38">
        <v>0</v>
      </c>
      <c r="X38">
        <v>0</v>
      </c>
      <c r="Y38">
        <v>0</v>
      </c>
      <c r="Z38" t="s">
        <v>73</v>
      </c>
      <c r="AA38" t="s">
        <v>78</v>
      </c>
      <c r="AB38" s="21">
        <v>0.26479999999999998</v>
      </c>
      <c r="AC38" s="7" t="s">
        <v>86</v>
      </c>
      <c r="AD38">
        <v>0.19700000000000001</v>
      </c>
      <c r="AE38" t="s">
        <v>73</v>
      </c>
      <c r="AF38" t="s">
        <v>73</v>
      </c>
      <c r="AG38" t="s">
        <v>73</v>
      </c>
      <c r="AH38" t="s">
        <v>73</v>
      </c>
      <c r="AI38" t="s">
        <v>73</v>
      </c>
      <c r="AJ38" t="s">
        <v>73</v>
      </c>
      <c r="AK38" t="s">
        <v>73</v>
      </c>
      <c r="AL38" s="27">
        <v>151</v>
      </c>
      <c r="AM38" s="27">
        <v>151</v>
      </c>
      <c r="AN38">
        <v>0.2</v>
      </c>
      <c r="AO38">
        <v>2</v>
      </c>
      <c r="AP38">
        <f>AB38/AD38</f>
        <v>1.3441624365482232</v>
      </c>
      <c r="AQ38" t="s">
        <v>73</v>
      </c>
      <c r="AR38" t="s">
        <v>73</v>
      </c>
      <c r="AS38">
        <v>0</v>
      </c>
      <c r="AT38">
        <v>0</v>
      </c>
      <c r="AU38">
        <v>0</v>
      </c>
      <c r="AV38">
        <v>0</v>
      </c>
      <c r="AW38">
        <v>0</v>
      </c>
      <c r="AX38">
        <v>0</v>
      </c>
      <c r="AY38" t="s">
        <v>156</v>
      </c>
      <c r="AZ38" s="14" t="s">
        <v>73</v>
      </c>
      <c r="BA38" s="17" t="s">
        <v>73</v>
      </c>
      <c r="BB38">
        <v>0</v>
      </c>
      <c r="BC38" t="s">
        <v>73</v>
      </c>
      <c r="BD38" s="18" t="s">
        <v>139</v>
      </c>
      <c r="BE38" s="18" t="s">
        <v>139</v>
      </c>
      <c r="BF38" t="s">
        <v>157</v>
      </c>
      <c r="BG38" t="s">
        <v>73</v>
      </c>
      <c r="BH38" t="s">
        <v>73</v>
      </c>
      <c r="BI38" s="30">
        <f>(((AP38^2)/(AP38^2+AL38))^1/2)</f>
        <v>5.9119521485370341E-3</v>
      </c>
      <c r="BJ38" s="30">
        <f>- (((AP38^2)/(AP38^2+AM38))^1/2)</f>
        <v>-5.9119521485370341E-3</v>
      </c>
      <c r="BK38" s="30">
        <f t="shared" si="9"/>
        <v>-5.9120210265458696E-3</v>
      </c>
      <c r="BL38" s="30">
        <f t="shared" si="10"/>
        <v>6.6666666585223884E-3</v>
      </c>
      <c r="BM38" s="30">
        <f t="shared" si="11"/>
        <v>6.7567567567567571E-3</v>
      </c>
    </row>
    <row r="39" spans="1:66" s="41" customFormat="1" ht="17">
      <c r="A39" s="45" t="s">
        <v>68</v>
      </c>
      <c r="B39" s="41">
        <f>B38+1</f>
        <v>38</v>
      </c>
      <c r="C39" s="54">
        <v>1010</v>
      </c>
      <c r="D39" s="55" t="s">
        <v>158</v>
      </c>
      <c r="E39" s="55" t="s">
        <v>159</v>
      </c>
      <c r="F39" s="55" t="s">
        <v>160</v>
      </c>
      <c r="G39" s="55">
        <v>2015</v>
      </c>
      <c r="H39" s="41" t="s">
        <v>73</v>
      </c>
      <c r="I39" s="41">
        <v>122</v>
      </c>
      <c r="J39" s="41" t="s">
        <v>107</v>
      </c>
      <c r="K39" s="41" t="s">
        <v>112</v>
      </c>
      <c r="L39" s="41">
        <v>2</v>
      </c>
      <c r="M39" s="41">
        <v>0</v>
      </c>
      <c r="N39" s="41">
        <v>0</v>
      </c>
      <c r="O39" s="41">
        <v>0</v>
      </c>
      <c r="P39" s="41">
        <v>1</v>
      </c>
      <c r="Q39" s="41">
        <v>0</v>
      </c>
      <c r="R39" s="41">
        <v>0</v>
      </c>
      <c r="S39" s="41">
        <v>0</v>
      </c>
      <c r="T39" s="41">
        <v>1</v>
      </c>
      <c r="U39" s="41">
        <v>0</v>
      </c>
      <c r="V39" s="41">
        <v>0</v>
      </c>
      <c r="W39" s="41">
        <v>0</v>
      </c>
      <c r="X39" s="41">
        <v>0</v>
      </c>
      <c r="Y39" s="41">
        <v>0</v>
      </c>
      <c r="Z39" s="41" t="s">
        <v>161</v>
      </c>
      <c r="AA39" s="41" t="s">
        <v>162</v>
      </c>
      <c r="AB39" s="48" t="s">
        <v>73</v>
      </c>
      <c r="AC39" s="48" t="s">
        <v>86</v>
      </c>
      <c r="AD39" s="41">
        <v>2.4</v>
      </c>
      <c r="AE39" s="48" t="s">
        <v>73</v>
      </c>
      <c r="AF39" s="41">
        <v>199.5</v>
      </c>
      <c r="AG39" s="41">
        <v>100</v>
      </c>
      <c r="AH39" s="41">
        <v>2.1</v>
      </c>
      <c r="AI39" s="41">
        <v>199.5</v>
      </c>
      <c r="AJ39" s="41">
        <v>141</v>
      </c>
      <c r="AK39" s="41">
        <v>1.4</v>
      </c>
      <c r="AL39" s="41">
        <f>AG39+AJ39</f>
        <v>241</v>
      </c>
      <c r="AM39" s="56">
        <v>241</v>
      </c>
      <c r="AN39" s="41">
        <v>0.1</v>
      </c>
      <c r="AO39" s="41">
        <v>1</v>
      </c>
      <c r="AP39" s="41">
        <v>0</v>
      </c>
      <c r="AQ39" s="41">
        <f>ABS(AF39-AI39)</f>
        <v>0</v>
      </c>
      <c r="AR39" s="41">
        <v>0</v>
      </c>
      <c r="AS39" s="41">
        <v>0</v>
      </c>
      <c r="AT39" s="41">
        <v>0</v>
      </c>
      <c r="AU39" s="41">
        <v>0</v>
      </c>
      <c r="AV39" s="41">
        <v>0</v>
      </c>
      <c r="AW39" s="41">
        <v>1</v>
      </c>
      <c r="AX39" s="41">
        <v>0</v>
      </c>
      <c r="AY39" s="41" t="s">
        <v>156</v>
      </c>
      <c r="AZ39" s="41" t="s">
        <v>73</v>
      </c>
      <c r="BA39" s="41" t="s">
        <v>73</v>
      </c>
      <c r="BB39" s="41">
        <v>0</v>
      </c>
      <c r="BC39" s="41">
        <v>0</v>
      </c>
      <c r="BD39" s="43" t="s">
        <v>139</v>
      </c>
      <c r="BE39" s="43" t="s">
        <v>139</v>
      </c>
      <c r="BF39" s="41" t="s">
        <v>163</v>
      </c>
      <c r="BG39" s="41">
        <f xml:space="preserve"> 9 * 4.345</f>
        <v>39.104999999999997</v>
      </c>
      <c r="BH39" s="41">
        <v>12</v>
      </c>
      <c r="BI39" s="51">
        <v>0</v>
      </c>
      <c r="BJ39" s="51">
        <v>0</v>
      </c>
      <c r="BK39" s="51">
        <f t="shared" si="9"/>
        <v>0</v>
      </c>
      <c r="BL39" s="51">
        <f t="shared" si="10"/>
        <v>4.1666666666666666E-3</v>
      </c>
      <c r="BM39" s="51">
        <f t="shared" si="11"/>
        <v>4.2016806722689074E-3</v>
      </c>
      <c r="BN39" s="43"/>
    </row>
    <row r="40" spans="1:66" s="41" customFormat="1" ht="17">
      <c r="A40" s="45" t="s">
        <v>68</v>
      </c>
      <c r="B40" s="41">
        <f>B39+1</f>
        <v>39</v>
      </c>
      <c r="C40" s="54">
        <v>1010</v>
      </c>
      <c r="D40" s="55" t="s">
        <v>158</v>
      </c>
      <c r="E40" s="55" t="s">
        <v>159</v>
      </c>
      <c r="F40" s="55" t="s">
        <v>160</v>
      </c>
      <c r="G40" s="55">
        <v>2015</v>
      </c>
      <c r="H40" s="41" t="s">
        <v>73</v>
      </c>
      <c r="I40" s="41">
        <v>122</v>
      </c>
      <c r="J40" s="41" t="s">
        <v>107</v>
      </c>
      <c r="K40" s="41" t="s">
        <v>112</v>
      </c>
      <c r="L40" s="41">
        <v>2</v>
      </c>
      <c r="M40" s="41">
        <v>0</v>
      </c>
      <c r="N40" s="41">
        <v>0</v>
      </c>
      <c r="O40" s="41">
        <v>0</v>
      </c>
      <c r="P40" s="41">
        <v>1</v>
      </c>
      <c r="Q40" s="41">
        <v>0</v>
      </c>
      <c r="R40" s="41">
        <v>0</v>
      </c>
      <c r="S40" s="41">
        <v>0</v>
      </c>
      <c r="T40" s="41">
        <v>1</v>
      </c>
      <c r="U40" s="41">
        <v>0</v>
      </c>
      <c r="V40" s="41">
        <v>0</v>
      </c>
      <c r="W40" s="41">
        <v>0</v>
      </c>
      <c r="X40" s="41">
        <v>0</v>
      </c>
      <c r="Y40" s="41">
        <v>0</v>
      </c>
      <c r="Z40" s="41" t="s">
        <v>161</v>
      </c>
      <c r="AA40" s="41" t="s">
        <v>162</v>
      </c>
      <c r="AB40" s="48" t="s">
        <v>73</v>
      </c>
      <c r="AC40" s="48" t="s">
        <v>80</v>
      </c>
      <c r="AD40" s="41">
        <v>2.8</v>
      </c>
      <c r="AE40" s="48" t="s">
        <v>73</v>
      </c>
      <c r="AF40" s="41">
        <v>199.5</v>
      </c>
      <c r="AG40" s="41">
        <v>100</v>
      </c>
      <c r="AH40" s="41">
        <v>2.1</v>
      </c>
      <c r="AI40" s="41">
        <v>200.1</v>
      </c>
      <c r="AJ40" s="41">
        <v>110</v>
      </c>
      <c r="AK40" s="41">
        <v>1.9</v>
      </c>
      <c r="AL40" s="41">
        <f>AG40+AJ40</f>
        <v>210</v>
      </c>
      <c r="AM40" s="41">
        <v>210</v>
      </c>
      <c r="AN40" s="41">
        <v>0.1</v>
      </c>
      <c r="AO40" s="41">
        <v>1</v>
      </c>
      <c r="AP40" s="41">
        <v>0</v>
      </c>
      <c r="AQ40" s="41">
        <f>ABS(AF40-AI40)</f>
        <v>0.59999999999999432</v>
      </c>
      <c r="AR40" s="41">
        <v>0</v>
      </c>
      <c r="AS40" s="41">
        <v>0</v>
      </c>
      <c r="AT40" s="41">
        <v>0</v>
      </c>
      <c r="AU40" s="41">
        <v>0</v>
      </c>
      <c r="AV40" s="41">
        <v>0</v>
      </c>
      <c r="AW40" s="41">
        <v>1</v>
      </c>
      <c r="AX40" s="41">
        <v>0</v>
      </c>
      <c r="AY40" s="41" t="s">
        <v>156</v>
      </c>
      <c r="AZ40" s="41" t="s">
        <v>73</v>
      </c>
      <c r="BA40" s="41" t="s">
        <v>73</v>
      </c>
      <c r="BB40" s="41">
        <v>0</v>
      </c>
      <c r="BC40" s="41">
        <v>0</v>
      </c>
      <c r="BD40" s="43" t="s">
        <v>139</v>
      </c>
      <c r="BE40" s="43" t="s">
        <v>139</v>
      </c>
      <c r="BF40" s="41" t="s">
        <v>163</v>
      </c>
      <c r="BG40" s="41">
        <f xml:space="preserve"> 9 * 4.345</f>
        <v>39.104999999999997</v>
      </c>
      <c r="BH40" s="41">
        <v>12</v>
      </c>
      <c r="BI40" s="51">
        <v>0</v>
      </c>
      <c r="BJ40" s="51">
        <v>0</v>
      </c>
      <c r="BK40" s="51">
        <f t="shared" si="9"/>
        <v>0</v>
      </c>
      <c r="BL40" s="51">
        <f t="shared" si="10"/>
        <v>4.7846889952153108E-3</v>
      </c>
      <c r="BM40" s="51">
        <f t="shared" si="11"/>
        <v>4.830917874396135E-3</v>
      </c>
      <c r="BN40" s="43"/>
    </row>
    <row r="41" spans="1:66" s="41" customFormat="1" ht="17">
      <c r="A41" s="45" t="s">
        <v>68</v>
      </c>
      <c r="B41" s="41">
        <v>40</v>
      </c>
      <c r="C41" s="54">
        <v>1010</v>
      </c>
      <c r="D41" s="55" t="s">
        <v>158</v>
      </c>
      <c r="E41" s="55" t="s">
        <v>159</v>
      </c>
      <c r="F41" s="55" t="s">
        <v>160</v>
      </c>
      <c r="G41" s="55">
        <v>2015</v>
      </c>
      <c r="H41" s="41" t="s">
        <v>73</v>
      </c>
      <c r="I41" s="41">
        <v>122</v>
      </c>
      <c r="J41" s="41" t="s">
        <v>107</v>
      </c>
      <c r="K41" s="41" t="s">
        <v>112</v>
      </c>
      <c r="L41" s="41">
        <v>2</v>
      </c>
      <c r="M41" s="41">
        <v>0</v>
      </c>
      <c r="N41" s="41">
        <v>0</v>
      </c>
      <c r="O41" s="41">
        <v>0</v>
      </c>
      <c r="P41" s="41">
        <v>1</v>
      </c>
      <c r="Q41" s="41">
        <v>0</v>
      </c>
      <c r="R41" s="41">
        <v>0</v>
      </c>
      <c r="S41" s="41">
        <v>0</v>
      </c>
      <c r="T41" s="41">
        <v>1</v>
      </c>
      <c r="U41" s="41">
        <v>0</v>
      </c>
      <c r="V41" s="41">
        <v>0</v>
      </c>
      <c r="W41" s="41">
        <v>0</v>
      </c>
      <c r="X41" s="41">
        <v>0</v>
      </c>
      <c r="Y41" s="41">
        <v>0</v>
      </c>
      <c r="Z41" s="41" t="s">
        <v>164</v>
      </c>
      <c r="AA41" s="41" t="s">
        <v>162</v>
      </c>
      <c r="AB41" s="48" t="s">
        <v>73</v>
      </c>
      <c r="AC41" s="48" t="s">
        <v>86</v>
      </c>
      <c r="AD41" s="41">
        <v>9.5</v>
      </c>
      <c r="AE41" s="48" t="s">
        <v>73</v>
      </c>
      <c r="AF41" s="41">
        <v>241.7</v>
      </c>
      <c r="AG41" s="41">
        <v>66</v>
      </c>
      <c r="AH41" s="41">
        <v>7.5</v>
      </c>
      <c r="AI41" s="41">
        <v>222.3</v>
      </c>
      <c r="AJ41" s="41">
        <v>70</v>
      </c>
      <c r="AK41" s="41">
        <v>5.8</v>
      </c>
      <c r="AL41" s="41">
        <f>AG41+AJ41</f>
        <v>136</v>
      </c>
      <c r="AM41" s="41">
        <v>136</v>
      </c>
      <c r="AN41" s="41">
        <v>0.05</v>
      </c>
      <c r="AO41" s="41">
        <v>2</v>
      </c>
      <c r="AP41" s="41">
        <v>1.9776</v>
      </c>
      <c r="AQ41" s="41">
        <f>ABS(AF41-AI41)</f>
        <v>19.399999999999977</v>
      </c>
      <c r="AR41" s="41">
        <v>0</v>
      </c>
      <c r="AS41" s="41">
        <v>0</v>
      </c>
      <c r="AT41" s="41">
        <v>0</v>
      </c>
      <c r="AU41" s="41">
        <v>0</v>
      </c>
      <c r="AV41" s="41">
        <v>0</v>
      </c>
      <c r="AW41" s="41">
        <v>1</v>
      </c>
      <c r="AX41" s="41">
        <v>0</v>
      </c>
      <c r="AY41" s="41" t="s">
        <v>156</v>
      </c>
      <c r="AZ41" s="41" t="s">
        <v>73</v>
      </c>
      <c r="BA41" s="41" t="s">
        <v>73</v>
      </c>
      <c r="BB41" s="41">
        <v>0</v>
      </c>
      <c r="BC41" s="41">
        <v>0</v>
      </c>
      <c r="BD41" s="43" t="s">
        <v>139</v>
      </c>
      <c r="BE41" s="43" t="s">
        <v>139</v>
      </c>
      <c r="BF41" s="41" t="s">
        <v>163</v>
      </c>
      <c r="BG41" s="41">
        <f xml:space="preserve"> 9 * 4.345</f>
        <v>39.104999999999997</v>
      </c>
      <c r="BH41" s="41">
        <v>12</v>
      </c>
      <c r="BI41" s="51">
        <f>BN41/(((BN41^2)+4)^1/2)</f>
        <v>0.49989150482803513</v>
      </c>
      <c r="BJ41" s="51">
        <f>- BN41/(((BN41^2)+4)^1/2)</f>
        <v>-0.49989150482803513</v>
      </c>
      <c r="BK41" s="51">
        <f t="shared" si="9"/>
        <v>-0.54916149456629371</v>
      </c>
      <c r="BL41" s="51">
        <f>((1-(BK41^2)^2)/(AL41-1))</f>
        <v>6.7337074114949304E-3</v>
      </c>
      <c r="BM41" s="51">
        <f>1/(AL41-3)</f>
        <v>7.5187969924812026E-3</v>
      </c>
      <c r="BN41" s="43">
        <f>(AF41-AI41)/AD41</f>
        <v>2.0421052631578922</v>
      </c>
    </row>
    <row r="42" spans="1:66" s="41" customFormat="1" ht="17">
      <c r="A42" s="45" t="s">
        <v>68</v>
      </c>
      <c r="B42" s="41">
        <f>B41+1</f>
        <v>41</v>
      </c>
      <c r="C42" s="54">
        <v>1010</v>
      </c>
      <c r="D42" s="55" t="s">
        <v>158</v>
      </c>
      <c r="E42" s="55" t="s">
        <v>159</v>
      </c>
      <c r="F42" s="55" t="s">
        <v>160</v>
      </c>
      <c r="G42" s="55">
        <v>2015</v>
      </c>
      <c r="H42" s="41" t="s">
        <v>73</v>
      </c>
      <c r="I42" s="41">
        <v>122</v>
      </c>
      <c r="J42" s="41" t="s">
        <v>107</v>
      </c>
      <c r="K42" s="41" t="s">
        <v>112</v>
      </c>
      <c r="L42" s="41">
        <v>2</v>
      </c>
      <c r="M42" s="41">
        <v>0</v>
      </c>
      <c r="N42" s="41">
        <v>0</v>
      </c>
      <c r="O42" s="41">
        <v>0</v>
      </c>
      <c r="P42" s="41">
        <v>1</v>
      </c>
      <c r="Q42" s="41">
        <v>0</v>
      </c>
      <c r="R42" s="41">
        <v>0</v>
      </c>
      <c r="S42" s="41">
        <v>0</v>
      </c>
      <c r="T42" s="41">
        <v>1</v>
      </c>
      <c r="U42" s="41">
        <v>0</v>
      </c>
      <c r="V42" s="41">
        <v>0</v>
      </c>
      <c r="W42" s="41">
        <v>0</v>
      </c>
      <c r="X42" s="41">
        <v>0</v>
      </c>
      <c r="Y42" s="41">
        <v>0</v>
      </c>
      <c r="Z42" s="41" t="s">
        <v>164</v>
      </c>
      <c r="AA42" s="41" t="s">
        <v>162</v>
      </c>
      <c r="AB42" s="48" t="s">
        <v>73</v>
      </c>
      <c r="AC42" s="48" t="s">
        <v>86</v>
      </c>
      <c r="AD42" s="41">
        <v>9.9</v>
      </c>
      <c r="AE42" s="48" t="s">
        <v>73</v>
      </c>
      <c r="AF42" s="41">
        <v>241.7</v>
      </c>
      <c r="AG42" s="41">
        <v>66</v>
      </c>
      <c r="AH42" s="41">
        <v>7.5</v>
      </c>
      <c r="AI42" s="41">
        <v>218.4</v>
      </c>
      <c r="AJ42" s="41">
        <v>58</v>
      </c>
      <c r="AK42" s="41">
        <v>6.2</v>
      </c>
      <c r="AL42" s="41">
        <f>AG42+AJ42</f>
        <v>124</v>
      </c>
      <c r="AM42" s="41">
        <v>124</v>
      </c>
      <c r="AN42" s="41">
        <v>0.05</v>
      </c>
      <c r="AO42" s="41">
        <v>2</v>
      </c>
      <c r="AP42" s="41">
        <v>1.9776</v>
      </c>
      <c r="AQ42" s="41">
        <f>ABS(AF42-AI42)</f>
        <v>23.299999999999983</v>
      </c>
      <c r="AR42" s="41">
        <v>0</v>
      </c>
      <c r="AS42" s="41">
        <v>0</v>
      </c>
      <c r="AT42" s="41">
        <v>0</v>
      </c>
      <c r="AU42" s="41">
        <v>0</v>
      </c>
      <c r="AV42" s="41">
        <v>0</v>
      </c>
      <c r="AW42" s="41">
        <v>1</v>
      </c>
      <c r="AX42" s="41">
        <v>0</v>
      </c>
      <c r="AY42" s="41" t="s">
        <v>156</v>
      </c>
      <c r="AZ42" s="41" t="s">
        <v>73</v>
      </c>
      <c r="BA42" s="41" t="s">
        <v>73</v>
      </c>
      <c r="BB42" s="41">
        <v>0</v>
      </c>
      <c r="BC42" s="41">
        <v>0</v>
      </c>
      <c r="BD42" s="43" t="s">
        <v>139</v>
      </c>
      <c r="BE42" s="43" t="s">
        <v>139</v>
      </c>
      <c r="BF42" s="41" t="s">
        <v>163</v>
      </c>
      <c r="BG42" s="41">
        <f xml:space="preserve"> 9 * 4.345</f>
        <v>39.104999999999997</v>
      </c>
      <c r="BH42" s="41">
        <v>12</v>
      </c>
      <c r="BI42" s="51">
        <f>BN42/(((BN42^2)+4)^1/2)</f>
        <v>0.49344870738985813</v>
      </c>
      <c r="BJ42" s="51">
        <f>- BN42/(((BN42^2)+4)^1/2)</f>
        <v>-0.49344870738985813</v>
      </c>
      <c r="BK42" s="51">
        <f t="shared" si="9"/>
        <v>-0.54060885294058814</v>
      </c>
      <c r="BL42" s="51">
        <f>((1-(BK42^2)^2)/(AL42-1))</f>
        <v>7.4356528557280258E-3</v>
      </c>
      <c r="BM42" s="51">
        <f>1/(AL42-3)</f>
        <v>8.2644628099173556E-3</v>
      </c>
      <c r="BN42" s="43">
        <f>(AF42-AI42)/AD42</f>
        <v>2.3535353535353516</v>
      </c>
    </row>
    <row r="43" spans="1:66" hidden="1">
      <c r="A43" t="s">
        <v>151</v>
      </c>
      <c r="B43" s="17">
        <f>B42+1</f>
        <v>42</v>
      </c>
      <c r="C43" s="15">
        <v>1011</v>
      </c>
      <c r="D43" t="s">
        <v>165</v>
      </c>
      <c r="E43" t="s">
        <v>166</v>
      </c>
      <c r="F43" s="10" t="s">
        <v>167</v>
      </c>
      <c r="G43" s="10">
        <v>2009</v>
      </c>
      <c r="H43" s="10" t="s">
        <v>73</v>
      </c>
      <c r="I43">
        <v>40</v>
      </c>
      <c r="J43" t="s">
        <v>120</v>
      </c>
      <c r="K43" t="s">
        <v>94</v>
      </c>
      <c r="L43" s="17">
        <v>1</v>
      </c>
      <c r="M43">
        <v>0</v>
      </c>
      <c r="N43">
        <v>1</v>
      </c>
      <c r="O43">
        <v>0</v>
      </c>
      <c r="P43">
        <v>0</v>
      </c>
      <c r="Q43">
        <v>0</v>
      </c>
      <c r="R43">
        <v>0</v>
      </c>
      <c r="S43">
        <v>0</v>
      </c>
      <c r="T43">
        <v>1</v>
      </c>
      <c r="U43">
        <v>0</v>
      </c>
      <c r="V43">
        <v>0</v>
      </c>
      <c r="W43">
        <v>0</v>
      </c>
      <c r="X43">
        <v>0</v>
      </c>
      <c r="Y43">
        <v>0</v>
      </c>
      <c r="Z43" s="17" t="s">
        <v>168</v>
      </c>
      <c r="AA43" s="17" t="s">
        <v>78</v>
      </c>
      <c r="AB43" s="25">
        <v>3.5000000000000001E-3</v>
      </c>
      <c r="AC43" s="7" t="s">
        <v>86</v>
      </c>
      <c r="AD43" s="17">
        <v>1E-3</v>
      </c>
      <c r="AE43" s="20" t="s">
        <v>73</v>
      </c>
      <c r="AF43" t="s">
        <v>73</v>
      </c>
      <c r="AG43" t="s">
        <v>73</v>
      </c>
      <c r="AH43" t="s">
        <v>73</v>
      </c>
      <c r="AI43" t="s">
        <v>73</v>
      </c>
      <c r="AJ43" t="s">
        <v>73</v>
      </c>
      <c r="AK43" t="s">
        <v>73</v>
      </c>
      <c r="AL43">
        <v>12450</v>
      </c>
      <c r="AM43">
        <v>12450</v>
      </c>
      <c r="AN43" t="s">
        <v>73</v>
      </c>
      <c r="AO43" s="17">
        <v>3</v>
      </c>
      <c r="AP43">
        <f t="shared" ref="AP43:AP51" si="16">AB43/AD43</f>
        <v>3.5</v>
      </c>
      <c r="AQ43" t="s">
        <v>73</v>
      </c>
      <c r="AR43" t="s">
        <v>73</v>
      </c>
      <c r="AS43">
        <v>0</v>
      </c>
      <c r="AT43">
        <v>1</v>
      </c>
      <c r="AU43">
        <v>0</v>
      </c>
      <c r="AV43">
        <v>0</v>
      </c>
      <c r="AW43">
        <v>0</v>
      </c>
      <c r="AX43">
        <v>0</v>
      </c>
      <c r="AY43" t="s">
        <v>81</v>
      </c>
      <c r="AZ43" s="17" t="s">
        <v>73</v>
      </c>
      <c r="BA43" s="17" t="s">
        <v>73</v>
      </c>
      <c r="BB43" s="17">
        <v>0</v>
      </c>
      <c r="BC43" s="17">
        <v>0</v>
      </c>
      <c r="BD43" s="18" t="s">
        <v>83</v>
      </c>
      <c r="BE43" s="18" t="s">
        <v>83</v>
      </c>
      <c r="BF43" t="s">
        <v>73</v>
      </c>
      <c r="BI43" s="30">
        <f>(((AP43^2)/(AP43^2+AL43))^1/2)</f>
        <v>4.9148428253325042E-4</v>
      </c>
      <c r="BJ43" s="30">
        <f>- (((AP43^2)/(AP43^2+AM43))^1/2)</f>
        <v>-4.9148428253325042E-4</v>
      </c>
      <c r="BK43" s="30">
        <f t="shared" ref="BK43:BK53" si="17">0.5*LN((1+BJ43)/(1-BJ43))</f>
        <v>-4.9148432210700159E-4</v>
      </c>
      <c r="BL43" s="30">
        <f t="shared" ref="BL43:BL53" si="18">((1-(BK43^2)^2)/(AL43-1))</f>
        <v>8.0327737167639301E-5</v>
      </c>
      <c r="BM43" s="30">
        <f t="shared" ref="BM43:BM53" si="19">1/(AL43-3)</f>
        <v>8.0340644331967548E-5</v>
      </c>
    </row>
    <row r="44" spans="1:66" hidden="1">
      <c r="A44" t="s">
        <v>151</v>
      </c>
      <c r="B44" s="17">
        <f>B43+1</f>
        <v>43</v>
      </c>
      <c r="C44" s="15">
        <v>1011</v>
      </c>
      <c r="D44" t="s">
        <v>165</v>
      </c>
      <c r="E44" t="s">
        <v>166</v>
      </c>
      <c r="F44" s="10" t="s">
        <v>167</v>
      </c>
      <c r="G44" s="10">
        <v>2009</v>
      </c>
      <c r="H44" s="10" t="s">
        <v>73</v>
      </c>
      <c r="I44">
        <v>40</v>
      </c>
      <c r="J44" t="s">
        <v>120</v>
      </c>
      <c r="K44" t="s">
        <v>94</v>
      </c>
      <c r="L44" s="17">
        <v>1</v>
      </c>
      <c r="M44">
        <v>0</v>
      </c>
      <c r="N44">
        <v>1</v>
      </c>
      <c r="O44">
        <v>0</v>
      </c>
      <c r="P44">
        <v>0</v>
      </c>
      <c r="Q44">
        <v>0</v>
      </c>
      <c r="R44">
        <v>0</v>
      </c>
      <c r="S44">
        <v>0</v>
      </c>
      <c r="T44">
        <v>1</v>
      </c>
      <c r="U44">
        <v>0</v>
      </c>
      <c r="V44">
        <v>0</v>
      </c>
      <c r="W44">
        <v>0</v>
      </c>
      <c r="X44">
        <v>0</v>
      </c>
      <c r="Y44">
        <v>0</v>
      </c>
      <c r="Z44" s="17" t="s">
        <v>168</v>
      </c>
      <c r="AA44" s="17" t="s">
        <v>78</v>
      </c>
      <c r="AB44" s="25">
        <v>1.8000000000000001E-4</v>
      </c>
      <c r="AC44" s="7" t="s">
        <v>86</v>
      </c>
      <c r="AD44" s="17">
        <v>2.9999999999999997E-4</v>
      </c>
      <c r="AE44" s="20" t="s">
        <v>73</v>
      </c>
      <c r="AF44" t="s">
        <v>73</v>
      </c>
      <c r="AG44" t="s">
        <v>73</v>
      </c>
      <c r="AH44" t="s">
        <v>73</v>
      </c>
      <c r="AI44" t="s">
        <v>73</v>
      </c>
      <c r="AJ44" t="s">
        <v>73</v>
      </c>
      <c r="AK44" t="s">
        <v>73</v>
      </c>
      <c r="AL44">
        <v>12450</v>
      </c>
      <c r="AM44">
        <v>12450</v>
      </c>
      <c r="AN44" t="s">
        <v>73</v>
      </c>
      <c r="AO44" s="17">
        <v>3</v>
      </c>
      <c r="AP44">
        <f t="shared" si="16"/>
        <v>0.60000000000000009</v>
      </c>
      <c r="AQ44" t="s">
        <v>73</v>
      </c>
      <c r="AR44" t="s">
        <v>73</v>
      </c>
      <c r="AS44">
        <v>0</v>
      </c>
      <c r="AT44">
        <v>1</v>
      </c>
      <c r="AU44">
        <v>0</v>
      </c>
      <c r="AV44">
        <v>0</v>
      </c>
      <c r="AW44">
        <v>0</v>
      </c>
      <c r="AX44">
        <v>0</v>
      </c>
      <c r="AY44" t="s">
        <v>81</v>
      </c>
      <c r="AZ44" s="17" t="s">
        <v>73</v>
      </c>
      <c r="BA44" s="17" t="s">
        <v>73</v>
      </c>
      <c r="BB44" s="17">
        <v>0</v>
      </c>
      <c r="BC44" s="17">
        <v>0</v>
      </c>
      <c r="BD44" s="18" t="s">
        <v>83</v>
      </c>
      <c r="BE44" s="18" t="s">
        <v>83</v>
      </c>
      <c r="BF44" t="s">
        <v>73</v>
      </c>
      <c r="BI44" s="30">
        <f t="shared" ref="BI44:BI51" si="20">(((AP44^2)/(AP44^2+AL44))^1/2)</f>
        <v>1.4457413279616015E-5</v>
      </c>
      <c r="BJ44" s="30">
        <f>- (((AP44^2)/(AP44^2+AM44))^1/2)</f>
        <v>-1.4457413279616015E-5</v>
      </c>
      <c r="BK44" s="30">
        <f t="shared" si="17"/>
        <v>-1.4457413280689465E-5</v>
      </c>
      <c r="BL44" s="30">
        <f t="shared" si="18"/>
        <v>8.032773716764399E-5</v>
      </c>
      <c r="BM44" s="30">
        <f t="shared" si="19"/>
        <v>8.0340644331967548E-5</v>
      </c>
    </row>
    <row r="45" spans="1:66" hidden="1">
      <c r="A45" t="s">
        <v>151</v>
      </c>
      <c r="B45" s="17">
        <v>44</v>
      </c>
      <c r="C45" s="15">
        <v>1011</v>
      </c>
      <c r="D45" t="s">
        <v>165</v>
      </c>
      <c r="E45" t="s">
        <v>166</v>
      </c>
      <c r="F45" s="10" t="s">
        <v>167</v>
      </c>
      <c r="G45" s="10">
        <v>2009</v>
      </c>
      <c r="H45" s="10" t="s">
        <v>73</v>
      </c>
      <c r="I45">
        <v>40</v>
      </c>
      <c r="J45" t="s">
        <v>120</v>
      </c>
      <c r="K45" t="s">
        <v>94</v>
      </c>
      <c r="L45" s="17">
        <v>1</v>
      </c>
      <c r="M45">
        <v>0</v>
      </c>
      <c r="N45">
        <v>1</v>
      </c>
      <c r="O45">
        <v>0</v>
      </c>
      <c r="P45">
        <v>0</v>
      </c>
      <c r="Q45">
        <v>0</v>
      </c>
      <c r="R45">
        <v>0</v>
      </c>
      <c r="S45">
        <v>0</v>
      </c>
      <c r="T45">
        <v>1</v>
      </c>
      <c r="U45">
        <v>0</v>
      </c>
      <c r="V45">
        <v>0</v>
      </c>
      <c r="W45">
        <v>0</v>
      </c>
      <c r="X45">
        <v>0</v>
      </c>
      <c r="Y45">
        <v>0</v>
      </c>
      <c r="Z45" s="17" t="s">
        <v>168</v>
      </c>
      <c r="AA45" s="17" t="s">
        <v>78</v>
      </c>
      <c r="AB45" s="25">
        <v>1.2999999999999999E-4</v>
      </c>
      <c r="AC45" s="7" t="s">
        <v>80</v>
      </c>
      <c r="AD45" s="17">
        <v>5.0000000000000001E-4</v>
      </c>
      <c r="AE45" s="20" t="s">
        <v>73</v>
      </c>
      <c r="AF45" t="s">
        <v>73</v>
      </c>
      <c r="AG45" t="s">
        <v>73</v>
      </c>
      <c r="AH45" t="s">
        <v>73</v>
      </c>
      <c r="AI45" t="s">
        <v>73</v>
      </c>
      <c r="AJ45" t="s">
        <v>73</v>
      </c>
      <c r="AK45" t="s">
        <v>73</v>
      </c>
      <c r="AL45">
        <v>12450</v>
      </c>
      <c r="AM45">
        <v>12450</v>
      </c>
      <c r="AN45" t="s">
        <v>73</v>
      </c>
      <c r="AO45" s="17">
        <v>3</v>
      </c>
      <c r="AP45">
        <f t="shared" si="16"/>
        <v>0.25999999999999995</v>
      </c>
      <c r="AQ45" t="s">
        <v>73</v>
      </c>
      <c r="AR45" t="s">
        <v>73</v>
      </c>
      <c r="AS45">
        <v>0</v>
      </c>
      <c r="AT45">
        <v>1</v>
      </c>
      <c r="AU45">
        <v>0</v>
      </c>
      <c r="AV45">
        <v>0</v>
      </c>
      <c r="AW45">
        <v>0</v>
      </c>
      <c r="AX45">
        <v>0</v>
      </c>
      <c r="AY45" t="s">
        <v>81</v>
      </c>
      <c r="AZ45" s="17" t="s">
        <v>73</v>
      </c>
      <c r="BA45" s="17" t="s">
        <v>73</v>
      </c>
      <c r="BB45" s="17">
        <v>0</v>
      </c>
      <c r="BC45" s="17">
        <v>0</v>
      </c>
      <c r="BD45" s="18" t="s">
        <v>83</v>
      </c>
      <c r="BE45" s="18" t="s">
        <v>83</v>
      </c>
      <c r="BF45" t="s">
        <v>73</v>
      </c>
      <c r="BI45" s="30">
        <f t="shared" si="20"/>
        <v>2.7148446969075083E-6</v>
      </c>
      <c r="BJ45" s="30">
        <f>(((AP45^2)/(AP45^2+AM45))^1/2)</f>
        <v>2.7148446969075083E-6</v>
      </c>
      <c r="BK45" s="30">
        <f t="shared" si="17"/>
        <v>2.7148446968697823E-6</v>
      </c>
      <c r="BL45" s="30">
        <f t="shared" si="18"/>
        <v>8.032773716764399E-5</v>
      </c>
      <c r="BM45" s="30">
        <f t="shared" si="19"/>
        <v>8.0340644331967548E-5</v>
      </c>
    </row>
    <row r="46" spans="1:66" hidden="1">
      <c r="A46" t="s">
        <v>151</v>
      </c>
      <c r="B46" s="17">
        <f>B45+1</f>
        <v>45</v>
      </c>
      <c r="C46" s="15">
        <v>1011</v>
      </c>
      <c r="D46" t="s">
        <v>165</v>
      </c>
      <c r="E46" t="s">
        <v>166</v>
      </c>
      <c r="F46" s="10" t="s">
        <v>167</v>
      </c>
      <c r="G46" s="10">
        <v>2009</v>
      </c>
      <c r="H46" s="10" t="s">
        <v>73</v>
      </c>
      <c r="I46">
        <v>40</v>
      </c>
      <c r="J46" t="s">
        <v>120</v>
      </c>
      <c r="K46" t="s">
        <v>94</v>
      </c>
      <c r="L46" s="17">
        <v>1</v>
      </c>
      <c r="M46">
        <v>0</v>
      </c>
      <c r="N46">
        <v>1</v>
      </c>
      <c r="O46">
        <v>0</v>
      </c>
      <c r="P46">
        <v>0</v>
      </c>
      <c r="Q46">
        <v>0</v>
      </c>
      <c r="R46">
        <v>1</v>
      </c>
      <c r="S46">
        <v>0</v>
      </c>
      <c r="T46">
        <v>0</v>
      </c>
      <c r="U46">
        <v>0</v>
      </c>
      <c r="V46">
        <v>0</v>
      </c>
      <c r="W46">
        <v>0</v>
      </c>
      <c r="X46">
        <v>0</v>
      </c>
      <c r="Y46">
        <v>0</v>
      </c>
      <c r="Z46" s="17" t="s">
        <v>168</v>
      </c>
      <c r="AA46" s="17" t="s">
        <v>78</v>
      </c>
      <c r="AB46" s="25">
        <v>1.7000000000000001E-2</v>
      </c>
      <c r="AC46" s="7" t="s">
        <v>86</v>
      </c>
      <c r="AD46" s="17">
        <v>4.0000000000000001E-3</v>
      </c>
      <c r="AE46" s="20" t="s">
        <v>73</v>
      </c>
      <c r="AF46" t="s">
        <v>73</v>
      </c>
      <c r="AG46" t="s">
        <v>73</v>
      </c>
      <c r="AH46" t="s">
        <v>73</v>
      </c>
      <c r="AI46" t="s">
        <v>73</v>
      </c>
      <c r="AJ46" t="s">
        <v>73</v>
      </c>
      <c r="AK46" t="s">
        <v>73</v>
      </c>
      <c r="AL46">
        <v>12100</v>
      </c>
      <c r="AM46">
        <v>12100</v>
      </c>
      <c r="AN46" t="s">
        <v>73</v>
      </c>
      <c r="AO46" s="17">
        <v>3</v>
      </c>
      <c r="AP46">
        <f t="shared" si="16"/>
        <v>4.25</v>
      </c>
      <c r="AQ46" t="s">
        <v>73</v>
      </c>
      <c r="AR46" t="s">
        <v>73</v>
      </c>
      <c r="AS46">
        <v>0</v>
      </c>
      <c r="AT46">
        <v>1</v>
      </c>
      <c r="AU46">
        <v>0</v>
      </c>
      <c r="AV46">
        <v>0</v>
      </c>
      <c r="AW46">
        <v>0</v>
      </c>
      <c r="AX46">
        <v>0</v>
      </c>
      <c r="AY46" t="s">
        <v>81</v>
      </c>
      <c r="AZ46" s="17" t="s">
        <v>73</v>
      </c>
      <c r="BA46" s="17" t="s">
        <v>73</v>
      </c>
      <c r="BB46" s="17">
        <v>0</v>
      </c>
      <c r="BC46" s="17">
        <v>0</v>
      </c>
      <c r="BD46" s="18" t="s">
        <v>83</v>
      </c>
      <c r="BE46" s="18" t="s">
        <v>83</v>
      </c>
      <c r="BF46" t="s">
        <v>73</v>
      </c>
      <c r="BI46" s="30">
        <f t="shared" si="20"/>
        <v>7.4527177921388009E-4</v>
      </c>
      <c r="BJ46" s="30">
        <f>- (((AP46^2)/(AP46^2+AM46))^1/2)</f>
        <v>-7.4527177921388009E-4</v>
      </c>
      <c r="BK46" s="30">
        <f t="shared" si="17"/>
        <v>-7.4527191719599845E-4</v>
      </c>
      <c r="BL46" s="30">
        <f t="shared" si="18"/>
        <v>8.2651458798222292E-5</v>
      </c>
      <c r="BM46" s="30">
        <f t="shared" si="19"/>
        <v>8.2665123584359755E-5</v>
      </c>
    </row>
    <row r="47" spans="1:66" hidden="1">
      <c r="A47" t="s">
        <v>151</v>
      </c>
      <c r="B47" s="17">
        <f>B46+1</f>
        <v>46</v>
      </c>
      <c r="C47" s="15">
        <v>1011</v>
      </c>
      <c r="D47" t="s">
        <v>165</v>
      </c>
      <c r="E47" t="s">
        <v>166</v>
      </c>
      <c r="F47" s="10" t="s">
        <v>167</v>
      </c>
      <c r="G47" s="10">
        <v>2009</v>
      </c>
      <c r="H47" s="10" t="s">
        <v>73</v>
      </c>
      <c r="I47">
        <v>40</v>
      </c>
      <c r="J47" t="s">
        <v>120</v>
      </c>
      <c r="K47" t="s">
        <v>94</v>
      </c>
      <c r="L47" s="17">
        <v>1</v>
      </c>
      <c r="M47">
        <v>0</v>
      </c>
      <c r="N47">
        <v>1</v>
      </c>
      <c r="O47">
        <v>0</v>
      </c>
      <c r="P47">
        <v>0</v>
      </c>
      <c r="Q47">
        <v>0</v>
      </c>
      <c r="R47">
        <v>1</v>
      </c>
      <c r="S47">
        <v>0</v>
      </c>
      <c r="T47">
        <v>0</v>
      </c>
      <c r="U47">
        <v>0</v>
      </c>
      <c r="V47">
        <v>0</v>
      </c>
      <c r="W47">
        <v>0</v>
      </c>
      <c r="X47">
        <v>0</v>
      </c>
      <c r="Y47">
        <v>0</v>
      </c>
      <c r="Z47" s="17" t="s">
        <v>168</v>
      </c>
      <c r="AA47" s="17" t="s">
        <v>78</v>
      </c>
      <c r="AB47" s="25">
        <v>1.6999999999999999E-3</v>
      </c>
      <c r="AC47" s="7" t="s">
        <v>86</v>
      </c>
      <c r="AD47" s="17">
        <v>1E-3</v>
      </c>
      <c r="AE47" s="20" t="s">
        <v>73</v>
      </c>
      <c r="AF47" t="s">
        <v>73</v>
      </c>
      <c r="AG47" t="s">
        <v>73</v>
      </c>
      <c r="AH47" t="s">
        <v>73</v>
      </c>
      <c r="AI47" t="s">
        <v>73</v>
      </c>
      <c r="AJ47" t="s">
        <v>73</v>
      </c>
      <c r="AK47" t="s">
        <v>73</v>
      </c>
      <c r="AL47">
        <v>12100</v>
      </c>
      <c r="AM47">
        <v>12100</v>
      </c>
      <c r="AN47" t="s">
        <v>73</v>
      </c>
      <c r="AO47" s="17">
        <v>3</v>
      </c>
      <c r="AP47">
        <f t="shared" si="16"/>
        <v>1.7</v>
      </c>
      <c r="AQ47" t="s">
        <v>73</v>
      </c>
      <c r="AR47" t="s">
        <v>73</v>
      </c>
      <c r="AS47">
        <v>0</v>
      </c>
      <c r="AT47">
        <v>1</v>
      </c>
      <c r="AU47">
        <v>0</v>
      </c>
      <c r="AV47">
        <v>0</v>
      </c>
      <c r="AW47">
        <v>0</v>
      </c>
      <c r="AX47">
        <v>0</v>
      </c>
      <c r="AY47" t="s">
        <v>81</v>
      </c>
      <c r="AZ47" s="17" t="s">
        <v>73</v>
      </c>
      <c r="BA47" s="17" t="s">
        <v>73</v>
      </c>
      <c r="BB47" s="17">
        <v>0</v>
      </c>
      <c r="BC47" s="17">
        <v>0</v>
      </c>
      <c r="BD47" s="18" t="s">
        <v>83</v>
      </c>
      <c r="BE47" s="18" t="s">
        <v>83</v>
      </c>
      <c r="BF47" t="s">
        <v>73</v>
      </c>
      <c r="BI47" s="30">
        <f t="shared" si="20"/>
        <v>1.1939297143079049E-4</v>
      </c>
      <c r="BJ47" s="30">
        <f>-(((AP47^2)/(AP47^2+AM47))^1/2)</f>
        <v>-1.1939297143079049E-4</v>
      </c>
      <c r="BK47" s="30">
        <f t="shared" si="17"/>
        <v>-1.1939297199808206E-4</v>
      </c>
      <c r="BL47" s="30">
        <f t="shared" si="18"/>
        <v>8.2651458798247771E-5</v>
      </c>
      <c r="BM47" s="30">
        <f t="shared" si="19"/>
        <v>8.2665123584359755E-5</v>
      </c>
    </row>
    <row r="48" spans="1:66" hidden="1">
      <c r="A48" t="s">
        <v>151</v>
      </c>
      <c r="B48" s="17">
        <f>B47+1</f>
        <v>47</v>
      </c>
      <c r="C48" s="15">
        <v>1011</v>
      </c>
      <c r="D48" t="s">
        <v>165</v>
      </c>
      <c r="E48" t="s">
        <v>166</v>
      </c>
      <c r="F48" s="10" t="s">
        <v>167</v>
      </c>
      <c r="G48" s="10">
        <v>2009</v>
      </c>
      <c r="H48" s="10" t="s">
        <v>73</v>
      </c>
      <c r="I48">
        <v>40</v>
      </c>
      <c r="J48" t="s">
        <v>120</v>
      </c>
      <c r="K48" t="s">
        <v>94</v>
      </c>
      <c r="L48" s="17">
        <v>1</v>
      </c>
      <c r="M48">
        <v>0</v>
      </c>
      <c r="N48">
        <v>1</v>
      </c>
      <c r="O48">
        <v>0</v>
      </c>
      <c r="P48">
        <v>0</v>
      </c>
      <c r="Q48">
        <v>0</v>
      </c>
      <c r="R48">
        <v>1</v>
      </c>
      <c r="S48">
        <v>0</v>
      </c>
      <c r="T48">
        <v>0</v>
      </c>
      <c r="U48">
        <v>0</v>
      </c>
      <c r="V48">
        <v>0</v>
      </c>
      <c r="W48">
        <v>0</v>
      </c>
      <c r="X48">
        <v>0</v>
      </c>
      <c r="Y48">
        <v>0</v>
      </c>
      <c r="Z48" s="17" t="s">
        <v>168</v>
      </c>
      <c r="AA48" s="17" t="s">
        <v>78</v>
      </c>
      <c r="AB48" s="25">
        <v>2.9E-4</v>
      </c>
      <c r="AC48" s="7" t="s">
        <v>86</v>
      </c>
      <c r="AD48" s="17">
        <v>1E-3</v>
      </c>
      <c r="AE48" s="20" t="s">
        <v>73</v>
      </c>
      <c r="AF48" t="s">
        <v>73</v>
      </c>
      <c r="AG48" t="s">
        <v>73</v>
      </c>
      <c r="AH48" t="s">
        <v>73</v>
      </c>
      <c r="AI48" t="s">
        <v>73</v>
      </c>
      <c r="AJ48" t="s">
        <v>73</v>
      </c>
      <c r="AK48" t="s">
        <v>73</v>
      </c>
      <c r="AL48">
        <v>12100</v>
      </c>
      <c r="AM48">
        <v>12100</v>
      </c>
      <c r="AN48" t="s">
        <v>73</v>
      </c>
      <c r="AO48" s="17">
        <v>3</v>
      </c>
      <c r="AP48">
        <f t="shared" si="16"/>
        <v>0.28999999999999998</v>
      </c>
      <c r="AQ48" t="s">
        <v>73</v>
      </c>
      <c r="AR48" t="s">
        <v>73</v>
      </c>
      <c r="AS48">
        <v>0</v>
      </c>
      <c r="AT48">
        <v>1</v>
      </c>
      <c r="AU48">
        <v>0</v>
      </c>
      <c r="AV48">
        <v>0</v>
      </c>
      <c r="AW48">
        <v>0</v>
      </c>
      <c r="AX48">
        <v>0</v>
      </c>
      <c r="AY48" t="s">
        <v>81</v>
      </c>
      <c r="AZ48" s="17" t="s">
        <v>73</v>
      </c>
      <c r="BA48" s="17" t="s">
        <v>73</v>
      </c>
      <c r="BB48" s="17">
        <v>0</v>
      </c>
      <c r="BC48" s="17">
        <v>0</v>
      </c>
      <c r="BD48" s="18" t="s">
        <v>83</v>
      </c>
      <c r="BE48" s="18" t="s">
        <v>83</v>
      </c>
      <c r="BF48" t="s">
        <v>73</v>
      </c>
      <c r="BI48" s="30">
        <f t="shared" si="20"/>
        <v>3.4751824576161415E-6</v>
      </c>
      <c r="BJ48" s="30">
        <f>- (((AP48^2)/(AP48^2+AM48))^1/2)</f>
        <v>-3.4751824576161415E-6</v>
      </c>
      <c r="BK48" s="30">
        <f t="shared" si="17"/>
        <v>-3.4751824576052122E-6</v>
      </c>
      <c r="BL48" s="30">
        <f t="shared" si="18"/>
        <v>8.2651458798247785E-5</v>
      </c>
      <c r="BM48" s="30">
        <f t="shared" si="19"/>
        <v>8.2665123584359755E-5</v>
      </c>
    </row>
    <row r="49" spans="1:65" hidden="1">
      <c r="A49" t="s">
        <v>151</v>
      </c>
      <c r="B49" s="17">
        <v>48</v>
      </c>
      <c r="C49" s="15">
        <v>1011</v>
      </c>
      <c r="D49" t="s">
        <v>165</v>
      </c>
      <c r="E49" t="s">
        <v>166</v>
      </c>
      <c r="F49" s="10" t="s">
        <v>167</v>
      </c>
      <c r="G49" s="10">
        <v>2009</v>
      </c>
      <c r="H49" s="10" t="s">
        <v>73</v>
      </c>
      <c r="I49">
        <v>40</v>
      </c>
      <c r="J49" t="s">
        <v>120</v>
      </c>
      <c r="K49" t="s">
        <v>94</v>
      </c>
      <c r="L49" s="17">
        <v>1</v>
      </c>
      <c r="M49">
        <v>0</v>
      </c>
      <c r="N49">
        <v>1</v>
      </c>
      <c r="O49">
        <v>0</v>
      </c>
      <c r="P49">
        <v>0</v>
      </c>
      <c r="Q49">
        <v>0</v>
      </c>
      <c r="R49">
        <v>0</v>
      </c>
      <c r="S49">
        <v>1</v>
      </c>
      <c r="T49">
        <v>0</v>
      </c>
      <c r="U49">
        <v>0</v>
      </c>
      <c r="V49">
        <v>0</v>
      </c>
      <c r="W49">
        <v>0</v>
      </c>
      <c r="X49">
        <v>0</v>
      </c>
      <c r="Y49">
        <v>0</v>
      </c>
      <c r="Z49" s="17" t="s">
        <v>168</v>
      </c>
      <c r="AA49" s="17" t="s">
        <v>78</v>
      </c>
      <c r="AB49" s="25">
        <v>5.5999999999999995E-4</v>
      </c>
      <c r="AC49" s="7" t="s">
        <v>86</v>
      </c>
      <c r="AD49" s="17">
        <v>0</v>
      </c>
      <c r="AE49" s="20" t="s">
        <v>73</v>
      </c>
      <c r="AF49" t="s">
        <v>73</v>
      </c>
      <c r="AG49" t="s">
        <v>73</v>
      </c>
      <c r="AH49" t="s">
        <v>73</v>
      </c>
      <c r="AI49" t="s">
        <v>73</v>
      </c>
      <c r="AJ49" t="s">
        <v>73</v>
      </c>
      <c r="AK49" t="s">
        <v>73</v>
      </c>
      <c r="AL49">
        <v>12600</v>
      </c>
      <c r="AM49">
        <v>12600</v>
      </c>
      <c r="AN49" t="s">
        <v>73</v>
      </c>
      <c r="AO49" s="17">
        <v>3</v>
      </c>
      <c r="AP49" t="e">
        <f>AB49/AD49</f>
        <v>#DIV/0!</v>
      </c>
      <c r="AQ49" t="s">
        <v>73</v>
      </c>
      <c r="AR49" t="s">
        <v>73</v>
      </c>
      <c r="AS49">
        <v>0</v>
      </c>
      <c r="AT49">
        <v>1</v>
      </c>
      <c r="AU49">
        <v>0</v>
      </c>
      <c r="AV49">
        <v>0</v>
      </c>
      <c r="AW49">
        <v>0</v>
      </c>
      <c r="AX49">
        <v>0</v>
      </c>
      <c r="AY49" t="s">
        <v>81</v>
      </c>
      <c r="AZ49" s="17" t="s">
        <v>73</v>
      </c>
      <c r="BA49" s="17" t="s">
        <v>73</v>
      </c>
      <c r="BB49" s="17">
        <v>0</v>
      </c>
      <c r="BC49" s="17">
        <v>0</v>
      </c>
      <c r="BD49" s="18" t="s">
        <v>83</v>
      </c>
      <c r="BE49" s="18" t="s">
        <v>83</v>
      </c>
      <c r="BF49" t="s">
        <v>73</v>
      </c>
      <c r="BI49" s="30">
        <v>0</v>
      </c>
      <c r="BJ49" s="30">
        <v>0</v>
      </c>
      <c r="BK49" s="30">
        <f t="shared" si="17"/>
        <v>0</v>
      </c>
      <c r="BL49" s="30">
        <f t="shared" si="18"/>
        <v>7.9371378680847689E-5</v>
      </c>
      <c r="BM49" s="30">
        <f t="shared" si="19"/>
        <v>7.9383980312772889E-5</v>
      </c>
    </row>
    <row r="50" spans="1:65" hidden="1">
      <c r="A50" t="s">
        <v>151</v>
      </c>
      <c r="B50" s="17">
        <f>B49+1</f>
        <v>49</v>
      </c>
      <c r="C50" s="15">
        <v>1011</v>
      </c>
      <c r="D50" t="s">
        <v>165</v>
      </c>
      <c r="E50" t="s">
        <v>166</v>
      </c>
      <c r="F50" s="10" t="s">
        <v>167</v>
      </c>
      <c r="G50" s="10">
        <v>2009</v>
      </c>
      <c r="H50" s="10" t="s">
        <v>73</v>
      </c>
      <c r="I50">
        <v>40</v>
      </c>
      <c r="J50" t="s">
        <v>120</v>
      </c>
      <c r="K50" t="s">
        <v>94</v>
      </c>
      <c r="L50" s="17">
        <v>1</v>
      </c>
      <c r="M50">
        <v>0</v>
      </c>
      <c r="N50">
        <v>1</v>
      </c>
      <c r="O50">
        <v>0</v>
      </c>
      <c r="P50">
        <v>0</v>
      </c>
      <c r="Q50">
        <v>0</v>
      </c>
      <c r="R50">
        <v>0</v>
      </c>
      <c r="S50">
        <v>1</v>
      </c>
      <c r="T50">
        <v>0</v>
      </c>
      <c r="U50">
        <v>0</v>
      </c>
      <c r="V50">
        <v>0</v>
      </c>
      <c r="W50">
        <v>0</v>
      </c>
      <c r="X50">
        <v>0</v>
      </c>
      <c r="Y50">
        <v>0</v>
      </c>
      <c r="Z50" s="17" t="s">
        <v>168</v>
      </c>
      <c r="AA50" s="17" t="s">
        <v>78</v>
      </c>
      <c r="AB50" s="25">
        <v>1.4999999999999999E-4</v>
      </c>
      <c r="AC50" s="7" t="s">
        <v>86</v>
      </c>
      <c r="AD50" s="17">
        <v>2.9999999999999997E-4</v>
      </c>
      <c r="AE50" s="20" t="s">
        <v>73</v>
      </c>
      <c r="AF50" t="s">
        <v>73</v>
      </c>
      <c r="AG50" t="s">
        <v>73</v>
      </c>
      <c r="AH50" t="s">
        <v>73</v>
      </c>
      <c r="AI50" t="s">
        <v>73</v>
      </c>
      <c r="AJ50" t="s">
        <v>73</v>
      </c>
      <c r="AK50" t="s">
        <v>73</v>
      </c>
      <c r="AL50">
        <v>12600</v>
      </c>
      <c r="AM50">
        <v>12600</v>
      </c>
      <c r="AN50" t="s">
        <v>73</v>
      </c>
      <c r="AO50" s="17">
        <v>3</v>
      </c>
      <c r="AP50">
        <f t="shared" si="16"/>
        <v>0.5</v>
      </c>
      <c r="AQ50" t="s">
        <v>73</v>
      </c>
      <c r="AR50" t="s">
        <v>73</v>
      </c>
      <c r="AS50">
        <v>0</v>
      </c>
      <c r="AT50">
        <v>1</v>
      </c>
      <c r="AU50">
        <v>0</v>
      </c>
      <c r="AV50">
        <v>0</v>
      </c>
      <c r="AW50">
        <v>0</v>
      </c>
      <c r="AX50">
        <v>0</v>
      </c>
      <c r="AY50" t="s">
        <v>81</v>
      </c>
      <c r="AZ50" s="17" t="s">
        <v>73</v>
      </c>
      <c r="BA50" s="17" t="s">
        <v>73</v>
      </c>
      <c r="BB50" s="17">
        <v>0</v>
      </c>
      <c r="BC50" s="17">
        <v>0</v>
      </c>
      <c r="BD50" s="18" t="s">
        <v>83</v>
      </c>
      <c r="BE50" s="18" t="s">
        <v>83</v>
      </c>
      <c r="BF50" t="s">
        <v>73</v>
      </c>
      <c r="BI50" s="30">
        <f t="shared" si="20"/>
        <v>9.9204380865459011E-6</v>
      </c>
      <c r="BJ50" s="30">
        <f>- (((AP50^2)/(AP50^2+AM50))^1/2)</f>
        <v>-9.9204380865459011E-6</v>
      </c>
      <c r="BK50" s="30">
        <f t="shared" si="17"/>
        <v>-9.9204380868943857E-6</v>
      </c>
      <c r="BL50" s="30">
        <f t="shared" si="18"/>
        <v>7.9371378680847689E-5</v>
      </c>
      <c r="BM50" s="30">
        <f t="shared" si="19"/>
        <v>7.9383980312772889E-5</v>
      </c>
    </row>
    <row r="51" spans="1:65" hidden="1">
      <c r="A51" t="s">
        <v>151</v>
      </c>
      <c r="B51" s="17">
        <f>B50+1</f>
        <v>50</v>
      </c>
      <c r="C51" s="15">
        <v>1011</v>
      </c>
      <c r="D51" t="s">
        <v>165</v>
      </c>
      <c r="E51" t="s">
        <v>166</v>
      </c>
      <c r="F51" s="10" t="s">
        <v>167</v>
      </c>
      <c r="G51" s="10">
        <v>2009</v>
      </c>
      <c r="H51" s="10" t="s">
        <v>73</v>
      </c>
      <c r="I51">
        <v>40</v>
      </c>
      <c r="J51" t="s">
        <v>120</v>
      </c>
      <c r="K51" t="s">
        <v>94</v>
      </c>
      <c r="L51" s="17">
        <v>1</v>
      </c>
      <c r="M51">
        <v>0</v>
      </c>
      <c r="N51">
        <v>1</v>
      </c>
      <c r="O51">
        <v>0</v>
      </c>
      <c r="P51">
        <v>0</v>
      </c>
      <c r="Q51">
        <v>0</v>
      </c>
      <c r="R51">
        <v>0</v>
      </c>
      <c r="S51">
        <v>1</v>
      </c>
      <c r="T51">
        <v>0</v>
      </c>
      <c r="U51">
        <v>0</v>
      </c>
      <c r="V51">
        <v>0</v>
      </c>
      <c r="W51">
        <v>0</v>
      </c>
      <c r="X51">
        <v>0</v>
      </c>
      <c r="Y51">
        <v>0</v>
      </c>
      <c r="Z51" s="17" t="s">
        <v>168</v>
      </c>
      <c r="AA51" s="17" t="s">
        <v>78</v>
      </c>
      <c r="AB51" s="25">
        <v>1.3999999999999999E-4</v>
      </c>
      <c r="AC51" s="7" t="s">
        <v>86</v>
      </c>
      <c r="AD51" s="17">
        <v>2.9999999999999997E-4</v>
      </c>
      <c r="AE51" s="20" t="s">
        <v>73</v>
      </c>
      <c r="AF51" t="s">
        <v>73</v>
      </c>
      <c r="AG51" t="s">
        <v>73</v>
      </c>
      <c r="AH51" t="s">
        <v>73</v>
      </c>
      <c r="AI51" t="s">
        <v>73</v>
      </c>
      <c r="AJ51" t="s">
        <v>73</v>
      </c>
      <c r="AK51" t="s">
        <v>73</v>
      </c>
      <c r="AL51">
        <v>12600</v>
      </c>
      <c r="AM51">
        <v>12600</v>
      </c>
      <c r="AN51" t="s">
        <v>73</v>
      </c>
      <c r="AO51" s="17">
        <v>3</v>
      </c>
      <c r="AP51">
        <f t="shared" si="16"/>
        <v>0.46666666666666667</v>
      </c>
      <c r="AQ51" t="s">
        <v>73</v>
      </c>
      <c r="AR51" t="s">
        <v>73</v>
      </c>
      <c r="AS51">
        <v>0</v>
      </c>
      <c r="AT51">
        <v>1</v>
      </c>
      <c r="AU51">
        <v>0</v>
      </c>
      <c r="AV51">
        <v>0</v>
      </c>
      <c r="AW51">
        <v>0</v>
      </c>
      <c r="AX51">
        <v>0</v>
      </c>
      <c r="AY51" t="s">
        <v>81</v>
      </c>
      <c r="AZ51" s="17" t="s">
        <v>73</v>
      </c>
      <c r="BA51" s="17" t="s">
        <v>73</v>
      </c>
      <c r="BB51" s="17">
        <v>0</v>
      </c>
      <c r="BC51" s="17">
        <v>0</v>
      </c>
      <c r="BD51" s="18" t="s">
        <v>83</v>
      </c>
      <c r="BE51" s="18" t="s">
        <v>83</v>
      </c>
      <c r="BF51" t="s">
        <v>73</v>
      </c>
      <c r="BI51" s="30">
        <f t="shared" si="20"/>
        <v>8.6418259437491216E-6</v>
      </c>
      <c r="BJ51" s="30">
        <f>- (((AP51^2)/(AP51^2+AM51))^1/2)</f>
        <v>-8.6418259437491216E-6</v>
      </c>
      <c r="BK51" s="30">
        <f t="shared" si="17"/>
        <v>-8.6418259439751236E-6</v>
      </c>
      <c r="BL51" s="30">
        <f t="shared" si="18"/>
        <v>7.9371378680847689E-5</v>
      </c>
      <c r="BM51" s="30">
        <f t="shared" si="19"/>
        <v>7.9383980312772889E-5</v>
      </c>
    </row>
    <row r="52" spans="1:65" s="41" customFormat="1">
      <c r="A52" s="41" t="s">
        <v>68</v>
      </c>
      <c r="B52" s="41">
        <f>B51+1</f>
        <v>51</v>
      </c>
      <c r="C52" s="41">
        <v>1012</v>
      </c>
      <c r="D52" s="41" t="s">
        <v>169</v>
      </c>
      <c r="E52" s="41" t="s">
        <v>170</v>
      </c>
      <c r="F52" s="41" t="s">
        <v>171</v>
      </c>
      <c r="G52" s="41">
        <v>2010</v>
      </c>
      <c r="H52" s="41" t="s">
        <v>73</v>
      </c>
      <c r="I52" s="41">
        <v>11</v>
      </c>
      <c r="J52" s="41" t="s">
        <v>172</v>
      </c>
      <c r="K52" s="41" t="s">
        <v>76</v>
      </c>
      <c r="L52" s="41">
        <v>1</v>
      </c>
      <c r="M52" s="41">
        <v>0</v>
      </c>
      <c r="N52" s="41">
        <v>0</v>
      </c>
      <c r="O52" s="41">
        <v>0</v>
      </c>
      <c r="P52" s="41">
        <v>1</v>
      </c>
      <c r="Q52" s="41">
        <v>0</v>
      </c>
      <c r="R52" s="41">
        <v>1</v>
      </c>
      <c r="S52" s="41">
        <v>0</v>
      </c>
      <c r="T52" s="41">
        <v>0</v>
      </c>
      <c r="U52" s="41">
        <v>0</v>
      </c>
      <c r="V52" s="41">
        <v>0</v>
      </c>
      <c r="W52" s="41">
        <v>0</v>
      </c>
      <c r="X52" s="41">
        <v>0</v>
      </c>
      <c r="Y52" s="41">
        <v>0</v>
      </c>
      <c r="Z52" s="41" t="s">
        <v>164</v>
      </c>
      <c r="AA52" s="41" t="s">
        <v>173</v>
      </c>
      <c r="AB52" s="53">
        <v>2.3E-2</v>
      </c>
      <c r="AC52" s="48" t="s">
        <v>80</v>
      </c>
      <c r="AD52" s="41" t="s">
        <v>73</v>
      </c>
      <c r="AE52" s="41" t="s">
        <v>73</v>
      </c>
      <c r="AF52" s="41" t="s">
        <v>73</v>
      </c>
      <c r="AG52" s="41">
        <v>13471</v>
      </c>
      <c r="AH52" s="41" t="s">
        <v>73</v>
      </c>
      <c r="AI52" s="41" t="s">
        <v>73</v>
      </c>
      <c r="AJ52" s="41">
        <v>5672</v>
      </c>
      <c r="AK52" s="41" t="s">
        <v>73</v>
      </c>
      <c r="AL52" s="41">
        <f>AG52+AJ52</f>
        <v>19143</v>
      </c>
      <c r="AM52" s="41">
        <v>19143</v>
      </c>
      <c r="AN52" s="41">
        <v>0.1</v>
      </c>
      <c r="AO52" s="41">
        <v>1</v>
      </c>
      <c r="AP52" s="41" t="s">
        <v>73</v>
      </c>
      <c r="AQ52" s="41" t="s">
        <v>73</v>
      </c>
      <c r="AR52" s="41" t="s">
        <v>73</v>
      </c>
      <c r="AS52" s="41">
        <v>0</v>
      </c>
      <c r="AT52" s="41">
        <v>0</v>
      </c>
      <c r="AU52" s="41">
        <v>0</v>
      </c>
      <c r="AV52" s="41">
        <v>0</v>
      </c>
      <c r="AW52" s="41">
        <v>0</v>
      </c>
      <c r="AX52" s="41">
        <v>0</v>
      </c>
      <c r="AY52" s="41" t="s">
        <v>174</v>
      </c>
      <c r="AZ52" s="41" t="s">
        <v>73</v>
      </c>
      <c r="BA52" s="41" t="s">
        <v>73</v>
      </c>
      <c r="BB52" s="41">
        <v>0</v>
      </c>
      <c r="BC52" s="41">
        <v>0</v>
      </c>
      <c r="BD52" s="43" t="s">
        <v>83</v>
      </c>
      <c r="BE52" s="43" t="s">
        <v>83</v>
      </c>
      <c r="BF52" s="41" t="s">
        <v>73</v>
      </c>
      <c r="BG52" s="41">
        <f>5*4.345</f>
        <v>21.724999999999998</v>
      </c>
      <c r="BH52" s="41">
        <v>0</v>
      </c>
      <c r="BI52" s="51">
        <v>0</v>
      </c>
      <c r="BJ52" s="51">
        <v>0</v>
      </c>
      <c r="BK52" s="51">
        <f t="shared" si="17"/>
        <v>0</v>
      </c>
      <c r="BL52" s="51">
        <f t="shared" si="18"/>
        <v>5.2241145125901161E-5</v>
      </c>
      <c r="BM52" s="51">
        <f t="shared" si="19"/>
        <v>5.2246603970741903E-5</v>
      </c>
    </row>
    <row r="53" spans="1:65" s="41" customFormat="1">
      <c r="A53" s="41" t="s">
        <v>68</v>
      </c>
      <c r="B53" s="41">
        <v>52</v>
      </c>
      <c r="C53" s="41">
        <v>1013</v>
      </c>
      <c r="D53" s="41" t="s">
        <v>175</v>
      </c>
      <c r="E53" s="41" t="s">
        <v>176</v>
      </c>
      <c r="F53" s="41" t="s">
        <v>177</v>
      </c>
      <c r="G53" s="41">
        <v>2011</v>
      </c>
      <c r="H53" s="41" t="s">
        <v>73</v>
      </c>
      <c r="I53" s="41">
        <v>280</v>
      </c>
      <c r="J53" s="41" t="s">
        <v>93</v>
      </c>
      <c r="K53" s="41" t="s">
        <v>94</v>
      </c>
      <c r="L53" s="41">
        <v>1</v>
      </c>
      <c r="M53" s="41">
        <v>0</v>
      </c>
      <c r="N53" s="41">
        <v>1</v>
      </c>
      <c r="O53" s="41">
        <v>0</v>
      </c>
      <c r="P53" s="41">
        <v>0</v>
      </c>
      <c r="Q53" s="41">
        <v>0</v>
      </c>
      <c r="R53" s="41">
        <v>0</v>
      </c>
      <c r="S53" s="41">
        <v>0</v>
      </c>
      <c r="T53" s="41">
        <v>0</v>
      </c>
      <c r="U53" s="41">
        <v>1</v>
      </c>
      <c r="V53" s="41">
        <v>0</v>
      </c>
      <c r="W53" s="41">
        <v>0</v>
      </c>
      <c r="X53" s="41">
        <v>0</v>
      </c>
      <c r="Y53" s="41">
        <v>0</v>
      </c>
      <c r="Z53" s="41" t="s">
        <v>73</v>
      </c>
      <c r="AA53" s="41" t="s">
        <v>178</v>
      </c>
      <c r="AB53" s="49">
        <v>3.5900000000000001E-2</v>
      </c>
      <c r="AC53" s="48" t="s">
        <v>86</v>
      </c>
      <c r="AD53" s="41" t="s">
        <v>73</v>
      </c>
      <c r="AE53" s="41">
        <v>8</v>
      </c>
      <c r="AF53" s="41" t="s">
        <v>73</v>
      </c>
      <c r="AG53" s="41" t="s">
        <v>73</v>
      </c>
      <c r="AH53" s="41" t="s">
        <v>73</v>
      </c>
      <c r="AI53" s="41" t="s">
        <v>73</v>
      </c>
      <c r="AJ53" s="41" t="s">
        <v>73</v>
      </c>
      <c r="AK53" s="41" t="s">
        <v>73</v>
      </c>
      <c r="AL53" s="41">
        <v>1153</v>
      </c>
      <c r="AM53" s="41">
        <v>13923</v>
      </c>
      <c r="AN53" s="41" t="s">
        <v>73</v>
      </c>
      <c r="AO53" s="41">
        <v>3</v>
      </c>
      <c r="AP53" s="41">
        <v>1.01</v>
      </c>
      <c r="AQ53" s="41" t="s">
        <v>73</v>
      </c>
      <c r="AR53" s="41" t="s">
        <v>73</v>
      </c>
      <c r="AS53" s="41">
        <v>1</v>
      </c>
      <c r="AT53" s="41">
        <v>1</v>
      </c>
      <c r="AU53" s="41">
        <v>1</v>
      </c>
      <c r="AV53" s="41">
        <v>1</v>
      </c>
      <c r="AW53" s="41">
        <v>1</v>
      </c>
      <c r="AX53" s="41">
        <v>1</v>
      </c>
      <c r="AY53" s="41" t="s">
        <v>81</v>
      </c>
      <c r="AZ53" s="40">
        <v>1775.53</v>
      </c>
      <c r="BA53" s="41" t="s">
        <v>179</v>
      </c>
      <c r="BB53" s="41">
        <v>0</v>
      </c>
      <c r="BC53" s="41">
        <v>1</v>
      </c>
      <c r="BD53" s="43" t="s">
        <v>139</v>
      </c>
      <c r="BE53" s="43" t="s">
        <v>83</v>
      </c>
      <c r="BF53" s="41" t="s">
        <v>180</v>
      </c>
      <c r="BG53" s="41">
        <f>5*52.179</f>
        <v>260.89499999999998</v>
      </c>
      <c r="BH53" s="41">
        <v>0</v>
      </c>
      <c r="BI53" s="51">
        <f>(((AP53^2)/(AP53^2+AL53))^1/2)</f>
        <v>4.4197670387196897E-4</v>
      </c>
      <c r="BJ53" s="51">
        <f>- (((AP53^2)/(AP53^2+AM53))^1/2)</f>
        <v>-3.663094396136357E-5</v>
      </c>
      <c r="BK53" s="51">
        <f t="shared" si="17"/>
        <v>-3.6630943977768261E-5</v>
      </c>
      <c r="BL53" s="51">
        <f t="shared" si="18"/>
        <v>8.6805555555555551E-4</v>
      </c>
      <c r="BM53" s="51">
        <f t="shared" si="19"/>
        <v>8.6956521739130438E-4</v>
      </c>
    </row>
  </sheetData>
  <dataConsolidate/>
  <dataValidations count="10">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M11:M12 N29:N32 M14:M16 L1:L1048576" xr:uid="{00000000-0002-0000-0000-000000000000}">
      <formula1>0</formula1>
      <formula2>2</formula2>
    </dataValidation>
    <dataValidation type="whole" allowBlank="1" showInputMessage="1" showErrorMessage="1" prompt="Yes - 1_x000a_No - 0_x000a_" sqref="R1:W1 R2:Y9 X10:X12 BB43:BB52 BC29:BC32 S23:Y28 BB39:BC42 BC43:BC51 BC17:BC22 BB54:BB1048576 BB13:BC16 R33:Y1048576 BB17:BB38 BB1:BB12" xr:uid="{00000000-0002-0000-0000-000001000000}">
      <formula1>0</formula1>
      <formula2>1</formula2>
    </dataValidation>
    <dataValidation type="whole" allowBlank="1" showInputMessage="1" showErrorMessage="1" errorTitle="int" error="Choose 1 or 0" promptTitle="Intervention" prompt="Yes - 1_x000a_No - 0" sqref="M1:Q9 M10 Y10:Y12 N10:W12 O29:Y32 P23:R28 N17:O28 P17:Y22 M13 N13:Y16 M17:M32 M33:Q1048576" xr:uid="{00000000-0002-0000-0000-000002000000}">
      <formula1>0</formula1>
      <formula2>1</formula2>
    </dataValidation>
    <dataValidation type="whole" allowBlank="1" showInputMessage="1" showErrorMessage="1" prompt="1- lower bound_x000a_2 - upper bound_x000a_3- actual" sqref="AO54:AO1048576 AO43:AO52 AO1:AO38" xr:uid="{00000000-0002-0000-0000-000003000000}">
      <formula1>0</formula1>
      <formula2>3</formula2>
    </dataValidation>
    <dataValidation allowBlank="1" showInputMessage="1" showErrorMessage="1" prompt="Yes - 1_x000a_No - 0_x000a_" sqref="X1" xr:uid="{00000000-0002-0000-0000-000004000000}"/>
    <dataValidation allowBlank="1" showInputMessage="1" showErrorMessage="1" sqref="BA53 AR53" xr:uid="{00000000-0002-0000-0000-000005000000}"/>
    <dataValidation type="list" allowBlank="1" showInputMessage="1" showErrorMessage="1" sqref="J23:J37 J1:J12" xr:uid="{00000000-0002-0000-0000-000006000000}">
      <formula1>$F$2:$F$9</formula1>
    </dataValidation>
    <dataValidation type="list" allowBlank="1" showInputMessage="1" showErrorMessage="1" sqref="K23:K37 K1:K12" xr:uid="{00000000-0002-0000-0000-000007000000}">
      <formula1>$D$2:$D$6</formula1>
    </dataValidation>
    <dataValidation type="list" allowBlank="1" showInputMessage="1" showErrorMessage="1" sqref="K43:K51" xr:uid="{00000000-0002-0000-0000-000008000000}">
      <formula1>$D$2:$D$7</formula1>
    </dataValidation>
    <dataValidation type="list" allowBlank="1" showInputMessage="1" showErrorMessage="1" sqref="J43:J51" xr:uid="{00000000-0002-0000-0000-000009000000}">
      <formula1>$F$2:$F$10</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prompt="Option to Opt/in - 1_x000a_No Option to Opt/in - 0_x000a_NA_x000a__x000a_" xr:uid="{00000000-0002-0000-0000-00000A000000}">
          <x14:formula1>
            <xm:f>'Lists for variables'!$B$2:$B$4</xm:f>
          </x14:formula1>
          <xm:sqref>BC23:BC28 BC54:BC1048576 BC33:BC38 BC1:BC12</xm:sqref>
        </x14:dataValidation>
        <x14:dataValidation type="list" allowBlank="1" showInputMessage="1" showErrorMessage="1" xr:uid="{00000000-0002-0000-0000-00000B000000}">
          <x14:formula1>
            <xm:f>'Lists for variables'!$F$2:$F$9</xm:f>
          </x14:formula1>
          <xm:sqref>J54:J1048576</xm:sqref>
        </x14:dataValidation>
        <x14:dataValidation type="list" allowBlank="1" showInputMessage="1" showErrorMessage="1" xr:uid="{00000000-0002-0000-0000-00000C000000}">
          <x14:formula1>
            <xm:f>'Lists for variables'!$A$2:$A$4</xm:f>
          </x14:formula1>
          <xm:sqref>AS43:AX51 AS54:AX1048576 AS23:AX38 AS2:AX12</xm:sqref>
        </x14:dataValidation>
        <x14:dataValidation type="list" allowBlank="1" showInputMessage="1" showErrorMessage="1" xr:uid="{00000000-0002-0000-0000-00000D000000}">
          <x14:formula1>
            <xm:f>'Lists for variables'!$F$2:$F$10</xm:f>
          </x14:formula1>
          <xm:sqref>J38</xm:sqref>
        </x14:dataValidation>
        <x14:dataValidation type="list" allowBlank="1" showInputMessage="1" showErrorMessage="1" xr:uid="{00000000-0002-0000-0000-00000E000000}">
          <x14:formula1>
            <xm:f>'Lists for variables'!$E$2:$E$4</xm:f>
          </x14:formula1>
          <xm:sqref>AO43:AO51</xm:sqref>
        </x14:dataValidation>
        <x14:dataValidation type="list" allowBlank="1" showInputMessage="1" showErrorMessage="1" xr:uid="{00000000-0002-0000-0000-00000F000000}">
          <x14:formula1>
            <xm:f>'Lists for variables'!$D$2:$D$6</xm:f>
          </x14:formula1>
          <xm:sqref>K54:K1048576</xm:sqref>
        </x14:dataValidation>
        <x14:dataValidation type="list" allowBlank="1" showInputMessage="1" showErrorMessage="1" xr:uid="{00000000-0002-0000-0000-000010000000}">
          <x14:formula1>
            <xm:f>'Lists for variables'!$D$2:$D$7</xm:f>
          </x14:formula1>
          <xm:sqref>K38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EE52"/>
  <sheetViews>
    <sheetView tabSelected="1" zoomScale="70" zoomScaleNormal="70" workbookViewId="0">
      <pane xSplit="1" ySplit="1" topLeftCell="AN2" activePane="bottomRight" state="frozen"/>
      <selection pane="topRight" activeCell="B1" sqref="B1"/>
      <selection pane="bottomLeft" activeCell="A2" sqref="A2"/>
      <selection pane="bottomRight" activeCell="B1" sqref="B1"/>
    </sheetView>
  </sheetViews>
  <sheetFormatPr baseColWidth="10" defaultColWidth="11" defaultRowHeight="15.75" customHeight="1"/>
  <cols>
    <col min="5" max="5" width="24.6640625" customWidth="1"/>
    <col min="6" max="6" width="17.6640625" customWidth="1"/>
    <col min="7" max="7" width="14.1640625" customWidth="1"/>
    <col min="8" max="8" width="16.5" customWidth="1"/>
    <col min="9" max="9" width="11" customWidth="1"/>
    <col min="10" max="10" width="16.1640625" customWidth="1"/>
    <col min="11" max="11" width="15.1640625" bestFit="1" customWidth="1"/>
    <col min="13" max="13" width="20.6640625" bestFit="1" customWidth="1"/>
    <col min="14" max="14" width="13.1640625" customWidth="1"/>
    <col min="15" max="15" width="11" customWidth="1"/>
    <col min="16" max="16" width="14.6640625" customWidth="1"/>
    <col min="17" max="17" width="13.1640625" customWidth="1"/>
    <col min="18" max="18" width="15" customWidth="1"/>
    <col min="19" max="19" width="14.1640625" customWidth="1"/>
    <col min="20" max="20" width="11" customWidth="1"/>
    <col min="21" max="21" width="21.1640625" customWidth="1"/>
    <col min="22" max="22" width="16" customWidth="1"/>
    <col min="23" max="23" width="14.6640625" customWidth="1"/>
    <col min="24" max="24" width="12.5" customWidth="1"/>
    <col min="25" max="33" width="11" customWidth="1"/>
    <col min="34" max="35" width="16" customWidth="1"/>
    <col min="36" max="39" width="11" customWidth="1"/>
    <col min="40" max="41" width="12.1640625" customWidth="1"/>
    <col min="42" max="42" width="11" customWidth="1"/>
    <col min="43" max="43" width="27.6640625" customWidth="1"/>
    <col min="44" max="44" width="41.1640625" bestFit="1" customWidth="1"/>
    <col min="45" max="45" width="54.6640625" customWidth="1"/>
    <col min="46" max="46" width="21" customWidth="1"/>
    <col min="47" max="47" width="26.6640625" style="7" customWidth="1"/>
    <col min="48" max="48" width="14.1640625" style="7" customWidth="1"/>
    <col min="49" max="49" width="13.1640625" customWidth="1"/>
    <col min="50" max="50" width="9.6640625" customWidth="1"/>
    <col min="51" max="51" width="17" customWidth="1"/>
    <col min="52" max="52" width="9"/>
    <col min="53" max="54" width="14.1640625" customWidth="1"/>
    <col min="55" max="55" width="13.6640625" customWidth="1"/>
    <col min="56" max="56" width="12.6640625" customWidth="1"/>
    <col min="57" max="57" width="10.6640625" customWidth="1"/>
    <col min="58" max="58" width="13" customWidth="1"/>
    <col min="59" max="60" width="10.6640625" customWidth="1"/>
    <col min="61" max="62" width="11.1640625" customWidth="1"/>
    <col min="63" max="64" width="11" customWidth="1"/>
    <col min="65" max="65" width="12.6640625" customWidth="1"/>
    <col min="66" max="66" width="18.1640625" customWidth="1"/>
    <col min="67" max="67" width="22.1640625" customWidth="1"/>
    <col min="68" max="68" width="15.1640625" customWidth="1"/>
    <col min="69" max="69" width="18" customWidth="1"/>
    <col min="70" max="70" width="17.1640625" customWidth="1"/>
    <col min="71" max="71" width="21.1640625" customWidth="1"/>
    <col min="72" max="72" width="10.1640625" customWidth="1"/>
    <col min="73" max="73" width="13" customWidth="1"/>
    <col min="74" max="74" width="14" customWidth="1"/>
    <col min="75" max="75" width="13.1640625" customWidth="1"/>
    <col min="82" max="82" width="24" customWidth="1"/>
  </cols>
  <sheetData>
    <row r="1" spans="1:86" ht="17" customHeight="1">
      <c r="A1" s="58" t="s">
        <v>181</v>
      </c>
      <c r="B1" s="58" t="s">
        <v>596</v>
      </c>
      <c r="C1" s="58" t="s">
        <v>1</v>
      </c>
      <c r="D1" s="58" t="s">
        <v>2</v>
      </c>
      <c r="E1" s="59" t="s">
        <v>182</v>
      </c>
      <c r="F1" s="60" t="s">
        <v>183</v>
      </c>
      <c r="G1" s="61" t="s">
        <v>4</v>
      </c>
      <c r="H1" s="62" t="s">
        <v>5</v>
      </c>
      <c r="I1" s="63" t="s">
        <v>11</v>
      </c>
      <c r="J1" s="63" t="s">
        <v>6</v>
      </c>
      <c r="K1" s="63" t="s">
        <v>7</v>
      </c>
      <c r="L1" s="63" t="s">
        <v>8</v>
      </c>
      <c r="M1" s="106" t="s">
        <v>9</v>
      </c>
      <c r="N1" s="63" t="s">
        <v>10</v>
      </c>
      <c r="O1" s="64" t="s">
        <v>50</v>
      </c>
      <c r="P1" s="65" t="s">
        <v>184</v>
      </c>
      <c r="Q1" s="66" t="s">
        <v>185</v>
      </c>
      <c r="R1" s="66" t="s">
        <v>186</v>
      </c>
      <c r="S1" s="66" t="s">
        <v>187</v>
      </c>
      <c r="T1" s="67" t="s">
        <v>188</v>
      </c>
      <c r="U1" s="66" t="s">
        <v>53</v>
      </c>
      <c r="V1" s="68" t="s">
        <v>55</v>
      </c>
      <c r="W1" s="69" t="s">
        <v>56</v>
      </c>
      <c r="X1" s="70" t="s">
        <v>189</v>
      </c>
      <c r="Y1" s="71" t="s">
        <v>12</v>
      </c>
      <c r="Z1" s="72" t="s">
        <v>14</v>
      </c>
      <c r="AA1" s="72" t="s">
        <v>15</v>
      </c>
      <c r="AB1" s="72" t="s">
        <v>13</v>
      </c>
      <c r="AC1" s="72" t="s">
        <v>16</v>
      </c>
      <c r="AD1" s="72" t="s">
        <v>190</v>
      </c>
      <c r="AE1" s="72" t="s">
        <v>191</v>
      </c>
      <c r="AF1" s="72" t="s">
        <v>192</v>
      </c>
      <c r="AG1" s="72" t="s">
        <v>193</v>
      </c>
      <c r="AH1" s="73" t="s">
        <v>17</v>
      </c>
      <c r="AI1" s="74" t="s">
        <v>194</v>
      </c>
      <c r="AJ1" s="74" t="s">
        <v>595</v>
      </c>
      <c r="AK1" s="74" t="s">
        <v>19</v>
      </c>
      <c r="AL1" s="74" t="s">
        <v>20</v>
      </c>
      <c r="AM1" s="74" t="s">
        <v>21</v>
      </c>
      <c r="AN1" s="74" t="s">
        <v>22</v>
      </c>
      <c r="AO1" s="74" t="s">
        <v>195</v>
      </c>
      <c r="AP1" s="74" t="s">
        <v>24</v>
      </c>
      <c r="AQ1" s="75" t="s">
        <v>196</v>
      </c>
      <c r="AR1" s="58" t="s">
        <v>197</v>
      </c>
      <c r="AS1" s="58" t="s">
        <v>198</v>
      </c>
      <c r="AT1" s="58" t="s">
        <v>199</v>
      </c>
      <c r="AU1" s="58" t="s">
        <v>27</v>
      </c>
      <c r="AV1" s="58" t="s">
        <v>28</v>
      </c>
      <c r="AW1" s="59" t="s">
        <v>29</v>
      </c>
      <c r="AX1" s="76" t="s">
        <v>39</v>
      </c>
      <c r="AY1" s="77" t="s">
        <v>40</v>
      </c>
      <c r="AZ1" s="77" t="s">
        <v>200</v>
      </c>
      <c r="BA1" s="78" t="s">
        <v>201</v>
      </c>
      <c r="BB1" s="79" t="s">
        <v>202</v>
      </c>
      <c r="BC1" s="80" t="s">
        <v>31</v>
      </c>
      <c r="BD1" s="81" t="s">
        <v>32</v>
      </c>
      <c r="BE1" s="81" t="s">
        <v>33</v>
      </c>
      <c r="BF1" s="81" t="s">
        <v>34</v>
      </c>
      <c r="BG1" s="81" t="s">
        <v>35</v>
      </c>
      <c r="BH1" s="81" t="s">
        <v>36</v>
      </c>
      <c r="BI1" s="81" t="s">
        <v>37</v>
      </c>
      <c r="BJ1" s="81" t="s">
        <v>38</v>
      </c>
      <c r="BK1" s="81" t="s">
        <v>42</v>
      </c>
      <c r="BL1" s="82" t="s">
        <v>43</v>
      </c>
      <c r="BM1" s="83" t="s">
        <v>203</v>
      </c>
      <c r="BN1" s="84" t="s">
        <v>204</v>
      </c>
      <c r="BO1" s="85" t="s">
        <v>205</v>
      </c>
      <c r="BP1" s="86" t="s">
        <v>206</v>
      </c>
      <c r="BQ1" s="87" t="s">
        <v>207</v>
      </c>
      <c r="BR1" s="87" t="s">
        <v>208</v>
      </c>
      <c r="BS1" s="87" t="s">
        <v>209</v>
      </c>
      <c r="BT1" s="85" t="s">
        <v>210</v>
      </c>
      <c r="BU1" s="88" t="s">
        <v>211</v>
      </c>
      <c r="BV1" s="89" t="s">
        <v>212</v>
      </c>
      <c r="BW1" s="90" t="s">
        <v>213</v>
      </c>
      <c r="BX1" s="28" t="s">
        <v>60</v>
      </c>
      <c r="BY1" s="91" t="s">
        <v>62</v>
      </c>
      <c r="BZ1" s="92" t="s">
        <v>63</v>
      </c>
      <c r="CA1" s="92" t="s">
        <v>64</v>
      </c>
      <c r="CB1" t="s">
        <v>65</v>
      </c>
      <c r="CC1" t="s">
        <v>214</v>
      </c>
      <c r="CD1" t="s">
        <v>215</v>
      </c>
      <c r="CE1" s="28" t="s">
        <v>216</v>
      </c>
      <c r="CF1" s="91" t="s">
        <v>217</v>
      </c>
      <c r="CG1" s="92" t="s">
        <v>218</v>
      </c>
      <c r="CH1" s="92" t="s">
        <v>219</v>
      </c>
    </row>
    <row r="2" spans="1:86" ht="18" customHeight="1">
      <c r="A2" s="11" t="s">
        <v>220</v>
      </c>
      <c r="B2" s="11"/>
      <c r="C2" s="11">
        <v>1004</v>
      </c>
      <c r="D2" s="11">
        <v>102</v>
      </c>
      <c r="E2" s="11" t="s">
        <v>221</v>
      </c>
      <c r="F2" s="11">
        <v>2016</v>
      </c>
      <c r="G2" t="s">
        <v>222</v>
      </c>
      <c r="H2" s="10" t="s">
        <v>223</v>
      </c>
      <c r="I2" s="18">
        <v>2</v>
      </c>
      <c r="J2" s="11" t="s">
        <v>224</v>
      </c>
      <c r="K2" s="11" t="s">
        <v>73</v>
      </c>
      <c r="L2" s="18">
        <v>689</v>
      </c>
      <c r="M2" s="18" t="s">
        <v>93</v>
      </c>
      <c r="N2" s="10" t="s">
        <v>225</v>
      </c>
      <c r="O2" s="18" t="s">
        <v>81</v>
      </c>
      <c r="P2" s="11" t="s">
        <v>226</v>
      </c>
      <c r="Q2" t="s">
        <v>227</v>
      </c>
      <c r="R2" s="18" t="s">
        <v>228</v>
      </c>
      <c r="S2" s="18">
        <v>0</v>
      </c>
      <c r="T2" s="11" t="s">
        <v>229</v>
      </c>
      <c r="U2" s="18">
        <v>0</v>
      </c>
      <c r="V2" s="11" t="s">
        <v>230</v>
      </c>
      <c r="W2" s="11" t="s">
        <v>230</v>
      </c>
      <c r="X2" s="18" t="s">
        <v>73</v>
      </c>
      <c r="Y2" s="18">
        <v>0</v>
      </c>
      <c r="Z2" s="18">
        <v>0</v>
      </c>
      <c r="AA2" s="18">
        <v>0</v>
      </c>
      <c r="AB2" s="18">
        <v>1</v>
      </c>
      <c r="AC2" s="18">
        <v>0</v>
      </c>
      <c r="AD2" s="11">
        <v>0</v>
      </c>
      <c r="AE2" s="11">
        <v>0</v>
      </c>
      <c r="AF2" s="11">
        <v>0</v>
      </c>
      <c r="AG2" s="18" t="s">
        <v>73</v>
      </c>
      <c r="AH2" s="18">
        <v>1</v>
      </c>
      <c r="AI2" s="18">
        <v>0</v>
      </c>
      <c r="AJ2" s="18">
        <v>1</v>
      </c>
      <c r="AK2" s="18">
        <v>1</v>
      </c>
      <c r="AL2" s="18">
        <v>0</v>
      </c>
      <c r="AM2" s="18">
        <v>0</v>
      </c>
      <c r="AN2" s="18">
        <v>0</v>
      </c>
      <c r="AO2" s="18">
        <v>1</v>
      </c>
      <c r="AP2" s="18">
        <v>0</v>
      </c>
      <c r="AQ2" s="18" t="s">
        <v>231</v>
      </c>
      <c r="AR2" s="10" t="s">
        <v>232</v>
      </c>
      <c r="AS2" s="10" t="s">
        <v>233</v>
      </c>
      <c r="AT2" s="11" t="s">
        <v>73</v>
      </c>
      <c r="AU2" s="98">
        <v>3.3000000000000002E-2</v>
      </c>
      <c r="AV2" s="99" t="s">
        <v>80</v>
      </c>
      <c r="AW2" s="18">
        <v>1.7000000000000001E-2</v>
      </c>
      <c r="AX2" s="18">
        <v>0.05</v>
      </c>
      <c r="AY2" s="18">
        <v>1</v>
      </c>
      <c r="AZ2" s="18">
        <f t="shared" ref="AZ2:AZ10" si="0">AU2/AW2</f>
        <v>1.9411764705882353</v>
      </c>
      <c r="BA2" s="100">
        <f t="shared" ref="BA2:BA28" si="1">AU2</f>
        <v>3.3000000000000002E-2</v>
      </c>
      <c r="BB2" s="11"/>
      <c r="BC2" s="11" t="s">
        <v>73</v>
      </c>
      <c r="BD2" s="11" t="s">
        <v>73</v>
      </c>
      <c r="BE2" s="11" t="s">
        <v>73</v>
      </c>
      <c r="BF2" s="11" t="s">
        <v>73</v>
      </c>
      <c r="BG2" s="11" t="s">
        <v>73</v>
      </c>
      <c r="BH2" s="11" t="s">
        <v>73</v>
      </c>
      <c r="BI2" s="94">
        <v>1128</v>
      </c>
      <c r="BJ2" s="94">
        <v>1128</v>
      </c>
      <c r="BK2" s="11" t="s">
        <v>73</v>
      </c>
      <c r="BL2" s="11" t="s">
        <v>73</v>
      </c>
      <c r="BM2" s="11" t="s">
        <v>73</v>
      </c>
      <c r="BN2" s="11" t="s">
        <v>73</v>
      </c>
      <c r="BO2" s="11" t="s">
        <v>73</v>
      </c>
      <c r="BP2" s="11" t="s">
        <v>73</v>
      </c>
      <c r="BQ2" s="11" t="s">
        <v>73</v>
      </c>
      <c r="BR2" s="11" t="s">
        <v>73</v>
      </c>
      <c r="BS2" s="11" t="s">
        <v>73</v>
      </c>
      <c r="BT2" s="11" t="s">
        <v>73</v>
      </c>
      <c r="BU2" s="18">
        <v>1</v>
      </c>
      <c r="BV2" s="18">
        <v>1</v>
      </c>
      <c r="BW2" s="18">
        <v>1</v>
      </c>
      <c r="BX2" s="96">
        <f>((AZ2^2)/(AZ2^2+BJ2))^(1/2)</f>
        <v>5.7701390824540712E-2</v>
      </c>
      <c r="BY2" s="30">
        <f t="shared" ref="BY2:BY38" si="2">0.5*LN((1+BX2)/(1-BX2))</f>
        <v>5.7765557031227328E-2</v>
      </c>
      <c r="BZ2" s="30">
        <f>((1-(BY2^2)^2)/(BJ2-1))</f>
        <v>8.8730156643136563E-4</v>
      </c>
      <c r="CA2" s="30">
        <f>1/(BJ2-3)</f>
        <v>8.8888888888888893E-4</v>
      </c>
      <c r="CE2" s="30">
        <f t="shared" ref="CE2:CE38" si="3">((AZ2^2)/(AZ2^2+BJ2))^(1/2)</f>
        <v>5.7701390824540712E-2</v>
      </c>
      <c r="CF2" s="30">
        <f t="shared" ref="CF2:CF38" si="4">0.5*LN((1+CE2)/(1-CE2))</f>
        <v>5.7765557031227328E-2</v>
      </c>
      <c r="CG2" s="30">
        <f t="shared" ref="CG2:CG38" si="5">((1-(CF2^2)^2)/(BJ2-1))</f>
        <v>8.8730156643136563E-4</v>
      </c>
      <c r="CH2" s="30">
        <f t="shared" ref="CH2:CH38" si="6">1/(BJ2-3)</f>
        <v>8.8888888888888893E-4</v>
      </c>
    </row>
    <row r="3" spans="1:86" ht="18" customHeight="1">
      <c r="A3" s="11" t="s">
        <v>220</v>
      </c>
      <c r="B3" s="11"/>
      <c r="C3" s="11">
        <v>1005</v>
      </c>
      <c r="D3" s="11">
        <v>102</v>
      </c>
      <c r="E3" s="11" t="s">
        <v>221</v>
      </c>
      <c r="F3" s="11">
        <v>2016</v>
      </c>
      <c r="G3" t="s">
        <v>222</v>
      </c>
      <c r="H3" s="10" t="s">
        <v>223</v>
      </c>
      <c r="I3" s="18">
        <v>2</v>
      </c>
      <c r="J3" s="11" t="s">
        <v>224</v>
      </c>
      <c r="K3" s="11" t="s">
        <v>73</v>
      </c>
      <c r="L3" s="18">
        <v>689</v>
      </c>
      <c r="M3" s="18" t="s">
        <v>234</v>
      </c>
      <c r="N3" s="10" t="s">
        <v>225</v>
      </c>
      <c r="O3" s="18" t="s">
        <v>81</v>
      </c>
      <c r="P3" s="11" t="s">
        <v>226</v>
      </c>
      <c r="Q3" t="s">
        <v>227</v>
      </c>
      <c r="R3" s="18" t="s">
        <v>228</v>
      </c>
      <c r="S3" s="18">
        <v>0</v>
      </c>
      <c r="T3" s="11" t="s">
        <v>229</v>
      </c>
      <c r="U3" s="18">
        <v>0</v>
      </c>
      <c r="V3" s="11" t="s">
        <v>230</v>
      </c>
      <c r="W3" s="11" t="s">
        <v>230</v>
      </c>
      <c r="X3" s="18" t="s">
        <v>73</v>
      </c>
      <c r="Y3" s="18">
        <v>0</v>
      </c>
      <c r="Z3" s="18">
        <v>0</v>
      </c>
      <c r="AA3" s="18">
        <v>0</v>
      </c>
      <c r="AB3" s="18">
        <v>1</v>
      </c>
      <c r="AC3" s="18">
        <v>0</v>
      </c>
      <c r="AD3" s="11">
        <v>0</v>
      </c>
      <c r="AE3" s="11">
        <v>0</v>
      </c>
      <c r="AF3" s="11">
        <v>0</v>
      </c>
      <c r="AG3" s="18" t="s">
        <v>73</v>
      </c>
      <c r="AH3" s="18">
        <v>1</v>
      </c>
      <c r="AI3" s="18">
        <v>0</v>
      </c>
      <c r="AJ3" s="18">
        <v>1</v>
      </c>
      <c r="AK3" s="18">
        <v>1</v>
      </c>
      <c r="AL3" s="18">
        <v>0</v>
      </c>
      <c r="AM3" s="18">
        <v>0</v>
      </c>
      <c r="AN3" s="18">
        <v>0</v>
      </c>
      <c r="AO3" s="18">
        <v>1</v>
      </c>
      <c r="AP3" s="18">
        <v>0</v>
      </c>
      <c r="AQ3" s="18" t="s">
        <v>231</v>
      </c>
      <c r="AR3" s="10" t="s">
        <v>232</v>
      </c>
      <c r="AS3" s="10" t="s">
        <v>233</v>
      </c>
      <c r="AT3" s="11" t="s">
        <v>73</v>
      </c>
      <c r="AU3" s="98">
        <v>0.107</v>
      </c>
      <c r="AV3" s="99" t="s">
        <v>80</v>
      </c>
      <c r="AW3" s="18">
        <v>0.124</v>
      </c>
      <c r="AX3" s="18">
        <v>0.1</v>
      </c>
      <c r="AY3" s="18">
        <v>2</v>
      </c>
      <c r="AZ3" s="18">
        <f t="shared" si="0"/>
        <v>0.86290322580645162</v>
      </c>
      <c r="BA3" s="100">
        <f t="shared" si="1"/>
        <v>0.107</v>
      </c>
      <c r="BB3" s="11"/>
      <c r="BC3" s="11" t="s">
        <v>73</v>
      </c>
      <c r="BD3" s="11" t="s">
        <v>73</v>
      </c>
      <c r="BE3" s="11" t="s">
        <v>73</v>
      </c>
      <c r="BF3" s="11" t="s">
        <v>73</v>
      </c>
      <c r="BG3" s="11" t="s">
        <v>73</v>
      </c>
      <c r="BH3" s="11" t="s">
        <v>73</v>
      </c>
      <c r="BI3" s="94">
        <v>1104</v>
      </c>
      <c r="BJ3" s="94">
        <v>1104</v>
      </c>
      <c r="BK3" s="11" t="s">
        <v>73</v>
      </c>
      <c r="BL3" s="11" t="s">
        <v>73</v>
      </c>
      <c r="BM3" s="11" t="s">
        <v>73</v>
      </c>
      <c r="BN3" s="11" t="s">
        <v>73</v>
      </c>
      <c r="BO3" s="11" t="s">
        <v>73</v>
      </c>
      <c r="BP3" s="11" t="s">
        <v>73</v>
      </c>
      <c r="BQ3" s="11" t="s">
        <v>73</v>
      </c>
      <c r="BR3" s="11" t="s">
        <v>73</v>
      </c>
      <c r="BS3" s="11" t="s">
        <v>73</v>
      </c>
      <c r="BT3" s="11" t="s">
        <v>73</v>
      </c>
      <c r="BU3" s="18">
        <v>1</v>
      </c>
      <c r="BV3" s="18">
        <v>1</v>
      </c>
      <c r="BW3" s="18">
        <v>1</v>
      </c>
      <c r="BX3" s="96">
        <f>((AZ3^2)/(AZ3^2+BJ3))^(1/2)</f>
        <v>2.5961581715718191E-2</v>
      </c>
      <c r="BY3" s="30">
        <f t="shared" si="2"/>
        <v>2.5967416809887796E-2</v>
      </c>
      <c r="BZ3" s="30">
        <f>((1-(BY3^2)^2)/(BJ3-1))</f>
        <v>9.0661790146004178E-4</v>
      </c>
      <c r="CA3" s="30">
        <f>1/(BJ3-3)</f>
        <v>9.0826521344232513E-4</v>
      </c>
      <c r="CE3" s="30">
        <f t="shared" si="3"/>
        <v>2.5961581715718191E-2</v>
      </c>
      <c r="CF3" s="30">
        <f t="shared" si="4"/>
        <v>2.5967416809887796E-2</v>
      </c>
      <c r="CG3" s="30">
        <f t="shared" si="5"/>
        <v>9.0661790146004178E-4</v>
      </c>
      <c r="CH3" s="30">
        <f t="shared" si="6"/>
        <v>9.0826521344232513E-4</v>
      </c>
    </row>
    <row r="4" spans="1:86" ht="18" customHeight="1">
      <c r="A4" s="11" t="s">
        <v>220</v>
      </c>
      <c r="B4" s="11"/>
      <c r="C4" s="11">
        <v>1006</v>
      </c>
      <c r="D4" s="11">
        <v>102</v>
      </c>
      <c r="E4" s="11" t="s">
        <v>221</v>
      </c>
      <c r="F4" s="11">
        <v>2016</v>
      </c>
      <c r="G4" t="s">
        <v>222</v>
      </c>
      <c r="H4" s="10" t="s">
        <v>223</v>
      </c>
      <c r="I4" s="18">
        <v>2</v>
      </c>
      <c r="J4" s="11" t="s">
        <v>224</v>
      </c>
      <c r="K4" s="11" t="s">
        <v>73</v>
      </c>
      <c r="L4" s="18">
        <v>689</v>
      </c>
      <c r="M4" s="18" t="s">
        <v>235</v>
      </c>
      <c r="N4" s="10" t="s">
        <v>225</v>
      </c>
      <c r="O4" s="18" t="s">
        <v>81</v>
      </c>
      <c r="P4" s="11" t="s">
        <v>226</v>
      </c>
      <c r="Q4" t="s">
        <v>227</v>
      </c>
      <c r="R4" s="18" t="s">
        <v>228</v>
      </c>
      <c r="S4" s="18">
        <v>0</v>
      </c>
      <c r="T4" s="11" t="s">
        <v>229</v>
      </c>
      <c r="U4" s="18">
        <v>0</v>
      </c>
      <c r="V4" s="11" t="s">
        <v>230</v>
      </c>
      <c r="W4" s="11" t="s">
        <v>230</v>
      </c>
      <c r="X4" s="18" t="s">
        <v>73</v>
      </c>
      <c r="Y4" s="18">
        <v>0</v>
      </c>
      <c r="Z4" s="18">
        <v>0</v>
      </c>
      <c r="AA4" s="18">
        <v>0</v>
      </c>
      <c r="AB4" s="18">
        <v>1</v>
      </c>
      <c r="AC4" s="18">
        <v>0</v>
      </c>
      <c r="AD4" s="11">
        <v>0</v>
      </c>
      <c r="AE4" s="11">
        <v>0</v>
      </c>
      <c r="AF4" s="11">
        <v>0</v>
      </c>
      <c r="AG4" s="18" t="s">
        <v>73</v>
      </c>
      <c r="AH4" s="18">
        <v>1</v>
      </c>
      <c r="AI4" s="18">
        <v>0</v>
      </c>
      <c r="AJ4" s="18">
        <v>1</v>
      </c>
      <c r="AK4" s="18">
        <v>1</v>
      </c>
      <c r="AL4" s="18">
        <v>0</v>
      </c>
      <c r="AM4" s="18">
        <v>0</v>
      </c>
      <c r="AN4" s="18">
        <v>0</v>
      </c>
      <c r="AO4" s="18">
        <v>1</v>
      </c>
      <c r="AP4" s="18">
        <v>0</v>
      </c>
      <c r="AQ4" s="18" t="s">
        <v>231</v>
      </c>
      <c r="AR4" s="10" t="s">
        <v>232</v>
      </c>
      <c r="AS4" s="10" t="s">
        <v>233</v>
      </c>
      <c r="AT4" s="11" t="s">
        <v>73</v>
      </c>
      <c r="AU4" s="98">
        <v>6.6000000000000003E-2</v>
      </c>
      <c r="AV4" s="99" t="s">
        <v>80</v>
      </c>
      <c r="AW4" s="18">
        <v>3.1E-2</v>
      </c>
      <c r="AX4" s="18">
        <v>0.05</v>
      </c>
      <c r="AY4" s="18">
        <v>1</v>
      </c>
      <c r="AZ4" s="18">
        <f t="shared" si="0"/>
        <v>2.1290322580645165</v>
      </c>
      <c r="BA4" s="100">
        <f t="shared" si="1"/>
        <v>6.6000000000000003E-2</v>
      </c>
      <c r="BB4" s="11"/>
      <c r="BC4" s="11" t="s">
        <v>73</v>
      </c>
      <c r="BD4" s="11" t="s">
        <v>73</v>
      </c>
      <c r="BE4" s="11" t="s">
        <v>73</v>
      </c>
      <c r="BF4" s="11" t="s">
        <v>73</v>
      </c>
      <c r="BG4" s="11" t="s">
        <v>73</v>
      </c>
      <c r="BH4" s="11" t="s">
        <v>73</v>
      </c>
      <c r="BI4" s="94">
        <v>1128</v>
      </c>
      <c r="BJ4" s="94">
        <v>1128</v>
      </c>
      <c r="BK4" s="11" t="s">
        <v>73</v>
      </c>
      <c r="BL4" s="11" t="s">
        <v>73</v>
      </c>
      <c r="BM4" s="11" t="s">
        <v>73</v>
      </c>
      <c r="BN4" s="11" t="s">
        <v>73</v>
      </c>
      <c r="BO4" s="11" t="s">
        <v>73</v>
      </c>
      <c r="BP4" s="11" t="s">
        <v>73</v>
      </c>
      <c r="BQ4" s="11" t="s">
        <v>73</v>
      </c>
      <c r="BR4" s="11" t="s">
        <v>73</v>
      </c>
      <c r="BS4" s="11" t="s">
        <v>73</v>
      </c>
      <c r="BT4" s="11" t="s">
        <v>73</v>
      </c>
      <c r="BU4" s="18">
        <v>1</v>
      </c>
      <c r="BV4" s="18">
        <v>1</v>
      </c>
      <c r="BW4" s="18">
        <v>1</v>
      </c>
      <c r="BX4" s="96">
        <f>((AZ4^2)/(AZ4^2+BJ4))^(1/2)</f>
        <v>6.3264029695226501E-2</v>
      </c>
      <c r="BY4" s="30">
        <f t="shared" si="2"/>
        <v>6.3348634289863148E-2</v>
      </c>
      <c r="BZ4" s="30">
        <f>((1-(BY4^2)^2)/(BJ4-1))</f>
        <v>8.8729715655189016E-4</v>
      </c>
      <c r="CA4" s="30">
        <f>1/(BJ4-3)</f>
        <v>8.8888888888888893E-4</v>
      </c>
      <c r="CE4" s="30">
        <f t="shared" si="3"/>
        <v>6.3264029695226501E-2</v>
      </c>
      <c r="CF4" s="30">
        <f t="shared" si="4"/>
        <v>6.3348634289863148E-2</v>
      </c>
      <c r="CG4" s="30">
        <f t="shared" si="5"/>
        <v>8.8729715655189016E-4</v>
      </c>
      <c r="CH4" s="30">
        <f t="shared" si="6"/>
        <v>8.8888888888888893E-4</v>
      </c>
    </row>
    <row r="5" spans="1:86" s="95" customFormat="1" ht="18" customHeight="1">
      <c r="A5" s="107" t="s">
        <v>68</v>
      </c>
      <c r="B5" s="107"/>
      <c r="C5" s="107">
        <v>1073</v>
      </c>
      <c r="D5" s="95">
        <v>114</v>
      </c>
      <c r="E5" s="95" t="s">
        <v>236</v>
      </c>
      <c r="F5" s="107">
        <v>2014</v>
      </c>
      <c r="G5" s="95" t="s">
        <v>237</v>
      </c>
      <c r="H5" s="95" t="s">
        <v>238</v>
      </c>
      <c r="I5" s="95">
        <v>2</v>
      </c>
      <c r="J5" s="95" t="s">
        <v>224</v>
      </c>
      <c r="K5" s="108" t="s">
        <v>73</v>
      </c>
      <c r="L5" s="95">
        <v>489</v>
      </c>
      <c r="M5" s="18" t="s">
        <v>93</v>
      </c>
      <c r="N5" s="95" t="s">
        <v>112</v>
      </c>
      <c r="O5" s="95" t="s">
        <v>81</v>
      </c>
      <c r="P5" s="108" t="s">
        <v>226</v>
      </c>
      <c r="Q5" s="95" t="s">
        <v>227</v>
      </c>
      <c r="R5" s="95" t="s">
        <v>228</v>
      </c>
      <c r="S5" s="95">
        <v>0</v>
      </c>
      <c r="T5" s="95" t="s">
        <v>188</v>
      </c>
      <c r="U5" s="95">
        <v>0</v>
      </c>
      <c r="V5" s="108" t="s">
        <v>230</v>
      </c>
      <c r="W5" s="108" t="s">
        <v>230</v>
      </c>
      <c r="X5" s="108" t="s">
        <v>73</v>
      </c>
      <c r="Y5" s="95">
        <v>0</v>
      </c>
      <c r="Z5" s="95">
        <v>0</v>
      </c>
      <c r="AA5" s="95">
        <v>0</v>
      </c>
      <c r="AB5" s="95">
        <v>1</v>
      </c>
      <c r="AC5" s="95">
        <v>0</v>
      </c>
      <c r="AD5" s="95">
        <v>0</v>
      </c>
      <c r="AE5" s="95">
        <v>0</v>
      </c>
      <c r="AF5" s="95">
        <v>0</v>
      </c>
      <c r="AG5" s="95" t="s">
        <v>73</v>
      </c>
      <c r="AH5" s="95">
        <v>1</v>
      </c>
      <c r="AI5" s="95">
        <v>0</v>
      </c>
      <c r="AJ5" s="95">
        <v>0</v>
      </c>
      <c r="AK5" s="95">
        <v>0</v>
      </c>
      <c r="AL5" s="95">
        <v>0</v>
      </c>
      <c r="AM5" s="95">
        <v>0</v>
      </c>
      <c r="AN5" s="95">
        <v>0</v>
      </c>
      <c r="AO5" s="95">
        <v>0</v>
      </c>
      <c r="AP5" s="95">
        <v>0</v>
      </c>
      <c r="AQ5" s="95" t="s">
        <v>73</v>
      </c>
      <c r="AR5" s="95" t="s">
        <v>232</v>
      </c>
      <c r="AS5" s="108" t="s">
        <v>239</v>
      </c>
      <c r="AT5" s="95" t="s">
        <v>240</v>
      </c>
      <c r="AU5" s="119">
        <v>0.39500000000000002</v>
      </c>
      <c r="AV5" s="108" t="s">
        <v>80</v>
      </c>
      <c r="AW5" s="95">
        <v>0.13200000000000001</v>
      </c>
      <c r="AX5" s="95">
        <v>0.01</v>
      </c>
      <c r="AY5" s="95">
        <v>1</v>
      </c>
      <c r="AZ5" s="95">
        <f t="shared" si="0"/>
        <v>2.9924242424242422</v>
      </c>
      <c r="BA5" s="109">
        <f>AU5/100*15</f>
        <v>5.9250000000000004E-2</v>
      </c>
      <c r="BB5" s="108"/>
      <c r="BC5" s="108" t="s">
        <v>73</v>
      </c>
      <c r="BD5" s="108" t="s">
        <v>73</v>
      </c>
      <c r="BE5" s="108" t="s">
        <v>73</v>
      </c>
      <c r="BF5" s="108" t="s">
        <v>73</v>
      </c>
      <c r="BG5" s="108" t="s">
        <v>73</v>
      </c>
      <c r="BH5" s="108" t="s">
        <v>73</v>
      </c>
      <c r="BI5" s="95">
        <v>1200</v>
      </c>
      <c r="BJ5" s="95">
        <v>1200</v>
      </c>
      <c r="BK5" s="108" t="s">
        <v>73</v>
      </c>
      <c r="BL5" s="108" t="s">
        <v>73</v>
      </c>
      <c r="BM5" s="95">
        <v>68.653999999999996</v>
      </c>
      <c r="BN5" s="95" t="s">
        <v>73</v>
      </c>
      <c r="BO5" s="108" t="s">
        <v>241</v>
      </c>
      <c r="BP5" s="108" t="s">
        <v>73</v>
      </c>
      <c r="BQ5" s="108" t="s">
        <v>73</v>
      </c>
      <c r="BR5" s="108" t="s">
        <v>73</v>
      </c>
      <c r="BS5" s="108" t="s">
        <v>73</v>
      </c>
      <c r="BT5" s="108" t="s">
        <v>73</v>
      </c>
      <c r="BU5" s="95">
        <v>0</v>
      </c>
      <c r="BV5" s="95">
        <v>0</v>
      </c>
      <c r="BW5" s="95">
        <v>1</v>
      </c>
      <c r="BX5" s="110">
        <f t="shared" ref="BX5:BX38" si="7">((AZ5^2)/(AZ5^2+BI5))^(1/2)</f>
        <v>8.6063334338985817E-2</v>
      </c>
      <c r="BY5" s="110">
        <f t="shared" si="2"/>
        <v>8.6276771120091189E-2</v>
      </c>
      <c r="BZ5" s="110">
        <f t="shared" ref="BZ5:BZ38" si="8">((1-(BY5^2)^2)/(BI5-1))</f>
        <v>8.3398214479539034E-4</v>
      </c>
      <c r="CA5" s="110">
        <f t="shared" ref="CA5:CA38" si="9">1/(BI5-3)</f>
        <v>8.3542188805346695E-4</v>
      </c>
      <c r="CE5" s="110">
        <f t="shared" si="3"/>
        <v>8.6063334338985817E-2</v>
      </c>
      <c r="CF5" s="110">
        <f t="shared" si="4"/>
        <v>8.6276771120091189E-2</v>
      </c>
      <c r="CG5" s="110">
        <f t="shared" si="5"/>
        <v>8.3398214479539034E-4</v>
      </c>
      <c r="CH5" s="110">
        <f t="shared" si="6"/>
        <v>8.3542188805346695E-4</v>
      </c>
    </row>
    <row r="6" spans="1:86" s="95" customFormat="1" ht="18" customHeight="1">
      <c r="A6" s="107" t="s">
        <v>68</v>
      </c>
      <c r="B6" s="107"/>
      <c r="C6" s="107">
        <v>1074</v>
      </c>
      <c r="D6" s="95">
        <v>114</v>
      </c>
      <c r="E6" s="95" t="s">
        <v>236</v>
      </c>
      <c r="F6" s="107">
        <v>2014</v>
      </c>
      <c r="G6" s="95" t="s">
        <v>237</v>
      </c>
      <c r="H6" s="95" t="s">
        <v>238</v>
      </c>
      <c r="I6" s="95">
        <v>2</v>
      </c>
      <c r="J6" s="95" t="s">
        <v>224</v>
      </c>
      <c r="K6" s="108" t="s">
        <v>73</v>
      </c>
      <c r="L6" s="95">
        <v>489</v>
      </c>
      <c r="M6" s="18" t="s">
        <v>93</v>
      </c>
      <c r="N6" s="95" t="s">
        <v>112</v>
      </c>
      <c r="O6" s="95" t="s">
        <v>81</v>
      </c>
      <c r="P6" s="108" t="s">
        <v>226</v>
      </c>
      <c r="Q6" s="95" t="s">
        <v>227</v>
      </c>
      <c r="R6" s="95" t="s">
        <v>228</v>
      </c>
      <c r="S6" s="95">
        <v>0</v>
      </c>
      <c r="T6" s="95" t="s">
        <v>188</v>
      </c>
      <c r="U6" s="95">
        <v>0</v>
      </c>
      <c r="V6" s="108" t="s">
        <v>230</v>
      </c>
      <c r="W6" s="108" t="s">
        <v>230</v>
      </c>
      <c r="X6" s="108" t="s">
        <v>73</v>
      </c>
      <c r="Y6" s="95">
        <v>0</v>
      </c>
      <c r="Z6" s="95">
        <v>0</v>
      </c>
      <c r="AA6" s="95">
        <v>0</v>
      </c>
      <c r="AB6" s="95">
        <v>1</v>
      </c>
      <c r="AC6" s="95">
        <v>0</v>
      </c>
      <c r="AD6" s="95">
        <v>0</v>
      </c>
      <c r="AE6" s="95">
        <v>0</v>
      </c>
      <c r="AF6" s="95">
        <v>0</v>
      </c>
      <c r="AG6" s="95" t="s">
        <v>73</v>
      </c>
      <c r="AH6" s="95">
        <v>0</v>
      </c>
      <c r="AI6" s="95">
        <v>0</v>
      </c>
      <c r="AJ6" s="95">
        <v>1</v>
      </c>
      <c r="AK6" s="95">
        <v>0</v>
      </c>
      <c r="AL6" s="95">
        <v>0</v>
      </c>
      <c r="AM6" s="95">
        <v>0</v>
      </c>
      <c r="AN6" s="95">
        <v>0</v>
      </c>
      <c r="AO6" s="95">
        <v>0</v>
      </c>
      <c r="AP6" s="95">
        <v>0</v>
      </c>
      <c r="AQ6" s="95" t="s">
        <v>73</v>
      </c>
      <c r="AR6" s="95" t="s">
        <v>232</v>
      </c>
      <c r="AS6" s="108" t="s">
        <v>239</v>
      </c>
      <c r="AT6" s="95" t="s">
        <v>240</v>
      </c>
      <c r="AU6" s="119">
        <v>0.60399999999999998</v>
      </c>
      <c r="AV6" s="108" t="s">
        <v>86</v>
      </c>
      <c r="AW6" s="95">
        <v>0.41699999999999998</v>
      </c>
      <c r="AX6" s="95">
        <v>0.01</v>
      </c>
      <c r="AY6" s="95">
        <v>1</v>
      </c>
      <c r="AZ6" s="95">
        <f t="shared" si="0"/>
        <v>1.4484412470023982</v>
      </c>
      <c r="BA6" s="109">
        <f>AU6/100*25</f>
        <v>0.151</v>
      </c>
      <c r="BB6" s="108"/>
      <c r="BC6" s="108" t="s">
        <v>73</v>
      </c>
      <c r="BD6" s="108" t="s">
        <v>73</v>
      </c>
      <c r="BE6" s="108" t="s">
        <v>73</v>
      </c>
      <c r="BF6" s="108" t="s">
        <v>73</v>
      </c>
      <c r="BG6" s="108" t="s">
        <v>73</v>
      </c>
      <c r="BH6" s="108" t="s">
        <v>73</v>
      </c>
      <c r="BI6" s="95">
        <v>1200</v>
      </c>
      <c r="BJ6" s="95">
        <v>1200</v>
      </c>
      <c r="BK6" s="108" t="s">
        <v>73</v>
      </c>
      <c r="BL6" s="108" t="s">
        <v>73</v>
      </c>
      <c r="BM6" s="95">
        <v>68.653999999999996</v>
      </c>
      <c r="BN6" s="95" t="s">
        <v>73</v>
      </c>
      <c r="BO6" s="108" t="s">
        <v>241</v>
      </c>
      <c r="BP6" s="108" t="s">
        <v>73</v>
      </c>
      <c r="BQ6" s="108" t="s">
        <v>73</v>
      </c>
      <c r="BR6" s="108" t="s">
        <v>73</v>
      </c>
      <c r="BS6" s="108" t="s">
        <v>73</v>
      </c>
      <c r="BT6" s="108" t="s">
        <v>73</v>
      </c>
      <c r="BU6" s="95">
        <v>0</v>
      </c>
      <c r="BV6" s="95">
        <v>0</v>
      </c>
      <c r="BW6" s="95">
        <v>1</v>
      </c>
      <c r="BX6" s="110">
        <f t="shared" si="7"/>
        <v>4.1776393922478179E-2</v>
      </c>
      <c r="BY6" s="110">
        <f t="shared" si="2"/>
        <v>4.1800723059208213E-2</v>
      </c>
      <c r="BZ6" s="110">
        <f t="shared" si="8"/>
        <v>8.3402581062647497E-4</v>
      </c>
      <c r="CA6" s="110">
        <f t="shared" si="9"/>
        <v>8.3542188805346695E-4</v>
      </c>
      <c r="CE6" s="110">
        <f t="shared" si="3"/>
        <v>4.1776393922478179E-2</v>
      </c>
      <c r="CF6" s="110">
        <f t="shared" si="4"/>
        <v>4.1800723059208213E-2</v>
      </c>
      <c r="CG6" s="110">
        <f t="shared" si="5"/>
        <v>8.3402581062647497E-4</v>
      </c>
      <c r="CH6" s="110">
        <f t="shared" si="6"/>
        <v>8.3542188805346695E-4</v>
      </c>
    </row>
    <row r="7" spans="1:86" s="95" customFormat="1" ht="16">
      <c r="A7" s="107" t="s">
        <v>68</v>
      </c>
      <c r="B7" s="107"/>
      <c r="C7" s="107">
        <v>1075</v>
      </c>
      <c r="D7" s="95">
        <v>114</v>
      </c>
      <c r="E7" s="95" t="s">
        <v>236</v>
      </c>
      <c r="F7" s="107">
        <v>2014</v>
      </c>
      <c r="G7" s="95" t="s">
        <v>237</v>
      </c>
      <c r="H7" s="95" t="s">
        <v>238</v>
      </c>
      <c r="I7" s="95">
        <v>2</v>
      </c>
      <c r="J7" s="95" t="s">
        <v>224</v>
      </c>
      <c r="K7" s="108" t="s">
        <v>73</v>
      </c>
      <c r="L7" s="95">
        <v>489</v>
      </c>
      <c r="M7" s="18" t="s">
        <v>93</v>
      </c>
      <c r="N7" s="95" t="s">
        <v>112</v>
      </c>
      <c r="O7" s="95" t="s">
        <v>81</v>
      </c>
      <c r="P7" s="108" t="s">
        <v>226</v>
      </c>
      <c r="Q7" s="95" t="s">
        <v>227</v>
      </c>
      <c r="R7" s="95" t="s">
        <v>228</v>
      </c>
      <c r="S7" s="95">
        <v>0</v>
      </c>
      <c r="T7" s="95" t="s">
        <v>188</v>
      </c>
      <c r="U7" s="95">
        <v>0</v>
      </c>
      <c r="V7" s="108" t="s">
        <v>230</v>
      </c>
      <c r="W7" s="108" t="s">
        <v>230</v>
      </c>
      <c r="X7" s="108" t="s">
        <v>73</v>
      </c>
      <c r="Y7" s="95">
        <v>0</v>
      </c>
      <c r="Z7" s="95">
        <v>0</v>
      </c>
      <c r="AA7" s="95">
        <v>0</v>
      </c>
      <c r="AB7" s="95">
        <v>1</v>
      </c>
      <c r="AC7" s="95">
        <v>0</v>
      </c>
      <c r="AD7" s="95">
        <v>0</v>
      </c>
      <c r="AE7" s="95">
        <v>0</v>
      </c>
      <c r="AF7" s="95">
        <v>0</v>
      </c>
      <c r="AG7" s="95" t="s">
        <v>73</v>
      </c>
      <c r="AH7" s="95">
        <v>0</v>
      </c>
      <c r="AI7" s="95">
        <v>0</v>
      </c>
      <c r="AJ7" s="95">
        <v>0</v>
      </c>
      <c r="AK7" s="95">
        <v>1</v>
      </c>
      <c r="AL7" s="95">
        <v>0</v>
      </c>
      <c r="AM7" s="95">
        <v>0</v>
      </c>
      <c r="AN7" s="95">
        <v>0</v>
      </c>
      <c r="AO7" s="95">
        <v>0</v>
      </c>
      <c r="AP7" s="95">
        <v>0</v>
      </c>
      <c r="AQ7" s="95" t="s">
        <v>73</v>
      </c>
      <c r="AR7" s="95" t="s">
        <v>232</v>
      </c>
      <c r="AS7" s="108" t="s">
        <v>239</v>
      </c>
      <c r="AT7" s="95" t="s">
        <v>240</v>
      </c>
      <c r="AU7" s="119">
        <v>0.28199999999999997</v>
      </c>
      <c r="AV7" s="108" t="s">
        <v>80</v>
      </c>
      <c r="AW7" s="95">
        <v>0.15</v>
      </c>
      <c r="AX7" s="95">
        <v>0.01</v>
      </c>
      <c r="AY7" s="95">
        <v>1</v>
      </c>
      <c r="AZ7" s="95">
        <f t="shared" si="0"/>
        <v>1.88</v>
      </c>
      <c r="BA7" s="109">
        <f>AU7/100*25</f>
        <v>7.0499999999999993E-2</v>
      </c>
      <c r="BB7" s="108"/>
      <c r="BC7" s="108" t="s">
        <v>73</v>
      </c>
      <c r="BD7" s="108" t="s">
        <v>73</v>
      </c>
      <c r="BE7" s="108" t="s">
        <v>73</v>
      </c>
      <c r="BF7" s="108" t="s">
        <v>73</v>
      </c>
      <c r="BG7" s="108" t="s">
        <v>73</v>
      </c>
      <c r="BH7" s="108" t="s">
        <v>73</v>
      </c>
      <c r="BI7" s="95">
        <v>1200</v>
      </c>
      <c r="BJ7" s="95">
        <v>1200</v>
      </c>
      <c r="BK7" s="108" t="s">
        <v>73</v>
      </c>
      <c r="BL7" s="108" t="s">
        <v>73</v>
      </c>
      <c r="BM7" s="95">
        <v>68.653999999999996</v>
      </c>
      <c r="BN7" s="95" t="s">
        <v>73</v>
      </c>
      <c r="BO7" s="108" t="s">
        <v>241</v>
      </c>
      <c r="BP7" s="108" t="s">
        <v>73</v>
      </c>
      <c r="BQ7" s="108" t="s">
        <v>73</v>
      </c>
      <c r="BR7" s="108" t="s">
        <v>73</v>
      </c>
      <c r="BS7" s="108" t="s">
        <v>73</v>
      </c>
      <c r="BT7" s="108" t="s">
        <v>73</v>
      </c>
      <c r="BU7" s="95">
        <v>0</v>
      </c>
      <c r="BV7" s="95">
        <v>0</v>
      </c>
      <c r="BW7" s="95">
        <v>1</v>
      </c>
      <c r="BX7" s="110">
        <f t="shared" si="7"/>
        <v>5.4191178438811397E-2</v>
      </c>
      <c r="BY7" s="110">
        <f t="shared" si="2"/>
        <v>5.4244319557796482E-2</v>
      </c>
      <c r="BZ7" s="110">
        <f t="shared" si="8"/>
        <v>8.3402113595524175E-4</v>
      </c>
      <c r="CA7" s="110">
        <f t="shared" si="9"/>
        <v>8.3542188805346695E-4</v>
      </c>
      <c r="CE7" s="110">
        <f t="shared" si="3"/>
        <v>5.4191178438811397E-2</v>
      </c>
      <c r="CF7" s="110">
        <f t="shared" si="4"/>
        <v>5.4244319557796482E-2</v>
      </c>
      <c r="CG7" s="110">
        <f t="shared" si="5"/>
        <v>8.3402113595524175E-4</v>
      </c>
      <c r="CH7" s="110">
        <f t="shared" si="6"/>
        <v>8.3542188805346695E-4</v>
      </c>
    </row>
    <row r="8" spans="1:86" ht="15.75" customHeight="1">
      <c r="A8" t="s">
        <v>68</v>
      </c>
      <c r="C8">
        <v>1090</v>
      </c>
      <c r="D8">
        <v>117</v>
      </c>
      <c r="E8" t="s">
        <v>242</v>
      </c>
      <c r="F8">
        <v>2014</v>
      </c>
      <c r="G8" t="s">
        <v>243</v>
      </c>
      <c r="H8" t="s">
        <v>244</v>
      </c>
      <c r="I8">
        <v>2</v>
      </c>
      <c r="J8">
        <v>2009</v>
      </c>
      <c r="K8" t="s">
        <v>73</v>
      </c>
      <c r="L8">
        <v>40</v>
      </c>
      <c r="M8" s="18" t="s">
        <v>120</v>
      </c>
      <c r="N8" t="s">
        <v>225</v>
      </c>
      <c r="O8" t="s">
        <v>81</v>
      </c>
      <c r="P8" t="s">
        <v>226</v>
      </c>
      <c r="Q8" t="s">
        <v>227</v>
      </c>
      <c r="R8" t="s">
        <v>245</v>
      </c>
      <c r="S8">
        <v>0</v>
      </c>
      <c r="T8" t="s">
        <v>188</v>
      </c>
      <c r="U8">
        <v>0</v>
      </c>
      <c r="V8" t="s">
        <v>230</v>
      </c>
      <c r="W8" t="s">
        <v>230</v>
      </c>
      <c r="X8" t="s">
        <v>73</v>
      </c>
      <c r="Y8">
        <v>0</v>
      </c>
      <c r="Z8">
        <v>0</v>
      </c>
      <c r="AA8">
        <v>0</v>
      </c>
      <c r="AB8">
        <v>1</v>
      </c>
      <c r="AC8">
        <v>0</v>
      </c>
      <c r="AD8">
        <v>0</v>
      </c>
      <c r="AE8">
        <v>0</v>
      </c>
      <c r="AF8">
        <v>0</v>
      </c>
      <c r="AG8" t="s">
        <v>73</v>
      </c>
      <c r="AH8">
        <v>0</v>
      </c>
      <c r="AI8">
        <v>0</v>
      </c>
      <c r="AJ8">
        <v>0</v>
      </c>
      <c r="AK8">
        <v>1</v>
      </c>
      <c r="AL8">
        <v>0</v>
      </c>
      <c r="AM8">
        <v>0</v>
      </c>
      <c r="AN8">
        <v>0</v>
      </c>
      <c r="AO8">
        <v>0</v>
      </c>
      <c r="AP8">
        <v>0</v>
      </c>
      <c r="AQ8" t="s">
        <v>73</v>
      </c>
      <c r="AR8" t="s">
        <v>232</v>
      </c>
      <c r="AS8" t="s">
        <v>246</v>
      </c>
      <c r="AT8" t="s">
        <v>240</v>
      </c>
      <c r="AU8" s="21">
        <v>0.1</v>
      </c>
      <c r="AV8" s="7" t="s">
        <v>80</v>
      </c>
      <c r="AW8">
        <v>2.1000000000000001E-2</v>
      </c>
      <c r="AX8" s="41" t="s">
        <v>73</v>
      </c>
      <c r="AY8" s="41">
        <v>3</v>
      </c>
      <c r="AZ8">
        <f t="shared" si="0"/>
        <v>4.7619047619047619</v>
      </c>
      <c r="BA8" s="100">
        <f t="shared" si="1"/>
        <v>0.1</v>
      </c>
      <c r="BC8" t="s">
        <v>73</v>
      </c>
      <c r="BD8" t="s">
        <v>73</v>
      </c>
      <c r="BE8" t="s">
        <v>73</v>
      </c>
      <c r="BF8" t="s">
        <v>73</v>
      </c>
      <c r="BG8" t="s">
        <v>73</v>
      </c>
      <c r="BH8" t="s">
        <v>73</v>
      </c>
      <c r="BI8">
        <v>12450</v>
      </c>
      <c r="BJ8">
        <v>12450</v>
      </c>
      <c r="BK8" t="s">
        <v>73</v>
      </c>
      <c r="BL8" t="s">
        <v>73</v>
      </c>
      <c r="BM8">
        <v>128</v>
      </c>
      <c r="BN8">
        <v>0.1</v>
      </c>
      <c r="BO8" t="s">
        <v>241</v>
      </c>
      <c r="BP8" t="s">
        <v>73</v>
      </c>
      <c r="BQ8" t="s">
        <v>73</v>
      </c>
      <c r="BR8" t="s">
        <v>73</v>
      </c>
      <c r="BS8" t="s">
        <v>73</v>
      </c>
      <c r="BT8" t="s">
        <v>73</v>
      </c>
      <c r="BU8">
        <v>0</v>
      </c>
      <c r="BV8">
        <v>1</v>
      </c>
      <c r="BW8">
        <v>0</v>
      </c>
      <c r="BX8" s="30">
        <f t="shared" si="7"/>
        <v>4.2638399008658186E-2</v>
      </c>
      <c r="BY8" s="30">
        <f t="shared" si="2"/>
        <v>4.2664266571193814E-2</v>
      </c>
      <c r="BZ8" s="30">
        <f t="shared" si="8"/>
        <v>8.0327471019973139E-5</v>
      </c>
      <c r="CA8" s="30">
        <f t="shared" si="9"/>
        <v>8.0340644331967548E-5</v>
      </c>
      <c r="CE8" s="30">
        <f t="shared" si="3"/>
        <v>4.2638399008658186E-2</v>
      </c>
      <c r="CF8" s="30">
        <f t="shared" si="4"/>
        <v>4.2664266571193814E-2</v>
      </c>
      <c r="CG8" s="30">
        <f t="shared" si="5"/>
        <v>8.0327471019973139E-5</v>
      </c>
      <c r="CH8" s="30">
        <f t="shared" si="6"/>
        <v>8.0340644331967548E-5</v>
      </c>
    </row>
    <row r="9" spans="1:86" ht="15.75" customHeight="1">
      <c r="A9" t="s">
        <v>68</v>
      </c>
      <c r="C9">
        <v>1091</v>
      </c>
      <c r="D9">
        <v>117</v>
      </c>
      <c r="E9" t="s">
        <v>242</v>
      </c>
      <c r="F9">
        <v>2014</v>
      </c>
      <c r="G9" t="s">
        <v>243</v>
      </c>
      <c r="H9" t="s">
        <v>244</v>
      </c>
      <c r="I9">
        <v>2</v>
      </c>
      <c r="J9">
        <v>2009</v>
      </c>
      <c r="K9" t="s">
        <v>73</v>
      </c>
      <c r="L9">
        <v>40</v>
      </c>
      <c r="M9" s="18" t="s">
        <v>120</v>
      </c>
      <c r="N9" t="s">
        <v>225</v>
      </c>
      <c r="O9" t="s">
        <v>81</v>
      </c>
      <c r="P9" t="s">
        <v>226</v>
      </c>
      <c r="Q9" t="s">
        <v>227</v>
      </c>
      <c r="R9" t="s">
        <v>245</v>
      </c>
      <c r="S9">
        <v>0</v>
      </c>
      <c r="T9" t="s">
        <v>188</v>
      </c>
      <c r="U9">
        <v>0</v>
      </c>
      <c r="V9" t="s">
        <v>230</v>
      </c>
      <c r="W9" t="s">
        <v>230</v>
      </c>
      <c r="X9" t="s">
        <v>73</v>
      </c>
      <c r="Y9">
        <v>0</v>
      </c>
      <c r="Z9">
        <v>0</v>
      </c>
      <c r="AA9">
        <v>0</v>
      </c>
      <c r="AB9">
        <v>1</v>
      </c>
      <c r="AC9">
        <v>0</v>
      </c>
      <c r="AD9">
        <v>0</v>
      </c>
      <c r="AE9">
        <v>0</v>
      </c>
      <c r="AF9">
        <v>0</v>
      </c>
      <c r="AG9" t="s">
        <v>73</v>
      </c>
      <c r="AH9">
        <v>0</v>
      </c>
      <c r="AI9">
        <v>0</v>
      </c>
      <c r="AJ9">
        <v>0</v>
      </c>
      <c r="AK9">
        <v>1</v>
      </c>
      <c r="AL9">
        <v>0</v>
      </c>
      <c r="AM9">
        <v>0</v>
      </c>
      <c r="AN9">
        <v>0</v>
      </c>
      <c r="AO9">
        <v>0</v>
      </c>
      <c r="AP9">
        <v>0</v>
      </c>
      <c r="AQ9" t="s">
        <v>73</v>
      </c>
      <c r="AR9" t="s">
        <v>232</v>
      </c>
      <c r="AS9" t="s">
        <v>246</v>
      </c>
      <c r="AT9" t="s">
        <v>240</v>
      </c>
      <c r="AU9" s="21">
        <v>1.2E-2</v>
      </c>
      <c r="AV9" s="7" t="s">
        <v>80</v>
      </c>
      <c r="AW9" s="25">
        <v>6.0000000000000001E-3</v>
      </c>
      <c r="AX9" s="41" t="s">
        <v>73</v>
      </c>
      <c r="AY9" s="41">
        <v>3</v>
      </c>
      <c r="AZ9">
        <f t="shared" si="0"/>
        <v>2</v>
      </c>
      <c r="BA9" s="100">
        <f t="shared" si="1"/>
        <v>1.2E-2</v>
      </c>
      <c r="BC9" t="s">
        <v>73</v>
      </c>
      <c r="BD9" t="s">
        <v>73</v>
      </c>
      <c r="BE9" t="s">
        <v>73</v>
      </c>
      <c r="BF9" t="s">
        <v>73</v>
      </c>
      <c r="BG9" t="s">
        <v>73</v>
      </c>
      <c r="BH9" t="s">
        <v>73</v>
      </c>
      <c r="BI9">
        <v>12450</v>
      </c>
      <c r="BJ9">
        <v>12450</v>
      </c>
      <c r="BK9" t="s">
        <v>73</v>
      </c>
      <c r="BL9" t="s">
        <v>73</v>
      </c>
      <c r="BM9">
        <v>128</v>
      </c>
      <c r="BN9">
        <v>0.1</v>
      </c>
      <c r="BO9" t="s">
        <v>241</v>
      </c>
      <c r="BP9" t="s">
        <v>73</v>
      </c>
      <c r="BQ9" t="s">
        <v>73</v>
      </c>
      <c r="BR9" t="s">
        <v>73</v>
      </c>
      <c r="BS9" t="s">
        <v>73</v>
      </c>
      <c r="BT9" t="s">
        <v>73</v>
      </c>
      <c r="BU9">
        <v>0</v>
      </c>
      <c r="BV9">
        <v>1</v>
      </c>
      <c r="BW9">
        <v>0</v>
      </c>
      <c r="BX9" s="30">
        <f t="shared" si="7"/>
        <v>1.7921549865299986E-2</v>
      </c>
      <c r="BY9" s="30">
        <f t="shared" si="2"/>
        <v>1.7923468927909639E-2</v>
      </c>
      <c r="BZ9" s="30">
        <f t="shared" si="8"/>
        <v>8.0327728877657888E-5</v>
      </c>
      <c r="CA9" s="30">
        <f t="shared" si="9"/>
        <v>8.0340644331967548E-5</v>
      </c>
      <c r="CE9" s="30">
        <f t="shared" si="3"/>
        <v>1.7921549865299986E-2</v>
      </c>
      <c r="CF9" s="30">
        <f t="shared" si="4"/>
        <v>1.7923468927909639E-2</v>
      </c>
      <c r="CG9" s="30">
        <f t="shared" si="5"/>
        <v>8.0327728877657888E-5</v>
      </c>
      <c r="CH9" s="30">
        <f t="shared" si="6"/>
        <v>8.0340644331967548E-5</v>
      </c>
    </row>
    <row r="10" spans="1:86" ht="15.75" customHeight="1">
      <c r="A10" t="s">
        <v>68</v>
      </c>
      <c r="C10">
        <v>1092</v>
      </c>
      <c r="D10">
        <v>117</v>
      </c>
      <c r="E10" t="s">
        <v>242</v>
      </c>
      <c r="F10">
        <v>2014</v>
      </c>
      <c r="G10" t="s">
        <v>243</v>
      </c>
      <c r="H10" t="s">
        <v>244</v>
      </c>
      <c r="I10">
        <v>2</v>
      </c>
      <c r="J10">
        <v>2009</v>
      </c>
      <c r="K10" t="s">
        <v>73</v>
      </c>
      <c r="L10">
        <v>40</v>
      </c>
      <c r="M10" s="18" t="s">
        <v>120</v>
      </c>
      <c r="N10" t="s">
        <v>225</v>
      </c>
      <c r="O10" t="s">
        <v>81</v>
      </c>
      <c r="P10" t="s">
        <v>226</v>
      </c>
      <c r="Q10" t="s">
        <v>227</v>
      </c>
      <c r="R10" t="s">
        <v>245</v>
      </c>
      <c r="S10">
        <v>0</v>
      </c>
      <c r="T10" t="s">
        <v>188</v>
      </c>
      <c r="U10">
        <v>0</v>
      </c>
      <c r="V10" t="s">
        <v>230</v>
      </c>
      <c r="W10" t="s">
        <v>230</v>
      </c>
      <c r="X10" t="s">
        <v>73</v>
      </c>
      <c r="Y10">
        <v>0</v>
      </c>
      <c r="Z10">
        <v>0</v>
      </c>
      <c r="AA10">
        <v>0</v>
      </c>
      <c r="AB10">
        <v>1</v>
      </c>
      <c r="AC10">
        <v>0</v>
      </c>
      <c r="AD10">
        <v>0</v>
      </c>
      <c r="AE10">
        <v>0</v>
      </c>
      <c r="AF10">
        <v>0</v>
      </c>
      <c r="AG10" t="s">
        <v>73</v>
      </c>
      <c r="AH10">
        <v>0</v>
      </c>
      <c r="AI10">
        <v>0</v>
      </c>
      <c r="AJ10">
        <v>0</v>
      </c>
      <c r="AK10">
        <v>1</v>
      </c>
      <c r="AL10">
        <v>0</v>
      </c>
      <c r="AM10">
        <v>0</v>
      </c>
      <c r="AN10">
        <v>0</v>
      </c>
      <c r="AO10">
        <v>0</v>
      </c>
      <c r="AP10">
        <v>0</v>
      </c>
      <c r="AQ10" t="s">
        <v>73</v>
      </c>
      <c r="AR10" t="s">
        <v>232</v>
      </c>
      <c r="AS10" t="s">
        <v>246</v>
      </c>
      <c r="AT10" t="s">
        <v>240</v>
      </c>
      <c r="AU10" s="25">
        <v>8.5000000000000006E-3</v>
      </c>
      <c r="AV10" s="7" t="s">
        <v>86</v>
      </c>
      <c r="AW10" s="25">
        <v>5.0000000000000001E-3</v>
      </c>
      <c r="AX10" s="41" t="s">
        <v>73</v>
      </c>
      <c r="AY10" s="41">
        <v>3</v>
      </c>
      <c r="AZ10">
        <f t="shared" si="0"/>
        <v>1.7000000000000002</v>
      </c>
      <c r="BA10" s="100">
        <f t="shared" si="1"/>
        <v>8.5000000000000006E-3</v>
      </c>
      <c r="BC10" t="s">
        <v>73</v>
      </c>
      <c r="BD10" t="s">
        <v>73</v>
      </c>
      <c r="BE10" t="s">
        <v>73</v>
      </c>
      <c r="BF10" t="s">
        <v>73</v>
      </c>
      <c r="BG10" t="s">
        <v>73</v>
      </c>
      <c r="BH10" t="s">
        <v>73</v>
      </c>
      <c r="BI10">
        <v>12450</v>
      </c>
      <c r="BJ10">
        <v>12450</v>
      </c>
      <c r="BK10" t="s">
        <v>73</v>
      </c>
      <c r="BL10" t="s">
        <v>73</v>
      </c>
      <c r="BM10">
        <v>128</v>
      </c>
      <c r="BN10">
        <v>0.1</v>
      </c>
      <c r="BO10" t="s">
        <v>241</v>
      </c>
      <c r="BP10" t="s">
        <v>73</v>
      </c>
      <c r="BQ10" t="s">
        <v>73</v>
      </c>
      <c r="BR10" t="s">
        <v>73</v>
      </c>
      <c r="BS10" t="s">
        <v>73</v>
      </c>
      <c r="BT10" t="s">
        <v>73</v>
      </c>
      <c r="BU10">
        <v>0</v>
      </c>
      <c r="BV10">
        <v>1</v>
      </c>
      <c r="BW10">
        <v>0</v>
      </c>
      <c r="BX10" s="30">
        <f t="shared" si="7"/>
        <v>1.5233996288374733E-2</v>
      </c>
      <c r="BY10" s="30">
        <f t="shared" si="2"/>
        <v>1.5235174927247961E-2</v>
      </c>
      <c r="BZ10" s="30">
        <f t="shared" si="8"/>
        <v>8.0327732839962263E-5</v>
      </c>
      <c r="CA10" s="30">
        <f t="shared" si="9"/>
        <v>8.0340644331967548E-5</v>
      </c>
      <c r="CE10" s="30">
        <f t="shared" si="3"/>
        <v>1.5233996288374733E-2</v>
      </c>
      <c r="CF10" s="30">
        <f t="shared" si="4"/>
        <v>1.5235174927247961E-2</v>
      </c>
      <c r="CG10" s="30">
        <f t="shared" si="5"/>
        <v>8.0327732839962263E-5</v>
      </c>
      <c r="CH10" s="30">
        <f t="shared" si="6"/>
        <v>8.0340644331967548E-5</v>
      </c>
    </row>
    <row r="11" spans="1:86" s="97" customFormat="1" ht="16">
      <c r="A11" t="s">
        <v>68</v>
      </c>
      <c r="B11"/>
      <c r="C11">
        <v>1093</v>
      </c>
      <c r="D11">
        <v>117</v>
      </c>
      <c r="E11" t="s">
        <v>242</v>
      </c>
      <c r="F11">
        <v>2014</v>
      </c>
      <c r="G11" t="s">
        <v>243</v>
      </c>
      <c r="H11" t="s">
        <v>244</v>
      </c>
      <c r="I11">
        <v>2</v>
      </c>
      <c r="J11">
        <v>2009</v>
      </c>
      <c r="K11" t="s">
        <v>73</v>
      </c>
      <c r="L11">
        <v>40</v>
      </c>
      <c r="M11" s="18" t="s">
        <v>120</v>
      </c>
      <c r="N11" t="s">
        <v>225</v>
      </c>
      <c r="O11" t="s">
        <v>81</v>
      </c>
      <c r="P11" t="s">
        <v>226</v>
      </c>
      <c r="Q11" t="s">
        <v>227</v>
      </c>
      <c r="R11" t="s">
        <v>245</v>
      </c>
      <c r="S11">
        <v>0</v>
      </c>
      <c r="T11" t="s">
        <v>188</v>
      </c>
      <c r="U11">
        <v>0</v>
      </c>
      <c r="V11" t="s">
        <v>230</v>
      </c>
      <c r="W11" t="s">
        <v>230</v>
      </c>
      <c r="X11" t="s">
        <v>73</v>
      </c>
      <c r="Y11">
        <v>0</v>
      </c>
      <c r="Z11">
        <v>0</v>
      </c>
      <c r="AA11">
        <v>0</v>
      </c>
      <c r="AB11">
        <v>1</v>
      </c>
      <c r="AC11">
        <v>0</v>
      </c>
      <c r="AD11">
        <v>0</v>
      </c>
      <c r="AE11">
        <v>0</v>
      </c>
      <c r="AF11">
        <v>0</v>
      </c>
      <c r="AG11" t="s">
        <v>73</v>
      </c>
      <c r="AH11">
        <v>1</v>
      </c>
      <c r="AI11">
        <v>0</v>
      </c>
      <c r="AJ11">
        <v>0</v>
      </c>
      <c r="AK11">
        <v>0</v>
      </c>
      <c r="AL11">
        <v>0</v>
      </c>
      <c r="AM11">
        <v>0</v>
      </c>
      <c r="AN11">
        <v>0</v>
      </c>
      <c r="AO11">
        <v>0</v>
      </c>
      <c r="AP11">
        <v>0</v>
      </c>
      <c r="AQ11" t="s">
        <v>73</v>
      </c>
      <c r="AR11" t="s">
        <v>232</v>
      </c>
      <c r="AS11" t="s">
        <v>246</v>
      </c>
      <c r="AT11" t="s">
        <v>240</v>
      </c>
      <c r="AU11" s="21">
        <v>6.7000000000000004E-2</v>
      </c>
      <c r="AV11" s="7" t="s">
        <v>80</v>
      </c>
      <c r="AW11">
        <v>1.6E-2</v>
      </c>
      <c r="AX11" s="41" t="s">
        <v>73</v>
      </c>
      <c r="AY11" s="41">
        <v>3</v>
      </c>
      <c r="AZ11">
        <f>AU10/AW11</f>
        <v>0.53125</v>
      </c>
      <c r="BA11" s="100">
        <f t="shared" si="1"/>
        <v>6.7000000000000004E-2</v>
      </c>
      <c r="BB11"/>
      <c r="BC11" t="s">
        <v>73</v>
      </c>
      <c r="BD11" t="s">
        <v>73</v>
      </c>
      <c r="BE11" t="s">
        <v>73</v>
      </c>
      <c r="BF11" t="s">
        <v>73</v>
      </c>
      <c r="BG11" t="s">
        <v>73</v>
      </c>
      <c r="BH11" t="s">
        <v>73</v>
      </c>
      <c r="BI11">
        <v>12100</v>
      </c>
      <c r="BJ11">
        <v>12100</v>
      </c>
      <c r="BK11" t="s">
        <v>73</v>
      </c>
      <c r="BL11" t="s">
        <v>73</v>
      </c>
      <c r="BM11">
        <v>128</v>
      </c>
      <c r="BN11">
        <v>0.1</v>
      </c>
      <c r="BO11" t="s">
        <v>241</v>
      </c>
      <c r="BP11" t="s">
        <v>73</v>
      </c>
      <c r="BQ11" t="s">
        <v>73</v>
      </c>
      <c r="BR11" t="s">
        <v>73</v>
      </c>
      <c r="BS11" t="s">
        <v>73</v>
      </c>
      <c r="BT11" t="s">
        <v>73</v>
      </c>
      <c r="BU11">
        <v>0</v>
      </c>
      <c r="BV11">
        <v>1</v>
      </c>
      <c r="BW11">
        <v>0</v>
      </c>
      <c r="BX11" s="30">
        <f t="shared" si="7"/>
        <v>4.8294891321417933E-3</v>
      </c>
      <c r="BY11" s="30">
        <f t="shared" si="2"/>
        <v>4.8295266802795347E-3</v>
      </c>
      <c r="BZ11" s="30">
        <f t="shared" si="8"/>
        <v>8.2651458753283386E-5</v>
      </c>
      <c r="CA11" s="30">
        <f t="shared" si="9"/>
        <v>8.2665123584359755E-5</v>
      </c>
      <c r="CB11"/>
      <c r="CC11"/>
      <c r="CD11"/>
      <c r="CE11" s="30">
        <f t="shared" si="3"/>
        <v>4.8294891321417933E-3</v>
      </c>
      <c r="CF11" s="30">
        <f t="shared" si="4"/>
        <v>4.8295266802795347E-3</v>
      </c>
      <c r="CG11" s="30">
        <f t="shared" si="5"/>
        <v>8.2651458753283386E-5</v>
      </c>
      <c r="CH11" s="30">
        <f t="shared" si="6"/>
        <v>8.2665123584359755E-5</v>
      </c>
    </row>
    <row r="12" spans="1:86" s="97" customFormat="1" ht="16">
      <c r="A12" t="s">
        <v>68</v>
      </c>
      <c r="B12"/>
      <c r="C12">
        <v>1094</v>
      </c>
      <c r="D12">
        <v>117</v>
      </c>
      <c r="E12" t="s">
        <v>242</v>
      </c>
      <c r="F12">
        <v>2014</v>
      </c>
      <c r="G12" t="s">
        <v>243</v>
      </c>
      <c r="H12" t="s">
        <v>244</v>
      </c>
      <c r="I12">
        <v>2</v>
      </c>
      <c r="J12">
        <v>2009</v>
      </c>
      <c r="K12" t="s">
        <v>73</v>
      </c>
      <c r="L12">
        <v>40</v>
      </c>
      <c r="M12" s="18" t="s">
        <v>120</v>
      </c>
      <c r="N12" t="s">
        <v>225</v>
      </c>
      <c r="O12" t="s">
        <v>81</v>
      </c>
      <c r="P12" t="s">
        <v>226</v>
      </c>
      <c r="Q12" t="s">
        <v>227</v>
      </c>
      <c r="R12" t="s">
        <v>245</v>
      </c>
      <c r="S12">
        <v>0</v>
      </c>
      <c r="T12" t="s">
        <v>188</v>
      </c>
      <c r="U12">
        <v>0</v>
      </c>
      <c r="V12" t="s">
        <v>230</v>
      </c>
      <c r="W12" t="s">
        <v>230</v>
      </c>
      <c r="X12" t="s">
        <v>73</v>
      </c>
      <c r="Y12">
        <v>0</v>
      </c>
      <c r="Z12">
        <v>0</v>
      </c>
      <c r="AA12">
        <v>0</v>
      </c>
      <c r="AB12">
        <v>1</v>
      </c>
      <c r="AC12">
        <v>0</v>
      </c>
      <c r="AD12">
        <v>0</v>
      </c>
      <c r="AE12">
        <v>0</v>
      </c>
      <c r="AF12">
        <v>0</v>
      </c>
      <c r="AG12" t="s">
        <v>73</v>
      </c>
      <c r="AH12">
        <v>1</v>
      </c>
      <c r="AI12">
        <v>0</v>
      </c>
      <c r="AJ12">
        <v>0</v>
      </c>
      <c r="AK12">
        <v>0</v>
      </c>
      <c r="AL12">
        <v>0</v>
      </c>
      <c r="AM12">
        <v>0</v>
      </c>
      <c r="AN12">
        <v>0</v>
      </c>
      <c r="AO12">
        <v>0</v>
      </c>
      <c r="AP12">
        <v>0</v>
      </c>
      <c r="AQ12" t="s">
        <v>73</v>
      </c>
      <c r="AR12" t="s">
        <v>232</v>
      </c>
      <c r="AS12" t="s">
        <v>246</v>
      </c>
      <c r="AT12" t="s">
        <v>240</v>
      </c>
      <c r="AU12" s="21">
        <v>9.7000000000000003E-3</v>
      </c>
      <c r="AV12" s="7" t="s">
        <v>80</v>
      </c>
      <c r="AW12">
        <v>3.0000000000000001E-3</v>
      </c>
      <c r="AX12" s="41" t="s">
        <v>73</v>
      </c>
      <c r="AY12" s="41">
        <v>3</v>
      </c>
      <c r="AZ12">
        <f>AW10/AW12</f>
        <v>1.6666666666666667</v>
      </c>
      <c r="BA12" s="100">
        <f t="shared" si="1"/>
        <v>9.7000000000000003E-3</v>
      </c>
      <c r="BB12"/>
      <c r="BC12" t="s">
        <v>73</v>
      </c>
      <c r="BD12" t="s">
        <v>73</v>
      </c>
      <c r="BE12" t="s">
        <v>73</v>
      </c>
      <c r="BF12" t="s">
        <v>73</v>
      </c>
      <c r="BG12" t="s">
        <v>73</v>
      </c>
      <c r="BH12" t="s">
        <v>73</v>
      </c>
      <c r="BI12">
        <v>12100</v>
      </c>
      <c r="BJ12">
        <v>12100</v>
      </c>
      <c r="BK12" t="s">
        <v>73</v>
      </c>
      <c r="BL12" t="s">
        <v>73</v>
      </c>
      <c r="BM12">
        <v>128</v>
      </c>
      <c r="BN12">
        <v>0.1</v>
      </c>
      <c r="BO12" t="s">
        <v>241</v>
      </c>
      <c r="BP12" t="s">
        <v>73</v>
      </c>
      <c r="BQ12" t="s">
        <v>73</v>
      </c>
      <c r="BR12" t="s">
        <v>73</v>
      </c>
      <c r="BS12" t="s">
        <v>73</v>
      </c>
      <c r="BT12" t="s">
        <v>73</v>
      </c>
      <c r="BU12">
        <v>0</v>
      </c>
      <c r="BV12">
        <v>1</v>
      </c>
      <c r="BW12">
        <v>0</v>
      </c>
      <c r="BX12" s="30">
        <f t="shared" si="7"/>
        <v>1.5149776296267388E-2</v>
      </c>
      <c r="BY12" s="30">
        <f t="shared" si="2"/>
        <v>1.5150935493184629E-2</v>
      </c>
      <c r="BZ12" s="30">
        <f t="shared" si="8"/>
        <v>8.2651454443045618E-5</v>
      </c>
      <c r="CA12" s="30">
        <f t="shared" si="9"/>
        <v>8.2665123584359755E-5</v>
      </c>
      <c r="CB12"/>
      <c r="CC12"/>
      <c r="CD12"/>
      <c r="CE12" s="30">
        <f t="shared" si="3"/>
        <v>1.5149776296267388E-2</v>
      </c>
      <c r="CF12" s="30">
        <f t="shared" si="4"/>
        <v>1.5150935493184629E-2</v>
      </c>
      <c r="CG12" s="30">
        <f t="shared" si="5"/>
        <v>8.2651454443045618E-5</v>
      </c>
      <c r="CH12" s="30">
        <f t="shared" si="6"/>
        <v>8.2665123584359755E-5</v>
      </c>
    </row>
    <row r="13" spans="1:86" s="95" customFormat="1" ht="17" customHeight="1">
      <c r="A13" t="s">
        <v>68</v>
      </c>
      <c r="B13"/>
      <c r="C13">
        <v>1095</v>
      </c>
      <c r="D13">
        <v>117</v>
      </c>
      <c r="E13" t="s">
        <v>242</v>
      </c>
      <c r="F13">
        <v>2014</v>
      </c>
      <c r="G13" t="s">
        <v>243</v>
      </c>
      <c r="H13" t="s">
        <v>244</v>
      </c>
      <c r="I13">
        <v>2</v>
      </c>
      <c r="J13">
        <v>2009</v>
      </c>
      <c r="K13" t="s">
        <v>73</v>
      </c>
      <c r="L13">
        <v>40</v>
      </c>
      <c r="M13" s="18" t="s">
        <v>120</v>
      </c>
      <c r="N13" t="s">
        <v>225</v>
      </c>
      <c r="O13" t="s">
        <v>81</v>
      </c>
      <c r="P13" t="s">
        <v>226</v>
      </c>
      <c r="Q13" t="s">
        <v>227</v>
      </c>
      <c r="R13" t="s">
        <v>245</v>
      </c>
      <c r="S13">
        <v>0</v>
      </c>
      <c r="T13" t="s">
        <v>188</v>
      </c>
      <c r="U13">
        <v>0</v>
      </c>
      <c r="V13" t="s">
        <v>230</v>
      </c>
      <c r="W13" t="s">
        <v>230</v>
      </c>
      <c r="X13" t="s">
        <v>73</v>
      </c>
      <c r="Y13">
        <v>0</v>
      </c>
      <c r="Z13">
        <v>0</v>
      </c>
      <c r="AA13">
        <v>0</v>
      </c>
      <c r="AB13">
        <v>1</v>
      </c>
      <c r="AC13">
        <v>0</v>
      </c>
      <c r="AD13">
        <v>0</v>
      </c>
      <c r="AE13">
        <v>0</v>
      </c>
      <c r="AF13">
        <v>0</v>
      </c>
      <c r="AG13" t="s">
        <v>73</v>
      </c>
      <c r="AH13">
        <v>1</v>
      </c>
      <c r="AI13">
        <v>0</v>
      </c>
      <c r="AJ13">
        <v>0</v>
      </c>
      <c r="AK13">
        <v>0</v>
      </c>
      <c r="AL13">
        <v>0</v>
      </c>
      <c r="AM13">
        <v>0</v>
      </c>
      <c r="AN13">
        <v>0</v>
      </c>
      <c r="AO13">
        <v>0</v>
      </c>
      <c r="AP13">
        <v>0</v>
      </c>
      <c r="AQ13" t="s">
        <v>73</v>
      </c>
      <c r="AR13" t="s">
        <v>232</v>
      </c>
      <c r="AS13" t="s">
        <v>246</v>
      </c>
      <c r="AT13" t="s">
        <v>240</v>
      </c>
      <c r="AU13" s="25">
        <v>7.0000000000000001E-3</v>
      </c>
      <c r="AV13" s="7" t="s">
        <v>86</v>
      </c>
      <c r="AW13">
        <v>4.0000000000000001E-3</v>
      </c>
      <c r="AX13" s="41" t="s">
        <v>73</v>
      </c>
      <c r="AY13" s="41">
        <v>3</v>
      </c>
      <c r="AZ13">
        <f t="shared" ref="AZ13:AZ38" si="10">AU13/AW13</f>
        <v>1.75</v>
      </c>
      <c r="BA13" s="100">
        <f t="shared" si="1"/>
        <v>7.0000000000000001E-3</v>
      </c>
      <c r="BB13"/>
      <c r="BC13" t="s">
        <v>73</v>
      </c>
      <c r="BD13" t="s">
        <v>73</v>
      </c>
      <c r="BE13" t="s">
        <v>73</v>
      </c>
      <c r="BF13" t="s">
        <v>73</v>
      </c>
      <c r="BG13" t="s">
        <v>73</v>
      </c>
      <c r="BH13" t="s">
        <v>73</v>
      </c>
      <c r="BI13">
        <v>12100</v>
      </c>
      <c r="BJ13">
        <v>12100</v>
      </c>
      <c r="BK13" t="s">
        <v>73</v>
      </c>
      <c r="BL13" t="s">
        <v>73</v>
      </c>
      <c r="BM13">
        <v>128</v>
      </c>
      <c r="BN13">
        <v>0.1</v>
      </c>
      <c r="BO13" t="s">
        <v>241</v>
      </c>
      <c r="BP13" t="s">
        <v>73</v>
      </c>
      <c r="BQ13" t="s">
        <v>73</v>
      </c>
      <c r="BR13" t="s">
        <v>73</v>
      </c>
      <c r="BS13" t="s">
        <v>73</v>
      </c>
      <c r="BT13" t="s">
        <v>73</v>
      </c>
      <c r="BU13">
        <v>0</v>
      </c>
      <c r="BV13">
        <v>1</v>
      </c>
      <c r="BW13">
        <v>0</v>
      </c>
      <c r="BX13" s="30">
        <f t="shared" si="7"/>
        <v>1.5907078002301091E-2</v>
      </c>
      <c r="BY13" s="30">
        <f t="shared" si="2"/>
        <v>1.5908419889220204E-2</v>
      </c>
      <c r="BZ13" s="30">
        <f t="shared" si="8"/>
        <v>8.2651453504555366E-5</v>
      </c>
      <c r="CA13" s="30">
        <f t="shared" si="9"/>
        <v>8.2665123584359755E-5</v>
      </c>
      <c r="CB13"/>
      <c r="CC13"/>
      <c r="CD13"/>
      <c r="CE13" s="30">
        <f t="shared" si="3"/>
        <v>1.5907078002301091E-2</v>
      </c>
      <c r="CF13" s="30">
        <f t="shared" si="4"/>
        <v>1.5908419889220204E-2</v>
      </c>
      <c r="CG13" s="30">
        <f t="shared" si="5"/>
        <v>8.2651453504555366E-5</v>
      </c>
      <c r="CH13" s="30">
        <f t="shared" si="6"/>
        <v>8.2665123584359755E-5</v>
      </c>
    </row>
    <row r="14" spans="1:86" ht="16">
      <c r="A14" t="s">
        <v>68</v>
      </c>
      <c r="C14">
        <v>1096</v>
      </c>
      <c r="D14">
        <v>117</v>
      </c>
      <c r="E14" t="s">
        <v>242</v>
      </c>
      <c r="F14">
        <v>2014</v>
      </c>
      <c r="G14" t="s">
        <v>243</v>
      </c>
      <c r="H14" t="s">
        <v>244</v>
      </c>
      <c r="I14">
        <v>2</v>
      </c>
      <c r="J14">
        <v>2009</v>
      </c>
      <c r="K14" t="s">
        <v>73</v>
      </c>
      <c r="L14">
        <v>40</v>
      </c>
      <c r="M14" s="18" t="s">
        <v>120</v>
      </c>
      <c r="N14" t="s">
        <v>225</v>
      </c>
      <c r="O14" t="s">
        <v>81</v>
      </c>
      <c r="P14" t="s">
        <v>226</v>
      </c>
      <c r="Q14" t="s">
        <v>227</v>
      </c>
      <c r="R14" t="s">
        <v>245</v>
      </c>
      <c r="S14">
        <v>0</v>
      </c>
      <c r="T14" t="s">
        <v>188</v>
      </c>
      <c r="U14">
        <v>0</v>
      </c>
      <c r="V14" t="s">
        <v>230</v>
      </c>
      <c r="W14" t="s">
        <v>230</v>
      </c>
      <c r="X14" t="s">
        <v>73</v>
      </c>
      <c r="Y14">
        <v>0</v>
      </c>
      <c r="Z14">
        <v>0</v>
      </c>
      <c r="AA14">
        <v>0</v>
      </c>
      <c r="AB14">
        <v>1</v>
      </c>
      <c r="AC14">
        <v>0</v>
      </c>
      <c r="AD14">
        <v>0</v>
      </c>
      <c r="AE14">
        <v>0</v>
      </c>
      <c r="AF14">
        <v>0</v>
      </c>
      <c r="AG14" t="s">
        <v>73</v>
      </c>
      <c r="AH14">
        <v>0</v>
      </c>
      <c r="AI14">
        <v>0</v>
      </c>
      <c r="AJ14">
        <v>1</v>
      </c>
      <c r="AK14">
        <v>0</v>
      </c>
      <c r="AL14">
        <v>0</v>
      </c>
      <c r="AM14">
        <v>0</v>
      </c>
      <c r="AN14">
        <v>0</v>
      </c>
      <c r="AO14">
        <v>0</v>
      </c>
      <c r="AP14">
        <v>0</v>
      </c>
      <c r="AQ14" t="s">
        <v>73</v>
      </c>
      <c r="AR14" t="s">
        <v>232</v>
      </c>
      <c r="AS14" t="s">
        <v>246</v>
      </c>
      <c r="AT14" t="s">
        <v>240</v>
      </c>
      <c r="AU14" s="25">
        <v>9.6000000000000002E-2</v>
      </c>
      <c r="AV14" s="7" t="s">
        <v>80</v>
      </c>
      <c r="AW14">
        <v>1.7999999999999999E-2</v>
      </c>
      <c r="AX14" s="41" t="s">
        <v>73</v>
      </c>
      <c r="AY14" s="41">
        <v>3</v>
      </c>
      <c r="AZ14">
        <f t="shared" si="10"/>
        <v>5.3333333333333339</v>
      </c>
      <c r="BA14" s="100">
        <f t="shared" si="1"/>
        <v>9.6000000000000002E-2</v>
      </c>
      <c r="BC14" t="s">
        <v>73</v>
      </c>
      <c r="BD14" t="s">
        <v>73</v>
      </c>
      <c r="BE14" t="s">
        <v>73</v>
      </c>
      <c r="BF14" t="s">
        <v>73</v>
      </c>
      <c r="BG14" t="s">
        <v>73</v>
      </c>
      <c r="BH14" t="s">
        <v>73</v>
      </c>
      <c r="BI14">
        <v>12600</v>
      </c>
      <c r="BJ14">
        <v>12600</v>
      </c>
      <c r="BK14" t="s">
        <v>73</v>
      </c>
      <c r="BL14" t="s">
        <v>73</v>
      </c>
      <c r="BM14">
        <v>128</v>
      </c>
      <c r="BN14">
        <v>0.1</v>
      </c>
      <c r="BO14" t="s">
        <v>241</v>
      </c>
      <c r="BP14" t="s">
        <v>73</v>
      </c>
      <c r="BQ14" t="s">
        <v>73</v>
      </c>
      <c r="BR14" t="s">
        <v>73</v>
      </c>
      <c r="BS14" t="s">
        <v>73</v>
      </c>
      <c r="BT14" t="s">
        <v>73</v>
      </c>
      <c r="BU14">
        <v>0</v>
      </c>
      <c r="BV14">
        <v>1</v>
      </c>
      <c r="BW14">
        <v>0</v>
      </c>
      <c r="BX14" s="30">
        <f t="shared" si="7"/>
        <v>4.7459569987691901E-2</v>
      </c>
      <c r="BY14" s="30">
        <f t="shared" si="2"/>
        <v>4.7495251036885983E-2</v>
      </c>
      <c r="BZ14" s="30">
        <f t="shared" si="8"/>
        <v>7.9370974789384351E-5</v>
      </c>
      <c r="CA14" s="30">
        <f t="shared" si="9"/>
        <v>7.9383980312772889E-5</v>
      </c>
      <c r="CE14" s="30">
        <f t="shared" si="3"/>
        <v>4.7459569987691901E-2</v>
      </c>
      <c r="CF14" s="30">
        <f t="shared" si="4"/>
        <v>4.7495251036885983E-2</v>
      </c>
      <c r="CG14" s="30">
        <f t="shared" si="5"/>
        <v>7.9370974789384351E-5</v>
      </c>
      <c r="CH14" s="30">
        <f t="shared" si="6"/>
        <v>7.9383980312772889E-5</v>
      </c>
    </row>
    <row r="15" spans="1:86" ht="16">
      <c r="A15" t="s">
        <v>68</v>
      </c>
      <c r="C15">
        <v>1097</v>
      </c>
      <c r="D15">
        <v>117</v>
      </c>
      <c r="E15" t="s">
        <v>242</v>
      </c>
      <c r="F15">
        <v>2014</v>
      </c>
      <c r="G15" t="s">
        <v>243</v>
      </c>
      <c r="H15" t="s">
        <v>244</v>
      </c>
      <c r="I15">
        <v>2</v>
      </c>
      <c r="J15">
        <v>2009</v>
      </c>
      <c r="K15" t="s">
        <v>73</v>
      </c>
      <c r="L15">
        <v>40</v>
      </c>
      <c r="M15" s="18" t="s">
        <v>120</v>
      </c>
      <c r="N15" t="s">
        <v>225</v>
      </c>
      <c r="O15" t="s">
        <v>81</v>
      </c>
      <c r="P15" t="s">
        <v>226</v>
      </c>
      <c r="Q15" t="s">
        <v>227</v>
      </c>
      <c r="R15" t="s">
        <v>245</v>
      </c>
      <c r="S15">
        <v>0</v>
      </c>
      <c r="T15" t="s">
        <v>188</v>
      </c>
      <c r="U15">
        <v>0</v>
      </c>
      <c r="V15" t="s">
        <v>230</v>
      </c>
      <c r="W15" t="s">
        <v>230</v>
      </c>
      <c r="X15" t="s">
        <v>73</v>
      </c>
      <c r="Y15">
        <v>0</v>
      </c>
      <c r="Z15">
        <v>0</v>
      </c>
      <c r="AA15">
        <v>0</v>
      </c>
      <c r="AB15">
        <v>1</v>
      </c>
      <c r="AC15">
        <v>0</v>
      </c>
      <c r="AD15">
        <v>0</v>
      </c>
      <c r="AE15">
        <v>0</v>
      </c>
      <c r="AF15">
        <v>0</v>
      </c>
      <c r="AG15" t="s">
        <v>73</v>
      </c>
      <c r="AH15">
        <v>0</v>
      </c>
      <c r="AI15">
        <v>0</v>
      </c>
      <c r="AJ15">
        <v>1</v>
      </c>
      <c r="AK15">
        <v>0</v>
      </c>
      <c r="AL15">
        <v>0</v>
      </c>
      <c r="AM15">
        <v>0</v>
      </c>
      <c r="AN15">
        <v>0</v>
      </c>
      <c r="AO15">
        <v>0</v>
      </c>
      <c r="AP15">
        <v>0</v>
      </c>
      <c r="AQ15" t="s">
        <v>73</v>
      </c>
      <c r="AR15" t="s">
        <v>232</v>
      </c>
      <c r="AS15" t="s">
        <v>246</v>
      </c>
      <c r="AT15" t="s">
        <v>240</v>
      </c>
      <c r="AU15" s="25">
        <v>2.1000000000000001E-2</v>
      </c>
      <c r="AV15" s="7" t="s">
        <v>86</v>
      </c>
      <c r="AW15">
        <v>7.0000000000000001E-3</v>
      </c>
      <c r="AX15" s="41" t="s">
        <v>73</v>
      </c>
      <c r="AY15" s="41">
        <v>3</v>
      </c>
      <c r="AZ15">
        <f t="shared" si="10"/>
        <v>3</v>
      </c>
      <c r="BA15" s="100">
        <f t="shared" si="1"/>
        <v>2.1000000000000001E-2</v>
      </c>
      <c r="BC15" t="s">
        <v>73</v>
      </c>
      <c r="BD15" t="s">
        <v>73</v>
      </c>
      <c r="BE15" t="s">
        <v>73</v>
      </c>
      <c r="BF15" t="s">
        <v>73</v>
      </c>
      <c r="BG15" t="s">
        <v>73</v>
      </c>
      <c r="BH15" t="s">
        <v>73</v>
      </c>
      <c r="BI15">
        <v>12600</v>
      </c>
      <c r="BJ15">
        <v>12600</v>
      </c>
      <c r="BK15" t="s">
        <v>73</v>
      </c>
      <c r="BL15" t="s">
        <v>73</v>
      </c>
      <c r="BM15">
        <v>128</v>
      </c>
      <c r="BN15">
        <v>0.1</v>
      </c>
      <c r="BO15" t="s">
        <v>241</v>
      </c>
      <c r="BP15" t="s">
        <v>73</v>
      </c>
      <c r="BQ15" t="s">
        <v>73</v>
      </c>
      <c r="BR15" t="s">
        <v>73</v>
      </c>
      <c r="BS15" t="s">
        <v>73</v>
      </c>
      <c r="BT15" t="s">
        <v>73</v>
      </c>
      <c r="BU15">
        <v>0</v>
      </c>
      <c r="BV15">
        <v>1</v>
      </c>
      <c r="BW15">
        <v>0</v>
      </c>
      <c r="BX15" s="30">
        <f t="shared" si="7"/>
        <v>2.6716584257263244E-2</v>
      </c>
      <c r="BY15" s="30">
        <f t="shared" si="2"/>
        <v>2.672294353203979E-2</v>
      </c>
      <c r="BZ15" s="30">
        <f t="shared" si="8"/>
        <v>7.9371338204520307E-5</v>
      </c>
      <c r="CA15" s="30">
        <f t="shared" si="9"/>
        <v>7.9383980312772889E-5</v>
      </c>
      <c r="CE15" s="30">
        <f t="shared" si="3"/>
        <v>2.6716584257263244E-2</v>
      </c>
      <c r="CF15" s="30">
        <f t="shared" si="4"/>
        <v>2.672294353203979E-2</v>
      </c>
      <c r="CG15" s="30">
        <f t="shared" si="5"/>
        <v>7.9371338204520307E-5</v>
      </c>
      <c r="CH15" s="30">
        <f t="shared" si="6"/>
        <v>7.9383980312772889E-5</v>
      </c>
    </row>
    <row r="16" spans="1:86" ht="16">
      <c r="A16" t="s">
        <v>68</v>
      </c>
      <c r="C16">
        <v>1098</v>
      </c>
      <c r="D16">
        <v>117</v>
      </c>
      <c r="E16" t="s">
        <v>242</v>
      </c>
      <c r="F16">
        <v>2014</v>
      </c>
      <c r="G16" t="s">
        <v>243</v>
      </c>
      <c r="H16" t="s">
        <v>244</v>
      </c>
      <c r="I16">
        <v>2</v>
      </c>
      <c r="J16">
        <v>2009</v>
      </c>
      <c r="K16" t="s">
        <v>73</v>
      </c>
      <c r="L16">
        <v>40</v>
      </c>
      <c r="M16" s="18" t="s">
        <v>120</v>
      </c>
      <c r="N16" t="s">
        <v>225</v>
      </c>
      <c r="O16" t="s">
        <v>81</v>
      </c>
      <c r="P16" t="s">
        <v>226</v>
      </c>
      <c r="Q16" t="s">
        <v>227</v>
      </c>
      <c r="R16" t="s">
        <v>245</v>
      </c>
      <c r="S16">
        <v>0</v>
      </c>
      <c r="T16" t="s">
        <v>188</v>
      </c>
      <c r="U16">
        <v>0</v>
      </c>
      <c r="V16" t="s">
        <v>230</v>
      </c>
      <c r="W16" t="s">
        <v>230</v>
      </c>
      <c r="X16" t="s">
        <v>73</v>
      </c>
      <c r="Y16">
        <v>0</v>
      </c>
      <c r="Z16">
        <v>0</v>
      </c>
      <c r="AA16">
        <v>0</v>
      </c>
      <c r="AB16">
        <v>1</v>
      </c>
      <c r="AC16">
        <v>0</v>
      </c>
      <c r="AD16">
        <v>0</v>
      </c>
      <c r="AE16">
        <v>0</v>
      </c>
      <c r="AF16">
        <v>0</v>
      </c>
      <c r="AG16" t="s">
        <v>73</v>
      </c>
      <c r="AH16">
        <v>0</v>
      </c>
      <c r="AI16">
        <v>0</v>
      </c>
      <c r="AJ16">
        <v>1</v>
      </c>
      <c r="AK16">
        <v>0</v>
      </c>
      <c r="AL16">
        <v>0</v>
      </c>
      <c r="AM16">
        <v>0</v>
      </c>
      <c r="AN16">
        <v>0</v>
      </c>
      <c r="AO16">
        <v>0</v>
      </c>
      <c r="AP16">
        <v>0</v>
      </c>
      <c r="AQ16" t="s">
        <v>73</v>
      </c>
      <c r="AR16" t="s">
        <v>232</v>
      </c>
      <c r="AS16" t="s">
        <v>246</v>
      </c>
      <c r="AT16" t="s">
        <v>240</v>
      </c>
      <c r="AU16" s="25">
        <v>2.3999999999999998E-3</v>
      </c>
      <c r="AV16" s="7" t="s">
        <v>86</v>
      </c>
      <c r="AW16">
        <v>5.0000000000000001E-3</v>
      </c>
      <c r="AX16" s="41" t="s">
        <v>73</v>
      </c>
      <c r="AY16" s="41">
        <v>3</v>
      </c>
      <c r="AZ16">
        <f t="shared" si="10"/>
        <v>0.47999999999999993</v>
      </c>
      <c r="BA16" s="100">
        <f t="shared" si="1"/>
        <v>2.3999999999999998E-3</v>
      </c>
      <c r="BC16" t="s">
        <v>73</v>
      </c>
      <c r="BD16" t="s">
        <v>73</v>
      </c>
      <c r="BE16" t="s">
        <v>73</v>
      </c>
      <c r="BF16" t="s">
        <v>73</v>
      </c>
      <c r="BG16" t="s">
        <v>73</v>
      </c>
      <c r="BH16" t="s">
        <v>73</v>
      </c>
      <c r="BI16">
        <v>12600</v>
      </c>
      <c r="BJ16">
        <v>12600</v>
      </c>
      <c r="BK16" t="s">
        <v>73</v>
      </c>
      <c r="BL16" t="s">
        <v>73</v>
      </c>
      <c r="BM16">
        <v>128</v>
      </c>
      <c r="BN16">
        <v>0.1</v>
      </c>
      <c r="BO16" t="s">
        <v>241</v>
      </c>
      <c r="BP16" t="s">
        <v>73</v>
      </c>
      <c r="BQ16" t="s">
        <v>73</v>
      </c>
      <c r="BR16" t="s">
        <v>73</v>
      </c>
      <c r="BS16" t="s">
        <v>73</v>
      </c>
      <c r="BT16" t="s">
        <v>73</v>
      </c>
      <c r="BU16">
        <v>0</v>
      </c>
      <c r="BV16">
        <v>1</v>
      </c>
      <c r="BW16">
        <v>0</v>
      </c>
      <c r="BX16" s="30">
        <f t="shared" si="7"/>
        <v>4.2761407746332884E-3</v>
      </c>
      <c r="BY16" s="30">
        <f t="shared" si="2"/>
        <v>4.2761668385387485E-3</v>
      </c>
      <c r="BZ16" s="30">
        <f t="shared" si="8"/>
        <v>7.9371378654308805E-5</v>
      </c>
      <c r="CA16" s="30">
        <f t="shared" si="9"/>
        <v>7.9383980312772889E-5</v>
      </c>
      <c r="CE16" s="30">
        <f t="shared" si="3"/>
        <v>4.2761407746332884E-3</v>
      </c>
      <c r="CF16" s="30">
        <f t="shared" si="4"/>
        <v>4.2761668385387485E-3</v>
      </c>
      <c r="CG16" s="30">
        <f t="shared" si="5"/>
        <v>7.9371378654308805E-5</v>
      </c>
      <c r="CH16" s="30">
        <f t="shared" si="6"/>
        <v>7.9383980312772889E-5</v>
      </c>
    </row>
    <row r="17" spans="1:16359" ht="16">
      <c r="A17" s="93" t="s">
        <v>257</v>
      </c>
      <c r="B17" s="93"/>
      <c r="C17" s="93">
        <v>1197</v>
      </c>
      <c r="D17" s="93">
        <v>202</v>
      </c>
      <c r="E17" s="93" t="s">
        <v>258</v>
      </c>
      <c r="F17" s="93">
        <v>2021</v>
      </c>
      <c r="G17" s="93" t="s">
        <v>259</v>
      </c>
      <c r="H17" s="93" t="s">
        <v>260</v>
      </c>
      <c r="I17" s="93">
        <v>2</v>
      </c>
      <c r="J17" s="93" t="s">
        <v>261</v>
      </c>
      <c r="K17" s="93" t="s">
        <v>73</v>
      </c>
      <c r="L17" s="93">
        <v>8</v>
      </c>
      <c r="M17" s="10" t="s">
        <v>120</v>
      </c>
      <c r="N17" s="93" t="s">
        <v>262</v>
      </c>
      <c r="O17" s="93" t="s">
        <v>148</v>
      </c>
      <c r="P17" t="s">
        <v>226</v>
      </c>
      <c r="Q17" s="93" t="s">
        <v>227</v>
      </c>
      <c r="R17" s="93" t="s">
        <v>405</v>
      </c>
      <c r="S17">
        <v>0</v>
      </c>
      <c r="T17" t="s">
        <v>229</v>
      </c>
      <c r="U17">
        <v>0</v>
      </c>
      <c r="V17" s="93" t="s">
        <v>230</v>
      </c>
      <c r="W17" s="93" t="s">
        <v>230</v>
      </c>
      <c r="X17" s="93" t="s">
        <v>263</v>
      </c>
      <c r="Y17" s="93">
        <v>0</v>
      </c>
      <c r="Z17" s="93">
        <v>0</v>
      </c>
      <c r="AA17" s="93">
        <v>1</v>
      </c>
      <c r="AB17" s="93">
        <v>0</v>
      </c>
      <c r="AC17" s="93">
        <v>0</v>
      </c>
      <c r="AD17" s="93">
        <v>0</v>
      </c>
      <c r="AE17" s="93">
        <v>0</v>
      </c>
      <c r="AF17" s="93">
        <v>1</v>
      </c>
      <c r="AG17" s="93" t="s">
        <v>264</v>
      </c>
      <c r="AH17" s="93">
        <v>0</v>
      </c>
      <c r="AI17" s="93">
        <v>0</v>
      </c>
      <c r="AJ17" s="93">
        <v>0</v>
      </c>
      <c r="AK17" s="93">
        <v>1</v>
      </c>
      <c r="AL17" s="93">
        <v>0</v>
      </c>
      <c r="AM17" s="93">
        <v>0</v>
      </c>
      <c r="AN17" s="93">
        <v>0</v>
      </c>
      <c r="AO17" s="93">
        <v>0</v>
      </c>
      <c r="AP17" s="93">
        <v>0</v>
      </c>
      <c r="AQ17" s="93" t="s">
        <v>73</v>
      </c>
      <c r="AR17" s="93" t="s">
        <v>232</v>
      </c>
      <c r="AS17" s="93" t="s">
        <v>265</v>
      </c>
      <c r="AT17" s="93" t="s">
        <v>73</v>
      </c>
      <c r="AU17" s="111">
        <v>0.16500000000000001</v>
      </c>
      <c r="AV17" s="112" t="s">
        <v>80</v>
      </c>
      <c r="AW17" s="111">
        <v>1.4E-2</v>
      </c>
      <c r="AX17" s="113">
        <v>0.05</v>
      </c>
      <c r="AY17" s="93">
        <v>1</v>
      </c>
      <c r="AZ17" s="114">
        <f t="shared" si="10"/>
        <v>11.785714285714286</v>
      </c>
      <c r="BA17" s="100">
        <f t="shared" si="1"/>
        <v>0.16500000000000001</v>
      </c>
      <c r="BB17" s="93"/>
      <c r="BC17" s="93" t="s">
        <v>73</v>
      </c>
      <c r="BD17" s="93" t="s">
        <v>73</v>
      </c>
      <c r="BE17" s="93" t="s">
        <v>73</v>
      </c>
      <c r="BF17" s="93" t="s">
        <v>73</v>
      </c>
      <c r="BG17" s="93" t="s">
        <v>73</v>
      </c>
      <c r="BH17" s="93" t="s">
        <v>73</v>
      </c>
      <c r="BI17" s="115">
        <v>1143</v>
      </c>
      <c r="BJ17" s="115">
        <f t="shared" ref="BJ17:BJ28" si="11">BI17</f>
        <v>1143</v>
      </c>
      <c r="BK17" s="93" t="s">
        <v>73</v>
      </c>
      <c r="BL17" s="93" t="s">
        <v>73</v>
      </c>
      <c r="BM17" s="93" t="s">
        <v>73</v>
      </c>
      <c r="BN17" s="93" t="s">
        <v>73</v>
      </c>
      <c r="BO17" s="93" t="s">
        <v>73</v>
      </c>
      <c r="BP17" s="93">
        <v>0</v>
      </c>
      <c r="BQ17" s="93" t="s">
        <v>73</v>
      </c>
      <c r="BR17" s="93">
        <v>0</v>
      </c>
      <c r="BS17" s="93" t="s">
        <v>73</v>
      </c>
      <c r="BT17" s="93" t="s">
        <v>266</v>
      </c>
      <c r="BU17" s="93">
        <v>0</v>
      </c>
      <c r="BV17" s="93">
        <v>0</v>
      </c>
      <c r="BW17" s="93">
        <v>0</v>
      </c>
      <c r="BX17" s="116">
        <f t="shared" si="7"/>
        <v>0.32917611569084376</v>
      </c>
      <c r="BY17" s="116">
        <f t="shared" si="2"/>
        <v>0.34190396617995006</v>
      </c>
      <c r="BZ17" s="116">
        <f t="shared" si="8"/>
        <v>8.6369070253296037E-4</v>
      </c>
      <c r="CA17" s="116">
        <f t="shared" si="9"/>
        <v>8.7719298245614037E-4</v>
      </c>
      <c r="CB17" s="93"/>
      <c r="CC17" s="93"/>
      <c r="CD17" s="93"/>
      <c r="CE17" s="30">
        <f t="shared" si="3"/>
        <v>0.32917611569084376</v>
      </c>
      <c r="CF17" s="30">
        <f t="shared" si="4"/>
        <v>0.34190396617995006</v>
      </c>
      <c r="CG17" s="30">
        <f t="shared" si="5"/>
        <v>8.6369070253296037E-4</v>
      </c>
      <c r="CH17" s="30">
        <f t="shared" si="6"/>
        <v>8.7719298245614037E-4</v>
      </c>
    </row>
    <row r="18" spans="1:16359" ht="16">
      <c r="A18" s="93" t="s">
        <v>257</v>
      </c>
      <c r="B18" s="93"/>
      <c r="C18" s="93">
        <v>1198</v>
      </c>
      <c r="D18" s="93">
        <v>202</v>
      </c>
      <c r="E18" s="93" t="s">
        <v>258</v>
      </c>
      <c r="F18" s="93">
        <v>2021</v>
      </c>
      <c r="G18" s="93" t="s">
        <v>259</v>
      </c>
      <c r="H18" s="93" t="s">
        <v>260</v>
      </c>
      <c r="I18" s="93">
        <v>2</v>
      </c>
      <c r="J18" s="93" t="s">
        <v>261</v>
      </c>
      <c r="K18" s="93" t="s">
        <v>73</v>
      </c>
      <c r="L18" s="93">
        <v>8</v>
      </c>
      <c r="M18" s="10" t="s">
        <v>120</v>
      </c>
      <c r="N18" s="93" t="s">
        <v>262</v>
      </c>
      <c r="O18" s="93" t="s">
        <v>267</v>
      </c>
      <c r="P18" t="s">
        <v>226</v>
      </c>
      <c r="Q18" s="93" t="s">
        <v>227</v>
      </c>
      <c r="R18" s="93" t="s">
        <v>405</v>
      </c>
      <c r="S18">
        <v>0</v>
      </c>
      <c r="T18" t="s">
        <v>229</v>
      </c>
      <c r="U18">
        <v>0</v>
      </c>
      <c r="V18" s="93" t="s">
        <v>230</v>
      </c>
      <c r="W18" s="93" t="s">
        <v>230</v>
      </c>
      <c r="X18" s="93" t="s">
        <v>263</v>
      </c>
      <c r="Y18" s="93">
        <v>0</v>
      </c>
      <c r="Z18" s="93">
        <v>0</v>
      </c>
      <c r="AA18" s="93">
        <v>1</v>
      </c>
      <c r="AB18" s="93">
        <v>0</v>
      </c>
      <c r="AC18" s="93">
        <v>0</v>
      </c>
      <c r="AD18" s="93">
        <v>0</v>
      </c>
      <c r="AE18" s="93">
        <v>0</v>
      </c>
      <c r="AF18" s="93">
        <v>1</v>
      </c>
      <c r="AG18" s="93" t="s">
        <v>264</v>
      </c>
      <c r="AH18" s="93">
        <v>0</v>
      </c>
      <c r="AI18" s="93">
        <v>0</v>
      </c>
      <c r="AJ18" s="93">
        <v>0</v>
      </c>
      <c r="AK18" s="93">
        <v>1</v>
      </c>
      <c r="AL18" s="93">
        <v>0</v>
      </c>
      <c r="AM18" s="93">
        <v>0</v>
      </c>
      <c r="AN18" s="93">
        <v>0</v>
      </c>
      <c r="AO18" s="93">
        <v>0</v>
      </c>
      <c r="AP18" s="93">
        <v>0</v>
      </c>
      <c r="AQ18" s="93" t="s">
        <v>73</v>
      </c>
      <c r="AR18" s="93" t="s">
        <v>232</v>
      </c>
      <c r="AS18" s="93" t="s">
        <v>265</v>
      </c>
      <c r="AT18" s="93" t="s">
        <v>73</v>
      </c>
      <c r="AU18" s="111">
        <v>0.38400000000000001</v>
      </c>
      <c r="AV18" s="112" t="s">
        <v>80</v>
      </c>
      <c r="AW18" s="111">
        <v>4.0000000000000002E-4</v>
      </c>
      <c r="AX18" s="113">
        <v>0.01</v>
      </c>
      <c r="AY18" s="93">
        <v>1</v>
      </c>
      <c r="AZ18" s="114">
        <f t="shared" si="10"/>
        <v>960</v>
      </c>
      <c r="BA18" s="100">
        <f t="shared" si="1"/>
        <v>0.38400000000000001</v>
      </c>
      <c r="BB18" s="93"/>
      <c r="BC18" s="93" t="s">
        <v>73</v>
      </c>
      <c r="BD18" s="93" t="s">
        <v>73</v>
      </c>
      <c r="BE18" s="93" t="s">
        <v>73</v>
      </c>
      <c r="BF18" s="93" t="s">
        <v>73</v>
      </c>
      <c r="BG18" s="93" t="s">
        <v>73</v>
      </c>
      <c r="BH18" s="93" t="s">
        <v>73</v>
      </c>
      <c r="BI18" s="115">
        <v>1143</v>
      </c>
      <c r="BJ18" s="115">
        <f t="shared" si="11"/>
        <v>1143</v>
      </c>
      <c r="BK18" s="93" t="s">
        <v>73</v>
      </c>
      <c r="BL18" s="93" t="s">
        <v>73</v>
      </c>
      <c r="BM18" s="93" t="s">
        <v>73</v>
      </c>
      <c r="BN18" s="93" t="s">
        <v>73</v>
      </c>
      <c r="BO18" s="93" t="s">
        <v>73</v>
      </c>
      <c r="BP18" s="93">
        <v>0</v>
      </c>
      <c r="BQ18" s="93" t="s">
        <v>73</v>
      </c>
      <c r="BR18" s="93">
        <v>0</v>
      </c>
      <c r="BS18" s="93" t="s">
        <v>73</v>
      </c>
      <c r="BT18" s="93" t="s">
        <v>266</v>
      </c>
      <c r="BU18" s="93">
        <v>0</v>
      </c>
      <c r="BV18" s="93">
        <v>0</v>
      </c>
      <c r="BW18" s="93">
        <v>0</v>
      </c>
      <c r="BX18" s="117">
        <f t="shared" si="7"/>
        <v>0.99938045903497763</v>
      </c>
      <c r="BY18" s="116">
        <f t="shared" si="2"/>
        <v>4.0396845476129251</v>
      </c>
      <c r="BZ18" s="116">
        <f t="shared" si="8"/>
        <v>-0.23232174563184291</v>
      </c>
      <c r="CA18" s="116">
        <f t="shared" si="9"/>
        <v>8.7719298245614037E-4</v>
      </c>
      <c r="CB18" s="93"/>
      <c r="CC18" s="93"/>
      <c r="CD18" s="93"/>
      <c r="CE18" s="30">
        <f t="shared" si="3"/>
        <v>0.99938045903497763</v>
      </c>
      <c r="CF18" s="30">
        <f t="shared" si="4"/>
        <v>4.0396845476129251</v>
      </c>
      <c r="CG18" s="30">
        <f t="shared" si="5"/>
        <v>-0.23232174563184291</v>
      </c>
      <c r="CH18" s="30">
        <f t="shared" si="6"/>
        <v>8.7719298245614037E-4</v>
      </c>
    </row>
    <row r="19" spans="1:16359" ht="16">
      <c r="A19" s="93" t="s">
        <v>257</v>
      </c>
      <c r="B19" s="93"/>
      <c r="C19" s="93">
        <v>1199</v>
      </c>
      <c r="D19" s="93">
        <v>202</v>
      </c>
      <c r="E19" s="93" t="s">
        <v>258</v>
      </c>
      <c r="F19" s="93">
        <v>2021</v>
      </c>
      <c r="G19" s="93" t="s">
        <v>259</v>
      </c>
      <c r="H19" s="93" t="s">
        <v>260</v>
      </c>
      <c r="I19" s="93">
        <v>2</v>
      </c>
      <c r="J19" s="93" t="s">
        <v>261</v>
      </c>
      <c r="K19" s="93" t="s">
        <v>73</v>
      </c>
      <c r="L19" s="93">
        <v>8</v>
      </c>
      <c r="M19" s="10" t="s">
        <v>120</v>
      </c>
      <c r="N19" s="93" t="s">
        <v>262</v>
      </c>
      <c r="O19" s="93" t="s">
        <v>268</v>
      </c>
      <c r="P19" t="s">
        <v>226</v>
      </c>
      <c r="Q19" s="93" t="s">
        <v>227</v>
      </c>
      <c r="R19" s="93" t="s">
        <v>405</v>
      </c>
      <c r="S19">
        <v>0</v>
      </c>
      <c r="T19" t="s">
        <v>229</v>
      </c>
      <c r="U19">
        <v>0</v>
      </c>
      <c r="V19" s="93" t="s">
        <v>230</v>
      </c>
      <c r="W19" s="93" t="s">
        <v>230</v>
      </c>
      <c r="X19" s="93" t="s">
        <v>263</v>
      </c>
      <c r="Y19" s="93">
        <v>0</v>
      </c>
      <c r="Z19" s="93">
        <v>0</v>
      </c>
      <c r="AA19" s="93">
        <v>1</v>
      </c>
      <c r="AB19" s="93">
        <v>0</v>
      </c>
      <c r="AC19" s="93">
        <v>0</v>
      </c>
      <c r="AD19" s="93">
        <v>0</v>
      </c>
      <c r="AE19" s="93">
        <v>0</v>
      </c>
      <c r="AF19" s="93">
        <v>1</v>
      </c>
      <c r="AG19" s="93" t="s">
        <v>264</v>
      </c>
      <c r="AH19" s="93">
        <v>0</v>
      </c>
      <c r="AI19" s="93">
        <v>0</v>
      </c>
      <c r="AJ19" s="93">
        <v>0</v>
      </c>
      <c r="AK19" s="93">
        <v>1</v>
      </c>
      <c r="AL19" s="93">
        <v>0</v>
      </c>
      <c r="AM19" s="93">
        <v>0</v>
      </c>
      <c r="AN19" s="93">
        <v>0</v>
      </c>
      <c r="AO19" s="93">
        <v>0</v>
      </c>
      <c r="AP19" s="93">
        <v>0</v>
      </c>
      <c r="AQ19" s="93" t="s">
        <v>73</v>
      </c>
      <c r="AR19" s="93" t="s">
        <v>232</v>
      </c>
      <c r="AS19" s="93" t="s">
        <v>265</v>
      </c>
      <c r="AT19" s="93" t="s">
        <v>73</v>
      </c>
      <c r="AU19" s="111">
        <v>0.188</v>
      </c>
      <c r="AV19" s="112" t="s">
        <v>80</v>
      </c>
      <c r="AW19" s="111">
        <v>6.0000000000000001E-3</v>
      </c>
      <c r="AX19" s="113">
        <v>0.01</v>
      </c>
      <c r="AY19" s="93">
        <v>1</v>
      </c>
      <c r="AZ19" s="114">
        <f t="shared" si="10"/>
        <v>31.333333333333332</v>
      </c>
      <c r="BA19" s="100">
        <f t="shared" si="1"/>
        <v>0.188</v>
      </c>
      <c r="BB19" s="93"/>
      <c r="BC19" s="93" t="s">
        <v>73</v>
      </c>
      <c r="BD19" s="93" t="s">
        <v>73</v>
      </c>
      <c r="BE19" s="93" t="s">
        <v>73</v>
      </c>
      <c r="BF19" s="93" t="s">
        <v>73</v>
      </c>
      <c r="BG19" s="93" t="s">
        <v>73</v>
      </c>
      <c r="BH19" s="93" t="s">
        <v>73</v>
      </c>
      <c r="BI19" s="115">
        <v>1143</v>
      </c>
      <c r="BJ19" s="115">
        <f t="shared" si="11"/>
        <v>1143</v>
      </c>
      <c r="BK19" s="93" t="s">
        <v>73</v>
      </c>
      <c r="BL19" s="93" t="s">
        <v>73</v>
      </c>
      <c r="BM19" s="93" t="s">
        <v>73</v>
      </c>
      <c r="BN19" s="93" t="s">
        <v>73</v>
      </c>
      <c r="BO19" s="93" t="s">
        <v>73</v>
      </c>
      <c r="BP19" s="93">
        <v>0</v>
      </c>
      <c r="BQ19" s="93" t="s">
        <v>73</v>
      </c>
      <c r="BR19" s="93">
        <v>0</v>
      </c>
      <c r="BS19" s="93" t="s">
        <v>73</v>
      </c>
      <c r="BT19" s="93" t="s">
        <v>266</v>
      </c>
      <c r="BU19" s="93">
        <v>0</v>
      </c>
      <c r="BV19" s="93">
        <v>0</v>
      </c>
      <c r="BW19" s="93">
        <v>0</v>
      </c>
      <c r="BX19" s="117">
        <f t="shared" si="7"/>
        <v>0.6797509779625166</v>
      </c>
      <c r="BY19" s="116">
        <f t="shared" si="2"/>
        <v>0.8286509734911085</v>
      </c>
      <c r="BZ19" s="116">
        <f t="shared" si="8"/>
        <v>4.6277994673218209E-4</v>
      </c>
      <c r="CA19" s="116">
        <f t="shared" si="9"/>
        <v>8.7719298245614037E-4</v>
      </c>
      <c r="CB19" s="93"/>
      <c r="CC19" s="93"/>
      <c r="CD19" s="93"/>
      <c r="CE19" s="30">
        <f t="shared" si="3"/>
        <v>0.6797509779625166</v>
      </c>
      <c r="CF19" s="30">
        <f t="shared" si="4"/>
        <v>0.8286509734911085</v>
      </c>
      <c r="CG19" s="30">
        <f t="shared" si="5"/>
        <v>4.6277994673218209E-4</v>
      </c>
      <c r="CH19" s="30">
        <f t="shared" si="6"/>
        <v>8.7719298245614037E-4</v>
      </c>
    </row>
    <row r="20" spans="1:16359" ht="16">
      <c r="A20" s="93" t="s">
        <v>257</v>
      </c>
      <c r="B20" s="93"/>
      <c r="C20" s="93">
        <v>1200</v>
      </c>
      <c r="D20" s="93">
        <v>202</v>
      </c>
      <c r="E20" s="93" t="s">
        <v>258</v>
      </c>
      <c r="F20" s="93">
        <v>2021</v>
      </c>
      <c r="G20" s="93" t="s">
        <v>259</v>
      </c>
      <c r="H20" s="93" t="s">
        <v>260</v>
      </c>
      <c r="I20" s="93">
        <v>2</v>
      </c>
      <c r="J20" s="93" t="s">
        <v>261</v>
      </c>
      <c r="K20" s="93" t="s">
        <v>73</v>
      </c>
      <c r="L20" s="93">
        <v>8</v>
      </c>
      <c r="M20" s="10" t="s">
        <v>120</v>
      </c>
      <c r="N20" s="93" t="s">
        <v>262</v>
      </c>
      <c r="O20" s="93" t="s">
        <v>269</v>
      </c>
      <c r="P20" t="s">
        <v>226</v>
      </c>
      <c r="Q20" s="93" t="s">
        <v>227</v>
      </c>
      <c r="R20" s="93" t="s">
        <v>405</v>
      </c>
      <c r="S20">
        <v>0</v>
      </c>
      <c r="T20" t="s">
        <v>229</v>
      </c>
      <c r="U20">
        <v>0</v>
      </c>
      <c r="V20" s="93" t="s">
        <v>230</v>
      </c>
      <c r="W20" s="93" t="s">
        <v>230</v>
      </c>
      <c r="X20" s="93" t="s">
        <v>263</v>
      </c>
      <c r="Y20" s="93">
        <v>0</v>
      </c>
      <c r="Z20" s="93">
        <v>0</v>
      </c>
      <c r="AA20" s="93">
        <v>1</v>
      </c>
      <c r="AB20" s="93">
        <v>0</v>
      </c>
      <c r="AC20" s="93">
        <v>0</v>
      </c>
      <c r="AD20" s="93">
        <v>0</v>
      </c>
      <c r="AE20" s="93">
        <v>0</v>
      </c>
      <c r="AF20" s="93">
        <v>1</v>
      </c>
      <c r="AG20" s="93" t="s">
        <v>264</v>
      </c>
      <c r="AH20" s="93">
        <v>0</v>
      </c>
      <c r="AI20" s="93">
        <v>0</v>
      </c>
      <c r="AJ20" s="93">
        <v>0</v>
      </c>
      <c r="AK20" s="93">
        <v>1</v>
      </c>
      <c r="AL20" s="93">
        <v>0</v>
      </c>
      <c r="AM20" s="93">
        <v>0</v>
      </c>
      <c r="AN20" s="93">
        <v>0</v>
      </c>
      <c r="AO20" s="93">
        <v>0</v>
      </c>
      <c r="AP20" s="93">
        <v>0</v>
      </c>
      <c r="AQ20" s="93" t="s">
        <v>73</v>
      </c>
      <c r="AR20" s="93" t="s">
        <v>232</v>
      </c>
      <c r="AS20" s="93" t="s">
        <v>265</v>
      </c>
      <c r="AT20" s="93" t="s">
        <v>73</v>
      </c>
      <c r="AU20" s="111">
        <v>0.17799999999999999</v>
      </c>
      <c r="AV20" s="112" t="s">
        <v>80</v>
      </c>
      <c r="AW20" s="111">
        <v>4.0000000000000002E-4</v>
      </c>
      <c r="AX20" s="113">
        <v>0.01</v>
      </c>
      <c r="AY20" s="93">
        <v>1</v>
      </c>
      <c r="AZ20" s="114">
        <f t="shared" si="10"/>
        <v>444.99999999999994</v>
      </c>
      <c r="BA20" s="100">
        <f t="shared" si="1"/>
        <v>0.17799999999999999</v>
      </c>
      <c r="BB20" s="93"/>
      <c r="BC20" s="93" t="s">
        <v>73</v>
      </c>
      <c r="BD20" s="93" t="s">
        <v>73</v>
      </c>
      <c r="BE20" s="93" t="s">
        <v>73</v>
      </c>
      <c r="BF20" s="93" t="s">
        <v>73</v>
      </c>
      <c r="BG20" s="93" t="s">
        <v>73</v>
      </c>
      <c r="BH20" s="93" t="s">
        <v>73</v>
      </c>
      <c r="BI20" s="115">
        <v>1143</v>
      </c>
      <c r="BJ20" s="115">
        <f t="shared" si="11"/>
        <v>1143</v>
      </c>
      <c r="BK20" s="93" t="s">
        <v>73</v>
      </c>
      <c r="BL20" s="93" t="s">
        <v>73</v>
      </c>
      <c r="BM20" s="93" t="s">
        <v>73</v>
      </c>
      <c r="BN20" s="93" t="s">
        <v>73</v>
      </c>
      <c r="BO20" s="93" t="s">
        <v>73</v>
      </c>
      <c r="BP20" s="93">
        <v>0</v>
      </c>
      <c r="BQ20" s="93" t="s">
        <v>73</v>
      </c>
      <c r="BR20" s="93">
        <v>0</v>
      </c>
      <c r="BS20" s="93" t="s">
        <v>73</v>
      </c>
      <c r="BT20" s="93" t="s">
        <v>266</v>
      </c>
      <c r="BU20" s="93">
        <v>0</v>
      </c>
      <c r="BV20" s="93">
        <v>0</v>
      </c>
      <c r="BW20" s="93">
        <v>0</v>
      </c>
      <c r="BX20" s="117">
        <f t="shared" si="7"/>
        <v>0.9971264344531976</v>
      </c>
      <c r="BY20" s="116">
        <f t="shared" si="2"/>
        <v>3.2719555170560017</v>
      </c>
      <c r="BZ20" s="116">
        <f t="shared" si="8"/>
        <v>-9.9484991759079461E-2</v>
      </c>
      <c r="CA20" s="116">
        <f t="shared" si="9"/>
        <v>8.7719298245614037E-4</v>
      </c>
      <c r="CB20" s="93"/>
      <c r="CC20" s="93"/>
      <c r="CD20" s="93"/>
      <c r="CE20" s="30">
        <f t="shared" si="3"/>
        <v>0.9971264344531976</v>
      </c>
      <c r="CF20" s="30">
        <f t="shared" si="4"/>
        <v>3.2719555170560017</v>
      </c>
      <c r="CG20" s="30">
        <f t="shared" si="5"/>
        <v>-9.9484991759079461E-2</v>
      </c>
      <c r="CH20" s="30">
        <f t="shared" si="6"/>
        <v>8.7719298245614037E-4</v>
      </c>
    </row>
    <row r="21" spans="1:16359" ht="16">
      <c r="A21" s="93" t="s">
        <v>257</v>
      </c>
      <c r="B21" s="93"/>
      <c r="C21" s="93">
        <v>1201</v>
      </c>
      <c r="D21" s="93">
        <v>202</v>
      </c>
      <c r="E21" s="93" t="s">
        <v>258</v>
      </c>
      <c r="F21" s="93">
        <v>2021</v>
      </c>
      <c r="G21" s="93" t="s">
        <v>259</v>
      </c>
      <c r="H21" s="93" t="s">
        <v>260</v>
      </c>
      <c r="I21" s="93">
        <v>2</v>
      </c>
      <c r="J21" s="93" t="s">
        <v>261</v>
      </c>
      <c r="K21" s="93" t="s">
        <v>73</v>
      </c>
      <c r="L21" s="93">
        <v>8</v>
      </c>
      <c r="M21" s="10" t="s">
        <v>120</v>
      </c>
      <c r="N21" s="93" t="s">
        <v>262</v>
      </c>
      <c r="O21" s="93" t="s">
        <v>270</v>
      </c>
      <c r="P21" t="s">
        <v>226</v>
      </c>
      <c r="Q21" s="93" t="s">
        <v>227</v>
      </c>
      <c r="R21" s="93" t="s">
        <v>405</v>
      </c>
      <c r="S21">
        <v>0</v>
      </c>
      <c r="T21" t="s">
        <v>229</v>
      </c>
      <c r="U21">
        <v>0</v>
      </c>
      <c r="V21" s="93" t="s">
        <v>230</v>
      </c>
      <c r="W21" s="93" t="s">
        <v>230</v>
      </c>
      <c r="X21" s="93" t="s">
        <v>263</v>
      </c>
      <c r="Y21" s="93">
        <v>0</v>
      </c>
      <c r="Z21" s="93">
        <v>0</v>
      </c>
      <c r="AA21" s="93">
        <v>1</v>
      </c>
      <c r="AB21" s="93">
        <v>0</v>
      </c>
      <c r="AC21" s="93">
        <v>0</v>
      </c>
      <c r="AD21" s="93">
        <v>0</v>
      </c>
      <c r="AE21" s="93">
        <v>0</v>
      </c>
      <c r="AF21" s="93">
        <v>1</v>
      </c>
      <c r="AG21" s="93" t="s">
        <v>264</v>
      </c>
      <c r="AH21" s="93">
        <v>0</v>
      </c>
      <c r="AI21" s="93">
        <v>0</v>
      </c>
      <c r="AJ21" s="93">
        <v>0</v>
      </c>
      <c r="AK21" s="93">
        <v>1</v>
      </c>
      <c r="AL21" s="93">
        <v>0</v>
      </c>
      <c r="AM21" s="93">
        <v>0</v>
      </c>
      <c r="AN21" s="93">
        <v>0</v>
      </c>
      <c r="AO21" s="93">
        <v>0</v>
      </c>
      <c r="AP21" s="93">
        <v>0</v>
      </c>
      <c r="AQ21" s="93" t="s">
        <v>73</v>
      </c>
      <c r="AR21" s="93" t="s">
        <v>232</v>
      </c>
      <c r="AS21" s="93" t="s">
        <v>265</v>
      </c>
      <c r="AT21" s="93" t="s">
        <v>73</v>
      </c>
      <c r="AU21" s="111">
        <v>0.22500000000000001</v>
      </c>
      <c r="AV21" s="112" t="s">
        <v>80</v>
      </c>
      <c r="AW21" s="111">
        <v>4.0000000000000002E-4</v>
      </c>
      <c r="AX21" s="113">
        <v>0.01</v>
      </c>
      <c r="AY21" s="93">
        <v>1</v>
      </c>
      <c r="AZ21" s="114">
        <f t="shared" si="10"/>
        <v>562.5</v>
      </c>
      <c r="BA21" s="100">
        <f t="shared" si="1"/>
        <v>0.22500000000000001</v>
      </c>
      <c r="BB21" s="93"/>
      <c r="BC21" s="93" t="s">
        <v>73</v>
      </c>
      <c r="BD21" s="93" t="s">
        <v>73</v>
      </c>
      <c r="BE21" s="93" t="s">
        <v>73</v>
      </c>
      <c r="BF21" s="93" t="s">
        <v>73</v>
      </c>
      <c r="BG21" s="93" t="s">
        <v>73</v>
      </c>
      <c r="BH21" s="93" t="s">
        <v>73</v>
      </c>
      <c r="BI21" s="115">
        <v>1143</v>
      </c>
      <c r="BJ21" s="115">
        <f t="shared" si="11"/>
        <v>1143</v>
      </c>
      <c r="BK21" s="93" t="s">
        <v>73</v>
      </c>
      <c r="BL21" s="93" t="s">
        <v>73</v>
      </c>
      <c r="BM21" s="93" t="s">
        <v>73</v>
      </c>
      <c r="BN21" s="93" t="s">
        <v>73</v>
      </c>
      <c r="BO21" s="93" t="s">
        <v>73</v>
      </c>
      <c r="BP21" s="93">
        <v>0</v>
      </c>
      <c r="BQ21" s="93" t="s">
        <v>73</v>
      </c>
      <c r="BR21" s="93">
        <v>0</v>
      </c>
      <c r="BS21" s="93" t="s">
        <v>73</v>
      </c>
      <c r="BT21" s="93" t="s">
        <v>266</v>
      </c>
      <c r="BU21" s="93">
        <v>0</v>
      </c>
      <c r="BV21" s="93">
        <v>0</v>
      </c>
      <c r="BW21" s="93">
        <v>0</v>
      </c>
      <c r="BX21" s="117">
        <f t="shared" si="7"/>
        <v>0.99819865675054298</v>
      </c>
      <c r="BY21" s="116">
        <f t="shared" si="2"/>
        <v>3.5057343728871753</v>
      </c>
      <c r="BZ21" s="116">
        <f t="shared" si="8"/>
        <v>-0.13139086207881251</v>
      </c>
      <c r="CA21" s="116">
        <f t="shared" si="9"/>
        <v>8.7719298245614037E-4</v>
      </c>
      <c r="CB21" s="93"/>
      <c r="CC21" s="93"/>
      <c r="CD21" s="93"/>
      <c r="CE21" s="30">
        <f t="shared" si="3"/>
        <v>0.99819865675054298</v>
      </c>
      <c r="CF21" s="30">
        <f t="shared" si="4"/>
        <v>3.5057343728871753</v>
      </c>
      <c r="CG21" s="30">
        <f t="shared" si="5"/>
        <v>-0.13139086207881251</v>
      </c>
      <c r="CH21" s="30">
        <f t="shared" si="6"/>
        <v>8.7719298245614037E-4</v>
      </c>
    </row>
    <row r="22" spans="1:16359" ht="16">
      <c r="A22" s="93" t="s">
        <v>257</v>
      </c>
      <c r="B22" s="93"/>
      <c r="C22" s="93">
        <v>1202</v>
      </c>
      <c r="D22" s="93">
        <v>202</v>
      </c>
      <c r="E22" s="93" t="s">
        <v>258</v>
      </c>
      <c r="F22" s="93">
        <v>2021</v>
      </c>
      <c r="G22" s="93" t="s">
        <v>259</v>
      </c>
      <c r="H22" s="93" t="s">
        <v>260</v>
      </c>
      <c r="I22" s="93">
        <v>2</v>
      </c>
      <c r="J22" s="93" t="s">
        <v>261</v>
      </c>
      <c r="K22" s="93" t="s">
        <v>73</v>
      </c>
      <c r="L22" s="93">
        <v>8</v>
      </c>
      <c r="M22" s="10" t="s">
        <v>120</v>
      </c>
      <c r="N22" s="93" t="s">
        <v>262</v>
      </c>
      <c r="O22" s="93" t="s">
        <v>271</v>
      </c>
      <c r="P22" t="s">
        <v>226</v>
      </c>
      <c r="Q22" s="93" t="s">
        <v>227</v>
      </c>
      <c r="R22" s="93" t="s">
        <v>405</v>
      </c>
      <c r="S22">
        <v>0</v>
      </c>
      <c r="T22" t="s">
        <v>229</v>
      </c>
      <c r="U22">
        <v>0</v>
      </c>
      <c r="V22" s="93" t="s">
        <v>230</v>
      </c>
      <c r="W22" s="93" t="s">
        <v>230</v>
      </c>
      <c r="X22" s="93" t="s">
        <v>263</v>
      </c>
      <c r="Y22" s="93">
        <v>0</v>
      </c>
      <c r="Z22" s="93">
        <v>0</v>
      </c>
      <c r="AA22" s="93">
        <v>1</v>
      </c>
      <c r="AB22" s="93">
        <v>0</v>
      </c>
      <c r="AC22" s="93">
        <v>0</v>
      </c>
      <c r="AD22" s="93">
        <v>0</v>
      </c>
      <c r="AE22" s="93">
        <v>0</v>
      </c>
      <c r="AF22" s="93">
        <v>1</v>
      </c>
      <c r="AG22" s="93" t="s">
        <v>264</v>
      </c>
      <c r="AH22" s="93">
        <v>0</v>
      </c>
      <c r="AI22" s="93">
        <v>0</v>
      </c>
      <c r="AJ22" s="93">
        <v>0</v>
      </c>
      <c r="AK22" s="93">
        <v>1</v>
      </c>
      <c r="AL22" s="93">
        <v>0</v>
      </c>
      <c r="AM22" s="93">
        <v>0</v>
      </c>
      <c r="AN22" s="93">
        <v>0</v>
      </c>
      <c r="AO22" s="93">
        <v>0</v>
      </c>
      <c r="AP22" s="93">
        <v>0</v>
      </c>
      <c r="AQ22" s="93" t="s">
        <v>73</v>
      </c>
      <c r="AR22" s="93" t="s">
        <v>232</v>
      </c>
      <c r="AS22" s="93" t="s">
        <v>265</v>
      </c>
      <c r="AT22" s="93" t="s">
        <v>73</v>
      </c>
      <c r="AU22" s="111">
        <v>0.217</v>
      </c>
      <c r="AV22" s="112" t="s">
        <v>80</v>
      </c>
      <c r="AW22" s="111">
        <v>1.0999999999999999E-2</v>
      </c>
      <c r="AX22" s="113">
        <v>0.05</v>
      </c>
      <c r="AY22" s="93">
        <v>1</v>
      </c>
      <c r="AZ22" s="114">
        <f t="shared" si="10"/>
        <v>19.727272727272727</v>
      </c>
      <c r="BA22" s="100">
        <f t="shared" si="1"/>
        <v>0.217</v>
      </c>
      <c r="BB22" s="93"/>
      <c r="BC22" s="93" t="s">
        <v>73</v>
      </c>
      <c r="BD22" s="93" t="s">
        <v>73</v>
      </c>
      <c r="BE22" s="93" t="s">
        <v>73</v>
      </c>
      <c r="BF22" s="93" t="s">
        <v>73</v>
      </c>
      <c r="BG22" s="93" t="s">
        <v>73</v>
      </c>
      <c r="BH22" s="93" t="s">
        <v>73</v>
      </c>
      <c r="BI22" s="115">
        <v>1143</v>
      </c>
      <c r="BJ22" s="115">
        <f t="shared" si="11"/>
        <v>1143</v>
      </c>
      <c r="BK22" s="93" t="s">
        <v>73</v>
      </c>
      <c r="BL22" s="93" t="s">
        <v>73</v>
      </c>
      <c r="BM22" s="93" t="s">
        <v>73</v>
      </c>
      <c r="BN22" s="93" t="s">
        <v>73</v>
      </c>
      <c r="BO22" s="93" t="s">
        <v>73</v>
      </c>
      <c r="BP22" s="93">
        <v>0</v>
      </c>
      <c r="BQ22" s="93" t="s">
        <v>73</v>
      </c>
      <c r="BR22" s="93">
        <v>0</v>
      </c>
      <c r="BS22" s="93" t="s">
        <v>73</v>
      </c>
      <c r="BT22" s="93" t="s">
        <v>266</v>
      </c>
      <c r="BU22" s="93">
        <v>0</v>
      </c>
      <c r="BV22" s="93">
        <v>0</v>
      </c>
      <c r="BW22" s="93">
        <v>0</v>
      </c>
      <c r="BX22" s="117">
        <f t="shared" si="7"/>
        <v>0.50398108716659962</v>
      </c>
      <c r="BY22" s="116">
        <f t="shared" si="2"/>
        <v>0.55462843634902004</v>
      </c>
      <c r="BZ22" s="116">
        <f t="shared" si="8"/>
        <v>7.9279722006820284E-4</v>
      </c>
      <c r="CA22" s="116">
        <f t="shared" si="9"/>
        <v>8.7719298245614037E-4</v>
      </c>
      <c r="CB22" s="93"/>
      <c r="CC22" s="93"/>
      <c r="CD22" s="93"/>
      <c r="CE22" s="30">
        <f t="shared" si="3"/>
        <v>0.50398108716659962</v>
      </c>
      <c r="CF22" s="30">
        <f t="shared" si="4"/>
        <v>0.55462843634902004</v>
      </c>
      <c r="CG22" s="30">
        <f t="shared" si="5"/>
        <v>7.9279722006820284E-4</v>
      </c>
      <c r="CH22" s="30">
        <f t="shared" si="6"/>
        <v>8.7719298245614037E-4</v>
      </c>
    </row>
    <row r="23" spans="1:16359" ht="16">
      <c r="A23" s="93" t="s">
        <v>257</v>
      </c>
      <c r="B23" s="93"/>
      <c r="C23" s="93">
        <v>1203</v>
      </c>
      <c r="D23" s="93">
        <v>202</v>
      </c>
      <c r="E23" s="93" t="s">
        <v>258</v>
      </c>
      <c r="F23" s="93">
        <v>2021</v>
      </c>
      <c r="G23" s="93" t="s">
        <v>259</v>
      </c>
      <c r="H23" s="93" t="s">
        <v>260</v>
      </c>
      <c r="I23" s="93">
        <v>2</v>
      </c>
      <c r="J23" s="93" t="s">
        <v>261</v>
      </c>
      <c r="K23" s="93" t="s">
        <v>73</v>
      </c>
      <c r="L23" s="93">
        <v>8</v>
      </c>
      <c r="M23" s="10" t="s">
        <v>120</v>
      </c>
      <c r="N23" s="93" t="s">
        <v>262</v>
      </c>
      <c r="O23" s="93" t="s">
        <v>272</v>
      </c>
      <c r="P23" t="s">
        <v>226</v>
      </c>
      <c r="Q23" s="93" t="s">
        <v>227</v>
      </c>
      <c r="R23" s="93" t="s">
        <v>405</v>
      </c>
      <c r="S23">
        <v>0</v>
      </c>
      <c r="T23" t="s">
        <v>229</v>
      </c>
      <c r="U23">
        <v>0</v>
      </c>
      <c r="V23" s="93" t="s">
        <v>230</v>
      </c>
      <c r="W23" s="93" t="s">
        <v>230</v>
      </c>
      <c r="X23" s="93" t="s">
        <v>263</v>
      </c>
      <c r="Y23" s="93">
        <v>0</v>
      </c>
      <c r="Z23" s="93">
        <v>0</v>
      </c>
      <c r="AA23" s="93">
        <v>1</v>
      </c>
      <c r="AB23" s="93">
        <v>0</v>
      </c>
      <c r="AC23" s="93">
        <v>0</v>
      </c>
      <c r="AD23" s="93">
        <v>0</v>
      </c>
      <c r="AE23" s="93">
        <v>0</v>
      </c>
      <c r="AF23" s="93">
        <v>1</v>
      </c>
      <c r="AG23" s="93" t="s">
        <v>264</v>
      </c>
      <c r="AH23" s="93">
        <v>0</v>
      </c>
      <c r="AI23" s="93">
        <v>0</v>
      </c>
      <c r="AJ23" s="93">
        <v>0</v>
      </c>
      <c r="AK23" s="93">
        <v>1</v>
      </c>
      <c r="AL23" s="93">
        <v>0</v>
      </c>
      <c r="AM23" s="93">
        <v>0</v>
      </c>
      <c r="AN23" s="93">
        <v>0</v>
      </c>
      <c r="AO23" s="93">
        <v>0</v>
      </c>
      <c r="AP23" s="93">
        <v>0</v>
      </c>
      <c r="AQ23" s="93" t="s">
        <v>73</v>
      </c>
      <c r="AR23" s="93" t="s">
        <v>232</v>
      </c>
      <c r="AS23" s="93" t="s">
        <v>265</v>
      </c>
      <c r="AT23" s="93" t="s">
        <v>73</v>
      </c>
      <c r="AU23" s="111">
        <v>0.32900000000000001</v>
      </c>
      <c r="AV23" s="112" t="s">
        <v>80</v>
      </c>
      <c r="AW23" s="111">
        <v>1E-3</v>
      </c>
      <c r="AX23" s="113">
        <v>0.01</v>
      </c>
      <c r="AY23" s="93">
        <v>1</v>
      </c>
      <c r="AZ23" s="114">
        <f t="shared" si="10"/>
        <v>329</v>
      </c>
      <c r="BA23" s="100">
        <f t="shared" si="1"/>
        <v>0.32900000000000001</v>
      </c>
      <c r="BB23" s="93"/>
      <c r="BC23" s="93" t="s">
        <v>73</v>
      </c>
      <c r="BD23" s="93" t="s">
        <v>73</v>
      </c>
      <c r="BE23" s="93" t="s">
        <v>73</v>
      </c>
      <c r="BF23" s="93" t="s">
        <v>73</v>
      </c>
      <c r="BG23" s="93" t="s">
        <v>73</v>
      </c>
      <c r="BH23" s="93" t="s">
        <v>73</v>
      </c>
      <c r="BI23" s="115">
        <v>1143</v>
      </c>
      <c r="BJ23" s="115">
        <f t="shared" si="11"/>
        <v>1143</v>
      </c>
      <c r="BK23" s="93" t="s">
        <v>73</v>
      </c>
      <c r="BL23" s="93" t="s">
        <v>73</v>
      </c>
      <c r="BM23" s="93" t="s">
        <v>73</v>
      </c>
      <c r="BN23" s="93" t="s">
        <v>73</v>
      </c>
      <c r="BO23" s="93" t="s">
        <v>73</v>
      </c>
      <c r="BP23" s="93">
        <v>0</v>
      </c>
      <c r="BQ23" s="93" t="s">
        <v>73</v>
      </c>
      <c r="BR23" s="93">
        <v>0</v>
      </c>
      <c r="BS23" s="93" t="s">
        <v>73</v>
      </c>
      <c r="BT23" s="93" t="s">
        <v>266</v>
      </c>
      <c r="BU23" s="93">
        <v>0</v>
      </c>
      <c r="BV23" s="93">
        <v>0</v>
      </c>
      <c r="BW23" s="93">
        <v>0</v>
      </c>
      <c r="BX23" s="117">
        <f t="shared" si="7"/>
        <v>0.99476156646916469</v>
      </c>
      <c r="BY23" s="116">
        <f t="shared" si="2"/>
        <v>2.9711286487420243</v>
      </c>
      <c r="BZ23" s="116">
        <f t="shared" si="8"/>
        <v>-6.736131167647591E-2</v>
      </c>
      <c r="CA23" s="116">
        <f t="shared" si="9"/>
        <v>8.7719298245614037E-4</v>
      </c>
      <c r="CB23" s="93"/>
      <c r="CC23" s="93"/>
      <c r="CD23" s="93"/>
      <c r="CE23" s="30">
        <f t="shared" si="3"/>
        <v>0.99476156646916469</v>
      </c>
      <c r="CF23" s="30">
        <f t="shared" si="4"/>
        <v>2.9711286487420243</v>
      </c>
      <c r="CG23" s="30">
        <f t="shared" si="5"/>
        <v>-6.736131167647591E-2</v>
      </c>
      <c r="CH23" s="30">
        <f t="shared" si="6"/>
        <v>8.7719298245614037E-4</v>
      </c>
    </row>
    <row r="24" spans="1:16359" ht="16">
      <c r="A24" s="93" t="s">
        <v>257</v>
      </c>
      <c r="B24" s="93"/>
      <c r="C24" s="93">
        <v>1204</v>
      </c>
      <c r="D24" s="93">
        <v>202</v>
      </c>
      <c r="E24" s="93" t="s">
        <v>258</v>
      </c>
      <c r="F24" s="93">
        <v>2021</v>
      </c>
      <c r="G24" s="93" t="s">
        <v>259</v>
      </c>
      <c r="H24" s="93" t="s">
        <v>260</v>
      </c>
      <c r="I24" s="93">
        <v>2</v>
      </c>
      <c r="J24" s="93" t="s">
        <v>261</v>
      </c>
      <c r="K24" s="93" t="s">
        <v>73</v>
      </c>
      <c r="L24" s="93">
        <v>8</v>
      </c>
      <c r="M24" s="10" t="s">
        <v>120</v>
      </c>
      <c r="N24" s="93" t="s">
        <v>262</v>
      </c>
      <c r="O24" s="93" t="s">
        <v>138</v>
      </c>
      <c r="P24" t="s">
        <v>226</v>
      </c>
      <c r="Q24" s="93" t="s">
        <v>227</v>
      </c>
      <c r="R24" s="93" t="s">
        <v>405</v>
      </c>
      <c r="S24">
        <v>0</v>
      </c>
      <c r="T24" t="s">
        <v>229</v>
      </c>
      <c r="U24">
        <v>0</v>
      </c>
      <c r="V24" s="93" t="s">
        <v>230</v>
      </c>
      <c r="W24" s="93" t="s">
        <v>230</v>
      </c>
      <c r="X24" s="93" t="s">
        <v>263</v>
      </c>
      <c r="Y24" s="93">
        <v>0</v>
      </c>
      <c r="Z24" s="93">
        <v>0</v>
      </c>
      <c r="AA24" s="93">
        <v>1</v>
      </c>
      <c r="AB24" s="93">
        <v>0</v>
      </c>
      <c r="AC24" s="93">
        <v>0</v>
      </c>
      <c r="AD24" s="93">
        <v>0</v>
      </c>
      <c r="AE24" s="93">
        <v>0</v>
      </c>
      <c r="AF24" s="93">
        <v>1</v>
      </c>
      <c r="AG24" s="93" t="s">
        <v>264</v>
      </c>
      <c r="AH24" s="93">
        <v>0</v>
      </c>
      <c r="AI24" s="93">
        <v>0</v>
      </c>
      <c r="AJ24" s="93">
        <v>0</v>
      </c>
      <c r="AK24" s="93">
        <v>1</v>
      </c>
      <c r="AL24" s="93">
        <v>0</v>
      </c>
      <c r="AM24" s="93">
        <v>0</v>
      </c>
      <c r="AN24" s="93">
        <v>0</v>
      </c>
      <c r="AO24" s="93">
        <v>0</v>
      </c>
      <c r="AP24" s="93">
        <v>0</v>
      </c>
      <c r="AQ24" s="93" t="s">
        <v>73</v>
      </c>
      <c r="AR24" s="93" t="s">
        <v>232</v>
      </c>
      <c r="AS24" s="93" t="s">
        <v>265</v>
      </c>
      <c r="AT24" s="93" t="s">
        <v>73</v>
      </c>
      <c r="AU24" s="111">
        <v>0.152</v>
      </c>
      <c r="AV24" s="112" t="s">
        <v>80</v>
      </c>
      <c r="AW24" s="111">
        <v>0.107</v>
      </c>
      <c r="AX24" s="113">
        <v>0.1</v>
      </c>
      <c r="AY24" s="93">
        <v>2</v>
      </c>
      <c r="AZ24" s="114">
        <f t="shared" si="10"/>
        <v>1.4205607476635513</v>
      </c>
      <c r="BA24" s="100">
        <f t="shared" si="1"/>
        <v>0.152</v>
      </c>
      <c r="BB24" s="93"/>
      <c r="BC24" s="93" t="s">
        <v>73</v>
      </c>
      <c r="BD24" s="93" t="s">
        <v>73</v>
      </c>
      <c r="BE24" s="93" t="s">
        <v>73</v>
      </c>
      <c r="BF24" s="93" t="s">
        <v>73</v>
      </c>
      <c r="BG24" s="93" t="s">
        <v>73</v>
      </c>
      <c r="BH24" s="93" t="s">
        <v>73</v>
      </c>
      <c r="BI24" s="115">
        <v>1143</v>
      </c>
      <c r="BJ24" s="115">
        <f t="shared" si="11"/>
        <v>1143</v>
      </c>
      <c r="BK24" s="93" t="s">
        <v>73</v>
      </c>
      <c r="BL24" s="93" t="s">
        <v>73</v>
      </c>
      <c r="BM24" s="93" t="s">
        <v>73</v>
      </c>
      <c r="BN24" s="93" t="s">
        <v>73</v>
      </c>
      <c r="BO24" s="93" t="s">
        <v>73</v>
      </c>
      <c r="BP24" s="93">
        <v>0</v>
      </c>
      <c r="BQ24" s="93" t="s">
        <v>73</v>
      </c>
      <c r="BR24" s="93">
        <v>0</v>
      </c>
      <c r="BS24" s="93" t="s">
        <v>73</v>
      </c>
      <c r="BT24" s="93" t="s">
        <v>266</v>
      </c>
      <c r="BU24" s="93">
        <v>0</v>
      </c>
      <c r="BV24" s="93">
        <v>0</v>
      </c>
      <c r="BW24" s="93">
        <v>0</v>
      </c>
      <c r="BX24" s="117">
        <f t="shared" si="7"/>
        <v>4.1981084605393931E-2</v>
      </c>
      <c r="BY24" s="116">
        <f t="shared" si="2"/>
        <v>4.2005773365978882E-2</v>
      </c>
      <c r="BZ24" s="116">
        <f t="shared" si="8"/>
        <v>8.7565401628082187E-4</v>
      </c>
      <c r="CA24" s="116">
        <f t="shared" si="9"/>
        <v>8.7719298245614037E-4</v>
      </c>
      <c r="CB24" s="93"/>
      <c r="CC24" s="93"/>
      <c r="CD24" s="93"/>
      <c r="CE24" s="30">
        <f t="shared" si="3"/>
        <v>4.1981084605393931E-2</v>
      </c>
      <c r="CF24" s="30">
        <f t="shared" si="4"/>
        <v>4.2005773365978882E-2</v>
      </c>
      <c r="CG24" s="30">
        <f t="shared" si="5"/>
        <v>8.7565401628082187E-4</v>
      </c>
      <c r="CH24" s="30">
        <f t="shared" si="6"/>
        <v>8.7719298245614037E-4</v>
      </c>
      <c r="CI24" s="93"/>
      <c r="CJ24" s="93"/>
      <c r="CK24" s="93"/>
      <c r="CL24" s="93"/>
      <c r="CM24" s="93"/>
      <c r="CN24" s="93"/>
      <c r="CO24" s="93"/>
      <c r="CP24" s="93"/>
      <c r="CQ24" s="93"/>
      <c r="CR24" s="93"/>
      <c r="CS24" s="93"/>
      <c r="CT24" s="93"/>
      <c r="CU24" s="93"/>
      <c r="CV24" s="93"/>
      <c r="CW24" s="93"/>
      <c r="CX24" s="93"/>
      <c r="CY24" s="93"/>
      <c r="CZ24" s="93"/>
      <c r="DA24" s="93"/>
      <c r="DB24" s="93"/>
      <c r="DC24" s="93"/>
      <c r="DD24" s="93"/>
      <c r="DE24" s="93"/>
      <c r="DF24" s="93"/>
      <c r="DG24" s="93"/>
      <c r="DH24" s="93"/>
      <c r="DI24" s="93"/>
      <c r="DJ24" s="93"/>
      <c r="DK24" s="93"/>
      <c r="DL24" s="93"/>
      <c r="DM24" s="93"/>
      <c r="DN24" s="93"/>
      <c r="DO24" s="93"/>
      <c r="DP24" s="93"/>
      <c r="DQ24" s="93"/>
      <c r="DR24" s="93"/>
      <c r="DS24" s="93"/>
      <c r="DT24" s="93"/>
      <c r="DU24" s="93"/>
      <c r="DV24" s="93"/>
      <c r="DW24" s="93"/>
      <c r="DX24" s="93"/>
      <c r="DY24" s="93"/>
      <c r="DZ24" s="93"/>
      <c r="EA24" s="93"/>
      <c r="EB24" s="93"/>
      <c r="EC24" s="93"/>
      <c r="ED24" s="93"/>
      <c r="EE24" s="93"/>
      <c r="EF24" s="93"/>
      <c r="EG24" s="93"/>
      <c r="EH24" s="93"/>
      <c r="EI24" s="93"/>
      <c r="EJ24" s="93"/>
      <c r="EK24" s="93"/>
      <c r="EL24" s="93"/>
      <c r="EM24" s="93"/>
      <c r="EN24" s="93"/>
      <c r="EO24" s="93"/>
      <c r="EP24" s="93"/>
      <c r="EQ24" s="93"/>
      <c r="ER24" s="93"/>
      <c r="ES24" s="93"/>
      <c r="ET24" s="93"/>
      <c r="EU24" s="93"/>
      <c r="EV24" s="93"/>
      <c r="EW24" s="93"/>
      <c r="EX24" s="93"/>
      <c r="EY24" s="93"/>
      <c r="EZ24" s="93"/>
      <c r="FA24" s="93"/>
      <c r="FB24" s="93"/>
      <c r="FC24" s="93"/>
      <c r="FD24" s="93"/>
      <c r="FE24" s="93"/>
      <c r="FF24" s="93"/>
      <c r="FG24" s="93"/>
      <c r="FH24" s="93"/>
      <c r="FI24" s="93"/>
      <c r="FJ24" s="93"/>
      <c r="FK24" s="93"/>
      <c r="FL24" s="93"/>
      <c r="FM24" s="93"/>
      <c r="FN24" s="93"/>
      <c r="FO24" s="93"/>
      <c r="FP24" s="93"/>
      <c r="FQ24" s="93"/>
      <c r="FR24" s="93"/>
      <c r="FS24" s="93"/>
      <c r="FT24" s="93"/>
      <c r="FU24" s="93"/>
      <c r="FV24" s="93"/>
      <c r="FW24" s="93"/>
      <c r="FX24" s="93"/>
      <c r="FY24" s="93"/>
      <c r="FZ24" s="93"/>
      <c r="GA24" s="93"/>
      <c r="GB24" s="93"/>
      <c r="GC24" s="93"/>
      <c r="GD24" s="93"/>
      <c r="GE24" s="93"/>
      <c r="GF24" s="93"/>
      <c r="GG24" s="93"/>
      <c r="GH24" s="93"/>
      <c r="GI24" s="93"/>
      <c r="GJ24" s="93"/>
      <c r="GK24" s="93"/>
      <c r="GL24" s="93"/>
      <c r="GM24" s="93"/>
      <c r="GN24" s="93"/>
      <c r="GO24" s="93"/>
      <c r="GP24" s="93"/>
      <c r="GQ24" s="93"/>
      <c r="GR24" s="93"/>
      <c r="GS24" s="93"/>
      <c r="GT24" s="93"/>
      <c r="GU24" s="93"/>
      <c r="GV24" s="93"/>
      <c r="GW24" s="93"/>
      <c r="GX24" s="93"/>
      <c r="GY24" s="93"/>
      <c r="GZ24" s="93"/>
      <c r="HA24" s="93"/>
      <c r="HB24" s="93"/>
      <c r="HC24" s="93"/>
      <c r="HD24" s="93"/>
      <c r="HE24" s="93"/>
      <c r="HF24" s="93"/>
      <c r="HG24" s="93"/>
      <c r="HH24" s="93"/>
      <c r="HI24" s="93"/>
      <c r="HJ24" s="93"/>
      <c r="HK24" s="93"/>
      <c r="HL24" s="93"/>
      <c r="HM24" s="93"/>
      <c r="HN24" s="93"/>
      <c r="HO24" s="93"/>
      <c r="HP24" s="93"/>
      <c r="HQ24" s="93"/>
      <c r="HR24" s="93"/>
      <c r="HS24" s="93"/>
      <c r="HT24" s="93"/>
      <c r="HU24" s="93"/>
      <c r="HV24" s="93"/>
      <c r="HW24" s="93"/>
      <c r="HX24" s="93"/>
      <c r="HY24" s="93"/>
      <c r="HZ24" s="93"/>
      <c r="IA24" s="93"/>
      <c r="IB24" s="93"/>
      <c r="IC24" s="93"/>
      <c r="ID24" s="93"/>
      <c r="IE24" s="93"/>
      <c r="IF24" s="93"/>
      <c r="IG24" s="93"/>
      <c r="IH24" s="93"/>
      <c r="II24" s="93"/>
      <c r="IJ24" s="93"/>
      <c r="IK24" s="93"/>
      <c r="IL24" s="93"/>
      <c r="IM24" s="93"/>
      <c r="IN24" s="93"/>
      <c r="IO24" s="93"/>
      <c r="IP24" s="93"/>
      <c r="IQ24" s="93"/>
      <c r="IR24" s="93"/>
      <c r="IS24" s="93"/>
      <c r="IT24" s="93"/>
      <c r="IU24" s="93"/>
      <c r="IV24" s="93"/>
      <c r="IW24" s="93"/>
      <c r="IX24" s="93"/>
      <c r="IY24" s="93"/>
      <c r="IZ24" s="93"/>
      <c r="JA24" s="93"/>
      <c r="JB24" s="93"/>
      <c r="JC24" s="93"/>
      <c r="JD24" s="93"/>
      <c r="JE24" s="93"/>
      <c r="JF24" s="93"/>
      <c r="JG24" s="93"/>
      <c r="JH24" s="93"/>
      <c r="JI24" s="93"/>
      <c r="JJ24" s="93"/>
      <c r="JK24" s="93"/>
      <c r="JL24" s="93"/>
      <c r="JM24" s="93"/>
      <c r="JN24" s="93"/>
      <c r="JO24" s="93"/>
      <c r="JP24" s="93"/>
      <c r="JQ24" s="93"/>
      <c r="JR24" s="93"/>
      <c r="JS24" s="93"/>
      <c r="JT24" s="93"/>
      <c r="JU24" s="93"/>
      <c r="JV24" s="93"/>
      <c r="JW24" s="93"/>
      <c r="JX24" s="93"/>
      <c r="JY24" s="93"/>
      <c r="JZ24" s="93"/>
      <c r="KA24" s="93"/>
      <c r="KB24" s="93"/>
      <c r="KC24" s="93"/>
      <c r="KD24" s="93"/>
      <c r="KE24" s="93"/>
      <c r="KF24" s="93"/>
      <c r="KG24" s="93"/>
      <c r="KH24" s="93"/>
      <c r="KI24" s="93"/>
      <c r="KJ24" s="93"/>
      <c r="KK24" s="93"/>
      <c r="KL24" s="93"/>
      <c r="KM24" s="93"/>
      <c r="KN24" s="93"/>
      <c r="KO24" s="93"/>
      <c r="KP24" s="93"/>
      <c r="KQ24" s="93"/>
      <c r="KR24" s="93"/>
      <c r="KS24" s="93"/>
      <c r="KT24" s="93"/>
      <c r="KU24" s="93"/>
      <c r="KV24" s="93"/>
      <c r="KW24" s="93"/>
      <c r="KX24" s="93"/>
      <c r="KY24" s="93"/>
      <c r="KZ24" s="93"/>
      <c r="LA24" s="93"/>
      <c r="LB24" s="93"/>
      <c r="LC24" s="93"/>
      <c r="LD24" s="93"/>
      <c r="LE24" s="93"/>
      <c r="LF24" s="93"/>
      <c r="LG24" s="93"/>
      <c r="LH24" s="93"/>
      <c r="LI24" s="93"/>
      <c r="LJ24" s="93"/>
      <c r="LK24" s="93"/>
      <c r="LL24" s="93"/>
      <c r="LM24" s="93"/>
      <c r="LN24" s="93"/>
      <c r="LO24" s="93"/>
      <c r="LP24" s="93"/>
      <c r="LQ24" s="93"/>
      <c r="LR24" s="93"/>
      <c r="LS24" s="93"/>
      <c r="LT24" s="93"/>
      <c r="LU24" s="93"/>
      <c r="LV24" s="93"/>
      <c r="LW24" s="93"/>
      <c r="LX24" s="93"/>
      <c r="LY24" s="93"/>
      <c r="LZ24" s="93"/>
      <c r="MA24" s="93"/>
      <c r="MB24" s="93"/>
      <c r="MC24" s="93"/>
      <c r="MD24" s="93"/>
      <c r="ME24" s="93"/>
      <c r="MF24" s="93"/>
      <c r="MG24" s="93"/>
      <c r="MH24" s="93"/>
      <c r="MI24" s="93"/>
      <c r="MJ24" s="93"/>
      <c r="MK24" s="93"/>
      <c r="ML24" s="93"/>
      <c r="MM24" s="93"/>
      <c r="MN24" s="93"/>
      <c r="MO24" s="93"/>
      <c r="MP24" s="93"/>
      <c r="MQ24" s="93"/>
      <c r="MR24" s="93"/>
      <c r="MS24" s="93"/>
      <c r="MT24" s="93"/>
      <c r="MU24" s="93"/>
      <c r="MV24" s="93"/>
      <c r="MW24" s="93"/>
      <c r="MX24" s="93"/>
      <c r="MY24" s="93"/>
      <c r="MZ24" s="93"/>
      <c r="NA24" s="93"/>
      <c r="NB24" s="93"/>
      <c r="NC24" s="93"/>
      <c r="ND24" s="93"/>
      <c r="NE24" s="93"/>
      <c r="NF24" s="93"/>
      <c r="NG24" s="93"/>
      <c r="NH24" s="93"/>
      <c r="NI24" s="93"/>
      <c r="NJ24" s="93"/>
      <c r="NK24" s="93"/>
      <c r="NL24" s="93"/>
      <c r="NM24" s="93"/>
      <c r="NN24" s="93"/>
      <c r="NO24" s="93"/>
      <c r="NP24" s="93"/>
      <c r="NQ24" s="93"/>
      <c r="NR24" s="93"/>
      <c r="NS24" s="93"/>
      <c r="NT24" s="93"/>
      <c r="NU24" s="93"/>
      <c r="NV24" s="93"/>
      <c r="NW24" s="93"/>
      <c r="NX24" s="93"/>
      <c r="NY24" s="93"/>
      <c r="NZ24" s="93"/>
      <c r="OA24" s="93"/>
      <c r="OB24" s="93"/>
      <c r="OC24" s="93"/>
      <c r="OD24" s="93"/>
      <c r="OE24" s="93"/>
      <c r="OF24" s="93"/>
      <c r="OG24" s="93"/>
      <c r="OH24" s="93"/>
      <c r="OI24" s="93"/>
      <c r="OJ24" s="93"/>
      <c r="OK24" s="93"/>
      <c r="OL24" s="93"/>
      <c r="OM24" s="93"/>
      <c r="ON24" s="93"/>
      <c r="OO24" s="93"/>
      <c r="OP24" s="93"/>
      <c r="OQ24" s="93"/>
      <c r="OR24" s="93"/>
      <c r="OS24" s="93"/>
      <c r="OT24" s="93"/>
      <c r="OU24" s="93"/>
      <c r="OV24" s="93"/>
      <c r="OW24" s="93"/>
      <c r="OX24" s="93"/>
      <c r="OY24" s="93"/>
      <c r="OZ24" s="93"/>
      <c r="PA24" s="93"/>
      <c r="PB24" s="93"/>
      <c r="PC24" s="93"/>
      <c r="PD24" s="93"/>
      <c r="PE24" s="93"/>
      <c r="PF24" s="93"/>
      <c r="PG24" s="93"/>
      <c r="PH24" s="93"/>
      <c r="PI24" s="93"/>
      <c r="PJ24" s="93"/>
      <c r="PK24" s="93"/>
      <c r="PL24" s="93"/>
      <c r="PM24" s="93"/>
      <c r="PN24" s="93"/>
      <c r="PO24" s="93"/>
      <c r="PP24" s="93"/>
      <c r="PQ24" s="93"/>
      <c r="PR24" s="93"/>
      <c r="PS24" s="93"/>
      <c r="PT24" s="93"/>
      <c r="PU24" s="93"/>
      <c r="PV24" s="93"/>
      <c r="PW24" s="93"/>
      <c r="PX24" s="93"/>
      <c r="PY24" s="93"/>
      <c r="PZ24" s="93"/>
      <c r="QA24" s="93"/>
      <c r="QB24" s="93"/>
      <c r="QC24" s="93"/>
      <c r="QD24" s="93"/>
      <c r="QE24" s="93"/>
      <c r="QF24" s="93"/>
      <c r="QG24" s="93"/>
      <c r="QH24" s="93"/>
      <c r="QI24" s="93"/>
      <c r="QJ24" s="93"/>
      <c r="QK24" s="93"/>
      <c r="QL24" s="93"/>
      <c r="QM24" s="93"/>
      <c r="QN24" s="93"/>
      <c r="QO24" s="93"/>
      <c r="QP24" s="93"/>
      <c r="QQ24" s="93"/>
      <c r="QR24" s="93"/>
      <c r="QS24" s="93"/>
      <c r="QT24" s="93"/>
      <c r="QU24" s="93"/>
      <c r="QV24" s="93"/>
      <c r="QW24" s="93"/>
      <c r="QX24" s="93"/>
      <c r="QY24" s="93"/>
      <c r="QZ24" s="93"/>
      <c r="RA24" s="93"/>
      <c r="RB24" s="93"/>
      <c r="RC24" s="93"/>
      <c r="RD24" s="93"/>
      <c r="RE24" s="93"/>
      <c r="RF24" s="93"/>
      <c r="RG24" s="93"/>
      <c r="RH24" s="93"/>
      <c r="RI24" s="93"/>
      <c r="RJ24" s="93"/>
      <c r="RK24" s="93"/>
      <c r="RL24" s="93"/>
      <c r="RM24" s="93"/>
      <c r="RN24" s="93"/>
      <c r="RO24" s="93"/>
      <c r="RP24" s="93"/>
      <c r="RQ24" s="93"/>
      <c r="RR24" s="93"/>
      <c r="RS24" s="93"/>
      <c r="RT24" s="93"/>
      <c r="RU24" s="93"/>
      <c r="RV24" s="93"/>
      <c r="RW24" s="93"/>
      <c r="RX24" s="93"/>
      <c r="RY24" s="93"/>
      <c r="RZ24" s="93"/>
      <c r="SA24" s="93"/>
      <c r="SB24" s="93"/>
      <c r="SC24" s="93"/>
      <c r="SD24" s="93"/>
      <c r="SE24" s="93"/>
      <c r="SF24" s="93"/>
      <c r="SG24" s="93"/>
      <c r="SH24" s="93"/>
      <c r="SI24" s="93"/>
      <c r="SJ24" s="93"/>
      <c r="SK24" s="93"/>
      <c r="SL24" s="93"/>
      <c r="SM24" s="93"/>
      <c r="SN24" s="93"/>
      <c r="SO24" s="93"/>
      <c r="SP24" s="93"/>
      <c r="SQ24" s="93"/>
      <c r="SR24" s="93"/>
      <c r="SS24" s="93"/>
      <c r="ST24" s="93"/>
      <c r="SU24" s="93"/>
      <c r="SV24" s="93"/>
      <c r="SW24" s="93"/>
      <c r="SX24" s="93"/>
      <c r="SY24" s="93"/>
      <c r="SZ24" s="93"/>
      <c r="TA24" s="93"/>
      <c r="TB24" s="93"/>
      <c r="TC24" s="93"/>
      <c r="TD24" s="93"/>
      <c r="TE24" s="93"/>
      <c r="TF24" s="93"/>
      <c r="TG24" s="93"/>
      <c r="TH24" s="93"/>
      <c r="TI24" s="93"/>
      <c r="TJ24" s="93"/>
      <c r="TK24" s="93"/>
      <c r="TL24" s="93"/>
      <c r="TM24" s="93"/>
      <c r="TN24" s="93"/>
      <c r="TO24" s="93"/>
      <c r="TP24" s="93"/>
      <c r="TQ24" s="93"/>
      <c r="TR24" s="93"/>
      <c r="TS24" s="93"/>
      <c r="TT24" s="93"/>
      <c r="TU24" s="93"/>
      <c r="TV24" s="93"/>
      <c r="TW24" s="93"/>
      <c r="TX24" s="93"/>
      <c r="TY24" s="93"/>
      <c r="TZ24" s="93"/>
      <c r="UA24" s="93"/>
      <c r="UB24" s="93"/>
      <c r="UC24" s="93"/>
      <c r="UD24" s="93"/>
      <c r="UE24" s="93"/>
      <c r="UF24" s="93"/>
      <c r="UG24" s="93"/>
      <c r="UH24" s="93"/>
      <c r="UI24" s="93"/>
      <c r="UJ24" s="93"/>
      <c r="UK24" s="93"/>
      <c r="UL24" s="93"/>
      <c r="UM24" s="93"/>
      <c r="UN24" s="93"/>
      <c r="UO24" s="93"/>
      <c r="UP24" s="93"/>
      <c r="UQ24" s="93"/>
      <c r="UR24" s="93"/>
      <c r="US24" s="93"/>
      <c r="UT24" s="93"/>
      <c r="UU24" s="93"/>
      <c r="UV24" s="93"/>
      <c r="UW24" s="93"/>
      <c r="UX24" s="93"/>
      <c r="UY24" s="93"/>
      <c r="UZ24" s="93"/>
      <c r="VA24" s="93"/>
      <c r="VB24" s="93"/>
      <c r="VC24" s="93"/>
      <c r="VD24" s="93"/>
      <c r="VE24" s="93"/>
      <c r="VF24" s="93"/>
      <c r="VG24" s="93"/>
      <c r="VH24" s="93"/>
      <c r="VI24" s="93"/>
      <c r="VJ24" s="93"/>
      <c r="VK24" s="93"/>
      <c r="VL24" s="93"/>
      <c r="VM24" s="93"/>
      <c r="VN24" s="93"/>
      <c r="VO24" s="93"/>
      <c r="VP24" s="93"/>
      <c r="VQ24" s="93"/>
      <c r="VR24" s="93"/>
      <c r="VS24" s="93"/>
      <c r="VT24" s="93"/>
      <c r="VU24" s="93"/>
      <c r="VV24" s="93"/>
      <c r="VW24" s="93"/>
      <c r="VX24" s="93"/>
      <c r="VY24" s="93"/>
      <c r="VZ24" s="93"/>
      <c r="WA24" s="93"/>
      <c r="WB24" s="93"/>
      <c r="WC24" s="93"/>
      <c r="WD24" s="93"/>
      <c r="WE24" s="93"/>
      <c r="WF24" s="93"/>
      <c r="WG24" s="93"/>
      <c r="WH24" s="93"/>
      <c r="WI24" s="93"/>
      <c r="WJ24" s="93"/>
      <c r="WK24" s="93"/>
      <c r="WL24" s="93"/>
      <c r="WM24" s="93"/>
      <c r="WN24" s="93"/>
      <c r="WO24" s="93"/>
      <c r="WP24" s="93"/>
      <c r="WQ24" s="93"/>
      <c r="WR24" s="93"/>
      <c r="WS24" s="93"/>
      <c r="WT24" s="93"/>
      <c r="WU24" s="93"/>
      <c r="WV24" s="93"/>
      <c r="WW24" s="93"/>
      <c r="WX24" s="93"/>
      <c r="WY24" s="93"/>
      <c r="WZ24" s="93"/>
      <c r="XA24" s="93"/>
      <c r="XB24" s="93"/>
      <c r="XC24" s="93"/>
      <c r="XD24" s="93"/>
      <c r="XE24" s="93"/>
      <c r="XF24" s="93"/>
      <c r="XG24" s="93"/>
      <c r="XH24" s="93"/>
      <c r="XI24" s="93"/>
      <c r="XJ24" s="93"/>
      <c r="XK24" s="93"/>
      <c r="XL24" s="93"/>
      <c r="XM24" s="93"/>
      <c r="XN24" s="93"/>
      <c r="XO24" s="93"/>
      <c r="XP24" s="93"/>
      <c r="XQ24" s="93"/>
      <c r="XR24" s="93"/>
      <c r="XS24" s="93"/>
      <c r="XT24" s="93"/>
      <c r="XU24" s="93"/>
      <c r="XV24" s="93"/>
      <c r="XW24" s="93"/>
      <c r="XX24" s="93"/>
      <c r="XY24" s="93"/>
      <c r="XZ24" s="93"/>
      <c r="YA24" s="93"/>
      <c r="YB24" s="93"/>
      <c r="YC24" s="93"/>
      <c r="YD24" s="93"/>
      <c r="YE24" s="93"/>
      <c r="YF24" s="93"/>
      <c r="YG24" s="93"/>
      <c r="YH24" s="93"/>
      <c r="YI24" s="93"/>
      <c r="YJ24" s="93"/>
      <c r="YK24" s="93"/>
      <c r="YL24" s="93"/>
      <c r="YM24" s="93"/>
      <c r="YN24" s="93"/>
      <c r="YO24" s="93"/>
      <c r="YP24" s="93"/>
      <c r="YQ24" s="93"/>
      <c r="YR24" s="93"/>
      <c r="YS24" s="93"/>
      <c r="YT24" s="93"/>
      <c r="YU24" s="93"/>
      <c r="YV24" s="93"/>
      <c r="YW24" s="93"/>
      <c r="YX24" s="93"/>
      <c r="YY24" s="93"/>
      <c r="YZ24" s="93"/>
      <c r="ZA24" s="93"/>
      <c r="ZB24" s="93"/>
      <c r="ZC24" s="93"/>
      <c r="ZD24" s="93"/>
      <c r="ZE24" s="93"/>
      <c r="ZF24" s="93"/>
      <c r="ZG24" s="93"/>
      <c r="ZH24" s="93"/>
      <c r="ZI24" s="93"/>
      <c r="ZJ24" s="93"/>
      <c r="ZK24" s="93"/>
      <c r="ZL24" s="93"/>
      <c r="ZM24" s="93"/>
      <c r="ZN24" s="93"/>
      <c r="ZO24" s="93"/>
      <c r="ZP24" s="93"/>
      <c r="ZQ24" s="93"/>
      <c r="ZR24" s="93"/>
      <c r="ZS24" s="93"/>
      <c r="ZT24" s="93"/>
      <c r="ZU24" s="93"/>
      <c r="ZV24" s="93"/>
      <c r="ZW24" s="93"/>
      <c r="ZX24" s="93"/>
      <c r="ZY24" s="93"/>
      <c r="ZZ24" s="93"/>
      <c r="AAA24" s="93"/>
      <c r="AAB24" s="93"/>
      <c r="AAC24" s="93"/>
      <c r="AAD24" s="93"/>
      <c r="AAE24" s="93"/>
      <c r="AAF24" s="93"/>
      <c r="AAG24" s="93"/>
      <c r="AAH24" s="93"/>
      <c r="AAI24" s="93"/>
      <c r="AAJ24" s="93"/>
      <c r="AAK24" s="93"/>
      <c r="AAL24" s="93"/>
      <c r="AAM24" s="93"/>
      <c r="AAN24" s="93"/>
      <c r="AAO24" s="93"/>
      <c r="AAP24" s="93"/>
      <c r="AAQ24" s="93"/>
      <c r="AAR24" s="93"/>
      <c r="AAS24" s="93"/>
      <c r="AAT24" s="93"/>
      <c r="AAU24" s="93"/>
      <c r="AAV24" s="93"/>
      <c r="AAW24" s="93"/>
      <c r="AAX24" s="93"/>
      <c r="AAY24" s="93"/>
      <c r="AAZ24" s="93"/>
      <c r="ABA24" s="93"/>
      <c r="ABB24" s="93"/>
      <c r="ABC24" s="93"/>
      <c r="ABD24" s="93"/>
      <c r="ABE24" s="93"/>
      <c r="ABF24" s="93"/>
      <c r="ABG24" s="93"/>
      <c r="ABH24" s="93"/>
      <c r="ABI24" s="93"/>
      <c r="ABJ24" s="93"/>
      <c r="ABK24" s="93"/>
      <c r="ABL24" s="93"/>
      <c r="ABM24" s="93"/>
      <c r="ABN24" s="93"/>
      <c r="ABO24" s="93"/>
      <c r="ABP24" s="93"/>
      <c r="ABQ24" s="93"/>
      <c r="ABR24" s="93"/>
      <c r="ABS24" s="93"/>
      <c r="ABT24" s="93"/>
      <c r="ABU24" s="93"/>
      <c r="ABV24" s="93"/>
      <c r="ABW24" s="93"/>
      <c r="ABX24" s="93"/>
      <c r="ABY24" s="93"/>
      <c r="ABZ24" s="93"/>
      <c r="ACA24" s="93"/>
      <c r="ACB24" s="93"/>
      <c r="ACC24" s="93"/>
      <c r="ACD24" s="93"/>
      <c r="ACE24" s="93"/>
      <c r="ACF24" s="93"/>
      <c r="ACG24" s="93"/>
      <c r="ACH24" s="93"/>
      <c r="ACI24" s="93"/>
      <c r="ACJ24" s="93"/>
      <c r="ACK24" s="93"/>
      <c r="ACL24" s="93"/>
      <c r="ACM24" s="93"/>
      <c r="ACN24" s="93"/>
      <c r="ACO24" s="93"/>
      <c r="ACP24" s="93"/>
      <c r="ACQ24" s="93"/>
      <c r="ACR24" s="93"/>
      <c r="ACS24" s="93"/>
      <c r="ACT24" s="93"/>
      <c r="ACU24" s="93"/>
      <c r="ACV24" s="93"/>
      <c r="ACW24" s="93"/>
      <c r="ACX24" s="93"/>
      <c r="ACY24" s="93"/>
      <c r="ACZ24" s="93"/>
      <c r="ADA24" s="93"/>
      <c r="ADB24" s="93"/>
      <c r="ADC24" s="93"/>
      <c r="ADD24" s="93"/>
      <c r="ADE24" s="93"/>
      <c r="ADF24" s="93"/>
      <c r="ADG24" s="93"/>
      <c r="ADH24" s="93"/>
      <c r="ADI24" s="93"/>
      <c r="ADJ24" s="93"/>
      <c r="ADK24" s="93"/>
      <c r="ADL24" s="93"/>
      <c r="ADM24" s="93"/>
      <c r="ADN24" s="93"/>
      <c r="ADO24" s="93"/>
      <c r="ADP24" s="93"/>
      <c r="ADQ24" s="93"/>
      <c r="ADR24" s="93"/>
      <c r="ADS24" s="93"/>
      <c r="ADT24" s="93"/>
      <c r="ADU24" s="93"/>
      <c r="ADV24" s="93"/>
      <c r="ADW24" s="93"/>
      <c r="ADX24" s="93"/>
      <c r="ADY24" s="93"/>
      <c r="ADZ24" s="93"/>
      <c r="AEA24" s="93"/>
      <c r="AEB24" s="93"/>
      <c r="AEC24" s="93"/>
      <c r="AED24" s="93"/>
      <c r="AEE24" s="93"/>
      <c r="AEF24" s="93"/>
      <c r="AEG24" s="93"/>
      <c r="AEH24" s="93"/>
      <c r="AEI24" s="93"/>
      <c r="AEJ24" s="93"/>
      <c r="AEK24" s="93"/>
      <c r="AEL24" s="93"/>
      <c r="AEM24" s="93"/>
      <c r="AEN24" s="93"/>
      <c r="AEO24" s="93"/>
      <c r="AEP24" s="93"/>
      <c r="AEQ24" s="93"/>
      <c r="AER24" s="93"/>
      <c r="AES24" s="93"/>
      <c r="AET24" s="93"/>
      <c r="AEU24" s="93"/>
      <c r="AEV24" s="93"/>
      <c r="AEW24" s="93"/>
      <c r="AEX24" s="93"/>
      <c r="AEY24" s="93"/>
      <c r="AEZ24" s="93"/>
      <c r="AFA24" s="93"/>
      <c r="AFB24" s="93"/>
      <c r="AFC24" s="93"/>
      <c r="AFD24" s="93"/>
      <c r="AFE24" s="93"/>
      <c r="AFF24" s="93"/>
      <c r="AFG24" s="93"/>
      <c r="AFH24" s="93"/>
      <c r="AFI24" s="93"/>
      <c r="AFJ24" s="93"/>
      <c r="AFK24" s="93"/>
      <c r="AFL24" s="93"/>
      <c r="AFM24" s="93"/>
      <c r="AFN24" s="93"/>
      <c r="AFO24" s="93"/>
      <c r="AFP24" s="93"/>
      <c r="AFQ24" s="93"/>
      <c r="AFR24" s="93"/>
      <c r="AFS24" s="93"/>
      <c r="AFT24" s="93"/>
      <c r="AFU24" s="93"/>
      <c r="AFV24" s="93"/>
      <c r="AFW24" s="93"/>
      <c r="AFX24" s="93"/>
      <c r="AFY24" s="93"/>
      <c r="AFZ24" s="93"/>
      <c r="AGA24" s="93"/>
      <c r="AGB24" s="93"/>
      <c r="AGC24" s="93"/>
      <c r="AGD24" s="93"/>
      <c r="AGE24" s="93"/>
      <c r="AGF24" s="93"/>
      <c r="AGG24" s="93"/>
      <c r="AGH24" s="93"/>
      <c r="AGI24" s="93"/>
      <c r="AGJ24" s="93"/>
      <c r="AGK24" s="93"/>
      <c r="AGL24" s="93"/>
      <c r="AGM24" s="93"/>
      <c r="AGN24" s="93"/>
      <c r="AGO24" s="93"/>
      <c r="AGP24" s="93"/>
      <c r="AGQ24" s="93"/>
      <c r="AGR24" s="93"/>
      <c r="AGS24" s="93"/>
      <c r="AGT24" s="93"/>
      <c r="AGU24" s="93"/>
      <c r="AGV24" s="93"/>
      <c r="AGW24" s="93"/>
      <c r="AGX24" s="93"/>
      <c r="AGY24" s="93"/>
      <c r="AGZ24" s="93"/>
      <c r="AHA24" s="93"/>
      <c r="AHB24" s="93"/>
      <c r="AHC24" s="93"/>
      <c r="AHD24" s="93"/>
      <c r="AHE24" s="93"/>
      <c r="AHF24" s="93"/>
      <c r="AHG24" s="93"/>
      <c r="AHH24" s="93"/>
      <c r="AHI24" s="93"/>
      <c r="AHJ24" s="93"/>
      <c r="AHK24" s="93"/>
      <c r="AHL24" s="93"/>
      <c r="AHM24" s="93"/>
      <c r="AHN24" s="93"/>
      <c r="AHO24" s="93"/>
      <c r="AHP24" s="93"/>
      <c r="AHQ24" s="93"/>
      <c r="AHR24" s="93"/>
      <c r="AHS24" s="93"/>
      <c r="AHT24" s="93"/>
      <c r="AHU24" s="93"/>
      <c r="AHV24" s="93"/>
      <c r="AHW24" s="93"/>
      <c r="AHX24" s="93"/>
      <c r="AHY24" s="93"/>
      <c r="AHZ24" s="93"/>
      <c r="AIA24" s="93"/>
      <c r="AIB24" s="93"/>
      <c r="AIC24" s="93"/>
      <c r="AID24" s="93"/>
      <c r="AIE24" s="93"/>
      <c r="AIF24" s="93"/>
      <c r="AIG24" s="93"/>
      <c r="AIH24" s="93"/>
      <c r="AII24" s="93"/>
      <c r="AIJ24" s="93"/>
      <c r="AIK24" s="93"/>
      <c r="AIL24" s="93"/>
      <c r="AIM24" s="93"/>
      <c r="AIN24" s="93"/>
      <c r="AIO24" s="93"/>
      <c r="AIP24" s="93"/>
      <c r="AIQ24" s="93"/>
      <c r="AIR24" s="93"/>
      <c r="AIS24" s="93"/>
      <c r="AIT24" s="93"/>
      <c r="AIU24" s="93"/>
      <c r="AIV24" s="93"/>
      <c r="AIW24" s="93"/>
      <c r="AIX24" s="93"/>
      <c r="AIY24" s="93"/>
      <c r="AIZ24" s="93"/>
      <c r="AJA24" s="93"/>
      <c r="AJB24" s="93"/>
      <c r="AJC24" s="93"/>
      <c r="AJD24" s="93"/>
      <c r="AJE24" s="93"/>
      <c r="AJF24" s="93"/>
      <c r="AJG24" s="93"/>
      <c r="AJH24" s="93"/>
      <c r="AJI24" s="93"/>
      <c r="AJJ24" s="93"/>
      <c r="AJK24" s="93"/>
      <c r="AJL24" s="93"/>
      <c r="AJM24" s="93"/>
      <c r="AJN24" s="93"/>
      <c r="AJO24" s="93"/>
      <c r="AJP24" s="93"/>
      <c r="AJQ24" s="93"/>
      <c r="AJR24" s="93"/>
      <c r="AJS24" s="93"/>
      <c r="AJT24" s="93"/>
      <c r="AJU24" s="93"/>
      <c r="AJV24" s="93"/>
      <c r="AJW24" s="93"/>
      <c r="AJX24" s="93"/>
      <c r="AJY24" s="93"/>
      <c r="AJZ24" s="93"/>
      <c r="AKA24" s="93"/>
      <c r="AKB24" s="93"/>
      <c r="AKC24" s="93"/>
      <c r="AKD24" s="93"/>
      <c r="AKE24" s="93"/>
      <c r="AKF24" s="93"/>
      <c r="AKG24" s="93"/>
      <c r="AKH24" s="93"/>
      <c r="AKI24" s="93"/>
      <c r="AKJ24" s="93"/>
      <c r="AKK24" s="93"/>
      <c r="AKL24" s="93"/>
      <c r="AKM24" s="93"/>
      <c r="AKN24" s="93"/>
      <c r="AKO24" s="93"/>
      <c r="AKP24" s="93"/>
      <c r="AKQ24" s="93"/>
      <c r="AKR24" s="93"/>
      <c r="AKS24" s="93"/>
      <c r="AKT24" s="93"/>
      <c r="AKU24" s="93"/>
      <c r="AKV24" s="93"/>
      <c r="AKW24" s="93"/>
      <c r="AKX24" s="93"/>
      <c r="AKY24" s="93"/>
      <c r="AKZ24" s="93"/>
      <c r="ALA24" s="93"/>
      <c r="ALB24" s="93"/>
      <c r="ALC24" s="93"/>
      <c r="ALD24" s="93"/>
      <c r="ALE24" s="93"/>
      <c r="ALF24" s="93"/>
      <c r="ALG24" s="93"/>
      <c r="ALH24" s="93"/>
      <c r="ALI24" s="93"/>
      <c r="ALJ24" s="93"/>
      <c r="ALK24" s="93"/>
      <c r="ALL24" s="93"/>
      <c r="ALM24" s="93"/>
      <c r="ALN24" s="93"/>
      <c r="ALO24" s="93"/>
      <c r="ALP24" s="93"/>
      <c r="ALQ24" s="93"/>
      <c r="ALR24" s="93"/>
      <c r="ALS24" s="93"/>
      <c r="ALT24" s="93"/>
      <c r="ALU24" s="93"/>
      <c r="ALV24" s="93"/>
      <c r="ALW24" s="93"/>
      <c r="ALX24" s="93"/>
      <c r="ALY24" s="93"/>
      <c r="ALZ24" s="93"/>
      <c r="AMA24" s="93"/>
      <c r="AMB24" s="93"/>
      <c r="AMC24" s="93"/>
      <c r="AMD24" s="93"/>
      <c r="AME24" s="93"/>
      <c r="AMF24" s="93"/>
      <c r="AMG24" s="93"/>
      <c r="AMH24" s="93"/>
      <c r="AMI24" s="93"/>
      <c r="AMJ24" s="93"/>
      <c r="AMK24" s="93"/>
      <c r="AML24" s="93"/>
      <c r="AMM24" s="93"/>
      <c r="AMN24" s="93"/>
      <c r="AMO24" s="93"/>
      <c r="AMP24" s="93"/>
      <c r="AMQ24" s="93"/>
      <c r="AMR24" s="93"/>
      <c r="AMS24" s="93"/>
      <c r="AMT24" s="93"/>
      <c r="AMU24" s="93"/>
      <c r="AMV24" s="93"/>
      <c r="AMW24" s="93"/>
      <c r="AMX24" s="93"/>
      <c r="AMY24" s="93"/>
      <c r="AMZ24" s="93"/>
      <c r="ANA24" s="93"/>
      <c r="ANB24" s="93"/>
      <c r="ANC24" s="93"/>
      <c r="AND24" s="93"/>
      <c r="ANE24" s="93"/>
      <c r="ANF24" s="93"/>
      <c r="ANG24" s="93"/>
      <c r="ANH24" s="93"/>
      <c r="ANI24" s="93"/>
      <c r="ANJ24" s="93"/>
      <c r="ANK24" s="93"/>
      <c r="ANL24" s="93"/>
      <c r="ANM24" s="93"/>
      <c r="ANN24" s="93"/>
      <c r="ANO24" s="93"/>
      <c r="ANP24" s="93"/>
      <c r="ANQ24" s="93"/>
      <c r="ANR24" s="93"/>
      <c r="ANS24" s="93"/>
      <c r="ANT24" s="93"/>
      <c r="ANU24" s="93"/>
      <c r="ANV24" s="93"/>
      <c r="ANW24" s="93"/>
      <c r="ANX24" s="93"/>
      <c r="ANY24" s="93"/>
      <c r="ANZ24" s="93"/>
      <c r="AOA24" s="93"/>
      <c r="AOB24" s="93"/>
      <c r="AOC24" s="93"/>
      <c r="AOD24" s="93"/>
      <c r="AOE24" s="93"/>
      <c r="AOF24" s="93"/>
      <c r="AOG24" s="93"/>
      <c r="AOH24" s="93"/>
      <c r="AOI24" s="93"/>
      <c r="AOJ24" s="93"/>
      <c r="AOK24" s="93"/>
      <c r="AOL24" s="93"/>
      <c r="AOM24" s="93"/>
      <c r="AON24" s="93"/>
      <c r="AOO24" s="93"/>
      <c r="AOP24" s="93"/>
      <c r="AOQ24" s="93"/>
      <c r="AOR24" s="93"/>
      <c r="AOS24" s="93"/>
      <c r="AOT24" s="93"/>
      <c r="AOU24" s="93"/>
      <c r="AOV24" s="93"/>
      <c r="AOW24" s="93"/>
      <c r="AOX24" s="93"/>
      <c r="AOY24" s="93"/>
      <c r="AOZ24" s="93"/>
      <c r="APA24" s="93"/>
      <c r="APB24" s="93"/>
      <c r="APC24" s="93"/>
      <c r="APD24" s="93"/>
      <c r="APE24" s="93"/>
      <c r="APF24" s="93"/>
      <c r="APG24" s="93"/>
      <c r="APH24" s="93"/>
      <c r="API24" s="93"/>
      <c r="APJ24" s="93"/>
      <c r="APK24" s="93"/>
      <c r="APL24" s="93"/>
      <c r="APM24" s="93"/>
      <c r="APN24" s="93"/>
      <c r="APO24" s="93"/>
      <c r="APP24" s="93"/>
      <c r="APQ24" s="93"/>
      <c r="APR24" s="93"/>
      <c r="APS24" s="93"/>
      <c r="APT24" s="93"/>
      <c r="APU24" s="93"/>
      <c r="APV24" s="93"/>
      <c r="APW24" s="93"/>
      <c r="APX24" s="93"/>
      <c r="APY24" s="93"/>
      <c r="APZ24" s="93"/>
      <c r="AQA24" s="93"/>
      <c r="AQB24" s="93"/>
      <c r="AQC24" s="93"/>
      <c r="AQD24" s="93"/>
      <c r="AQE24" s="93"/>
      <c r="AQF24" s="93"/>
      <c r="AQG24" s="93"/>
      <c r="AQH24" s="93"/>
      <c r="AQI24" s="93"/>
      <c r="AQJ24" s="93"/>
      <c r="AQK24" s="93"/>
      <c r="AQL24" s="93"/>
      <c r="AQM24" s="93"/>
      <c r="AQN24" s="93"/>
      <c r="AQO24" s="93"/>
      <c r="AQP24" s="93"/>
      <c r="AQQ24" s="93"/>
      <c r="AQR24" s="93"/>
      <c r="AQS24" s="93"/>
      <c r="AQT24" s="93"/>
      <c r="AQU24" s="93"/>
      <c r="AQV24" s="93"/>
      <c r="AQW24" s="93"/>
      <c r="AQX24" s="93"/>
      <c r="AQY24" s="93"/>
      <c r="AQZ24" s="93"/>
      <c r="ARA24" s="93"/>
      <c r="ARB24" s="93"/>
      <c r="ARC24" s="93"/>
      <c r="ARD24" s="93"/>
      <c r="ARE24" s="93"/>
      <c r="ARF24" s="93"/>
      <c r="ARG24" s="93"/>
      <c r="ARH24" s="93"/>
      <c r="ARI24" s="93"/>
      <c r="ARJ24" s="93"/>
      <c r="ARK24" s="93"/>
      <c r="ARL24" s="93"/>
      <c r="ARM24" s="93"/>
      <c r="ARN24" s="93"/>
      <c r="ARO24" s="93"/>
      <c r="ARP24" s="93"/>
      <c r="ARQ24" s="93"/>
      <c r="ARR24" s="93"/>
      <c r="ARS24" s="93"/>
      <c r="ART24" s="93"/>
      <c r="ARU24" s="93"/>
      <c r="ARV24" s="93"/>
      <c r="ARW24" s="93"/>
      <c r="ARX24" s="93"/>
      <c r="ARY24" s="93"/>
      <c r="ARZ24" s="93"/>
      <c r="ASA24" s="93"/>
      <c r="ASB24" s="93"/>
      <c r="ASC24" s="93"/>
      <c r="ASD24" s="93"/>
      <c r="ASE24" s="93"/>
      <c r="ASF24" s="93"/>
      <c r="ASG24" s="93"/>
      <c r="ASH24" s="93"/>
      <c r="ASI24" s="93"/>
      <c r="ASJ24" s="93"/>
      <c r="ASK24" s="93"/>
      <c r="ASL24" s="93"/>
      <c r="ASM24" s="93"/>
      <c r="ASN24" s="93"/>
      <c r="ASO24" s="93"/>
      <c r="ASP24" s="93"/>
      <c r="ASQ24" s="93"/>
      <c r="ASR24" s="93"/>
      <c r="ASS24" s="93"/>
      <c r="AST24" s="93"/>
      <c r="ASU24" s="93"/>
      <c r="ASV24" s="93"/>
      <c r="ASW24" s="93"/>
      <c r="ASX24" s="93"/>
      <c r="ASY24" s="93"/>
      <c r="ASZ24" s="93"/>
      <c r="ATA24" s="93"/>
      <c r="ATB24" s="93"/>
      <c r="ATC24" s="93"/>
      <c r="ATD24" s="93"/>
      <c r="ATE24" s="93"/>
      <c r="ATF24" s="93"/>
      <c r="ATG24" s="93"/>
      <c r="ATH24" s="93"/>
      <c r="ATI24" s="93"/>
      <c r="ATJ24" s="93"/>
      <c r="ATK24" s="93"/>
      <c r="ATL24" s="93"/>
      <c r="ATM24" s="93"/>
      <c r="ATN24" s="93"/>
      <c r="ATO24" s="93"/>
      <c r="ATP24" s="93"/>
      <c r="ATQ24" s="93"/>
      <c r="ATR24" s="93"/>
      <c r="ATS24" s="93"/>
      <c r="ATT24" s="93"/>
      <c r="ATU24" s="93"/>
      <c r="ATV24" s="93"/>
      <c r="ATW24" s="93"/>
      <c r="ATX24" s="93"/>
      <c r="ATY24" s="93"/>
      <c r="ATZ24" s="93"/>
      <c r="AUA24" s="93"/>
      <c r="AUB24" s="93"/>
      <c r="AUC24" s="93"/>
      <c r="AUD24" s="93"/>
      <c r="AUE24" s="93"/>
      <c r="AUF24" s="93"/>
      <c r="AUG24" s="93"/>
      <c r="AUH24" s="93"/>
      <c r="AUI24" s="93"/>
      <c r="AUJ24" s="93"/>
      <c r="AUK24" s="93"/>
      <c r="AUL24" s="93"/>
      <c r="AUM24" s="93"/>
      <c r="AUN24" s="93"/>
      <c r="AUO24" s="93"/>
      <c r="AUP24" s="93"/>
      <c r="AUQ24" s="93"/>
      <c r="AUR24" s="93"/>
      <c r="AUS24" s="93"/>
      <c r="AUT24" s="93"/>
      <c r="AUU24" s="93"/>
      <c r="AUV24" s="93"/>
      <c r="AUW24" s="93"/>
      <c r="AUX24" s="93"/>
      <c r="AUY24" s="93"/>
      <c r="AUZ24" s="93"/>
      <c r="AVA24" s="93"/>
      <c r="AVB24" s="93"/>
      <c r="AVC24" s="93"/>
      <c r="AVD24" s="93"/>
      <c r="AVE24" s="93"/>
      <c r="AVF24" s="93"/>
      <c r="AVG24" s="93"/>
      <c r="AVH24" s="93"/>
      <c r="AVI24" s="93"/>
      <c r="AVJ24" s="93"/>
      <c r="AVK24" s="93"/>
      <c r="AVL24" s="93"/>
      <c r="AVM24" s="93"/>
      <c r="AVN24" s="93"/>
      <c r="AVO24" s="93"/>
      <c r="AVP24" s="93"/>
      <c r="AVQ24" s="93"/>
      <c r="AVR24" s="93"/>
      <c r="AVS24" s="93"/>
      <c r="AVT24" s="93"/>
      <c r="AVU24" s="93"/>
      <c r="AVV24" s="93"/>
      <c r="AVW24" s="93"/>
      <c r="AVX24" s="93"/>
      <c r="AVY24" s="93"/>
      <c r="AVZ24" s="93"/>
      <c r="AWA24" s="93"/>
      <c r="AWB24" s="93"/>
      <c r="AWC24" s="93"/>
      <c r="AWD24" s="93"/>
      <c r="AWE24" s="93"/>
      <c r="AWF24" s="93"/>
      <c r="AWG24" s="93"/>
      <c r="AWH24" s="93"/>
      <c r="AWI24" s="93"/>
      <c r="AWJ24" s="93"/>
      <c r="AWK24" s="93"/>
      <c r="AWL24" s="93"/>
      <c r="AWM24" s="93"/>
      <c r="AWN24" s="93"/>
      <c r="AWO24" s="93"/>
      <c r="AWP24" s="93"/>
      <c r="AWQ24" s="93"/>
      <c r="AWR24" s="93"/>
      <c r="AWS24" s="93"/>
      <c r="AWT24" s="93"/>
      <c r="AWU24" s="93"/>
      <c r="AWV24" s="93"/>
      <c r="AWW24" s="93"/>
      <c r="AWX24" s="93"/>
      <c r="AWY24" s="93"/>
      <c r="AWZ24" s="93"/>
      <c r="AXA24" s="93"/>
      <c r="AXB24" s="93"/>
      <c r="AXC24" s="93"/>
      <c r="AXD24" s="93"/>
      <c r="AXE24" s="93"/>
      <c r="AXF24" s="93"/>
      <c r="AXG24" s="93"/>
      <c r="AXH24" s="93"/>
      <c r="AXI24" s="93"/>
      <c r="AXJ24" s="93"/>
      <c r="AXK24" s="93"/>
      <c r="AXL24" s="93"/>
      <c r="AXM24" s="93"/>
      <c r="AXN24" s="93"/>
      <c r="AXO24" s="93"/>
      <c r="AXP24" s="93"/>
      <c r="AXQ24" s="93"/>
      <c r="AXR24" s="93"/>
      <c r="AXS24" s="93"/>
      <c r="AXT24" s="93"/>
      <c r="AXU24" s="93"/>
      <c r="AXV24" s="93"/>
      <c r="AXW24" s="93"/>
      <c r="AXX24" s="93"/>
      <c r="AXY24" s="93"/>
      <c r="AXZ24" s="93"/>
      <c r="AYA24" s="93"/>
      <c r="AYB24" s="93"/>
      <c r="AYC24" s="93"/>
      <c r="AYD24" s="93"/>
      <c r="AYE24" s="93"/>
      <c r="AYF24" s="93"/>
      <c r="AYG24" s="93"/>
      <c r="AYH24" s="93"/>
      <c r="AYI24" s="93"/>
      <c r="AYJ24" s="93"/>
      <c r="AYK24" s="93"/>
      <c r="AYL24" s="93"/>
      <c r="AYM24" s="93"/>
      <c r="AYN24" s="93"/>
      <c r="AYO24" s="93"/>
      <c r="AYP24" s="93"/>
      <c r="AYQ24" s="93"/>
      <c r="AYR24" s="93"/>
      <c r="AYS24" s="93"/>
      <c r="AYT24" s="93"/>
      <c r="AYU24" s="93"/>
      <c r="AYV24" s="93"/>
      <c r="AYW24" s="93"/>
      <c r="AYX24" s="93"/>
      <c r="AYY24" s="93"/>
      <c r="AYZ24" s="93"/>
      <c r="AZA24" s="93"/>
      <c r="AZB24" s="93"/>
      <c r="AZC24" s="93"/>
      <c r="AZD24" s="93"/>
      <c r="AZE24" s="93"/>
      <c r="AZF24" s="93"/>
      <c r="AZG24" s="93"/>
      <c r="AZH24" s="93"/>
      <c r="AZI24" s="93"/>
      <c r="AZJ24" s="93"/>
      <c r="AZK24" s="93"/>
      <c r="AZL24" s="93"/>
      <c r="AZM24" s="93"/>
      <c r="AZN24" s="93"/>
      <c r="AZO24" s="93"/>
      <c r="AZP24" s="93"/>
      <c r="AZQ24" s="93"/>
      <c r="AZR24" s="93"/>
      <c r="AZS24" s="93"/>
      <c r="AZT24" s="93"/>
      <c r="AZU24" s="93"/>
      <c r="AZV24" s="93"/>
      <c r="AZW24" s="93"/>
      <c r="AZX24" s="93"/>
      <c r="AZY24" s="93"/>
      <c r="AZZ24" s="93"/>
      <c r="BAA24" s="93"/>
      <c r="BAB24" s="93"/>
      <c r="BAC24" s="93"/>
      <c r="BAD24" s="93"/>
      <c r="BAE24" s="93"/>
      <c r="BAF24" s="93"/>
      <c r="BAG24" s="93"/>
      <c r="BAH24" s="93"/>
      <c r="BAI24" s="93"/>
      <c r="BAJ24" s="93"/>
      <c r="BAK24" s="93"/>
      <c r="BAL24" s="93"/>
      <c r="BAM24" s="93"/>
      <c r="BAN24" s="93"/>
      <c r="BAO24" s="93"/>
      <c r="BAP24" s="93"/>
      <c r="BAQ24" s="93"/>
      <c r="BAR24" s="93"/>
      <c r="BAS24" s="93"/>
      <c r="BAT24" s="93"/>
      <c r="BAU24" s="93"/>
      <c r="BAV24" s="93"/>
      <c r="BAW24" s="93"/>
      <c r="BAX24" s="93"/>
      <c r="BAY24" s="93"/>
      <c r="BAZ24" s="93"/>
      <c r="BBA24" s="93"/>
      <c r="BBB24" s="93"/>
      <c r="BBC24" s="93"/>
      <c r="BBD24" s="93"/>
      <c r="BBE24" s="93"/>
      <c r="BBF24" s="93"/>
      <c r="BBG24" s="93"/>
      <c r="BBH24" s="93"/>
      <c r="BBI24" s="93"/>
      <c r="BBJ24" s="93"/>
      <c r="BBK24" s="93"/>
      <c r="BBL24" s="93"/>
      <c r="BBM24" s="93"/>
      <c r="BBN24" s="93"/>
      <c r="BBO24" s="93"/>
      <c r="BBP24" s="93"/>
      <c r="BBQ24" s="93"/>
      <c r="BBR24" s="93"/>
      <c r="BBS24" s="93"/>
      <c r="BBT24" s="93"/>
      <c r="BBU24" s="93"/>
      <c r="BBV24" s="93"/>
      <c r="BBW24" s="93"/>
      <c r="BBX24" s="93"/>
      <c r="BBY24" s="93"/>
      <c r="BBZ24" s="93"/>
      <c r="BCA24" s="93"/>
      <c r="BCB24" s="93"/>
      <c r="BCC24" s="93"/>
      <c r="BCD24" s="93"/>
      <c r="BCE24" s="93"/>
      <c r="BCF24" s="93"/>
      <c r="BCG24" s="93"/>
      <c r="BCH24" s="93"/>
      <c r="BCI24" s="93"/>
      <c r="BCJ24" s="93"/>
      <c r="BCK24" s="93"/>
      <c r="BCL24" s="93"/>
      <c r="BCM24" s="93"/>
      <c r="BCN24" s="93"/>
      <c r="BCO24" s="93"/>
      <c r="BCP24" s="93"/>
      <c r="BCQ24" s="93"/>
      <c r="BCR24" s="93"/>
      <c r="BCS24" s="93"/>
      <c r="BCT24" s="93"/>
      <c r="BCU24" s="93"/>
      <c r="BCV24" s="93"/>
      <c r="BCW24" s="93"/>
      <c r="BCX24" s="93"/>
      <c r="BCY24" s="93"/>
      <c r="BCZ24" s="93"/>
      <c r="BDA24" s="93"/>
      <c r="BDB24" s="93"/>
      <c r="BDC24" s="93"/>
      <c r="BDD24" s="93"/>
      <c r="BDE24" s="93"/>
      <c r="BDF24" s="93"/>
      <c r="BDG24" s="93"/>
      <c r="BDH24" s="93"/>
      <c r="BDI24" s="93"/>
      <c r="BDJ24" s="93"/>
      <c r="BDK24" s="93"/>
      <c r="BDL24" s="93"/>
      <c r="BDM24" s="93"/>
      <c r="BDN24" s="93"/>
      <c r="BDO24" s="93"/>
      <c r="BDP24" s="93"/>
      <c r="BDQ24" s="93"/>
      <c r="BDR24" s="93"/>
      <c r="BDS24" s="93"/>
      <c r="BDT24" s="93"/>
      <c r="BDU24" s="93"/>
      <c r="BDV24" s="93"/>
      <c r="BDW24" s="93"/>
      <c r="BDX24" s="93"/>
      <c r="BDY24" s="93"/>
      <c r="BDZ24" s="93"/>
      <c r="BEA24" s="93"/>
      <c r="BEB24" s="93"/>
      <c r="BEC24" s="93"/>
      <c r="BED24" s="93"/>
      <c r="BEE24" s="93"/>
      <c r="BEF24" s="93"/>
      <c r="BEG24" s="93"/>
      <c r="BEH24" s="93"/>
      <c r="BEI24" s="93"/>
      <c r="BEJ24" s="93"/>
      <c r="BEK24" s="93"/>
      <c r="BEL24" s="93"/>
      <c r="BEM24" s="93"/>
      <c r="BEN24" s="93"/>
      <c r="BEO24" s="93"/>
      <c r="BEP24" s="93"/>
      <c r="BEQ24" s="93"/>
      <c r="BER24" s="93"/>
      <c r="BES24" s="93"/>
      <c r="BET24" s="93"/>
      <c r="BEU24" s="93"/>
      <c r="BEV24" s="93"/>
      <c r="BEW24" s="93"/>
      <c r="BEX24" s="93"/>
      <c r="BEY24" s="93"/>
      <c r="BEZ24" s="93"/>
      <c r="BFA24" s="93"/>
      <c r="BFB24" s="93"/>
      <c r="BFC24" s="93"/>
      <c r="BFD24" s="93"/>
      <c r="BFE24" s="93"/>
      <c r="BFF24" s="93"/>
      <c r="BFG24" s="93"/>
      <c r="BFH24" s="93"/>
      <c r="BFI24" s="93"/>
      <c r="BFJ24" s="93"/>
      <c r="BFK24" s="93"/>
      <c r="BFL24" s="93"/>
      <c r="BFM24" s="93"/>
      <c r="BFN24" s="93"/>
      <c r="BFO24" s="93"/>
      <c r="BFP24" s="93"/>
      <c r="BFQ24" s="93"/>
      <c r="BFR24" s="93"/>
      <c r="BFS24" s="93"/>
      <c r="BFT24" s="93"/>
      <c r="BFU24" s="93"/>
      <c r="BFV24" s="93"/>
      <c r="BFW24" s="93"/>
      <c r="BFX24" s="93"/>
      <c r="BFY24" s="93"/>
      <c r="BFZ24" s="93"/>
      <c r="BGA24" s="93"/>
      <c r="BGB24" s="93"/>
      <c r="BGC24" s="93"/>
      <c r="BGD24" s="93"/>
      <c r="BGE24" s="93"/>
      <c r="BGF24" s="93"/>
      <c r="BGG24" s="93"/>
      <c r="BGH24" s="93"/>
      <c r="BGI24" s="93"/>
      <c r="BGJ24" s="93"/>
      <c r="BGK24" s="93"/>
      <c r="BGL24" s="93"/>
      <c r="BGM24" s="93"/>
      <c r="BGN24" s="93"/>
      <c r="BGO24" s="93"/>
      <c r="BGP24" s="93"/>
      <c r="BGQ24" s="93"/>
      <c r="BGR24" s="93"/>
      <c r="BGS24" s="93"/>
      <c r="BGT24" s="93"/>
      <c r="BGU24" s="93"/>
      <c r="BGV24" s="93"/>
      <c r="BGW24" s="93"/>
      <c r="BGX24" s="93"/>
      <c r="BGY24" s="93"/>
      <c r="BGZ24" s="93"/>
      <c r="BHA24" s="93"/>
      <c r="BHB24" s="93"/>
      <c r="BHC24" s="93"/>
      <c r="BHD24" s="93"/>
      <c r="BHE24" s="93"/>
      <c r="BHF24" s="93"/>
      <c r="BHG24" s="93"/>
      <c r="BHH24" s="93"/>
      <c r="BHI24" s="93"/>
      <c r="BHJ24" s="93"/>
      <c r="BHK24" s="93"/>
      <c r="BHL24" s="93"/>
      <c r="BHM24" s="93"/>
      <c r="BHN24" s="93"/>
      <c r="BHO24" s="93"/>
      <c r="BHP24" s="93"/>
      <c r="BHQ24" s="93"/>
      <c r="BHR24" s="93"/>
      <c r="BHS24" s="93"/>
      <c r="BHT24" s="93"/>
      <c r="BHU24" s="93"/>
      <c r="BHV24" s="93"/>
      <c r="BHW24" s="93"/>
      <c r="BHX24" s="93"/>
      <c r="BHY24" s="93"/>
      <c r="BHZ24" s="93"/>
      <c r="BIA24" s="93"/>
      <c r="BIB24" s="93"/>
      <c r="BIC24" s="93"/>
      <c r="BID24" s="93"/>
      <c r="BIE24" s="93"/>
      <c r="BIF24" s="93"/>
      <c r="BIG24" s="93"/>
      <c r="BIH24" s="93"/>
      <c r="BII24" s="93"/>
      <c r="BIJ24" s="93"/>
      <c r="BIK24" s="93"/>
      <c r="BIL24" s="93"/>
      <c r="BIM24" s="93"/>
      <c r="BIN24" s="93"/>
      <c r="BIO24" s="93"/>
      <c r="BIP24" s="93"/>
      <c r="BIQ24" s="93"/>
      <c r="BIR24" s="93"/>
      <c r="BIS24" s="93"/>
      <c r="BIT24" s="93"/>
      <c r="BIU24" s="93"/>
      <c r="BIV24" s="93"/>
      <c r="BIW24" s="93"/>
      <c r="BIX24" s="93"/>
      <c r="BIY24" s="93"/>
      <c r="BIZ24" s="93"/>
      <c r="BJA24" s="93"/>
      <c r="BJB24" s="93"/>
      <c r="BJC24" s="93"/>
      <c r="BJD24" s="93"/>
      <c r="BJE24" s="93"/>
      <c r="BJF24" s="93"/>
      <c r="BJG24" s="93"/>
      <c r="BJH24" s="93"/>
      <c r="BJI24" s="93"/>
      <c r="BJJ24" s="93"/>
      <c r="BJK24" s="93"/>
      <c r="BJL24" s="93"/>
      <c r="BJM24" s="93"/>
      <c r="BJN24" s="93"/>
      <c r="BJO24" s="93"/>
      <c r="BJP24" s="93"/>
      <c r="BJQ24" s="93"/>
      <c r="BJR24" s="93"/>
      <c r="BJS24" s="93"/>
      <c r="BJT24" s="93"/>
      <c r="BJU24" s="93"/>
      <c r="BJV24" s="93"/>
      <c r="BJW24" s="93"/>
      <c r="BJX24" s="93"/>
      <c r="BJY24" s="93"/>
      <c r="BJZ24" s="93"/>
      <c r="BKA24" s="93"/>
      <c r="BKB24" s="93"/>
      <c r="BKC24" s="93"/>
      <c r="BKD24" s="93"/>
      <c r="BKE24" s="93"/>
      <c r="BKF24" s="93"/>
      <c r="BKG24" s="93"/>
      <c r="BKH24" s="93"/>
      <c r="BKI24" s="93"/>
      <c r="BKJ24" s="93"/>
      <c r="BKK24" s="93"/>
      <c r="BKL24" s="93"/>
      <c r="BKM24" s="93"/>
      <c r="BKN24" s="93"/>
      <c r="BKO24" s="93"/>
      <c r="BKP24" s="93"/>
      <c r="BKQ24" s="93"/>
      <c r="BKR24" s="93"/>
      <c r="BKS24" s="93"/>
      <c r="BKT24" s="93"/>
      <c r="BKU24" s="93"/>
      <c r="BKV24" s="93"/>
      <c r="BKW24" s="93"/>
      <c r="BKX24" s="93"/>
      <c r="BKY24" s="93"/>
      <c r="BKZ24" s="93"/>
      <c r="BLA24" s="93"/>
      <c r="BLB24" s="93"/>
      <c r="BLC24" s="93"/>
      <c r="BLD24" s="93"/>
      <c r="BLE24" s="93"/>
      <c r="BLF24" s="93"/>
      <c r="BLG24" s="93"/>
      <c r="BLH24" s="93"/>
      <c r="BLI24" s="93"/>
      <c r="BLJ24" s="93"/>
      <c r="BLK24" s="93"/>
      <c r="BLL24" s="93"/>
      <c r="BLM24" s="93"/>
      <c r="BLN24" s="93"/>
      <c r="BLO24" s="93"/>
      <c r="BLP24" s="93"/>
      <c r="BLQ24" s="93"/>
      <c r="BLR24" s="93"/>
      <c r="BLS24" s="93"/>
      <c r="BLT24" s="93"/>
      <c r="BLU24" s="93"/>
      <c r="BLV24" s="93"/>
      <c r="BLW24" s="93"/>
      <c r="BLX24" s="93"/>
      <c r="BLY24" s="93"/>
      <c r="BLZ24" s="93"/>
      <c r="BMA24" s="93"/>
      <c r="BMB24" s="93"/>
      <c r="BMC24" s="93"/>
      <c r="BMD24" s="93"/>
      <c r="BME24" s="93"/>
      <c r="BMF24" s="93"/>
      <c r="BMG24" s="93"/>
      <c r="BMH24" s="93"/>
      <c r="BMI24" s="93"/>
      <c r="BMJ24" s="93"/>
      <c r="BMK24" s="93"/>
      <c r="BML24" s="93"/>
      <c r="BMM24" s="93"/>
      <c r="BMN24" s="93"/>
      <c r="BMO24" s="93"/>
      <c r="BMP24" s="93"/>
      <c r="BMQ24" s="93"/>
      <c r="BMR24" s="93"/>
      <c r="BMS24" s="93"/>
      <c r="BMT24" s="93"/>
      <c r="BMU24" s="93"/>
      <c r="BMV24" s="93"/>
      <c r="BMW24" s="93"/>
      <c r="BMX24" s="93"/>
      <c r="BMY24" s="93"/>
      <c r="BMZ24" s="93"/>
      <c r="BNA24" s="93"/>
      <c r="BNB24" s="93"/>
      <c r="BNC24" s="93"/>
      <c r="BND24" s="93"/>
      <c r="BNE24" s="93"/>
      <c r="BNF24" s="93"/>
      <c r="BNG24" s="93"/>
      <c r="BNH24" s="93"/>
      <c r="BNI24" s="93"/>
      <c r="BNJ24" s="93"/>
      <c r="BNK24" s="93"/>
      <c r="BNL24" s="93"/>
      <c r="BNM24" s="93"/>
      <c r="BNN24" s="93"/>
      <c r="BNO24" s="93"/>
      <c r="BNP24" s="93"/>
      <c r="BNQ24" s="93"/>
      <c r="BNR24" s="93"/>
      <c r="BNS24" s="93"/>
      <c r="BNT24" s="93"/>
      <c r="BNU24" s="93"/>
      <c r="BNV24" s="93"/>
      <c r="BNW24" s="93"/>
      <c r="BNX24" s="93"/>
      <c r="BNY24" s="93"/>
      <c r="BNZ24" s="93"/>
      <c r="BOA24" s="93"/>
      <c r="BOB24" s="93"/>
      <c r="BOC24" s="93"/>
      <c r="BOD24" s="93"/>
      <c r="BOE24" s="93"/>
      <c r="BOF24" s="93"/>
      <c r="BOG24" s="93"/>
      <c r="BOH24" s="93"/>
      <c r="BOI24" s="93"/>
      <c r="BOJ24" s="93"/>
      <c r="BOK24" s="93"/>
      <c r="BOL24" s="93"/>
      <c r="BOM24" s="93"/>
      <c r="BON24" s="93"/>
      <c r="BOO24" s="93"/>
      <c r="BOP24" s="93"/>
      <c r="BOQ24" s="93"/>
      <c r="BOR24" s="93"/>
      <c r="BOS24" s="93"/>
      <c r="BOT24" s="93"/>
      <c r="BOU24" s="93"/>
      <c r="BOV24" s="93"/>
      <c r="BOW24" s="93"/>
      <c r="BOX24" s="93"/>
      <c r="BOY24" s="93"/>
      <c r="BOZ24" s="93"/>
      <c r="BPA24" s="93"/>
      <c r="BPB24" s="93"/>
      <c r="BPC24" s="93"/>
      <c r="BPD24" s="93"/>
      <c r="BPE24" s="93"/>
      <c r="BPF24" s="93"/>
      <c r="BPG24" s="93"/>
      <c r="BPH24" s="93"/>
      <c r="BPI24" s="93"/>
      <c r="BPJ24" s="93"/>
      <c r="BPK24" s="93"/>
      <c r="BPL24" s="93"/>
      <c r="BPM24" s="93"/>
      <c r="BPN24" s="93"/>
      <c r="BPO24" s="93"/>
      <c r="BPP24" s="93"/>
      <c r="BPQ24" s="93"/>
      <c r="BPR24" s="93"/>
      <c r="BPS24" s="93"/>
      <c r="BPT24" s="93"/>
      <c r="BPU24" s="93"/>
      <c r="BPV24" s="93"/>
      <c r="BPW24" s="93"/>
      <c r="BPX24" s="93"/>
      <c r="BPY24" s="93"/>
      <c r="BPZ24" s="93"/>
      <c r="BQA24" s="93"/>
      <c r="BQB24" s="93"/>
      <c r="BQC24" s="93"/>
      <c r="BQD24" s="93"/>
      <c r="BQE24" s="93"/>
      <c r="BQF24" s="93"/>
      <c r="BQG24" s="93"/>
      <c r="BQH24" s="93"/>
      <c r="BQI24" s="93"/>
      <c r="BQJ24" s="93"/>
      <c r="BQK24" s="93"/>
      <c r="BQL24" s="93"/>
      <c r="BQM24" s="93"/>
      <c r="BQN24" s="93"/>
      <c r="BQO24" s="93"/>
      <c r="BQP24" s="93"/>
      <c r="BQQ24" s="93"/>
      <c r="BQR24" s="93"/>
      <c r="BQS24" s="93"/>
      <c r="BQT24" s="93"/>
      <c r="BQU24" s="93"/>
      <c r="BQV24" s="93"/>
      <c r="BQW24" s="93"/>
      <c r="BQX24" s="93"/>
      <c r="BQY24" s="93"/>
      <c r="BQZ24" s="93"/>
      <c r="BRA24" s="93"/>
      <c r="BRB24" s="93"/>
      <c r="BRC24" s="93"/>
      <c r="BRD24" s="93"/>
      <c r="BRE24" s="93"/>
      <c r="BRF24" s="93"/>
      <c r="BRG24" s="93"/>
      <c r="BRH24" s="93"/>
      <c r="BRI24" s="93"/>
      <c r="BRJ24" s="93"/>
      <c r="BRK24" s="93"/>
      <c r="BRL24" s="93"/>
      <c r="BRM24" s="93"/>
      <c r="BRN24" s="93"/>
      <c r="BRO24" s="93"/>
      <c r="BRP24" s="93"/>
      <c r="BRQ24" s="93"/>
      <c r="BRR24" s="93"/>
      <c r="BRS24" s="93"/>
      <c r="BRT24" s="93"/>
      <c r="BRU24" s="93"/>
      <c r="BRV24" s="93"/>
      <c r="BRW24" s="93"/>
      <c r="BRX24" s="93"/>
      <c r="BRY24" s="93"/>
      <c r="BRZ24" s="93"/>
      <c r="BSA24" s="93"/>
      <c r="BSB24" s="93"/>
      <c r="BSC24" s="93"/>
      <c r="BSD24" s="93"/>
      <c r="BSE24" s="93"/>
      <c r="BSF24" s="93"/>
      <c r="BSG24" s="93"/>
      <c r="BSH24" s="93"/>
      <c r="BSI24" s="93"/>
      <c r="BSJ24" s="93"/>
      <c r="BSK24" s="93"/>
      <c r="BSL24" s="93"/>
      <c r="BSM24" s="93"/>
      <c r="BSN24" s="93"/>
      <c r="BSO24" s="93"/>
      <c r="BSP24" s="93"/>
      <c r="BSQ24" s="93"/>
      <c r="BSR24" s="93"/>
      <c r="BSS24" s="93"/>
      <c r="BST24" s="93"/>
      <c r="BSU24" s="93"/>
      <c r="BSV24" s="93"/>
      <c r="BSW24" s="93"/>
      <c r="BSX24" s="93"/>
      <c r="BSY24" s="93"/>
      <c r="BSZ24" s="93"/>
      <c r="BTA24" s="93"/>
      <c r="BTB24" s="93"/>
      <c r="BTC24" s="93"/>
      <c r="BTD24" s="93"/>
      <c r="BTE24" s="93"/>
      <c r="BTF24" s="93"/>
      <c r="BTG24" s="93"/>
      <c r="BTH24" s="93"/>
      <c r="BTI24" s="93"/>
      <c r="BTJ24" s="93"/>
      <c r="BTK24" s="93"/>
      <c r="BTL24" s="93"/>
      <c r="BTM24" s="93"/>
      <c r="BTN24" s="93"/>
      <c r="BTO24" s="93"/>
      <c r="BTP24" s="93"/>
      <c r="BTQ24" s="93"/>
      <c r="BTR24" s="93"/>
      <c r="BTS24" s="93"/>
      <c r="BTT24" s="93"/>
      <c r="BTU24" s="93"/>
      <c r="BTV24" s="93"/>
      <c r="BTW24" s="93"/>
      <c r="BTX24" s="93"/>
      <c r="BTY24" s="93"/>
      <c r="BTZ24" s="93"/>
      <c r="BUA24" s="93"/>
      <c r="BUB24" s="93"/>
      <c r="BUC24" s="93"/>
      <c r="BUD24" s="93"/>
      <c r="BUE24" s="93"/>
      <c r="BUF24" s="93"/>
      <c r="BUG24" s="93"/>
      <c r="BUH24" s="93"/>
      <c r="BUI24" s="93"/>
      <c r="BUJ24" s="93"/>
      <c r="BUK24" s="93"/>
      <c r="BUL24" s="93"/>
      <c r="BUM24" s="93"/>
      <c r="BUN24" s="93"/>
      <c r="BUO24" s="93"/>
      <c r="BUP24" s="93"/>
      <c r="BUQ24" s="93"/>
      <c r="BUR24" s="93"/>
      <c r="BUS24" s="93"/>
      <c r="BUT24" s="93"/>
      <c r="BUU24" s="93"/>
      <c r="BUV24" s="93"/>
      <c r="BUW24" s="93"/>
      <c r="BUX24" s="93"/>
      <c r="BUY24" s="93"/>
      <c r="BUZ24" s="93"/>
      <c r="BVA24" s="93"/>
      <c r="BVB24" s="93"/>
      <c r="BVC24" s="93"/>
      <c r="BVD24" s="93"/>
      <c r="BVE24" s="93"/>
      <c r="BVF24" s="93"/>
      <c r="BVG24" s="93"/>
      <c r="BVH24" s="93"/>
      <c r="BVI24" s="93"/>
      <c r="BVJ24" s="93"/>
      <c r="BVK24" s="93"/>
      <c r="BVL24" s="93"/>
      <c r="BVM24" s="93"/>
      <c r="BVN24" s="93"/>
      <c r="BVO24" s="93"/>
      <c r="BVP24" s="93"/>
      <c r="BVQ24" s="93"/>
      <c r="BVR24" s="93"/>
      <c r="BVS24" s="93"/>
      <c r="BVT24" s="93"/>
      <c r="BVU24" s="93"/>
      <c r="BVV24" s="93"/>
      <c r="BVW24" s="93"/>
      <c r="BVX24" s="93"/>
      <c r="BVY24" s="93"/>
      <c r="BVZ24" s="93"/>
      <c r="BWA24" s="93"/>
      <c r="BWB24" s="93"/>
      <c r="BWC24" s="93"/>
      <c r="BWD24" s="93"/>
      <c r="BWE24" s="93"/>
      <c r="BWF24" s="93"/>
      <c r="BWG24" s="93"/>
      <c r="BWH24" s="93"/>
      <c r="BWI24" s="93"/>
      <c r="BWJ24" s="93"/>
      <c r="BWK24" s="93"/>
      <c r="BWL24" s="93"/>
      <c r="BWM24" s="93"/>
      <c r="BWN24" s="93"/>
      <c r="BWO24" s="93"/>
      <c r="BWP24" s="93"/>
      <c r="BWQ24" s="93"/>
      <c r="BWR24" s="93"/>
      <c r="BWS24" s="93"/>
      <c r="BWT24" s="93"/>
      <c r="BWU24" s="93"/>
      <c r="BWV24" s="93"/>
      <c r="BWW24" s="93"/>
      <c r="BWX24" s="93"/>
      <c r="BWY24" s="93"/>
      <c r="BWZ24" s="93"/>
      <c r="BXA24" s="93"/>
      <c r="BXB24" s="93"/>
      <c r="BXC24" s="93"/>
      <c r="BXD24" s="93"/>
      <c r="BXE24" s="93"/>
      <c r="BXF24" s="93"/>
      <c r="BXG24" s="93"/>
      <c r="BXH24" s="93"/>
      <c r="BXI24" s="93"/>
      <c r="BXJ24" s="93"/>
      <c r="BXK24" s="93"/>
      <c r="BXL24" s="93"/>
      <c r="BXM24" s="93"/>
      <c r="BXN24" s="93"/>
      <c r="BXO24" s="93"/>
      <c r="BXP24" s="93"/>
      <c r="BXQ24" s="93"/>
      <c r="BXR24" s="93"/>
      <c r="BXS24" s="93"/>
      <c r="BXT24" s="93"/>
      <c r="BXU24" s="93"/>
      <c r="BXV24" s="93"/>
      <c r="BXW24" s="93"/>
      <c r="BXX24" s="93"/>
      <c r="BXY24" s="93"/>
      <c r="BXZ24" s="93"/>
      <c r="BYA24" s="93"/>
      <c r="BYB24" s="93"/>
      <c r="BYC24" s="93"/>
      <c r="BYD24" s="93"/>
      <c r="BYE24" s="93"/>
      <c r="BYF24" s="93"/>
      <c r="BYG24" s="93"/>
      <c r="BYH24" s="93"/>
      <c r="BYI24" s="93"/>
      <c r="BYJ24" s="93"/>
      <c r="BYK24" s="93"/>
      <c r="BYL24" s="93"/>
      <c r="BYM24" s="93"/>
      <c r="BYN24" s="93"/>
      <c r="BYO24" s="93"/>
      <c r="BYP24" s="93"/>
      <c r="BYQ24" s="93"/>
      <c r="BYR24" s="93"/>
      <c r="BYS24" s="93"/>
      <c r="BYT24" s="93"/>
      <c r="BYU24" s="93"/>
      <c r="BYV24" s="93"/>
      <c r="BYW24" s="93"/>
      <c r="BYX24" s="93"/>
      <c r="BYY24" s="93"/>
      <c r="BYZ24" s="93"/>
      <c r="BZA24" s="93"/>
      <c r="BZB24" s="93"/>
      <c r="BZC24" s="93"/>
      <c r="BZD24" s="93"/>
      <c r="BZE24" s="93"/>
      <c r="BZF24" s="93"/>
      <c r="BZG24" s="93"/>
      <c r="BZH24" s="93"/>
      <c r="BZI24" s="93"/>
      <c r="BZJ24" s="93"/>
      <c r="BZK24" s="93"/>
      <c r="BZL24" s="93"/>
      <c r="BZM24" s="93"/>
      <c r="BZN24" s="93"/>
      <c r="BZO24" s="93"/>
      <c r="BZP24" s="93"/>
      <c r="BZQ24" s="93"/>
      <c r="BZR24" s="93"/>
      <c r="BZS24" s="93"/>
      <c r="BZT24" s="93"/>
      <c r="BZU24" s="93"/>
      <c r="BZV24" s="93"/>
      <c r="BZW24" s="93"/>
      <c r="BZX24" s="93"/>
      <c r="BZY24" s="93"/>
      <c r="BZZ24" s="93"/>
      <c r="CAA24" s="93"/>
      <c r="CAB24" s="93"/>
      <c r="CAC24" s="93"/>
      <c r="CAD24" s="93"/>
      <c r="CAE24" s="93"/>
      <c r="CAF24" s="93"/>
      <c r="CAG24" s="93"/>
      <c r="CAH24" s="93"/>
      <c r="CAI24" s="93"/>
      <c r="CAJ24" s="93"/>
      <c r="CAK24" s="93"/>
      <c r="CAL24" s="93"/>
      <c r="CAM24" s="93"/>
      <c r="CAN24" s="93"/>
      <c r="CAO24" s="93"/>
      <c r="CAP24" s="93"/>
      <c r="CAQ24" s="93"/>
      <c r="CAR24" s="93"/>
      <c r="CAS24" s="93"/>
      <c r="CAT24" s="93"/>
      <c r="CAU24" s="93"/>
      <c r="CAV24" s="93"/>
      <c r="CAW24" s="93"/>
      <c r="CAX24" s="93"/>
      <c r="CAY24" s="93"/>
      <c r="CAZ24" s="93"/>
      <c r="CBA24" s="93"/>
      <c r="CBB24" s="93"/>
      <c r="CBC24" s="93"/>
      <c r="CBD24" s="93"/>
      <c r="CBE24" s="93"/>
      <c r="CBF24" s="93"/>
      <c r="CBG24" s="93"/>
      <c r="CBH24" s="93"/>
      <c r="CBI24" s="93"/>
      <c r="CBJ24" s="93"/>
      <c r="CBK24" s="93"/>
      <c r="CBL24" s="93"/>
      <c r="CBM24" s="93"/>
      <c r="CBN24" s="93"/>
      <c r="CBO24" s="93"/>
      <c r="CBP24" s="93"/>
      <c r="CBQ24" s="93"/>
      <c r="CBR24" s="93"/>
      <c r="CBS24" s="93"/>
      <c r="CBT24" s="93"/>
      <c r="CBU24" s="93"/>
      <c r="CBV24" s="93"/>
      <c r="CBW24" s="93"/>
      <c r="CBX24" s="93"/>
      <c r="CBY24" s="93"/>
      <c r="CBZ24" s="93"/>
      <c r="CCA24" s="93"/>
      <c r="CCB24" s="93"/>
      <c r="CCC24" s="93"/>
      <c r="CCD24" s="93"/>
      <c r="CCE24" s="93"/>
      <c r="CCF24" s="93"/>
      <c r="CCG24" s="93"/>
      <c r="CCH24" s="93"/>
      <c r="CCI24" s="93"/>
      <c r="CCJ24" s="93"/>
      <c r="CCK24" s="93"/>
      <c r="CCL24" s="93"/>
      <c r="CCM24" s="93"/>
      <c r="CCN24" s="93"/>
      <c r="CCO24" s="93"/>
      <c r="CCP24" s="93"/>
      <c r="CCQ24" s="93"/>
      <c r="CCR24" s="93"/>
      <c r="CCS24" s="93"/>
      <c r="CCT24" s="93"/>
      <c r="CCU24" s="93"/>
      <c r="CCV24" s="93"/>
      <c r="CCW24" s="93"/>
      <c r="CCX24" s="93"/>
      <c r="CCY24" s="93"/>
      <c r="CCZ24" s="93"/>
      <c r="CDA24" s="93"/>
      <c r="CDB24" s="93"/>
      <c r="CDC24" s="93"/>
      <c r="CDD24" s="93"/>
      <c r="CDE24" s="93"/>
      <c r="CDF24" s="93"/>
      <c r="CDG24" s="93"/>
      <c r="CDH24" s="93"/>
      <c r="CDI24" s="93"/>
      <c r="CDJ24" s="93"/>
      <c r="CDK24" s="93"/>
      <c r="CDL24" s="93"/>
      <c r="CDM24" s="93"/>
      <c r="CDN24" s="93"/>
      <c r="CDO24" s="93"/>
      <c r="CDP24" s="93"/>
      <c r="CDQ24" s="93"/>
      <c r="CDR24" s="93"/>
      <c r="CDS24" s="93"/>
      <c r="CDT24" s="93"/>
      <c r="CDU24" s="93"/>
      <c r="CDV24" s="93"/>
      <c r="CDW24" s="93"/>
      <c r="CDX24" s="93"/>
      <c r="CDY24" s="93"/>
      <c r="CDZ24" s="93"/>
      <c r="CEA24" s="93"/>
      <c r="CEB24" s="93"/>
      <c r="CEC24" s="93"/>
      <c r="CED24" s="93"/>
      <c r="CEE24" s="93"/>
      <c r="CEF24" s="93"/>
      <c r="CEG24" s="93"/>
      <c r="CEH24" s="93"/>
      <c r="CEI24" s="93"/>
      <c r="CEJ24" s="93"/>
      <c r="CEK24" s="93"/>
      <c r="CEL24" s="93"/>
      <c r="CEM24" s="93"/>
      <c r="CEN24" s="93"/>
      <c r="CEO24" s="93"/>
      <c r="CEP24" s="93"/>
      <c r="CEQ24" s="93"/>
      <c r="CER24" s="93"/>
      <c r="CES24" s="93"/>
      <c r="CET24" s="93"/>
      <c r="CEU24" s="93"/>
      <c r="CEV24" s="93"/>
      <c r="CEW24" s="93"/>
      <c r="CEX24" s="93"/>
      <c r="CEY24" s="93"/>
      <c r="CEZ24" s="93"/>
      <c r="CFA24" s="93"/>
      <c r="CFB24" s="93"/>
      <c r="CFC24" s="93"/>
      <c r="CFD24" s="93"/>
      <c r="CFE24" s="93"/>
      <c r="CFF24" s="93"/>
      <c r="CFG24" s="93"/>
      <c r="CFH24" s="93"/>
      <c r="CFI24" s="93"/>
      <c r="CFJ24" s="93"/>
      <c r="CFK24" s="93"/>
      <c r="CFL24" s="93"/>
      <c r="CFM24" s="93"/>
      <c r="CFN24" s="93"/>
      <c r="CFO24" s="93"/>
      <c r="CFP24" s="93"/>
      <c r="CFQ24" s="93"/>
      <c r="CFR24" s="93"/>
      <c r="CFS24" s="93"/>
      <c r="CFT24" s="93"/>
      <c r="CFU24" s="93"/>
      <c r="CFV24" s="93"/>
      <c r="CFW24" s="93"/>
      <c r="CFX24" s="93"/>
      <c r="CFY24" s="93"/>
      <c r="CFZ24" s="93"/>
      <c r="CGA24" s="93"/>
      <c r="CGB24" s="93"/>
      <c r="CGC24" s="93"/>
      <c r="CGD24" s="93"/>
      <c r="CGE24" s="93"/>
      <c r="CGF24" s="93"/>
      <c r="CGG24" s="93"/>
      <c r="CGH24" s="93"/>
      <c r="CGI24" s="93"/>
      <c r="CGJ24" s="93"/>
      <c r="CGK24" s="93"/>
      <c r="CGL24" s="93"/>
      <c r="CGM24" s="93"/>
      <c r="CGN24" s="93"/>
      <c r="CGO24" s="93"/>
      <c r="CGP24" s="93"/>
      <c r="CGQ24" s="93"/>
      <c r="CGR24" s="93"/>
      <c r="CGS24" s="93"/>
      <c r="CGT24" s="93"/>
      <c r="CGU24" s="93"/>
      <c r="CGV24" s="93"/>
      <c r="CGW24" s="93"/>
      <c r="CGX24" s="93"/>
      <c r="CGY24" s="93"/>
      <c r="CGZ24" s="93"/>
      <c r="CHA24" s="93"/>
      <c r="CHB24" s="93"/>
      <c r="CHC24" s="93"/>
      <c r="CHD24" s="93"/>
      <c r="CHE24" s="93"/>
      <c r="CHF24" s="93"/>
      <c r="CHG24" s="93"/>
      <c r="CHH24" s="93"/>
      <c r="CHI24" s="93"/>
      <c r="CHJ24" s="93"/>
      <c r="CHK24" s="93"/>
      <c r="CHL24" s="93"/>
      <c r="CHM24" s="93"/>
      <c r="CHN24" s="93"/>
      <c r="CHO24" s="93"/>
      <c r="CHP24" s="93"/>
      <c r="CHQ24" s="93"/>
      <c r="CHR24" s="93"/>
      <c r="CHS24" s="93"/>
      <c r="CHT24" s="93"/>
      <c r="CHU24" s="93"/>
      <c r="CHV24" s="93"/>
      <c r="CHW24" s="93"/>
      <c r="CHX24" s="93"/>
      <c r="CHY24" s="93"/>
      <c r="CHZ24" s="93"/>
      <c r="CIA24" s="93"/>
      <c r="CIB24" s="93"/>
      <c r="CIC24" s="93"/>
      <c r="CID24" s="93"/>
      <c r="CIE24" s="93"/>
      <c r="CIF24" s="93"/>
      <c r="CIG24" s="93"/>
      <c r="CIH24" s="93"/>
      <c r="CII24" s="93"/>
      <c r="CIJ24" s="93"/>
      <c r="CIK24" s="93"/>
      <c r="CIL24" s="93"/>
      <c r="CIM24" s="93"/>
      <c r="CIN24" s="93"/>
      <c r="CIO24" s="93"/>
      <c r="CIP24" s="93"/>
      <c r="CIQ24" s="93"/>
      <c r="CIR24" s="93"/>
      <c r="CIS24" s="93"/>
      <c r="CIT24" s="93"/>
      <c r="CIU24" s="93"/>
      <c r="CIV24" s="93"/>
      <c r="CIW24" s="93"/>
      <c r="CIX24" s="93"/>
      <c r="CIY24" s="93"/>
      <c r="CIZ24" s="93"/>
      <c r="CJA24" s="93"/>
      <c r="CJB24" s="93"/>
      <c r="CJC24" s="93"/>
      <c r="CJD24" s="93"/>
      <c r="CJE24" s="93"/>
      <c r="CJF24" s="93"/>
      <c r="CJG24" s="93"/>
      <c r="CJH24" s="93"/>
      <c r="CJI24" s="93"/>
      <c r="CJJ24" s="93"/>
      <c r="CJK24" s="93"/>
      <c r="CJL24" s="93"/>
      <c r="CJM24" s="93"/>
      <c r="CJN24" s="93"/>
      <c r="CJO24" s="93"/>
      <c r="CJP24" s="93"/>
      <c r="CJQ24" s="93"/>
      <c r="CJR24" s="93"/>
      <c r="CJS24" s="93"/>
      <c r="CJT24" s="93"/>
      <c r="CJU24" s="93"/>
      <c r="CJV24" s="93"/>
      <c r="CJW24" s="93"/>
      <c r="CJX24" s="93"/>
      <c r="CJY24" s="93"/>
      <c r="CJZ24" s="93"/>
      <c r="CKA24" s="93"/>
      <c r="CKB24" s="93"/>
      <c r="CKC24" s="93"/>
      <c r="CKD24" s="93"/>
      <c r="CKE24" s="93"/>
      <c r="CKF24" s="93"/>
      <c r="CKG24" s="93"/>
      <c r="CKH24" s="93"/>
      <c r="CKI24" s="93"/>
      <c r="CKJ24" s="93"/>
      <c r="CKK24" s="93"/>
      <c r="CKL24" s="93"/>
      <c r="CKM24" s="93"/>
      <c r="CKN24" s="93"/>
      <c r="CKO24" s="93"/>
      <c r="CKP24" s="93"/>
      <c r="CKQ24" s="93"/>
      <c r="CKR24" s="93"/>
      <c r="CKS24" s="93"/>
      <c r="CKT24" s="93"/>
      <c r="CKU24" s="93"/>
      <c r="CKV24" s="93"/>
      <c r="CKW24" s="93"/>
      <c r="CKX24" s="93"/>
      <c r="CKY24" s="93"/>
      <c r="CKZ24" s="93"/>
      <c r="CLA24" s="93"/>
      <c r="CLB24" s="93"/>
      <c r="CLC24" s="93"/>
      <c r="CLD24" s="93"/>
      <c r="CLE24" s="93"/>
      <c r="CLF24" s="93"/>
      <c r="CLG24" s="93"/>
      <c r="CLH24" s="93"/>
      <c r="CLI24" s="93"/>
      <c r="CLJ24" s="93"/>
      <c r="CLK24" s="93"/>
      <c r="CLL24" s="93"/>
      <c r="CLM24" s="93"/>
      <c r="CLN24" s="93"/>
      <c r="CLO24" s="93"/>
      <c r="CLP24" s="93"/>
      <c r="CLQ24" s="93"/>
      <c r="CLR24" s="93"/>
      <c r="CLS24" s="93"/>
      <c r="CLT24" s="93"/>
      <c r="CLU24" s="93"/>
      <c r="CLV24" s="93"/>
      <c r="CLW24" s="93"/>
      <c r="CLX24" s="93"/>
      <c r="CLY24" s="93"/>
      <c r="CLZ24" s="93"/>
      <c r="CMA24" s="93"/>
      <c r="CMB24" s="93"/>
      <c r="CMC24" s="93"/>
      <c r="CMD24" s="93"/>
      <c r="CME24" s="93"/>
      <c r="CMF24" s="93"/>
      <c r="CMG24" s="93"/>
      <c r="CMH24" s="93"/>
      <c r="CMI24" s="93"/>
      <c r="CMJ24" s="93"/>
      <c r="CMK24" s="93"/>
      <c r="CML24" s="93"/>
      <c r="CMM24" s="93"/>
      <c r="CMN24" s="93"/>
      <c r="CMO24" s="93"/>
      <c r="CMP24" s="93"/>
      <c r="CMQ24" s="93"/>
      <c r="CMR24" s="93"/>
      <c r="CMS24" s="93"/>
      <c r="CMT24" s="93"/>
      <c r="CMU24" s="93"/>
      <c r="CMV24" s="93"/>
      <c r="CMW24" s="93"/>
      <c r="CMX24" s="93"/>
      <c r="CMY24" s="93"/>
      <c r="CMZ24" s="93"/>
      <c r="CNA24" s="93"/>
      <c r="CNB24" s="93"/>
      <c r="CNC24" s="93"/>
      <c r="CND24" s="93"/>
      <c r="CNE24" s="93"/>
      <c r="CNF24" s="93"/>
      <c r="CNG24" s="93"/>
      <c r="CNH24" s="93"/>
      <c r="CNI24" s="93"/>
      <c r="CNJ24" s="93"/>
      <c r="CNK24" s="93"/>
      <c r="CNL24" s="93"/>
      <c r="CNM24" s="93"/>
      <c r="CNN24" s="93"/>
      <c r="CNO24" s="93"/>
      <c r="CNP24" s="93"/>
      <c r="CNQ24" s="93"/>
      <c r="CNR24" s="93"/>
      <c r="CNS24" s="93"/>
      <c r="CNT24" s="93"/>
      <c r="CNU24" s="93"/>
      <c r="CNV24" s="93"/>
      <c r="CNW24" s="93"/>
      <c r="CNX24" s="93"/>
      <c r="CNY24" s="93"/>
      <c r="CNZ24" s="93"/>
      <c r="COA24" s="93"/>
      <c r="COB24" s="93"/>
      <c r="COC24" s="93"/>
      <c r="COD24" s="93"/>
      <c r="COE24" s="93"/>
      <c r="COF24" s="93"/>
      <c r="COG24" s="93"/>
      <c r="COH24" s="93"/>
      <c r="COI24" s="93"/>
      <c r="COJ24" s="93"/>
      <c r="COK24" s="93"/>
      <c r="COL24" s="93"/>
      <c r="COM24" s="93"/>
      <c r="CON24" s="93"/>
      <c r="COO24" s="93"/>
      <c r="COP24" s="93"/>
      <c r="COQ24" s="93"/>
      <c r="COR24" s="93"/>
      <c r="COS24" s="93"/>
      <c r="COT24" s="93"/>
      <c r="COU24" s="93"/>
      <c r="COV24" s="93"/>
      <c r="COW24" s="93"/>
      <c r="COX24" s="93"/>
      <c r="COY24" s="93"/>
      <c r="COZ24" s="93"/>
      <c r="CPA24" s="93"/>
      <c r="CPB24" s="93"/>
      <c r="CPC24" s="93"/>
      <c r="CPD24" s="93"/>
      <c r="CPE24" s="93"/>
      <c r="CPF24" s="93"/>
      <c r="CPG24" s="93"/>
      <c r="CPH24" s="93"/>
      <c r="CPI24" s="93"/>
      <c r="CPJ24" s="93"/>
      <c r="CPK24" s="93"/>
      <c r="CPL24" s="93"/>
      <c r="CPM24" s="93"/>
      <c r="CPN24" s="93"/>
      <c r="CPO24" s="93"/>
      <c r="CPP24" s="93"/>
      <c r="CPQ24" s="93"/>
      <c r="CPR24" s="93"/>
      <c r="CPS24" s="93"/>
      <c r="CPT24" s="93"/>
      <c r="CPU24" s="93"/>
      <c r="CPV24" s="93"/>
      <c r="CPW24" s="93"/>
      <c r="CPX24" s="93"/>
      <c r="CPY24" s="93"/>
      <c r="CPZ24" s="93"/>
      <c r="CQA24" s="93"/>
      <c r="CQB24" s="93"/>
      <c r="CQC24" s="93"/>
      <c r="CQD24" s="93"/>
      <c r="CQE24" s="93"/>
      <c r="CQF24" s="93"/>
      <c r="CQG24" s="93"/>
      <c r="CQH24" s="93"/>
      <c r="CQI24" s="93"/>
      <c r="CQJ24" s="93"/>
      <c r="CQK24" s="93"/>
      <c r="CQL24" s="93"/>
      <c r="CQM24" s="93"/>
      <c r="CQN24" s="93"/>
      <c r="CQO24" s="93"/>
      <c r="CQP24" s="93"/>
      <c r="CQQ24" s="93"/>
      <c r="CQR24" s="93"/>
      <c r="CQS24" s="93"/>
      <c r="CQT24" s="93"/>
      <c r="CQU24" s="93"/>
      <c r="CQV24" s="93"/>
      <c r="CQW24" s="93"/>
      <c r="CQX24" s="93"/>
      <c r="CQY24" s="93"/>
      <c r="CQZ24" s="93"/>
      <c r="CRA24" s="93"/>
      <c r="CRB24" s="93"/>
      <c r="CRC24" s="93"/>
      <c r="CRD24" s="93"/>
      <c r="CRE24" s="93"/>
      <c r="CRF24" s="93"/>
      <c r="CRG24" s="93"/>
      <c r="CRH24" s="93"/>
      <c r="CRI24" s="93"/>
      <c r="CRJ24" s="93"/>
      <c r="CRK24" s="93"/>
      <c r="CRL24" s="93"/>
      <c r="CRM24" s="93"/>
      <c r="CRN24" s="93"/>
      <c r="CRO24" s="93"/>
      <c r="CRP24" s="93"/>
      <c r="CRQ24" s="93"/>
      <c r="CRR24" s="93"/>
      <c r="CRS24" s="93"/>
      <c r="CRT24" s="93"/>
      <c r="CRU24" s="93"/>
      <c r="CRV24" s="93"/>
      <c r="CRW24" s="93"/>
      <c r="CRX24" s="93"/>
      <c r="CRY24" s="93"/>
      <c r="CRZ24" s="93"/>
      <c r="CSA24" s="93"/>
      <c r="CSB24" s="93"/>
      <c r="CSC24" s="93"/>
      <c r="CSD24" s="93"/>
      <c r="CSE24" s="93"/>
      <c r="CSF24" s="93"/>
      <c r="CSG24" s="93"/>
      <c r="CSH24" s="93"/>
      <c r="CSI24" s="93"/>
      <c r="CSJ24" s="93"/>
      <c r="CSK24" s="93"/>
      <c r="CSL24" s="93"/>
      <c r="CSM24" s="93"/>
      <c r="CSN24" s="93"/>
      <c r="CSO24" s="93"/>
      <c r="CSP24" s="93"/>
      <c r="CSQ24" s="93"/>
      <c r="CSR24" s="93"/>
      <c r="CSS24" s="93"/>
      <c r="CST24" s="93"/>
      <c r="CSU24" s="93"/>
      <c r="CSV24" s="93"/>
      <c r="CSW24" s="93"/>
      <c r="CSX24" s="93"/>
      <c r="CSY24" s="93"/>
      <c r="CSZ24" s="93"/>
      <c r="CTA24" s="93"/>
      <c r="CTB24" s="93"/>
      <c r="CTC24" s="93"/>
      <c r="CTD24" s="93"/>
      <c r="CTE24" s="93"/>
      <c r="CTF24" s="93"/>
      <c r="CTG24" s="93"/>
      <c r="CTH24" s="93"/>
      <c r="CTI24" s="93"/>
      <c r="CTJ24" s="93"/>
      <c r="CTK24" s="93"/>
      <c r="CTL24" s="93"/>
      <c r="CTM24" s="93"/>
      <c r="CTN24" s="93"/>
      <c r="CTO24" s="93"/>
      <c r="CTP24" s="93"/>
      <c r="CTQ24" s="93"/>
      <c r="CTR24" s="93"/>
      <c r="CTS24" s="93"/>
      <c r="CTT24" s="93"/>
      <c r="CTU24" s="93"/>
      <c r="CTV24" s="93"/>
      <c r="CTW24" s="93"/>
      <c r="CTX24" s="93"/>
      <c r="CTY24" s="93"/>
      <c r="CTZ24" s="93"/>
      <c r="CUA24" s="93"/>
      <c r="CUB24" s="93"/>
      <c r="CUC24" s="93"/>
      <c r="CUD24" s="93"/>
      <c r="CUE24" s="93"/>
      <c r="CUF24" s="93"/>
      <c r="CUG24" s="93"/>
      <c r="CUH24" s="93"/>
      <c r="CUI24" s="93"/>
      <c r="CUJ24" s="93"/>
      <c r="CUK24" s="93"/>
      <c r="CUL24" s="93"/>
      <c r="CUM24" s="93"/>
      <c r="CUN24" s="93"/>
      <c r="CUO24" s="93"/>
      <c r="CUP24" s="93"/>
      <c r="CUQ24" s="93"/>
      <c r="CUR24" s="93"/>
      <c r="CUS24" s="93"/>
      <c r="CUT24" s="93"/>
      <c r="CUU24" s="93"/>
      <c r="CUV24" s="93"/>
      <c r="CUW24" s="93"/>
      <c r="CUX24" s="93"/>
      <c r="CUY24" s="93"/>
      <c r="CUZ24" s="93"/>
      <c r="CVA24" s="93"/>
      <c r="CVB24" s="93"/>
      <c r="CVC24" s="93"/>
      <c r="CVD24" s="93"/>
      <c r="CVE24" s="93"/>
      <c r="CVF24" s="93"/>
      <c r="CVG24" s="93"/>
      <c r="CVH24" s="93"/>
      <c r="CVI24" s="93"/>
      <c r="CVJ24" s="93"/>
      <c r="CVK24" s="93"/>
      <c r="CVL24" s="93"/>
      <c r="CVM24" s="93"/>
      <c r="CVN24" s="93"/>
      <c r="CVO24" s="93"/>
      <c r="CVP24" s="93"/>
      <c r="CVQ24" s="93"/>
      <c r="CVR24" s="93"/>
      <c r="CVS24" s="93"/>
      <c r="CVT24" s="93"/>
      <c r="CVU24" s="93"/>
      <c r="CVV24" s="93"/>
      <c r="CVW24" s="93"/>
      <c r="CVX24" s="93"/>
      <c r="CVY24" s="93"/>
      <c r="CVZ24" s="93"/>
      <c r="CWA24" s="93"/>
      <c r="CWB24" s="93"/>
      <c r="CWC24" s="93"/>
      <c r="CWD24" s="93"/>
      <c r="CWE24" s="93"/>
      <c r="CWF24" s="93"/>
      <c r="CWG24" s="93"/>
      <c r="CWH24" s="93"/>
      <c r="CWI24" s="93"/>
      <c r="CWJ24" s="93"/>
      <c r="CWK24" s="93"/>
      <c r="CWL24" s="93"/>
      <c r="CWM24" s="93"/>
      <c r="CWN24" s="93"/>
      <c r="CWO24" s="93"/>
      <c r="CWP24" s="93"/>
      <c r="CWQ24" s="93"/>
      <c r="CWR24" s="93"/>
      <c r="CWS24" s="93"/>
      <c r="CWT24" s="93"/>
      <c r="CWU24" s="93"/>
      <c r="CWV24" s="93"/>
      <c r="CWW24" s="93"/>
      <c r="CWX24" s="93"/>
      <c r="CWY24" s="93"/>
      <c r="CWZ24" s="93"/>
      <c r="CXA24" s="93"/>
      <c r="CXB24" s="93"/>
      <c r="CXC24" s="93"/>
      <c r="CXD24" s="93"/>
      <c r="CXE24" s="93"/>
      <c r="CXF24" s="93"/>
      <c r="CXG24" s="93"/>
      <c r="CXH24" s="93"/>
      <c r="CXI24" s="93"/>
      <c r="CXJ24" s="93"/>
      <c r="CXK24" s="93"/>
      <c r="CXL24" s="93"/>
      <c r="CXM24" s="93"/>
      <c r="CXN24" s="93"/>
      <c r="CXO24" s="93"/>
      <c r="CXP24" s="93"/>
      <c r="CXQ24" s="93"/>
      <c r="CXR24" s="93"/>
      <c r="CXS24" s="93"/>
      <c r="CXT24" s="93"/>
      <c r="CXU24" s="93"/>
      <c r="CXV24" s="93"/>
      <c r="CXW24" s="93"/>
      <c r="CXX24" s="93"/>
      <c r="CXY24" s="93"/>
      <c r="CXZ24" s="93"/>
      <c r="CYA24" s="93"/>
      <c r="CYB24" s="93"/>
      <c r="CYC24" s="93"/>
      <c r="CYD24" s="93"/>
      <c r="CYE24" s="93"/>
      <c r="CYF24" s="93"/>
      <c r="CYG24" s="93"/>
      <c r="CYH24" s="93"/>
      <c r="CYI24" s="93"/>
      <c r="CYJ24" s="93"/>
      <c r="CYK24" s="93"/>
      <c r="CYL24" s="93"/>
      <c r="CYM24" s="93"/>
      <c r="CYN24" s="93"/>
      <c r="CYO24" s="93"/>
      <c r="CYP24" s="93"/>
      <c r="CYQ24" s="93"/>
      <c r="CYR24" s="93"/>
      <c r="CYS24" s="93"/>
      <c r="CYT24" s="93"/>
      <c r="CYU24" s="93"/>
      <c r="CYV24" s="93"/>
      <c r="CYW24" s="93"/>
      <c r="CYX24" s="93"/>
      <c r="CYY24" s="93"/>
      <c r="CYZ24" s="93"/>
      <c r="CZA24" s="93"/>
      <c r="CZB24" s="93"/>
      <c r="CZC24" s="93"/>
      <c r="CZD24" s="93"/>
      <c r="CZE24" s="93"/>
      <c r="CZF24" s="93"/>
      <c r="CZG24" s="93"/>
      <c r="CZH24" s="93"/>
      <c r="CZI24" s="93"/>
      <c r="CZJ24" s="93"/>
      <c r="CZK24" s="93"/>
      <c r="CZL24" s="93"/>
      <c r="CZM24" s="93"/>
      <c r="CZN24" s="93"/>
      <c r="CZO24" s="93"/>
      <c r="CZP24" s="93"/>
      <c r="CZQ24" s="93"/>
      <c r="CZR24" s="93"/>
      <c r="CZS24" s="93"/>
      <c r="CZT24" s="93"/>
      <c r="CZU24" s="93"/>
      <c r="CZV24" s="93"/>
      <c r="CZW24" s="93"/>
      <c r="CZX24" s="93"/>
      <c r="CZY24" s="93"/>
      <c r="CZZ24" s="93"/>
      <c r="DAA24" s="93"/>
      <c r="DAB24" s="93"/>
      <c r="DAC24" s="93"/>
      <c r="DAD24" s="93"/>
      <c r="DAE24" s="93"/>
      <c r="DAF24" s="93"/>
      <c r="DAG24" s="93"/>
      <c r="DAH24" s="93"/>
      <c r="DAI24" s="93"/>
      <c r="DAJ24" s="93"/>
      <c r="DAK24" s="93"/>
      <c r="DAL24" s="93"/>
      <c r="DAM24" s="93"/>
      <c r="DAN24" s="93"/>
      <c r="DAO24" s="93"/>
      <c r="DAP24" s="93"/>
      <c r="DAQ24" s="93"/>
      <c r="DAR24" s="93"/>
      <c r="DAS24" s="93"/>
      <c r="DAT24" s="93"/>
      <c r="DAU24" s="93"/>
      <c r="DAV24" s="93"/>
      <c r="DAW24" s="93"/>
      <c r="DAX24" s="93"/>
      <c r="DAY24" s="93"/>
      <c r="DAZ24" s="93"/>
      <c r="DBA24" s="93"/>
      <c r="DBB24" s="93"/>
      <c r="DBC24" s="93"/>
      <c r="DBD24" s="93"/>
      <c r="DBE24" s="93"/>
      <c r="DBF24" s="93"/>
      <c r="DBG24" s="93"/>
      <c r="DBH24" s="93"/>
      <c r="DBI24" s="93"/>
      <c r="DBJ24" s="93"/>
      <c r="DBK24" s="93"/>
      <c r="DBL24" s="93"/>
      <c r="DBM24" s="93"/>
      <c r="DBN24" s="93"/>
      <c r="DBO24" s="93"/>
      <c r="DBP24" s="93"/>
      <c r="DBQ24" s="93"/>
      <c r="DBR24" s="93"/>
      <c r="DBS24" s="93"/>
      <c r="DBT24" s="93"/>
      <c r="DBU24" s="93"/>
      <c r="DBV24" s="93"/>
      <c r="DBW24" s="93"/>
      <c r="DBX24" s="93"/>
      <c r="DBY24" s="93"/>
      <c r="DBZ24" s="93"/>
      <c r="DCA24" s="93"/>
      <c r="DCB24" s="93"/>
      <c r="DCC24" s="93"/>
      <c r="DCD24" s="93"/>
      <c r="DCE24" s="93"/>
      <c r="DCF24" s="93"/>
      <c r="DCG24" s="93"/>
      <c r="DCH24" s="93"/>
      <c r="DCI24" s="93"/>
      <c r="DCJ24" s="93"/>
      <c r="DCK24" s="93"/>
      <c r="DCL24" s="93"/>
      <c r="DCM24" s="93"/>
      <c r="DCN24" s="93"/>
      <c r="DCO24" s="93"/>
      <c r="DCP24" s="93"/>
      <c r="DCQ24" s="93"/>
      <c r="DCR24" s="93"/>
      <c r="DCS24" s="93"/>
      <c r="DCT24" s="93"/>
      <c r="DCU24" s="93"/>
      <c r="DCV24" s="93"/>
      <c r="DCW24" s="93"/>
      <c r="DCX24" s="93"/>
      <c r="DCY24" s="93"/>
      <c r="DCZ24" s="93"/>
      <c r="DDA24" s="93"/>
      <c r="DDB24" s="93"/>
      <c r="DDC24" s="93"/>
      <c r="DDD24" s="93"/>
      <c r="DDE24" s="93"/>
      <c r="DDF24" s="93"/>
      <c r="DDG24" s="93"/>
      <c r="DDH24" s="93"/>
      <c r="DDI24" s="93"/>
      <c r="DDJ24" s="93"/>
      <c r="DDK24" s="93"/>
      <c r="DDL24" s="93"/>
      <c r="DDM24" s="93"/>
      <c r="DDN24" s="93"/>
      <c r="DDO24" s="93"/>
      <c r="DDP24" s="93"/>
      <c r="DDQ24" s="93"/>
      <c r="DDR24" s="93"/>
      <c r="DDS24" s="93"/>
      <c r="DDT24" s="93"/>
      <c r="DDU24" s="93"/>
      <c r="DDV24" s="93"/>
      <c r="DDW24" s="93"/>
      <c r="DDX24" s="93"/>
      <c r="DDY24" s="93"/>
      <c r="DDZ24" s="93"/>
      <c r="DEA24" s="93"/>
      <c r="DEB24" s="93"/>
      <c r="DEC24" s="93"/>
      <c r="DED24" s="93"/>
      <c r="DEE24" s="93"/>
      <c r="DEF24" s="93"/>
      <c r="DEG24" s="93"/>
      <c r="DEH24" s="93"/>
      <c r="DEI24" s="93"/>
      <c r="DEJ24" s="93"/>
      <c r="DEK24" s="93"/>
      <c r="DEL24" s="93"/>
      <c r="DEM24" s="93"/>
      <c r="DEN24" s="93"/>
      <c r="DEO24" s="93"/>
      <c r="DEP24" s="93"/>
      <c r="DEQ24" s="93"/>
      <c r="DER24" s="93"/>
      <c r="DES24" s="93"/>
      <c r="DET24" s="93"/>
      <c r="DEU24" s="93"/>
      <c r="DEV24" s="93"/>
      <c r="DEW24" s="93"/>
      <c r="DEX24" s="93"/>
      <c r="DEY24" s="93"/>
      <c r="DEZ24" s="93"/>
      <c r="DFA24" s="93"/>
      <c r="DFB24" s="93"/>
      <c r="DFC24" s="93"/>
      <c r="DFD24" s="93"/>
      <c r="DFE24" s="93"/>
      <c r="DFF24" s="93"/>
      <c r="DFG24" s="93"/>
      <c r="DFH24" s="93"/>
      <c r="DFI24" s="93"/>
      <c r="DFJ24" s="93"/>
      <c r="DFK24" s="93"/>
      <c r="DFL24" s="93"/>
      <c r="DFM24" s="93"/>
      <c r="DFN24" s="93"/>
      <c r="DFO24" s="93"/>
      <c r="DFP24" s="93"/>
      <c r="DFQ24" s="93"/>
      <c r="DFR24" s="93"/>
      <c r="DFS24" s="93"/>
      <c r="DFT24" s="93"/>
      <c r="DFU24" s="93"/>
      <c r="DFV24" s="93"/>
      <c r="DFW24" s="93"/>
      <c r="DFX24" s="93"/>
      <c r="DFY24" s="93"/>
      <c r="DFZ24" s="93"/>
      <c r="DGA24" s="93"/>
      <c r="DGB24" s="93"/>
      <c r="DGC24" s="93"/>
      <c r="DGD24" s="93"/>
      <c r="DGE24" s="93"/>
      <c r="DGF24" s="93"/>
      <c r="DGG24" s="93"/>
      <c r="DGH24" s="93"/>
      <c r="DGI24" s="93"/>
      <c r="DGJ24" s="93"/>
      <c r="DGK24" s="93"/>
      <c r="DGL24" s="93"/>
      <c r="DGM24" s="93"/>
      <c r="DGN24" s="93"/>
      <c r="DGO24" s="93"/>
      <c r="DGP24" s="93"/>
      <c r="DGQ24" s="93"/>
      <c r="DGR24" s="93"/>
      <c r="DGS24" s="93"/>
      <c r="DGT24" s="93"/>
      <c r="DGU24" s="93"/>
      <c r="DGV24" s="93"/>
      <c r="DGW24" s="93"/>
      <c r="DGX24" s="93"/>
      <c r="DGY24" s="93"/>
      <c r="DGZ24" s="93"/>
      <c r="DHA24" s="93"/>
      <c r="DHB24" s="93"/>
      <c r="DHC24" s="93"/>
      <c r="DHD24" s="93"/>
      <c r="DHE24" s="93"/>
      <c r="DHF24" s="93"/>
      <c r="DHG24" s="93"/>
      <c r="DHH24" s="93"/>
      <c r="DHI24" s="93"/>
      <c r="DHJ24" s="93"/>
      <c r="DHK24" s="93"/>
      <c r="DHL24" s="93"/>
      <c r="DHM24" s="93"/>
      <c r="DHN24" s="93"/>
      <c r="DHO24" s="93"/>
      <c r="DHP24" s="93"/>
      <c r="DHQ24" s="93"/>
      <c r="DHR24" s="93"/>
      <c r="DHS24" s="93"/>
      <c r="DHT24" s="93"/>
      <c r="DHU24" s="93"/>
      <c r="DHV24" s="93"/>
      <c r="DHW24" s="93"/>
      <c r="DHX24" s="93"/>
      <c r="DHY24" s="93"/>
      <c r="DHZ24" s="93"/>
      <c r="DIA24" s="93"/>
      <c r="DIB24" s="93"/>
      <c r="DIC24" s="93"/>
      <c r="DID24" s="93"/>
      <c r="DIE24" s="93"/>
      <c r="DIF24" s="93"/>
      <c r="DIG24" s="93"/>
      <c r="DIH24" s="93"/>
      <c r="DII24" s="93"/>
      <c r="DIJ24" s="93"/>
      <c r="DIK24" s="93"/>
      <c r="DIL24" s="93"/>
      <c r="DIM24" s="93"/>
      <c r="DIN24" s="93"/>
      <c r="DIO24" s="93"/>
      <c r="DIP24" s="93"/>
      <c r="DIQ24" s="93"/>
      <c r="DIR24" s="93"/>
      <c r="DIS24" s="93"/>
      <c r="DIT24" s="93"/>
      <c r="DIU24" s="93"/>
      <c r="DIV24" s="93"/>
      <c r="DIW24" s="93"/>
      <c r="DIX24" s="93"/>
      <c r="DIY24" s="93"/>
      <c r="DIZ24" s="93"/>
      <c r="DJA24" s="93"/>
      <c r="DJB24" s="93"/>
      <c r="DJC24" s="93"/>
      <c r="DJD24" s="93"/>
      <c r="DJE24" s="93"/>
      <c r="DJF24" s="93"/>
      <c r="DJG24" s="93"/>
      <c r="DJH24" s="93"/>
      <c r="DJI24" s="93"/>
      <c r="DJJ24" s="93"/>
      <c r="DJK24" s="93"/>
      <c r="DJL24" s="93"/>
      <c r="DJM24" s="93"/>
      <c r="DJN24" s="93"/>
      <c r="DJO24" s="93"/>
      <c r="DJP24" s="93"/>
      <c r="DJQ24" s="93"/>
      <c r="DJR24" s="93"/>
      <c r="DJS24" s="93"/>
      <c r="DJT24" s="93"/>
      <c r="DJU24" s="93"/>
      <c r="DJV24" s="93"/>
      <c r="DJW24" s="93"/>
      <c r="DJX24" s="93"/>
      <c r="DJY24" s="93"/>
      <c r="DJZ24" s="93"/>
      <c r="DKA24" s="93"/>
      <c r="DKB24" s="93"/>
      <c r="DKC24" s="93"/>
      <c r="DKD24" s="93"/>
      <c r="DKE24" s="93"/>
      <c r="DKF24" s="93"/>
      <c r="DKG24" s="93"/>
      <c r="DKH24" s="93"/>
      <c r="DKI24" s="93"/>
      <c r="DKJ24" s="93"/>
      <c r="DKK24" s="93"/>
      <c r="DKL24" s="93"/>
      <c r="DKM24" s="93"/>
      <c r="DKN24" s="93"/>
      <c r="DKO24" s="93"/>
      <c r="DKP24" s="93"/>
      <c r="DKQ24" s="93"/>
      <c r="DKR24" s="93"/>
      <c r="DKS24" s="93"/>
      <c r="DKT24" s="93"/>
      <c r="DKU24" s="93"/>
      <c r="DKV24" s="93"/>
      <c r="DKW24" s="93"/>
      <c r="DKX24" s="93"/>
      <c r="DKY24" s="93"/>
      <c r="DKZ24" s="93"/>
      <c r="DLA24" s="93"/>
      <c r="DLB24" s="93"/>
      <c r="DLC24" s="93"/>
      <c r="DLD24" s="93"/>
      <c r="DLE24" s="93"/>
      <c r="DLF24" s="93"/>
      <c r="DLG24" s="93"/>
      <c r="DLH24" s="93"/>
      <c r="DLI24" s="93"/>
      <c r="DLJ24" s="93"/>
      <c r="DLK24" s="93"/>
      <c r="DLL24" s="93"/>
      <c r="DLM24" s="93"/>
      <c r="DLN24" s="93"/>
      <c r="DLO24" s="93"/>
      <c r="DLP24" s="93"/>
      <c r="DLQ24" s="93"/>
      <c r="DLR24" s="93"/>
      <c r="DLS24" s="93"/>
      <c r="DLT24" s="93"/>
      <c r="DLU24" s="93"/>
      <c r="DLV24" s="93"/>
      <c r="DLW24" s="93"/>
      <c r="DLX24" s="93"/>
      <c r="DLY24" s="93"/>
      <c r="DLZ24" s="93"/>
      <c r="DMA24" s="93"/>
      <c r="DMB24" s="93"/>
      <c r="DMC24" s="93"/>
      <c r="DMD24" s="93"/>
      <c r="DME24" s="93"/>
      <c r="DMF24" s="93"/>
      <c r="DMG24" s="93"/>
      <c r="DMH24" s="93"/>
      <c r="DMI24" s="93"/>
      <c r="DMJ24" s="93"/>
      <c r="DMK24" s="93"/>
      <c r="DML24" s="93"/>
      <c r="DMM24" s="93"/>
      <c r="DMN24" s="93"/>
      <c r="DMO24" s="93"/>
      <c r="DMP24" s="93"/>
      <c r="DMQ24" s="93"/>
      <c r="DMR24" s="93"/>
      <c r="DMS24" s="93"/>
      <c r="DMT24" s="93"/>
      <c r="DMU24" s="93"/>
      <c r="DMV24" s="93"/>
      <c r="DMW24" s="93"/>
      <c r="DMX24" s="93"/>
      <c r="DMY24" s="93"/>
      <c r="DMZ24" s="93"/>
      <c r="DNA24" s="93"/>
      <c r="DNB24" s="93"/>
      <c r="DNC24" s="93"/>
      <c r="DND24" s="93"/>
      <c r="DNE24" s="93"/>
      <c r="DNF24" s="93"/>
      <c r="DNG24" s="93"/>
      <c r="DNH24" s="93"/>
      <c r="DNI24" s="93"/>
      <c r="DNJ24" s="93"/>
      <c r="DNK24" s="93"/>
      <c r="DNL24" s="93"/>
      <c r="DNM24" s="93"/>
      <c r="DNN24" s="93"/>
      <c r="DNO24" s="93"/>
      <c r="DNP24" s="93"/>
      <c r="DNQ24" s="93"/>
      <c r="DNR24" s="93"/>
      <c r="DNS24" s="93"/>
      <c r="DNT24" s="93"/>
      <c r="DNU24" s="93"/>
      <c r="DNV24" s="93"/>
      <c r="DNW24" s="93"/>
      <c r="DNX24" s="93"/>
      <c r="DNY24" s="93"/>
      <c r="DNZ24" s="93"/>
      <c r="DOA24" s="93"/>
      <c r="DOB24" s="93"/>
      <c r="DOC24" s="93"/>
      <c r="DOD24" s="93"/>
      <c r="DOE24" s="93"/>
      <c r="DOF24" s="93"/>
      <c r="DOG24" s="93"/>
      <c r="DOH24" s="93"/>
      <c r="DOI24" s="93"/>
      <c r="DOJ24" s="93"/>
      <c r="DOK24" s="93"/>
      <c r="DOL24" s="93"/>
      <c r="DOM24" s="93"/>
      <c r="DON24" s="93"/>
      <c r="DOO24" s="93"/>
      <c r="DOP24" s="93"/>
      <c r="DOQ24" s="93"/>
      <c r="DOR24" s="93"/>
      <c r="DOS24" s="93"/>
      <c r="DOT24" s="93"/>
      <c r="DOU24" s="93"/>
      <c r="DOV24" s="93"/>
      <c r="DOW24" s="93"/>
      <c r="DOX24" s="93"/>
      <c r="DOY24" s="93"/>
      <c r="DOZ24" s="93"/>
      <c r="DPA24" s="93"/>
      <c r="DPB24" s="93"/>
      <c r="DPC24" s="93"/>
      <c r="DPD24" s="93"/>
      <c r="DPE24" s="93"/>
      <c r="DPF24" s="93"/>
      <c r="DPG24" s="93"/>
      <c r="DPH24" s="93"/>
      <c r="DPI24" s="93"/>
      <c r="DPJ24" s="93"/>
      <c r="DPK24" s="93"/>
      <c r="DPL24" s="93"/>
      <c r="DPM24" s="93"/>
      <c r="DPN24" s="93"/>
      <c r="DPO24" s="93"/>
      <c r="DPP24" s="93"/>
      <c r="DPQ24" s="93"/>
      <c r="DPR24" s="93"/>
      <c r="DPS24" s="93"/>
      <c r="DPT24" s="93"/>
      <c r="DPU24" s="93"/>
      <c r="DPV24" s="93"/>
      <c r="DPW24" s="93"/>
      <c r="DPX24" s="93"/>
      <c r="DPY24" s="93"/>
      <c r="DPZ24" s="93"/>
      <c r="DQA24" s="93"/>
      <c r="DQB24" s="93"/>
      <c r="DQC24" s="93"/>
      <c r="DQD24" s="93"/>
      <c r="DQE24" s="93"/>
      <c r="DQF24" s="93"/>
      <c r="DQG24" s="93"/>
      <c r="DQH24" s="93"/>
      <c r="DQI24" s="93"/>
      <c r="DQJ24" s="93"/>
      <c r="DQK24" s="93"/>
      <c r="DQL24" s="93"/>
      <c r="DQM24" s="93"/>
      <c r="DQN24" s="93"/>
      <c r="DQO24" s="93"/>
      <c r="DQP24" s="93"/>
      <c r="DQQ24" s="93"/>
      <c r="DQR24" s="93"/>
      <c r="DQS24" s="93"/>
      <c r="DQT24" s="93"/>
      <c r="DQU24" s="93"/>
      <c r="DQV24" s="93"/>
      <c r="DQW24" s="93"/>
      <c r="DQX24" s="93"/>
      <c r="DQY24" s="93"/>
      <c r="DQZ24" s="93"/>
      <c r="DRA24" s="93"/>
      <c r="DRB24" s="93"/>
      <c r="DRC24" s="93"/>
      <c r="DRD24" s="93"/>
      <c r="DRE24" s="93"/>
      <c r="DRF24" s="93"/>
      <c r="DRG24" s="93"/>
      <c r="DRH24" s="93"/>
      <c r="DRI24" s="93"/>
      <c r="DRJ24" s="93"/>
      <c r="DRK24" s="93"/>
      <c r="DRL24" s="93"/>
      <c r="DRM24" s="93"/>
      <c r="DRN24" s="93"/>
      <c r="DRO24" s="93"/>
      <c r="DRP24" s="93"/>
      <c r="DRQ24" s="93"/>
      <c r="DRR24" s="93"/>
      <c r="DRS24" s="93"/>
      <c r="DRT24" s="93"/>
      <c r="DRU24" s="93"/>
      <c r="DRV24" s="93"/>
      <c r="DRW24" s="93"/>
      <c r="DRX24" s="93"/>
      <c r="DRY24" s="93"/>
      <c r="DRZ24" s="93"/>
      <c r="DSA24" s="93"/>
      <c r="DSB24" s="93"/>
      <c r="DSC24" s="93"/>
      <c r="DSD24" s="93"/>
      <c r="DSE24" s="93"/>
      <c r="DSF24" s="93"/>
      <c r="DSG24" s="93"/>
      <c r="DSH24" s="93"/>
      <c r="DSI24" s="93"/>
      <c r="DSJ24" s="93"/>
      <c r="DSK24" s="93"/>
      <c r="DSL24" s="93"/>
      <c r="DSM24" s="93"/>
      <c r="DSN24" s="93"/>
      <c r="DSO24" s="93"/>
      <c r="DSP24" s="93"/>
      <c r="DSQ24" s="93"/>
      <c r="DSR24" s="93"/>
      <c r="DSS24" s="93"/>
      <c r="DST24" s="93"/>
      <c r="DSU24" s="93"/>
      <c r="DSV24" s="93"/>
      <c r="DSW24" s="93"/>
      <c r="DSX24" s="93"/>
      <c r="DSY24" s="93"/>
      <c r="DSZ24" s="93"/>
      <c r="DTA24" s="93"/>
      <c r="DTB24" s="93"/>
      <c r="DTC24" s="93"/>
      <c r="DTD24" s="93"/>
      <c r="DTE24" s="93"/>
      <c r="DTF24" s="93"/>
      <c r="DTG24" s="93"/>
      <c r="DTH24" s="93"/>
      <c r="DTI24" s="93"/>
      <c r="DTJ24" s="93"/>
      <c r="DTK24" s="93"/>
      <c r="DTL24" s="93"/>
      <c r="DTM24" s="93"/>
      <c r="DTN24" s="93"/>
      <c r="DTO24" s="93"/>
      <c r="DTP24" s="93"/>
      <c r="DTQ24" s="93"/>
      <c r="DTR24" s="93"/>
      <c r="DTS24" s="93"/>
      <c r="DTT24" s="93"/>
      <c r="DTU24" s="93"/>
      <c r="DTV24" s="93"/>
      <c r="DTW24" s="93"/>
      <c r="DTX24" s="93"/>
      <c r="DTY24" s="93"/>
      <c r="DTZ24" s="93"/>
      <c r="DUA24" s="93"/>
      <c r="DUB24" s="93"/>
      <c r="DUC24" s="93"/>
      <c r="DUD24" s="93"/>
      <c r="DUE24" s="93"/>
      <c r="DUF24" s="93"/>
      <c r="DUG24" s="93"/>
      <c r="DUH24" s="93"/>
      <c r="DUI24" s="93"/>
      <c r="DUJ24" s="93"/>
      <c r="DUK24" s="93"/>
      <c r="DUL24" s="93"/>
      <c r="DUM24" s="93"/>
      <c r="DUN24" s="93"/>
      <c r="DUO24" s="93"/>
      <c r="DUP24" s="93"/>
      <c r="DUQ24" s="93"/>
      <c r="DUR24" s="93"/>
      <c r="DUS24" s="93"/>
      <c r="DUT24" s="93"/>
      <c r="DUU24" s="93"/>
      <c r="DUV24" s="93"/>
      <c r="DUW24" s="93"/>
      <c r="DUX24" s="93"/>
      <c r="DUY24" s="93"/>
      <c r="DUZ24" s="93"/>
      <c r="DVA24" s="93"/>
      <c r="DVB24" s="93"/>
      <c r="DVC24" s="93"/>
      <c r="DVD24" s="93"/>
      <c r="DVE24" s="93"/>
      <c r="DVF24" s="93"/>
      <c r="DVG24" s="93"/>
      <c r="DVH24" s="93"/>
      <c r="DVI24" s="93"/>
      <c r="DVJ24" s="93"/>
      <c r="DVK24" s="93"/>
      <c r="DVL24" s="93"/>
      <c r="DVM24" s="93"/>
      <c r="DVN24" s="93"/>
      <c r="DVO24" s="93"/>
      <c r="DVP24" s="93"/>
      <c r="DVQ24" s="93"/>
      <c r="DVR24" s="93"/>
      <c r="DVS24" s="93"/>
      <c r="DVT24" s="93"/>
      <c r="DVU24" s="93"/>
      <c r="DVV24" s="93"/>
      <c r="DVW24" s="93"/>
      <c r="DVX24" s="93"/>
      <c r="DVY24" s="93"/>
      <c r="DVZ24" s="93"/>
      <c r="DWA24" s="93"/>
      <c r="DWB24" s="93"/>
      <c r="DWC24" s="93"/>
      <c r="DWD24" s="93"/>
      <c r="DWE24" s="93"/>
      <c r="DWF24" s="93"/>
      <c r="DWG24" s="93"/>
      <c r="DWH24" s="93"/>
      <c r="DWI24" s="93"/>
      <c r="DWJ24" s="93"/>
      <c r="DWK24" s="93"/>
      <c r="DWL24" s="93"/>
      <c r="DWM24" s="93"/>
      <c r="DWN24" s="93"/>
      <c r="DWO24" s="93"/>
      <c r="DWP24" s="93"/>
      <c r="DWQ24" s="93"/>
      <c r="DWR24" s="93"/>
      <c r="DWS24" s="93"/>
      <c r="DWT24" s="93"/>
      <c r="DWU24" s="93"/>
      <c r="DWV24" s="93"/>
      <c r="DWW24" s="93"/>
      <c r="DWX24" s="93"/>
      <c r="DWY24" s="93"/>
      <c r="DWZ24" s="93"/>
      <c r="DXA24" s="93"/>
      <c r="DXB24" s="93"/>
      <c r="DXC24" s="93"/>
      <c r="DXD24" s="93"/>
      <c r="DXE24" s="93"/>
      <c r="DXF24" s="93"/>
      <c r="DXG24" s="93"/>
      <c r="DXH24" s="93"/>
      <c r="DXI24" s="93"/>
      <c r="DXJ24" s="93"/>
      <c r="DXK24" s="93"/>
      <c r="DXL24" s="93"/>
      <c r="DXM24" s="93"/>
      <c r="DXN24" s="93"/>
      <c r="DXO24" s="93"/>
      <c r="DXP24" s="93"/>
      <c r="DXQ24" s="93"/>
      <c r="DXR24" s="93"/>
      <c r="DXS24" s="93"/>
      <c r="DXT24" s="93"/>
      <c r="DXU24" s="93"/>
      <c r="DXV24" s="93"/>
      <c r="DXW24" s="93"/>
      <c r="DXX24" s="93"/>
      <c r="DXY24" s="93"/>
      <c r="DXZ24" s="93"/>
      <c r="DYA24" s="93"/>
      <c r="DYB24" s="93"/>
      <c r="DYC24" s="93"/>
      <c r="DYD24" s="93"/>
      <c r="DYE24" s="93"/>
      <c r="DYF24" s="93"/>
      <c r="DYG24" s="93"/>
      <c r="DYH24" s="93"/>
      <c r="DYI24" s="93"/>
      <c r="DYJ24" s="93"/>
      <c r="DYK24" s="93"/>
      <c r="DYL24" s="93"/>
      <c r="DYM24" s="93"/>
      <c r="DYN24" s="93"/>
      <c r="DYO24" s="93"/>
      <c r="DYP24" s="93"/>
      <c r="DYQ24" s="93"/>
      <c r="DYR24" s="93"/>
      <c r="DYS24" s="93"/>
      <c r="DYT24" s="93"/>
      <c r="DYU24" s="93"/>
      <c r="DYV24" s="93"/>
      <c r="DYW24" s="93"/>
      <c r="DYX24" s="93"/>
      <c r="DYY24" s="93"/>
      <c r="DYZ24" s="93"/>
      <c r="DZA24" s="93"/>
      <c r="DZB24" s="93"/>
      <c r="DZC24" s="93"/>
      <c r="DZD24" s="93"/>
      <c r="DZE24" s="93"/>
      <c r="DZF24" s="93"/>
      <c r="DZG24" s="93"/>
      <c r="DZH24" s="93"/>
      <c r="DZI24" s="93"/>
      <c r="DZJ24" s="93"/>
      <c r="DZK24" s="93"/>
      <c r="DZL24" s="93"/>
      <c r="DZM24" s="93"/>
      <c r="DZN24" s="93"/>
      <c r="DZO24" s="93"/>
      <c r="DZP24" s="93"/>
      <c r="DZQ24" s="93"/>
      <c r="DZR24" s="93"/>
      <c r="DZS24" s="93"/>
      <c r="DZT24" s="93"/>
      <c r="DZU24" s="93"/>
      <c r="DZV24" s="93"/>
      <c r="DZW24" s="93"/>
      <c r="DZX24" s="93"/>
      <c r="DZY24" s="93"/>
      <c r="DZZ24" s="93"/>
      <c r="EAA24" s="93"/>
      <c r="EAB24" s="93"/>
      <c r="EAC24" s="93"/>
      <c r="EAD24" s="93"/>
      <c r="EAE24" s="93"/>
      <c r="EAF24" s="93"/>
      <c r="EAG24" s="93"/>
      <c r="EAH24" s="93"/>
      <c r="EAI24" s="93"/>
      <c r="EAJ24" s="93"/>
      <c r="EAK24" s="93"/>
      <c r="EAL24" s="93"/>
      <c r="EAM24" s="93"/>
      <c r="EAN24" s="93"/>
      <c r="EAO24" s="93"/>
      <c r="EAP24" s="93"/>
      <c r="EAQ24" s="93"/>
      <c r="EAR24" s="93"/>
      <c r="EAS24" s="93"/>
      <c r="EAT24" s="93"/>
      <c r="EAU24" s="93"/>
      <c r="EAV24" s="93"/>
      <c r="EAW24" s="93"/>
      <c r="EAX24" s="93"/>
      <c r="EAY24" s="93"/>
      <c r="EAZ24" s="93"/>
      <c r="EBA24" s="93"/>
      <c r="EBB24" s="93"/>
      <c r="EBC24" s="93"/>
      <c r="EBD24" s="93"/>
      <c r="EBE24" s="93"/>
      <c r="EBF24" s="93"/>
      <c r="EBG24" s="93"/>
      <c r="EBH24" s="93"/>
      <c r="EBI24" s="93"/>
      <c r="EBJ24" s="93"/>
      <c r="EBK24" s="93"/>
      <c r="EBL24" s="93"/>
      <c r="EBM24" s="93"/>
      <c r="EBN24" s="93"/>
      <c r="EBO24" s="93"/>
      <c r="EBP24" s="93"/>
      <c r="EBQ24" s="93"/>
      <c r="EBR24" s="93"/>
      <c r="EBS24" s="93"/>
      <c r="EBT24" s="93"/>
      <c r="EBU24" s="93"/>
      <c r="EBV24" s="93"/>
      <c r="EBW24" s="93"/>
      <c r="EBX24" s="93"/>
      <c r="EBY24" s="93"/>
      <c r="EBZ24" s="93"/>
      <c r="ECA24" s="93"/>
      <c r="ECB24" s="93"/>
      <c r="ECC24" s="93"/>
      <c r="ECD24" s="93"/>
      <c r="ECE24" s="93"/>
      <c r="ECF24" s="93"/>
      <c r="ECG24" s="93"/>
      <c r="ECH24" s="93"/>
      <c r="ECI24" s="93"/>
      <c r="ECJ24" s="93"/>
      <c r="ECK24" s="93"/>
      <c r="ECL24" s="93"/>
      <c r="ECM24" s="93"/>
      <c r="ECN24" s="93"/>
      <c r="ECO24" s="93"/>
      <c r="ECP24" s="93"/>
      <c r="ECQ24" s="93"/>
      <c r="ECR24" s="93"/>
      <c r="ECS24" s="93"/>
      <c r="ECT24" s="93"/>
      <c r="ECU24" s="93"/>
      <c r="ECV24" s="93"/>
      <c r="ECW24" s="93"/>
      <c r="ECX24" s="93"/>
      <c r="ECY24" s="93"/>
      <c r="ECZ24" s="93"/>
      <c r="EDA24" s="93"/>
      <c r="EDB24" s="93"/>
      <c r="EDC24" s="93"/>
      <c r="EDD24" s="93"/>
      <c r="EDE24" s="93"/>
      <c r="EDF24" s="93"/>
      <c r="EDG24" s="93"/>
      <c r="EDH24" s="93"/>
      <c r="EDI24" s="93"/>
      <c r="EDJ24" s="93"/>
      <c r="EDK24" s="93"/>
      <c r="EDL24" s="93"/>
      <c r="EDM24" s="93"/>
      <c r="EDN24" s="93"/>
      <c r="EDO24" s="93"/>
      <c r="EDP24" s="93"/>
      <c r="EDQ24" s="93"/>
      <c r="EDR24" s="93"/>
      <c r="EDS24" s="93"/>
      <c r="EDT24" s="93"/>
      <c r="EDU24" s="93"/>
      <c r="EDV24" s="93"/>
      <c r="EDW24" s="93"/>
      <c r="EDX24" s="93"/>
      <c r="EDY24" s="93"/>
      <c r="EDZ24" s="93"/>
      <c r="EEA24" s="93"/>
      <c r="EEB24" s="93"/>
      <c r="EEC24" s="93"/>
      <c r="EED24" s="93"/>
      <c r="EEE24" s="93"/>
      <c r="EEF24" s="93"/>
      <c r="EEG24" s="93"/>
      <c r="EEH24" s="93"/>
      <c r="EEI24" s="93"/>
      <c r="EEJ24" s="93"/>
      <c r="EEK24" s="93"/>
      <c r="EEL24" s="93"/>
      <c r="EEM24" s="93"/>
      <c r="EEN24" s="93"/>
      <c r="EEO24" s="93"/>
      <c r="EEP24" s="93"/>
      <c r="EEQ24" s="93"/>
      <c r="EER24" s="93"/>
      <c r="EES24" s="93"/>
      <c r="EET24" s="93"/>
      <c r="EEU24" s="93"/>
      <c r="EEV24" s="93"/>
      <c r="EEW24" s="93"/>
      <c r="EEX24" s="93"/>
      <c r="EEY24" s="93"/>
      <c r="EEZ24" s="93"/>
      <c r="EFA24" s="93"/>
      <c r="EFB24" s="93"/>
      <c r="EFC24" s="93"/>
      <c r="EFD24" s="93"/>
      <c r="EFE24" s="93"/>
      <c r="EFF24" s="93"/>
      <c r="EFG24" s="93"/>
      <c r="EFH24" s="93"/>
      <c r="EFI24" s="93"/>
      <c r="EFJ24" s="93"/>
      <c r="EFK24" s="93"/>
      <c r="EFL24" s="93"/>
      <c r="EFM24" s="93"/>
      <c r="EFN24" s="93"/>
      <c r="EFO24" s="93"/>
      <c r="EFP24" s="93"/>
      <c r="EFQ24" s="93"/>
      <c r="EFR24" s="93"/>
      <c r="EFS24" s="93"/>
      <c r="EFT24" s="93"/>
      <c r="EFU24" s="93"/>
      <c r="EFV24" s="93"/>
      <c r="EFW24" s="93"/>
      <c r="EFX24" s="93"/>
      <c r="EFY24" s="93"/>
      <c r="EFZ24" s="93"/>
      <c r="EGA24" s="93"/>
      <c r="EGB24" s="93"/>
      <c r="EGC24" s="93"/>
      <c r="EGD24" s="93"/>
      <c r="EGE24" s="93"/>
      <c r="EGF24" s="93"/>
      <c r="EGG24" s="93"/>
      <c r="EGH24" s="93"/>
      <c r="EGI24" s="93"/>
      <c r="EGJ24" s="93"/>
      <c r="EGK24" s="93"/>
      <c r="EGL24" s="93"/>
      <c r="EGM24" s="93"/>
      <c r="EGN24" s="93"/>
      <c r="EGO24" s="93"/>
      <c r="EGP24" s="93"/>
      <c r="EGQ24" s="93"/>
      <c r="EGR24" s="93"/>
      <c r="EGS24" s="93"/>
      <c r="EGT24" s="93"/>
      <c r="EGU24" s="93"/>
      <c r="EGV24" s="93"/>
      <c r="EGW24" s="93"/>
      <c r="EGX24" s="93"/>
      <c r="EGY24" s="93"/>
      <c r="EGZ24" s="93"/>
      <c r="EHA24" s="93"/>
      <c r="EHB24" s="93"/>
      <c r="EHC24" s="93"/>
      <c r="EHD24" s="93"/>
      <c r="EHE24" s="93"/>
      <c r="EHF24" s="93"/>
      <c r="EHG24" s="93"/>
      <c r="EHH24" s="93"/>
      <c r="EHI24" s="93"/>
      <c r="EHJ24" s="93"/>
      <c r="EHK24" s="93"/>
      <c r="EHL24" s="93"/>
      <c r="EHM24" s="93"/>
      <c r="EHN24" s="93"/>
      <c r="EHO24" s="93"/>
      <c r="EHP24" s="93"/>
      <c r="EHQ24" s="93"/>
      <c r="EHR24" s="93"/>
      <c r="EHS24" s="93"/>
      <c r="EHT24" s="93"/>
      <c r="EHU24" s="93"/>
      <c r="EHV24" s="93"/>
      <c r="EHW24" s="93"/>
      <c r="EHX24" s="93"/>
      <c r="EHY24" s="93"/>
      <c r="EHZ24" s="93"/>
      <c r="EIA24" s="93"/>
      <c r="EIB24" s="93"/>
      <c r="EIC24" s="93"/>
      <c r="EID24" s="93"/>
      <c r="EIE24" s="93"/>
      <c r="EIF24" s="93"/>
      <c r="EIG24" s="93"/>
      <c r="EIH24" s="93"/>
      <c r="EII24" s="93"/>
      <c r="EIJ24" s="93"/>
      <c r="EIK24" s="93"/>
      <c r="EIL24" s="93"/>
      <c r="EIM24" s="93"/>
      <c r="EIN24" s="93"/>
      <c r="EIO24" s="93"/>
      <c r="EIP24" s="93"/>
      <c r="EIQ24" s="93"/>
      <c r="EIR24" s="93"/>
      <c r="EIS24" s="93"/>
      <c r="EIT24" s="93"/>
      <c r="EIU24" s="93"/>
      <c r="EIV24" s="93"/>
      <c r="EIW24" s="93"/>
      <c r="EIX24" s="93"/>
      <c r="EIY24" s="93"/>
      <c r="EIZ24" s="93"/>
      <c r="EJA24" s="93"/>
      <c r="EJB24" s="93"/>
      <c r="EJC24" s="93"/>
      <c r="EJD24" s="93"/>
      <c r="EJE24" s="93"/>
      <c r="EJF24" s="93"/>
      <c r="EJG24" s="93"/>
      <c r="EJH24" s="93"/>
      <c r="EJI24" s="93"/>
      <c r="EJJ24" s="93"/>
      <c r="EJK24" s="93"/>
      <c r="EJL24" s="93"/>
      <c r="EJM24" s="93"/>
      <c r="EJN24" s="93"/>
      <c r="EJO24" s="93"/>
      <c r="EJP24" s="93"/>
      <c r="EJQ24" s="93"/>
      <c r="EJR24" s="93"/>
      <c r="EJS24" s="93"/>
      <c r="EJT24" s="93"/>
      <c r="EJU24" s="93"/>
      <c r="EJV24" s="93"/>
      <c r="EJW24" s="93"/>
      <c r="EJX24" s="93"/>
      <c r="EJY24" s="93"/>
      <c r="EJZ24" s="93"/>
      <c r="EKA24" s="93"/>
      <c r="EKB24" s="93"/>
      <c r="EKC24" s="93"/>
      <c r="EKD24" s="93"/>
      <c r="EKE24" s="93"/>
      <c r="EKF24" s="93"/>
      <c r="EKG24" s="93"/>
      <c r="EKH24" s="93"/>
      <c r="EKI24" s="93"/>
      <c r="EKJ24" s="93"/>
      <c r="EKK24" s="93"/>
      <c r="EKL24" s="93"/>
      <c r="EKM24" s="93"/>
      <c r="EKN24" s="93"/>
      <c r="EKO24" s="93"/>
      <c r="EKP24" s="93"/>
      <c r="EKQ24" s="93"/>
      <c r="EKR24" s="93"/>
      <c r="EKS24" s="93"/>
      <c r="EKT24" s="93"/>
      <c r="EKU24" s="93"/>
      <c r="EKV24" s="93"/>
      <c r="EKW24" s="93"/>
      <c r="EKX24" s="93"/>
      <c r="EKY24" s="93"/>
      <c r="EKZ24" s="93"/>
      <c r="ELA24" s="93"/>
      <c r="ELB24" s="93"/>
      <c r="ELC24" s="93"/>
      <c r="ELD24" s="93"/>
      <c r="ELE24" s="93"/>
      <c r="ELF24" s="93"/>
      <c r="ELG24" s="93"/>
      <c r="ELH24" s="93"/>
      <c r="ELI24" s="93"/>
      <c r="ELJ24" s="93"/>
      <c r="ELK24" s="93"/>
      <c r="ELL24" s="93"/>
      <c r="ELM24" s="93"/>
      <c r="ELN24" s="93"/>
      <c r="ELO24" s="93"/>
      <c r="ELP24" s="93"/>
      <c r="ELQ24" s="93"/>
      <c r="ELR24" s="93"/>
      <c r="ELS24" s="93"/>
      <c r="ELT24" s="93"/>
      <c r="ELU24" s="93"/>
      <c r="ELV24" s="93"/>
      <c r="ELW24" s="93"/>
      <c r="ELX24" s="93"/>
      <c r="ELY24" s="93"/>
      <c r="ELZ24" s="93"/>
      <c r="EMA24" s="93"/>
      <c r="EMB24" s="93"/>
      <c r="EMC24" s="93"/>
      <c r="EMD24" s="93"/>
      <c r="EME24" s="93"/>
      <c r="EMF24" s="93"/>
      <c r="EMG24" s="93"/>
      <c r="EMH24" s="93"/>
      <c r="EMI24" s="93"/>
      <c r="EMJ24" s="93"/>
      <c r="EMK24" s="93"/>
      <c r="EML24" s="93"/>
      <c r="EMM24" s="93"/>
      <c r="EMN24" s="93"/>
      <c r="EMO24" s="93"/>
      <c r="EMP24" s="93"/>
      <c r="EMQ24" s="93"/>
      <c r="EMR24" s="93"/>
      <c r="EMS24" s="93"/>
      <c r="EMT24" s="93"/>
      <c r="EMU24" s="93"/>
      <c r="EMV24" s="93"/>
      <c r="EMW24" s="93"/>
      <c r="EMX24" s="93"/>
      <c r="EMY24" s="93"/>
      <c r="EMZ24" s="93"/>
      <c r="ENA24" s="93"/>
      <c r="ENB24" s="93"/>
      <c r="ENC24" s="93"/>
      <c r="END24" s="93"/>
      <c r="ENE24" s="93"/>
      <c r="ENF24" s="93"/>
      <c r="ENG24" s="93"/>
      <c r="ENH24" s="93"/>
      <c r="ENI24" s="93"/>
      <c r="ENJ24" s="93"/>
      <c r="ENK24" s="93"/>
      <c r="ENL24" s="93"/>
      <c r="ENM24" s="93"/>
      <c r="ENN24" s="93"/>
      <c r="ENO24" s="93"/>
      <c r="ENP24" s="93"/>
      <c r="ENQ24" s="93"/>
      <c r="ENR24" s="93"/>
      <c r="ENS24" s="93"/>
      <c r="ENT24" s="93"/>
      <c r="ENU24" s="93"/>
      <c r="ENV24" s="93"/>
      <c r="ENW24" s="93"/>
      <c r="ENX24" s="93"/>
      <c r="ENY24" s="93"/>
      <c r="ENZ24" s="93"/>
      <c r="EOA24" s="93"/>
      <c r="EOB24" s="93"/>
      <c r="EOC24" s="93"/>
      <c r="EOD24" s="93"/>
      <c r="EOE24" s="93"/>
      <c r="EOF24" s="93"/>
      <c r="EOG24" s="93"/>
      <c r="EOH24" s="93"/>
      <c r="EOI24" s="93"/>
      <c r="EOJ24" s="93"/>
      <c r="EOK24" s="93"/>
      <c r="EOL24" s="93"/>
      <c r="EOM24" s="93"/>
      <c r="EON24" s="93"/>
      <c r="EOO24" s="93"/>
      <c r="EOP24" s="93"/>
      <c r="EOQ24" s="93"/>
      <c r="EOR24" s="93"/>
      <c r="EOS24" s="93"/>
      <c r="EOT24" s="93"/>
      <c r="EOU24" s="93"/>
      <c r="EOV24" s="93"/>
      <c r="EOW24" s="93"/>
      <c r="EOX24" s="93"/>
      <c r="EOY24" s="93"/>
      <c r="EOZ24" s="93"/>
      <c r="EPA24" s="93"/>
      <c r="EPB24" s="93"/>
      <c r="EPC24" s="93"/>
      <c r="EPD24" s="93"/>
      <c r="EPE24" s="93"/>
      <c r="EPF24" s="93"/>
      <c r="EPG24" s="93"/>
      <c r="EPH24" s="93"/>
      <c r="EPI24" s="93"/>
      <c r="EPJ24" s="93"/>
      <c r="EPK24" s="93"/>
      <c r="EPL24" s="93"/>
      <c r="EPM24" s="93"/>
      <c r="EPN24" s="93"/>
      <c r="EPO24" s="93"/>
      <c r="EPP24" s="93"/>
      <c r="EPQ24" s="93"/>
      <c r="EPR24" s="93"/>
      <c r="EPS24" s="93"/>
      <c r="EPT24" s="93"/>
      <c r="EPU24" s="93"/>
      <c r="EPV24" s="93"/>
      <c r="EPW24" s="93"/>
      <c r="EPX24" s="93"/>
      <c r="EPY24" s="93"/>
      <c r="EPZ24" s="93"/>
      <c r="EQA24" s="93"/>
      <c r="EQB24" s="93"/>
      <c r="EQC24" s="93"/>
      <c r="EQD24" s="93"/>
      <c r="EQE24" s="93"/>
      <c r="EQF24" s="93"/>
      <c r="EQG24" s="93"/>
      <c r="EQH24" s="93"/>
      <c r="EQI24" s="93"/>
      <c r="EQJ24" s="93"/>
      <c r="EQK24" s="93"/>
      <c r="EQL24" s="93"/>
      <c r="EQM24" s="93"/>
      <c r="EQN24" s="93"/>
      <c r="EQO24" s="93"/>
      <c r="EQP24" s="93"/>
      <c r="EQQ24" s="93"/>
      <c r="EQR24" s="93"/>
      <c r="EQS24" s="93"/>
      <c r="EQT24" s="93"/>
      <c r="EQU24" s="93"/>
      <c r="EQV24" s="93"/>
      <c r="EQW24" s="93"/>
      <c r="EQX24" s="93"/>
      <c r="EQY24" s="93"/>
      <c r="EQZ24" s="93"/>
      <c r="ERA24" s="93"/>
      <c r="ERB24" s="93"/>
      <c r="ERC24" s="93"/>
      <c r="ERD24" s="93"/>
      <c r="ERE24" s="93"/>
      <c r="ERF24" s="93"/>
      <c r="ERG24" s="93"/>
      <c r="ERH24" s="93"/>
      <c r="ERI24" s="93"/>
      <c r="ERJ24" s="93"/>
      <c r="ERK24" s="93"/>
      <c r="ERL24" s="93"/>
      <c r="ERM24" s="93"/>
      <c r="ERN24" s="93"/>
      <c r="ERO24" s="93"/>
      <c r="ERP24" s="93"/>
      <c r="ERQ24" s="93"/>
      <c r="ERR24" s="93"/>
      <c r="ERS24" s="93"/>
      <c r="ERT24" s="93"/>
      <c r="ERU24" s="93"/>
      <c r="ERV24" s="93"/>
      <c r="ERW24" s="93"/>
      <c r="ERX24" s="93"/>
      <c r="ERY24" s="93"/>
      <c r="ERZ24" s="93"/>
      <c r="ESA24" s="93"/>
      <c r="ESB24" s="93"/>
      <c r="ESC24" s="93"/>
      <c r="ESD24" s="93"/>
      <c r="ESE24" s="93"/>
      <c r="ESF24" s="93"/>
      <c r="ESG24" s="93"/>
      <c r="ESH24" s="93"/>
      <c r="ESI24" s="93"/>
      <c r="ESJ24" s="93"/>
      <c r="ESK24" s="93"/>
      <c r="ESL24" s="93"/>
      <c r="ESM24" s="93"/>
      <c r="ESN24" s="93"/>
      <c r="ESO24" s="93"/>
      <c r="ESP24" s="93"/>
      <c r="ESQ24" s="93"/>
      <c r="ESR24" s="93"/>
      <c r="ESS24" s="93"/>
      <c r="EST24" s="93"/>
      <c r="ESU24" s="93"/>
      <c r="ESV24" s="93"/>
      <c r="ESW24" s="93"/>
      <c r="ESX24" s="93"/>
      <c r="ESY24" s="93"/>
      <c r="ESZ24" s="93"/>
      <c r="ETA24" s="93"/>
      <c r="ETB24" s="93"/>
      <c r="ETC24" s="93"/>
      <c r="ETD24" s="93"/>
      <c r="ETE24" s="93"/>
      <c r="ETF24" s="93"/>
      <c r="ETG24" s="93"/>
      <c r="ETH24" s="93"/>
      <c r="ETI24" s="93"/>
      <c r="ETJ24" s="93"/>
      <c r="ETK24" s="93"/>
      <c r="ETL24" s="93"/>
      <c r="ETM24" s="93"/>
      <c r="ETN24" s="93"/>
      <c r="ETO24" s="93"/>
      <c r="ETP24" s="93"/>
      <c r="ETQ24" s="93"/>
      <c r="ETR24" s="93"/>
      <c r="ETS24" s="93"/>
      <c r="ETT24" s="93"/>
      <c r="ETU24" s="93"/>
      <c r="ETV24" s="93"/>
      <c r="ETW24" s="93"/>
      <c r="ETX24" s="93"/>
      <c r="ETY24" s="93"/>
      <c r="ETZ24" s="93"/>
      <c r="EUA24" s="93"/>
      <c r="EUB24" s="93"/>
      <c r="EUC24" s="93"/>
      <c r="EUD24" s="93"/>
      <c r="EUE24" s="93"/>
      <c r="EUF24" s="93"/>
      <c r="EUG24" s="93"/>
      <c r="EUH24" s="93"/>
      <c r="EUI24" s="93"/>
      <c r="EUJ24" s="93"/>
      <c r="EUK24" s="93"/>
      <c r="EUL24" s="93"/>
      <c r="EUM24" s="93"/>
      <c r="EUN24" s="93"/>
      <c r="EUO24" s="93"/>
      <c r="EUP24" s="93"/>
      <c r="EUQ24" s="93"/>
      <c r="EUR24" s="93"/>
      <c r="EUS24" s="93"/>
      <c r="EUT24" s="93"/>
      <c r="EUU24" s="93"/>
      <c r="EUV24" s="93"/>
      <c r="EUW24" s="93"/>
      <c r="EUX24" s="93"/>
      <c r="EUY24" s="93"/>
      <c r="EUZ24" s="93"/>
      <c r="EVA24" s="93"/>
      <c r="EVB24" s="93"/>
      <c r="EVC24" s="93"/>
      <c r="EVD24" s="93"/>
      <c r="EVE24" s="93"/>
      <c r="EVF24" s="93"/>
      <c r="EVG24" s="93"/>
      <c r="EVH24" s="93"/>
      <c r="EVI24" s="93"/>
      <c r="EVJ24" s="93"/>
      <c r="EVK24" s="93"/>
      <c r="EVL24" s="93"/>
      <c r="EVM24" s="93"/>
      <c r="EVN24" s="93"/>
      <c r="EVO24" s="93"/>
      <c r="EVP24" s="93"/>
      <c r="EVQ24" s="93"/>
      <c r="EVR24" s="93"/>
      <c r="EVS24" s="93"/>
      <c r="EVT24" s="93"/>
      <c r="EVU24" s="93"/>
      <c r="EVV24" s="93"/>
      <c r="EVW24" s="93"/>
      <c r="EVX24" s="93"/>
      <c r="EVY24" s="93"/>
      <c r="EVZ24" s="93"/>
      <c r="EWA24" s="93"/>
      <c r="EWB24" s="93"/>
      <c r="EWC24" s="93"/>
      <c r="EWD24" s="93"/>
      <c r="EWE24" s="93"/>
      <c r="EWF24" s="93"/>
      <c r="EWG24" s="93"/>
      <c r="EWH24" s="93"/>
      <c r="EWI24" s="93"/>
      <c r="EWJ24" s="93"/>
      <c r="EWK24" s="93"/>
      <c r="EWL24" s="93"/>
      <c r="EWM24" s="93"/>
      <c r="EWN24" s="93"/>
      <c r="EWO24" s="93"/>
      <c r="EWP24" s="93"/>
      <c r="EWQ24" s="93"/>
      <c r="EWR24" s="93"/>
      <c r="EWS24" s="93"/>
      <c r="EWT24" s="93"/>
      <c r="EWU24" s="93"/>
      <c r="EWV24" s="93"/>
      <c r="EWW24" s="93"/>
      <c r="EWX24" s="93"/>
      <c r="EWY24" s="93"/>
      <c r="EWZ24" s="93"/>
      <c r="EXA24" s="93"/>
      <c r="EXB24" s="93"/>
      <c r="EXC24" s="93"/>
      <c r="EXD24" s="93"/>
      <c r="EXE24" s="93"/>
      <c r="EXF24" s="93"/>
      <c r="EXG24" s="93"/>
      <c r="EXH24" s="93"/>
      <c r="EXI24" s="93"/>
      <c r="EXJ24" s="93"/>
      <c r="EXK24" s="93"/>
      <c r="EXL24" s="93"/>
      <c r="EXM24" s="93"/>
      <c r="EXN24" s="93"/>
      <c r="EXO24" s="93"/>
      <c r="EXP24" s="93"/>
      <c r="EXQ24" s="93"/>
      <c r="EXR24" s="93"/>
      <c r="EXS24" s="93"/>
      <c r="EXT24" s="93"/>
      <c r="EXU24" s="93"/>
      <c r="EXV24" s="93"/>
      <c r="EXW24" s="93"/>
      <c r="EXX24" s="93"/>
      <c r="EXY24" s="93"/>
      <c r="EXZ24" s="93"/>
      <c r="EYA24" s="93"/>
      <c r="EYB24" s="93"/>
      <c r="EYC24" s="93"/>
      <c r="EYD24" s="93"/>
      <c r="EYE24" s="93"/>
      <c r="EYF24" s="93"/>
      <c r="EYG24" s="93"/>
      <c r="EYH24" s="93"/>
      <c r="EYI24" s="93"/>
      <c r="EYJ24" s="93"/>
      <c r="EYK24" s="93"/>
      <c r="EYL24" s="93"/>
      <c r="EYM24" s="93"/>
      <c r="EYN24" s="93"/>
      <c r="EYO24" s="93"/>
      <c r="EYP24" s="93"/>
      <c r="EYQ24" s="93"/>
      <c r="EYR24" s="93"/>
      <c r="EYS24" s="93"/>
      <c r="EYT24" s="93"/>
      <c r="EYU24" s="93"/>
      <c r="EYV24" s="93"/>
      <c r="EYW24" s="93"/>
      <c r="EYX24" s="93"/>
      <c r="EYY24" s="93"/>
      <c r="EYZ24" s="93"/>
      <c r="EZA24" s="93"/>
      <c r="EZB24" s="93"/>
      <c r="EZC24" s="93"/>
      <c r="EZD24" s="93"/>
      <c r="EZE24" s="93"/>
      <c r="EZF24" s="93"/>
      <c r="EZG24" s="93"/>
      <c r="EZH24" s="93"/>
      <c r="EZI24" s="93"/>
      <c r="EZJ24" s="93"/>
      <c r="EZK24" s="93"/>
      <c r="EZL24" s="93"/>
      <c r="EZM24" s="93"/>
      <c r="EZN24" s="93"/>
      <c r="EZO24" s="93"/>
      <c r="EZP24" s="93"/>
      <c r="EZQ24" s="93"/>
      <c r="EZR24" s="93"/>
      <c r="EZS24" s="93"/>
      <c r="EZT24" s="93"/>
      <c r="EZU24" s="93"/>
      <c r="EZV24" s="93"/>
      <c r="EZW24" s="93"/>
      <c r="EZX24" s="93"/>
      <c r="EZY24" s="93"/>
      <c r="EZZ24" s="93"/>
      <c r="FAA24" s="93"/>
      <c r="FAB24" s="93"/>
      <c r="FAC24" s="93"/>
      <c r="FAD24" s="93"/>
      <c r="FAE24" s="93"/>
      <c r="FAF24" s="93"/>
      <c r="FAG24" s="93"/>
      <c r="FAH24" s="93"/>
      <c r="FAI24" s="93"/>
      <c r="FAJ24" s="93"/>
      <c r="FAK24" s="93"/>
      <c r="FAL24" s="93"/>
      <c r="FAM24" s="93"/>
      <c r="FAN24" s="93"/>
      <c r="FAO24" s="93"/>
      <c r="FAP24" s="93"/>
      <c r="FAQ24" s="93"/>
      <c r="FAR24" s="93"/>
      <c r="FAS24" s="93"/>
      <c r="FAT24" s="93"/>
      <c r="FAU24" s="93"/>
      <c r="FAV24" s="93"/>
      <c r="FAW24" s="93"/>
      <c r="FAX24" s="93"/>
      <c r="FAY24" s="93"/>
      <c r="FAZ24" s="93"/>
      <c r="FBA24" s="93"/>
      <c r="FBB24" s="93"/>
      <c r="FBC24" s="93"/>
      <c r="FBD24" s="93"/>
      <c r="FBE24" s="93"/>
      <c r="FBF24" s="93"/>
      <c r="FBG24" s="93"/>
      <c r="FBH24" s="93"/>
      <c r="FBI24" s="93"/>
      <c r="FBJ24" s="93"/>
      <c r="FBK24" s="93"/>
      <c r="FBL24" s="93"/>
      <c r="FBM24" s="93"/>
      <c r="FBN24" s="93"/>
      <c r="FBO24" s="93"/>
      <c r="FBP24" s="93"/>
      <c r="FBQ24" s="93"/>
      <c r="FBR24" s="93"/>
      <c r="FBS24" s="93"/>
      <c r="FBT24" s="93"/>
      <c r="FBU24" s="93"/>
      <c r="FBV24" s="93"/>
      <c r="FBW24" s="93"/>
      <c r="FBX24" s="93"/>
      <c r="FBY24" s="93"/>
      <c r="FBZ24" s="93"/>
      <c r="FCA24" s="93"/>
      <c r="FCB24" s="93"/>
      <c r="FCC24" s="93"/>
      <c r="FCD24" s="93"/>
      <c r="FCE24" s="93"/>
      <c r="FCF24" s="93"/>
      <c r="FCG24" s="93"/>
      <c r="FCH24" s="93"/>
      <c r="FCI24" s="93"/>
      <c r="FCJ24" s="93"/>
      <c r="FCK24" s="93"/>
      <c r="FCL24" s="93"/>
      <c r="FCM24" s="93"/>
      <c r="FCN24" s="93"/>
      <c r="FCO24" s="93"/>
      <c r="FCP24" s="93"/>
      <c r="FCQ24" s="93"/>
      <c r="FCR24" s="93"/>
      <c r="FCS24" s="93"/>
      <c r="FCT24" s="93"/>
      <c r="FCU24" s="93"/>
      <c r="FCV24" s="93"/>
      <c r="FCW24" s="93"/>
      <c r="FCX24" s="93"/>
      <c r="FCY24" s="93"/>
      <c r="FCZ24" s="93"/>
      <c r="FDA24" s="93"/>
      <c r="FDB24" s="93"/>
      <c r="FDC24" s="93"/>
      <c r="FDD24" s="93"/>
      <c r="FDE24" s="93"/>
      <c r="FDF24" s="93"/>
      <c r="FDG24" s="93"/>
      <c r="FDH24" s="93"/>
      <c r="FDI24" s="93"/>
      <c r="FDJ24" s="93"/>
      <c r="FDK24" s="93"/>
      <c r="FDL24" s="93"/>
      <c r="FDM24" s="93"/>
      <c r="FDN24" s="93"/>
      <c r="FDO24" s="93"/>
      <c r="FDP24" s="93"/>
      <c r="FDQ24" s="93"/>
      <c r="FDR24" s="93"/>
      <c r="FDS24" s="93"/>
      <c r="FDT24" s="93"/>
      <c r="FDU24" s="93"/>
      <c r="FDV24" s="93"/>
      <c r="FDW24" s="93"/>
      <c r="FDX24" s="93"/>
      <c r="FDY24" s="93"/>
      <c r="FDZ24" s="93"/>
      <c r="FEA24" s="93"/>
      <c r="FEB24" s="93"/>
      <c r="FEC24" s="93"/>
      <c r="FED24" s="93"/>
      <c r="FEE24" s="93"/>
      <c r="FEF24" s="93"/>
      <c r="FEG24" s="93"/>
      <c r="FEH24" s="93"/>
      <c r="FEI24" s="93"/>
      <c r="FEJ24" s="93"/>
      <c r="FEK24" s="93"/>
      <c r="FEL24" s="93"/>
      <c r="FEM24" s="93"/>
      <c r="FEN24" s="93"/>
      <c r="FEO24" s="93"/>
      <c r="FEP24" s="93"/>
      <c r="FEQ24" s="93"/>
      <c r="FER24" s="93"/>
      <c r="FES24" s="93"/>
      <c r="FET24" s="93"/>
      <c r="FEU24" s="93"/>
      <c r="FEV24" s="93"/>
      <c r="FEW24" s="93"/>
      <c r="FEX24" s="93"/>
      <c r="FEY24" s="93"/>
      <c r="FEZ24" s="93"/>
      <c r="FFA24" s="93"/>
      <c r="FFB24" s="93"/>
      <c r="FFC24" s="93"/>
      <c r="FFD24" s="93"/>
      <c r="FFE24" s="93"/>
      <c r="FFF24" s="93"/>
      <c r="FFG24" s="93"/>
      <c r="FFH24" s="93"/>
      <c r="FFI24" s="93"/>
      <c r="FFJ24" s="93"/>
      <c r="FFK24" s="93"/>
      <c r="FFL24" s="93"/>
      <c r="FFM24" s="93"/>
      <c r="FFN24" s="93"/>
      <c r="FFO24" s="93"/>
      <c r="FFP24" s="93"/>
      <c r="FFQ24" s="93"/>
      <c r="FFR24" s="93"/>
      <c r="FFS24" s="93"/>
      <c r="FFT24" s="93"/>
      <c r="FFU24" s="93"/>
      <c r="FFV24" s="93"/>
      <c r="FFW24" s="93"/>
      <c r="FFX24" s="93"/>
      <c r="FFY24" s="93"/>
      <c r="FFZ24" s="93"/>
      <c r="FGA24" s="93"/>
      <c r="FGB24" s="93"/>
      <c r="FGC24" s="93"/>
      <c r="FGD24" s="93"/>
      <c r="FGE24" s="93"/>
      <c r="FGF24" s="93"/>
      <c r="FGG24" s="93"/>
      <c r="FGH24" s="93"/>
      <c r="FGI24" s="93"/>
      <c r="FGJ24" s="93"/>
      <c r="FGK24" s="93"/>
      <c r="FGL24" s="93"/>
      <c r="FGM24" s="93"/>
      <c r="FGN24" s="93"/>
      <c r="FGO24" s="93"/>
      <c r="FGP24" s="93"/>
      <c r="FGQ24" s="93"/>
      <c r="FGR24" s="93"/>
      <c r="FGS24" s="93"/>
      <c r="FGT24" s="93"/>
      <c r="FGU24" s="93"/>
      <c r="FGV24" s="93"/>
      <c r="FGW24" s="93"/>
      <c r="FGX24" s="93"/>
      <c r="FGY24" s="93"/>
      <c r="FGZ24" s="93"/>
      <c r="FHA24" s="93"/>
      <c r="FHB24" s="93"/>
      <c r="FHC24" s="93"/>
      <c r="FHD24" s="93"/>
      <c r="FHE24" s="93"/>
      <c r="FHF24" s="93"/>
      <c r="FHG24" s="93"/>
      <c r="FHH24" s="93"/>
      <c r="FHI24" s="93"/>
      <c r="FHJ24" s="93"/>
      <c r="FHK24" s="93"/>
      <c r="FHL24" s="93"/>
      <c r="FHM24" s="93"/>
      <c r="FHN24" s="93"/>
      <c r="FHO24" s="93"/>
      <c r="FHP24" s="93"/>
      <c r="FHQ24" s="93"/>
      <c r="FHR24" s="93"/>
      <c r="FHS24" s="93"/>
      <c r="FHT24" s="93"/>
      <c r="FHU24" s="93"/>
      <c r="FHV24" s="93"/>
      <c r="FHW24" s="93"/>
      <c r="FHX24" s="93"/>
      <c r="FHY24" s="93"/>
      <c r="FHZ24" s="93"/>
      <c r="FIA24" s="93"/>
      <c r="FIB24" s="93"/>
      <c r="FIC24" s="93"/>
      <c r="FID24" s="93"/>
      <c r="FIE24" s="93"/>
      <c r="FIF24" s="93"/>
      <c r="FIG24" s="93"/>
      <c r="FIH24" s="93"/>
      <c r="FII24" s="93"/>
      <c r="FIJ24" s="93"/>
      <c r="FIK24" s="93"/>
      <c r="FIL24" s="93"/>
      <c r="FIM24" s="93"/>
      <c r="FIN24" s="93"/>
      <c r="FIO24" s="93"/>
      <c r="FIP24" s="93"/>
      <c r="FIQ24" s="93"/>
      <c r="FIR24" s="93"/>
      <c r="FIS24" s="93"/>
      <c r="FIT24" s="93"/>
      <c r="FIU24" s="93"/>
      <c r="FIV24" s="93"/>
      <c r="FIW24" s="93"/>
      <c r="FIX24" s="93"/>
      <c r="FIY24" s="93"/>
      <c r="FIZ24" s="93"/>
      <c r="FJA24" s="93"/>
      <c r="FJB24" s="93"/>
      <c r="FJC24" s="93"/>
      <c r="FJD24" s="93"/>
      <c r="FJE24" s="93"/>
      <c r="FJF24" s="93"/>
      <c r="FJG24" s="93"/>
      <c r="FJH24" s="93"/>
      <c r="FJI24" s="93"/>
      <c r="FJJ24" s="93"/>
      <c r="FJK24" s="93"/>
      <c r="FJL24" s="93"/>
      <c r="FJM24" s="93"/>
      <c r="FJN24" s="93"/>
      <c r="FJO24" s="93"/>
      <c r="FJP24" s="93"/>
      <c r="FJQ24" s="93"/>
      <c r="FJR24" s="93"/>
      <c r="FJS24" s="93"/>
      <c r="FJT24" s="93"/>
      <c r="FJU24" s="93"/>
      <c r="FJV24" s="93"/>
      <c r="FJW24" s="93"/>
      <c r="FJX24" s="93"/>
      <c r="FJY24" s="93"/>
      <c r="FJZ24" s="93"/>
      <c r="FKA24" s="93"/>
      <c r="FKB24" s="93"/>
      <c r="FKC24" s="93"/>
      <c r="FKD24" s="93"/>
      <c r="FKE24" s="93"/>
      <c r="FKF24" s="93"/>
      <c r="FKG24" s="93"/>
      <c r="FKH24" s="93"/>
      <c r="FKI24" s="93"/>
      <c r="FKJ24" s="93"/>
      <c r="FKK24" s="93"/>
      <c r="FKL24" s="93"/>
      <c r="FKM24" s="93"/>
      <c r="FKN24" s="93"/>
      <c r="FKO24" s="93"/>
      <c r="FKP24" s="93"/>
      <c r="FKQ24" s="93"/>
      <c r="FKR24" s="93"/>
      <c r="FKS24" s="93"/>
      <c r="FKT24" s="93"/>
      <c r="FKU24" s="93"/>
      <c r="FKV24" s="93"/>
      <c r="FKW24" s="93"/>
      <c r="FKX24" s="93"/>
      <c r="FKY24" s="93"/>
      <c r="FKZ24" s="93"/>
      <c r="FLA24" s="93"/>
      <c r="FLB24" s="93"/>
      <c r="FLC24" s="93"/>
      <c r="FLD24" s="93"/>
      <c r="FLE24" s="93"/>
      <c r="FLF24" s="93"/>
      <c r="FLG24" s="93"/>
      <c r="FLH24" s="93"/>
      <c r="FLI24" s="93"/>
      <c r="FLJ24" s="93"/>
      <c r="FLK24" s="93"/>
      <c r="FLL24" s="93"/>
      <c r="FLM24" s="93"/>
      <c r="FLN24" s="93"/>
      <c r="FLO24" s="93"/>
      <c r="FLP24" s="93"/>
      <c r="FLQ24" s="93"/>
      <c r="FLR24" s="93"/>
      <c r="FLS24" s="93"/>
      <c r="FLT24" s="93"/>
      <c r="FLU24" s="93"/>
      <c r="FLV24" s="93"/>
      <c r="FLW24" s="93"/>
      <c r="FLX24" s="93"/>
      <c r="FLY24" s="93"/>
      <c r="FLZ24" s="93"/>
      <c r="FMA24" s="93"/>
      <c r="FMB24" s="93"/>
      <c r="FMC24" s="93"/>
      <c r="FMD24" s="93"/>
      <c r="FME24" s="93"/>
      <c r="FMF24" s="93"/>
      <c r="FMG24" s="93"/>
      <c r="FMH24" s="93"/>
      <c r="FMI24" s="93"/>
      <c r="FMJ24" s="93"/>
      <c r="FMK24" s="93"/>
      <c r="FML24" s="93"/>
      <c r="FMM24" s="93"/>
      <c r="FMN24" s="93"/>
      <c r="FMO24" s="93"/>
      <c r="FMP24" s="93"/>
      <c r="FMQ24" s="93"/>
      <c r="FMR24" s="93"/>
      <c r="FMS24" s="93"/>
      <c r="FMT24" s="93"/>
      <c r="FMU24" s="93"/>
      <c r="FMV24" s="93"/>
      <c r="FMW24" s="93"/>
      <c r="FMX24" s="93"/>
      <c r="FMY24" s="93"/>
      <c r="FMZ24" s="93"/>
      <c r="FNA24" s="93"/>
      <c r="FNB24" s="93"/>
      <c r="FNC24" s="93"/>
      <c r="FND24" s="93"/>
      <c r="FNE24" s="93"/>
      <c r="FNF24" s="93"/>
      <c r="FNG24" s="93"/>
      <c r="FNH24" s="93"/>
      <c r="FNI24" s="93"/>
      <c r="FNJ24" s="93"/>
      <c r="FNK24" s="93"/>
      <c r="FNL24" s="93"/>
      <c r="FNM24" s="93"/>
      <c r="FNN24" s="93"/>
      <c r="FNO24" s="93"/>
      <c r="FNP24" s="93"/>
      <c r="FNQ24" s="93"/>
      <c r="FNR24" s="93"/>
      <c r="FNS24" s="93"/>
      <c r="FNT24" s="93"/>
      <c r="FNU24" s="93"/>
      <c r="FNV24" s="93"/>
      <c r="FNW24" s="93"/>
      <c r="FNX24" s="93"/>
      <c r="FNY24" s="93"/>
      <c r="FNZ24" s="93"/>
      <c r="FOA24" s="93"/>
      <c r="FOB24" s="93"/>
      <c r="FOC24" s="93"/>
      <c r="FOD24" s="93"/>
      <c r="FOE24" s="93"/>
      <c r="FOF24" s="93"/>
      <c r="FOG24" s="93"/>
      <c r="FOH24" s="93"/>
      <c r="FOI24" s="93"/>
      <c r="FOJ24" s="93"/>
      <c r="FOK24" s="93"/>
      <c r="FOL24" s="93"/>
      <c r="FOM24" s="93"/>
      <c r="FON24" s="93"/>
      <c r="FOO24" s="93"/>
      <c r="FOP24" s="93"/>
      <c r="FOQ24" s="93"/>
      <c r="FOR24" s="93"/>
      <c r="FOS24" s="93"/>
      <c r="FOT24" s="93"/>
      <c r="FOU24" s="93"/>
      <c r="FOV24" s="93"/>
      <c r="FOW24" s="93"/>
      <c r="FOX24" s="93"/>
      <c r="FOY24" s="93"/>
      <c r="FOZ24" s="93"/>
      <c r="FPA24" s="93"/>
      <c r="FPB24" s="93"/>
      <c r="FPC24" s="93"/>
      <c r="FPD24" s="93"/>
      <c r="FPE24" s="93"/>
      <c r="FPF24" s="93"/>
      <c r="FPG24" s="93"/>
      <c r="FPH24" s="93"/>
      <c r="FPI24" s="93"/>
      <c r="FPJ24" s="93"/>
      <c r="FPK24" s="93"/>
      <c r="FPL24" s="93"/>
      <c r="FPM24" s="93"/>
      <c r="FPN24" s="93"/>
      <c r="FPO24" s="93"/>
      <c r="FPP24" s="93"/>
      <c r="FPQ24" s="93"/>
      <c r="FPR24" s="93"/>
      <c r="FPS24" s="93"/>
      <c r="FPT24" s="93"/>
      <c r="FPU24" s="93"/>
      <c r="FPV24" s="93"/>
      <c r="FPW24" s="93"/>
      <c r="FPX24" s="93"/>
      <c r="FPY24" s="93"/>
      <c r="FPZ24" s="93"/>
      <c r="FQA24" s="93"/>
      <c r="FQB24" s="93"/>
      <c r="FQC24" s="93"/>
      <c r="FQD24" s="93"/>
      <c r="FQE24" s="93"/>
      <c r="FQF24" s="93"/>
      <c r="FQG24" s="93"/>
      <c r="FQH24" s="93"/>
      <c r="FQI24" s="93"/>
      <c r="FQJ24" s="93"/>
      <c r="FQK24" s="93"/>
      <c r="FQL24" s="93"/>
      <c r="FQM24" s="93"/>
      <c r="FQN24" s="93"/>
      <c r="FQO24" s="93"/>
      <c r="FQP24" s="93"/>
      <c r="FQQ24" s="93"/>
      <c r="FQR24" s="93"/>
      <c r="FQS24" s="93"/>
      <c r="FQT24" s="93"/>
      <c r="FQU24" s="93"/>
      <c r="FQV24" s="93"/>
      <c r="FQW24" s="93"/>
      <c r="FQX24" s="93"/>
      <c r="FQY24" s="93"/>
      <c r="FQZ24" s="93"/>
      <c r="FRA24" s="93"/>
      <c r="FRB24" s="93"/>
      <c r="FRC24" s="93"/>
      <c r="FRD24" s="93"/>
      <c r="FRE24" s="93"/>
      <c r="FRF24" s="93"/>
      <c r="FRG24" s="93"/>
      <c r="FRH24" s="93"/>
      <c r="FRI24" s="93"/>
      <c r="FRJ24" s="93"/>
      <c r="FRK24" s="93"/>
      <c r="FRL24" s="93"/>
      <c r="FRM24" s="93"/>
      <c r="FRN24" s="93"/>
      <c r="FRO24" s="93"/>
      <c r="FRP24" s="93"/>
      <c r="FRQ24" s="93"/>
      <c r="FRR24" s="93"/>
      <c r="FRS24" s="93"/>
      <c r="FRT24" s="93"/>
      <c r="FRU24" s="93"/>
      <c r="FRV24" s="93"/>
      <c r="FRW24" s="93"/>
      <c r="FRX24" s="93"/>
      <c r="FRY24" s="93"/>
      <c r="FRZ24" s="93"/>
      <c r="FSA24" s="93"/>
      <c r="FSB24" s="93"/>
      <c r="FSC24" s="93"/>
      <c r="FSD24" s="93"/>
      <c r="FSE24" s="93"/>
      <c r="FSF24" s="93"/>
      <c r="FSG24" s="93"/>
      <c r="FSH24" s="93"/>
      <c r="FSI24" s="93"/>
      <c r="FSJ24" s="93"/>
      <c r="FSK24" s="93"/>
      <c r="FSL24" s="93"/>
      <c r="FSM24" s="93"/>
      <c r="FSN24" s="93"/>
      <c r="FSO24" s="93"/>
      <c r="FSP24" s="93"/>
      <c r="FSQ24" s="93"/>
      <c r="FSR24" s="93"/>
      <c r="FSS24" s="93"/>
      <c r="FST24" s="93"/>
      <c r="FSU24" s="93"/>
      <c r="FSV24" s="93"/>
      <c r="FSW24" s="93"/>
      <c r="FSX24" s="93"/>
      <c r="FSY24" s="93"/>
      <c r="FSZ24" s="93"/>
      <c r="FTA24" s="93"/>
      <c r="FTB24" s="93"/>
      <c r="FTC24" s="93"/>
      <c r="FTD24" s="93"/>
      <c r="FTE24" s="93"/>
      <c r="FTF24" s="93"/>
      <c r="FTG24" s="93"/>
      <c r="FTH24" s="93"/>
      <c r="FTI24" s="93"/>
      <c r="FTJ24" s="93"/>
      <c r="FTK24" s="93"/>
      <c r="FTL24" s="93"/>
      <c r="FTM24" s="93"/>
      <c r="FTN24" s="93"/>
      <c r="FTO24" s="93"/>
      <c r="FTP24" s="93"/>
      <c r="FTQ24" s="93"/>
      <c r="FTR24" s="93"/>
      <c r="FTS24" s="93"/>
      <c r="FTT24" s="93"/>
      <c r="FTU24" s="93"/>
      <c r="FTV24" s="93"/>
      <c r="FTW24" s="93"/>
      <c r="FTX24" s="93"/>
      <c r="FTY24" s="93"/>
      <c r="FTZ24" s="93"/>
      <c r="FUA24" s="93"/>
      <c r="FUB24" s="93"/>
      <c r="FUC24" s="93"/>
      <c r="FUD24" s="93"/>
      <c r="FUE24" s="93"/>
      <c r="FUF24" s="93"/>
      <c r="FUG24" s="93"/>
      <c r="FUH24" s="93"/>
      <c r="FUI24" s="93"/>
      <c r="FUJ24" s="93"/>
      <c r="FUK24" s="93"/>
      <c r="FUL24" s="93"/>
      <c r="FUM24" s="93"/>
      <c r="FUN24" s="93"/>
      <c r="FUO24" s="93"/>
      <c r="FUP24" s="93"/>
      <c r="FUQ24" s="93"/>
      <c r="FUR24" s="93"/>
      <c r="FUS24" s="93"/>
      <c r="FUT24" s="93"/>
      <c r="FUU24" s="93"/>
      <c r="FUV24" s="93"/>
      <c r="FUW24" s="93"/>
      <c r="FUX24" s="93"/>
      <c r="FUY24" s="93"/>
      <c r="FUZ24" s="93"/>
      <c r="FVA24" s="93"/>
      <c r="FVB24" s="93"/>
      <c r="FVC24" s="93"/>
      <c r="FVD24" s="93"/>
      <c r="FVE24" s="93"/>
      <c r="FVF24" s="93"/>
      <c r="FVG24" s="93"/>
      <c r="FVH24" s="93"/>
      <c r="FVI24" s="93"/>
      <c r="FVJ24" s="93"/>
      <c r="FVK24" s="93"/>
      <c r="FVL24" s="93"/>
      <c r="FVM24" s="93"/>
      <c r="FVN24" s="93"/>
      <c r="FVO24" s="93"/>
      <c r="FVP24" s="93"/>
      <c r="FVQ24" s="93"/>
      <c r="FVR24" s="93"/>
      <c r="FVS24" s="93"/>
      <c r="FVT24" s="93"/>
      <c r="FVU24" s="93"/>
      <c r="FVV24" s="93"/>
      <c r="FVW24" s="93"/>
      <c r="FVX24" s="93"/>
      <c r="FVY24" s="93"/>
      <c r="FVZ24" s="93"/>
      <c r="FWA24" s="93"/>
      <c r="FWB24" s="93"/>
      <c r="FWC24" s="93"/>
      <c r="FWD24" s="93"/>
      <c r="FWE24" s="93"/>
      <c r="FWF24" s="93"/>
      <c r="FWG24" s="93"/>
      <c r="FWH24" s="93"/>
      <c r="FWI24" s="93"/>
      <c r="FWJ24" s="93"/>
      <c r="FWK24" s="93"/>
      <c r="FWL24" s="93"/>
      <c r="FWM24" s="93"/>
      <c r="FWN24" s="93"/>
      <c r="FWO24" s="93"/>
      <c r="FWP24" s="93"/>
      <c r="FWQ24" s="93"/>
      <c r="FWR24" s="93"/>
      <c r="FWS24" s="93"/>
      <c r="FWT24" s="93"/>
      <c r="FWU24" s="93"/>
      <c r="FWV24" s="93"/>
      <c r="FWW24" s="93"/>
      <c r="FWX24" s="93"/>
      <c r="FWY24" s="93"/>
      <c r="FWZ24" s="93"/>
      <c r="FXA24" s="93"/>
      <c r="FXB24" s="93"/>
      <c r="FXC24" s="93"/>
      <c r="FXD24" s="93"/>
      <c r="FXE24" s="93"/>
      <c r="FXF24" s="93"/>
      <c r="FXG24" s="93"/>
      <c r="FXH24" s="93"/>
      <c r="FXI24" s="93"/>
      <c r="FXJ24" s="93"/>
      <c r="FXK24" s="93"/>
      <c r="FXL24" s="93"/>
      <c r="FXM24" s="93"/>
      <c r="FXN24" s="93"/>
      <c r="FXO24" s="93"/>
      <c r="FXP24" s="93"/>
      <c r="FXQ24" s="93"/>
      <c r="FXR24" s="93"/>
      <c r="FXS24" s="93"/>
      <c r="FXT24" s="93"/>
      <c r="FXU24" s="93"/>
      <c r="FXV24" s="93"/>
      <c r="FXW24" s="93"/>
      <c r="FXX24" s="93"/>
      <c r="FXY24" s="93"/>
      <c r="FXZ24" s="93"/>
      <c r="FYA24" s="93"/>
      <c r="FYB24" s="93"/>
      <c r="FYC24" s="93"/>
      <c r="FYD24" s="93"/>
      <c r="FYE24" s="93"/>
      <c r="FYF24" s="93"/>
      <c r="FYG24" s="93"/>
      <c r="FYH24" s="93"/>
      <c r="FYI24" s="93"/>
      <c r="FYJ24" s="93"/>
      <c r="FYK24" s="93"/>
      <c r="FYL24" s="93"/>
      <c r="FYM24" s="93"/>
      <c r="FYN24" s="93"/>
      <c r="FYO24" s="93"/>
      <c r="FYP24" s="93"/>
      <c r="FYQ24" s="93"/>
      <c r="FYR24" s="93"/>
      <c r="FYS24" s="93"/>
      <c r="FYT24" s="93"/>
      <c r="FYU24" s="93"/>
      <c r="FYV24" s="93"/>
      <c r="FYW24" s="93"/>
      <c r="FYX24" s="93"/>
      <c r="FYY24" s="93"/>
      <c r="FYZ24" s="93"/>
      <c r="FZA24" s="93"/>
      <c r="FZB24" s="93"/>
      <c r="FZC24" s="93"/>
      <c r="FZD24" s="93"/>
      <c r="FZE24" s="93"/>
      <c r="FZF24" s="93"/>
      <c r="FZG24" s="93"/>
      <c r="FZH24" s="93"/>
      <c r="FZI24" s="93"/>
      <c r="FZJ24" s="93"/>
      <c r="FZK24" s="93"/>
      <c r="FZL24" s="93"/>
      <c r="FZM24" s="93"/>
      <c r="FZN24" s="93"/>
      <c r="FZO24" s="93"/>
      <c r="FZP24" s="93"/>
      <c r="FZQ24" s="93"/>
      <c r="FZR24" s="93"/>
      <c r="FZS24" s="93"/>
      <c r="FZT24" s="93"/>
      <c r="FZU24" s="93"/>
      <c r="FZV24" s="93"/>
      <c r="FZW24" s="93"/>
      <c r="FZX24" s="93"/>
      <c r="FZY24" s="93"/>
      <c r="FZZ24" s="93"/>
      <c r="GAA24" s="93"/>
      <c r="GAB24" s="93"/>
      <c r="GAC24" s="93"/>
      <c r="GAD24" s="93"/>
      <c r="GAE24" s="93"/>
      <c r="GAF24" s="93"/>
      <c r="GAG24" s="93"/>
      <c r="GAH24" s="93"/>
      <c r="GAI24" s="93"/>
      <c r="GAJ24" s="93"/>
      <c r="GAK24" s="93"/>
      <c r="GAL24" s="93"/>
      <c r="GAM24" s="93"/>
      <c r="GAN24" s="93"/>
      <c r="GAO24" s="93"/>
      <c r="GAP24" s="93"/>
      <c r="GAQ24" s="93"/>
      <c r="GAR24" s="93"/>
      <c r="GAS24" s="93"/>
      <c r="GAT24" s="93"/>
      <c r="GAU24" s="93"/>
      <c r="GAV24" s="93"/>
      <c r="GAW24" s="93"/>
      <c r="GAX24" s="93"/>
      <c r="GAY24" s="93"/>
      <c r="GAZ24" s="93"/>
      <c r="GBA24" s="93"/>
      <c r="GBB24" s="93"/>
      <c r="GBC24" s="93"/>
      <c r="GBD24" s="93"/>
      <c r="GBE24" s="93"/>
      <c r="GBF24" s="93"/>
      <c r="GBG24" s="93"/>
      <c r="GBH24" s="93"/>
      <c r="GBI24" s="93"/>
      <c r="GBJ24" s="93"/>
      <c r="GBK24" s="93"/>
      <c r="GBL24" s="93"/>
      <c r="GBM24" s="93"/>
      <c r="GBN24" s="93"/>
      <c r="GBO24" s="93"/>
      <c r="GBP24" s="93"/>
      <c r="GBQ24" s="93"/>
      <c r="GBR24" s="93"/>
      <c r="GBS24" s="93"/>
      <c r="GBT24" s="93"/>
      <c r="GBU24" s="93"/>
      <c r="GBV24" s="93"/>
      <c r="GBW24" s="93"/>
      <c r="GBX24" s="93"/>
      <c r="GBY24" s="93"/>
      <c r="GBZ24" s="93"/>
      <c r="GCA24" s="93"/>
      <c r="GCB24" s="93"/>
      <c r="GCC24" s="93"/>
      <c r="GCD24" s="93"/>
      <c r="GCE24" s="93"/>
      <c r="GCF24" s="93"/>
      <c r="GCG24" s="93"/>
      <c r="GCH24" s="93"/>
      <c r="GCI24" s="93"/>
      <c r="GCJ24" s="93"/>
      <c r="GCK24" s="93"/>
      <c r="GCL24" s="93"/>
      <c r="GCM24" s="93"/>
      <c r="GCN24" s="93"/>
      <c r="GCO24" s="93"/>
      <c r="GCP24" s="93"/>
      <c r="GCQ24" s="93"/>
      <c r="GCR24" s="93"/>
      <c r="GCS24" s="93"/>
      <c r="GCT24" s="93"/>
      <c r="GCU24" s="93"/>
      <c r="GCV24" s="93"/>
      <c r="GCW24" s="93"/>
      <c r="GCX24" s="93"/>
      <c r="GCY24" s="93"/>
      <c r="GCZ24" s="93"/>
      <c r="GDA24" s="93"/>
      <c r="GDB24" s="93"/>
      <c r="GDC24" s="93"/>
      <c r="GDD24" s="93"/>
      <c r="GDE24" s="93"/>
      <c r="GDF24" s="93"/>
      <c r="GDG24" s="93"/>
      <c r="GDH24" s="93"/>
      <c r="GDI24" s="93"/>
      <c r="GDJ24" s="93"/>
      <c r="GDK24" s="93"/>
      <c r="GDL24" s="93"/>
      <c r="GDM24" s="93"/>
      <c r="GDN24" s="93"/>
      <c r="GDO24" s="93"/>
      <c r="GDP24" s="93"/>
      <c r="GDQ24" s="93"/>
      <c r="GDR24" s="93"/>
      <c r="GDS24" s="93"/>
      <c r="GDT24" s="93"/>
      <c r="GDU24" s="93"/>
      <c r="GDV24" s="93"/>
      <c r="GDW24" s="93"/>
      <c r="GDX24" s="93"/>
      <c r="GDY24" s="93"/>
      <c r="GDZ24" s="93"/>
      <c r="GEA24" s="93"/>
      <c r="GEB24" s="93"/>
      <c r="GEC24" s="93"/>
      <c r="GED24" s="93"/>
      <c r="GEE24" s="93"/>
      <c r="GEF24" s="93"/>
      <c r="GEG24" s="93"/>
      <c r="GEH24" s="93"/>
      <c r="GEI24" s="93"/>
      <c r="GEJ24" s="93"/>
      <c r="GEK24" s="93"/>
      <c r="GEL24" s="93"/>
      <c r="GEM24" s="93"/>
      <c r="GEN24" s="93"/>
      <c r="GEO24" s="93"/>
      <c r="GEP24" s="93"/>
      <c r="GEQ24" s="93"/>
      <c r="GER24" s="93"/>
      <c r="GES24" s="93"/>
      <c r="GET24" s="93"/>
      <c r="GEU24" s="93"/>
      <c r="GEV24" s="93"/>
      <c r="GEW24" s="93"/>
      <c r="GEX24" s="93"/>
      <c r="GEY24" s="93"/>
      <c r="GEZ24" s="93"/>
      <c r="GFA24" s="93"/>
      <c r="GFB24" s="93"/>
      <c r="GFC24" s="93"/>
      <c r="GFD24" s="93"/>
      <c r="GFE24" s="93"/>
      <c r="GFF24" s="93"/>
      <c r="GFG24" s="93"/>
      <c r="GFH24" s="93"/>
      <c r="GFI24" s="93"/>
      <c r="GFJ24" s="93"/>
      <c r="GFK24" s="93"/>
      <c r="GFL24" s="93"/>
      <c r="GFM24" s="93"/>
      <c r="GFN24" s="93"/>
      <c r="GFO24" s="93"/>
      <c r="GFP24" s="93"/>
      <c r="GFQ24" s="93"/>
      <c r="GFR24" s="93"/>
      <c r="GFS24" s="93"/>
      <c r="GFT24" s="93"/>
      <c r="GFU24" s="93"/>
      <c r="GFV24" s="93"/>
      <c r="GFW24" s="93"/>
      <c r="GFX24" s="93"/>
      <c r="GFY24" s="93"/>
      <c r="GFZ24" s="93"/>
      <c r="GGA24" s="93"/>
      <c r="GGB24" s="93"/>
      <c r="GGC24" s="93"/>
      <c r="GGD24" s="93"/>
      <c r="GGE24" s="93"/>
      <c r="GGF24" s="93"/>
      <c r="GGG24" s="93"/>
      <c r="GGH24" s="93"/>
      <c r="GGI24" s="93"/>
      <c r="GGJ24" s="93"/>
      <c r="GGK24" s="93"/>
      <c r="GGL24" s="93"/>
      <c r="GGM24" s="93"/>
      <c r="GGN24" s="93"/>
      <c r="GGO24" s="93"/>
      <c r="GGP24" s="93"/>
      <c r="GGQ24" s="93"/>
      <c r="GGR24" s="93"/>
      <c r="GGS24" s="93"/>
      <c r="GGT24" s="93"/>
      <c r="GGU24" s="93"/>
      <c r="GGV24" s="93"/>
      <c r="GGW24" s="93"/>
      <c r="GGX24" s="93"/>
      <c r="GGY24" s="93"/>
      <c r="GGZ24" s="93"/>
      <c r="GHA24" s="93"/>
      <c r="GHB24" s="93"/>
      <c r="GHC24" s="93"/>
      <c r="GHD24" s="93"/>
      <c r="GHE24" s="93"/>
      <c r="GHF24" s="93"/>
      <c r="GHG24" s="93"/>
      <c r="GHH24" s="93"/>
      <c r="GHI24" s="93"/>
      <c r="GHJ24" s="93"/>
      <c r="GHK24" s="93"/>
      <c r="GHL24" s="93"/>
      <c r="GHM24" s="93"/>
      <c r="GHN24" s="93"/>
      <c r="GHO24" s="93"/>
      <c r="GHP24" s="93"/>
      <c r="GHQ24" s="93"/>
      <c r="GHR24" s="93"/>
      <c r="GHS24" s="93"/>
      <c r="GHT24" s="93"/>
      <c r="GHU24" s="93"/>
      <c r="GHV24" s="93"/>
      <c r="GHW24" s="93"/>
      <c r="GHX24" s="93"/>
      <c r="GHY24" s="93"/>
      <c r="GHZ24" s="93"/>
      <c r="GIA24" s="93"/>
      <c r="GIB24" s="93"/>
      <c r="GIC24" s="93"/>
      <c r="GID24" s="93"/>
      <c r="GIE24" s="93"/>
      <c r="GIF24" s="93"/>
      <c r="GIG24" s="93"/>
      <c r="GIH24" s="93"/>
      <c r="GII24" s="93"/>
      <c r="GIJ24" s="93"/>
      <c r="GIK24" s="93"/>
      <c r="GIL24" s="93"/>
      <c r="GIM24" s="93"/>
      <c r="GIN24" s="93"/>
      <c r="GIO24" s="93"/>
      <c r="GIP24" s="93"/>
      <c r="GIQ24" s="93"/>
      <c r="GIR24" s="93"/>
      <c r="GIS24" s="93"/>
      <c r="GIT24" s="93"/>
      <c r="GIU24" s="93"/>
      <c r="GIV24" s="93"/>
      <c r="GIW24" s="93"/>
      <c r="GIX24" s="93"/>
      <c r="GIY24" s="93"/>
      <c r="GIZ24" s="93"/>
      <c r="GJA24" s="93"/>
      <c r="GJB24" s="93"/>
      <c r="GJC24" s="93"/>
      <c r="GJD24" s="93"/>
      <c r="GJE24" s="93"/>
      <c r="GJF24" s="93"/>
      <c r="GJG24" s="93"/>
      <c r="GJH24" s="93"/>
      <c r="GJI24" s="93"/>
      <c r="GJJ24" s="93"/>
      <c r="GJK24" s="93"/>
      <c r="GJL24" s="93"/>
      <c r="GJM24" s="93"/>
      <c r="GJN24" s="93"/>
      <c r="GJO24" s="93"/>
      <c r="GJP24" s="93"/>
      <c r="GJQ24" s="93"/>
      <c r="GJR24" s="93"/>
      <c r="GJS24" s="93"/>
      <c r="GJT24" s="93"/>
      <c r="GJU24" s="93"/>
      <c r="GJV24" s="93"/>
      <c r="GJW24" s="93"/>
      <c r="GJX24" s="93"/>
      <c r="GJY24" s="93"/>
      <c r="GJZ24" s="93"/>
      <c r="GKA24" s="93"/>
      <c r="GKB24" s="93"/>
      <c r="GKC24" s="93"/>
      <c r="GKD24" s="93"/>
      <c r="GKE24" s="93"/>
      <c r="GKF24" s="93"/>
      <c r="GKG24" s="93"/>
      <c r="GKH24" s="93"/>
      <c r="GKI24" s="93"/>
      <c r="GKJ24" s="93"/>
      <c r="GKK24" s="93"/>
      <c r="GKL24" s="93"/>
      <c r="GKM24" s="93"/>
      <c r="GKN24" s="93"/>
      <c r="GKO24" s="93"/>
      <c r="GKP24" s="93"/>
      <c r="GKQ24" s="93"/>
      <c r="GKR24" s="93"/>
      <c r="GKS24" s="93"/>
      <c r="GKT24" s="93"/>
      <c r="GKU24" s="93"/>
      <c r="GKV24" s="93"/>
      <c r="GKW24" s="93"/>
      <c r="GKX24" s="93"/>
      <c r="GKY24" s="93"/>
      <c r="GKZ24" s="93"/>
      <c r="GLA24" s="93"/>
      <c r="GLB24" s="93"/>
      <c r="GLC24" s="93"/>
      <c r="GLD24" s="93"/>
      <c r="GLE24" s="93"/>
      <c r="GLF24" s="93"/>
      <c r="GLG24" s="93"/>
      <c r="GLH24" s="93"/>
      <c r="GLI24" s="93"/>
      <c r="GLJ24" s="93"/>
      <c r="GLK24" s="93"/>
      <c r="GLL24" s="93"/>
      <c r="GLM24" s="93"/>
      <c r="GLN24" s="93"/>
      <c r="GLO24" s="93"/>
      <c r="GLP24" s="93"/>
      <c r="GLQ24" s="93"/>
      <c r="GLR24" s="93"/>
      <c r="GLS24" s="93"/>
      <c r="GLT24" s="93"/>
      <c r="GLU24" s="93"/>
      <c r="GLV24" s="93"/>
      <c r="GLW24" s="93"/>
      <c r="GLX24" s="93"/>
      <c r="GLY24" s="93"/>
      <c r="GLZ24" s="93"/>
      <c r="GMA24" s="93"/>
      <c r="GMB24" s="93"/>
      <c r="GMC24" s="93"/>
      <c r="GMD24" s="93"/>
      <c r="GME24" s="93"/>
      <c r="GMF24" s="93"/>
      <c r="GMG24" s="93"/>
      <c r="GMH24" s="93"/>
      <c r="GMI24" s="93"/>
      <c r="GMJ24" s="93"/>
      <c r="GMK24" s="93"/>
      <c r="GML24" s="93"/>
      <c r="GMM24" s="93"/>
      <c r="GMN24" s="93"/>
      <c r="GMO24" s="93"/>
      <c r="GMP24" s="93"/>
      <c r="GMQ24" s="93"/>
      <c r="GMR24" s="93"/>
      <c r="GMS24" s="93"/>
      <c r="GMT24" s="93"/>
      <c r="GMU24" s="93"/>
      <c r="GMV24" s="93"/>
      <c r="GMW24" s="93"/>
      <c r="GMX24" s="93"/>
      <c r="GMY24" s="93"/>
      <c r="GMZ24" s="93"/>
      <c r="GNA24" s="93"/>
      <c r="GNB24" s="93"/>
      <c r="GNC24" s="93"/>
      <c r="GND24" s="93"/>
      <c r="GNE24" s="93"/>
      <c r="GNF24" s="93"/>
      <c r="GNG24" s="93"/>
      <c r="GNH24" s="93"/>
      <c r="GNI24" s="93"/>
      <c r="GNJ24" s="93"/>
      <c r="GNK24" s="93"/>
      <c r="GNL24" s="93"/>
      <c r="GNM24" s="93"/>
      <c r="GNN24" s="93"/>
      <c r="GNO24" s="93"/>
      <c r="GNP24" s="93"/>
      <c r="GNQ24" s="93"/>
      <c r="GNR24" s="93"/>
      <c r="GNS24" s="93"/>
      <c r="GNT24" s="93"/>
      <c r="GNU24" s="93"/>
      <c r="GNV24" s="93"/>
      <c r="GNW24" s="93"/>
      <c r="GNX24" s="93"/>
      <c r="GNY24" s="93"/>
      <c r="GNZ24" s="93"/>
      <c r="GOA24" s="93"/>
      <c r="GOB24" s="93"/>
      <c r="GOC24" s="93"/>
      <c r="GOD24" s="93"/>
      <c r="GOE24" s="93"/>
      <c r="GOF24" s="93"/>
      <c r="GOG24" s="93"/>
      <c r="GOH24" s="93"/>
      <c r="GOI24" s="93"/>
      <c r="GOJ24" s="93"/>
      <c r="GOK24" s="93"/>
      <c r="GOL24" s="93"/>
      <c r="GOM24" s="93"/>
      <c r="GON24" s="93"/>
      <c r="GOO24" s="93"/>
      <c r="GOP24" s="93"/>
      <c r="GOQ24" s="93"/>
      <c r="GOR24" s="93"/>
      <c r="GOS24" s="93"/>
      <c r="GOT24" s="93"/>
      <c r="GOU24" s="93"/>
      <c r="GOV24" s="93"/>
      <c r="GOW24" s="93"/>
      <c r="GOX24" s="93"/>
      <c r="GOY24" s="93"/>
      <c r="GOZ24" s="93"/>
      <c r="GPA24" s="93"/>
      <c r="GPB24" s="93"/>
      <c r="GPC24" s="93"/>
      <c r="GPD24" s="93"/>
      <c r="GPE24" s="93"/>
      <c r="GPF24" s="93"/>
      <c r="GPG24" s="93"/>
      <c r="GPH24" s="93"/>
      <c r="GPI24" s="93"/>
      <c r="GPJ24" s="93"/>
      <c r="GPK24" s="93"/>
      <c r="GPL24" s="93"/>
      <c r="GPM24" s="93"/>
      <c r="GPN24" s="93"/>
      <c r="GPO24" s="93"/>
      <c r="GPP24" s="93"/>
      <c r="GPQ24" s="93"/>
      <c r="GPR24" s="93"/>
      <c r="GPS24" s="93"/>
      <c r="GPT24" s="93"/>
      <c r="GPU24" s="93"/>
      <c r="GPV24" s="93"/>
      <c r="GPW24" s="93"/>
      <c r="GPX24" s="93"/>
      <c r="GPY24" s="93"/>
      <c r="GPZ24" s="93"/>
      <c r="GQA24" s="93"/>
      <c r="GQB24" s="93"/>
      <c r="GQC24" s="93"/>
      <c r="GQD24" s="93"/>
      <c r="GQE24" s="93"/>
      <c r="GQF24" s="93"/>
      <c r="GQG24" s="93"/>
      <c r="GQH24" s="93"/>
      <c r="GQI24" s="93"/>
      <c r="GQJ24" s="93"/>
      <c r="GQK24" s="93"/>
      <c r="GQL24" s="93"/>
      <c r="GQM24" s="93"/>
      <c r="GQN24" s="93"/>
      <c r="GQO24" s="93"/>
      <c r="GQP24" s="93"/>
      <c r="GQQ24" s="93"/>
      <c r="GQR24" s="93"/>
      <c r="GQS24" s="93"/>
      <c r="GQT24" s="93"/>
      <c r="GQU24" s="93"/>
      <c r="GQV24" s="93"/>
      <c r="GQW24" s="93"/>
      <c r="GQX24" s="93"/>
      <c r="GQY24" s="93"/>
      <c r="GQZ24" s="93"/>
      <c r="GRA24" s="93"/>
      <c r="GRB24" s="93"/>
      <c r="GRC24" s="93"/>
      <c r="GRD24" s="93"/>
      <c r="GRE24" s="93"/>
      <c r="GRF24" s="93"/>
      <c r="GRG24" s="93"/>
      <c r="GRH24" s="93"/>
      <c r="GRI24" s="93"/>
      <c r="GRJ24" s="93"/>
      <c r="GRK24" s="93"/>
      <c r="GRL24" s="93"/>
      <c r="GRM24" s="93"/>
      <c r="GRN24" s="93"/>
      <c r="GRO24" s="93"/>
      <c r="GRP24" s="93"/>
      <c r="GRQ24" s="93"/>
      <c r="GRR24" s="93"/>
      <c r="GRS24" s="93"/>
      <c r="GRT24" s="93"/>
      <c r="GRU24" s="93"/>
      <c r="GRV24" s="93"/>
      <c r="GRW24" s="93"/>
      <c r="GRX24" s="93"/>
      <c r="GRY24" s="93"/>
      <c r="GRZ24" s="93"/>
      <c r="GSA24" s="93"/>
      <c r="GSB24" s="93"/>
      <c r="GSC24" s="93"/>
      <c r="GSD24" s="93"/>
      <c r="GSE24" s="93"/>
      <c r="GSF24" s="93"/>
      <c r="GSG24" s="93"/>
      <c r="GSH24" s="93"/>
      <c r="GSI24" s="93"/>
      <c r="GSJ24" s="93"/>
      <c r="GSK24" s="93"/>
      <c r="GSL24" s="93"/>
      <c r="GSM24" s="93"/>
      <c r="GSN24" s="93"/>
      <c r="GSO24" s="93"/>
      <c r="GSP24" s="93"/>
      <c r="GSQ24" s="93"/>
      <c r="GSR24" s="93"/>
      <c r="GSS24" s="93"/>
      <c r="GST24" s="93"/>
      <c r="GSU24" s="93"/>
      <c r="GSV24" s="93"/>
      <c r="GSW24" s="93"/>
      <c r="GSX24" s="93"/>
      <c r="GSY24" s="93"/>
      <c r="GSZ24" s="93"/>
      <c r="GTA24" s="93"/>
      <c r="GTB24" s="93"/>
      <c r="GTC24" s="93"/>
      <c r="GTD24" s="93"/>
      <c r="GTE24" s="93"/>
      <c r="GTF24" s="93"/>
      <c r="GTG24" s="93"/>
      <c r="GTH24" s="93"/>
      <c r="GTI24" s="93"/>
      <c r="GTJ24" s="93"/>
      <c r="GTK24" s="93"/>
      <c r="GTL24" s="93"/>
      <c r="GTM24" s="93"/>
      <c r="GTN24" s="93"/>
      <c r="GTO24" s="93"/>
      <c r="GTP24" s="93"/>
      <c r="GTQ24" s="93"/>
      <c r="GTR24" s="93"/>
      <c r="GTS24" s="93"/>
      <c r="GTT24" s="93"/>
      <c r="GTU24" s="93"/>
      <c r="GTV24" s="93"/>
      <c r="GTW24" s="93"/>
      <c r="GTX24" s="93"/>
      <c r="GTY24" s="93"/>
      <c r="GTZ24" s="93"/>
      <c r="GUA24" s="93"/>
      <c r="GUB24" s="93"/>
      <c r="GUC24" s="93"/>
      <c r="GUD24" s="93"/>
      <c r="GUE24" s="93"/>
      <c r="GUF24" s="93"/>
      <c r="GUG24" s="93"/>
      <c r="GUH24" s="93"/>
      <c r="GUI24" s="93"/>
      <c r="GUJ24" s="93"/>
      <c r="GUK24" s="93"/>
      <c r="GUL24" s="93"/>
      <c r="GUM24" s="93"/>
      <c r="GUN24" s="93"/>
      <c r="GUO24" s="93"/>
      <c r="GUP24" s="93"/>
      <c r="GUQ24" s="93"/>
      <c r="GUR24" s="93"/>
      <c r="GUS24" s="93"/>
      <c r="GUT24" s="93"/>
      <c r="GUU24" s="93"/>
      <c r="GUV24" s="93"/>
      <c r="GUW24" s="93"/>
      <c r="GUX24" s="93"/>
      <c r="GUY24" s="93"/>
      <c r="GUZ24" s="93"/>
      <c r="GVA24" s="93"/>
      <c r="GVB24" s="93"/>
      <c r="GVC24" s="93"/>
      <c r="GVD24" s="93"/>
      <c r="GVE24" s="93"/>
      <c r="GVF24" s="93"/>
      <c r="GVG24" s="93"/>
      <c r="GVH24" s="93"/>
      <c r="GVI24" s="93"/>
      <c r="GVJ24" s="93"/>
      <c r="GVK24" s="93"/>
      <c r="GVL24" s="93"/>
      <c r="GVM24" s="93"/>
      <c r="GVN24" s="93"/>
      <c r="GVO24" s="93"/>
      <c r="GVP24" s="93"/>
      <c r="GVQ24" s="93"/>
      <c r="GVR24" s="93"/>
      <c r="GVS24" s="93"/>
      <c r="GVT24" s="93"/>
      <c r="GVU24" s="93"/>
      <c r="GVV24" s="93"/>
      <c r="GVW24" s="93"/>
      <c r="GVX24" s="93"/>
      <c r="GVY24" s="93"/>
      <c r="GVZ24" s="93"/>
      <c r="GWA24" s="93"/>
      <c r="GWB24" s="93"/>
      <c r="GWC24" s="93"/>
      <c r="GWD24" s="93"/>
      <c r="GWE24" s="93"/>
      <c r="GWF24" s="93"/>
      <c r="GWG24" s="93"/>
      <c r="GWH24" s="93"/>
      <c r="GWI24" s="93"/>
      <c r="GWJ24" s="93"/>
      <c r="GWK24" s="93"/>
      <c r="GWL24" s="93"/>
      <c r="GWM24" s="93"/>
      <c r="GWN24" s="93"/>
      <c r="GWO24" s="93"/>
      <c r="GWP24" s="93"/>
      <c r="GWQ24" s="93"/>
      <c r="GWR24" s="93"/>
      <c r="GWS24" s="93"/>
      <c r="GWT24" s="93"/>
      <c r="GWU24" s="93"/>
      <c r="GWV24" s="93"/>
      <c r="GWW24" s="93"/>
      <c r="GWX24" s="93"/>
      <c r="GWY24" s="93"/>
      <c r="GWZ24" s="93"/>
      <c r="GXA24" s="93"/>
      <c r="GXB24" s="93"/>
      <c r="GXC24" s="93"/>
      <c r="GXD24" s="93"/>
      <c r="GXE24" s="93"/>
      <c r="GXF24" s="93"/>
      <c r="GXG24" s="93"/>
      <c r="GXH24" s="93"/>
      <c r="GXI24" s="93"/>
      <c r="GXJ24" s="93"/>
      <c r="GXK24" s="93"/>
      <c r="GXL24" s="93"/>
      <c r="GXM24" s="93"/>
      <c r="GXN24" s="93"/>
      <c r="GXO24" s="93"/>
      <c r="GXP24" s="93"/>
      <c r="GXQ24" s="93"/>
      <c r="GXR24" s="93"/>
      <c r="GXS24" s="93"/>
      <c r="GXT24" s="93"/>
      <c r="GXU24" s="93"/>
      <c r="GXV24" s="93"/>
      <c r="GXW24" s="93"/>
      <c r="GXX24" s="93"/>
      <c r="GXY24" s="93"/>
      <c r="GXZ24" s="93"/>
      <c r="GYA24" s="93"/>
      <c r="GYB24" s="93"/>
      <c r="GYC24" s="93"/>
      <c r="GYD24" s="93"/>
      <c r="GYE24" s="93"/>
      <c r="GYF24" s="93"/>
      <c r="GYG24" s="93"/>
      <c r="GYH24" s="93"/>
      <c r="GYI24" s="93"/>
      <c r="GYJ24" s="93"/>
      <c r="GYK24" s="93"/>
      <c r="GYL24" s="93"/>
      <c r="GYM24" s="93"/>
      <c r="GYN24" s="93"/>
      <c r="GYO24" s="93"/>
      <c r="GYP24" s="93"/>
      <c r="GYQ24" s="93"/>
      <c r="GYR24" s="93"/>
      <c r="GYS24" s="93"/>
      <c r="GYT24" s="93"/>
      <c r="GYU24" s="93"/>
      <c r="GYV24" s="93"/>
      <c r="GYW24" s="93"/>
      <c r="GYX24" s="93"/>
      <c r="GYY24" s="93"/>
      <c r="GYZ24" s="93"/>
      <c r="GZA24" s="93"/>
      <c r="GZB24" s="93"/>
      <c r="GZC24" s="93"/>
      <c r="GZD24" s="93"/>
      <c r="GZE24" s="93"/>
      <c r="GZF24" s="93"/>
      <c r="GZG24" s="93"/>
      <c r="GZH24" s="93"/>
      <c r="GZI24" s="93"/>
      <c r="GZJ24" s="93"/>
      <c r="GZK24" s="93"/>
      <c r="GZL24" s="93"/>
      <c r="GZM24" s="93"/>
      <c r="GZN24" s="93"/>
      <c r="GZO24" s="93"/>
      <c r="GZP24" s="93"/>
      <c r="GZQ24" s="93"/>
      <c r="GZR24" s="93"/>
      <c r="GZS24" s="93"/>
      <c r="GZT24" s="93"/>
      <c r="GZU24" s="93"/>
      <c r="GZV24" s="93"/>
      <c r="GZW24" s="93"/>
      <c r="GZX24" s="93"/>
      <c r="GZY24" s="93"/>
      <c r="GZZ24" s="93"/>
      <c r="HAA24" s="93"/>
      <c r="HAB24" s="93"/>
      <c r="HAC24" s="93"/>
      <c r="HAD24" s="93"/>
      <c r="HAE24" s="93"/>
      <c r="HAF24" s="93"/>
      <c r="HAG24" s="93"/>
      <c r="HAH24" s="93"/>
      <c r="HAI24" s="93"/>
      <c r="HAJ24" s="93"/>
      <c r="HAK24" s="93"/>
      <c r="HAL24" s="93"/>
      <c r="HAM24" s="93"/>
      <c r="HAN24" s="93"/>
      <c r="HAO24" s="93"/>
      <c r="HAP24" s="93"/>
      <c r="HAQ24" s="93"/>
      <c r="HAR24" s="93"/>
      <c r="HAS24" s="93"/>
      <c r="HAT24" s="93"/>
      <c r="HAU24" s="93"/>
      <c r="HAV24" s="93"/>
      <c r="HAW24" s="93"/>
      <c r="HAX24" s="93"/>
      <c r="HAY24" s="93"/>
      <c r="HAZ24" s="93"/>
      <c r="HBA24" s="93"/>
      <c r="HBB24" s="93"/>
      <c r="HBC24" s="93"/>
      <c r="HBD24" s="93"/>
      <c r="HBE24" s="93"/>
      <c r="HBF24" s="93"/>
      <c r="HBG24" s="93"/>
      <c r="HBH24" s="93"/>
      <c r="HBI24" s="93"/>
      <c r="HBJ24" s="93"/>
      <c r="HBK24" s="93"/>
      <c r="HBL24" s="93"/>
      <c r="HBM24" s="93"/>
      <c r="HBN24" s="93"/>
      <c r="HBO24" s="93"/>
      <c r="HBP24" s="93"/>
      <c r="HBQ24" s="93"/>
      <c r="HBR24" s="93"/>
      <c r="HBS24" s="93"/>
      <c r="HBT24" s="93"/>
      <c r="HBU24" s="93"/>
      <c r="HBV24" s="93"/>
      <c r="HBW24" s="93"/>
      <c r="HBX24" s="93"/>
      <c r="HBY24" s="93"/>
      <c r="HBZ24" s="93"/>
      <c r="HCA24" s="93"/>
      <c r="HCB24" s="93"/>
      <c r="HCC24" s="93"/>
      <c r="HCD24" s="93"/>
      <c r="HCE24" s="93"/>
      <c r="HCF24" s="93"/>
      <c r="HCG24" s="93"/>
      <c r="HCH24" s="93"/>
      <c r="HCI24" s="93"/>
      <c r="HCJ24" s="93"/>
      <c r="HCK24" s="93"/>
      <c r="HCL24" s="93"/>
      <c r="HCM24" s="93"/>
      <c r="HCN24" s="93"/>
      <c r="HCO24" s="93"/>
      <c r="HCP24" s="93"/>
      <c r="HCQ24" s="93"/>
      <c r="HCR24" s="93"/>
      <c r="HCS24" s="93"/>
      <c r="HCT24" s="93"/>
      <c r="HCU24" s="93"/>
      <c r="HCV24" s="93"/>
      <c r="HCW24" s="93"/>
      <c r="HCX24" s="93"/>
      <c r="HCY24" s="93"/>
      <c r="HCZ24" s="93"/>
      <c r="HDA24" s="93"/>
      <c r="HDB24" s="93"/>
      <c r="HDC24" s="93"/>
      <c r="HDD24" s="93"/>
      <c r="HDE24" s="93"/>
      <c r="HDF24" s="93"/>
      <c r="HDG24" s="93"/>
      <c r="HDH24" s="93"/>
      <c r="HDI24" s="93"/>
      <c r="HDJ24" s="93"/>
      <c r="HDK24" s="93"/>
      <c r="HDL24" s="93"/>
      <c r="HDM24" s="93"/>
      <c r="HDN24" s="93"/>
      <c r="HDO24" s="93"/>
      <c r="HDP24" s="93"/>
      <c r="HDQ24" s="93"/>
      <c r="HDR24" s="93"/>
      <c r="HDS24" s="93"/>
      <c r="HDT24" s="93"/>
      <c r="HDU24" s="93"/>
      <c r="HDV24" s="93"/>
      <c r="HDW24" s="93"/>
      <c r="HDX24" s="93"/>
      <c r="HDY24" s="93"/>
      <c r="HDZ24" s="93"/>
      <c r="HEA24" s="93"/>
      <c r="HEB24" s="93"/>
      <c r="HEC24" s="93"/>
      <c r="HED24" s="93"/>
      <c r="HEE24" s="93"/>
      <c r="HEF24" s="93"/>
      <c r="HEG24" s="93"/>
      <c r="HEH24" s="93"/>
      <c r="HEI24" s="93"/>
      <c r="HEJ24" s="93"/>
      <c r="HEK24" s="93"/>
      <c r="HEL24" s="93"/>
      <c r="HEM24" s="93"/>
      <c r="HEN24" s="93"/>
      <c r="HEO24" s="93"/>
      <c r="HEP24" s="93"/>
      <c r="HEQ24" s="93"/>
      <c r="HER24" s="93"/>
      <c r="HES24" s="93"/>
      <c r="HET24" s="93"/>
      <c r="HEU24" s="93"/>
      <c r="HEV24" s="93"/>
      <c r="HEW24" s="93"/>
      <c r="HEX24" s="93"/>
      <c r="HEY24" s="93"/>
      <c r="HEZ24" s="93"/>
      <c r="HFA24" s="93"/>
      <c r="HFB24" s="93"/>
      <c r="HFC24" s="93"/>
      <c r="HFD24" s="93"/>
      <c r="HFE24" s="93"/>
      <c r="HFF24" s="93"/>
      <c r="HFG24" s="93"/>
      <c r="HFH24" s="93"/>
      <c r="HFI24" s="93"/>
      <c r="HFJ24" s="93"/>
      <c r="HFK24" s="93"/>
      <c r="HFL24" s="93"/>
      <c r="HFM24" s="93"/>
      <c r="HFN24" s="93"/>
      <c r="HFO24" s="93"/>
      <c r="HFP24" s="93"/>
      <c r="HFQ24" s="93"/>
      <c r="HFR24" s="93"/>
      <c r="HFS24" s="93"/>
      <c r="HFT24" s="93"/>
      <c r="HFU24" s="93"/>
      <c r="HFV24" s="93"/>
      <c r="HFW24" s="93"/>
      <c r="HFX24" s="93"/>
      <c r="HFY24" s="93"/>
      <c r="HFZ24" s="93"/>
      <c r="HGA24" s="93"/>
      <c r="HGB24" s="93"/>
      <c r="HGC24" s="93"/>
      <c r="HGD24" s="93"/>
      <c r="HGE24" s="93"/>
      <c r="HGF24" s="93"/>
      <c r="HGG24" s="93"/>
      <c r="HGH24" s="93"/>
      <c r="HGI24" s="93"/>
      <c r="HGJ24" s="93"/>
      <c r="HGK24" s="93"/>
      <c r="HGL24" s="93"/>
      <c r="HGM24" s="93"/>
      <c r="HGN24" s="93"/>
      <c r="HGO24" s="93"/>
      <c r="HGP24" s="93"/>
      <c r="HGQ24" s="93"/>
      <c r="HGR24" s="93"/>
      <c r="HGS24" s="93"/>
      <c r="HGT24" s="93"/>
      <c r="HGU24" s="93"/>
      <c r="HGV24" s="93"/>
      <c r="HGW24" s="93"/>
      <c r="HGX24" s="93"/>
      <c r="HGY24" s="93"/>
      <c r="HGZ24" s="93"/>
      <c r="HHA24" s="93"/>
      <c r="HHB24" s="93"/>
      <c r="HHC24" s="93"/>
      <c r="HHD24" s="93"/>
      <c r="HHE24" s="93"/>
      <c r="HHF24" s="93"/>
      <c r="HHG24" s="93"/>
      <c r="HHH24" s="93"/>
      <c r="HHI24" s="93"/>
      <c r="HHJ24" s="93"/>
      <c r="HHK24" s="93"/>
      <c r="HHL24" s="93"/>
      <c r="HHM24" s="93"/>
      <c r="HHN24" s="93"/>
      <c r="HHO24" s="93"/>
      <c r="HHP24" s="93"/>
      <c r="HHQ24" s="93"/>
      <c r="HHR24" s="93"/>
      <c r="HHS24" s="93"/>
      <c r="HHT24" s="93"/>
      <c r="HHU24" s="93"/>
      <c r="HHV24" s="93"/>
      <c r="HHW24" s="93"/>
      <c r="HHX24" s="93"/>
      <c r="HHY24" s="93"/>
      <c r="HHZ24" s="93"/>
      <c r="HIA24" s="93"/>
      <c r="HIB24" s="93"/>
      <c r="HIC24" s="93"/>
      <c r="HID24" s="93"/>
      <c r="HIE24" s="93"/>
      <c r="HIF24" s="93"/>
      <c r="HIG24" s="93"/>
      <c r="HIH24" s="93"/>
      <c r="HII24" s="93"/>
      <c r="HIJ24" s="93"/>
      <c r="HIK24" s="93"/>
      <c r="HIL24" s="93"/>
      <c r="HIM24" s="93"/>
      <c r="HIN24" s="93"/>
      <c r="HIO24" s="93"/>
      <c r="HIP24" s="93"/>
      <c r="HIQ24" s="93"/>
      <c r="HIR24" s="93"/>
      <c r="HIS24" s="93"/>
      <c r="HIT24" s="93"/>
      <c r="HIU24" s="93"/>
      <c r="HIV24" s="93"/>
      <c r="HIW24" s="93"/>
      <c r="HIX24" s="93"/>
      <c r="HIY24" s="93"/>
      <c r="HIZ24" s="93"/>
      <c r="HJA24" s="93"/>
      <c r="HJB24" s="93"/>
      <c r="HJC24" s="93"/>
      <c r="HJD24" s="93"/>
      <c r="HJE24" s="93"/>
      <c r="HJF24" s="93"/>
      <c r="HJG24" s="93"/>
      <c r="HJH24" s="93"/>
      <c r="HJI24" s="93"/>
      <c r="HJJ24" s="93"/>
      <c r="HJK24" s="93"/>
      <c r="HJL24" s="93"/>
      <c r="HJM24" s="93"/>
      <c r="HJN24" s="93"/>
      <c r="HJO24" s="93"/>
      <c r="HJP24" s="93"/>
      <c r="HJQ24" s="93"/>
      <c r="HJR24" s="93"/>
      <c r="HJS24" s="93"/>
      <c r="HJT24" s="93"/>
      <c r="HJU24" s="93"/>
      <c r="HJV24" s="93"/>
      <c r="HJW24" s="93"/>
      <c r="HJX24" s="93"/>
      <c r="HJY24" s="93"/>
      <c r="HJZ24" s="93"/>
      <c r="HKA24" s="93"/>
      <c r="HKB24" s="93"/>
      <c r="HKC24" s="93"/>
      <c r="HKD24" s="93"/>
      <c r="HKE24" s="93"/>
      <c r="HKF24" s="93"/>
      <c r="HKG24" s="93"/>
      <c r="HKH24" s="93"/>
      <c r="HKI24" s="93"/>
      <c r="HKJ24" s="93"/>
      <c r="HKK24" s="93"/>
      <c r="HKL24" s="93"/>
      <c r="HKM24" s="93"/>
      <c r="HKN24" s="93"/>
      <c r="HKO24" s="93"/>
      <c r="HKP24" s="93"/>
      <c r="HKQ24" s="93"/>
      <c r="HKR24" s="93"/>
      <c r="HKS24" s="93"/>
      <c r="HKT24" s="93"/>
      <c r="HKU24" s="93"/>
      <c r="HKV24" s="93"/>
      <c r="HKW24" s="93"/>
      <c r="HKX24" s="93"/>
      <c r="HKY24" s="93"/>
      <c r="HKZ24" s="93"/>
      <c r="HLA24" s="93"/>
      <c r="HLB24" s="93"/>
      <c r="HLC24" s="93"/>
      <c r="HLD24" s="93"/>
      <c r="HLE24" s="93"/>
      <c r="HLF24" s="93"/>
      <c r="HLG24" s="93"/>
      <c r="HLH24" s="93"/>
      <c r="HLI24" s="93"/>
      <c r="HLJ24" s="93"/>
      <c r="HLK24" s="93"/>
      <c r="HLL24" s="93"/>
      <c r="HLM24" s="93"/>
      <c r="HLN24" s="93"/>
      <c r="HLO24" s="93"/>
      <c r="HLP24" s="93"/>
      <c r="HLQ24" s="93"/>
      <c r="HLR24" s="93"/>
      <c r="HLS24" s="93"/>
      <c r="HLT24" s="93"/>
      <c r="HLU24" s="93"/>
      <c r="HLV24" s="93"/>
      <c r="HLW24" s="93"/>
      <c r="HLX24" s="93"/>
      <c r="HLY24" s="93"/>
      <c r="HLZ24" s="93"/>
      <c r="HMA24" s="93"/>
      <c r="HMB24" s="93"/>
      <c r="HMC24" s="93"/>
      <c r="HMD24" s="93"/>
      <c r="HME24" s="93"/>
      <c r="HMF24" s="93"/>
      <c r="HMG24" s="93"/>
      <c r="HMH24" s="93"/>
      <c r="HMI24" s="93"/>
      <c r="HMJ24" s="93"/>
      <c r="HMK24" s="93"/>
      <c r="HML24" s="93"/>
      <c r="HMM24" s="93"/>
      <c r="HMN24" s="93"/>
      <c r="HMO24" s="93"/>
      <c r="HMP24" s="93"/>
      <c r="HMQ24" s="93"/>
      <c r="HMR24" s="93"/>
      <c r="HMS24" s="93"/>
      <c r="HMT24" s="93"/>
      <c r="HMU24" s="93"/>
      <c r="HMV24" s="93"/>
      <c r="HMW24" s="93"/>
      <c r="HMX24" s="93"/>
      <c r="HMY24" s="93"/>
      <c r="HMZ24" s="93"/>
      <c r="HNA24" s="93"/>
      <c r="HNB24" s="93"/>
      <c r="HNC24" s="93"/>
      <c r="HND24" s="93"/>
      <c r="HNE24" s="93"/>
      <c r="HNF24" s="93"/>
      <c r="HNG24" s="93"/>
      <c r="HNH24" s="93"/>
      <c r="HNI24" s="93"/>
      <c r="HNJ24" s="93"/>
      <c r="HNK24" s="93"/>
      <c r="HNL24" s="93"/>
      <c r="HNM24" s="93"/>
      <c r="HNN24" s="93"/>
      <c r="HNO24" s="93"/>
      <c r="HNP24" s="93"/>
      <c r="HNQ24" s="93"/>
      <c r="HNR24" s="93"/>
      <c r="HNS24" s="93"/>
      <c r="HNT24" s="93"/>
      <c r="HNU24" s="93"/>
      <c r="HNV24" s="93"/>
      <c r="HNW24" s="93"/>
      <c r="HNX24" s="93"/>
      <c r="HNY24" s="93"/>
      <c r="HNZ24" s="93"/>
      <c r="HOA24" s="93"/>
      <c r="HOB24" s="93"/>
      <c r="HOC24" s="93"/>
      <c r="HOD24" s="93"/>
      <c r="HOE24" s="93"/>
      <c r="HOF24" s="93"/>
      <c r="HOG24" s="93"/>
      <c r="HOH24" s="93"/>
      <c r="HOI24" s="93"/>
      <c r="HOJ24" s="93"/>
      <c r="HOK24" s="93"/>
      <c r="HOL24" s="93"/>
      <c r="HOM24" s="93"/>
      <c r="HON24" s="93"/>
      <c r="HOO24" s="93"/>
      <c r="HOP24" s="93"/>
      <c r="HOQ24" s="93"/>
      <c r="HOR24" s="93"/>
      <c r="HOS24" s="93"/>
      <c r="HOT24" s="93"/>
      <c r="HOU24" s="93"/>
      <c r="HOV24" s="93"/>
      <c r="HOW24" s="93"/>
      <c r="HOX24" s="93"/>
      <c r="HOY24" s="93"/>
      <c r="HOZ24" s="93"/>
      <c r="HPA24" s="93"/>
      <c r="HPB24" s="93"/>
      <c r="HPC24" s="93"/>
      <c r="HPD24" s="93"/>
      <c r="HPE24" s="93"/>
      <c r="HPF24" s="93"/>
      <c r="HPG24" s="93"/>
      <c r="HPH24" s="93"/>
      <c r="HPI24" s="93"/>
      <c r="HPJ24" s="93"/>
      <c r="HPK24" s="93"/>
      <c r="HPL24" s="93"/>
      <c r="HPM24" s="93"/>
      <c r="HPN24" s="93"/>
      <c r="HPO24" s="93"/>
      <c r="HPP24" s="93"/>
      <c r="HPQ24" s="93"/>
      <c r="HPR24" s="93"/>
      <c r="HPS24" s="93"/>
      <c r="HPT24" s="93"/>
      <c r="HPU24" s="93"/>
      <c r="HPV24" s="93"/>
      <c r="HPW24" s="93"/>
      <c r="HPX24" s="93"/>
      <c r="HPY24" s="93"/>
      <c r="HPZ24" s="93"/>
      <c r="HQA24" s="93"/>
      <c r="HQB24" s="93"/>
      <c r="HQC24" s="93"/>
      <c r="HQD24" s="93"/>
      <c r="HQE24" s="93"/>
      <c r="HQF24" s="93"/>
      <c r="HQG24" s="93"/>
      <c r="HQH24" s="93"/>
      <c r="HQI24" s="93"/>
      <c r="HQJ24" s="93"/>
      <c r="HQK24" s="93"/>
      <c r="HQL24" s="93"/>
      <c r="HQM24" s="93"/>
      <c r="HQN24" s="93"/>
      <c r="HQO24" s="93"/>
      <c r="HQP24" s="93"/>
      <c r="HQQ24" s="93"/>
      <c r="HQR24" s="93"/>
      <c r="HQS24" s="93"/>
      <c r="HQT24" s="93"/>
      <c r="HQU24" s="93"/>
      <c r="HQV24" s="93"/>
      <c r="HQW24" s="93"/>
      <c r="HQX24" s="93"/>
      <c r="HQY24" s="93"/>
      <c r="HQZ24" s="93"/>
      <c r="HRA24" s="93"/>
      <c r="HRB24" s="93"/>
      <c r="HRC24" s="93"/>
      <c r="HRD24" s="93"/>
      <c r="HRE24" s="93"/>
      <c r="HRF24" s="93"/>
      <c r="HRG24" s="93"/>
      <c r="HRH24" s="93"/>
      <c r="HRI24" s="93"/>
      <c r="HRJ24" s="93"/>
      <c r="HRK24" s="93"/>
      <c r="HRL24" s="93"/>
      <c r="HRM24" s="93"/>
      <c r="HRN24" s="93"/>
      <c r="HRO24" s="93"/>
      <c r="HRP24" s="93"/>
      <c r="HRQ24" s="93"/>
      <c r="HRR24" s="93"/>
      <c r="HRS24" s="93"/>
      <c r="HRT24" s="93"/>
      <c r="HRU24" s="93"/>
      <c r="HRV24" s="93"/>
      <c r="HRW24" s="93"/>
      <c r="HRX24" s="93"/>
      <c r="HRY24" s="93"/>
      <c r="HRZ24" s="93"/>
      <c r="HSA24" s="93"/>
      <c r="HSB24" s="93"/>
      <c r="HSC24" s="93"/>
      <c r="HSD24" s="93"/>
      <c r="HSE24" s="93"/>
      <c r="HSF24" s="93"/>
      <c r="HSG24" s="93"/>
      <c r="HSH24" s="93"/>
      <c r="HSI24" s="93"/>
      <c r="HSJ24" s="93"/>
      <c r="HSK24" s="93"/>
      <c r="HSL24" s="93"/>
      <c r="HSM24" s="93"/>
      <c r="HSN24" s="93"/>
      <c r="HSO24" s="93"/>
      <c r="HSP24" s="93"/>
      <c r="HSQ24" s="93"/>
      <c r="HSR24" s="93"/>
      <c r="HSS24" s="93"/>
      <c r="HST24" s="93"/>
      <c r="HSU24" s="93"/>
      <c r="HSV24" s="93"/>
      <c r="HSW24" s="93"/>
      <c r="HSX24" s="93"/>
      <c r="HSY24" s="93"/>
      <c r="HSZ24" s="93"/>
      <c r="HTA24" s="93"/>
      <c r="HTB24" s="93"/>
      <c r="HTC24" s="93"/>
      <c r="HTD24" s="93"/>
      <c r="HTE24" s="93"/>
      <c r="HTF24" s="93"/>
      <c r="HTG24" s="93"/>
      <c r="HTH24" s="93"/>
      <c r="HTI24" s="93"/>
      <c r="HTJ24" s="93"/>
      <c r="HTK24" s="93"/>
      <c r="HTL24" s="93"/>
      <c r="HTM24" s="93"/>
      <c r="HTN24" s="93"/>
      <c r="HTO24" s="93"/>
      <c r="HTP24" s="93"/>
      <c r="HTQ24" s="93"/>
      <c r="HTR24" s="93"/>
      <c r="HTS24" s="93"/>
      <c r="HTT24" s="93"/>
      <c r="HTU24" s="93"/>
      <c r="HTV24" s="93"/>
      <c r="HTW24" s="93"/>
      <c r="HTX24" s="93"/>
      <c r="HTY24" s="93"/>
      <c r="HTZ24" s="93"/>
      <c r="HUA24" s="93"/>
      <c r="HUB24" s="93"/>
      <c r="HUC24" s="93"/>
      <c r="HUD24" s="93"/>
      <c r="HUE24" s="93"/>
      <c r="HUF24" s="93"/>
      <c r="HUG24" s="93"/>
      <c r="HUH24" s="93"/>
      <c r="HUI24" s="93"/>
      <c r="HUJ24" s="93"/>
      <c r="HUK24" s="93"/>
      <c r="HUL24" s="93"/>
      <c r="HUM24" s="93"/>
      <c r="HUN24" s="93"/>
      <c r="HUO24" s="93"/>
      <c r="HUP24" s="93"/>
      <c r="HUQ24" s="93"/>
      <c r="HUR24" s="93"/>
      <c r="HUS24" s="93"/>
      <c r="HUT24" s="93"/>
      <c r="HUU24" s="93"/>
      <c r="HUV24" s="93"/>
      <c r="HUW24" s="93"/>
      <c r="HUX24" s="93"/>
      <c r="HUY24" s="93"/>
      <c r="HUZ24" s="93"/>
      <c r="HVA24" s="93"/>
      <c r="HVB24" s="93"/>
      <c r="HVC24" s="93"/>
      <c r="HVD24" s="93"/>
      <c r="HVE24" s="93"/>
      <c r="HVF24" s="93"/>
      <c r="HVG24" s="93"/>
      <c r="HVH24" s="93"/>
      <c r="HVI24" s="93"/>
      <c r="HVJ24" s="93"/>
      <c r="HVK24" s="93"/>
      <c r="HVL24" s="93"/>
      <c r="HVM24" s="93"/>
      <c r="HVN24" s="93"/>
      <c r="HVO24" s="93"/>
      <c r="HVP24" s="93"/>
      <c r="HVQ24" s="93"/>
      <c r="HVR24" s="93"/>
      <c r="HVS24" s="93"/>
      <c r="HVT24" s="93"/>
      <c r="HVU24" s="93"/>
      <c r="HVV24" s="93"/>
      <c r="HVW24" s="93"/>
      <c r="HVX24" s="93"/>
      <c r="HVY24" s="93"/>
      <c r="HVZ24" s="93"/>
      <c r="HWA24" s="93"/>
      <c r="HWB24" s="93"/>
      <c r="HWC24" s="93"/>
      <c r="HWD24" s="93"/>
      <c r="HWE24" s="93"/>
      <c r="HWF24" s="93"/>
      <c r="HWG24" s="93"/>
      <c r="HWH24" s="93"/>
      <c r="HWI24" s="93"/>
      <c r="HWJ24" s="93"/>
      <c r="HWK24" s="93"/>
      <c r="HWL24" s="93"/>
      <c r="HWM24" s="93"/>
      <c r="HWN24" s="93"/>
      <c r="HWO24" s="93"/>
      <c r="HWP24" s="93"/>
      <c r="HWQ24" s="93"/>
      <c r="HWR24" s="93"/>
      <c r="HWS24" s="93"/>
      <c r="HWT24" s="93"/>
      <c r="HWU24" s="93"/>
      <c r="HWV24" s="93"/>
      <c r="HWW24" s="93"/>
      <c r="HWX24" s="93"/>
      <c r="HWY24" s="93"/>
      <c r="HWZ24" s="93"/>
      <c r="HXA24" s="93"/>
      <c r="HXB24" s="93"/>
      <c r="HXC24" s="93"/>
      <c r="HXD24" s="93"/>
      <c r="HXE24" s="93"/>
      <c r="HXF24" s="93"/>
      <c r="HXG24" s="93"/>
      <c r="HXH24" s="93"/>
      <c r="HXI24" s="93"/>
      <c r="HXJ24" s="93"/>
      <c r="HXK24" s="93"/>
      <c r="HXL24" s="93"/>
      <c r="HXM24" s="93"/>
      <c r="HXN24" s="93"/>
      <c r="HXO24" s="93"/>
      <c r="HXP24" s="93"/>
      <c r="HXQ24" s="93"/>
      <c r="HXR24" s="93"/>
      <c r="HXS24" s="93"/>
      <c r="HXT24" s="93"/>
      <c r="HXU24" s="93"/>
      <c r="HXV24" s="93"/>
      <c r="HXW24" s="93"/>
      <c r="HXX24" s="93"/>
      <c r="HXY24" s="93"/>
      <c r="HXZ24" s="93"/>
      <c r="HYA24" s="93"/>
      <c r="HYB24" s="93"/>
      <c r="HYC24" s="93"/>
      <c r="HYD24" s="93"/>
      <c r="HYE24" s="93"/>
      <c r="HYF24" s="93"/>
      <c r="HYG24" s="93"/>
      <c r="HYH24" s="93"/>
      <c r="HYI24" s="93"/>
      <c r="HYJ24" s="93"/>
      <c r="HYK24" s="93"/>
      <c r="HYL24" s="93"/>
      <c r="HYM24" s="93"/>
      <c r="HYN24" s="93"/>
      <c r="HYO24" s="93"/>
      <c r="HYP24" s="93"/>
      <c r="HYQ24" s="93"/>
      <c r="HYR24" s="93"/>
      <c r="HYS24" s="93"/>
      <c r="HYT24" s="93"/>
      <c r="HYU24" s="93"/>
      <c r="HYV24" s="93"/>
      <c r="HYW24" s="93"/>
      <c r="HYX24" s="93"/>
      <c r="HYY24" s="93"/>
      <c r="HYZ24" s="93"/>
      <c r="HZA24" s="93"/>
      <c r="HZB24" s="93"/>
      <c r="HZC24" s="93"/>
      <c r="HZD24" s="93"/>
      <c r="HZE24" s="93"/>
      <c r="HZF24" s="93"/>
      <c r="HZG24" s="93"/>
      <c r="HZH24" s="93"/>
      <c r="HZI24" s="93"/>
      <c r="HZJ24" s="93"/>
      <c r="HZK24" s="93"/>
      <c r="HZL24" s="93"/>
      <c r="HZM24" s="93"/>
      <c r="HZN24" s="93"/>
      <c r="HZO24" s="93"/>
      <c r="HZP24" s="93"/>
      <c r="HZQ24" s="93"/>
      <c r="HZR24" s="93"/>
      <c r="HZS24" s="93"/>
      <c r="HZT24" s="93"/>
      <c r="HZU24" s="93"/>
      <c r="HZV24" s="93"/>
      <c r="HZW24" s="93"/>
      <c r="HZX24" s="93"/>
      <c r="HZY24" s="93"/>
      <c r="HZZ24" s="93"/>
      <c r="IAA24" s="93"/>
      <c r="IAB24" s="93"/>
      <c r="IAC24" s="93"/>
      <c r="IAD24" s="93"/>
      <c r="IAE24" s="93"/>
      <c r="IAF24" s="93"/>
      <c r="IAG24" s="93"/>
      <c r="IAH24" s="93"/>
      <c r="IAI24" s="93"/>
      <c r="IAJ24" s="93"/>
      <c r="IAK24" s="93"/>
      <c r="IAL24" s="93"/>
      <c r="IAM24" s="93"/>
      <c r="IAN24" s="93"/>
      <c r="IAO24" s="93"/>
      <c r="IAP24" s="93"/>
      <c r="IAQ24" s="93"/>
      <c r="IAR24" s="93"/>
      <c r="IAS24" s="93"/>
      <c r="IAT24" s="93"/>
      <c r="IAU24" s="93"/>
      <c r="IAV24" s="93"/>
      <c r="IAW24" s="93"/>
      <c r="IAX24" s="93"/>
      <c r="IAY24" s="93"/>
      <c r="IAZ24" s="93"/>
      <c r="IBA24" s="93"/>
      <c r="IBB24" s="93"/>
      <c r="IBC24" s="93"/>
      <c r="IBD24" s="93"/>
      <c r="IBE24" s="93"/>
      <c r="IBF24" s="93"/>
      <c r="IBG24" s="93"/>
      <c r="IBH24" s="93"/>
      <c r="IBI24" s="93"/>
      <c r="IBJ24" s="93"/>
      <c r="IBK24" s="93"/>
      <c r="IBL24" s="93"/>
      <c r="IBM24" s="93"/>
      <c r="IBN24" s="93"/>
      <c r="IBO24" s="93"/>
      <c r="IBP24" s="93"/>
      <c r="IBQ24" s="93"/>
      <c r="IBR24" s="93"/>
      <c r="IBS24" s="93"/>
      <c r="IBT24" s="93"/>
      <c r="IBU24" s="93"/>
      <c r="IBV24" s="93"/>
      <c r="IBW24" s="93"/>
      <c r="IBX24" s="93"/>
      <c r="IBY24" s="93"/>
      <c r="IBZ24" s="93"/>
      <c r="ICA24" s="93"/>
      <c r="ICB24" s="93"/>
      <c r="ICC24" s="93"/>
      <c r="ICD24" s="93"/>
      <c r="ICE24" s="93"/>
      <c r="ICF24" s="93"/>
      <c r="ICG24" s="93"/>
      <c r="ICH24" s="93"/>
      <c r="ICI24" s="93"/>
      <c r="ICJ24" s="93"/>
      <c r="ICK24" s="93"/>
      <c r="ICL24" s="93"/>
      <c r="ICM24" s="93"/>
      <c r="ICN24" s="93"/>
      <c r="ICO24" s="93"/>
      <c r="ICP24" s="93"/>
      <c r="ICQ24" s="93"/>
      <c r="ICR24" s="93"/>
      <c r="ICS24" s="93"/>
      <c r="ICT24" s="93"/>
      <c r="ICU24" s="93"/>
      <c r="ICV24" s="93"/>
      <c r="ICW24" s="93"/>
      <c r="ICX24" s="93"/>
      <c r="ICY24" s="93"/>
      <c r="ICZ24" s="93"/>
      <c r="IDA24" s="93"/>
      <c r="IDB24" s="93"/>
      <c r="IDC24" s="93"/>
      <c r="IDD24" s="93"/>
      <c r="IDE24" s="93"/>
      <c r="IDF24" s="93"/>
      <c r="IDG24" s="93"/>
      <c r="IDH24" s="93"/>
      <c r="IDI24" s="93"/>
      <c r="IDJ24" s="93"/>
      <c r="IDK24" s="93"/>
      <c r="IDL24" s="93"/>
      <c r="IDM24" s="93"/>
      <c r="IDN24" s="93"/>
      <c r="IDO24" s="93"/>
      <c r="IDP24" s="93"/>
      <c r="IDQ24" s="93"/>
      <c r="IDR24" s="93"/>
      <c r="IDS24" s="93"/>
      <c r="IDT24" s="93"/>
      <c r="IDU24" s="93"/>
      <c r="IDV24" s="93"/>
      <c r="IDW24" s="93"/>
      <c r="IDX24" s="93"/>
      <c r="IDY24" s="93"/>
      <c r="IDZ24" s="93"/>
      <c r="IEA24" s="93"/>
      <c r="IEB24" s="93"/>
      <c r="IEC24" s="93"/>
      <c r="IED24" s="93"/>
      <c r="IEE24" s="93"/>
      <c r="IEF24" s="93"/>
      <c r="IEG24" s="93"/>
      <c r="IEH24" s="93"/>
      <c r="IEI24" s="93"/>
      <c r="IEJ24" s="93"/>
      <c r="IEK24" s="93"/>
      <c r="IEL24" s="93"/>
      <c r="IEM24" s="93"/>
      <c r="IEN24" s="93"/>
      <c r="IEO24" s="93"/>
      <c r="IEP24" s="93"/>
      <c r="IEQ24" s="93"/>
      <c r="IER24" s="93"/>
      <c r="IES24" s="93"/>
      <c r="IET24" s="93"/>
      <c r="IEU24" s="93"/>
      <c r="IEV24" s="93"/>
      <c r="IEW24" s="93"/>
      <c r="IEX24" s="93"/>
      <c r="IEY24" s="93"/>
      <c r="IEZ24" s="93"/>
      <c r="IFA24" s="93"/>
      <c r="IFB24" s="93"/>
      <c r="IFC24" s="93"/>
      <c r="IFD24" s="93"/>
      <c r="IFE24" s="93"/>
      <c r="IFF24" s="93"/>
      <c r="IFG24" s="93"/>
      <c r="IFH24" s="93"/>
      <c r="IFI24" s="93"/>
      <c r="IFJ24" s="93"/>
      <c r="IFK24" s="93"/>
      <c r="IFL24" s="93"/>
      <c r="IFM24" s="93"/>
      <c r="IFN24" s="93"/>
      <c r="IFO24" s="93"/>
      <c r="IFP24" s="93"/>
      <c r="IFQ24" s="93"/>
      <c r="IFR24" s="93"/>
      <c r="IFS24" s="93"/>
      <c r="IFT24" s="93"/>
      <c r="IFU24" s="93"/>
      <c r="IFV24" s="93"/>
      <c r="IFW24" s="93"/>
      <c r="IFX24" s="93"/>
      <c r="IFY24" s="93"/>
      <c r="IFZ24" s="93"/>
      <c r="IGA24" s="93"/>
      <c r="IGB24" s="93"/>
      <c r="IGC24" s="93"/>
      <c r="IGD24" s="93"/>
      <c r="IGE24" s="93"/>
      <c r="IGF24" s="93"/>
      <c r="IGG24" s="93"/>
      <c r="IGH24" s="93"/>
      <c r="IGI24" s="93"/>
      <c r="IGJ24" s="93"/>
      <c r="IGK24" s="93"/>
      <c r="IGL24" s="93"/>
      <c r="IGM24" s="93"/>
      <c r="IGN24" s="93"/>
      <c r="IGO24" s="93"/>
      <c r="IGP24" s="93"/>
      <c r="IGQ24" s="93"/>
      <c r="IGR24" s="93"/>
      <c r="IGS24" s="93"/>
      <c r="IGT24" s="93"/>
      <c r="IGU24" s="93"/>
      <c r="IGV24" s="93"/>
      <c r="IGW24" s="93"/>
      <c r="IGX24" s="93"/>
      <c r="IGY24" s="93"/>
      <c r="IGZ24" s="93"/>
      <c r="IHA24" s="93"/>
      <c r="IHB24" s="93"/>
      <c r="IHC24" s="93"/>
      <c r="IHD24" s="93"/>
      <c r="IHE24" s="93"/>
      <c r="IHF24" s="93"/>
      <c r="IHG24" s="93"/>
      <c r="IHH24" s="93"/>
      <c r="IHI24" s="93"/>
      <c r="IHJ24" s="93"/>
      <c r="IHK24" s="93"/>
      <c r="IHL24" s="93"/>
      <c r="IHM24" s="93"/>
      <c r="IHN24" s="93"/>
      <c r="IHO24" s="93"/>
      <c r="IHP24" s="93"/>
      <c r="IHQ24" s="93"/>
      <c r="IHR24" s="93"/>
      <c r="IHS24" s="93"/>
      <c r="IHT24" s="93"/>
      <c r="IHU24" s="93"/>
      <c r="IHV24" s="93"/>
      <c r="IHW24" s="93"/>
      <c r="IHX24" s="93"/>
      <c r="IHY24" s="93"/>
      <c r="IHZ24" s="93"/>
      <c r="IIA24" s="93"/>
      <c r="IIB24" s="93"/>
      <c r="IIC24" s="93"/>
      <c r="IID24" s="93"/>
      <c r="IIE24" s="93"/>
      <c r="IIF24" s="93"/>
      <c r="IIG24" s="93"/>
      <c r="IIH24" s="93"/>
      <c r="III24" s="93"/>
      <c r="IIJ24" s="93"/>
      <c r="IIK24" s="93"/>
      <c r="IIL24" s="93"/>
      <c r="IIM24" s="93"/>
      <c r="IIN24" s="93"/>
      <c r="IIO24" s="93"/>
      <c r="IIP24" s="93"/>
      <c r="IIQ24" s="93"/>
      <c r="IIR24" s="93"/>
      <c r="IIS24" s="93"/>
      <c r="IIT24" s="93"/>
      <c r="IIU24" s="93"/>
      <c r="IIV24" s="93"/>
      <c r="IIW24" s="93"/>
      <c r="IIX24" s="93"/>
      <c r="IIY24" s="93"/>
      <c r="IIZ24" s="93"/>
      <c r="IJA24" s="93"/>
      <c r="IJB24" s="93"/>
      <c r="IJC24" s="93"/>
      <c r="IJD24" s="93"/>
      <c r="IJE24" s="93"/>
      <c r="IJF24" s="93"/>
      <c r="IJG24" s="93"/>
      <c r="IJH24" s="93"/>
      <c r="IJI24" s="93"/>
      <c r="IJJ24" s="93"/>
      <c r="IJK24" s="93"/>
      <c r="IJL24" s="93"/>
      <c r="IJM24" s="93"/>
      <c r="IJN24" s="93"/>
      <c r="IJO24" s="93"/>
      <c r="IJP24" s="93"/>
      <c r="IJQ24" s="93"/>
      <c r="IJR24" s="93"/>
      <c r="IJS24" s="93"/>
      <c r="IJT24" s="93"/>
      <c r="IJU24" s="93"/>
      <c r="IJV24" s="93"/>
      <c r="IJW24" s="93"/>
      <c r="IJX24" s="93"/>
      <c r="IJY24" s="93"/>
      <c r="IJZ24" s="93"/>
      <c r="IKA24" s="93"/>
      <c r="IKB24" s="93"/>
      <c r="IKC24" s="93"/>
      <c r="IKD24" s="93"/>
      <c r="IKE24" s="93"/>
      <c r="IKF24" s="93"/>
      <c r="IKG24" s="93"/>
      <c r="IKH24" s="93"/>
      <c r="IKI24" s="93"/>
      <c r="IKJ24" s="93"/>
      <c r="IKK24" s="93"/>
      <c r="IKL24" s="93"/>
      <c r="IKM24" s="93"/>
      <c r="IKN24" s="93"/>
      <c r="IKO24" s="93"/>
      <c r="IKP24" s="93"/>
      <c r="IKQ24" s="93"/>
      <c r="IKR24" s="93"/>
      <c r="IKS24" s="93"/>
      <c r="IKT24" s="93"/>
      <c r="IKU24" s="93"/>
      <c r="IKV24" s="93"/>
      <c r="IKW24" s="93"/>
      <c r="IKX24" s="93"/>
      <c r="IKY24" s="93"/>
      <c r="IKZ24" s="93"/>
      <c r="ILA24" s="93"/>
      <c r="ILB24" s="93"/>
      <c r="ILC24" s="93"/>
      <c r="ILD24" s="93"/>
      <c r="ILE24" s="93"/>
      <c r="ILF24" s="93"/>
      <c r="ILG24" s="93"/>
      <c r="ILH24" s="93"/>
      <c r="ILI24" s="93"/>
      <c r="ILJ24" s="93"/>
      <c r="ILK24" s="93"/>
      <c r="ILL24" s="93"/>
      <c r="ILM24" s="93"/>
      <c r="ILN24" s="93"/>
      <c r="ILO24" s="93"/>
      <c r="ILP24" s="93"/>
      <c r="ILQ24" s="93"/>
      <c r="ILR24" s="93"/>
      <c r="ILS24" s="93"/>
      <c r="ILT24" s="93"/>
      <c r="ILU24" s="93"/>
      <c r="ILV24" s="93"/>
      <c r="ILW24" s="93"/>
      <c r="ILX24" s="93"/>
      <c r="ILY24" s="93"/>
      <c r="ILZ24" s="93"/>
      <c r="IMA24" s="93"/>
      <c r="IMB24" s="93"/>
      <c r="IMC24" s="93"/>
      <c r="IMD24" s="93"/>
      <c r="IME24" s="93"/>
      <c r="IMF24" s="93"/>
      <c r="IMG24" s="93"/>
      <c r="IMH24" s="93"/>
      <c r="IMI24" s="93"/>
      <c r="IMJ24" s="93"/>
      <c r="IMK24" s="93"/>
      <c r="IML24" s="93"/>
      <c r="IMM24" s="93"/>
      <c r="IMN24" s="93"/>
      <c r="IMO24" s="93"/>
      <c r="IMP24" s="93"/>
      <c r="IMQ24" s="93"/>
      <c r="IMR24" s="93"/>
      <c r="IMS24" s="93"/>
      <c r="IMT24" s="93"/>
      <c r="IMU24" s="93"/>
      <c r="IMV24" s="93"/>
      <c r="IMW24" s="93"/>
      <c r="IMX24" s="93"/>
      <c r="IMY24" s="93"/>
      <c r="IMZ24" s="93"/>
      <c r="INA24" s="93"/>
      <c r="INB24" s="93"/>
      <c r="INC24" s="93"/>
      <c r="IND24" s="93"/>
      <c r="INE24" s="93"/>
      <c r="INF24" s="93"/>
      <c r="ING24" s="93"/>
      <c r="INH24" s="93"/>
      <c r="INI24" s="93"/>
      <c r="INJ24" s="93"/>
      <c r="INK24" s="93"/>
      <c r="INL24" s="93"/>
      <c r="INM24" s="93"/>
      <c r="INN24" s="93"/>
      <c r="INO24" s="93"/>
      <c r="INP24" s="93"/>
      <c r="INQ24" s="93"/>
      <c r="INR24" s="93"/>
      <c r="INS24" s="93"/>
      <c r="INT24" s="93"/>
      <c r="INU24" s="93"/>
      <c r="INV24" s="93"/>
      <c r="INW24" s="93"/>
      <c r="INX24" s="93"/>
      <c r="INY24" s="93"/>
      <c r="INZ24" s="93"/>
      <c r="IOA24" s="93"/>
      <c r="IOB24" s="93"/>
      <c r="IOC24" s="93"/>
      <c r="IOD24" s="93"/>
      <c r="IOE24" s="93"/>
      <c r="IOF24" s="93"/>
      <c r="IOG24" s="93"/>
      <c r="IOH24" s="93"/>
      <c r="IOI24" s="93"/>
      <c r="IOJ24" s="93"/>
      <c r="IOK24" s="93"/>
      <c r="IOL24" s="93"/>
      <c r="IOM24" s="93"/>
      <c r="ION24" s="93"/>
      <c r="IOO24" s="93"/>
      <c r="IOP24" s="93"/>
      <c r="IOQ24" s="93"/>
      <c r="IOR24" s="93"/>
      <c r="IOS24" s="93"/>
      <c r="IOT24" s="93"/>
      <c r="IOU24" s="93"/>
      <c r="IOV24" s="93"/>
      <c r="IOW24" s="93"/>
      <c r="IOX24" s="93"/>
      <c r="IOY24" s="93"/>
      <c r="IOZ24" s="93"/>
      <c r="IPA24" s="93"/>
      <c r="IPB24" s="93"/>
      <c r="IPC24" s="93"/>
      <c r="IPD24" s="93"/>
      <c r="IPE24" s="93"/>
      <c r="IPF24" s="93"/>
      <c r="IPG24" s="93"/>
      <c r="IPH24" s="93"/>
      <c r="IPI24" s="93"/>
      <c r="IPJ24" s="93"/>
      <c r="IPK24" s="93"/>
      <c r="IPL24" s="93"/>
      <c r="IPM24" s="93"/>
      <c r="IPN24" s="93"/>
      <c r="IPO24" s="93"/>
      <c r="IPP24" s="93"/>
      <c r="IPQ24" s="93"/>
      <c r="IPR24" s="93"/>
      <c r="IPS24" s="93"/>
      <c r="IPT24" s="93"/>
      <c r="IPU24" s="93"/>
      <c r="IPV24" s="93"/>
      <c r="IPW24" s="93"/>
      <c r="IPX24" s="93"/>
      <c r="IPY24" s="93"/>
      <c r="IPZ24" s="93"/>
      <c r="IQA24" s="93"/>
      <c r="IQB24" s="93"/>
      <c r="IQC24" s="93"/>
      <c r="IQD24" s="93"/>
      <c r="IQE24" s="93"/>
      <c r="IQF24" s="93"/>
      <c r="IQG24" s="93"/>
      <c r="IQH24" s="93"/>
      <c r="IQI24" s="93"/>
      <c r="IQJ24" s="93"/>
      <c r="IQK24" s="93"/>
      <c r="IQL24" s="93"/>
      <c r="IQM24" s="93"/>
      <c r="IQN24" s="93"/>
      <c r="IQO24" s="93"/>
      <c r="IQP24" s="93"/>
      <c r="IQQ24" s="93"/>
      <c r="IQR24" s="93"/>
      <c r="IQS24" s="93"/>
      <c r="IQT24" s="93"/>
      <c r="IQU24" s="93"/>
      <c r="IQV24" s="93"/>
      <c r="IQW24" s="93"/>
      <c r="IQX24" s="93"/>
      <c r="IQY24" s="93"/>
      <c r="IQZ24" s="93"/>
      <c r="IRA24" s="93"/>
      <c r="IRB24" s="93"/>
      <c r="IRC24" s="93"/>
      <c r="IRD24" s="93"/>
      <c r="IRE24" s="93"/>
      <c r="IRF24" s="93"/>
      <c r="IRG24" s="93"/>
      <c r="IRH24" s="93"/>
      <c r="IRI24" s="93"/>
      <c r="IRJ24" s="93"/>
      <c r="IRK24" s="93"/>
      <c r="IRL24" s="93"/>
      <c r="IRM24" s="93"/>
      <c r="IRN24" s="93"/>
      <c r="IRO24" s="93"/>
      <c r="IRP24" s="93"/>
      <c r="IRQ24" s="93"/>
      <c r="IRR24" s="93"/>
      <c r="IRS24" s="93"/>
      <c r="IRT24" s="93"/>
      <c r="IRU24" s="93"/>
      <c r="IRV24" s="93"/>
      <c r="IRW24" s="93"/>
      <c r="IRX24" s="93"/>
      <c r="IRY24" s="93"/>
      <c r="IRZ24" s="93"/>
      <c r="ISA24" s="93"/>
      <c r="ISB24" s="93"/>
      <c r="ISC24" s="93"/>
      <c r="ISD24" s="93"/>
      <c r="ISE24" s="93"/>
      <c r="ISF24" s="93"/>
      <c r="ISG24" s="93"/>
      <c r="ISH24" s="93"/>
      <c r="ISI24" s="93"/>
      <c r="ISJ24" s="93"/>
      <c r="ISK24" s="93"/>
      <c r="ISL24" s="93"/>
      <c r="ISM24" s="93"/>
      <c r="ISN24" s="93"/>
      <c r="ISO24" s="93"/>
      <c r="ISP24" s="93"/>
      <c r="ISQ24" s="93"/>
      <c r="ISR24" s="93"/>
      <c r="ISS24" s="93"/>
      <c r="IST24" s="93"/>
      <c r="ISU24" s="93"/>
      <c r="ISV24" s="93"/>
      <c r="ISW24" s="93"/>
      <c r="ISX24" s="93"/>
      <c r="ISY24" s="93"/>
      <c r="ISZ24" s="93"/>
      <c r="ITA24" s="93"/>
      <c r="ITB24" s="93"/>
      <c r="ITC24" s="93"/>
      <c r="ITD24" s="93"/>
      <c r="ITE24" s="93"/>
      <c r="ITF24" s="93"/>
      <c r="ITG24" s="93"/>
      <c r="ITH24" s="93"/>
      <c r="ITI24" s="93"/>
      <c r="ITJ24" s="93"/>
      <c r="ITK24" s="93"/>
      <c r="ITL24" s="93"/>
      <c r="ITM24" s="93"/>
      <c r="ITN24" s="93"/>
      <c r="ITO24" s="93"/>
      <c r="ITP24" s="93"/>
      <c r="ITQ24" s="93"/>
      <c r="ITR24" s="93"/>
      <c r="ITS24" s="93"/>
      <c r="ITT24" s="93"/>
      <c r="ITU24" s="93"/>
      <c r="ITV24" s="93"/>
      <c r="ITW24" s="93"/>
      <c r="ITX24" s="93"/>
      <c r="ITY24" s="93"/>
      <c r="ITZ24" s="93"/>
      <c r="IUA24" s="93"/>
      <c r="IUB24" s="93"/>
      <c r="IUC24" s="93"/>
      <c r="IUD24" s="93"/>
      <c r="IUE24" s="93"/>
      <c r="IUF24" s="93"/>
      <c r="IUG24" s="93"/>
      <c r="IUH24" s="93"/>
      <c r="IUI24" s="93"/>
      <c r="IUJ24" s="93"/>
      <c r="IUK24" s="93"/>
      <c r="IUL24" s="93"/>
      <c r="IUM24" s="93"/>
      <c r="IUN24" s="93"/>
      <c r="IUO24" s="93"/>
      <c r="IUP24" s="93"/>
      <c r="IUQ24" s="93"/>
      <c r="IUR24" s="93"/>
      <c r="IUS24" s="93"/>
      <c r="IUT24" s="93"/>
      <c r="IUU24" s="93"/>
      <c r="IUV24" s="93"/>
      <c r="IUW24" s="93"/>
      <c r="IUX24" s="93"/>
      <c r="IUY24" s="93"/>
      <c r="IUZ24" s="93"/>
      <c r="IVA24" s="93"/>
      <c r="IVB24" s="93"/>
      <c r="IVC24" s="93"/>
      <c r="IVD24" s="93"/>
      <c r="IVE24" s="93"/>
      <c r="IVF24" s="93"/>
      <c r="IVG24" s="93"/>
      <c r="IVH24" s="93"/>
      <c r="IVI24" s="93"/>
      <c r="IVJ24" s="93"/>
      <c r="IVK24" s="93"/>
      <c r="IVL24" s="93"/>
      <c r="IVM24" s="93"/>
      <c r="IVN24" s="93"/>
      <c r="IVO24" s="93"/>
      <c r="IVP24" s="93"/>
      <c r="IVQ24" s="93"/>
      <c r="IVR24" s="93"/>
      <c r="IVS24" s="93"/>
      <c r="IVT24" s="93"/>
      <c r="IVU24" s="93"/>
      <c r="IVV24" s="93"/>
      <c r="IVW24" s="93"/>
      <c r="IVX24" s="93"/>
      <c r="IVY24" s="93"/>
      <c r="IVZ24" s="93"/>
      <c r="IWA24" s="93"/>
      <c r="IWB24" s="93"/>
      <c r="IWC24" s="93"/>
      <c r="IWD24" s="93"/>
      <c r="IWE24" s="93"/>
      <c r="IWF24" s="93"/>
      <c r="IWG24" s="93"/>
      <c r="IWH24" s="93"/>
      <c r="IWI24" s="93"/>
      <c r="IWJ24" s="93"/>
      <c r="IWK24" s="93"/>
      <c r="IWL24" s="93"/>
      <c r="IWM24" s="93"/>
      <c r="IWN24" s="93"/>
      <c r="IWO24" s="93"/>
      <c r="IWP24" s="93"/>
      <c r="IWQ24" s="93"/>
      <c r="IWR24" s="93"/>
      <c r="IWS24" s="93"/>
      <c r="IWT24" s="93"/>
      <c r="IWU24" s="93"/>
      <c r="IWV24" s="93"/>
      <c r="IWW24" s="93"/>
      <c r="IWX24" s="93"/>
      <c r="IWY24" s="93"/>
      <c r="IWZ24" s="93"/>
      <c r="IXA24" s="93"/>
      <c r="IXB24" s="93"/>
      <c r="IXC24" s="93"/>
      <c r="IXD24" s="93"/>
      <c r="IXE24" s="93"/>
      <c r="IXF24" s="93"/>
      <c r="IXG24" s="93"/>
      <c r="IXH24" s="93"/>
      <c r="IXI24" s="93"/>
      <c r="IXJ24" s="93"/>
      <c r="IXK24" s="93"/>
      <c r="IXL24" s="93"/>
      <c r="IXM24" s="93"/>
      <c r="IXN24" s="93"/>
      <c r="IXO24" s="93"/>
      <c r="IXP24" s="93"/>
      <c r="IXQ24" s="93"/>
      <c r="IXR24" s="93"/>
      <c r="IXS24" s="93"/>
      <c r="IXT24" s="93"/>
      <c r="IXU24" s="93"/>
      <c r="IXV24" s="93"/>
      <c r="IXW24" s="93"/>
      <c r="IXX24" s="93"/>
      <c r="IXY24" s="93"/>
      <c r="IXZ24" s="93"/>
      <c r="IYA24" s="93"/>
      <c r="IYB24" s="93"/>
      <c r="IYC24" s="93"/>
      <c r="IYD24" s="93"/>
      <c r="IYE24" s="93"/>
      <c r="IYF24" s="93"/>
      <c r="IYG24" s="93"/>
      <c r="IYH24" s="93"/>
      <c r="IYI24" s="93"/>
      <c r="IYJ24" s="93"/>
      <c r="IYK24" s="93"/>
      <c r="IYL24" s="93"/>
      <c r="IYM24" s="93"/>
      <c r="IYN24" s="93"/>
      <c r="IYO24" s="93"/>
      <c r="IYP24" s="93"/>
      <c r="IYQ24" s="93"/>
      <c r="IYR24" s="93"/>
      <c r="IYS24" s="93"/>
      <c r="IYT24" s="93"/>
      <c r="IYU24" s="93"/>
      <c r="IYV24" s="93"/>
      <c r="IYW24" s="93"/>
      <c r="IYX24" s="93"/>
      <c r="IYY24" s="93"/>
      <c r="IYZ24" s="93"/>
      <c r="IZA24" s="93"/>
      <c r="IZB24" s="93"/>
      <c r="IZC24" s="93"/>
      <c r="IZD24" s="93"/>
      <c r="IZE24" s="93"/>
      <c r="IZF24" s="93"/>
      <c r="IZG24" s="93"/>
      <c r="IZH24" s="93"/>
      <c r="IZI24" s="93"/>
      <c r="IZJ24" s="93"/>
      <c r="IZK24" s="93"/>
      <c r="IZL24" s="93"/>
      <c r="IZM24" s="93"/>
      <c r="IZN24" s="93"/>
      <c r="IZO24" s="93"/>
      <c r="IZP24" s="93"/>
      <c r="IZQ24" s="93"/>
      <c r="IZR24" s="93"/>
      <c r="IZS24" s="93"/>
      <c r="IZT24" s="93"/>
      <c r="IZU24" s="93"/>
      <c r="IZV24" s="93"/>
      <c r="IZW24" s="93"/>
      <c r="IZX24" s="93"/>
      <c r="IZY24" s="93"/>
      <c r="IZZ24" s="93"/>
      <c r="JAA24" s="93"/>
      <c r="JAB24" s="93"/>
      <c r="JAC24" s="93"/>
      <c r="JAD24" s="93"/>
      <c r="JAE24" s="93"/>
      <c r="JAF24" s="93"/>
      <c r="JAG24" s="93"/>
      <c r="JAH24" s="93"/>
      <c r="JAI24" s="93"/>
      <c r="JAJ24" s="93"/>
      <c r="JAK24" s="93"/>
      <c r="JAL24" s="93"/>
      <c r="JAM24" s="93"/>
      <c r="JAN24" s="93"/>
      <c r="JAO24" s="93"/>
      <c r="JAP24" s="93"/>
      <c r="JAQ24" s="93"/>
      <c r="JAR24" s="93"/>
      <c r="JAS24" s="93"/>
      <c r="JAT24" s="93"/>
      <c r="JAU24" s="93"/>
      <c r="JAV24" s="93"/>
      <c r="JAW24" s="93"/>
      <c r="JAX24" s="93"/>
      <c r="JAY24" s="93"/>
      <c r="JAZ24" s="93"/>
      <c r="JBA24" s="93"/>
      <c r="JBB24" s="93"/>
      <c r="JBC24" s="93"/>
      <c r="JBD24" s="93"/>
      <c r="JBE24" s="93"/>
      <c r="JBF24" s="93"/>
      <c r="JBG24" s="93"/>
      <c r="JBH24" s="93"/>
      <c r="JBI24" s="93"/>
      <c r="JBJ24" s="93"/>
      <c r="JBK24" s="93"/>
      <c r="JBL24" s="93"/>
      <c r="JBM24" s="93"/>
      <c r="JBN24" s="93"/>
      <c r="JBO24" s="93"/>
      <c r="JBP24" s="93"/>
      <c r="JBQ24" s="93"/>
      <c r="JBR24" s="93"/>
      <c r="JBS24" s="93"/>
      <c r="JBT24" s="93"/>
      <c r="JBU24" s="93"/>
      <c r="JBV24" s="93"/>
      <c r="JBW24" s="93"/>
      <c r="JBX24" s="93"/>
      <c r="JBY24" s="93"/>
      <c r="JBZ24" s="93"/>
      <c r="JCA24" s="93"/>
      <c r="JCB24" s="93"/>
      <c r="JCC24" s="93"/>
      <c r="JCD24" s="93"/>
      <c r="JCE24" s="93"/>
      <c r="JCF24" s="93"/>
      <c r="JCG24" s="93"/>
      <c r="JCH24" s="93"/>
      <c r="JCI24" s="93"/>
      <c r="JCJ24" s="93"/>
      <c r="JCK24" s="93"/>
      <c r="JCL24" s="93"/>
      <c r="JCM24" s="93"/>
      <c r="JCN24" s="93"/>
      <c r="JCO24" s="93"/>
      <c r="JCP24" s="93"/>
      <c r="JCQ24" s="93"/>
      <c r="JCR24" s="93"/>
      <c r="JCS24" s="93"/>
      <c r="JCT24" s="93"/>
      <c r="JCU24" s="93"/>
      <c r="JCV24" s="93"/>
      <c r="JCW24" s="93"/>
      <c r="JCX24" s="93"/>
      <c r="JCY24" s="93"/>
      <c r="JCZ24" s="93"/>
      <c r="JDA24" s="93"/>
      <c r="JDB24" s="93"/>
      <c r="JDC24" s="93"/>
      <c r="JDD24" s="93"/>
      <c r="JDE24" s="93"/>
      <c r="JDF24" s="93"/>
      <c r="JDG24" s="93"/>
      <c r="JDH24" s="93"/>
      <c r="JDI24" s="93"/>
      <c r="JDJ24" s="93"/>
      <c r="JDK24" s="93"/>
      <c r="JDL24" s="93"/>
      <c r="JDM24" s="93"/>
      <c r="JDN24" s="93"/>
      <c r="JDO24" s="93"/>
      <c r="JDP24" s="93"/>
      <c r="JDQ24" s="93"/>
      <c r="JDR24" s="93"/>
      <c r="JDS24" s="93"/>
      <c r="JDT24" s="93"/>
      <c r="JDU24" s="93"/>
      <c r="JDV24" s="93"/>
      <c r="JDW24" s="93"/>
      <c r="JDX24" s="93"/>
      <c r="JDY24" s="93"/>
      <c r="JDZ24" s="93"/>
      <c r="JEA24" s="93"/>
      <c r="JEB24" s="93"/>
      <c r="JEC24" s="93"/>
      <c r="JED24" s="93"/>
      <c r="JEE24" s="93"/>
      <c r="JEF24" s="93"/>
      <c r="JEG24" s="93"/>
      <c r="JEH24" s="93"/>
      <c r="JEI24" s="93"/>
      <c r="JEJ24" s="93"/>
      <c r="JEK24" s="93"/>
      <c r="JEL24" s="93"/>
      <c r="JEM24" s="93"/>
      <c r="JEN24" s="93"/>
      <c r="JEO24" s="93"/>
      <c r="JEP24" s="93"/>
      <c r="JEQ24" s="93"/>
      <c r="JER24" s="93"/>
      <c r="JES24" s="93"/>
      <c r="JET24" s="93"/>
      <c r="JEU24" s="93"/>
      <c r="JEV24" s="93"/>
      <c r="JEW24" s="93"/>
      <c r="JEX24" s="93"/>
      <c r="JEY24" s="93"/>
      <c r="JEZ24" s="93"/>
      <c r="JFA24" s="93"/>
      <c r="JFB24" s="93"/>
      <c r="JFC24" s="93"/>
      <c r="JFD24" s="93"/>
      <c r="JFE24" s="93"/>
      <c r="JFF24" s="93"/>
      <c r="JFG24" s="93"/>
      <c r="JFH24" s="93"/>
      <c r="JFI24" s="93"/>
      <c r="JFJ24" s="93"/>
      <c r="JFK24" s="93"/>
      <c r="JFL24" s="93"/>
      <c r="JFM24" s="93"/>
      <c r="JFN24" s="93"/>
      <c r="JFO24" s="93"/>
      <c r="JFP24" s="93"/>
      <c r="JFQ24" s="93"/>
      <c r="JFR24" s="93"/>
      <c r="JFS24" s="93"/>
      <c r="JFT24" s="93"/>
      <c r="JFU24" s="93"/>
      <c r="JFV24" s="93"/>
      <c r="JFW24" s="93"/>
      <c r="JFX24" s="93"/>
      <c r="JFY24" s="93"/>
      <c r="JFZ24" s="93"/>
      <c r="JGA24" s="93"/>
      <c r="JGB24" s="93"/>
      <c r="JGC24" s="93"/>
      <c r="JGD24" s="93"/>
      <c r="JGE24" s="93"/>
      <c r="JGF24" s="93"/>
      <c r="JGG24" s="93"/>
      <c r="JGH24" s="93"/>
      <c r="JGI24" s="93"/>
      <c r="JGJ24" s="93"/>
      <c r="JGK24" s="93"/>
      <c r="JGL24" s="93"/>
      <c r="JGM24" s="93"/>
      <c r="JGN24" s="93"/>
      <c r="JGO24" s="93"/>
      <c r="JGP24" s="93"/>
      <c r="JGQ24" s="93"/>
      <c r="JGR24" s="93"/>
      <c r="JGS24" s="93"/>
      <c r="JGT24" s="93"/>
      <c r="JGU24" s="93"/>
      <c r="JGV24" s="93"/>
      <c r="JGW24" s="93"/>
      <c r="JGX24" s="93"/>
      <c r="JGY24" s="93"/>
      <c r="JGZ24" s="93"/>
      <c r="JHA24" s="93"/>
      <c r="JHB24" s="93"/>
      <c r="JHC24" s="93"/>
      <c r="JHD24" s="93"/>
      <c r="JHE24" s="93"/>
      <c r="JHF24" s="93"/>
      <c r="JHG24" s="93"/>
      <c r="JHH24" s="93"/>
      <c r="JHI24" s="93"/>
      <c r="JHJ24" s="93"/>
      <c r="JHK24" s="93"/>
      <c r="JHL24" s="93"/>
      <c r="JHM24" s="93"/>
      <c r="JHN24" s="93"/>
      <c r="JHO24" s="93"/>
      <c r="JHP24" s="93"/>
      <c r="JHQ24" s="93"/>
      <c r="JHR24" s="93"/>
      <c r="JHS24" s="93"/>
      <c r="JHT24" s="93"/>
      <c r="JHU24" s="93"/>
      <c r="JHV24" s="93"/>
      <c r="JHW24" s="93"/>
      <c r="JHX24" s="93"/>
      <c r="JHY24" s="93"/>
      <c r="JHZ24" s="93"/>
      <c r="JIA24" s="93"/>
      <c r="JIB24" s="93"/>
      <c r="JIC24" s="93"/>
      <c r="JID24" s="93"/>
      <c r="JIE24" s="93"/>
      <c r="JIF24" s="93"/>
      <c r="JIG24" s="93"/>
      <c r="JIH24" s="93"/>
      <c r="JII24" s="93"/>
      <c r="JIJ24" s="93"/>
      <c r="JIK24" s="93"/>
      <c r="JIL24" s="93"/>
      <c r="JIM24" s="93"/>
      <c r="JIN24" s="93"/>
      <c r="JIO24" s="93"/>
      <c r="JIP24" s="93"/>
      <c r="JIQ24" s="93"/>
      <c r="JIR24" s="93"/>
      <c r="JIS24" s="93"/>
      <c r="JIT24" s="93"/>
      <c r="JIU24" s="93"/>
      <c r="JIV24" s="93"/>
      <c r="JIW24" s="93"/>
      <c r="JIX24" s="93"/>
      <c r="JIY24" s="93"/>
      <c r="JIZ24" s="93"/>
      <c r="JJA24" s="93"/>
      <c r="JJB24" s="93"/>
      <c r="JJC24" s="93"/>
      <c r="JJD24" s="93"/>
      <c r="JJE24" s="93"/>
      <c r="JJF24" s="93"/>
      <c r="JJG24" s="93"/>
      <c r="JJH24" s="93"/>
      <c r="JJI24" s="93"/>
      <c r="JJJ24" s="93"/>
      <c r="JJK24" s="93"/>
      <c r="JJL24" s="93"/>
      <c r="JJM24" s="93"/>
      <c r="JJN24" s="93"/>
      <c r="JJO24" s="93"/>
      <c r="JJP24" s="93"/>
      <c r="JJQ24" s="93"/>
      <c r="JJR24" s="93"/>
      <c r="JJS24" s="93"/>
      <c r="JJT24" s="93"/>
      <c r="JJU24" s="93"/>
      <c r="JJV24" s="93"/>
      <c r="JJW24" s="93"/>
      <c r="JJX24" s="93"/>
      <c r="JJY24" s="93"/>
      <c r="JJZ24" s="93"/>
      <c r="JKA24" s="93"/>
      <c r="JKB24" s="93"/>
      <c r="JKC24" s="93"/>
      <c r="JKD24" s="93"/>
      <c r="JKE24" s="93"/>
      <c r="JKF24" s="93"/>
      <c r="JKG24" s="93"/>
      <c r="JKH24" s="93"/>
      <c r="JKI24" s="93"/>
      <c r="JKJ24" s="93"/>
      <c r="JKK24" s="93"/>
      <c r="JKL24" s="93"/>
      <c r="JKM24" s="93"/>
      <c r="JKN24" s="93"/>
      <c r="JKO24" s="93"/>
      <c r="JKP24" s="93"/>
      <c r="JKQ24" s="93"/>
      <c r="JKR24" s="93"/>
      <c r="JKS24" s="93"/>
      <c r="JKT24" s="93"/>
      <c r="JKU24" s="93"/>
      <c r="JKV24" s="93"/>
      <c r="JKW24" s="93"/>
      <c r="JKX24" s="93"/>
      <c r="JKY24" s="93"/>
      <c r="JKZ24" s="93"/>
      <c r="JLA24" s="93"/>
      <c r="JLB24" s="93"/>
      <c r="JLC24" s="93"/>
      <c r="JLD24" s="93"/>
      <c r="JLE24" s="93"/>
      <c r="JLF24" s="93"/>
      <c r="JLG24" s="93"/>
      <c r="JLH24" s="93"/>
      <c r="JLI24" s="93"/>
      <c r="JLJ24" s="93"/>
      <c r="JLK24" s="93"/>
      <c r="JLL24" s="93"/>
      <c r="JLM24" s="93"/>
      <c r="JLN24" s="93"/>
      <c r="JLO24" s="93"/>
      <c r="JLP24" s="93"/>
      <c r="JLQ24" s="93"/>
      <c r="JLR24" s="93"/>
      <c r="JLS24" s="93"/>
      <c r="JLT24" s="93"/>
      <c r="JLU24" s="93"/>
      <c r="JLV24" s="93"/>
      <c r="JLW24" s="93"/>
      <c r="JLX24" s="93"/>
      <c r="JLY24" s="93"/>
      <c r="JLZ24" s="93"/>
      <c r="JMA24" s="93"/>
      <c r="JMB24" s="93"/>
      <c r="JMC24" s="93"/>
      <c r="JMD24" s="93"/>
      <c r="JME24" s="93"/>
      <c r="JMF24" s="93"/>
      <c r="JMG24" s="93"/>
      <c r="JMH24" s="93"/>
      <c r="JMI24" s="93"/>
      <c r="JMJ24" s="93"/>
      <c r="JMK24" s="93"/>
      <c r="JML24" s="93"/>
      <c r="JMM24" s="93"/>
      <c r="JMN24" s="93"/>
      <c r="JMO24" s="93"/>
      <c r="JMP24" s="93"/>
      <c r="JMQ24" s="93"/>
      <c r="JMR24" s="93"/>
      <c r="JMS24" s="93"/>
      <c r="JMT24" s="93"/>
      <c r="JMU24" s="93"/>
      <c r="JMV24" s="93"/>
      <c r="JMW24" s="93"/>
      <c r="JMX24" s="93"/>
      <c r="JMY24" s="93"/>
      <c r="JMZ24" s="93"/>
      <c r="JNA24" s="93"/>
      <c r="JNB24" s="93"/>
      <c r="JNC24" s="93"/>
      <c r="JND24" s="93"/>
      <c r="JNE24" s="93"/>
      <c r="JNF24" s="93"/>
      <c r="JNG24" s="93"/>
      <c r="JNH24" s="93"/>
      <c r="JNI24" s="93"/>
      <c r="JNJ24" s="93"/>
      <c r="JNK24" s="93"/>
      <c r="JNL24" s="93"/>
      <c r="JNM24" s="93"/>
      <c r="JNN24" s="93"/>
      <c r="JNO24" s="93"/>
      <c r="JNP24" s="93"/>
      <c r="JNQ24" s="93"/>
      <c r="JNR24" s="93"/>
      <c r="JNS24" s="93"/>
      <c r="JNT24" s="93"/>
      <c r="JNU24" s="93"/>
      <c r="JNV24" s="93"/>
      <c r="JNW24" s="93"/>
      <c r="JNX24" s="93"/>
      <c r="JNY24" s="93"/>
      <c r="JNZ24" s="93"/>
      <c r="JOA24" s="93"/>
      <c r="JOB24" s="93"/>
      <c r="JOC24" s="93"/>
      <c r="JOD24" s="93"/>
      <c r="JOE24" s="93"/>
      <c r="JOF24" s="93"/>
      <c r="JOG24" s="93"/>
      <c r="JOH24" s="93"/>
      <c r="JOI24" s="93"/>
      <c r="JOJ24" s="93"/>
      <c r="JOK24" s="93"/>
      <c r="JOL24" s="93"/>
      <c r="JOM24" s="93"/>
      <c r="JON24" s="93"/>
      <c r="JOO24" s="93"/>
      <c r="JOP24" s="93"/>
      <c r="JOQ24" s="93"/>
      <c r="JOR24" s="93"/>
      <c r="JOS24" s="93"/>
      <c r="JOT24" s="93"/>
      <c r="JOU24" s="93"/>
      <c r="JOV24" s="93"/>
      <c r="JOW24" s="93"/>
      <c r="JOX24" s="93"/>
      <c r="JOY24" s="93"/>
      <c r="JOZ24" s="93"/>
      <c r="JPA24" s="93"/>
      <c r="JPB24" s="93"/>
      <c r="JPC24" s="93"/>
      <c r="JPD24" s="93"/>
      <c r="JPE24" s="93"/>
      <c r="JPF24" s="93"/>
      <c r="JPG24" s="93"/>
      <c r="JPH24" s="93"/>
      <c r="JPI24" s="93"/>
      <c r="JPJ24" s="93"/>
      <c r="JPK24" s="93"/>
      <c r="JPL24" s="93"/>
      <c r="JPM24" s="93"/>
      <c r="JPN24" s="93"/>
      <c r="JPO24" s="93"/>
      <c r="JPP24" s="93"/>
      <c r="JPQ24" s="93"/>
      <c r="JPR24" s="93"/>
      <c r="JPS24" s="93"/>
      <c r="JPT24" s="93"/>
      <c r="JPU24" s="93"/>
      <c r="JPV24" s="93"/>
      <c r="JPW24" s="93"/>
      <c r="JPX24" s="93"/>
      <c r="JPY24" s="93"/>
      <c r="JPZ24" s="93"/>
      <c r="JQA24" s="93"/>
      <c r="JQB24" s="93"/>
      <c r="JQC24" s="93"/>
      <c r="JQD24" s="93"/>
      <c r="JQE24" s="93"/>
      <c r="JQF24" s="93"/>
      <c r="JQG24" s="93"/>
      <c r="JQH24" s="93"/>
      <c r="JQI24" s="93"/>
      <c r="JQJ24" s="93"/>
      <c r="JQK24" s="93"/>
      <c r="JQL24" s="93"/>
      <c r="JQM24" s="93"/>
      <c r="JQN24" s="93"/>
      <c r="JQO24" s="93"/>
      <c r="JQP24" s="93"/>
      <c r="JQQ24" s="93"/>
      <c r="JQR24" s="93"/>
      <c r="JQS24" s="93"/>
      <c r="JQT24" s="93"/>
      <c r="JQU24" s="93"/>
      <c r="JQV24" s="93"/>
      <c r="JQW24" s="93"/>
      <c r="JQX24" s="93"/>
      <c r="JQY24" s="93"/>
      <c r="JQZ24" s="93"/>
      <c r="JRA24" s="93"/>
      <c r="JRB24" s="93"/>
      <c r="JRC24" s="93"/>
      <c r="JRD24" s="93"/>
      <c r="JRE24" s="93"/>
      <c r="JRF24" s="93"/>
      <c r="JRG24" s="93"/>
      <c r="JRH24" s="93"/>
      <c r="JRI24" s="93"/>
      <c r="JRJ24" s="93"/>
      <c r="JRK24" s="93"/>
      <c r="JRL24" s="93"/>
      <c r="JRM24" s="93"/>
      <c r="JRN24" s="93"/>
      <c r="JRO24" s="93"/>
      <c r="JRP24" s="93"/>
      <c r="JRQ24" s="93"/>
      <c r="JRR24" s="93"/>
      <c r="JRS24" s="93"/>
      <c r="JRT24" s="93"/>
      <c r="JRU24" s="93"/>
      <c r="JRV24" s="93"/>
      <c r="JRW24" s="93"/>
      <c r="JRX24" s="93"/>
      <c r="JRY24" s="93"/>
      <c r="JRZ24" s="93"/>
      <c r="JSA24" s="93"/>
      <c r="JSB24" s="93"/>
      <c r="JSC24" s="93"/>
      <c r="JSD24" s="93"/>
      <c r="JSE24" s="93"/>
      <c r="JSF24" s="93"/>
      <c r="JSG24" s="93"/>
      <c r="JSH24" s="93"/>
      <c r="JSI24" s="93"/>
      <c r="JSJ24" s="93"/>
      <c r="JSK24" s="93"/>
      <c r="JSL24" s="93"/>
      <c r="JSM24" s="93"/>
      <c r="JSN24" s="93"/>
      <c r="JSO24" s="93"/>
      <c r="JSP24" s="93"/>
      <c r="JSQ24" s="93"/>
      <c r="JSR24" s="93"/>
      <c r="JSS24" s="93"/>
      <c r="JST24" s="93"/>
      <c r="JSU24" s="93"/>
      <c r="JSV24" s="93"/>
      <c r="JSW24" s="93"/>
      <c r="JSX24" s="93"/>
      <c r="JSY24" s="93"/>
      <c r="JSZ24" s="93"/>
      <c r="JTA24" s="93"/>
      <c r="JTB24" s="93"/>
      <c r="JTC24" s="93"/>
      <c r="JTD24" s="93"/>
      <c r="JTE24" s="93"/>
      <c r="JTF24" s="93"/>
      <c r="JTG24" s="93"/>
      <c r="JTH24" s="93"/>
      <c r="JTI24" s="93"/>
      <c r="JTJ24" s="93"/>
      <c r="JTK24" s="93"/>
      <c r="JTL24" s="93"/>
      <c r="JTM24" s="93"/>
      <c r="JTN24" s="93"/>
      <c r="JTO24" s="93"/>
      <c r="JTP24" s="93"/>
      <c r="JTQ24" s="93"/>
      <c r="JTR24" s="93"/>
      <c r="JTS24" s="93"/>
      <c r="JTT24" s="93"/>
      <c r="JTU24" s="93"/>
      <c r="JTV24" s="93"/>
      <c r="JTW24" s="93"/>
      <c r="JTX24" s="93"/>
      <c r="JTY24" s="93"/>
      <c r="JTZ24" s="93"/>
      <c r="JUA24" s="93"/>
      <c r="JUB24" s="93"/>
      <c r="JUC24" s="93"/>
      <c r="JUD24" s="93"/>
      <c r="JUE24" s="93"/>
      <c r="JUF24" s="93"/>
      <c r="JUG24" s="93"/>
      <c r="JUH24" s="93"/>
      <c r="JUI24" s="93"/>
      <c r="JUJ24" s="93"/>
      <c r="JUK24" s="93"/>
      <c r="JUL24" s="93"/>
      <c r="JUM24" s="93"/>
      <c r="JUN24" s="93"/>
      <c r="JUO24" s="93"/>
      <c r="JUP24" s="93"/>
      <c r="JUQ24" s="93"/>
      <c r="JUR24" s="93"/>
      <c r="JUS24" s="93"/>
      <c r="JUT24" s="93"/>
      <c r="JUU24" s="93"/>
      <c r="JUV24" s="93"/>
      <c r="JUW24" s="93"/>
      <c r="JUX24" s="93"/>
      <c r="JUY24" s="93"/>
      <c r="JUZ24" s="93"/>
      <c r="JVA24" s="93"/>
      <c r="JVB24" s="93"/>
      <c r="JVC24" s="93"/>
      <c r="JVD24" s="93"/>
      <c r="JVE24" s="93"/>
      <c r="JVF24" s="93"/>
      <c r="JVG24" s="93"/>
      <c r="JVH24" s="93"/>
      <c r="JVI24" s="93"/>
      <c r="JVJ24" s="93"/>
      <c r="JVK24" s="93"/>
      <c r="JVL24" s="93"/>
      <c r="JVM24" s="93"/>
      <c r="JVN24" s="93"/>
      <c r="JVO24" s="93"/>
      <c r="JVP24" s="93"/>
      <c r="JVQ24" s="93"/>
      <c r="JVR24" s="93"/>
      <c r="JVS24" s="93"/>
      <c r="JVT24" s="93"/>
      <c r="JVU24" s="93"/>
      <c r="JVV24" s="93"/>
      <c r="JVW24" s="93"/>
      <c r="JVX24" s="93"/>
      <c r="JVY24" s="93"/>
      <c r="JVZ24" s="93"/>
      <c r="JWA24" s="93"/>
      <c r="JWB24" s="93"/>
      <c r="JWC24" s="93"/>
      <c r="JWD24" s="93"/>
      <c r="JWE24" s="93"/>
      <c r="JWF24" s="93"/>
      <c r="JWG24" s="93"/>
      <c r="JWH24" s="93"/>
      <c r="JWI24" s="93"/>
      <c r="JWJ24" s="93"/>
      <c r="JWK24" s="93"/>
      <c r="JWL24" s="93"/>
      <c r="JWM24" s="93"/>
      <c r="JWN24" s="93"/>
      <c r="JWO24" s="93"/>
      <c r="JWP24" s="93"/>
      <c r="JWQ24" s="93"/>
      <c r="JWR24" s="93"/>
      <c r="JWS24" s="93"/>
      <c r="JWT24" s="93"/>
      <c r="JWU24" s="93"/>
      <c r="JWV24" s="93"/>
      <c r="JWW24" s="93"/>
      <c r="JWX24" s="93"/>
      <c r="JWY24" s="93"/>
      <c r="JWZ24" s="93"/>
      <c r="JXA24" s="93"/>
      <c r="JXB24" s="93"/>
      <c r="JXC24" s="93"/>
      <c r="JXD24" s="93"/>
      <c r="JXE24" s="93"/>
      <c r="JXF24" s="93"/>
      <c r="JXG24" s="93"/>
      <c r="JXH24" s="93"/>
      <c r="JXI24" s="93"/>
      <c r="JXJ24" s="93"/>
      <c r="JXK24" s="93"/>
      <c r="JXL24" s="93"/>
      <c r="JXM24" s="93"/>
      <c r="JXN24" s="93"/>
      <c r="JXO24" s="93"/>
      <c r="JXP24" s="93"/>
      <c r="JXQ24" s="93"/>
      <c r="JXR24" s="93"/>
      <c r="JXS24" s="93"/>
      <c r="JXT24" s="93"/>
      <c r="JXU24" s="93"/>
      <c r="JXV24" s="93"/>
      <c r="JXW24" s="93"/>
      <c r="JXX24" s="93"/>
      <c r="JXY24" s="93"/>
      <c r="JXZ24" s="93"/>
      <c r="JYA24" s="93"/>
      <c r="JYB24" s="93"/>
      <c r="JYC24" s="93"/>
      <c r="JYD24" s="93"/>
      <c r="JYE24" s="93"/>
      <c r="JYF24" s="93"/>
      <c r="JYG24" s="93"/>
      <c r="JYH24" s="93"/>
      <c r="JYI24" s="93"/>
      <c r="JYJ24" s="93"/>
      <c r="JYK24" s="93"/>
      <c r="JYL24" s="93"/>
      <c r="JYM24" s="93"/>
      <c r="JYN24" s="93"/>
      <c r="JYO24" s="93"/>
      <c r="JYP24" s="93"/>
      <c r="JYQ24" s="93"/>
      <c r="JYR24" s="93"/>
      <c r="JYS24" s="93"/>
      <c r="JYT24" s="93"/>
      <c r="JYU24" s="93"/>
      <c r="JYV24" s="93"/>
      <c r="JYW24" s="93"/>
      <c r="JYX24" s="93"/>
      <c r="JYY24" s="93"/>
      <c r="JYZ24" s="93"/>
      <c r="JZA24" s="93"/>
      <c r="JZB24" s="93"/>
      <c r="JZC24" s="93"/>
      <c r="JZD24" s="93"/>
      <c r="JZE24" s="93"/>
      <c r="JZF24" s="93"/>
      <c r="JZG24" s="93"/>
      <c r="JZH24" s="93"/>
      <c r="JZI24" s="93"/>
      <c r="JZJ24" s="93"/>
      <c r="JZK24" s="93"/>
      <c r="JZL24" s="93"/>
      <c r="JZM24" s="93"/>
      <c r="JZN24" s="93"/>
      <c r="JZO24" s="93"/>
      <c r="JZP24" s="93"/>
      <c r="JZQ24" s="93"/>
      <c r="JZR24" s="93"/>
      <c r="JZS24" s="93"/>
      <c r="JZT24" s="93"/>
      <c r="JZU24" s="93"/>
      <c r="JZV24" s="93"/>
      <c r="JZW24" s="93"/>
      <c r="JZX24" s="93"/>
      <c r="JZY24" s="93"/>
      <c r="JZZ24" s="93"/>
      <c r="KAA24" s="93"/>
      <c r="KAB24" s="93"/>
      <c r="KAC24" s="93"/>
      <c r="KAD24" s="93"/>
      <c r="KAE24" s="93"/>
      <c r="KAF24" s="93"/>
      <c r="KAG24" s="93"/>
      <c r="KAH24" s="93"/>
      <c r="KAI24" s="93"/>
      <c r="KAJ24" s="93"/>
      <c r="KAK24" s="93"/>
      <c r="KAL24" s="93"/>
      <c r="KAM24" s="93"/>
      <c r="KAN24" s="93"/>
      <c r="KAO24" s="93"/>
      <c r="KAP24" s="93"/>
      <c r="KAQ24" s="93"/>
      <c r="KAR24" s="93"/>
      <c r="KAS24" s="93"/>
      <c r="KAT24" s="93"/>
      <c r="KAU24" s="93"/>
      <c r="KAV24" s="93"/>
      <c r="KAW24" s="93"/>
      <c r="KAX24" s="93"/>
      <c r="KAY24" s="93"/>
      <c r="KAZ24" s="93"/>
      <c r="KBA24" s="93"/>
      <c r="KBB24" s="93"/>
      <c r="KBC24" s="93"/>
      <c r="KBD24" s="93"/>
      <c r="KBE24" s="93"/>
      <c r="KBF24" s="93"/>
      <c r="KBG24" s="93"/>
      <c r="KBH24" s="93"/>
      <c r="KBI24" s="93"/>
      <c r="KBJ24" s="93"/>
      <c r="KBK24" s="93"/>
      <c r="KBL24" s="93"/>
      <c r="KBM24" s="93"/>
      <c r="KBN24" s="93"/>
      <c r="KBO24" s="93"/>
      <c r="KBP24" s="93"/>
      <c r="KBQ24" s="93"/>
      <c r="KBR24" s="93"/>
      <c r="KBS24" s="93"/>
      <c r="KBT24" s="93"/>
      <c r="KBU24" s="93"/>
      <c r="KBV24" s="93"/>
      <c r="KBW24" s="93"/>
      <c r="KBX24" s="93"/>
      <c r="KBY24" s="93"/>
      <c r="KBZ24" s="93"/>
      <c r="KCA24" s="93"/>
      <c r="KCB24" s="93"/>
      <c r="KCC24" s="93"/>
      <c r="KCD24" s="93"/>
      <c r="KCE24" s="93"/>
      <c r="KCF24" s="93"/>
      <c r="KCG24" s="93"/>
      <c r="KCH24" s="93"/>
      <c r="KCI24" s="93"/>
      <c r="KCJ24" s="93"/>
      <c r="KCK24" s="93"/>
      <c r="KCL24" s="93"/>
      <c r="KCM24" s="93"/>
      <c r="KCN24" s="93"/>
      <c r="KCO24" s="93"/>
      <c r="KCP24" s="93"/>
      <c r="KCQ24" s="93"/>
      <c r="KCR24" s="93"/>
      <c r="KCS24" s="93"/>
      <c r="KCT24" s="93"/>
      <c r="KCU24" s="93"/>
      <c r="KCV24" s="93"/>
      <c r="KCW24" s="93"/>
      <c r="KCX24" s="93"/>
      <c r="KCY24" s="93"/>
      <c r="KCZ24" s="93"/>
      <c r="KDA24" s="93"/>
      <c r="KDB24" s="93"/>
      <c r="KDC24" s="93"/>
      <c r="KDD24" s="93"/>
      <c r="KDE24" s="93"/>
      <c r="KDF24" s="93"/>
      <c r="KDG24" s="93"/>
      <c r="KDH24" s="93"/>
      <c r="KDI24" s="93"/>
      <c r="KDJ24" s="93"/>
      <c r="KDK24" s="93"/>
      <c r="KDL24" s="93"/>
      <c r="KDM24" s="93"/>
      <c r="KDN24" s="93"/>
      <c r="KDO24" s="93"/>
      <c r="KDP24" s="93"/>
      <c r="KDQ24" s="93"/>
      <c r="KDR24" s="93"/>
      <c r="KDS24" s="93"/>
      <c r="KDT24" s="93"/>
      <c r="KDU24" s="93"/>
      <c r="KDV24" s="93"/>
      <c r="KDW24" s="93"/>
      <c r="KDX24" s="93"/>
      <c r="KDY24" s="93"/>
      <c r="KDZ24" s="93"/>
      <c r="KEA24" s="93"/>
      <c r="KEB24" s="93"/>
      <c r="KEC24" s="93"/>
      <c r="KED24" s="93"/>
      <c r="KEE24" s="93"/>
      <c r="KEF24" s="93"/>
      <c r="KEG24" s="93"/>
      <c r="KEH24" s="93"/>
      <c r="KEI24" s="93"/>
      <c r="KEJ24" s="93"/>
      <c r="KEK24" s="93"/>
      <c r="KEL24" s="93"/>
      <c r="KEM24" s="93"/>
      <c r="KEN24" s="93"/>
      <c r="KEO24" s="93"/>
      <c r="KEP24" s="93"/>
      <c r="KEQ24" s="93"/>
      <c r="KER24" s="93"/>
      <c r="KES24" s="93"/>
      <c r="KET24" s="93"/>
      <c r="KEU24" s="93"/>
      <c r="KEV24" s="93"/>
      <c r="KEW24" s="93"/>
      <c r="KEX24" s="93"/>
      <c r="KEY24" s="93"/>
      <c r="KEZ24" s="93"/>
      <c r="KFA24" s="93"/>
      <c r="KFB24" s="93"/>
      <c r="KFC24" s="93"/>
      <c r="KFD24" s="93"/>
      <c r="KFE24" s="93"/>
      <c r="KFF24" s="93"/>
      <c r="KFG24" s="93"/>
      <c r="KFH24" s="93"/>
      <c r="KFI24" s="93"/>
      <c r="KFJ24" s="93"/>
      <c r="KFK24" s="93"/>
      <c r="KFL24" s="93"/>
      <c r="KFM24" s="93"/>
      <c r="KFN24" s="93"/>
      <c r="KFO24" s="93"/>
      <c r="KFP24" s="93"/>
      <c r="KFQ24" s="93"/>
      <c r="KFR24" s="93"/>
      <c r="KFS24" s="93"/>
      <c r="KFT24" s="93"/>
      <c r="KFU24" s="93"/>
      <c r="KFV24" s="93"/>
      <c r="KFW24" s="93"/>
      <c r="KFX24" s="93"/>
      <c r="KFY24" s="93"/>
      <c r="KFZ24" s="93"/>
      <c r="KGA24" s="93"/>
      <c r="KGB24" s="93"/>
      <c r="KGC24" s="93"/>
      <c r="KGD24" s="93"/>
      <c r="KGE24" s="93"/>
      <c r="KGF24" s="93"/>
      <c r="KGG24" s="93"/>
      <c r="KGH24" s="93"/>
      <c r="KGI24" s="93"/>
      <c r="KGJ24" s="93"/>
      <c r="KGK24" s="93"/>
      <c r="KGL24" s="93"/>
      <c r="KGM24" s="93"/>
      <c r="KGN24" s="93"/>
      <c r="KGO24" s="93"/>
      <c r="KGP24" s="93"/>
      <c r="KGQ24" s="93"/>
      <c r="KGR24" s="93"/>
      <c r="KGS24" s="93"/>
      <c r="KGT24" s="93"/>
      <c r="KGU24" s="93"/>
      <c r="KGV24" s="93"/>
      <c r="KGW24" s="93"/>
      <c r="KGX24" s="93"/>
      <c r="KGY24" s="93"/>
      <c r="KGZ24" s="93"/>
      <c r="KHA24" s="93"/>
      <c r="KHB24" s="93"/>
      <c r="KHC24" s="93"/>
      <c r="KHD24" s="93"/>
      <c r="KHE24" s="93"/>
      <c r="KHF24" s="93"/>
      <c r="KHG24" s="93"/>
      <c r="KHH24" s="93"/>
      <c r="KHI24" s="93"/>
      <c r="KHJ24" s="93"/>
      <c r="KHK24" s="93"/>
      <c r="KHL24" s="93"/>
      <c r="KHM24" s="93"/>
      <c r="KHN24" s="93"/>
      <c r="KHO24" s="93"/>
      <c r="KHP24" s="93"/>
      <c r="KHQ24" s="93"/>
      <c r="KHR24" s="93"/>
      <c r="KHS24" s="93"/>
      <c r="KHT24" s="93"/>
      <c r="KHU24" s="93"/>
      <c r="KHV24" s="93"/>
      <c r="KHW24" s="93"/>
      <c r="KHX24" s="93"/>
      <c r="KHY24" s="93"/>
      <c r="KHZ24" s="93"/>
      <c r="KIA24" s="93"/>
      <c r="KIB24" s="93"/>
      <c r="KIC24" s="93"/>
      <c r="KID24" s="93"/>
      <c r="KIE24" s="93"/>
      <c r="KIF24" s="93"/>
      <c r="KIG24" s="93"/>
      <c r="KIH24" s="93"/>
      <c r="KII24" s="93"/>
      <c r="KIJ24" s="93"/>
      <c r="KIK24" s="93"/>
      <c r="KIL24" s="93"/>
      <c r="KIM24" s="93"/>
      <c r="KIN24" s="93"/>
      <c r="KIO24" s="93"/>
      <c r="KIP24" s="93"/>
      <c r="KIQ24" s="93"/>
      <c r="KIR24" s="93"/>
      <c r="KIS24" s="93"/>
      <c r="KIT24" s="93"/>
      <c r="KIU24" s="93"/>
      <c r="KIV24" s="93"/>
      <c r="KIW24" s="93"/>
      <c r="KIX24" s="93"/>
      <c r="KIY24" s="93"/>
      <c r="KIZ24" s="93"/>
      <c r="KJA24" s="93"/>
      <c r="KJB24" s="93"/>
      <c r="KJC24" s="93"/>
      <c r="KJD24" s="93"/>
      <c r="KJE24" s="93"/>
      <c r="KJF24" s="93"/>
      <c r="KJG24" s="93"/>
      <c r="KJH24" s="93"/>
      <c r="KJI24" s="93"/>
      <c r="KJJ24" s="93"/>
      <c r="KJK24" s="93"/>
      <c r="KJL24" s="93"/>
      <c r="KJM24" s="93"/>
      <c r="KJN24" s="93"/>
      <c r="KJO24" s="93"/>
      <c r="KJP24" s="93"/>
      <c r="KJQ24" s="93"/>
      <c r="KJR24" s="93"/>
      <c r="KJS24" s="93"/>
      <c r="KJT24" s="93"/>
      <c r="KJU24" s="93"/>
      <c r="KJV24" s="93"/>
      <c r="KJW24" s="93"/>
      <c r="KJX24" s="93"/>
      <c r="KJY24" s="93"/>
      <c r="KJZ24" s="93"/>
      <c r="KKA24" s="93"/>
      <c r="KKB24" s="93"/>
      <c r="KKC24" s="93"/>
      <c r="KKD24" s="93"/>
      <c r="KKE24" s="93"/>
      <c r="KKF24" s="93"/>
      <c r="KKG24" s="93"/>
      <c r="KKH24" s="93"/>
      <c r="KKI24" s="93"/>
      <c r="KKJ24" s="93"/>
      <c r="KKK24" s="93"/>
      <c r="KKL24" s="93"/>
      <c r="KKM24" s="93"/>
      <c r="KKN24" s="93"/>
      <c r="KKO24" s="93"/>
      <c r="KKP24" s="93"/>
      <c r="KKQ24" s="93"/>
      <c r="KKR24" s="93"/>
      <c r="KKS24" s="93"/>
      <c r="KKT24" s="93"/>
      <c r="KKU24" s="93"/>
      <c r="KKV24" s="93"/>
      <c r="KKW24" s="93"/>
      <c r="KKX24" s="93"/>
      <c r="KKY24" s="93"/>
      <c r="KKZ24" s="93"/>
      <c r="KLA24" s="93"/>
      <c r="KLB24" s="93"/>
      <c r="KLC24" s="93"/>
      <c r="KLD24" s="93"/>
      <c r="KLE24" s="93"/>
      <c r="KLF24" s="93"/>
      <c r="KLG24" s="93"/>
      <c r="KLH24" s="93"/>
      <c r="KLI24" s="93"/>
      <c r="KLJ24" s="93"/>
      <c r="KLK24" s="93"/>
      <c r="KLL24" s="93"/>
      <c r="KLM24" s="93"/>
      <c r="KLN24" s="93"/>
      <c r="KLO24" s="93"/>
      <c r="KLP24" s="93"/>
      <c r="KLQ24" s="93"/>
      <c r="KLR24" s="93"/>
      <c r="KLS24" s="93"/>
      <c r="KLT24" s="93"/>
      <c r="KLU24" s="93"/>
      <c r="KLV24" s="93"/>
      <c r="KLW24" s="93"/>
      <c r="KLX24" s="93"/>
      <c r="KLY24" s="93"/>
      <c r="KLZ24" s="93"/>
      <c r="KMA24" s="93"/>
      <c r="KMB24" s="93"/>
      <c r="KMC24" s="93"/>
      <c r="KMD24" s="93"/>
      <c r="KME24" s="93"/>
      <c r="KMF24" s="93"/>
      <c r="KMG24" s="93"/>
      <c r="KMH24" s="93"/>
      <c r="KMI24" s="93"/>
      <c r="KMJ24" s="93"/>
      <c r="KMK24" s="93"/>
      <c r="KML24" s="93"/>
      <c r="KMM24" s="93"/>
      <c r="KMN24" s="93"/>
      <c r="KMO24" s="93"/>
      <c r="KMP24" s="93"/>
      <c r="KMQ24" s="93"/>
      <c r="KMR24" s="93"/>
      <c r="KMS24" s="93"/>
      <c r="KMT24" s="93"/>
      <c r="KMU24" s="93"/>
      <c r="KMV24" s="93"/>
      <c r="KMW24" s="93"/>
      <c r="KMX24" s="93"/>
      <c r="KMY24" s="93"/>
      <c r="KMZ24" s="93"/>
      <c r="KNA24" s="93"/>
      <c r="KNB24" s="93"/>
      <c r="KNC24" s="93"/>
      <c r="KND24" s="93"/>
      <c r="KNE24" s="93"/>
      <c r="KNF24" s="93"/>
      <c r="KNG24" s="93"/>
      <c r="KNH24" s="93"/>
      <c r="KNI24" s="93"/>
      <c r="KNJ24" s="93"/>
      <c r="KNK24" s="93"/>
      <c r="KNL24" s="93"/>
      <c r="KNM24" s="93"/>
      <c r="KNN24" s="93"/>
      <c r="KNO24" s="93"/>
      <c r="KNP24" s="93"/>
      <c r="KNQ24" s="93"/>
      <c r="KNR24" s="93"/>
      <c r="KNS24" s="93"/>
      <c r="KNT24" s="93"/>
      <c r="KNU24" s="93"/>
      <c r="KNV24" s="93"/>
      <c r="KNW24" s="93"/>
      <c r="KNX24" s="93"/>
      <c r="KNY24" s="93"/>
      <c r="KNZ24" s="93"/>
      <c r="KOA24" s="93"/>
      <c r="KOB24" s="93"/>
      <c r="KOC24" s="93"/>
      <c r="KOD24" s="93"/>
      <c r="KOE24" s="93"/>
      <c r="KOF24" s="93"/>
      <c r="KOG24" s="93"/>
      <c r="KOH24" s="93"/>
      <c r="KOI24" s="93"/>
      <c r="KOJ24" s="93"/>
      <c r="KOK24" s="93"/>
      <c r="KOL24" s="93"/>
      <c r="KOM24" s="93"/>
      <c r="KON24" s="93"/>
      <c r="KOO24" s="93"/>
      <c r="KOP24" s="93"/>
      <c r="KOQ24" s="93"/>
      <c r="KOR24" s="93"/>
      <c r="KOS24" s="93"/>
      <c r="KOT24" s="93"/>
      <c r="KOU24" s="93"/>
      <c r="KOV24" s="93"/>
      <c r="KOW24" s="93"/>
      <c r="KOX24" s="93"/>
      <c r="KOY24" s="93"/>
      <c r="KOZ24" s="93"/>
      <c r="KPA24" s="93"/>
      <c r="KPB24" s="93"/>
      <c r="KPC24" s="93"/>
      <c r="KPD24" s="93"/>
      <c r="KPE24" s="93"/>
      <c r="KPF24" s="93"/>
      <c r="KPG24" s="93"/>
      <c r="KPH24" s="93"/>
      <c r="KPI24" s="93"/>
      <c r="KPJ24" s="93"/>
      <c r="KPK24" s="93"/>
      <c r="KPL24" s="93"/>
      <c r="KPM24" s="93"/>
      <c r="KPN24" s="93"/>
      <c r="KPO24" s="93"/>
      <c r="KPP24" s="93"/>
      <c r="KPQ24" s="93"/>
      <c r="KPR24" s="93"/>
      <c r="KPS24" s="93"/>
      <c r="KPT24" s="93"/>
      <c r="KPU24" s="93"/>
      <c r="KPV24" s="93"/>
      <c r="KPW24" s="93"/>
      <c r="KPX24" s="93"/>
      <c r="KPY24" s="93"/>
      <c r="KPZ24" s="93"/>
      <c r="KQA24" s="93"/>
      <c r="KQB24" s="93"/>
      <c r="KQC24" s="93"/>
      <c r="KQD24" s="93"/>
      <c r="KQE24" s="93"/>
      <c r="KQF24" s="93"/>
      <c r="KQG24" s="93"/>
      <c r="KQH24" s="93"/>
      <c r="KQI24" s="93"/>
      <c r="KQJ24" s="93"/>
      <c r="KQK24" s="93"/>
      <c r="KQL24" s="93"/>
      <c r="KQM24" s="93"/>
      <c r="KQN24" s="93"/>
      <c r="KQO24" s="93"/>
      <c r="KQP24" s="93"/>
      <c r="KQQ24" s="93"/>
      <c r="KQR24" s="93"/>
      <c r="KQS24" s="93"/>
      <c r="KQT24" s="93"/>
      <c r="KQU24" s="93"/>
      <c r="KQV24" s="93"/>
      <c r="KQW24" s="93"/>
      <c r="KQX24" s="93"/>
      <c r="KQY24" s="93"/>
      <c r="KQZ24" s="93"/>
      <c r="KRA24" s="93"/>
      <c r="KRB24" s="93"/>
      <c r="KRC24" s="93"/>
      <c r="KRD24" s="93"/>
      <c r="KRE24" s="93"/>
      <c r="KRF24" s="93"/>
      <c r="KRG24" s="93"/>
      <c r="KRH24" s="93"/>
      <c r="KRI24" s="93"/>
      <c r="KRJ24" s="93"/>
      <c r="KRK24" s="93"/>
      <c r="KRL24" s="93"/>
      <c r="KRM24" s="93"/>
      <c r="KRN24" s="93"/>
      <c r="KRO24" s="93"/>
      <c r="KRP24" s="93"/>
      <c r="KRQ24" s="93"/>
      <c r="KRR24" s="93"/>
      <c r="KRS24" s="93"/>
      <c r="KRT24" s="93"/>
      <c r="KRU24" s="93"/>
      <c r="KRV24" s="93"/>
      <c r="KRW24" s="93"/>
      <c r="KRX24" s="93"/>
      <c r="KRY24" s="93"/>
      <c r="KRZ24" s="93"/>
      <c r="KSA24" s="93"/>
      <c r="KSB24" s="93"/>
      <c r="KSC24" s="93"/>
      <c r="KSD24" s="93"/>
      <c r="KSE24" s="93"/>
      <c r="KSF24" s="93"/>
      <c r="KSG24" s="93"/>
      <c r="KSH24" s="93"/>
      <c r="KSI24" s="93"/>
      <c r="KSJ24" s="93"/>
      <c r="KSK24" s="93"/>
      <c r="KSL24" s="93"/>
      <c r="KSM24" s="93"/>
      <c r="KSN24" s="93"/>
      <c r="KSO24" s="93"/>
      <c r="KSP24" s="93"/>
      <c r="KSQ24" s="93"/>
      <c r="KSR24" s="93"/>
      <c r="KSS24" s="93"/>
      <c r="KST24" s="93"/>
      <c r="KSU24" s="93"/>
      <c r="KSV24" s="93"/>
      <c r="KSW24" s="93"/>
      <c r="KSX24" s="93"/>
      <c r="KSY24" s="93"/>
      <c r="KSZ24" s="93"/>
      <c r="KTA24" s="93"/>
      <c r="KTB24" s="93"/>
      <c r="KTC24" s="93"/>
      <c r="KTD24" s="93"/>
      <c r="KTE24" s="93"/>
      <c r="KTF24" s="93"/>
      <c r="KTG24" s="93"/>
      <c r="KTH24" s="93"/>
      <c r="KTI24" s="93"/>
      <c r="KTJ24" s="93"/>
      <c r="KTK24" s="93"/>
      <c r="KTL24" s="93"/>
      <c r="KTM24" s="93"/>
      <c r="KTN24" s="93"/>
      <c r="KTO24" s="93"/>
      <c r="KTP24" s="93"/>
      <c r="KTQ24" s="93"/>
      <c r="KTR24" s="93"/>
      <c r="KTS24" s="93"/>
      <c r="KTT24" s="93"/>
      <c r="KTU24" s="93"/>
      <c r="KTV24" s="93"/>
      <c r="KTW24" s="93"/>
      <c r="KTX24" s="93"/>
      <c r="KTY24" s="93"/>
      <c r="KTZ24" s="93"/>
      <c r="KUA24" s="93"/>
      <c r="KUB24" s="93"/>
      <c r="KUC24" s="93"/>
      <c r="KUD24" s="93"/>
      <c r="KUE24" s="93"/>
      <c r="KUF24" s="93"/>
      <c r="KUG24" s="93"/>
      <c r="KUH24" s="93"/>
      <c r="KUI24" s="93"/>
      <c r="KUJ24" s="93"/>
      <c r="KUK24" s="93"/>
      <c r="KUL24" s="93"/>
      <c r="KUM24" s="93"/>
      <c r="KUN24" s="93"/>
      <c r="KUO24" s="93"/>
      <c r="KUP24" s="93"/>
      <c r="KUQ24" s="93"/>
      <c r="KUR24" s="93"/>
      <c r="KUS24" s="93"/>
      <c r="KUT24" s="93"/>
      <c r="KUU24" s="93"/>
      <c r="KUV24" s="93"/>
      <c r="KUW24" s="93"/>
      <c r="KUX24" s="93"/>
      <c r="KUY24" s="93"/>
      <c r="KUZ24" s="93"/>
      <c r="KVA24" s="93"/>
      <c r="KVB24" s="93"/>
      <c r="KVC24" s="93"/>
      <c r="KVD24" s="93"/>
      <c r="KVE24" s="93"/>
      <c r="KVF24" s="93"/>
      <c r="KVG24" s="93"/>
      <c r="KVH24" s="93"/>
      <c r="KVI24" s="93"/>
      <c r="KVJ24" s="93"/>
      <c r="KVK24" s="93"/>
      <c r="KVL24" s="93"/>
      <c r="KVM24" s="93"/>
      <c r="KVN24" s="93"/>
      <c r="KVO24" s="93"/>
      <c r="KVP24" s="93"/>
      <c r="KVQ24" s="93"/>
      <c r="KVR24" s="93"/>
      <c r="KVS24" s="93"/>
      <c r="KVT24" s="93"/>
      <c r="KVU24" s="93"/>
      <c r="KVV24" s="93"/>
      <c r="KVW24" s="93"/>
      <c r="KVX24" s="93"/>
      <c r="KVY24" s="93"/>
      <c r="KVZ24" s="93"/>
      <c r="KWA24" s="93"/>
      <c r="KWB24" s="93"/>
      <c r="KWC24" s="93"/>
      <c r="KWD24" s="93"/>
      <c r="KWE24" s="93"/>
      <c r="KWF24" s="93"/>
      <c r="KWG24" s="93"/>
      <c r="KWH24" s="93"/>
      <c r="KWI24" s="93"/>
      <c r="KWJ24" s="93"/>
      <c r="KWK24" s="93"/>
      <c r="KWL24" s="93"/>
      <c r="KWM24" s="93"/>
      <c r="KWN24" s="93"/>
      <c r="KWO24" s="93"/>
      <c r="KWP24" s="93"/>
      <c r="KWQ24" s="93"/>
      <c r="KWR24" s="93"/>
      <c r="KWS24" s="93"/>
      <c r="KWT24" s="93"/>
      <c r="KWU24" s="93"/>
      <c r="KWV24" s="93"/>
      <c r="KWW24" s="93"/>
      <c r="KWX24" s="93"/>
      <c r="KWY24" s="93"/>
      <c r="KWZ24" s="93"/>
      <c r="KXA24" s="93"/>
      <c r="KXB24" s="93"/>
      <c r="KXC24" s="93"/>
      <c r="KXD24" s="93"/>
      <c r="KXE24" s="93"/>
      <c r="KXF24" s="93"/>
      <c r="KXG24" s="93"/>
      <c r="KXH24" s="93"/>
      <c r="KXI24" s="93"/>
      <c r="KXJ24" s="93"/>
      <c r="KXK24" s="93"/>
      <c r="KXL24" s="93"/>
      <c r="KXM24" s="93"/>
      <c r="KXN24" s="93"/>
      <c r="KXO24" s="93"/>
      <c r="KXP24" s="93"/>
      <c r="KXQ24" s="93"/>
      <c r="KXR24" s="93"/>
      <c r="KXS24" s="93"/>
      <c r="KXT24" s="93"/>
      <c r="KXU24" s="93"/>
      <c r="KXV24" s="93"/>
      <c r="KXW24" s="93"/>
      <c r="KXX24" s="93"/>
      <c r="KXY24" s="93"/>
      <c r="KXZ24" s="93"/>
      <c r="KYA24" s="93"/>
      <c r="KYB24" s="93"/>
      <c r="KYC24" s="93"/>
      <c r="KYD24" s="93"/>
      <c r="KYE24" s="93"/>
      <c r="KYF24" s="93"/>
      <c r="KYG24" s="93"/>
      <c r="KYH24" s="93"/>
      <c r="KYI24" s="93"/>
      <c r="KYJ24" s="93"/>
      <c r="KYK24" s="93"/>
      <c r="KYL24" s="93"/>
      <c r="KYM24" s="93"/>
      <c r="KYN24" s="93"/>
      <c r="KYO24" s="93"/>
      <c r="KYP24" s="93"/>
      <c r="KYQ24" s="93"/>
      <c r="KYR24" s="93"/>
      <c r="KYS24" s="93"/>
      <c r="KYT24" s="93"/>
      <c r="KYU24" s="93"/>
      <c r="KYV24" s="93"/>
      <c r="KYW24" s="93"/>
      <c r="KYX24" s="93"/>
      <c r="KYY24" s="93"/>
      <c r="KYZ24" s="93"/>
      <c r="KZA24" s="93"/>
      <c r="KZB24" s="93"/>
      <c r="KZC24" s="93"/>
      <c r="KZD24" s="93"/>
      <c r="KZE24" s="93"/>
      <c r="KZF24" s="93"/>
      <c r="KZG24" s="93"/>
      <c r="KZH24" s="93"/>
      <c r="KZI24" s="93"/>
      <c r="KZJ24" s="93"/>
      <c r="KZK24" s="93"/>
      <c r="KZL24" s="93"/>
      <c r="KZM24" s="93"/>
      <c r="KZN24" s="93"/>
      <c r="KZO24" s="93"/>
      <c r="KZP24" s="93"/>
      <c r="KZQ24" s="93"/>
      <c r="KZR24" s="93"/>
      <c r="KZS24" s="93"/>
      <c r="KZT24" s="93"/>
      <c r="KZU24" s="93"/>
      <c r="KZV24" s="93"/>
      <c r="KZW24" s="93"/>
      <c r="KZX24" s="93"/>
      <c r="KZY24" s="93"/>
      <c r="KZZ24" s="93"/>
      <c r="LAA24" s="93"/>
      <c r="LAB24" s="93"/>
      <c r="LAC24" s="93"/>
      <c r="LAD24" s="93"/>
      <c r="LAE24" s="93"/>
      <c r="LAF24" s="93"/>
      <c r="LAG24" s="93"/>
      <c r="LAH24" s="93"/>
      <c r="LAI24" s="93"/>
      <c r="LAJ24" s="93"/>
      <c r="LAK24" s="93"/>
      <c r="LAL24" s="93"/>
      <c r="LAM24" s="93"/>
      <c r="LAN24" s="93"/>
      <c r="LAO24" s="93"/>
      <c r="LAP24" s="93"/>
      <c r="LAQ24" s="93"/>
      <c r="LAR24" s="93"/>
      <c r="LAS24" s="93"/>
      <c r="LAT24" s="93"/>
      <c r="LAU24" s="93"/>
      <c r="LAV24" s="93"/>
      <c r="LAW24" s="93"/>
      <c r="LAX24" s="93"/>
      <c r="LAY24" s="93"/>
      <c r="LAZ24" s="93"/>
      <c r="LBA24" s="93"/>
      <c r="LBB24" s="93"/>
      <c r="LBC24" s="93"/>
      <c r="LBD24" s="93"/>
      <c r="LBE24" s="93"/>
      <c r="LBF24" s="93"/>
      <c r="LBG24" s="93"/>
      <c r="LBH24" s="93"/>
      <c r="LBI24" s="93"/>
      <c r="LBJ24" s="93"/>
      <c r="LBK24" s="93"/>
      <c r="LBL24" s="93"/>
      <c r="LBM24" s="93"/>
      <c r="LBN24" s="93"/>
      <c r="LBO24" s="93"/>
      <c r="LBP24" s="93"/>
      <c r="LBQ24" s="93"/>
      <c r="LBR24" s="93"/>
      <c r="LBS24" s="93"/>
      <c r="LBT24" s="93"/>
      <c r="LBU24" s="93"/>
      <c r="LBV24" s="93"/>
      <c r="LBW24" s="93"/>
      <c r="LBX24" s="93"/>
      <c r="LBY24" s="93"/>
      <c r="LBZ24" s="93"/>
      <c r="LCA24" s="93"/>
      <c r="LCB24" s="93"/>
      <c r="LCC24" s="93"/>
      <c r="LCD24" s="93"/>
      <c r="LCE24" s="93"/>
      <c r="LCF24" s="93"/>
      <c r="LCG24" s="93"/>
      <c r="LCH24" s="93"/>
      <c r="LCI24" s="93"/>
      <c r="LCJ24" s="93"/>
      <c r="LCK24" s="93"/>
      <c r="LCL24" s="93"/>
      <c r="LCM24" s="93"/>
      <c r="LCN24" s="93"/>
      <c r="LCO24" s="93"/>
      <c r="LCP24" s="93"/>
      <c r="LCQ24" s="93"/>
      <c r="LCR24" s="93"/>
      <c r="LCS24" s="93"/>
      <c r="LCT24" s="93"/>
      <c r="LCU24" s="93"/>
      <c r="LCV24" s="93"/>
      <c r="LCW24" s="93"/>
      <c r="LCX24" s="93"/>
      <c r="LCY24" s="93"/>
      <c r="LCZ24" s="93"/>
      <c r="LDA24" s="93"/>
      <c r="LDB24" s="93"/>
      <c r="LDC24" s="93"/>
      <c r="LDD24" s="93"/>
      <c r="LDE24" s="93"/>
      <c r="LDF24" s="93"/>
      <c r="LDG24" s="93"/>
      <c r="LDH24" s="93"/>
      <c r="LDI24" s="93"/>
      <c r="LDJ24" s="93"/>
      <c r="LDK24" s="93"/>
      <c r="LDL24" s="93"/>
      <c r="LDM24" s="93"/>
      <c r="LDN24" s="93"/>
      <c r="LDO24" s="93"/>
      <c r="LDP24" s="93"/>
      <c r="LDQ24" s="93"/>
      <c r="LDR24" s="93"/>
      <c r="LDS24" s="93"/>
      <c r="LDT24" s="93"/>
      <c r="LDU24" s="93"/>
      <c r="LDV24" s="93"/>
      <c r="LDW24" s="93"/>
      <c r="LDX24" s="93"/>
      <c r="LDY24" s="93"/>
      <c r="LDZ24" s="93"/>
      <c r="LEA24" s="93"/>
      <c r="LEB24" s="93"/>
      <c r="LEC24" s="93"/>
      <c r="LED24" s="93"/>
      <c r="LEE24" s="93"/>
      <c r="LEF24" s="93"/>
      <c r="LEG24" s="93"/>
      <c r="LEH24" s="93"/>
      <c r="LEI24" s="93"/>
      <c r="LEJ24" s="93"/>
      <c r="LEK24" s="93"/>
      <c r="LEL24" s="93"/>
      <c r="LEM24" s="93"/>
      <c r="LEN24" s="93"/>
      <c r="LEO24" s="93"/>
      <c r="LEP24" s="93"/>
      <c r="LEQ24" s="93"/>
      <c r="LER24" s="93"/>
      <c r="LES24" s="93"/>
      <c r="LET24" s="93"/>
      <c r="LEU24" s="93"/>
      <c r="LEV24" s="93"/>
      <c r="LEW24" s="93"/>
      <c r="LEX24" s="93"/>
      <c r="LEY24" s="93"/>
      <c r="LEZ24" s="93"/>
      <c r="LFA24" s="93"/>
      <c r="LFB24" s="93"/>
      <c r="LFC24" s="93"/>
      <c r="LFD24" s="93"/>
      <c r="LFE24" s="93"/>
      <c r="LFF24" s="93"/>
      <c r="LFG24" s="93"/>
      <c r="LFH24" s="93"/>
      <c r="LFI24" s="93"/>
      <c r="LFJ24" s="93"/>
      <c r="LFK24" s="93"/>
      <c r="LFL24" s="93"/>
      <c r="LFM24" s="93"/>
      <c r="LFN24" s="93"/>
      <c r="LFO24" s="93"/>
      <c r="LFP24" s="93"/>
      <c r="LFQ24" s="93"/>
      <c r="LFR24" s="93"/>
      <c r="LFS24" s="93"/>
      <c r="LFT24" s="93"/>
      <c r="LFU24" s="93"/>
      <c r="LFV24" s="93"/>
      <c r="LFW24" s="93"/>
      <c r="LFX24" s="93"/>
      <c r="LFY24" s="93"/>
      <c r="LFZ24" s="93"/>
      <c r="LGA24" s="93"/>
      <c r="LGB24" s="93"/>
      <c r="LGC24" s="93"/>
      <c r="LGD24" s="93"/>
      <c r="LGE24" s="93"/>
      <c r="LGF24" s="93"/>
      <c r="LGG24" s="93"/>
      <c r="LGH24" s="93"/>
      <c r="LGI24" s="93"/>
      <c r="LGJ24" s="93"/>
      <c r="LGK24" s="93"/>
      <c r="LGL24" s="93"/>
      <c r="LGM24" s="93"/>
      <c r="LGN24" s="93"/>
      <c r="LGO24" s="93"/>
      <c r="LGP24" s="93"/>
      <c r="LGQ24" s="93"/>
      <c r="LGR24" s="93"/>
      <c r="LGS24" s="93"/>
      <c r="LGT24" s="93"/>
      <c r="LGU24" s="93"/>
      <c r="LGV24" s="93"/>
      <c r="LGW24" s="93"/>
      <c r="LGX24" s="93"/>
      <c r="LGY24" s="93"/>
      <c r="LGZ24" s="93"/>
      <c r="LHA24" s="93"/>
      <c r="LHB24" s="93"/>
      <c r="LHC24" s="93"/>
      <c r="LHD24" s="93"/>
      <c r="LHE24" s="93"/>
      <c r="LHF24" s="93"/>
      <c r="LHG24" s="93"/>
      <c r="LHH24" s="93"/>
      <c r="LHI24" s="93"/>
      <c r="LHJ24" s="93"/>
      <c r="LHK24" s="93"/>
      <c r="LHL24" s="93"/>
      <c r="LHM24" s="93"/>
      <c r="LHN24" s="93"/>
      <c r="LHO24" s="93"/>
      <c r="LHP24" s="93"/>
      <c r="LHQ24" s="93"/>
      <c r="LHR24" s="93"/>
      <c r="LHS24" s="93"/>
      <c r="LHT24" s="93"/>
      <c r="LHU24" s="93"/>
      <c r="LHV24" s="93"/>
      <c r="LHW24" s="93"/>
      <c r="LHX24" s="93"/>
      <c r="LHY24" s="93"/>
      <c r="LHZ24" s="93"/>
      <c r="LIA24" s="93"/>
      <c r="LIB24" s="93"/>
      <c r="LIC24" s="93"/>
      <c r="LID24" s="93"/>
      <c r="LIE24" s="93"/>
      <c r="LIF24" s="93"/>
      <c r="LIG24" s="93"/>
      <c r="LIH24" s="93"/>
      <c r="LII24" s="93"/>
      <c r="LIJ24" s="93"/>
      <c r="LIK24" s="93"/>
      <c r="LIL24" s="93"/>
      <c r="LIM24" s="93"/>
      <c r="LIN24" s="93"/>
      <c r="LIO24" s="93"/>
      <c r="LIP24" s="93"/>
      <c r="LIQ24" s="93"/>
      <c r="LIR24" s="93"/>
      <c r="LIS24" s="93"/>
      <c r="LIT24" s="93"/>
      <c r="LIU24" s="93"/>
      <c r="LIV24" s="93"/>
      <c r="LIW24" s="93"/>
      <c r="LIX24" s="93"/>
      <c r="LIY24" s="93"/>
      <c r="LIZ24" s="93"/>
      <c r="LJA24" s="93"/>
      <c r="LJB24" s="93"/>
      <c r="LJC24" s="93"/>
      <c r="LJD24" s="93"/>
      <c r="LJE24" s="93"/>
      <c r="LJF24" s="93"/>
      <c r="LJG24" s="93"/>
      <c r="LJH24" s="93"/>
      <c r="LJI24" s="93"/>
      <c r="LJJ24" s="93"/>
      <c r="LJK24" s="93"/>
      <c r="LJL24" s="93"/>
      <c r="LJM24" s="93"/>
      <c r="LJN24" s="93"/>
      <c r="LJO24" s="93"/>
      <c r="LJP24" s="93"/>
      <c r="LJQ24" s="93"/>
      <c r="LJR24" s="93"/>
      <c r="LJS24" s="93"/>
      <c r="LJT24" s="93"/>
      <c r="LJU24" s="93"/>
      <c r="LJV24" s="93"/>
      <c r="LJW24" s="93"/>
      <c r="LJX24" s="93"/>
      <c r="LJY24" s="93"/>
      <c r="LJZ24" s="93"/>
      <c r="LKA24" s="93"/>
      <c r="LKB24" s="93"/>
      <c r="LKC24" s="93"/>
      <c r="LKD24" s="93"/>
      <c r="LKE24" s="93"/>
      <c r="LKF24" s="93"/>
      <c r="LKG24" s="93"/>
      <c r="LKH24" s="93"/>
      <c r="LKI24" s="93"/>
      <c r="LKJ24" s="93"/>
      <c r="LKK24" s="93"/>
      <c r="LKL24" s="93"/>
      <c r="LKM24" s="93"/>
      <c r="LKN24" s="93"/>
      <c r="LKO24" s="93"/>
      <c r="LKP24" s="93"/>
      <c r="LKQ24" s="93"/>
      <c r="LKR24" s="93"/>
      <c r="LKS24" s="93"/>
      <c r="LKT24" s="93"/>
      <c r="LKU24" s="93"/>
      <c r="LKV24" s="93"/>
      <c r="LKW24" s="93"/>
      <c r="LKX24" s="93"/>
      <c r="LKY24" s="93"/>
      <c r="LKZ24" s="93"/>
      <c r="LLA24" s="93"/>
      <c r="LLB24" s="93"/>
      <c r="LLC24" s="93"/>
      <c r="LLD24" s="93"/>
      <c r="LLE24" s="93"/>
      <c r="LLF24" s="93"/>
      <c r="LLG24" s="93"/>
      <c r="LLH24" s="93"/>
      <c r="LLI24" s="93"/>
      <c r="LLJ24" s="93"/>
      <c r="LLK24" s="93"/>
      <c r="LLL24" s="93"/>
      <c r="LLM24" s="93"/>
      <c r="LLN24" s="93"/>
      <c r="LLO24" s="93"/>
      <c r="LLP24" s="93"/>
      <c r="LLQ24" s="93"/>
      <c r="LLR24" s="93"/>
      <c r="LLS24" s="93"/>
      <c r="LLT24" s="93"/>
      <c r="LLU24" s="93"/>
      <c r="LLV24" s="93"/>
      <c r="LLW24" s="93"/>
      <c r="LLX24" s="93"/>
      <c r="LLY24" s="93"/>
      <c r="LLZ24" s="93"/>
      <c r="LMA24" s="93"/>
      <c r="LMB24" s="93"/>
      <c r="LMC24" s="93"/>
      <c r="LMD24" s="93"/>
      <c r="LME24" s="93"/>
      <c r="LMF24" s="93"/>
      <c r="LMG24" s="93"/>
      <c r="LMH24" s="93"/>
      <c r="LMI24" s="93"/>
      <c r="LMJ24" s="93"/>
      <c r="LMK24" s="93"/>
      <c r="LML24" s="93"/>
      <c r="LMM24" s="93"/>
      <c r="LMN24" s="93"/>
      <c r="LMO24" s="93"/>
      <c r="LMP24" s="93"/>
      <c r="LMQ24" s="93"/>
      <c r="LMR24" s="93"/>
      <c r="LMS24" s="93"/>
      <c r="LMT24" s="93"/>
      <c r="LMU24" s="93"/>
      <c r="LMV24" s="93"/>
      <c r="LMW24" s="93"/>
      <c r="LMX24" s="93"/>
      <c r="LMY24" s="93"/>
      <c r="LMZ24" s="93"/>
      <c r="LNA24" s="93"/>
      <c r="LNB24" s="93"/>
      <c r="LNC24" s="93"/>
      <c r="LND24" s="93"/>
      <c r="LNE24" s="93"/>
      <c r="LNF24" s="93"/>
      <c r="LNG24" s="93"/>
      <c r="LNH24" s="93"/>
      <c r="LNI24" s="93"/>
      <c r="LNJ24" s="93"/>
      <c r="LNK24" s="93"/>
      <c r="LNL24" s="93"/>
      <c r="LNM24" s="93"/>
      <c r="LNN24" s="93"/>
      <c r="LNO24" s="93"/>
      <c r="LNP24" s="93"/>
      <c r="LNQ24" s="93"/>
      <c r="LNR24" s="93"/>
      <c r="LNS24" s="93"/>
      <c r="LNT24" s="93"/>
      <c r="LNU24" s="93"/>
      <c r="LNV24" s="93"/>
      <c r="LNW24" s="93"/>
      <c r="LNX24" s="93"/>
      <c r="LNY24" s="93"/>
      <c r="LNZ24" s="93"/>
      <c r="LOA24" s="93"/>
      <c r="LOB24" s="93"/>
      <c r="LOC24" s="93"/>
      <c r="LOD24" s="93"/>
      <c r="LOE24" s="93"/>
      <c r="LOF24" s="93"/>
      <c r="LOG24" s="93"/>
      <c r="LOH24" s="93"/>
      <c r="LOI24" s="93"/>
      <c r="LOJ24" s="93"/>
      <c r="LOK24" s="93"/>
      <c r="LOL24" s="93"/>
      <c r="LOM24" s="93"/>
      <c r="LON24" s="93"/>
      <c r="LOO24" s="93"/>
      <c r="LOP24" s="93"/>
      <c r="LOQ24" s="93"/>
      <c r="LOR24" s="93"/>
      <c r="LOS24" s="93"/>
      <c r="LOT24" s="93"/>
      <c r="LOU24" s="93"/>
      <c r="LOV24" s="93"/>
      <c r="LOW24" s="93"/>
      <c r="LOX24" s="93"/>
      <c r="LOY24" s="93"/>
      <c r="LOZ24" s="93"/>
      <c r="LPA24" s="93"/>
      <c r="LPB24" s="93"/>
      <c r="LPC24" s="93"/>
      <c r="LPD24" s="93"/>
      <c r="LPE24" s="93"/>
      <c r="LPF24" s="93"/>
      <c r="LPG24" s="93"/>
      <c r="LPH24" s="93"/>
      <c r="LPI24" s="93"/>
      <c r="LPJ24" s="93"/>
      <c r="LPK24" s="93"/>
      <c r="LPL24" s="93"/>
      <c r="LPM24" s="93"/>
      <c r="LPN24" s="93"/>
      <c r="LPO24" s="93"/>
      <c r="LPP24" s="93"/>
      <c r="LPQ24" s="93"/>
      <c r="LPR24" s="93"/>
      <c r="LPS24" s="93"/>
      <c r="LPT24" s="93"/>
      <c r="LPU24" s="93"/>
      <c r="LPV24" s="93"/>
      <c r="LPW24" s="93"/>
      <c r="LPX24" s="93"/>
      <c r="LPY24" s="93"/>
      <c r="LPZ24" s="93"/>
      <c r="LQA24" s="93"/>
      <c r="LQB24" s="93"/>
      <c r="LQC24" s="93"/>
      <c r="LQD24" s="93"/>
      <c r="LQE24" s="93"/>
      <c r="LQF24" s="93"/>
      <c r="LQG24" s="93"/>
      <c r="LQH24" s="93"/>
      <c r="LQI24" s="93"/>
      <c r="LQJ24" s="93"/>
      <c r="LQK24" s="93"/>
      <c r="LQL24" s="93"/>
      <c r="LQM24" s="93"/>
      <c r="LQN24" s="93"/>
      <c r="LQO24" s="93"/>
      <c r="LQP24" s="93"/>
      <c r="LQQ24" s="93"/>
      <c r="LQR24" s="93"/>
      <c r="LQS24" s="93"/>
      <c r="LQT24" s="93"/>
      <c r="LQU24" s="93"/>
      <c r="LQV24" s="93"/>
      <c r="LQW24" s="93"/>
      <c r="LQX24" s="93"/>
      <c r="LQY24" s="93"/>
      <c r="LQZ24" s="93"/>
      <c r="LRA24" s="93"/>
      <c r="LRB24" s="93"/>
      <c r="LRC24" s="93"/>
      <c r="LRD24" s="93"/>
      <c r="LRE24" s="93"/>
      <c r="LRF24" s="93"/>
      <c r="LRG24" s="93"/>
      <c r="LRH24" s="93"/>
      <c r="LRI24" s="93"/>
      <c r="LRJ24" s="93"/>
      <c r="LRK24" s="93"/>
      <c r="LRL24" s="93"/>
      <c r="LRM24" s="93"/>
      <c r="LRN24" s="93"/>
      <c r="LRO24" s="93"/>
      <c r="LRP24" s="93"/>
      <c r="LRQ24" s="93"/>
      <c r="LRR24" s="93"/>
      <c r="LRS24" s="93"/>
      <c r="LRT24" s="93"/>
      <c r="LRU24" s="93"/>
      <c r="LRV24" s="93"/>
      <c r="LRW24" s="93"/>
      <c r="LRX24" s="93"/>
      <c r="LRY24" s="93"/>
      <c r="LRZ24" s="93"/>
      <c r="LSA24" s="93"/>
      <c r="LSB24" s="93"/>
      <c r="LSC24" s="93"/>
      <c r="LSD24" s="93"/>
      <c r="LSE24" s="93"/>
      <c r="LSF24" s="93"/>
      <c r="LSG24" s="93"/>
      <c r="LSH24" s="93"/>
      <c r="LSI24" s="93"/>
      <c r="LSJ24" s="93"/>
      <c r="LSK24" s="93"/>
      <c r="LSL24" s="93"/>
      <c r="LSM24" s="93"/>
      <c r="LSN24" s="93"/>
      <c r="LSO24" s="93"/>
      <c r="LSP24" s="93"/>
      <c r="LSQ24" s="93"/>
      <c r="LSR24" s="93"/>
      <c r="LSS24" s="93"/>
      <c r="LST24" s="93"/>
      <c r="LSU24" s="93"/>
      <c r="LSV24" s="93"/>
      <c r="LSW24" s="93"/>
      <c r="LSX24" s="93"/>
      <c r="LSY24" s="93"/>
      <c r="LSZ24" s="93"/>
      <c r="LTA24" s="93"/>
      <c r="LTB24" s="93"/>
      <c r="LTC24" s="93"/>
      <c r="LTD24" s="93"/>
      <c r="LTE24" s="93"/>
      <c r="LTF24" s="93"/>
      <c r="LTG24" s="93"/>
      <c r="LTH24" s="93"/>
      <c r="LTI24" s="93"/>
      <c r="LTJ24" s="93"/>
      <c r="LTK24" s="93"/>
      <c r="LTL24" s="93"/>
      <c r="LTM24" s="93"/>
      <c r="LTN24" s="93"/>
      <c r="LTO24" s="93"/>
      <c r="LTP24" s="93"/>
      <c r="LTQ24" s="93"/>
      <c r="LTR24" s="93"/>
      <c r="LTS24" s="93"/>
      <c r="LTT24" s="93"/>
      <c r="LTU24" s="93"/>
      <c r="LTV24" s="93"/>
      <c r="LTW24" s="93"/>
      <c r="LTX24" s="93"/>
      <c r="LTY24" s="93"/>
      <c r="LTZ24" s="93"/>
      <c r="LUA24" s="93"/>
      <c r="LUB24" s="93"/>
      <c r="LUC24" s="93"/>
      <c r="LUD24" s="93"/>
      <c r="LUE24" s="93"/>
      <c r="LUF24" s="93"/>
      <c r="LUG24" s="93"/>
      <c r="LUH24" s="93"/>
      <c r="LUI24" s="93"/>
      <c r="LUJ24" s="93"/>
      <c r="LUK24" s="93"/>
      <c r="LUL24" s="93"/>
      <c r="LUM24" s="93"/>
      <c r="LUN24" s="93"/>
      <c r="LUO24" s="93"/>
      <c r="LUP24" s="93"/>
      <c r="LUQ24" s="93"/>
      <c r="LUR24" s="93"/>
      <c r="LUS24" s="93"/>
      <c r="LUT24" s="93"/>
      <c r="LUU24" s="93"/>
      <c r="LUV24" s="93"/>
      <c r="LUW24" s="93"/>
      <c r="LUX24" s="93"/>
      <c r="LUY24" s="93"/>
      <c r="LUZ24" s="93"/>
      <c r="LVA24" s="93"/>
      <c r="LVB24" s="93"/>
      <c r="LVC24" s="93"/>
      <c r="LVD24" s="93"/>
      <c r="LVE24" s="93"/>
      <c r="LVF24" s="93"/>
      <c r="LVG24" s="93"/>
      <c r="LVH24" s="93"/>
      <c r="LVI24" s="93"/>
      <c r="LVJ24" s="93"/>
      <c r="LVK24" s="93"/>
      <c r="LVL24" s="93"/>
      <c r="LVM24" s="93"/>
      <c r="LVN24" s="93"/>
      <c r="LVO24" s="93"/>
      <c r="LVP24" s="93"/>
      <c r="LVQ24" s="93"/>
      <c r="LVR24" s="93"/>
      <c r="LVS24" s="93"/>
      <c r="LVT24" s="93"/>
      <c r="LVU24" s="93"/>
      <c r="LVV24" s="93"/>
      <c r="LVW24" s="93"/>
      <c r="LVX24" s="93"/>
      <c r="LVY24" s="93"/>
      <c r="LVZ24" s="93"/>
      <c r="LWA24" s="93"/>
      <c r="LWB24" s="93"/>
      <c r="LWC24" s="93"/>
      <c r="LWD24" s="93"/>
      <c r="LWE24" s="93"/>
      <c r="LWF24" s="93"/>
      <c r="LWG24" s="93"/>
      <c r="LWH24" s="93"/>
      <c r="LWI24" s="93"/>
      <c r="LWJ24" s="93"/>
      <c r="LWK24" s="93"/>
      <c r="LWL24" s="93"/>
      <c r="LWM24" s="93"/>
      <c r="LWN24" s="93"/>
      <c r="LWO24" s="93"/>
      <c r="LWP24" s="93"/>
      <c r="LWQ24" s="93"/>
      <c r="LWR24" s="93"/>
      <c r="LWS24" s="93"/>
      <c r="LWT24" s="93"/>
      <c r="LWU24" s="93"/>
      <c r="LWV24" s="93"/>
      <c r="LWW24" s="93"/>
      <c r="LWX24" s="93"/>
      <c r="LWY24" s="93"/>
      <c r="LWZ24" s="93"/>
      <c r="LXA24" s="93"/>
      <c r="LXB24" s="93"/>
      <c r="LXC24" s="93"/>
      <c r="LXD24" s="93"/>
      <c r="LXE24" s="93"/>
      <c r="LXF24" s="93"/>
      <c r="LXG24" s="93"/>
      <c r="LXH24" s="93"/>
      <c r="LXI24" s="93"/>
      <c r="LXJ24" s="93"/>
      <c r="LXK24" s="93"/>
      <c r="LXL24" s="93"/>
      <c r="LXM24" s="93"/>
      <c r="LXN24" s="93"/>
      <c r="LXO24" s="93"/>
      <c r="LXP24" s="93"/>
      <c r="LXQ24" s="93"/>
      <c r="LXR24" s="93"/>
      <c r="LXS24" s="93"/>
      <c r="LXT24" s="93"/>
      <c r="LXU24" s="93"/>
      <c r="LXV24" s="93"/>
      <c r="LXW24" s="93"/>
      <c r="LXX24" s="93"/>
      <c r="LXY24" s="93"/>
      <c r="LXZ24" s="93"/>
      <c r="LYA24" s="93"/>
      <c r="LYB24" s="93"/>
      <c r="LYC24" s="93"/>
      <c r="LYD24" s="93"/>
      <c r="LYE24" s="93"/>
      <c r="LYF24" s="93"/>
      <c r="LYG24" s="93"/>
      <c r="LYH24" s="93"/>
      <c r="LYI24" s="93"/>
      <c r="LYJ24" s="93"/>
      <c r="LYK24" s="93"/>
      <c r="LYL24" s="93"/>
      <c r="LYM24" s="93"/>
      <c r="LYN24" s="93"/>
      <c r="LYO24" s="93"/>
      <c r="LYP24" s="93"/>
      <c r="LYQ24" s="93"/>
      <c r="LYR24" s="93"/>
      <c r="LYS24" s="93"/>
      <c r="LYT24" s="93"/>
      <c r="LYU24" s="93"/>
      <c r="LYV24" s="93"/>
      <c r="LYW24" s="93"/>
      <c r="LYX24" s="93"/>
      <c r="LYY24" s="93"/>
      <c r="LYZ24" s="93"/>
      <c r="LZA24" s="93"/>
      <c r="LZB24" s="93"/>
      <c r="LZC24" s="93"/>
      <c r="LZD24" s="93"/>
      <c r="LZE24" s="93"/>
      <c r="LZF24" s="93"/>
      <c r="LZG24" s="93"/>
      <c r="LZH24" s="93"/>
      <c r="LZI24" s="93"/>
      <c r="LZJ24" s="93"/>
      <c r="LZK24" s="93"/>
      <c r="LZL24" s="93"/>
      <c r="LZM24" s="93"/>
      <c r="LZN24" s="93"/>
      <c r="LZO24" s="93"/>
      <c r="LZP24" s="93"/>
      <c r="LZQ24" s="93"/>
      <c r="LZR24" s="93"/>
      <c r="LZS24" s="93"/>
      <c r="LZT24" s="93"/>
      <c r="LZU24" s="93"/>
      <c r="LZV24" s="93"/>
      <c r="LZW24" s="93"/>
      <c r="LZX24" s="93"/>
      <c r="LZY24" s="93"/>
      <c r="LZZ24" s="93"/>
      <c r="MAA24" s="93"/>
      <c r="MAB24" s="93"/>
      <c r="MAC24" s="93"/>
      <c r="MAD24" s="93"/>
      <c r="MAE24" s="93"/>
      <c r="MAF24" s="93"/>
      <c r="MAG24" s="93"/>
      <c r="MAH24" s="93"/>
      <c r="MAI24" s="93"/>
      <c r="MAJ24" s="93"/>
      <c r="MAK24" s="93"/>
      <c r="MAL24" s="93"/>
      <c r="MAM24" s="93"/>
      <c r="MAN24" s="93"/>
      <c r="MAO24" s="93"/>
      <c r="MAP24" s="93"/>
      <c r="MAQ24" s="93"/>
      <c r="MAR24" s="93"/>
      <c r="MAS24" s="93"/>
      <c r="MAT24" s="93"/>
      <c r="MAU24" s="93"/>
      <c r="MAV24" s="93"/>
      <c r="MAW24" s="93"/>
      <c r="MAX24" s="93"/>
      <c r="MAY24" s="93"/>
      <c r="MAZ24" s="93"/>
      <c r="MBA24" s="93"/>
      <c r="MBB24" s="93"/>
      <c r="MBC24" s="93"/>
      <c r="MBD24" s="93"/>
      <c r="MBE24" s="93"/>
      <c r="MBF24" s="93"/>
      <c r="MBG24" s="93"/>
      <c r="MBH24" s="93"/>
      <c r="MBI24" s="93"/>
      <c r="MBJ24" s="93"/>
      <c r="MBK24" s="93"/>
      <c r="MBL24" s="93"/>
      <c r="MBM24" s="93"/>
      <c r="MBN24" s="93"/>
      <c r="MBO24" s="93"/>
      <c r="MBP24" s="93"/>
      <c r="MBQ24" s="93"/>
      <c r="MBR24" s="93"/>
      <c r="MBS24" s="93"/>
      <c r="MBT24" s="93"/>
      <c r="MBU24" s="93"/>
      <c r="MBV24" s="93"/>
      <c r="MBW24" s="93"/>
      <c r="MBX24" s="93"/>
      <c r="MBY24" s="93"/>
      <c r="MBZ24" s="93"/>
      <c r="MCA24" s="93"/>
      <c r="MCB24" s="93"/>
      <c r="MCC24" s="93"/>
      <c r="MCD24" s="93"/>
      <c r="MCE24" s="93"/>
      <c r="MCF24" s="93"/>
      <c r="MCG24" s="93"/>
      <c r="MCH24" s="93"/>
      <c r="MCI24" s="93"/>
      <c r="MCJ24" s="93"/>
      <c r="MCK24" s="93"/>
      <c r="MCL24" s="93"/>
      <c r="MCM24" s="93"/>
      <c r="MCN24" s="93"/>
      <c r="MCO24" s="93"/>
      <c r="MCP24" s="93"/>
      <c r="MCQ24" s="93"/>
      <c r="MCR24" s="93"/>
      <c r="MCS24" s="93"/>
      <c r="MCT24" s="93"/>
      <c r="MCU24" s="93"/>
      <c r="MCV24" s="93"/>
      <c r="MCW24" s="93"/>
      <c r="MCX24" s="93"/>
      <c r="MCY24" s="93"/>
      <c r="MCZ24" s="93"/>
      <c r="MDA24" s="93"/>
      <c r="MDB24" s="93"/>
      <c r="MDC24" s="93"/>
      <c r="MDD24" s="93"/>
      <c r="MDE24" s="93"/>
      <c r="MDF24" s="93"/>
      <c r="MDG24" s="93"/>
      <c r="MDH24" s="93"/>
      <c r="MDI24" s="93"/>
      <c r="MDJ24" s="93"/>
      <c r="MDK24" s="93"/>
      <c r="MDL24" s="93"/>
      <c r="MDM24" s="93"/>
      <c r="MDN24" s="93"/>
      <c r="MDO24" s="93"/>
      <c r="MDP24" s="93"/>
      <c r="MDQ24" s="93"/>
      <c r="MDR24" s="93"/>
      <c r="MDS24" s="93"/>
      <c r="MDT24" s="93"/>
      <c r="MDU24" s="93"/>
      <c r="MDV24" s="93"/>
      <c r="MDW24" s="93"/>
      <c r="MDX24" s="93"/>
      <c r="MDY24" s="93"/>
      <c r="MDZ24" s="93"/>
      <c r="MEA24" s="93"/>
      <c r="MEB24" s="93"/>
      <c r="MEC24" s="93"/>
      <c r="MED24" s="93"/>
      <c r="MEE24" s="93"/>
      <c r="MEF24" s="93"/>
      <c r="MEG24" s="93"/>
      <c r="MEH24" s="93"/>
      <c r="MEI24" s="93"/>
      <c r="MEJ24" s="93"/>
      <c r="MEK24" s="93"/>
      <c r="MEL24" s="93"/>
      <c r="MEM24" s="93"/>
      <c r="MEN24" s="93"/>
      <c r="MEO24" s="93"/>
      <c r="MEP24" s="93"/>
      <c r="MEQ24" s="93"/>
      <c r="MER24" s="93"/>
      <c r="MES24" s="93"/>
      <c r="MET24" s="93"/>
      <c r="MEU24" s="93"/>
      <c r="MEV24" s="93"/>
      <c r="MEW24" s="93"/>
      <c r="MEX24" s="93"/>
      <c r="MEY24" s="93"/>
      <c r="MEZ24" s="93"/>
      <c r="MFA24" s="93"/>
      <c r="MFB24" s="93"/>
      <c r="MFC24" s="93"/>
      <c r="MFD24" s="93"/>
      <c r="MFE24" s="93"/>
      <c r="MFF24" s="93"/>
      <c r="MFG24" s="93"/>
      <c r="MFH24" s="93"/>
      <c r="MFI24" s="93"/>
      <c r="MFJ24" s="93"/>
      <c r="MFK24" s="93"/>
      <c r="MFL24" s="93"/>
      <c r="MFM24" s="93"/>
      <c r="MFN24" s="93"/>
      <c r="MFO24" s="93"/>
      <c r="MFP24" s="93"/>
      <c r="MFQ24" s="93"/>
      <c r="MFR24" s="93"/>
      <c r="MFS24" s="93"/>
      <c r="MFT24" s="93"/>
      <c r="MFU24" s="93"/>
      <c r="MFV24" s="93"/>
      <c r="MFW24" s="93"/>
      <c r="MFX24" s="93"/>
      <c r="MFY24" s="93"/>
      <c r="MFZ24" s="93"/>
      <c r="MGA24" s="93"/>
      <c r="MGB24" s="93"/>
      <c r="MGC24" s="93"/>
      <c r="MGD24" s="93"/>
      <c r="MGE24" s="93"/>
      <c r="MGF24" s="93"/>
      <c r="MGG24" s="93"/>
      <c r="MGH24" s="93"/>
      <c r="MGI24" s="93"/>
      <c r="MGJ24" s="93"/>
      <c r="MGK24" s="93"/>
      <c r="MGL24" s="93"/>
      <c r="MGM24" s="93"/>
      <c r="MGN24" s="93"/>
      <c r="MGO24" s="93"/>
      <c r="MGP24" s="93"/>
      <c r="MGQ24" s="93"/>
      <c r="MGR24" s="93"/>
      <c r="MGS24" s="93"/>
      <c r="MGT24" s="93"/>
      <c r="MGU24" s="93"/>
      <c r="MGV24" s="93"/>
      <c r="MGW24" s="93"/>
      <c r="MGX24" s="93"/>
      <c r="MGY24" s="93"/>
      <c r="MGZ24" s="93"/>
      <c r="MHA24" s="93"/>
      <c r="MHB24" s="93"/>
      <c r="MHC24" s="93"/>
      <c r="MHD24" s="93"/>
      <c r="MHE24" s="93"/>
      <c r="MHF24" s="93"/>
      <c r="MHG24" s="93"/>
      <c r="MHH24" s="93"/>
      <c r="MHI24" s="93"/>
      <c r="MHJ24" s="93"/>
      <c r="MHK24" s="93"/>
      <c r="MHL24" s="93"/>
      <c r="MHM24" s="93"/>
      <c r="MHN24" s="93"/>
      <c r="MHO24" s="93"/>
      <c r="MHP24" s="93"/>
      <c r="MHQ24" s="93"/>
      <c r="MHR24" s="93"/>
      <c r="MHS24" s="93"/>
      <c r="MHT24" s="93"/>
      <c r="MHU24" s="93"/>
      <c r="MHV24" s="93"/>
      <c r="MHW24" s="93"/>
      <c r="MHX24" s="93"/>
      <c r="MHY24" s="93"/>
      <c r="MHZ24" s="93"/>
      <c r="MIA24" s="93"/>
      <c r="MIB24" s="93"/>
      <c r="MIC24" s="93"/>
      <c r="MID24" s="93"/>
      <c r="MIE24" s="93"/>
      <c r="MIF24" s="93"/>
      <c r="MIG24" s="93"/>
      <c r="MIH24" s="93"/>
      <c r="MII24" s="93"/>
      <c r="MIJ24" s="93"/>
      <c r="MIK24" s="93"/>
      <c r="MIL24" s="93"/>
      <c r="MIM24" s="93"/>
      <c r="MIN24" s="93"/>
      <c r="MIO24" s="93"/>
      <c r="MIP24" s="93"/>
      <c r="MIQ24" s="93"/>
      <c r="MIR24" s="93"/>
      <c r="MIS24" s="93"/>
      <c r="MIT24" s="93"/>
      <c r="MIU24" s="93"/>
      <c r="MIV24" s="93"/>
      <c r="MIW24" s="93"/>
      <c r="MIX24" s="93"/>
      <c r="MIY24" s="93"/>
      <c r="MIZ24" s="93"/>
      <c r="MJA24" s="93"/>
      <c r="MJB24" s="93"/>
      <c r="MJC24" s="93"/>
      <c r="MJD24" s="93"/>
      <c r="MJE24" s="93"/>
      <c r="MJF24" s="93"/>
      <c r="MJG24" s="93"/>
      <c r="MJH24" s="93"/>
      <c r="MJI24" s="93"/>
      <c r="MJJ24" s="93"/>
      <c r="MJK24" s="93"/>
      <c r="MJL24" s="93"/>
      <c r="MJM24" s="93"/>
      <c r="MJN24" s="93"/>
      <c r="MJO24" s="93"/>
      <c r="MJP24" s="93"/>
      <c r="MJQ24" s="93"/>
      <c r="MJR24" s="93"/>
      <c r="MJS24" s="93"/>
      <c r="MJT24" s="93"/>
      <c r="MJU24" s="93"/>
      <c r="MJV24" s="93"/>
      <c r="MJW24" s="93"/>
      <c r="MJX24" s="93"/>
      <c r="MJY24" s="93"/>
      <c r="MJZ24" s="93"/>
      <c r="MKA24" s="93"/>
      <c r="MKB24" s="93"/>
      <c r="MKC24" s="93"/>
      <c r="MKD24" s="93"/>
      <c r="MKE24" s="93"/>
      <c r="MKF24" s="93"/>
      <c r="MKG24" s="93"/>
      <c r="MKH24" s="93"/>
      <c r="MKI24" s="93"/>
      <c r="MKJ24" s="93"/>
      <c r="MKK24" s="93"/>
      <c r="MKL24" s="93"/>
      <c r="MKM24" s="93"/>
      <c r="MKN24" s="93"/>
      <c r="MKO24" s="93"/>
      <c r="MKP24" s="93"/>
      <c r="MKQ24" s="93"/>
      <c r="MKR24" s="93"/>
      <c r="MKS24" s="93"/>
      <c r="MKT24" s="93"/>
      <c r="MKU24" s="93"/>
      <c r="MKV24" s="93"/>
      <c r="MKW24" s="93"/>
      <c r="MKX24" s="93"/>
      <c r="MKY24" s="93"/>
      <c r="MKZ24" s="93"/>
      <c r="MLA24" s="93"/>
      <c r="MLB24" s="93"/>
      <c r="MLC24" s="93"/>
      <c r="MLD24" s="93"/>
      <c r="MLE24" s="93"/>
      <c r="MLF24" s="93"/>
      <c r="MLG24" s="93"/>
      <c r="MLH24" s="93"/>
      <c r="MLI24" s="93"/>
      <c r="MLJ24" s="93"/>
      <c r="MLK24" s="93"/>
      <c r="MLL24" s="93"/>
      <c r="MLM24" s="93"/>
      <c r="MLN24" s="93"/>
      <c r="MLO24" s="93"/>
      <c r="MLP24" s="93"/>
      <c r="MLQ24" s="93"/>
      <c r="MLR24" s="93"/>
      <c r="MLS24" s="93"/>
      <c r="MLT24" s="93"/>
      <c r="MLU24" s="93"/>
      <c r="MLV24" s="93"/>
      <c r="MLW24" s="93"/>
      <c r="MLX24" s="93"/>
      <c r="MLY24" s="93"/>
      <c r="MLZ24" s="93"/>
      <c r="MMA24" s="93"/>
      <c r="MMB24" s="93"/>
      <c r="MMC24" s="93"/>
      <c r="MMD24" s="93"/>
      <c r="MME24" s="93"/>
      <c r="MMF24" s="93"/>
      <c r="MMG24" s="93"/>
      <c r="MMH24" s="93"/>
      <c r="MMI24" s="93"/>
      <c r="MMJ24" s="93"/>
      <c r="MMK24" s="93"/>
      <c r="MML24" s="93"/>
      <c r="MMM24" s="93"/>
      <c r="MMN24" s="93"/>
      <c r="MMO24" s="93"/>
      <c r="MMP24" s="93"/>
      <c r="MMQ24" s="93"/>
      <c r="MMR24" s="93"/>
      <c r="MMS24" s="93"/>
      <c r="MMT24" s="93"/>
      <c r="MMU24" s="93"/>
      <c r="MMV24" s="93"/>
      <c r="MMW24" s="93"/>
      <c r="MMX24" s="93"/>
      <c r="MMY24" s="93"/>
      <c r="MMZ24" s="93"/>
      <c r="MNA24" s="93"/>
      <c r="MNB24" s="93"/>
      <c r="MNC24" s="93"/>
      <c r="MND24" s="93"/>
      <c r="MNE24" s="93"/>
      <c r="MNF24" s="93"/>
      <c r="MNG24" s="93"/>
      <c r="MNH24" s="93"/>
      <c r="MNI24" s="93"/>
      <c r="MNJ24" s="93"/>
      <c r="MNK24" s="93"/>
      <c r="MNL24" s="93"/>
      <c r="MNM24" s="93"/>
      <c r="MNN24" s="93"/>
      <c r="MNO24" s="93"/>
      <c r="MNP24" s="93"/>
      <c r="MNQ24" s="93"/>
      <c r="MNR24" s="93"/>
      <c r="MNS24" s="93"/>
      <c r="MNT24" s="93"/>
      <c r="MNU24" s="93"/>
      <c r="MNV24" s="93"/>
      <c r="MNW24" s="93"/>
      <c r="MNX24" s="93"/>
      <c r="MNY24" s="93"/>
      <c r="MNZ24" s="93"/>
      <c r="MOA24" s="93"/>
      <c r="MOB24" s="93"/>
      <c r="MOC24" s="93"/>
      <c r="MOD24" s="93"/>
      <c r="MOE24" s="93"/>
      <c r="MOF24" s="93"/>
      <c r="MOG24" s="93"/>
      <c r="MOH24" s="93"/>
      <c r="MOI24" s="93"/>
      <c r="MOJ24" s="93"/>
      <c r="MOK24" s="93"/>
      <c r="MOL24" s="93"/>
      <c r="MOM24" s="93"/>
      <c r="MON24" s="93"/>
      <c r="MOO24" s="93"/>
      <c r="MOP24" s="93"/>
      <c r="MOQ24" s="93"/>
      <c r="MOR24" s="93"/>
      <c r="MOS24" s="93"/>
      <c r="MOT24" s="93"/>
      <c r="MOU24" s="93"/>
      <c r="MOV24" s="93"/>
      <c r="MOW24" s="93"/>
      <c r="MOX24" s="93"/>
      <c r="MOY24" s="93"/>
      <c r="MOZ24" s="93"/>
      <c r="MPA24" s="93"/>
      <c r="MPB24" s="93"/>
      <c r="MPC24" s="93"/>
      <c r="MPD24" s="93"/>
      <c r="MPE24" s="93"/>
      <c r="MPF24" s="93"/>
      <c r="MPG24" s="93"/>
      <c r="MPH24" s="93"/>
      <c r="MPI24" s="93"/>
      <c r="MPJ24" s="93"/>
      <c r="MPK24" s="93"/>
      <c r="MPL24" s="93"/>
      <c r="MPM24" s="93"/>
      <c r="MPN24" s="93"/>
      <c r="MPO24" s="93"/>
      <c r="MPP24" s="93"/>
      <c r="MPQ24" s="93"/>
      <c r="MPR24" s="93"/>
      <c r="MPS24" s="93"/>
      <c r="MPT24" s="93"/>
      <c r="MPU24" s="93"/>
      <c r="MPV24" s="93"/>
      <c r="MPW24" s="93"/>
      <c r="MPX24" s="93"/>
      <c r="MPY24" s="93"/>
      <c r="MPZ24" s="93"/>
      <c r="MQA24" s="93"/>
      <c r="MQB24" s="93"/>
      <c r="MQC24" s="93"/>
      <c r="MQD24" s="93"/>
      <c r="MQE24" s="93"/>
      <c r="MQF24" s="93"/>
      <c r="MQG24" s="93"/>
      <c r="MQH24" s="93"/>
      <c r="MQI24" s="93"/>
      <c r="MQJ24" s="93"/>
      <c r="MQK24" s="93"/>
      <c r="MQL24" s="93"/>
      <c r="MQM24" s="93"/>
      <c r="MQN24" s="93"/>
      <c r="MQO24" s="93"/>
      <c r="MQP24" s="93"/>
      <c r="MQQ24" s="93"/>
      <c r="MQR24" s="93"/>
      <c r="MQS24" s="93"/>
      <c r="MQT24" s="93"/>
      <c r="MQU24" s="93"/>
      <c r="MQV24" s="93"/>
      <c r="MQW24" s="93"/>
      <c r="MQX24" s="93"/>
      <c r="MQY24" s="93"/>
      <c r="MQZ24" s="93"/>
      <c r="MRA24" s="93"/>
      <c r="MRB24" s="93"/>
      <c r="MRC24" s="93"/>
      <c r="MRD24" s="93"/>
      <c r="MRE24" s="93"/>
      <c r="MRF24" s="93"/>
      <c r="MRG24" s="93"/>
      <c r="MRH24" s="93"/>
      <c r="MRI24" s="93"/>
      <c r="MRJ24" s="93"/>
      <c r="MRK24" s="93"/>
      <c r="MRL24" s="93"/>
      <c r="MRM24" s="93"/>
      <c r="MRN24" s="93"/>
      <c r="MRO24" s="93"/>
      <c r="MRP24" s="93"/>
      <c r="MRQ24" s="93"/>
      <c r="MRR24" s="93"/>
      <c r="MRS24" s="93"/>
      <c r="MRT24" s="93"/>
      <c r="MRU24" s="93"/>
      <c r="MRV24" s="93"/>
      <c r="MRW24" s="93"/>
      <c r="MRX24" s="93"/>
      <c r="MRY24" s="93"/>
      <c r="MRZ24" s="93"/>
      <c r="MSA24" s="93"/>
      <c r="MSB24" s="93"/>
      <c r="MSC24" s="93"/>
      <c r="MSD24" s="93"/>
      <c r="MSE24" s="93"/>
      <c r="MSF24" s="93"/>
      <c r="MSG24" s="93"/>
      <c r="MSH24" s="93"/>
      <c r="MSI24" s="93"/>
      <c r="MSJ24" s="93"/>
      <c r="MSK24" s="93"/>
      <c r="MSL24" s="93"/>
      <c r="MSM24" s="93"/>
      <c r="MSN24" s="93"/>
      <c r="MSO24" s="93"/>
      <c r="MSP24" s="93"/>
      <c r="MSQ24" s="93"/>
      <c r="MSR24" s="93"/>
      <c r="MSS24" s="93"/>
      <c r="MST24" s="93"/>
      <c r="MSU24" s="93"/>
      <c r="MSV24" s="93"/>
      <c r="MSW24" s="93"/>
      <c r="MSX24" s="93"/>
      <c r="MSY24" s="93"/>
      <c r="MSZ24" s="93"/>
      <c r="MTA24" s="93"/>
      <c r="MTB24" s="93"/>
      <c r="MTC24" s="93"/>
      <c r="MTD24" s="93"/>
      <c r="MTE24" s="93"/>
      <c r="MTF24" s="93"/>
      <c r="MTG24" s="93"/>
      <c r="MTH24" s="93"/>
      <c r="MTI24" s="93"/>
      <c r="MTJ24" s="93"/>
      <c r="MTK24" s="93"/>
      <c r="MTL24" s="93"/>
      <c r="MTM24" s="93"/>
      <c r="MTN24" s="93"/>
      <c r="MTO24" s="93"/>
      <c r="MTP24" s="93"/>
      <c r="MTQ24" s="93"/>
      <c r="MTR24" s="93"/>
      <c r="MTS24" s="93"/>
      <c r="MTT24" s="93"/>
      <c r="MTU24" s="93"/>
      <c r="MTV24" s="93"/>
      <c r="MTW24" s="93"/>
      <c r="MTX24" s="93"/>
      <c r="MTY24" s="93"/>
      <c r="MTZ24" s="93"/>
      <c r="MUA24" s="93"/>
      <c r="MUB24" s="93"/>
      <c r="MUC24" s="93"/>
      <c r="MUD24" s="93"/>
      <c r="MUE24" s="93"/>
      <c r="MUF24" s="93"/>
      <c r="MUG24" s="93"/>
      <c r="MUH24" s="93"/>
      <c r="MUI24" s="93"/>
      <c r="MUJ24" s="93"/>
      <c r="MUK24" s="93"/>
      <c r="MUL24" s="93"/>
      <c r="MUM24" s="93"/>
      <c r="MUN24" s="93"/>
      <c r="MUO24" s="93"/>
      <c r="MUP24" s="93"/>
      <c r="MUQ24" s="93"/>
      <c r="MUR24" s="93"/>
      <c r="MUS24" s="93"/>
      <c r="MUT24" s="93"/>
      <c r="MUU24" s="93"/>
      <c r="MUV24" s="93"/>
      <c r="MUW24" s="93"/>
      <c r="MUX24" s="93"/>
      <c r="MUY24" s="93"/>
      <c r="MUZ24" s="93"/>
      <c r="MVA24" s="93"/>
      <c r="MVB24" s="93"/>
      <c r="MVC24" s="93"/>
      <c r="MVD24" s="93"/>
      <c r="MVE24" s="93"/>
      <c r="MVF24" s="93"/>
      <c r="MVG24" s="93"/>
      <c r="MVH24" s="93"/>
      <c r="MVI24" s="93"/>
      <c r="MVJ24" s="93"/>
      <c r="MVK24" s="93"/>
      <c r="MVL24" s="93"/>
      <c r="MVM24" s="93"/>
      <c r="MVN24" s="93"/>
      <c r="MVO24" s="93"/>
      <c r="MVP24" s="93"/>
      <c r="MVQ24" s="93"/>
      <c r="MVR24" s="93"/>
      <c r="MVS24" s="93"/>
      <c r="MVT24" s="93"/>
      <c r="MVU24" s="93"/>
      <c r="MVV24" s="93"/>
      <c r="MVW24" s="93"/>
      <c r="MVX24" s="93"/>
      <c r="MVY24" s="93"/>
      <c r="MVZ24" s="93"/>
      <c r="MWA24" s="93"/>
      <c r="MWB24" s="93"/>
      <c r="MWC24" s="93"/>
      <c r="MWD24" s="93"/>
      <c r="MWE24" s="93"/>
      <c r="MWF24" s="93"/>
      <c r="MWG24" s="93"/>
      <c r="MWH24" s="93"/>
      <c r="MWI24" s="93"/>
      <c r="MWJ24" s="93"/>
      <c r="MWK24" s="93"/>
      <c r="MWL24" s="93"/>
      <c r="MWM24" s="93"/>
      <c r="MWN24" s="93"/>
      <c r="MWO24" s="93"/>
      <c r="MWP24" s="93"/>
      <c r="MWQ24" s="93"/>
      <c r="MWR24" s="93"/>
      <c r="MWS24" s="93"/>
      <c r="MWT24" s="93"/>
      <c r="MWU24" s="93"/>
      <c r="MWV24" s="93"/>
      <c r="MWW24" s="93"/>
      <c r="MWX24" s="93"/>
      <c r="MWY24" s="93"/>
      <c r="MWZ24" s="93"/>
      <c r="MXA24" s="93"/>
      <c r="MXB24" s="93"/>
      <c r="MXC24" s="93"/>
      <c r="MXD24" s="93"/>
      <c r="MXE24" s="93"/>
      <c r="MXF24" s="93"/>
      <c r="MXG24" s="93"/>
      <c r="MXH24" s="93"/>
      <c r="MXI24" s="93"/>
      <c r="MXJ24" s="93"/>
      <c r="MXK24" s="93"/>
      <c r="MXL24" s="93"/>
      <c r="MXM24" s="93"/>
      <c r="MXN24" s="93"/>
      <c r="MXO24" s="93"/>
      <c r="MXP24" s="93"/>
      <c r="MXQ24" s="93"/>
      <c r="MXR24" s="93"/>
      <c r="MXS24" s="93"/>
      <c r="MXT24" s="93"/>
      <c r="MXU24" s="93"/>
      <c r="MXV24" s="93"/>
      <c r="MXW24" s="93"/>
      <c r="MXX24" s="93"/>
      <c r="MXY24" s="93"/>
      <c r="MXZ24" s="93"/>
      <c r="MYA24" s="93"/>
      <c r="MYB24" s="93"/>
      <c r="MYC24" s="93"/>
      <c r="MYD24" s="93"/>
      <c r="MYE24" s="93"/>
      <c r="MYF24" s="93"/>
      <c r="MYG24" s="93"/>
      <c r="MYH24" s="93"/>
      <c r="MYI24" s="93"/>
      <c r="MYJ24" s="93"/>
      <c r="MYK24" s="93"/>
      <c r="MYL24" s="93"/>
      <c r="MYM24" s="93"/>
      <c r="MYN24" s="93"/>
      <c r="MYO24" s="93"/>
      <c r="MYP24" s="93"/>
      <c r="MYQ24" s="93"/>
      <c r="MYR24" s="93"/>
      <c r="MYS24" s="93"/>
      <c r="MYT24" s="93"/>
      <c r="MYU24" s="93"/>
      <c r="MYV24" s="93"/>
      <c r="MYW24" s="93"/>
      <c r="MYX24" s="93"/>
      <c r="MYY24" s="93"/>
      <c r="MYZ24" s="93"/>
      <c r="MZA24" s="93"/>
      <c r="MZB24" s="93"/>
      <c r="MZC24" s="93"/>
      <c r="MZD24" s="93"/>
      <c r="MZE24" s="93"/>
      <c r="MZF24" s="93"/>
      <c r="MZG24" s="93"/>
      <c r="MZH24" s="93"/>
      <c r="MZI24" s="93"/>
      <c r="MZJ24" s="93"/>
      <c r="MZK24" s="93"/>
      <c r="MZL24" s="93"/>
      <c r="MZM24" s="93"/>
      <c r="MZN24" s="93"/>
      <c r="MZO24" s="93"/>
      <c r="MZP24" s="93"/>
      <c r="MZQ24" s="93"/>
      <c r="MZR24" s="93"/>
      <c r="MZS24" s="93"/>
      <c r="MZT24" s="93"/>
      <c r="MZU24" s="93"/>
      <c r="MZV24" s="93"/>
      <c r="MZW24" s="93"/>
      <c r="MZX24" s="93"/>
      <c r="MZY24" s="93"/>
      <c r="MZZ24" s="93"/>
      <c r="NAA24" s="93"/>
      <c r="NAB24" s="93"/>
      <c r="NAC24" s="93"/>
      <c r="NAD24" s="93"/>
      <c r="NAE24" s="93"/>
      <c r="NAF24" s="93"/>
      <c r="NAG24" s="93"/>
      <c r="NAH24" s="93"/>
      <c r="NAI24" s="93"/>
      <c r="NAJ24" s="93"/>
      <c r="NAK24" s="93"/>
      <c r="NAL24" s="93"/>
      <c r="NAM24" s="93"/>
      <c r="NAN24" s="93"/>
      <c r="NAO24" s="93"/>
      <c r="NAP24" s="93"/>
      <c r="NAQ24" s="93"/>
      <c r="NAR24" s="93"/>
      <c r="NAS24" s="93"/>
      <c r="NAT24" s="93"/>
      <c r="NAU24" s="93"/>
      <c r="NAV24" s="93"/>
      <c r="NAW24" s="93"/>
      <c r="NAX24" s="93"/>
      <c r="NAY24" s="93"/>
      <c r="NAZ24" s="93"/>
      <c r="NBA24" s="93"/>
      <c r="NBB24" s="93"/>
      <c r="NBC24" s="93"/>
      <c r="NBD24" s="93"/>
      <c r="NBE24" s="93"/>
      <c r="NBF24" s="93"/>
      <c r="NBG24" s="93"/>
      <c r="NBH24" s="93"/>
      <c r="NBI24" s="93"/>
      <c r="NBJ24" s="93"/>
      <c r="NBK24" s="93"/>
      <c r="NBL24" s="93"/>
      <c r="NBM24" s="93"/>
      <c r="NBN24" s="93"/>
      <c r="NBO24" s="93"/>
      <c r="NBP24" s="93"/>
      <c r="NBQ24" s="93"/>
      <c r="NBR24" s="93"/>
      <c r="NBS24" s="93"/>
      <c r="NBT24" s="93"/>
      <c r="NBU24" s="93"/>
      <c r="NBV24" s="93"/>
      <c r="NBW24" s="93"/>
      <c r="NBX24" s="93"/>
      <c r="NBY24" s="93"/>
      <c r="NBZ24" s="93"/>
      <c r="NCA24" s="93"/>
      <c r="NCB24" s="93"/>
      <c r="NCC24" s="93"/>
      <c r="NCD24" s="93"/>
      <c r="NCE24" s="93"/>
      <c r="NCF24" s="93"/>
      <c r="NCG24" s="93"/>
      <c r="NCH24" s="93"/>
      <c r="NCI24" s="93"/>
      <c r="NCJ24" s="93"/>
      <c r="NCK24" s="93"/>
      <c r="NCL24" s="93"/>
      <c r="NCM24" s="93"/>
      <c r="NCN24" s="93"/>
      <c r="NCO24" s="93"/>
      <c r="NCP24" s="93"/>
      <c r="NCQ24" s="93"/>
      <c r="NCR24" s="93"/>
      <c r="NCS24" s="93"/>
      <c r="NCT24" s="93"/>
      <c r="NCU24" s="93"/>
      <c r="NCV24" s="93"/>
      <c r="NCW24" s="93"/>
      <c r="NCX24" s="93"/>
      <c r="NCY24" s="93"/>
      <c r="NCZ24" s="93"/>
      <c r="NDA24" s="93"/>
      <c r="NDB24" s="93"/>
      <c r="NDC24" s="93"/>
      <c r="NDD24" s="93"/>
      <c r="NDE24" s="93"/>
      <c r="NDF24" s="93"/>
      <c r="NDG24" s="93"/>
      <c r="NDH24" s="93"/>
      <c r="NDI24" s="93"/>
      <c r="NDJ24" s="93"/>
      <c r="NDK24" s="93"/>
      <c r="NDL24" s="93"/>
      <c r="NDM24" s="93"/>
      <c r="NDN24" s="93"/>
      <c r="NDO24" s="93"/>
      <c r="NDP24" s="93"/>
      <c r="NDQ24" s="93"/>
      <c r="NDR24" s="93"/>
      <c r="NDS24" s="93"/>
      <c r="NDT24" s="93"/>
      <c r="NDU24" s="93"/>
      <c r="NDV24" s="93"/>
      <c r="NDW24" s="93"/>
      <c r="NDX24" s="93"/>
      <c r="NDY24" s="93"/>
      <c r="NDZ24" s="93"/>
      <c r="NEA24" s="93"/>
      <c r="NEB24" s="93"/>
      <c r="NEC24" s="93"/>
      <c r="NED24" s="93"/>
      <c r="NEE24" s="93"/>
      <c r="NEF24" s="93"/>
      <c r="NEG24" s="93"/>
      <c r="NEH24" s="93"/>
      <c r="NEI24" s="93"/>
      <c r="NEJ24" s="93"/>
      <c r="NEK24" s="93"/>
      <c r="NEL24" s="93"/>
      <c r="NEM24" s="93"/>
      <c r="NEN24" s="93"/>
      <c r="NEO24" s="93"/>
      <c r="NEP24" s="93"/>
      <c r="NEQ24" s="93"/>
      <c r="NER24" s="93"/>
      <c r="NES24" s="93"/>
      <c r="NET24" s="93"/>
      <c r="NEU24" s="93"/>
      <c r="NEV24" s="93"/>
      <c r="NEW24" s="93"/>
      <c r="NEX24" s="93"/>
      <c r="NEY24" s="93"/>
      <c r="NEZ24" s="93"/>
      <c r="NFA24" s="93"/>
      <c r="NFB24" s="93"/>
      <c r="NFC24" s="93"/>
      <c r="NFD24" s="93"/>
      <c r="NFE24" s="93"/>
      <c r="NFF24" s="93"/>
      <c r="NFG24" s="93"/>
      <c r="NFH24" s="93"/>
      <c r="NFI24" s="93"/>
      <c r="NFJ24" s="93"/>
      <c r="NFK24" s="93"/>
      <c r="NFL24" s="93"/>
      <c r="NFM24" s="93"/>
      <c r="NFN24" s="93"/>
      <c r="NFO24" s="93"/>
      <c r="NFP24" s="93"/>
      <c r="NFQ24" s="93"/>
      <c r="NFR24" s="93"/>
      <c r="NFS24" s="93"/>
      <c r="NFT24" s="93"/>
      <c r="NFU24" s="93"/>
      <c r="NFV24" s="93"/>
      <c r="NFW24" s="93"/>
      <c r="NFX24" s="93"/>
      <c r="NFY24" s="93"/>
      <c r="NFZ24" s="93"/>
      <c r="NGA24" s="93"/>
      <c r="NGB24" s="93"/>
      <c r="NGC24" s="93"/>
      <c r="NGD24" s="93"/>
      <c r="NGE24" s="93"/>
      <c r="NGF24" s="93"/>
      <c r="NGG24" s="93"/>
      <c r="NGH24" s="93"/>
      <c r="NGI24" s="93"/>
      <c r="NGJ24" s="93"/>
      <c r="NGK24" s="93"/>
      <c r="NGL24" s="93"/>
      <c r="NGM24" s="93"/>
      <c r="NGN24" s="93"/>
      <c r="NGO24" s="93"/>
      <c r="NGP24" s="93"/>
      <c r="NGQ24" s="93"/>
      <c r="NGR24" s="93"/>
      <c r="NGS24" s="93"/>
      <c r="NGT24" s="93"/>
      <c r="NGU24" s="93"/>
      <c r="NGV24" s="93"/>
      <c r="NGW24" s="93"/>
      <c r="NGX24" s="93"/>
      <c r="NGY24" s="93"/>
      <c r="NGZ24" s="93"/>
      <c r="NHA24" s="93"/>
      <c r="NHB24" s="93"/>
      <c r="NHC24" s="93"/>
      <c r="NHD24" s="93"/>
      <c r="NHE24" s="93"/>
      <c r="NHF24" s="93"/>
      <c r="NHG24" s="93"/>
      <c r="NHH24" s="93"/>
      <c r="NHI24" s="93"/>
      <c r="NHJ24" s="93"/>
      <c r="NHK24" s="93"/>
      <c r="NHL24" s="93"/>
      <c r="NHM24" s="93"/>
      <c r="NHN24" s="93"/>
      <c r="NHO24" s="93"/>
      <c r="NHP24" s="93"/>
      <c r="NHQ24" s="93"/>
      <c r="NHR24" s="93"/>
      <c r="NHS24" s="93"/>
      <c r="NHT24" s="93"/>
      <c r="NHU24" s="93"/>
      <c r="NHV24" s="93"/>
      <c r="NHW24" s="93"/>
      <c r="NHX24" s="93"/>
      <c r="NHY24" s="93"/>
      <c r="NHZ24" s="93"/>
      <c r="NIA24" s="93"/>
      <c r="NIB24" s="93"/>
      <c r="NIC24" s="93"/>
      <c r="NID24" s="93"/>
      <c r="NIE24" s="93"/>
      <c r="NIF24" s="93"/>
      <c r="NIG24" s="93"/>
      <c r="NIH24" s="93"/>
      <c r="NII24" s="93"/>
      <c r="NIJ24" s="93"/>
      <c r="NIK24" s="93"/>
      <c r="NIL24" s="93"/>
      <c r="NIM24" s="93"/>
      <c r="NIN24" s="93"/>
      <c r="NIO24" s="93"/>
      <c r="NIP24" s="93"/>
      <c r="NIQ24" s="93"/>
      <c r="NIR24" s="93"/>
      <c r="NIS24" s="93"/>
      <c r="NIT24" s="93"/>
      <c r="NIU24" s="93"/>
      <c r="NIV24" s="93"/>
      <c r="NIW24" s="93"/>
      <c r="NIX24" s="93"/>
      <c r="NIY24" s="93"/>
      <c r="NIZ24" s="93"/>
      <c r="NJA24" s="93"/>
      <c r="NJB24" s="93"/>
      <c r="NJC24" s="93"/>
      <c r="NJD24" s="93"/>
      <c r="NJE24" s="93"/>
      <c r="NJF24" s="93"/>
      <c r="NJG24" s="93"/>
      <c r="NJH24" s="93"/>
      <c r="NJI24" s="93"/>
      <c r="NJJ24" s="93"/>
      <c r="NJK24" s="93"/>
      <c r="NJL24" s="93"/>
      <c r="NJM24" s="93"/>
      <c r="NJN24" s="93"/>
      <c r="NJO24" s="93"/>
      <c r="NJP24" s="93"/>
      <c r="NJQ24" s="93"/>
      <c r="NJR24" s="93"/>
      <c r="NJS24" s="93"/>
      <c r="NJT24" s="93"/>
      <c r="NJU24" s="93"/>
      <c r="NJV24" s="93"/>
      <c r="NJW24" s="93"/>
      <c r="NJX24" s="93"/>
      <c r="NJY24" s="93"/>
      <c r="NJZ24" s="93"/>
      <c r="NKA24" s="93"/>
      <c r="NKB24" s="93"/>
      <c r="NKC24" s="93"/>
      <c r="NKD24" s="93"/>
      <c r="NKE24" s="93"/>
      <c r="NKF24" s="93"/>
      <c r="NKG24" s="93"/>
      <c r="NKH24" s="93"/>
      <c r="NKI24" s="93"/>
      <c r="NKJ24" s="93"/>
      <c r="NKK24" s="93"/>
      <c r="NKL24" s="93"/>
      <c r="NKM24" s="93"/>
      <c r="NKN24" s="93"/>
      <c r="NKO24" s="93"/>
      <c r="NKP24" s="93"/>
      <c r="NKQ24" s="93"/>
      <c r="NKR24" s="93"/>
      <c r="NKS24" s="93"/>
      <c r="NKT24" s="93"/>
      <c r="NKU24" s="93"/>
      <c r="NKV24" s="93"/>
      <c r="NKW24" s="93"/>
      <c r="NKX24" s="93"/>
      <c r="NKY24" s="93"/>
      <c r="NKZ24" s="93"/>
      <c r="NLA24" s="93"/>
      <c r="NLB24" s="93"/>
      <c r="NLC24" s="93"/>
      <c r="NLD24" s="93"/>
      <c r="NLE24" s="93"/>
      <c r="NLF24" s="93"/>
      <c r="NLG24" s="93"/>
      <c r="NLH24" s="93"/>
      <c r="NLI24" s="93"/>
      <c r="NLJ24" s="93"/>
      <c r="NLK24" s="93"/>
      <c r="NLL24" s="93"/>
      <c r="NLM24" s="93"/>
      <c r="NLN24" s="93"/>
      <c r="NLO24" s="93"/>
      <c r="NLP24" s="93"/>
      <c r="NLQ24" s="93"/>
      <c r="NLR24" s="93"/>
      <c r="NLS24" s="93"/>
      <c r="NLT24" s="93"/>
      <c r="NLU24" s="93"/>
      <c r="NLV24" s="93"/>
      <c r="NLW24" s="93"/>
      <c r="NLX24" s="93"/>
      <c r="NLY24" s="93"/>
      <c r="NLZ24" s="93"/>
      <c r="NMA24" s="93"/>
      <c r="NMB24" s="93"/>
      <c r="NMC24" s="93"/>
      <c r="NMD24" s="93"/>
      <c r="NME24" s="93"/>
      <c r="NMF24" s="93"/>
      <c r="NMG24" s="93"/>
      <c r="NMH24" s="93"/>
      <c r="NMI24" s="93"/>
      <c r="NMJ24" s="93"/>
      <c r="NMK24" s="93"/>
      <c r="NML24" s="93"/>
      <c r="NMM24" s="93"/>
      <c r="NMN24" s="93"/>
      <c r="NMO24" s="93"/>
      <c r="NMP24" s="93"/>
      <c r="NMQ24" s="93"/>
      <c r="NMR24" s="93"/>
      <c r="NMS24" s="93"/>
      <c r="NMT24" s="93"/>
      <c r="NMU24" s="93"/>
      <c r="NMV24" s="93"/>
      <c r="NMW24" s="93"/>
      <c r="NMX24" s="93"/>
      <c r="NMY24" s="93"/>
      <c r="NMZ24" s="93"/>
      <c r="NNA24" s="93"/>
      <c r="NNB24" s="93"/>
      <c r="NNC24" s="93"/>
      <c r="NND24" s="93"/>
      <c r="NNE24" s="93"/>
      <c r="NNF24" s="93"/>
      <c r="NNG24" s="93"/>
      <c r="NNH24" s="93"/>
      <c r="NNI24" s="93"/>
      <c r="NNJ24" s="93"/>
      <c r="NNK24" s="93"/>
      <c r="NNL24" s="93"/>
      <c r="NNM24" s="93"/>
      <c r="NNN24" s="93"/>
      <c r="NNO24" s="93"/>
      <c r="NNP24" s="93"/>
      <c r="NNQ24" s="93"/>
      <c r="NNR24" s="93"/>
      <c r="NNS24" s="93"/>
      <c r="NNT24" s="93"/>
      <c r="NNU24" s="93"/>
      <c r="NNV24" s="93"/>
      <c r="NNW24" s="93"/>
      <c r="NNX24" s="93"/>
      <c r="NNY24" s="93"/>
      <c r="NNZ24" s="93"/>
      <c r="NOA24" s="93"/>
      <c r="NOB24" s="93"/>
      <c r="NOC24" s="93"/>
      <c r="NOD24" s="93"/>
      <c r="NOE24" s="93"/>
      <c r="NOF24" s="93"/>
      <c r="NOG24" s="93"/>
      <c r="NOH24" s="93"/>
      <c r="NOI24" s="93"/>
      <c r="NOJ24" s="93"/>
      <c r="NOK24" s="93"/>
      <c r="NOL24" s="93"/>
      <c r="NOM24" s="93"/>
      <c r="NON24" s="93"/>
      <c r="NOO24" s="93"/>
      <c r="NOP24" s="93"/>
      <c r="NOQ24" s="93"/>
      <c r="NOR24" s="93"/>
      <c r="NOS24" s="93"/>
      <c r="NOT24" s="93"/>
      <c r="NOU24" s="93"/>
      <c r="NOV24" s="93"/>
      <c r="NOW24" s="93"/>
      <c r="NOX24" s="93"/>
      <c r="NOY24" s="93"/>
      <c r="NOZ24" s="93"/>
      <c r="NPA24" s="93"/>
      <c r="NPB24" s="93"/>
      <c r="NPC24" s="93"/>
      <c r="NPD24" s="93"/>
      <c r="NPE24" s="93"/>
      <c r="NPF24" s="93"/>
      <c r="NPG24" s="93"/>
      <c r="NPH24" s="93"/>
      <c r="NPI24" s="93"/>
      <c r="NPJ24" s="93"/>
      <c r="NPK24" s="93"/>
      <c r="NPL24" s="93"/>
      <c r="NPM24" s="93"/>
      <c r="NPN24" s="93"/>
      <c r="NPO24" s="93"/>
      <c r="NPP24" s="93"/>
      <c r="NPQ24" s="93"/>
      <c r="NPR24" s="93"/>
      <c r="NPS24" s="93"/>
      <c r="NPT24" s="93"/>
      <c r="NPU24" s="93"/>
      <c r="NPV24" s="93"/>
      <c r="NPW24" s="93"/>
      <c r="NPX24" s="93"/>
      <c r="NPY24" s="93"/>
      <c r="NPZ24" s="93"/>
      <c r="NQA24" s="93"/>
      <c r="NQB24" s="93"/>
      <c r="NQC24" s="93"/>
      <c r="NQD24" s="93"/>
      <c r="NQE24" s="93"/>
      <c r="NQF24" s="93"/>
      <c r="NQG24" s="93"/>
      <c r="NQH24" s="93"/>
      <c r="NQI24" s="93"/>
      <c r="NQJ24" s="93"/>
      <c r="NQK24" s="93"/>
      <c r="NQL24" s="93"/>
      <c r="NQM24" s="93"/>
      <c r="NQN24" s="93"/>
      <c r="NQO24" s="93"/>
      <c r="NQP24" s="93"/>
      <c r="NQQ24" s="93"/>
      <c r="NQR24" s="93"/>
      <c r="NQS24" s="93"/>
      <c r="NQT24" s="93"/>
      <c r="NQU24" s="93"/>
      <c r="NQV24" s="93"/>
      <c r="NQW24" s="93"/>
      <c r="NQX24" s="93"/>
      <c r="NQY24" s="93"/>
      <c r="NQZ24" s="93"/>
      <c r="NRA24" s="93"/>
      <c r="NRB24" s="93"/>
      <c r="NRC24" s="93"/>
      <c r="NRD24" s="93"/>
      <c r="NRE24" s="93"/>
      <c r="NRF24" s="93"/>
      <c r="NRG24" s="93"/>
      <c r="NRH24" s="93"/>
      <c r="NRI24" s="93"/>
      <c r="NRJ24" s="93"/>
      <c r="NRK24" s="93"/>
      <c r="NRL24" s="93"/>
      <c r="NRM24" s="93"/>
      <c r="NRN24" s="93"/>
      <c r="NRO24" s="93"/>
      <c r="NRP24" s="93"/>
      <c r="NRQ24" s="93"/>
      <c r="NRR24" s="93"/>
      <c r="NRS24" s="93"/>
      <c r="NRT24" s="93"/>
      <c r="NRU24" s="93"/>
      <c r="NRV24" s="93"/>
      <c r="NRW24" s="93"/>
      <c r="NRX24" s="93"/>
      <c r="NRY24" s="93"/>
      <c r="NRZ24" s="93"/>
      <c r="NSA24" s="93"/>
      <c r="NSB24" s="93"/>
      <c r="NSC24" s="93"/>
      <c r="NSD24" s="93"/>
      <c r="NSE24" s="93"/>
      <c r="NSF24" s="93"/>
      <c r="NSG24" s="93"/>
      <c r="NSH24" s="93"/>
      <c r="NSI24" s="93"/>
      <c r="NSJ24" s="93"/>
      <c r="NSK24" s="93"/>
      <c r="NSL24" s="93"/>
      <c r="NSM24" s="93"/>
      <c r="NSN24" s="93"/>
      <c r="NSO24" s="93"/>
      <c r="NSP24" s="93"/>
      <c r="NSQ24" s="93"/>
      <c r="NSR24" s="93"/>
      <c r="NSS24" s="93"/>
      <c r="NST24" s="93"/>
      <c r="NSU24" s="93"/>
      <c r="NSV24" s="93"/>
      <c r="NSW24" s="93"/>
      <c r="NSX24" s="93"/>
      <c r="NSY24" s="93"/>
      <c r="NSZ24" s="93"/>
      <c r="NTA24" s="93"/>
      <c r="NTB24" s="93"/>
      <c r="NTC24" s="93"/>
      <c r="NTD24" s="93"/>
      <c r="NTE24" s="93"/>
      <c r="NTF24" s="93"/>
      <c r="NTG24" s="93"/>
      <c r="NTH24" s="93"/>
      <c r="NTI24" s="93"/>
      <c r="NTJ24" s="93"/>
      <c r="NTK24" s="93"/>
      <c r="NTL24" s="93"/>
      <c r="NTM24" s="93"/>
      <c r="NTN24" s="93"/>
      <c r="NTO24" s="93"/>
      <c r="NTP24" s="93"/>
      <c r="NTQ24" s="93"/>
      <c r="NTR24" s="93"/>
      <c r="NTS24" s="93"/>
      <c r="NTT24" s="93"/>
      <c r="NTU24" s="93"/>
      <c r="NTV24" s="93"/>
      <c r="NTW24" s="93"/>
      <c r="NTX24" s="93"/>
      <c r="NTY24" s="93"/>
      <c r="NTZ24" s="93"/>
      <c r="NUA24" s="93"/>
      <c r="NUB24" s="93"/>
      <c r="NUC24" s="93"/>
      <c r="NUD24" s="93"/>
      <c r="NUE24" s="93"/>
      <c r="NUF24" s="93"/>
      <c r="NUG24" s="93"/>
      <c r="NUH24" s="93"/>
      <c r="NUI24" s="93"/>
      <c r="NUJ24" s="93"/>
      <c r="NUK24" s="93"/>
      <c r="NUL24" s="93"/>
      <c r="NUM24" s="93"/>
      <c r="NUN24" s="93"/>
      <c r="NUO24" s="93"/>
      <c r="NUP24" s="93"/>
      <c r="NUQ24" s="93"/>
      <c r="NUR24" s="93"/>
      <c r="NUS24" s="93"/>
      <c r="NUT24" s="93"/>
      <c r="NUU24" s="93"/>
      <c r="NUV24" s="93"/>
      <c r="NUW24" s="93"/>
      <c r="NUX24" s="93"/>
      <c r="NUY24" s="93"/>
      <c r="NUZ24" s="93"/>
      <c r="NVA24" s="93"/>
      <c r="NVB24" s="93"/>
      <c r="NVC24" s="93"/>
      <c r="NVD24" s="93"/>
      <c r="NVE24" s="93"/>
      <c r="NVF24" s="93"/>
      <c r="NVG24" s="93"/>
      <c r="NVH24" s="93"/>
      <c r="NVI24" s="93"/>
      <c r="NVJ24" s="93"/>
      <c r="NVK24" s="93"/>
      <c r="NVL24" s="93"/>
      <c r="NVM24" s="93"/>
      <c r="NVN24" s="93"/>
      <c r="NVO24" s="93"/>
      <c r="NVP24" s="93"/>
      <c r="NVQ24" s="93"/>
      <c r="NVR24" s="93"/>
      <c r="NVS24" s="93"/>
      <c r="NVT24" s="93"/>
      <c r="NVU24" s="93"/>
      <c r="NVV24" s="93"/>
      <c r="NVW24" s="93"/>
      <c r="NVX24" s="93"/>
      <c r="NVY24" s="93"/>
      <c r="NVZ24" s="93"/>
      <c r="NWA24" s="93"/>
      <c r="NWB24" s="93"/>
      <c r="NWC24" s="93"/>
      <c r="NWD24" s="93"/>
      <c r="NWE24" s="93"/>
      <c r="NWF24" s="93"/>
      <c r="NWG24" s="93"/>
      <c r="NWH24" s="93"/>
      <c r="NWI24" s="93"/>
      <c r="NWJ24" s="93"/>
      <c r="NWK24" s="93"/>
      <c r="NWL24" s="93"/>
      <c r="NWM24" s="93"/>
      <c r="NWN24" s="93"/>
      <c r="NWO24" s="93"/>
      <c r="NWP24" s="93"/>
      <c r="NWQ24" s="93"/>
      <c r="NWR24" s="93"/>
      <c r="NWS24" s="93"/>
      <c r="NWT24" s="93"/>
      <c r="NWU24" s="93"/>
      <c r="NWV24" s="93"/>
      <c r="NWW24" s="93"/>
      <c r="NWX24" s="93"/>
      <c r="NWY24" s="93"/>
      <c r="NWZ24" s="93"/>
      <c r="NXA24" s="93"/>
      <c r="NXB24" s="93"/>
      <c r="NXC24" s="93"/>
      <c r="NXD24" s="93"/>
      <c r="NXE24" s="93"/>
      <c r="NXF24" s="93"/>
      <c r="NXG24" s="93"/>
      <c r="NXH24" s="93"/>
      <c r="NXI24" s="93"/>
      <c r="NXJ24" s="93"/>
      <c r="NXK24" s="93"/>
      <c r="NXL24" s="93"/>
      <c r="NXM24" s="93"/>
      <c r="NXN24" s="93"/>
      <c r="NXO24" s="93"/>
      <c r="NXP24" s="93"/>
      <c r="NXQ24" s="93"/>
      <c r="NXR24" s="93"/>
      <c r="NXS24" s="93"/>
      <c r="NXT24" s="93"/>
      <c r="NXU24" s="93"/>
      <c r="NXV24" s="93"/>
      <c r="NXW24" s="93"/>
      <c r="NXX24" s="93"/>
      <c r="NXY24" s="93"/>
      <c r="NXZ24" s="93"/>
      <c r="NYA24" s="93"/>
      <c r="NYB24" s="93"/>
      <c r="NYC24" s="93"/>
      <c r="NYD24" s="93"/>
      <c r="NYE24" s="93"/>
      <c r="NYF24" s="93"/>
      <c r="NYG24" s="93"/>
      <c r="NYH24" s="93"/>
      <c r="NYI24" s="93"/>
      <c r="NYJ24" s="93"/>
      <c r="NYK24" s="93"/>
      <c r="NYL24" s="93"/>
      <c r="NYM24" s="93"/>
      <c r="NYN24" s="93"/>
      <c r="NYO24" s="93"/>
      <c r="NYP24" s="93"/>
      <c r="NYQ24" s="93"/>
      <c r="NYR24" s="93"/>
      <c r="NYS24" s="93"/>
      <c r="NYT24" s="93"/>
      <c r="NYU24" s="93"/>
      <c r="NYV24" s="93"/>
      <c r="NYW24" s="93"/>
      <c r="NYX24" s="93"/>
      <c r="NYY24" s="93"/>
      <c r="NYZ24" s="93"/>
      <c r="NZA24" s="93"/>
      <c r="NZB24" s="93"/>
      <c r="NZC24" s="93"/>
      <c r="NZD24" s="93"/>
      <c r="NZE24" s="93"/>
      <c r="NZF24" s="93"/>
      <c r="NZG24" s="93"/>
      <c r="NZH24" s="93"/>
      <c r="NZI24" s="93"/>
      <c r="NZJ24" s="93"/>
      <c r="NZK24" s="93"/>
      <c r="NZL24" s="93"/>
      <c r="NZM24" s="93"/>
      <c r="NZN24" s="93"/>
      <c r="NZO24" s="93"/>
      <c r="NZP24" s="93"/>
      <c r="NZQ24" s="93"/>
      <c r="NZR24" s="93"/>
      <c r="NZS24" s="93"/>
      <c r="NZT24" s="93"/>
      <c r="NZU24" s="93"/>
      <c r="NZV24" s="93"/>
      <c r="NZW24" s="93"/>
      <c r="NZX24" s="93"/>
      <c r="NZY24" s="93"/>
      <c r="NZZ24" s="93"/>
      <c r="OAA24" s="93"/>
      <c r="OAB24" s="93"/>
      <c r="OAC24" s="93"/>
      <c r="OAD24" s="93"/>
      <c r="OAE24" s="93"/>
      <c r="OAF24" s="93"/>
      <c r="OAG24" s="93"/>
      <c r="OAH24" s="93"/>
      <c r="OAI24" s="93"/>
      <c r="OAJ24" s="93"/>
      <c r="OAK24" s="93"/>
      <c r="OAL24" s="93"/>
      <c r="OAM24" s="93"/>
      <c r="OAN24" s="93"/>
      <c r="OAO24" s="93"/>
      <c r="OAP24" s="93"/>
      <c r="OAQ24" s="93"/>
      <c r="OAR24" s="93"/>
      <c r="OAS24" s="93"/>
      <c r="OAT24" s="93"/>
      <c r="OAU24" s="93"/>
      <c r="OAV24" s="93"/>
      <c r="OAW24" s="93"/>
      <c r="OAX24" s="93"/>
      <c r="OAY24" s="93"/>
      <c r="OAZ24" s="93"/>
      <c r="OBA24" s="93"/>
      <c r="OBB24" s="93"/>
      <c r="OBC24" s="93"/>
      <c r="OBD24" s="93"/>
      <c r="OBE24" s="93"/>
      <c r="OBF24" s="93"/>
      <c r="OBG24" s="93"/>
      <c r="OBH24" s="93"/>
      <c r="OBI24" s="93"/>
      <c r="OBJ24" s="93"/>
      <c r="OBK24" s="93"/>
      <c r="OBL24" s="93"/>
      <c r="OBM24" s="93"/>
      <c r="OBN24" s="93"/>
      <c r="OBO24" s="93"/>
      <c r="OBP24" s="93"/>
      <c r="OBQ24" s="93"/>
      <c r="OBR24" s="93"/>
      <c r="OBS24" s="93"/>
      <c r="OBT24" s="93"/>
      <c r="OBU24" s="93"/>
      <c r="OBV24" s="93"/>
      <c r="OBW24" s="93"/>
      <c r="OBX24" s="93"/>
      <c r="OBY24" s="93"/>
      <c r="OBZ24" s="93"/>
      <c r="OCA24" s="93"/>
      <c r="OCB24" s="93"/>
      <c r="OCC24" s="93"/>
      <c r="OCD24" s="93"/>
      <c r="OCE24" s="93"/>
      <c r="OCF24" s="93"/>
      <c r="OCG24" s="93"/>
      <c r="OCH24" s="93"/>
      <c r="OCI24" s="93"/>
      <c r="OCJ24" s="93"/>
      <c r="OCK24" s="93"/>
      <c r="OCL24" s="93"/>
      <c r="OCM24" s="93"/>
      <c r="OCN24" s="93"/>
      <c r="OCO24" s="93"/>
      <c r="OCP24" s="93"/>
      <c r="OCQ24" s="93"/>
      <c r="OCR24" s="93"/>
      <c r="OCS24" s="93"/>
      <c r="OCT24" s="93"/>
      <c r="OCU24" s="93"/>
      <c r="OCV24" s="93"/>
      <c r="OCW24" s="93"/>
      <c r="OCX24" s="93"/>
      <c r="OCY24" s="93"/>
      <c r="OCZ24" s="93"/>
      <c r="ODA24" s="93"/>
      <c r="ODB24" s="93"/>
      <c r="ODC24" s="93"/>
      <c r="ODD24" s="93"/>
      <c r="ODE24" s="93"/>
      <c r="ODF24" s="93"/>
      <c r="ODG24" s="93"/>
      <c r="ODH24" s="93"/>
      <c r="ODI24" s="93"/>
      <c r="ODJ24" s="93"/>
      <c r="ODK24" s="93"/>
      <c r="ODL24" s="93"/>
      <c r="ODM24" s="93"/>
      <c r="ODN24" s="93"/>
      <c r="ODO24" s="93"/>
      <c r="ODP24" s="93"/>
      <c r="ODQ24" s="93"/>
      <c r="ODR24" s="93"/>
      <c r="ODS24" s="93"/>
      <c r="ODT24" s="93"/>
      <c r="ODU24" s="93"/>
      <c r="ODV24" s="93"/>
      <c r="ODW24" s="93"/>
      <c r="ODX24" s="93"/>
      <c r="ODY24" s="93"/>
      <c r="ODZ24" s="93"/>
      <c r="OEA24" s="93"/>
      <c r="OEB24" s="93"/>
      <c r="OEC24" s="93"/>
      <c r="OED24" s="93"/>
      <c r="OEE24" s="93"/>
      <c r="OEF24" s="93"/>
      <c r="OEG24" s="93"/>
      <c r="OEH24" s="93"/>
      <c r="OEI24" s="93"/>
      <c r="OEJ24" s="93"/>
      <c r="OEK24" s="93"/>
      <c r="OEL24" s="93"/>
      <c r="OEM24" s="93"/>
      <c r="OEN24" s="93"/>
      <c r="OEO24" s="93"/>
      <c r="OEP24" s="93"/>
      <c r="OEQ24" s="93"/>
      <c r="OER24" s="93"/>
      <c r="OES24" s="93"/>
      <c r="OET24" s="93"/>
      <c r="OEU24" s="93"/>
      <c r="OEV24" s="93"/>
      <c r="OEW24" s="93"/>
      <c r="OEX24" s="93"/>
      <c r="OEY24" s="93"/>
      <c r="OEZ24" s="93"/>
      <c r="OFA24" s="93"/>
      <c r="OFB24" s="93"/>
      <c r="OFC24" s="93"/>
      <c r="OFD24" s="93"/>
      <c r="OFE24" s="93"/>
      <c r="OFF24" s="93"/>
      <c r="OFG24" s="93"/>
      <c r="OFH24" s="93"/>
      <c r="OFI24" s="93"/>
      <c r="OFJ24" s="93"/>
      <c r="OFK24" s="93"/>
      <c r="OFL24" s="93"/>
      <c r="OFM24" s="93"/>
      <c r="OFN24" s="93"/>
      <c r="OFO24" s="93"/>
      <c r="OFP24" s="93"/>
      <c r="OFQ24" s="93"/>
      <c r="OFR24" s="93"/>
      <c r="OFS24" s="93"/>
      <c r="OFT24" s="93"/>
      <c r="OFU24" s="93"/>
      <c r="OFV24" s="93"/>
      <c r="OFW24" s="93"/>
      <c r="OFX24" s="93"/>
      <c r="OFY24" s="93"/>
      <c r="OFZ24" s="93"/>
      <c r="OGA24" s="93"/>
      <c r="OGB24" s="93"/>
      <c r="OGC24" s="93"/>
      <c r="OGD24" s="93"/>
      <c r="OGE24" s="93"/>
      <c r="OGF24" s="93"/>
      <c r="OGG24" s="93"/>
      <c r="OGH24" s="93"/>
      <c r="OGI24" s="93"/>
      <c r="OGJ24" s="93"/>
      <c r="OGK24" s="93"/>
      <c r="OGL24" s="93"/>
      <c r="OGM24" s="93"/>
      <c r="OGN24" s="93"/>
      <c r="OGO24" s="93"/>
      <c r="OGP24" s="93"/>
      <c r="OGQ24" s="93"/>
      <c r="OGR24" s="93"/>
      <c r="OGS24" s="93"/>
      <c r="OGT24" s="93"/>
      <c r="OGU24" s="93"/>
      <c r="OGV24" s="93"/>
      <c r="OGW24" s="93"/>
      <c r="OGX24" s="93"/>
      <c r="OGY24" s="93"/>
      <c r="OGZ24" s="93"/>
      <c r="OHA24" s="93"/>
      <c r="OHB24" s="93"/>
      <c r="OHC24" s="93"/>
      <c r="OHD24" s="93"/>
      <c r="OHE24" s="93"/>
      <c r="OHF24" s="93"/>
      <c r="OHG24" s="93"/>
      <c r="OHH24" s="93"/>
      <c r="OHI24" s="93"/>
      <c r="OHJ24" s="93"/>
      <c r="OHK24" s="93"/>
      <c r="OHL24" s="93"/>
      <c r="OHM24" s="93"/>
      <c r="OHN24" s="93"/>
      <c r="OHO24" s="93"/>
      <c r="OHP24" s="93"/>
      <c r="OHQ24" s="93"/>
      <c r="OHR24" s="93"/>
      <c r="OHS24" s="93"/>
      <c r="OHT24" s="93"/>
      <c r="OHU24" s="93"/>
      <c r="OHV24" s="93"/>
      <c r="OHW24" s="93"/>
      <c r="OHX24" s="93"/>
      <c r="OHY24" s="93"/>
      <c r="OHZ24" s="93"/>
      <c r="OIA24" s="93"/>
      <c r="OIB24" s="93"/>
      <c r="OIC24" s="93"/>
      <c r="OID24" s="93"/>
      <c r="OIE24" s="93"/>
      <c r="OIF24" s="93"/>
      <c r="OIG24" s="93"/>
      <c r="OIH24" s="93"/>
      <c r="OII24" s="93"/>
      <c r="OIJ24" s="93"/>
      <c r="OIK24" s="93"/>
      <c r="OIL24" s="93"/>
      <c r="OIM24" s="93"/>
      <c r="OIN24" s="93"/>
      <c r="OIO24" s="93"/>
      <c r="OIP24" s="93"/>
      <c r="OIQ24" s="93"/>
      <c r="OIR24" s="93"/>
      <c r="OIS24" s="93"/>
      <c r="OIT24" s="93"/>
      <c r="OIU24" s="93"/>
      <c r="OIV24" s="93"/>
      <c r="OIW24" s="93"/>
      <c r="OIX24" s="93"/>
      <c r="OIY24" s="93"/>
      <c r="OIZ24" s="93"/>
      <c r="OJA24" s="93"/>
      <c r="OJB24" s="93"/>
      <c r="OJC24" s="93"/>
      <c r="OJD24" s="93"/>
      <c r="OJE24" s="93"/>
      <c r="OJF24" s="93"/>
      <c r="OJG24" s="93"/>
      <c r="OJH24" s="93"/>
      <c r="OJI24" s="93"/>
      <c r="OJJ24" s="93"/>
      <c r="OJK24" s="93"/>
      <c r="OJL24" s="93"/>
      <c r="OJM24" s="93"/>
      <c r="OJN24" s="93"/>
      <c r="OJO24" s="93"/>
      <c r="OJP24" s="93"/>
      <c r="OJQ24" s="93"/>
      <c r="OJR24" s="93"/>
      <c r="OJS24" s="93"/>
      <c r="OJT24" s="93"/>
      <c r="OJU24" s="93"/>
      <c r="OJV24" s="93"/>
      <c r="OJW24" s="93"/>
      <c r="OJX24" s="93"/>
      <c r="OJY24" s="93"/>
      <c r="OJZ24" s="93"/>
      <c r="OKA24" s="93"/>
      <c r="OKB24" s="93"/>
      <c r="OKC24" s="93"/>
      <c r="OKD24" s="93"/>
      <c r="OKE24" s="93"/>
      <c r="OKF24" s="93"/>
      <c r="OKG24" s="93"/>
      <c r="OKH24" s="93"/>
      <c r="OKI24" s="93"/>
      <c r="OKJ24" s="93"/>
      <c r="OKK24" s="93"/>
      <c r="OKL24" s="93"/>
      <c r="OKM24" s="93"/>
      <c r="OKN24" s="93"/>
      <c r="OKO24" s="93"/>
      <c r="OKP24" s="93"/>
      <c r="OKQ24" s="93"/>
      <c r="OKR24" s="93"/>
      <c r="OKS24" s="93"/>
      <c r="OKT24" s="93"/>
      <c r="OKU24" s="93"/>
      <c r="OKV24" s="93"/>
      <c r="OKW24" s="93"/>
      <c r="OKX24" s="93"/>
      <c r="OKY24" s="93"/>
      <c r="OKZ24" s="93"/>
      <c r="OLA24" s="93"/>
      <c r="OLB24" s="93"/>
      <c r="OLC24" s="93"/>
      <c r="OLD24" s="93"/>
      <c r="OLE24" s="93"/>
      <c r="OLF24" s="93"/>
      <c r="OLG24" s="93"/>
      <c r="OLH24" s="93"/>
      <c r="OLI24" s="93"/>
      <c r="OLJ24" s="93"/>
      <c r="OLK24" s="93"/>
      <c r="OLL24" s="93"/>
      <c r="OLM24" s="93"/>
      <c r="OLN24" s="93"/>
      <c r="OLO24" s="93"/>
      <c r="OLP24" s="93"/>
      <c r="OLQ24" s="93"/>
      <c r="OLR24" s="93"/>
      <c r="OLS24" s="93"/>
      <c r="OLT24" s="93"/>
      <c r="OLU24" s="93"/>
      <c r="OLV24" s="93"/>
      <c r="OLW24" s="93"/>
      <c r="OLX24" s="93"/>
      <c r="OLY24" s="93"/>
      <c r="OLZ24" s="93"/>
      <c r="OMA24" s="93"/>
      <c r="OMB24" s="93"/>
      <c r="OMC24" s="93"/>
      <c r="OMD24" s="93"/>
      <c r="OME24" s="93"/>
      <c r="OMF24" s="93"/>
      <c r="OMG24" s="93"/>
      <c r="OMH24" s="93"/>
      <c r="OMI24" s="93"/>
      <c r="OMJ24" s="93"/>
      <c r="OMK24" s="93"/>
      <c r="OML24" s="93"/>
      <c r="OMM24" s="93"/>
      <c r="OMN24" s="93"/>
      <c r="OMO24" s="93"/>
      <c r="OMP24" s="93"/>
      <c r="OMQ24" s="93"/>
      <c r="OMR24" s="93"/>
      <c r="OMS24" s="93"/>
      <c r="OMT24" s="93"/>
      <c r="OMU24" s="93"/>
      <c r="OMV24" s="93"/>
      <c r="OMW24" s="93"/>
      <c r="OMX24" s="93"/>
      <c r="OMY24" s="93"/>
      <c r="OMZ24" s="93"/>
      <c r="ONA24" s="93"/>
      <c r="ONB24" s="93"/>
      <c r="ONC24" s="93"/>
      <c r="OND24" s="93"/>
      <c r="ONE24" s="93"/>
      <c r="ONF24" s="93"/>
      <c r="ONG24" s="93"/>
      <c r="ONH24" s="93"/>
      <c r="ONI24" s="93"/>
      <c r="ONJ24" s="93"/>
      <c r="ONK24" s="93"/>
      <c r="ONL24" s="93"/>
      <c r="ONM24" s="93"/>
      <c r="ONN24" s="93"/>
      <c r="ONO24" s="93"/>
      <c r="ONP24" s="93"/>
      <c r="ONQ24" s="93"/>
      <c r="ONR24" s="93"/>
      <c r="ONS24" s="93"/>
      <c r="ONT24" s="93"/>
      <c r="ONU24" s="93"/>
      <c r="ONV24" s="93"/>
      <c r="ONW24" s="93"/>
      <c r="ONX24" s="93"/>
      <c r="ONY24" s="93"/>
      <c r="ONZ24" s="93"/>
      <c r="OOA24" s="93"/>
      <c r="OOB24" s="93"/>
      <c r="OOC24" s="93"/>
      <c r="OOD24" s="93"/>
      <c r="OOE24" s="93"/>
      <c r="OOF24" s="93"/>
      <c r="OOG24" s="93"/>
      <c r="OOH24" s="93"/>
      <c r="OOI24" s="93"/>
      <c r="OOJ24" s="93"/>
      <c r="OOK24" s="93"/>
      <c r="OOL24" s="93"/>
      <c r="OOM24" s="93"/>
      <c r="OON24" s="93"/>
      <c r="OOO24" s="93"/>
      <c r="OOP24" s="93"/>
      <c r="OOQ24" s="93"/>
      <c r="OOR24" s="93"/>
      <c r="OOS24" s="93"/>
      <c r="OOT24" s="93"/>
      <c r="OOU24" s="93"/>
      <c r="OOV24" s="93"/>
      <c r="OOW24" s="93"/>
      <c r="OOX24" s="93"/>
      <c r="OOY24" s="93"/>
      <c r="OOZ24" s="93"/>
      <c r="OPA24" s="93"/>
      <c r="OPB24" s="93"/>
      <c r="OPC24" s="93"/>
      <c r="OPD24" s="93"/>
      <c r="OPE24" s="93"/>
      <c r="OPF24" s="93"/>
      <c r="OPG24" s="93"/>
      <c r="OPH24" s="93"/>
      <c r="OPI24" s="93"/>
      <c r="OPJ24" s="93"/>
      <c r="OPK24" s="93"/>
      <c r="OPL24" s="93"/>
      <c r="OPM24" s="93"/>
      <c r="OPN24" s="93"/>
      <c r="OPO24" s="93"/>
      <c r="OPP24" s="93"/>
      <c r="OPQ24" s="93"/>
      <c r="OPR24" s="93"/>
      <c r="OPS24" s="93"/>
      <c r="OPT24" s="93"/>
      <c r="OPU24" s="93"/>
      <c r="OPV24" s="93"/>
      <c r="OPW24" s="93"/>
      <c r="OPX24" s="93"/>
      <c r="OPY24" s="93"/>
      <c r="OPZ24" s="93"/>
      <c r="OQA24" s="93"/>
      <c r="OQB24" s="93"/>
      <c r="OQC24" s="93"/>
      <c r="OQD24" s="93"/>
      <c r="OQE24" s="93"/>
      <c r="OQF24" s="93"/>
      <c r="OQG24" s="93"/>
      <c r="OQH24" s="93"/>
      <c r="OQI24" s="93"/>
      <c r="OQJ24" s="93"/>
      <c r="OQK24" s="93"/>
      <c r="OQL24" s="93"/>
      <c r="OQM24" s="93"/>
      <c r="OQN24" s="93"/>
      <c r="OQO24" s="93"/>
      <c r="OQP24" s="93"/>
      <c r="OQQ24" s="93"/>
      <c r="OQR24" s="93"/>
      <c r="OQS24" s="93"/>
      <c r="OQT24" s="93"/>
      <c r="OQU24" s="93"/>
      <c r="OQV24" s="93"/>
      <c r="OQW24" s="93"/>
      <c r="OQX24" s="93"/>
      <c r="OQY24" s="93"/>
      <c r="OQZ24" s="93"/>
      <c r="ORA24" s="93"/>
      <c r="ORB24" s="93"/>
      <c r="ORC24" s="93"/>
      <c r="ORD24" s="93"/>
      <c r="ORE24" s="93"/>
      <c r="ORF24" s="93"/>
      <c r="ORG24" s="93"/>
      <c r="ORH24" s="93"/>
      <c r="ORI24" s="93"/>
      <c r="ORJ24" s="93"/>
      <c r="ORK24" s="93"/>
      <c r="ORL24" s="93"/>
      <c r="ORM24" s="93"/>
      <c r="ORN24" s="93"/>
      <c r="ORO24" s="93"/>
      <c r="ORP24" s="93"/>
      <c r="ORQ24" s="93"/>
      <c r="ORR24" s="93"/>
      <c r="ORS24" s="93"/>
      <c r="ORT24" s="93"/>
      <c r="ORU24" s="93"/>
      <c r="ORV24" s="93"/>
      <c r="ORW24" s="93"/>
      <c r="ORX24" s="93"/>
      <c r="ORY24" s="93"/>
      <c r="ORZ24" s="93"/>
      <c r="OSA24" s="93"/>
      <c r="OSB24" s="93"/>
      <c r="OSC24" s="93"/>
      <c r="OSD24" s="93"/>
      <c r="OSE24" s="93"/>
      <c r="OSF24" s="93"/>
      <c r="OSG24" s="93"/>
      <c r="OSH24" s="93"/>
      <c r="OSI24" s="93"/>
      <c r="OSJ24" s="93"/>
      <c r="OSK24" s="93"/>
      <c r="OSL24" s="93"/>
      <c r="OSM24" s="93"/>
      <c r="OSN24" s="93"/>
      <c r="OSO24" s="93"/>
      <c r="OSP24" s="93"/>
      <c r="OSQ24" s="93"/>
      <c r="OSR24" s="93"/>
      <c r="OSS24" s="93"/>
      <c r="OST24" s="93"/>
      <c r="OSU24" s="93"/>
      <c r="OSV24" s="93"/>
      <c r="OSW24" s="93"/>
      <c r="OSX24" s="93"/>
      <c r="OSY24" s="93"/>
      <c r="OSZ24" s="93"/>
      <c r="OTA24" s="93"/>
      <c r="OTB24" s="93"/>
      <c r="OTC24" s="93"/>
      <c r="OTD24" s="93"/>
      <c r="OTE24" s="93"/>
      <c r="OTF24" s="93"/>
      <c r="OTG24" s="93"/>
      <c r="OTH24" s="93"/>
      <c r="OTI24" s="93"/>
      <c r="OTJ24" s="93"/>
      <c r="OTK24" s="93"/>
      <c r="OTL24" s="93"/>
      <c r="OTM24" s="93"/>
      <c r="OTN24" s="93"/>
      <c r="OTO24" s="93"/>
      <c r="OTP24" s="93"/>
      <c r="OTQ24" s="93"/>
      <c r="OTR24" s="93"/>
      <c r="OTS24" s="93"/>
      <c r="OTT24" s="93"/>
      <c r="OTU24" s="93"/>
      <c r="OTV24" s="93"/>
      <c r="OTW24" s="93"/>
      <c r="OTX24" s="93"/>
      <c r="OTY24" s="93"/>
      <c r="OTZ24" s="93"/>
      <c r="OUA24" s="93"/>
      <c r="OUB24" s="93"/>
      <c r="OUC24" s="93"/>
      <c r="OUD24" s="93"/>
      <c r="OUE24" s="93"/>
      <c r="OUF24" s="93"/>
      <c r="OUG24" s="93"/>
      <c r="OUH24" s="93"/>
      <c r="OUI24" s="93"/>
      <c r="OUJ24" s="93"/>
      <c r="OUK24" s="93"/>
      <c r="OUL24" s="93"/>
      <c r="OUM24" s="93"/>
      <c r="OUN24" s="93"/>
      <c r="OUO24" s="93"/>
      <c r="OUP24" s="93"/>
      <c r="OUQ24" s="93"/>
      <c r="OUR24" s="93"/>
      <c r="OUS24" s="93"/>
      <c r="OUT24" s="93"/>
      <c r="OUU24" s="93"/>
      <c r="OUV24" s="93"/>
      <c r="OUW24" s="93"/>
      <c r="OUX24" s="93"/>
      <c r="OUY24" s="93"/>
      <c r="OUZ24" s="93"/>
      <c r="OVA24" s="93"/>
      <c r="OVB24" s="93"/>
      <c r="OVC24" s="93"/>
      <c r="OVD24" s="93"/>
      <c r="OVE24" s="93"/>
      <c r="OVF24" s="93"/>
      <c r="OVG24" s="93"/>
      <c r="OVH24" s="93"/>
      <c r="OVI24" s="93"/>
      <c r="OVJ24" s="93"/>
      <c r="OVK24" s="93"/>
      <c r="OVL24" s="93"/>
      <c r="OVM24" s="93"/>
      <c r="OVN24" s="93"/>
      <c r="OVO24" s="93"/>
      <c r="OVP24" s="93"/>
      <c r="OVQ24" s="93"/>
      <c r="OVR24" s="93"/>
      <c r="OVS24" s="93"/>
      <c r="OVT24" s="93"/>
      <c r="OVU24" s="93"/>
      <c r="OVV24" s="93"/>
      <c r="OVW24" s="93"/>
      <c r="OVX24" s="93"/>
      <c r="OVY24" s="93"/>
      <c r="OVZ24" s="93"/>
      <c r="OWA24" s="93"/>
      <c r="OWB24" s="93"/>
      <c r="OWC24" s="93"/>
      <c r="OWD24" s="93"/>
      <c r="OWE24" s="93"/>
      <c r="OWF24" s="93"/>
      <c r="OWG24" s="93"/>
      <c r="OWH24" s="93"/>
      <c r="OWI24" s="93"/>
      <c r="OWJ24" s="93"/>
      <c r="OWK24" s="93"/>
      <c r="OWL24" s="93"/>
      <c r="OWM24" s="93"/>
      <c r="OWN24" s="93"/>
      <c r="OWO24" s="93"/>
      <c r="OWP24" s="93"/>
      <c r="OWQ24" s="93"/>
      <c r="OWR24" s="93"/>
      <c r="OWS24" s="93"/>
      <c r="OWT24" s="93"/>
      <c r="OWU24" s="93"/>
      <c r="OWV24" s="93"/>
      <c r="OWW24" s="93"/>
      <c r="OWX24" s="93"/>
      <c r="OWY24" s="93"/>
      <c r="OWZ24" s="93"/>
      <c r="OXA24" s="93"/>
      <c r="OXB24" s="93"/>
      <c r="OXC24" s="93"/>
      <c r="OXD24" s="93"/>
      <c r="OXE24" s="93"/>
      <c r="OXF24" s="93"/>
      <c r="OXG24" s="93"/>
      <c r="OXH24" s="93"/>
      <c r="OXI24" s="93"/>
      <c r="OXJ24" s="93"/>
      <c r="OXK24" s="93"/>
      <c r="OXL24" s="93"/>
      <c r="OXM24" s="93"/>
      <c r="OXN24" s="93"/>
      <c r="OXO24" s="93"/>
      <c r="OXP24" s="93"/>
      <c r="OXQ24" s="93"/>
      <c r="OXR24" s="93"/>
      <c r="OXS24" s="93"/>
      <c r="OXT24" s="93"/>
      <c r="OXU24" s="93"/>
      <c r="OXV24" s="93"/>
      <c r="OXW24" s="93"/>
      <c r="OXX24" s="93"/>
      <c r="OXY24" s="93"/>
      <c r="OXZ24" s="93"/>
      <c r="OYA24" s="93"/>
      <c r="OYB24" s="93"/>
      <c r="OYC24" s="93"/>
      <c r="OYD24" s="93"/>
      <c r="OYE24" s="93"/>
      <c r="OYF24" s="93"/>
      <c r="OYG24" s="93"/>
      <c r="OYH24" s="93"/>
      <c r="OYI24" s="93"/>
      <c r="OYJ24" s="93"/>
      <c r="OYK24" s="93"/>
      <c r="OYL24" s="93"/>
      <c r="OYM24" s="93"/>
      <c r="OYN24" s="93"/>
      <c r="OYO24" s="93"/>
      <c r="OYP24" s="93"/>
      <c r="OYQ24" s="93"/>
      <c r="OYR24" s="93"/>
      <c r="OYS24" s="93"/>
      <c r="OYT24" s="93"/>
      <c r="OYU24" s="93"/>
      <c r="OYV24" s="93"/>
      <c r="OYW24" s="93"/>
      <c r="OYX24" s="93"/>
      <c r="OYY24" s="93"/>
      <c r="OYZ24" s="93"/>
      <c r="OZA24" s="93"/>
      <c r="OZB24" s="93"/>
      <c r="OZC24" s="93"/>
      <c r="OZD24" s="93"/>
      <c r="OZE24" s="93"/>
      <c r="OZF24" s="93"/>
      <c r="OZG24" s="93"/>
      <c r="OZH24" s="93"/>
      <c r="OZI24" s="93"/>
      <c r="OZJ24" s="93"/>
      <c r="OZK24" s="93"/>
      <c r="OZL24" s="93"/>
      <c r="OZM24" s="93"/>
      <c r="OZN24" s="93"/>
      <c r="OZO24" s="93"/>
      <c r="OZP24" s="93"/>
      <c r="OZQ24" s="93"/>
      <c r="OZR24" s="93"/>
      <c r="OZS24" s="93"/>
      <c r="OZT24" s="93"/>
      <c r="OZU24" s="93"/>
      <c r="OZV24" s="93"/>
      <c r="OZW24" s="93"/>
      <c r="OZX24" s="93"/>
      <c r="OZY24" s="93"/>
      <c r="OZZ24" s="93"/>
      <c r="PAA24" s="93"/>
      <c r="PAB24" s="93"/>
      <c r="PAC24" s="93"/>
      <c r="PAD24" s="93"/>
      <c r="PAE24" s="93"/>
      <c r="PAF24" s="93"/>
      <c r="PAG24" s="93"/>
      <c r="PAH24" s="93"/>
      <c r="PAI24" s="93"/>
      <c r="PAJ24" s="93"/>
      <c r="PAK24" s="93"/>
      <c r="PAL24" s="93"/>
      <c r="PAM24" s="93"/>
      <c r="PAN24" s="93"/>
      <c r="PAO24" s="93"/>
      <c r="PAP24" s="93"/>
      <c r="PAQ24" s="93"/>
      <c r="PAR24" s="93"/>
      <c r="PAS24" s="93"/>
      <c r="PAT24" s="93"/>
      <c r="PAU24" s="93"/>
      <c r="PAV24" s="93"/>
      <c r="PAW24" s="93"/>
      <c r="PAX24" s="93"/>
      <c r="PAY24" s="93"/>
      <c r="PAZ24" s="93"/>
      <c r="PBA24" s="93"/>
      <c r="PBB24" s="93"/>
      <c r="PBC24" s="93"/>
      <c r="PBD24" s="93"/>
      <c r="PBE24" s="93"/>
      <c r="PBF24" s="93"/>
      <c r="PBG24" s="93"/>
      <c r="PBH24" s="93"/>
      <c r="PBI24" s="93"/>
      <c r="PBJ24" s="93"/>
      <c r="PBK24" s="93"/>
      <c r="PBL24" s="93"/>
      <c r="PBM24" s="93"/>
      <c r="PBN24" s="93"/>
      <c r="PBO24" s="93"/>
      <c r="PBP24" s="93"/>
      <c r="PBQ24" s="93"/>
      <c r="PBR24" s="93"/>
      <c r="PBS24" s="93"/>
      <c r="PBT24" s="93"/>
      <c r="PBU24" s="93"/>
      <c r="PBV24" s="93"/>
      <c r="PBW24" s="93"/>
      <c r="PBX24" s="93"/>
      <c r="PBY24" s="93"/>
      <c r="PBZ24" s="93"/>
      <c r="PCA24" s="93"/>
      <c r="PCB24" s="93"/>
      <c r="PCC24" s="93"/>
      <c r="PCD24" s="93"/>
      <c r="PCE24" s="93"/>
      <c r="PCF24" s="93"/>
      <c r="PCG24" s="93"/>
      <c r="PCH24" s="93"/>
      <c r="PCI24" s="93"/>
      <c r="PCJ24" s="93"/>
      <c r="PCK24" s="93"/>
      <c r="PCL24" s="93"/>
      <c r="PCM24" s="93"/>
      <c r="PCN24" s="93"/>
      <c r="PCO24" s="93"/>
      <c r="PCP24" s="93"/>
      <c r="PCQ24" s="93"/>
      <c r="PCR24" s="93"/>
      <c r="PCS24" s="93"/>
      <c r="PCT24" s="93"/>
      <c r="PCU24" s="93"/>
      <c r="PCV24" s="93"/>
      <c r="PCW24" s="93"/>
      <c r="PCX24" s="93"/>
      <c r="PCY24" s="93"/>
      <c r="PCZ24" s="93"/>
      <c r="PDA24" s="93"/>
      <c r="PDB24" s="93"/>
      <c r="PDC24" s="93"/>
      <c r="PDD24" s="93"/>
      <c r="PDE24" s="93"/>
      <c r="PDF24" s="93"/>
      <c r="PDG24" s="93"/>
      <c r="PDH24" s="93"/>
      <c r="PDI24" s="93"/>
      <c r="PDJ24" s="93"/>
      <c r="PDK24" s="93"/>
      <c r="PDL24" s="93"/>
      <c r="PDM24" s="93"/>
      <c r="PDN24" s="93"/>
      <c r="PDO24" s="93"/>
      <c r="PDP24" s="93"/>
      <c r="PDQ24" s="93"/>
      <c r="PDR24" s="93"/>
      <c r="PDS24" s="93"/>
      <c r="PDT24" s="93"/>
      <c r="PDU24" s="93"/>
      <c r="PDV24" s="93"/>
      <c r="PDW24" s="93"/>
      <c r="PDX24" s="93"/>
      <c r="PDY24" s="93"/>
      <c r="PDZ24" s="93"/>
      <c r="PEA24" s="93"/>
      <c r="PEB24" s="93"/>
      <c r="PEC24" s="93"/>
      <c r="PED24" s="93"/>
      <c r="PEE24" s="93"/>
      <c r="PEF24" s="93"/>
      <c r="PEG24" s="93"/>
      <c r="PEH24" s="93"/>
      <c r="PEI24" s="93"/>
      <c r="PEJ24" s="93"/>
      <c r="PEK24" s="93"/>
      <c r="PEL24" s="93"/>
      <c r="PEM24" s="93"/>
      <c r="PEN24" s="93"/>
      <c r="PEO24" s="93"/>
      <c r="PEP24" s="93"/>
      <c r="PEQ24" s="93"/>
      <c r="PER24" s="93"/>
      <c r="PES24" s="93"/>
      <c r="PET24" s="93"/>
      <c r="PEU24" s="93"/>
      <c r="PEV24" s="93"/>
      <c r="PEW24" s="93"/>
      <c r="PEX24" s="93"/>
      <c r="PEY24" s="93"/>
      <c r="PEZ24" s="93"/>
      <c r="PFA24" s="93"/>
      <c r="PFB24" s="93"/>
      <c r="PFC24" s="93"/>
      <c r="PFD24" s="93"/>
      <c r="PFE24" s="93"/>
      <c r="PFF24" s="93"/>
      <c r="PFG24" s="93"/>
      <c r="PFH24" s="93"/>
      <c r="PFI24" s="93"/>
      <c r="PFJ24" s="93"/>
      <c r="PFK24" s="93"/>
      <c r="PFL24" s="93"/>
      <c r="PFM24" s="93"/>
      <c r="PFN24" s="93"/>
      <c r="PFO24" s="93"/>
      <c r="PFP24" s="93"/>
      <c r="PFQ24" s="93"/>
      <c r="PFR24" s="93"/>
      <c r="PFS24" s="93"/>
      <c r="PFT24" s="93"/>
      <c r="PFU24" s="93"/>
      <c r="PFV24" s="93"/>
      <c r="PFW24" s="93"/>
      <c r="PFX24" s="93"/>
      <c r="PFY24" s="93"/>
      <c r="PFZ24" s="93"/>
      <c r="PGA24" s="93"/>
      <c r="PGB24" s="93"/>
      <c r="PGC24" s="93"/>
      <c r="PGD24" s="93"/>
      <c r="PGE24" s="93"/>
      <c r="PGF24" s="93"/>
      <c r="PGG24" s="93"/>
      <c r="PGH24" s="93"/>
      <c r="PGI24" s="93"/>
      <c r="PGJ24" s="93"/>
      <c r="PGK24" s="93"/>
      <c r="PGL24" s="93"/>
      <c r="PGM24" s="93"/>
      <c r="PGN24" s="93"/>
      <c r="PGO24" s="93"/>
      <c r="PGP24" s="93"/>
      <c r="PGQ24" s="93"/>
      <c r="PGR24" s="93"/>
      <c r="PGS24" s="93"/>
      <c r="PGT24" s="93"/>
      <c r="PGU24" s="93"/>
      <c r="PGV24" s="93"/>
      <c r="PGW24" s="93"/>
      <c r="PGX24" s="93"/>
      <c r="PGY24" s="93"/>
      <c r="PGZ24" s="93"/>
      <c r="PHA24" s="93"/>
      <c r="PHB24" s="93"/>
      <c r="PHC24" s="93"/>
      <c r="PHD24" s="93"/>
      <c r="PHE24" s="93"/>
      <c r="PHF24" s="93"/>
      <c r="PHG24" s="93"/>
      <c r="PHH24" s="93"/>
      <c r="PHI24" s="93"/>
      <c r="PHJ24" s="93"/>
      <c r="PHK24" s="93"/>
      <c r="PHL24" s="93"/>
      <c r="PHM24" s="93"/>
      <c r="PHN24" s="93"/>
      <c r="PHO24" s="93"/>
      <c r="PHP24" s="93"/>
      <c r="PHQ24" s="93"/>
      <c r="PHR24" s="93"/>
      <c r="PHS24" s="93"/>
      <c r="PHT24" s="93"/>
      <c r="PHU24" s="93"/>
      <c r="PHV24" s="93"/>
      <c r="PHW24" s="93"/>
      <c r="PHX24" s="93"/>
      <c r="PHY24" s="93"/>
      <c r="PHZ24" s="93"/>
      <c r="PIA24" s="93"/>
      <c r="PIB24" s="93"/>
      <c r="PIC24" s="93"/>
      <c r="PID24" s="93"/>
      <c r="PIE24" s="93"/>
      <c r="PIF24" s="93"/>
      <c r="PIG24" s="93"/>
      <c r="PIH24" s="93"/>
      <c r="PII24" s="93"/>
      <c r="PIJ24" s="93"/>
      <c r="PIK24" s="93"/>
      <c r="PIL24" s="93"/>
      <c r="PIM24" s="93"/>
      <c r="PIN24" s="93"/>
      <c r="PIO24" s="93"/>
      <c r="PIP24" s="93"/>
      <c r="PIQ24" s="93"/>
      <c r="PIR24" s="93"/>
      <c r="PIS24" s="93"/>
      <c r="PIT24" s="93"/>
      <c r="PIU24" s="93"/>
      <c r="PIV24" s="93"/>
      <c r="PIW24" s="93"/>
      <c r="PIX24" s="93"/>
      <c r="PIY24" s="93"/>
      <c r="PIZ24" s="93"/>
      <c r="PJA24" s="93"/>
      <c r="PJB24" s="93"/>
      <c r="PJC24" s="93"/>
      <c r="PJD24" s="93"/>
      <c r="PJE24" s="93"/>
      <c r="PJF24" s="93"/>
      <c r="PJG24" s="93"/>
      <c r="PJH24" s="93"/>
      <c r="PJI24" s="93"/>
      <c r="PJJ24" s="93"/>
      <c r="PJK24" s="93"/>
      <c r="PJL24" s="93"/>
      <c r="PJM24" s="93"/>
      <c r="PJN24" s="93"/>
      <c r="PJO24" s="93"/>
      <c r="PJP24" s="93"/>
      <c r="PJQ24" s="93"/>
      <c r="PJR24" s="93"/>
      <c r="PJS24" s="93"/>
      <c r="PJT24" s="93"/>
      <c r="PJU24" s="93"/>
      <c r="PJV24" s="93"/>
      <c r="PJW24" s="93"/>
      <c r="PJX24" s="93"/>
      <c r="PJY24" s="93"/>
      <c r="PJZ24" s="93"/>
      <c r="PKA24" s="93"/>
      <c r="PKB24" s="93"/>
      <c r="PKC24" s="93"/>
      <c r="PKD24" s="93"/>
      <c r="PKE24" s="93"/>
      <c r="PKF24" s="93"/>
      <c r="PKG24" s="93"/>
      <c r="PKH24" s="93"/>
      <c r="PKI24" s="93"/>
      <c r="PKJ24" s="93"/>
      <c r="PKK24" s="93"/>
      <c r="PKL24" s="93"/>
      <c r="PKM24" s="93"/>
      <c r="PKN24" s="93"/>
      <c r="PKO24" s="93"/>
      <c r="PKP24" s="93"/>
      <c r="PKQ24" s="93"/>
      <c r="PKR24" s="93"/>
      <c r="PKS24" s="93"/>
      <c r="PKT24" s="93"/>
      <c r="PKU24" s="93"/>
      <c r="PKV24" s="93"/>
      <c r="PKW24" s="93"/>
      <c r="PKX24" s="93"/>
      <c r="PKY24" s="93"/>
      <c r="PKZ24" s="93"/>
      <c r="PLA24" s="93"/>
      <c r="PLB24" s="93"/>
      <c r="PLC24" s="93"/>
      <c r="PLD24" s="93"/>
      <c r="PLE24" s="93"/>
      <c r="PLF24" s="93"/>
      <c r="PLG24" s="93"/>
      <c r="PLH24" s="93"/>
      <c r="PLI24" s="93"/>
      <c r="PLJ24" s="93"/>
      <c r="PLK24" s="93"/>
      <c r="PLL24" s="93"/>
      <c r="PLM24" s="93"/>
      <c r="PLN24" s="93"/>
      <c r="PLO24" s="93"/>
      <c r="PLP24" s="93"/>
      <c r="PLQ24" s="93"/>
      <c r="PLR24" s="93"/>
      <c r="PLS24" s="93"/>
      <c r="PLT24" s="93"/>
      <c r="PLU24" s="93"/>
      <c r="PLV24" s="93"/>
      <c r="PLW24" s="93"/>
      <c r="PLX24" s="93"/>
      <c r="PLY24" s="93"/>
      <c r="PLZ24" s="93"/>
      <c r="PMA24" s="93"/>
      <c r="PMB24" s="93"/>
      <c r="PMC24" s="93"/>
      <c r="PMD24" s="93"/>
      <c r="PME24" s="93"/>
      <c r="PMF24" s="93"/>
      <c r="PMG24" s="93"/>
      <c r="PMH24" s="93"/>
      <c r="PMI24" s="93"/>
      <c r="PMJ24" s="93"/>
      <c r="PMK24" s="93"/>
      <c r="PML24" s="93"/>
      <c r="PMM24" s="93"/>
      <c r="PMN24" s="93"/>
      <c r="PMO24" s="93"/>
      <c r="PMP24" s="93"/>
      <c r="PMQ24" s="93"/>
      <c r="PMR24" s="93"/>
      <c r="PMS24" s="93"/>
      <c r="PMT24" s="93"/>
      <c r="PMU24" s="93"/>
      <c r="PMV24" s="93"/>
      <c r="PMW24" s="93"/>
      <c r="PMX24" s="93"/>
      <c r="PMY24" s="93"/>
      <c r="PMZ24" s="93"/>
      <c r="PNA24" s="93"/>
      <c r="PNB24" s="93"/>
      <c r="PNC24" s="93"/>
      <c r="PND24" s="93"/>
      <c r="PNE24" s="93"/>
      <c r="PNF24" s="93"/>
      <c r="PNG24" s="93"/>
      <c r="PNH24" s="93"/>
      <c r="PNI24" s="93"/>
      <c r="PNJ24" s="93"/>
      <c r="PNK24" s="93"/>
      <c r="PNL24" s="93"/>
      <c r="PNM24" s="93"/>
      <c r="PNN24" s="93"/>
      <c r="PNO24" s="93"/>
      <c r="PNP24" s="93"/>
      <c r="PNQ24" s="93"/>
      <c r="PNR24" s="93"/>
      <c r="PNS24" s="93"/>
      <c r="PNT24" s="93"/>
      <c r="PNU24" s="93"/>
      <c r="PNV24" s="93"/>
      <c r="PNW24" s="93"/>
      <c r="PNX24" s="93"/>
      <c r="PNY24" s="93"/>
      <c r="PNZ24" s="93"/>
      <c r="POA24" s="93"/>
      <c r="POB24" s="93"/>
      <c r="POC24" s="93"/>
      <c r="POD24" s="93"/>
      <c r="POE24" s="93"/>
      <c r="POF24" s="93"/>
      <c r="POG24" s="93"/>
      <c r="POH24" s="93"/>
      <c r="POI24" s="93"/>
      <c r="POJ24" s="93"/>
      <c r="POK24" s="93"/>
      <c r="POL24" s="93"/>
      <c r="POM24" s="93"/>
      <c r="PON24" s="93"/>
      <c r="POO24" s="93"/>
      <c r="POP24" s="93"/>
      <c r="POQ24" s="93"/>
      <c r="POR24" s="93"/>
      <c r="POS24" s="93"/>
      <c r="POT24" s="93"/>
      <c r="POU24" s="93"/>
      <c r="POV24" s="93"/>
      <c r="POW24" s="93"/>
      <c r="POX24" s="93"/>
      <c r="POY24" s="93"/>
      <c r="POZ24" s="93"/>
      <c r="PPA24" s="93"/>
      <c r="PPB24" s="93"/>
      <c r="PPC24" s="93"/>
      <c r="PPD24" s="93"/>
      <c r="PPE24" s="93"/>
      <c r="PPF24" s="93"/>
      <c r="PPG24" s="93"/>
      <c r="PPH24" s="93"/>
      <c r="PPI24" s="93"/>
      <c r="PPJ24" s="93"/>
      <c r="PPK24" s="93"/>
      <c r="PPL24" s="93"/>
      <c r="PPM24" s="93"/>
      <c r="PPN24" s="93"/>
      <c r="PPO24" s="93"/>
      <c r="PPP24" s="93"/>
      <c r="PPQ24" s="93"/>
      <c r="PPR24" s="93"/>
      <c r="PPS24" s="93"/>
      <c r="PPT24" s="93"/>
      <c r="PPU24" s="93"/>
      <c r="PPV24" s="93"/>
      <c r="PPW24" s="93"/>
      <c r="PPX24" s="93"/>
      <c r="PPY24" s="93"/>
      <c r="PPZ24" s="93"/>
      <c r="PQA24" s="93"/>
      <c r="PQB24" s="93"/>
      <c r="PQC24" s="93"/>
      <c r="PQD24" s="93"/>
      <c r="PQE24" s="93"/>
      <c r="PQF24" s="93"/>
      <c r="PQG24" s="93"/>
      <c r="PQH24" s="93"/>
      <c r="PQI24" s="93"/>
      <c r="PQJ24" s="93"/>
      <c r="PQK24" s="93"/>
      <c r="PQL24" s="93"/>
      <c r="PQM24" s="93"/>
      <c r="PQN24" s="93"/>
      <c r="PQO24" s="93"/>
      <c r="PQP24" s="93"/>
      <c r="PQQ24" s="93"/>
      <c r="PQR24" s="93"/>
      <c r="PQS24" s="93"/>
      <c r="PQT24" s="93"/>
      <c r="PQU24" s="93"/>
      <c r="PQV24" s="93"/>
      <c r="PQW24" s="93"/>
      <c r="PQX24" s="93"/>
      <c r="PQY24" s="93"/>
      <c r="PQZ24" s="93"/>
      <c r="PRA24" s="93"/>
      <c r="PRB24" s="93"/>
      <c r="PRC24" s="93"/>
      <c r="PRD24" s="93"/>
      <c r="PRE24" s="93"/>
      <c r="PRF24" s="93"/>
      <c r="PRG24" s="93"/>
      <c r="PRH24" s="93"/>
      <c r="PRI24" s="93"/>
      <c r="PRJ24" s="93"/>
      <c r="PRK24" s="93"/>
      <c r="PRL24" s="93"/>
      <c r="PRM24" s="93"/>
      <c r="PRN24" s="93"/>
      <c r="PRO24" s="93"/>
      <c r="PRP24" s="93"/>
      <c r="PRQ24" s="93"/>
      <c r="PRR24" s="93"/>
      <c r="PRS24" s="93"/>
      <c r="PRT24" s="93"/>
      <c r="PRU24" s="93"/>
      <c r="PRV24" s="93"/>
      <c r="PRW24" s="93"/>
      <c r="PRX24" s="93"/>
      <c r="PRY24" s="93"/>
      <c r="PRZ24" s="93"/>
      <c r="PSA24" s="93"/>
      <c r="PSB24" s="93"/>
      <c r="PSC24" s="93"/>
      <c r="PSD24" s="93"/>
      <c r="PSE24" s="93"/>
      <c r="PSF24" s="93"/>
      <c r="PSG24" s="93"/>
      <c r="PSH24" s="93"/>
      <c r="PSI24" s="93"/>
      <c r="PSJ24" s="93"/>
      <c r="PSK24" s="93"/>
      <c r="PSL24" s="93"/>
      <c r="PSM24" s="93"/>
      <c r="PSN24" s="93"/>
      <c r="PSO24" s="93"/>
      <c r="PSP24" s="93"/>
      <c r="PSQ24" s="93"/>
      <c r="PSR24" s="93"/>
      <c r="PSS24" s="93"/>
      <c r="PST24" s="93"/>
      <c r="PSU24" s="93"/>
      <c r="PSV24" s="93"/>
      <c r="PSW24" s="93"/>
      <c r="PSX24" s="93"/>
      <c r="PSY24" s="93"/>
      <c r="PSZ24" s="93"/>
      <c r="PTA24" s="93"/>
      <c r="PTB24" s="93"/>
      <c r="PTC24" s="93"/>
      <c r="PTD24" s="93"/>
      <c r="PTE24" s="93"/>
      <c r="PTF24" s="93"/>
      <c r="PTG24" s="93"/>
      <c r="PTH24" s="93"/>
      <c r="PTI24" s="93"/>
      <c r="PTJ24" s="93"/>
      <c r="PTK24" s="93"/>
      <c r="PTL24" s="93"/>
      <c r="PTM24" s="93"/>
      <c r="PTN24" s="93"/>
      <c r="PTO24" s="93"/>
      <c r="PTP24" s="93"/>
      <c r="PTQ24" s="93"/>
      <c r="PTR24" s="93"/>
      <c r="PTS24" s="93"/>
      <c r="PTT24" s="93"/>
      <c r="PTU24" s="93"/>
      <c r="PTV24" s="93"/>
      <c r="PTW24" s="93"/>
      <c r="PTX24" s="93"/>
      <c r="PTY24" s="93"/>
      <c r="PTZ24" s="93"/>
      <c r="PUA24" s="93"/>
      <c r="PUB24" s="93"/>
      <c r="PUC24" s="93"/>
      <c r="PUD24" s="93"/>
      <c r="PUE24" s="93"/>
      <c r="PUF24" s="93"/>
      <c r="PUG24" s="93"/>
      <c r="PUH24" s="93"/>
      <c r="PUI24" s="93"/>
      <c r="PUJ24" s="93"/>
      <c r="PUK24" s="93"/>
      <c r="PUL24" s="93"/>
      <c r="PUM24" s="93"/>
      <c r="PUN24" s="93"/>
      <c r="PUO24" s="93"/>
      <c r="PUP24" s="93"/>
      <c r="PUQ24" s="93"/>
      <c r="PUR24" s="93"/>
      <c r="PUS24" s="93"/>
      <c r="PUT24" s="93"/>
      <c r="PUU24" s="93"/>
      <c r="PUV24" s="93"/>
      <c r="PUW24" s="93"/>
      <c r="PUX24" s="93"/>
      <c r="PUY24" s="93"/>
      <c r="PUZ24" s="93"/>
      <c r="PVA24" s="93"/>
      <c r="PVB24" s="93"/>
      <c r="PVC24" s="93"/>
      <c r="PVD24" s="93"/>
      <c r="PVE24" s="93"/>
      <c r="PVF24" s="93"/>
      <c r="PVG24" s="93"/>
      <c r="PVH24" s="93"/>
      <c r="PVI24" s="93"/>
      <c r="PVJ24" s="93"/>
      <c r="PVK24" s="93"/>
      <c r="PVL24" s="93"/>
      <c r="PVM24" s="93"/>
      <c r="PVN24" s="93"/>
      <c r="PVO24" s="93"/>
      <c r="PVP24" s="93"/>
      <c r="PVQ24" s="93"/>
      <c r="PVR24" s="93"/>
      <c r="PVS24" s="93"/>
      <c r="PVT24" s="93"/>
      <c r="PVU24" s="93"/>
      <c r="PVV24" s="93"/>
      <c r="PVW24" s="93"/>
      <c r="PVX24" s="93"/>
      <c r="PVY24" s="93"/>
      <c r="PVZ24" s="93"/>
      <c r="PWA24" s="93"/>
      <c r="PWB24" s="93"/>
      <c r="PWC24" s="93"/>
      <c r="PWD24" s="93"/>
      <c r="PWE24" s="93"/>
      <c r="PWF24" s="93"/>
      <c r="PWG24" s="93"/>
      <c r="PWH24" s="93"/>
      <c r="PWI24" s="93"/>
      <c r="PWJ24" s="93"/>
      <c r="PWK24" s="93"/>
      <c r="PWL24" s="93"/>
      <c r="PWM24" s="93"/>
      <c r="PWN24" s="93"/>
      <c r="PWO24" s="93"/>
      <c r="PWP24" s="93"/>
      <c r="PWQ24" s="93"/>
      <c r="PWR24" s="93"/>
      <c r="PWS24" s="93"/>
      <c r="PWT24" s="93"/>
      <c r="PWU24" s="93"/>
      <c r="PWV24" s="93"/>
      <c r="PWW24" s="93"/>
      <c r="PWX24" s="93"/>
      <c r="PWY24" s="93"/>
      <c r="PWZ24" s="93"/>
      <c r="PXA24" s="93"/>
      <c r="PXB24" s="93"/>
      <c r="PXC24" s="93"/>
      <c r="PXD24" s="93"/>
      <c r="PXE24" s="93"/>
      <c r="PXF24" s="93"/>
      <c r="PXG24" s="93"/>
      <c r="PXH24" s="93"/>
      <c r="PXI24" s="93"/>
      <c r="PXJ24" s="93"/>
      <c r="PXK24" s="93"/>
      <c r="PXL24" s="93"/>
      <c r="PXM24" s="93"/>
      <c r="PXN24" s="93"/>
      <c r="PXO24" s="93"/>
      <c r="PXP24" s="93"/>
      <c r="PXQ24" s="93"/>
      <c r="PXR24" s="93"/>
      <c r="PXS24" s="93"/>
      <c r="PXT24" s="93"/>
      <c r="PXU24" s="93"/>
      <c r="PXV24" s="93"/>
      <c r="PXW24" s="93"/>
      <c r="PXX24" s="93"/>
      <c r="PXY24" s="93"/>
      <c r="PXZ24" s="93"/>
      <c r="PYA24" s="93"/>
      <c r="PYB24" s="93"/>
      <c r="PYC24" s="93"/>
      <c r="PYD24" s="93"/>
      <c r="PYE24" s="93"/>
      <c r="PYF24" s="93"/>
      <c r="PYG24" s="93"/>
      <c r="PYH24" s="93"/>
      <c r="PYI24" s="93"/>
      <c r="PYJ24" s="93"/>
      <c r="PYK24" s="93"/>
      <c r="PYL24" s="93"/>
      <c r="PYM24" s="93"/>
      <c r="PYN24" s="93"/>
      <c r="PYO24" s="93"/>
      <c r="PYP24" s="93"/>
      <c r="PYQ24" s="93"/>
      <c r="PYR24" s="93"/>
      <c r="PYS24" s="93"/>
      <c r="PYT24" s="93"/>
      <c r="PYU24" s="93"/>
      <c r="PYV24" s="93"/>
      <c r="PYW24" s="93"/>
      <c r="PYX24" s="93"/>
      <c r="PYY24" s="93"/>
      <c r="PYZ24" s="93"/>
      <c r="PZA24" s="93"/>
      <c r="PZB24" s="93"/>
      <c r="PZC24" s="93"/>
      <c r="PZD24" s="93"/>
      <c r="PZE24" s="93"/>
      <c r="PZF24" s="93"/>
      <c r="PZG24" s="93"/>
      <c r="PZH24" s="93"/>
      <c r="PZI24" s="93"/>
      <c r="PZJ24" s="93"/>
      <c r="PZK24" s="93"/>
      <c r="PZL24" s="93"/>
      <c r="PZM24" s="93"/>
      <c r="PZN24" s="93"/>
      <c r="PZO24" s="93"/>
      <c r="PZP24" s="93"/>
      <c r="PZQ24" s="93"/>
      <c r="PZR24" s="93"/>
      <c r="PZS24" s="93"/>
      <c r="PZT24" s="93"/>
      <c r="PZU24" s="93"/>
      <c r="PZV24" s="93"/>
      <c r="PZW24" s="93"/>
      <c r="PZX24" s="93"/>
      <c r="PZY24" s="93"/>
      <c r="PZZ24" s="93"/>
      <c r="QAA24" s="93"/>
      <c r="QAB24" s="93"/>
      <c r="QAC24" s="93"/>
      <c r="QAD24" s="93"/>
      <c r="QAE24" s="93"/>
      <c r="QAF24" s="93"/>
      <c r="QAG24" s="93"/>
      <c r="QAH24" s="93"/>
      <c r="QAI24" s="93"/>
      <c r="QAJ24" s="93"/>
      <c r="QAK24" s="93"/>
      <c r="QAL24" s="93"/>
      <c r="QAM24" s="93"/>
      <c r="QAN24" s="93"/>
      <c r="QAO24" s="93"/>
      <c r="QAP24" s="93"/>
      <c r="QAQ24" s="93"/>
      <c r="QAR24" s="93"/>
      <c r="QAS24" s="93"/>
      <c r="QAT24" s="93"/>
      <c r="QAU24" s="93"/>
      <c r="QAV24" s="93"/>
      <c r="QAW24" s="93"/>
      <c r="QAX24" s="93"/>
      <c r="QAY24" s="93"/>
      <c r="QAZ24" s="93"/>
      <c r="QBA24" s="93"/>
      <c r="QBB24" s="93"/>
      <c r="QBC24" s="93"/>
      <c r="QBD24" s="93"/>
      <c r="QBE24" s="93"/>
      <c r="QBF24" s="93"/>
      <c r="QBG24" s="93"/>
      <c r="QBH24" s="93"/>
      <c r="QBI24" s="93"/>
      <c r="QBJ24" s="93"/>
      <c r="QBK24" s="93"/>
      <c r="QBL24" s="93"/>
      <c r="QBM24" s="93"/>
      <c r="QBN24" s="93"/>
      <c r="QBO24" s="93"/>
      <c r="QBP24" s="93"/>
      <c r="QBQ24" s="93"/>
      <c r="QBR24" s="93"/>
      <c r="QBS24" s="93"/>
      <c r="QBT24" s="93"/>
      <c r="QBU24" s="93"/>
      <c r="QBV24" s="93"/>
      <c r="QBW24" s="93"/>
      <c r="QBX24" s="93"/>
      <c r="QBY24" s="93"/>
      <c r="QBZ24" s="93"/>
      <c r="QCA24" s="93"/>
      <c r="QCB24" s="93"/>
      <c r="QCC24" s="93"/>
      <c r="QCD24" s="93"/>
      <c r="QCE24" s="93"/>
      <c r="QCF24" s="93"/>
      <c r="QCG24" s="93"/>
      <c r="QCH24" s="93"/>
      <c r="QCI24" s="93"/>
      <c r="QCJ24" s="93"/>
      <c r="QCK24" s="93"/>
      <c r="QCL24" s="93"/>
      <c r="QCM24" s="93"/>
      <c r="QCN24" s="93"/>
      <c r="QCO24" s="93"/>
      <c r="QCP24" s="93"/>
      <c r="QCQ24" s="93"/>
      <c r="QCR24" s="93"/>
      <c r="QCS24" s="93"/>
      <c r="QCT24" s="93"/>
      <c r="QCU24" s="93"/>
      <c r="QCV24" s="93"/>
      <c r="QCW24" s="93"/>
      <c r="QCX24" s="93"/>
      <c r="QCY24" s="93"/>
      <c r="QCZ24" s="93"/>
      <c r="QDA24" s="93"/>
      <c r="QDB24" s="93"/>
      <c r="QDC24" s="93"/>
      <c r="QDD24" s="93"/>
      <c r="QDE24" s="93"/>
      <c r="QDF24" s="93"/>
      <c r="QDG24" s="93"/>
      <c r="QDH24" s="93"/>
      <c r="QDI24" s="93"/>
      <c r="QDJ24" s="93"/>
      <c r="QDK24" s="93"/>
      <c r="QDL24" s="93"/>
      <c r="QDM24" s="93"/>
      <c r="QDN24" s="93"/>
      <c r="QDO24" s="93"/>
      <c r="QDP24" s="93"/>
      <c r="QDQ24" s="93"/>
      <c r="QDR24" s="93"/>
      <c r="QDS24" s="93"/>
      <c r="QDT24" s="93"/>
      <c r="QDU24" s="93"/>
      <c r="QDV24" s="93"/>
      <c r="QDW24" s="93"/>
      <c r="QDX24" s="93"/>
      <c r="QDY24" s="93"/>
      <c r="QDZ24" s="93"/>
      <c r="QEA24" s="93"/>
      <c r="QEB24" s="93"/>
      <c r="QEC24" s="93"/>
      <c r="QED24" s="93"/>
      <c r="QEE24" s="93"/>
      <c r="QEF24" s="93"/>
      <c r="QEG24" s="93"/>
      <c r="QEH24" s="93"/>
      <c r="QEI24" s="93"/>
      <c r="QEJ24" s="93"/>
      <c r="QEK24" s="93"/>
      <c r="QEL24" s="93"/>
      <c r="QEM24" s="93"/>
      <c r="QEN24" s="93"/>
      <c r="QEO24" s="93"/>
      <c r="QEP24" s="93"/>
      <c r="QEQ24" s="93"/>
      <c r="QER24" s="93"/>
      <c r="QES24" s="93"/>
      <c r="QET24" s="93"/>
      <c r="QEU24" s="93"/>
      <c r="QEV24" s="93"/>
      <c r="QEW24" s="93"/>
      <c r="QEX24" s="93"/>
      <c r="QEY24" s="93"/>
      <c r="QEZ24" s="93"/>
      <c r="QFA24" s="93"/>
      <c r="QFB24" s="93"/>
      <c r="QFC24" s="93"/>
      <c r="QFD24" s="93"/>
      <c r="QFE24" s="93"/>
      <c r="QFF24" s="93"/>
      <c r="QFG24" s="93"/>
      <c r="QFH24" s="93"/>
      <c r="QFI24" s="93"/>
      <c r="QFJ24" s="93"/>
      <c r="QFK24" s="93"/>
      <c r="QFL24" s="93"/>
      <c r="QFM24" s="93"/>
      <c r="QFN24" s="93"/>
      <c r="QFO24" s="93"/>
      <c r="QFP24" s="93"/>
      <c r="QFQ24" s="93"/>
      <c r="QFR24" s="93"/>
      <c r="QFS24" s="93"/>
      <c r="QFT24" s="93"/>
      <c r="QFU24" s="93"/>
      <c r="QFV24" s="93"/>
      <c r="QFW24" s="93"/>
      <c r="QFX24" s="93"/>
      <c r="QFY24" s="93"/>
      <c r="QFZ24" s="93"/>
      <c r="QGA24" s="93"/>
      <c r="QGB24" s="93"/>
      <c r="QGC24" s="93"/>
      <c r="QGD24" s="93"/>
      <c r="QGE24" s="93"/>
      <c r="QGF24" s="93"/>
      <c r="QGG24" s="93"/>
      <c r="QGH24" s="93"/>
      <c r="QGI24" s="93"/>
      <c r="QGJ24" s="93"/>
      <c r="QGK24" s="93"/>
      <c r="QGL24" s="93"/>
      <c r="QGM24" s="93"/>
      <c r="QGN24" s="93"/>
      <c r="QGO24" s="93"/>
      <c r="QGP24" s="93"/>
      <c r="QGQ24" s="93"/>
      <c r="QGR24" s="93"/>
      <c r="QGS24" s="93"/>
      <c r="QGT24" s="93"/>
      <c r="QGU24" s="93"/>
      <c r="QGV24" s="93"/>
      <c r="QGW24" s="93"/>
      <c r="QGX24" s="93"/>
      <c r="QGY24" s="93"/>
      <c r="QGZ24" s="93"/>
      <c r="QHA24" s="93"/>
      <c r="QHB24" s="93"/>
      <c r="QHC24" s="93"/>
      <c r="QHD24" s="93"/>
      <c r="QHE24" s="93"/>
      <c r="QHF24" s="93"/>
      <c r="QHG24" s="93"/>
      <c r="QHH24" s="93"/>
      <c r="QHI24" s="93"/>
      <c r="QHJ24" s="93"/>
      <c r="QHK24" s="93"/>
      <c r="QHL24" s="93"/>
      <c r="QHM24" s="93"/>
      <c r="QHN24" s="93"/>
      <c r="QHO24" s="93"/>
      <c r="QHP24" s="93"/>
      <c r="QHQ24" s="93"/>
      <c r="QHR24" s="93"/>
      <c r="QHS24" s="93"/>
      <c r="QHT24" s="93"/>
      <c r="QHU24" s="93"/>
      <c r="QHV24" s="93"/>
      <c r="QHW24" s="93"/>
      <c r="QHX24" s="93"/>
      <c r="QHY24" s="93"/>
      <c r="QHZ24" s="93"/>
      <c r="QIA24" s="93"/>
      <c r="QIB24" s="93"/>
      <c r="QIC24" s="93"/>
      <c r="QID24" s="93"/>
      <c r="QIE24" s="93"/>
      <c r="QIF24" s="93"/>
      <c r="QIG24" s="93"/>
      <c r="QIH24" s="93"/>
      <c r="QII24" s="93"/>
      <c r="QIJ24" s="93"/>
      <c r="QIK24" s="93"/>
      <c r="QIL24" s="93"/>
      <c r="QIM24" s="93"/>
      <c r="QIN24" s="93"/>
      <c r="QIO24" s="93"/>
      <c r="QIP24" s="93"/>
      <c r="QIQ24" s="93"/>
      <c r="QIR24" s="93"/>
      <c r="QIS24" s="93"/>
      <c r="QIT24" s="93"/>
      <c r="QIU24" s="93"/>
      <c r="QIV24" s="93"/>
      <c r="QIW24" s="93"/>
      <c r="QIX24" s="93"/>
      <c r="QIY24" s="93"/>
      <c r="QIZ24" s="93"/>
      <c r="QJA24" s="93"/>
      <c r="QJB24" s="93"/>
      <c r="QJC24" s="93"/>
      <c r="QJD24" s="93"/>
      <c r="QJE24" s="93"/>
      <c r="QJF24" s="93"/>
      <c r="QJG24" s="93"/>
      <c r="QJH24" s="93"/>
      <c r="QJI24" s="93"/>
      <c r="QJJ24" s="93"/>
      <c r="QJK24" s="93"/>
      <c r="QJL24" s="93"/>
      <c r="QJM24" s="93"/>
      <c r="QJN24" s="93"/>
      <c r="QJO24" s="93"/>
      <c r="QJP24" s="93"/>
      <c r="QJQ24" s="93"/>
      <c r="QJR24" s="93"/>
      <c r="QJS24" s="93"/>
      <c r="QJT24" s="93"/>
      <c r="QJU24" s="93"/>
      <c r="QJV24" s="93"/>
      <c r="QJW24" s="93"/>
      <c r="QJX24" s="93"/>
      <c r="QJY24" s="93"/>
      <c r="QJZ24" s="93"/>
      <c r="QKA24" s="93"/>
      <c r="QKB24" s="93"/>
      <c r="QKC24" s="93"/>
      <c r="QKD24" s="93"/>
      <c r="QKE24" s="93"/>
      <c r="QKF24" s="93"/>
      <c r="QKG24" s="93"/>
      <c r="QKH24" s="93"/>
      <c r="QKI24" s="93"/>
      <c r="QKJ24" s="93"/>
      <c r="QKK24" s="93"/>
      <c r="QKL24" s="93"/>
      <c r="QKM24" s="93"/>
      <c r="QKN24" s="93"/>
      <c r="QKO24" s="93"/>
      <c r="QKP24" s="93"/>
      <c r="QKQ24" s="93"/>
      <c r="QKR24" s="93"/>
      <c r="QKS24" s="93"/>
      <c r="QKT24" s="93"/>
      <c r="QKU24" s="93"/>
      <c r="QKV24" s="93"/>
      <c r="QKW24" s="93"/>
      <c r="QKX24" s="93"/>
      <c r="QKY24" s="93"/>
      <c r="QKZ24" s="93"/>
      <c r="QLA24" s="93"/>
      <c r="QLB24" s="93"/>
      <c r="QLC24" s="93"/>
      <c r="QLD24" s="93"/>
      <c r="QLE24" s="93"/>
      <c r="QLF24" s="93"/>
      <c r="QLG24" s="93"/>
      <c r="QLH24" s="93"/>
      <c r="QLI24" s="93"/>
      <c r="QLJ24" s="93"/>
      <c r="QLK24" s="93"/>
      <c r="QLL24" s="93"/>
      <c r="QLM24" s="93"/>
      <c r="QLN24" s="93"/>
      <c r="QLO24" s="93"/>
      <c r="QLP24" s="93"/>
      <c r="QLQ24" s="93"/>
      <c r="QLR24" s="93"/>
      <c r="QLS24" s="93"/>
      <c r="QLT24" s="93"/>
      <c r="QLU24" s="93"/>
      <c r="QLV24" s="93"/>
      <c r="QLW24" s="93"/>
      <c r="QLX24" s="93"/>
      <c r="QLY24" s="93"/>
      <c r="QLZ24" s="93"/>
      <c r="QMA24" s="93"/>
      <c r="QMB24" s="93"/>
      <c r="QMC24" s="93"/>
      <c r="QMD24" s="93"/>
      <c r="QME24" s="93"/>
      <c r="QMF24" s="93"/>
      <c r="QMG24" s="93"/>
      <c r="QMH24" s="93"/>
      <c r="QMI24" s="93"/>
      <c r="QMJ24" s="93"/>
      <c r="QMK24" s="93"/>
      <c r="QML24" s="93"/>
      <c r="QMM24" s="93"/>
      <c r="QMN24" s="93"/>
      <c r="QMO24" s="93"/>
      <c r="QMP24" s="93"/>
      <c r="QMQ24" s="93"/>
      <c r="QMR24" s="93"/>
      <c r="QMS24" s="93"/>
      <c r="QMT24" s="93"/>
      <c r="QMU24" s="93"/>
      <c r="QMV24" s="93"/>
      <c r="QMW24" s="93"/>
      <c r="QMX24" s="93"/>
      <c r="QMY24" s="93"/>
      <c r="QMZ24" s="93"/>
      <c r="QNA24" s="93"/>
      <c r="QNB24" s="93"/>
      <c r="QNC24" s="93"/>
      <c r="QND24" s="93"/>
      <c r="QNE24" s="93"/>
      <c r="QNF24" s="93"/>
      <c r="QNG24" s="93"/>
      <c r="QNH24" s="93"/>
      <c r="QNI24" s="93"/>
      <c r="QNJ24" s="93"/>
      <c r="QNK24" s="93"/>
      <c r="QNL24" s="93"/>
      <c r="QNM24" s="93"/>
      <c r="QNN24" s="93"/>
      <c r="QNO24" s="93"/>
      <c r="QNP24" s="93"/>
      <c r="QNQ24" s="93"/>
      <c r="QNR24" s="93"/>
      <c r="QNS24" s="93"/>
      <c r="QNT24" s="93"/>
      <c r="QNU24" s="93"/>
      <c r="QNV24" s="93"/>
      <c r="QNW24" s="93"/>
      <c r="QNX24" s="93"/>
      <c r="QNY24" s="93"/>
      <c r="QNZ24" s="93"/>
      <c r="QOA24" s="93"/>
      <c r="QOB24" s="93"/>
      <c r="QOC24" s="93"/>
      <c r="QOD24" s="93"/>
      <c r="QOE24" s="93"/>
      <c r="QOF24" s="93"/>
      <c r="QOG24" s="93"/>
      <c r="QOH24" s="93"/>
      <c r="QOI24" s="93"/>
      <c r="QOJ24" s="93"/>
      <c r="QOK24" s="93"/>
      <c r="QOL24" s="93"/>
      <c r="QOM24" s="93"/>
      <c r="QON24" s="93"/>
      <c r="QOO24" s="93"/>
      <c r="QOP24" s="93"/>
      <c r="QOQ24" s="93"/>
      <c r="QOR24" s="93"/>
      <c r="QOS24" s="93"/>
      <c r="QOT24" s="93"/>
      <c r="QOU24" s="93"/>
      <c r="QOV24" s="93"/>
      <c r="QOW24" s="93"/>
      <c r="QOX24" s="93"/>
      <c r="QOY24" s="93"/>
      <c r="QOZ24" s="93"/>
      <c r="QPA24" s="93"/>
      <c r="QPB24" s="93"/>
      <c r="QPC24" s="93"/>
      <c r="QPD24" s="93"/>
      <c r="QPE24" s="93"/>
      <c r="QPF24" s="93"/>
      <c r="QPG24" s="93"/>
      <c r="QPH24" s="93"/>
      <c r="QPI24" s="93"/>
      <c r="QPJ24" s="93"/>
      <c r="QPK24" s="93"/>
      <c r="QPL24" s="93"/>
      <c r="QPM24" s="93"/>
      <c r="QPN24" s="93"/>
      <c r="QPO24" s="93"/>
      <c r="QPP24" s="93"/>
      <c r="QPQ24" s="93"/>
      <c r="QPR24" s="93"/>
      <c r="QPS24" s="93"/>
      <c r="QPT24" s="93"/>
      <c r="QPU24" s="93"/>
      <c r="QPV24" s="93"/>
      <c r="QPW24" s="93"/>
      <c r="QPX24" s="93"/>
      <c r="QPY24" s="93"/>
      <c r="QPZ24" s="93"/>
      <c r="QQA24" s="93"/>
      <c r="QQB24" s="93"/>
      <c r="QQC24" s="93"/>
      <c r="QQD24" s="93"/>
      <c r="QQE24" s="93"/>
      <c r="QQF24" s="93"/>
      <c r="QQG24" s="93"/>
      <c r="QQH24" s="93"/>
      <c r="QQI24" s="93"/>
      <c r="QQJ24" s="93"/>
      <c r="QQK24" s="93"/>
      <c r="QQL24" s="93"/>
      <c r="QQM24" s="93"/>
      <c r="QQN24" s="93"/>
      <c r="QQO24" s="93"/>
      <c r="QQP24" s="93"/>
      <c r="QQQ24" s="93"/>
      <c r="QQR24" s="93"/>
      <c r="QQS24" s="93"/>
      <c r="QQT24" s="93"/>
      <c r="QQU24" s="93"/>
      <c r="QQV24" s="93"/>
      <c r="QQW24" s="93"/>
      <c r="QQX24" s="93"/>
      <c r="QQY24" s="93"/>
      <c r="QQZ24" s="93"/>
      <c r="QRA24" s="93"/>
      <c r="QRB24" s="93"/>
      <c r="QRC24" s="93"/>
      <c r="QRD24" s="93"/>
      <c r="QRE24" s="93"/>
      <c r="QRF24" s="93"/>
      <c r="QRG24" s="93"/>
      <c r="QRH24" s="93"/>
      <c r="QRI24" s="93"/>
      <c r="QRJ24" s="93"/>
      <c r="QRK24" s="93"/>
      <c r="QRL24" s="93"/>
      <c r="QRM24" s="93"/>
      <c r="QRN24" s="93"/>
      <c r="QRO24" s="93"/>
      <c r="QRP24" s="93"/>
      <c r="QRQ24" s="93"/>
      <c r="QRR24" s="93"/>
      <c r="QRS24" s="93"/>
      <c r="QRT24" s="93"/>
      <c r="QRU24" s="93"/>
      <c r="QRV24" s="93"/>
      <c r="QRW24" s="93"/>
      <c r="QRX24" s="93"/>
      <c r="QRY24" s="93"/>
      <c r="QRZ24" s="93"/>
      <c r="QSA24" s="93"/>
      <c r="QSB24" s="93"/>
      <c r="QSC24" s="93"/>
      <c r="QSD24" s="93"/>
      <c r="QSE24" s="93"/>
      <c r="QSF24" s="93"/>
      <c r="QSG24" s="93"/>
      <c r="QSH24" s="93"/>
      <c r="QSI24" s="93"/>
      <c r="QSJ24" s="93"/>
      <c r="QSK24" s="93"/>
      <c r="QSL24" s="93"/>
      <c r="QSM24" s="93"/>
      <c r="QSN24" s="93"/>
      <c r="QSO24" s="93"/>
      <c r="QSP24" s="93"/>
      <c r="QSQ24" s="93"/>
      <c r="QSR24" s="93"/>
      <c r="QSS24" s="93"/>
      <c r="QST24" s="93"/>
      <c r="QSU24" s="93"/>
      <c r="QSV24" s="93"/>
      <c r="QSW24" s="93"/>
      <c r="QSX24" s="93"/>
      <c r="QSY24" s="93"/>
      <c r="QSZ24" s="93"/>
      <c r="QTA24" s="93"/>
      <c r="QTB24" s="93"/>
      <c r="QTC24" s="93"/>
      <c r="QTD24" s="93"/>
      <c r="QTE24" s="93"/>
      <c r="QTF24" s="93"/>
      <c r="QTG24" s="93"/>
      <c r="QTH24" s="93"/>
      <c r="QTI24" s="93"/>
      <c r="QTJ24" s="93"/>
      <c r="QTK24" s="93"/>
      <c r="QTL24" s="93"/>
      <c r="QTM24" s="93"/>
      <c r="QTN24" s="93"/>
      <c r="QTO24" s="93"/>
      <c r="QTP24" s="93"/>
      <c r="QTQ24" s="93"/>
      <c r="QTR24" s="93"/>
      <c r="QTS24" s="93"/>
      <c r="QTT24" s="93"/>
      <c r="QTU24" s="93"/>
      <c r="QTV24" s="93"/>
      <c r="QTW24" s="93"/>
      <c r="QTX24" s="93"/>
      <c r="QTY24" s="93"/>
      <c r="QTZ24" s="93"/>
      <c r="QUA24" s="93"/>
      <c r="QUB24" s="93"/>
      <c r="QUC24" s="93"/>
      <c r="QUD24" s="93"/>
      <c r="QUE24" s="93"/>
      <c r="QUF24" s="93"/>
      <c r="QUG24" s="93"/>
      <c r="QUH24" s="93"/>
      <c r="QUI24" s="93"/>
      <c r="QUJ24" s="93"/>
      <c r="QUK24" s="93"/>
      <c r="QUL24" s="93"/>
      <c r="QUM24" s="93"/>
      <c r="QUN24" s="93"/>
      <c r="QUO24" s="93"/>
      <c r="QUP24" s="93"/>
      <c r="QUQ24" s="93"/>
      <c r="QUR24" s="93"/>
      <c r="QUS24" s="93"/>
      <c r="QUT24" s="93"/>
      <c r="QUU24" s="93"/>
      <c r="QUV24" s="93"/>
      <c r="QUW24" s="93"/>
      <c r="QUX24" s="93"/>
      <c r="QUY24" s="93"/>
      <c r="QUZ24" s="93"/>
      <c r="QVA24" s="93"/>
      <c r="QVB24" s="93"/>
      <c r="QVC24" s="93"/>
      <c r="QVD24" s="93"/>
      <c r="QVE24" s="93"/>
      <c r="QVF24" s="93"/>
      <c r="QVG24" s="93"/>
      <c r="QVH24" s="93"/>
      <c r="QVI24" s="93"/>
      <c r="QVJ24" s="93"/>
      <c r="QVK24" s="93"/>
      <c r="QVL24" s="93"/>
      <c r="QVM24" s="93"/>
      <c r="QVN24" s="93"/>
      <c r="QVO24" s="93"/>
      <c r="QVP24" s="93"/>
      <c r="QVQ24" s="93"/>
      <c r="QVR24" s="93"/>
      <c r="QVS24" s="93"/>
      <c r="QVT24" s="93"/>
      <c r="QVU24" s="93"/>
      <c r="QVV24" s="93"/>
      <c r="QVW24" s="93"/>
      <c r="QVX24" s="93"/>
      <c r="QVY24" s="93"/>
      <c r="QVZ24" s="93"/>
      <c r="QWA24" s="93"/>
      <c r="QWB24" s="93"/>
      <c r="QWC24" s="93"/>
      <c r="QWD24" s="93"/>
      <c r="QWE24" s="93"/>
      <c r="QWF24" s="93"/>
      <c r="QWG24" s="93"/>
      <c r="QWH24" s="93"/>
      <c r="QWI24" s="93"/>
      <c r="QWJ24" s="93"/>
      <c r="QWK24" s="93"/>
      <c r="QWL24" s="93"/>
      <c r="QWM24" s="93"/>
      <c r="QWN24" s="93"/>
      <c r="QWO24" s="93"/>
      <c r="QWP24" s="93"/>
      <c r="QWQ24" s="93"/>
      <c r="QWR24" s="93"/>
      <c r="QWS24" s="93"/>
      <c r="QWT24" s="93"/>
      <c r="QWU24" s="93"/>
      <c r="QWV24" s="93"/>
      <c r="QWW24" s="93"/>
      <c r="QWX24" s="93"/>
      <c r="QWY24" s="93"/>
      <c r="QWZ24" s="93"/>
      <c r="QXA24" s="93"/>
      <c r="QXB24" s="93"/>
      <c r="QXC24" s="93"/>
      <c r="QXD24" s="93"/>
      <c r="QXE24" s="93"/>
      <c r="QXF24" s="93"/>
      <c r="QXG24" s="93"/>
      <c r="QXH24" s="93"/>
      <c r="QXI24" s="93"/>
      <c r="QXJ24" s="93"/>
      <c r="QXK24" s="93"/>
      <c r="QXL24" s="93"/>
      <c r="QXM24" s="93"/>
      <c r="QXN24" s="93"/>
      <c r="QXO24" s="93"/>
      <c r="QXP24" s="93"/>
      <c r="QXQ24" s="93"/>
      <c r="QXR24" s="93"/>
      <c r="QXS24" s="93"/>
      <c r="QXT24" s="93"/>
      <c r="QXU24" s="93"/>
      <c r="QXV24" s="93"/>
      <c r="QXW24" s="93"/>
      <c r="QXX24" s="93"/>
      <c r="QXY24" s="93"/>
      <c r="QXZ24" s="93"/>
      <c r="QYA24" s="93"/>
      <c r="QYB24" s="93"/>
      <c r="QYC24" s="93"/>
      <c r="QYD24" s="93"/>
      <c r="QYE24" s="93"/>
      <c r="QYF24" s="93"/>
      <c r="QYG24" s="93"/>
      <c r="QYH24" s="93"/>
      <c r="QYI24" s="93"/>
      <c r="QYJ24" s="93"/>
      <c r="QYK24" s="93"/>
      <c r="QYL24" s="93"/>
      <c r="QYM24" s="93"/>
      <c r="QYN24" s="93"/>
      <c r="QYO24" s="93"/>
      <c r="QYP24" s="93"/>
      <c r="QYQ24" s="93"/>
      <c r="QYR24" s="93"/>
      <c r="QYS24" s="93"/>
      <c r="QYT24" s="93"/>
      <c r="QYU24" s="93"/>
      <c r="QYV24" s="93"/>
      <c r="QYW24" s="93"/>
      <c r="QYX24" s="93"/>
      <c r="QYY24" s="93"/>
      <c r="QYZ24" s="93"/>
      <c r="QZA24" s="93"/>
      <c r="QZB24" s="93"/>
      <c r="QZC24" s="93"/>
      <c r="QZD24" s="93"/>
      <c r="QZE24" s="93"/>
      <c r="QZF24" s="93"/>
      <c r="QZG24" s="93"/>
      <c r="QZH24" s="93"/>
      <c r="QZI24" s="93"/>
      <c r="QZJ24" s="93"/>
      <c r="QZK24" s="93"/>
      <c r="QZL24" s="93"/>
      <c r="QZM24" s="93"/>
      <c r="QZN24" s="93"/>
      <c r="QZO24" s="93"/>
      <c r="QZP24" s="93"/>
      <c r="QZQ24" s="93"/>
      <c r="QZR24" s="93"/>
      <c r="QZS24" s="93"/>
      <c r="QZT24" s="93"/>
      <c r="QZU24" s="93"/>
      <c r="QZV24" s="93"/>
      <c r="QZW24" s="93"/>
      <c r="QZX24" s="93"/>
      <c r="QZY24" s="93"/>
      <c r="QZZ24" s="93"/>
      <c r="RAA24" s="93"/>
      <c r="RAB24" s="93"/>
      <c r="RAC24" s="93"/>
      <c r="RAD24" s="93"/>
      <c r="RAE24" s="93"/>
      <c r="RAF24" s="93"/>
      <c r="RAG24" s="93"/>
      <c r="RAH24" s="93"/>
      <c r="RAI24" s="93"/>
      <c r="RAJ24" s="93"/>
      <c r="RAK24" s="93"/>
      <c r="RAL24" s="93"/>
      <c r="RAM24" s="93"/>
      <c r="RAN24" s="93"/>
      <c r="RAO24" s="93"/>
      <c r="RAP24" s="93"/>
      <c r="RAQ24" s="93"/>
      <c r="RAR24" s="93"/>
      <c r="RAS24" s="93"/>
      <c r="RAT24" s="93"/>
      <c r="RAU24" s="93"/>
      <c r="RAV24" s="93"/>
      <c r="RAW24" s="93"/>
      <c r="RAX24" s="93"/>
      <c r="RAY24" s="93"/>
      <c r="RAZ24" s="93"/>
      <c r="RBA24" s="93"/>
      <c r="RBB24" s="93"/>
      <c r="RBC24" s="93"/>
      <c r="RBD24" s="93"/>
      <c r="RBE24" s="93"/>
      <c r="RBF24" s="93"/>
      <c r="RBG24" s="93"/>
      <c r="RBH24" s="93"/>
      <c r="RBI24" s="93"/>
      <c r="RBJ24" s="93"/>
      <c r="RBK24" s="93"/>
      <c r="RBL24" s="93"/>
      <c r="RBM24" s="93"/>
      <c r="RBN24" s="93"/>
      <c r="RBO24" s="93"/>
      <c r="RBP24" s="93"/>
      <c r="RBQ24" s="93"/>
      <c r="RBR24" s="93"/>
      <c r="RBS24" s="93"/>
      <c r="RBT24" s="93"/>
      <c r="RBU24" s="93"/>
      <c r="RBV24" s="93"/>
      <c r="RBW24" s="93"/>
      <c r="RBX24" s="93"/>
      <c r="RBY24" s="93"/>
      <c r="RBZ24" s="93"/>
      <c r="RCA24" s="93"/>
      <c r="RCB24" s="93"/>
      <c r="RCC24" s="93"/>
      <c r="RCD24" s="93"/>
      <c r="RCE24" s="93"/>
      <c r="RCF24" s="93"/>
      <c r="RCG24" s="93"/>
      <c r="RCH24" s="93"/>
      <c r="RCI24" s="93"/>
      <c r="RCJ24" s="93"/>
      <c r="RCK24" s="93"/>
      <c r="RCL24" s="93"/>
      <c r="RCM24" s="93"/>
      <c r="RCN24" s="93"/>
      <c r="RCO24" s="93"/>
      <c r="RCP24" s="93"/>
      <c r="RCQ24" s="93"/>
      <c r="RCR24" s="93"/>
      <c r="RCS24" s="93"/>
      <c r="RCT24" s="93"/>
      <c r="RCU24" s="93"/>
      <c r="RCV24" s="93"/>
      <c r="RCW24" s="93"/>
      <c r="RCX24" s="93"/>
      <c r="RCY24" s="93"/>
      <c r="RCZ24" s="93"/>
      <c r="RDA24" s="93"/>
      <c r="RDB24" s="93"/>
      <c r="RDC24" s="93"/>
      <c r="RDD24" s="93"/>
      <c r="RDE24" s="93"/>
      <c r="RDF24" s="93"/>
      <c r="RDG24" s="93"/>
      <c r="RDH24" s="93"/>
      <c r="RDI24" s="93"/>
      <c r="RDJ24" s="93"/>
      <c r="RDK24" s="93"/>
      <c r="RDL24" s="93"/>
      <c r="RDM24" s="93"/>
      <c r="RDN24" s="93"/>
      <c r="RDO24" s="93"/>
      <c r="RDP24" s="93"/>
      <c r="RDQ24" s="93"/>
      <c r="RDR24" s="93"/>
      <c r="RDS24" s="93"/>
      <c r="RDT24" s="93"/>
      <c r="RDU24" s="93"/>
      <c r="RDV24" s="93"/>
      <c r="RDW24" s="93"/>
      <c r="RDX24" s="93"/>
      <c r="RDY24" s="93"/>
      <c r="RDZ24" s="93"/>
      <c r="REA24" s="93"/>
      <c r="REB24" s="93"/>
      <c r="REC24" s="93"/>
      <c r="RED24" s="93"/>
      <c r="REE24" s="93"/>
      <c r="REF24" s="93"/>
      <c r="REG24" s="93"/>
      <c r="REH24" s="93"/>
      <c r="REI24" s="93"/>
      <c r="REJ24" s="93"/>
      <c r="REK24" s="93"/>
      <c r="REL24" s="93"/>
      <c r="REM24" s="93"/>
      <c r="REN24" s="93"/>
      <c r="REO24" s="93"/>
      <c r="REP24" s="93"/>
      <c r="REQ24" s="93"/>
      <c r="RER24" s="93"/>
      <c r="RES24" s="93"/>
      <c r="RET24" s="93"/>
      <c r="REU24" s="93"/>
      <c r="REV24" s="93"/>
      <c r="REW24" s="93"/>
      <c r="REX24" s="93"/>
      <c r="REY24" s="93"/>
      <c r="REZ24" s="93"/>
      <c r="RFA24" s="93"/>
      <c r="RFB24" s="93"/>
      <c r="RFC24" s="93"/>
      <c r="RFD24" s="93"/>
      <c r="RFE24" s="93"/>
      <c r="RFF24" s="93"/>
      <c r="RFG24" s="93"/>
      <c r="RFH24" s="93"/>
      <c r="RFI24" s="93"/>
      <c r="RFJ24" s="93"/>
      <c r="RFK24" s="93"/>
      <c r="RFL24" s="93"/>
      <c r="RFM24" s="93"/>
      <c r="RFN24" s="93"/>
      <c r="RFO24" s="93"/>
      <c r="RFP24" s="93"/>
      <c r="RFQ24" s="93"/>
      <c r="RFR24" s="93"/>
      <c r="RFS24" s="93"/>
      <c r="RFT24" s="93"/>
      <c r="RFU24" s="93"/>
      <c r="RFV24" s="93"/>
      <c r="RFW24" s="93"/>
      <c r="RFX24" s="93"/>
      <c r="RFY24" s="93"/>
      <c r="RFZ24" s="93"/>
      <c r="RGA24" s="93"/>
      <c r="RGB24" s="93"/>
      <c r="RGC24" s="93"/>
      <c r="RGD24" s="93"/>
      <c r="RGE24" s="93"/>
      <c r="RGF24" s="93"/>
      <c r="RGG24" s="93"/>
      <c r="RGH24" s="93"/>
      <c r="RGI24" s="93"/>
      <c r="RGJ24" s="93"/>
      <c r="RGK24" s="93"/>
      <c r="RGL24" s="93"/>
      <c r="RGM24" s="93"/>
      <c r="RGN24" s="93"/>
      <c r="RGO24" s="93"/>
      <c r="RGP24" s="93"/>
      <c r="RGQ24" s="93"/>
      <c r="RGR24" s="93"/>
      <c r="RGS24" s="93"/>
      <c r="RGT24" s="93"/>
      <c r="RGU24" s="93"/>
      <c r="RGV24" s="93"/>
      <c r="RGW24" s="93"/>
      <c r="RGX24" s="93"/>
      <c r="RGY24" s="93"/>
      <c r="RGZ24" s="93"/>
      <c r="RHA24" s="93"/>
      <c r="RHB24" s="93"/>
      <c r="RHC24" s="93"/>
      <c r="RHD24" s="93"/>
      <c r="RHE24" s="93"/>
      <c r="RHF24" s="93"/>
      <c r="RHG24" s="93"/>
      <c r="RHH24" s="93"/>
      <c r="RHI24" s="93"/>
      <c r="RHJ24" s="93"/>
      <c r="RHK24" s="93"/>
      <c r="RHL24" s="93"/>
      <c r="RHM24" s="93"/>
      <c r="RHN24" s="93"/>
      <c r="RHO24" s="93"/>
      <c r="RHP24" s="93"/>
      <c r="RHQ24" s="93"/>
      <c r="RHR24" s="93"/>
      <c r="RHS24" s="93"/>
      <c r="RHT24" s="93"/>
      <c r="RHU24" s="93"/>
      <c r="RHV24" s="93"/>
      <c r="RHW24" s="93"/>
      <c r="RHX24" s="93"/>
      <c r="RHY24" s="93"/>
      <c r="RHZ24" s="93"/>
      <c r="RIA24" s="93"/>
      <c r="RIB24" s="93"/>
      <c r="RIC24" s="93"/>
      <c r="RID24" s="93"/>
      <c r="RIE24" s="93"/>
      <c r="RIF24" s="93"/>
      <c r="RIG24" s="93"/>
      <c r="RIH24" s="93"/>
      <c r="RII24" s="93"/>
      <c r="RIJ24" s="93"/>
      <c r="RIK24" s="93"/>
      <c r="RIL24" s="93"/>
      <c r="RIM24" s="93"/>
      <c r="RIN24" s="93"/>
      <c r="RIO24" s="93"/>
      <c r="RIP24" s="93"/>
      <c r="RIQ24" s="93"/>
      <c r="RIR24" s="93"/>
      <c r="RIS24" s="93"/>
      <c r="RIT24" s="93"/>
      <c r="RIU24" s="93"/>
      <c r="RIV24" s="93"/>
      <c r="RIW24" s="93"/>
      <c r="RIX24" s="93"/>
      <c r="RIY24" s="93"/>
      <c r="RIZ24" s="93"/>
      <c r="RJA24" s="93"/>
      <c r="RJB24" s="93"/>
      <c r="RJC24" s="93"/>
      <c r="RJD24" s="93"/>
      <c r="RJE24" s="93"/>
      <c r="RJF24" s="93"/>
      <c r="RJG24" s="93"/>
      <c r="RJH24" s="93"/>
      <c r="RJI24" s="93"/>
      <c r="RJJ24" s="93"/>
      <c r="RJK24" s="93"/>
      <c r="RJL24" s="93"/>
      <c r="RJM24" s="93"/>
      <c r="RJN24" s="93"/>
      <c r="RJO24" s="93"/>
      <c r="RJP24" s="93"/>
      <c r="RJQ24" s="93"/>
      <c r="RJR24" s="93"/>
      <c r="RJS24" s="93"/>
      <c r="RJT24" s="93"/>
      <c r="RJU24" s="93"/>
      <c r="RJV24" s="93"/>
      <c r="RJW24" s="93"/>
      <c r="RJX24" s="93"/>
      <c r="RJY24" s="93"/>
      <c r="RJZ24" s="93"/>
      <c r="RKA24" s="93"/>
      <c r="RKB24" s="93"/>
      <c r="RKC24" s="93"/>
      <c r="RKD24" s="93"/>
      <c r="RKE24" s="93"/>
      <c r="RKF24" s="93"/>
      <c r="RKG24" s="93"/>
      <c r="RKH24" s="93"/>
      <c r="RKI24" s="93"/>
      <c r="RKJ24" s="93"/>
      <c r="RKK24" s="93"/>
      <c r="RKL24" s="93"/>
      <c r="RKM24" s="93"/>
      <c r="RKN24" s="93"/>
      <c r="RKO24" s="93"/>
      <c r="RKP24" s="93"/>
      <c r="RKQ24" s="93"/>
      <c r="RKR24" s="93"/>
      <c r="RKS24" s="93"/>
      <c r="RKT24" s="93"/>
      <c r="RKU24" s="93"/>
      <c r="RKV24" s="93"/>
      <c r="RKW24" s="93"/>
      <c r="RKX24" s="93"/>
      <c r="RKY24" s="93"/>
      <c r="RKZ24" s="93"/>
      <c r="RLA24" s="93"/>
      <c r="RLB24" s="93"/>
      <c r="RLC24" s="93"/>
      <c r="RLD24" s="93"/>
      <c r="RLE24" s="93"/>
      <c r="RLF24" s="93"/>
      <c r="RLG24" s="93"/>
      <c r="RLH24" s="93"/>
      <c r="RLI24" s="93"/>
      <c r="RLJ24" s="93"/>
      <c r="RLK24" s="93"/>
      <c r="RLL24" s="93"/>
      <c r="RLM24" s="93"/>
      <c r="RLN24" s="93"/>
      <c r="RLO24" s="93"/>
      <c r="RLP24" s="93"/>
      <c r="RLQ24" s="93"/>
      <c r="RLR24" s="93"/>
      <c r="RLS24" s="93"/>
      <c r="RLT24" s="93"/>
      <c r="RLU24" s="93"/>
      <c r="RLV24" s="93"/>
      <c r="RLW24" s="93"/>
      <c r="RLX24" s="93"/>
      <c r="RLY24" s="93"/>
      <c r="RLZ24" s="93"/>
      <c r="RMA24" s="93"/>
      <c r="RMB24" s="93"/>
      <c r="RMC24" s="93"/>
      <c r="RMD24" s="93"/>
      <c r="RME24" s="93"/>
      <c r="RMF24" s="93"/>
      <c r="RMG24" s="93"/>
      <c r="RMH24" s="93"/>
      <c r="RMI24" s="93"/>
      <c r="RMJ24" s="93"/>
      <c r="RMK24" s="93"/>
      <c r="RML24" s="93"/>
      <c r="RMM24" s="93"/>
      <c r="RMN24" s="93"/>
      <c r="RMO24" s="93"/>
      <c r="RMP24" s="93"/>
      <c r="RMQ24" s="93"/>
      <c r="RMR24" s="93"/>
      <c r="RMS24" s="93"/>
      <c r="RMT24" s="93"/>
      <c r="RMU24" s="93"/>
      <c r="RMV24" s="93"/>
      <c r="RMW24" s="93"/>
      <c r="RMX24" s="93"/>
      <c r="RMY24" s="93"/>
      <c r="RMZ24" s="93"/>
      <c r="RNA24" s="93"/>
      <c r="RNB24" s="93"/>
      <c r="RNC24" s="93"/>
      <c r="RND24" s="93"/>
      <c r="RNE24" s="93"/>
      <c r="RNF24" s="93"/>
      <c r="RNG24" s="93"/>
      <c r="RNH24" s="93"/>
      <c r="RNI24" s="93"/>
      <c r="RNJ24" s="93"/>
      <c r="RNK24" s="93"/>
      <c r="RNL24" s="93"/>
      <c r="RNM24" s="93"/>
      <c r="RNN24" s="93"/>
      <c r="RNO24" s="93"/>
      <c r="RNP24" s="93"/>
      <c r="RNQ24" s="93"/>
      <c r="RNR24" s="93"/>
      <c r="RNS24" s="93"/>
      <c r="RNT24" s="93"/>
      <c r="RNU24" s="93"/>
      <c r="RNV24" s="93"/>
      <c r="RNW24" s="93"/>
      <c r="RNX24" s="93"/>
      <c r="RNY24" s="93"/>
      <c r="RNZ24" s="93"/>
      <c r="ROA24" s="93"/>
      <c r="ROB24" s="93"/>
      <c r="ROC24" s="93"/>
      <c r="ROD24" s="93"/>
      <c r="ROE24" s="93"/>
      <c r="ROF24" s="93"/>
      <c r="ROG24" s="93"/>
      <c r="ROH24" s="93"/>
      <c r="ROI24" s="93"/>
      <c r="ROJ24" s="93"/>
      <c r="ROK24" s="93"/>
      <c r="ROL24" s="93"/>
      <c r="ROM24" s="93"/>
      <c r="RON24" s="93"/>
      <c r="ROO24" s="93"/>
      <c r="ROP24" s="93"/>
      <c r="ROQ24" s="93"/>
      <c r="ROR24" s="93"/>
      <c r="ROS24" s="93"/>
      <c r="ROT24" s="93"/>
      <c r="ROU24" s="93"/>
      <c r="ROV24" s="93"/>
      <c r="ROW24" s="93"/>
      <c r="ROX24" s="93"/>
      <c r="ROY24" s="93"/>
      <c r="ROZ24" s="93"/>
      <c r="RPA24" s="93"/>
      <c r="RPB24" s="93"/>
      <c r="RPC24" s="93"/>
      <c r="RPD24" s="93"/>
      <c r="RPE24" s="93"/>
      <c r="RPF24" s="93"/>
      <c r="RPG24" s="93"/>
      <c r="RPH24" s="93"/>
      <c r="RPI24" s="93"/>
      <c r="RPJ24" s="93"/>
      <c r="RPK24" s="93"/>
      <c r="RPL24" s="93"/>
      <c r="RPM24" s="93"/>
      <c r="RPN24" s="93"/>
      <c r="RPO24" s="93"/>
      <c r="RPP24" s="93"/>
      <c r="RPQ24" s="93"/>
      <c r="RPR24" s="93"/>
      <c r="RPS24" s="93"/>
      <c r="RPT24" s="93"/>
      <c r="RPU24" s="93"/>
      <c r="RPV24" s="93"/>
      <c r="RPW24" s="93"/>
      <c r="RPX24" s="93"/>
      <c r="RPY24" s="93"/>
      <c r="RPZ24" s="93"/>
      <c r="RQA24" s="93"/>
      <c r="RQB24" s="93"/>
      <c r="RQC24" s="93"/>
      <c r="RQD24" s="93"/>
      <c r="RQE24" s="93"/>
      <c r="RQF24" s="93"/>
      <c r="RQG24" s="93"/>
      <c r="RQH24" s="93"/>
      <c r="RQI24" s="93"/>
      <c r="RQJ24" s="93"/>
      <c r="RQK24" s="93"/>
      <c r="RQL24" s="93"/>
      <c r="RQM24" s="93"/>
      <c r="RQN24" s="93"/>
      <c r="RQO24" s="93"/>
      <c r="RQP24" s="93"/>
      <c r="RQQ24" s="93"/>
      <c r="RQR24" s="93"/>
      <c r="RQS24" s="93"/>
      <c r="RQT24" s="93"/>
      <c r="RQU24" s="93"/>
      <c r="RQV24" s="93"/>
      <c r="RQW24" s="93"/>
      <c r="RQX24" s="93"/>
      <c r="RQY24" s="93"/>
      <c r="RQZ24" s="93"/>
      <c r="RRA24" s="93"/>
      <c r="RRB24" s="93"/>
      <c r="RRC24" s="93"/>
      <c r="RRD24" s="93"/>
      <c r="RRE24" s="93"/>
      <c r="RRF24" s="93"/>
      <c r="RRG24" s="93"/>
      <c r="RRH24" s="93"/>
      <c r="RRI24" s="93"/>
      <c r="RRJ24" s="93"/>
      <c r="RRK24" s="93"/>
      <c r="RRL24" s="93"/>
      <c r="RRM24" s="93"/>
      <c r="RRN24" s="93"/>
      <c r="RRO24" s="93"/>
      <c r="RRP24" s="93"/>
      <c r="RRQ24" s="93"/>
      <c r="RRR24" s="93"/>
      <c r="RRS24" s="93"/>
      <c r="RRT24" s="93"/>
      <c r="RRU24" s="93"/>
      <c r="RRV24" s="93"/>
      <c r="RRW24" s="93"/>
      <c r="RRX24" s="93"/>
      <c r="RRY24" s="93"/>
      <c r="RRZ24" s="93"/>
      <c r="RSA24" s="93"/>
      <c r="RSB24" s="93"/>
      <c r="RSC24" s="93"/>
      <c r="RSD24" s="93"/>
      <c r="RSE24" s="93"/>
      <c r="RSF24" s="93"/>
      <c r="RSG24" s="93"/>
      <c r="RSH24" s="93"/>
      <c r="RSI24" s="93"/>
      <c r="RSJ24" s="93"/>
      <c r="RSK24" s="93"/>
      <c r="RSL24" s="93"/>
      <c r="RSM24" s="93"/>
      <c r="RSN24" s="93"/>
      <c r="RSO24" s="93"/>
      <c r="RSP24" s="93"/>
      <c r="RSQ24" s="93"/>
      <c r="RSR24" s="93"/>
      <c r="RSS24" s="93"/>
      <c r="RST24" s="93"/>
      <c r="RSU24" s="93"/>
      <c r="RSV24" s="93"/>
      <c r="RSW24" s="93"/>
      <c r="RSX24" s="93"/>
      <c r="RSY24" s="93"/>
      <c r="RSZ24" s="93"/>
      <c r="RTA24" s="93"/>
      <c r="RTB24" s="93"/>
      <c r="RTC24" s="93"/>
      <c r="RTD24" s="93"/>
      <c r="RTE24" s="93"/>
      <c r="RTF24" s="93"/>
      <c r="RTG24" s="93"/>
      <c r="RTH24" s="93"/>
      <c r="RTI24" s="93"/>
      <c r="RTJ24" s="93"/>
      <c r="RTK24" s="93"/>
      <c r="RTL24" s="93"/>
      <c r="RTM24" s="93"/>
      <c r="RTN24" s="93"/>
      <c r="RTO24" s="93"/>
      <c r="RTP24" s="93"/>
      <c r="RTQ24" s="93"/>
      <c r="RTR24" s="93"/>
      <c r="RTS24" s="93"/>
      <c r="RTT24" s="93"/>
      <c r="RTU24" s="93"/>
      <c r="RTV24" s="93"/>
      <c r="RTW24" s="93"/>
      <c r="RTX24" s="93"/>
      <c r="RTY24" s="93"/>
      <c r="RTZ24" s="93"/>
      <c r="RUA24" s="93"/>
      <c r="RUB24" s="93"/>
      <c r="RUC24" s="93"/>
      <c r="RUD24" s="93"/>
      <c r="RUE24" s="93"/>
      <c r="RUF24" s="93"/>
      <c r="RUG24" s="93"/>
      <c r="RUH24" s="93"/>
      <c r="RUI24" s="93"/>
      <c r="RUJ24" s="93"/>
      <c r="RUK24" s="93"/>
      <c r="RUL24" s="93"/>
      <c r="RUM24" s="93"/>
      <c r="RUN24" s="93"/>
      <c r="RUO24" s="93"/>
      <c r="RUP24" s="93"/>
      <c r="RUQ24" s="93"/>
      <c r="RUR24" s="93"/>
      <c r="RUS24" s="93"/>
      <c r="RUT24" s="93"/>
      <c r="RUU24" s="93"/>
      <c r="RUV24" s="93"/>
      <c r="RUW24" s="93"/>
      <c r="RUX24" s="93"/>
      <c r="RUY24" s="93"/>
      <c r="RUZ24" s="93"/>
      <c r="RVA24" s="93"/>
      <c r="RVB24" s="93"/>
      <c r="RVC24" s="93"/>
      <c r="RVD24" s="93"/>
      <c r="RVE24" s="93"/>
      <c r="RVF24" s="93"/>
      <c r="RVG24" s="93"/>
      <c r="RVH24" s="93"/>
      <c r="RVI24" s="93"/>
      <c r="RVJ24" s="93"/>
      <c r="RVK24" s="93"/>
      <c r="RVL24" s="93"/>
      <c r="RVM24" s="93"/>
      <c r="RVN24" s="93"/>
      <c r="RVO24" s="93"/>
      <c r="RVP24" s="93"/>
      <c r="RVQ24" s="93"/>
      <c r="RVR24" s="93"/>
      <c r="RVS24" s="93"/>
      <c r="RVT24" s="93"/>
      <c r="RVU24" s="93"/>
      <c r="RVV24" s="93"/>
      <c r="RVW24" s="93"/>
      <c r="RVX24" s="93"/>
      <c r="RVY24" s="93"/>
      <c r="RVZ24" s="93"/>
      <c r="RWA24" s="93"/>
      <c r="RWB24" s="93"/>
      <c r="RWC24" s="93"/>
      <c r="RWD24" s="93"/>
      <c r="RWE24" s="93"/>
      <c r="RWF24" s="93"/>
      <c r="RWG24" s="93"/>
      <c r="RWH24" s="93"/>
      <c r="RWI24" s="93"/>
      <c r="RWJ24" s="93"/>
      <c r="RWK24" s="93"/>
      <c r="RWL24" s="93"/>
      <c r="RWM24" s="93"/>
      <c r="RWN24" s="93"/>
      <c r="RWO24" s="93"/>
      <c r="RWP24" s="93"/>
      <c r="RWQ24" s="93"/>
      <c r="RWR24" s="93"/>
      <c r="RWS24" s="93"/>
      <c r="RWT24" s="93"/>
      <c r="RWU24" s="93"/>
      <c r="RWV24" s="93"/>
      <c r="RWW24" s="93"/>
      <c r="RWX24" s="93"/>
      <c r="RWY24" s="93"/>
      <c r="RWZ24" s="93"/>
      <c r="RXA24" s="93"/>
      <c r="RXB24" s="93"/>
      <c r="RXC24" s="93"/>
      <c r="RXD24" s="93"/>
      <c r="RXE24" s="93"/>
      <c r="RXF24" s="93"/>
      <c r="RXG24" s="93"/>
      <c r="RXH24" s="93"/>
      <c r="RXI24" s="93"/>
      <c r="RXJ24" s="93"/>
      <c r="RXK24" s="93"/>
      <c r="RXL24" s="93"/>
      <c r="RXM24" s="93"/>
      <c r="RXN24" s="93"/>
      <c r="RXO24" s="93"/>
      <c r="RXP24" s="93"/>
      <c r="RXQ24" s="93"/>
      <c r="RXR24" s="93"/>
      <c r="RXS24" s="93"/>
      <c r="RXT24" s="93"/>
      <c r="RXU24" s="93"/>
      <c r="RXV24" s="93"/>
      <c r="RXW24" s="93"/>
      <c r="RXX24" s="93"/>
      <c r="RXY24" s="93"/>
      <c r="RXZ24" s="93"/>
      <c r="RYA24" s="93"/>
      <c r="RYB24" s="93"/>
      <c r="RYC24" s="93"/>
      <c r="RYD24" s="93"/>
      <c r="RYE24" s="93"/>
      <c r="RYF24" s="93"/>
      <c r="RYG24" s="93"/>
      <c r="RYH24" s="93"/>
      <c r="RYI24" s="93"/>
      <c r="RYJ24" s="93"/>
      <c r="RYK24" s="93"/>
      <c r="RYL24" s="93"/>
      <c r="RYM24" s="93"/>
      <c r="RYN24" s="93"/>
      <c r="RYO24" s="93"/>
      <c r="RYP24" s="93"/>
      <c r="RYQ24" s="93"/>
      <c r="RYR24" s="93"/>
      <c r="RYS24" s="93"/>
      <c r="RYT24" s="93"/>
      <c r="RYU24" s="93"/>
      <c r="RYV24" s="93"/>
      <c r="RYW24" s="93"/>
      <c r="RYX24" s="93"/>
      <c r="RYY24" s="93"/>
      <c r="RYZ24" s="93"/>
      <c r="RZA24" s="93"/>
      <c r="RZB24" s="93"/>
      <c r="RZC24" s="93"/>
      <c r="RZD24" s="93"/>
      <c r="RZE24" s="93"/>
      <c r="RZF24" s="93"/>
      <c r="RZG24" s="93"/>
      <c r="RZH24" s="93"/>
      <c r="RZI24" s="93"/>
      <c r="RZJ24" s="93"/>
      <c r="RZK24" s="93"/>
      <c r="RZL24" s="93"/>
      <c r="RZM24" s="93"/>
      <c r="RZN24" s="93"/>
      <c r="RZO24" s="93"/>
      <c r="RZP24" s="93"/>
      <c r="RZQ24" s="93"/>
      <c r="RZR24" s="93"/>
      <c r="RZS24" s="93"/>
      <c r="RZT24" s="93"/>
      <c r="RZU24" s="93"/>
      <c r="RZV24" s="93"/>
      <c r="RZW24" s="93"/>
      <c r="RZX24" s="93"/>
      <c r="RZY24" s="93"/>
      <c r="RZZ24" s="93"/>
      <c r="SAA24" s="93"/>
      <c r="SAB24" s="93"/>
      <c r="SAC24" s="93"/>
      <c r="SAD24" s="93"/>
      <c r="SAE24" s="93"/>
      <c r="SAF24" s="93"/>
      <c r="SAG24" s="93"/>
      <c r="SAH24" s="93"/>
      <c r="SAI24" s="93"/>
      <c r="SAJ24" s="93"/>
      <c r="SAK24" s="93"/>
      <c r="SAL24" s="93"/>
      <c r="SAM24" s="93"/>
      <c r="SAN24" s="93"/>
      <c r="SAO24" s="93"/>
      <c r="SAP24" s="93"/>
      <c r="SAQ24" s="93"/>
      <c r="SAR24" s="93"/>
      <c r="SAS24" s="93"/>
      <c r="SAT24" s="93"/>
      <c r="SAU24" s="93"/>
      <c r="SAV24" s="93"/>
      <c r="SAW24" s="93"/>
      <c r="SAX24" s="93"/>
      <c r="SAY24" s="93"/>
      <c r="SAZ24" s="93"/>
      <c r="SBA24" s="93"/>
      <c r="SBB24" s="93"/>
      <c r="SBC24" s="93"/>
      <c r="SBD24" s="93"/>
      <c r="SBE24" s="93"/>
      <c r="SBF24" s="93"/>
      <c r="SBG24" s="93"/>
      <c r="SBH24" s="93"/>
      <c r="SBI24" s="93"/>
      <c r="SBJ24" s="93"/>
      <c r="SBK24" s="93"/>
      <c r="SBL24" s="93"/>
      <c r="SBM24" s="93"/>
      <c r="SBN24" s="93"/>
      <c r="SBO24" s="93"/>
      <c r="SBP24" s="93"/>
      <c r="SBQ24" s="93"/>
      <c r="SBR24" s="93"/>
      <c r="SBS24" s="93"/>
      <c r="SBT24" s="93"/>
      <c r="SBU24" s="93"/>
      <c r="SBV24" s="93"/>
      <c r="SBW24" s="93"/>
      <c r="SBX24" s="93"/>
      <c r="SBY24" s="93"/>
      <c r="SBZ24" s="93"/>
      <c r="SCA24" s="93"/>
      <c r="SCB24" s="93"/>
      <c r="SCC24" s="93"/>
      <c r="SCD24" s="93"/>
      <c r="SCE24" s="93"/>
      <c r="SCF24" s="93"/>
      <c r="SCG24" s="93"/>
      <c r="SCH24" s="93"/>
      <c r="SCI24" s="93"/>
      <c r="SCJ24" s="93"/>
      <c r="SCK24" s="93"/>
      <c r="SCL24" s="93"/>
      <c r="SCM24" s="93"/>
      <c r="SCN24" s="93"/>
      <c r="SCO24" s="93"/>
      <c r="SCP24" s="93"/>
      <c r="SCQ24" s="93"/>
      <c r="SCR24" s="93"/>
      <c r="SCS24" s="93"/>
      <c r="SCT24" s="93"/>
      <c r="SCU24" s="93"/>
      <c r="SCV24" s="93"/>
      <c r="SCW24" s="93"/>
      <c r="SCX24" s="93"/>
      <c r="SCY24" s="93"/>
      <c r="SCZ24" s="93"/>
      <c r="SDA24" s="93"/>
      <c r="SDB24" s="93"/>
      <c r="SDC24" s="93"/>
      <c r="SDD24" s="93"/>
      <c r="SDE24" s="93"/>
      <c r="SDF24" s="93"/>
      <c r="SDG24" s="93"/>
      <c r="SDH24" s="93"/>
      <c r="SDI24" s="93"/>
      <c r="SDJ24" s="93"/>
      <c r="SDK24" s="93"/>
      <c r="SDL24" s="93"/>
      <c r="SDM24" s="93"/>
      <c r="SDN24" s="93"/>
      <c r="SDO24" s="93"/>
      <c r="SDP24" s="93"/>
      <c r="SDQ24" s="93"/>
      <c r="SDR24" s="93"/>
      <c r="SDS24" s="93"/>
      <c r="SDT24" s="93"/>
      <c r="SDU24" s="93"/>
      <c r="SDV24" s="93"/>
      <c r="SDW24" s="93"/>
      <c r="SDX24" s="93"/>
      <c r="SDY24" s="93"/>
      <c r="SDZ24" s="93"/>
      <c r="SEA24" s="93"/>
      <c r="SEB24" s="93"/>
      <c r="SEC24" s="93"/>
      <c r="SED24" s="93"/>
      <c r="SEE24" s="93"/>
      <c r="SEF24" s="93"/>
      <c r="SEG24" s="93"/>
      <c r="SEH24" s="93"/>
      <c r="SEI24" s="93"/>
      <c r="SEJ24" s="93"/>
      <c r="SEK24" s="93"/>
      <c r="SEL24" s="93"/>
      <c r="SEM24" s="93"/>
      <c r="SEN24" s="93"/>
      <c r="SEO24" s="93"/>
      <c r="SEP24" s="93"/>
      <c r="SEQ24" s="93"/>
      <c r="SER24" s="93"/>
      <c r="SES24" s="93"/>
      <c r="SET24" s="93"/>
      <c r="SEU24" s="93"/>
      <c r="SEV24" s="93"/>
      <c r="SEW24" s="93"/>
      <c r="SEX24" s="93"/>
      <c r="SEY24" s="93"/>
      <c r="SEZ24" s="93"/>
      <c r="SFA24" s="93"/>
      <c r="SFB24" s="93"/>
      <c r="SFC24" s="93"/>
      <c r="SFD24" s="93"/>
      <c r="SFE24" s="93"/>
      <c r="SFF24" s="93"/>
      <c r="SFG24" s="93"/>
      <c r="SFH24" s="93"/>
      <c r="SFI24" s="93"/>
      <c r="SFJ24" s="93"/>
      <c r="SFK24" s="93"/>
      <c r="SFL24" s="93"/>
      <c r="SFM24" s="93"/>
      <c r="SFN24" s="93"/>
      <c r="SFO24" s="93"/>
      <c r="SFP24" s="93"/>
      <c r="SFQ24" s="93"/>
      <c r="SFR24" s="93"/>
      <c r="SFS24" s="93"/>
      <c r="SFT24" s="93"/>
      <c r="SFU24" s="93"/>
      <c r="SFV24" s="93"/>
      <c r="SFW24" s="93"/>
      <c r="SFX24" s="93"/>
      <c r="SFY24" s="93"/>
      <c r="SFZ24" s="93"/>
      <c r="SGA24" s="93"/>
      <c r="SGB24" s="93"/>
      <c r="SGC24" s="93"/>
      <c r="SGD24" s="93"/>
      <c r="SGE24" s="93"/>
      <c r="SGF24" s="93"/>
      <c r="SGG24" s="93"/>
      <c r="SGH24" s="93"/>
      <c r="SGI24" s="93"/>
      <c r="SGJ24" s="93"/>
      <c r="SGK24" s="93"/>
      <c r="SGL24" s="93"/>
      <c r="SGM24" s="93"/>
      <c r="SGN24" s="93"/>
      <c r="SGO24" s="93"/>
      <c r="SGP24" s="93"/>
      <c r="SGQ24" s="93"/>
      <c r="SGR24" s="93"/>
      <c r="SGS24" s="93"/>
      <c r="SGT24" s="93"/>
      <c r="SGU24" s="93"/>
      <c r="SGV24" s="93"/>
      <c r="SGW24" s="93"/>
      <c r="SGX24" s="93"/>
      <c r="SGY24" s="93"/>
      <c r="SGZ24" s="93"/>
      <c r="SHA24" s="93"/>
      <c r="SHB24" s="93"/>
      <c r="SHC24" s="93"/>
      <c r="SHD24" s="93"/>
      <c r="SHE24" s="93"/>
      <c r="SHF24" s="93"/>
      <c r="SHG24" s="93"/>
      <c r="SHH24" s="93"/>
      <c r="SHI24" s="93"/>
      <c r="SHJ24" s="93"/>
      <c r="SHK24" s="93"/>
      <c r="SHL24" s="93"/>
      <c r="SHM24" s="93"/>
      <c r="SHN24" s="93"/>
      <c r="SHO24" s="93"/>
      <c r="SHP24" s="93"/>
      <c r="SHQ24" s="93"/>
      <c r="SHR24" s="93"/>
      <c r="SHS24" s="93"/>
      <c r="SHT24" s="93"/>
      <c r="SHU24" s="93"/>
      <c r="SHV24" s="93"/>
      <c r="SHW24" s="93"/>
      <c r="SHX24" s="93"/>
      <c r="SHY24" s="93"/>
      <c r="SHZ24" s="93"/>
      <c r="SIA24" s="93"/>
      <c r="SIB24" s="93"/>
      <c r="SIC24" s="93"/>
      <c r="SID24" s="93"/>
      <c r="SIE24" s="93"/>
      <c r="SIF24" s="93"/>
      <c r="SIG24" s="93"/>
      <c r="SIH24" s="93"/>
      <c r="SII24" s="93"/>
      <c r="SIJ24" s="93"/>
      <c r="SIK24" s="93"/>
      <c r="SIL24" s="93"/>
      <c r="SIM24" s="93"/>
      <c r="SIN24" s="93"/>
      <c r="SIO24" s="93"/>
      <c r="SIP24" s="93"/>
      <c r="SIQ24" s="93"/>
      <c r="SIR24" s="93"/>
      <c r="SIS24" s="93"/>
      <c r="SIT24" s="93"/>
      <c r="SIU24" s="93"/>
      <c r="SIV24" s="93"/>
      <c r="SIW24" s="93"/>
      <c r="SIX24" s="93"/>
      <c r="SIY24" s="93"/>
      <c r="SIZ24" s="93"/>
      <c r="SJA24" s="93"/>
      <c r="SJB24" s="93"/>
      <c r="SJC24" s="93"/>
      <c r="SJD24" s="93"/>
      <c r="SJE24" s="93"/>
      <c r="SJF24" s="93"/>
      <c r="SJG24" s="93"/>
      <c r="SJH24" s="93"/>
      <c r="SJI24" s="93"/>
      <c r="SJJ24" s="93"/>
      <c r="SJK24" s="93"/>
      <c r="SJL24" s="93"/>
      <c r="SJM24" s="93"/>
      <c r="SJN24" s="93"/>
      <c r="SJO24" s="93"/>
      <c r="SJP24" s="93"/>
      <c r="SJQ24" s="93"/>
      <c r="SJR24" s="93"/>
      <c r="SJS24" s="93"/>
      <c r="SJT24" s="93"/>
      <c r="SJU24" s="93"/>
      <c r="SJV24" s="93"/>
      <c r="SJW24" s="93"/>
      <c r="SJX24" s="93"/>
      <c r="SJY24" s="93"/>
      <c r="SJZ24" s="93"/>
      <c r="SKA24" s="93"/>
      <c r="SKB24" s="93"/>
      <c r="SKC24" s="93"/>
      <c r="SKD24" s="93"/>
      <c r="SKE24" s="93"/>
      <c r="SKF24" s="93"/>
      <c r="SKG24" s="93"/>
      <c r="SKH24" s="93"/>
      <c r="SKI24" s="93"/>
      <c r="SKJ24" s="93"/>
      <c r="SKK24" s="93"/>
      <c r="SKL24" s="93"/>
      <c r="SKM24" s="93"/>
      <c r="SKN24" s="93"/>
      <c r="SKO24" s="93"/>
      <c r="SKP24" s="93"/>
      <c r="SKQ24" s="93"/>
      <c r="SKR24" s="93"/>
      <c r="SKS24" s="93"/>
      <c r="SKT24" s="93"/>
      <c r="SKU24" s="93"/>
      <c r="SKV24" s="93"/>
      <c r="SKW24" s="93"/>
      <c r="SKX24" s="93"/>
      <c r="SKY24" s="93"/>
      <c r="SKZ24" s="93"/>
      <c r="SLA24" s="93"/>
      <c r="SLB24" s="93"/>
      <c r="SLC24" s="93"/>
      <c r="SLD24" s="93"/>
      <c r="SLE24" s="93"/>
      <c r="SLF24" s="93"/>
      <c r="SLG24" s="93"/>
      <c r="SLH24" s="93"/>
      <c r="SLI24" s="93"/>
      <c r="SLJ24" s="93"/>
      <c r="SLK24" s="93"/>
      <c r="SLL24" s="93"/>
      <c r="SLM24" s="93"/>
      <c r="SLN24" s="93"/>
      <c r="SLO24" s="93"/>
      <c r="SLP24" s="93"/>
      <c r="SLQ24" s="93"/>
      <c r="SLR24" s="93"/>
      <c r="SLS24" s="93"/>
      <c r="SLT24" s="93"/>
      <c r="SLU24" s="93"/>
      <c r="SLV24" s="93"/>
      <c r="SLW24" s="93"/>
      <c r="SLX24" s="93"/>
      <c r="SLY24" s="93"/>
      <c r="SLZ24" s="93"/>
      <c r="SMA24" s="93"/>
      <c r="SMB24" s="93"/>
      <c r="SMC24" s="93"/>
      <c r="SMD24" s="93"/>
      <c r="SME24" s="93"/>
      <c r="SMF24" s="93"/>
      <c r="SMG24" s="93"/>
      <c r="SMH24" s="93"/>
      <c r="SMI24" s="93"/>
      <c r="SMJ24" s="93"/>
      <c r="SMK24" s="93"/>
      <c r="SML24" s="93"/>
      <c r="SMM24" s="93"/>
      <c r="SMN24" s="93"/>
      <c r="SMO24" s="93"/>
      <c r="SMP24" s="93"/>
      <c r="SMQ24" s="93"/>
      <c r="SMR24" s="93"/>
      <c r="SMS24" s="93"/>
      <c r="SMT24" s="93"/>
      <c r="SMU24" s="93"/>
      <c r="SMV24" s="93"/>
      <c r="SMW24" s="93"/>
      <c r="SMX24" s="93"/>
      <c r="SMY24" s="93"/>
      <c r="SMZ24" s="93"/>
      <c r="SNA24" s="93"/>
      <c r="SNB24" s="93"/>
      <c r="SNC24" s="93"/>
      <c r="SND24" s="93"/>
      <c r="SNE24" s="93"/>
      <c r="SNF24" s="93"/>
      <c r="SNG24" s="93"/>
      <c r="SNH24" s="93"/>
      <c r="SNI24" s="93"/>
      <c r="SNJ24" s="93"/>
      <c r="SNK24" s="93"/>
      <c r="SNL24" s="93"/>
      <c r="SNM24" s="93"/>
      <c r="SNN24" s="93"/>
      <c r="SNO24" s="93"/>
      <c r="SNP24" s="93"/>
      <c r="SNQ24" s="93"/>
      <c r="SNR24" s="93"/>
      <c r="SNS24" s="93"/>
      <c r="SNT24" s="93"/>
      <c r="SNU24" s="93"/>
      <c r="SNV24" s="93"/>
      <c r="SNW24" s="93"/>
      <c r="SNX24" s="93"/>
      <c r="SNY24" s="93"/>
      <c r="SNZ24" s="93"/>
      <c r="SOA24" s="93"/>
      <c r="SOB24" s="93"/>
      <c r="SOC24" s="93"/>
      <c r="SOD24" s="93"/>
      <c r="SOE24" s="93"/>
      <c r="SOF24" s="93"/>
      <c r="SOG24" s="93"/>
      <c r="SOH24" s="93"/>
      <c r="SOI24" s="93"/>
      <c r="SOJ24" s="93"/>
      <c r="SOK24" s="93"/>
      <c r="SOL24" s="93"/>
      <c r="SOM24" s="93"/>
      <c r="SON24" s="93"/>
      <c r="SOO24" s="93"/>
      <c r="SOP24" s="93"/>
      <c r="SOQ24" s="93"/>
      <c r="SOR24" s="93"/>
      <c r="SOS24" s="93"/>
      <c r="SOT24" s="93"/>
      <c r="SOU24" s="93"/>
      <c r="SOV24" s="93"/>
      <c r="SOW24" s="93"/>
      <c r="SOX24" s="93"/>
      <c r="SOY24" s="93"/>
      <c r="SOZ24" s="93"/>
      <c r="SPA24" s="93"/>
      <c r="SPB24" s="93"/>
      <c r="SPC24" s="93"/>
      <c r="SPD24" s="93"/>
      <c r="SPE24" s="93"/>
      <c r="SPF24" s="93"/>
      <c r="SPG24" s="93"/>
      <c r="SPH24" s="93"/>
      <c r="SPI24" s="93"/>
      <c r="SPJ24" s="93"/>
      <c r="SPK24" s="93"/>
      <c r="SPL24" s="93"/>
      <c r="SPM24" s="93"/>
      <c r="SPN24" s="93"/>
      <c r="SPO24" s="93"/>
      <c r="SPP24" s="93"/>
      <c r="SPQ24" s="93"/>
      <c r="SPR24" s="93"/>
      <c r="SPS24" s="93"/>
      <c r="SPT24" s="93"/>
      <c r="SPU24" s="93"/>
      <c r="SPV24" s="93"/>
      <c r="SPW24" s="93"/>
      <c r="SPX24" s="93"/>
      <c r="SPY24" s="93"/>
      <c r="SPZ24" s="93"/>
      <c r="SQA24" s="93"/>
      <c r="SQB24" s="93"/>
      <c r="SQC24" s="93"/>
      <c r="SQD24" s="93"/>
      <c r="SQE24" s="93"/>
      <c r="SQF24" s="93"/>
      <c r="SQG24" s="93"/>
      <c r="SQH24" s="93"/>
      <c r="SQI24" s="93"/>
      <c r="SQJ24" s="93"/>
      <c r="SQK24" s="93"/>
      <c r="SQL24" s="93"/>
      <c r="SQM24" s="93"/>
      <c r="SQN24" s="93"/>
      <c r="SQO24" s="93"/>
      <c r="SQP24" s="93"/>
      <c r="SQQ24" s="93"/>
      <c r="SQR24" s="93"/>
      <c r="SQS24" s="93"/>
      <c r="SQT24" s="93"/>
      <c r="SQU24" s="93"/>
      <c r="SQV24" s="93"/>
      <c r="SQW24" s="93"/>
      <c r="SQX24" s="93"/>
      <c r="SQY24" s="93"/>
      <c r="SQZ24" s="93"/>
      <c r="SRA24" s="93"/>
      <c r="SRB24" s="93"/>
      <c r="SRC24" s="93"/>
      <c r="SRD24" s="93"/>
      <c r="SRE24" s="93"/>
      <c r="SRF24" s="93"/>
      <c r="SRG24" s="93"/>
      <c r="SRH24" s="93"/>
      <c r="SRI24" s="93"/>
      <c r="SRJ24" s="93"/>
      <c r="SRK24" s="93"/>
      <c r="SRL24" s="93"/>
      <c r="SRM24" s="93"/>
      <c r="SRN24" s="93"/>
      <c r="SRO24" s="93"/>
      <c r="SRP24" s="93"/>
      <c r="SRQ24" s="93"/>
      <c r="SRR24" s="93"/>
      <c r="SRS24" s="93"/>
      <c r="SRT24" s="93"/>
      <c r="SRU24" s="93"/>
      <c r="SRV24" s="93"/>
      <c r="SRW24" s="93"/>
      <c r="SRX24" s="93"/>
      <c r="SRY24" s="93"/>
      <c r="SRZ24" s="93"/>
      <c r="SSA24" s="93"/>
      <c r="SSB24" s="93"/>
      <c r="SSC24" s="93"/>
      <c r="SSD24" s="93"/>
      <c r="SSE24" s="93"/>
      <c r="SSF24" s="93"/>
      <c r="SSG24" s="93"/>
      <c r="SSH24" s="93"/>
      <c r="SSI24" s="93"/>
      <c r="SSJ24" s="93"/>
      <c r="SSK24" s="93"/>
      <c r="SSL24" s="93"/>
      <c r="SSM24" s="93"/>
      <c r="SSN24" s="93"/>
      <c r="SSO24" s="93"/>
      <c r="SSP24" s="93"/>
      <c r="SSQ24" s="93"/>
      <c r="SSR24" s="93"/>
      <c r="SSS24" s="93"/>
      <c r="SST24" s="93"/>
      <c r="SSU24" s="93"/>
      <c r="SSV24" s="93"/>
      <c r="SSW24" s="93"/>
      <c r="SSX24" s="93"/>
      <c r="SSY24" s="93"/>
      <c r="SSZ24" s="93"/>
      <c r="STA24" s="93"/>
      <c r="STB24" s="93"/>
      <c r="STC24" s="93"/>
      <c r="STD24" s="93"/>
      <c r="STE24" s="93"/>
      <c r="STF24" s="93"/>
      <c r="STG24" s="93"/>
      <c r="STH24" s="93"/>
      <c r="STI24" s="93"/>
      <c r="STJ24" s="93"/>
      <c r="STK24" s="93"/>
      <c r="STL24" s="93"/>
      <c r="STM24" s="93"/>
      <c r="STN24" s="93"/>
      <c r="STO24" s="93"/>
      <c r="STP24" s="93"/>
      <c r="STQ24" s="93"/>
      <c r="STR24" s="93"/>
      <c r="STS24" s="93"/>
      <c r="STT24" s="93"/>
      <c r="STU24" s="93"/>
      <c r="STV24" s="93"/>
      <c r="STW24" s="93"/>
      <c r="STX24" s="93"/>
      <c r="STY24" s="93"/>
      <c r="STZ24" s="93"/>
      <c r="SUA24" s="93"/>
      <c r="SUB24" s="93"/>
      <c r="SUC24" s="93"/>
      <c r="SUD24" s="93"/>
      <c r="SUE24" s="93"/>
      <c r="SUF24" s="93"/>
      <c r="SUG24" s="93"/>
      <c r="SUH24" s="93"/>
      <c r="SUI24" s="93"/>
      <c r="SUJ24" s="93"/>
      <c r="SUK24" s="93"/>
      <c r="SUL24" s="93"/>
      <c r="SUM24" s="93"/>
      <c r="SUN24" s="93"/>
      <c r="SUO24" s="93"/>
      <c r="SUP24" s="93"/>
      <c r="SUQ24" s="93"/>
      <c r="SUR24" s="93"/>
      <c r="SUS24" s="93"/>
      <c r="SUT24" s="93"/>
      <c r="SUU24" s="93"/>
      <c r="SUV24" s="93"/>
      <c r="SUW24" s="93"/>
      <c r="SUX24" s="93"/>
      <c r="SUY24" s="93"/>
      <c r="SUZ24" s="93"/>
      <c r="SVA24" s="93"/>
      <c r="SVB24" s="93"/>
      <c r="SVC24" s="93"/>
      <c r="SVD24" s="93"/>
      <c r="SVE24" s="93"/>
      <c r="SVF24" s="93"/>
      <c r="SVG24" s="93"/>
      <c r="SVH24" s="93"/>
      <c r="SVI24" s="93"/>
      <c r="SVJ24" s="93"/>
      <c r="SVK24" s="93"/>
      <c r="SVL24" s="93"/>
      <c r="SVM24" s="93"/>
      <c r="SVN24" s="93"/>
      <c r="SVO24" s="93"/>
      <c r="SVP24" s="93"/>
      <c r="SVQ24" s="93"/>
      <c r="SVR24" s="93"/>
      <c r="SVS24" s="93"/>
      <c r="SVT24" s="93"/>
      <c r="SVU24" s="93"/>
      <c r="SVV24" s="93"/>
      <c r="SVW24" s="93"/>
      <c r="SVX24" s="93"/>
      <c r="SVY24" s="93"/>
      <c r="SVZ24" s="93"/>
      <c r="SWA24" s="93"/>
      <c r="SWB24" s="93"/>
      <c r="SWC24" s="93"/>
      <c r="SWD24" s="93"/>
      <c r="SWE24" s="93"/>
      <c r="SWF24" s="93"/>
      <c r="SWG24" s="93"/>
      <c r="SWH24" s="93"/>
      <c r="SWI24" s="93"/>
      <c r="SWJ24" s="93"/>
      <c r="SWK24" s="93"/>
      <c r="SWL24" s="93"/>
      <c r="SWM24" s="93"/>
      <c r="SWN24" s="93"/>
      <c r="SWO24" s="93"/>
      <c r="SWP24" s="93"/>
      <c r="SWQ24" s="93"/>
      <c r="SWR24" s="93"/>
      <c r="SWS24" s="93"/>
      <c r="SWT24" s="93"/>
      <c r="SWU24" s="93"/>
      <c r="SWV24" s="93"/>
      <c r="SWW24" s="93"/>
      <c r="SWX24" s="93"/>
      <c r="SWY24" s="93"/>
      <c r="SWZ24" s="93"/>
      <c r="SXA24" s="93"/>
      <c r="SXB24" s="93"/>
      <c r="SXC24" s="93"/>
      <c r="SXD24" s="93"/>
      <c r="SXE24" s="93"/>
      <c r="SXF24" s="93"/>
      <c r="SXG24" s="93"/>
      <c r="SXH24" s="93"/>
      <c r="SXI24" s="93"/>
      <c r="SXJ24" s="93"/>
      <c r="SXK24" s="93"/>
      <c r="SXL24" s="93"/>
      <c r="SXM24" s="93"/>
      <c r="SXN24" s="93"/>
      <c r="SXO24" s="93"/>
      <c r="SXP24" s="93"/>
      <c r="SXQ24" s="93"/>
      <c r="SXR24" s="93"/>
      <c r="SXS24" s="93"/>
      <c r="SXT24" s="93"/>
      <c r="SXU24" s="93"/>
      <c r="SXV24" s="93"/>
      <c r="SXW24" s="93"/>
      <c r="SXX24" s="93"/>
      <c r="SXY24" s="93"/>
      <c r="SXZ24" s="93"/>
      <c r="SYA24" s="93"/>
      <c r="SYB24" s="93"/>
      <c r="SYC24" s="93"/>
      <c r="SYD24" s="93"/>
      <c r="SYE24" s="93"/>
      <c r="SYF24" s="93"/>
      <c r="SYG24" s="93"/>
      <c r="SYH24" s="93"/>
      <c r="SYI24" s="93"/>
      <c r="SYJ24" s="93"/>
      <c r="SYK24" s="93"/>
      <c r="SYL24" s="93"/>
      <c r="SYM24" s="93"/>
      <c r="SYN24" s="93"/>
      <c r="SYO24" s="93"/>
      <c r="SYP24" s="93"/>
      <c r="SYQ24" s="93"/>
      <c r="SYR24" s="93"/>
      <c r="SYS24" s="93"/>
      <c r="SYT24" s="93"/>
      <c r="SYU24" s="93"/>
      <c r="SYV24" s="93"/>
      <c r="SYW24" s="93"/>
      <c r="SYX24" s="93"/>
      <c r="SYY24" s="93"/>
      <c r="SYZ24" s="93"/>
      <c r="SZA24" s="93"/>
      <c r="SZB24" s="93"/>
      <c r="SZC24" s="93"/>
      <c r="SZD24" s="93"/>
      <c r="SZE24" s="93"/>
      <c r="SZF24" s="93"/>
      <c r="SZG24" s="93"/>
      <c r="SZH24" s="93"/>
      <c r="SZI24" s="93"/>
      <c r="SZJ24" s="93"/>
      <c r="SZK24" s="93"/>
      <c r="SZL24" s="93"/>
      <c r="SZM24" s="93"/>
      <c r="SZN24" s="93"/>
      <c r="SZO24" s="93"/>
      <c r="SZP24" s="93"/>
      <c r="SZQ24" s="93"/>
      <c r="SZR24" s="93"/>
      <c r="SZS24" s="93"/>
      <c r="SZT24" s="93"/>
      <c r="SZU24" s="93"/>
      <c r="SZV24" s="93"/>
      <c r="SZW24" s="93"/>
      <c r="SZX24" s="93"/>
      <c r="SZY24" s="93"/>
      <c r="SZZ24" s="93"/>
      <c r="TAA24" s="93"/>
      <c r="TAB24" s="93"/>
      <c r="TAC24" s="93"/>
      <c r="TAD24" s="93"/>
      <c r="TAE24" s="93"/>
      <c r="TAF24" s="93"/>
      <c r="TAG24" s="93"/>
      <c r="TAH24" s="93"/>
      <c r="TAI24" s="93"/>
      <c r="TAJ24" s="93"/>
      <c r="TAK24" s="93"/>
      <c r="TAL24" s="93"/>
      <c r="TAM24" s="93"/>
      <c r="TAN24" s="93"/>
      <c r="TAO24" s="93"/>
      <c r="TAP24" s="93"/>
      <c r="TAQ24" s="93"/>
      <c r="TAR24" s="93"/>
      <c r="TAS24" s="93"/>
      <c r="TAT24" s="93"/>
      <c r="TAU24" s="93"/>
      <c r="TAV24" s="93"/>
      <c r="TAW24" s="93"/>
      <c r="TAX24" s="93"/>
      <c r="TAY24" s="93"/>
      <c r="TAZ24" s="93"/>
      <c r="TBA24" s="93"/>
      <c r="TBB24" s="93"/>
      <c r="TBC24" s="93"/>
      <c r="TBD24" s="93"/>
      <c r="TBE24" s="93"/>
      <c r="TBF24" s="93"/>
      <c r="TBG24" s="93"/>
      <c r="TBH24" s="93"/>
      <c r="TBI24" s="93"/>
      <c r="TBJ24" s="93"/>
      <c r="TBK24" s="93"/>
      <c r="TBL24" s="93"/>
      <c r="TBM24" s="93"/>
      <c r="TBN24" s="93"/>
      <c r="TBO24" s="93"/>
      <c r="TBP24" s="93"/>
      <c r="TBQ24" s="93"/>
      <c r="TBR24" s="93"/>
      <c r="TBS24" s="93"/>
      <c r="TBT24" s="93"/>
      <c r="TBU24" s="93"/>
      <c r="TBV24" s="93"/>
      <c r="TBW24" s="93"/>
      <c r="TBX24" s="93"/>
      <c r="TBY24" s="93"/>
      <c r="TBZ24" s="93"/>
      <c r="TCA24" s="93"/>
      <c r="TCB24" s="93"/>
      <c r="TCC24" s="93"/>
      <c r="TCD24" s="93"/>
      <c r="TCE24" s="93"/>
      <c r="TCF24" s="93"/>
      <c r="TCG24" s="93"/>
      <c r="TCH24" s="93"/>
      <c r="TCI24" s="93"/>
      <c r="TCJ24" s="93"/>
      <c r="TCK24" s="93"/>
      <c r="TCL24" s="93"/>
      <c r="TCM24" s="93"/>
      <c r="TCN24" s="93"/>
      <c r="TCO24" s="93"/>
      <c r="TCP24" s="93"/>
      <c r="TCQ24" s="93"/>
      <c r="TCR24" s="93"/>
      <c r="TCS24" s="93"/>
      <c r="TCT24" s="93"/>
      <c r="TCU24" s="93"/>
      <c r="TCV24" s="93"/>
      <c r="TCW24" s="93"/>
      <c r="TCX24" s="93"/>
      <c r="TCY24" s="93"/>
      <c r="TCZ24" s="93"/>
      <c r="TDA24" s="93"/>
      <c r="TDB24" s="93"/>
      <c r="TDC24" s="93"/>
      <c r="TDD24" s="93"/>
      <c r="TDE24" s="93"/>
      <c r="TDF24" s="93"/>
      <c r="TDG24" s="93"/>
      <c r="TDH24" s="93"/>
      <c r="TDI24" s="93"/>
      <c r="TDJ24" s="93"/>
      <c r="TDK24" s="93"/>
      <c r="TDL24" s="93"/>
      <c r="TDM24" s="93"/>
      <c r="TDN24" s="93"/>
      <c r="TDO24" s="93"/>
      <c r="TDP24" s="93"/>
      <c r="TDQ24" s="93"/>
      <c r="TDR24" s="93"/>
      <c r="TDS24" s="93"/>
      <c r="TDT24" s="93"/>
      <c r="TDU24" s="93"/>
      <c r="TDV24" s="93"/>
      <c r="TDW24" s="93"/>
      <c r="TDX24" s="93"/>
      <c r="TDY24" s="93"/>
      <c r="TDZ24" s="93"/>
      <c r="TEA24" s="93"/>
      <c r="TEB24" s="93"/>
      <c r="TEC24" s="93"/>
      <c r="TED24" s="93"/>
      <c r="TEE24" s="93"/>
      <c r="TEF24" s="93"/>
      <c r="TEG24" s="93"/>
      <c r="TEH24" s="93"/>
      <c r="TEI24" s="93"/>
      <c r="TEJ24" s="93"/>
      <c r="TEK24" s="93"/>
      <c r="TEL24" s="93"/>
      <c r="TEM24" s="93"/>
      <c r="TEN24" s="93"/>
      <c r="TEO24" s="93"/>
      <c r="TEP24" s="93"/>
      <c r="TEQ24" s="93"/>
      <c r="TER24" s="93"/>
      <c r="TES24" s="93"/>
      <c r="TET24" s="93"/>
      <c r="TEU24" s="93"/>
      <c r="TEV24" s="93"/>
      <c r="TEW24" s="93"/>
      <c r="TEX24" s="93"/>
      <c r="TEY24" s="93"/>
      <c r="TEZ24" s="93"/>
      <c r="TFA24" s="93"/>
      <c r="TFB24" s="93"/>
      <c r="TFC24" s="93"/>
      <c r="TFD24" s="93"/>
      <c r="TFE24" s="93"/>
      <c r="TFF24" s="93"/>
      <c r="TFG24" s="93"/>
      <c r="TFH24" s="93"/>
      <c r="TFI24" s="93"/>
      <c r="TFJ24" s="93"/>
      <c r="TFK24" s="93"/>
      <c r="TFL24" s="93"/>
      <c r="TFM24" s="93"/>
      <c r="TFN24" s="93"/>
      <c r="TFO24" s="93"/>
      <c r="TFP24" s="93"/>
      <c r="TFQ24" s="93"/>
      <c r="TFR24" s="93"/>
      <c r="TFS24" s="93"/>
      <c r="TFT24" s="93"/>
      <c r="TFU24" s="93"/>
      <c r="TFV24" s="93"/>
      <c r="TFW24" s="93"/>
      <c r="TFX24" s="93"/>
      <c r="TFY24" s="93"/>
      <c r="TFZ24" s="93"/>
      <c r="TGA24" s="93"/>
      <c r="TGB24" s="93"/>
      <c r="TGC24" s="93"/>
      <c r="TGD24" s="93"/>
      <c r="TGE24" s="93"/>
      <c r="TGF24" s="93"/>
      <c r="TGG24" s="93"/>
      <c r="TGH24" s="93"/>
      <c r="TGI24" s="93"/>
      <c r="TGJ24" s="93"/>
      <c r="TGK24" s="93"/>
      <c r="TGL24" s="93"/>
      <c r="TGM24" s="93"/>
      <c r="TGN24" s="93"/>
      <c r="TGO24" s="93"/>
      <c r="TGP24" s="93"/>
      <c r="TGQ24" s="93"/>
      <c r="TGR24" s="93"/>
      <c r="TGS24" s="93"/>
      <c r="TGT24" s="93"/>
      <c r="TGU24" s="93"/>
      <c r="TGV24" s="93"/>
      <c r="TGW24" s="93"/>
      <c r="TGX24" s="93"/>
      <c r="TGY24" s="93"/>
      <c r="TGZ24" s="93"/>
      <c r="THA24" s="93"/>
      <c r="THB24" s="93"/>
      <c r="THC24" s="93"/>
      <c r="THD24" s="93"/>
      <c r="THE24" s="93"/>
      <c r="THF24" s="93"/>
      <c r="THG24" s="93"/>
      <c r="THH24" s="93"/>
      <c r="THI24" s="93"/>
      <c r="THJ24" s="93"/>
      <c r="THK24" s="93"/>
      <c r="THL24" s="93"/>
      <c r="THM24" s="93"/>
      <c r="THN24" s="93"/>
      <c r="THO24" s="93"/>
      <c r="THP24" s="93"/>
      <c r="THQ24" s="93"/>
      <c r="THR24" s="93"/>
      <c r="THS24" s="93"/>
      <c r="THT24" s="93"/>
      <c r="THU24" s="93"/>
      <c r="THV24" s="93"/>
      <c r="THW24" s="93"/>
      <c r="THX24" s="93"/>
      <c r="THY24" s="93"/>
      <c r="THZ24" s="93"/>
      <c r="TIA24" s="93"/>
      <c r="TIB24" s="93"/>
      <c r="TIC24" s="93"/>
      <c r="TID24" s="93"/>
      <c r="TIE24" s="93"/>
      <c r="TIF24" s="93"/>
      <c r="TIG24" s="93"/>
      <c r="TIH24" s="93"/>
      <c r="TII24" s="93"/>
      <c r="TIJ24" s="93"/>
      <c r="TIK24" s="93"/>
      <c r="TIL24" s="93"/>
      <c r="TIM24" s="93"/>
      <c r="TIN24" s="93"/>
      <c r="TIO24" s="93"/>
      <c r="TIP24" s="93"/>
      <c r="TIQ24" s="93"/>
      <c r="TIR24" s="93"/>
      <c r="TIS24" s="93"/>
      <c r="TIT24" s="93"/>
      <c r="TIU24" s="93"/>
      <c r="TIV24" s="93"/>
      <c r="TIW24" s="93"/>
      <c r="TIX24" s="93"/>
      <c r="TIY24" s="93"/>
      <c r="TIZ24" s="93"/>
      <c r="TJA24" s="93"/>
      <c r="TJB24" s="93"/>
      <c r="TJC24" s="93"/>
      <c r="TJD24" s="93"/>
      <c r="TJE24" s="93"/>
      <c r="TJF24" s="93"/>
      <c r="TJG24" s="93"/>
      <c r="TJH24" s="93"/>
      <c r="TJI24" s="93"/>
      <c r="TJJ24" s="93"/>
      <c r="TJK24" s="93"/>
      <c r="TJL24" s="93"/>
      <c r="TJM24" s="93"/>
      <c r="TJN24" s="93"/>
      <c r="TJO24" s="93"/>
      <c r="TJP24" s="93"/>
      <c r="TJQ24" s="93"/>
      <c r="TJR24" s="93"/>
      <c r="TJS24" s="93"/>
      <c r="TJT24" s="93"/>
      <c r="TJU24" s="93"/>
      <c r="TJV24" s="93"/>
      <c r="TJW24" s="93"/>
      <c r="TJX24" s="93"/>
      <c r="TJY24" s="93"/>
      <c r="TJZ24" s="93"/>
      <c r="TKA24" s="93"/>
      <c r="TKB24" s="93"/>
      <c r="TKC24" s="93"/>
      <c r="TKD24" s="93"/>
      <c r="TKE24" s="93"/>
      <c r="TKF24" s="93"/>
      <c r="TKG24" s="93"/>
      <c r="TKH24" s="93"/>
      <c r="TKI24" s="93"/>
      <c r="TKJ24" s="93"/>
      <c r="TKK24" s="93"/>
      <c r="TKL24" s="93"/>
      <c r="TKM24" s="93"/>
      <c r="TKN24" s="93"/>
      <c r="TKO24" s="93"/>
      <c r="TKP24" s="93"/>
      <c r="TKQ24" s="93"/>
      <c r="TKR24" s="93"/>
      <c r="TKS24" s="93"/>
      <c r="TKT24" s="93"/>
      <c r="TKU24" s="93"/>
      <c r="TKV24" s="93"/>
      <c r="TKW24" s="93"/>
      <c r="TKX24" s="93"/>
      <c r="TKY24" s="93"/>
      <c r="TKZ24" s="93"/>
      <c r="TLA24" s="93"/>
      <c r="TLB24" s="93"/>
      <c r="TLC24" s="93"/>
      <c r="TLD24" s="93"/>
      <c r="TLE24" s="93"/>
      <c r="TLF24" s="93"/>
      <c r="TLG24" s="93"/>
      <c r="TLH24" s="93"/>
      <c r="TLI24" s="93"/>
      <c r="TLJ24" s="93"/>
      <c r="TLK24" s="93"/>
      <c r="TLL24" s="93"/>
      <c r="TLM24" s="93"/>
      <c r="TLN24" s="93"/>
      <c r="TLO24" s="93"/>
      <c r="TLP24" s="93"/>
      <c r="TLQ24" s="93"/>
      <c r="TLR24" s="93"/>
      <c r="TLS24" s="93"/>
      <c r="TLT24" s="93"/>
      <c r="TLU24" s="93"/>
      <c r="TLV24" s="93"/>
      <c r="TLW24" s="93"/>
      <c r="TLX24" s="93"/>
      <c r="TLY24" s="93"/>
      <c r="TLZ24" s="93"/>
      <c r="TMA24" s="93"/>
      <c r="TMB24" s="93"/>
      <c r="TMC24" s="93"/>
      <c r="TMD24" s="93"/>
      <c r="TME24" s="93"/>
      <c r="TMF24" s="93"/>
      <c r="TMG24" s="93"/>
      <c r="TMH24" s="93"/>
      <c r="TMI24" s="93"/>
      <c r="TMJ24" s="93"/>
      <c r="TMK24" s="93"/>
      <c r="TML24" s="93"/>
      <c r="TMM24" s="93"/>
      <c r="TMN24" s="93"/>
      <c r="TMO24" s="93"/>
      <c r="TMP24" s="93"/>
      <c r="TMQ24" s="93"/>
      <c r="TMR24" s="93"/>
      <c r="TMS24" s="93"/>
      <c r="TMT24" s="93"/>
      <c r="TMU24" s="93"/>
      <c r="TMV24" s="93"/>
      <c r="TMW24" s="93"/>
      <c r="TMX24" s="93"/>
      <c r="TMY24" s="93"/>
      <c r="TMZ24" s="93"/>
      <c r="TNA24" s="93"/>
      <c r="TNB24" s="93"/>
      <c r="TNC24" s="93"/>
      <c r="TND24" s="93"/>
      <c r="TNE24" s="93"/>
      <c r="TNF24" s="93"/>
      <c r="TNG24" s="93"/>
      <c r="TNH24" s="93"/>
      <c r="TNI24" s="93"/>
      <c r="TNJ24" s="93"/>
      <c r="TNK24" s="93"/>
      <c r="TNL24" s="93"/>
      <c r="TNM24" s="93"/>
      <c r="TNN24" s="93"/>
      <c r="TNO24" s="93"/>
      <c r="TNP24" s="93"/>
      <c r="TNQ24" s="93"/>
      <c r="TNR24" s="93"/>
      <c r="TNS24" s="93"/>
      <c r="TNT24" s="93"/>
      <c r="TNU24" s="93"/>
      <c r="TNV24" s="93"/>
      <c r="TNW24" s="93"/>
      <c r="TNX24" s="93"/>
      <c r="TNY24" s="93"/>
      <c r="TNZ24" s="93"/>
      <c r="TOA24" s="93"/>
      <c r="TOB24" s="93"/>
      <c r="TOC24" s="93"/>
      <c r="TOD24" s="93"/>
      <c r="TOE24" s="93"/>
      <c r="TOF24" s="93"/>
      <c r="TOG24" s="93"/>
      <c r="TOH24" s="93"/>
      <c r="TOI24" s="93"/>
      <c r="TOJ24" s="93"/>
      <c r="TOK24" s="93"/>
      <c r="TOL24" s="93"/>
      <c r="TOM24" s="93"/>
      <c r="TON24" s="93"/>
      <c r="TOO24" s="93"/>
      <c r="TOP24" s="93"/>
      <c r="TOQ24" s="93"/>
      <c r="TOR24" s="93"/>
      <c r="TOS24" s="93"/>
      <c r="TOT24" s="93"/>
      <c r="TOU24" s="93"/>
      <c r="TOV24" s="93"/>
      <c r="TOW24" s="93"/>
      <c r="TOX24" s="93"/>
      <c r="TOY24" s="93"/>
      <c r="TOZ24" s="93"/>
      <c r="TPA24" s="93"/>
      <c r="TPB24" s="93"/>
      <c r="TPC24" s="93"/>
      <c r="TPD24" s="93"/>
      <c r="TPE24" s="93"/>
      <c r="TPF24" s="93"/>
      <c r="TPG24" s="93"/>
      <c r="TPH24" s="93"/>
      <c r="TPI24" s="93"/>
      <c r="TPJ24" s="93"/>
      <c r="TPK24" s="93"/>
      <c r="TPL24" s="93"/>
      <c r="TPM24" s="93"/>
      <c r="TPN24" s="93"/>
      <c r="TPO24" s="93"/>
      <c r="TPP24" s="93"/>
      <c r="TPQ24" s="93"/>
      <c r="TPR24" s="93"/>
      <c r="TPS24" s="93"/>
      <c r="TPT24" s="93"/>
      <c r="TPU24" s="93"/>
      <c r="TPV24" s="93"/>
      <c r="TPW24" s="93"/>
      <c r="TPX24" s="93"/>
      <c r="TPY24" s="93"/>
      <c r="TPZ24" s="93"/>
      <c r="TQA24" s="93"/>
      <c r="TQB24" s="93"/>
      <c r="TQC24" s="93"/>
      <c r="TQD24" s="93"/>
      <c r="TQE24" s="93"/>
      <c r="TQF24" s="93"/>
      <c r="TQG24" s="93"/>
      <c r="TQH24" s="93"/>
      <c r="TQI24" s="93"/>
      <c r="TQJ24" s="93"/>
      <c r="TQK24" s="93"/>
      <c r="TQL24" s="93"/>
      <c r="TQM24" s="93"/>
      <c r="TQN24" s="93"/>
      <c r="TQO24" s="93"/>
      <c r="TQP24" s="93"/>
      <c r="TQQ24" s="93"/>
      <c r="TQR24" s="93"/>
      <c r="TQS24" s="93"/>
      <c r="TQT24" s="93"/>
      <c r="TQU24" s="93"/>
      <c r="TQV24" s="93"/>
      <c r="TQW24" s="93"/>
      <c r="TQX24" s="93"/>
      <c r="TQY24" s="93"/>
      <c r="TQZ24" s="93"/>
      <c r="TRA24" s="93"/>
      <c r="TRB24" s="93"/>
      <c r="TRC24" s="93"/>
      <c r="TRD24" s="93"/>
      <c r="TRE24" s="93"/>
      <c r="TRF24" s="93"/>
      <c r="TRG24" s="93"/>
      <c r="TRH24" s="93"/>
      <c r="TRI24" s="93"/>
      <c r="TRJ24" s="93"/>
      <c r="TRK24" s="93"/>
      <c r="TRL24" s="93"/>
      <c r="TRM24" s="93"/>
      <c r="TRN24" s="93"/>
      <c r="TRO24" s="93"/>
      <c r="TRP24" s="93"/>
      <c r="TRQ24" s="93"/>
      <c r="TRR24" s="93"/>
      <c r="TRS24" s="93"/>
      <c r="TRT24" s="93"/>
      <c r="TRU24" s="93"/>
      <c r="TRV24" s="93"/>
      <c r="TRW24" s="93"/>
      <c r="TRX24" s="93"/>
      <c r="TRY24" s="93"/>
      <c r="TRZ24" s="93"/>
      <c r="TSA24" s="93"/>
      <c r="TSB24" s="93"/>
      <c r="TSC24" s="93"/>
      <c r="TSD24" s="93"/>
      <c r="TSE24" s="93"/>
      <c r="TSF24" s="93"/>
      <c r="TSG24" s="93"/>
      <c r="TSH24" s="93"/>
      <c r="TSI24" s="93"/>
      <c r="TSJ24" s="93"/>
      <c r="TSK24" s="93"/>
      <c r="TSL24" s="93"/>
      <c r="TSM24" s="93"/>
      <c r="TSN24" s="93"/>
      <c r="TSO24" s="93"/>
      <c r="TSP24" s="93"/>
      <c r="TSQ24" s="93"/>
      <c r="TSR24" s="93"/>
      <c r="TSS24" s="93"/>
      <c r="TST24" s="93"/>
      <c r="TSU24" s="93"/>
      <c r="TSV24" s="93"/>
      <c r="TSW24" s="93"/>
      <c r="TSX24" s="93"/>
      <c r="TSY24" s="93"/>
      <c r="TSZ24" s="93"/>
      <c r="TTA24" s="93"/>
      <c r="TTB24" s="93"/>
      <c r="TTC24" s="93"/>
      <c r="TTD24" s="93"/>
      <c r="TTE24" s="93"/>
      <c r="TTF24" s="93"/>
      <c r="TTG24" s="93"/>
      <c r="TTH24" s="93"/>
      <c r="TTI24" s="93"/>
      <c r="TTJ24" s="93"/>
      <c r="TTK24" s="93"/>
      <c r="TTL24" s="93"/>
      <c r="TTM24" s="93"/>
      <c r="TTN24" s="93"/>
      <c r="TTO24" s="93"/>
      <c r="TTP24" s="93"/>
      <c r="TTQ24" s="93"/>
      <c r="TTR24" s="93"/>
      <c r="TTS24" s="93"/>
      <c r="TTT24" s="93"/>
      <c r="TTU24" s="93"/>
      <c r="TTV24" s="93"/>
      <c r="TTW24" s="93"/>
      <c r="TTX24" s="93"/>
      <c r="TTY24" s="93"/>
      <c r="TTZ24" s="93"/>
      <c r="TUA24" s="93"/>
      <c r="TUB24" s="93"/>
      <c r="TUC24" s="93"/>
      <c r="TUD24" s="93"/>
      <c r="TUE24" s="93"/>
      <c r="TUF24" s="93"/>
      <c r="TUG24" s="93"/>
      <c r="TUH24" s="93"/>
      <c r="TUI24" s="93"/>
      <c r="TUJ24" s="93"/>
      <c r="TUK24" s="93"/>
      <c r="TUL24" s="93"/>
      <c r="TUM24" s="93"/>
      <c r="TUN24" s="93"/>
      <c r="TUO24" s="93"/>
      <c r="TUP24" s="93"/>
      <c r="TUQ24" s="93"/>
      <c r="TUR24" s="93"/>
      <c r="TUS24" s="93"/>
      <c r="TUT24" s="93"/>
      <c r="TUU24" s="93"/>
      <c r="TUV24" s="93"/>
      <c r="TUW24" s="93"/>
      <c r="TUX24" s="93"/>
      <c r="TUY24" s="93"/>
      <c r="TUZ24" s="93"/>
      <c r="TVA24" s="93"/>
      <c r="TVB24" s="93"/>
      <c r="TVC24" s="93"/>
      <c r="TVD24" s="93"/>
      <c r="TVE24" s="93"/>
      <c r="TVF24" s="93"/>
      <c r="TVG24" s="93"/>
      <c r="TVH24" s="93"/>
      <c r="TVI24" s="93"/>
      <c r="TVJ24" s="93"/>
      <c r="TVK24" s="93"/>
      <c r="TVL24" s="93"/>
      <c r="TVM24" s="93"/>
      <c r="TVN24" s="93"/>
      <c r="TVO24" s="93"/>
      <c r="TVP24" s="93"/>
      <c r="TVQ24" s="93"/>
      <c r="TVR24" s="93"/>
      <c r="TVS24" s="93"/>
      <c r="TVT24" s="93"/>
      <c r="TVU24" s="93"/>
      <c r="TVV24" s="93"/>
      <c r="TVW24" s="93"/>
      <c r="TVX24" s="93"/>
      <c r="TVY24" s="93"/>
      <c r="TVZ24" s="93"/>
      <c r="TWA24" s="93"/>
      <c r="TWB24" s="93"/>
      <c r="TWC24" s="93"/>
      <c r="TWD24" s="93"/>
      <c r="TWE24" s="93"/>
      <c r="TWF24" s="93"/>
      <c r="TWG24" s="93"/>
      <c r="TWH24" s="93"/>
      <c r="TWI24" s="93"/>
      <c r="TWJ24" s="93"/>
      <c r="TWK24" s="93"/>
      <c r="TWL24" s="93"/>
      <c r="TWM24" s="93"/>
      <c r="TWN24" s="93"/>
      <c r="TWO24" s="93"/>
      <c r="TWP24" s="93"/>
      <c r="TWQ24" s="93"/>
      <c r="TWR24" s="93"/>
      <c r="TWS24" s="93"/>
      <c r="TWT24" s="93"/>
      <c r="TWU24" s="93"/>
      <c r="TWV24" s="93"/>
      <c r="TWW24" s="93"/>
      <c r="TWX24" s="93"/>
      <c r="TWY24" s="93"/>
      <c r="TWZ24" s="93"/>
      <c r="TXA24" s="93"/>
      <c r="TXB24" s="93"/>
      <c r="TXC24" s="93"/>
      <c r="TXD24" s="93"/>
      <c r="TXE24" s="93"/>
      <c r="TXF24" s="93"/>
      <c r="TXG24" s="93"/>
      <c r="TXH24" s="93"/>
      <c r="TXI24" s="93"/>
      <c r="TXJ24" s="93"/>
      <c r="TXK24" s="93"/>
      <c r="TXL24" s="93"/>
      <c r="TXM24" s="93"/>
      <c r="TXN24" s="93"/>
      <c r="TXO24" s="93"/>
      <c r="TXP24" s="93"/>
      <c r="TXQ24" s="93"/>
      <c r="TXR24" s="93"/>
      <c r="TXS24" s="93"/>
      <c r="TXT24" s="93"/>
      <c r="TXU24" s="93"/>
      <c r="TXV24" s="93"/>
      <c r="TXW24" s="93"/>
      <c r="TXX24" s="93"/>
      <c r="TXY24" s="93"/>
      <c r="TXZ24" s="93"/>
      <c r="TYA24" s="93"/>
      <c r="TYB24" s="93"/>
      <c r="TYC24" s="93"/>
      <c r="TYD24" s="93"/>
      <c r="TYE24" s="93"/>
      <c r="TYF24" s="93"/>
      <c r="TYG24" s="93"/>
      <c r="TYH24" s="93"/>
      <c r="TYI24" s="93"/>
      <c r="TYJ24" s="93"/>
      <c r="TYK24" s="93"/>
      <c r="TYL24" s="93"/>
      <c r="TYM24" s="93"/>
      <c r="TYN24" s="93"/>
      <c r="TYO24" s="93"/>
      <c r="TYP24" s="93"/>
      <c r="TYQ24" s="93"/>
      <c r="TYR24" s="93"/>
      <c r="TYS24" s="93"/>
      <c r="TYT24" s="93"/>
      <c r="TYU24" s="93"/>
      <c r="TYV24" s="93"/>
      <c r="TYW24" s="93"/>
      <c r="TYX24" s="93"/>
      <c r="TYY24" s="93"/>
      <c r="TYZ24" s="93"/>
      <c r="TZA24" s="93"/>
      <c r="TZB24" s="93"/>
      <c r="TZC24" s="93"/>
      <c r="TZD24" s="93"/>
      <c r="TZE24" s="93"/>
      <c r="TZF24" s="93"/>
      <c r="TZG24" s="93"/>
      <c r="TZH24" s="93"/>
      <c r="TZI24" s="93"/>
      <c r="TZJ24" s="93"/>
      <c r="TZK24" s="93"/>
      <c r="TZL24" s="93"/>
      <c r="TZM24" s="93"/>
      <c r="TZN24" s="93"/>
      <c r="TZO24" s="93"/>
      <c r="TZP24" s="93"/>
      <c r="TZQ24" s="93"/>
      <c r="TZR24" s="93"/>
      <c r="TZS24" s="93"/>
      <c r="TZT24" s="93"/>
      <c r="TZU24" s="93"/>
      <c r="TZV24" s="93"/>
      <c r="TZW24" s="93"/>
      <c r="TZX24" s="93"/>
      <c r="TZY24" s="93"/>
      <c r="TZZ24" s="93"/>
      <c r="UAA24" s="93"/>
      <c r="UAB24" s="93"/>
      <c r="UAC24" s="93"/>
      <c r="UAD24" s="93"/>
      <c r="UAE24" s="93"/>
      <c r="UAF24" s="93"/>
      <c r="UAG24" s="93"/>
      <c r="UAH24" s="93"/>
      <c r="UAI24" s="93"/>
      <c r="UAJ24" s="93"/>
      <c r="UAK24" s="93"/>
      <c r="UAL24" s="93"/>
      <c r="UAM24" s="93"/>
      <c r="UAN24" s="93"/>
      <c r="UAO24" s="93"/>
      <c r="UAP24" s="93"/>
      <c r="UAQ24" s="93"/>
      <c r="UAR24" s="93"/>
      <c r="UAS24" s="93"/>
      <c r="UAT24" s="93"/>
      <c r="UAU24" s="93"/>
      <c r="UAV24" s="93"/>
      <c r="UAW24" s="93"/>
      <c r="UAX24" s="93"/>
      <c r="UAY24" s="93"/>
      <c r="UAZ24" s="93"/>
      <c r="UBA24" s="93"/>
      <c r="UBB24" s="93"/>
      <c r="UBC24" s="93"/>
      <c r="UBD24" s="93"/>
      <c r="UBE24" s="93"/>
      <c r="UBF24" s="93"/>
      <c r="UBG24" s="93"/>
      <c r="UBH24" s="93"/>
      <c r="UBI24" s="93"/>
      <c r="UBJ24" s="93"/>
      <c r="UBK24" s="93"/>
      <c r="UBL24" s="93"/>
      <c r="UBM24" s="93"/>
      <c r="UBN24" s="93"/>
      <c r="UBO24" s="93"/>
      <c r="UBP24" s="93"/>
      <c r="UBQ24" s="93"/>
      <c r="UBR24" s="93"/>
      <c r="UBS24" s="93"/>
      <c r="UBT24" s="93"/>
      <c r="UBU24" s="93"/>
      <c r="UBV24" s="93"/>
      <c r="UBW24" s="93"/>
      <c r="UBX24" s="93"/>
      <c r="UBY24" s="93"/>
      <c r="UBZ24" s="93"/>
      <c r="UCA24" s="93"/>
      <c r="UCB24" s="93"/>
      <c r="UCC24" s="93"/>
      <c r="UCD24" s="93"/>
      <c r="UCE24" s="93"/>
      <c r="UCF24" s="93"/>
      <c r="UCG24" s="93"/>
      <c r="UCH24" s="93"/>
      <c r="UCI24" s="93"/>
      <c r="UCJ24" s="93"/>
      <c r="UCK24" s="93"/>
      <c r="UCL24" s="93"/>
      <c r="UCM24" s="93"/>
      <c r="UCN24" s="93"/>
      <c r="UCO24" s="93"/>
      <c r="UCP24" s="93"/>
      <c r="UCQ24" s="93"/>
      <c r="UCR24" s="93"/>
      <c r="UCS24" s="93"/>
      <c r="UCT24" s="93"/>
      <c r="UCU24" s="93"/>
      <c r="UCV24" s="93"/>
      <c r="UCW24" s="93"/>
      <c r="UCX24" s="93"/>
      <c r="UCY24" s="93"/>
      <c r="UCZ24" s="93"/>
      <c r="UDA24" s="93"/>
      <c r="UDB24" s="93"/>
      <c r="UDC24" s="93"/>
      <c r="UDD24" s="93"/>
      <c r="UDE24" s="93"/>
      <c r="UDF24" s="93"/>
      <c r="UDG24" s="93"/>
      <c r="UDH24" s="93"/>
      <c r="UDI24" s="93"/>
      <c r="UDJ24" s="93"/>
      <c r="UDK24" s="93"/>
      <c r="UDL24" s="93"/>
      <c r="UDM24" s="93"/>
      <c r="UDN24" s="93"/>
      <c r="UDO24" s="93"/>
      <c r="UDP24" s="93"/>
      <c r="UDQ24" s="93"/>
      <c r="UDR24" s="93"/>
      <c r="UDS24" s="93"/>
      <c r="UDT24" s="93"/>
      <c r="UDU24" s="93"/>
      <c r="UDV24" s="93"/>
      <c r="UDW24" s="93"/>
      <c r="UDX24" s="93"/>
      <c r="UDY24" s="93"/>
      <c r="UDZ24" s="93"/>
      <c r="UEA24" s="93"/>
      <c r="UEB24" s="93"/>
      <c r="UEC24" s="93"/>
      <c r="UED24" s="93"/>
      <c r="UEE24" s="93"/>
      <c r="UEF24" s="93"/>
      <c r="UEG24" s="93"/>
      <c r="UEH24" s="93"/>
      <c r="UEI24" s="93"/>
      <c r="UEJ24" s="93"/>
      <c r="UEK24" s="93"/>
      <c r="UEL24" s="93"/>
      <c r="UEM24" s="93"/>
      <c r="UEN24" s="93"/>
      <c r="UEO24" s="93"/>
      <c r="UEP24" s="93"/>
      <c r="UEQ24" s="93"/>
      <c r="UER24" s="93"/>
      <c r="UES24" s="93"/>
      <c r="UET24" s="93"/>
      <c r="UEU24" s="93"/>
      <c r="UEV24" s="93"/>
      <c r="UEW24" s="93"/>
      <c r="UEX24" s="93"/>
      <c r="UEY24" s="93"/>
      <c r="UEZ24" s="93"/>
      <c r="UFA24" s="93"/>
      <c r="UFB24" s="93"/>
      <c r="UFC24" s="93"/>
      <c r="UFD24" s="93"/>
      <c r="UFE24" s="93"/>
      <c r="UFF24" s="93"/>
      <c r="UFG24" s="93"/>
      <c r="UFH24" s="93"/>
      <c r="UFI24" s="93"/>
      <c r="UFJ24" s="93"/>
      <c r="UFK24" s="93"/>
      <c r="UFL24" s="93"/>
      <c r="UFM24" s="93"/>
      <c r="UFN24" s="93"/>
      <c r="UFO24" s="93"/>
      <c r="UFP24" s="93"/>
      <c r="UFQ24" s="93"/>
      <c r="UFR24" s="93"/>
      <c r="UFS24" s="93"/>
      <c r="UFT24" s="93"/>
      <c r="UFU24" s="93"/>
      <c r="UFV24" s="93"/>
      <c r="UFW24" s="93"/>
      <c r="UFX24" s="93"/>
      <c r="UFY24" s="93"/>
      <c r="UFZ24" s="93"/>
      <c r="UGA24" s="93"/>
      <c r="UGB24" s="93"/>
      <c r="UGC24" s="93"/>
      <c r="UGD24" s="93"/>
      <c r="UGE24" s="93"/>
      <c r="UGF24" s="93"/>
      <c r="UGG24" s="93"/>
      <c r="UGH24" s="93"/>
      <c r="UGI24" s="93"/>
      <c r="UGJ24" s="93"/>
      <c r="UGK24" s="93"/>
      <c r="UGL24" s="93"/>
      <c r="UGM24" s="93"/>
      <c r="UGN24" s="93"/>
      <c r="UGO24" s="93"/>
      <c r="UGP24" s="93"/>
      <c r="UGQ24" s="93"/>
      <c r="UGR24" s="93"/>
      <c r="UGS24" s="93"/>
      <c r="UGT24" s="93"/>
      <c r="UGU24" s="93"/>
      <c r="UGV24" s="93"/>
      <c r="UGW24" s="93"/>
      <c r="UGX24" s="93"/>
      <c r="UGY24" s="93"/>
      <c r="UGZ24" s="93"/>
      <c r="UHA24" s="93"/>
      <c r="UHB24" s="93"/>
      <c r="UHC24" s="93"/>
      <c r="UHD24" s="93"/>
      <c r="UHE24" s="93"/>
      <c r="UHF24" s="93"/>
      <c r="UHG24" s="93"/>
      <c r="UHH24" s="93"/>
      <c r="UHI24" s="93"/>
      <c r="UHJ24" s="93"/>
      <c r="UHK24" s="93"/>
      <c r="UHL24" s="93"/>
      <c r="UHM24" s="93"/>
      <c r="UHN24" s="93"/>
      <c r="UHO24" s="93"/>
      <c r="UHP24" s="93"/>
      <c r="UHQ24" s="93"/>
      <c r="UHR24" s="93"/>
      <c r="UHS24" s="93"/>
      <c r="UHT24" s="93"/>
      <c r="UHU24" s="93"/>
      <c r="UHV24" s="93"/>
      <c r="UHW24" s="93"/>
      <c r="UHX24" s="93"/>
      <c r="UHY24" s="93"/>
      <c r="UHZ24" s="93"/>
      <c r="UIA24" s="93"/>
      <c r="UIB24" s="93"/>
      <c r="UIC24" s="93"/>
      <c r="UID24" s="93"/>
      <c r="UIE24" s="93"/>
      <c r="UIF24" s="93"/>
      <c r="UIG24" s="93"/>
      <c r="UIH24" s="93"/>
      <c r="UII24" s="93"/>
      <c r="UIJ24" s="93"/>
      <c r="UIK24" s="93"/>
      <c r="UIL24" s="93"/>
      <c r="UIM24" s="93"/>
      <c r="UIN24" s="93"/>
      <c r="UIO24" s="93"/>
      <c r="UIP24" s="93"/>
      <c r="UIQ24" s="93"/>
      <c r="UIR24" s="93"/>
      <c r="UIS24" s="93"/>
      <c r="UIT24" s="93"/>
      <c r="UIU24" s="93"/>
      <c r="UIV24" s="93"/>
      <c r="UIW24" s="93"/>
      <c r="UIX24" s="93"/>
      <c r="UIY24" s="93"/>
      <c r="UIZ24" s="93"/>
      <c r="UJA24" s="93"/>
      <c r="UJB24" s="93"/>
      <c r="UJC24" s="93"/>
      <c r="UJD24" s="93"/>
      <c r="UJE24" s="93"/>
      <c r="UJF24" s="93"/>
      <c r="UJG24" s="93"/>
      <c r="UJH24" s="93"/>
      <c r="UJI24" s="93"/>
      <c r="UJJ24" s="93"/>
      <c r="UJK24" s="93"/>
      <c r="UJL24" s="93"/>
      <c r="UJM24" s="93"/>
      <c r="UJN24" s="93"/>
      <c r="UJO24" s="93"/>
      <c r="UJP24" s="93"/>
      <c r="UJQ24" s="93"/>
      <c r="UJR24" s="93"/>
      <c r="UJS24" s="93"/>
      <c r="UJT24" s="93"/>
      <c r="UJU24" s="93"/>
      <c r="UJV24" s="93"/>
      <c r="UJW24" s="93"/>
      <c r="UJX24" s="93"/>
      <c r="UJY24" s="93"/>
      <c r="UJZ24" s="93"/>
      <c r="UKA24" s="93"/>
      <c r="UKB24" s="93"/>
      <c r="UKC24" s="93"/>
      <c r="UKD24" s="93"/>
      <c r="UKE24" s="93"/>
      <c r="UKF24" s="93"/>
      <c r="UKG24" s="93"/>
      <c r="UKH24" s="93"/>
      <c r="UKI24" s="93"/>
      <c r="UKJ24" s="93"/>
      <c r="UKK24" s="93"/>
      <c r="UKL24" s="93"/>
      <c r="UKM24" s="93"/>
      <c r="UKN24" s="93"/>
      <c r="UKO24" s="93"/>
      <c r="UKP24" s="93"/>
      <c r="UKQ24" s="93"/>
      <c r="UKR24" s="93"/>
      <c r="UKS24" s="93"/>
      <c r="UKT24" s="93"/>
      <c r="UKU24" s="93"/>
      <c r="UKV24" s="93"/>
      <c r="UKW24" s="93"/>
      <c r="UKX24" s="93"/>
      <c r="UKY24" s="93"/>
      <c r="UKZ24" s="93"/>
      <c r="ULA24" s="93"/>
      <c r="ULB24" s="93"/>
      <c r="ULC24" s="93"/>
      <c r="ULD24" s="93"/>
      <c r="ULE24" s="93"/>
      <c r="ULF24" s="93"/>
      <c r="ULG24" s="93"/>
      <c r="ULH24" s="93"/>
      <c r="ULI24" s="93"/>
      <c r="ULJ24" s="93"/>
      <c r="ULK24" s="93"/>
      <c r="ULL24" s="93"/>
      <c r="ULM24" s="93"/>
      <c r="ULN24" s="93"/>
      <c r="ULO24" s="93"/>
      <c r="ULP24" s="93"/>
      <c r="ULQ24" s="93"/>
      <c r="ULR24" s="93"/>
      <c r="ULS24" s="93"/>
      <c r="ULT24" s="93"/>
      <c r="ULU24" s="93"/>
      <c r="ULV24" s="93"/>
      <c r="ULW24" s="93"/>
      <c r="ULX24" s="93"/>
      <c r="ULY24" s="93"/>
      <c r="ULZ24" s="93"/>
      <c r="UMA24" s="93"/>
      <c r="UMB24" s="93"/>
      <c r="UMC24" s="93"/>
      <c r="UMD24" s="93"/>
      <c r="UME24" s="93"/>
      <c r="UMF24" s="93"/>
      <c r="UMG24" s="93"/>
      <c r="UMH24" s="93"/>
      <c r="UMI24" s="93"/>
      <c r="UMJ24" s="93"/>
      <c r="UMK24" s="93"/>
      <c r="UML24" s="93"/>
      <c r="UMM24" s="93"/>
      <c r="UMN24" s="93"/>
      <c r="UMO24" s="93"/>
      <c r="UMP24" s="93"/>
      <c r="UMQ24" s="93"/>
      <c r="UMR24" s="93"/>
      <c r="UMS24" s="93"/>
      <c r="UMT24" s="93"/>
      <c r="UMU24" s="93"/>
      <c r="UMV24" s="93"/>
      <c r="UMW24" s="93"/>
      <c r="UMX24" s="93"/>
      <c r="UMY24" s="93"/>
      <c r="UMZ24" s="93"/>
      <c r="UNA24" s="93"/>
      <c r="UNB24" s="93"/>
      <c r="UNC24" s="93"/>
      <c r="UND24" s="93"/>
      <c r="UNE24" s="93"/>
      <c r="UNF24" s="93"/>
      <c r="UNG24" s="93"/>
      <c r="UNH24" s="93"/>
      <c r="UNI24" s="93"/>
      <c r="UNJ24" s="93"/>
      <c r="UNK24" s="93"/>
      <c r="UNL24" s="93"/>
      <c r="UNM24" s="93"/>
      <c r="UNN24" s="93"/>
      <c r="UNO24" s="93"/>
      <c r="UNP24" s="93"/>
      <c r="UNQ24" s="93"/>
      <c r="UNR24" s="93"/>
      <c r="UNS24" s="93"/>
      <c r="UNT24" s="93"/>
      <c r="UNU24" s="93"/>
      <c r="UNV24" s="93"/>
      <c r="UNW24" s="93"/>
      <c r="UNX24" s="93"/>
      <c r="UNY24" s="93"/>
      <c r="UNZ24" s="93"/>
      <c r="UOA24" s="93"/>
      <c r="UOB24" s="93"/>
      <c r="UOC24" s="93"/>
      <c r="UOD24" s="93"/>
      <c r="UOE24" s="93"/>
      <c r="UOF24" s="93"/>
      <c r="UOG24" s="93"/>
      <c r="UOH24" s="93"/>
      <c r="UOI24" s="93"/>
      <c r="UOJ24" s="93"/>
      <c r="UOK24" s="93"/>
      <c r="UOL24" s="93"/>
      <c r="UOM24" s="93"/>
      <c r="UON24" s="93"/>
      <c r="UOO24" s="93"/>
      <c r="UOP24" s="93"/>
      <c r="UOQ24" s="93"/>
      <c r="UOR24" s="93"/>
      <c r="UOS24" s="93"/>
      <c r="UOT24" s="93"/>
      <c r="UOU24" s="93"/>
      <c r="UOV24" s="93"/>
      <c r="UOW24" s="93"/>
      <c r="UOX24" s="93"/>
      <c r="UOY24" s="93"/>
      <c r="UOZ24" s="93"/>
      <c r="UPA24" s="93"/>
      <c r="UPB24" s="93"/>
      <c r="UPC24" s="93"/>
      <c r="UPD24" s="93"/>
      <c r="UPE24" s="93"/>
      <c r="UPF24" s="93"/>
      <c r="UPG24" s="93"/>
      <c r="UPH24" s="93"/>
      <c r="UPI24" s="93"/>
      <c r="UPJ24" s="93"/>
      <c r="UPK24" s="93"/>
      <c r="UPL24" s="93"/>
      <c r="UPM24" s="93"/>
      <c r="UPN24" s="93"/>
      <c r="UPO24" s="93"/>
      <c r="UPP24" s="93"/>
      <c r="UPQ24" s="93"/>
      <c r="UPR24" s="93"/>
      <c r="UPS24" s="93"/>
      <c r="UPT24" s="93"/>
      <c r="UPU24" s="93"/>
      <c r="UPV24" s="93"/>
      <c r="UPW24" s="93"/>
      <c r="UPX24" s="93"/>
      <c r="UPY24" s="93"/>
      <c r="UPZ24" s="93"/>
      <c r="UQA24" s="93"/>
      <c r="UQB24" s="93"/>
      <c r="UQC24" s="93"/>
      <c r="UQD24" s="93"/>
      <c r="UQE24" s="93"/>
      <c r="UQF24" s="93"/>
      <c r="UQG24" s="93"/>
      <c r="UQH24" s="93"/>
      <c r="UQI24" s="93"/>
      <c r="UQJ24" s="93"/>
      <c r="UQK24" s="93"/>
      <c r="UQL24" s="93"/>
      <c r="UQM24" s="93"/>
      <c r="UQN24" s="93"/>
      <c r="UQO24" s="93"/>
      <c r="UQP24" s="93"/>
      <c r="UQQ24" s="93"/>
      <c r="UQR24" s="93"/>
      <c r="UQS24" s="93"/>
      <c r="UQT24" s="93"/>
      <c r="UQU24" s="93"/>
      <c r="UQV24" s="93"/>
      <c r="UQW24" s="93"/>
      <c r="UQX24" s="93"/>
      <c r="UQY24" s="93"/>
      <c r="UQZ24" s="93"/>
      <c r="URA24" s="93"/>
      <c r="URB24" s="93"/>
      <c r="URC24" s="93"/>
      <c r="URD24" s="93"/>
      <c r="URE24" s="93"/>
      <c r="URF24" s="93"/>
      <c r="URG24" s="93"/>
      <c r="URH24" s="93"/>
      <c r="URI24" s="93"/>
      <c r="URJ24" s="93"/>
      <c r="URK24" s="93"/>
      <c r="URL24" s="93"/>
      <c r="URM24" s="93"/>
      <c r="URN24" s="93"/>
      <c r="URO24" s="93"/>
      <c r="URP24" s="93"/>
      <c r="URQ24" s="93"/>
      <c r="URR24" s="93"/>
      <c r="URS24" s="93"/>
      <c r="URT24" s="93"/>
      <c r="URU24" s="93"/>
      <c r="URV24" s="93"/>
      <c r="URW24" s="93"/>
      <c r="URX24" s="93"/>
      <c r="URY24" s="93"/>
      <c r="URZ24" s="93"/>
      <c r="USA24" s="93"/>
      <c r="USB24" s="93"/>
      <c r="USC24" s="93"/>
      <c r="USD24" s="93"/>
      <c r="USE24" s="93"/>
      <c r="USF24" s="93"/>
      <c r="USG24" s="93"/>
      <c r="USH24" s="93"/>
      <c r="USI24" s="93"/>
      <c r="USJ24" s="93"/>
      <c r="USK24" s="93"/>
      <c r="USL24" s="93"/>
      <c r="USM24" s="93"/>
      <c r="USN24" s="93"/>
      <c r="USO24" s="93"/>
      <c r="USP24" s="93"/>
      <c r="USQ24" s="93"/>
      <c r="USR24" s="93"/>
      <c r="USS24" s="93"/>
      <c r="UST24" s="93"/>
      <c r="USU24" s="93"/>
      <c r="USV24" s="93"/>
      <c r="USW24" s="93"/>
      <c r="USX24" s="93"/>
      <c r="USY24" s="93"/>
      <c r="USZ24" s="93"/>
      <c r="UTA24" s="93"/>
      <c r="UTB24" s="93"/>
      <c r="UTC24" s="93"/>
      <c r="UTD24" s="93"/>
      <c r="UTE24" s="93"/>
      <c r="UTF24" s="93"/>
      <c r="UTG24" s="93"/>
      <c r="UTH24" s="93"/>
      <c r="UTI24" s="93"/>
      <c r="UTJ24" s="93"/>
      <c r="UTK24" s="93"/>
      <c r="UTL24" s="93"/>
      <c r="UTM24" s="93"/>
      <c r="UTN24" s="93"/>
      <c r="UTO24" s="93"/>
      <c r="UTP24" s="93"/>
      <c r="UTQ24" s="93"/>
      <c r="UTR24" s="93"/>
      <c r="UTS24" s="93"/>
      <c r="UTT24" s="93"/>
      <c r="UTU24" s="93"/>
      <c r="UTV24" s="93"/>
      <c r="UTW24" s="93"/>
      <c r="UTX24" s="93"/>
      <c r="UTY24" s="93"/>
      <c r="UTZ24" s="93"/>
      <c r="UUA24" s="93"/>
      <c r="UUB24" s="93"/>
      <c r="UUC24" s="93"/>
      <c r="UUD24" s="93"/>
      <c r="UUE24" s="93"/>
      <c r="UUF24" s="93"/>
      <c r="UUG24" s="93"/>
      <c r="UUH24" s="93"/>
      <c r="UUI24" s="93"/>
      <c r="UUJ24" s="93"/>
      <c r="UUK24" s="93"/>
      <c r="UUL24" s="93"/>
      <c r="UUM24" s="93"/>
      <c r="UUN24" s="93"/>
      <c r="UUO24" s="93"/>
      <c r="UUP24" s="93"/>
      <c r="UUQ24" s="93"/>
      <c r="UUR24" s="93"/>
      <c r="UUS24" s="93"/>
      <c r="UUT24" s="93"/>
      <c r="UUU24" s="93"/>
      <c r="UUV24" s="93"/>
      <c r="UUW24" s="93"/>
      <c r="UUX24" s="93"/>
      <c r="UUY24" s="93"/>
      <c r="UUZ24" s="93"/>
      <c r="UVA24" s="93"/>
      <c r="UVB24" s="93"/>
      <c r="UVC24" s="93"/>
      <c r="UVD24" s="93"/>
      <c r="UVE24" s="93"/>
      <c r="UVF24" s="93"/>
      <c r="UVG24" s="93"/>
      <c r="UVH24" s="93"/>
      <c r="UVI24" s="93"/>
      <c r="UVJ24" s="93"/>
      <c r="UVK24" s="93"/>
      <c r="UVL24" s="93"/>
      <c r="UVM24" s="93"/>
      <c r="UVN24" s="93"/>
      <c r="UVO24" s="93"/>
      <c r="UVP24" s="93"/>
      <c r="UVQ24" s="93"/>
      <c r="UVR24" s="93"/>
      <c r="UVS24" s="93"/>
      <c r="UVT24" s="93"/>
      <c r="UVU24" s="93"/>
      <c r="UVV24" s="93"/>
      <c r="UVW24" s="93"/>
      <c r="UVX24" s="93"/>
      <c r="UVY24" s="93"/>
      <c r="UVZ24" s="93"/>
      <c r="UWA24" s="93"/>
      <c r="UWB24" s="93"/>
      <c r="UWC24" s="93"/>
      <c r="UWD24" s="93"/>
      <c r="UWE24" s="93"/>
      <c r="UWF24" s="93"/>
      <c r="UWG24" s="93"/>
      <c r="UWH24" s="93"/>
      <c r="UWI24" s="93"/>
      <c r="UWJ24" s="93"/>
      <c r="UWK24" s="93"/>
      <c r="UWL24" s="93"/>
      <c r="UWM24" s="93"/>
      <c r="UWN24" s="93"/>
      <c r="UWO24" s="93"/>
      <c r="UWP24" s="93"/>
      <c r="UWQ24" s="93"/>
      <c r="UWR24" s="93"/>
      <c r="UWS24" s="93"/>
      <c r="UWT24" s="93"/>
      <c r="UWU24" s="93"/>
      <c r="UWV24" s="93"/>
      <c r="UWW24" s="93"/>
      <c r="UWX24" s="93"/>
      <c r="UWY24" s="93"/>
      <c r="UWZ24" s="93"/>
      <c r="UXA24" s="93"/>
      <c r="UXB24" s="93"/>
      <c r="UXC24" s="93"/>
      <c r="UXD24" s="93"/>
      <c r="UXE24" s="93"/>
      <c r="UXF24" s="93"/>
      <c r="UXG24" s="93"/>
      <c r="UXH24" s="93"/>
      <c r="UXI24" s="93"/>
      <c r="UXJ24" s="93"/>
      <c r="UXK24" s="93"/>
      <c r="UXL24" s="93"/>
      <c r="UXM24" s="93"/>
      <c r="UXN24" s="93"/>
      <c r="UXO24" s="93"/>
      <c r="UXP24" s="93"/>
      <c r="UXQ24" s="93"/>
      <c r="UXR24" s="93"/>
      <c r="UXS24" s="93"/>
      <c r="UXT24" s="93"/>
      <c r="UXU24" s="93"/>
      <c r="UXV24" s="93"/>
      <c r="UXW24" s="93"/>
      <c r="UXX24" s="93"/>
      <c r="UXY24" s="93"/>
      <c r="UXZ24" s="93"/>
      <c r="UYA24" s="93"/>
      <c r="UYB24" s="93"/>
      <c r="UYC24" s="93"/>
      <c r="UYD24" s="93"/>
      <c r="UYE24" s="93"/>
      <c r="UYF24" s="93"/>
      <c r="UYG24" s="93"/>
      <c r="UYH24" s="93"/>
      <c r="UYI24" s="93"/>
      <c r="UYJ24" s="93"/>
      <c r="UYK24" s="93"/>
      <c r="UYL24" s="93"/>
      <c r="UYM24" s="93"/>
      <c r="UYN24" s="93"/>
      <c r="UYO24" s="93"/>
      <c r="UYP24" s="93"/>
      <c r="UYQ24" s="93"/>
      <c r="UYR24" s="93"/>
      <c r="UYS24" s="93"/>
      <c r="UYT24" s="93"/>
      <c r="UYU24" s="93"/>
      <c r="UYV24" s="93"/>
      <c r="UYW24" s="93"/>
      <c r="UYX24" s="93"/>
      <c r="UYY24" s="93"/>
      <c r="UYZ24" s="93"/>
      <c r="UZA24" s="93"/>
      <c r="UZB24" s="93"/>
      <c r="UZC24" s="93"/>
      <c r="UZD24" s="93"/>
      <c r="UZE24" s="93"/>
      <c r="UZF24" s="93"/>
      <c r="UZG24" s="93"/>
      <c r="UZH24" s="93"/>
      <c r="UZI24" s="93"/>
      <c r="UZJ24" s="93"/>
      <c r="UZK24" s="93"/>
      <c r="UZL24" s="93"/>
      <c r="UZM24" s="93"/>
      <c r="UZN24" s="93"/>
      <c r="UZO24" s="93"/>
      <c r="UZP24" s="93"/>
      <c r="UZQ24" s="93"/>
      <c r="UZR24" s="93"/>
      <c r="UZS24" s="93"/>
      <c r="UZT24" s="93"/>
      <c r="UZU24" s="93"/>
      <c r="UZV24" s="93"/>
      <c r="UZW24" s="93"/>
      <c r="UZX24" s="93"/>
      <c r="UZY24" s="93"/>
      <c r="UZZ24" s="93"/>
      <c r="VAA24" s="93"/>
      <c r="VAB24" s="93"/>
      <c r="VAC24" s="93"/>
      <c r="VAD24" s="93"/>
      <c r="VAE24" s="93"/>
      <c r="VAF24" s="93"/>
      <c r="VAG24" s="93"/>
      <c r="VAH24" s="93"/>
      <c r="VAI24" s="93"/>
      <c r="VAJ24" s="93"/>
      <c r="VAK24" s="93"/>
      <c r="VAL24" s="93"/>
      <c r="VAM24" s="93"/>
      <c r="VAN24" s="93"/>
      <c r="VAO24" s="93"/>
      <c r="VAP24" s="93"/>
      <c r="VAQ24" s="93"/>
      <c r="VAR24" s="93"/>
      <c r="VAS24" s="93"/>
      <c r="VAT24" s="93"/>
      <c r="VAU24" s="93"/>
      <c r="VAV24" s="93"/>
      <c r="VAW24" s="93"/>
      <c r="VAX24" s="93"/>
      <c r="VAY24" s="93"/>
      <c r="VAZ24" s="93"/>
      <c r="VBA24" s="93"/>
      <c r="VBB24" s="93"/>
      <c r="VBC24" s="93"/>
      <c r="VBD24" s="93"/>
      <c r="VBE24" s="93"/>
      <c r="VBF24" s="93"/>
      <c r="VBG24" s="93"/>
      <c r="VBH24" s="93"/>
      <c r="VBI24" s="93"/>
      <c r="VBJ24" s="93"/>
      <c r="VBK24" s="93"/>
      <c r="VBL24" s="93"/>
      <c r="VBM24" s="93"/>
      <c r="VBN24" s="93"/>
      <c r="VBO24" s="93"/>
      <c r="VBP24" s="93"/>
      <c r="VBQ24" s="93"/>
      <c r="VBR24" s="93"/>
      <c r="VBS24" s="93"/>
      <c r="VBT24" s="93"/>
      <c r="VBU24" s="93"/>
      <c r="VBV24" s="93"/>
      <c r="VBW24" s="93"/>
      <c r="VBX24" s="93"/>
      <c r="VBY24" s="93"/>
      <c r="VBZ24" s="93"/>
      <c r="VCA24" s="93"/>
      <c r="VCB24" s="93"/>
      <c r="VCC24" s="93"/>
      <c r="VCD24" s="93"/>
      <c r="VCE24" s="93"/>
      <c r="VCF24" s="93"/>
      <c r="VCG24" s="93"/>
      <c r="VCH24" s="93"/>
      <c r="VCI24" s="93"/>
      <c r="VCJ24" s="93"/>
      <c r="VCK24" s="93"/>
      <c r="VCL24" s="93"/>
      <c r="VCM24" s="93"/>
      <c r="VCN24" s="93"/>
      <c r="VCO24" s="93"/>
      <c r="VCP24" s="93"/>
      <c r="VCQ24" s="93"/>
      <c r="VCR24" s="93"/>
      <c r="VCS24" s="93"/>
      <c r="VCT24" s="93"/>
      <c r="VCU24" s="93"/>
      <c r="VCV24" s="93"/>
      <c r="VCW24" s="93"/>
      <c r="VCX24" s="93"/>
      <c r="VCY24" s="93"/>
      <c r="VCZ24" s="93"/>
      <c r="VDA24" s="93"/>
      <c r="VDB24" s="93"/>
      <c r="VDC24" s="93"/>
      <c r="VDD24" s="93"/>
      <c r="VDE24" s="93"/>
      <c r="VDF24" s="93"/>
      <c r="VDG24" s="93"/>
      <c r="VDH24" s="93"/>
      <c r="VDI24" s="93"/>
      <c r="VDJ24" s="93"/>
      <c r="VDK24" s="93"/>
      <c r="VDL24" s="93"/>
      <c r="VDM24" s="93"/>
      <c r="VDN24" s="93"/>
      <c r="VDO24" s="93"/>
      <c r="VDP24" s="93"/>
      <c r="VDQ24" s="93"/>
      <c r="VDR24" s="93"/>
      <c r="VDS24" s="93"/>
      <c r="VDT24" s="93"/>
      <c r="VDU24" s="93"/>
      <c r="VDV24" s="93"/>
      <c r="VDW24" s="93"/>
      <c r="VDX24" s="93"/>
      <c r="VDY24" s="93"/>
      <c r="VDZ24" s="93"/>
      <c r="VEA24" s="93"/>
      <c r="VEB24" s="93"/>
      <c r="VEC24" s="93"/>
      <c r="VED24" s="93"/>
      <c r="VEE24" s="93"/>
      <c r="VEF24" s="93"/>
      <c r="VEG24" s="93"/>
      <c r="VEH24" s="93"/>
      <c r="VEI24" s="93"/>
      <c r="VEJ24" s="93"/>
      <c r="VEK24" s="93"/>
      <c r="VEL24" s="93"/>
      <c r="VEM24" s="93"/>
      <c r="VEN24" s="93"/>
      <c r="VEO24" s="93"/>
      <c r="VEP24" s="93"/>
      <c r="VEQ24" s="93"/>
      <c r="VER24" s="93"/>
      <c r="VES24" s="93"/>
      <c r="VET24" s="93"/>
      <c r="VEU24" s="93"/>
      <c r="VEV24" s="93"/>
      <c r="VEW24" s="93"/>
      <c r="VEX24" s="93"/>
      <c r="VEY24" s="93"/>
      <c r="VEZ24" s="93"/>
      <c r="VFA24" s="93"/>
      <c r="VFB24" s="93"/>
      <c r="VFC24" s="93"/>
      <c r="VFD24" s="93"/>
      <c r="VFE24" s="93"/>
      <c r="VFF24" s="93"/>
      <c r="VFG24" s="93"/>
      <c r="VFH24" s="93"/>
      <c r="VFI24" s="93"/>
      <c r="VFJ24" s="93"/>
      <c r="VFK24" s="93"/>
      <c r="VFL24" s="93"/>
      <c r="VFM24" s="93"/>
      <c r="VFN24" s="93"/>
      <c r="VFO24" s="93"/>
      <c r="VFP24" s="93"/>
      <c r="VFQ24" s="93"/>
      <c r="VFR24" s="93"/>
      <c r="VFS24" s="93"/>
      <c r="VFT24" s="93"/>
      <c r="VFU24" s="93"/>
      <c r="VFV24" s="93"/>
      <c r="VFW24" s="93"/>
      <c r="VFX24" s="93"/>
      <c r="VFY24" s="93"/>
      <c r="VFZ24" s="93"/>
      <c r="VGA24" s="93"/>
      <c r="VGB24" s="93"/>
      <c r="VGC24" s="93"/>
      <c r="VGD24" s="93"/>
      <c r="VGE24" s="93"/>
      <c r="VGF24" s="93"/>
      <c r="VGG24" s="93"/>
      <c r="VGH24" s="93"/>
      <c r="VGI24" s="93"/>
      <c r="VGJ24" s="93"/>
      <c r="VGK24" s="93"/>
      <c r="VGL24" s="93"/>
      <c r="VGM24" s="93"/>
      <c r="VGN24" s="93"/>
      <c r="VGO24" s="93"/>
      <c r="VGP24" s="93"/>
      <c r="VGQ24" s="93"/>
      <c r="VGR24" s="93"/>
      <c r="VGS24" s="93"/>
      <c r="VGT24" s="93"/>
      <c r="VGU24" s="93"/>
      <c r="VGV24" s="93"/>
      <c r="VGW24" s="93"/>
      <c r="VGX24" s="93"/>
      <c r="VGY24" s="93"/>
      <c r="VGZ24" s="93"/>
      <c r="VHA24" s="93"/>
      <c r="VHB24" s="93"/>
      <c r="VHC24" s="93"/>
      <c r="VHD24" s="93"/>
      <c r="VHE24" s="93"/>
      <c r="VHF24" s="93"/>
      <c r="VHG24" s="93"/>
      <c r="VHH24" s="93"/>
      <c r="VHI24" s="93"/>
      <c r="VHJ24" s="93"/>
      <c r="VHK24" s="93"/>
      <c r="VHL24" s="93"/>
      <c r="VHM24" s="93"/>
      <c r="VHN24" s="93"/>
      <c r="VHO24" s="93"/>
      <c r="VHP24" s="93"/>
      <c r="VHQ24" s="93"/>
      <c r="VHR24" s="93"/>
      <c r="VHS24" s="93"/>
      <c r="VHT24" s="93"/>
      <c r="VHU24" s="93"/>
      <c r="VHV24" s="93"/>
      <c r="VHW24" s="93"/>
      <c r="VHX24" s="93"/>
      <c r="VHY24" s="93"/>
      <c r="VHZ24" s="93"/>
      <c r="VIA24" s="93"/>
      <c r="VIB24" s="93"/>
      <c r="VIC24" s="93"/>
      <c r="VID24" s="93"/>
      <c r="VIE24" s="93"/>
      <c r="VIF24" s="93"/>
      <c r="VIG24" s="93"/>
      <c r="VIH24" s="93"/>
      <c r="VII24" s="93"/>
      <c r="VIJ24" s="93"/>
      <c r="VIK24" s="93"/>
      <c r="VIL24" s="93"/>
      <c r="VIM24" s="93"/>
      <c r="VIN24" s="93"/>
      <c r="VIO24" s="93"/>
      <c r="VIP24" s="93"/>
      <c r="VIQ24" s="93"/>
      <c r="VIR24" s="93"/>
      <c r="VIS24" s="93"/>
      <c r="VIT24" s="93"/>
      <c r="VIU24" s="93"/>
      <c r="VIV24" s="93"/>
      <c r="VIW24" s="93"/>
      <c r="VIX24" s="93"/>
      <c r="VIY24" s="93"/>
      <c r="VIZ24" s="93"/>
      <c r="VJA24" s="93"/>
      <c r="VJB24" s="93"/>
      <c r="VJC24" s="93"/>
      <c r="VJD24" s="93"/>
      <c r="VJE24" s="93"/>
      <c r="VJF24" s="93"/>
      <c r="VJG24" s="93"/>
      <c r="VJH24" s="93"/>
      <c r="VJI24" s="93"/>
      <c r="VJJ24" s="93"/>
      <c r="VJK24" s="93"/>
      <c r="VJL24" s="93"/>
      <c r="VJM24" s="93"/>
      <c r="VJN24" s="93"/>
      <c r="VJO24" s="93"/>
      <c r="VJP24" s="93"/>
      <c r="VJQ24" s="93"/>
      <c r="VJR24" s="93"/>
      <c r="VJS24" s="93"/>
      <c r="VJT24" s="93"/>
      <c r="VJU24" s="93"/>
      <c r="VJV24" s="93"/>
      <c r="VJW24" s="93"/>
      <c r="VJX24" s="93"/>
      <c r="VJY24" s="93"/>
      <c r="VJZ24" s="93"/>
      <c r="VKA24" s="93"/>
      <c r="VKB24" s="93"/>
      <c r="VKC24" s="93"/>
      <c r="VKD24" s="93"/>
      <c r="VKE24" s="93"/>
      <c r="VKF24" s="93"/>
      <c r="VKG24" s="93"/>
      <c r="VKH24" s="93"/>
      <c r="VKI24" s="93"/>
      <c r="VKJ24" s="93"/>
      <c r="VKK24" s="93"/>
      <c r="VKL24" s="93"/>
      <c r="VKM24" s="93"/>
      <c r="VKN24" s="93"/>
      <c r="VKO24" s="93"/>
      <c r="VKP24" s="93"/>
      <c r="VKQ24" s="93"/>
      <c r="VKR24" s="93"/>
      <c r="VKS24" s="93"/>
      <c r="VKT24" s="93"/>
      <c r="VKU24" s="93"/>
      <c r="VKV24" s="93"/>
      <c r="VKW24" s="93"/>
      <c r="VKX24" s="93"/>
      <c r="VKY24" s="93"/>
      <c r="VKZ24" s="93"/>
      <c r="VLA24" s="93"/>
      <c r="VLB24" s="93"/>
      <c r="VLC24" s="93"/>
      <c r="VLD24" s="93"/>
      <c r="VLE24" s="93"/>
      <c r="VLF24" s="93"/>
      <c r="VLG24" s="93"/>
      <c r="VLH24" s="93"/>
      <c r="VLI24" s="93"/>
      <c r="VLJ24" s="93"/>
      <c r="VLK24" s="93"/>
      <c r="VLL24" s="93"/>
      <c r="VLM24" s="93"/>
      <c r="VLN24" s="93"/>
      <c r="VLO24" s="93"/>
      <c r="VLP24" s="93"/>
      <c r="VLQ24" s="93"/>
      <c r="VLR24" s="93"/>
      <c r="VLS24" s="93"/>
      <c r="VLT24" s="93"/>
      <c r="VLU24" s="93"/>
      <c r="VLV24" s="93"/>
      <c r="VLW24" s="93"/>
      <c r="VLX24" s="93"/>
      <c r="VLY24" s="93"/>
      <c r="VLZ24" s="93"/>
      <c r="VMA24" s="93"/>
      <c r="VMB24" s="93"/>
      <c r="VMC24" s="93"/>
      <c r="VMD24" s="93"/>
      <c r="VME24" s="93"/>
      <c r="VMF24" s="93"/>
      <c r="VMG24" s="93"/>
      <c r="VMH24" s="93"/>
      <c r="VMI24" s="93"/>
      <c r="VMJ24" s="93"/>
      <c r="VMK24" s="93"/>
      <c r="VML24" s="93"/>
      <c r="VMM24" s="93"/>
      <c r="VMN24" s="93"/>
      <c r="VMO24" s="93"/>
      <c r="VMP24" s="93"/>
      <c r="VMQ24" s="93"/>
      <c r="VMR24" s="93"/>
      <c r="VMS24" s="93"/>
      <c r="VMT24" s="93"/>
      <c r="VMU24" s="93"/>
      <c r="VMV24" s="93"/>
      <c r="VMW24" s="93"/>
      <c r="VMX24" s="93"/>
      <c r="VMY24" s="93"/>
      <c r="VMZ24" s="93"/>
      <c r="VNA24" s="93"/>
      <c r="VNB24" s="93"/>
      <c r="VNC24" s="93"/>
      <c r="VND24" s="93"/>
      <c r="VNE24" s="93"/>
      <c r="VNF24" s="93"/>
      <c r="VNG24" s="93"/>
      <c r="VNH24" s="93"/>
      <c r="VNI24" s="93"/>
      <c r="VNJ24" s="93"/>
      <c r="VNK24" s="93"/>
      <c r="VNL24" s="93"/>
      <c r="VNM24" s="93"/>
      <c r="VNN24" s="93"/>
      <c r="VNO24" s="93"/>
      <c r="VNP24" s="93"/>
      <c r="VNQ24" s="93"/>
      <c r="VNR24" s="93"/>
      <c r="VNS24" s="93"/>
      <c r="VNT24" s="93"/>
      <c r="VNU24" s="93"/>
      <c r="VNV24" s="93"/>
      <c r="VNW24" s="93"/>
      <c r="VNX24" s="93"/>
      <c r="VNY24" s="93"/>
      <c r="VNZ24" s="93"/>
      <c r="VOA24" s="93"/>
      <c r="VOB24" s="93"/>
      <c r="VOC24" s="93"/>
      <c r="VOD24" s="93"/>
      <c r="VOE24" s="93"/>
      <c r="VOF24" s="93"/>
      <c r="VOG24" s="93"/>
      <c r="VOH24" s="93"/>
      <c r="VOI24" s="93"/>
      <c r="VOJ24" s="93"/>
      <c r="VOK24" s="93"/>
      <c r="VOL24" s="93"/>
      <c r="VOM24" s="93"/>
      <c r="VON24" s="93"/>
      <c r="VOO24" s="93"/>
      <c r="VOP24" s="93"/>
      <c r="VOQ24" s="93"/>
      <c r="VOR24" s="93"/>
      <c r="VOS24" s="93"/>
      <c r="VOT24" s="93"/>
      <c r="VOU24" s="93"/>
      <c r="VOV24" s="93"/>
      <c r="VOW24" s="93"/>
      <c r="VOX24" s="93"/>
      <c r="VOY24" s="93"/>
      <c r="VOZ24" s="93"/>
      <c r="VPA24" s="93"/>
      <c r="VPB24" s="93"/>
      <c r="VPC24" s="93"/>
      <c r="VPD24" s="93"/>
      <c r="VPE24" s="93"/>
      <c r="VPF24" s="93"/>
      <c r="VPG24" s="93"/>
      <c r="VPH24" s="93"/>
      <c r="VPI24" s="93"/>
      <c r="VPJ24" s="93"/>
      <c r="VPK24" s="93"/>
      <c r="VPL24" s="93"/>
      <c r="VPM24" s="93"/>
      <c r="VPN24" s="93"/>
      <c r="VPO24" s="93"/>
      <c r="VPP24" s="93"/>
      <c r="VPQ24" s="93"/>
      <c r="VPR24" s="93"/>
      <c r="VPS24" s="93"/>
      <c r="VPT24" s="93"/>
      <c r="VPU24" s="93"/>
      <c r="VPV24" s="93"/>
      <c r="VPW24" s="93"/>
      <c r="VPX24" s="93"/>
      <c r="VPY24" s="93"/>
      <c r="VPZ24" s="93"/>
      <c r="VQA24" s="93"/>
      <c r="VQB24" s="93"/>
      <c r="VQC24" s="93"/>
      <c r="VQD24" s="93"/>
      <c r="VQE24" s="93"/>
      <c r="VQF24" s="93"/>
      <c r="VQG24" s="93"/>
      <c r="VQH24" s="93"/>
      <c r="VQI24" s="93"/>
      <c r="VQJ24" s="93"/>
      <c r="VQK24" s="93"/>
      <c r="VQL24" s="93"/>
      <c r="VQM24" s="93"/>
      <c r="VQN24" s="93"/>
      <c r="VQO24" s="93"/>
      <c r="VQP24" s="93"/>
      <c r="VQQ24" s="93"/>
      <c r="VQR24" s="93"/>
      <c r="VQS24" s="93"/>
      <c r="VQT24" s="93"/>
      <c r="VQU24" s="93"/>
      <c r="VQV24" s="93"/>
      <c r="VQW24" s="93"/>
      <c r="VQX24" s="93"/>
      <c r="VQY24" s="93"/>
      <c r="VQZ24" s="93"/>
      <c r="VRA24" s="93"/>
      <c r="VRB24" s="93"/>
      <c r="VRC24" s="93"/>
      <c r="VRD24" s="93"/>
      <c r="VRE24" s="93"/>
      <c r="VRF24" s="93"/>
      <c r="VRG24" s="93"/>
      <c r="VRH24" s="93"/>
      <c r="VRI24" s="93"/>
      <c r="VRJ24" s="93"/>
      <c r="VRK24" s="93"/>
      <c r="VRL24" s="93"/>
      <c r="VRM24" s="93"/>
      <c r="VRN24" s="93"/>
      <c r="VRO24" s="93"/>
      <c r="VRP24" s="93"/>
      <c r="VRQ24" s="93"/>
      <c r="VRR24" s="93"/>
      <c r="VRS24" s="93"/>
      <c r="VRT24" s="93"/>
      <c r="VRU24" s="93"/>
      <c r="VRV24" s="93"/>
      <c r="VRW24" s="93"/>
      <c r="VRX24" s="93"/>
      <c r="VRY24" s="93"/>
      <c r="VRZ24" s="93"/>
      <c r="VSA24" s="93"/>
      <c r="VSB24" s="93"/>
      <c r="VSC24" s="93"/>
      <c r="VSD24" s="93"/>
      <c r="VSE24" s="93"/>
      <c r="VSF24" s="93"/>
      <c r="VSG24" s="93"/>
      <c r="VSH24" s="93"/>
      <c r="VSI24" s="93"/>
      <c r="VSJ24" s="93"/>
      <c r="VSK24" s="93"/>
      <c r="VSL24" s="93"/>
      <c r="VSM24" s="93"/>
      <c r="VSN24" s="93"/>
      <c r="VSO24" s="93"/>
      <c r="VSP24" s="93"/>
      <c r="VSQ24" s="93"/>
      <c r="VSR24" s="93"/>
      <c r="VSS24" s="93"/>
      <c r="VST24" s="93"/>
      <c r="VSU24" s="93"/>
      <c r="VSV24" s="93"/>
      <c r="VSW24" s="93"/>
      <c r="VSX24" s="93"/>
      <c r="VSY24" s="93"/>
      <c r="VSZ24" s="93"/>
      <c r="VTA24" s="93"/>
      <c r="VTB24" s="93"/>
      <c r="VTC24" s="93"/>
      <c r="VTD24" s="93"/>
      <c r="VTE24" s="93"/>
      <c r="VTF24" s="93"/>
      <c r="VTG24" s="93"/>
      <c r="VTH24" s="93"/>
      <c r="VTI24" s="93"/>
      <c r="VTJ24" s="93"/>
      <c r="VTK24" s="93"/>
      <c r="VTL24" s="93"/>
      <c r="VTM24" s="93"/>
      <c r="VTN24" s="93"/>
      <c r="VTO24" s="93"/>
      <c r="VTP24" s="93"/>
      <c r="VTQ24" s="93"/>
      <c r="VTR24" s="93"/>
      <c r="VTS24" s="93"/>
      <c r="VTT24" s="93"/>
      <c r="VTU24" s="93"/>
      <c r="VTV24" s="93"/>
      <c r="VTW24" s="93"/>
      <c r="VTX24" s="93"/>
      <c r="VTY24" s="93"/>
      <c r="VTZ24" s="93"/>
      <c r="VUA24" s="93"/>
      <c r="VUB24" s="93"/>
      <c r="VUC24" s="93"/>
      <c r="VUD24" s="93"/>
      <c r="VUE24" s="93"/>
      <c r="VUF24" s="93"/>
      <c r="VUG24" s="93"/>
      <c r="VUH24" s="93"/>
      <c r="VUI24" s="93"/>
      <c r="VUJ24" s="93"/>
      <c r="VUK24" s="93"/>
      <c r="VUL24" s="93"/>
      <c r="VUM24" s="93"/>
      <c r="VUN24" s="93"/>
      <c r="VUO24" s="93"/>
      <c r="VUP24" s="93"/>
      <c r="VUQ24" s="93"/>
      <c r="VUR24" s="93"/>
      <c r="VUS24" s="93"/>
      <c r="VUT24" s="93"/>
      <c r="VUU24" s="93"/>
      <c r="VUV24" s="93"/>
      <c r="VUW24" s="93"/>
      <c r="VUX24" s="93"/>
      <c r="VUY24" s="93"/>
      <c r="VUZ24" s="93"/>
      <c r="VVA24" s="93"/>
      <c r="VVB24" s="93"/>
      <c r="VVC24" s="93"/>
      <c r="VVD24" s="93"/>
      <c r="VVE24" s="93"/>
      <c r="VVF24" s="93"/>
      <c r="VVG24" s="93"/>
      <c r="VVH24" s="93"/>
      <c r="VVI24" s="93"/>
      <c r="VVJ24" s="93"/>
      <c r="VVK24" s="93"/>
      <c r="VVL24" s="93"/>
      <c r="VVM24" s="93"/>
      <c r="VVN24" s="93"/>
      <c r="VVO24" s="93"/>
      <c r="VVP24" s="93"/>
      <c r="VVQ24" s="93"/>
      <c r="VVR24" s="93"/>
      <c r="VVS24" s="93"/>
      <c r="VVT24" s="93"/>
      <c r="VVU24" s="93"/>
      <c r="VVV24" s="93"/>
      <c r="VVW24" s="93"/>
      <c r="VVX24" s="93"/>
      <c r="VVY24" s="93"/>
      <c r="VVZ24" s="93"/>
      <c r="VWA24" s="93"/>
      <c r="VWB24" s="93"/>
      <c r="VWC24" s="93"/>
      <c r="VWD24" s="93"/>
      <c r="VWE24" s="93"/>
      <c r="VWF24" s="93"/>
      <c r="VWG24" s="93"/>
      <c r="VWH24" s="93"/>
      <c r="VWI24" s="93"/>
      <c r="VWJ24" s="93"/>
      <c r="VWK24" s="93"/>
      <c r="VWL24" s="93"/>
      <c r="VWM24" s="93"/>
      <c r="VWN24" s="93"/>
      <c r="VWO24" s="93"/>
      <c r="VWP24" s="93"/>
      <c r="VWQ24" s="93"/>
      <c r="VWR24" s="93"/>
      <c r="VWS24" s="93"/>
      <c r="VWT24" s="93"/>
      <c r="VWU24" s="93"/>
      <c r="VWV24" s="93"/>
      <c r="VWW24" s="93"/>
      <c r="VWX24" s="93"/>
      <c r="VWY24" s="93"/>
      <c r="VWZ24" s="93"/>
      <c r="VXA24" s="93"/>
      <c r="VXB24" s="93"/>
      <c r="VXC24" s="93"/>
      <c r="VXD24" s="93"/>
      <c r="VXE24" s="93"/>
      <c r="VXF24" s="93"/>
      <c r="VXG24" s="93"/>
      <c r="VXH24" s="93"/>
      <c r="VXI24" s="93"/>
      <c r="VXJ24" s="93"/>
      <c r="VXK24" s="93"/>
      <c r="VXL24" s="93"/>
      <c r="VXM24" s="93"/>
      <c r="VXN24" s="93"/>
      <c r="VXO24" s="93"/>
      <c r="VXP24" s="93"/>
      <c r="VXQ24" s="93"/>
      <c r="VXR24" s="93"/>
      <c r="VXS24" s="93"/>
      <c r="VXT24" s="93"/>
      <c r="VXU24" s="93"/>
      <c r="VXV24" s="93"/>
      <c r="VXW24" s="93"/>
      <c r="VXX24" s="93"/>
      <c r="VXY24" s="93"/>
      <c r="VXZ24" s="93"/>
      <c r="VYA24" s="93"/>
      <c r="VYB24" s="93"/>
      <c r="VYC24" s="93"/>
      <c r="VYD24" s="93"/>
      <c r="VYE24" s="93"/>
      <c r="VYF24" s="93"/>
      <c r="VYG24" s="93"/>
      <c r="VYH24" s="93"/>
      <c r="VYI24" s="93"/>
      <c r="VYJ24" s="93"/>
      <c r="VYK24" s="93"/>
      <c r="VYL24" s="93"/>
      <c r="VYM24" s="93"/>
      <c r="VYN24" s="93"/>
      <c r="VYO24" s="93"/>
      <c r="VYP24" s="93"/>
      <c r="VYQ24" s="93"/>
      <c r="VYR24" s="93"/>
      <c r="VYS24" s="93"/>
      <c r="VYT24" s="93"/>
      <c r="VYU24" s="93"/>
      <c r="VYV24" s="93"/>
      <c r="VYW24" s="93"/>
      <c r="VYX24" s="93"/>
      <c r="VYY24" s="93"/>
      <c r="VYZ24" s="93"/>
      <c r="VZA24" s="93"/>
      <c r="VZB24" s="93"/>
      <c r="VZC24" s="93"/>
      <c r="VZD24" s="93"/>
      <c r="VZE24" s="93"/>
      <c r="VZF24" s="93"/>
      <c r="VZG24" s="93"/>
      <c r="VZH24" s="93"/>
      <c r="VZI24" s="93"/>
      <c r="VZJ24" s="93"/>
      <c r="VZK24" s="93"/>
      <c r="VZL24" s="93"/>
      <c r="VZM24" s="93"/>
      <c r="VZN24" s="93"/>
      <c r="VZO24" s="93"/>
      <c r="VZP24" s="93"/>
      <c r="VZQ24" s="93"/>
      <c r="VZR24" s="93"/>
      <c r="VZS24" s="93"/>
      <c r="VZT24" s="93"/>
      <c r="VZU24" s="93"/>
      <c r="VZV24" s="93"/>
      <c r="VZW24" s="93"/>
      <c r="VZX24" s="93"/>
      <c r="VZY24" s="93"/>
      <c r="VZZ24" s="93"/>
      <c r="WAA24" s="93"/>
      <c r="WAB24" s="93"/>
      <c r="WAC24" s="93"/>
      <c r="WAD24" s="93"/>
      <c r="WAE24" s="93"/>
      <c r="WAF24" s="93"/>
      <c r="WAG24" s="93"/>
      <c r="WAH24" s="93"/>
      <c r="WAI24" s="93"/>
      <c r="WAJ24" s="93"/>
      <c r="WAK24" s="93"/>
      <c r="WAL24" s="93"/>
      <c r="WAM24" s="93"/>
      <c r="WAN24" s="93"/>
      <c r="WAO24" s="93"/>
      <c r="WAP24" s="93"/>
      <c r="WAQ24" s="93"/>
      <c r="WAR24" s="93"/>
      <c r="WAS24" s="93"/>
      <c r="WAT24" s="93"/>
      <c r="WAU24" s="93"/>
      <c r="WAV24" s="93"/>
      <c r="WAW24" s="93"/>
      <c r="WAX24" s="93"/>
      <c r="WAY24" s="93"/>
      <c r="WAZ24" s="93"/>
      <c r="WBA24" s="93"/>
      <c r="WBB24" s="93"/>
      <c r="WBC24" s="93"/>
      <c r="WBD24" s="93"/>
      <c r="WBE24" s="93"/>
      <c r="WBF24" s="93"/>
      <c r="WBG24" s="93"/>
      <c r="WBH24" s="93"/>
      <c r="WBI24" s="93"/>
      <c r="WBJ24" s="93"/>
      <c r="WBK24" s="93"/>
      <c r="WBL24" s="93"/>
      <c r="WBM24" s="93"/>
      <c r="WBN24" s="93"/>
      <c r="WBO24" s="93"/>
      <c r="WBP24" s="93"/>
      <c r="WBQ24" s="93"/>
      <c r="WBR24" s="93"/>
      <c r="WBS24" s="93"/>
      <c r="WBT24" s="93"/>
      <c r="WBU24" s="93"/>
      <c r="WBV24" s="93"/>
      <c r="WBW24" s="93"/>
      <c r="WBX24" s="93"/>
      <c r="WBY24" s="93"/>
      <c r="WBZ24" s="93"/>
      <c r="WCA24" s="93"/>
      <c r="WCB24" s="93"/>
      <c r="WCC24" s="93"/>
      <c r="WCD24" s="93"/>
      <c r="WCE24" s="93"/>
      <c r="WCF24" s="93"/>
      <c r="WCG24" s="93"/>
      <c r="WCH24" s="93"/>
      <c r="WCI24" s="93"/>
      <c r="WCJ24" s="93"/>
      <c r="WCK24" s="93"/>
      <c r="WCL24" s="93"/>
      <c r="WCM24" s="93"/>
      <c r="WCN24" s="93"/>
      <c r="WCO24" s="93"/>
      <c r="WCP24" s="93"/>
      <c r="WCQ24" s="93"/>
      <c r="WCR24" s="93"/>
      <c r="WCS24" s="93"/>
      <c r="WCT24" s="93"/>
      <c r="WCU24" s="93"/>
      <c r="WCV24" s="93"/>
      <c r="WCW24" s="93"/>
      <c r="WCX24" s="93"/>
      <c r="WCY24" s="93"/>
      <c r="WCZ24" s="93"/>
      <c r="WDA24" s="93"/>
      <c r="WDB24" s="93"/>
      <c r="WDC24" s="93"/>
      <c r="WDD24" s="93"/>
      <c r="WDE24" s="93"/>
      <c r="WDF24" s="93"/>
      <c r="WDG24" s="93"/>
      <c r="WDH24" s="93"/>
      <c r="WDI24" s="93"/>
      <c r="WDJ24" s="93"/>
      <c r="WDK24" s="93"/>
      <c r="WDL24" s="93"/>
      <c r="WDM24" s="93"/>
      <c r="WDN24" s="93"/>
      <c r="WDO24" s="93"/>
      <c r="WDP24" s="93"/>
      <c r="WDQ24" s="93"/>
      <c r="WDR24" s="93"/>
      <c r="WDS24" s="93"/>
      <c r="WDT24" s="93"/>
      <c r="WDU24" s="93"/>
      <c r="WDV24" s="93"/>
      <c r="WDW24" s="93"/>
      <c r="WDX24" s="93"/>
      <c r="WDY24" s="93"/>
      <c r="WDZ24" s="93"/>
      <c r="WEA24" s="93"/>
      <c r="WEB24" s="93"/>
      <c r="WEC24" s="93"/>
      <c r="WED24" s="93"/>
      <c r="WEE24" s="93"/>
      <c r="WEF24" s="93"/>
      <c r="WEG24" s="93"/>
      <c r="WEH24" s="93"/>
      <c r="WEI24" s="93"/>
      <c r="WEJ24" s="93"/>
      <c r="WEK24" s="93"/>
      <c r="WEL24" s="93"/>
      <c r="WEM24" s="93"/>
      <c r="WEN24" s="93"/>
      <c r="WEO24" s="93"/>
      <c r="WEP24" s="93"/>
      <c r="WEQ24" s="93"/>
      <c r="WER24" s="93"/>
      <c r="WES24" s="93"/>
      <c r="WET24" s="93"/>
      <c r="WEU24" s="93"/>
      <c r="WEV24" s="93"/>
      <c r="WEW24" s="93"/>
      <c r="WEX24" s="93"/>
      <c r="WEY24" s="93"/>
      <c r="WEZ24" s="93"/>
      <c r="WFA24" s="93"/>
      <c r="WFB24" s="93"/>
      <c r="WFC24" s="93"/>
      <c r="WFD24" s="93"/>
      <c r="WFE24" s="93"/>
      <c r="WFF24" s="93"/>
      <c r="WFG24" s="93"/>
      <c r="WFH24" s="93"/>
      <c r="WFI24" s="93"/>
      <c r="WFJ24" s="93"/>
      <c r="WFK24" s="93"/>
      <c r="WFL24" s="93"/>
      <c r="WFM24" s="93"/>
      <c r="WFN24" s="93"/>
      <c r="WFO24" s="93"/>
      <c r="WFP24" s="93"/>
      <c r="WFQ24" s="93"/>
      <c r="WFR24" s="93"/>
      <c r="WFS24" s="93"/>
      <c r="WFT24" s="93"/>
      <c r="WFU24" s="93"/>
      <c r="WFV24" s="93"/>
      <c r="WFW24" s="93"/>
      <c r="WFX24" s="93"/>
      <c r="WFY24" s="93"/>
      <c r="WFZ24" s="93"/>
      <c r="WGA24" s="93"/>
      <c r="WGB24" s="93"/>
      <c r="WGC24" s="93"/>
      <c r="WGD24" s="93"/>
      <c r="WGE24" s="93"/>
      <c r="WGF24" s="93"/>
      <c r="WGG24" s="93"/>
      <c r="WGH24" s="93"/>
      <c r="WGI24" s="93"/>
      <c r="WGJ24" s="93"/>
      <c r="WGK24" s="93"/>
      <c r="WGL24" s="93"/>
      <c r="WGM24" s="93"/>
      <c r="WGN24" s="93"/>
      <c r="WGO24" s="93"/>
      <c r="WGP24" s="93"/>
      <c r="WGQ24" s="93"/>
      <c r="WGR24" s="93"/>
      <c r="WGS24" s="93"/>
      <c r="WGT24" s="93"/>
      <c r="WGU24" s="93"/>
      <c r="WGV24" s="93"/>
      <c r="WGW24" s="93"/>
      <c r="WGX24" s="93"/>
      <c r="WGY24" s="93"/>
      <c r="WGZ24" s="93"/>
      <c r="WHA24" s="93"/>
      <c r="WHB24" s="93"/>
      <c r="WHC24" s="93"/>
      <c r="WHD24" s="93"/>
      <c r="WHE24" s="93"/>
      <c r="WHF24" s="93"/>
      <c r="WHG24" s="93"/>
      <c r="WHH24" s="93"/>
      <c r="WHI24" s="93"/>
      <c r="WHJ24" s="93"/>
      <c r="WHK24" s="93"/>
      <c r="WHL24" s="93"/>
      <c r="WHM24" s="93"/>
      <c r="WHN24" s="93"/>
      <c r="WHO24" s="93"/>
      <c r="WHP24" s="93"/>
      <c r="WHQ24" s="93"/>
      <c r="WHR24" s="93"/>
      <c r="WHS24" s="93"/>
      <c r="WHT24" s="93"/>
      <c r="WHU24" s="93"/>
      <c r="WHV24" s="93"/>
      <c r="WHW24" s="93"/>
      <c r="WHX24" s="93"/>
      <c r="WHY24" s="93"/>
      <c r="WHZ24" s="93"/>
      <c r="WIA24" s="93"/>
      <c r="WIB24" s="93"/>
      <c r="WIC24" s="93"/>
      <c r="WID24" s="93"/>
      <c r="WIE24" s="93"/>
      <c r="WIF24" s="93"/>
      <c r="WIG24" s="93"/>
      <c r="WIH24" s="93"/>
      <c r="WII24" s="93"/>
      <c r="WIJ24" s="93"/>
      <c r="WIK24" s="93"/>
      <c r="WIL24" s="93"/>
      <c r="WIM24" s="93"/>
      <c r="WIN24" s="93"/>
      <c r="WIO24" s="93"/>
      <c r="WIP24" s="93"/>
      <c r="WIQ24" s="93"/>
      <c r="WIR24" s="93"/>
      <c r="WIS24" s="93"/>
      <c r="WIT24" s="93"/>
      <c r="WIU24" s="93"/>
      <c r="WIV24" s="93"/>
      <c r="WIW24" s="93"/>
      <c r="WIX24" s="93"/>
      <c r="WIY24" s="93"/>
      <c r="WIZ24" s="93"/>
      <c r="WJA24" s="93"/>
      <c r="WJB24" s="93"/>
      <c r="WJC24" s="93"/>
      <c r="WJD24" s="93"/>
      <c r="WJE24" s="93"/>
      <c r="WJF24" s="93"/>
      <c r="WJG24" s="93"/>
      <c r="WJH24" s="93"/>
      <c r="WJI24" s="93"/>
      <c r="WJJ24" s="93"/>
      <c r="WJK24" s="93"/>
      <c r="WJL24" s="93"/>
      <c r="WJM24" s="93"/>
      <c r="WJN24" s="93"/>
      <c r="WJO24" s="93"/>
      <c r="WJP24" s="93"/>
      <c r="WJQ24" s="93"/>
      <c r="WJR24" s="93"/>
      <c r="WJS24" s="93"/>
      <c r="WJT24" s="93"/>
      <c r="WJU24" s="93"/>
      <c r="WJV24" s="93"/>
      <c r="WJW24" s="93"/>
      <c r="WJX24" s="93"/>
      <c r="WJY24" s="93"/>
      <c r="WJZ24" s="93"/>
      <c r="WKA24" s="93"/>
      <c r="WKB24" s="93"/>
      <c r="WKC24" s="93"/>
      <c r="WKD24" s="93"/>
      <c r="WKE24" s="93"/>
      <c r="WKF24" s="93"/>
      <c r="WKG24" s="93"/>
      <c r="WKH24" s="93"/>
      <c r="WKI24" s="93"/>
      <c r="WKJ24" s="93"/>
      <c r="WKK24" s="93"/>
      <c r="WKL24" s="93"/>
      <c r="WKM24" s="93"/>
      <c r="WKN24" s="93"/>
      <c r="WKO24" s="93"/>
      <c r="WKP24" s="93"/>
      <c r="WKQ24" s="93"/>
      <c r="WKR24" s="93"/>
      <c r="WKS24" s="93"/>
      <c r="WKT24" s="93"/>
      <c r="WKU24" s="93"/>
      <c r="WKV24" s="93"/>
      <c r="WKW24" s="93"/>
      <c r="WKX24" s="93"/>
      <c r="WKY24" s="93"/>
      <c r="WKZ24" s="93"/>
      <c r="WLA24" s="93"/>
      <c r="WLB24" s="93"/>
      <c r="WLC24" s="93"/>
      <c r="WLD24" s="93"/>
      <c r="WLE24" s="93"/>
      <c r="WLF24" s="93"/>
      <c r="WLG24" s="93"/>
      <c r="WLH24" s="93"/>
      <c r="WLI24" s="93"/>
      <c r="WLJ24" s="93"/>
      <c r="WLK24" s="93"/>
      <c r="WLL24" s="93"/>
      <c r="WLM24" s="93"/>
      <c r="WLN24" s="93"/>
      <c r="WLO24" s="93"/>
      <c r="WLP24" s="93"/>
      <c r="WLQ24" s="93"/>
      <c r="WLR24" s="93"/>
      <c r="WLS24" s="93"/>
      <c r="WLT24" s="93"/>
      <c r="WLU24" s="93"/>
      <c r="WLV24" s="93"/>
      <c r="WLW24" s="93"/>
      <c r="WLX24" s="93"/>
      <c r="WLY24" s="93"/>
      <c r="WLZ24" s="93"/>
      <c r="WMA24" s="93"/>
      <c r="WMB24" s="93"/>
      <c r="WMC24" s="93"/>
      <c r="WMD24" s="93"/>
      <c r="WME24" s="93"/>
      <c r="WMF24" s="93"/>
      <c r="WMG24" s="93"/>
      <c r="WMH24" s="93"/>
      <c r="WMI24" s="93"/>
      <c r="WMJ24" s="93"/>
      <c r="WMK24" s="93"/>
      <c r="WML24" s="93"/>
      <c r="WMM24" s="93"/>
      <c r="WMN24" s="93"/>
      <c r="WMO24" s="93"/>
      <c r="WMP24" s="93"/>
      <c r="WMQ24" s="93"/>
      <c r="WMR24" s="93"/>
      <c r="WMS24" s="93"/>
      <c r="WMT24" s="93"/>
      <c r="WMU24" s="93"/>
      <c r="WMV24" s="93"/>
      <c r="WMW24" s="93"/>
      <c r="WMX24" s="93"/>
      <c r="WMY24" s="93"/>
      <c r="WMZ24" s="93"/>
      <c r="WNA24" s="93"/>
      <c r="WNB24" s="93"/>
      <c r="WNC24" s="93"/>
      <c r="WND24" s="93"/>
      <c r="WNE24" s="93"/>
      <c r="WNF24" s="93"/>
      <c r="WNG24" s="93"/>
      <c r="WNH24" s="93"/>
      <c r="WNI24" s="93"/>
      <c r="WNJ24" s="93"/>
      <c r="WNK24" s="93"/>
      <c r="WNL24" s="93"/>
      <c r="WNM24" s="93"/>
      <c r="WNN24" s="93"/>
      <c r="WNO24" s="93"/>
      <c r="WNP24" s="93"/>
      <c r="WNQ24" s="93"/>
      <c r="WNR24" s="93"/>
      <c r="WNS24" s="93"/>
      <c r="WNT24" s="93"/>
      <c r="WNU24" s="93"/>
      <c r="WNV24" s="93"/>
      <c r="WNW24" s="93"/>
      <c r="WNX24" s="93"/>
      <c r="WNY24" s="93"/>
      <c r="WNZ24" s="93"/>
      <c r="WOA24" s="93"/>
      <c r="WOB24" s="93"/>
      <c r="WOC24" s="93"/>
      <c r="WOD24" s="93"/>
      <c r="WOE24" s="93"/>
      <c r="WOF24" s="93"/>
      <c r="WOG24" s="93"/>
      <c r="WOH24" s="93"/>
      <c r="WOI24" s="93"/>
      <c r="WOJ24" s="93"/>
      <c r="WOK24" s="93"/>
      <c r="WOL24" s="93"/>
      <c r="WOM24" s="93"/>
      <c r="WON24" s="93"/>
      <c r="WOO24" s="93"/>
      <c r="WOP24" s="93"/>
      <c r="WOQ24" s="93"/>
      <c r="WOR24" s="93"/>
      <c r="WOS24" s="93"/>
      <c r="WOT24" s="93"/>
      <c r="WOU24" s="93"/>
      <c r="WOV24" s="93"/>
      <c r="WOW24" s="93"/>
      <c r="WOX24" s="93"/>
      <c r="WOY24" s="93"/>
      <c r="WOZ24" s="93"/>
      <c r="WPA24" s="93"/>
      <c r="WPB24" s="93"/>
      <c r="WPC24" s="93"/>
      <c r="WPD24" s="93"/>
      <c r="WPE24" s="93"/>
      <c r="WPF24" s="93"/>
      <c r="WPG24" s="93"/>
      <c r="WPH24" s="93"/>
      <c r="WPI24" s="93"/>
      <c r="WPJ24" s="93"/>
      <c r="WPK24" s="93"/>
      <c r="WPL24" s="93"/>
      <c r="WPM24" s="93"/>
      <c r="WPN24" s="93"/>
      <c r="WPO24" s="93"/>
      <c r="WPP24" s="93"/>
      <c r="WPQ24" s="93"/>
      <c r="WPR24" s="93"/>
      <c r="WPS24" s="93"/>
      <c r="WPT24" s="93"/>
      <c r="WPU24" s="93"/>
      <c r="WPV24" s="93"/>
      <c r="WPW24" s="93"/>
      <c r="WPX24" s="93"/>
      <c r="WPY24" s="93"/>
      <c r="WPZ24" s="93"/>
      <c r="WQA24" s="93"/>
      <c r="WQB24" s="93"/>
      <c r="WQC24" s="93"/>
      <c r="WQD24" s="93"/>
      <c r="WQE24" s="93"/>
      <c r="WQF24" s="93"/>
      <c r="WQG24" s="93"/>
      <c r="WQH24" s="93"/>
      <c r="WQI24" s="93"/>
      <c r="WQJ24" s="93"/>
      <c r="WQK24" s="93"/>
      <c r="WQL24" s="93"/>
      <c r="WQM24" s="93"/>
      <c r="WQN24" s="93"/>
      <c r="WQO24" s="93"/>
      <c r="WQP24" s="93"/>
      <c r="WQQ24" s="93"/>
      <c r="WQR24" s="93"/>
      <c r="WQS24" s="93"/>
      <c r="WQT24" s="93"/>
      <c r="WQU24" s="93"/>
      <c r="WQV24" s="93"/>
      <c r="WQW24" s="93"/>
      <c r="WQX24" s="93"/>
      <c r="WQY24" s="93"/>
      <c r="WQZ24" s="93"/>
      <c r="WRA24" s="93"/>
      <c r="WRB24" s="93"/>
      <c r="WRC24" s="93"/>
      <c r="WRD24" s="93"/>
      <c r="WRE24" s="93"/>
      <c r="WRF24" s="93"/>
      <c r="WRG24" s="93"/>
      <c r="WRH24" s="93"/>
      <c r="WRI24" s="93"/>
      <c r="WRJ24" s="93"/>
      <c r="WRK24" s="93"/>
      <c r="WRL24" s="93"/>
      <c r="WRM24" s="93"/>
      <c r="WRN24" s="93"/>
      <c r="WRO24" s="93"/>
      <c r="WRP24" s="93"/>
      <c r="WRQ24" s="93"/>
      <c r="WRR24" s="93"/>
      <c r="WRS24" s="93"/>
      <c r="WRT24" s="93"/>
      <c r="WRU24" s="93"/>
      <c r="WRV24" s="93"/>
      <c r="WRW24" s="93"/>
      <c r="WRX24" s="93"/>
      <c r="WRY24" s="93"/>
      <c r="WRZ24" s="93"/>
      <c r="WSA24" s="93"/>
      <c r="WSB24" s="93"/>
      <c r="WSC24" s="93"/>
      <c r="WSD24" s="93"/>
      <c r="WSE24" s="93"/>
      <c r="WSF24" s="93"/>
      <c r="WSG24" s="93"/>
      <c r="WSH24" s="93"/>
      <c r="WSI24" s="93"/>
      <c r="WSJ24" s="93"/>
      <c r="WSK24" s="93"/>
      <c r="WSL24" s="93"/>
      <c r="WSM24" s="93"/>
      <c r="WSN24" s="93"/>
      <c r="WSO24" s="93"/>
      <c r="WSP24" s="93"/>
      <c r="WSQ24" s="93"/>
      <c r="WSR24" s="93"/>
      <c r="WSS24" s="93"/>
      <c r="WST24" s="93"/>
      <c r="WSU24" s="93"/>
      <c r="WSV24" s="93"/>
      <c r="WSW24" s="93"/>
      <c r="WSX24" s="93"/>
      <c r="WSY24" s="93"/>
      <c r="WSZ24" s="93"/>
      <c r="WTA24" s="93"/>
      <c r="WTB24" s="93"/>
      <c r="WTC24" s="93"/>
      <c r="WTD24" s="93"/>
      <c r="WTE24" s="93"/>
      <c r="WTF24" s="93"/>
      <c r="WTG24" s="93"/>
      <c r="WTH24" s="93"/>
      <c r="WTI24" s="93"/>
      <c r="WTJ24" s="93"/>
      <c r="WTK24" s="93"/>
      <c r="WTL24" s="93"/>
      <c r="WTM24" s="93"/>
      <c r="WTN24" s="93"/>
      <c r="WTO24" s="93"/>
      <c r="WTP24" s="93"/>
      <c r="WTQ24" s="93"/>
      <c r="WTR24" s="93"/>
      <c r="WTS24" s="93"/>
      <c r="WTT24" s="93"/>
      <c r="WTU24" s="93"/>
      <c r="WTV24" s="93"/>
      <c r="WTW24" s="93"/>
      <c r="WTX24" s="93"/>
      <c r="WTY24" s="93"/>
      <c r="WTZ24" s="93"/>
      <c r="WUA24" s="93"/>
      <c r="WUB24" s="93"/>
      <c r="WUC24" s="93"/>
      <c r="WUD24" s="93"/>
      <c r="WUE24" s="93"/>
      <c r="WUF24" s="93"/>
      <c r="WUG24" s="93"/>
      <c r="WUH24" s="93"/>
      <c r="WUI24" s="93"/>
      <c r="WUJ24" s="93"/>
      <c r="WUK24" s="93"/>
      <c r="WUL24" s="93"/>
      <c r="WUM24" s="93"/>
      <c r="WUN24" s="93"/>
      <c r="WUO24" s="93"/>
      <c r="WUP24" s="93"/>
      <c r="WUQ24" s="93"/>
      <c r="WUR24" s="93"/>
      <c r="WUS24" s="93"/>
      <c r="WUT24" s="93"/>
      <c r="WUU24" s="93"/>
      <c r="WUV24" s="93"/>
      <c r="WUW24" s="93"/>
      <c r="WUX24" s="93"/>
      <c r="WUY24" s="93"/>
      <c r="WUZ24" s="93"/>
      <c r="WVA24" s="93"/>
      <c r="WVB24" s="93"/>
      <c r="WVC24" s="93"/>
      <c r="WVD24" s="93"/>
      <c r="WVE24" s="93"/>
      <c r="WVF24" s="93"/>
      <c r="WVG24" s="93"/>
      <c r="WVH24" s="93"/>
      <c r="WVI24" s="93"/>
      <c r="WVJ24" s="93"/>
      <c r="WVK24" s="93"/>
      <c r="WVL24" s="93"/>
      <c r="WVM24" s="93"/>
      <c r="WVN24" s="93"/>
      <c r="WVO24" s="93"/>
      <c r="WVP24" s="93"/>
      <c r="WVQ24" s="93"/>
      <c r="WVR24" s="93"/>
      <c r="WVS24" s="93"/>
      <c r="WVT24" s="93"/>
      <c r="WVU24" s="93"/>
      <c r="WVV24" s="93"/>
      <c r="WVW24" s="93"/>
      <c r="WVX24" s="93"/>
      <c r="WVY24" s="93"/>
      <c r="WVZ24" s="93"/>
      <c r="WWA24" s="93"/>
      <c r="WWB24" s="93"/>
      <c r="WWC24" s="93"/>
      <c r="WWD24" s="93"/>
      <c r="WWE24" s="93"/>
      <c r="WWF24" s="93"/>
      <c r="WWG24" s="93"/>
      <c r="WWH24" s="93"/>
      <c r="WWI24" s="93"/>
      <c r="WWJ24" s="93"/>
      <c r="WWK24" s="93"/>
      <c r="WWL24" s="93"/>
      <c r="WWM24" s="93"/>
      <c r="WWN24" s="93"/>
      <c r="WWO24" s="93"/>
      <c r="WWP24" s="93"/>
      <c r="WWQ24" s="93"/>
      <c r="WWR24" s="93"/>
      <c r="WWS24" s="93"/>
      <c r="WWT24" s="93"/>
      <c r="WWU24" s="93"/>
      <c r="WWV24" s="93"/>
      <c r="WWW24" s="93"/>
      <c r="WWX24" s="93"/>
      <c r="WWY24" s="93"/>
      <c r="WWZ24" s="93"/>
      <c r="WXA24" s="93"/>
      <c r="WXB24" s="93"/>
      <c r="WXC24" s="93"/>
      <c r="WXD24" s="93"/>
      <c r="WXE24" s="93"/>
      <c r="WXF24" s="93"/>
      <c r="WXG24" s="93"/>
      <c r="WXH24" s="93"/>
      <c r="WXI24" s="93"/>
      <c r="WXJ24" s="93"/>
      <c r="WXK24" s="93"/>
      <c r="WXL24" s="93"/>
      <c r="WXM24" s="93"/>
      <c r="WXN24" s="93"/>
      <c r="WXO24" s="93"/>
      <c r="WXP24" s="93"/>
      <c r="WXQ24" s="93"/>
      <c r="WXR24" s="93"/>
      <c r="WXS24" s="93"/>
      <c r="WXT24" s="93"/>
      <c r="WXU24" s="93"/>
      <c r="WXV24" s="93"/>
      <c r="WXW24" s="93"/>
      <c r="WXX24" s="93"/>
      <c r="WXY24" s="93"/>
      <c r="WXZ24" s="93"/>
      <c r="WYA24" s="93"/>
      <c r="WYB24" s="93"/>
      <c r="WYC24" s="93"/>
      <c r="WYD24" s="93"/>
      <c r="WYE24" s="93"/>
      <c r="WYF24" s="93"/>
      <c r="WYG24" s="93"/>
      <c r="WYH24" s="93"/>
      <c r="WYI24" s="93"/>
      <c r="WYJ24" s="93"/>
      <c r="WYK24" s="93"/>
      <c r="WYL24" s="93"/>
      <c r="WYM24" s="93"/>
      <c r="WYN24" s="93"/>
      <c r="WYO24" s="93"/>
      <c r="WYP24" s="93"/>
      <c r="WYQ24" s="93"/>
      <c r="WYR24" s="93"/>
      <c r="WYS24" s="93"/>
      <c r="WYT24" s="93"/>
      <c r="WYU24" s="93"/>
      <c r="WYV24" s="93"/>
      <c r="WYW24" s="93"/>
      <c r="WYX24" s="93"/>
      <c r="WYY24" s="93"/>
      <c r="WYZ24" s="93"/>
      <c r="WZA24" s="93"/>
      <c r="WZB24" s="93"/>
      <c r="WZC24" s="93"/>
      <c r="WZD24" s="93"/>
      <c r="WZE24" s="93"/>
      <c r="WZF24" s="93"/>
      <c r="WZG24" s="93"/>
      <c r="WZH24" s="93"/>
      <c r="WZI24" s="93"/>
      <c r="WZJ24" s="93"/>
      <c r="WZK24" s="93"/>
      <c r="WZL24" s="93"/>
      <c r="WZM24" s="93"/>
      <c r="WZN24" s="93"/>
      <c r="WZO24" s="93"/>
      <c r="WZP24" s="93"/>
      <c r="WZQ24" s="93"/>
      <c r="WZR24" s="93"/>
      <c r="WZS24" s="93"/>
      <c r="WZT24" s="93"/>
      <c r="WZU24" s="93"/>
      <c r="WZV24" s="93"/>
      <c r="WZW24" s="93"/>
      <c r="WZX24" s="93"/>
      <c r="WZY24" s="93"/>
      <c r="WZZ24" s="93"/>
      <c r="XAA24" s="93"/>
      <c r="XAB24" s="93"/>
      <c r="XAC24" s="93"/>
      <c r="XAD24" s="93"/>
      <c r="XAE24" s="93"/>
      <c r="XAF24" s="93"/>
      <c r="XAG24" s="93"/>
      <c r="XAH24" s="93"/>
      <c r="XAI24" s="93"/>
      <c r="XAJ24" s="93"/>
      <c r="XAK24" s="93"/>
      <c r="XAL24" s="93"/>
      <c r="XAM24" s="93"/>
      <c r="XAN24" s="93"/>
      <c r="XAO24" s="93"/>
      <c r="XAP24" s="93"/>
      <c r="XAQ24" s="93"/>
      <c r="XAR24" s="93"/>
      <c r="XAS24" s="93"/>
      <c r="XAT24" s="93"/>
      <c r="XAU24" s="93"/>
      <c r="XAV24" s="93"/>
      <c r="XAW24" s="93"/>
      <c r="XAX24" s="93"/>
      <c r="XAY24" s="93"/>
      <c r="XAZ24" s="93"/>
      <c r="XBA24" s="93"/>
      <c r="XBB24" s="93"/>
      <c r="XBC24" s="93"/>
      <c r="XBD24" s="93"/>
      <c r="XBE24" s="93"/>
      <c r="XBF24" s="93"/>
      <c r="XBG24" s="93"/>
      <c r="XBH24" s="93"/>
      <c r="XBI24" s="93"/>
      <c r="XBJ24" s="93"/>
      <c r="XBK24" s="93"/>
      <c r="XBL24" s="93"/>
      <c r="XBM24" s="93"/>
      <c r="XBN24" s="93"/>
      <c r="XBO24" s="93"/>
      <c r="XBP24" s="93"/>
      <c r="XBQ24" s="93"/>
      <c r="XBR24" s="93"/>
      <c r="XBS24" s="93"/>
      <c r="XBT24" s="93"/>
      <c r="XBU24" s="93"/>
      <c r="XBV24" s="93"/>
      <c r="XBW24" s="93"/>
      <c r="XBX24" s="93"/>
      <c r="XBY24" s="93"/>
      <c r="XBZ24" s="93"/>
      <c r="XCA24" s="93"/>
      <c r="XCB24" s="93"/>
      <c r="XCC24" s="93"/>
      <c r="XCD24" s="93"/>
      <c r="XCE24" s="93"/>
      <c r="XCF24" s="93"/>
      <c r="XCG24" s="93"/>
      <c r="XCH24" s="93"/>
      <c r="XCI24" s="93"/>
      <c r="XCJ24" s="93"/>
      <c r="XCK24" s="93"/>
      <c r="XCL24" s="93"/>
      <c r="XCM24" s="93"/>
      <c r="XCN24" s="93"/>
      <c r="XCO24" s="93"/>
      <c r="XCP24" s="93"/>
      <c r="XCQ24" s="93"/>
      <c r="XCR24" s="93"/>
      <c r="XCS24" s="93"/>
      <c r="XCT24" s="93"/>
      <c r="XCU24" s="93"/>
      <c r="XCV24" s="93"/>
      <c r="XCW24" s="93"/>
      <c r="XCX24" s="93"/>
      <c r="XCY24" s="93"/>
      <c r="XCZ24" s="93"/>
      <c r="XDA24" s="93"/>
      <c r="XDB24" s="93"/>
      <c r="XDC24" s="93"/>
      <c r="XDD24" s="93"/>
      <c r="XDE24" s="93"/>
      <c r="XDF24" s="93"/>
      <c r="XDG24" s="93"/>
      <c r="XDH24" s="93"/>
      <c r="XDI24" s="93"/>
      <c r="XDJ24" s="93"/>
      <c r="XDK24" s="93"/>
      <c r="XDL24" s="93"/>
      <c r="XDM24" s="93"/>
      <c r="XDN24" s="93"/>
      <c r="XDO24" s="93"/>
      <c r="XDP24" s="93"/>
      <c r="XDQ24" s="93"/>
      <c r="XDR24" s="93"/>
      <c r="XDS24" s="93"/>
      <c r="XDT24" s="93"/>
      <c r="XDU24" s="93"/>
      <c r="XDV24" s="93"/>
      <c r="XDW24" s="93"/>
      <c r="XDX24" s="93"/>
      <c r="XDY24" s="93"/>
      <c r="XDZ24" s="93"/>
      <c r="XEA24" s="93"/>
      <c r="XEB24" s="93"/>
      <c r="XEC24" s="93"/>
      <c r="XED24" s="93"/>
      <c r="XEE24" s="93"/>
    </row>
    <row r="25" spans="1:16359" s="122" customFormat="1" ht="16">
      <c r="A25" s="122" t="s">
        <v>257</v>
      </c>
      <c r="C25" s="122">
        <v>1205</v>
      </c>
      <c r="D25" s="122">
        <v>203</v>
      </c>
      <c r="E25" s="122" t="s">
        <v>273</v>
      </c>
      <c r="F25" s="122">
        <v>2021</v>
      </c>
      <c r="G25" s="122" t="s">
        <v>274</v>
      </c>
      <c r="H25" s="122" t="s">
        <v>275</v>
      </c>
      <c r="I25" s="122">
        <v>2</v>
      </c>
      <c r="J25" s="122" t="s">
        <v>276</v>
      </c>
      <c r="K25" s="122" t="s">
        <v>73</v>
      </c>
      <c r="L25" s="122">
        <v>5</v>
      </c>
      <c r="M25" s="123" t="s">
        <v>120</v>
      </c>
      <c r="N25" s="122" t="s">
        <v>262</v>
      </c>
      <c r="O25" s="122" t="s">
        <v>277</v>
      </c>
      <c r="P25" s="124" t="s">
        <v>226</v>
      </c>
      <c r="Q25" s="122" t="s">
        <v>227</v>
      </c>
      <c r="R25" s="122" t="s">
        <v>405</v>
      </c>
      <c r="S25" s="124">
        <v>0</v>
      </c>
      <c r="T25" s="124" t="s">
        <v>229</v>
      </c>
      <c r="U25" s="124">
        <v>0</v>
      </c>
      <c r="V25" s="125" t="s">
        <v>278</v>
      </c>
      <c r="W25" s="125" t="s">
        <v>230</v>
      </c>
      <c r="X25" s="125" t="s">
        <v>279</v>
      </c>
      <c r="Y25" s="122">
        <v>0</v>
      </c>
      <c r="Z25" s="122">
        <v>0</v>
      </c>
      <c r="AA25" s="122">
        <v>1</v>
      </c>
      <c r="AB25" s="122">
        <v>0</v>
      </c>
      <c r="AC25" s="122">
        <v>0</v>
      </c>
      <c r="AD25" s="122">
        <v>0</v>
      </c>
      <c r="AE25" s="122">
        <v>0</v>
      </c>
      <c r="AF25" s="122">
        <v>0</v>
      </c>
      <c r="AG25" s="122" t="s">
        <v>280</v>
      </c>
      <c r="AH25" s="122">
        <v>0</v>
      </c>
      <c r="AI25" s="122">
        <v>0</v>
      </c>
      <c r="AJ25" s="122">
        <v>0</v>
      </c>
      <c r="AK25" s="122">
        <v>1</v>
      </c>
      <c r="AL25" s="122">
        <v>0</v>
      </c>
      <c r="AM25" s="122">
        <v>0</v>
      </c>
      <c r="AN25" s="122">
        <v>0</v>
      </c>
      <c r="AO25" s="122">
        <v>0</v>
      </c>
      <c r="AP25" s="122">
        <v>0</v>
      </c>
      <c r="AQ25" s="122" t="s">
        <v>73</v>
      </c>
      <c r="AR25" s="122" t="s">
        <v>232</v>
      </c>
      <c r="AS25" s="122" t="s">
        <v>281</v>
      </c>
      <c r="AT25" s="122" t="s">
        <v>73</v>
      </c>
      <c r="AU25" s="126">
        <v>0.27960000000000002</v>
      </c>
      <c r="AV25" s="127" t="s">
        <v>80</v>
      </c>
      <c r="AW25" s="126">
        <v>6.9599999999999995E-2</v>
      </c>
      <c r="AX25" s="128">
        <v>1E-3</v>
      </c>
      <c r="AY25" s="122">
        <v>1</v>
      </c>
      <c r="AZ25" s="128">
        <f t="shared" si="10"/>
        <v>4.0172413793103452</v>
      </c>
      <c r="BA25" s="129">
        <f>AU25</f>
        <v>0.27960000000000002</v>
      </c>
      <c r="BC25" s="122" t="s">
        <v>73</v>
      </c>
      <c r="BD25" s="122" t="s">
        <v>73</v>
      </c>
      <c r="BE25" s="122" t="s">
        <v>73</v>
      </c>
      <c r="BF25" s="122" t="s">
        <v>73</v>
      </c>
      <c r="BG25" s="122" t="s">
        <v>73</v>
      </c>
      <c r="BH25" s="122" t="s">
        <v>73</v>
      </c>
      <c r="BI25" s="122">
        <v>1301</v>
      </c>
      <c r="BJ25" s="122">
        <f t="shared" si="11"/>
        <v>1301</v>
      </c>
      <c r="BK25" s="122" t="s">
        <v>73</v>
      </c>
      <c r="BL25" s="122" t="s">
        <v>73</v>
      </c>
      <c r="BM25" s="122" t="s">
        <v>73</v>
      </c>
      <c r="BN25" s="122" t="s">
        <v>73</v>
      </c>
      <c r="BO25" s="122" t="s">
        <v>73</v>
      </c>
      <c r="BP25" s="122">
        <v>0</v>
      </c>
      <c r="BQ25" s="122" t="s">
        <v>73</v>
      </c>
      <c r="BR25" s="122">
        <v>0</v>
      </c>
      <c r="BS25" s="122" t="s">
        <v>73</v>
      </c>
      <c r="BT25" s="122" t="s">
        <v>282</v>
      </c>
      <c r="BU25" s="122">
        <v>0</v>
      </c>
      <c r="BV25" s="122">
        <v>0</v>
      </c>
      <c r="BW25" s="122">
        <v>0</v>
      </c>
      <c r="BX25" s="130">
        <f t="shared" si="7"/>
        <v>0.11069098448260768</v>
      </c>
      <c r="BY25" s="131">
        <f t="shared" si="2"/>
        <v>0.11114641752432197</v>
      </c>
      <c r="BZ25" s="131">
        <f t="shared" si="8"/>
        <v>7.6911337722476367E-4</v>
      </c>
      <c r="CA25" s="131">
        <f t="shared" si="9"/>
        <v>7.7041602465331282E-4</v>
      </c>
      <c r="CE25" s="96">
        <f t="shared" si="3"/>
        <v>0.11069098448260768</v>
      </c>
      <c r="CF25" s="96">
        <f t="shared" si="4"/>
        <v>0.11114641752432197</v>
      </c>
      <c r="CG25" s="96">
        <f t="shared" si="5"/>
        <v>7.6911337722476367E-4</v>
      </c>
      <c r="CH25" s="96">
        <f t="shared" si="6"/>
        <v>7.7041602465331282E-4</v>
      </c>
    </row>
    <row r="26" spans="1:16359" s="124" customFormat="1" ht="16">
      <c r="A26" s="122" t="s">
        <v>257</v>
      </c>
      <c r="B26" s="122"/>
      <c r="C26" s="122">
        <v>1206</v>
      </c>
      <c r="D26" s="122">
        <v>203</v>
      </c>
      <c r="E26" s="122" t="s">
        <v>273</v>
      </c>
      <c r="F26" s="122">
        <v>2021</v>
      </c>
      <c r="G26" s="122" t="s">
        <v>274</v>
      </c>
      <c r="H26" s="122" t="s">
        <v>275</v>
      </c>
      <c r="I26" s="122">
        <v>2</v>
      </c>
      <c r="J26" s="122" t="s">
        <v>276</v>
      </c>
      <c r="K26" s="122" t="s">
        <v>73</v>
      </c>
      <c r="L26" s="122">
        <v>5</v>
      </c>
      <c r="M26" s="123" t="s">
        <v>120</v>
      </c>
      <c r="N26" s="122" t="s">
        <v>262</v>
      </c>
      <c r="O26" s="122" t="s">
        <v>277</v>
      </c>
      <c r="P26" s="124" t="s">
        <v>226</v>
      </c>
      <c r="Q26" s="122" t="s">
        <v>227</v>
      </c>
      <c r="R26" s="122" t="s">
        <v>405</v>
      </c>
      <c r="S26" s="124">
        <v>0</v>
      </c>
      <c r="T26" s="124" t="s">
        <v>229</v>
      </c>
      <c r="U26" s="124">
        <v>0</v>
      </c>
      <c r="V26" s="125" t="s">
        <v>278</v>
      </c>
      <c r="W26" s="125" t="s">
        <v>230</v>
      </c>
      <c r="X26" s="125" t="s">
        <v>279</v>
      </c>
      <c r="Y26" s="122">
        <v>0</v>
      </c>
      <c r="Z26" s="122">
        <v>0</v>
      </c>
      <c r="AA26" s="122">
        <v>1</v>
      </c>
      <c r="AB26" s="122">
        <v>0</v>
      </c>
      <c r="AC26" s="122">
        <v>0</v>
      </c>
      <c r="AD26" s="122">
        <v>0</v>
      </c>
      <c r="AE26" s="122">
        <v>0</v>
      </c>
      <c r="AF26" s="122">
        <v>0</v>
      </c>
      <c r="AG26" s="122" t="s">
        <v>280</v>
      </c>
      <c r="AH26" s="122">
        <v>0</v>
      </c>
      <c r="AI26" s="122">
        <v>0</v>
      </c>
      <c r="AJ26" s="122">
        <v>0</v>
      </c>
      <c r="AK26" s="122">
        <v>1</v>
      </c>
      <c r="AL26" s="122">
        <v>0</v>
      </c>
      <c r="AM26" s="122">
        <v>0</v>
      </c>
      <c r="AN26" s="122">
        <v>0</v>
      </c>
      <c r="AO26" s="122">
        <v>0</v>
      </c>
      <c r="AP26" s="122">
        <v>0</v>
      </c>
      <c r="AQ26" s="122" t="s">
        <v>73</v>
      </c>
      <c r="AR26" s="122" t="s">
        <v>232</v>
      </c>
      <c r="AS26" s="122" t="s">
        <v>281</v>
      </c>
      <c r="AT26" s="122" t="s">
        <v>73</v>
      </c>
      <c r="AU26" s="126">
        <v>4.5100000000000001E-2</v>
      </c>
      <c r="AV26" s="127" t="s">
        <v>80</v>
      </c>
      <c r="AW26" s="126">
        <v>0.1074</v>
      </c>
      <c r="AX26" s="128">
        <v>0.1</v>
      </c>
      <c r="AY26" s="122">
        <v>2</v>
      </c>
      <c r="AZ26" s="128">
        <f t="shared" si="10"/>
        <v>0.41992551210428308</v>
      </c>
      <c r="BA26" s="129">
        <f t="shared" si="1"/>
        <v>4.5100000000000001E-2</v>
      </c>
      <c r="BB26" s="122"/>
      <c r="BC26" s="122" t="s">
        <v>73</v>
      </c>
      <c r="BD26" s="122" t="s">
        <v>73</v>
      </c>
      <c r="BE26" s="122" t="s">
        <v>73</v>
      </c>
      <c r="BF26" s="122" t="s">
        <v>73</v>
      </c>
      <c r="BG26" s="122" t="s">
        <v>73</v>
      </c>
      <c r="BH26" s="122" t="s">
        <v>73</v>
      </c>
      <c r="BI26" s="122">
        <v>1002</v>
      </c>
      <c r="BJ26" s="122">
        <f t="shared" si="11"/>
        <v>1002</v>
      </c>
      <c r="BK26" s="122" t="s">
        <v>73</v>
      </c>
      <c r="BL26" s="122" t="s">
        <v>73</v>
      </c>
      <c r="BM26" s="122" t="s">
        <v>73</v>
      </c>
      <c r="BN26" s="122" t="s">
        <v>73</v>
      </c>
      <c r="BO26" s="122" t="s">
        <v>73</v>
      </c>
      <c r="BP26" s="122">
        <v>0</v>
      </c>
      <c r="BQ26" s="122" t="s">
        <v>73</v>
      </c>
      <c r="BR26" s="122">
        <v>0</v>
      </c>
      <c r="BS26" s="122" t="s">
        <v>73</v>
      </c>
      <c r="BT26" s="122" t="s">
        <v>282</v>
      </c>
      <c r="BU26" s="122">
        <v>0</v>
      </c>
      <c r="BV26" s="122">
        <v>0</v>
      </c>
      <c r="BW26" s="122">
        <v>0</v>
      </c>
      <c r="BX26" s="131">
        <f t="shared" si="7"/>
        <v>1.3264784180382344E-2</v>
      </c>
      <c r="BY26" s="131">
        <f t="shared" si="2"/>
        <v>1.326556226201467E-2</v>
      </c>
      <c r="BZ26" s="131">
        <f t="shared" si="8"/>
        <v>9.9900096806468473E-4</v>
      </c>
      <c r="CA26" s="131">
        <f t="shared" si="9"/>
        <v>1.001001001001001E-3</v>
      </c>
      <c r="CB26" s="122"/>
      <c r="CC26" s="122"/>
      <c r="CD26" s="122"/>
      <c r="CE26" s="96">
        <f t="shared" si="3"/>
        <v>1.3264784180382344E-2</v>
      </c>
      <c r="CF26" s="96">
        <f t="shared" si="4"/>
        <v>1.326556226201467E-2</v>
      </c>
      <c r="CG26" s="96">
        <f t="shared" si="5"/>
        <v>9.9900096806468473E-4</v>
      </c>
      <c r="CH26" s="96">
        <f t="shared" si="6"/>
        <v>1.001001001001001E-3</v>
      </c>
    </row>
    <row r="27" spans="1:16359" s="122" customFormat="1" ht="17" customHeight="1">
      <c r="A27" s="122" t="s">
        <v>257</v>
      </c>
      <c r="C27" s="122">
        <v>1207</v>
      </c>
      <c r="D27" s="122">
        <v>203</v>
      </c>
      <c r="E27" s="122" t="s">
        <v>273</v>
      </c>
      <c r="F27" s="122">
        <v>2021</v>
      </c>
      <c r="G27" s="122" t="s">
        <v>274</v>
      </c>
      <c r="H27" s="122" t="s">
        <v>275</v>
      </c>
      <c r="I27" s="122">
        <v>2</v>
      </c>
      <c r="J27" s="122" t="s">
        <v>276</v>
      </c>
      <c r="K27" s="122" t="s">
        <v>73</v>
      </c>
      <c r="L27" s="122">
        <v>5</v>
      </c>
      <c r="M27" s="123" t="s">
        <v>120</v>
      </c>
      <c r="N27" s="122" t="s">
        <v>262</v>
      </c>
      <c r="O27" s="122" t="s">
        <v>277</v>
      </c>
      <c r="P27" s="124" t="s">
        <v>226</v>
      </c>
      <c r="Q27" s="122" t="s">
        <v>227</v>
      </c>
      <c r="R27" s="122" t="s">
        <v>405</v>
      </c>
      <c r="S27" s="124">
        <v>0</v>
      </c>
      <c r="T27" s="124" t="s">
        <v>229</v>
      </c>
      <c r="U27" s="124">
        <v>0</v>
      </c>
      <c r="V27" s="125" t="s">
        <v>278</v>
      </c>
      <c r="W27" s="125" t="s">
        <v>230</v>
      </c>
      <c r="X27" s="125" t="s">
        <v>279</v>
      </c>
      <c r="Y27" s="122">
        <v>0</v>
      </c>
      <c r="Z27" s="122">
        <v>0</v>
      </c>
      <c r="AA27" s="122">
        <v>1</v>
      </c>
      <c r="AB27" s="122">
        <v>0</v>
      </c>
      <c r="AC27" s="122">
        <v>0</v>
      </c>
      <c r="AD27" s="122">
        <v>0</v>
      </c>
      <c r="AE27" s="122">
        <v>0</v>
      </c>
      <c r="AF27" s="122">
        <v>0</v>
      </c>
      <c r="AG27" s="122" t="s">
        <v>280</v>
      </c>
      <c r="AH27" s="122">
        <v>0</v>
      </c>
      <c r="AI27" s="122">
        <v>0</v>
      </c>
      <c r="AJ27" s="122">
        <v>0</v>
      </c>
      <c r="AK27" s="122">
        <v>1</v>
      </c>
      <c r="AL27" s="122">
        <v>0</v>
      </c>
      <c r="AM27" s="122">
        <v>0</v>
      </c>
      <c r="AN27" s="122">
        <v>0</v>
      </c>
      <c r="AO27" s="122">
        <v>0</v>
      </c>
      <c r="AP27" s="122">
        <v>0</v>
      </c>
      <c r="AQ27" s="122" t="s">
        <v>73</v>
      </c>
      <c r="AR27" s="122" t="s">
        <v>232</v>
      </c>
      <c r="AS27" s="122" t="s">
        <v>281</v>
      </c>
      <c r="AT27" s="122" t="s">
        <v>73</v>
      </c>
      <c r="AU27" s="126">
        <v>0.33500000000000002</v>
      </c>
      <c r="AV27" s="127" t="s">
        <v>86</v>
      </c>
      <c r="AW27" s="126">
        <v>0.14960000000000001</v>
      </c>
      <c r="AX27" s="128">
        <v>0.05</v>
      </c>
      <c r="AY27" s="122">
        <v>1</v>
      </c>
      <c r="AZ27" s="128">
        <f t="shared" si="10"/>
        <v>2.2393048128342246</v>
      </c>
      <c r="BA27" s="129">
        <f t="shared" si="1"/>
        <v>0.33500000000000002</v>
      </c>
      <c r="BC27" s="122" t="s">
        <v>73</v>
      </c>
      <c r="BD27" s="122" t="s">
        <v>73</v>
      </c>
      <c r="BE27" s="122" t="s">
        <v>73</v>
      </c>
      <c r="BF27" s="122" t="s">
        <v>73</v>
      </c>
      <c r="BG27" s="122" t="s">
        <v>73</v>
      </c>
      <c r="BH27" s="122" t="s">
        <v>73</v>
      </c>
      <c r="BI27" s="122">
        <v>326</v>
      </c>
      <c r="BJ27" s="122">
        <f t="shared" si="11"/>
        <v>326</v>
      </c>
      <c r="BK27" s="122" t="s">
        <v>73</v>
      </c>
      <c r="BL27" s="122" t="s">
        <v>73</v>
      </c>
      <c r="BM27" s="122" t="s">
        <v>73</v>
      </c>
      <c r="BN27" s="122" t="s">
        <v>73</v>
      </c>
      <c r="BO27" s="122" t="s">
        <v>73</v>
      </c>
      <c r="BP27" s="122">
        <v>0</v>
      </c>
      <c r="BQ27" s="122" t="s">
        <v>73</v>
      </c>
      <c r="BR27" s="122">
        <v>0</v>
      </c>
      <c r="BS27" s="122" t="s">
        <v>73</v>
      </c>
      <c r="BT27" s="122" t="s">
        <v>282</v>
      </c>
      <c r="BU27" s="122">
        <v>0</v>
      </c>
      <c r="BV27" s="122">
        <v>0</v>
      </c>
      <c r="BW27" s="122">
        <v>0</v>
      </c>
      <c r="BX27" s="131">
        <f t="shared" si="7"/>
        <v>0.12308063083097449</v>
      </c>
      <c r="BY27" s="131">
        <f t="shared" si="2"/>
        <v>0.12370785144137753</v>
      </c>
      <c r="BZ27" s="131">
        <f t="shared" si="8"/>
        <v>3.0762024579447773E-3</v>
      </c>
      <c r="CA27" s="131">
        <f t="shared" si="9"/>
        <v>3.0959752321981426E-3</v>
      </c>
      <c r="CE27" s="96">
        <f t="shared" si="3"/>
        <v>0.12308063083097449</v>
      </c>
      <c r="CF27" s="96">
        <f t="shared" si="4"/>
        <v>0.12370785144137753</v>
      </c>
      <c r="CG27" s="96">
        <f t="shared" si="5"/>
        <v>3.0762024579447773E-3</v>
      </c>
      <c r="CH27" s="96">
        <f t="shared" si="6"/>
        <v>3.0959752321981426E-3</v>
      </c>
    </row>
    <row r="28" spans="1:16359" s="122" customFormat="1" ht="16">
      <c r="A28" s="122" t="s">
        <v>257</v>
      </c>
      <c r="C28" s="122">
        <v>1208</v>
      </c>
      <c r="D28" s="122">
        <v>203</v>
      </c>
      <c r="E28" s="122" t="s">
        <v>273</v>
      </c>
      <c r="F28" s="122">
        <v>2021</v>
      </c>
      <c r="G28" s="122" t="s">
        <v>274</v>
      </c>
      <c r="H28" s="122" t="s">
        <v>275</v>
      </c>
      <c r="I28" s="122">
        <v>2</v>
      </c>
      <c r="J28" s="122" t="s">
        <v>276</v>
      </c>
      <c r="K28" s="122" t="s">
        <v>73</v>
      </c>
      <c r="L28" s="122">
        <v>5</v>
      </c>
      <c r="M28" s="123" t="s">
        <v>120</v>
      </c>
      <c r="N28" s="122" t="s">
        <v>262</v>
      </c>
      <c r="O28" s="122" t="s">
        <v>277</v>
      </c>
      <c r="P28" s="124" t="s">
        <v>226</v>
      </c>
      <c r="Q28" s="122" t="s">
        <v>227</v>
      </c>
      <c r="R28" s="122" t="s">
        <v>405</v>
      </c>
      <c r="S28" s="124">
        <v>0</v>
      </c>
      <c r="T28" s="124" t="s">
        <v>229</v>
      </c>
      <c r="U28" s="124">
        <v>0</v>
      </c>
      <c r="V28" s="125" t="s">
        <v>278</v>
      </c>
      <c r="W28" s="125" t="s">
        <v>230</v>
      </c>
      <c r="X28" s="125" t="s">
        <v>279</v>
      </c>
      <c r="Y28" s="122">
        <v>0</v>
      </c>
      <c r="Z28" s="122">
        <v>0</v>
      </c>
      <c r="AA28" s="122">
        <v>1</v>
      </c>
      <c r="AB28" s="122">
        <v>0</v>
      </c>
      <c r="AC28" s="122">
        <v>0</v>
      </c>
      <c r="AD28" s="122">
        <v>0</v>
      </c>
      <c r="AE28" s="122">
        <v>0</v>
      </c>
      <c r="AF28" s="122">
        <v>0</v>
      </c>
      <c r="AG28" s="122" t="s">
        <v>280</v>
      </c>
      <c r="AH28" s="122">
        <v>0</v>
      </c>
      <c r="AI28" s="122">
        <v>0</v>
      </c>
      <c r="AJ28" s="122">
        <v>0</v>
      </c>
      <c r="AK28" s="122">
        <v>1</v>
      </c>
      <c r="AL28" s="122">
        <v>0</v>
      </c>
      <c r="AM28" s="122">
        <v>0</v>
      </c>
      <c r="AN28" s="122">
        <v>0</v>
      </c>
      <c r="AO28" s="122">
        <v>0</v>
      </c>
      <c r="AP28" s="122">
        <v>0</v>
      </c>
      <c r="AQ28" s="122" t="s">
        <v>73</v>
      </c>
      <c r="AR28" s="122" t="s">
        <v>232</v>
      </c>
      <c r="AS28" s="122" t="s">
        <v>281</v>
      </c>
      <c r="AT28" s="122" t="s">
        <v>73</v>
      </c>
      <c r="AU28" s="126">
        <v>0.4017</v>
      </c>
      <c r="AV28" s="127" t="s">
        <v>80</v>
      </c>
      <c r="AW28" s="126">
        <v>0.35070000000000001</v>
      </c>
      <c r="AX28" s="128">
        <v>0.1</v>
      </c>
      <c r="AY28" s="122">
        <v>2</v>
      </c>
      <c r="AZ28" s="128">
        <f t="shared" si="10"/>
        <v>1.1454234388366125</v>
      </c>
      <c r="BA28" s="129">
        <f t="shared" si="1"/>
        <v>0.4017</v>
      </c>
      <c r="BC28" s="122" t="s">
        <v>73</v>
      </c>
      <c r="BD28" s="122" t="s">
        <v>73</v>
      </c>
      <c r="BE28" s="122" t="s">
        <v>73</v>
      </c>
      <c r="BF28" s="122" t="s">
        <v>73</v>
      </c>
      <c r="BG28" s="122" t="s">
        <v>73</v>
      </c>
      <c r="BH28" s="122" t="s">
        <v>73</v>
      </c>
      <c r="BI28" s="122">
        <v>208</v>
      </c>
      <c r="BJ28" s="122">
        <f t="shared" si="11"/>
        <v>208</v>
      </c>
      <c r="BK28" s="122" t="s">
        <v>73</v>
      </c>
      <c r="BL28" s="122" t="s">
        <v>73</v>
      </c>
      <c r="BM28" s="122" t="s">
        <v>73</v>
      </c>
      <c r="BN28" s="122" t="s">
        <v>73</v>
      </c>
      <c r="BO28" s="122" t="s">
        <v>73</v>
      </c>
      <c r="BP28" s="122">
        <v>0</v>
      </c>
      <c r="BQ28" s="122" t="s">
        <v>73</v>
      </c>
      <c r="BR28" s="122">
        <v>0</v>
      </c>
      <c r="BS28" s="122" t="s">
        <v>73</v>
      </c>
      <c r="BT28" s="122" t="s">
        <v>282</v>
      </c>
      <c r="BU28" s="122">
        <v>0</v>
      </c>
      <c r="BV28" s="122">
        <v>0</v>
      </c>
      <c r="BW28" s="122">
        <v>0</v>
      </c>
      <c r="BX28" s="131">
        <f t="shared" si="7"/>
        <v>7.9171524466324972E-2</v>
      </c>
      <c r="BY28" s="131">
        <f t="shared" si="2"/>
        <v>7.9337568530044145E-2</v>
      </c>
      <c r="BZ28" s="131">
        <f t="shared" si="8"/>
        <v>4.8307264729563464E-3</v>
      </c>
      <c r="CA28" s="131">
        <f t="shared" si="9"/>
        <v>4.8780487804878049E-3</v>
      </c>
      <c r="CE28" s="96">
        <f t="shared" si="3"/>
        <v>7.9171524466324972E-2</v>
      </c>
      <c r="CF28" s="96">
        <f t="shared" si="4"/>
        <v>7.9337568530044145E-2</v>
      </c>
      <c r="CG28" s="96">
        <f t="shared" si="5"/>
        <v>4.8307264729563464E-3</v>
      </c>
      <c r="CH28" s="96">
        <f t="shared" si="6"/>
        <v>4.8780487804878049E-3</v>
      </c>
    </row>
    <row r="29" spans="1:16359" s="105" customFormat="1" ht="16">
      <c r="A29" t="s">
        <v>68</v>
      </c>
      <c r="B29"/>
      <c r="C29" s="93">
        <v>1281</v>
      </c>
      <c r="D29">
        <v>147</v>
      </c>
      <c r="E29" t="s">
        <v>242</v>
      </c>
      <c r="F29">
        <v>2017</v>
      </c>
      <c r="G29" t="s">
        <v>166</v>
      </c>
      <c r="H29" s="10" t="s">
        <v>167</v>
      </c>
      <c r="I29">
        <v>1</v>
      </c>
      <c r="J29">
        <v>2009</v>
      </c>
      <c r="K29" t="s">
        <v>73</v>
      </c>
      <c r="L29">
        <v>40</v>
      </c>
      <c r="M29" s="18" t="s">
        <v>120</v>
      </c>
      <c r="N29" t="s">
        <v>225</v>
      </c>
      <c r="O29" t="s">
        <v>81</v>
      </c>
      <c r="P29" t="s">
        <v>226</v>
      </c>
      <c r="Q29" t="s">
        <v>227</v>
      </c>
      <c r="R29" t="s">
        <v>245</v>
      </c>
      <c r="S29">
        <v>0</v>
      </c>
      <c r="T29" t="s">
        <v>188</v>
      </c>
      <c r="U29">
        <v>0</v>
      </c>
      <c r="V29" t="s">
        <v>230</v>
      </c>
      <c r="W29" t="s">
        <v>230</v>
      </c>
      <c r="X29" t="s">
        <v>73</v>
      </c>
      <c r="Y29">
        <v>0</v>
      </c>
      <c r="Z29">
        <v>0</v>
      </c>
      <c r="AA29">
        <v>0</v>
      </c>
      <c r="AB29">
        <v>1</v>
      </c>
      <c r="AC29">
        <v>0</v>
      </c>
      <c r="AD29">
        <v>0</v>
      </c>
      <c r="AE29">
        <v>0</v>
      </c>
      <c r="AF29">
        <v>0</v>
      </c>
      <c r="AG29" t="s">
        <v>73</v>
      </c>
      <c r="AH29">
        <v>0</v>
      </c>
      <c r="AI29">
        <v>0</v>
      </c>
      <c r="AJ29">
        <v>0</v>
      </c>
      <c r="AK29">
        <v>1</v>
      </c>
      <c r="AL29">
        <v>0</v>
      </c>
      <c r="AM29">
        <v>0</v>
      </c>
      <c r="AN29">
        <v>0</v>
      </c>
      <c r="AO29">
        <v>0</v>
      </c>
      <c r="AP29" s="10">
        <v>0</v>
      </c>
      <c r="AQ29" t="s">
        <v>73</v>
      </c>
      <c r="AR29" t="s">
        <v>232</v>
      </c>
      <c r="AS29" s="95" t="s">
        <v>283</v>
      </c>
      <c r="AT29" t="s">
        <v>240</v>
      </c>
      <c r="AU29" s="25">
        <v>2.1000000000000001E-2</v>
      </c>
      <c r="AV29" s="7" t="s">
        <v>80</v>
      </c>
      <c r="AW29">
        <v>5.0000000000000001E-3</v>
      </c>
      <c r="AX29" s="41" t="s">
        <v>73</v>
      </c>
      <c r="AY29">
        <v>3</v>
      </c>
      <c r="AZ29">
        <f t="shared" si="10"/>
        <v>4.2</v>
      </c>
      <c r="BA29" s="100">
        <f t="shared" ref="BA29:BA38" si="12">AU29</f>
        <v>2.1000000000000001E-2</v>
      </c>
      <c r="BB29" s="100"/>
      <c r="BC29" t="s">
        <v>73</v>
      </c>
      <c r="BD29" t="s">
        <v>73</v>
      </c>
      <c r="BE29" t="s">
        <v>73</v>
      </c>
      <c r="BF29" t="s">
        <v>73</v>
      </c>
      <c r="BG29" t="s">
        <v>73</v>
      </c>
      <c r="BH29" t="s">
        <v>73</v>
      </c>
      <c r="BI29">
        <v>12450</v>
      </c>
      <c r="BJ29">
        <v>12450</v>
      </c>
      <c r="BK29" t="s">
        <v>73</v>
      </c>
      <c r="BL29" t="s">
        <v>73</v>
      </c>
      <c r="BM29">
        <v>100</v>
      </c>
      <c r="BN29" t="s">
        <v>73</v>
      </c>
      <c r="BO29" t="s">
        <v>241</v>
      </c>
      <c r="BP29" t="s">
        <v>73</v>
      </c>
      <c r="BQ29" t="s">
        <v>73</v>
      </c>
      <c r="BR29" t="s">
        <v>73</v>
      </c>
      <c r="BS29" t="s">
        <v>73</v>
      </c>
      <c r="BT29" t="s">
        <v>73</v>
      </c>
      <c r="BU29">
        <v>0</v>
      </c>
      <c r="BV29">
        <v>1</v>
      </c>
      <c r="BW29">
        <v>0</v>
      </c>
      <c r="BX29" s="30">
        <f t="shared" si="7"/>
        <v>3.7614661992478114E-2</v>
      </c>
      <c r="BY29" s="30">
        <f t="shared" si="2"/>
        <v>3.7632416929352756E-2</v>
      </c>
      <c r="BZ29" s="30">
        <f t="shared" si="8"/>
        <v>8.0327576060803895E-5</v>
      </c>
      <c r="CA29" s="30">
        <f t="shared" si="9"/>
        <v>8.0340644331967548E-5</v>
      </c>
      <c r="CB29"/>
      <c r="CC29"/>
      <c r="CD29"/>
      <c r="CE29" s="30">
        <f t="shared" si="3"/>
        <v>3.7614661992478114E-2</v>
      </c>
      <c r="CF29" s="30">
        <f t="shared" si="4"/>
        <v>3.7632416929352756E-2</v>
      </c>
      <c r="CG29" s="30">
        <f t="shared" si="5"/>
        <v>8.0327576060803895E-5</v>
      </c>
      <c r="CH29" s="30">
        <f t="shared" si="6"/>
        <v>8.0340644331967548E-5</v>
      </c>
    </row>
    <row r="30" spans="1:16359" s="105" customFormat="1" ht="16">
      <c r="A30" t="s">
        <v>68</v>
      </c>
      <c r="B30"/>
      <c r="C30" s="93">
        <v>1282</v>
      </c>
      <c r="D30">
        <v>147</v>
      </c>
      <c r="E30" t="s">
        <v>242</v>
      </c>
      <c r="F30">
        <v>2017</v>
      </c>
      <c r="G30" t="s">
        <v>166</v>
      </c>
      <c r="H30" s="10" t="s">
        <v>167</v>
      </c>
      <c r="I30">
        <v>1</v>
      </c>
      <c r="J30">
        <v>2009</v>
      </c>
      <c r="K30" t="s">
        <v>73</v>
      </c>
      <c r="L30">
        <v>40</v>
      </c>
      <c r="M30" s="18" t="s">
        <v>120</v>
      </c>
      <c r="N30" t="s">
        <v>225</v>
      </c>
      <c r="O30" t="s">
        <v>81</v>
      </c>
      <c r="P30" t="s">
        <v>226</v>
      </c>
      <c r="Q30" t="s">
        <v>227</v>
      </c>
      <c r="R30" t="s">
        <v>245</v>
      </c>
      <c r="S30">
        <v>0</v>
      </c>
      <c r="T30" t="s">
        <v>188</v>
      </c>
      <c r="U30">
        <v>0</v>
      </c>
      <c r="V30" t="s">
        <v>230</v>
      </c>
      <c r="W30" t="s">
        <v>230</v>
      </c>
      <c r="X30" t="s">
        <v>73</v>
      </c>
      <c r="Y30">
        <v>0</v>
      </c>
      <c r="Z30">
        <v>0</v>
      </c>
      <c r="AA30">
        <v>0</v>
      </c>
      <c r="AB30">
        <v>1</v>
      </c>
      <c r="AC30">
        <v>0</v>
      </c>
      <c r="AD30">
        <v>0</v>
      </c>
      <c r="AE30">
        <v>0</v>
      </c>
      <c r="AF30">
        <v>0</v>
      </c>
      <c r="AG30" t="s">
        <v>73</v>
      </c>
      <c r="AH30">
        <v>0</v>
      </c>
      <c r="AI30">
        <v>0</v>
      </c>
      <c r="AJ30">
        <v>0</v>
      </c>
      <c r="AK30">
        <v>1</v>
      </c>
      <c r="AL30">
        <v>0</v>
      </c>
      <c r="AM30">
        <v>0</v>
      </c>
      <c r="AN30">
        <v>0</v>
      </c>
      <c r="AO30">
        <v>0</v>
      </c>
      <c r="AP30" s="10">
        <v>0</v>
      </c>
      <c r="AQ30" t="s">
        <v>73</v>
      </c>
      <c r="AR30" t="s">
        <v>232</v>
      </c>
      <c r="AS30" t="s">
        <v>284</v>
      </c>
      <c r="AT30" t="s">
        <v>240</v>
      </c>
      <c r="AU30" s="25">
        <v>2.3999999999999998E-3</v>
      </c>
      <c r="AV30" s="7" t="s">
        <v>80</v>
      </c>
      <c r="AW30">
        <v>2E-3</v>
      </c>
      <c r="AX30" s="41" t="s">
        <v>73</v>
      </c>
      <c r="AY30">
        <v>3</v>
      </c>
      <c r="AZ30">
        <f t="shared" si="10"/>
        <v>1.2</v>
      </c>
      <c r="BA30" s="100">
        <f t="shared" si="12"/>
        <v>2.3999999999999998E-3</v>
      </c>
      <c r="BB30" s="100"/>
      <c r="BC30" t="s">
        <v>73</v>
      </c>
      <c r="BD30" t="s">
        <v>73</v>
      </c>
      <c r="BE30" t="s">
        <v>73</v>
      </c>
      <c r="BF30" t="s">
        <v>73</v>
      </c>
      <c r="BG30" t="s">
        <v>73</v>
      </c>
      <c r="BH30" t="s">
        <v>73</v>
      </c>
      <c r="BI30">
        <v>12450</v>
      </c>
      <c r="BJ30">
        <v>12450</v>
      </c>
      <c r="BK30" t="s">
        <v>73</v>
      </c>
      <c r="BL30" t="s">
        <v>73</v>
      </c>
      <c r="BM30">
        <v>100</v>
      </c>
      <c r="BN30" t="s">
        <v>73</v>
      </c>
      <c r="BO30" t="s">
        <v>241</v>
      </c>
      <c r="BP30" t="s">
        <v>73</v>
      </c>
      <c r="BQ30" t="s">
        <v>73</v>
      </c>
      <c r="BR30" t="s">
        <v>73</v>
      </c>
      <c r="BS30" t="s">
        <v>73</v>
      </c>
      <c r="BT30" t="s">
        <v>73</v>
      </c>
      <c r="BU30">
        <v>0</v>
      </c>
      <c r="BV30">
        <v>1</v>
      </c>
      <c r="BW30">
        <v>0</v>
      </c>
      <c r="BX30" s="30">
        <f t="shared" si="7"/>
        <v>1.0754035256628266E-2</v>
      </c>
      <c r="BY30" s="30">
        <f t="shared" si="2"/>
        <v>1.0754449850854842E-2</v>
      </c>
      <c r="BZ30" s="30">
        <f t="shared" si="8"/>
        <v>8.0327736093114527E-5</v>
      </c>
      <c r="CA30" s="30">
        <f t="shared" si="9"/>
        <v>8.0340644331967548E-5</v>
      </c>
      <c r="CB30"/>
      <c r="CC30"/>
      <c r="CD30"/>
      <c r="CE30" s="30">
        <f t="shared" si="3"/>
        <v>1.0754035256628266E-2</v>
      </c>
      <c r="CF30" s="30">
        <f t="shared" si="4"/>
        <v>1.0754449850854842E-2</v>
      </c>
      <c r="CG30" s="30">
        <f t="shared" si="5"/>
        <v>8.0327736093114527E-5</v>
      </c>
      <c r="CH30" s="30">
        <f t="shared" si="6"/>
        <v>8.0340644331967548E-5</v>
      </c>
    </row>
    <row r="31" spans="1:16359" s="105" customFormat="1" ht="16">
      <c r="A31" t="s">
        <v>68</v>
      </c>
      <c r="B31"/>
      <c r="C31" s="93">
        <v>1283</v>
      </c>
      <c r="D31">
        <v>147</v>
      </c>
      <c r="E31" t="s">
        <v>242</v>
      </c>
      <c r="F31">
        <v>2017</v>
      </c>
      <c r="G31" t="s">
        <v>166</v>
      </c>
      <c r="H31" s="10" t="s">
        <v>167</v>
      </c>
      <c r="I31">
        <v>1</v>
      </c>
      <c r="J31">
        <v>2009</v>
      </c>
      <c r="K31" t="s">
        <v>73</v>
      </c>
      <c r="L31">
        <v>40</v>
      </c>
      <c r="M31" s="18" t="s">
        <v>120</v>
      </c>
      <c r="N31" t="s">
        <v>225</v>
      </c>
      <c r="O31" t="s">
        <v>81</v>
      </c>
      <c r="P31" t="s">
        <v>226</v>
      </c>
      <c r="Q31" t="s">
        <v>227</v>
      </c>
      <c r="R31" t="s">
        <v>245</v>
      </c>
      <c r="S31">
        <v>0</v>
      </c>
      <c r="T31" t="s">
        <v>188</v>
      </c>
      <c r="U31">
        <v>0</v>
      </c>
      <c r="V31" t="s">
        <v>230</v>
      </c>
      <c r="W31" t="s">
        <v>230</v>
      </c>
      <c r="X31" t="s">
        <v>73</v>
      </c>
      <c r="Y31">
        <v>0</v>
      </c>
      <c r="Z31">
        <v>0</v>
      </c>
      <c r="AA31">
        <v>0</v>
      </c>
      <c r="AB31">
        <v>1</v>
      </c>
      <c r="AC31">
        <v>0</v>
      </c>
      <c r="AD31">
        <v>0</v>
      </c>
      <c r="AE31">
        <v>0</v>
      </c>
      <c r="AF31">
        <v>0</v>
      </c>
      <c r="AG31" t="s">
        <v>73</v>
      </c>
      <c r="AH31">
        <v>0</v>
      </c>
      <c r="AI31">
        <v>0</v>
      </c>
      <c r="AJ31">
        <v>0</v>
      </c>
      <c r="AK31">
        <v>1</v>
      </c>
      <c r="AL31">
        <v>0</v>
      </c>
      <c r="AM31">
        <v>0</v>
      </c>
      <c r="AN31">
        <v>0</v>
      </c>
      <c r="AO31">
        <v>0</v>
      </c>
      <c r="AP31" s="10">
        <v>0</v>
      </c>
      <c r="AQ31" t="s">
        <v>73</v>
      </c>
      <c r="AR31" t="s">
        <v>232</v>
      </c>
      <c r="AS31" t="s">
        <v>284</v>
      </c>
      <c r="AT31" t="s">
        <v>240</v>
      </c>
      <c r="AU31" s="25">
        <v>3.1E-4</v>
      </c>
      <c r="AV31" s="7" t="s">
        <v>86</v>
      </c>
      <c r="AW31">
        <v>1E-3</v>
      </c>
      <c r="AX31" s="41" t="s">
        <v>73</v>
      </c>
      <c r="AY31">
        <v>3</v>
      </c>
      <c r="AZ31">
        <f t="shared" si="10"/>
        <v>0.31</v>
      </c>
      <c r="BA31" s="100">
        <f t="shared" si="12"/>
        <v>3.1E-4</v>
      </c>
      <c r="BB31" s="100"/>
      <c r="BC31" t="s">
        <v>73</v>
      </c>
      <c r="BD31" t="s">
        <v>73</v>
      </c>
      <c r="BE31" t="s">
        <v>73</v>
      </c>
      <c r="BF31" t="s">
        <v>73</v>
      </c>
      <c r="BG31" t="s">
        <v>73</v>
      </c>
      <c r="BH31" t="s">
        <v>73</v>
      </c>
      <c r="BI31">
        <v>12450</v>
      </c>
      <c r="BJ31">
        <v>12450</v>
      </c>
      <c r="BK31" t="s">
        <v>73</v>
      </c>
      <c r="BL31" t="s">
        <v>73</v>
      </c>
      <c r="BM31">
        <v>100</v>
      </c>
      <c r="BN31" t="s">
        <v>73</v>
      </c>
      <c r="BO31" t="s">
        <v>241</v>
      </c>
      <c r="BP31" t="s">
        <v>73</v>
      </c>
      <c r="BQ31" t="s">
        <v>73</v>
      </c>
      <c r="BR31" t="s">
        <v>73</v>
      </c>
      <c r="BS31" t="s">
        <v>73</v>
      </c>
      <c r="BT31" t="s">
        <v>73</v>
      </c>
      <c r="BU31">
        <v>0</v>
      </c>
      <c r="BV31">
        <v>1</v>
      </c>
      <c r="BW31">
        <v>0</v>
      </c>
      <c r="BX31" s="30">
        <f t="shared" si="7"/>
        <v>2.7782757101175023E-3</v>
      </c>
      <c r="BY31" s="30">
        <f t="shared" si="2"/>
        <v>2.7782828584835876E-3</v>
      </c>
      <c r="BZ31" s="30">
        <f t="shared" si="8"/>
        <v>8.0327737162857996E-5</v>
      </c>
      <c r="CA31" s="30">
        <f t="shared" si="9"/>
        <v>8.0340644331967548E-5</v>
      </c>
      <c r="CB31"/>
      <c r="CC31"/>
      <c r="CD31"/>
      <c r="CE31" s="30">
        <f t="shared" si="3"/>
        <v>2.7782757101175023E-3</v>
      </c>
      <c r="CF31" s="30">
        <f t="shared" si="4"/>
        <v>2.7782828584835876E-3</v>
      </c>
      <c r="CG31" s="30">
        <f t="shared" si="5"/>
        <v>8.0327737162857996E-5</v>
      </c>
      <c r="CH31" s="30">
        <f t="shared" si="6"/>
        <v>8.0340644331967548E-5</v>
      </c>
    </row>
    <row r="32" spans="1:16359" s="105" customFormat="1" ht="16">
      <c r="A32" t="s">
        <v>68</v>
      </c>
      <c r="B32"/>
      <c r="C32" s="93">
        <v>1284</v>
      </c>
      <c r="D32">
        <v>147</v>
      </c>
      <c r="E32" t="s">
        <v>242</v>
      </c>
      <c r="F32">
        <v>2017</v>
      </c>
      <c r="G32" t="s">
        <v>166</v>
      </c>
      <c r="H32" s="10" t="s">
        <v>167</v>
      </c>
      <c r="I32">
        <v>1</v>
      </c>
      <c r="J32">
        <v>2009</v>
      </c>
      <c r="K32" t="s">
        <v>73</v>
      </c>
      <c r="L32">
        <v>40</v>
      </c>
      <c r="M32" s="18" t="s">
        <v>120</v>
      </c>
      <c r="N32" t="s">
        <v>225</v>
      </c>
      <c r="O32" t="s">
        <v>81</v>
      </c>
      <c r="P32" t="s">
        <v>226</v>
      </c>
      <c r="Q32" t="s">
        <v>227</v>
      </c>
      <c r="R32" t="s">
        <v>245</v>
      </c>
      <c r="S32">
        <v>0</v>
      </c>
      <c r="T32" t="s">
        <v>188</v>
      </c>
      <c r="U32">
        <v>0</v>
      </c>
      <c r="V32" t="s">
        <v>230</v>
      </c>
      <c r="W32" t="s">
        <v>230</v>
      </c>
      <c r="X32" t="s">
        <v>73</v>
      </c>
      <c r="Y32">
        <v>0</v>
      </c>
      <c r="Z32">
        <v>0</v>
      </c>
      <c r="AA32">
        <v>0</v>
      </c>
      <c r="AB32">
        <v>1</v>
      </c>
      <c r="AC32">
        <v>0</v>
      </c>
      <c r="AD32">
        <v>0</v>
      </c>
      <c r="AE32">
        <v>0</v>
      </c>
      <c r="AF32">
        <v>0</v>
      </c>
      <c r="AG32" t="s">
        <v>73</v>
      </c>
      <c r="AH32">
        <v>1</v>
      </c>
      <c r="AI32">
        <v>0</v>
      </c>
      <c r="AJ32">
        <v>0</v>
      </c>
      <c r="AK32">
        <v>0</v>
      </c>
      <c r="AL32">
        <v>0</v>
      </c>
      <c r="AM32">
        <v>0</v>
      </c>
      <c r="AN32">
        <v>0</v>
      </c>
      <c r="AO32">
        <v>0</v>
      </c>
      <c r="AP32" s="10">
        <v>0</v>
      </c>
      <c r="AQ32" t="s">
        <v>73</v>
      </c>
      <c r="AR32" t="s">
        <v>232</v>
      </c>
      <c r="AS32" t="s">
        <v>284</v>
      </c>
      <c r="AT32" t="s">
        <v>240</v>
      </c>
      <c r="AU32" s="25">
        <v>2.1000000000000001E-2</v>
      </c>
      <c r="AV32" s="7" t="s">
        <v>80</v>
      </c>
      <c r="AW32">
        <v>5.0000000000000001E-3</v>
      </c>
      <c r="AX32" s="41" t="s">
        <v>73</v>
      </c>
      <c r="AY32">
        <v>3</v>
      </c>
      <c r="AZ32">
        <f t="shared" si="10"/>
        <v>4.2</v>
      </c>
      <c r="BA32" s="100">
        <f t="shared" si="12"/>
        <v>2.1000000000000001E-2</v>
      </c>
      <c r="BB32" s="100"/>
      <c r="BC32" t="s">
        <v>73</v>
      </c>
      <c r="BD32" t="s">
        <v>73</v>
      </c>
      <c r="BE32" t="s">
        <v>73</v>
      </c>
      <c r="BF32" t="s">
        <v>73</v>
      </c>
      <c r="BG32" t="s">
        <v>73</v>
      </c>
      <c r="BH32" t="s">
        <v>73</v>
      </c>
      <c r="BI32">
        <v>12100</v>
      </c>
      <c r="BJ32">
        <v>12100</v>
      </c>
      <c r="BK32" t="s">
        <v>73</v>
      </c>
      <c r="BL32" t="s">
        <v>73</v>
      </c>
      <c r="BM32">
        <v>100</v>
      </c>
      <c r="BN32" t="s">
        <v>73</v>
      </c>
      <c r="BO32" t="s">
        <v>241</v>
      </c>
      <c r="BP32" t="s">
        <v>73</v>
      </c>
      <c r="BQ32" t="s">
        <v>73</v>
      </c>
      <c r="BR32" t="s">
        <v>73</v>
      </c>
      <c r="BS32" t="s">
        <v>73</v>
      </c>
      <c r="BT32" t="s">
        <v>73</v>
      </c>
      <c r="BU32">
        <v>0</v>
      </c>
      <c r="BV32">
        <v>1</v>
      </c>
      <c r="BW32">
        <v>0</v>
      </c>
      <c r="BX32" s="30">
        <f t="shared" si="7"/>
        <v>3.8154016870275712E-2</v>
      </c>
      <c r="BY32" s="30">
        <f t="shared" si="2"/>
        <v>3.8172547027553468E-2</v>
      </c>
      <c r="BZ32" s="30">
        <f t="shared" si="8"/>
        <v>8.2651283307154936E-5</v>
      </c>
      <c r="CA32" s="30">
        <f t="shared" si="9"/>
        <v>8.2665123584359755E-5</v>
      </c>
      <c r="CB32"/>
      <c r="CC32"/>
      <c r="CD32"/>
      <c r="CE32" s="30">
        <f t="shared" si="3"/>
        <v>3.8154016870275712E-2</v>
      </c>
      <c r="CF32" s="30">
        <f t="shared" si="4"/>
        <v>3.8172547027553468E-2</v>
      </c>
      <c r="CG32" s="30">
        <f t="shared" si="5"/>
        <v>8.2651283307154936E-5</v>
      </c>
      <c r="CH32" s="30">
        <f t="shared" si="6"/>
        <v>8.2665123584359755E-5</v>
      </c>
    </row>
    <row r="33" spans="1:86" s="105" customFormat="1" ht="16">
      <c r="A33" t="s">
        <v>68</v>
      </c>
      <c r="B33"/>
      <c r="C33" s="93">
        <v>1285</v>
      </c>
      <c r="D33">
        <v>147</v>
      </c>
      <c r="E33" t="s">
        <v>242</v>
      </c>
      <c r="F33">
        <v>2017</v>
      </c>
      <c r="G33" t="s">
        <v>166</v>
      </c>
      <c r="H33" s="10" t="s">
        <v>167</v>
      </c>
      <c r="I33">
        <v>1</v>
      </c>
      <c r="J33">
        <v>2009</v>
      </c>
      <c r="K33" t="s">
        <v>73</v>
      </c>
      <c r="L33">
        <v>40</v>
      </c>
      <c r="M33" s="18" t="s">
        <v>120</v>
      </c>
      <c r="N33" t="s">
        <v>225</v>
      </c>
      <c r="O33" t="s">
        <v>81</v>
      </c>
      <c r="P33" t="s">
        <v>226</v>
      </c>
      <c r="Q33" t="s">
        <v>227</v>
      </c>
      <c r="R33" t="s">
        <v>245</v>
      </c>
      <c r="S33">
        <v>0</v>
      </c>
      <c r="T33" t="s">
        <v>188</v>
      </c>
      <c r="U33">
        <v>0</v>
      </c>
      <c r="V33" t="s">
        <v>230</v>
      </c>
      <c r="W33" t="s">
        <v>230</v>
      </c>
      <c r="X33" t="s">
        <v>73</v>
      </c>
      <c r="Y33">
        <v>0</v>
      </c>
      <c r="Z33">
        <v>0</v>
      </c>
      <c r="AA33">
        <v>0</v>
      </c>
      <c r="AB33">
        <v>1</v>
      </c>
      <c r="AC33">
        <v>0</v>
      </c>
      <c r="AD33">
        <v>0</v>
      </c>
      <c r="AE33">
        <v>0</v>
      </c>
      <c r="AF33">
        <v>0</v>
      </c>
      <c r="AG33" t="s">
        <v>73</v>
      </c>
      <c r="AH33">
        <v>1</v>
      </c>
      <c r="AI33">
        <v>0</v>
      </c>
      <c r="AJ33">
        <v>0</v>
      </c>
      <c r="AK33">
        <v>0</v>
      </c>
      <c r="AL33">
        <v>0</v>
      </c>
      <c r="AM33">
        <v>0</v>
      </c>
      <c r="AN33">
        <v>0</v>
      </c>
      <c r="AO33">
        <v>0</v>
      </c>
      <c r="AP33" s="10">
        <v>0</v>
      </c>
      <c r="AQ33" t="s">
        <v>73</v>
      </c>
      <c r="AR33" t="s">
        <v>232</v>
      </c>
      <c r="AS33" t="s">
        <v>284</v>
      </c>
      <c r="AT33" t="s">
        <v>240</v>
      </c>
      <c r="AU33" s="25">
        <v>8.7000000000000001E-4</v>
      </c>
      <c r="AV33" s="7" t="s">
        <v>80</v>
      </c>
      <c r="AW33">
        <v>1E-3</v>
      </c>
      <c r="AX33" s="41" t="s">
        <v>73</v>
      </c>
      <c r="AY33">
        <v>3</v>
      </c>
      <c r="AZ33">
        <f t="shared" si="10"/>
        <v>0.87</v>
      </c>
      <c r="BA33" s="100">
        <f t="shared" si="12"/>
        <v>8.7000000000000001E-4</v>
      </c>
      <c r="BB33" s="100"/>
      <c r="BC33" t="s">
        <v>73</v>
      </c>
      <c r="BD33" t="s">
        <v>73</v>
      </c>
      <c r="BE33" t="s">
        <v>73</v>
      </c>
      <c r="BF33" t="s">
        <v>73</v>
      </c>
      <c r="BG33" t="s">
        <v>73</v>
      </c>
      <c r="BH33" t="s">
        <v>73</v>
      </c>
      <c r="BI33">
        <v>12100</v>
      </c>
      <c r="BJ33">
        <v>12100</v>
      </c>
      <c r="BK33" t="s">
        <v>73</v>
      </c>
      <c r="BL33" t="s">
        <v>73</v>
      </c>
      <c r="BM33">
        <v>100</v>
      </c>
      <c r="BN33" t="s">
        <v>73</v>
      </c>
      <c r="BO33" t="s">
        <v>241</v>
      </c>
      <c r="BP33" t="s">
        <v>73</v>
      </c>
      <c r="BQ33" t="s">
        <v>73</v>
      </c>
      <c r="BR33" t="s">
        <v>73</v>
      </c>
      <c r="BS33" t="s">
        <v>73</v>
      </c>
      <c r="BT33" t="s">
        <v>73</v>
      </c>
      <c r="BU33">
        <v>0</v>
      </c>
      <c r="BV33">
        <v>1</v>
      </c>
      <c r="BW33">
        <v>0</v>
      </c>
      <c r="BX33" s="30">
        <f t="shared" si="7"/>
        <v>7.9088435491706417E-3</v>
      </c>
      <c r="BY33" s="30">
        <f t="shared" si="2"/>
        <v>7.9090084542367822E-3</v>
      </c>
      <c r="BZ33" s="30">
        <f t="shared" si="8"/>
        <v>8.2651458474848776E-5</v>
      </c>
      <c r="CA33" s="30">
        <f t="shared" si="9"/>
        <v>8.2665123584359755E-5</v>
      </c>
      <c r="CB33"/>
      <c r="CC33"/>
      <c r="CD33"/>
      <c r="CE33" s="30">
        <f t="shared" si="3"/>
        <v>7.9088435491706417E-3</v>
      </c>
      <c r="CF33" s="30">
        <f t="shared" si="4"/>
        <v>7.9090084542367822E-3</v>
      </c>
      <c r="CG33" s="30">
        <f t="shared" si="5"/>
        <v>8.2651458474848776E-5</v>
      </c>
      <c r="CH33" s="30">
        <f t="shared" si="6"/>
        <v>8.2665123584359755E-5</v>
      </c>
    </row>
    <row r="34" spans="1:86" s="105" customFormat="1" ht="16">
      <c r="A34" t="s">
        <v>68</v>
      </c>
      <c r="B34"/>
      <c r="C34" s="93">
        <v>1286</v>
      </c>
      <c r="D34">
        <v>147</v>
      </c>
      <c r="E34" t="s">
        <v>242</v>
      </c>
      <c r="F34">
        <v>2017</v>
      </c>
      <c r="G34" t="s">
        <v>166</v>
      </c>
      <c r="H34" s="10" t="s">
        <v>167</v>
      </c>
      <c r="I34">
        <v>1</v>
      </c>
      <c r="J34">
        <v>2009</v>
      </c>
      <c r="K34" t="s">
        <v>73</v>
      </c>
      <c r="L34">
        <v>40</v>
      </c>
      <c r="M34" s="18" t="s">
        <v>120</v>
      </c>
      <c r="N34" t="s">
        <v>225</v>
      </c>
      <c r="O34" t="s">
        <v>81</v>
      </c>
      <c r="P34" t="s">
        <v>226</v>
      </c>
      <c r="Q34" t="s">
        <v>227</v>
      </c>
      <c r="R34" t="s">
        <v>245</v>
      </c>
      <c r="S34">
        <v>0</v>
      </c>
      <c r="T34" t="s">
        <v>188</v>
      </c>
      <c r="U34">
        <v>0</v>
      </c>
      <c r="V34" t="s">
        <v>230</v>
      </c>
      <c r="W34" t="s">
        <v>230</v>
      </c>
      <c r="X34" t="s">
        <v>73</v>
      </c>
      <c r="Y34">
        <v>0</v>
      </c>
      <c r="Z34">
        <v>0</v>
      </c>
      <c r="AA34">
        <v>0</v>
      </c>
      <c r="AB34">
        <v>1</v>
      </c>
      <c r="AC34">
        <v>0</v>
      </c>
      <c r="AD34">
        <v>0</v>
      </c>
      <c r="AE34">
        <v>0</v>
      </c>
      <c r="AF34">
        <v>0</v>
      </c>
      <c r="AG34" t="s">
        <v>73</v>
      </c>
      <c r="AH34">
        <v>1</v>
      </c>
      <c r="AI34">
        <v>0</v>
      </c>
      <c r="AJ34">
        <v>0</v>
      </c>
      <c r="AK34">
        <v>0</v>
      </c>
      <c r="AL34">
        <v>0</v>
      </c>
      <c r="AM34">
        <v>0</v>
      </c>
      <c r="AN34">
        <v>0</v>
      </c>
      <c r="AO34">
        <v>0</v>
      </c>
      <c r="AP34" s="10">
        <v>0</v>
      </c>
      <c r="AQ34" t="s">
        <v>73</v>
      </c>
      <c r="AR34" t="s">
        <v>232</v>
      </c>
      <c r="AS34" t="s">
        <v>284</v>
      </c>
      <c r="AT34" t="s">
        <v>240</v>
      </c>
      <c r="AU34" s="25">
        <v>6.3000000000000003E-4</v>
      </c>
      <c r="AV34" s="7" t="s">
        <v>86</v>
      </c>
      <c r="AW34">
        <v>1E-3</v>
      </c>
      <c r="AX34" s="41" t="s">
        <v>73</v>
      </c>
      <c r="AY34">
        <v>3</v>
      </c>
      <c r="AZ34">
        <f t="shared" si="10"/>
        <v>0.63</v>
      </c>
      <c r="BA34" s="100">
        <f t="shared" si="12"/>
        <v>6.3000000000000003E-4</v>
      </c>
      <c r="BB34" s="100"/>
      <c r="BC34" t="s">
        <v>73</v>
      </c>
      <c r="BD34" t="s">
        <v>73</v>
      </c>
      <c r="BE34" t="s">
        <v>73</v>
      </c>
      <c r="BF34" t="s">
        <v>73</v>
      </c>
      <c r="BG34" t="s">
        <v>73</v>
      </c>
      <c r="BH34" t="s">
        <v>73</v>
      </c>
      <c r="BI34">
        <v>12100</v>
      </c>
      <c r="BJ34">
        <v>12100</v>
      </c>
      <c r="BK34" t="s">
        <v>73</v>
      </c>
      <c r="BL34" t="s">
        <v>73</v>
      </c>
      <c r="BM34">
        <v>100</v>
      </c>
      <c r="BN34" t="s">
        <v>73</v>
      </c>
      <c r="BO34" t="s">
        <v>241</v>
      </c>
      <c r="BP34" t="s">
        <v>73</v>
      </c>
      <c r="BQ34" t="s">
        <v>73</v>
      </c>
      <c r="BR34" t="s">
        <v>73</v>
      </c>
      <c r="BS34" t="s">
        <v>73</v>
      </c>
      <c r="BT34" t="s">
        <v>73</v>
      </c>
      <c r="BU34">
        <v>0</v>
      </c>
      <c r="BV34">
        <v>1</v>
      </c>
      <c r="BW34">
        <v>0</v>
      </c>
      <c r="BX34" s="30">
        <f t="shared" si="7"/>
        <v>5.7271787975774974E-3</v>
      </c>
      <c r="BY34" s="30">
        <f t="shared" si="2"/>
        <v>5.7272414170662115E-3</v>
      </c>
      <c r="BZ34" s="30">
        <f t="shared" si="8"/>
        <v>8.2651458709321021E-5</v>
      </c>
      <c r="CA34" s="30">
        <f t="shared" si="9"/>
        <v>8.2665123584359755E-5</v>
      </c>
      <c r="CB34"/>
      <c r="CC34"/>
      <c r="CD34"/>
      <c r="CE34" s="30">
        <f t="shared" si="3"/>
        <v>5.7271787975774974E-3</v>
      </c>
      <c r="CF34" s="30">
        <f t="shared" si="4"/>
        <v>5.7272414170662115E-3</v>
      </c>
      <c r="CG34" s="30">
        <f t="shared" si="5"/>
        <v>8.2651458709321021E-5</v>
      </c>
      <c r="CH34" s="30">
        <f t="shared" si="6"/>
        <v>8.2665123584359755E-5</v>
      </c>
    </row>
    <row r="35" spans="1:86" s="105" customFormat="1" ht="16">
      <c r="A35" t="s">
        <v>68</v>
      </c>
      <c r="B35"/>
      <c r="C35" s="93">
        <v>1287</v>
      </c>
      <c r="D35">
        <v>147</v>
      </c>
      <c r="E35" t="s">
        <v>242</v>
      </c>
      <c r="F35">
        <v>2017</v>
      </c>
      <c r="G35" t="s">
        <v>166</v>
      </c>
      <c r="H35" s="10" t="s">
        <v>167</v>
      </c>
      <c r="I35">
        <v>1</v>
      </c>
      <c r="J35">
        <v>2009</v>
      </c>
      <c r="K35" t="s">
        <v>73</v>
      </c>
      <c r="L35">
        <v>40</v>
      </c>
      <c r="M35" s="18" t="s">
        <v>120</v>
      </c>
      <c r="N35" t="s">
        <v>225</v>
      </c>
      <c r="O35" t="s">
        <v>81</v>
      </c>
      <c r="P35" t="s">
        <v>226</v>
      </c>
      <c r="Q35" t="s">
        <v>227</v>
      </c>
      <c r="R35" t="s">
        <v>245</v>
      </c>
      <c r="S35">
        <v>0</v>
      </c>
      <c r="T35" t="s">
        <v>188</v>
      </c>
      <c r="U35">
        <v>0</v>
      </c>
      <c r="V35" t="s">
        <v>230</v>
      </c>
      <c r="W35" t="s">
        <v>230</v>
      </c>
      <c r="X35" t="s">
        <v>73</v>
      </c>
      <c r="Y35">
        <v>0</v>
      </c>
      <c r="Z35">
        <v>0</v>
      </c>
      <c r="AA35">
        <v>0</v>
      </c>
      <c r="AB35">
        <v>1</v>
      </c>
      <c r="AC35">
        <v>0</v>
      </c>
      <c r="AD35">
        <v>0</v>
      </c>
      <c r="AE35">
        <v>0</v>
      </c>
      <c r="AF35">
        <v>0</v>
      </c>
      <c r="AG35" t="s">
        <v>73</v>
      </c>
      <c r="AH35">
        <v>0</v>
      </c>
      <c r="AI35">
        <v>0</v>
      </c>
      <c r="AJ35">
        <v>1</v>
      </c>
      <c r="AK35">
        <v>0</v>
      </c>
      <c r="AL35">
        <v>0</v>
      </c>
      <c r="AM35">
        <v>0</v>
      </c>
      <c r="AN35">
        <v>0</v>
      </c>
      <c r="AO35">
        <v>0</v>
      </c>
      <c r="AP35" s="10">
        <v>0</v>
      </c>
      <c r="AQ35" t="s">
        <v>73</v>
      </c>
      <c r="AR35" t="s">
        <v>232</v>
      </c>
      <c r="AS35" t="s">
        <v>284</v>
      </c>
      <c r="AT35" t="s">
        <v>240</v>
      </c>
      <c r="AU35" s="25">
        <v>7.3000000000000001E-3</v>
      </c>
      <c r="AV35" s="7" t="s">
        <v>80</v>
      </c>
      <c r="AW35">
        <v>3.0000000000000001E-3</v>
      </c>
      <c r="AX35" s="41" t="s">
        <v>73</v>
      </c>
      <c r="AY35">
        <v>3</v>
      </c>
      <c r="AZ35">
        <f t="shared" si="10"/>
        <v>2.4333333333333331</v>
      </c>
      <c r="BA35" s="100">
        <f t="shared" si="12"/>
        <v>7.3000000000000001E-3</v>
      </c>
      <c r="BB35" s="100"/>
      <c r="BC35" t="s">
        <v>73</v>
      </c>
      <c r="BD35" t="s">
        <v>73</v>
      </c>
      <c r="BE35" t="s">
        <v>73</v>
      </c>
      <c r="BF35" t="s">
        <v>73</v>
      </c>
      <c r="BG35" t="s">
        <v>73</v>
      </c>
      <c r="BH35" t="s">
        <v>73</v>
      </c>
      <c r="BI35">
        <v>12600</v>
      </c>
      <c r="BJ35">
        <v>12600</v>
      </c>
      <c r="BK35" t="s">
        <v>73</v>
      </c>
      <c r="BL35" t="s">
        <v>73</v>
      </c>
      <c r="BM35">
        <v>100</v>
      </c>
      <c r="BN35" t="s">
        <v>73</v>
      </c>
      <c r="BO35" t="s">
        <v>241</v>
      </c>
      <c r="BP35" t="s">
        <v>73</v>
      </c>
      <c r="BQ35" t="s">
        <v>73</v>
      </c>
      <c r="BR35" t="s">
        <v>73</v>
      </c>
      <c r="BS35" t="s">
        <v>73</v>
      </c>
      <c r="BT35" t="s">
        <v>73</v>
      </c>
      <c r="BU35">
        <v>0</v>
      </c>
      <c r="BV35">
        <v>1</v>
      </c>
      <c r="BW35">
        <v>0</v>
      </c>
      <c r="BX35" s="30">
        <f t="shared" si="7"/>
        <v>2.1672764551373083E-2</v>
      </c>
      <c r="BY35" s="30">
        <f t="shared" si="2"/>
        <v>2.1676158803532894E-2</v>
      </c>
      <c r="BZ35" s="30">
        <f t="shared" si="8"/>
        <v>7.9371361158462602E-5</v>
      </c>
      <c r="CA35" s="30">
        <f t="shared" si="9"/>
        <v>7.9383980312772889E-5</v>
      </c>
      <c r="CB35"/>
      <c r="CC35"/>
      <c r="CD35"/>
      <c r="CE35" s="30">
        <f t="shared" si="3"/>
        <v>2.1672764551373083E-2</v>
      </c>
      <c r="CF35" s="30">
        <f t="shared" si="4"/>
        <v>2.1676158803532894E-2</v>
      </c>
      <c r="CG35" s="30">
        <f t="shared" si="5"/>
        <v>7.9371361158462602E-5</v>
      </c>
      <c r="CH35" s="30">
        <f t="shared" si="6"/>
        <v>7.9383980312772889E-5</v>
      </c>
    </row>
    <row r="36" spans="1:86" s="105" customFormat="1" ht="16">
      <c r="A36" t="s">
        <v>68</v>
      </c>
      <c r="B36"/>
      <c r="C36" s="93">
        <v>1288</v>
      </c>
      <c r="D36">
        <v>147</v>
      </c>
      <c r="E36" t="s">
        <v>242</v>
      </c>
      <c r="F36">
        <v>2017</v>
      </c>
      <c r="G36" t="s">
        <v>166</v>
      </c>
      <c r="H36" s="10" t="s">
        <v>167</v>
      </c>
      <c r="I36">
        <v>1</v>
      </c>
      <c r="J36">
        <v>2009</v>
      </c>
      <c r="K36" t="s">
        <v>73</v>
      </c>
      <c r="L36">
        <v>40</v>
      </c>
      <c r="M36" s="18" t="s">
        <v>120</v>
      </c>
      <c r="N36" t="s">
        <v>225</v>
      </c>
      <c r="O36" t="s">
        <v>81</v>
      </c>
      <c r="P36" t="s">
        <v>226</v>
      </c>
      <c r="Q36" t="s">
        <v>227</v>
      </c>
      <c r="R36" t="s">
        <v>245</v>
      </c>
      <c r="S36">
        <v>0</v>
      </c>
      <c r="T36" t="s">
        <v>188</v>
      </c>
      <c r="U36">
        <v>0</v>
      </c>
      <c r="V36" t="s">
        <v>230</v>
      </c>
      <c r="W36" t="s">
        <v>230</v>
      </c>
      <c r="X36" t="s">
        <v>73</v>
      </c>
      <c r="Y36">
        <v>0</v>
      </c>
      <c r="Z36">
        <v>0</v>
      </c>
      <c r="AA36">
        <v>0</v>
      </c>
      <c r="AB36">
        <v>1</v>
      </c>
      <c r="AC36">
        <v>0</v>
      </c>
      <c r="AD36">
        <v>0</v>
      </c>
      <c r="AE36">
        <v>0</v>
      </c>
      <c r="AF36">
        <v>0</v>
      </c>
      <c r="AG36" t="s">
        <v>73</v>
      </c>
      <c r="AH36">
        <v>0</v>
      </c>
      <c r="AI36">
        <v>0</v>
      </c>
      <c r="AJ36">
        <v>1</v>
      </c>
      <c r="AK36">
        <v>0</v>
      </c>
      <c r="AL36">
        <v>0</v>
      </c>
      <c r="AM36">
        <v>0</v>
      </c>
      <c r="AN36">
        <v>0</v>
      </c>
      <c r="AO36">
        <v>0</v>
      </c>
      <c r="AP36" s="10">
        <v>0</v>
      </c>
      <c r="AQ36" t="s">
        <v>73</v>
      </c>
      <c r="AR36" t="s">
        <v>232</v>
      </c>
      <c r="AS36" t="s">
        <v>284</v>
      </c>
      <c r="AT36" t="s">
        <v>240</v>
      </c>
      <c r="AU36" s="25">
        <v>2.5999999999999998E-4</v>
      </c>
      <c r="AV36" s="7" t="s">
        <v>86</v>
      </c>
      <c r="AW36">
        <v>1E-3</v>
      </c>
      <c r="AX36" s="41" t="s">
        <v>73</v>
      </c>
      <c r="AY36">
        <v>3</v>
      </c>
      <c r="AZ36">
        <f t="shared" si="10"/>
        <v>0.25999999999999995</v>
      </c>
      <c r="BA36" s="100">
        <f t="shared" si="12"/>
        <v>2.5999999999999998E-4</v>
      </c>
      <c r="BB36" s="100"/>
      <c r="BC36" t="s">
        <v>73</v>
      </c>
      <c r="BD36" t="s">
        <v>73</v>
      </c>
      <c r="BE36" t="s">
        <v>73</v>
      </c>
      <c r="BF36" t="s">
        <v>73</v>
      </c>
      <c r="BG36" t="s">
        <v>73</v>
      </c>
      <c r="BH36" t="s">
        <v>73</v>
      </c>
      <c r="BI36">
        <v>12600</v>
      </c>
      <c r="BJ36">
        <v>12600</v>
      </c>
      <c r="BK36" t="s">
        <v>73</v>
      </c>
      <c r="BL36" t="s">
        <v>73</v>
      </c>
      <c r="BM36">
        <v>100</v>
      </c>
      <c r="BN36" t="s">
        <v>73</v>
      </c>
      <c r="BO36" t="s">
        <v>241</v>
      </c>
      <c r="BP36" t="s">
        <v>73</v>
      </c>
      <c r="BQ36" t="s">
        <v>73</v>
      </c>
      <c r="BR36" t="s">
        <v>73</v>
      </c>
      <c r="BS36" t="s">
        <v>73</v>
      </c>
      <c r="BT36" t="s">
        <v>73</v>
      </c>
      <c r="BU36">
        <v>0</v>
      </c>
      <c r="BV36">
        <v>1</v>
      </c>
      <c r="BW36">
        <v>0</v>
      </c>
      <c r="BX36" s="30">
        <f t="shared" si="7"/>
        <v>2.3162578831289918E-3</v>
      </c>
      <c r="BY36" s="30">
        <f t="shared" si="2"/>
        <v>2.3162620254225598E-3</v>
      </c>
      <c r="BZ36" s="30">
        <f t="shared" si="8"/>
        <v>7.9371378678563058E-5</v>
      </c>
      <c r="CA36" s="30">
        <f t="shared" si="9"/>
        <v>7.9383980312772889E-5</v>
      </c>
      <c r="CB36"/>
      <c r="CC36"/>
      <c r="CD36"/>
      <c r="CE36" s="30">
        <f t="shared" si="3"/>
        <v>2.3162578831289918E-3</v>
      </c>
      <c r="CF36" s="30">
        <f t="shared" si="4"/>
        <v>2.3162620254225598E-3</v>
      </c>
      <c r="CG36" s="30">
        <f t="shared" si="5"/>
        <v>7.9371378678563058E-5</v>
      </c>
      <c r="CH36" s="30">
        <f t="shared" si="6"/>
        <v>7.9383980312772889E-5</v>
      </c>
    </row>
    <row r="37" spans="1:86" s="105" customFormat="1" ht="16">
      <c r="A37" t="s">
        <v>68</v>
      </c>
      <c r="B37"/>
      <c r="C37" s="93">
        <v>1289</v>
      </c>
      <c r="D37">
        <v>147</v>
      </c>
      <c r="E37" t="s">
        <v>242</v>
      </c>
      <c r="F37">
        <v>2017</v>
      </c>
      <c r="G37" t="s">
        <v>166</v>
      </c>
      <c r="H37" s="10" t="s">
        <v>167</v>
      </c>
      <c r="I37">
        <v>1</v>
      </c>
      <c r="J37">
        <v>2009</v>
      </c>
      <c r="K37" t="s">
        <v>73</v>
      </c>
      <c r="L37">
        <v>40</v>
      </c>
      <c r="M37" s="18" t="s">
        <v>120</v>
      </c>
      <c r="N37" t="s">
        <v>225</v>
      </c>
      <c r="O37" t="s">
        <v>81</v>
      </c>
      <c r="P37" t="s">
        <v>226</v>
      </c>
      <c r="Q37" t="s">
        <v>227</v>
      </c>
      <c r="R37" t="s">
        <v>245</v>
      </c>
      <c r="S37">
        <v>0</v>
      </c>
      <c r="T37" t="s">
        <v>188</v>
      </c>
      <c r="U37">
        <v>0</v>
      </c>
      <c r="V37" t="s">
        <v>230</v>
      </c>
      <c r="W37" t="s">
        <v>230</v>
      </c>
      <c r="X37" t="s">
        <v>73</v>
      </c>
      <c r="Y37">
        <v>0</v>
      </c>
      <c r="Z37">
        <v>0</v>
      </c>
      <c r="AA37">
        <v>0</v>
      </c>
      <c r="AB37">
        <v>1</v>
      </c>
      <c r="AC37">
        <v>0</v>
      </c>
      <c r="AD37">
        <v>0</v>
      </c>
      <c r="AE37">
        <v>0</v>
      </c>
      <c r="AF37">
        <v>0</v>
      </c>
      <c r="AG37" t="s">
        <v>73</v>
      </c>
      <c r="AH37">
        <v>0</v>
      </c>
      <c r="AI37">
        <v>0</v>
      </c>
      <c r="AJ37">
        <v>1</v>
      </c>
      <c r="AK37">
        <v>0</v>
      </c>
      <c r="AL37">
        <v>0</v>
      </c>
      <c r="AM37">
        <v>0</v>
      </c>
      <c r="AN37">
        <v>0</v>
      </c>
      <c r="AO37">
        <v>0</v>
      </c>
      <c r="AP37" s="10">
        <v>0</v>
      </c>
      <c r="AQ37" t="s">
        <v>73</v>
      </c>
      <c r="AR37" t="s">
        <v>232</v>
      </c>
      <c r="AS37" t="s">
        <v>284</v>
      </c>
      <c r="AT37" t="s">
        <v>240</v>
      </c>
      <c r="AU37" s="25">
        <v>6.9999999999999999E-4</v>
      </c>
      <c r="AV37" s="7" t="s">
        <v>86</v>
      </c>
      <c r="AW37">
        <v>2E-3</v>
      </c>
      <c r="AX37" s="41" t="s">
        <v>73</v>
      </c>
      <c r="AY37">
        <v>3</v>
      </c>
      <c r="AZ37">
        <f t="shared" si="10"/>
        <v>0.35</v>
      </c>
      <c r="BA37" s="100">
        <f t="shared" si="12"/>
        <v>6.9999999999999999E-4</v>
      </c>
      <c r="BB37" s="100"/>
      <c r="BC37" t="s">
        <v>73</v>
      </c>
      <c r="BD37" t="s">
        <v>73</v>
      </c>
      <c r="BE37" t="s">
        <v>73</v>
      </c>
      <c r="BF37" t="s">
        <v>73</v>
      </c>
      <c r="BG37" t="s">
        <v>73</v>
      </c>
      <c r="BH37" t="s">
        <v>73</v>
      </c>
      <c r="BI37">
        <v>12600</v>
      </c>
      <c r="BJ37">
        <v>12600</v>
      </c>
      <c r="BK37" t="s">
        <v>73</v>
      </c>
      <c r="BL37" t="s">
        <v>73</v>
      </c>
      <c r="BM37">
        <v>100</v>
      </c>
      <c r="BN37" t="s">
        <v>73</v>
      </c>
      <c r="BO37" t="s">
        <v>241</v>
      </c>
      <c r="BP37" t="s">
        <v>73</v>
      </c>
      <c r="BQ37" t="s">
        <v>73</v>
      </c>
      <c r="BR37" t="s">
        <v>73</v>
      </c>
      <c r="BS37" t="s">
        <v>73</v>
      </c>
      <c r="BT37" t="s">
        <v>73</v>
      </c>
      <c r="BU37">
        <v>0</v>
      </c>
      <c r="BV37">
        <v>1</v>
      </c>
      <c r="BW37">
        <v>0</v>
      </c>
      <c r="BX37" s="30">
        <f t="shared" si="7"/>
        <v>3.1180326652452241E-3</v>
      </c>
      <c r="BY37" s="30">
        <f t="shared" si="2"/>
        <v>3.1180427699413972E-3</v>
      </c>
      <c r="BZ37" s="30">
        <f t="shared" si="8"/>
        <v>7.937137867334543E-5</v>
      </c>
      <c r="CA37" s="30">
        <f t="shared" si="9"/>
        <v>7.9383980312772889E-5</v>
      </c>
      <c r="CB37"/>
      <c r="CC37"/>
      <c r="CD37"/>
      <c r="CE37" s="30">
        <f t="shared" si="3"/>
        <v>3.1180326652452241E-3</v>
      </c>
      <c r="CF37" s="30">
        <f t="shared" si="4"/>
        <v>3.1180427699413972E-3</v>
      </c>
      <c r="CG37" s="30">
        <f t="shared" si="5"/>
        <v>7.937137867334543E-5</v>
      </c>
      <c r="CH37" s="30">
        <f t="shared" si="6"/>
        <v>7.9383980312772889E-5</v>
      </c>
    </row>
    <row r="38" spans="1:86" s="93" customFormat="1" ht="16">
      <c r="A38" t="s">
        <v>68</v>
      </c>
      <c r="B38"/>
      <c r="C38" s="118">
        <v>1113</v>
      </c>
      <c r="D38">
        <v>122</v>
      </c>
      <c r="E38" t="s">
        <v>247</v>
      </c>
      <c r="F38">
        <v>2016</v>
      </c>
      <c r="G38" t="s">
        <v>248</v>
      </c>
      <c r="H38" t="s">
        <v>249</v>
      </c>
      <c r="I38">
        <v>2</v>
      </c>
      <c r="J38">
        <v>2013</v>
      </c>
      <c r="K38" t="s">
        <v>73</v>
      </c>
      <c r="L38">
        <v>33</v>
      </c>
      <c r="M38" s="10" t="s">
        <v>250</v>
      </c>
      <c r="N38" t="s">
        <v>225</v>
      </c>
      <c r="O38" t="s">
        <v>251</v>
      </c>
      <c r="P38" t="s">
        <v>226</v>
      </c>
      <c r="Q38" t="s">
        <v>252</v>
      </c>
      <c r="R38" t="s">
        <v>253</v>
      </c>
      <c r="S38">
        <v>0</v>
      </c>
      <c r="T38" t="s">
        <v>229</v>
      </c>
      <c r="U38">
        <v>0</v>
      </c>
      <c r="V38" t="s">
        <v>230</v>
      </c>
      <c r="W38" t="s">
        <v>230</v>
      </c>
      <c r="X38" t="s">
        <v>73</v>
      </c>
      <c r="Y38">
        <v>0</v>
      </c>
      <c r="Z38">
        <v>0</v>
      </c>
      <c r="AA38">
        <v>1</v>
      </c>
      <c r="AB38">
        <v>0</v>
      </c>
      <c r="AC38">
        <v>0</v>
      </c>
      <c r="AD38">
        <v>0</v>
      </c>
      <c r="AE38">
        <v>0</v>
      </c>
      <c r="AF38">
        <v>0</v>
      </c>
      <c r="AG38" t="s">
        <v>254</v>
      </c>
      <c r="AH38">
        <v>0</v>
      </c>
      <c r="AI38">
        <v>1</v>
      </c>
      <c r="AJ38">
        <v>0</v>
      </c>
      <c r="AK38">
        <v>0</v>
      </c>
      <c r="AL38">
        <v>0</v>
      </c>
      <c r="AM38">
        <v>0</v>
      </c>
      <c r="AN38">
        <v>0</v>
      </c>
      <c r="AO38">
        <v>0</v>
      </c>
      <c r="AP38">
        <v>0</v>
      </c>
      <c r="AQ38" t="s">
        <v>73</v>
      </c>
      <c r="AR38" t="s">
        <v>232</v>
      </c>
      <c r="AS38" t="s">
        <v>255</v>
      </c>
      <c r="AT38" t="s">
        <v>240</v>
      </c>
      <c r="AU38" s="120">
        <v>2E-3</v>
      </c>
      <c r="AV38" s="7" t="s">
        <v>80</v>
      </c>
      <c r="AW38">
        <v>3.0000000000000001E-3</v>
      </c>
      <c r="AX38" t="s">
        <v>73</v>
      </c>
      <c r="AY38">
        <v>3</v>
      </c>
      <c r="AZ38">
        <f t="shared" si="10"/>
        <v>0.66666666666666663</v>
      </c>
      <c r="BA38" s="121">
        <f t="shared" si="12"/>
        <v>2E-3</v>
      </c>
      <c r="BB38"/>
      <c r="BC38" t="s">
        <v>73</v>
      </c>
      <c r="BD38" t="s">
        <v>73</v>
      </c>
      <c r="BE38" t="s">
        <v>73</v>
      </c>
      <c r="BF38" t="s">
        <v>73</v>
      </c>
      <c r="BG38" t="s">
        <v>73</v>
      </c>
      <c r="BH38" t="s">
        <v>73</v>
      </c>
      <c r="BI38">
        <v>1620</v>
      </c>
      <c r="BJ38">
        <v>1620</v>
      </c>
      <c r="BK38" t="s">
        <v>73</v>
      </c>
      <c r="BL38" t="s">
        <v>73</v>
      </c>
      <c r="BM38" t="s">
        <v>73</v>
      </c>
      <c r="BN38" t="s">
        <v>73</v>
      </c>
      <c r="BO38" t="s">
        <v>73</v>
      </c>
      <c r="BP38">
        <v>1</v>
      </c>
      <c r="BQ38">
        <v>486</v>
      </c>
      <c r="BR38">
        <v>1</v>
      </c>
      <c r="BS38">
        <v>2560</v>
      </c>
      <c r="BT38" t="s">
        <v>256</v>
      </c>
      <c r="BU38">
        <v>0</v>
      </c>
      <c r="BV38">
        <v>0</v>
      </c>
      <c r="BW38">
        <v>1</v>
      </c>
      <c r="BX38" s="30">
        <f t="shared" si="7"/>
        <v>1.6561194886945175E-2</v>
      </c>
      <c r="BY38" s="30">
        <f t="shared" si="2"/>
        <v>1.6562709233333462E-2</v>
      </c>
      <c r="BZ38" s="30">
        <f t="shared" si="8"/>
        <v>6.176651789664649E-4</v>
      </c>
      <c r="CA38" s="30">
        <f t="shared" si="9"/>
        <v>6.1842918985776133E-4</v>
      </c>
      <c r="CB38"/>
      <c r="CC38"/>
      <c r="CD38"/>
      <c r="CE38" s="30">
        <f t="shared" si="3"/>
        <v>1.6561194886945175E-2</v>
      </c>
      <c r="CF38" s="30">
        <f t="shared" si="4"/>
        <v>1.6562709233333462E-2</v>
      </c>
      <c r="CG38" s="30">
        <f t="shared" si="5"/>
        <v>6.176651789664649E-4</v>
      </c>
      <c r="CH38" s="30">
        <f t="shared" si="6"/>
        <v>6.1842918985776133E-4</v>
      </c>
    </row>
    <row r="39" spans="1:86" s="93" customFormat="1" ht="16">
      <c r="A39" t="s">
        <v>68</v>
      </c>
      <c r="B39"/>
      <c r="C39" s="118">
        <v>1113</v>
      </c>
      <c r="D39">
        <v>122</v>
      </c>
      <c r="E39" t="s">
        <v>247</v>
      </c>
      <c r="F39">
        <v>2016</v>
      </c>
      <c r="G39" t="s">
        <v>248</v>
      </c>
      <c r="H39" t="s">
        <v>249</v>
      </c>
      <c r="I39">
        <v>2</v>
      </c>
      <c r="J39">
        <v>2013</v>
      </c>
      <c r="K39" t="s">
        <v>73</v>
      </c>
      <c r="L39">
        <v>33</v>
      </c>
      <c r="M39" s="10" t="s">
        <v>250</v>
      </c>
      <c r="N39" t="s">
        <v>225</v>
      </c>
      <c r="O39" t="s">
        <v>251</v>
      </c>
      <c r="P39" t="s">
        <v>226</v>
      </c>
      <c r="Q39" t="s">
        <v>252</v>
      </c>
      <c r="R39" t="s">
        <v>253</v>
      </c>
      <c r="S39">
        <v>0</v>
      </c>
      <c r="T39" t="s">
        <v>229</v>
      </c>
      <c r="U39">
        <v>0</v>
      </c>
      <c r="V39" t="s">
        <v>230</v>
      </c>
      <c r="W39" t="s">
        <v>230</v>
      </c>
      <c r="X39" t="s">
        <v>73</v>
      </c>
      <c r="Y39">
        <v>0</v>
      </c>
      <c r="Z39">
        <v>0</v>
      </c>
      <c r="AA39">
        <v>1</v>
      </c>
      <c r="AB39">
        <v>0</v>
      </c>
      <c r="AC39">
        <v>0</v>
      </c>
      <c r="AD39">
        <v>0</v>
      </c>
      <c r="AE39">
        <v>0</v>
      </c>
      <c r="AF39">
        <v>0</v>
      </c>
      <c r="AG39" t="s">
        <v>254</v>
      </c>
      <c r="AH39">
        <v>0</v>
      </c>
      <c r="AI39">
        <v>1</v>
      </c>
      <c r="AJ39">
        <v>0</v>
      </c>
      <c r="AK39">
        <v>0</v>
      </c>
      <c r="AL39">
        <v>0</v>
      </c>
      <c r="AM39">
        <v>0</v>
      </c>
      <c r="AN39">
        <v>0</v>
      </c>
      <c r="AO39">
        <v>0</v>
      </c>
      <c r="AP39">
        <v>0</v>
      </c>
      <c r="AQ39" t="s">
        <v>73</v>
      </c>
      <c r="AR39" t="s">
        <v>232</v>
      </c>
      <c r="AS39" t="s">
        <v>255</v>
      </c>
      <c r="AT39" t="s">
        <v>240</v>
      </c>
      <c r="AU39" s="120">
        <v>3.0000000000000001E-3</v>
      </c>
      <c r="AV39" s="7" t="s">
        <v>86</v>
      </c>
      <c r="AW39">
        <v>1E-3</v>
      </c>
      <c r="AX39" t="s">
        <v>73</v>
      </c>
      <c r="AY39">
        <v>3</v>
      </c>
      <c r="AZ39">
        <f t="shared" ref="AZ39:AZ41" si="13">AU39/AW39</f>
        <v>3</v>
      </c>
      <c r="BA39" s="121">
        <f t="shared" ref="BA39:BA41" si="14">AU39</f>
        <v>3.0000000000000001E-3</v>
      </c>
      <c r="BB39"/>
      <c r="BC39" t="s">
        <v>73</v>
      </c>
      <c r="BD39" t="s">
        <v>73</v>
      </c>
      <c r="BE39" t="s">
        <v>73</v>
      </c>
      <c r="BF39" t="s">
        <v>73</v>
      </c>
      <c r="BG39" t="s">
        <v>73</v>
      </c>
      <c r="BH39" t="s">
        <v>73</v>
      </c>
      <c r="BI39">
        <v>1620</v>
      </c>
      <c r="BJ39">
        <v>1620</v>
      </c>
      <c r="BK39" t="s">
        <v>73</v>
      </c>
      <c r="BL39" t="s">
        <v>73</v>
      </c>
      <c r="BM39" t="s">
        <v>73</v>
      </c>
      <c r="BN39" t="s">
        <v>73</v>
      </c>
      <c r="BO39" t="s">
        <v>73</v>
      </c>
      <c r="BP39">
        <v>1</v>
      </c>
      <c r="BQ39">
        <v>486</v>
      </c>
      <c r="BR39">
        <v>1</v>
      </c>
      <c r="BS39">
        <v>2560</v>
      </c>
      <c r="BT39" t="s">
        <v>256</v>
      </c>
      <c r="BU39">
        <v>0</v>
      </c>
      <c r="BV39">
        <v>0</v>
      </c>
      <c r="BW39">
        <v>1</v>
      </c>
      <c r="BX39" s="30">
        <f t="shared" ref="BX39:BX41" si="15">((AZ39^2)/(AZ39^2+BI39))^(1/2)</f>
        <v>7.4329414624716636E-2</v>
      </c>
      <c r="BY39" s="30">
        <f t="shared" ref="BY39:BY41" si="16">0.5*LN((1+BX39)/(1-BX39))</f>
        <v>7.4466756773944889E-2</v>
      </c>
      <c r="BZ39" s="30">
        <f t="shared" ref="BZ39:BZ41" si="17">((1-(BY39^2)^2)/(BI39-1))</f>
        <v>6.1764623203928028E-4</v>
      </c>
      <c r="CA39" s="30">
        <f t="shared" ref="CA39:CA41" si="18">1/(BI39-3)</f>
        <v>6.1842918985776133E-4</v>
      </c>
      <c r="CB39"/>
      <c r="CC39"/>
      <c r="CD39"/>
      <c r="CE39" s="30">
        <f t="shared" ref="CE39:CE41" si="19">((AZ39^2)/(AZ39^2+BJ39))^(1/2)</f>
        <v>7.4329414624716636E-2</v>
      </c>
      <c r="CF39" s="30">
        <f t="shared" ref="CF39:CF41" si="20">0.5*LN((1+CE39)/(1-CE39))</f>
        <v>7.4466756773944889E-2</v>
      </c>
      <c r="CG39" s="30">
        <f t="shared" ref="CG39:CG41" si="21">((1-(CF39^2)^2)/(BJ39-1))</f>
        <v>6.1764623203928028E-4</v>
      </c>
      <c r="CH39" s="30">
        <f t="shared" ref="CH39:CH41" si="22">1/(BJ39-3)</f>
        <v>6.1842918985776133E-4</v>
      </c>
    </row>
    <row r="40" spans="1:86" s="93" customFormat="1" ht="16">
      <c r="A40" t="s">
        <v>68</v>
      </c>
      <c r="B40"/>
      <c r="C40" s="118">
        <v>1113</v>
      </c>
      <c r="D40">
        <v>122</v>
      </c>
      <c r="E40" t="s">
        <v>247</v>
      </c>
      <c r="F40">
        <v>2016</v>
      </c>
      <c r="G40" t="s">
        <v>248</v>
      </c>
      <c r="H40" t="s">
        <v>249</v>
      </c>
      <c r="I40">
        <v>2</v>
      </c>
      <c r="J40">
        <v>2013</v>
      </c>
      <c r="K40" t="s">
        <v>73</v>
      </c>
      <c r="L40">
        <v>33</v>
      </c>
      <c r="M40" s="10" t="s">
        <v>250</v>
      </c>
      <c r="N40" t="s">
        <v>225</v>
      </c>
      <c r="O40" t="s">
        <v>251</v>
      </c>
      <c r="P40" t="s">
        <v>226</v>
      </c>
      <c r="Q40" t="s">
        <v>252</v>
      </c>
      <c r="R40" t="s">
        <v>253</v>
      </c>
      <c r="S40">
        <v>0</v>
      </c>
      <c r="T40" t="s">
        <v>229</v>
      </c>
      <c r="U40">
        <v>0</v>
      </c>
      <c r="V40" t="s">
        <v>230</v>
      </c>
      <c r="W40" t="s">
        <v>230</v>
      </c>
      <c r="X40" t="s">
        <v>73</v>
      </c>
      <c r="Y40">
        <v>0</v>
      </c>
      <c r="Z40">
        <v>0</v>
      </c>
      <c r="AA40">
        <v>1</v>
      </c>
      <c r="AB40">
        <v>0</v>
      </c>
      <c r="AC40">
        <v>0</v>
      </c>
      <c r="AD40">
        <v>0</v>
      </c>
      <c r="AE40">
        <v>0</v>
      </c>
      <c r="AF40">
        <v>0</v>
      </c>
      <c r="AG40" t="s">
        <v>254</v>
      </c>
      <c r="AH40">
        <v>0</v>
      </c>
      <c r="AI40">
        <v>1</v>
      </c>
      <c r="AJ40">
        <v>0</v>
      </c>
      <c r="AK40">
        <v>0</v>
      </c>
      <c r="AL40">
        <v>0</v>
      </c>
      <c r="AM40">
        <v>0</v>
      </c>
      <c r="AN40">
        <v>0</v>
      </c>
      <c r="AO40">
        <v>0</v>
      </c>
      <c r="AP40">
        <v>0</v>
      </c>
      <c r="AQ40" t="s">
        <v>73</v>
      </c>
      <c r="AR40" t="s">
        <v>232</v>
      </c>
      <c r="AS40" t="s">
        <v>255</v>
      </c>
      <c r="AT40" t="s">
        <v>240</v>
      </c>
      <c r="AU40" s="120">
        <v>1E-3</v>
      </c>
      <c r="AV40" s="7" t="s">
        <v>80</v>
      </c>
      <c r="AW40">
        <v>1E-3</v>
      </c>
      <c r="AX40" t="s">
        <v>73</v>
      </c>
      <c r="AY40">
        <v>3</v>
      </c>
      <c r="AZ40">
        <f t="shared" si="13"/>
        <v>1</v>
      </c>
      <c r="BA40" s="121">
        <f t="shared" si="14"/>
        <v>1E-3</v>
      </c>
      <c r="BB40"/>
      <c r="BC40" t="s">
        <v>73</v>
      </c>
      <c r="BD40" t="s">
        <v>73</v>
      </c>
      <c r="BE40" t="s">
        <v>73</v>
      </c>
      <c r="BF40" t="s">
        <v>73</v>
      </c>
      <c r="BG40" t="s">
        <v>73</v>
      </c>
      <c r="BH40" t="s">
        <v>73</v>
      </c>
      <c r="BI40">
        <v>1620</v>
      </c>
      <c r="BJ40">
        <v>1620</v>
      </c>
      <c r="BK40" t="s">
        <v>73</v>
      </c>
      <c r="BL40" t="s">
        <v>73</v>
      </c>
      <c r="BM40" t="s">
        <v>73</v>
      </c>
      <c r="BN40" t="s">
        <v>73</v>
      </c>
      <c r="BO40" t="s">
        <v>73</v>
      </c>
      <c r="BP40">
        <v>1</v>
      </c>
      <c r="BQ40">
        <v>486</v>
      </c>
      <c r="BR40">
        <v>1</v>
      </c>
      <c r="BS40">
        <v>2560</v>
      </c>
      <c r="BT40" t="s">
        <v>256</v>
      </c>
      <c r="BU40">
        <v>0</v>
      </c>
      <c r="BV40">
        <v>0</v>
      </c>
      <c r="BW40">
        <v>1</v>
      </c>
      <c r="BX40" s="30">
        <f t="shared" si="15"/>
        <v>2.4837535026770382E-2</v>
      </c>
      <c r="BY40" s="30">
        <f t="shared" si="16"/>
        <v>2.4842644369252799E-2</v>
      </c>
      <c r="BZ40" s="30">
        <f t="shared" si="17"/>
        <v>6.1766499018978561E-4</v>
      </c>
      <c r="CA40" s="30">
        <f t="shared" si="18"/>
        <v>6.1842918985776133E-4</v>
      </c>
      <c r="CB40"/>
      <c r="CC40"/>
      <c r="CD40"/>
      <c r="CE40" s="30">
        <f t="shared" si="19"/>
        <v>2.4837535026770382E-2</v>
      </c>
      <c r="CF40" s="30">
        <f t="shared" si="20"/>
        <v>2.4842644369252799E-2</v>
      </c>
      <c r="CG40" s="30">
        <f t="shared" si="21"/>
        <v>6.1766499018978561E-4</v>
      </c>
      <c r="CH40" s="30">
        <f t="shared" si="22"/>
        <v>6.1842918985776133E-4</v>
      </c>
    </row>
    <row r="41" spans="1:86" s="93" customFormat="1" ht="16">
      <c r="A41" t="s">
        <v>68</v>
      </c>
      <c r="B41"/>
      <c r="C41" s="118">
        <v>1113</v>
      </c>
      <c r="D41">
        <v>122</v>
      </c>
      <c r="E41" t="s">
        <v>247</v>
      </c>
      <c r="F41">
        <v>2016</v>
      </c>
      <c r="G41" t="s">
        <v>248</v>
      </c>
      <c r="H41" t="s">
        <v>249</v>
      </c>
      <c r="I41">
        <v>2</v>
      </c>
      <c r="J41">
        <v>2013</v>
      </c>
      <c r="K41" t="s">
        <v>73</v>
      </c>
      <c r="L41">
        <v>33</v>
      </c>
      <c r="M41" s="10" t="s">
        <v>250</v>
      </c>
      <c r="N41" t="s">
        <v>225</v>
      </c>
      <c r="O41" t="s">
        <v>251</v>
      </c>
      <c r="P41" t="s">
        <v>226</v>
      </c>
      <c r="Q41" t="s">
        <v>252</v>
      </c>
      <c r="R41" t="s">
        <v>253</v>
      </c>
      <c r="S41">
        <v>0</v>
      </c>
      <c r="T41" t="s">
        <v>229</v>
      </c>
      <c r="U41">
        <v>0</v>
      </c>
      <c r="V41" t="s">
        <v>230</v>
      </c>
      <c r="W41" t="s">
        <v>230</v>
      </c>
      <c r="X41" t="s">
        <v>73</v>
      </c>
      <c r="Y41">
        <v>0</v>
      </c>
      <c r="Z41">
        <v>0</v>
      </c>
      <c r="AA41">
        <v>1</v>
      </c>
      <c r="AB41">
        <v>0</v>
      </c>
      <c r="AC41">
        <v>0</v>
      </c>
      <c r="AD41">
        <v>0</v>
      </c>
      <c r="AE41">
        <v>0</v>
      </c>
      <c r="AF41">
        <v>0</v>
      </c>
      <c r="AG41" t="s">
        <v>254</v>
      </c>
      <c r="AH41">
        <v>0</v>
      </c>
      <c r="AI41">
        <v>1</v>
      </c>
      <c r="AJ41">
        <v>0</v>
      </c>
      <c r="AK41">
        <v>0</v>
      </c>
      <c r="AL41">
        <v>0</v>
      </c>
      <c r="AM41">
        <v>0</v>
      </c>
      <c r="AN41">
        <v>0</v>
      </c>
      <c r="AO41">
        <v>0</v>
      </c>
      <c r="AP41">
        <v>0</v>
      </c>
      <c r="AQ41" t="s">
        <v>73</v>
      </c>
      <c r="AR41" t="s">
        <v>232</v>
      </c>
      <c r="AS41" t="s">
        <v>255</v>
      </c>
      <c r="AT41" t="s">
        <v>240</v>
      </c>
      <c r="AU41" s="120">
        <v>3.0000000000000001E-3</v>
      </c>
      <c r="AV41" s="7" t="s">
        <v>80</v>
      </c>
      <c r="AW41">
        <v>4.0000000000000001E-3</v>
      </c>
      <c r="AX41" t="s">
        <v>73</v>
      </c>
      <c r="AY41">
        <v>3</v>
      </c>
      <c r="AZ41">
        <f t="shared" si="13"/>
        <v>0.75</v>
      </c>
      <c r="BA41" s="121">
        <f t="shared" si="14"/>
        <v>3.0000000000000001E-3</v>
      </c>
      <c r="BB41"/>
      <c r="BC41" t="s">
        <v>73</v>
      </c>
      <c r="BD41" t="s">
        <v>73</v>
      </c>
      <c r="BE41" t="s">
        <v>73</v>
      </c>
      <c r="BF41" t="s">
        <v>73</v>
      </c>
      <c r="BG41" t="s">
        <v>73</v>
      </c>
      <c r="BH41" t="s">
        <v>73</v>
      </c>
      <c r="BI41">
        <v>1620</v>
      </c>
      <c r="BJ41">
        <v>1620</v>
      </c>
      <c r="BK41" t="s">
        <v>73</v>
      </c>
      <c r="BL41" t="s">
        <v>73</v>
      </c>
      <c r="BM41" t="s">
        <v>73</v>
      </c>
      <c r="BN41" t="s">
        <v>73</v>
      </c>
      <c r="BO41" t="s">
        <v>73</v>
      </c>
      <c r="BP41">
        <v>1</v>
      </c>
      <c r="BQ41">
        <v>486</v>
      </c>
      <c r="BR41">
        <v>1</v>
      </c>
      <c r="BS41">
        <v>2560</v>
      </c>
      <c r="BT41" t="s">
        <v>256</v>
      </c>
      <c r="BU41">
        <v>0</v>
      </c>
      <c r="BV41">
        <v>0</v>
      </c>
      <c r="BW41">
        <v>1</v>
      </c>
      <c r="BX41" s="30">
        <f t="shared" si="15"/>
        <v>1.8630665602665245E-2</v>
      </c>
      <c r="BY41" s="30">
        <f t="shared" si="16"/>
        <v>1.8632821630272155E-2</v>
      </c>
      <c r="BZ41" s="30">
        <f t="shared" si="17"/>
        <v>6.176651509973007E-4</v>
      </c>
      <c r="CA41" s="30">
        <f t="shared" si="18"/>
        <v>6.1842918985776133E-4</v>
      </c>
      <c r="CB41"/>
      <c r="CC41"/>
      <c r="CD41"/>
      <c r="CE41" s="30">
        <f t="shared" si="19"/>
        <v>1.8630665602665245E-2</v>
      </c>
      <c r="CF41" s="30">
        <f t="shared" si="20"/>
        <v>1.8632821630272155E-2</v>
      </c>
      <c r="CG41" s="30">
        <f t="shared" si="21"/>
        <v>6.176651509973007E-4</v>
      </c>
      <c r="CH41" s="30">
        <f t="shared" si="22"/>
        <v>6.1842918985776133E-4</v>
      </c>
    </row>
    <row r="42" spans="1:86" ht="16">
      <c r="M42" s="18"/>
    </row>
    <row r="43" spans="1:86" ht="16">
      <c r="M43" s="18"/>
    </row>
    <row r="44" spans="1:86" ht="16">
      <c r="M44" s="18"/>
    </row>
    <row r="45" spans="1:86" ht="16">
      <c r="M45" s="18"/>
    </row>
    <row r="46" spans="1:86" ht="16">
      <c r="M46" s="18"/>
    </row>
    <row r="47" spans="1:86" ht="16">
      <c r="M47" s="18"/>
    </row>
    <row r="48" spans="1:86" ht="41" customHeight="1">
      <c r="M48" s="18"/>
      <c r="BX48" s="30"/>
    </row>
    <row r="49" spans="13:54" ht="16">
      <c r="M49" s="18"/>
      <c r="BA49" s="101"/>
      <c r="BB49" s="101"/>
    </row>
    <row r="50" spans="13:54" ht="16">
      <c r="M50" s="18"/>
      <c r="BA50" s="101"/>
      <c r="BB50" s="101"/>
    </row>
    <row r="51" spans="13:54" ht="15.75" customHeight="1">
      <c r="M51" s="18"/>
    </row>
    <row r="52" spans="13:54" ht="16">
      <c r="M52" s="18"/>
      <c r="BA52" s="102"/>
      <c r="BB52" s="102"/>
    </row>
  </sheetData>
  <autoFilter ref="AR1:AR47" xr:uid="{00000000-0009-0000-0000-000001000000}"/>
  <sortState xmlns:xlrd2="http://schemas.microsoft.com/office/spreadsheetml/2017/richdata2" ref="A2:CH61">
    <sortCondition ref="Q1"/>
  </sortState>
  <dataConsolidate/>
  <phoneticPr fontId="25" type="noConversion"/>
  <conditionalFormatting sqref="AU1:AU1048576">
    <cfRule type="cellIs" dxfId="0" priority="1" operator="greaterThan">
      <formula>1</formula>
    </cfRule>
  </conditionalFormatting>
  <dataValidations xWindow="603" yWindow="1085" count="5">
    <dataValidation type="whole" allowBlank="1" showInputMessage="1" showErrorMessage="1" sqref="AI10:AM10 AI11:AJ13 AL11:AM13 AN10:AP13 AH10:AH13 AK11:AK23 AH24:AP1048576 S1:S1048576 U1:U1048576 AK1:AP9 AH1:AI9 AJ2:AJ9" xr:uid="{00000000-0002-0000-0100-000000000000}">
      <formula1>0</formula1>
      <formula2>1</formula2>
    </dataValidation>
    <dataValidation allowBlank="1" showInputMessage="1" showErrorMessage="1" errorTitle="int" error="Choose 1 or 0" promptTitle="Intervention" prompt="Yes - 1_x000a_No - 0" sqref="AD24:AE41 AD42:AG1048576 AG1:AG41 AD1:AF12" xr:uid="{00000000-0002-0000-0100-000001000000}"/>
    <dataValidation type="whole" allowBlank="1" showInputMessage="1" showErrorMessage="1" errorTitle="int" error="Choose 1 or 0" promptTitle="Intervention" prompt="Yes - 1_x000a_No - 0" sqref="Y1:AC1 Z24:AC41 Z13:AF23 AH14:AJ23 AF24:AF41 Y42:AC1048576 Y2:Y41 Z2:AC12" xr:uid="{00000000-0002-0000-0100-000002000000}">
      <formula1>0</formula1>
      <formula2>1</formula2>
    </dataValidation>
    <dataValidation errorStyle="warning" allowBlank="1" showInputMessage="1" showErrorMessage="1" sqref="BN1 BN24:BN1048576 BN7:BN12" xr:uid="{00000000-0002-0000-0100-000003000000}"/>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I1:I1048576" xr:uid="{00000000-0002-0000-0100-000004000000}">
      <formula1>0</formula1>
      <formula2>2</formula2>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xWindow="603" yWindow="1085" count="21">
        <x14:dataValidation type="list" allowBlank="1" showInputMessage="1" showErrorMessage="1" xr:uid="{00000000-0002-0000-0100-000005000000}">
          <x14:formula1>
            <xm:f>'Lists for variables'!$A$2:$A$4</xm:f>
          </x14:formula1>
          <xm:sqref>BU26:BW1048576 BU2:BW23</xm:sqref>
        </x14:dataValidation>
        <x14:dataValidation type="list" allowBlank="1" showInputMessage="1" showErrorMessage="1" xr:uid="{00000000-0002-0000-0100-000006000000}">
          <x14:formula1>
            <xm:f>'Lists for variables'!$C$2:$C$4</xm:f>
          </x14:formula1>
          <xm:sqref>BO1 BO24:BO1048576 BO7:BO12</xm:sqref>
        </x14:dataValidation>
        <x14:dataValidation type="list" allowBlank="1" showInputMessage="1" showErrorMessage="1" xr:uid="{00000000-0002-0000-0100-000007000000}">
          <x14:formula1>
            <xm:f>'Lists for variables'!$I$2:$I$3</xm:f>
          </x14:formula1>
          <xm:sqref>AV42:AV1048576 AV1:AV27</xm:sqref>
        </x14:dataValidation>
        <x14:dataValidation type="list" allowBlank="1" showInputMessage="1" showErrorMessage="1" xr:uid="{00000000-0002-0000-0100-000008000000}">
          <x14:formula1>
            <xm:f>'Lists for variables'!$O:$O</xm:f>
          </x14:formula1>
          <xm:sqref>BT1 BT11:BT13 BT25:BT27 BT42:BT1048576</xm:sqref>
        </x14:dataValidation>
        <x14:dataValidation type="list" allowBlank="1" showInputMessage="1" showErrorMessage="1" xr:uid="{00000000-0002-0000-0100-000009000000}">
          <x14:formula1>
            <xm:f>'Lists for variables'!$S:$S</xm:f>
          </x14:formula1>
          <xm:sqref>G26:G1048576 G1:G23</xm:sqref>
        </x14:dataValidation>
        <x14:dataValidation type="list" allowBlank="1" showInputMessage="1" showErrorMessage="1" xr:uid="{00000000-0002-0000-0100-00000A000000}">
          <x14:formula1>
            <xm:f>'Lists for variables'!$F:$F</xm:f>
          </x14:formula1>
          <xm:sqref>M53:M1048576</xm:sqref>
        </x14:dataValidation>
        <x14:dataValidation type="list" allowBlank="1" showInputMessage="1" showErrorMessage="1" xr:uid="{00000000-0002-0000-0100-00000B000000}">
          <x14:formula1>
            <xm:f>'Lists for variables'!$B$2:$B$4</xm:f>
          </x14:formula1>
          <xm:sqref>U1:U1048576</xm:sqref>
        </x14:dataValidation>
        <x14:dataValidation type="list" allowBlank="1" showInputMessage="1" showErrorMessage="1" xr:uid="{00000000-0002-0000-0100-00000C000000}">
          <x14:formula1>
            <xm:f>'Lists for variables'!$L$2:$L$9</xm:f>
          </x14:formula1>
          <xm:sqref>S1:S1048576 U1:U1048576</xm:sqref>
        </x14:dataValidation>
        <x14:dataValidation type="list" allowBlank="1" showInputMessage="1" showErrorMessage="1" xr:uid="{00000000-0002-0000-0100-00000D000000}">
          <x14:formula1>
            <xm:f>'Lists for variables'!$K$2:$K$3</xm:f>
          </x14:formula1>
          <xm:sqref>S1:S1048576 U1:W1048576</xm:sqref>
        </x14:dataValidation>
        <x14:dataValidation type="list" allowBlank="1" showInputMessage="1" showErrorMessage="1" xr:uid="{00000000-0002-0000-0100-00000E000000}">
          <x14:formula1>
            <xm:f>'Lists for variables'!$N$2:$N$7</xm:f>
          </x14:formula1>
          <xm:sqref>S1:S1048576 U1:W1048576</xm:sqref>
        </x14:dataValidation>
        <x14:dataValidation type="list" allowBlank="1" showInputMessage="1" showErrorMessage="1" xr:uid="{00000000-0002-0000-0100-00000F000000}">
          <x14:formula1>
            <xm:f>'Lists for variables'!$J$2:$J$12</xm:f>
          </x14:formula1>
          <xm:sqref>K1:K1048576</xm:sqref>
        </x14:dataValidation>
        <x14:dataValidation type="list" allowBlank="1" showInputMessage="1" showErrorMessage="1" xr:uid="{00000000-0002-0000-0100-000010000000}">
          <x14:formula1>
            <xm:f>'Lists for variables'!$G:$G</xm:f>
          </x14:formula1>
          <xm:sqref>AR1:AR1048576</xm:sqref>
        </x14:dataValidation>
        <x14:dataValidation type="list" allowBlank="1" showInputMessage="1" showErrorMessage="1" xr:uid="{00000000-0002-0000-0100-000011000000}">
          <x14:formula1>
            <xm:f>'Lists for variables'!$P:$P</xm:f>
          </x14:formula1>
          <xm:sqref>AT1:AT1048576</xm:sqref>
        </x14:dataValidation>
        <x14:dataValidation type="list" allowBlank="1" showInputMessage="1" showErrorMessage="1" xr:uid="{00000000-0002-0000-0100-000012000000}">
          <x14:formula1>
            <xm:f>'Lists for variables'!$D:$D</xm:f>
          </x14:formula1>
          <xm:sqref>N1:N1048576 S1:S1048576 U1:W1048576</xm:sqref>
        </x14:dataValidation>
        <x14:dataValidation type="list" allowBlank="1" showInputMessage="1" showErrorMessage="1" xr:uid="{00000000-0002-0000-0100-000013000000}">
          <x14:formula1>
            <xm:f>'Lists for variables'!$N:$N</xm:f>
          </x14:formula1>
          <xm:sqref>O1:O1048576</xm:sqref>
        </x14:dataValidation>
        <x14:dataValidation type="list" allowBlank="1" showInputMessage="1" showErrorMessage="1" xr:uid="{00000000-0002-0000-0100-000014000000}">
          <x14:formula1>
            <xm:f>'Lists for variables'!$B:$B</xm:f>
          </x14:formula1>
          <xm:sqref>T1:T1048576</xm:sqref>
        </x14:dataValidation>
        <x14:dataValidation type="list" allowBlank="1" showInputMessage="1" showErrorMessage="1" xr:uid="{00000000-0002-0000-0100-000015000000}">
          <x14:formula1>
            <xm:f>'Lists for variables'!$R:$R</xm:f>
          </x14:formula1>
          <xm:sqref>E1:E1048576</xm:sqref>
        </x14:dataValidation>
        <x14:dataValidation type="list" allowBlank="1" showInputMessage="1" showErrorMessage="1" xr:uid="{00000000-0002-0000-0100-000016000000}">
          <x14:formula1>
            <xm:f>'Lists for variables'!$H:$H</xm:f>
          </x14:formula1>
          <xm:sqref>S1:S1048576 U1:U1048576</xm:sqref>
        </x14:dataValidation>
        <x14:dataValidation type="list" allowBlank="1" showInputMessage="1" showErrorMessage="1" xr:uid="{00000000-0002-0000-0100-000017000000}">
          <x14:formula1>
            <xm:f>'Lists for variables'!$M:$M</xm:f>
          </x14:formula1>
          <xm:sqref>S1:S1048576 P1:P1048576 U1:U1048576</xm:sqref>
        </x14:dataValidation>
        <x14:dataValidation type="list" allowBlank="1" showInputMessage="1" showErrorMessage="1" xr:uid="{00000000-0002-0000-0100-000018000000}">
          <x14:formula1>
            <xm:f>'Lists for variables'!$L$2:$L$10</xm:f>
          </x14:formula1>
          <xm:sqref>R1:R1048576</xm:sqref>
        </x14:dataValidation>
        <x14:dataValidation type="list" allowBlank="1" showInputMessage="1" showErrorMessage="1" xr:uid="{00000000-0002-0000-0100-000019000000}">
          <x14:formula1>
            <xm:f>'Lists for variables'!$H$1:$H$7</xm:f>
          </x14:formula1>
          <xm:sqref>Q1:Q1048576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J18"/>
  <sheetViews>
    <sheetView workbookViewId="0">
      <selection activeCell="C14" sqref="C14"/>
    </sheetView>
  </sheetViews>
  <sheetFormatPr baseColWidth="10" defaultColWidth="11" defaultRowHeight="16"/>
  <cols>
    <col min="1" max="1" width="28.5" bestFit="1" customWidth="1"/>
    <col min="2" max="2" width="41" bestFit="1" customWidth="1"/>
    <col min="3" max="3" width="29.6640625" bestFit="1" customWidth="1"/>
    <col min="4" max="4" width="20.5" bestFit="1" customWidth="1"/>
    <col min="5" max="5" width="18.1640625" bestFit="1" customWidth="1"/>
    <col min="6" max="6" width="20.6640625" bestFit="1" customWidth="1"/>
    <col min="7" max="7" width="18.1640625" bestFit="1" customWidth="1"/>
    <col min="8" max="8" width="15.6640625" bestFit="1" customWidth="1"/>
    <col min="9" max="9" width="22.5" bestFit="1" customWidth="1"/>
    <col min="10" max="10" width="23" bestFit="1" customWidth="1"/>
    <col min="11" max="11" width="25.6640625" bestFit="1" customWidth="1"/>
    <col min="12" max="12" width="19.5" bestFit="1" customWidth="1"/>
    <col min="13" max="13" width="14.6640625" bestFit="1" customWidth="1"/>
    <col min="14" max="14" width="30" bestFit="1" customWidth="1"/>
    <col min="15" max="15" width="26.6640625" bestFit="1" customWidth="1"/>
    <col min="16" max="17" width="22.1640625" bestFit="1" customWidth="1"/>
    <col min="18" max="18" width="13.6640625" bestFit="1" customWidth="1"/>
    <col min="19" max="19" width="28.1640625" bestFit="1" customWidth="1"/>
    <col min="20" max="20" width="23.1640625" bestFit="1" customWidth="1"/>
    <col min="21" max="21" width="21.6640625" bestFit="1" customWidth="1"/>
    <col min="22" max="22" width="15" bestFit="1" customWidth="1"/>
    <col min="23" max="23" width="17.1640625" bestFit="1" customWidth="1"/>
    <col min="24" max="24" width="11.5" bestFit="1" customWidth="1"/>
    <col min="25" max="25" width="12.6640625" bestFit="1" customWidth="1"/>
    <col min="26" max="26" width="15.6640625" bestFit="1" customWidth="1"/>
    <col min="27" max="27" width="13.6640625" bestFit="1" customWidth="1"/>
    <col min="28" max="28" width="11" bestFit="1" customWidth="1"/>
    <col min="29" max="29" width="23.6640625" bestFit="1" customWidth="1"/>
    <col min="30" max="30" width="18.6640625" bestFit="1" customWidth="1"/>
    <col min="31" max="31" width="22.6640625" bestFit="1" customWidth="1"/>
    <col min="32" max="32" width="15.6640625" bestFit="1" customWidth="1"/>
    <col min="33" max="33" width="17.1640625" bestFit="1" customWidth="1"/>
    <col min="34" max="34" width="17" bestFit="1" customWidth="1"/>
    <col min="35" max="35" width="13.6640625" bestFit="1" customWidth="1"/>
    <col min="36" max="36" width="18.6640625" bestFit="1" customWidth="1"/>
    <col min="37" max="38" width="9.1640625" bestFit="1" customWidth="1"/>
    <col min="39" max="39" width="36.1640625" bestFit="1" customWidth="1"/>
    <col min="40" max="40" width="29" bestFit="1" customWidth="1"/>
    <col min="41" max="41" width="17.6640625" bestFit="1" customWidth="1"/>
    <col min="42" max="42" width="21.6640625" bestFit="1" customWidth="1"/>
    <col min="43" max="43" width="20.1640625" bestFit="1" customWidth="1"/>
    <col min="44" max="44" width="15" bestFit="1" customWidth="1"/>
    <col min="45" max="45" width="24.5" bestFit="1" customWidth="1"/>
    <col min="46" max="46" width="13.1640625" bestFit="1" customWidth="1"/>
    <col min="47" max="47" width="21.6640625" bestFit="1" customWidth="1"/>
    <col min="48" max="48" width="36.5" bestFit="1" customWidth="1"/>
    <col min="49" max="49" width="23.6640625" bestFit="1" customWidth="1"/>
    <col min="50" max="50" width="17.1640625" bestFit="1" customWidth="1"/>
    <col min="51" max="51" width="29.6640625" bestFit="1" customWidth="1"/>
    <col min="52" max="52" width="33" bestFit="1" customWidth="1"/>
    <col min="53" max="53" width="35.5" bestFit="1" customWidth="1"/>
    <col min="54" max="54" width="21.6640625" bestFit="1" customWidth="1"/>
    <col min="55" max="55" width="24.1640625" bestFit="1" customWidth="1"/>
    <col min="56" max="56" width="17.6640625" bestFit="1" customWidth="1"/>
    <col min="57" max="57" width="25.6640625" bestFit="1" customWidth="1"/>
    <col min="58" max="58" width="35" bestFit="1" customWidth="1"/>
    <col min="59" max="59" width="26.1640625" bestFit="1" customWidth="1"/>
    <col min="60" max="60" width="12.1640625" bestFit="1" customWidth="1"/>
    <col min="61" max="61" width="20.5" bestFit="1" customWidth="1"/>
    <col min="62" max="62" width="15.6640625" bestFit="1" customWidth="1"/>
    <col min="63" max="64" width="18.5" bestFit="1" customWidth="1"/>
  </cols>
  <sheetData>
    <row r="1" spans="1:62">
      <c r="A1" s="103" t="s">
        <v>7</v>
      </c>
      <c r="B1" t="s">
        <v>73</v>
      </c>
    </row>
    <row r="2" spans="1:62">
      <c r="A2" s="103" t="s">
        <v>197</v>
      </c>
      <c r="B2" t="s">
        <v>285</v>
      </c>
    </row>
    <row r="4" spans="1:62">
      <c r="A4" s="103" t="s">
        <v>286</v>
      </c>
      <c r="B4" t="s">
        <v>287</v>
      </c>
      <c r="C4" t="s">
        <v>288</v>
      </c>
      <c r="D4" t="s">
        <v>289</v>
      </c>
      <c r="E4" t="s">
        <v>290</v>
      </c>
      <c r="F4" t="s">
        <v>291</v>
      </c>
      <c r="G4" t="s">
        <v>292</v>
      </c>
      <c r="H4" t="s">
        <v>293</v>
      </c>
      <c r="I4" t="s">
        <v>294</v>
      </c>
      <c r="J4" t="s">
        <v>295</v>
      </c>
      <c r="K4" t="s">
        <v>296</v>
      </c>
      <c r="L4" t="s">
        <v>297</v>
      </c>
      <c r="M4" t="s">
        <v>298</v>
      </c>
      <c r="N4" t="s">
        <v>299</v>
      </c>
      <c r="O4" t="s">
        <v>300</v>
      </c>
      <c r="P4" t="s">
        <v>301</v>
      </c>
      <c r="Q4" t="s">
        <v>302</v>
      </c>
      <c r="R4" t="s">
        <v>303</v>
      </c>
      <c r="S4" t="s">
        <v>304</v>
      </c>
      <c r="T4" t="s">
        <v>305</v>
      </c>
      <c r="U4" t="s">
        <v>306</v>
      </c>
      <c r="V4" t="s">
        <v>307</v>
      </c>
      <c r="W4" t="s">
        <v>308</v>
      </c>
      <c r="X4" t="s">
        <v>309</v>
      </c>
      <c r="Y4" t="s">
        <v>310</v>
      </c>
      <c r="Z4" t="s">
        <v>311</v>
      </c>
      <c r="AA4" t="s">
        <v>312</v>
      </c>
      <c r="AB4" t="s">
        <v>313</v>
      </c>
      <c r="AC4" t="s">
        <v>314</v>
      </c>
      <c r="AD4" t="s">
        <v>315</v>
      </c>
      <c r="AE4" t="s">
        <v>316</v>
      </c>
      <c r="AF4" t="s">
        <v>317</v>
      </c>
      <c r="AG4" t="s">
        <v>318</v>
      </c>
      <c r="AH4" t="s">
        <v>319</v>
      </c>
      <c r="AI4" t="s">
        <v>320</v>
      </c>
      <c r="AJ4" t="s">
        <v>321</v>
      </c>
      <c r="AK4" t="s">
        <v>322</v>
      </c>
      <c r="AL4" t="s">
        <v>323</v>
      </c>
      <c r="AM4" t="s">
        <v>324</v>
      </c>
      <c r="AN4" t="s">
        <v>325</v>
      </c>
      <c r="AO4" t="s">
        <v>326</v>
      </c>
      <c r="AP4" t="s">
        <v>327</v>
      </c>
      <c r="AQ4" t="s">
        <v>328</v>
      </c>
      <c r="AR4" t="s">
        <v>329</v>
      </c>
      <c r="AS4" t="s">
        <v>330</v>
      </c>
      <c r="AT4" t="s">
        <v>331</v>
      </c>
      <c r="AU4" t="s">
        <v>332</v>
      </c>
      <c r="AV4" t="s">
        <v>333</v>
      </c>
      <c r="AW4" t="s">
        <v>334</v>
      </c>
      <c r="AX4" t="s">
        <v>335</v>
      </c>
      <c r="AY4" t="s">
        <v>336</v>
      </c>
      <c r="AZ4" t="s">
        <v>337</v>
      </c>
      <c r="BA4" t="s">
        <v>338</v>
      </c>
      <c r="BB4" t="s">
        <v>339</v>
      </c>
      <c r="BC4" t="s">
        <v>340</v>
      </c>
      <c r="BD4" t="s">
        <v>341</v>
      </c>
      <c r="BE4" t="s">
        <v>342</v>
      </c>
      <c r="BF4" t="s">
        <v>343</v>
      </c>
      <c r="BG4" t="s">
        <v>344</v>
      </c>
      <c r="BH4" t="s">
        <v>345</v>
      </c>
      <c r="BI4" t="s">
        <v>346</v>
      </c>
      <c r="BJ4" t="s">
        <v>347</v>
      </c>
    </row>
    <row r="5" spans="1:62">
      <c r="A5" s="104" t="s">
        <v>348</v>
      </c>
      <c r="B5">
        <v>4</v>
      </c>
      <c r="C5">
        <v>0.12667444459407348</v>
      </c>
      <c r="D5">
        <v>1.6717762428241768E-3</v>
      </c>
      <c r="E5">
        <v>0.12737826808735897</v>
      </c>
      <c r="F5">
        <v>1.6778523489932886E-3</v>
      </c>
      <c r="G5" t="e">
        <v>#DIV/0!</v>
      </c>
      <c r="H5">
        <v>4</v>
      </c>
      <c r="I5">
        <v>4</v>
      </c>
      <c r="J5">
        <v>4</v>
      </c>
      <c r="K5">
        <v>4</v>
      </c>
      <c r="L5">
        <v>4</v>
      </c>
      <c r="M5">
        <v>4</v>
      </c>
      <c r="N5">
        <v>4</v>
      </c>
      <c r="O5">
        <v>4</v>
      </c>
      <c r="P5">
        <v>4</v>
      </c>
      <c r="Q5">
        <v>4</v>
      </c>
      <c r="R5">
        <v>4</v>
      </c>
      <c r="S5">
        <v>4</v>
      </c>
      <c r="T5">
        <v>4</v>
      </c>
      <c r="U5">
        <v>4</v>
      </c>
      <c r="V5">
        <v>4</v>
      </c>
      <c r="W5">
        <v>2</v>
      </c>
      <c r="X5">
        <v>0</v>
      </c>
      <c r="Y5">
        <v>0</v>
      </c>
      <c r="Z5">
        <v>0</v>
      </c>
      <c r="AA5">
        <v>0</v>
      </c>
      <c r="AB5">
        <v>0</v>
      </c>
      <c r="AC5">
        <v>0</v>
      </c>
      <c r="AD5">
        <v>0</v>
      </c>
      <c r="AE5">
        <v>0</v>
      </c>
      <c r="AF5">
        <v>0</v>
      </c>
      <c r="AG5">
        <v>0</v>
      </c>
      <c r="AH5">
        <v>4</v>
      </c>
      <c r="AI5">
        <v>0</v>
      </c>
      <c r="AJ5">
        <v>0</v>
      </c>
      <c r="AK5">
        <v>0</v>
      </c>
      <c r="AL5">
        <v>0</v>
      </c>
      <c r="AM5">
        <v>4</v>
      </c>
      <c r="AN5">
        <v>4</v>
      </c>
      <c r="AO5">
        <v>4</v>
      </c>
      <c r="AP5">
        <v>4</v>
      </c>
      <c r="AQ5">
        <v>4</v>
      </c>
      <c r="AR5">
        <v>4</v>
      </c>
      <c r="AS5">
        <v>4</v>
      </c>
      <c r="AT5">
        <v>4</v>
      </c>
      <c r="AU5">
        <v>4</v>
      </c>
      <c r="AW5">
        <v>4</v>
      </c>
      <c r="AX5">
        <v>4</v>
      </c>
      <c r="AY5">
        <v>4</v>
      </c>
      <c r="AZ5">
        <v>4</v>
      </c>
      <c r="BA5">
        <v>4</v>
      </c>
      <c r="BB5">
        <v>4</v>
      </c>
      <c r="BC5">
        <v>4</v>
      </c>
      <c r="BD5">
        <v>4</v>
      </c>
      <c r="BE5">
        <v>0</v>
      </c>
      <c r="BF5">
        <v>0</v>
      </c>
      <c r="BG5">
        <v>4</v>
      </c>
      <c r="BH5">
        <v>597</v>
      </c>
      <c r="BI5">
        <v>4</v>
      </c>
      <c r="BJ5">
        <v>4</v>
      </c>
    </row>
    <row r="6" spans="1:62">
      <c r="A6" s="104" t="s">
        <v>107</v>
      </c>
      <c r="B6">
        <v>14</v>
      </c>
      <c r="C6" t="e">
        <v>#VALUE!</v>
      </c>
      <c r="D6" t="e">
        <v>#VALUE!</v>
      </c>
      <c r="E6" t="e">
        <v>#VALUE!</v>
      </c>
      <c r="F6">
        <v>7.5811824421551682E-2</v>
      </c>
      <c r="G6" t="e">
        <v>#VALUE!</v>
      </c>
      <c r="H6">
        <v>14</v>
      </c>
      <c r="I6">
        <v>14</v>
      </c>
      <c r="J6">
        <v>14</v>
      </c>
      <c r="K6">
        <v>14</v>
      </c>
      <c r="L6">
        <v>14</v>
      </c>
      <c r="M6">
        <v>14</v>
      </c>
      <c r="N6">
        <v>14</v>
      </c>
      <c r="O6">
        <v>14</v>
      </c>
      <c r="P6">
        <v>14</v>
      </c>
      <c r="Q6">
        <v>14</v>
      </c>
      <c r="R6">
        <v>14</v>
      </c>
      <c r="S6">
        <v>14</v>
      </c>
      <c r="T6">
        <v>14</v>
      </c>
      <c r="U6">
        <v>14</v>
      </c>
      <c r="V6">
        <v>0</v>
      </c>
      <c r="W6">
        <v>10</v>
      </c>
      <c r="X6">
        <v>11</v>
      </c>
      <c r="Y6">
        <v>2</v>
      </c>
      <c r="Z6">
        <v>0</v>
      </c>
      <c r="AA6">
        <v>0</v>
      </c>
      <c r="AB6">
        <v>0</v>
      </c>
      <c r="AC6">
        <v>0</v>
      </c>
      <c r="AD6">
        <v>5</v>
      </c>
      <c r="AE6">
        <v>1</v>
      </c>
      <c r="AF6">
        <v>0</v>
      </c>
      <c r="AG6">
        <v>3</v>
      </c>
      <c r="AH6">
        <v>0</v>
      </c>
      <c r="AI6">
        <v>5</v>
      </c>
      <c r="AJ6">
        <v>0</v>
      </c>
      <c r="AK6">
        <v>0</v>
      </c>
      <c r="AL6">
        <v>0</v>
      </c>
      <c r="AM6">
        <v>14</v>
      </c>
      <c r="AN6">
        <v>14</v>
      </c>
      <c r="AO6">
        <v>14</v>
      </c>
      <c r="AP6">
        <v>14</v>
      </c>
      <c r="AQ6">
        <v>14</v>
      </c>
      <c r="AR6">
        <v>14</v>
      </c>
      <c r="AS6">
        <v>14</v>
      </c>
      <c r="AT6">
        <v>14</v>
      </c>
      <c r="AU6">
        <v>14</v>
      </c>
      <c r="AW6">
        <v>14</v>
      </c>
      <c r="AX6">
        <v>14</v>
      </c>
      <c r="AY6">
        <v>14</v>
      </c>
      <c r="AZ6">
        <v>14</v>
      </c>
      <c r="BA6">
        <v>14</v>
      </c>
      <c r="BB6">
        <v>14</v>
      </c>
      <c r="BC6">
        <v>14</v>
      </c>
      <c r="BD6">
        <v>14</v>
      </c>
      <c r="BE6">
        <v>0</v>
      </c>
      <c r="BF6">
        <v>0</v>
      </c>
      <c r="BG6">
        <v>2</v>
      </c>
      <c r="BH6">
        <v>229.57142857142858</v>
      </c>
      <c r="BI6">
        <v>14</v>
      </c>
      <c r="BJ6">
        <v>14</v>
      </c>
    </row>
    <row r="7" spans="1:62">
      <c r="A7" s="104" t="s">
        <v>349</v>
      </c>
      <c r="B7">
        <v>3</v>
      </c>
      <c r="C7">
        <v>6.5441999190393105E-3</v>
      </c>
      <c r="D7">
        <v>4.2833889728653879E-5</v>
      </c>
      <c r="E7">
        <v>6.5444801989653417E-3</v>
      </c>
      <c r="F7">
        <v>4.2837559972583958E-5</v>
      </c>
      <c r="G7" t="e">
        <v>#DIV/0!</v>
      </c>
      <c r="H7">
        <v>3</v>
      </c>
      <c r="I7">
        <v>3</v>
      </c>
      <c r="J7">
        <v>3</v>
      </c>
      <c r="K7">
        <v>3</v>
      </c>
      <c r="L7">
        <v>3</v>
      </c>
      <c r="M7">
        <v>3</v>
      </c>
      <c r="N7">
        <v>3</v>
      </c>
      <c r="O7">
        <v>3</v>
      </c>
      <c r="P7">
        <v>3</v>
      </c>
      <c r="Q7">
        <v>3</v>
      </c>
      <c r="R7">
        <v>3</v>
      </c>
      <c r="S7">
        <v>3</v>
      </c>
      <c r="T7">
        <v>3</v>
      </c>
      <c r="U7">
        <v>3</v>
      </c>
      <c r="V7">
        <v>0</v>
      </c>
      <c r="W7">
        <v>1</v>
      </c>
      <c r="X7">
        <v>0</v>
      </c>
      <c r="Y7">
        <v>2</v>
      </c>
      <c r="Z7">
        <v>0</v>
      </c>
      <c r="AA7">
        <v>0</v>
      </c>
      <c r="AB7">
        <v>0</v>
      </c>
      <c r="AC7">
        <v>0</v>
      </c>
      <c r="AD7">
        <v>0</v>
      </c>
      <c r="AE7">
        <v>0</v>
      </c>
      <c r="AF7">
        <v>0</v>
      </c>
      <c r="AG7">
        <v>0</v>
      </c>
      <c r="AH7">
        <v>0</v>
      </c>
      <c r="AI7">
        <v>0</v>
      </c>
      <c r="AJ7">
        <v>3</v>
      </c>
      <c r="AK7">
        <v>0</v>
      </c>
      <c r="AL7">
        <v>0</v>
      </c>
      <c r="AM7">
        <v>3</v>
      </c>
      <c r="AN7">
        <v>3</v>
      </c>
      <c r="AO7">
        <v>3</v>
      </c>
      <c r="AP7">
        <v>3</v>
      </c>
      <c r="AQ7">
        <v>3</v>
      </c>
      <c r="AR7">
        <v>3</v>
      </c>
      <c r="AS7">
        <v>3</v>
      </c>
      <c r="AT7">
        <v>3</v>
      </c>
      <c r="AU7">
        <v>3</v>
      </c>
      <c r="AV7">
        <v>3</v>
      </c>
      <c r="AW7">
        <v>3</v>
      </c>
      <c r="AX7">
        <v>3</v>
      </c>
      <c r="AY7">
        <v>3</v>
      </c>
      <c r="AZ7">
        <v>3</v>
      </c>
      <c r="BA7">
        <v>3</v>
      </c>
      <c r="BB7">
        <v>3</v>
      </c>
      <c r="BC7">
        <v>3</v>
      </c>
      <c r="BD7">
        <v>3</v>
      </c>
      <c r="BE7">
        <v>0</v>
      </c>
      <c r="BF7">
        <v>3</v>
      </c>
      <c r="BG7">
        <v>3</v>
      </c>
      <c r="BH7">
        <v>23345</v>
      </c>
      <c r="BI7">
        <v>3</v>
      </c>
      <c r="BJ7">
        <v>3</v>
      </c>
    </row>
    <row r="8" spans="1:62">
      <c r="A8" s="104" t="s">
        <v>93</v>
      </c>
      <c r="B8">
        <v>5</v>
      </c>
      <c r="C8">
        <v>2.6124206533931365E-2</v>
      </c>
      <c r="D8">
        <v>5.5740278889406674E-4</v>
      </c>
      <c r="E8">
        <v>2.6184664849851047E-2</v>
      </c>
      <c r="F8">
        <v>5.5843820412258285E-4</v>
      </c>
      <c r="G8" t="e">
        <v>#DIV/0!</v>
      </c>
      <c r="H8">
        <v>5</v>
      </c>
      <c r="I8">
        <v>5</v>
      </c>
      <c r="J8">
        <v>5</v>
      </c>
      <c r="K8">
        <v>5</v>
      </c>
      <c r="L8">
        <v>5</v>
      </c>
      <c r="M8">
        <v>5</v>
      </c>
      <c r="N8">
        <v>5</v>
      </c>
      <c r="O8">
        <v>5</v>
      </c>
      <c r="P8">
        <v>5</v>
      </c>
      <c r="Q8">
        <v>5</v>
      </c>
      <c r="R8">
        <v>5</v>
      </c>
      <c r="S8">
        <v>5</v>
      </c>
      <c r="T8">
        <v>5</v>
      </c>
      <c r="U8">
        <v>5</v>
      </c>
      <c r="V8">
        <v>0</v>
      </c>
      <c r="W8">
        <v>4</v>
      </c>
      <c r="X8">
        <v>0</v>
      </c>
      <c r="Y8">
        <v>2</v>
      </c>
      <c r="Z8">
        <v>2</v>
      </c>
      <c r="AA8">
        <v>0</v>
      </c>
      <c r="AB8">
        <v>0</v>
      </c>
      <c r="AC8">
        <v>0</v>
      </c>
      <c r="AD8">
        <v>0</v>
      </c>
      <c r="AE8">
        <v>0</v>
      </c>
      <c r="AF8">
        <v>0</v>
      </c>
      <c r="AG8">
        <v>0</v>
      </c>
      <c r="AH8">
        <v>2</v>
      </c>
      <c r="AI8">
        <v>3</v>
      </c>
      <c r="AJ8">
        <v>0</v>
      </c>
      <c r="AK8">
        <v>0</v>
      </c>
      <c r="AL8">
        <v>0</v>
      </c>
      <c r="AM8">
        <v>5</v>
      </c>
      <c r="AN8">
        <v>5</v>
      </c>
      <c r="AO8">
        <v>5</v>
      </c>
      <c r="AP8">
        <v>5</v>
      </c>
      <c r="AQ8">
        <v>5</v>
      </c>
      <c r="AR8">
        <v>5</v>
      </c>
      <c r="AS8">
        <v>5</v>
      </c>
      <c r="AT8">
        <v>5</v>
      </c>
      <c r="AU8">
        <v>5</v>
      </c>
      <c r="AV8">
        <v>5</v>
      </c>
      <c r="AW8">
        <v>5</v>
      </c>
      <c r="AX8">
        <v>5</v>
      </c>
      <c r="AY8">
        <v>5</v>
      </c>
      <c r="AZ8">
        <v>5</v>
      </c>
      <c r="BA8">
        <v>5</v>
      </c>
      <c r="BB8">
        <v>5</v>
      </c>
      <c r="BC8">
        <v>5</v>
      </c>
      <c r="BD8">
        <v>5</v>
      </c>
      <c r="BE8">
        <v>0</v>
      </c>
      <c r="BF8">
        <v>0</v>
      </c>
      <c r="BG8">
        <v>5</v>
      </c>
      <c r="BH8">
        <v>33088.6</v>
      </c>
      <c r="BI8">
        <v>5</v>
      </c>
      <c r="BJ8">
        <v>5</v>
      </c>
    </row>
    <row r="9" spans="1:62">
      <c r="A9" s="104" t="s">
        <v>155</v>
      </c>
      <c r="B9">
        <v>51</v>
      </c>
      <c r="C9">
        <v>0.15701583467056218</v>
      </c>
      <c r="D9">
        <v>2.2131511653333946E-3</v>
      </c>
      <c r="E9">
        <v>0.19054785480046874</v>
      </c>
      <c r="F9">
        <v>5.0063898345289294E-3</v>
      </c>
      <c r="G9">
        <v>7.2794724575885664E-2</v>
      </c>
      <c r="H9">
        <v>51</v>
      </c>
      <c r="I9">
        <v>51</v>
      </c>
      <c r="J9">
        <v>51</v>
      </c>
      <c r="K9">
        <v>51</v>
      </c>
      <c r="L9">
        <v>51</v>
      </c>
      <c r="M9">
        <v>51</v>
      </c>
      <c r="N9">
        <v>51</v>
      </c>
      <c r="O9">
        <v>51</v>
      </c>
      <c r="P9">
        <v>51</v>
      </c>
      <c r="Q9">
        <v>51</v>
      </c>
      <c r="R9">
        <v>51</v>
      </c>
      <c r="S9">
        <v>51</v>
      </c>
      <c r="T9">
        <v>51</v>
      </c>
      <c r="U9">
        <v>51</v>
      </c>
      <c r="V9">
        <v>0</v>
      </c>
      <c r="W9">
        <v>10</v>
      </c>
      <c r="X9">
        <v>28</v>
      </c>
      <c r="Y9">
        <v>11</v>
      </c>
      <c r="Z9">
        <v>0</v>
      </c>
      <c r="AA9">
        <v>6</v>
      </c>
      <c r="AB9">
        <v>1</v>
      </c>
      <c r="AC9">
        <v>0</v>
      </c>
      <c r="AD9">
        <v>0</v>
      </c>
      <c r="AE9">
        <v>10</v>
      </c>
      <c r="AF9">
        <v>3</v>
      </c>
      <c r="AG9">
        <v>7</v>
      </c>
      <c r="AH9">
        <v>0</v>
      </c>
      <c r="AI9">
        <v>6</v>
      </c>
      <c r="AJ9">
        <v>6</v>
      </c>
      <c r="AK9">
        <v>6</v>
      </c>
      <c r="AL9">
        <v>13</v>
      </c>
      <c r="AM9">
        <v>51</v>
      </c>
      <c r="AN9">
        <v>51</v>
      </c>
      <c r="AO9">
        <v>51</v>
      </c>
      <c r="AP9">
        <v>51</v>
      </c>
      <c r="AQ9">
        <v>51</v>
      </c>
      <c r="AR9">
        <v>51</v>
      </c>
      <c r="AS9">
        <v>51</v>
      </c>
      <c r="AT9">
        <v>51</v>
      </c>
      <c r="AU9">
        <v>51</v>
      </c>
      <c r="AV9">
        <v>51</v>
      </c>
      <c r="AW9">
        <v>51</v>
      </c>
      <c r="AX9">
        <v>51</v>
      </c>
      <c r="AY9">
        <v>51</v>
      </c>
      <c r="AZ9">
        <v>51</v>
      </c>
      <c r="BA9">
        <v>51</v>
      </c>
      <c r="BB9">
        <v>51</v>
      </c>
      <c r="BC9">
        <v>51</v>
      </c>
      <c r="BD9">
        <v>51</v>
      </c>
      <c r="BE9">
        <v>6</v>
      </c>
      <c r="BF9">
        <v>0</v>
      </c>
      <c r="BG9">
        <v>33</v>
      </c>
      <c r="BH9">
        <v>430.80392156862746</v>
      </c>
      <c r="BI9">
        <v>51</v>
      </c>
      <c r="BJ9">
        <v>51</v>
      </c>
    </row>
    <row r="10" spans="1:62">
      <c r="A10" s="104" t="s">
        <v>350</v>
      </c>
      <c r="B10">
        <v>23</v>
      </c>
      <c r="C10">
        <v>9.4272765577602682E-2</v>
      </c>
      <c r="D10">
        <v>2.1985314255774943E-3</v>
      </c>
      <c r="E10">
        <v>9.7036508933239313E-2</v>
      </c>
      <c r="F10">
        <v>2.2248736472220932E-3</v>
      </c>
      <c r="G10" t="e">
        <v>#DIV/0!</v>
      </c>
      <c r="H10">
        <v>23</v>
      </c>
      <c r="I10">
        <v>23</v>
      </c>
      <c r="J10">
        <v>23</v>
      </c>
      <c r="K10">
        <v>23</v>
      </c>
      <c r="L10">
        <v>23</v>
      </c>
      <c r="M10">
        <v>23</v>
      </c>
      <c r="N10">
        <v>23</v>
      </c>
      <c r="O10">
        <v>23</v>
      </c>
      <c r="P10">
        <v>23</v>
      </c>
      <c r="Q10">
        <v>23</v>
      </c>
      <c r="R10">
        <v>23</v>
      </c>
      <c r="S10">
        <v>23</v>
      </c>
      <c r="T10">
        <v>23</v>
      </c>
      <c r="U10">
        <v>23</v>
      </c>
      <c r="V10">
        <v>0</v>
      </c>
      <c r="W10">
        <v>0</v>
      </c>
      <c r="X10">
        <v>3</v>
      </c>
      <c r="Y10">
        <v>5</v>
      </c>
      <c r="Z10">
        <v>0</v>
      </c>
      <c r="AA10">
        <v>12</v>
      </c>
      <c r="AB10">
        <v>3</v>
      </c>
      <c r="AC10">
        <v>0</v>
      </c>
      <c r="AD10">
        <v>0</v>
      </c>
      <c r="AE10">
        <v>1</v>
      </c>
      <c r="AF10">
        <v>0</v>
      </c>
      <c r="AG10">
        <v>10</v>
      </c>
      <c r="AH10">
        <v>0</v>
      </c>
      <c r="AI10">
        <v>0</v>
      </c>
      <c r="AJ10">
        <v>12</v>
      </c>
      <c r="AK10">
        <v>0</v>
      </c>
      <c r="AL10">
        <v>0</v>
      </c>
      <c r="AM10">
        <v>23</v>
      </c>
      <c r="AN10">
        <v>23</v>
      </c>
      <c r="AO10">
        <v>23</v>
      </c>
      <c r="AP10">
        <v>23</v>
      </c>
      <c r="AQ10">
        <v>23</v>
      </c>
      <c r="AR10">
        <v>23</v>
      </c>
      <c r="AS10">
        <v>23</v>
      </c>
      <c r="AT10">
        <v>23</v>
      </c>
      <c r="AU10">
        <v>23</v>
      </c>
      <c r="AV10">
        <v>23</v>
      </c>
      <c r="AW10">
        <v>23</v>
      </c>
      <c r="AX10">
        <v>23</v>
      </c>
      <c r="AY10">
        <v>23</v>
      </c>
      <c r="AZ10">
        <v>23</v>
      </c>
      <c r="BA10">
        <v>23</v>
      </c>
      <c r="BB10">
        <v>23</v>
      </c>
      <c r="BC10">
        <v>23</v>
      </c>
      <c r="BD10">
        <v>23</v>
      </c>
      <c r="BE10">
        <v>12</v>
      </c>
      <c r="BF10">
        <v>14</v>
      </c>
      <c r="BG10">
        <v>21</v>
      </c>
      <c r="BH10">
        <v>598.78260869565213</v>
      </c>
      <c r="BI10">
        <v>23</v>
      </c>
      <c r="BJ10">
        <v>23</v>
      </c>
    </row>
    <row r="11" spans="1:62">
      <c r="A11" s="104" t="s">
        <v>351</v>
      </c>
      <c r="B11">
        <v>4</v>
      </c>
      <c r="C11">
        <v>6.3640148973810429E-2</v>
      </c>
      <c r="D11">
        <v>7.2119914323460121E-4</v>
      </c>
      <c r="E11">
        <v>6.3885706505239462E-2</v>
      </c>
      <c r="F11">
        <v>7.2354148412971209E-4</v>
      </c>
      <c r="G11" t="e">
        <v>#DIV/0!</v>
      </c>
      <c r="H11">
        <v>4</v>
      </c>
      <c r="I11">
        <v>4</v>
      </c>
      <c r="J11">
        <v>4</v>
      </c>
      <c r="K11">
        <v>4</v>
      </c>
      <c r="L11">
        <v>4</v>
      </c>
      <c r="M11">
        <v>4</v>
      </c>
      <c r="N11">
        <v>4</v>
      </c>
      <c r="O11">
        <v>4</v>
      </c>
      <c r="P11">
        <v>4</v>
      </c>
      <c r="Q11">
        <v>4</v>
      </c>
      <c r="R11">
        <v>4</v>
      </c>
      <c r="S11">
        <v>4</v>
      </c>
      <c r="T11">
        <v>4</v>
      </c>
      <c r="U11">
        <v>4</v>
      </c>
      <c r="V11">
        <v>0</v>
      </c>
      <c r="W11">
        <v>0</v>
      </c>
      <c r="X11">
        <v>1</v>
      </c>
      <c r="Y11">
        <v>0</v>
      </c>
      <c r="Z11">
        <v>0</v>
      </c>
      <c r="AA11">
        <v>3</v>
      </c>
      <c r="AB11">
        <v>0</v>
      </c>
      <c r="AC11">
        <v>0</v>
      </c>
      <c r="AD11">
        <v>0</v>
      </c>
      <c r="AE11">
        <v>0</v>
      </c>
      <c r="AF11">
        <v>0</v>
      </c>
      <c r="AG11">
        <v>1</v>
      </c>
      <c r="AH11">
        <v>0</v>
      </c>
      <c r="AI11">
        <v>0</v>
      </c>
      <c r="AJ11">
        <v>3</v>
      </c>
      <c r="AK11">
        <v>0</v>
      </c>
      <c r="AL11">
        <v>0</v>
      </c>
      <c r="AM11">
        <v>4</v>
      </c>
      <c r="AN11">
        <v>4</v>
      </c>
      <c r="AO11">
        <v>4</v>
      </c>
      <c r="AP11">
        <v>4</v>
      </c>
      <c r="AQ11">
        <v>4</v>
      </c>
      <c r="AR11">
        <v>4</v>
      </c>
      <c r="AS11">
        <v>4</v>
      </c>
      <c r="AT11">
        <v>4</v>
      </c>
      <c r="AU11">
        <v>4</v>
      </c>
      <c r="AV11">
        <v>4</v>
      </c>
      <c r="AW11">
        <v>4</v>
      </c>
      <c r="AX11">
        <v>4</v>
      </c>
      <c r="AY11">
        <v>4</v>
      </c>
      <c r="AZ11">
        <v>4</v>
      </c>
      <c r="BA11">
        <v>4</v>
      </c>
      <c r="BB11">
        <v>4</v>
      </c>
      <c r="BC11">
        <v>4</v>
      </c>
      <c r="BD11">
        <v>4</v>
      </c>
      <c r="BE11">
        <v>3</v>
      </c>
      <c r="BF11">
        <v>3</v>
      </c>
      <c r="BG11">
        <v>4</v>
      </c>
      <c r="BH11">
        <v>2676</v>
      </c>
      <c r="BI11">
        <v>4</v>
      </c>
      <c r="BJ11">
        <v>4</v>
      </c>
    </row>
    <row r="12" spans="1:62">
      <c r="A12" s="104" t="s">
        <v>352</v>
      </c>
      <c r="B12">
        <v>2</v>
      </c>
      <c r="C12">
        <v>4.7864102867770673E-2</v>
      </c>
      <c r="D12">
        <v>3.4375888847855613E-4</v>
      </c>
      <c r="E12">
        <v>4.7901151747069298E-2</v>
      </c>
      <c r="F12">
        <v>3.4399724802201581E-4</v>
      </c>
      <c r="G12" t="e">
        <v>#DIV/0!</v>
      </c>
      <c r="H12">
        <v>2</v>
      </c>
      <c r="I12">
        <v>2</v>
      </c>
      <c r="J12">
        <v>2</v>
      </c>
      <c r="K12">
        <v>2</v>
      </c>
      <c r="L12">
        <v>2</v>
      </c>
      <c r="M12">
        <v>2</v>
      </c>
      <c r="N12">
        <v>2</v>
      </c>
      <c r="O12">
        <v>2</v>
      </c>
      <c r="P12">
        <v>2</v>
      </c>
      <c r="Q12">
        <v>2</v>
      </c>
      <c r="R12">
        <v>2</v>
      </c>
      <c r="S12">
        <v>2</v>
      </c>
      <c r="T12">
        <v>2</v>
      </c>
      <c r="U12">
        <v>2</v>
      </c>
      <c r="V12">
        <v>0</v>
      </c>
      <c r="W12">
        <v>2</v>
      </c>
      <c r="X12">
        <v>0</v>
      </c>
      <c r="Y12">
        <v>0</v>
      </c>
      <c r="Z12">
        <v>0</v>
      </c>
      <c r="AA12">
        <v>0</v>
      </c>
      <c r="AB12">
        <v>0</v>
      </c>
      <c r="AC12">
        <v>0</v>
      </c>
      <c r="AD12">
        <v>0</v>
      </c>
      <c r="AE12">
        <v>0</v>
      </c>
      <c r="AF12">
        <v>0</v>
      </c>
      <c r="AG12">
        <v>2</v>
      </c>
      <c r="AH12">
        <v>0</v>
      </c>
      <c r="AI12">
        <v>0</v>
      </c>
      <c r="AJ12">
        <v>0</v>
      </c>
      <c r="AK12">
        <v>0</v>
      </c>
      <c r="AL12">
        <v>0</v>
      </c>
      <c r="AM12">
        <v>2</v>
      </c>
      <c r="AN12">
        <v>2</v>
      </c>
      <c r="AO12">
        <v>2</v>
      </c>
      <c r="AP12">
        <v>2</v>
      </c>
      <c r="AQ12">
        <v>2</v>
      </c>
      <c r="AR12">
        <v>2</v>
      </c>
      <c r="AS12">
        <v>2</v>
      </c>
      <c r="AT12">
        <v>2</v>
      </c>
      <c r="AU12">
        <v>2</v>
      </c>
      <c r="AV12">
        <v>2</v>
      </c>
      <c r="AW12">
        <v>2</v>
      </c>
      <c r="AX12">
        <v>2</v>
      </c>
      <c r="AY12">
        <v>2</v>
      </c>
      <c r="AZ12">
        <v>2</v>
      </c>
      <c r="BA12">
        <v>2</v>
      </c>
      <c r="BB12">
        <v>2</v>
      </c>
      <c r="BC12">
        <v>2</v>
      </c>
      <c r="BD12">
        <v>2</v>
      </c>
      <c r="BE12">
        <v>0</v>
      </c>
      <c r="BF12">
        <v>0</v>
      </c>
      <c r="BG12">
        <v>0</v>
      </c>
      <c r="BH12">
        <v>2908</v>
      </c>
      <c r="BI12">
        <v>2</v>
      </c>
      <c r="BJ12">
        <v>2</v>
      </c>
    </row>
    <row r="13" spans="1:62">
      <c r="A13" s="104" t="s">
        <v>353</v>
      </c>
      <c r="B13">
        <v>6</v>
      </c>
      <c r="C13">
        <v>4.913282308003452E-2</v>
      </c>
      <c r="D13">
        <v>7.4214652450160356E-4</v>
      </c>
      <c r="E13">
        <v>4.9208398587140954E-2</v>
      </c>
      <c r="F13">
        <v>7.4367429486905088E-4</v>
      </c>
      <c r="G13" t="e">
        <v>#DIV/0!</v>
      </c>
      <c r="H13">
        <v>6</v>
      </c>
      <c r="I13">
        <v>6</v>
      </c>
      <c r="J13">
        <v>6</v>
      </c>
      <c r="K13">
        <v>6</v>
      </c>
      <c r="L13">
        <v>6</v>
      </c>
      <c r="M13">
        <v>6</v>
      </c>
      <c r="N13">
        <v>6</v>
      </c>
      <c r="O13">
        <v>6</v>
      </c>
      <c r="P13">
        <v>6</v>
      </c>
      <c r="Q13">
        <v>6</v>
      </c>
      <c r="R13">
        <v>6</v>
      </c>
      <c r="S13">
        <v>6</v>
      </c>
      <c r="T13">
        <v>6</v>
      </c>
      <c r="U13">
        <v>6</v>
      </c>
      <c r="V13">
        <v>0</v>
      </c>
      <c r="W13">
        <v>0</v>
      </c>
      <c r="X13">
        <v>0</v>
      </c>
      <c r="Y13">
        <v>0</v>
      </c>
      <c r="Z13">
        <v>0</v>
      </c>
      <c r="AA13">
        <v>6</v>
      </c>
      <c r="AB13">
        <v>0</v>
      </c>
      <c r="AC13">
        <v>0</v>
      </c>
      <c r="AD13">
        <v>0</v>
      </c>
      <c r="AE13">
        <v>0</v>
      </c>
      <c r="AF13">
        <v>0</v>
      </c>
      <c r="AG13">
        <v>0</v>
      </c>
      <c r="AH13">
        <v>0</v>
      </c>
      <c r="AI13">
        <v>0</v>
      </c>
      <c r="AJ13">
        <v>6</v>
      </c>
      <c r="AK13">
        <v>0</v>
      </c>
      <c r="AL13">
        <v>0</v>
      </c>
      <c r="AM13">
        <v>6</v>
      </c>
      <c r="AN13">
        <v>6</v>
      </c>
      <c r="AO13">
        <v>6</v>
      </c>
      <c r="AP13">
        <v>6</v>
      </c>
      <c r="AQ13">
        <v>6</v>
      </c>
      <c r="AR13">
        <v>6</v>
      </c>
      <c r="AS13">
        <v>6</v>
      </c>
      <c r="AT13">
        <v>6</v>
      </c>
      <c r="AU13">
        <v>6</v>
      </c>
      <c r="AV13">
        <v>6</v>
      </c>
      <c r="AW13">
        <v>6</v>
      </c>
      <c r="AX13">
        <v>6</v>
      </c>
      <c r="AY13">
        <v>6</v>
      </c>
      <c r="AZ13">
        <v>6</v>
      </c>
      <c r="BA13">
        <v>6</v>
      </c>
      <c r="BB13">
        <v>6</v>
      </c>
      <c r="BC13">
        <v>6</v>
      </c>
      <c r="BD13">
        <v>6</v>
      </c>
      <c r="BE13">
        <v>6</v>
      </c>
      <c r="BF13">
        <v>6</v>
      </c>
      <c r="BG13">
        <v>6</v>
      </c>
      <c r="BH13">
        <v>2120.5</v>
      </c>
      <c r="BI13">
        <v>6</v>
      </c>
      <c r="BJ13">
        <v>6</v>
      </c>
    </row>
    <row r="14" spans="1:62">
      <c r="A14" s="104" t="s">
        <v>354</v>
      </c>
      <c r="B14">
        <v>6</v>
      </c>
      <c r="C14">
        <v>0.15124181441320864</v>
      </c>
      <c r="D14">
        <v>5.5369346405094002E-3</v>
      </c>
      <c r="E14">
        <v>0.15250197300297083</v>
      </c>
      <c r="F14">
        <v>5.6027217679006187E-3</v>
      </c>
      <c r="G14" t="e">
        <v>#DIV/0!</v>
      </c>
      <c r="H14">
        <v>6</v>
      </c>
      <c r="I14">
        <v>6</v>
      </c>
      <c r="J14">
        <v>6</v>
      </c>
      <c r="K14">
        <v>6</v>
      </c>
      <c r="L14">
        <v>6</v>
      </c>
      <c r="M14">
        <v>6</v>
      </c>
      <c r="N14">
        <v>6</v>
      </c>
      <c r="O14">
        <v>6</v>
      </c>
      <c r="P14">
        <v>6</v>
      </c>
      <c r="Q14">
        <v>6</v>
      </c>
      <c r="R14">
        <v>6</v>
      </c>
      <c r="S14">
        <v>6</v>
      </c>
      <c r="T14">
        <v>6</v>
      </c>
      <c r="U14">
        <v>6</v>
      </c>
      <c r="V14">
        <v>2</v>
      </c>
      <c r="W14">
        <v>0</v>
      </c>
      <c r="X14">
        <v>0</v>
      </c>
      <c r="Y14">
        <v>0</v>
      </c>
      <c r="Z14">
        <v>0</v>
      </c>
      <c r="AA14">
        <v>2</v>
      </c>
      <c r="AB14">
        <v>2</v>
      </c>
      <c r="AC14">
        <v>0</v>
      </c>
      <c r="AD14">
        <v>0</v>
      </c>
      <c r="AE14">
        <v>0</v>
      </c>
      <c r="AF14">
        <v>0</v>
      </c>
      <c r="AG14">
        <v>0</v>
      </c>
      <c r="AH14">
        <v>0</v>
      </c>
      <c r="AI14">
        <v>0</v>
      </c>
      <c r="AJ14">
        <v>3</v>
      </c>
      <c r="AK14">
        <v>3</v>
      </c>
      <c r="AL14">
        <v>0</v>
      </c>
      <c r="AM14">
        <v>6</v>
      </c>
      <c r="AN14">
        <v>6</v>
      </c>
      <c r="AO14">
        <v>6</v>
      </c>
      <c r="AP14">
        <v>6</v>
      </c>
      <c r="AQ14">
        <v>6</v>
      </c>
      <c r="AR14">
        <v>6</v>
      </c>
      <c r="AS14">
        <v>6</v>
      </c>
      <c r="AT14">
        <v>6</v>
      </c>
      <c r="AU14">
        <v>6</v>
      </c>
      <c r="AV14">
        <v>6</v>
      </c>
      <c r="AW14">
        <v>6</v>
      </c>
      <c r="AX14">
        <v>6</v>
      </c>
      <c r="AY14">
        <v>6</v>
      </c>
      <c r="AZ14">
        <v>6</v>
      </c>
      <c r="BA14">
        <v>6</v>
      </c>
      <c r="BB14">
        <v>6</v>
      </c>
      <c r="BC14">
        <v>6</v>
      </c>
      <c r="BD14">
        <v>6</v>
      </c>
      <c r="BE14">
        <v>0</v>
      </c>
      <c r="BF14">
        <v>0</v>
      </c>
      <c r="BG14">
        <v>6</v>
      </c>
      <c r="BH14">
        <v>180.5</v>
      </c>
      <c r="BI14">
        <v>6</v>
      </c>
      <c r="BJ14">
        <v>6</v>
      </c>
    </row>
    <row r="15" spans="1:62">
      <c r="A15" s="104" t="s">
        <v>355</v>
      </c>
      <c r="B15">
        <v>3</v>
      </c>
      <c r="C15">
        <v>3.5373638587390531E-2</v>
      </c>
      <c r="D15">
        <v>2.026727352956525E-4</v>
      </c>
      <c r="E15">
        <v>3.5391879066880579E-2</v>
      </c>
      <c r="F15">
        <v>2.0278094139832979E-4</v>
      </c>
      <c r="G15" t="e">
        <v>#DIV/0!</v>
      </c>
      <c r="H15">
        <v>3</v>
      </c>
      <c r="I15">
        <v>3</v>
      </c>
      <c r="J15">
        <v>3</v>
      </c>
      <c r="K15">
        <v>3</v>
      </c>
      <c r="L15">
        <v>3</v>
      </c>
      <c r="M15">
        <v>3</v>
      </c>
      <c r="N15">
        <v>3</v>
      </c>
      <c r="O15">
        <v>3</v>
      </c>
      <c r="P15">
        <v>3</v>
      </c>
      <c r="Q15">
        <v>3</v>
      </c>
      <c r="R15">
        <v>3</v>
      </c>
      <c r="S15">
        <v>3</v>
      </c>
      <c r="T15">
        <v>3</v>
      </c>
      <c r="U15">
        <v>3</v>
      </c>
      <c r="V15">
        <v>0</v>
      </c>
      <c r="W15">
        <v>0</v>
      </c>
      <c r="X15">
        <v>3</v>
      </c>
      <c r="Y15">
        <v>0</v>
      </c>
      <c r="Z15">
        <v>0</v>
      </c>
      <c r="AA15">
        <v>0</v>
      </c>
      <c r="AB15">
        <v>0</v>
      </c>
      <c r="AC15">
        <v>0</v>
      </c>
      <c r="AD15">
        <v>0</v>
      </c>
      <c r="AE15">
        <v>2</v>
      </c>
      <c r="AF15">
        <v>0</v>
      </c>
      <c r="AG15">
        <v>2</v>
      </c>
      <c r="AH15">
        <v>0</v>
      </c>
      <c r="AI15">
        <v>1</v>
      </c>
      <c r="AJ15">
        <v>0</v>
      </c>
      <c r="AK15">
        <v>0</v>
      </c>
      <c r="AL15">
        <v>0</v>
      </c>
      <c r="AM15">
        <v>3</v>
      </c>
      <c r="AN15">
        <v>3</v>
      </c>
      <c r="AO15">
        <v>3</v>
      </c>
      <c r="AP15">
        <v>3</v>
      </c>
      <c r="AQ15">
        <v>3</v>
      </c>
      <c r="AR15">
        <v>3</v>
      </c>
      <c r="AS15">
        <v>3</v>
      </c>
      <c r="AT15">
        <v>3</v>
      </c>
      <c r="AU15">
        <v>3</v>
      </c>
      <c r="AV15">
        <v>3</v>
      </c>
      <c r="AW15">
        <v>3</v>
      </c>
      <c r="AX15">
        <v>3</v>
      </c>
      <c r="AY15">
        <v>3</v>
      </c>
      <c r="AZ15">
        <v>3</v>
      </c>
      <c r="BA15">
        <v>3</v>
      </c>
      <c r="BB15">
        <v>3</v>
      </c>
      <c r="BC15">
        <v>3</v>
      </c>
      <c r="BD15">
        <v>3</v>
      </c>
      <c r="BE15">
        <v>0</v>
      </c>
      <c r="BF15">
        <v>3</v>
      </c>
      <c r="BG15">
        <v>3</v>
      </c>
      <c r="BH15">
        <v>6330.333333333333</v>
      </c>
      <c r="BI15">
        <v>3</v>
      </c>
      <c r="BJ15">
        <v>3</v>
      </c>
    </row>
    <row r="16" spans="1:62">
      <c r="A16" s="104" t="s">
        <v>356</v>
      </c>
      <c r="B16">
        <v>22</v>
      </c>
      <c r="C16">
        <v>3.8693233846490677E-2</v>
      </c>
      <c r="D16">
        <v>4.0932782952077268E-4</v>
      </c>
      <c r="E16">
        <v>3.8715158298460652E-2</v>
      </c>
      <c r="F16">
        <v>4.0977270515700682E-4</v>
      </c>
      <c r="G16" t="e">
        <v>#DIV/0!</v>
      </c>
      <c r="H16">
        <v>22</v>
      </c>
      <c r="I16">
        <v>22</v>
      </c>
      <c r="J16">
        <v>22</v>
      </c>
      <c r="K16">
        <v>22</v>
      </c>
      <c r="L16">
        <v>22</v>
      </c>
      <c r="M16">
        <v>22</v>
      </c>
      <c r="N16">
        <v>22</v>
      </c>
      <c r="O16">
        <v>22</v>
      </c>
      <c r="P16">
        <v>22</v>
      </c>
      <c r="Q16">
        <v>22</v>
      </c>
      <c r="R16">
        <v>22</v>
      </c>
      <c r="S16">
        <v>22</v>
      </c>
      <c r="T16">
        <v>22</v>
      </c>
      <c r="U16">
        <v>22</v>
      </c>
      <c r="V16">
        <v>0</v>
      </c>
      <c r="W16">
        <v>0</v>
      </c>
      <c r="X16">
        <v>12</v>
      </c>
      <c r="Y16">
        <v>10</v>
      </c>
      <c r="Z16">
        <v>0</v>
      </c>
      <c r="AA16">
        <v>0</v>
      </c>
      <c r="AB16">
        <v>0</v>
      </c>
      <c r="AC16">
        <v>0</v>
      </c>
      <c r="AD16">
        <v>0</v>
      </c>
      <c r="AE16">
        <v>0</v>
      </c>
      <c r="AF16">
        <v>0</v>
      </c>
      <c r="AG16">
        <v>0</v>
      </c>
      <c r="AH16">
        <v>0</v>
      </c>
      <c r="AI16">
        <v>0</v>
      </c>
      <c r="AJ16">
        <v>0</v>
      </c>
      <c r="AK16">
        <v>10</v>
      </c>
      <c r="AL16">
        <v>0</v>
      </c>
      <c r="AM16">
        <v>22</v>
      </c>
      <c r="AN16">
        <v>22</v>
      </c>
      <c r="AO16">
        <v>22</v>
      </c>
      <c r="AP16">
        <v>22</v>
      </c>
      <c r="AQ16">
        <v>22</v>
      </c>
      <c r="AR16">
        <v>22</v>
      </c>
      <c r="AS16">
        <v>22</v>
      </c>
      <c r="AT16">
        <v>22</v>
      </c>
      <c r="AU16">
        <v>22</v>
      </c>
      <c r="AV16">
        <v>22</v>
      </c>
      <c r="AW16">
        <v>22</v>
      </c>
      <c r="AX16">
        <v>22</v>
      </c>
      <c r="AY16">
        <v>22</v>
      </c>
      <c r="AZ16">
        <v>22</v>
      </c>
      <c r="BA16">
        <v>22</v>
      </c>
      <c r="BB16">
        <v>22</v>
      </c>
      <c r="BC16">
        <v>22</v>
      </c>
      <c r="BD16">
        <v>22</v>
      </c>
      <c r="BE16">
        <v>10</v>
      </c>
      <c r="BF16">
        <v>12</v>
      </c>
      <c r="BG16">
        <v>12</v>
      </c>
      <c r="BH16">
        <v>3806.7272727272725</v>
      </c>
      <c r="BI16">
        <v>22</v>
      </c>
      <c r="BJ16">
        <v>22</v>
      </c>
    </row>
    <row r="17" spans="1:62">
      <c r="A17" s="104" t="s">
        <v>172</v>
      </c>
      <c r="B17">
        <v>1</v>
      </c>
      <c r="C17">
        <v>1.1888103724369721E-2</v>
      </c>
      <c r="D17">
        <v>5.2241144082275201E-5</v>
      </c>
      <c r="E17">
        <v>1.1888663808582136E-2</v>
      </c>
      <c r="F17">
        <v>5.2246603970741903E-5</v>
      </c>
      <c r="G17" t="e">
        <v>#DIV/0!</v>
      </c>
      <c r="H17">
        <v>1</v>
      </c>
      <c r="I17">
        <v>1</v>
      </c>
      <c r="J17">
        <v>1</v>
      </c>
      <c r="K17">
        <v>1</v>
      </c>
      <c r="L17">
        <v>1</v>
      </c>
      <c r="M17">
        <v>1</v>
      </c>
      <c r="N17">
        <v>1</v>
      </c>
      <c r="O17">
        <v>1</v>
      </c>
      <c r="P17">
        <v>1</v>
      </c>
      <c r="Q17">
        <v>1</v>
      </c>
      <c r="R17">
        <v>1</v>
      </c>
      <c r="S17">
        <v>1</v>
      </c>
      <c r="T17">
        <v>1</v>
      </c>
      <c r="U17">
        <v>1</v>
      </c>
      <c r="V17">
        <v>0</v>
      </c>
      <c r="W17">
        <v>0</v>
      </c>
      <c r="X17">
        <v>1</v>
      </c>
      <c r="Y17">
        <v>0</v>
      </c>
      <c r="Z17">
        <v>0</v>
      </c>
      <c r="AA17">
        <v>0</v>
      </c>
      <c r="AB17">
        <v>0</v>
      </c>
      <c r="AC17">
        <v>0</v>
      </c>
      <c r="AD17">
        <v>1</v>
      </c>
      <c r="AE17">
        <v>0</v>
      </c>
      <c r="AF17">
        <v>0</v>
      </c>
      <c r="AG17">
        <v>0</v>
      </c>
      <c r="AH17">
        <v>0</v>
      </c>
      <c r="AI17">
        <v>0</v>
      </c>
      <c r="AJ17">
        <v>0</v>
      </c>
      <c r="AK17">
        <v>0</v>
      </c>
      <c r="AL17">
        <v>0</v>
      </c>
      <c r="AM17">
        <v>1</v>
      </c>
      <c r="AN17">
        <v>1</v>
      </c>
      <c r="AO17">
        <v>1</v>
      </c>
      <c r="AP17">
        <v>1</v>
      </c>
      <c r="AQ17">
        <v>1</v>
      </c>
      <c r="AR17">
        <v>1</v>
      </c>
      <c r="AS17">
        <v>1</v>
      </c>
      <c r="AT17">
        <v>1</v>
      </c>
      <c r="AU17">
        <v>1</v>
      </c>
      <c r="AV17">
        <v>1</v>
      </c>
      <c r="AW17">
        <v>1</v>
      </c>
      <c r="AX17">
        <v>1</v>
      </c>
      <c r="AY17">
        <v>1</v>
      </c>
      <c r="AZ17">
        <v>1</v>
      </c>
      <c r="BA17">
        <v>1</v>
      </c>
      <c r="BB17">
        <v>1</v>
      </c>
      <c r="BC17">
        <v>1</v>
      </c>
      <c r="BD17">
        <v>1</v>
      </c>
      <c r="BE17">
        <v>0</v>
      </c>
      <c r="BF17">
        <v>0</v>
      </c>
      <c r="BG17">
        <v>0</v>
      </c>
      <c r="BH17">
        <v>19141</v>
      </c>
      <c r="BI17">
        <v>1</v>
      </c>
      <c r="BJ17">
        <v>1</v>
      </c>
    </row>
    <row r="18" spans="1:62">
      <c r="A18" s="104" t="s">
        <v>357</v>
      </c>
      <c r="B18">
        <v>144</v>
      </c>
      <c r="C18" t="e">
        <v>#VALUE!</v>
      </c>
      <c r="D18" t="e">
        <v>#VALUE!</v>
      </c>
      <c r="E18" t="e">
        <v>#VALUE!</v>
      </c>
      <c r="F18">
        <v>9.9224427513618773E-3</v>
      </c>
      <c r="G18" t="e">
        <v>#VALUE!</v>
      </c>
      <c r="H18">
        <v>144</v>
      </c>
      <c r="I18">
        <v>144</v>
      </c>
      <c r="J18">
        <v>144</v>
      </c>
      <c r="K18">
        <v>144</v>
      </c>
      <c r="L18">
        <v>144</v>
      </c>
      <c r="M18">
        <v>144</v>
      </c>
      <c r="N18">
        <v>144</v>
      </c>
      <c r="O18">
        <v>144</v>
      </c>
      <c r="P18">
        <v>144</v>
      </c>
      <c r="Q18">
        <v>144</v>
      </c>
      <c r="R18">
        <v>144</v>
      </c>
      <c r="S18">
        <v>144</v>
      </c>
      <c r="T18">
        <v>144</v>
      </c>
      <c r="U18">
        <v>144</v>
      </c>
      <c r="V18">
        <v>6</v>
      </c>
      <c r="W18">
        <v>29</v>
      </c>
      <c r="X18">
        <v>59</v>
      </c>
      <c r="Y18">
        <v>32</v>
      </c>
      <c r="Z18">
        <v>2</v>
      </c>
      <c r="AA18">
        <v>29</v>
      </c>
      <c r="AB18">
        <v>6</v>
      </c>
      <c r="AC18">
        <v>0</v>
      </c>
      <c r="AD18">
        <v>6</v>
      </c>
      <c r="AE18">
        <v>14</v>
      </c>
      <c r="AF18">
        <v>3</v>
      </c>
      <c r="AG18">
        <v>25</v>
      </c>
      <c r="AH18">
        <v>6</v>
      </c>
      <c r="AI18">
        <v>15</v>
      </c>
      <c r="AJ18">
        <v>33</v>
      </c>
      <c r="AK18">
        <v>19</v>
      </c>
      <c r="AL18">
        <v>13</v>
      </c>
      <c r="AM18">
        <v>144</v>
      </c>
      <c r="AN18">
        <v>144</v>
      </c>
      <c r="AO18" t="e">
        <v>#NUM!</v>
      </c>
      <c r="AP18">
        <v>144</v>
      </c>
      <c r="AQ18">
        <v>144</v>
      </c>
      <c r="AR18">
        <v>144</v>
      </c>
      <c r="AS18">
        <v>144</v>
      </c>
      <c r="AT18" t="e">
        <v>#VALUE!</v>
      </c>
      <c r="AU18">
        <v>144</v>
      </c>
      <c r="AV18" t="e">
        <v>#NUM!</v>
      </c>
      <c r="AW18">
        <v>144</v>
      </c>
      <c r="AX18">
        <v>144</v>
      </c>
      <c r="AY18">
        <v>144</v>
      </c>
      <c r="AZ18">
        <v>144</v>
      </c>
      <c r="BA18">
        <v>144</v>
      </c>
      <c r="BB18">
        <v>144</v>
      </c>
      <c r="BC18">
        <v>144</v>
      </c>
      <c r="BD18">
        <v>144</v>
      </c>
      <c r="BE18">
        <v>37</v>
      </c>
      <c r="BF18">
        <v>41</v>
      </c>
      <c r="BG18">
        <v>99</v>
      </c>
      <c r="BH18">
        <v>2979.3680555555557</v>
      </c>
      <c r="BI18">
        <v>144</v>
      </c>
      <c r="BJ18">
        <v>144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99"/>
  <sheetViews>
    <sheetView topLeftCell="D1" zoomScale="115" zoomScaleNormal="70" workbookViewId="0">
      <pane ySplit="1" topLeftCell="A2" activePane="bottomLeft" state="frozen"/>
      <selection pane="bottomLeft" activeCell="I28" sqref="I28"/>
    </sheetView>
  </sheetViews>
  <sheetFormatPr baseColWidth="10" defaultColWidth="11" defaultRowHeight="16"/>
  <cols>
    <col min="3" max="3" width="15.5" customWidth="1"/>
    <col min="5" max="5" width="19.6640625" customWidth="1"/>
    <col min="6" max="6" width="22" customWidth="1"/>
    <col min="7" max="7" width="18.1640625" style="26" customWidth="1"/>
    <col min="8" max="8" width="20.5" customWidth="1"/>
    <col min="9" max="9" width="14.1640625" customWidth="1"/>
    <col min="10" max="10" width="15.1640625" customWidth="1"/>
  </cols>
  <sheetData>
    <row r="1" spans="1:19" ht="17">
      <c r="A1" t="s">
        <v>358</v>
      </c>
      <c r="B1" t="s">
        <v>188</v>
      </c>
      <c r="C1" s="1" t="s">
        <v>359</v>
      </c>
      <c r="D1" t="s">
        <v>10</v>
      </c>
      <c r="E1" s="1" t="s">
        <v>40</v>
      </c>
      <c r="F1" s="2" t="s">
        <v>9</v>
      </c>
      <c r="G1" s="37" t="s">
        <v>360</v>
      </c>
      <c r="H1" s="38" t="s">
        <v>185</v>
      </c>
      <c r="I1" s="39" t="s">
        <v>28</v>
      </c>
      <c r="J1" s="39" t="s">
        <v>7</v>
      </c>
      <c r="K1" s="39" t="s">
        <v>361</v>
      </c>
      <c r="L1" s="39" t="s">
        <v>186</v>
      </c>
      <c r="M1" s="39" t="s">
        <v>184</v>
      </c>
      <c r="N1" s="39" t="s">
        <v>50</v>
      </c>
      <c r="O1" s="39" t="s">
        <v>210</v>
      </c>
      <c r="P1" s="42" t="s">
        <v>199</v>
      </c>
      <c r="R1" s="39" t="s">
        <v>182</v>
      </c>
      <c r="S1" s="39" t="s">
        <v>4</v>
      </c>
    </row>
    <row r="2" spans="1:19" ht="34">
      <c r="A2">
        <v>0</v>
      </c>
      <c r="B2" t="s">
        <v>188</v>
      </c>
      <c r="C2" t="s">
        <v>362</v>
      </c>
      <c r="D2" t="s">
        <v>112</v>
      </c>
      <c r="E2">
        <v>1</v>
      </c>
      <c r="F2" t="s">
        <v>93</v>
      </c>
      <c r="G2" s="26" t="s">
        <v>363</v>
      </c>
      <c r="H2" t="s">
        <v>252</v>
      </c>
      <c r="I2" t="s">
        <v>80</v>
      </c>
      <c r="J2" t="s">
        <v>364</v>
      </c>
      <c r="K2" t="s">
        <v>230</v>
      </c>
      <c r="L2" t="s">
        <v>365</v>
      </c>
      <c r="M2" t="s">
        <v>226</v>
      </c>
      <c r="N2" t="s">
        <v>81</v>
      </c>
      <c r="O2" t="s">
        <v>282</v>
      </c>
      <c r="P2" s="41" t="s">
        <v>366</v>
      </c>
      <c r="R2" s="47" t="s">
        <v>367</v>
      </c>
      <c r="S2" s="47" t="s">
        <v>259</v>
      </c>
    </row>
    <row r="3" spans="1:19" ht="34">
      <c r="A3">
        <v>1</v>
      </c>
      <c r="B3" t="s">
        <v>368</v>
      </c>
      <c r="C3" t="s">
        <v>241</v>
      </c>
      <c r="D3" t="s">
        <v>369</v>
      </c>
      <c r="E3">
        <v>2</v>
      </c>
      <c r="F3" t="s">
        <v>355</v>
      </c>
      <c r="G3" s="26" t="s">
        <v>232</v>
      </c>
      <c r="H3" t="s">
        <v>370</v>
      </c>
      <c r="I3" t="s">
        <v>86</v>
      </c>
      <c r="J3" t="s">
        <v>371</v>
      </c>
      <c r="K3" t="s">
        <v>278</v>
      </c>
      <c r="L3" t="s">
        <v>253</v>
      </c>
      <c r="M3" t="s">
        <v>372</v>
      </c>
      <c r="N3" t="s">
        <v>148</v>
      </c>
      <c r="O3" t="s">
        <v>373</v>
      </c>
      <c r="P3" s="41" t="s">
        <v>240</v>
      </c>
      <c r="R3" s="46" t="s">
        <v>374</v>
      </c>
      <c r="S3" s="46" t="s">
        <v>375</v>
      </c>
    </row>
    <row r="4" spans="1:19" ht="51">
      <c r="A4" t="s">
        <v>73</v>
      </c>
      <c r="B4" t="s">
        <v>229</v>
      </c>
      <c r="C4" t="s">
        <v>73</v>
      </c>
      <c r="D4" t="s">
        <v>262</v>
      </c>
      <c r="E4">
        <v>3</v>
      </c>
      <c r="F4" t="s">
        <v>376</v>
      </c>
      <c r="G4" s="26" t="s">
        <v>285</v>
      </c>
      <c r="H4" t="s">
        <v>377</v>
      </c>
      <c r="J4" t="s">
        <v>378</v>
      </c>
      <c r="L4" t="s">
        <v>379</v>
      </c>
      <c r="M4" t="s">
        <v>380</v>
      </c>
      <c r="N4" t="s">
        <v>269</v>
      </c>
      <c r="O4" t="s">
        <v>266</v>
      </c>
      <c r="P4" s="41" t="s">
        <v>381</v>
      </c>
      <c r="R4" s="44" t="s">
        <v>382</v>
      </c>
      <c r="S4" s="44" t="s">
        <v>383</v>
      </c>
    </row>
    <row r="5" spans="1:19" ht="51">
      <c r="D5" t="s">
        <v>225</v>
      </c>
      <c r="F5" t="s">
        <v>120</v>
      </c>
      <c r="G5" s="40" t="s">
        <v>384</v>
      </c>
      <c r="H5" t="s">
        <v>385</v>
      </c>
      <c r="J5" s="41" t="s">
        <v>386</v>
      </c>
      <c r="L5" t="s">
        <v>387</v>
      </c>
      <c r="M5" t="s">
        <v>73</v>
      </c>
      <c r="N5" t="s">
        <v>124</v>
      </c>
      <c r="O5" s="41" t="s">
        <v>388</v>
      </c>
      <c r="P5" t="s">
        <v>73</v>
      </c>
      <c r="R5" s="46" t="s">
        <v>389</v>
      </c>
      <c r="S5" s="46" t="s">
        <v>390</v>
      </c>
    </row>
    <row r="6" spans="1:19">
      <c r="D6" s="41" t="s">
        <v>391</v>
      </c>
      <c r="F6" t="s">
        <v>392</v>
      </c>
      <c r="H6" t="s">
        <v>393</v>
      </c>
      <c r="J6" t="s">
        <v>394</v>
      </c>
      <c r="L6" t="s">
        <v>395</v>
      </c>
      <c r="N6" t="s">
        <v>277</v>
      </c>
      <c r="O6" t="s">
        <v>73</v>
      </c>
      <c r="R6" s="46" t="s">
        <v>396</v>
      </c>
      <c r="S6" s="46" t="s">
        <v>397</v>
      </c>
    </row>
    <row r="7" spans="1:19">
      <c r="F7" t="s">
        <v>235</v>
      </c>
      <c r="H7" t="s">
        <v>227</v>
      </c>
      <c r="J7" s="41" t="s">
        <v>398</v>
      </c>
      <c r="L7" t="s">
        <v>228</v>
      </c>
      <c r="N7" t="s">
        <v>251</v>
      </c>
      <c r="O7" t="s">
        <v>256</v>
      </c>
      <c r="R7" s="46" t="s">
        <v>399</v>
      </c>
      <c r="S7" s="46" t="s">
        <v>400</v>
      </c>
    </row>
    <row r="8" spans="1:19">
      <c r="F8" t="s">
        <v>107</v>
      </c>
      <c r="J8" s="41" t="s">
        <v>401</v>
      </c>
      <c r="L8" t="s">
        <v>256</v>
      </c>
      <c r="N8" t="s">
        <v>402</v>
      </c>
      <c r="R8" s="46" t="s">
        <v>403</v>
      </c>
      <c r="S8" s="46" t="s">
        <v>404</v>
      </c>
    </row>
    <row r="9" spans="1:19">
      <c r="F9" t="s">
        <v>348</v>
      </c>
      <c r="J9" t="s">
        <v>256</v>
      </c>
      <c r="L9" t="s">
        <v>405</v>
      </c>
      <c r="N9" t="s">
        <v>406</v>
      </c>
      <c r="R9" s="44" t="s">
        <v>407</v>
      </c>
      <c r="S9" s="44" t="s">
        <v>408</v>
      </c>
    </row>
    <row r="10" spans="1:19">
      <c r="F10" t="s">
        <v>155</v>
      </c>
      <c r="J10" t="s">
        <v>409</v>
      </c>
      <c r="L10" t="s">
        <v>245</v>
      </c>
      <c r="N10" t="s">
        <v>267</v>
      </c>
      <c r="R10" s="44" t="s">
        <v>410</v>
      </c>
      <c r="S10" s="44" t="s">
        <v>411</v>
      </c>
    </row>
    <row r="11" spans="1:19">
      <c r="F11" t="s">
        <v>234</v>
      </c>
      <c r="J11" t="s">
        <v>412</v>
      </c>
      <c r="N11" t="s">
        <v>413</v>
      </c>
      <c r="R11" s="44" t="s">
        <v>414</v>
      </c>
      <c r="S11" s="44" t="s">
        <v>415</v>
      </c>
    </row>
    <row r="12" spans="1:19">
      <c r="F12" t="s">
        <v>250</v>
      </c>
      <c r="J12" t="s">
        <v>73</v>
      </c>
      <c r="N12" t="s">
        <v>416</v>
      </c>
      <c r="R12" s="44" t="s">
        <v>417</v>
      </c>
      <c r="S12" s="44" t="s">
        <v>418</v>
      </c>
    </row>
    <row r="13" spans="1:19">
      <c r="F13" t="s">
        <v>349</v>
      </c>
      <c r="N13" t="s">
        <v>96</v>
      </c>
      <c r="R13" s="46" t="s">
        <v>247</v>
      </c>
      <c r="S13" s="46" t="s">
        <v>248</v>
      </c>
    </row>
    <row r="14" spans="1:19">
      <c r="F14" s="41" t="s">
        <v>354</v>
      </c>
      <c r="N14" t="s">
        <v>419</v>
      </c>
      <c r="R14" s="44" t="s">
        <v>420</v>
      </c>
      <c r="S14" s="44" t="s">
        <v>421</v>
      </c>
    </row>
    <row r="15" spans="1:19">
      <c r="F15" s="41" t="s">
        <v>155</v>
      </c>
      <c r="N15" t="s">
        <v>422</v>
      </c>
      <c r="R15" s="46" t="s">
        <v>221</v>
      </c>
      <c r="S15" s="46" t="s">
        <v>423</v>
      </c>
    </row>
    <row r="16" spans="1:19">
      <c r="F16" s="41" t="s">
        <v>424</v>
      </c>
      <c r="N16" t="s">
        <v>156</v>
      </c>
      <c r="R16" s="46" t="s">
        <v>236</v>
      </c>
      <c r="S16" s="46" t="s">
        <v>237</v>
      </c>
    </row>
    <row r="17" spans="6:19">
      <c r="F17" s="41" t="s">
        <v>350</v>
      </c>
      <c r="N17" t="s">
        <v>425</v>
      </c>
      <c r="R17" s="44" t="s">
        <v>426</v>
      </c>
      <c r="S17" s="44" t="s">
        <v>427</v>
      </c>
    </row>
    <row r="18" spans="6:19">
      <c r="F18" s="41" t="s">
        <v>353</v>
      </c>
      <c r="N18" t="s">
        <v>428</v>
      </c>
      <c r="R18" s="46" t="s">
        <v>429</v>
      </c>
      <c r="S18" s="46" t="s">
        <v>127</v>
      </c>
    </row>
    <row r="19" spans="6:19">
      <c r="F19" s="41" t="s">
        <v>430</v>
      </c>
      <c r="N19" t="s">
        <v>431</v>
      </c>
      <c r="R19" s="44" t="s">
        <v>432</v>
      </c>
      <c r="S19" t="s">
        <v>433</v>
      </c>
    </row>
    <row r="20" spans="6:19">
      <c r="F20" s="41" t="s">
        <v>434</v>
      </c>
      <c r="N20" t="s">
        <v>435</v>
      </c>
      <c r="R20" s="46" t="s">
        <v>436</v>
      </c>
      <c r="S20" s="46" t="s">
        <v>437</v>
      </c>
    </row>
    <row r="21" spans="6:19">
      <c r="F21" s="41" t="s">
        <v>438</v>
      </c>
      <c r="N21" t="s">
        <v>439</v>
      </c>
      <c r="R21" s="44" t="s">
        <v>440</v>
      </c>
      <c r="S21" s="44" t="s">
        <v>441</v>
      </c>
    </row>
    <row r="22" spans="6:19">
      <c r="F22" s="41" t="s">
        <v>351</v>
      </c>
      <c r="N22" t="s">
        <v>138</v>
      </c>
      <c r="R22" s="46" t="s">
        <v>440</v>
      </c>
      <c r="S22" s="46" t="s">
        <v>442</v>
      </c>
    </row>
    <row r="23" spans="6:19">
      <c r="F23" s="41" t="s">
        <v>356</v>
      </c>
      <c r="N23" t="s">
        <v>443</v>
      </c>
      <c r="R23" s="44" t="s">
        <v>444</v>
      </c>
      <c r="S23" s="44" t="s">
        <v>445</v>
      </c>
    </row>
    <row r="24" spans="6:19">
      <c r="F24" s="41" t="s">
        <v>446</v>
      </c>
      <c r="N24" t="s">
        <v>447</v>
      </c>
      <c r="R24" s="44" t="s">
        <v>448</v>
      </c>
      <c r="S24" s="44" t="s">
        <v>449</v>
      </c>
    </row>
    <row r="25" spans="6:19">
      <c r="F25" s="41" t="s">
        <v>352</v>
      </c>
      <c r="N25" t="s">
        <v>450</v>
      </c>
      <c r="R25" s="44" t="s">
        <v>451</v>
      </c>
      <c r="S25" s="44" t="s">
        <v>452</v>
      </c>
    </row>
    <row r="26" spans="6:19">
      <c r="F26" s="41" t="s">
        <v>453</v>
      </c>
      <c r="N26" t="s">
        <v>454</v>
      </c>
      <c r="R26" s="44" t="s">
        <v>455</v>
      </c>
      <c r="S26" s="44" t="s">
        <v>456</v>
      </c>
    </row>
    <row r="27" spans="6:19">
      <c r="F27" s="41" t="s">
        <v>457</v>
      </c>
      <c r="N27" t="s">
        <v>268</v>
      </c>
      <c r="R27" s="44" t="s">
        <v>458</v>
      </c>
      <c r="S27" s="44" t="s">
        <v>459</v>
      </c>
    </row>
    <row r="28" spans="6:19">
      <c r="F28" s="41" t="s">
        <v>460</v>
      </c>
      <c r="N28" t="s">
        <v>270</v>
      </c>
      <c r="R28" s="44" t="s">
        <v>461</v>
      </c>
      <c r="S28" s="44" t="s">
        <v>462</v>
      </c>
    </row>
    <row r="29" spans="6:19">
      <c r="F29" s="41" t="s">
        <v>172</v>
      </c>
      <c r="N29" t="s">
        <v>271</v>
      </c>
      <c r="R29" s="44" t="s">
        <v>463</v>
      </c>
      <c r="S29" s="44" t="s">
        <v>464</v>
      </c>
    </row>
    <row r="30" spans="6:19">
      <c r="F30" s="41" t="s">
        <v>465</v>
      </c>
      <c r="N30" t="s">
        <v>272</v>
      </c>
      <c r="R30" s="44" t="s">
        <v>466</v>
      </c>
      <c r="S30" s="44" t="s">
        <v>467</v>
      </c>
    </row>
    <row r="31" spans="6:19">
      <c r="N31" t="s">
        <v>174</v>
      </c>
      <c r="R31" s="44" t="s">
        <v>468</v>
      </c>
      <c r="S31" s="44" t="s">
        <v>469</v>
      </c>
    </row>
    <row r="32" spans="6:19">
      <c r="N32" t="s">
        <v>470</v>
      </c>
      <c r="R32" s="44" t="s">
        <v>471</v>
      </c>
      <c r="S32" s="44" t="s">
        <v>472</v>
      </c>
    </row>
    <row r="33" spans="14:19">
      <c r="N33" t="s">
        <v>131</v>
      </c>
      <c r="R33" s="44" t="s">
        <v>473</v>
      </c>
      <c r="S33" s="44" t="s">
        <v>474</v>
      </c>
    </row>
    <row r="34" spans="14:19">
      <c r="R34" s="44" t="s">
        <v>475</v>
      </c>
      <c r="S34" s="44" t="s">
        <v>476</v>
      </c>
    </row>
    <row r="35" spans="14:19">
      <c r="R35" s="44" t="s">
        <v>477</v>
      </c>
      <c r="S35" s="44" t="s">
        <v>478</v>
      </c>
    </row>
    <row r="36" spans="14:19">
      <c r="R36" s="44" t="s">
        <v>479</v>
      </c>
      <c r="S36" s="44" t="s">
        <v>480</v>
      </c>
    </row>
    <row r="37" spans="14:19">
      <c r="R37" s="46" t="s">
        <v>481</v>
      </c>
      <c r="S37" s="46" t="s">
        <v>482</v>
      </c>
    </row>
    <row r="38" spans="14:19">
      <c r="R38" s="46" t="s">
        <v>483</v>
      </c>
      <c r="S38" s="46" t="s">
        <v>484</v>
      </c>
    </row>
    <row r="39" spans="14:19">
      <c r="R39" s="46" t="s">
        <v>483</v>
      </c>
      <c r="S39" s="46" t="s">
        <v>485</v>
      </c>
    </row>
    <row r="40" spans="14:19">
      <c r="R40" s="44" t="s">
        <v>486</v>
      </c>
      <c r="S40" s="44" t="s">
        <v>487</v>
      </c>
    </row>
    <row r="41" spans="14:19">
      <c r="R41" s="44" t="s">
        <v>488</v>
      </c>
      <c r="S41" s="44" t="s">
        <v>489</v>
      </c>
    </row>
    <row r="42" spans="14:19">
      <c r="R42" s="46" t="s">
        <v>242</v>
      </c>
      <c r="S42" s="46" t="s">
        <v>490</v>
      </c>
    </row>
    <row r="43" spans="14:19">
      <c r="R43" s="46" t="s">
        <v>242</v>
      </c>
      <c r="S43" s="46" t="s">
        <v>243</v>
      </c>
    </row>
    <row r="44" spans="14:19">
      <c r="R44" s="44" t="s">
        <v>491</v>
      </c>
      <c r="S44" s="17" t="s">
        <v>117</v>
      </c>
    </row>
    <row r="45" spans="14:19">
      <c r="R45" s="46" t="s">
        <v>492</v>
      </c>
      <c r="S45" s="46" t="s">
        <v>493</v>
      </c>
    </row>
    <row r="46" spans="14:19">
      <c r="R46" s="44" t="s">
        <v>494</v>
      </c>
      <c r="S46" s="44" t="s">
        <v>495</v>
      </c>
    </row>
    <row r="47" spans="14:19">
      <c r="R47" s="46" t="s">
        <v>496</v>
      </c>
      <c r="S47" s="46" t="s">
        <v>497</v>
      </c>
    </row>
    <row r="48" spans="14:19">
      <c r="R48" s="44" t="s">
        <v>498</v>
      </c>
      <c r="S48" s="44" t="s">
        <v>499</v>
      </c>
    </row>
    <row r="49" spans="18:19">
      <c r="R49" s="44" t="s">
        <v>500</v>
      </c>
      <c r="S49" s="44" t="s">
        <v>501</v>
      </c>
    </row>
    <row r="50" spans="18:19">
      <c r="R50" s="44" t="s">
        <v>502</v>
      </c>
      <c r="S50" s="44" t="s">
        <v>503</v>
      </c>
    </row>
    <row r="51" spans="18:19">
      <c r="R51" s="44" t="s">
        <v>504</v>
      </c>
      <c r="S51" s="44" t="s">
        <v>505</v>
      </c>
    </row>
    <row r="52" spans="18:19">
      <c r="R52" s="44" t="s">
        <v>506</v>
      </c>
      <c r="S52" s="44" t="s">
        <v>507</v>
      </c>
    </row>
    <row r="53" spans="18:19">
      <c r="R53" s="44" t="s">
        <v>508</v>
      </c>
      <c r="S53" s="17" t="s">
        <v>509</v>
      </c>
    </row>
    <row r="54" spans="18:19">
      <c r="R54" s="44" t="s">
        <v>510</v>
      </c>
      <c r="S54" s="44" t="s">
        <v>511</v>
      </c>
    </row>
    <row r="55" spans="18:19">
      <c r="R55" s="44" t="s">
        <v>512</v>
      </c>
      <c r="S55" s="44" t="s">
        <v>513</v>
      </c>
    </row>
    <row r="56" spans="18:19">
      <c r="R56" s="44" t="s">
        <v>514</v>
      </c>
      <c r="S56" s="44" t="s">
        <v>515</v>
      </c>
    </row>
    <row r="57" spans="18:19">
      <c r="R57" s="44" t="s">
        <v>516</v>
      </c>
      <c r="S57" s="44" t="s">
        <v>517</v>
      </c>
    </row>
    <row r="58" spans="18:19">
      <c r="R58" s="44" t="s">
        <v>518</v>
      </c>
      <c r="S58" s="44" t="s">
        <v>519</v>
      </c>
    </row>
    <row r="59" spans="18:19">
      <c r="R59" s="44" t="s">
        <v>520</v>
      </c>
      <c r="S59" s="44" t="s">
        <v>521</v>
      </c>
    </row>
    <row r="60" spans="18:19">
      <c r="R60" s="44" t="s">
        <v>522</v>
      </c>
      <c r="S60" s="44" t="s">
        <v>523</v>
      </c>
    </row>
    <row r="61" spans="18:19">
      <c r="R61" s="44" t="s">
        <v>524</v>
      </c>
      <c r="S61" s="44" t="s">
        <v>525</v>
      </c>
    </row>
    <row r="62" spans="18:19">
      <c r="R62" s="44" t="s">
        <v>526</v>
      </c>
      <c r="S62" s="44" t="s">
        <v>527</v>
      </c>
    </row>
    <row r="63" spans="18:19">
      <c r="R63" s="44" t="s">
        <v>528</v>
      </c>
      <c r="S63" s="44" t="s">
        <v>529</v>
      </c>
    </row>
    <row r="64" spans="18:19">
      <c r="R64" s="44" t="s">
        <v>530</v>
      </c>
      <c r="S64" s="44" t="s">
        <v>531</v>
      </c>
    </row>
    <row r="65" spans="18:19">
      <c r="R65" s="44" t="s">
        <v>532</v>
      </c>
      <c r="S65" s="44" t="s">
        <v>533</v>
      </c>
    </row>
    <row r="66" spans="18:19">
      <c r="R66" s="44" t="s">
        <v>534</v>
      </c>
      <c r="S66" s="44" t="s">
        <v>535</v>
      </c>
    </row>
    <row r="67" spans="18:19">
      <c r="R67" s="44" t="s">
        <v>536</v>
      </c>
      <c r="S67" s="44" t="s">
        <v>537</v>
      </c>
    </row>
    <row r="68" spans="18:19">
      <c r="R68" s="44" t="s">
        <v>538</v>
      </c>
      <c r="S68" s="44" t="s">
        <v>539</v>
      </c>
    </row>
    <row r="69" spans="18:19">
      <c r="R69" s="44" t="s">
        <v>540</v>
      </c>
      <c r="S69" s="44" t="s">
        <v>541</v>
      </c>
    </row>
    <row r="70" spans="18:19">
      <c r="R70" s="44" t="s">
        <v>542</v>
      </c>
      <c r="S70" s="44" t="s">
        <v>543</v>
      </c>
    </row>
    <row r="71" spans="18:19">
      <c r="R71" s="44" t="s">
        <v>544</v>
      </c>
      <c r="S71" s="44" t="s">
        <v>545</v>
      </c>
    </row>
    <row r="72" spans="18:19">
      <c r="R72" s="44" t="s">
        <v>546</v>
      </c>
      <c r="S72" t="s">
        <v>547</v>
      </c>
    </row>
    <row r="73" spans="18:19">
      <c r="R73" s="46" t="s">
        <v>546</v>
      </c>
      <c r="S73" s="46" t="s">
        <v>548</v>
      </c>
    </row>
    <row r="74" spans="18:19">
      <c r="R74" s="44" t="s">
        <v>549</v>
      </c>
      <c r="S74" s="44" t="s">
        <v>550</v>
      </c>
    </row>
    <row r="75" spans="18:19">
      <c r="R75" s="46" t="s">
        <v>551</v>
      </c>
      <c r="S75" s="46" t="s">
        <v>552</v>
      </c>
    </row>
    <row r="76" spans="18:19">
      <c r="R76" s="44" t="s">
        <v>258</v>
      </c>
      <c r="S76" s="44" t="s">
        <v>553</v>
      </c>
    </row>
    <row r="77" spans="18:19">
      <c r="R77" s="44" t="s">
        <v>554</v>
      </c>
      <c r="S77" s="44" t="s">
        <v>555</v>
      </c>
    </row>
    <row r="78" spans="18:19">
      <c r="R78" s="46" t="s">
        <v>556</v>
      </c>
      <c r="S78" s="46" t="s">
        <v>557</v>
      </c>
    </row>
    <row r="79" spans="18:19">
      <c r="R79" s="46" t="s">
        <v>558</v>
      </c>
      <c r="S79" s="46" t="s">
        <v>559</v>
      </c>
    </row>
    <row r="80" spans="18:19">
      <c r="R80" s="44" t="s">
        <v>560</v>
      </c>
      <c r="S80" s="44" t="s">
        <v>561</v>
      </c>
    </row>
    <row r="81" spans="18:19">
      <c r="R81" s="44" t="s">
        <v>562</v>
      </c>
      <c r="S81" s="44" t="s">
        <v>563</v>
      </c>
    </row>
    <row r="82" spans="18:19">
      <c r="R82" s="44" t="s">
        <v>564</v>
      </c>
      <c r="S82" s="44" t="s">
        <v>565</v>
      </c>
    </row>
    <row r="83" spans="18:19">
      <c r="R83" s="46" t="s">
        <v>566</v>
      </c>
      <c r="S83" s="46" t="s">
        <v>567</v>
      </c>
    </row>
    <row r="84" spans="18:19">
      <c r="R84" s="46" t="s">
        <v>566</v>
      </c>
      <c r="S84" s="46" t="s">
        <v>568</v>
      </c>
    </row>
    <row r="85" spans="18:19">
      <c r="R85" s="44" t="s">
        <v>569</v>
      </c>
      <c r="S85" s="44" t="s">
        <v>570</v>
      </c>
    </row>
    <row r="86" spans="18:19">
      <c r="R86" s="44" t="s">
        <v>273</v>
      </c>
      <c r="S86" s="44" t="s">
        <v>274</v>
      </c>
    </row>
    <row r="87" spans="18:19">
      <c r="R87" s="44" t="s">
        <v>571</v>
      </c>
      <c r="S87" s="44" t="s">
        <v>572</v>
      </c>
    </row>
    <row r="88" spans="18:19">
      <c r="R88" s="44" t="s">
        <v>573</v>
      </c>
      <c r="S88" s="44" t="s">
        <v>574</v>
      </c>
    </row>
    <row r="89" spans="18:19">
      <c r="R89" s="44" t="s">
        <v>575</v>
      </c>
      <c r="S89" s="44" t="s">
        <v>576</v>
      </c>
    </row>
    <row r="90" spans="18:19">
      <c r="R90" s="44" t="s">
        <v>577</v>
      </c>
      <c r="S90" s="44" t="s">
        <v>578</v>
      </c>
    </row>
    <row r="91" spans="18:19">
      <c r="R91" s="44" t="s">
        <v>579</v>
      </c>
      <c r="S91" s="44" t="s">
        <v>580</v>
      </c>
    </row>
    <row r="92" spans="18:19">
      <c r="R92" s="44" t="s">
        <v>581</v>
      </c>
      <c r="S92" s="44" t="s">
        <v>582</v>
      </c>
    </row>
    <row r="93" spans="18:19">
      <c r="R93" s="44" t="s">
        <v>583</v>
      </c>
      <c r="S93" t="s">
        <v>584</v>
      </c>
    </row>
    <row r="94" spans="18:19">
      <c r="R94" s="44" t="s">
        <v>585</v>
      </c>
      <c r="S94" s="44" t="s">
        <v>586</v>
      </c>
    </row>
    <row r="95" spans="18:19">
      <c r="R95" s="44" t="s">
        <v>587</v>
      </c>
      <c r="S95" s="44" t="s">
        <v>588</v>
      </c>
    </row>
    <row r="96" spans="18:19">
      <c r="R96" s="44" t="s">
        <v>589</v>
      </c>
      <c r="S96" t="s">
        <v>590</v>
      </c>
    </row>
    <row r="97" spans="18:19">
      <c r="R97" s="44" t="s">
        <v>591</v>
      </c>
      <c r="S97" s="57" t="s">
        <v>568</v>
      </c>
    </row>
    <row r="98" spans="18:19">
      <c r="R98" s="57" t="s">
        <v>592</v>
      </c>
      <c r="S98" s="32" t="s">
        <v>133</v>
      </c>
    </row>
    <row r="99" spans="18:19">
      <c r="R99" s="44" t="s">
        <v>593</v>
      </c>
      <c r="S99" t="s">
        <v>594</v>
      </c>
    </row>
  </sheetData>
  <sortState xmlns:xlrd2="http://schemas.microsoft.com/office/spreadsheetml/2017/richdata2" ref="R2:S91">
    <sortCondition ref="R2:R91"/>
  </sortState>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Usage</vt:lpstr>
      <vt:lpstr>Appliances</vt:lpstr>
      <vt:lpstr>Summary</vt:lpstr>
      <vt:lpstr>Lists for 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cp:revision/>
  <dcterms:created xsi:type="dcterms:W3CDTF">2022-02-16T16:21:16Z</dcterms:created>
  <dcterms:modified xsi:type="dcterms:W3CDTF">2023-08-09T13:55:10Z</dcterms:modified>
  <cp:category/>
  <cp:contentStatus/>
</cp:coreProperties>
</file>