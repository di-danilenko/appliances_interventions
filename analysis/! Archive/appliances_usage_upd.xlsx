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and\Desktop\Desktop\GitHub\appliances_interventions\analysis\"/>
    </mc:Choice>
  </mc:AlternateContent>
  <bookViews>
    <workbookView xWindow="0" yWindow="0" windowWidth="19200" windowHeight="7930"/>
  </bookViews>
  <sheets>
    <sheet name="Appliances" sheetId="5" r:id="rId1"/>
    <sheet name="Lists for variables" sheetId="3" r:id="rId2"/>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G22" i="5" l="1"/>
  <c r="CB22" i="5"/>
  <c r="BZ22" i="5"/>
  <c r="AZ22" i="5"/>
  <c r="CD22" i="5" s="1"/>
  <c r="CE22" i="5" s="1"/>
  <c r="CF22" i="5" s="1"/>
  <c r="CG21" i="5"/>
  <c r="CB21" i="5"/>
  <c r="BZ21" i="5"/>
  <c r="AZ21" i="5"/>
  <c r="CD21" i="5" s="1"/>
  <c r="CE21" i="5" s="1"/>
  <c r="CF21" i="5" s="1"/>
  <c r="CG20" i="5"/>
  <c r="CD20" i="5"/>
  <c r="CE20" i="5" s="1"/>
  <c r="CF20" i="5" s="1"/>
  <c r="CB20" i="5"/>
  <c r="BZ20" i="5"/>
  <c r="AZ20" i="5"/>
  <c r="BW20" i="5" s="1"/>
  <c r="BX20" i="5" s="1"/>
  <c r="BY20" i="5" s="1"/>
  <c r="BW22" i="5" l="1"/>
  <c r="BX22" i="5" s="1"/>
  <c r="BY22" i="5" s="1"/>
  <c r="BW21" i="5"/>
  <c r="BX21" i="5" s="1"/>
  <c r="BY21" i="5" s="1"/>
  <c r="CG19" i="5"/>
  <c r="CB19" i="5"/>
  <c r="BZ19" i="5"/>
  <c r="BA19" i="5"/>
  <c r="AZ19" i="5"/>
  <c r="CG18" i="5"/>
  <c r="CB18" i="5"/>
  <c r="BZ18" i="5"/>
  <c r="BA18" i="5"/>
  <c r="AZ18" i="5"/>
  <c r="CG17" i="5"/>
  <c r="CB17" i="5"/>
  <c r="BZ17" i="5"/>
  <c r="BA17" i="5"/>
  <c r="AZ17" i="5"/>
  <c r="CG16" i="5"/>
  <c r="CB16" i="5"/>
  <c r="BZ16" i="5"/>
  <c r="BA16" i="5"/>
  <c r="AZ16" i="5"/>
  <c r="CG15" i="5"/>
  <c r="CB15" i="5"/>
  <c r="BZ15" i="5"/>
  <c r="BA15" i="5"/>
  <c r="AZ15" i="5"/>
  <c r="CG14" i="5"/>
  <c r="CB14" i="5"/>
  <c r="BZ14" i="5"/>
  <c r="BA14" i="5"/>
  <c r="AZ14" i="5"/>
  <c r="CG13" i="5"/>
  <c r="CB13" i="5"/>
  <c r="BZ13" i="5"/>
  <c r="BA13" i="5"/>
  <c r="AZ13" i="5"/>
  <c r="CG11" i="5"/>
  <c r="CB11" i="5"/>
  <c r="BZ11" i="5"/>
  <c r="AZ11" i="5"/>
  <c r="CG8" i="5"/>
  <c r="CB8" i="5"/>
  <c r="BZ8" i="5"/>
  <c r="AZ8" i="5"/>
  <c r="CG7" i="5"/>
  <c r="CB7" i="5"/>
  <c r="BZ7" i="5"/>
  <c r="AZ7" i="5"/>
  <c r="CG6" i="5"/>
  <c r="CB6" i="5"/>
  <c r="BZ6" i="5"/>
  <c r="AZ6" i="5"/>
  <c r="CG5" i="5"/>
  <c r="CB5" i="5"/>
  <c r="BZ5" i="5"/>
  <c r="AZ5" i="5"/>
  <c r="CG4" i="5"/>
  <c r="CB4" i="5"/>
  <c r="BZ4" i="5"/>
  <c r="AZ4" i="5"/>
  <c r="CG3" i="5"/>
  <c r="CB3" i="5"/>
  <c r="BZ3" i="5"/>
  <c r="AZ3" i="5"/>
  <c r="AW3" i="5"/>
  <c r="CD13" i="5" l="1"/>
  <c r="CE13" i="5" s="1"/>
  <c r="CF13" i="5" s="1"/>
  <c r="BW13" i="5"/>
  <c r="BX13" i="5" s="1"/>
  <c r="BY13" i="5" s="1"/>
  <c r="CD14" i="5"/>
  <c r="CE14" i="5" s="1"/>
  <c r="CF14" i="5" s="1"/>
  <c r="BW14" i="5"/>
  <c r="BX14" i="5" s="1"/>
  <c r="BY14" i="5" s="1"/>
  <c r="CD15" i="5"/>
  <c r="CE15" i="5" s="1"/>
  <c r="CF15" i="5" s="1"/>
  <c r="BW15" i="5"/>
  <c r="BX15" i="5" s="1"/>
  <c r="BY15" i="5" s="1"/>
  <c r="CD16" i="5"/>
  <c r="CE16" i="5" s="1"/>
  <c r="CF16" i="5" s="1"/>
  <c r="BW16" i="5"/>
  <c r="BX16" i="5" s="1"/>
  <c r="BY16" i="5" s="1"/>
  <c r="CD17" i="5"/>
  <c r="CE17" i="5" s="1"/>
  <c r="CF17" i="5" s="1"/>
  <c r="BW17" i="5"/>
  <c r="BX17" i="5" s="1"/>
  <c r="BY17" i="5" s="1"/>
  <c r="CD18" i="5"/>
  <c r="CE18" i="5" s="1"/>
  <c r="CF18" i="5" s="1"/>
  <c r="BW18" i="5"/>
  <c r="BX18" i="5" s="1"/>
  <c r="BY18" i="5" s="1"/>
  <c r="CD19" i="5"/>
  <c r="CE19" i="5" s="1"/>
  <c r="CF19" i="5" s="1"/>
  <c r="BW19" i="5"/>
  <c r="BX19" i="5" s="1"/>
  <c r="BY19" i="5" s="1"/>
  <c r="CD11" i="5"/>
  <c r="CE11" i="5" s="1"/>
  <c r="CF11" i="5" s="1"/>
  <c r="BW11" i="5"/>
  <c r="BX11" i="5" s="1"/>
  <c r="BY11" i="5" s="1"/>
  <c r="CD4" i="5"/>
  <c r="CE4" i="5" s="1"/>
  <c r="CF4" i="5" s="1"/>
  <c r="BW4" i="5"/>
  <c r="BX4" i="5" s="1"/>
  <c r="BY4" i="5" s="1"/>
  <c r="CD5" i="5"/>
  <c r="CE5" i="5" s="1"/>
  <c r="CF5" i="5" s="1"/>
  <c r="BW5" i="5"/>
  <c r="BX5" i="5" s="1"/>
  <c r="BY5" i="5" s="1"/>
  <c r="CD6" i="5"/>
  <c r="CE6" i="5" s="1"/>
  <c r="CF6" i="5" s="1"/>
  <c r="BW6" i="5"/>
  <c r="BX6" i="5" s="1"/>
  <c r="BY6" i="5" s="1"/>
  <c r="CD7" i="5"/>
  <c r="CE7" i="5" s="1"/>
  <c r="CF7" i="5" s="1"/>
  <c r="BW7" i="5"/>
  <c r="BX7" i="5" s="1"/>
  <c r="BY7" i="5" s="1"/>
  <c r="CD8" i="5"/>
  <c r="CE8" i="5" s="1"/>
  <c r="CF8" i="5" s="1"/>
  <c r="BW8" i="5"/>
  <c r="BX8" i="5" s="1"/>
  <c r="BY8" i="5" s="1"/>
  <c r="CD3" i="5"/>
  <c r="CE3" i="5" s="1"/>
  <c r="CF3" i="5" s="1"/>
  <c r="BW3" i="5"/>
  <c r="BX3" i="5" s="1"/>
  <c r="BY3" i="5" s="1"/>
</calcChain>
</file>

<file path=xl/sharedStrings.xml><?xml version="1.0" encoding="utf-8"?>
<sst xmlns="http://schemas.openxmlformats.org/spreadsheetml/2006/main" count="1081" uniqueCount="464">
  <si>
    <t>coder</t>
  </si>
  <si>
    <t>sr_no</t>
  </si>
  <si>
    <t>study_ID</t>
  </si>
  <si>
    <t>authors</t>
  </si>
  <si>
    <t xml:space="preserve">year_publication </t>
  </si>
  <si>
    <t>doc_title</t>
  </si>
  <si>
    <t>abstract</t>
  </si>
  <si>
    <t>study_type</t>
  </si>
  <si>
    <t>year_data_study</t>
  </si>
  <si>
    <t>exclusion_reason</t>
  </si>
  <si>
    <t>page</t>
  </si>
  <si>
    <t>statistical_technique</t>
  </si>
  <si>
    <t>study_design</t>
  </si>
  <si>
    <t>country</t>
  </si>
  <si>
    <t>incentive_follow_through</t>
  </si>
  <si>
    <t>experimental_setting</t>
  </si>
  <si>
    <t>participant_type</t>
  </si>
  <si>
    <t>aware_of_study</t>
  </si>
  <si>
    <t>opt_in</t>
  </si>
  <si>
    <t>randomisation_dummy</t>
  </si>
  <si>
    <t>outOfSampleBias</t>
  </si>
  <si>
    <t>reportingBiases</t>
  </si>
  <si>
    <t>notes_bias</t>
  </si>
  <si>
    <t>feedback</t>
  </si>
  <si>
    <t>information</t>
  </si>
  <si>
    <t>label</t>
  </si>
  <si>
    <t>rebate</t>
  </si>
  <si>
    <t>tax_credit</t>
  </si>
  <si>
    <t>subsidy</t>
  </si>
  <si>
    <t>loan</t>
  </si>
  <si>
    <t>choice_architecture</t>
  </si>
  <si>
    <t>notes-intervention</t>
  </si>
  <si>
    <t>washing_machine</t>
  </si>
  <si>
    <t>clothes_dryer</t>
  </si>
  <si>
    <t>dishwasher</t>
  </si>
  <si>
    <t>refrigerator</t>
  </si>
  <si>
    <t>heat_pump</t>
  </si>
  <si>
    <t>lighting</t>
  </si>
  <si>
    <t>water_heater</t>
  </si>
  <si>
    <t>ac</t>
  </si>
  <si>
    <t>tv</t>
  </si>
  <si>
    <t>notes_dep_var</t>
  </si>
  <si>
    <t>dep_variable_usage</t>
  </si>
  <si>
    <t>dep_var_original_study</t>
  </si>
  <si>
    <t>dep_var_transformation</t>
  </si>
  <si>
    <t xml:space="preserve">coefficient </t>
  </si>
  <si>
    <t>effect_direction</t>
  </si>
  <si>
    <t>coefficient_se</t>
  </si>
  <si>
    <t>p_value</t>
  </si>
  <si>
    <t>significance_bound</t>
  </si>
  <si>
    <t>t_stat</t>
  </si>
  <si>
    <t>percent_change</t>
  </si>
  <si>
    <t>control_mean</t>
  </si>
  <si>
    <t>control_sample_size</t>
  </si>
  <si>
    <t>control_sd</t>
  </si>
  <si>
    <t>treated_mean</t>
  </si>
  <si>
    <t>treatment_sample_size</t>
  </si>
  <si>
    <t>treated_sd</t>
  </si>
  <si>
    <t>total_sample_size</t>
  </si>
  <si>
    <t>total_observations</t>
  </si>
  <si>
    <t>diff_mean</t>
  </si>
  <si>
    <t>pooled_sd</t>
  </si>
  <si>
    <t>monetary_incentive_size</t>
  </si>
  <si>
    <t>monetary_incentive_relative</t>
  </si>
  <si>
    <t>monetary_incentive_timeframe</t>
  </si>
  <si>
    <t>label_monetary</t>
  </si>
  <si>
    <t>label_monetary_size</t>
  </si>
  <si>
    <t>label_consumption</t>
  </si>
  <si>
    <t>label_consumption_size</t>
  </si>
  <si>
    <t>label_scale</t>
  </si>
  <si>
    <t>controls energy prices</t>
  </si>
  <si>
    <t>controls environmental attitudes</t>
  </si>
  <si>
    <t>controls demographics</t>
  </si>
  <si>
    <t>r_value</t>
  </si>
  <si>
    <t>z_value</t>
  </si>
  <si>
    <t>r_variance</t>
  </si>
  <si>
    <t>z_variance</t>
  </si>
  <si>
    <t>d_value</t>
  </si>
  <si>
    <t>df</t>
  </si>
  <si>
    <t>comments</t>
  </si>
  <si>
    <t>r_value_obs</t>
  </si>
  <si>
    <t>z_value_obs</t>
  </si>
  <si>
    <t>r_variance_obs</t>
  </si>
  <si>
    <t>z_variance_obs</t>
  </si>
  <si>
    <t>DD</t>
  </si>
  <si>
    <t>Basiru, Xu, Arkorful, Lugu, Ibrahim</t>
  </si>
  <si>
    <t>Energy efficiency labels and urban residents' intention to purchase energy-efficient household appliances: an empirical study based on the theory of planned behavior</t>
  </si>
  <si>
    <t>Energy efficiency labeling is an effective method of altering peoples’ consumption patterns and motivating them to purchase
energy-efficient appliances to help reduce environmental pollution and carbon emissions. However, few studies have
explored the connection between energy efficiency labels and the intention to purchase energy-efficient appliances. Drawing
on the theory of planned behavior, this study develops a theoretical model to examine the mechanism through which energy
efficiency labels impact urban residents’ intention to purchase energy-efficient household appliances in Ghana. A total of
507 valid responses were obtained using a questionnaire survey, and structural equation modeling was employed to analyze
these data. The results indicate that attitude toward energy-efficient appliances, green trust, and perceived behavioral control
significantly and positively influence the intention to purchase energy-efficient appliances. Contrary to our expectations, the
influence of subjective norms was determined to be insignificant. This study also revealed a direct, positive, and significant
impact of energy efficiency labels on attitude and green trust and an indirect impact on purchase intention via green trust.
The findings underscore the prominence of energy efficiency labels in driving consumer behavior toward the purchase of
energy-efficient appliances. This study’s findings could be useful in encouraging governments, policymakers, manufacturers,
importers, and retailers to adopt effective measures to promote the use of energy-efficient appliances among households
in Ghana.</t>
  </si>
  <si>
    <t>No clear control group</t>
  </si>
  <si>
    <t>structural model</t>
  </si>
  <si>
    <t>Ghana</t>
  </si>
  <si>
    <t>stated preference</t>
  </si>
  <si>
    <t>NA</t>
  </si>
  <si>
    <t>Cash for coolers or sustainable lighting? Assessing different components of a large-scale energy efficiency program in Mexico</t>
  </si>
  <si>
    <t>In one of the largest demand-side energy efficiency programs at the time, the Mexican government
supported more than 11 million, mostly low-income households in replacing their old light bulbs and
appliances with more efficient models. Previous evaluations of this program focused exclusively on appliances,
which made up almost 90 per cent of the total program cost, and found modest benefits in terms of
energy savings. This study compares the respective effects of replacing light bulbs and appliances simultaneously
in a single econometric framework, using data from nationally representative household surveys and a
difference-in-differences approach which exploits geographical variation in treatment intensities. Despite
using different sources and types of data, our results for the appliances replacement intervention are largely
in line with the estimates of previous studies. In addition, we find that the impact on energy consumption
(proxied by the amount paid for electricity) of replacing light bulbs was of comparable magnitude as that of
replacing appliances, although the average cost per participating household was much smaller. Overall, our
results suggest that low-cost investments that help poor households reduce their energy consumption for lighting
can have high returns on energy efficiency in the residential sector.</t>
  </si>
  <si>
    <t>2008-2014</t>
  </si>
  <si>
    <t>OLS</t>
  </si>
  <si>
    <t>diff-in-diff</t>
  </si>
  <si>
    <t>Mexico</t>
  </si>
  <si>
    <t>revealed preference</t>
  </si>
  <si>
    <t>pre-recorded (no experiment)</t>
  </si>
  <si>
    <t>residents</t>
  </si>
  <si>
    <t>probably yes</t>
  </si>
  <si>
    <t>the SE for the coefficient we want to code is super low and seems to be wrong</t>
  </si>
  <si>
    <t>replacement of old light bulbs with CFLs</t>
  </si>
  <si>
    <t>amount paid for electricity (peso) per month per person</t>
  </si>
  <si>
    <t>decrease</t>
  </si>
  <si>
    <t>actual</t>
  </si>
  <si>
    <t>Appliance energy efficiency policies and electricity consumption: Evidence from China</t>
  </si>
  <si>
    <t>Appliances’ energy efficiency labels have been widely adopted globally to curb household electricity consumption,
yet their effectiveness in developing countries remains understudied. Utilizing household data from
the Chinese General Social Survey, this study examines the impact and mechanisms of appliance energy efficiency
labels on household electricity consumption by employing multiple linear regression analysis. The findings
reveal that the effectiveness of energy efficiency labels in China falls short of expectations. Notably, labeled
Air Conditioners (AC), washing machines, and Televisions (TV) significantly increase household electricity
consumption, whereas refrigerators reduce it. The reason primarily arises from behavioral changes induced by
energy efficiency labels: households extend AC usage time for cooling, increase washing machine operation
frequency, extend TV viewing hours, and modify TV standby settings. This study finds no evidence that labeled
computers and water heaters increase household electricity consumption. These insights offer valuable guidance
for policymakers, particularly in developing countries or regions, to establish complementing policies that
synergize with energy efficiency labels to reduce household electricity consumption without jeopardizing resident
welfare.</t>
  </si>
  <si>
    <t>2003-2015</t>
  </si>
  <si>
    <t>linear probability model</t>
  </si>
  <si>
    <t>quasi-experimental</t>
  </si>
  <si>
    <t>China</t>
  </si>
  <si>
    <t>probably no</t>
  </si>
  <si>
    <t>annual average monthly electricity usage of household</t>
  </si>
  <si>
    <t>log scale</t>
  </si>
  <si>
    <t>increase</t>
  </si>
  <si>
    <t>upper bound</t>
  </si>
  <si>
    <t>lower bound</t>
  </si>
  <si>
    <t>Li, Yuan</t>
  </si>
  <si>
    <t>The influence of energy-saving information in online reviews on green
home appliance purchase behavior based on machine learning</t>
  </si>
  <si>
    <t>The renewal of green home appliances is a crucial measure for households to save energy and reduce emissions.
However, how online reviews, especially those relate to energy-saving, affect green home appliance purchase
behavior (GHAPB) lacks exploration. In this paper, we investigate over 1 million online reviews on about 3,116
types of air conditioner from JD. By applying word2vec, we divide energy-saving related information in the
following three types: norm information, environmental health information and price information, and construct
dictionaries for each. Then, the effect value of energy-saving information is quantified from perspectives of
breadth, depth and intensity through sentiment analysis. The influence of energy-saving information in online
reviews on GHAPB is finally analyzed by linear regression and machine learning models. The results show that all
energy-saving information has positive impact on GHAPB, and environmental health information is the most
important one. In addition, the attributes of online reviews impose a greater influence on GHAPB, comparing
with those of products. The in-depth exploration of energy-saving information in online reviews provides targeted
recommendations for the manufacturer and the retailer to promote the adoption of green home appliances.</t>
  </si>
  <si>
    <t>Not a relevant intervention</t>
  </si>
  <si>
    <t>mixed logit</t>
  </si>
  <si>
    <t>control &amp; treatment</t>
  </si>
  <si>
    <t>Malaysia</t>
  </si>
  <si>
    <t>household</t>
  </si>
  <si>
    <t>purschase (probability) of efficient appliance</t>
  </si>
  <si>
    <t>Santos, Cetin, Salehi</t>
  </si>
  <si>
    <t>Energy-efficient technology retrofit investment behaviors of Midwest
households in lower and higher income regions</t>
  </si>
  <si>
    <t>For residential buildings, improving the energy efficiency of buildings helps to reduce energy consumption, as well as to benefit households through reduced energyrelated
costs. However, very little research has focused on understanding how energy efficiency investments are made, particularly across different socioeconomic
groups. This research thus analyzes the energy efficiency investments of households in lower and higher income regions using frequency, correlation, and principal
component analysis. Data used are for residential buildings in Cedar Falls, Iowa, including energy efficiency investment data for a utility rebate program, assessors
data, and U.S. Census data. Among the technologies studied, air conditioners and furnaces (HVAC) were the most expensive, yet they were among the most common
types of investments. Comparing efficiency investments in lower and higher income regions, overall, the higher income tract prioritized efficient lighting and HVAC
systems with less insulation investments, while the lower income tract invested most in HVAC systems andinsulation. Results also suggest that for housing units in
lower income regions invested more in high efficiency HVAC systems, as compared to the higher income regions. These findings highlight the importance of incentive
programs that are tailored to needs and priorities of lower-income and higher-income housing units and the variations in investment behavior.</t>
  </si>
  <si>
    <t>2013-2016</t>
  </si>
  <si>
    <t>No quantitative estimate</t>
  </si>
  <si>
    <t>US</t>
  </si>
  <si>
    <t>LT</t>
  </si>
  <si>
    <t>self-reported behaviour</t>
  </si>
  <si>
    <t>individuals</t>
  </si>
  <si>
    <t>no such option</t>
  </si>
  <si>
    <t>numerical</t>
  </si>
  <si>
    <t>Weigert, Hopf, Günther, Staake</t>
  </si>
  <si>
    <t>Heat pump inspections result in large energy savings when a pre-selection of households is performed: A promising use case of smart meter data</t>
  </si>
  <si>
    <t>Heat pumps play an important role in the energy transition. They can extract renewable energy from the air or ground and increasingly replace fossil heating systems in buildings. In operation, however, heat pumps often consume more electricity than necessary due to incorrect settings and installation deficiencies. Although many setting and installation issues are easy to fix, problems often go unnoticed, and the saving potential from quick fixes remains unclear. In a study with 297 Swiss households (41 treatment, 256 control) running for four years, we investigated an energy efficiency campaign in which the treatment group received a professional heat pump inspection and user training. We found considerable heterogeneity with respect to the savings achieved. We derived two criteria based on smart meter data that enable utilities to identify relevant households and thus boost the impact of such efficiency campaigns: For example, pre-selecting half of the households based on available information results in average savings of 1,805 kWh (15.2%) per year and household in the high-potential group compared to no savings in the low-potential group. Thus, heat pump inspections among pre-selected households can lead to large, cost-effective electricity savings, and we show that common smart meter data makes such pre-selection feasible.</t>
  </si>
  <si>
    <t>2014-2020</t>
  </si>
  <si>
    <t>OLS - FE</t>
  </si>
  <si>
    <t>Switzerland</t>
  </si>
  <si>
    <t>Endogenous treatment. Participants had to actively book a heat pump inspection</t>
  </si>
  <si>
    <t>Heat pump inspection</t>
  </si>
  <si>
    <t>Effect on household energy use</t>
  </si>
  <si>
    <t>energy use after switching to a more efficient appliance</t>
  </si>
  <si>
    <t>Impact of heat pump inspection on household electricity usage</t>
  </si>
  <si>
    <t>SH</t>
  </si>
  <si>
    <t>Beyene et al.</t>
  </si>
  <si>
    <t>Pre-paid meters and household electricity use behaviors: Evidence from Addis Ababa, Ethiopia</t>
  </si>
  <si>
    <t>In low-income countries such as Ethiopia, pre-paid metering is often argued to alleviate several challenges with traditional electricity billing systems, including high non-payment rate, pilferage and fraud, administrative and enforcement costs for utilities, and inflexibility and incongruence of bills with poorer consumers’ irregular income. Despite increasing adoption of this technology, few studies examine its causal impacts on household behaviour. This paper examines the impacts of pre-paid metering on electricity consumption, ownership of appliances, level of satisfaction, and cooking behaviour in Addis Ababa, the capital of Ethiopia. We employ propensity score matching and instrumental variable techniques to control for the non-random selection into prepaid metering. Results indicate that pre-paid customers have significantly lower electricity consumption compared to those with traditional meters, and express greater satisfaction with utility service. This technology also has a positive, but modest and statistically insignificant impact on total appliance ownership, and a positive and significant impact on ownership of energy-efficient lights. Impacts are heterogeneous across customers, however: those who are more educated, who have higher income, and who do not share meters tend to reduce electricity use more. The results suggest that pre-paid meters have had positive impacts on households and the utility in Addis Ababa.</t>
  </si>
  <si>
    <t>2016-2019</t>
  </si>
  <si>
    <t>IV</t>
  </si>
  <si>
    <t>Chuang, Delmas,  Pincetl</t>
  </si>
  <si>
    <t>Are Residential Energy Efficiency Upgrades Effective? An Empirical Analysis in Southern California</t>
  </si>
  <si>
    <t>We analyze multiple subsidy programs for residential energy efficiency upgrades from 2010 to 2015 using electricity billing records of more than 11 million households in Southern California. We find that adopting these upgrades reduces overall electricity usage by 4%. However, there are significant differences in savings between upgrades. Pool pump and refrigeration upgrades generate the largest savings (13% and 6%, respectively). Lighting and HVAC retrofits generate the smallest savings (less than 1%). Some upgrades lead to concerns of rebound effects, such as dishwasher and clothes washer upgrades, and building envelope upgrades. Program impact varies by time of the year and building type. Furthermore, we find that energy savings are inconsistent with the engineering estimates. These results indicate that policy makers should consider the allocation of program funding not simply based on engineering projections but also based on measured electricity consumption such as those described in this study</t>
  </si>
  <si>
    <t>2010-2015</t>
  </si>
  <si>
    <t>results are highly aggregated, therefore some details are unclear - who received which intervention, amount of financial assistance granted, etc.</t>
  </si>
  <si>
    <t>study aggregates subsidies and rebates</t>
  </si>
  <si>
    <t>Effect on household energy use (log change)</t>
  </si>
  <si>
    <t>Impact of Energy Efficiency Upgrade on Electricity Usage</t>
  </si>
  <si>
    <t>MA</t>
  </si>
  <si>
    <t>Hammerle, Burke</t>
  </si>
  <si>
    <t>From natural gas to electric appliances: Energy use and emissions
implications in Australian homes</t>
  </si>
  <si>
    <t>2017-2020</t>
  </si>
  <si>
    <t>Australia</t>
  </si>
  <si>
    <t>Study evaluates a mix of targeted discounts and purchase credit</t>
  </si>
  <si>
    <t>"The treatment effects can be interpreted as the change in
the log of the relevant energy consumption variable from switching to a new energy-efficient electric appliance, holding all else constant"</t>
  </si>
  <si>
    <t>1500 A$</t>
  </si>
  <si>
    <t xml:space="preserve">current </t>
  </si>
  <si>
    <t>1200 A$</t>
  </si>
  <si>
    <t>750 A$</t>
  </si>
  <si>
    <t>LRN</t>
  </si>
  <si>
    <t>Ensieh Shojaeddini, Ben Gilbert</t>
  </si>
  <si>
    <t>Heterogeneity in the Rebound Effect: Evidence from Efficient Lighting Subsidies</t>
  </si>
  <si>
    <t>This paper quantifies heterogeneity in rebound effects from policy-induced energy efficiency
improvements by income and home size. We do so in a relatively understudied context:
residential lighting. This context allows us to separately estimate effects for energy
services (lighting hours) and electricity consumption. We identify the effect of householdlevel
subsidy uptake using instrumental variables for program awareness. We find that
rebound effects are larger for low-income households and those in smaller homes. We also
show that the rebound effect is not large enough to “backfire” and all income and homesize
subsamples exhibit net energy savings.</t>
  </si>
  <si>
    <t>USA</t>
  </si>
  <si>
    <t>self-reported behavior</t>
  </si>
  <si>
    <t>LRN: method is rigorous, sample is randomized and they apply Coarsened Exact Matching (CEM) to address potential selection bias</t>
  </si>
  <si>
    <t>authors look at "lighting assistance" in 26 different states which includes three forms of rebate (1) rebate received from manufacturers, (2) rebate received from utility or energy providers and (3) weatherization assistance programs</t>
  </si>
  <si>
    <t>The dependent variable is the log of total hours of lighting use. Column (1) uses OLS, (2) uses unweighted IVs, and (3) uses weighted IVs. Instruments are the policy availability and policy intensity, and average electricity price for other households in the same
state.</t>
  </si>
  <si>
    <t>log</t>
  </si>
  <si>
    <t>IV (unweighted)</t>
  </si>
  <si>
    <t>IV (weighted)</t>
  </si>
  <si>
    <t>Canada</t>
  </si>
  <si>
    <t>online</t>
  </si>
  <si>
    <t>Ireland</t>
  </si>
  <si>
    <t>UK</t>
  </si>
  <si>
    <t>probit</t>
  </si>
  <si>
    <t>retailer</t>
  </si>
  <si>
    <t>homeowners</t>
  </si>
  <si>
    <t>alphabetical</t>
  </si>
  <si>
    <t>WTP for efficient appliance</t>
  </si>
  <si>
    <t>multinomial logit</t>
  </si>
  <si>
    <t>Spain</t>
  </si>
  <si>
    <t>alphabetical with +</t>
  </si>
  <si>
    <t>lab</t>
  </si>
  <si>
    <t>dummy (0/1)</t>
  </si>
  <si>
    <t>Austria</t>
  </si>
  <si>
    <t>market share of efficient appliance</t>
  </si>
  <si>
    <t>delayed</t>
  </si>
  <si>
    <t>controlls</t>
  </si>
  <si>
    <t>rebate_timeframe</t>
  </si>
  <si>
    <t>dep_var_category</t>
  </si>
  <si>
    <t>bias</t>
  </si>
  <si>
    <t>pre and post</t>
  </si>
  <si>
    <t>simulation</t>
  </si>
  <si>
    <t>students</t>
  </si>
  <si>
    <t>Alberini, Bigano</t>
  </si>
  <si>
    <t>How effective are energy-efficiency incentive programs? Evidence from Italian homeowners</t>
  </si>
  <si>
    <t>opt_out</t>
  </si>
  <si>
    <t>PoC</t>
  </si>
  <si>
    <t>store visitors</t>
  </si>
  <si>
    <t>Germany</t>
  </si>
  <si>
    <t>Alberini, Bigano, Boeri</t>
  </si>
  <si>
    <t>Looking for free riding: energy efficiency incentives and Italian homeowners</t>
  </si>
  <si>
    <t>RDD</t>
  </si>
  <si>
    <t>dep_var</t>
  </si>
  <si>
    <t>Italy</t>
  </si>
  <si>
    <t>odds ratio</t>
  </si>
  <si>
    <t>Alberini, Towe</t>
  </si>
  <si>
    <t>Information v. energy efficiency incentives: Evidence from residential electricity consumption in Maryland</t>
  </si>
  <si>
    <t>sales agent</t>
  </si>
  <si>
    <t>review</t>
  </si>
  <si>
    <t>tenants</t>
  </si>
  <si>
    <t>Japan</t>
  </si>
  <si>
    <t>binary</t>
  </si>
  <si>
    <t>Allcott, Sweeney</t>
  </si>
  <si>
    <t>The Role of Sales Agents in Information Disclosure: Evidence from a Field Experiment</t>
  </si>
  <si>
    <t>correlation</t>
  </si>
  <si>
    <t>propensity score matching</t>
  </si>
  <si>
    <t>uncertainty / sample size missing</t>
  </si>
  <si>
    <t>callers</t>
  </si>
  <si>
    <t>Allcott, Taubinsky</t>
  </si>
  <si>
    <t>Evaluating Behaviorally Motivated Policy: Experimental Evidence from the Lightbulb Market</t>
  </si>
  <si>
    <t>quality</t>
  </si>
  <si>
    <t>other</t>
  </si>
  <si>
    <t>Anderson, Claxton</t>
  </si>
  <si>
    <t>Barriers to Consumer Choice of Energy Efficient Products</t>
  </si>
  <si>
    <t>diff of means</t>
  </si>
  <si>
    <t>case study</t>
  </si>
  <si>
    <t>India</t>
  </si>
  <si>
    <t>Andor, Gerster, Goette</t>
  </si>
  <si>
    <t>How effective is the European Union energy label? Evidence from a real-stakes experiment</t>
  </si>
  <si>
    <t>ANOVA</t>
  </si>
  <si>
    <t>unclear</t>
  </si>
  <si>
    <t>Russia</t>
  </si>
  <si>
    <t>Asinyaka</t>
  </si>
  <si>
    <t>Willingness to Pay for Energy Efficient Refrigerating Appliances in Accra, Ghana: A Choice Experiment Approach</t>
  </si>
  <si>
    <t>logit</t>
  </si>
  <si>
    <t>intervention</t>
  </si>
  <si>
    <t>Aydin, Kok, Brounen</t>
  </si>
  <si>
    <t>Energy efficiency and household behavior: the rebound effect in the residential sector</t>
  </si>
  <si>
    <t>2SLS</t>
  </si>
  <si>
    <t>no appliance breakdown</t>
  </si>
  <si>
    <t>Nigeria</t>
  </si>
  <si>
    <t>Berman, Cooper, Geller</t>
  </si>
  <si>
    <t>COMPENDIUM OF UTILITY-SPONSORED ENERGY EFFICIENCY REBATE PROGRAMS.</t>
  </si>
  <si>
    <t>negative binomial count model</t>
  </si>
  <si>
    <t>Kenya</t>
  </si>
  <si>
    <t>Caldwell, Vaughn, Harrod E, Harrod J</t>
  </si>
  <si>
    <t>Social Marketing-Enhanced Home Energy Education Encourages Adoption of Energy-Saving Practices</t>
  </si>
  <si>
    <t>ITT</t>
  </si>
  <si>
    <t>Singapore</t>
  </si>
  <si>
    <t>Carroll, Denny, Lyons</t>
  </si>
  <si>
    <t>The Effects of Energy Cost Labelling on Appliance Purchasing Decisions: Trial Results from Ireland</t>
  </si>
  <si>
    <t>ordered probit</t>
  </si>
  <si>
    <t>Chun, Jiang</t>
  </si>
  <si>
    <t>How households in Pakistan take on energy efficient lighting technology</t>
  </si>
  <si>
    <t>Datta, Filippini</t>
  </si>
  <si>
    <t>Analysing the impact of ENERGY STAR rebate policies in the US</t>
  </si>
  <si>
    <t>log-linear model</t>
  </si>
  <si>
    <t>Datta, Gulati</t>
  </si>
  <si>
    <t>Utility rebates for ENERGY STAR appliances: Are they effective?</t>
  </si>
  <si>
    <t>Davis</t>
  </si>
  <si>
    <t>Durable goods and residential demand for energy and water: evidence from a field trial</t>
  </si>
  <si>
    <t>nested logit</t>
  </si>
  <si>
    <t>Greece</t>
  </si>
  <si>
    <t>Davis, Fuchs, Gertler</t>
  </si>
  <si>
    <t>Cash for Coolers: Evaluating a Large-Scale Appliance Replacement Program in Mexico</t>
  </si>
  <si>
    <t>coarsened exact matching</t>
  </si>
  <si>
    <t>EU</t>
  </si>
  <si>
    <t>Davis, Metcalf</t>
  </si>
  <si>
    <t>DOES BETTER INFORMATION LEAD TO BETTER CHOICES? EVIDENCE FROM
ENERGY-EFFICIENCY LABELS</t>
  </si>
  <si>
    <t>del Mar Sola, de Ayala, Galarraga</t>
  </si>
  <si>
    <t>The Effect of Providing Monetary Information on Energy Savings for Household Appliances: A Field Trial in Spain</t>
  </si>
  <si>
    <t>OLS - RE</t>
  </si>
  <si>
    <t>Australia, Canada, Chile, France, Israel, Korea, Japan, Netherlands, Spain, Sweden, Switzerland</t>
  </si>
  <si>
    <t>Deutsch</t>
  </si>
  <si>
    <t>The effect of life-cycle cost disclosure on consumer behavior: evidence from a field experiment with cooling appliances</t>
  </si>
  <si>
    <t>Life Cycle Cost Disclosure, Consumer Behavior, and Business Implications: Evidence From an Online Field Experiment</t>
  </si>
  <si>
    <t>France, Germany, Italy, Poland, Romania, Spain, Sweden, UK</t>
  </si>
  <si>
    <t>Dieu-Hang, Grafton, Martinez-Espineira, Garcia-Valinas</t>
  </si>
  <si>
    <t>Household adoption of energy and water-efficient appliances: An analysis of attitudes, labelling and complementary green behaviours in selected OECD countries</t>
  </si>
  <si>
    <t>double bounded contingent valuation model</t>
  </si>
  <si>
    <t>South Korea</t>
  </si>
  <si>
    <t>Dong, Futawatari</t>
  </si>
  <si>
    <t>The study of low-carbon policy influence on consumers' energy efficiency household appliance purchase behavior</t>
  </si>
  <si>
    <t>negative binomial regression</t>
  </si>
  <si>
    <t>Pakistan</t>
  </si>
  <si>
    <t>Faure, Guetlein, Schleich</t>
  </si>
  <si>
    <t>Effects of rescaling the EU energy label on household preferences for top-rated appliances</t>
  </si>
  <si>
    <t>difference-in-difference-in-difference</t>
  </si>
  <si>
    <t>Denmark</t>
  </si>
  <si>
    <t>Figueroa, de Moliere, Pegels, Never, Kutzner</t>
  </si>
  <si>
    <t>Show me (more than) the money! Assessing the social and psychological dimensions to energy efficient lighting in Kenya</t>
  </si>
  <si>
    <t>random parameter logit</t>
  </si>
  <si>
    <t>France</t>
  </si>
  <si>
    <t>Galaraga, Heres, Gonzalez, Eguino</t>
  </si>
  <si>
    <t>Price premium for high-efficiency refrigerators and calculation of price-elasticities for close-substitutes: a methodology using hedonic pricing and demand systems</t>
  </si>
  <si>
    <t>VAR</t>
  </si>
  <si>
    <t>Poland</t>
  </si>
  <si>
    <t>Galarraga, Gonzalez-Eguino, Markandya</t>
  </si>
  <si>
    <t>Willingness to pay and price elasticities of demand for energy-efficient appliances: Combining the hedonic approach and demand systems</t>
  </si>
  <si>
    <t>synthetic control method</t>
  </si>
  <si>
    <t>Romania</t>
  </si>
  <si>
    <t>Gana, Hoppe</t>
  </si>
  <si>
    <t>Assessment of the Governance System Regarding Adoption of Energy Efficient Appliances by Households in Nigeria</t>
  </si>
  <si>
    <t>generalised linear mixed modelling</t>
  </si>
  <si>
    <t>Sweden</t>
  </si>
  <si>
    <t>Ghozali, Kaneko</t>
  </si>
  <si>
    <t>Consumer behavior and ecolabeling</t>
  </si>
  <si>
    <t>Norway</t>
  </si>
  <si>
    <t>Goto H, Goto M, Sueyoshi</t>
  </si>
  <si>
    <t>Consumer choice on ecologically efficient water heaters: Marketing strategy and policy implications in Japan</t>
  </si>
  <si>
    <t xml:space="preserve">France, Slovenia, Szech Republic, Portugal </t>
  </si>
  <si>
    <t>Granda, Birner, Aron, Woodward</t>
  </si>
  <si>
    <t>The IFC/GEF Poland Efficient Lighting Project (PELP) final results</t>
  </si>
  <si>
    <t>Haas</t>
  </si>
  <si>
    <t>Some empirical findings of an Austrian appliance turn-in program</t>
  </si>
  <si>
    <t>Hafner, Elmes, Read, White</t>
  </si>
  <si>
    <t>Exploring the role of normative, financial and environmental information in promoting uptake of energy efficient technologies</t>
  </si>
  <si>
    <t>Harajli, Chalak</t>
  </si>
  <si>
    <t>Willingness to Pay for Energy Efficient Appliances: The Case of Lebanese Consumers</t>
  </si>
  <si>
    <t>Harrington</t>
  </si>
  <si>
    <t>Quantifying energy savings from replacement of old refrigerators</t>
  </si>
  <si>
    <t>Heinzle</t>
  </si>
  <si>
    <t>Disclosure of energy operating cost information: A silver bullet for overcoming the energy-efficiency gap?</t>
  </si>
  <si>
    <t>Heinzle, Wüstenhagen</t>
  </si>
  <si>
    <t>Disimproving the European Energy Label's value for consumers? Results from a consumer survey</t>
  </si>
  <si>
    <t>Dynamic Adjustment of Eco-labeling Schemes and Consumer Choice - the Revision of the EU Energy Label as a Missed Opportunity?: Dynamic Adjustment of Eco-labelling Schemes &amp; Consumer Choice</t>
  </si>
  <si>
    <t>Hirst, Carney, O'Neal</t>
  </si>
  <si>
    <t>Alternative technologies for US residential water heating. Energy savings and economic benefits</t>
  </si>
  <si>
    <t>Hlakotsa, Lencwe, Ngobeni, Chowdhury</t>
  </si>
  <si>
    <t>Energy Efficient Water Heating using Air Source Heat Pumps</t>
  </si>
  <si>
    <t>Houde, Aldy</t>
  </si>
  <si>
    <t>Consumers' Response to State Energy Efficient Appliance Rebate Programs</t>
  </si>
  <si>
    <t>Belt and suspenders and more: the incremental impact of energy efficiency subsidies in the presence of existing policy instruments</t>
  </si>
  <si>
    <t>Ito, Ida, Tanaka</t>
  </si>
  <si>
    <t>Moral Suasion and Economic Incentives: Field Experimental Evidence from Energy Demand</t>
  </si>
  <si>
    <t>Jain, Rao, Patwardhan</t>
  </si>
  <si>
    <t>Consumer preference for labels in the purchase decisions of air conditioners in India</t>
  </si>
  <si>
    <t>Jeong, Kim</t>
  </si>
  <si>
    <t>The effects of energy efficiency and environmental labels on appliance choice in South Korea</t>
  </si>
  <si>
    <t>Kallbekken, Saelen, Hermansen</t>
  </si>
  <si>
    <t>Bridging the Energy Efficiency Gap: A Field Experiment on Lifetime Energy Costs and Household Appliances</t>
  </si>
  <si>
    <t>Kusaka, Kojima, Watanabe</t>
  </si>
  <si>
    <t>Environmental consciousness, economic gain and consumer choice of energy efficient appliances in Thailand, China and India</t>
  </si>
  <si>
    <t>Li, Cao</t>
  </si>
  <si>
    <t>Effectiveness of China's Labeling and Incentive Programs for Household Energy Conservation and Policy Implications</t>
  </si>
  <si>
    <t>Liang, Liu, Qiu, Wang, Xing</t>
  </si>
  <si>
    <t>Time-of-Use Electricity Pricing and Residential Low-carbon Energy Technology Adoption</t>
  </si>
  <si>
    <t>Liddle, Loi, Owen, Tao</t>
  </si>
  <si>
    <t>Evaluating consumption and cost savings from new air-conditioner purchases: The case of Singapore</t>
  </si>
  <si>
    <t>Liu, Jin</t>
  </si>
  <si>
    <t>Visualisation approach and economic incentives toward low carbon practices in households: A survey study in Hyogo, Japan</t>
  </si>
  <si>
    <t>London Economics</t>
  </si>
  <si>
    <t>Study on the impact of the energy label – and potential changes to it – on consumer understanding and on purchase decisions</t>
  </si>
  <si>
    <t>Ma, Yu, Urban</t>
  </si>
  <si>
    <t>Green transition of energy systems in rural China: National survey evidence of households' discrete choices on water heaters</t>
  </si>
  <si>
    <t>Mahlia, Masjuki, Choudhury, Ghazali</t>
  </si>
  <si>
    <t>Economical and environmental impact of room air conditioners energy labels in Malaysia</t>
  </si>
  <si>
    <t>Menita, Domingos, Domingues, Alves, Calixto, Garcia, Faria, Miguel</t>
  </si>
  <si>
    <t>Measurement and verification in energy efficiency projects involving solar water heating systems in homes of low-income families - Case studies</t>
  </si>
  <si>
    <t>Mills, Schleich</t>
  </si>
  <si>
    <t>What's driving energy efficient appliance label awareness and purchase propensity?</t>
  </si>
  <si>
    <t>Min, Azevedo, Michalek, de Bruin</t>
  </si>
  <si>
    <t>Labeling energy cost on light bulbs lowers implicit discount rates</t>
  </si>
  <si>
    <t>Mizobuchi, Takeuchi</t>
  </si>
  <si>
    <t>Replacement or additional purchase: The impact of energy-efficient appliances on household electricity saving under public pressures</t>
  </si>
  <si>
    <t>Modic</t>
  </si>
  <si>
    <t>Energy use in households</t>
  </si>
  <si>
    <t>Nakano, Zusman, Nugroho, Kaswanto, Arifin N, Munandar, Arifin HS, Muchtar, Gomi, Fujita</t>
  </si>
  <si>
    <t>Determinants of energy savings in Indonesia: The case of LED lighting in Bogor</t>
  </si>
  <si>
    <t>Neves, Oliveira</t>
  </si>
  <si>
    <t>Drivers of consumers' change to an energy-efficient heating appliance (EEHA) in households: Evidence from five European countries</t>
  </si>
  <si>
    <t>Nishijima, Kagawa, Nansai, Oguchi</t>
  </si>
  <si>
    <t>Effects of product replacement programs on climate change</t>
  </si>
  <si>
    <t>Ohler, Loomis, Ilves</t>
  </si>
  <si>
    <t>A study of electricity savings from energy star appliances using household survey data</t>
  </si>
  <si>
    <t>Olsthoorn, Schleich, Gassmann, Faure</t>
  </si>
  <si>
    <t>Free riding and rebates for residential energy efficiency upgrades: A multi-country contingent valuation experiment</t>
  </si>
  <si>
    <t>Onuma, Matsumoto, Arimura</t>
  </si>
  <si>
    <t>How much household electricity consumption is actually saved by replacement with Light-Emitting Diodes (LEDs)?</t>
  </si>
  <si>
    <t>Orset</t>
  </si>
  <si>
    <t>Is information a good policy instrument to influence the energy behaviour of households?</t>
  </si>
  <si>
    <t>Peters, McWhinnie</t>
  </si>
  <si>
    <t>On the rebound: estimating direct rebound effects for Australian households</t>
  </si>
  <si>
    <t>Radpour, Mondal, Kumar</t>
  </si>
  <si>
    <t>Market penetration modeling of high energy efficiency appliances in the residential sector</t>
  </si>
  <si>
    <t>Raynaud, Osso, Bourges, Duplessis, Adnot</t>
  </si>
  <si>
    <t>Evidence of an indirect rebound effect with reveresible heat pumps: having air conditioning but not using it?</t>
  </si>
  <si>
    <t>Ren, Tibbs, McLauchlan, Ma, Harrington</t>
  </si>
  <si>
    <t>Refrigerator cost trap for low-income households: Developments in measurement and verification of appliance replacements</t>
  </si>
  <si>
    <t>Revelt, Train</t>
  </si>
  <si>
    <t>MIXED LOGIT WITH REPEATED CHOICES: HOUSEHOLDS’ CHOICES
OF APPLIANCE EFFICIENCY LEVEL</t>
  </si>
  <si>
    <t>Mixed logit with repeated choices: households' choices of appliance efficiency level</t>
  </si>
  <si>
    <t>Ridge</t>
  </si>
  <si>
    <t>Energy Conservation for Low-Income Households: The Evaporative Cooler Experience</t>
  </si>
  <si>
    <t>Sammer, Wuestenhagen</t>
  </si>
  <si>
    <t>The influence of eco-labelling on consumer behaviour – results of a discrete choice analysis for washing machines</t>
  </si>
  <si>
    <t>Schleich, Durand, Brugger</t>
  </si>
  <si>
    <t>How effective are EU minimum energy performance standards and energy labels for cold appliances?</t>
  </si>
  <si>
    <t>Schultz, Colehour, Vohr, Bonn, Bullock, Sadler</t>
  </si>
  <si>
    <t>Using Social Marketing to Spur Residential Adoption of ENERGY STAR®-Certified LED Lighting</t>
  </si>
  <si>
    <t>Skourtos, Damigos, Tourkolias, Kontogianni</t>
  </si>
  <si>
    <t>Efficient energy labelling: the impact of information content and style on product choice</t>
  </si>
  <si>
    <t>Stadelmann, Schubert</t>
  </si>
  <si>
    <t>How Do Different Designs of Energy Labels Influence Purchases of Household Appliances? A Field Study in Switzerland</t>
  </si>
  <si>
    <t>Suffolk, Poortinga</t>
  </si>
  <si>
    <t>Behavioural changes after energy efficiency improvements in residential properties</t>
  </si>
  <si>
    <t>Sulyma, Chin, Du Pont, Ference, Martin, Phumaraphand, Tiedemann, Wikler, Zariffa</t>
  </si>
  <si>
    <t>Taking the pulse of Thailand's DSM market transformation programs</t>
  </si>
  <si>
    <t>Sun</t>
  </si>
  <si>
    <t>Heterogeneous direct rebound effect: Theory and evidence from the Energy Star program</t>
  </si>
  <si>
    <t>Train, Atherton</t>
  </si>
  <si>
    <t>REBATES, LOANS, AND CUSTOMERS CHOICE OF APPLIANCE EFFICIENCY LEVEL - COMBINING STATED AND REVEALED-PREFERENCE DATA</t>
  </si>
  <si>
    <t>Free Riding, Upsizing, and Energy Efﬁciency Incentives in Maryland Homes</t>
  </si>
  <si>
    <t>Turdaliev</t>
  </si>
  <si>
    <t>Increasing Block Rate Electricity Pricing and Propensity to Purchase Electrical Appliances: Evidence from a Natural Experiment in Russia</t>
  </si>
  <si>
    <t xml:space="preserve">Wang B, Deng, Liu, Sun, Wang ZH </t>
  </si>
  <si>
    <t>Effect of energy efficiency labels on household appliance choice in China: Sustainable consumption or irrational intertemporal choice?</t>
  </si>
  <si>
    <t>Ward, Clark, Jensen, Yen, Russell</t>
  </si>
  <si>
    <t>Factors influencing willingness-to-pay for the ENERGY STAR (R) label</t>
  </si>
  <si>
    <t>Wasi, Carson</t>
  </si>
  <si>
    <t>The influence of rebate programs on the demand for water heaters: The case of New South Wales</t>
  </si>
  <si>
    <t>Webber, Brown, Koomey</t>
  </si>
  <si>
    <t>Savings estimates for the ENERGY STAR (R) voluntary labeling program</t>
  </si>
  <si>
    <t>Yao, Liu, Yan</t>
  </si>
  <si>
    <t>A quantile approach to assess the effectiveness of the subsidy policy for energy-efficient home appliances: Evidence from Rizhao, China</t>
  </si>
  <si>
    <t>Zha, Yang, Wang, Zhou</t>
  </si>
  <si>
    <t>Appliance energy labels and consumer heterogeneity: A latent class approach based on a discrete choice experiment in China</t>
  </si>
  <si>
    <t>Bjerregaard, Møller</t>
  </si>
  <si>
    <t>The Impact of EU's energy labeling policy: An econometric analysis of inceased transparency in the market of cold appliances in Denmark</t>
  </si>
  <si>
    <t>Zhou, Bukenya</t>
  </si>
  <si>
    <t>Information inefficiency and willingness-to-pay forenergy-efficient technology: A stated preference approach for China Energy Label</t>
  </si>
  <si>
    <t>Newell, Siikamäki</t>
  </si>
  <si>
    <t>Nudging Energy Efficiency Behavior: The Role of Information Labels</t>
  </si>
  <si>
    <t>Shen, Saijo</t>
  </si>
  <si>
    <t>Does an energy efficiency label alter consumers’ purchasing decisions? A latent
class approach based on a stated choice experiment in Shanghai</t>
  </si>
  <si>
    <t>Li, Clark, Jensen, Yen</t>
  </si>
  <si>
    <t>The Effect of Mail-in Utility Rebates on Willingness-to-Pay for ENERGY STAR® Certified Refrigerators</t>
  </si>
  <si>
    <t>Alberini, Gans, Towe</t>
  </si>
  <si>
    <t>DECC</t>
  </si>
  <si>
    <t>Evaluation of the DECC/John Lewis energy labelling trial</t>
  </si>
  <si>
    <t>Oländer, Thogersen</t>
  </si>
  <si>
    <t>Informing Versus Nudging in Environmental Policy</t>
  </si>
  <si>
    <t>counterfactual</t>
  </si>
  <si>
    <t>Naeher, Narayanan &amp; Ziulu</t>
  </si>
  <si>
    <t>Cheng, Zhang &amp; Cai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</si>
</sst>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0_);[Red]\(0.00\)"/>
    <numFmt numFmtId="165" formatCode="0.000_);[Red]\(0.000\)"/>
    <numFmt numFmtId="166" formatCode="0.0000_);[Red]\(0.0000\)"/>
    <numFmt numFmtId="167" formatCode="0.00000_);[Red]\(0.00000\)"/>
    <numFmt numFmtId="168" formatCode="0.000000000"/>
    <numFmt numFmtId="169" formatCode="0.0000000000"/>
    <numFmt numFmtId="170" formatCode="0.0000000"/>
  </numFmts>
  <fonts count="16">
    <font>
      <sz val="12"/>
      <color theme="1"/>
      <name val="Calibri"/>
      <family val="2"/>
      <scheme val="minor"/>
    </font>
    <font>
      <sz val="12"/>
      <color theme="1"/>
      <name val="Calibri"/>
      <family val="2"/>
      <scheme val="minor"/>
    </font>
    <font>
      <b/>
      <sz val="10"/>
      <color theme="1"/>
      <name val="Calibri Light"/>
      <family val="2"/>
      <scheme val="major"/>
    </font>
    <font>
      <b/>
      <sz val="10"/>
      <name val="Calibri Light"/>
      <family val="2"/>
      <scheme val="major"/>
    </font>
    <font>
      <sz val="10"/>
      <color theme="1"/>
      <name val="Calibri Light"/>
      <family val="2"/>
      <scheme val="major"/>
    </font>
    <font>
      <sz val="10"/>
      <name val="Calibri Light"/>
      <family val="2"/>
      <scheme val="major"/>
    </font>
    <font>
      <sz val="10"/>
      <color rgb="FF000000"/>
      <name val="Calibri Light"/>
      <family val="2"/>
      <scheme val="major"/>
    </font>
    <font>
      <sz val="10"/>
      <color rgb="FF111111"/>
      <name val="Calibri Light"/>
      <family val="2"/>
      <scheme val="major"/>
    </font>
    <font>
      <sz val="12"/>
      <color theme="1"/>
      <name val="Calibri (Body)"/>
    </font>
    <font>
      <sz val="10"/>
      <color theme="1"/>
      <name val="Calibri Light"/>
      <scheme val="major"/>
    </font>
    <font>
      <sz val="10"/>
      <color rgb="FF000000"/>
      <name val="Calibri Light"/>
      <scheme val="major"/>
    </font>
    <font>
      <b/>
      <sz val="10"/>
      <color theme="1"/>
      <name val="Calibri Light"/>
      <scheme val="major"/>
    </font>
    <font>
      <b/>
      <sz val="10"/>
      <name val="Calibri Light"/>
      <scheme val="major"/>
    </font>
    <font>
      <b/>
      <sz val="12"/>
      <color theme="1"/>
      <name val="Calibri Light"/>
      <scheme val="major"/>
    </font>
    <font>
      <sz val="12"/>
      <color theme="1"/>
      <name val="Calibri Light"/>
      <scheme val="major"/>
    </font>
    <font>
      <sz val="12"/>
      <color rgb="FF000000"/>
      <name val="Calibri Light"/>
      <scheme val="major"/>
    </font>
  </fonts>
  <fills count="14">
    <fill>
      <patternFill patternType="none"/>
    </fill>
    <fill>
      <patternFill patternType="gray125"/>
    </fill>
    <fill>
      <patternFill patternType="solid">
        <fgColor theme="0"/>
        <bgColor theme="9"/>
      </patternFill>
    </fill>
    <fill>
      <patternFill patternType="solid">
        <fgColor rgb="FFFFFFFF"/>
        <bgColor indexed="64"/>
      </patternFill>
    </fill>
    <fill>
      <patternFill patternType="solid">
        <fgColor theme="3"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theme="9"/>
      </patternFill>
    </fill>
    <fill>
      <patternFill patternType="solid">
        <fgColor theme="6" tint="0.79998168889431442"/>
        <bgColor indexed="64"/>
      </patternFill>
    </fill>
    <fill>
      <patternFill patternType="solid">
        <fgColor rgb="FFFFFF00"/>
        <bgColor indexed="64"/>
      </patternFill>
    </fill>
    <fill>
      <patternFill patternType="solid">
        <fgColor rgb="FFD9E1F2"/>
        <bgColor indexed="64"/>
      </patternFill>
    </fill>
    <fill>
      <patternFill patternType="solid">
        <fgColor theme="2"/>
        <bgColor indexed="64"/>
      </patternFill>
    </fill>
    <fill>
      <patternFill patternType="solid">
        <fgColor theme="4" tint="0.79998168889431442"/>
        <bgColor indexed="64"/>
      </patternFill>
    </fill>
  </fills>
  <borders count="8">
    <border>
      <left/>
      <right/>
      <top/>
      <bottom/>
      <diagonal/>
    </border>
    <border>
      <left style="thin">
        <color theme="9" tint="0.39997558519241921"/>
      </left>
      <right/>
      <top style="thin">
        <color theme="9" tint="0.39997558519241921"/>
      </top>
      <bottom style="thin">
        <color theme="9" tint="0.3999755851924192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9" tint="0.39997558519241921"/>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theme="9" tint="0.39997558519241921"/>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86">
    <xf numFmtId="0" fontId="0" fillId="0" borderId="0" xfId="0"/>
    <xf numFmtId="0" fontId="4" fillId="0" borderId="0" xfId="0" applyFont="1"/>
    <xf numFmtId="0" fontId="4" fillId="0" borderId="0" xfId="0" applyFont="1" applyAlignment="1">
      <alignment wrapText="1"/>
    </xf>
    <xf numFmtId="0" fontId="2" fillId="10" borderId="0" xfId="0" applyFont="1" applyFill="1"/>
    <xf numFmtId="0" fontId="6" fillId="0" borderId="0" xfId="0" applyFont="1"/>
    <xf numFmtId="166" fontId="4" fillId="0" borderId="0" xfId="0" applyNumberFormat="1" applyFont="1"/>
    <xf numFmtId="164" fontId="4" fillId="0" borderId="0" xfId="0" applyNumberFormat="1" applyFont="1"/>
    <xf numFmtId="165" fontId="4" fillId="0" borderId="0" xfId="0" applyNumberFormat="1" applyFont="1"/>
    <xf numFmtId="0" fontId="4" fillId="10" borderId="0" xfId="0" applyFont="1" applyFill="1"/>
    <xf numFmtId="0" fontId="5" fillId="0" borderId="0" xfId="0" applyFont="1"/>
    <xf numFmtId="0" fontId="4" fillId="3" borderId="0" xfId="0" applyFont="1" applyFill="1"/>
    <xf numFmtId="0" fontId="5" fillId="10" borderId="0" xfId="0" applyFont="1" applyFill="1"/>
    <xf numFmtId="0" fontId="4" fillId="0" borderId="0" xfId="0" applyFont="1" applyAlignment="1">
      <alignment vertical="center"/>
    </xf>
    <xf numFmtId="0" fontId="4" fillId="10" borderId="0" xfId="0" applyFont="1" applyFill="1" applyAlignment="1">
      <alignment wrapText="1"/>
    </xf>
    <xf numFmtId="0" fontId="2" fillId="0" borderId="0" xfId="0" applyFont="1"/>
    <xf numFmtId="0" fontId="3" fillId="2" borderId="1" xfId="0" applyFont="1" applyFill="1" applyBorder="1"/>
    <xf numFmtId="0" fontId="9" fillId="0" borderId="0" xfId="0" applyFont="1"/>
    <xf numFmtId="164" fontId="9" fillId="0" borderId="0" xfId="0" applyNumberFormat="1" applyFont="1"/>
    <xf numFmtId="10" fontId="9" fillId="0" borderId="0" xfId="1" applyNumberFormat="1" applyFont="1"/>
    <xf numFmtId="165" fontId="9" fillId="0" borderId="0" xfId="0" applyNumberFormat="1" applyFont="1"/>
    <xf numFmtId="1" fontId="9" fillId="0" borderId="0" xfId="0" applyNumberFormat="1" applyFont="1"/>
    <xf numFmtId="0" fontId="10" fillId="0" borderId="0" xfId="0" applyFont="1"/>
    <xf numFmtId="170" fontId="9" fillId="0" borderId="0" xfId="0" applyNumberFormat="1" applyFont="1"/>
    <xf numFmtId="10" fontId="10" fillId="0" borderId="0" xfId="0" applyNumberFormat="1" applyFont="1"/>
    <xf numFmtId="3" fontId="10" fillId="0" borderId="0" xfId="0" applyNumberFormat="1" applyFont="1"/>
    <xf numFmtId="0" fontId="9" fillId="10" borderId="0" xfId="0" applyFont="1" applyFill="1"/>
    <xf numFmtId="3" fontId="9" fillId="0" borderId="0" xfId="0" applyNumberFormat="1" applyFont="1"/>
    <xf numFmtId="0" fontId="6" fillId="12" borderId="0" xfId="0" applyFont="1" applyFill="1"/>
    <xf numFmtId="0" fontId="7" fillId="12" borderId="0" xfId="0" applyFont="1" applyFill="1"/>
    <xf numFmtId="0" fontId="6" fillId="12" borderId="0" xfId="0" applyFont="1" applyFill="1" applyAlignment="1">
      <alignment wrapText="1"/>
    </xf>
    <xf numFmtId="0" fontId="4" fillId="12" borderId="0" xfId="0" applyFont="1" applyFill="1"/>
    <xf numFmtId="0" fontId="6" fillId="12" borderId="0" xfId="0" applyFont="1" applyFill="1" applyAlignment="1">
      <alignment horizontal="right"/>
    </xf>
    <xf numFmtId="10" fontId="6" fillId="12" borderId="0" xfId="1" applyNumberFormat="1" applyFont="1" applyFill="1"/>
    <xf numFmtId="0" fontId="9" fillId="12" borderId="0" xfId="0" applyFont="1" applyFill="1"/>
    <xf numFmtId="170" fontId="0" fillId="12" borderId="0" xfId="0" applyNumberFormat="1" applyFill="1"/>
    <xf numFmtId="0" fontId="8" fillId="12" borderId="0" xfId="0" applyFont="1" applyFill="1"/>
    <xf numFmtId="0" fontId="0" fillId="12" borderId="0" xfId="0" applyFill="1"/>
    <xf numFmtId="170" fontId="4" fillId="12" borderId="0" xfId="0" applyNumberFormat="1" applyFont="1" applyFill="1"/>
    <xf numFmtId="0" fontId="4" fillId="12" borderId="0" xfId="0" applyFont="1" applyFill="1" applyAlignment="1">
      <alignment wrapText="1"/>
    </xf>
    <xf numFmtId="165" fontId="4" fillId="12" borderId="0" xfId="0" applyNumberFormat="1" applyFont="1" applyFill="1"/>
    <xf numFmtId="164" fontId="4" fillId="12" borderId="0" xfId="0" applyNumberFormat="1" applyFont="1" applyFill="1"/>
    <xf numFmtId="9" fontId="6" fillId="12" borderId="0" xfId="1" applyFont="1" applyFill="1"/>
    <xf numFmtId="168" fontId="10" fillId="12" borderId="0" xfId="0" applyNumberFormat="1" applyFont="1" applyFill="1"/>
    <xf numFmtId="169" fontId="10" fillId="12" borderId="0" xfId="0" applyNumberFormat="1" applyFont="1" applyFill="1"/>
    <xf numFmtId="168" fontId="9" fillId="12" borderId="0" xfId="0" applyNumberFormat="1" applyFont="1" applyFill="1"/>
    <xf numFmtId="164" fontId="9" fillId="12" borderId="0" xfId="0" applyNumberFormat="1" applyFont="1" applyFill="1"/>
    <xf numFmtId="10" fontId="9" fillId="12" borderId="0" xfId="1" applyNumberFormat="1" applyFont="1" applyFill="1"/>
    <xf numFmtId="169" fontId="9" fillId="12" borderId="0" xfId="0" applyNumberFormat="1" applyFont="1" applyFill="1"/>
    <xf numFmtId="2" fontId="9" fillId="12" borderId="0" xfId="0" applyNumberFormat="1" applyFont="1" applyFill="1"/>
    <xf numFmtId="0" fontId="11" fillId="5" borderId="3" xfId="0" applyFont="1" applyFill="1" applyBorder="1" applyAlignment="1">
      <alignment horizontal="left"/>
    </xf>
    <xf numFmtId="0" fontId="11" fillId="7" borderId="2" xfId="0" applyFont="1" applyFill="1" applyBorder="1" applyAlignment="1">
      <alignment horizontal="left"/>
    </xf>
    <xf numFmtId="0" fontId="11" fillId="7" borderId="3" xfId="0" applyFont="1" applyFill="1" applyBorder="1" applyAlignment="1">
      <alignment horizontal="left"/>
    </xf>
    <xf numFmtId="0" fontId="12" fillId="7" borderId="5" xfId="0" applyFont="1" applyFill="1" applyBorder="1" applyAlignment="1">
      <alignment horizontal="left"/>
    </xf>
    <xf numFmtId="0" fontId="12" fillId="7" borderId="3" xfId="0" applyFont="1" applyFill="1" applyBorder="1" applyAlignment="1">
      <alignment horizontal="left"/>
    </xf>
    <xf numFmtId="0" fontId="11" fillId="7" borderId="4" xfId="0" applyFont="1" applyFill="1" applyBorder="1" applyAlignment="1">
      <alignment horizontal="left"/>
    </xf>
    <xf numFmtId="0" fontId="9" fillId="0" borderId="0" xfId="0" applyFont="1" applyAlignment="1">
      <alignment horizontal="left"/>
    </xf>
    <xf numFmtId="0" fontId="15" fillId="0" borderId="0" xfId="0" applyFont="1"/>
    <xf numFmtId="164" fontId="14" fillId="0" borderId="0" xfId="0" applyNumberFormat="1" applyFont="1"/>
    <xf numFmtId="0" fontId="14" fillId="0" borderId="0" xfId="0" applyFont="1"/>
    <xf numFmtId="170" fontId="14" fillId="0" borderId="0" xfId="0" applyNumberFormat="1" applyFont="1"/>
    <xf numFmtId="0" fontId="14" fillId="0" borderId="0" xfId="0" applyFont="1" applyAlignment="1">
      <alignment wrapText="1"/>
    </xf>
    <xf numFmtId="166" fontId="14" fillId="0" borderId="0" xfId="0" applyNumberFormat="1" applyFont="1"/>
    <xf numFmtId="0" fontId="14" fillId="0" borderId="0" xfId="0" applyFont="1" applyAlignment="1">
      <alignment horizontal="right"/>
    </xf>
    <xf numFmtId="0" fontId="13" fillId="0" borderId="0" xfId="0" applyFont="1"/>
    <xf numFmtId="167" fontId="14" fillId="0" borderId="0" xfId="0" applyNumberFormat="1" applyFont="1"/>
    <xf numFmtId="165" fontId="14" fillId="0" borderId="0" xfId="0" applyNumberFormat="1" applyFont="1"/>
    <xf numFmtId="0" fontId="11" fillId="6" borderId="2" xfId="0" applyFont="1" applyFill="1" applyBorder="1" applyAlignment="1">
      <alignment horizontal="left"/>
    </xf>
    <xf numFmtId="0" fontId="11" fillId="6" borderId="3" xfId="0" applyFont="1" applyFill="1" applyBorder="1" applyAlignment="1">
      <alignment horizontal="left"/>
    </xf>
    <xf numFmtId="0" fontId="11" fillId="4" borderId="2" xfId="0" applyFont="1" applyFill="1" applyBorder="1" applyAlignment="1">
      <alignment horizontal="left"/>
    </xf>
    <xf numFmtId="0" fontId="11" fillId="4" borderId="3" xfId="0" applyFont="1" applyFill="1" applyBorder="1" applyAlignment="1">
      <alignment horizontal="left"/>
    </xf>
    <xf numFmtId="0" fontId="11" fillId="13" borderId="6" xfId="0" applyFont="1" applyFill="1" applyBorder="1" applyAlignment="1">
      <alignment horizontal="left"/>
    </xf>
    <xf numFmtId="0" fontId="11" fillId="13" borderId="2" xfId="0" applyFont="1" applyFill="1" applyBorder="1" applyAlignment="1">
      <alignment horizontal="left"/>
    </xf>
    <xf numFmtId="0" fontId="12" fillId="5" borderId="2" xfId="0" applyFont="1" applyFill="1" applyBorder="1" applyAlignment="1">
      <alignment horizontal="left"/>
    </xf>
    <xf numFmtId="0" fontId="12" fillId="5" borderId="5" xfId="0" applyFont="1" applyFill="1" applyBorder="1" applyAlignment="1">
      <alignment horizontal="left"/>
    </xf>
    <xf numFmtId="0" fontId="2" fillId="11" borderId="5" xfId="0" applyFont="1" applyFill="1" applyBorder="1"/>
    <xf numFmtId="0" fontId="3" fillId="8" borderId="2" xfId="0" applyFont="1" applyFill="1" applyBorder="1"/>
    <xf numFmtId="0" fontId="3" fillId="8" borderId="5" xfId="0" applyFont="1" applyFill="1" applyBorder="1"/>
    <xf numFmtId="0" fontId="3" fillId="8" borderId="7" xfId="0" applyFont="1" applyFill="1" applyBorder="1"/>
    <xf numFmtId="0" fontId="3" fillId="9" borderId="3" xfId="0" applyFont="1" applyFill="1" applyBorder="1"/>
    <xf numFmtId="0" fontId="3" fillId="9" borderId="5" xfId="0" applyFont="1" applyFill="1" applyBorder="1"/>
    <xf numFmtId="0" fontId="2" fillId="11" borderId="3" xfId="0" applyFont="1" applyFill="1" applyBorder="1"/>
    <xf numFmtId="170" fontId="11" fillId="0" borderId="2" xfId="0" applyNumberFormat="1" applyFont="1" applyBorder="1"/>
    <xf numFmtId="170" fontId="12" fillId="2" borderId="3" xfId="0" applyNumberFormat="1" applyFont="1" applyFill="1" applyBorder="1"/>
    <xf numFmtId="170" fontId="11" fillId="0" borderId="3" xfId="0" applyNumberFormat="1" applyFont="1" applyBorder="1"/>
    <xf numFmtId="0" fontId="11" fillId="0" borderId="3" xfId="0" applyFont="1" applyBorder="1"/>
    <xf numFmtId="170" fontId="11" fillId="0" borderId="4" xfId="0" applyNumberFormat="1" applyFont="1" applyBorder="1"/>
  </cellXfs>
  <cellStyles count="2">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diana.danilenko@pik-potsdam.de" id="{FA5638A4-4E7B-41D6-9E99-959231D90D8F}" userId="S::urn:spo:guest#diana.danilenko@pik-potsdam.de::"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39"/>
  <sheetViews>
    <sheetView tabSelected="1" topLeftCell="A4" workbookViewId="0">
      <selection activeCell="A20" sqref="A20:XFD22"/>
    </sheetView>
  </sheetViews>
  <sheetFormatPr baseColWidth="10" defaultColWidth="11" defaultRowHeight="15.5"/>
  <cols>
    <col min="1" max="10" width="11" style="58"/>
    <col min="11" max="11" width="10.58203125" style="58" customWidth="1"/>
    <col min="12" max="12" width="11" style="58"/>
    <col min="13" max="13" width="9" style="58" customWidth="1"/>
    <col min="14" max="33" width="11" style="58"/>
    <col min="34" max="34" width="11.5" style="58" customWidth="1"/>
    <col min="35" max="46" width="11" style="58"/>
    <col min="47" max="47" width="11.58203125" style="58" customWidth="1"/>
    <col min="48" max="54" width="11" style="58"/>
    <col min="55" max="55" width="10.08203125" style="58" customWidth="1"/>
    <col min="56" max="56" width="11.5" style="58" customWidth="1"/>
    <col min="57" max="16384" width="11" style="58"/>
  </cols>
  <sheetData>
    <row r="1" spans="1:90" s="55" customFormat="1" ht="12.75" customHeight="1">
      <c r="A1" s="50" t="s">
        <v>0</v>
      </c>
      <c r="B1" s="51" t="s">
        <v>461</v>
      </c>
      <c r="C1" s="51" t="s">
        <v>1</v>
      </c>
      <c r="D1" s="51" t="s">
        <v>2</v>
      </c>
      <c r="E1" s="52" t="s">
        <v>3</v>
      </c>
      <c r="F1" s="53" t="s">
        <v>4</v>
      </c>
      <c r="G1" s="51" t="s">
        <v>5</v>
      </c>
      <c r="H1" s="54" t="s">
        <v>6</v>
      </c>
      <c r="I1" s="49" t="s">
        <v>7</v>
      </c>
      <c r="J1" s="49" t="s">
        <v>8</v>
      </c>
      <c r="K1" s="49" t="s">
        <v>9</v>
      </c>
      <c r="L1" s="49" t="s">
        <v>10</v>
      </c>
      <c r="M1" s="49" t="s">
        <v>11</v>
      </c>
      <c r="N1" s="49" t="s">
        <v>12</v>
      </c>
      <c r="O1" s="49" t="s">
        <v>13</v>
      </c>
      <c r="P1" s="66" t="s">
        <v>14</v>
      </c>
      <c r="Q1" s="67" t="s">
        <v>15</v>
      </c>
      <c r="R1" s="67" t="s">
        <v>16</v>
      </c>
      <c r="S1" s="67" t="s">
        <v>17</v>
      </c>
      <c r="T1" s="67" t="s">
        <v>18</v>
      </c>
      <c r="U1" s="67" t="s">
        <v>19</v>
      </c>
      <c r="V1" s="67" t="s">
        <v>20</v>
      </c>
      <c r="W1" s="67" t="s">
        <v>21</v>
      </c>
      <c r="X1" s="67" t="s">
        <v>22</v>
      </c>
      <c r="Y1" s="68" t="s">
        <v>23</v>
      </c>
      <c r="Z1" s="69" t="s">
        <v>24</v>
      </c>
      <c r="AA1" s="69" t="s">
        <v>25</v>
      </c>
      <c r="AB1" s="69" t="s">
        <v>26</v>
      </c>
      <c r="AC1" s="69" t="s">
        <v>27</v>
      </c>
      <c r="AD1" s="69" t="s">
        <v>28</v>
      </c>
      <c r="AE1" s="69" t="s">
        <v>29</v>
      </c>
      <c r="AF1" s="69" t="s">
        <v>30</v>
      </c>
      <c r="AG1" s="69" t="s">
        <v>31</v>
      </c>
      <c r="AH1" s="70" t="s">
        <v>32</v>
      </c>
      <c r="AI1" s="70" t="s">
        <v>33</v>
      </c>
      <c r="AJ1" s="70" t="s">
        <v>34</v>
      </c>
      <c r="AK1" s="70" t="s">
        <v>35</v>
      </c>
      <c r="AL1" s="70" t="s">
        <v>36</v>
      </c>
      <c r="AM1" s="70" t="s">
        <v>37</v>
      </c>
      <c r="AN1" s="70" t="s">
        <v>38</v>
      </c>
      <c r="AO1" s="70" t="s">
        <v>39</v>
      </c>
      <c r="AP1" s="71" t="s">
        <v>40</v>
      </c>
      <c r="AQ1" s="50" t="s">
        <v>41</v>
      </c>
      <c r="AR1" s="51" t="s">
        <v>42</v>
      </c>
      <c r="AS1" s="51" t="s">
        <v>43</v>
      </c>
      <c r="AT1" s="51" t="s">
        <v>44</v>
      </c>
      <c r="AU1" s="51" t="s">
        <v>45</v>
      </c>
      <c r="AV1" s="51" t="s">
        <v>46</v>
      </c>
      <c r="AW1" s="52" t="s">
        <v>47</v>
      </c>
      <c r="AX1" s="52" t="s">
        <v>48</v>
      </c>
      <c r="AY1" s="52" t="s">
        <v>49</v>
      </c>
      <c r="AZ1" s="52" t="s">
        <v>50</v>
      </c>
      <c r="BA1" s="52" t="s">
        <v>51</v>
      </c>
      <c r="BB1" s="72" t="s">
        <v>52</v>
      </c>
      <c r="BC1" s="73" t="s">
        <v>53</v>
      </c>
      <c r="BD1" s="73" t="s">
        <v>54</v>
      </c>
      <c r="BE1" s="73" t="s">
        <v>55</v>
      </c>
      <c r="BF1" s="73" t="s">
        <v>56</v>
      </c>
      <c r="BG1" s="73" t="s">
        <v>57</v>
      </c>
      <c r="BH1" s="73" t="s">
        <v>58</v>
      </c>
      <c r="BI1" s="73" t="s">
        <v>59</v>
      </c>
      <c r="BJ1" s="73" t="s">
        <v>60</v>
      </c>
      <c r="BK1" s="73" t="s">
        <v>61</v>
      </c>
      <c r="BL1" s="75" t="s">
        <v>62</v>
      </c>
      <c r="BM1" s="76" t="s">
        <v>63</v>
      </c>
      <c r="BN1" s="77" t="s">
        <v>64</v>
      </c>
      <c r="BO1" s="78" t="s">
        <v>65</v>
      </c>
      <c r="BP1" s="79" t="s">
        <v>66</v>
      </c>
      <c r="BQ1" s="79" t="s">
        <v>67</v>
      </c>
      <c r="BR1" s="79" t="s">
        <v>68</v>
      </c>
      <c r="BS1" s="77" t="s">
        <v>69</v>
      </c>
      <c r="BT1" s="80" t="s">
        <v>70</v>
      </c>
      <c r="BU1" s="74" t="s">
        <v>71</v>
      </c>
      <c r="BV1" s="74" t="s">
        <v>72</v>
      </c>
      <c r="BW1" s="81" t="s">
        <v>73</v>
      </c>
      <c r="BX1" s="82" t="s">
        <v>74</v>
      </c>
      <c r="BY1" s="83" t="s">
        <v>75</v>
      </c>
      <c r="BZ1" s="83" t="s">
        <v>76</v>
      </c>
      <c r="CA1" s="84" t="s">
        <v>77</v>
      </c>
      <c r="CB1" s="84" t="s">
        <v>78</v>
      </c>
      <c r="CC1" s="84" t="s">
        <v>79</v>
      </c>
      <c r="CD1" s="83" t="s">
        <v>80</v>
      </c>
      <c r="CE1" s="82" t="s">
        <v>81</v>
      </c>
      <c r="CF1" s="83" t="s">
        <v>82</v>
      </c>
      <c r="CG1" s="85" t="s">
        <v>83</v>
      </c>
    </row>
    <row r="2" spans="1:90" ht="12.75" customHeight="1">
      <c r="A2" s="27" t="s">
        <v>84</v>
      </c>
      <c r="B2" s="27"/>
      <c r="C2" s="27">
        <v>1501</v>
      </c>
      <c r="D2" s="27">
        <v>501</v>
      </c>
      <c r="E2" s="27" t="s">
        <v>85</v>
      </c>
      <c r="F2" s="27">
        <v>2024</v>
      </c>
      <c r="G2" s="28" t="s">
        <v>86</v>
      </c>
      <c r="H2" s="29" t="s">
        <v>87</v>
      </c>
      <c r="I2" s="27">
        <v>1</v>
      </c>
      <c r="J2" s="27">
        <v>2023</v>
      </c>
      <c r="K2" s="27" t="s">
        <v>88</v>
      </c>
      <c r="L2" s="27">
        <v>3442</v>
      </c>
      <c r="M2" s="27" t="s">
        <v>89</v>
      </c>
      <c r="N2" s="27"/>
      <c r="O2" s="27" t="s">
        <v>90</v>
      </c>
      <c r="P2" s="27" t="s">
        <v>91</v>
      </c>
      <c r="Q2" s="27"/>
      <c r="R2" s="27"/>
      <c r="S2" s="27"/>
      <c r="T2" s="27"/>
      <c r="U2" s="27"/>
      <c r="V2" s="27"/>
      <c r="W2" s="27"/>
      <c r="X2" s="27" t="s">
        <v>92</v>
      </c>
      <c r="Y2" s="27"/>
      <c r="Z2" s="27"/>
      <c r="AA2" s="27"/>
      <c r="AB2" s="27"/>
      <c r="AC2" s="27"/>
      <c r="AD2" s="27"/>
      <c r="AE2" s="27"/>
      <c r="AF2" s="27"/>
      <c r="AG2" s="27"/>
      <c r="AH2" s="27"/>
      <c r="AI2" s="27"/>
      <c r="AJ2" s="27"/>
      <c r="AK2" s="27"/>
      <c r="AL2" s="27"/>
      <c r="AM2" s="27"/>
      <c r="AN2" s="27"/>
      <c r="AO2" s="27"/>
      <c r="AP2" s="27"/>
      <c r="AQ2" s="27"/>
      <c r="AR2" s="27"/>
      <c r="AS2" s="27"/>
      <c r="AT2" s="27"/>
      <c r="AU2" s="31"/>
      <c r="AV2" s="27"/>
      <c r="AW2" s="27"/>
      <c r="AX2" s="27"/>
      <c r="AY2" s="27"/>
      <c r="AZ2" s="27"/>
      <c r="BA2" s="32"/>
      <c r="BB2" s="27"/>
      <c r="BC2" s="27"/>
      <c r="BD2" s="27"/>
      <c r="BE2" s="27"/>
      <c r="BF2" s="27"/>
      <c r="BG2" s="27"/>
      <c r="BH2" s="28"/>
      <c r="BI2" s="28"/>
      <c r="BJ2" s="27"/>
      <c r="BK2" s="27"/>
      <c r="BL2" s="27"/>
      <c r="BM2" s="27"/>
      <c r="BN2" s="27"/>
      <c r="BO2" s="27"/>
      <c r="BP2" s="27"/>
      <c r="BQ2" s="27"/>
      <c r="BR2" s="27"/>
      <c r="BS2" s="27"/>
      <c r="BT2" s="34"/>
      <c r="BU2" s="34"/>
      <c r="BV2" s="34"/>
      <c r="BW2" s="34"/>
      <c r="BX2" s="35"/>
      <c r="BY2" s="36"/>
      <c r="BZ2" s="35"/>
      <c r="CA2" s="34"/>
      <c r="CB2" s="34"/>
      <c r="CC2" s="34"/>
      <c r="CD2" s="34"/>
      <c r="CE2" s="37"/>
      <c r="CF2" s="37"/>
      <c r="CG2" s="30"/>
      <c r="CH2" s="30"/>
      <c r="CI2" s="30"/>
    </row>
    <row r="3" spans="1:90" ht="12.75" customHeight="1">
      <c r="A3" s="4" t="s">
        <v>84</v>
      </c>
      <c r="B3" s="4"/>
      <c r="C3" s="4">
        <v>1503</v>
      </c>
      <c r="D3" s="4">
        <v>503</v>
      </c>
      <c r="E3" s="4" t="s">
        <v>462</v>
      </c>
      <c r="F3" s="4">
        <v>2024</v>
      </c>
      <c r="G3" s="1" t="s">
        <v>93</v>
      </c>
      <c r="H3" s="2" t="s">
        <v>94</v>
      </c>
      <c r="I3" s="4">
        <v>1</v>
      </c>
      <c r="J3" s="4" t="s">
        <v>95</v>
      </c>
      <c r="K3" s="4" t="s">
        <v>92</v>
      </c>
      <c r="L3" s="4">
        <v>10</v>
      </c>
      <c r="M3" s="4" t="s">
        <v>96</v>
      </c>
      <c r="N3" s="1" t="s">
        <v>97</v>
      </c>
      <c r="O3" s="4" t="s">
        <v>98</v>
      </c>
      <c r="P3" s="4" t="s">
        <v>99</v>
      </c>
      <c r="Q3" s="1" t="s">
        <v>100</v>
      </c>
      <c r="R3" s="4" t="s">
        <v>101</v>
      </c>
      <c r="S3" s="4">
        <v>0</v>
      </c>
      <c r="T3" s="4">
        <v>1</v>
      </c>
      <c r="U3" s="4">
        <v>0</v>
      </c>
      <c r="V3" s="4" t="s">
        <v>102</v>
      </c>
      <c r="W3" s="4" t="s">
        <v>102</v>
      </c>
      <c r="X3" s="4" t="s">
        <v>103</v>
      </c>
      <c r="Y3" s="4">
        <v>0</v>
      </c>
      <c r="Z3" s="4">
        <v>0</v>
      </c>
      <c r="AA3" s="4">
        <v>0</v>
      </c>
      <c r="AB3" s="4">
        <v>1</v>
      </c>
      <c r="AC3" s="4">
        <v>0</v>
      </c>
      <c r="AD3" s="4">
        <v>0</v>
      </c>
      <c r="AE3" s="4">
        <v>0</v>
      </c>
      <c r="AF3" s="4">
        <v>0</v>
      </c>
      <c r="AG3" s="4" t="s">
        <v>104</v>
      </c>
      <c r="AH3" s="4">
        <v>0</v>
      </c>
      <c r="AI3" s="4">
        <v>0</v>
      </c>
      <c r="AJ3" s="4">
        <v>0</v>
      </c>
      <c r="AK3" s="4">
        <v>0</v>
      </c>
      <c r="AL3" s="4">
        <v>0</v>
      </c>
      <c r="AM3" s="4">
        <v>1</v>
      </c>
      <c r="AN3" s="4">
        <v>0</v>
      </c>
      <c r="AO3" s="4">
        <v>0</v>
      </c>
      <c r="AP3" s="4">
        <v>0</v>
      </c>
      <c r="AQ3" s="1" t="s">
        <v>92</v>
      </c>
      <c r="AR3" s="1" t="s">
        <v>92</v>
      </c>
      <c r="AS3" s="1" t="s">
        <v>105</v>
      </c>
      <c r="AT3" s="4" t="s">
        <v>92</v>
      </c>
      <c r="AU3" s="5">
        <v>7.5590000000000002</v>
      </c>
      <c r="AV3" s="6" t="s">
        <v>106</v>
      </c>
      <c r="AW3" s="4">
        <f>AU3/AZ3</f>
        <v>2.1846820809248557</v>
      </c>
      <c r="AX3" s="4">
        <v>1E-3</v>
      </c>
      <c r="AY3" s="4" t="s">
        <v>107</v>
      </c>
      <c r="AZ3" s="4">
        <f>3.46</f>
        <v>3.46</v>
      </c>
      <c r="BA3" s="4" t="s">
        <v>92</v>
      </c>
      <c r="BB3" s="4" t="s">
        <v>92</v>
      </c>
      <c r="BC3" s="4" t="s">
        <v>92</v>
      </c>
      <c r="BD3" s="4" t="s">
        <v>92</v>
      </c>
      <c r="BE3" s="4" t="s">
        <v>92</v>
      </c>
      <c r="BF3" s="4" t="s">
        <v>92</v>
      </c>
      <c r="BG3" s="4" t="s">
        <v>92</v>
      </c>
      <c r="BH3" s="4">
        <v>64</v>
      </c>
      <c r="BI3" s="4">
        <v>65</v>
      </c>
      <c r="BJ3" s="4" t="s">
        <v>92</v>
      </c>
      <c r="BK3" s="4" t="s">
        <v>92</v>
      </c>
      <c r="BL3" s="4" t="s">
        <v>92</v>
      </c>
      <c r="BM3" s="4" t="s">
        <v>92</v>
      </c>
      <c r="BN3" s="4" t="s">
        <v>92</v>
      </c>
      <c r="BO3" s="4" t="s">
        <v>92</v>
      </c>
      <c r="BP3" s="4" t="s">
        <v>92</v>
      </c>
      <c r="BQ3" s="4" t="s">
        <v>92</v>
      </c>
      <c r="BR3" s="4" t="s">
        <v>92</v>
      </c>
      <c r="BS3" s="4" t="s">
        <v>92</v>
      </c>
      <c r="BT3" s="4">
        <v>1</v>
      </c>
      <c r="BU3" s="4">
        <v>1</v>
      </c>
      <c r="BV3" s="4">
        <v>1</v>
      </c>
      <c r="BW3" s="22">
        <f>((AZ3^2)/(AZ3^2+BH3))^(1/2)</f>
        <v>0.39696339600297903</v>
      </c>
      <c r="BX3" s="22">
        <f>0.5*LN((1+BW3)/(1-BW3))</f>
        <v>0.42003912951194639</v>
      </c>
      <c r="BY3" s="22">
        <f>((1-(BX3^2)^2)/(BH3-1))</f>
        <v>1.5378911782067285E-2</v>
      </c>
      <c r="BZ3" s="22">
        <f>1/(BH3-3)</f>
        <v>1.6393442622950821E-2</v>
      </c>
      <c r="CA3" s="16" t="s">
        <v>92</v>
      </c>
      <c r="CB3" s="16">
        <f>BH3-2</f>
        <v>62</v>
      </c>
      <c r="CC3" s="16" t="s">
        <v>92</v>
      </c>
      <c r="CD3" s="22">
        <f>((AZ3^2)/(AZ3^2+BI3))^(1/2)</f>
        <v>0.39437633039922815</v>
      </c>
      <c r="CE3" s="22">
        <f>0.5*LN((1+CD3)/(1-CD3))</f>
        <v>0.41697186670001557</v>
      </c>
      <c r="CF3" s="22">
        <f>((1-(CE3^2)^2)/(BI3-1))</f>
        <v>1.515266835669302E-2</v>
      </c>
      <c r="CG3" s="22">
        <f>1/(BI3-3)</f>
        <v>1.6129032258064516E-2</v>
      </c>
      <c r="CH3" s="16"/>
      <c r="CI3" s="16"/>
      <c r="CJ3" s="16"/>
      <c r="CK3" s="1"/>
      <c r="CL3" s="1"/>
    </row>
    <row r="4" spans="1:90" ht="12.75" customHeight="1">
      <c r="A4" s="4" t="s">
        <v>84</v>
      </c>
      <c r="B4" s="4"/>
      <c r="C4" s="4">
        <v>1512</v>
      </c>
      <c r="D4" s="4">
        <v>505</v>
      </c>
      <c r="E4" s="4" t="s">
        <v>463</v>
      </c>
      <c r="F4" s="4">
        <v>2025</v>
      </c>
      <c r="G4" s="1" t="s">
        <v>108</v>
      </c>
      <c r="H4" s="2" t="s">
        <v>109</v>
      </c>
      <c r="I4" s="4">
        <v>1</v>
      </c>
      <c r="J4" s="1" t="s">
        <v>110</v>
      </c>
      <c r="K4" s="4" t="s">
        <v>92</v>
      </c>
      <c r="L4" s="4">
        <v>6</v>
      </c>
      <c r="M4" s="4" t="s">
        <v>111</v>
      </c>
      <c r="N4" s="1" t="s">
        <v>112</v>
      </c>
      <c r="O4" s="4" t="s">
        <v>113</v>
      </c>
      <c r="P4" s="4" t="s">
        <v>99</v>
      </c>
      <c r="Q4" s="1" t="s">
        <v>100</v>
      </c>
      <c r="R4" s="1" t="s">
        <v>101</v>
      </c>
      <c r="S4" s="1">
        <v>0</v>
      </c>
      <c r="T4" s="1">
        <v>0</v>
      </c>
      <c r="U4" s="1">
        <v>0</v>
      </c>
      <c r="V4" s="4" t="s">
        <v>114</v>
      </c>
      <c r="W4" s="4" t="s">
        <v>114</v>
      </c>
      <c r="X4" s="4" t="s">
        <v>92</v>
      </c>
      <c r="Y4" s="4">
        <v>0</v>
      </c>
      <c r="Z4" s="4">
        <v>0</v>
      </c>
      <c r="AA4" s="4">
        <v>1</v>
      </c>
      <c r="AB4" s="4">
        <v>0</v>
      </c>
      <c r="AC4" s="4">
        <v>0</v>
      </c>
      <c r="AD4" s="4">
        <v>0</v>
      </c>
      <c r="AE4" s="4">
        <v>0</v>
      </c>
      <c r="AF4" s="4">
        <v>0</v>
      </c>
      <c r="AG4" s="1" t="s">
        <v>92</v>
      </c>
      <c r="AH4" s="4">
        <v>0</v>
      </c>
      <c r="AI4" s="4">
        <v>0</v>
      </c>
      <c r="AJ4" s="4">
        <v>0</v>
      </c>
      <c r="AK4" s="4">
        <v>0</v>
      </c>
      <c r="AL4" s="4">
        <v>0</v>
      </c>
      <c r="AM4" s="4">
        <v>0</v>
      </c>
      <c r="AN4" s="4">
        <v>0</v>
      </c>
      <c r="AO4" s="4">
        <v>1</v>
      </c>
      <c r="AP4" s="4">
        <v>0</v>
      </c>
      <c r="AQ4" s="1" t="s">
        <v>92</v>
      </c>
      <c r="AR4" s="1" t="s">
        <v>92</v>
      </c>
      <c r="AS4" s="1" t="s">
        <v>115</v>
      </c>
      <c r="AT4" s="4" t="s">
        <v>116</v>
      </c>
      <c r="AU4" s="7">
        <v>0.21099999999999999</v>
      </c>
      <c r="AV4" s="4" t="s">
        <v>117</v>
      </c>
      <c r="AW4" s="1">
        <v>0.09</v>
      </c>
      <c r="AX4" s="1">
        <v>0.05</v>
      </c>
      <c r="AY4" s="1" t="s">
        <v>118</v>
      </c>
      <c r="AZ4" s="1">
        <f>AU4/AW4</f>
        <v>2.3444444444444446</v>
      </c>
      <c r="BA4" s="4" t="s">
        <v>92</v>
      </c>
      <c r="BB4" s="1" t="s">
        <v>92</v>
      </c>
      <c r="BC4" s="1" t="s">
        <v>92</v>
      </c>
      <c r="BD4" s="1" t="s">
        <v>92</v>
      </c>
      <c r="BE4" s="1" t="s">
        <v>92</v>
      </c>
      <c r="BF4" s="1" t="s">
        <v>92</v>
      </c>
      <c r="BG4" s="1" t="s">
        <v>92</v>
      </c>
      <c r="BH4" s="1">
        <v>763</v>
      </c>
      <c r="BI4" s="1">
        <v>763</v>
      </c>
      <c r="BJ4" s="1" t="s">
        <v>92</v>
      </c>
      <c r="BK4" s="1" t="s">
        <v>92</v>
      </c>
      <c r="BL4" s="1" t="s">
        <v>92</v>
      </c>
      <c r="BM4" s="1" t="s">
        <v>92</v>
      </c>
      <c r="BN4" s="1" t="s">
        <v>92</v>
      </c>
      <c r="BO4" s="1" t="s">
        <v>92</v>
      </c>
      <c r="BP4" s="1" t="s">
        <v>92</v>
      </c>
      <c r="BQ4" s="1" t="s">
        <v>92</v>
      </c>
      <c r="BR4" s="1" t="s">
        <v>92</v>
      </c>
      <c r="BS4" s="1" t="s">
        <v>92</v>
      </c>
      <c r="BT4" s="4">
        <v>1</v>
      </c>
      <c r="BU4" s="4">
        <v>0</v>
      </c>
      <c r="BV4" s="4">
        <v>1</v>
      </c>
      <c r="BW4" s="22">
        <f>((AZ4^2)/(AZ4^2+BH4))^(1/2)</f>
        <v>8.4570524016228527E-2</v>
      </c>
      <c r="BX4" s="22">
        <f>0.5*LN((1+BW4)/(1-BW4))</f>
        <v>8.4773014699373719E-2</v>
      </c>
      <c r="BY4" s="22">
        <f>((1-(BX4^2)^2)/(BH4-1))</f>
        <v>1.3122681820667609E-3</v>
      </c>
      <c r="BZ4" s="22">
        <f>1/(BH4-3)</f>
        <v>1.3157894736842105E-3</v>
      </c>
      <c r="CA4" s="16" t="s">
        <v>92</v>
      </c>
      <c r="CB4" s="16">
        <f>BH4-2</f>
        <v>761</v>
      </c>
      <c r="CC4" s="16" t="s">
        <v>92</v>
      </c>
      <c r="CD4" s="22">
        <f>((AZ4^2)/(AZ4^2+BI4))^(1/2)</f>
        <v>8.4570524016228527E-2</v>
      </c>
      <c r="CE4" s="22">
        <f>0.5*LN((1+CD4)/(1-CD4))</f>
        <v>8.4773014699373719E-2</v>
      </c>
      <c r="CF4" s="22">
        <f>((1-(CE4^2)^2)/(BI4-1))</f>
        <v>1.3122681820667609E-3</v>
      </c>
      <c r="CG4" s="22">
        <f>1/(BI4-3)</f>
        <v>1.3157894736842105E-3</v>
      </c>
      <c r="CH4" s="16"/>
      <c r="CI4" s="16"/>
      <c r="CJ4" s="16"/>
      <c r="CK4" s="1"/>
      <c r="CL4" s="1"/>
    </row>
    <row r="5" spans="1:90" ht="12.75" customHeight="1">
      <c r="A5" s="4" t="s">
        <v>84</v>
      </c>
      <c r="B5" s="4"/>
      <c r="C5" s="4">
        <v>1513</v>
      </c>
      <c r="D5" s="4">
        <v>505</v>
      </c>
      <c r="E5" s="4" t="s">
        <v>463</v>
      </c>
      <c r="F5" s="4">
        <v>2025</v>
      </c>
      <c r="G5" s="1" t="s">
        <v>108</v>
      </c>
      <c r="H5" s="2" t="s">
        <v>109</v>
      </c>
      <c r="I5" s="4">
        <v>1</v>
      </c>
      <c r="J5" s="1" t="s">
        <v>110</v>
      </c>
      <c r="K5" s="4" t="s">
        <v>92</v>
      </c>
      <c r="L5" s="4">
        <v>6</v>
      </c>
      <c r="M5" s="4" t="s">
        <v>111</v>
      </c>
      <c r="N5" s="1" t="s">
        <v>112</v>
      </c>
      <c r="O5" s="4" t="s">
        <v>113</v>
      </c>
      <c r="P5" s="4" t="s">
        <v>99</v>
      </c>
      <c r="Q5" s="1" t="s">
        <v>100</v>
      </c>
      <c r="R5" s="1" t="s">
        <v>101</v>
      </c>
      <c r="S5" s="1">
        <v>0</v>
      </c>
      <c r="T5" s="1">
        <v>0</v>
      </c>
      <c r="U5" s="1">
        <v>0</v>
      </c>
      <c r="V5" s="4" t="s">
        <v>114</v>
      </c>
      <c r="W5" s="4" t="s">
        <v>114</v>
      </c>
      <c r="X5" s="4" t="s">
        <v>92</v>
      </c>
      <c r="Y5" s="4">
        <v>0</v>
      </c>
      <c r="Z5" s="4">
        <v>0</v>
      </c>
      <c r="AA5" s="4">
        <v>1</v>
      </c>
      <c r="AB5" s="4">
        <v>0</v>
      </c>
      <c r="AC5" s="4">
        <v>0</v>
      </c>
      <c r="AD5" s="4">
        <v>0</v>
      </c>
      <c r="AE5" s="4">
        <v>0</v>
      </c>
      <c r="AF5" s="4">
        <v>0</v>
      </c>
      <c r="AG5" s="1" t="s">
        <v>92</v>
      </c>
      <c r="AH5" s="4">
        <v>0</v>
      </c>
      <c r="AI5" s="4">
        <v>0</v>
      </c>
      <c r="AJ5" s="4">
        <v>0</v>
      </c>
      <c r="AK5" s="4">
        <v>1</v>
      </c>
      <c r="AL5" s="4">
        <v>0</v>
      </c>
      <c r="AM5" s="4">
        <v>0</v>
      </c>
      <c r="AN5" s="4">
        <v>0</v>
      </c>
      <c r="AO5" s="4">
        <v>0</v>
      </c>
      <c r="AP5" s="4">
        <v>0</v>
      </c>
      <c r="AQ5" s="1" t="s">
        <v>92</v>
      </c>
      <c r="AR5" s="1" t="s">
        <v>92</v>
      </c>
      <c r="AS5" s="1" t="s">
        <v>115</v>
      </c>
      <c r="AT5" s="4" t="s">
        <v>116</v>
      </c>
      <c r="AU5" s="7">
        <v>0.127</v>
      </c>
      <c r="AV5" s="4" t="s">
        <v>106</v>
      </c>
      <c r="AW5" s="1">
        <v>7.4999999999999997E-2</v>
      </c>
      <c r="AX5" s="1">
        <v>0.1</v>
      </c>
      <c r="AY5" s="1" t="s">
        <v>118</v>
      </c>
      <c r="AZ5" s="1">
        <f>AU5/AW5</f>
        <v>1.6933333333333334</v>
      </c>
      <c r="BA5" s="4" t="s">
        <v>92</v>
      </c>
      <c r="BB5" s="1" t="s">
        <v>92</v>
      </c>
      <c r="BC5" s="1" t="s">
        <v>92</v>
      </c>
      <c r="BD5" s="1" t="s">
        <v>92</v>
      </c>
      <c r="BE5" s="1" t="s">
        <v>92</v>
      </c>
      <c r="BF5" s="1" t="s">
        <v>92</v>
      </c>
      <c r="BG5" s="1" t="s">
        <v>92</v>
      </c>
      <c r="BH5" s="1">
        <v>1579</v>
      </c>
      <c r="BI5" s="1">
        <v>1579</v>
      </c>
      <c r="BJ5" s="1" t="s">
        <v>92</v>
      </c>
      <c r="BK5" s="1" t="s">
        <v>92</v>
      </c>
      <c r="BL5" s="1" t="s">
        <v>92</v>
      </c>
      <c r="BM5" s="1" t="s">
        <v>92</v>
      </c>
      <c r="BN5" s="1" t="s">
        <v>92</v>
      </c>
      <c r="BO5" s="1" t="s">
        <v>92</v>
      </c>
      <c r="BP5" s="1" t="s">
        <v>92</v>
      </c>
      <c r="BQ5" s="1" t="s">
        <v>92</v>
      </c>
      <c r="BR5" s="1" t="s">
        <v>92</v>
      </c>
      <c r="BS5" s="1" t="s">
        <v>92</v>
      </c>
      <c r="BT5" s="4">
        <v>1</v>
      </c>
      <c r="BU5" s="4">
        <v>0</v>
      </c>
      <c r="BV5" s="4">
        <v>1</v>
      </c>
      <c r="BW5" s="22">
        <f>((AZ5^2)/(AZ5^2+BH5))^(1/2)</f>
        <v>4.2575271158839655E-2</v>
      </c>
      <c r="BX5" s="22">
        <f>0.5*LN((1+BW5)/(1-BW5))</f>
        <v>4.2601023914277648E-2</v>
      </c>
      <c r="BY5" s="22">
        <f>((1-(BX5^2)^2)/(BH5-1))</f>
        <v>6.3371147422655312E-4</v>
      </c>
      <c r="BZ5" s="22">
        <f>1/(BH5-3)</f>
        <v>6.3451776649746188E-4</v>
      </c>
      <c r="CA5" s="16" t="s">
        <v>92</v>
      </c>
      <c r="CB5" s="16">
        <f>BH5-2</f>
        <v>1577</v>
      </c>
      <c r="CC5" s="16" t="s">
        <v>92</v>
      </c>
      <c r="CD5" s="22">
        <f>((AZ5^2)/(AZ5^2+BI5))^(1/2)</f>
        <v>4.2575271158839655E-2</v>
      </c>
      <c r="CE5" s="22">
        <f>0.5*LN((1+CD5)/(1-CD5))</f>
        <v>4.2601023914277648E-2</v>
      </c>
      <c r="CF5" s="22">
        <f>((1-(CE5^2)^2)/(BI5-1))</f>
        <v>6.3371147422655312E-4</v>
      </c>
      <c r="CG5" s="22">
        <f>1/(BI5-3)</f>
        <v>6.3451776649746188E-4</v>
      </c>
      <c r="CH5" s="16"/>
      <c r="CI5" s="16"/>
      <c r="CJ5" s="16"/>
      <c r="CK5" s="1"/>
      <c r="CL5" s="1"/>
    </row>
    <row r="6" spans="1:90" ht="12.75" customHeight="1">
      <c r="A6" s="4" t="s">
        <v>84</v>
      </c>
      <c r="B6" s="4"/>
      <c r="C6" s="4">
        <v>1514</v>
      </c>
      <c r="D6" s="4">
        <v>505</v>
      </c>
      <c r="E6" s="4" t="s">
        <v>463</v>
      </c>
      <c r="F6" s="4">
        <v>2025</v>
      </c>
      <c r="G6" s="1" t="s">
        <v>108</v>
      </c>
      <c r="H6" s="2" t="s">
        <v>109</v>
      </c>
      <c r="I6" s="4">
        <v>1</v>
      </c>
      <c r="J6" s="1" t="s">
        <v>110</v>
      </c>
      <c r="K6" s="4" t="s">
        <v>92</v>
      </c>
      <c r="L6" s="4">
        <v>6</v>
      </c>
      <c r="M6" s="4" t="s">
        <v>111</v>
      </c>
      <c r="N6" s="1" t="s">
        <v>112</v>
      </c>
      <c r="O6" s="4" t="s">
        <v>113</v>
      </c>
      <c r="P6" s="4" t="s">
        <v>99</v>
      </c>
      <c r="Q6" s="1" t="s">
        <v>100</v>
      </c>
      <c r="R6" s="1" t="s">
        <v>101</v>
      </c>
      <c r="S6" s="1">
        <v>0</v>
      </c>
      <c r="T6" s="1">
        <v>0</v>
      </c>
      <c r="U6" s="1">
        <v>0</v>
      </c>
      <c r="V6" s="4" t="s">
        <v>114</v>
      </c>
      <c r="W6" s="4" t="s">
        <v>114</v>
      </c>
      <c r="X6" s="4" t="s">
        <v>92</v>
      </c>
      <c r="Y6" s="4">
        <v>0</v>
      </c>
      <c r="Z6" s="4">
        <v>0</v>
      </c>
      <c r="AA6" s="4">
        <v>1</v>
      </c>
      <c r="AB6" s="4">
        <v>0</v>
      </c>
      <c r="AC6" s="4">
        <v>0</v>
      </c>
      <c r="AD6" s="4">
        <v>0</v>
      </c>
      <c r="AE6" s="4">
        <v>0</v>
      </c>
      <c r="AF6" s="4">
        <v>0</v>
      </c>
      <c r="AG6" s="1" t="s">
        <v>92</v>
      </c>
      <c r="AH6" s="4">
        <v>1</v>
      </c>
      <c r="AI6" s="4">
        <v>0</v>
      </c>
      <c r="AJ6" s="4">
        <v>0</v>
      </c>
      <c r="AK6" s="4">
        <v>0</v>
      </c>
      <c r="AL6" s="4">
        <v>0</v>
      </c>
      <c r="AM6" s="4">
        <v>0</v>
      </c>
      <c r="AN6" s="4">
        <v>0</v>
      </c>
      <c r="AO6" s="4">
        <v>0</v>
      </c>
      <c r="AP6" s="4">
        <v>0</v>
      </c>
      <c r="AQ6" s="1" t="s">
        <v>92</v>
      </c>
      <c r="AR6" s="1" t="s">
        <v>92</v>
      </c>
      <c r="AS6" s="1" t="s">
        <v>115</v>
      </c>
      <c r="AT6" s="4" t="s">
        <v>116</v>
      </c>
      <c r="AU6" s="7">
        <v>0.19700000000000001</v>
      </c>
      <c r="AV6" s="4" t="s">
        <v>117</v>
      </c>
      <c r="AW6" s="1">
        <v>6.6000000000000003E-2</v>
      </c>
      <c r="AX6" s="1">
        <v>0.01</v>
      </c>
      <c r="AY6" s="1" t="s">
        <v>118</v>
      </c>
      <c r="AZ6" s="1">
        <f>AU6/AW6</f>
        <v>2.9848484848484849</v>
      </c>
      <c r="BA6" s="4" t="s">
        <v>92</v>
      </c>
      <c r="BB6" s="1" t="s">
        <v>92</v>
      </c>
      <c r="BC6" s="1" t="s">
        <v>92</v>
      </c>
      <c r="BD6" s="1" t="s">
        <v>92</v>
      </c>
      <c r="BE6" s="1" t="s">
        <v>92</v>
      </c>
      <c r="BF6" s="1" t="s">
        <v>92</v>
      </c>
      <c r="BG6" s="1" t="s">
        <v>92</v>
      </c>
      <c r="BH6" s="1">
        <v>1488</v>
      </c>
      <c r="BI6" s="1">
        <v>1488</v>
      </c>
      <c r="BJ6" s="1" t="s">
        <v>92</v>
      </c>
      <c r="BK6" s="1" t="s">
        <v>92</v>
      </c>
      <c r="BL6" s="1" t="s">
        <v>92</v>
      </c>
      <c r="BM6" s="1" t="s">
        <v>92</v>
      </c>
      <c r="BN6" s="1" t="s">
        <v>92</v>
      </c>
      <c r="BO6" s="1" t="s">
        <v>92</v>
      </c>
      <c r="BP6" s="1" t="s">
        <v>92</v>
      </c>
      <c r="BQ6" s="1" t="s">
        <v>92</v>
      </c>
      <c r="BR6" s="1" t="s">
        <v>92</v>
      </c>
      <c r="BS6" s="1" t="s">
        <v>92</v>
      </c>
      <c r="BT6" s="4">
        <v>1</v>
      </c>
      <c r="BU6" s="4">
        <v>0</v>
      </c>
      <c r="BV6" s="4">
        <v>1</v>
      </c>
      <c r="BW6" s="22">
        <f>((AZ6^2)/(AZ6^2+BH6))^(1/2)</f>
        <v>7.7147977359791953E-2</v>
      </c>
      <c r="BX6" s="22">
        <f>0.5*LN((1+BW6)/(1-BW6))</f>
        <v>7.7301582984590278E-2</v>
      </c>
      <c r="BY6" s="22">
        <f>((1-(BX6^2)^2)/(BH6-1))</f>
        <v>6.7247094350011266E-4</v>
      </c>
      <c r="BZ6" s="22">
        <f>1/(BH6-3)</f>
        <v>6.7340067340067344E-4</v>
      </c>
      <c r="CA6" s="16" t="s">
        <v>92</v>
      </c>
      <c r="CB6" s="16">
        <f>BH6-2</f>
        <v>1486</v>
      </c>
      <c r="CC6" s="16" t="s">
        <v>92</v>
      </c>
      <c r="CD6" s="22">
        <f>((AZ6^2)/(AZ6^2+BI6))^(1/2)</f>
        <v>7.7147977359791953E-2</v>
      </c>
      <c r="CE6" s="22">
        <f>0.5*LN((1+CD6)/(1-CD6))</f>
        <v>7.7301582984590278E-2</v>
      </c>
      <c r="CF6" s="22">
        <f>((1-(CE6^2)^2)/(BI6-1))</f>
        <v>6.7247094350011266E-4</v>
      </c>
      <c r="CG6" s="22">
        <f>1/(BI6-3)</f>
        <v>6.7340067340067344E-4</v>
      </c>
      <c r="CH6" s="16"/>
      <c r="CI6" s="16"/>
      <c r="CJ6" s="16"/>
      <c r="CK6" s="1"/>
      <c r="CL6" s="1"/>
    </row>
    <row r="7" spans="1:90" ht="12.75" customHeight="1">
      <c r="A7" s="4" t="s">
        <v>84</v>
      </c>
      <c r="B7" s="4"/>
      <c r="C7" s="4">
        <v>1515</v>
      </c>
      <c r="D7" s="4">
        <v>505</v>
      </c>
      <c r="E7" s="4" t="s">
        <v>463</v>
      </c>
      <c r="F7" s="4">
        <v>2025</v>
      </c>
      <c r="G7" s="1" t="s">
        <v>108</v>
      </c>
      <c r="H7" s="2" t="s">
        <v>109</v>
      </c>
      <c r="I7" s="4">
        <v>1</v>
      </c>
      <c r="J7" s="1" t="s">
        <v>110</v>
      </c>
      <c r="K7" s="4" t="s">
        <v>92</v>
      </c>
      <c r="L7" s="4">
        <v>6</v>
      </c>
      <c r="M7" s="4" t="s">
        <v>111</v>
      </c>
      <c r="N7" s="1" t="s">
        <v>112</v>
      </c>
      <c r="O7" s="4" t="s">
        <v>113</v>
      </c>
      <c r="P7" s="4" t="s">
        <v>99</v>
      </c>
      <c r="Q7" s="1" t="s">
        <v>100</v>
      </c>
      <c r="R7" s="1" t="s">
        <v>101</v>
      </c>
      <c r="S7" s="1">
        <v>0</v>
      </c>
      <c r="T7" s="1">
        <v>0</v>
      </c>
      <c r="U7" s="1">
        <v>0</v>
      </c>
      <c r="V7" s="4" t="s">
        <v>114</v>
      </c>
      <c r="W7" s="4" t="s">
        <v>114</v>
      </c>
      <c r="X7" s="4" t="s">
        <v>92</v>
      </c>
      <c r="Y7" s="4">
        <v>0</v>
      </c>
      <c r="Z7" s="4">
        <v>0</v>
      </c>
      <c r="AA7" s="4">
        <v>1</v>
      </c>
      <c r="AB7" s="4">
        <v>0</v>
      </c>
      <c r="AC7" s="4">
        <v>0</v>
      </c>
      <c r="AD7" s="4">
        <v>0</v>
      </c>
      <c r="AE7" s="4">
        <v>0</v>
      </c>
      <c r="AF7" s="4">
        <v>0</v>
      </c>
      <c r="AG7" s="1" t="s">
        <v>92</v>
      </c>
      <c r="AH7" s="4">
        <v>0</v>
      </c>
      <c r="AI7" s="4">
        <v>0</v>
      </c>
      <c r="AJ7" s="4">
        <v>0</v>
      </c>
      <c r="AK7" s="4">
        <v>0</v>
      </c>
      <c r="AL7" s="4">
        <v>0</v>
      </c>
      <c r="AM7" s="4">
        <v>0</v>
      </c>
      <c r="AN7" s="4">
        <v>0</v>
      </c>
      <c r="AO7" s="4">
        <v>0</v>
      </c>
      <c r="AP7" s="4">
        <v>1</v>
      </c>
      <c r="AQ7" s="1" t="s">
        <v>92</v>
      </c>
      <c r="AR7" s="1" t="s">
        <v>92</v>
      </c>
      <c r="AS7" s="1" t="s">
        <v>115</v>
      </c>
      <c r="AT7" s="4" t="s">
        <v>116</v>
      </c>
      <c r="AU7" s="7">
        <v>0.13800000000000001</v>
      </c>
      <c r="AV7" s="4" t="s">
        <v>117</v>
      </c>
      <c r="AW7" s="1">
        <v>6.6000000000000003E-2</v>
      </c>
      <c r="AX7" s="1">
        <v>0.05</v>
      </c>
      <c r="AY7" s="1" t="s">
        <v>118</v>
      </c>
      <c r="AZ7" s="1">
        <f>AU7/AW7</f>
        <v>2.0909090909090908</v>
      </c>
      <c r="BA7" s="4" t="s">
        <v>92</v>
      </c>
      <c r="BB7" s="1" t="s">
        <v>92</v>
      </c>
      <c r="BC7" s="1" t="s">
        <v>92</v>
      </c>
      <c r="BD7" s="1" t="s">
        <v>92</v>
      </c>
      <c r="BE7" s="1" t="s">
        <v>92</v>
      </c>
      <c r="BF7" s="1" t="s">
        <v>92</v>
      </c>
      <c r="BG7" s="1" t="s">
        <v>92</v>
      </c>
      <c r="BH7" s="1">
        <v>1772</v>
      </c>
      <c r="BI7" s="1">
        <v>1772</v>
      </c>
      <c r="BJ7" s="1" t="s">
        <v>92</v>
      </c>
      <c r="BK7" s="1" t="s">
        <v>92</v>
      </c>
      <c r="BL7" s="1" t="s">
        <v>92</v>
      </c>
      <c r="BM7" s="1" t="s">
        <v>92</v>
      </c>
      <c r="BN7" s="1" t="s">
        <v>92</v>
      </c>
      <c r="BO7" s="1" t="s">
        <v>92</v>
      </c>
      <c r="BP7" s="1" t="s">
        <v>92</v>
      </c>
      <c r="BQ7" s="1" t="s">
        <v>92</v>
      </c>
      <c r="BR7" s="1" t="s">
        <v>92</v>
      </c>
      <c r="BS7" s="1" t="s">
        <v>92</v>
      </c>
      <c r="BT7" s="4">
        <v>1</v>
      </c>
      <c r="BU7" s="4">
        <v>0</v>
      </c>
      <c r="BV7" s="4">
        <v>1</v>
      </c>
      <c r="BW7" s="22">
        <f>((AZ7^2)/(AZ7^2+BH7))^(1/2)</f>
        <v>4.9609883078078919E-2</v>
      </c>
      <c r="BX7" s="22">
        <f>0.5*LN((1+BW7)/(1-BW7))</f>
        <v>4.9650642247587015E-2</v>
      </c>
      <c r="BY7" s="22">
        <f>((1-(BX7^2)^2)/(BH7-1))</f>
        <v>5.6464930709013356E-4</v>
      </c>
      <c r="BZ7" s="22">
        <f>1/(BH7-3)</f>
        <v>5.6529112492933857E-4</v>
      </c>
      <c r="CA7" s="16" t="s">
        <v>92</v>
      </c>
      <c r="CB7" s="16">
        <f>BH7-2</f>
        <v>1770</v>
      </c>
      <c r="CC7" s="16" t="s">
        <v>92</v>
      </c>
      <c r="CD7" s="22">
        <f>((AZ7^2)/(AZ7^2+BI7))^(1/2)</f>
        <v>4.9609883078078919E-2</v>
      </c>
      <c r="CE7" s="22">
        <f>0.5*LN((1+CD7)/(1-CD7))</f>
        <v>4.9650642247587015E-2</v>
      </c>
      <c r="CF7" s="22">
        <f>((1-(CE7^2)^2)/(BI7-1))</f>
        <v>5.6464930709013356E-4</v>
      </c>
      <c r="CG7" s="22">
        <f>1/(BI7-3)</f>
        <v>5.6529112492933857E-4</v>
      </c>
      <c r="CH7" s="16"/>
      <c r="CI7" s="16"/>
      <c r="CJ7" s="16"/>
      <c r="CK7" s="1"/>
      <c r="CL7" s="1"/>
    </row>
    <row r="8" spans="1:90" ht="12.75" customHeight="1">
      <c r="A8" s="4" t="s">
        <v>84</v>
      </c>
      <c r="B8" s="4"/>
      <c r="C8" s="4">
        <v>1516</v>
      </c>
      <c r="D8" s="4">
        <v>505</v>
      </c>
      <c r="E8" s="4" t="s">
        <v>463</v>
      </c>
      <c r="F8" s="4">
        <v>2025</v>
      </c>
      <c r="G8" s="1" t="s">
        <v>108</v>
      </c>
      <c r="H8" s="2" t="s">
        <v>109</v>
      </c>
      <c r="I8" s="4">
        <v>1</v>
      </c>
      <c r="J8" s="1" t="s">
        <v>110</v>
      </c>
      <c r="K8" s="4" t="s">
        <v>92</v>
      </c>
      <c r="L8" s="4">
        <v>6</v>
      </c>
      <c r="M8" s="4" t="s">
        <v>111</v>
      </c>
      <c r="N8" s="1" t="s">
        <v>112</v>
      </c>
      <c r="O8" s="4" t="s">
        <v>113</v>
      </c>
      <c r="P8" s="4" t="s">
        <v>99</v>
      </c>
      <c r="Q8" s="1" t="s">
        <v>100</v>
      </c>
      <c r="R8" s="1" t="s">
        <v>101</v>
      </c>
      <c r="S8" s="1">
        <v>0</v>
      </c>
      <c r="T8" s="1">
        <v>0</v>
      </c>
      <c r="U8" s="1">
        <v>0</v>
      </c>
      <c r="V8" s="4" t="s">
        <v>114</v>
      </c>
      <c r="W8" s="4" t="s">
        <v>114</v>
      </c>
      <c r="X8" s="4" t="s">
        <v>92</v>
      </c>
      <c r="Y8" s="4">
        <v>0</v>
      </c>
      <c r="Z8" s="4">
        <v>0</v>
      </c>
      <c r="AA8" s="4">
        <v>1</v>
      </c>
      <c r="AB8" s="4">
        <v>0</v>
      </c>
      <c r="AC8" s="4">
        <v>0</v>
      </c>
      <c r="AD8" s="4">
        <v>0</v>
      </c>
      <c r="AE8" s="4">
        <v>0</v>
      </c>
      <c r="AF8" s="4">
        <v>0</v>
      </c>
      <c r="AG8" s="1" t="s">
        <v>92</v>
      </c>
      <c r="AH8" s="4">
        <v>0</v>
      </c>
      <c r="AI8" s="4">
        <v>0</v>
      </c>
      <c r="AJ8" s="4">
        <v>0</v>
      </c>
      <c r="AK8" s="4">
        <v>0</v>
      </c>
      <c r="AL8" s="4">
        <v>0</v>
      </c>
      <c r="AM8" s="4">
        <v>0</v>
      </c>
      <c r="AN8" s="4">
        <v>1</v>
      </c>
      <c r="AO8" s="4">
        <v>0</v>
      </c>
      <c r="AP8" s="4">
        <v>0</v>
      </c>
      <c r="AQ8" s="1" t="s">
        <v>92</v>
      </c>
      <c r="AR8" s="1" t="s">
        <v>92</v>
      </c>
      <c r="AS8" s="1" t="s">
        <v>115</v>
      </c>
      <c r="AT8" s="4" t="s">
        <v>116</v>
      </c>
      <c r="AU8" s="7">
        <v>5.1999999999999998E-2</v>
      </c>
      <c r="AV8" s="4" t="s">
        <v>117</v>
      </c>
      <c r="AW8" s="1">
        <v>0.1</v>
      </c>
      <c r="AX8" s="1">
        <v>0.1</v>
      </c>
      <c r="AY8" s="1" t="s">
        <v>119</v>
      </c>
      <c r="AZ8" s="1">
        <f>AU8/AW8</f>
        <v>0.51999999999999991</v>
      </c>
      <c r="BA8" s="4" t="s">
        <v>92</v>
      </c>
      <c r="BB8" s="1" t="s">
        <v>92</v>
      </c>
      <c r="BC8" s="1" t="s">
        <v>92</v>
      </c>
      <c r="BD8" s="1" t="s">
        <v>92</v>
      </c>
      <c r="BE8" s="1" t="s">
        <v>92</v>
      </c>
      <c r="BF8" s="1" t="s">
        <v>92</v>
      </c>
      <c r="BG8" s="1" t="s">
        <v>92</v>
      </c>
      <c r="BH8" s="1">
        <v>963</v>
      </c>
      <c r="BI8" s="1">
        <v>963</v>
      </c>
      <c r="BJ8" s="1" t="s">
        <v>92</v>
      </c>
      <c r="BK8" s="1" t="s">
        <v>92</v>
      </c>
      <c r="BL8" s="1" t="s">
        <v>92</v>
      </c>
      <c r="BM8" s="1" t="s">
        <v>92</v>
      </c>
      <c r="BN8" s="1" t="s">
        <v>92</v>
      </c>
      <c r="BO8" s="1" t="s">
        <v>92</v>
      </c>
      <c r="BP8" s="1" t="s">
        <v>92</v>
      </c>
      <c r="BQ8" s="1" t="s">
        <v>92</v>
      </c>
      <c r="BR8" s="1" t="s">
        <v>92</v>
      </c>
      <c r="BS8" s="1" t="s">
        <v>92</v>
      </c>
      <c r="BT8" s="4">
        <v>1</v>
      </c>
      <c r="BU8" s="4">
        <v>0</v>
      </c>
      <c r="BV8" s="4">
        <v>1</v>
      </c>
      <c r="BW8" s="22">
        <f>((AZ8^2)/(AZ8^2+BH8))^(1/2)</f>
        <v>1.6754413746002211E-2</v>
      </c>
      <c r="BX8" s="22">
        <f>0.5*LN((1+BW8)/(1-BW8))</f>
        <v>1.6755981722715349E-2</v>
      </c>
      <c r="BY8" s="22">
        <f>((1-(BX8^2)^2)/(BH8-1))</f>
        <v>1.0395009575594396E-3</v>
      </c>
      <c r="BZ8" s="22">
        <f>1/(BH8-3)</f>
        <v>1.0416666666666667E-3</v>
      </c>
      <c r="CA8" s="16" t="s">
        <v>92</v>
      </c>
      <c r="CB8" s="16">
        <f>BH8-2</f>
        <v>961</v>
      </c>
      <c r="CC8" s="16" t="s">
        <v>92</v>
      </c>
      <c r="CD8" s="22">
        <f>((AZ8^2)/(AZ8^2+BI8))^(1/2)</f>
        <v>1.6754413746002211E-2</v>
      </c>
      <c r="CE8" s="22">
        <f>0.5*LN((1+CD8)/(1-CD8))</f>
        <v>1.6755981722715349E-2</v>
      </c>
      <c r="CF8" s="22">
        <f>((1-(CE8^2)^2)/(BI8-1))</f>
        <v>1.0395009575594396E-3</v>
      </c>
      <c r="CG8" s="22">
        <f>1/(BI8-3)</f>
        <v>1.0416666666666667E-3</v>
      </c>
      <c r="CH8" s="16"/>
      <c r="CI8" s="16"/>
      <c r="CJ8" s="16"/>
      <c r="CK8" s="1"/>
      <c r="CL8" s="1"/>
    </row>
    <row r="9" spans="1:90" ht="12.75" customHeight="1">
      <c r="A9" s="27" t="s">
        <v>84</v>
      </c>
      <c r="B9" s="27"/>
      <c r="C9" s="27">
        <v>1527</v>
      </c>
      <c r="D9" s="27">
        <v>508</v>
      </c>
      <c r="E9" s="30" t="s">
        <v>120</v>
      </c>
      <c r="F9" s="27">
        <v>2024</v>
      </c>
      <c r="G9" s="38" t="s">
        <v>121</v>
      </c>
      <c r="H9" s="38" t="s">
        <v>122</v>
      </c>
      <c r="I9" s="27">
        <v>1</v>
      </c>
      <c r="J9" s="30"/>
      <c r="K9" s="30" t="s">
        <v>123</v>
      </c>
      <c r="L9" s="30"/>
      <c r="M9" s="30"/>
      <c r="N9" s="30"/>
      <c r="O9" s="30"/>
      <c r="P9" s="27"/>
      <c r="Q9" s="30"/>
      <c r="R9" s="30"/>
      <c r="S9" s="30"/>
      <c r="T9" s="30"/>
      <c r="U9" s="30"/>
      <c r="V9" s="27"/>
      <c r="W9" s="27"/>
      <c r="X9" s="27"/>
      <c r="Y9" s="30"/>
      <c r="Z9" s="30"/>
      <c r="AA9" s="30"/>
      <c r="AB9" s="30"/>
      <c r="AC9" s="30"/>
      <c r="AD9" s="30"/>
      <c r="AE9" s="30"/>
      <c r="AF9" s="30"/>
      <c r="AG9" s="30"/>
      <c r="AH9" s="30"/>
      <c r="AI9" s="30"/>
      <c r="AJ9" s="30"/>
      <c r="AK9" s="30"/>
      <c r="AL9" s="30"/>
      <c r="AM9" s="30"/>
      <c r="AN9" s="30"/>
      <c r="AO9" s="30"/>
      <c r="AP9" s="30"/>
      <c r="AQ9" s="30"/>
      <c r="AR9" s="30"/>
      <c r="AS9" s="30"/>
      <c r="AT9" s="30"/>
      <c r="AU9" s="39"/>
      <c r="AV9" s="40"/>
      <c r="AW9" s="30"/>
      <c r="AX9" s="30"/>
      <c r="AY9" s="30"/>
      <c r="AZ9" s="30"/>
      <c r="BA9" s="41"/>
      <c r="BB9" s="30"/>
      <c r="BC9" s="27"/>
      <c r="BD9" s="30"/>
      <c r="BE9" s="30"/>
      <c r="BF9" s="27"/>
      <c r="BG9" s="30"/>
      <c r="BH9" s="30"/>
      <c r="BI9" s="30"/>
      <c r="BJ9" s="30"/>
      <c r="BK9" s="30"/>
      <c r="BL9" s="30"/>
      <c r="BM9" s="30"/>
      <c r="BN9" s="30"/>
      <c r="BO9" s="30"/>
      <c r="BP9" s="30"/>
      <c r="BQ9" s="30"/>
      <c r="BR9" s="30"/>
      <c r="BS9" s="30"/>
      <c r="BT9" s="27"/>
      <c r="BU9" s="27"/>
      <c r="BV9" s="27"/>
      <c r="BW9" s="42"/>
      <c r="BX9" s="42"/>
      <c r="BY9" s="43"/>
      <c r="BZ9" s="42"/>
      <c r="CA9" s="44"/>
      <c r="CB9" s="33"/>
      <c r="CC9" s="33"/>
      <c r="CD9" s="33"/>
      <c r="CE9" s="33"/>
      <c r="CF9" s="33"/>
      <c r="CG9" s="33"/>
      <c r="CH9" s="33"/>
      <c r="CI9" s="33"/>
      <c r="CJ9" s="33"/>
      <c r="CK9" s="30"/>
      <c r="CL9" s="30"/>
    </row>
    <row r="10" spans="1:90" ht="12.75" customHeight="1">
      <c r="A10" s="27" t="s">
        <v>84</v>
      </c>
      <c r="B10" s="27"/>
      <c r="C10" s="27">
        <v>1537</v>
      </c>
      <c r="D10" s="27">
        <v>510</v>
      </c>
      <c r="E10" s="30" t="s">
        <v>129</v>
      </c>
      <c r="F10" s="27">
        <v>2022</v>
      </c>
      <c r="G10" s="38" t="s">
        <v>130</v>
      </c>
      <c r="H10" s="38" t="s">
        <v>131</v>
      </c>
      <c r="I10" s="27">
        <v>1</v>
      </c>
      <c r="J10" s="30" t="s">
        <v>132</v>
      </c>
      <c r="K10" s="30" t="s">
        <v>133</v>
      </c>
      <c r="L10" s="30"/>
      <c r="M10" s="30"/>
      <c r="N10" s="30" t="s">
        <v>112</v>
      </c>
      <c r="O10" s="30" t="s">
        <v>134</v>
      </c>
      <c r="P10" s="27"/>
      <c r="Q10" s="30"/>
      <c r="R10" s="30"/>
      <c r="S10" s="30"/>
      <c r="T10" s="30"/>
      <c r="U10" s="30"/>
      <c r="V10" s="27"/>
      <c r="W10" s="27"/>
      <c r="X10" s="27"/>
      <c r="Y10" s="30"/>
      <c r="Z10" s="30"/>
      <c r="AA10" s="30"/>
      <c r="AB10" s="30"/>
      <c r="AC10" s="30"/>
      <c r="AD10" s="30"/>
      <c r="AE10" s="30"/>
      <c r="AF10" s="30"/>
      <c r="AG10" s="30"/>
      <c r="AH10" s="30"/>
      <c r="AI10" s="30"/>
      <c r="AJ10" s="30"/>
      <c r="AK10" s="30"/>
      <c r="AL10" s="30"/>
      <c r="AM10" s="30"/>
      <c r="AN10" s="30"/>
      <c r="AO10" s="30"/>
      <c r="AP10" s="30"/>
      <c r="AQ10" s="30"/>
      <c r="AR10" s="30"/>
      <c r="AS10" s="30"/>
      <c r="AT10" s="30"/>
      <c r="AU10" s="39"/>
      <c r="AV10" s="40"/>
      <c r="AW10" s="30"/>
      <c r="AX10" s="30"/>
      <c r="AY10" s="30"/>
      <c r="AZ10" s="30"/>
      <c r="BA10" s="41"/>
      <c r="BB10" s="30"/>
      <c r="BC10" s="27"/>
      <c r="BD10" s="30"/>
      <c r="BE10" s="30"/>
      <c r="BF10" s="27"/>
      <c r="BG10" s="30"/>
      <c r="BH10" s="30"/>
      <c r="BI10" s="30"/>
      <c r="BJ10" s="30"/>
      <c r="BK10" s="30"/>
      <c r="BL10" s="30"/>
      <c r="BM10" s="30"/>
      <c r="BN10" s="30"/>
      <c r="BO10" s="30"/>
      <c r="BP10" s="30"/>
      <c r="BQ10" s="30"/>
      <c r="BR10" s="30"/>
      <c r="BS10" s="30"/>
      <c r="BT10" s="27"/>
      <c r="BU10" s="27"/>
      <c r="BV10" s="27"/>
      <c r="BW10" s="42"/>
      <c r="BX10" s="42"/>
      <c r="BY10" s="43"/>
      <c r="BZ10" s="42"/>
      <c r="CA10" s="44"/>
      <c r="CB10" s="33"/>
      <c r="CC10" s="33"/>
      <c r="CD10" s="33"/>
      <c r="CE10" s="33"/>
      <c r="CF10" s="33"/>
      <c r="CG10" s="33"/>
      <c r="CH10" s="33"/>
      <c r="CI10" s="33"/>
      <c r="CJ10" s="33"/>
      <c r="CK10" s="30"/>
      <c r="CL10" s="30"/>
    </row>
    <row r="11" spans="1:90">
      <c r="A11" s="16" t="s">
        <v>135</v>
      </c>
      <c r="B11" s="16"/>
      <c r="C11" s="4">
        <v>1580</v>
      </c>
      <c r="D11" s="16">
        <v>518</v>
      </c>
      <c r="E11" s="16" t="s">
        <v>140</v>
      </c>
      <c r="F11" s="16">
        <v>2022</v>
      </c>
      <c r="G11" s="16" t="s">
        <v>141</v>
      </c>
      <c r="H11" s="16" t="s">
        <v>142</v>
      </c>
      <c r="I11" s="16">
        <v>1</v>
      </c>
      <c r="J11" s="16" t="s">
        <v>143</v>
      </c>
      <c r="K11" s="16"/>
      <c r="L11" s="16">
        <v>6</v>
      </c>
      <c r="M11" s="16" t="s">
        <v>144</v>
      </c>
      <c r="N11" s="16" t="s">
        <v>125</v>
      </c>
      <c r="O11" s="16" t="s">
        <v>145</v>
      </c>
      <c r="P11" s="16" t="s">
        <v>99</v>
      </c>
      <c r="Q11" s="16" t="s">
        <v>127</v>
      </c>
      <c r="R11" s="16" t="s">
        <v>101</v>
      </c>
      <c r="S11" s="16">
        <v>0</v>
      </c>
      <c r="T11" s="16" t="s">
        <v>18</v>
      </c>
      <c r="U11" s="16">
        <v>0</v>
      </c>
      <c r="V11" s="16" t="s">
        <v>102</v>
      </c>
      <c r="W11" s="16" t="s">
        <v>114</v>
      </c>
      <c r="X11" s="16" t="s">
        <v>146</v>
      </c>
      <c r="Y11" s="16">
        <v>0</v>
      </c>
      <c r="Z11" s="16">
        <v>1</v>
      </c>
      <c r="AA11" s="16">
        <v>0</v>
      </c>
      <c r="AB11" s="16">
        <v>0</v>
      </c>
      <c r="AC11" s="16">
        <v>0</v>
      </c>
      <c r="AD11" s="16">
        <v>0</v>
      </c>
      <c r="AE11" s="16">
        <v>0</v>
      </c>
      <c r="AF11" s="16">
        <v>0</v>
      </c>
      <c r="AG11" s="16" t="s">
        <v>147</v>
      </c>
      <c r="AH11" s="16">
        <v>0</v>
      </c>
      <c r="AI11" s="16">
        <v>0</v>
      </c>
      <c r="AJ11" s="16">
        <v>0</v>
      </c>
      <c r="AK11" s="16">
        <v>0</v>
      </c>
      <c r="AL11" s="16">
        <v>1</v>
      </c>
      <c r="AM11" s="16">
        <v>0</v>
      </c>
      <c r="AN11" s="16">
        <v>0</v>
      </c>
      <c r="AO11" s="16">
        <v>0</v>
      </c>
      <c r="AP11" s="16">
        <v>0</v>
      </c>
      <c r="AQ11" s="16" t="s">
        <v>148</v>
      </c>
      <c r="AR11" s="16" t="s">
        <v>149</v>
      </c>
      <c r="AS11" s="16" t="s">
        <v>150</v>
      </c>
      <c r="AT11" s="16" t="s">
        <v>92</v>
      </c>
      <c r="AU11" s="19">
        <v>53.53</v>
      </c>
      <c r="AV11" s="17" t="s">
        <v>106</v>
      </c>
      <c r="AW11" s="16">
        <v>46.99</v>
      </c>
      <c r="AX11" s="16">
        <v>0.1</v>
      </c>
      <c r="AY11" s="16">
        <v>2</v>
      </c>
      <c r="AZ11" s="16">
        <f>AU11/AW11</f>
        <v>1.1391785486273676</v>
      </c>
      <c r="BA11" s="18"/>
      <c r="BB11" s="16" t="s">
        <v>92</v>
      </c>
      <c r="BC11" s="16">
        <v>256</v>
      </c>
      <c r="BD11" s="16" t="s">
        <v>92</v>
      </c>
      <c r="BE11" s="16" t="s">
        <v>92</v>
      </c>
      <c r="BF11" s="16">
        <v>41</v>
      </c>
      <c r="BG11" s="16" t="s">
        <v>92</v>
      </c>
      <c r="BH11" s="16">
        <v>297</v>
      </c>
      <c r="BI11" s="16">
        <v>14815</v>
      </c>
      <c r="BJ11" s="16" t="s">
        <v>92</v>
      </c>
      <c r="BK11" s="16" t="s">
        <v>92</v>
      </c>
      <c r="BL11" s="16" t="s">
        <v>92</v>
      </c>
      <c r="BM11" s="16" t="s">
        <v>92</v>
      </c>
      <c r="BN11" s="16" t="s">
        <v>92</v>
      </c>
      <c r="BO11" s="16" t="s">
        <v>92</v>
      </c>
      <c r="BP11" s="16" t="s">
        <v>92</v>
      </c>
      <c r="BQ11" s="16" t="s">
        <v>92</v>
      </c>
      <c r="BR11" s="16" t="s">
        <v>92</v>
      </c>
      <c r="BS11" s="16" t="s">
        <v>92</v>
      </c>
      <c r="BT11" s="16">
        <v>0</v>
      </c>
      <c r="BU11" s="16">
        <v>0</v>
      </c>
      <c r="BV11" s="16">
        <v>0</v>
      </c>
      <c r="BW11" s="22">
        <f>((AZ11^2)/(AZ11^2+BH11))^(1/2)</f>
        <v>6.5957900887732471E-2</v>
      </c>
      <c r="BX11" s="22">
        <f>0.5*LN((1+BW11)/(1-BW11))</f>
        <v>6.605380006813294E-2</v>
      </c>
      <c r="BY11" s="22">
        <f>((1-(BX11^2)^2)/(BH11-1))</f>
        <v>3.378314065267203E-3</v>
      </c>
      <c r="BZ11" s="22">
        <f>1/(BH11-3)</f>
        <v>3.4013605442176869E-3</v>
      </c>
      <c r="CA11" s="16" t="s">
        <v>92</v>
      </c>
      <c r="CB11" s="16">
        <f>BH11-2</f>
        <v>295</v>
      </c>
      <c r="CC11" s="16" t="s">
        <v>92</v>
      </c>
      <c r="CD11" s="22">
        <f>((AZ11^2)/(AZ11^2+BI11))^(1/2)</f>
        <v>9.3588384392916373E-3</v>
      </c>
      <c r="CE11" s="22">
        <f>0.5*LN((1+CD11)/(1-CD11))</f>
        <v>9.3591116938527268E-3</v>
      </c>
      <c r="CF11" s="22">
        <f>((1-(CE11^2)^2)/(BI11-1))</f>
        <v>6.7503712186274561E-5</v>
      </c>
      <c r="CG11" s="22">
        <f>1/(BI11-3)</f>
        <v>6.7512827437213067E-5</v>
      </c>
      <c r="CH11" s="16"/>
      <c r="CI11" s="16"/>
      <c r="CJ11" s="16"/>
      <c r="CK11" s="16"/>
      <c r="CL11" s="16"/>
    </row>
    <row r="12" spans="1:90">
      <c r="A12" s="33" t="s">
        <v>151</v>
      </c>
      <c r="B12" s="33"/>
      <c r="C12" s="27">
        <v>1581</v>
      </c>
      <c r="D12" s="33">
        <v>519</v>
      </c>
      <c r="E12" s="33" t="s">
        <v>152</v>
      </c>
      <c r="F12" s="33">
        <v>2022</v>
      </c>
      <c r="G12" s="33" t="s">
        <v>153</v>
      </c>
      <c r="H12" s="33" t="s">
        <v>154</v>
      </c>
      <c r="I12" s="33">
        <v>1</v>
      </c>
      <c r="J12" s="33" t="s">
        <v>155</v>
      </c>
      <c r="K12" s="30" t="s">
        <v>123</v>
      </c>
      <c r="L12" s="33"/>
      <c r="M12" s="33" t="s">
        <v>156</v>
      </c>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45"/>
      <c r="AV12" s="45"/>
      <c r="AW12" s="33"/>
      <c r="AX12" s="33"/>
      <c r="AY12" s="33"/>
      <c r="AZ12" s="33"/>
      <c r="BA12" s="46"/>
      <c r="BB12" s="33"/>
      <c r="BC12" s="33"/>
      <c r="BD12" s="33"/>
      <c r="BE12" s="33"/>
      <c r="BF12" s="33"/>
      <c r="BG12" s="33"/>
      <c r="BH12" s="33"/>
      <c r="BI12" s="33"/>
      <c r="BJ12" s="33"/>
      <c r="BK12" s="33"/>
      <c r="BL12" s="33"/>
      <c r="BM12" s="33"/>
      <c r="BN12" s="33"/>
      <c r="BO12" s="33"/>
      <c r="BP12" s="33"/>
      <c r="BQ12" s="33"/>
      <c r="BR12" s="33"/>
      <c r="BS12" s="33"/>
      <c r="BT12" s="33"/>
      <c r="BU12" s="33"/>
      <c r="BV12" s="33"/>
      <c r="BW12" s="33"/>
      <c r="BX12" s="33"/>
      <c r="BY12" s="47"/>
      <c r="BZ12" s="48"/>
      <c r="CA12" s="48"/>
      <c r="CB12" s="33"/>
      <c r="CC12" s="33"/>
      <c r="CD12" s="33"/>
      <c r="CE12" s="33"/>
      <c r="CF12" s="33"/>
      <c r="CG12" s="33"/>
      <c r="CH12" s="33"/>
      <c r="CI12" s="33"/>
      <c r="CJ12" s="33"/>
      <c r="CK12" s="33"/>
      <c r="CL12" s="33"/>
    </row>
    <row r="13" spans="1:90">
      <c r="A13" s="16" t="s">
        <v>151</v>
      </c>
      <c r="B13" s="16"/>
      <c r="C13" s="4">
        <v>1589</v>
      </c>
      <c r="D13" s="16">
        <v>521</v>
      </c>
      <c r="E13" s="16" t="s">
        <v>157</v>
      </c>
      <c r="F13" s="16">
        <v>2022</v>
      </c>
      <c r="G13" s="16" t="s">
        <v>158</v>
      </c>
      <c r="H13" s="16" t="s">
        <v>159</v>
      </c>
      <c r="I13" s="16">
        <v>1</v>
      </c>
      <c r="J13" s="16" t="s">
        <v>160</v>
      </c>
      <c r="K13" s="16"/>
      <c r="L13" s="16">
        <v>660</v>
      </c>
      <c r="M13" s="16" t="s">
        <v>144</v>
      </c>
      <c r="N13" s="16" t="s">
        <v>97</v>
      </c>
      <c r="O13" s="16" t="s">
        <v>134</v>
      </c>
      <c r="P13" s="16" t="s">
        <v>99</v>
      </c>
      <c r="Q13" s="16" t="s">
        <v>100</v>
      </c>
      <c r="R13" s="16" t="s">
        <v>101</v>
      </c>
      <c r="S13" s="16">
        <v>0</v>
      </c>
      <c r="T13" s="16" t="s">
        <v>138</v>
      </c>
      <c r="U13" s="16">
        <v>0</v>
      </c>
      <c r="V13" s="16" t="s">
        <v>114</v>
      </c>
      <c r="W13" s="16" t="s">
        <v>102</v>
      </c>
      <c r="X13" s="16" t="s">
        <v>161</v>
      </c>
      <c r="Y13" s="16">
        <v>0</v>
      </c>
      <c r="Z13" s="16">
        <v>0</v>
      </c>
      <c r="AA13" s="16">
        <v>0</v>
      </c>
      <c r="AB13" s="16">
        <v>1</v>
      </c>
      <c r="AC13" s="16">
        <v>0</v>
      </c>
      <c r="AD13" s="16">
        <v>1</v>
      </c>
      <c r="AE13" s="16">
        <v>0</v>
      </c>
      <c r="AF13" s="16">
        <v>0</v>
      </c>
      <c r="AG13" s="16" t="s">
        <v>162</v>
      </c>
      <c r="AH13" s="16">
        <v>0</v>
      </c>
      <c r="AI13" s="16">
        <v>0</v>
      </c>
      <c r="AJ13" s="16">
        <v>0</v>
      </c>
      <c r="AK13" s="16">
        <v>0</v>
      </c>
      <c r="AL13" s="16">
        <v>0</v>
      </c>
      <c r="AM13" s="16">
        <v>0</v>
      </c>
      <c r="AN13" s="16">
        <v>0</v>
      </c>
      <c r="AO13" s="16">
        <v>1</v>
      </c>
      <c r="AP13" s="16">
        <v>0</v>
      </c>
      <c r="AQ13" s="16" t="s">
        <v>163</v>
      </c>
      <c r="AR13" s="16" t="s">
        <v>149</v>
      </c>
      <c r="AS13" s="16" t="s">
        <v>164</v>
      </c>
      <c r="AT13" s="16" t="s">
        <v>116</v>
      </c>
      <c r="AU13" s="19">
        <v>3.0000000000000001E-3</v>
      </c>
      <c r="AV13" s="17" t="s">
        <v>106</v>
      </c>
      <c r="AW13" s="16">
        <v>2.8999999999999998E-3</v>
      </c>
      <c r="AX13" s="16" t="s">
        <v>92</v>
      </c>
      <c r="AY13" s="16">
        <v>1</v>
      </c>
      <c r="AZ13" s="16">
        <f>AU13/AW13</f>
        <v>1.0344827586206897</v>
      </c>
      <c r="BA13" s="18">
        <f>EXP(AU13)-1</f>
        <v>3.0045045033770812E-3</v>
      </c>
      <c r="BB13" s="16" t="s">
        <v>92</v>
      </c>
      <c r="BC13" s="16" t="s">
        <v>92</v>
      </c>
      <c r="BD13" s="16" t="s">
        <v>92</v>
      </c>
      <c r="BE13" s="16" t="s">
        <v>92</v>
      </c>
      <c r="BF13" s="16" t="s">
        <v>92</v>
      </c>
      <c r="BG13" s="16" t="s">
        <v>92</v>
      </c>
      <c r="BH13" s="26">
        <v>73441</v>
      </c>
      <c r="BI13" s="16">
        <v>51441373</v>
      </c>
      <c r="BJ13" s="16" t="s">
        <v>92</v>
      </c>
      <c r="BK13" s="16" t="s">
        <v>92</v>
      </c>
      <c r="BL13" s="16" t="s">
        <v>92</v>
      </c>
      <c r="BM13" s="16" t="s">
        <v>92</v>
      </c>
      <c r="BN13" s="16" t="s">
        <v>92</v>
      </c>
      <c r="BO13" s="16" t="s">
        <v>92</v>
      </c>
      <c r="BP13" s="16">
        <v>0</v>
      </c>
      <c r="BQ13" s="16">
        <v>0</v>
      </c>
      <c r="BR13" s="16">
        <v>0</v>
      </c>
      <c r="BS13" s="16" t="s">
        <v>92</v>
      </c>
      <c r="BT13" s="16">
        <v>0</v>
      </c>
      <c r="BU13" s="16">
        <v>0</v>
      </c>
      <c r="BV13" s="16">
        <v>0</v>
      </c>
      <c r="BW13" s="22">
        <f>((AZ13^2)/(AZ13^2+BH13))^(1/2)</f>
        <v>3.8172517404302109E-3</v>
      </c>
      <c r="BX13" s="22">
        <f>0.5*LN((1+BW13)/(1-BW13))</f>
        <v>3.817270281506796E-3</v>
      </c>
      <c r="BY13" s="22">
        <f>((1-(BX13^2)^2)/(BH13-1))</f>
        <v>1.3616557731313588E-5</v>
      </c>
      <c r="BZ13" s="22">
        <f>1/(BH13-3)</f>
        <v>1.3616928565592745E-5</v>
      </c>
      <c r="CA13" s="16" t="s">
        <v>92</v>
      </c>
      <c r="CB13" s="16">
        <f>BH13-2</f>
        <v>73439</v>
      </c>
      <c r="CC13" s="16" t="s">
        <v>92</v>
      </c>
      <c r="CD13" s="22">
        <f>((AZ13^2)/(AZ13^2+BI13))^(1/2)</f>
        <v>1.442337770334527E-4</v>
      </c>
      <c r="CE13" s="22">
        <f>0.5*LN((1+CD13)/(1-CD13))</f>
        <v>1.4423377803358806E-4</v>
      </c>
      <c r="CF13" s="22">
        <f>((1-(CE13^2)^2)/(BI13-1))</f>
        <v>1.9439605926529323E-8</v>
      </c>
      <c r="CG13" s="22">
        <f>1/(BI13-3)</f>
        <v>1.9439606682325919E-8</v>
      </c>
      <c r="CH13" s="16"/>
      <c r="CI13" s="16"/>
      <c r="CJ13" s="16"/>
      <c r="CK13" s="16"/>
      <c r="CL13" s="16"/>
    </row>
    <row r="14" spans="1:90">
      <c r="A14" s="16" t="s">
        <v>151</v>
      </c>
      <c r="B14" s="16"/>
      <c r="C14" s="4">
        <v>1590</v>
      </c>
      <c r="D14" s="16">
        <v>521</v>
      </c>
      <c r="E14" s="16" t="s">
        <v>157</v>
      </c>
      <c r="F14" s="16">
        <v>2022</v>
      </c>
      <c r="G14" s="16" t="s">
        <v>158</v>
      </c>
      <c r="H14" s="16" t="s">
        <v>159</v>
      </c>
      <c r="I14" s="16">
        <v>1</v>
      </c>
      <c r="J14" s="16" t="s">
        <v>160</v>
      </c>
      <c r="K14" s="16"/>
      <c r="L14" s="16">
        <v>660</v>
      </c>
      <c r="M14" s="16" t="s">
        <v>144</v>
      </c>
      <c r="N14" s="16" t="s">
        <v>97</v>
      </c>
      <c r="O14" s="16" t="s">
        <v>134</v>
      </c>
      <c r="P14" s="16" t="s">
        <v>99</v>
      </c>
      <c r="Q14" s="16" t="s">
        <v>100</v>
      </c>
      <c r="R14" s="16" t="s">
        <v>101</v>
      </c>
      <c r="S14" s="16">
        <v>0</v>
      </c>
      <c r="T14" s="16" t="s">
        <v>138</v>
      </c>
      <c r="U14" s="16">
        <v>0</v>
      </c>
      <c r="V14" s="16" t="s">
        <v>114</v>
      </c>
      <c r="W14" s="16" t="s">
        <v>102</v>
      </c>
      <c r="X14" s="16" t="s">
        <v>161</v>
      </c>
      <c r="Y14" s="16">
        <v>0</v>
      </c>
      <c r="Z14" s="16">
        <v>0</v>
      </c>
      <c r="AA14" s="16">
        <v>0</v>
      </c>
      <c r="AB14" s="16">
        <v>1</v>
      </c>
      <c r="AC14" s="16">
        <v>0</v>
      </c>
      <c r="AD14" s="16">
        <v>1</v>
      </c>
      <c r="AE14" s="16">
        <v>0</v>
      </c>
      <c r="AF14" s="16">
        <v>0</v>
      </c>
      <c r="AG14" s="16" t="s">
        <v>162</v>
      </c>
      <c r="AH14" s="16">
        <v>0</v>
      </c>
      <c r="AI14" s="16">
        <v>0</v>
      </c>
      <c r="AJ14" s="16">
        <v>0</v>
      </c>
      <c r="AK14" s="16">
        <v>0</v>
      </c>
      <c r="AL14" s="16">
        <v>0</v>
      </c>
      <c r="AM14" s="16">
        <v>1</v>
      </c>
      <c r="AN14" s="16">
        <v>0</v>
      </c>
      <c r="AO14" s="16">
        <v>0</v>
      </c>
      <c r="AP14" s="16">
        <v>0</v>
      </c>
      <c r="AQ14" s="16" t="s">
        <v>163</v>
      </c>
      <c r="AR14" s="16" t="s">
        <v>149</v>
      </c>
      <c r="AS14" s="16" t="s">
        <v>164</v>
      </c>
      <c r="AT14" s="16" t="s">
        <v>116</v>
      </c>
      <c r="AU14" s="19">
        <v>4.1999999999999997E-3</v>
      </c>
      <c r="AV14" s="17" t="s">
        <v>106</v>
      </c>
      <c r="AW14" s="16">
        <v>2.5999999999999999E-3</v>
      </c>
      <c r="AX14" s="16" t="s">
        <v>92</v>
      </c>
      <c r="AY14" s="16">
        <v>1</v>
      </c>
      <c r="AZ14" s="16">
        <f>AU14/AW14</f>
        <v>1.6153846153846154</v>
      </c>
      <c r="BA14" s="18">
        <f>EXP(AU14)-1</f>
        <v>4.2088323609763556E-3</v>
      </c>
      <c r="BB14" s="16" t="s">
        <v>92</v>
      </c>
      <c r="BC14" s="16" t="s">
        <v>92</v>
      </c>
      <c r="BD14" s="16" t="s">
        <v>92</v>
      </c>
      <c r="BE14" s="16" t="s">
        <v>92</v>
      </c>
      <c r="BF14" s="16" t="s">
        <v>92</v>
      </c>
      <c r="BG14" s="16" t="s">
        <v>92</v>
      </c>
      <c r="BH14" s="16">
        <v>85642</v>
      </c>
      <c r="BI14" s="16">
        <v>51441373</v>
      </c>
      <c r="BJ14" s="16" t="s">
        <v>92</v>
      </c>
      <c r="BK14" s="16" t="s">
        <v>92</v>
      </c>
      <c r="BL14" s="16" t="s">
        <v>92</v>
      </c>
      <c r="BM14" s="16" t="s">
        <v>92</v>
      </c>
      <c r="BN14" s="16" t="s">
        <v>92</v>
      </c>
      <c r="BO14" s="16" t="s">
        <v>92</v>
      </c>
      <c r="BP14" s="16">
        <v>0</v>
      </c>
      <c r="BQ14" s="16">
        <v>0</v>
      </c>
      <c r="BR14" s="16">
        <v>0</v>
      </c>
      <c r="BS14" s="16" t="s">
        <v>92</v>
      </c>
      <c r="BT14" s="16">
        <v>0</v>
      </c>
      <c r="BU14" s="16">
        <v>0</v>
      </c>
      <c r="BV14" s="16">
        <v>0</v>
      </c>
      <c r="BW14" s="22">
        <f>((AZ14^2)/(AZ14^2+BH14))^(1/2)</f>
        <v>5.5198328373000623E-3</v>
      </c>
      <c r="BX14" s="22">
        <f>0.5*LN((1+BW14)/(1-BW14))</f>
        <v>5.5198888987675939E-3</v>
      </c>
      <c r="BY14" s="22">
        <f>((1-(BX14^2)^2)/(BH14-1))</f>
        <v>1.1676650191749624E-5</v>
      </c>
      <c r="BZ14" s="22">
        <f>1/(BH14-3)</f>
        <v>1.167692289727811E-5</v>
      </c>
      <c r="CA14" s="16" t="s">
        <v>92</v>
      </c>
      <c r="CB14" s="16">
        <f>BH14-2</f>
        <v>85640</v>
      </c>
      <c r="CC14" s="16" t="s">
        <v>92</v>
      </c>
      <c r="CD14" s="22">
        <f>((AZ14^2)/(AZ14^2+BI14))^(1/2)</f>
        <v>2.252265869209002E-4</v>
      </c>
      <c r="CE14" s="22">
        <f>0.5*LN((1+CD14)/(1-CD14))</f>
        <v>2.2522659072929244E-4</v>
      </c>
      <c r="CF14" s="22">
        <f>((1-(CE14^2)^2)/(BI14-1))</f>
        <v>1.9439605926529283E-8</v>
      </c>
      <c r="CG14" s="22">
        <f>1/(BI14-3)</f>
        <v>1.9439606682325919E-8</v>
      </c>
      <c r="CH14" s="16"/>
      <c r="CI14" s="16"/>
      <c r="CJ14" s="16"/>
      <c r="CK14" s="16"/>
      <c r="CL14" s="16"/>
    </row>
    <row r="15" spans="1:90">
      <c r="A15" s="16" t="s">
        <v>151</v>
      </c>
      <c r="B15" s="16"/>
      <c r="C15" s="4">
        <v>1591</v>
      </c>
      <c r="D15" s="16">
        <v>521</v>
      </c>
      <c r="E15" s="16" t="s">
        <v>157</v>
      </c>
      <c r="F15" s="16">
        <v>2022</v>
      </c>
      <c r="G15" s="16" t="s">
        <v>158</v>
      </c>
      <c r="H15" s="16" t="s">
        <v>159</v>
      </c>
      <c r="I15" s="16">
        <v>1</v>
      </c>
      <c r="J15" s="16" t="s">
        <v>160</v>
      </c>
      <c r="K15" s="16"/>
      <c r="L15" s="16">
        <v>660</v>
      </c>
      <c r="M15" s="16" t="s">
        <v>144</v>
      </c>
      <c r="N15" s="16" t="s">
        <v>97</v>
      </c>
      <c r="O15" s="16" t="s">
        <v>134</v>
      </c>
      <c r="P15" s="16" t="s">
        <v>99</v>
      </c>
      <c r="Q15" s="16" t="s">
        <v>100</v>
      </c>
      <c r="R15" s="16" t="s">
        <v>101</v>
      </c>
      <c r="S15" s="16">
        <v>0</v>
      </c>
      <c r="T15" s="16" t="s">
        <v>138</v>
      </c>
      <c r="U15" s="16">
        <v>0</v>
      </c>
      <c r="V15" s="16" t="s">
        <v>114</v>
      </c>
      <c r="W15" s="16" t="s">
        <v>102</v>
      </c>
      <c r="X15" s="16" t="s">
        <v>161</v>
      </c>
      <c r="Y15" s="16">
        <v>0</v>
      </c>
      <c r="Z15" s="16">
        <v>0</v>
      </c>
      <c r="AA15" s="16">
        <v>0</v>
      </c>
      <c r="AB15" s="16">
        <v>1</v>
      </c>
      <c r="AC15" s="16">
        <v>0</v>
      </c>
      <c r="AD15" s="16">
        <v>1</v>
      </c>
      <c r="AE15" s="16">
        <v>0</v>
      </c>
      <c r="AF15" s="16">
        <v>0</v>
      </c>
      <c r="AG15" s="16" t="s">
        <v>162</v>
      </c>
      <c r="AH15" s="16">
        <v>0</v>
      </c>
      <c r="AI15" s="16">
        <v>0</v>
      </c>
      <c r="AJ15" s="16">
        <v>0</v>
      </c>
      <c r="AK15" s="16">
        <v>1</v>
      </c>
      <c r="AL15" s="16">
        <v>0</v>
      </c>
      <c r="AM15" s="16">
        <v>0</v>
      </c>
      <c r="AN15" s="16">
        <v>0</v>
      </c>
      <c r="AO15" s="16">
        <v>0</v>
      </c>
      <c r="AP15" s="16">
        <v>0</v>
      </c>
      <c r="AQ15" s="16" t="s">
        <v>163</v>
      </c>
      <c r="AR15" s="16" t="s">
        <v>149</v>
      </c>
      <c r="AS15" s="16" t="s">
        <v>164</v>
      </c>
      <c r="AT15" s="16" t="s">
        <v>116</v>
      </c>
      <c r="AU15" s="19">
        <v>6.1699999999999998E-2</v>
      </c>
      <c r="AV15" s="17" t="s">
        <v>106</v>
      </c>
      <c r="AW15" s="16">
        <v>8.9999999999999998E-4</v>
      </c>
      <c r="AX15" s="16">
        <v>0.01</v>
      </c>
      <c r="AY15" s="16">
        <v>1</v>
      </c>
      <c r="AZ15" s="25">
        <f>AU15/AW15</f>
        <v>68.555555555555557</v>
      </c>
      <c r="BA15" s="18">
        <f>EXP(AU15)-1</f>
        <v>6.3643203898133383E-2</v>
      </c>
      <c r="BB15" s="16" t="s">
        <v>92</v>
      </c>
      <c r="BC15" s="16" t="s">
        <v>92</v>
      </c>
      <c r="BD15" s="16" t="s">
        <v>92</v>
      </c>
      <c r="BE15" s="16" t="s">
        <v>92</v>
      </c>
      <c r="BF15" s="16" t="s">
        <v>92</v>
      </c>
      <c r="BG15" s="16" t="s">
        <v>92</v>
      </c>
      <c r="BH15" s="16">
        <v>464749</v>
      </c>
      <c r="BI15" s="16">
        <v>51441373</v>
      </c>
      <c r="BJ15" s="16" t="s">
        <v>92</v>
      </c>
      <c r="BK15" s="16" t="s">
        <v>92</v>
      </c>
      <c r="BL15" s="16" t="s">
        <v>92</v>
      </c>
      <c r="BM15" s="16" t="s">
        <v>92</v>
      </c>
      <c r="BN15" s="16" t="s">
        <v>92</v>
      </c>
      <c r="BO15" s="16" t="s">
        <v>92</v>
      </c>
      <c r="BP15" s="16">
        <v>0</v>
      </c>
      <c r="BQ15" s="16">
        <v>0</v>
      </c>
      <c r="BR15" s="16">
        <v>0</v>
      </c>
      <c r="BS15" s="16" t="s">
        <v>165</v>
      </c>
      <c r="BT15" s="16">
        <v>0</v>
      </c>
      <c r="BU15" s="16">
        <v>0</v>
      </c>
      <c r="BV15" s="16">
        <v>0</v>
      </c>
      <c r="BW15" s="22">
        <f>((AZ15^2)/(AZ15^2+BH15))^(1/2)</f>
        <v>0.10005723751816503</v>
      </c>
      <c r="BX15" s="22">
        <f>0.5*LN((1+BW15)/(1-BW15))</f>
        <v>0.1003931637403213</v>
      </c>
      <c r="BY15" s="22">
        <f>((1-(BX15^2)^2)/(BH15-1))</f>
        <v>2.1514851447365917E-6</v>
      </c>
      <c r="BZ15" s="22">
        <f>1/(BH15-3)</f>
        <v>2.1517129787023448E-6</v>
      </c>
      <c r="CA15" s="16" t="s">
        <v>92</v>
      </c>
      <c r="CB15" s="16">
        <f>BH15-2</f>
        <v>464747</v>
      </c>
      <c r="CC15" s="16" t="s">
        <v>92</v>
      </c>
      <c r="CD15" s="22">
        <f>((AZ15^2)/(AZ15^2+BI15))^(1/2)</f>
        <v>9.5579893076132259E-3</v>
      </c>
      <c r="CE15" s="22">
        <f>0.5*LN((1+CD15)/(1-CD15))</f>
        <v>9.5582803807809195E-3</v>
      </c>
      <c r="CF15" s="22">
        <f>((1-(CE15^2)^2)/(BI15-1))</f>
        <v>1.9439605764271182E-8</v>
      </c>
      <c r="CG15" s="22">
        <f>1/(BI15-3)</f>
        <v>1.9439606682325919E-8</v>
      </c>
      <c r="CH15" s="16"/>
      <c r="CI15" s="16"/>
      <c r="CJ15" s="16"/>
      <c r="CK15" s="16"/>
      <c r="CL15" s="16"/>
    </row>
    <row r="16" spans="1:90">
      <c r="A16" s="16" t="s">
        <v>151</v>
      </c>
      <c r="B16" s="16"/>
      <c r="C16" s="4">
        <v>1592</v>
      </c>
      <c r="D16" s="16">
        <v>522</v>
      </c>
      <c r="E16" s="16" t="s">
        <v>166</v>
      </c>
      <c r="F16" s="16">
        <v>2022</v>
      </c>
      <c r="G16" s="16" t="s">
        <v>167</v>
      </c>
      <c r="H16" s="16"/>
      <c r="I16" s="16">
        <v>1</v>
      </c>
      <c r="J16" s="16" t="s">
        <v>168</v>
      </c>
      <c r="K16" s="16"/>
      <c r="L16" s="16">
        <v>8</v>
      </c>
      <c r="M16" s="16" t="s">
        <v>144</v>
      </c>
      <c r="N16" s="16" t="s">
        <v>112</v>
      </c>
      <c r="O16" s="16" t="s">
        <v>169</v>
      </c>
      <c r="P16" s="16"/>
      <c r="Q16" s="16" t="s">
        <v>100</v>
      </c>
      <c r="R16" s="16" t="s">
        <v>101</v>
      </c>
      <c r="S16" s="16">
        <v>0</v>
      </c>
      <c r="T16" s="16" t="s">
        <v>138</v>
      </c>
      <c r="U16" s="16">
        <v>0</v>
      </c>
      <c r="V16" s="16" t="s">
        <v>114</v>
      </c>
      <c r="W16" s="16" t="s">
        <v>114</v>
      </c>
      <c r="X16" s="16" t="s">
        <v>92</v>
      </c>
      <c r="Y16" s="16">
        <v>0</v>
      </c>
      <c r="Z16" s="16">
        <v>0</v>
      </c>
      <c r="AA16" s="16">
        <v>0</v>
      </c>
      <c r="AB16" s="16">
        <v>1</v>
      </c>
      <c r="AC16" s="16">
        <v>0</v>
      </c>
      <c r="AD16" s="16">
        <v>0</v>
      </c>
      <c r="AE16" s="16">
        <v>0</v>
      </c>
      <c r="AF16" s="16">
        <v>0</v>
      </c>
      <c r="AG16" s="16" t="s">
        <v>170</v>
      </c>
      <c r="AH16" s="16">
        <v>0</v>
      </c>
      <c r="AI16" s="16">
        <v>0</v>
      </c>
      <c r="AJ16" s="16">
        <v>0</v>
      </c>
      <c r="AK16" s="16">
        <v>0</v>
      </c>
      <c r="AL16" s="16">
        <v>0</v>
      </c>
      <c r="AM16" s="16">
        <v>0</v>
      </c>
      <c r="AN16" s="16">
        <v>0</v>
      </c>
      <c r="AO16" s="16">
        <v>1</v>
      </c>
      <c r="AP16" s="16">
        <v>0</v>
      </c>
      <c r="AQ16" s="16" t="s">
        <v>163</v>
      </c>
      <c r="AR16" s="16" t="s">
        <v>149</v>
      </c>
      <c r="AS16" s="16" t="s">
        <v>171</v>
      </c>
      <c r="AT16" s="16" t="s">
        <v>116</v>
      </c>
      <c r="AU16" s="17">
        <v>0.28000000000000003</v>
      </c>
      <c r="AV16" s="17" t="s">
        <v>106</v>
      </c>
      <c r="AW16" s="16">
        <v>0.02</v>
      </c>
      <c r="AX16" s="16">
        <v>0.01</v>
      </c>
      <c r="AY16" s="16">
        <v>1</v>
      </c>
      <c r="AZ16" s="20">
        <f>AU16/AW16</f>
        <v>14.000000000000002</v>
      </c>
      <c r="BA16" s="18">
        <f>EXP(AU16)-1</f>
        <v>0.32312981233743687</v>
      </c>
      <c r="BB16" s="16" t="s">
        <v>92</v>
      </c>
      <c r="BC16" s="16">
        <v>5492</v>
      </c>
      <c r="BD16" s="16" t="s">
        <v>92</v>
      </c>
      <c r="BE16" s="16" t="s">
        <v>92</v>
      </c>
      <c r="BF16" s="16">
        <v>986</v>
      </c>
      <c r="BG16" s="16" t="s">
        <v>92</v>
      </c>
      <c r="BH16" s="16">
        <v>7098</v>
      </c>
      <c r="BI16" s="16">
        <v>105491</v>
      </c>
      <c r="BJ16" s="16" t="s">
        <v>92</v>
      </c>
      <c r="BK16" s="16" t="s">
        <v>92</v>
      </c>
      <c r="BL16" s="16" t="s">
        <v>172</v>
      </c>
      <c r="BM16" s="16" t="s">
        <v>92</v>
      </c>
      <c r="BN16" s="16" t="s">
        <v>173</v>
      </c>
      <c r="BO16" s="16" t="s">
        <v>92</v>
      </c>
      <c r="BP16" s="16">
        <v>0</v>
      </c>
      <c r="BQ16" s="16">
        <v>0</v>
      </c>
      <c r="BR16" s="16">
        <v>0</v>
      </c>
      <c r="BS16" s="16" t="s">
        <v>92</v>
      </c>
      <c r="BT16" s="16">
        <v>0</v>
      </c>
      <c r="BU16" s="16">
        <v>0</v>
      </c>
      <c r="BV16" s="16">
        <v>0</v>
      </c>
      <c r="BW16" s="22">
        <f>((AZ16^2)/(AZ16^2+BH16))^(1/2)</f>
        <v>0.16392498635544089</v>
      </c>
      <c r="BX16" s="22">
        <f>0.5*LN((1+BW16)/(1-BW16))</f>
        <v>0.16541742160186768</v>
      </c>
      <c r="BY16" s="22">
        <f>((1-(BX16^2)^2)/(BH16-1))</f>
        <v>1.4079910813367334E-4</v>
      </c>
      <c r="BZ16" s="22">
        <f>1/(BH16-3)</f>
        <v>1.4094432699083862E-4</v>
      </c>
      <c r="CA16" s="16" t="s">
        <v>92</v>
      </c>
      <c r="CB16" s="16">
        <f>BH16-2</f>
        <v>7096</v>
      </c>
      <c r="CC16" s="16" t="s">
        <v>92</v>
      </c>
      <c r="CD16" s="22">
        <f>((AZ16^2)/(AZ16^2+BI16))^(1/2)</f>
        <v>4.3064285945396422E-2</v>
      </c>
      <c r="CE16" s="22">
        <f>0.5*LN((1+CD16)/(1-CD16))</f>
        <v>4.3090936982660463E-2</v>
      </c>
      <c r="CF16" s="22">
        <f>((1-(CE16^2)^2)/(BI16-1))</f>
        <v>9.4795388395736247E-6</v>
      </c>
      <c r="CG16" s="22">
        <f>1/(BI16-3)</f>
        <v>9.4797512513271654E-6</v>
      </c>
      <c r="CH16" s="16"/>
      <c r="CI16" s="16"/>
      <c r="CJ16" s="16"/>
      <c r="CK16" s="16"/>
      <c r="CL16" s="16"/>
    </row>
    <row r="17" spans="1:90">
      <c r="A17" s="16" t="s">
        <v>151</v>
      </c>
      <c r="B17" s="16"/>
      <c r="C17" s="4">
        <v>1593</v>
      </c>
      <c r="D17" s="16">
        <v>522</v>
      </c>
      <c r="E17" s="16" t="s">
        <v>166</v>
      </c>
      <c r="F17" s="16">
        <v>2022</v>
      </c>
      <c r="G17" s="16" t="s">
        <v>167</v>
      </c>
      <c r="H17" s="16"/>
      <c r="I17" s="16">
        <v>1</v>
      </c>
      <c r="J17" s="16" t="s">
        <v>168</v>
      </c>
      <c r="K17" s="16"/>
      <c r="L17" s="16">
        <v>8</v>
      </c>
      <c r="M17" s="16" t="s">
        <v>144</v>
      </c>
      <c r="N17" s="16" t="s">
        <v>112</v>
      </c>
      <c r="O17" s="16" t="s">
        <v>169</v>
      </c>
      <c r="P17" s="16"/>
      <c r="Q17" s="16" t="s">
        <v>100</v>
      </c>
      <c r="R17" s="16" t="s">
        <v>101</v>
      </c>
      <c r="S17" s="16">
        <v>0</v>
      </c>
      <c r="T17" s="16" t="s">
        <v>138</v>
      </c>
      <c r="U17" s="16">
        <v>0</v>
      </c>
      <c r="V17" s="16" t="s">
        <v>114</v>
      </c>
      <c r="W17" s="16" t="s">
        <v>114</v>
      </c>
      <c r="X17" s="16" t="s">
        <v>92</v>
      </c>
      <c r="Y17" s="16">
        <v>0</v>
      </c>
      <c r="Z17" s="16">
        <v>0</v>
      </c>
      <c r="AA17" s="16">
        <v>0</v>
      </c>
      <c r="AB17" s="16">
        <v>1</v>
      </c>
      <c r="AC17" s="16">
        <v>0</v>
      </c>
      <c r="AD17" s="16">
        <v>0</v>
      </c>
      <c r="AE17" s="16">
        <v>0</v>
      </c>
      <c r="AF17" s="16">
        <v>0</v>
      </c>
      <c r="AG17" s="16" t="s">
        <v>170</v>
      </c>
      <c r="AH17" s="16">
        <v>0</v>
      </c>
      <c r="AI17" s="16">
        <v>0</v>
      </c>
      <c r="AJ17" s="16">
        <v>0</v>
      </c>
      <c r="AK17" s="16">
        <v>0</v>
      </c>
      <c r="AL17" s="16">
        <v>0</v>
      </c>
      <c r="AM17" s="16">
        <v>0</v>
      </c>
      <c r="AN17" s="16">
        <v>1</v>
      </c>
      <c r="AO17" s="16">
        <v>0</v>
      </c>
      <c r="AP17" s="16">
        <v>0</v>
      </c>
      <c r="AQ17" s="16" t="s">
        <v>163</v>
      </c>
      <c r="AR17" s="16" t="s">
        <v>149</v>
      </c>
      <c r="AS17" s="16" t="s">
        <v>171</v>
      </c>
      <c r="AT17" s="16" t="s">
        <v>116</v>
      </c>
      <c r="AU17" s="17">
        <v>0.12</v>
      </c>
      <c r="AV17" s="17" t="s">
        <v>106</v>
      </c>
      <c r="AW17" s="16">
        <v>0.04</v>
      </c>
      <c r="AX17" s="16">
        <v>0.01</v>
      </c>
      <c r="AY17" s="16">
        <v>1</v>
      </c>
      <c r="AZ17" s="20">
        <f>AU17/AW17</f>
        <v>3</v>
      </c>
      <c r="BA17" s="18">
        <f>EXP(AU17)-1</f>
        <v>0.12749685157937574</v>
      </c>
      <c r="BB17" s="16" t="s">
        <v>92</v>
      </c>
      <c r="BC17" s="16">
        <v>5492</v>
      </c>
      <c r="BD17" s="16" t="s">
        <v>92</v>
      </c>
      <c r="BE17" s="16" t="s">
        <v>92</v>
      </c>
      <c r="BF17" s="16">
        <v>986</v>
      </c>
      <c r="BG17" s="16" t="s">
        <v>92</v>
      </c>
      <c r="BH17" s="16">
        <v>7098</v>
      </c>
      <c r="BI17" s="16">
        <v>105491</v>
      </c>
      <c r="BJ17" s="16" t="s">
        <v>92</v>
      </c>
      <c r="BK17" s="16" t="s">
        <v>92</v>
      </c>
      <c r="BL17" s="16" t="s">
        <v>174</v>
      </c>
      <c r="BM17" s="16" t="s">
        <v>92</v>
      </c>
      <c r="BN17" s="16" t="s">
        <v>173</v>
      </c>
      <c r="BO17" s="16" t="s">
        <v>92</v>
      </c>
      <c r="BP17" s="16">
        <v>0</v>
      </c>
      <c r="BQ17" s="16">
        <v>0</v>
      </c>
      <c r="BR17" s="16">
        <v>0</v>
      </c>
      <c r="BS17" s="16" t="s">
        <v>92</v>
      </c>
      <c r="BT17" s="16">
        <v>0</v>
      </c>
      <c r="BU17" s="16">
        <v>0</v>
      </c>
      <c r="BV17" s="16">
        <v>0</v>
      </c>
      <c r="BW17" s="22">
        <f>((AZ17^2)/(AZ17^2+BH17))^(1/2)</f>
        <v>3.5585911716658085E-2</v>
      </c>
      <c r="BX17" s="22">
        <f>0.5*LN((1+BW17)/(1-BW17))</f>
        <v>3.5600944631340198E-2</v>
      </c>
      <c r="BY17" s="22">
        <f>((1-(BX17^2)^2)/(BH17-1))</f>
        <v>1.4090438123547189E-4</v>
      </c>
      <c r="BZ17" s="22">
        <f>1/(BH17-3)</f>
        <v>1.4094432699083862E-4</v>
      </c>
      <c r="CA17" s="16" t="s">
        <v>92</v>
      </c>
      <c r="CB17" s="16">
        <f>BH17-2</f>
        <v>7096</v>
      </c>
      <c r="CC17" s="16" t="s">
        <v>92</v>
      </c>
      <c r="CD17" s="22">
        <f>((AZ17^2)/(AZ17^2+BI17))^(1/2)</f>
        <v>9.2362360771061879E-3</v>
      </c>
      <c r="CE17" s="22">
        <f>0.5*LN((1+CD17)/(1-CD17))</f>
        <v>9.2364987323344649E-3</v>
      </c>
      <c r="CF17" s="22">
        <f>((1-(CE17^2)^2)/(BI17-1))</f>
        <v>9.4795714543720497E-6</v>
      </c>
      <c r="CG17" s="22">
        <f>1/(BI17-3)</f>
        <v>9.4797512513271654E-6</v>
      </c>
      <c r="CH17" s="16"/>
      <c r="CI17" s="16"/>
      <c r="CJ17" s="16"/>
      <c r="CK17" s="16"/>
      <c r="CL17" s="16"/>
    </row>
    <row r="18" spans="1:90">
      <c r="A18" s="16" t="s">
        <v>151</v>
      </c>
      <c r="B18" s="16"/>
      <c r="C18" s="4">
        <v>1594</v>
      </c>
      <c r="D18" s="16">
        <v>522</v>
      </c>
      <c r="E18" s="16" t="s">
        <v>166</v>
      </c>
      <c r="F18" s="16">
        <v>2022</v>
      </c>
      <c r="G18" s="16" t="s">
        <v>167</v>
      </c>
      <c r="H18" s="16"/>
      <c r="I18" s="16">
        <v>1</v>
      </c>
      <c r="J18" s="16" t="s">
        <v>168</v>
      </c>
      <c r="K18" s="16"/>
      <c r="L18" s="16">
        <v>8</v>
      </c>
      <c r="M18" s="16" t="s">
        <v>144</v>
      </c>
      <c r="N18" s="16" t="s">
        <v>112</v>
      </c>
      <c r="O18" s="16" t="s">
        <v>169</v>
      </c>
      <c r="P18" s="16"/>
      <c r="Q18" s="16" t="s">
        <v>100</v>
      </c>
      <c r="R18" s="16" t="s">
        <v>101</v>
      </c>
      <c r="S18" s="16">
        <v>0</v>
      </c>
      <c r="T18" s="16" t="s">
        <v>138</v>
      </c>
      <c r="U18" s="16">
        <v>0</v>
      </c>
      <c r="V18" s="16" t="s">
        <v>114</v>
      </c>
      <c r="W18" s="16" t="s">
        <v>114</v>
      </c>
      <c r="X18" s="16" t="s">
        <v>92</v>
      </c>
      <c r="Y18" s="16">
        <v>0</v>
      </c>
      <c r="Z18" s="16">
        <v>0</v>
      </c>
      <c r="AA18" s="16">
        <v>0</v>
      </c>
      <c r="AB18" s="16">
        <v>1</v>
      </c>
      <c r="AC18" s="16">
        <v>0</v>
      </c>
      <c r="AD18" s="16">
        <v>0</v>
      </c>
      <c r="AE18" s="16">
        <v>0</v>
      </c>
      <c r="AF18" s="16">
        <v>0</v>
      </c>
      <c r="AG18" s="16" t="s">
        <v>170</v>
      </c>
      <c r="AH18" s="16">
        <v>0</v>
      </c>
      <c r="AI18" s="16">
        <v>0</v>
      </c>
      <c r="AJ18" s="16">
        <v>0</v>
      </c>
      <c r="AK18" s="16">
        <v>0</v>
      </c>
      <c r="AL18" s="16">
        <v>0</v>
      </c>
      <c r="AM18" s="16">
        <v>0</v>
      </c>
      <c r="AN18" s="16">
        <v>0</v>
      </c>
      <c r="AO18" s="16">
        <v>1</v>
      </c>
      <c r="AP18" s="16">
        <v>0</v>
      </c>
      <c r="AQ18" s="16" t="s">
        <v>163</v>
      </c>
      <c r="AR18" s="16" t="s">
        <v>149</v>
      </c>
      <c r="AS18" s="16" t="s">
        <v>171</v>
      </c>
      <c r="AT18" s="16" t="s">
        <v>116</v>
      </c>
      <c r="AU18" s="17">
        <v>0.21</v>
      </c>
      <c r="AV18" s="17" t="s">
        <v>106</v>
      </c>
      <c r="AW18" s="16">
        <v>0.03</v>
      </c>
      <c r="AX18" s="16">
        <v>0.01</v>
      </c>
      <c r="AY18" s="16">
        <v>1</v>
      </c>
      <c r="AZ18" s="20">
        <f>AU18/AW18</f>
        <v>7</v>
      </c>
      <c r="BA18" s="18">
        <f>EXP(AU18)-1</f>
        <v>0.23367805995674318</v>
      </c>
      <c r="BB18" s="16" t="s">
        <v>92</v>
      </c>
      <c r="BC18" s="16">
        <v>5492</v>
      </c>
      <c r="BD18" s="16" t="s">
        <v>92</v>
      </c>
      <c r="BE18" s="16" t="s">
        <v>92</v>
      </c>
      <c r="BF18" s="16">
        <v>620</v>
      </c>
      <c r="BG18" s="16" t="s">
        <v>92</v>
      </c>
      <c r="BH18" s="16">
        <v>7098</v>
      </c>
      <c r="BI18" s="16">
        <v>105491</v>
      </c>
      <c r="BJ18" s="16" t="s">
        <v>92</v>
      </c>
      <c r="BK18" s="16" t="s">
        <v>92</v>
      </c>
      <c r="BL18" s="16" t="s">
        <v>172</v>
      </c>
      <c r="BM18" s="16" t="s">
        <v>92</v>
      </c>
      <c r="BN18" s="16" t="s">
        <v>173</v>
      </c>
      <c r="BO18" s="16" t="s">
        <v>92</v>
      </c>
      <c r="BP18" s="16">
        <v>0</v>
      </c>
      <c r="BQ18" s="16">
        <v>0</v>
      </c>
      <c r="BR18" s="16">
        <v>0</v>
      </c>
      <c r="BS18" s="16" t="s">
        <v>92</v>
      </c>
      <c r="BT18" s="16">
        <v>0</v>
      </c>
      <c r="BU18" s="16">
        <v>0</v>
      </c>
      <c r="BV18" s="16">
        <v>0</v>
      </c>
      <c r="BW18" s="22">
        <f>((AZ18^2)/(AZ18^2+BH18))^(1/2)</f>
        <v>8.2801108122816255E-2</v>
      </c>
      <c r="BX18" s="22">
        <f>0.5*LN((1+BW18)/(1-BW18))</f>
        <v>8.2991119150674517E-2</v>
      </c>
      <c r="BY18" s="22">
        <f>((1-(BX18^2)^2)/(BH18-1))</f>
        <v>1.408979233461402E-4</v>
      </c>
      <c r="BZ18" s="22">
        <f>1/(BH18-3)</f>
        <v>1.4094432699083862E-4</v>
      </c>
      <c r="CA18" s="16" t="s">
        <v>92</v>
      </c>
      <c r="CB18" s="16">
        <f>BH18-2</f>
        <v>7096</v>
      </c>
      <c r="CC18" s="16" t="s">
        <v>92</v>
      </c>
      <c r="CD18" s="22">
        <f>((AZ18^2)/(AZ18^2+BI18))^(1/2)</f>
        <v>2.1547133135780362E-2</v>
      </c>
      <c r="CE18" s="22">
        <f>0.5*LN((1+CD18)/(1-CD18))</f>
        <v>2.1550468691763316E-2</v>
      </c>
      <c r="CF18" s="22">
        <f>((1-(CE18^2)^2)/(BI18-1))</f>
        <v>9.4795694787331014E-6</v>
      </c>
      <c r="CG18" s="22">
        <f>1/(BI18-3)</f>
        <v>9.4797512513271654E-6</v>
      </c>
      <c r="CH18" s="16"/>
      <c r="CI18" s="16"/>
      <c r="CJ18" s="16"/>
      <c r="CK18" s="16"/>
      <c r="CL18" s="16"/>
    </row>
    <row r="19" spans="1:90">
      <c r="A19" s="16" t="s">
        <v>151</v>
      </c>
      <c r="B19" s="16"/>
      <c r="C19" s="4">
        <v>1595</v>
      </c>
      <c r="D19" s="16">
        <v>522</v>
      </c>
      <c r="E19" s="16" t="s">
        <v>166</v>
      </c>
      <c r="F19" s="16">
        <v>2022</v>
      </c>
      <c r="G19" s="16" t="s">
        <v>167</v>
      </c>
      <c r="H19" s="16"/>
      <c r="I19" s="16">
        <v>1</v>
      </c>
      <c r="J19" s="16" t="s">
        <v>168</v>
      </c>
      <c r="K19" s="16"/>
      <c r="L19" s="16">
        <v>8</v>
      </c>
      <c r="M19" s="16" t="s">
        <v>144</v>
      </c>
      <c r="N19" s="16" t="s">
        <v>112</v>
      </c>
      <c r="O19" s="16" t="s">
        <v>169</v>
      </c>
      <c r="P19" s="16"/>
      <c r="Q19" s="16" t="s">
        <v>100</v>
      </c>
      <c r="R19" s="16" t="s">
        <v>101</v>
      </c>
      <c r="S19" s="16">
        <v>0</v>
      </c>
      <c r="T19" s="16" t="s">
        <v>138</v>
      </c>
      <c r="U19" s="16">
        <v>0</v>
      </c>
      <c r="V19" s="16" t="s">
        <v>114</v>
      </c>
      <c r="W19" s="16" t="s">
        <v>114</v>
      </c>
      <c r="X19" s="16" t="s">
        <v>92</v>
      </c>
      <c r="Y19" s="16">
        <v>0</v>
      </c>
      <c r="Z19" s="16">
        <v>0</v>
      </c>
      <c r="AA19" s="16">
        <v>0</v>
      </c>
      <c r="AB19" s="16">
        <v>1</v>
      </c>
      <c r="AC19" s="16">
        <v>0</v>
      </c>
      <c r="AD19" s="16">
        <v>0</v>
      </c>
      <c r="AE19" s="16">
        <v>0</v>
      </c>
      <c r="AF19" s="16">
        <v>0</v>
      </c>
      <c r="AG19" s="16" t="s">
        <v>170</v>
      </c>
      <c r="AH19" s="16">
        <v>0</v>
      </c>
      <c r="AI19" s="16">
        <v>0</v>
      </c>
      <c r="AJ19" s="16">
        <v>0</v>
      </c>
      <c r="AK19" s="16">
        <v>0</v>
      </c>
      <c r="AL19" s="16">
        <v>0</v>
      </c>
      <c r="AM19" s="16">
        <v>0</v>
      </c>
      <c r="AN19" s="16">
        <v>1</v>
      </c>
      <c r="AO19" s="16">
        <v>0</v>
      </c>
      <c r="AP19" s="16">
        <v>0</v>
      </c>
      <c r="AQ19" s="16" t="s">
        <v>163</v>
      </c>
      <c r="AR19" s="16" t="s">
        <v>149</v>
      </c>
      <c r="AS19" s="16" t="s">
        <v>171</v>
      </c>
      <c r="AT19" s="16" t="s">
        <v>116</v>
      </c>
      <c r="AU19" s="17">
        <v>0.13</v>
      </c>
      <c r="AV19" s="17" t="s">
        <v>106</v>
      </c>
      <c r="AW19" s="16">
        <v>0.06</v>
      </c>
      <c r="AX19" s="16">
        <v>0.05</v>
      </c>
      <c r="AY19" s="16">
        <v>1</v>
      </c>
      <c r="AZ19" s="20">
        <f>AU19/AW19</f>
        <v>2.166666666666667</v>
      </c>
      <c r="BA19" s="18">
        <f>EXP(AU19)-1</f>
        <v>0.13882838332462177</v>
      </c>
      <c r="BB19" s="16" t="s">
        <v>92</v>
      </c>
      <c r="BC19" s="16">
        <v>5492</v>
      </c>
      <c r="BD19" s="16" t="s">
        <v>92</v>
      </c>
      <c r="BE19" s="16" t="s">
        <v>92</v>
      </c>
      <c r="BF19" s="16">
        <v>620</v>
      </c>
      <c r="BG19" s="16" t="s">
        <v>92</v>
      </c>
      <c r="BH19" s="16">
        <v>7098</v>
      </c>
      <c r="BI19" s="16">
        <v>105491</v>
      </c>
      <c r="BJ19" s="16" t="s">
        <v>92</v>
      </c>
      <c r="BK19" s="16" t="s">
        <v>92</v>
      </c>
      <c r="BL19" s="16" t="s">
        <v>175</v>
      </c>
      <c r="BM19" s="16" t="s">
        <v>92</v>
      </c>
      <c r="BN19" s="16" t="s">
        <v>173</v>
      </c>
      <c r="BO19" s="16" t="s">
        <v>92</v>
      </c>
      <c r="BP19" s="16">
        <v>0</v>
      </c>
      <c r="BQ19" s="16">
        <v>0</v>
      </c>
      <c r="BR19" s="16">
        <v>0</v>
      </c>
      <c r="BS19" s="16" t="s">
        <v>92</v>
      </c>
      <c r="BT19" s="16">
        <v>0</v>
      </c>
      <c r="BU19" s="16">
        <v>0</v>
      </c>
      <c r="BV19" s="16">
        <v>0</v>
      </c>
      <c r="BW19" s="22">
        <f>((AZ19^2)/(AZ19^2+BH19))^(1/2)</f>
        <v>2.5708724836453044E-2</v>
      </c>
      <c r="BX19" s="22">
        <f>0.5*LN((1+BW19)/(1-BW19))</f>
        <v>2.5714391045923032E-2</v>
      </c>
      <c r="BY19" s="22">
        <f>((1-(BX19^2)^2)/(BH19-1))</f>
        <v>1.4090454597365229E-4</v>
      </c>
      <c r="BZ19" s="22">
        <f>1/(BH19-3)</f>
        <v>1.4094432699083862E-4</v>
      </c>
      <c r="CA19" s="16" t="s">
        <v>92</v>
      </c>
      <c r="CB19" s="16">
        <f>BH19-2</f>
        <v>7096</v>
      </c>
      <c r="CC19" s="16" t="s">
        <v>92</v>
      </c>
      <c r="CD19" s="22">
        <f>((AZ19^2)/(AZ19^2+BI19))^(1/2)</f>
        <v>6.6707510658200716E-3</v>
      </c>
      <c r="CE19" s="22">
        <f>0.5*LN((1+CD19)/(1-CD19))</f>
        <v>6.6708500155341867E-3</v>
      </c>
      <c r="CF19" s="22">
        <f>((1-(CE19^2)^2)/(BI19-1))</f>
        <v>9.4795715045950201E-6</v>
      </c>
      <c r="CG19" s="22">
        <f>1/(BI19-3)</f>
        <v>9.4797512513271654E-6</v>
      </c>
      <c r="CH19" s="16"/>
      <c r="CI19" s="16"/>
      <c r="CJ19" s="16"/>
      <c r="CK19" s="16"/>
      <c r="CL19" s="16"/>
    </row>
    <row r="20" spans="1:90">
      <c r="A20" s="21" t="s">
        <v>176</v>
      </c>
      <c r="B20" s="21"/>
      <c r="C20" s="4">
        <v>1603</v>
      </c>
      <c r="D20" s="21">
        <v>525</v>
      </c>
      <c r="E20" s="21" t="s">
        <v>177</v>
      </c>
      <c r="F20" s="21">
        <v>2023</v>
      </c>
      <c r="G20" s="21" t="s">
        <v>178</v>
      </c>
      <c r="H20" s="21" t="s">
        <v>179</v>
      </c>
      <c r="I20" s="21">
        <v>1</v>
      </c>
      <c r="J20" s="21">
        <v>2009</v>
      </c>
      <c r="K20" s="21" t="s">
        <v>92</v>
      </c>
      <c r="L20" s="21"/>
      <c r="M20" s="21" t="s">
        <v>96</v>
      </c>
      <c r="N20" s="21" t="s">
        <v>112</v>
      </c>
      <c r="O20" s="21" t="s">
        <v>180</v>
      </c>
      <c r="P20" s="21" t="s">
        <v>181</v>
      </c>
      <c r="Q20" s="21" t="s">
        <v>100</v>
      </c>
      <c r="R20" s="21" t="s">
        <v>101</v>
      </c>
      <c r="S20" s="21">
        <v>0</v>
      </c>
      <c r="T20" s="21" t="s">
        <v>138</v>
      </c>
      <c r="U20" s="21">
        <v>1</v>
      </c>
      <c r="V20" s="21" t="s">
        <v>114</v>
      </c>
      <c r="W20" s="21" t="s">
        <v>114</v>
      </c>
      <c r="X20" s="21" t="s">
        <v>182</v>
      </c>
      <c r="Y20" s="21">
        <v>0</v>
      </c>
      <c r="Z20" s="21">
        <v>0</v>
      </c>
      <c r="AA20" s="21">
        <v>0</v>
      </c>
      <c r="AB20" s="21">
        <v>1</v>
      </c>
      <c r="AC20" s="21">
        <v>0</v>
      </c>
      <c r="AD20" s="21">
        <v>1</v>
      </c>
      <c r="AE20" s="21">
        <v>0</v>
      </c>
      <c r="AF20" s="21">
        <v>0</v>
      </c>
      <c r="AG20" s="21" t="s">
        <v>183</v>
      </c>
      <c r="AH20" s="21">
        <v>0</v>
      </c>
      <c r="AI20" s="21">
        <v>0</v>
      </c>
      <c r="AJ20" s="21">
        <v>0</v>
      </c>
      <c r="AK20" s="21">
        <v>0</v>
      </c>
      <c r="AL20" s="21">
        <v>0</v>
      </c>
      <c r="AM20" s="21">
        <v>1</v>
      </c>
      <c r="AN20" s="21">
        <v>0</v>
      </c>
      <c r="AO20" s="21">
        <v>0</v>
      </c>
      <c r="AP20" s="21">
        <v>0</v>
      </c>
      <c r="AQ20" s="21" t="s">
        <v>184</v>
      </c>
      <c r="AR20" s="21" t="s">
        <v>92</v>
      </c>
      <c r="AS20" s="21" t="s">
        <v>184</v>
      </c>
      <c r="AT20" s="21" t="s">
        <v>185</v>
      </c>
      <c r="AU20" s="21">
        <v>0.19</v>
      </c>
      <c r="AV20" s="21" t="s">
        <v>117</v>
      </c>
      <c r="AW20" s="21">
        <v>0.05</v>
      </c>
      <c r="AX20" s="21">
        <v>1E-3</v>
      </c>
      <c r="AY20" s="21">
        <v>3</v>
      </c>
      <c r="AZ20" s="21">
        <f>(AU20/AW20)</f>
        <v>3.8</v>
      </c>
      <c r="BA20" s="23" t="s">
        <v>92</v>
      </c>
      <c r="BB20" s="21" t="s">
        <v>92</v>
      </c>
      <c r="BC20" s="24">
        <v>10613</v>
      </c>
      <c r="BD20" s="21" t="s">
        <v>92</v>
      </c>
      <c r="BE20" s="21" t="s">
        <v>92</v>
      </c>
      <c r="BF20" s="21">
        <v>429</v>
      </c>
      <c r="BG20" s="21" t="s">
        <v>92</v>
      </c>
      <c r="BH20" s="24">
        <v>10977</v>
      </c>
      <c r="BI20" s="24">
        <v>10977</v>
      </c>
      <c r="BJ20" s="21"/>
      <c r="BK20" s="21" t="s">
        <v>92</v>
      </c>
      <c r="BL20" s="21" t="s">
        <v>92</v>
      </c>
      <c r="BM20" s="21" t="s">
        <v>92</v>
      </c>
      <c r="BN20" s="21" t="s">
        <v>92</v>
      </c>
      <c r="BO20" s="21" t="s">
        <v>92</v>
      </c>
      <c r="BP20" s="16" t="s">
        <v>92</v>
      </c>
      <c r="BQ20" s="21" t="s">
        <v>92</v>
      </c>
      <c r="BR20" s="16" t="s">
        <v>92</v>
      </c>
      <c r="BS20" s="16" t="s">
        <v>92</v>
      </c>
      <c r="BT20" s="21">
        <v>1</v>
      </c>
      <c r="BU20" s="21">
        <v>1</v>
      </c>
      <c r="BV20" s="21">
        <v>1</v>
      </c>
      <c r="BW20" s="22">
        <f>((AZ20^2)/(AZ20^2+BH20))^(1/2)</f>
        <v>3.624568400218809E-2</v>
      </c>
      <c r="BX20" s="22">
        <f>0.5*LN((1+BW20)/(1-BW20))</f>
        <v>3.6261569109894462E-2</v>
      </c>
      <c r="BY20" s="22">
        <f>((1-(BX20^2)^2)/(BH20-1))</f>
        <v>9.110771419773354E-5</v>
      </c>
      <c r="BZ20" s="22">
        <f>1/(BH20-3)</f>
        <v>9.1124476034262807E-5</v>
      </c>
      <c r="CA20" s="16" t="s">
        <v>92</v>
      </c>
      <c r="CB20" s="16">
        <f>BH20-2</f>
        <v>10975</v>
      </c>
      <c r="CC20" s="16" t="s">
        <v>92</v>
      </c>
      <c r="CD20" s="22">
        <f>((AZ20^2)/(AZ20^2+BI20))^(1/2)</f>
        <v>3.624568400218809E-2</v>
      </c>
      <c r="CE20" s="22">
        <f>0.5*LN((1+CD20)/(1-CD20))</f>
        <v>3.6261569109894462E-2</v>
      </c>
      <c r="CF20" s="22">
        <f>((1-(CE20^2)^2)/(BI20-1))</f>
        <v>9.110771419773354E-5</v>
      </c>
      <c r="CG20" s="22">
        <f>1/(BI20-3)</f>
        <v>9.1124476034262807E-5</v>
      </c>
      <c r="CH20" s="22"/>
      <c r="CI20" s="22"/>
      <c r="CJ20" s="16"/>
      <c r="CK20" s="16"/>
      <c r="CL20" s="16"/>
    </row>
    <row r="21" spans="1:90">
      <c r="A21" s="21" t="s">
        <v>176</v>
      </c>
      <c r="B21" s="21"/>
      <c r="C21" s="4">
        <v>1604</v>
      </c>
      <c r="D21" s="21">
        <v>525</v>
      </c>
      <c r="E21" s="21" t="s">
        <v>177</v>
      </c>
      <c r="F21" s="21">
        <v>2023</v>
      </c>
      <c r="G21" s="21" t="s">
        <v>178</v>
      </c>
      <c r="H21" s="21" t="s">
        <v>179</v>
      </c>
      <c r="I21" s="21">
        <v>1</v>
      </c>
      <c r="J21" s="21">
        <v>2009</v>
      </c>
      <c r="K21" s="21" t="s">
        <v>92</v>
      </c>
      <c r="L21" s="21"/>
      <c r="M21" s="21" t="s">
        <v>186</v>
      </c>
      <c r="N21" s="21" t="s">
        <v>112</v>
      </c>
      <c r="O21" s="21" t="s">
        <v>180</v>
      </c>
      <c r="P21" s="21" t="s">
        <v>181</v>
      </c>
      <c r="Q21" s="21" t="s">
        <v>100</v>
      </c>
      <c r="R21" s="21" t="s">
        <v>101</v>
      </c>
      <c r="S21" s="21">
        <v>0</v>
      </c>
      <c r="T21" s="21" t="s">
        <v>138</v>
      </c>
      <c r="U21" s="21">
        <v>1</v>
      </c>
      <c r="V21" s="21" t="s">
        <v>114</v>
      </c>
      <c r="W21" s="21" t="s">
        <v>114</v>
      </c>
      <c r="X21" s="21" t="s">
        <v>182</v>
      </c>
      <c r="Y21" s="21">
        <v>0</v>
      </c>
      <c r="Z21" s="21">
        <v>0</v>
      </c>
      <c r="AA21" s="21">
        <v>0</v>
      </c>
      <c r="AB21" s="21">
        <v>1</v>
      </c>
      <c r="AC21" s="21">
        <v>0</v>
      </c>
      <c r="AD21" s="21">
        <v>1</v>
      </c>
      <c r="AE21" s="21">
        <v>0</v>
      </c>
      <c r="AF21" s="21">
        <v>0</v>
      </c>
      <c r="AG21" s="21" t="s">
        <v>183</v>
      </c>
      <c r="AH21" s="21">
        <v>0</v>
      </c>
      <c r="AI21" s="21">
        <v>0</v>
      </c>
      <c r="AJ21" s="21">
        <v>0</v>
      </c>
      <c r="AK21" s="21">
        <v>0</v>
      </c>
      <c r="AL21" s="21">
        <v>0</v>
      </c>
      <c r="AM21" s="21">
        <v>1</v>
      </c>
      <c r="AN21" s="21">
        <v>0</v>
      </c>
      <c r="AO21" s="21">
        <v>0</v>
      </c>
      <c r="AP21" s="21">
        <v>0</v>
      </c>
      <c r="AQ21" s="21" t="s">
        <v>184</v>
      </c>
      <c r="AR21" s="21" t="s">
        <v>92</v>
      </c>
      <c r="AS21" s="21" t="s">
        <v>184</v>
      </c>
      <c r="AT21" s="21" t="s">
        <v>185</v>
      </c>
      <c r="AU21" s="21">
        <v>0.27</v>
      </c>
      <c r="AV21" s="21" t="s">
        <v>117</v>
      </c>
      <c r="AW21" s="21">
        <v>7.0000000000000007E-2</v>
      </c>
      <c r="AX21" s="21">
        <v>1E-3</v>
      </c>
      <c r="AY21" s="21">
        <v>3</v>
      </c>
      <c r="AZ21" s="21">
        <f>(AU21/AW21)</f>
        <v>3.8571428571428572</v>
      </c>
      <c r="BA21" s="23" t="s">
        <v>92</v>
      </c>
      <c r="BB21" s="21" t="s">
        <v>92</v>
      </c>
      <c r="BC21" s="24">
        <v>10613</v>
      </c>
      <c r="BD21" s="21" t="s">
        <v>92</v>
      </c>
      <c r="BE21" s="21" t="s">
        <v>92</v>
      </c>
      <c r="BF21" s="21">
        <v>429</v>
      </c>
      <c r="BG21" s="21" t="s">
        <v>92</v>
      </c>
      <c r="BH21" s="24">
        <v>10977</v>
      </c>
      <c r="BI21" s="24">
        <v>10977</v>
      </c>
      <c r="BJ21" s="21"/>
      <c r="BK21" s="21" t="s">
        <v>92</v>
      </c>
      <c r="BL21" s="21" t="s">
        <v>92</v>
      </c>
      <c r="BM21" s="21" t="s">
        <v>92</v>
      </c>
      <c r="BN21" s="21" t="s">
        <v>92</v>
      </c>
      <c r="BO21" s="21" t="s">
        <v>92</v>
      </c>
      <c r="BP21" s="21" t="s">
        <v>92</v>
      </c>
      <c r="BQ21" s="21" t="s">
        <v>92</v>
      </c>
      <c r="BR21" s="21" t="s">
        <v>92</v>
      </c>
      <c r="BS21" s="21" t="s">
        <v>92</v>
      </c>
      <c r="BT21" s="21">
        <v>1</v>
      </c>
      <c r="BU21" s="21">
        <v>1</v>
      </c>
      <c r="BV21" s="21">
        <v>1</v>
      </c>
      <c r="BW21" s="22">
        <f>((AZ21^2)/(AZ21^2+BH21))^(1/2)</f>
        <v>3.6789999614734517E-2</v>
      </c>
      <c r="BX21" s="22">
        <f>0.5*LN((1+BW21)/(1-BW21))</f>
        <v>3.6806611578864321E-2</v>
      </c>
      <c r="BY21" s="22">
        <f>((1-(BX21^2)^2)/(BH21-1))</f>
        <v>9.1107704511268924E-5</v>
      </c>
      <c r="BZ21" s="22">
        <f>1/(BH21-3)</f>
        <v>9.1124476034262807E-5</v>
      </c>
      <c r="CA21" s="16" t="s">
        <v>92</v>
      </c>
      <c r="CB21" s="16">
        <f>BH21-2</f>
        <v>10975</v>
      </c>
      <c r="CC21" s="16" t="s">
        <v>92</v>
      </c>
      <c r="CD21" s="22">
        <f>((AZ21^2)/(AZ21^2+BI21))^(1/2)</f>
        <v>3.6789999614734517E-2</v>
      </c>
      <c r="CE21" s="22">
        <f>0.5*LN((1+CD21)/(1-CD21))</f>
        <v>3.6806611578864321E-2</v>
      </c>
      <c r="CF21" s="22">
        <f>((1-(CE21^2)^2)/(BI21-1))</f>
        <v>9.1107704511268924E-5</v>
      </c>
      <c r="CG21" s="22">
        <f>1/(BI21-3)</f>
        <v>9.1124476034262807E-5</v>
      </c>
      <c r="CH21" s="22"/>
      <c r="CI21" s="22"/>
      <c r="CJ21" s="16"/>
      <c r="CK21" s="16"/>
      <c r="CL21" s="16"/>
    </row>
    <row r="22" spans="1:90">
      <c r="A22" s="21" t="s">
        <v>176</v>
      </c>
      <c r="B22" s="21"/>
      <c r="C22" s="4">
        <v>1605</v>
      </c>
      <c r="D22" s="21">
        <v>525</v>
      </c>
      <c r="E22" s="21" t="s">
        <v>177</v>
      </c>
      <c r="F22" s="21">
        <v>2023</v>
      </c>
      <c r="G22" s="21" t="s">
        <v>178</v>
      </c>
      <c r="H22" s="21" t="s">
        <v>179</v>
      </c>
      <c r="I22" s="21">
        <v>1</v>
      </c>
      <c r="J22" s="21">
        <v>2009</v>
      </c>
      <c r="K22" s="21" t="s">
        <v>92</v>
      </c>
      <c r="L22" s="21"/>
      <c r="M22" s="21" t="s">
        <v>187</v>
      </c>
      <c r="N22" s="21" t="s">
        <v>112</v>
      </c>
      <c r="O22" s="21" t="s">
        <v>180</v>
      </c>
      <c r="P22" s="21" t="s">
        <v>181</v>
      </c>
      <c r="Q22" s="21" t="s">
        <v>100</v>
      </c>
      <c r="R22" s="21" t="s">
        <v>101</v>
      </c>
      <c r="S22" s="21">
        <v>0</v>
      </c>
      <c r="T22" s="21" t="s">
        <v>138</v>
      </c>
      <c r="U22" s="21">
        <v>1</v>
      </c>
      <c r="V22" s="21" t="s">
        <v>114</v>
      </c>
      <c r="W22" s="21" t="s">
        <v>114</v>
      </c>
      <c r="X22" s="21" t="s">
        <v>182</v>
      </c>
      <c r="Y22" s="21">
        <v>0</v>
      </c>
      <c r="Z22" s="21">
        <v>0</v>
      </c>
      <c r="AA22" s="21">
        <v>0</v>
      </c>
      <c r="AB22" s="21">
        <v>1</v>
      </c>
      <c r="AC22" s="21">
        <v>0</v>
      </c>
      <c r="AD22" s="21">
        <v>1</v>
      </c>
      <c r="AE22" s="21">
        <v>0</v>
      </c>
      <c r="AF22" s="21">
        <v>0</v>
      </c>
      <c r="AG22" s="21" t="s">
        <v>183</v>
      </c>
      <c r="AH22" s="21">
        <v>0</v>
      </c>
      <c r="AI22" s="21">
        <v>0</v>
      </c>
      <c r="AJ22" s="21">
        <v>0</v>
      </c>
      <c r="AK22" s="21">
        <v>0</v>
      </c>
      <c r="AL22" s="21">
        <v>0</v>
      </c>
      <c r="AM22" s="21">
        <v>1</v>
      </c>
      <c r="AN22" s="21">
        <v>0</v>
      </c>
      <c r="AO22" s="21">
        <v>0</v>
      </c>
      <c r="AP22" s="21">
        <v>0</v>
      </c>
      <c r="AQ22" s="21" t="s">
        <v>184</v>
      </c>
      <c r="AR22" s="21" t="s">
        <v>92</v>
      </c>
      <c r="AS22" s="21" t="s">
        <v>184</v>
      </c>
      <c r="AT22" s="21" t="s">
        <v>185</v>
      </c>
      <c r="AU22" s="21">
        <v>0.28999999999999998</v>
      </c>
      <c r="AV22" s="21" t="s">
        <v>117</v>
      </c>
      <c r="AW22" s="21">
        <v>0.1</v>
      </c>
      <c r="AX22" s="21">
        <v>1E-3</v>
      </c>
      <c r="AY22" s="21">
        <v>3</v>
      </c>
      <c r="AZ22" s="21">
        <f>(AU22/AW22)</f>
        <v>2.8999999999999995</v>
      </c>
      <c r="BA22" s="23" t="s">
        <v>92</v>
      </c>
      <c r="BB22" s="21" t="s">
        <v>92</v>
      </c>
      <c r="BC22" s="24">
        <v>10613</v>
      </c>
      <c r="BD22" s="21" t="s">
        <v>92</v>
      </c>
      <c r="BE22" s="21" t="s">
        <v>92</v>
      </c>
      <c r="BF22" s="21">
        <v>429</v>
      </c>
      <c r="BG22" s="21" t="s">
        <v>92</v>
      </c>
      <c r="BH22" s="24">
        <v>10977</v>
      </c>
      <c r="BI22" s="24">
        <v>10977</v>
      </c>
      <c r="BJ22" s="21"/>
      <c r="BK22" s="21" t="s">
        <v>92</v>
      </c>
      <c r="BL22" s="21" t="s">
        <v>92</v>
      </c>
      <c r="BM22" s="21" t="s">
        <v>92</v>
      </c>
      <c r="BN22" s="21" t="s">
        <v>92</v>
      </c>
      <c r="BO22" s="21" t="s">
        <v>92</v>
      </c>
      <c r="BP22" s="16" t="s">
        <v>92</v>
      </c>
      <c r="BQ22" s="21" t="s">
        <v>92</v>
      </c>
      <c r="BR22" s="16" t="s">
        <v>92</v>
      </c>
      <c r="BS22" s="16" t="s">
        <v>92</v>
      </c>
      <c r="BT22" s="21">
        <v>1</v>
      </c>
      <c r="BU22" s="21">
        <v>1</v>
      </c>
      <c r="BV22" s="21">
        <v>1</v>
      </c>
      <c r="BW22" s="22">
        <f>((AZ22^2)/(AZ22^2+BH22))^(1/2)</f>
        <v>2.7668770602258228E-2</v>
      </c>
      <c r="BX22" s="22">
        <f>0.5*LN((1+BW22)/(1-BW22))</f>
        <v>2.7675834556608221E-2</v>
      </c>
      <c r="BY22" s="22">
        <f>((1-(BX22^2)^2)/(BH22-1))</f>
        <v>9.1107818268751077E-5</v>
      </c>
      <c r="BZ22" s="22">
        <f>1/(BH22-3)</f>
        <v>9.1124476034262807E-5</v>
      </c>
      <c r="CA22" s="16" t="s">
        <v>92</v>
      </c>
      <c r="CB22" s="26">
        <f>BH22-2</f>
        <v>10975</v>
      </c>
      <c r="CC22" s="16" t="s">
        <v>92</v>
      </c>
      <c r="CD22" s="22">
        <f>((AZ22^2)/(AZ22^2+BI22))^(1/2)</f>
        <v>2.7668770602258228E-2</v>
      </c>
      <c r="CE22" s="22">
        <f>0.5*LN((1+CD22)/(1-CD22))</f>
        <v>2.7675834556608221E-2</v>
      </c>
      <c r="CF22" s="22">
        <f>((1-(CE22^2)^2)/(BI22-1))</f>
        <v>9.1107818268751077E-5</v>
      </c>
      <c r="CG22" s="22">
        <f>1/(BI22-3)</f>
        <v>9.1124476034262807E-5</v>
      </c>
      <c r="CH22" s="22"/>
      <c r="CI22" s="22"/>
      <c r="CJ22" s="16"/>
      <c r="CK22" s="16"/>
      <c r="CL22" s="16"/>
    </row>
    <row r="23" spans="1:90">
      <c r="K23" s="56"/>
      <c r="AU23" s="61"/>
      <c r="AV23" s="57"/>
      <c r="BW23" s="59"/>
      <c r="BX23" s="59"/>
      <c r="BY23" s="59"/>
      <c r="BZ23" s="59"/>
      <c r="CA23" s="59"/>
    </row>
    <row r="24" spans="1:90">
      <c r="D24" s="56"/>
      <c r="AU24" s="61"/>
      <c r="AV24" s="57"/>
      <c r="BH24" s="62"/>
      <c r="BI24" s="62"/>
      <c r="BW24" s="59"/>
      <c r="BX24" s="59"/>
      <c r="BY24" s="59"/>
      <c r="BZ24" s="59"/>
      <c r="CA24" s="59"/>
    </row>
    <row r="25" spans="1:90">
      <c r="D25" s="56"/>
      <c r="AU25" s="57"/>
      <c r="AV25" s="57"/>
      <c r="BA25" s="57"/>
      <c r="BI25" s="63"/>
      <c r="BW25" s="59"/>
      <c r="BX25" s="59"/>
      <c r="BY25" s="59"/>
      <c r="BZ25" s="59"/>
      <c r="CA25" s="59"/>
      <c r="CB25" s="56"/>
    </row>
    <row r="26" spans="1:90">
      <c r="D26" s="56"/>
      <c r="AU26" s="57"/>
      <c r="AV26" s="57"/>
      <c r="BA26" s="57"/>
      <c r="BW26" s="59"/>
      <c r="BX26" s="59"/>
      <c r="BY26" s="59"/>
      <c r="BZ26" s="59"/>
      <c r="CA26" s="59"/>
      <c r="CB26" s="56"/>
    </row>
    <row r="27" spans="1:90">
      <c r="D27" s="56"/>
      <c r="AU27" s="57"/>
      <c r="AV27" s="57"/>
      <c r="BA27" s="57"/>
      <c r="BW27" s="59"/>
      <c r="BX27" s="59"/>
      <c r="BY27" s="59"/>
      <c r="BZ27" s="59"/>
      <c r="CA27" s="59"/>
      <c r="CB27" s="56"/>
    </row>
    <row r="28" spans="1:90">
      <c r="D28" s="56"/>
      <c r="AU28" s="57"/>
      <c r="AV28" s="57"/>
      <c r="BA28" s="57"/>
      <c r="BW28" s="59"/>
      <c r="BX28" s="59"/>
      <c r="BY28" s="59"/>
      <c r="BZ28" s="59"/>
      <c r="CA28" s="59"/>
      <c r="CB28" s="56"/>
    </row>
    <row r="29" spans="1:90">
      <c r="D29" s="56"/>
      <c r="AU29" s="64"/>
      <c r="AV29" s="57"/>
      <c r="BA29" s="57"/>
      <c r="BW29" s="59"/>
      <c r="BX29" s="59"/>
      <c r="BY29" s="59"/>
      <c r="BZ29" s="59"/>
      <c r="CA29" s="59"/>
    </row>
    <row r="30" spans="1:90">
      <c r="D30" s="56"/>
      <c r="AU30" s="64"/>
      <c r="AV30" s="57"/>
      <c r="BA30" s="57"/>
      <c r="BW30" s="59"/>
      <c r="BX30" s="59"/>
      <c r="BY30" s="59"/>
      <c r="BZ30" s="59"/>
      <c r="CA30" s="59"/>
    </row>
    <row r="31" spans="1:90">
      <c r="D31" s="56"/>
      <c r="AU31" s="64"/>
      <c r="AV31" s="57"/>
      <c r="BA31" s="57"/>
      <c r="BW31" s="59"/>
      <c r="BX31" s="59"/>
      <c r="BY31" s="59"/>
      <c r="BZ31" s="59"/>
      <c r="CA31" s="59"/>
    </row>
    <row r="32" spans="1:90">
      <c r="D32" s="56"/>
      <c r="AU32" s="64"/>
      <c r="AV32" s="57"/>
      <c r="BA32" s="57"/>
      <c r="BW32" s="59"/>
      <c r="BX32" s="59"/>
      <c r="BY32" s="59"/>
      <c r="BZ32" s="59"/>
      <c r="CA32" s="59"/>
    </row>
    <row r="33" spans="4:79">
      <c r="D33" s="56"/>
      <c r="AU33" s="64"/>
      <c r="AV33" s="57"/>
      <c r="BA33" s="57"/>
      <c r="BW33" s="59"/>
      <c r="BX33" s="59"/>
      <c r="BY33" s="59"/>
      <c r="BZ33" s="59"/>
      <c r="CA33" s="59"/>
    </row>
    <row r="34" spans="4:79">
      <c r="D34" s="56"/>
      <c r="AU34" s="64"/>
      <c r="AV34" s="57"/>
      <c r="BA34" s="57"/>
      <c r="BW34" s="59"/>
      <c r="BX34" s="59"/>
      <c r="BY34" s="59"/>
      <c r="BZ34" s="59"/>
      <c r="CA34" s="59"/>
    </row>
    <row r="35" spans="4:79">
      <c r="D35" s="56"/>
      <c r="AU35" s="64"/>
      <c r="AV35" s="57"/>
      <c r="BA35" s="57"/>
      <c r="BW35" s="59"/>
      <c r="BX35" s="59"/>
      <c r="BY35" s="59"/>
      <c r="BZ35" s="59"/>
      <c r="CA35" s="59"/>
    </row>
    <row r="36" spans="4:79">
      <c r="D36" s="56"/>
      <c r="AU36" s="64"/>
      <c r="AV36" s="57"/>
      <c r="BA36" s="57"/>
      <c r="BW36" s="59"/>
      <c r="BX36" s="59"/>
      <c r="BY36" s="59"/>
      <c r="BZ36" s="59"/>
      <c r="CA36" s="59"/>
    </row>
    <row r="37" spans="4:79">
      <c r="D37" s="56"/>
      <c r="AU37" s="64"/>
      <c r="AV37" s="57"/>
      <c r="BA37" s="57"/>
      <c r="BW37" s="59"/>
      <c r="BX37" s="59"/>
      <c r="BY37" s="59"/>
      <c r="BZ37" s="59"/>
      <c r="CA37" s="59"/>
    </row>
    <row r="38" spans="4:79">
      <c r="AU38" s="65"/>
      <c r="AV38" s="57"/>
      <c r="BW38" s="59"/>
      <c r="BX38" s="59"/>
      <c r="BY38" s="59"/>
      <c r="BZ38" s="59"/>
      <c r="CA38" s="59"/>
    </row>
    <row r="39" spans="4:79">
      <c r="AU39" s="61"/>
      <c r="AV39" s="57"/>
      <c r="BS39" s="60"/>
      <c r="BW39" s="59"/>
      <c r="BX39" s="59"/>
      <c r="BY39" s="59"/>
      <c r="BZ39" s="59"/>
      <c r="CA39" s="59"/>
    </row>
  </sheetData>
  <dataValidations count="5">
    <dataValidation type="whole" allowBlank="1" showInputMessage="1" showErrorMessage="1" sqref="AH11:AP15 S11:S15 U11:U15">
      <formula1>0</formula1>
      <formula2>1</formula2>
    </dataValidation>
    <dataValidation type="whole" errorStyle="warning" allowBlank="1" showInputMessage="1" showErrorMessage="1" errorTitle="Error" error="Please fill in either 1 or 0_x000a_If the Study is:_x000a_Usage - 1_x000a_Purchase - 0" promptTitle="If Study = Usage/Purchase" prompt="If the Study is:_x000a_Usage - 1_x000a_Purchase - 2" sqref="I11:I15">
      <formula1>0</formula1>
      <formula2>2</formula2>
    </dataValidation>
    <dataValidation allowBlank="1" showInputMessage="1" showErrorMessage="1" errorTitle="int" error="Choose 1 or 0" promptTitle="Intervention" prompt="Yes - 1_x000a_No - 0" sqref="AD11:AG15"/>
    <dataValidation type="whole" allowBlank="1" showInputMessage="1" showErrorMessage="1" errorTitle="int" error="Choose 1 or 0" promptTitle="Intervention" prompt="Yes - 1_x000a_No - 0" sqref="Y11:AC15">
      <formula1>0</formula1>
      <formula2>1</formula2>
    </dataValidation>
    <dataValidation errorStyle="warning" allowBlank="1" showInputMessage="1" showErrorMessage="1" sqref="BM11:BM15"/>
  </dataValidation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9"/>
  <sheetViews>
    <sheetView topLeftCell="E4" workbookViewId="0">
      <selection activeCell="G2" sqref="G2"/>
    </sheetView>
  </sheetViews>
  <sheetFormatPr baseColWidth="10" defaultColWidth="10.58203125" defaultRowHeight="13"/>
  <cols>
    <col min="1" max="1" width="7.25" style="1" customWidth="1"/>
    <col min="2" max="2" width="5.5" style="1" customWidth="1"/>
    <col min="3" max="3" width="14.33203125" style="1" bestFit="1" customWidth="1"/>
    <col min="4" max="4" width="10.5" style="1" customWidth="1"/>
    <col min="5" max="5" width="14.83203125" style="1" bestFit="1" customWidth="1"/>
    <col min="6" max="6" width="16.33203125" style="1" bestFit="1" customWidth="1"/>
    <col min="7" max="7" width="14.08203125" style="1" bestFit="1" customWidth="1"/>
    <col min="8" max="8" width="16.58203125" style="1" bestFit="1" customWidth="1"/>
    <col min="9" max="9" width="12.83203125" style="1" bestFit="1" customWidth="1"/>
    <col min="10" max="10" width="13.5" style="1" bestFit="1" customWidth="1"/>
    <col min="11" max="11" width="3.58203125" style="1" customWidth="1"/>
    <col min="12" max="12" width="13.08203125" style="1" bestFit="1" customWidth="1"/>
    <col min="13" max="13" width="19.83203125" style="1" bestFit="1" customWidth="1"/>
    <col min="14" max="14" width="6.5" style="1" customWidth="1"/>
    <col min="15" max="15" width="8.83203125" style="1" customWidth="1"/>
    <col min="16" max="16" width="18.83203125" style="1" bestFit="1" customWidth="1"/>
    <col min="17" max="17" width="10.58203125" style="1"/>
    <col min="18" max="18" width="6.33203125" style="1" customWidth="1"/>
    <col min="19" max="19" width="7.33203125" style="1" customWidth="1"/>
    <col min="20" max="16384" width="10.58203125" style="1"/>
  </cols>
  <sheetData>
    <row r="1" spans="1:19" s="14" customFormat="1">
      <c r="A1" s="14" t="s">
        <v>205</v>
      </c>
      <c r="B1" s="14" t="s">
        <v>18</v>
      </c>
      <c r="C1" s="15" t="s">
        <v>206</v>
      </c>
      <c r="D1" s="14" t="s">
        <v>12</v>
      </c>
      <c r="E1" s="15" t="s">
        <v>49</v>
      </c>
      <c r="F1" s="14" t="s">
        <v>11</v>
      </c>
      <c r="G1" s="14" t="s">
        <v>207</v>
      </c>
      <c r="H1" s="15" t="s">
        <v>15</v>
      </c>
      <c r="I1" s="14" t="s">
        <v>46</v>
      </c>
      <c r="J1" s="14" t="s">
        <v>9</v>
      </c>
      <c r="K1" s="14" t="s">
        <v>208</v>
      </c>
      <c r="L1" s="14" t="s">
        <v>16</v>
      </c>
      <c r="M1" s="14" t="s">
        <v>14</v>
      </c>
      <c r="N1" s="14" t="s">
        <v>13</v>
      </c>
      <c r="O1" s="14" t="s">
        <v>69</v>
      </c>
      <c r="P1" s="3" t="s">
        <v>44</v>
      </c>
      <c r="R1" s="14" t="s">
        <v>3</v>
      </c>
      <c r="S1" s="14" t="s">
        <v>5</v>
      </c>
    </row>
    <row r="2" spans="1:19" ht="26">
      <c r="A2" s="1">
        <v>0</v>
      </c>
      <c r="B2" s="1" t="s">
        <v>18</v>
      </c>
      <c r="C2" s="1" t="s">
        <v>173</v>
      </c>
      <c r="D2" s="1" t="s">
        <v>209</v>
      </c>
      <c r="E2" s="1">
        <v>1</v>
      </c>
      <c r="F2" s="1" t="s">
        <v>111</v>
      </c>
      <c r="G2" s="2" t="s">
        <v>196</v>
      </c>
      <c r="H2" s="1" t="s">
        <v>193</v>
      </c>
      <c r="I2" s="1" t="s">
        <v>117</v>
      </c>
      <c r="J2" s="1" t="s">
        <v>210</v>
      </c>
      <c r="K2" s="1" t="s">
        <v>114</v>
      </c>
      <c r="L2" s="1" t="s">
        <v>211</v>
      </c>
      <c r="M2" s="1" t="s">
        <v>99</v>
      </c>
      <c r="N2" s="1" t="s">
        <v>134</v>
      </c>
      <c r="O2" s="1" t="s">
        <v>139</v>
      </c>
      <c r="P2" s="8" t="s">
        <v>201</v>
      </c>
      <c r="R2" s="11" t="s">
        <v>212</v>
      </c>
      <c r="S2" s="11" t="s">
        <v>213</v>
      </c>
    </row>
    <row r="3" spans="1:19" ht="26">
      <c r="A3" s="1">
        <v>1</v>
      </c>
      <c r="B3" s="1" t="s">
        <v>214</v>
      </c>
      <c r="C3" s="1" t="s">
        <v>204</v>
      </c>
      <c r="D3" s="1" t="s">
        <v>125</v>
      </c>
      <c r="E3" s="1">
        <v>2</v>
      </c>
      <c r="F3" s="1" t="s">
        <v>192</v>
      </c>
      <c r="G3" s="2" t="s">
        <v>203</v>
      </c>
      <c r="H3" s="1" t="s">
        <v>189</v>
      </c>
      <c r="I3" s="1" t="s">
        <v>106</v>
      </c>
      <c r="J3" s="1" t="s">
        <v>215</v>
      </c>
      <c r="K3" s="1" t="s">
        <v>102</v>
      </c>
      <c r="L3" s="1" t="s">
        <v>216</v>
      </c>
      <c r="M3" s="1" t="s">
        <v>91</v>
      </c>
      <c r="N3" s="1" t="s">
        <v>217</v>
      </c>
      <c r="O3" s="1" t="s">
        <v>195</v>
      </c>
      <c r="P3" s="8" t="s">
        <v>116</v>
      </c>
      <c r="R3" s="9" t="s">
        <v>218</v>
      </c>
      <c r="S3" s="9" t="s">
        <v>219</v>
      </c>
    </row>
    <row r="4" spans="1:19" ht="39">
      <c r="A4" s="1" t="s">
        <v>92</v>
      </c>
      <c r="B4" s="1" t="s">
        <v>138</v>
      </c>
      <c r="C4" s="1" t="s">
        <v>92</v>
      </c>
      <c r="D4" s="1" t="s">
        <v>112</v>
      </c>
      <c r="E4" s="1">
        <v>3</v>
      </c>
      <c r="F4" s="1" t="s">
        <v>220</v>
      </c>
      <c r="G4" s="2" t="s">
        <v>128</v>
      </c>
      <c r="H4" s="1" t="s">
        <v>200</v>
      </c>
      <c r="J4" s="1" t="s">
        <v>221</v>
      </c>
      <c r="L4" s="1" t="s">
        <v>194</v>
      </c>
      <c r="M4" s="1" t="s">
        <v>136</v>
      </c>
      <c r="N4" s="1" t="s">
        <v>222</v>
      </c>
      <c r="O4" s="1" t="s">
        <v>199</v>
      </c>
      <c r="P4" s="8" t="s">
        <v>223</v>
      </c>
      <c r="R4" s="12" t="s">
        <v>224</v>
      </c>
      <c r="S4" s="12" t="s">
        <v>225</v>
      </c>
    </row>
    <row r="5" spans="1:19" ht="39">
      <c r="D5" s="1" t="s">
        <v>97</v>
      </c>
      <c r="F5" s="1" t="s">
        <v>96</v>
      </c>
      <c r="G5" s="13" t="s">
        <v>149</v>
      </c>
      <c r="H5" s="1" t="s">
        <v>226</v>
      </c>
      <c r="J5" s="8" t="s">
        <v>227</v>
      </c>
      <c r="L5" s="1" t="s">
        <v>228</v>
      </c>
      <c r="M5" s="1" t="s">
        <v>92</v>
      </c>
      <c r="N5" s="1" t="s">
        <v>229</v>
      </c>
      <c r="O5" s="8" t="s">
        <v>230</v>
      </c>
      <c r="P5" s="1" t="s">
        <v>92</v>
      </c>
      <c r="R5" s="9" t="s">
        <v>231</v>
      </c>
      <c r="S5" s="9" t="s">
        <v>232</v>
      </c>
    </row>
    <row r="6" spans="1:19">
      <c r="D6" s="8" t="s">
        <v>233</v>
      </c>
      <c r="F6" s="1" t="s">
        <v>234</v>
      </c>
      <c r="H6" s="1" t="s">
        <v>127</v>
      </c>
      <c r="J6" s="1" t="s">
        <v>235</v>
      </c>
      <c r="L6" s="1" t="s">
        <v>236</v>
      </c>
      <c r="N6" s="1" t="s">
        <v>113</v>
      </c>
      <c r="O6" s="1" t="s">
        <v>92</v>
      </c>
      <c r="R6" s="9" t="s">
        <v>237</v>
      </c>
      <c r="S6" s="9" t="s">
        <v>238</v>
      </c>
    </row>
    <row r="7" spans="1:19">
      <c r="F7" s="1" t="s">
        <v>156</v>
      </c>
      <c r="H7" s="1" t="s">
        <v>100</v>
      </c>
      <c r="J7" s="8" t="s">
        <v>239</v>
      </c>
      <c r="L7" s="1" t="s">
        <v>101</v>
      </c>
      <c r="N7" s="1" t="s">
        <v>190</v>
      </c>
      <c r="O7" s="1" t="s">
        <v>240</v>
      </c>
      <c r="R7" s="9" t="s">
        <v>241</v>
      </c>
      <c r="S7" s="9" t="s">
        <v>242</v>
      </c>
    </row>
    <row r="8" spans="1:19">
      <c r="F8" s="1" t="s">
        <v>243</v>
      </c>
      <c r="J8" s="8" t="s">
        <v>244</v>
      </c>
      <c r="L8" s="1" t="s">
        <v>240</v>
      </c>
      <c r="N8" s="1" t="s">
        <v>245</v>
      </c>
      <c r="R8" s="9" t="s">
        <v>246</v>
      </c>
      <c r="S8" s="9" t="s">
        <v>247</v>
      </c>
    </row>
    <row r="9" spans="1:19">
      <c r="F9" s="1" t="s">
        <v>248</v>
      </c>
      <c r="J9" s="1" t="s">
        <v>240</v>
      </c>
      <c r="L9" s="1" t="s">
        <v>249</v>
      </c>
      <c r="N9" s="1" t="s">
        <v>250</v>
      </c>
      <c r="R9" s="12" t="s">
        <v>251</v>
      </c>
      <c r="S9" s="12" t="s">
        <v>252</v>
      </c>
    </row>
    <row r="10" spans="1:19">
      <c r="F10" s="1" t="s">
        <v>253</v>
      </c>
      <c r="J10" s="1" t="s">
        <v>254</v>
      </c>
      <c r="L10" s="1" t="s">
        <v>137</v>
      </c>
      <c r="N10" s="1" t="s">
        <v>198</v>
      </c>
      <c r="R10" s="12" t="s">
        <v>255</v>
      </c>
      <c r="S10" s="12" t="s">
        <v>256</v>
      </c>
    </row>
    <row r="11" spans="1:19">
      <c r="F11" s="1" t="s">
        <v>257</v>
      </c>
      <c r="J11" s="1" t="s">
        <v>258</v>
      </c>
      <c r="N11" s="1" t="s">
        <v>259</v>
      </c>
      <c r="R11" s="12" t="s">
        <v>260</v>
      </c>
      <c r="S11" s="12" t="s">
        <v>261</v>
      </c>
    </row>
    <row r="12" spans="1:19">
      <c r="F12" s="1" t="s">
        <v>262</v>
      </c>
      <c r="J12" s="1" t="s">
        <v>92</v>
      </c>
      <c r="N12" s="1" t="s">
        <v>263</v>
      </c>
      <c r="R12" s="12" t="s">
        <v>264</v>
      </c>
      <c r="S12" s="12" t="s">
        <v>265</v>
      </c>
    </row>
    <row r="13" spans="1:19">
      <c r="F13" s="1" t="s">
        <v>266</v>
      </c>
      <c r="N13" s="1" t="s">
        <v>267</v>
      </c>
      <c r="R13" s="9" t="s">
        <v>268</v>
      </c>
      <c r="S13" s="9" t="s">
        <v>269</v>
      </c>
    </row>
    <row r="14" spans="1:19">
      <c r="F14" s="8" t="s">
        <v>270</v>
      </c>
      <c r="N14" s="1" t="s">
        <v>126</v>
      </c>
      <c r="R14" s="12" t="s">
        <v>271</v>
      </c>
      <c r="S14" s="12" t="s">
        <v>272</v>
      </c>
    </row>
    <row r="15" spans="1:19">
      <c r="F15" s="8" t="s">
        <v>253</v>
      </c>
      <c r="N15" s="1" t="s">
        <v>169</v>
      </c>
      <c r="R15" s="9" t="s">
        <v>273</v>
      </c>
      <c r="S15" s="9" t="s">
        <v>274</v>
      </c>
    </row>
    <row r="16" spans="1:19">
      <c r="F16" s="8" t="s">
        <v>275</v>
      </c>
      <c r="N16" s="1" t="s">
        <v>145</v>
      </c>
      <c r="R16" s="9" t="s">
        <v>276</v>
      </c>
      <c r="S16" s="9" t="s">
        <v>277</v>
      </c>
    </row>
    <row r="17" spans="6:19">
      <c r="F17" s="8" t="s">
        <v>124</v>
      </c>
      <c r="N17" s="1" t="s">
        <v>188</v>
      </c>
      <c r="R17" s="12" t="s">
        <v>278</v>
      </c>
      <c r="S17" s="12" t="s">
        <v>279</v>
      </c>
    </row>
    <row r="18" spans="6:19">
      <c r="F18" s="8" t="s">
        <v>280</v>
      </c>
      <c r="N18" s="1" t="s">
        <v>281</v>
      </c>
      <c r="R18" s="9" t="s">
        <v>282</v>
      </c>
      <c r="S18" s="9" t="s">
        <v>283</v>
      </c>
    </row>
    <row r="19" spans="6:19">
      <c r="F19" s="8" t="s">
        <v>284</v>
      </c>
      <c r="N19" s="1" t="s">
        <v>285</v>
      </c>
      <c r="R19" s="12" t="s">
        <v>286</v>
      </c>
      <c r="S19" s="1" t="s">
        <v>287</v>
      </c>
    </row>
    <row r="20" spans="6:19">
      <c r="F20" s="8" t="s">
        <v>144</v>
      </c>
      <c r="N20" s="1" t="s">
        <v>202</v>
      </c>
      <c r="R20" s="9" t="s">
        <v>288</v>
      </c>
      <c r="S20" s="9" t="s">
        <v>289</v>
      </c>
    </row>
    <row r="21" spans="6:19">
      <c r="F21" s="8" t="s">
        <v>290</v>
      </c>
      <c r="N21" s="1" t="s">
        <v>291</v>
      </c>
      <c r="R21" s="12" t="s">
        <v>292</v>
      </c>
      <c r="S21" s="12" t="s">
        <v>293</v>
      </c>
    </row>
    <row r="22" spans="6:19">
      <c r="F22" s="8" t="s">
        <v>197</v>
      </c>
      <c r="N22" s="1" t="s">
        <v>191</v>
      </c>
      <c r="R22" s="9" t="s">
        <v>292</v>
      </c>
      <c r="S22" s="9" t="s">
        <v>294</v>
      </c>
    </row>
    <row r="23" spans="6:19">
      <c r="F23" s="8" t="s">
        <v>89</v>
      </c>
      <c r="N23" s="1" t="s">
        <v>295</v>
      </c>
      <c r="R23" s="12" t="s">
        <v>296</v>
      </c>
      <c r="S23" s="12" t="s">
        <v>297</v>
      </c>
    </row>
    <row r="24" spans="6:19">
      <c r="F24" s="8" t="s">
        <v>298</v>
      </c>
      <c r="N24" s="1" t="s">
        <v>299</v>
      </c>
      <c r="R24" s="12" t="s">
        <v>300</v>
      </c>
      <c r="S24" s="12" t="s">
        <v>301</v>
      </c>
    </row>
    <row r="25" spans="6:19">
      <c r="F25" s="8" t="s">
        <v>302</v>
      </c>
      <c r="N25" s="1" t="s">
        <v>303</v>
      </c>
      <c r="R25" s="12" t="s">
        <v>304</v>
      </c>
      <c r="S25" s="12" t="s">
        <v>305</v>
      </c>
    </row>
    <row r="26" spans="6:19">
      <c r="F26" s="8" t="s">
        <v>306</v>
      </c>
      <c r="N26" s="1" t="s">
        <v>307</v>
      </c>
      <c r="R26" s="12" t="s">
        <v>308</v>
      </c>
      <c r="S26" s="12" t="s">
        <v>309</v>
      </c>
    </row>
    <row r="27" spans="6:19">
      <c r="F27" s="8" t="s">
        <v>310</v>
      </c>
      <c r="N27" s="1" t="s">
        <v>311</v>
      </c>
      <c r="R27" s="12" t="s">
        <v>312</v>
      </c>
      <c r="S27" s="12" t="s">
        <v>313</v>
      </c>
    </row>
    <row r="28" spans="6:19">
      <c r="F28" s="8" t="s">
        <v>314</v>
      </c>
      <c r="N28" s="1" t="s">
        <v>315</v>
      </c>
      <c r="R28" s="12" t="s">
        <v>316</v>
      </c>
      <c r="S28" s="12" t="s">
        <v>317</v>
      </c>
    </row>
    <row r="29" spans="6:19">
      <c r="F29" s="8" t="s">
        <v>318</v>
      </c>
      <c r="N29" s="1" t="s">
        <v>319</v>
      </c>
      <c r="R29" s="12" t="s">
        <v>320</v>
      </c>
      <c r="S29" s="12" t="s">
        <v>321</v>
      </c>
    </row>
    <row r="30" spans="6:19">
      <c r="F30" s="8" t="s">
        <v>322</v>
      </c>
      <c r="N30" s="1" t="s">
        <v>323</v>
      </c>
      <c r="R30" s="12" t="s">
        <v>324</v>
      </c>
      <c r="S30" s="12" t="s">
        <v>325</v>
      </c>
    </row>
    <row r="31" spans="6:19">
      <c r="N31" s="1" t="s">
        <v>326</v>
      </c>
      <c r="R31" s="12" t="s">
        <v>327</v>
      </c>
      <c r="S31" s="12" t="s">
        <v>328</v>
      </c>
    </row>
    <row r="32" spans="6:19">
      <c r="N32" s="1" t="s">
        <v>329</v>
      </c>
      <c r="R32" s="12" t="s">
        <v>330</v>
      </c>
      <c r="S32" s="12" t="s">
        <v>331</v>
      </c>
    </row>
    <row r="33" spans="14:19">
      <c r="N33" s="1" t="s">
        <v>98</v>
      </c>
      <c r="R33" s="12" t="s">
        <v>332</v>
      </c>
      <c r="S33" s="12" t="s">
        <v>333</v>
      </c>
    </row>
    <row r="34" spans="14:19">
      <c r="R34" s="12" t="s">
        <v>334</v>
      </c>
      <c r="S34" s="12" t="s">
        <v>335</v>
      </c>
    </row>
    <row r="35" spans="14:19">
      <c r="R35" s="12" t="s">
        <v>336</v>
      </c>
      <c r="S35" s="12" t="s">
        <v>337</v>
      </c>
    </row>
    <row r="36" spans="14:19">
      <c r="R36" s="12" t="s">
        <v>338</v>
      </c>
      <c r="S36" s="12" t="s">
        <v>339</v>
      </c>
    </row>
    <row r="37" spans="14:19">
      <c r="R37" s="9" t="s">
        <v>340</v>
      </c>
      <c r="S37" s="9" t="s">
        <v>341</v>
      </c>
    </row>
    <row r="38" spans="14:19">
      <c r="R38" s="9" t="s">
        <v>342</v>
      </c>
      <c r="S38" s="9" t="s">
        <v>343</v>
      </c>
    </row>
    <row r="39" spans="14:19">
      <c r="R39" s="9" t="s">
        <v>342</v>
      </c>
      <c r="S39" s="9" t="s">
        <v>344</v>
      </c>
    </row>
    <row r="40" spans="14:19">
      <c r="R40" s="12" t="s">
        <v>345</v>
      </c>
      <c r="S40" s="12" t="s">
        <v>346</v>
      </c>
    </row>
    <row r="41" spans="14:19">
      <c r="R41" s="12" t="s">
        <v>347</v>
      </c>
      <c r="S41" s="12" t="s">
        <v>348</v>
      </c>
    </row>
    <row r="42" spans="14:19">
      <c r="R42" s="9" t="s">
        <v>349</v>
      </c>
      <c r="S42" s="9" t="s">
        <v>350</v>
      </c>
    </row>
    <row r="43" spans="14:19">
      <c r="R43" s="9" t="s">
        <v>349</v>
      </c>
      <c r="S43" s="9" t="s">
        <v>351</v>
      </c>
    </row>
    <row r="44" spans="14:19">
      <c r="R44" s="12" t="s">
        <v>352</v>
      </c>
      <c r="S44" s="10" t="s">
        <v>353</v>
      </c>
    </row>
    <row r="45" spans="14:19">
      <c r="R45" s="9" t="s">
        <v>354</v>
      </c>
      <c r="S45" s="9" t="s">
        <v>355</v>
      </c>
    </row>
    <row r="46" spans="14:19">
      <c r="R46" s="12" t="s">
        <v>356</v>
      </c>
      <c r="S46" s="12" t="s">
        <v>357</v>
      </c>
    </row>
    <row r="47" spans="14:19">
      <c r="R47" s="9" t="s">
        <v>358</v>
      </c>
      <c r="S47" s="9" t="s">
        <v>359</v>
      </c>
    </row>
    <row r="48" spans="14:19">
      <c r="R48" s="12" t="s">
        <v>360</v>
      </c>
      <c r="S48" s="12" t="s">
        <v>361</v>
      </c>
    </row>
    <row r="49" spans="18:19">
      <c r="R49" s="12" t="s">
        <v>362</v>
      </c>
      <c r="S49" s="12" t="s">
        <v>363</v>
      </c>
    </row>
    <row r="50" spans="18:19">
      <c r="R50" s="12" t="s">
        <v>364</v>
      </c>
      <c r="S50" s="12" t="s">
        <v>365</v>
      </c>
    </row>
    <row r="51" spans="18:19">
      <c r="R51" s="12" t="s">
        <v>366</v>
      </c>
      <c r="S51" s="12" t="s">
        <v>367</v>
      </c>
    </row>
    <row r="52" spans="18:19">
      <c r="R52" s="12" t="s">
        <v>368</v>
      </c>
      <c r="S52" s="12" t="s">
        <v>369</v>
      </c>
    </row>
    <row r="53" spans="18:19">
      <c r="R53" s="12" t="s">
        <v>370</v>
      </c>
      <c r="S53" s="10" t="s">
        <v>371</v>
      </c>
    </row>
    <row r="54" spans="18:19">
      <c r="R54" s="12" t="s">
        <v>372</v>
      </c>
      <c r="S54" s="12" t="s">
        <v>373</v>
      </c>
    </row>
    <row r="55" spans="18:19">
      <c r="R55" s="12" t="s">
        <v>374</v>
      </c>
      <c r="S55" s="12" t="s">
        <v>375</v>
      </c>
    </row>
    <row r="56" spans="18:19">
      <c r="R56" s="12" t="s">
        <v>376</v>
      </c>
      <c r="S56" s="12" t="s">
        <v>377</v>
      </c>
    </row>
    <row r="57" spans="18:19">
      <c r="R57" s="12" t="s">
        <v>378</v>
      </c>
      <c r="S57" s="12" t="s">
        <v>379</v>
      </c>
    </row>
    <row r="58" spans="18:19">
      <c r="R58" s="12" t="s">
        <v>380</v>
      </c>
      <c r="S58" s="12" t="s">
        <v>381</v>
      </c>
    </row>
    <row r="59" spans="18:19">
      <c r="R59" s="12" t="s">
        <v>382</v>
      </c>
      <c r="S59" s="12" t="s">
        <v>383</v>
      </c>
    </row>
    <row r="60" spans="18:19">
      <c r="R60" s="12" t="s">
        <v>384</v>
      </c>
      <c r="S60" s="12" t="s">
        <v>385</v>
      </c>
    </row>
    <row r="61" spans="18:19">
      <c r="R61" s="12" t="s">
        <v>386</v>
      </c>
      <c r="S61" s="12" t="s">
        <v>387</v>
      </c>
    </row>
    <row r="62" spans="18:19">
      <c r="R62" s="12" t="s">
        <v>388</v>
      </c>
      <c r="S62" s="12" t="s">
        <v>389</v>
      </c>
    </row>
    <row r="63" spans="18:19">
      <c r="R63" s="12" t="s">
        <v>390</v>
      </c>
      <c r="S63" s="12" t="s">
        <v>391</v>
      </c>
    </row>
    <row r="64" spans="18:19">
      <c r="R64" s="12" t="s">
        <v>392</v>
      </c>
      <c r="S64" s="12" t="s">
        <v>393</v>
      </c>
    </row>
    <row r="65" spans="18:19">
      <c r="R65" s="12" t="s">
        <v>394</v>
      </c>
      <c r="S65" s="12" t="s">
        <v>395</v>
      </c>
    </row>
    <row r="66" spans="18:19">
      <c r="R66" s="12" t="s">
        <v>396</v>
      </c>
      <c r="S66" s="12" t="s">
        <v>397</v>
      </c>
    </row>
    <row r="67" spans="18:19">
      <c r="R67" s="12" t="s">
        <v>398</v>
      </c>
      <c r="S67" s="12" t="s">
        <v>399</v>
      </c>
    </row>
    <row r="68" spans="18:19">
      <c r="R68" s="12" t="s">
        <v>400</v>
      </c>
      <c r="S68" s="12" t="s">
        <v>401</v>
      </c>
    </row>
    <row r="69" spans="18:19">
      <c r="R69" s="12" t="s">
        <v>402</v>
      </c>
      <c r="S69" s="12" t="s">
        <v>403</v>
      </c>
    </row>
    <row r="70" spans="18:19">
      <c r="R70" s="12" t="s">
        <v>404</v>
      </c>
      <c r="S70" s="12" t="s">
        <v>405</v>
      </c>
    </row>
    <row r="71" spans="18:19">
      <c r="R71" s="12" t="s">
        <v>406</v>
      </c>
      <c r="S71" s="12" t="s">
        <v>407</v>
      </c>
    </row>
    <row r="72" spans="18:19">
      <c r="R72" s="12" t="s">
        <v>408</v>
      </c>
      <c r="S72" s="1" t="s">
        <v>409</v>
      </c>
    </row>
    <row r="73" spans="18:19">
      <c r="R73" s="9" t="s">
        <v>408</v>
      </c>
      <c r="S73" s="9" t="s">
        <v>410</v>
      </c>
    </row>
    <row r="74" spans="18:19">
      <c r="R74" s="12" t="s">
        <v>411</v>
      </c>
      <c r="S74" s="12" t="s">
        <v>412</v>
      </c>
    </row>
    <row r="75" spans="18:19">
      <c r="R75" s="9" t="s">
        <v>413</v>
      </c>
      <c r="S75" s="9" t="s">
        <v>414</v>
      </c>
    </row>
    <row r="76" spans="18:19">
      <c r="R76" s="12" t="s">
        <v>415</v>
      </c>
      <c r="S76" s="12" t="s">
        <v>416</v>
      </c>
    </row>
    <row r="77" spans="18:19">
      <c r="R77" s="12" t="s">
        <v>417</v>
      </c>
      <c r="S77" s="12" t="s">
        <v>418</v>
      </c>
    </row>
    <row r="78" spans="18:19">
      <c r="R78" s="9" t="s">
        <v>419</v>
      </c>
      <c r="S78" s="9" t="s">
        <v>420</v>
      </c>
    </row>
    <row r="79" spans="18:19">
      <c r="R79" s="9" t="s">
        <v>421</v>
      </c>
      <c r="S79" s="9" t="s">
        <v>422</v>
      </c>
    </row>
    <row r="80" spans="18:19">
      <c r="R80" s="12" t="s">
        <v>423</v>
      </c>
      <c r="S80" s="12" t="s">
        <v>424</v>
      </c>
    </row>
    <row r="81" spans="18:19">
      <c r="R81" s="12" t="s">
        <v>425</v>
      </c>
      <c r="S81" s="12" t="s">
        <v>426</v>
      </c>
    </row>
    <row r="82" spans="18:19">
      <c r="R82" s="12" t="s">
        <v>427</v>
      </c>
      <c r="S82" s="12" t="s">
        <v>428</v>
      </c>
    </row>
    <row r="83" spans="18:19">
      <c r="R83" s="9" t="s">
        <v>429</v>
      </c>
      <c r="S83" s="9" t="s">
        <v>430</v>
      </c>
    </row>
    <row r="84" spans="18:19">
      <c r="R84" s="9" t="s">
        <v>429</v>
      </c>
      <c r="S84" s="9" t="s">
        <v>431</v>
      </c>
    </row>
    <row r="85" spans="18:19">
      <c r="R85" s="12" t="s">
        <v>432</v>
      </c>
      <c r="S85" s="12" t="s">
        <v>433</v>
      </c>
    </row>
    <row r="86" spans="18:19">
      <c r="R86" s="12" t="s">
        <v>434</v>
      </c>
      <c r="S86" s="12" t="s">
        <v>435</v>
      </c>
    </row>
    <row r="87" spans="18:19">
      <c r="R87" s="12" t="s">
        <v>436</v>
      </c>
      <c r="S87" s="12" t="s">
        <v>437</v>
      </c>
    </row>
    <row r="88" spans="18:19">
      <c r="R88" s="12" t="s">
        <v>438</v>
      </c>
      <c r="S88" s="12" t="s">
        <v>439</v>
      </c>
    </row>
    <row r="89" spans="18:19">
      <c r="R89" s="12" t="s">
        <v>440</v>
      </c>
      <c r="S89" s="12" t="s">
        <v>441</v>
      </c>
    </row>
    <row r="90" spans="18:19">
      <c r="R90" s="12" t="s">
        <v>442</v>
      </c>
      <c r="S90" s="12" t="s">
        <v>443</v>
      </c>
    </row>
    <row r="91" spans="18:19">
      <c r="R91" s="12" t="s">
        <v>444</v>
      </c>
      <c r="S91" s="12" t="s">
        <v>445</v>
      </c>
    </row>
    <row r="92" spans="18:19">
      <c r="R92" s="12" t="s">
        <v>446</v>
      </c>
      <c r="S92" s="12" t="s">
        <v>447</v>
      </c>
    </row>
    <row r="93" spans="18:19">
      <c r="R93" s="12" t="s">
        <v>448</v>
      </c>
      <c r="S93" s="1" t="s">
        <v>449</v>
      </c>
    </row>
    <row r="94" spans="18:19">
      <c r="R94" s="12" t="s">
        <v>450</v>
      </c>
      <c r="S94" s="12" t="s">
        <v>451</v>
      </c>
    </row>
    <row r="95" spans="18:19">
      <c r="R95" s="12" t="s">
        <v>452</v>
      </c>
      <c r="S95" s="12" t="s">
        <v>453</v>
      </c>
    </row>
    <row r="96" spans="18:19">
      <c r="R96" s="12" t="s">
        <v>454</v>
      </c>
      <c r="S96" s="1" t="s">
        <v>455</v>
      </c>
    </row>
    <row r="97" spans="18:19">
      <c r="R97" s="12" t="s">
        <v>456</v>
      </c>
      <c r="S97" s="4" t="s">
        <v>431</v>
      </c>
    </row>
    <row r="98" spans="18:19">
      <c r="R98" s="4" t="s">
        <v>457</v>
      </c>
      <c r="S98" s="4" t="s">
        <v>458</v>
      </c>
    </row>
    <row r="99" spans="18:19">
      <c r="R99" s="12" t="s">
        <v>459</v>
      </c>
      <c r="S99" s="1" t="s">
        <v>460</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Appliances</vt:lpstr>
      <vt:lpstr>Lists for variables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Danilenko</dc:creator>
  <cp:keywords/>
  <dc:description/>
  <cp:lastModifiedBy>Diana Danilenko</cp:lastModifiedBy>
  <cp:revision/>
  <dcterms:created xsi:type="dcterms:W3CDTF">2025-10-20T08:59:05Z</dcterms:created>
  <dcterms:modified xsi:type="dcterms:W3CDTF">2025-12-18T15:23:42Z</dcterms:modified>
  <cp:category/>
  <cp:contentStatus/>
</cp:coreProperties>
</file>