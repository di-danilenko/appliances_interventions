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defaultThemeVersion="166925"/>
  <mc:AlternateContent xmlns:mc="http://schemas.openxmlformats.org/markup-compatibility/2006">
    <mc:Choice Requires="x15">
      <x15ac:absPath xmlns:x15ac="http://schemas.microsoft.com/office/spreadsheetml/2010/11/ac" url="/Users/dianadanilenko/Desktop/appliances_analysis/"/>
    </mc:Choice>
  </mc:AlternateContent>
  <xr:revisionPtr revIDLastSave="0" documentId="13_ncr:1_{5DC3231F-3720-9444-A01E-829492A6844D}" xr6:coauthVersionLast="47" xr6:coauthVersionMax="47" xr10:uidLastSave="{00000000-0000-0000-0000-000000000000}"/>
  <bookViews>
    <workbookView xWindow="-5280" yWindow="-21100" windowWidth="38400" windowHeight="21100" activeTab="1" xr2:uid="{00000000-000D-0000-FFFF-FFFF00000000}"/>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Appliances!$AR$1:$AR$71</definedName>
    <definedName name="_xlnm._FilterDatabase" localSheetId="0" hidden="1">Usage!$A$1:$BN$53</definedName>
  </definedNames>
  <calcPr calcId="191028"/>
  <pivotCaches>
    <pivotCache cacheId="9"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C26" i="4" l="1"/>
  <c r="CC25" i="4"/>
  <c r="CC17" i="4"/>
  <c r="CC18" i="4"/>
  <c r="CC62" i="4"/>
  <c r="AZ62" i="4" s="1"/>
  <c r="BX62" i="4" s="1"/>
  <c r="BY62" i="4" s="1"/>
  <c r="BZ62" i="4" s="1"/>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53" i="4"/>
  <c r="AZ53" i="4" s="1"/>
  <c r="BX53" i="4" s="1"/>
  <c r="BY53" i="4" s="1"/>
  <c r="BZ53" i="4" s="1"/>
  <c r="CC52" i="4"/>
  <c r="AZ52" i="4" s="1"/>
  <c r="BX52" i="4" s="1"/>
  <c r="BY52" i="4" s="1"/>
  <c r="BZ52" i="4" s="1"/>
  <c r="CC51" i="4"/>
  <c r="AZ51" i="4" s="1"/>
  <c r="BX51" i="4" s="1"/>
  <c r="BY51" i="4" s="1"/>
  <c r="BZ51" i="4" s="1"/>
  <c r="CC50" i="4"/>
  <c r="AZ50" i="4" s="1"/>
  <c r="BX50" i="4" s="1"/>
  <c r="BY50" i="4" s="1"/>
  <c r="BZ50" i="4" s="1"/>
  <c r="CC49" i="4"/>
  <c r="AZ49" i="4" s="1"/>
  <c r="BX49" i="4" s="1"/>
  <c r="BY49" i="4" s="1"/>
  <c r="BZ49" i="4" s="1"/>
  <c r="CC48" i="4"/>
  <c r="AZ48" i="4" s="1"/>
  <c r="BX48" i="4" s="1"/>
  <c r="BY48" i="4" s="1"/>
  <c r="BZ48" i="4" s="1"/>
  <c r="CC47" i="4"/>
  <c r="CC46" i="4"/>
  <c r="CC45" i="4"/>
  <c r="CC44" i="4"/>
  <c r="CC43" i="4"/>
  <c r="CC42" i="4"/>
  <c r="CC41" i="4"/>
  <c r="CC40" i="4"/>
  <c r="CC39" i="4"/>
  <c r="CC38" i="4"/>
  <c r="AZ38" i="4" s="1"/>
  <c r="BX38" i="4" s="1"/>
  <c r="BY38" i="4" s="1"/>
  <c r="BZ38" i="4" s="1"/>
  <c r="CC37" i="4"/>
  <c r="AZ37" i="4" s="1"/>
  <c r="BX37" i="4" s="1"/>
  <c r="BY37" i="4" s="1"/>
  <c r="BZ37" i="4" s="1"/>
  <c r="CC36" i="4"/>
  <c r="AZ36" i="4" s="1"/>
  <c r="BX36" i="4" s="1"/>
  <c r="BY36" i="4" s="1"/>
  <c r="BZ36" i="4" s="1"/>
  <c r="CC35" i="4"/>
  <c r="AZ35" i="4" s="1"/>
  <c r="BX35" i="4" s="1"/>
  <c r="BY35" i="4" s="1"/>
  <c r="BZ35" i="4" s="1"/>
  <c r="CC34" i="4"/>
  <c r="AZ34" i="4" s="1"/>
  <c r="BX34" i="4" s="1"/>
  <c r="BY34" i="4" s="1"/>
  <c r="BZ34" i="4" s="1"/>
  <c r="CC33" i="4"/>
  <c r="AZ33" i="4" s="1"/>
  <c r="BX33" i="4" s="1"/>
  <c r="BY33" i="4" s="1"/>
  <c r="BZ33" i="4" s="1"/>
  <c r="CC32" i="4"/>
  <c r="AZ32" i="4" s="1"/>
  <c r="BX32" i="4" s="1"/>
  <c r="BY32" i="4" s="1"/>
  <c r="BZ32" i="4" s="1"/>
  <c r="CC31" i="4"/>
  <c r="CC30" i="4"/>
  <c r="AZ30" i="4" s="1"/>
  <c r="BX30" i="4" s="1"/>
  <c r="BY30" i="4" s="1"/>
  <c r="BZ30" i="4" s="1"/>
  <c r="CC29" i="4"/>
  <c r="AZ29" i="4" s="1"/>
  <c r="BX29" i="4" s="1"/>
  <c r="BY29" i="4" s="1"/>
  <c r="BZ29" i="4" s="1"/>
  <c r="CC28" i="4"/>
  <c r="AZ28" i="4" s="1"/>
  <c r="BX28" i="4" s="1"/>
  <c r="BY28" i="4" s="1"/>
  <c r="BZ28" i="4" s="1"/>
  <c r="CC27" i="4"/>
  <c r="AZ27" i="4" s="1"/>
  <c r="BX27" i="4" s="1"/>
  <c r="BY27" i="4" s="1"/>
  <c r="BZ27" i="4" s="1"/>
  <c r="CC24" i="4"/>
  <c r="AZ24" i="4" s="1"/>
  <c r="BX24" i="4" s="1"/>
  <c r="BY24" i="4" s="1"/>
  <c r="BZ24" i="4" s="1"/>
  <c r="CC23" i="4"/>
  <c r="CC22" i="4"/>
  <c r="CC21" i="4"/>
  <c r="CC20" i="4"/>
  <c r="CC19" i="4"/>
  <c r="CC16" i="4"/>
  <c r="CC15" i="4"/>
  <c r="CC14" i="4"/>
  <c r="CC13" i="4"/>
  <c r="CC12" i="4"/>
  <c r="CC11" i="4"/>
  <c r="AZ11" i="4" s="1"/>
  <c r="BX11" i="4" s="1"/>
  <c r="BY11" i="4" s="1"/>
  <c r="BZ11" i="4" s="1"/>
  <c r="CC10" i="4"/>
  <c r="AZ10" i="4" s="1"/>
  <c r="BX10" i="4" s="1"/>
  <c r="BY10" i="4" s="1"/>
  <c r="BZ10" i="4" s="1"/>
  <c r="CC9" i="4"/>
  <c r="AZ9" i="4" s="1"/>
  <c r="BX9" i="4" s="1"/>
  <c r="BY9" i="4" s="1"/>
  <c r="BZ9" i="4" s="1"/>
  <c r="CC8" i="4"/>
  <c r="AZ8" i="4" s="1"/>
  <c r="BX8" i="4" s="1"/>
  <c r="BY8" i="4" s="1"/>
  <c r="BZ8" i="4" s="1"/>
  <c r="CC7" i="4"/>
  <c r="AZ7" i="4" s="1"/>
  <c r="BX7" i="4" s="1"/>
  <c r="BY7" i="4" s="1"/>
  <c r="BZ7" i="4" s="1"/>
  <c r="CC6" i="4"/>
  <c r="AZ6" i="4" s="1"/>
  <c r="BX6" i="4" s="1"/>
  <c r="BY6" i="4" s="1"/>
  <c r="BZ6" i="4" s="1"/>
  <c r="CC5" i="4"/>
  <c r="AZ5" i="4" s="1"/>
  <c r="BX5" i="4" s="1"/>
  <c r="BY5" i="4" s="1"/>
  <c r="BZ5" i="4" s="1"/>
  <c r="CC4" i="4"/>
  <c r="AZ4" i="4" s="1"/>
  <c r="BX4" i="4" s="1"/>
  <c r="BY4" i="4" s="1"/>
  <c r="BZ4" i="4" s="1"/>
  <c r="CC3" i="4"/>
  <c r="AZ3" i="4" s="1"/>
  <c r="BX3" i="4" s="1"/>
  <c r="BY3" i="4" s="1"/>
  <c r="BZ3" i="4" s="1"/>
  <c r="CC2" i="4"/>
  <c r="AZ2" i="4" s="1"/>
  <c r="BX2" i="4" s="1"/>
  <c r="BY2" i="4" s="1"/>
  <c r="BZ2" i="4" s="1"/>
  <c r="BX25" i="4"/>
  <c r="BY25" i="4" s="1"/>
  <c r="BZ25" i="4" s="1"/>
  <c r="CA25" i="4"/>
  <c r="BX26" i="4"/>
  <c r="BY26" i="4" s="1"/>
  <c r="BZ26" i="4" s="1"/>
  <c r="CA26" i="4"/>
  <c r="CA8" i="4"/>
  <c r="CA9" i="4"/>
  <c r="CA10" i="4"/>
  <c r="CA11" i="4"/>
  <c r="BX12" i="4"/>
  <c r="BY12" i="4" s="1"/>
  <c r="BZ12" i="4" s="1"/>
  <c r="CA12" i="4"/>
  <c r="BX13" i="4"/>
  <c r="BY13" i="4" s="1"/>
  <c r="BZ13" i="4" s="1"/>
  <c r="CA13" i="4"/>
  <c r="CA52" i="4"/>
  <c r="CA53" i="4"/>
  <c r="CA54" i="4"/>
  <c r="BX18" i="4"/>
  <c r="BY18" i="4" s="1"/>
  <c r="BZ18" i="4" s="1"/>
  <c r="CA18" i="4"/>
  <c r="BX19" i="4"/>
  <c r="BY19" i="4" s="1"/>
  <c r="BZ19" i="4" s="1"/>
  <c r="CA19" i="4"/>
  <c r="BX20" i="4"/>
  <c r="BY20" i="4" s="1"/>
  <c r="BZ20" i="4" s="1"/>
  <c r="CA20" i="4"/>
  <c r="BX21" i="4"/>
  <c r="BY21" i="4" s="1"/>
  <c r="BZ21" i="4" s="1"/>
  <c r="CA21" i="4"/>
  <c r="BX22" i="4"/>
  <c r="BY22" i="4" s="1"/>
  <c r="BZ22" i="4" s="1"/>
  <c r="CA22" i="4"/>
  <c r="BX23" i="4"/>
  <c r="BY23" i="4" s="1"/>
  <c r="BZ23" i="4" s="1"/>
  <c r="CA23" i="4"/>
  <c r="CA51" i="4"/>
  <c r="CA50" i="4"/>
  <c r="CA49" i="4"/>
  <c r="CA48" i="4"/>
  <c r="CA41" i="4"/>
  <c r="CA42" i="4"/>
  <c r="CA43" i="4"/>
  <c r="CA44" i="4"/>
  <c r="CA45" i="4"/>
  <c r="CA46" i="4"/>
  <c r="CA47" i="4"/>
  <c r="BX41" i="4"/>
  <c r="BY41" i="4" s="1"/>
  <c r="BZ41" i="4" s="1"/>
  <c r="BX42" i="4"/>
  <c r="BY42" i="4" s="1"/>
  <c r="BZ42" i="4" s="1"/>
  <c r="BX43" i="4"/>
  <c r="BY43" i="4" s="1"/>
  <c r="BZ43" i="4" s="1"/>
  <c r="BX44" i="4"/>
  <c r="BY44" i="4" s="1"/>
  <c r="BZ44" i="4" s="1"/>
  <c r="BX45" i="4"/>
  <c r="BY45" i="4" s="1"/>
  <c r="BZ45" i="4" s="1"/>
  <c r="BX46" i="4"/>
  <c r="BY46" i="4" s="1"/>
  <c r="BZ46" i="4" s="1"/>
  <c r="BX47" i="4"/>
  <c r="BY47" i="4" s="1"/>
  <c r="BZ47" i="4" s="1"/>
  <c r="CA17" i="4"/>
  <c r="BX17" i="4"/>
  <c r="BY17" i="4" s="1"/>
  <c r="BZ17" i="4" s="1"/>
  <c r="CA39" i="4"/>
  <c r="CA40" i="4"/>
  <c r="CA55" i="4"/>
  <c r="CA56" i="4"/>
  <c r="CA57" i="4"/>
  <c r="CA58" i="4"/>
  <c r="CA59" i="4"/>
  <c r="CA60" i="4"/>
  <c r="CA61" i="4"/>
  <c r="CA62" i="4"/>
  <c r="CA37" i="4"/>
  <c r="CA38" i="4"/>
  <c r="CA32" i="4"/>
  <c r="CA33" i="4"/>
  <c r="CA34" i="4"/>
  <c r="CA35" i="4"/>
  <c r="CA36" i="4"/>
  <c r="CA24" i="4"/>
  <c r="CA31" i="4"/>
  <c r="CA2" i="4"/>
  <c r="CA3" i="4"/>
  <c r="CA4" i="4"/>
  <c r="CA5" i="4"/>
  <c r="CA6" i="4"/>
  <c r="CA7" i="4"/>
  <c r="CA16" i="4"/>
  <c r="CA14" i="4"/>
  <c r="CA15" i="4"/>
  <c r="CA27" i="4"/>
  <c r="CA28" i="4"/>
  <c r="CA29" i="4"/>
  <c r="CA30" i="4"/>
  <c r="AW24" i="4" l="1"/>
  <c r="AZ40" i="4" l="1"/>
  <c r="BX40" i="4" s="1"/>
  <c r="BY40" i="4" s="1"/>
  <c r="BZ40" i="4" s="1"/>
  <c r="AZ39" i="4"/>
  <c r="BX39" i="4" s="1"/>
  <c r="BY39" i="4" s="1"/>
  <c r="BZ39" i="4" s="1"/>
  <c r="AW42" i="4" l="1"/>
  <c r="AW43" i="4"/>
  <c r="AW44" i="4"/>
  <c r="AW45" i="4"/>
  <c r="AW46" i="4"/>
  <c r="AW47" i="4"/>
  <c r="AW41" i="4"/>
  <c r="BQ15" i="4" l="1"/>
  <c r="AZ14" i="4"/>
  <c r="BX14" i="4" s="1"/>
  <c r="BY14" i="4" s="1"/>
  <c r="BZ14" i="4" s="1"/>
  <c r="AW26" i="4"/>
  <c r="AW25" i="4"/>
  <c r="AZ15" i="4" l="1"/>
  <c r="BX15" i="4" s="1"/>
  <c r="BY15" i="4" s="1"/>
  <c r="BZ15" i="4" s="1"/>
  <c r="AZ16" i="4" l="1"/>
  <c r="BX16" i="4" s="1"/>
  <c r="BY16" i="4" s="1"/>
  <c r="BZ16" i="4" s="1"/>
  <c r="AZ31" i="4" l="1"/>
  <c r="BX31" i="4" s="1"/>
  <c r="BY31" i="4" s="1"/>
  <c r="BZ31"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tc={52E723F4-9A55-1E46-88F7-D2164B4696BA}</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AR38" authorId="1" shapeId="0" xr:uid="{00000000-0006-0000-0100-000008000000}">
      <text>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<sst xmlns="http://schemas.openxmlformats.org/spreadsheetml/2006/main" count="4113" uniqueCount="645">
  <si>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</si>
  <si>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</si>
  <si>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</si>
  <si>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</si>
  <si>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</si>
  <si>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</si>
  <si>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</si>
  <si>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</si>
  <si>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</si>
  <si>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</si>
  <si>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</si>
  <si>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</si>
  <si>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</si>
  <si>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</si>
  <si>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</si>
  <si>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</si>
  <si>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</si>
  <si>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</si>
  <si>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</si>
  <si>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</si>
  <si>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</si>
  <si>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</si>
  <si>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</si>
  <si>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</si>
  <si>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</si>
  <si>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</si>
  <si>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</si>
  <si>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</si>
  <si>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</si>
  <si>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</si>
  <si>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</si>
  <si>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</si>
  <si>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</si>
  <si>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</si>
  <si>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</si>
  <si>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</si>
  <si>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</si>
  <si>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</si>
  <si>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</si>
  <si>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</si>
  <si>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</si>
  <si>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</si>
  <si>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</si>
  <si>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</si>
  <si>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</si>
  <si>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</si>
  <si>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</si>
  <si>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</si>
  <si>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</si>
  <si>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</si>
  <si>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</si>
  <si>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</si>
  <si>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</si>
  <si>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</si>
  <si>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</si>
  <si>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</si>
  <si>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</si>
  <si>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</si>
  <si>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</si>
  <si>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</si>
  <si>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</si>
  <si>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</si>
  <si>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</si>
  <si>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</si>
  <si>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</si>
  <si>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</si>
  <si>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</si>
  <si>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</si>
  <si>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</si>
  <si>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</si>
  <si>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</si>
  <si>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</si>
  <si>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</si>
  <si>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</si>
  <si>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</si>
  <si>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</si>
  <si>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</si>
  <si>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</si>
  <si>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</si>
  <si>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</si>
  <si>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</si>
  <si>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</si>
  <si>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</si>
  <si>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</si>
  <si>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</si>
  <si>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</si>
  <si>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</si>
  <si>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</si>
  <si>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</si>
  <si>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</si>
  <si>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</si>
  <si>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</si>
  <si>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</si>
  <si>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</si>
  <si>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</si>
  <si>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</si>
  <si>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</si>
  <si>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</si>
  <si>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</si>
  <si>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</si>
  <si>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</si>
  <si>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</si>
  <si>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</si>
  <si>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</si>
  <si>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</si>
  <si>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</si>
  <si>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</si>
  <si>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</si>
  <si>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</si>
  <si>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</si>
  <si>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</si>
  <si>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</si>
  <si>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</si>
  <si>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</si>
  <si>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</si>
  <si>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</si>
  <si>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</si>
  <si>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</si>
  <si>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</si>
  <si>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</si>
  <si>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</si>
  <si>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</si>
  <si>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</si>
  <si>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</si>
  <si>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</si>
  <si>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</si>
  <si>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</si>
  <si>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</si>
  <si>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</si>
  <si>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</si>
  <si>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</si>
  <si>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</si>
  <si>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</si>
  <si>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</si>
  <si>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</si>
  <si>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</si>
  <si>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</si>
  <si>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</si>
  <si>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</si>
  <si>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</si>
  <si>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</si>
  <si>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</si>
  <si>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</si>
  <si>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</si>
  <si>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</si>
  <si>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</si>
  <si>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</si>
  <si>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</si>
  <si>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</si>
  <si>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</si>
  <si>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</si>
  <si>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</si>
  <si>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</si>
  <si>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</si>
  <si>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</si>
  <si>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</si>
  <si>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</si>
  <si>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</si>
  <si>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</si>
  <si>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</si>
  <si>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</si>
  <si>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</si>
  <si>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</si>
  <si>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</si>
  <si>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</si>
  <si>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</si>
  <si>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</si>
  <si>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</si>
  <si>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</si>
  <si>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</si>
  <si>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</si>
  <si>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</si>
  <si>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</si>
  <si>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</si>
  <si>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</si>
  <si>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</si>
  <si>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</si>
  <si>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</si>
  <si>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</si>
  <si>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</si>
  <si>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</si>
  <si>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</si>
  <si>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</si>
  <si>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</si>
  <si>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</si>
  <si>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</si>
  <si>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</si>
  <si>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</si>
  <si>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</si>
  <si>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</si>
  <si>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</si>
  <si>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</si>
  <si>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</si>
  <si>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</si>
  <si>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</si>
  <si>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</si>
  <si>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</si>
  <si>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</si>
  <si>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</si>
  <si>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</si>
  <si>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</si>
  <si>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</si>
  <si>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</si>
  <si>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</si>
  <si>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</si>
  <si>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</si>
  <si>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</si>
  <si>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</si>
  <si>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</si>
  <si>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</si>
  <si>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</si>
  <si>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</si>
  <si>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</si>
  <si>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</si>
  <si>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</si>
  <si>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</si>
  <si>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Allcott, Sweeney</t>
  </si>
  <si>
    <t>ITT</t>
  </si>
  <si>
    <t>revealed preference</t>
  </si>
  <si>
    <t>sales agent</t>
  </si>
  <si>
    <t>no such option</t>
  </si>
  <si>
    <t>probably no</t>
  </si>
  <si>
    <t>purschase (probability) of efficient appliance</t>
  </si>
  <si>
    <t>dummy (0/1)</t>
  </si>
  <si>
    <t>Alberini, Bigano, Boeri</t>
  </si>
  <si>
    <t>Italy</t>
  </si>
  <si>
    <t>self-reported behaviour</t>
  </si>
  <si>
    <t>household</t>
  </si>
  <si>
    <t>homeowners</t>
  </si>
  <si>
    <t>delayed</t>
  </si>
  <si>
    <t xml:space="preserve">current </t>
  </si>
  <si>
    <t>Datta, Filippini</t>
  </si>
  <si>
    <t>pre-recorded (no experiment)</t>
  </si>
  <si>
    <t>residents</t>
  </si>
  <si>
    <t>market share of efficient appliance</t>
  </si>
  <si>
    <t>2SLS</t>
  </si>
  <si>
    <t>IV</t>
  </si>
  <si>
    <t>Kenya</t>
  </si>
  <si>
    <t>probably yes</t>
  </si>
  <si>
    <t>Allcott, Taubinsky</t>
  </si>
  <si>
    <t>Evaluating Behaviorally Motivated Policy: Experimental Evidence from the Lightbulb Market</t>
  </si>
  <si>
    <t>control &amp; treatment</t>
  </si>
  <si>
    <t>online</t>
  </si>
  <si>
    <t>SH</t>
  </si>
  <si>
    <t>Neves, Oliveira</t>
  </si>
  <si>
    <t>structural model</t>
  </si>
  <si>
    <t>quasi-experimental</t>
  </si>
  <si>
    <t>stated preference</t>
  </si>
  <si>
    <t>individuals</t>
  </si>
  <si>
    <t>log scale</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</si>
  <si>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</si>
  <si>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</si>
  <si>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</si>
  <si>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Spain</t>
  </si>
  <si>
    <t>retailer</t>
  </si>
  <si>
    <t>store visitors</t>
  </si>
  <si>
    <t>not in meta regression - ? dynamics rather than demand</t>
  </si>
  <si>
    <t>impossible to separate the effect of the label from energy efficiency</t>
  </si>
  <si>
    <t>lprice</t>
  </si>
  <si>
    <t>WTP for efficient appliance</t>
  </si>
  <si>
    <t>estimated price-premium for the most energy-efficient refrigerators</t>
  </si>
  <si>
    <t>alphabetical with +</t>
  </si>
  <si>
    <t>Gana, Hoppe</t>
  </si>
  <si>
    <t>uncertainty / sample size missing</t>
  </si>
  <si>
    <t>Nigeria</t>
  </si>
  <si>
    <t>Revelt, Train</t>
  </si>
  <si>
    <t>MIXED LOGIT WITH REPEATED CHOICES: HOUSEHOLDS’ CHOICES
OF APPLIANCE EFFICIENCY LEVEL</t>
  </si>
  <si>
    <t>Goto H, Goto M, Sueyoshi</t>
  </si>
  <si>
    <t>Consumer choice on ecologically efficient water heaters: Marketing strategy and policy implications in Japan</t>
  </si>
  <si>
    <t>nested logit</t>
  </si>
  <si>
    <t>correlation</t>
  </si>
  <si>
    <t>Aydin, Kok, Brounen</t>
  </si>
  <si>
    <t>Energy efficiency and household behavior: the rebound effect in the residential sector</t>
  </si>
  <si>
    <t>dep_var</t>
  </si>
  <si>
    <t>Berman, Cooper, Geller</t>
  </si>
  <si>
    <t>COMPENDIUM OF UTILITY-SPONSORED ENERGY EFFICIENCY REBATE PROGRAMS.</t>
  </si>
  <si>
    <t>review</t>
  </si>
  <si>
    <t>Dong, Futawatari</t>
  </si>
  <si>
    <t>The study of low-carbon policy influence on consumers' energy efficiency household appliance purchase behavior</t>
  </si>
  <si>
    <t>quality</t>
  </si>
  <si>
    <t>ANOVA</t>
  </si>
  <si>
    <t>China</t>
  </si>
  <si>
    <t>mixed logit</t>
  </si>
  <si>
    <t>Kallbekken, Saelen, Hermansen</t>
  </si>
  <si>
    <t>Bridging the Energy Efficiency Gap: A Field Experiment on Lifetime Energy Costs and Household Appliances</t>
  </si>
  <si>
    <t>del Mar Sola, de Ayala, Galarraga</t>
  </si>
  <si>
    <t>The Effect of Providing Monetary Information on Energy Savings for Household Appliances: A Field Trial in Spain</t>
  </si>
  <si>
    <t>additional information - on the label</t>
  </si>
  <si>
    <t>London Economics</t>
  </si>
  <si>
    <t>Study on the impact of the energy label – and potential changes to it – on consumer understanding and on purchase decisions</t>
  </si>
  <si>
    <t xml:space="preserve">France, Slovenia, Szech Republic, Portugal </t>
  </si>
  <si>
    <t>opt_out</t>
  </si>
  <si>
    <t>other</t>
  </si>
  <si>
    <t>LT</t>
  </si>
  <si>
    <t>Household adoption of energy and water-efficient appliances: An analysis of attitudes, labelling and complementary green behaviours in selected OECD countries</t>
  </si>
  <si>
    <t>probit</t>
  </si>
  <si>
    <t>Australia, Canada, Chile, France, Israel, Korea, Japan, Netherlands, Spain, Sweden, Switzerland</t>
  </si>
  <si>
    <t>Liddle, Loi, Owen, Tao</t>
  </si>
  <si>
    <t>Evaluating consumption and cost savings from new air-conditioner purchases: The case of Singapore</t>
  </si>
  <si>
    <t>OLS - FE</t>
  </si>
  <si>
    <t>energy use after switching to a more efficient appliance</t>
  </si>
  <si>
    <t>OLS - RE</t>
  </si>
  <si>
    <t>coarsened exact matching</t>
  </si>
  <si>
    <t>Nakano, Zusman, Nugroho, Kaswanto, Arifin N, Munandar, Arifin HS, Muchtar, Gomi, Fujita</t>
  </si>
  <si>
    <t>France</t>
  </si>
  <si>
    <t>Mahlia, Masjuki, Choudhury, Ghazali</t>
  </si>
  <si>
    <t>Economical and environmental impact of room air conditioners energy labels in Malaysia</t>
  </si>
  <si>
    <t>simulation</t>
  </si>
  <si>
    <t>Malaysia</t>
  </si>
  <si>
    <t>Liu, Jin</t>
  </si>
  <si>
    <t>ordered probit</t>
  </si>
  <si>
    <t>Webber, Brown, Koomey</t>
  </si>
  <si>
    <t>Savings estimates for the ENERGY STAR (R) voluntary labeling program</t>
  </si>
  <si>
    <t>Hirst, Carney, O'Neal</t>
  </si>
  <si>
    <t>Alternative technologies for US residential water heating. Energy savings and economic benefits</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</si>
  <si>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</si>
  <si>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</si>
  <si>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</si>
  <si>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</si>
  <si>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</si>
  <si>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</si>
  <si>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</si>
  <si>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Wasi, Carson</t>
  </si>
  <si>
    <t>The influence of rebate programs on the demand for water heaters: The case of New South Wales</t>
  </si>
  <si>
    <t>diff-in-diff</t>
  </si>
  <si>
    <t>Australia</t>
  </si>
  <si>
    <t>alphabetical</t>
  </si>
  <si>
    <t>Deutsch</t>
  </si>
  <si>
    <t>The effect of life-cycle cost disclosure on consumer behavior: evidence from a field experiment with cooling appliances</t>
  </si>
  <si>
    <t>negative binomial regression</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</si>
  <si>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</si>
  <si>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</si>
  <si>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</si>
  <si>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relative WTP for LED vs CFL (diff experimental conditions)</t>
  </si>
  <si>
    <t>Datta, Gulati</t>
  </si>
  <si>
    <t>Utility rebates for ENERGY STAR appliances: Are they effective?</t>
  </si>
  <si>
    <t>Houde, Aldy</t>
  </si>
  <si>
    <t>Belt and suspenders and more: the incremental impact of energy efficiency subsidies in the presence of existing policy instruments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</si>
  <si>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</si>
  <si>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</si>
  <si>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</si>
  <si>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WTP for Energy Star labelled refrigerator</t>
  </si>
  <si>
    <t>Sammer, Wuestenhagen</t>
  </si>
  <si>
    <t>The influence of eco-labelling on consumer behaviour – results of a discrete choice analysis for washing machines</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</si>
  <si>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</si>
  <si>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</si>
  <si>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</si>
  <si>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</si>
  <si>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</si>
  <si>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multinomial logit</t>
  </si>
  <si>
    <t>Zha, Yang, Wang, Zhou</t>
  </si>
  <si>
    <t>Appliance energy labels and consumer heterogeneity: A latent class approach based on a discrete choice experiment in China</t>
  </si>
  <si>
    <t>Carroll, Denny, Lyons</t>
  </si>
  <si>
    <t>The Effects of Energy Cost Labelling on Appliance Purchasing Decisions: Trial Results from Ireland</t>
  </si>
  <si>
    <t>negative binomial count model</t>
  </si>
  <si>
    <t>Ireland</t>
  </si>
  <si>
    <t>Li, Cao</t>
  </si>
  <si>
    <t>Effectiveness of China's Labeling and Incentive Programs for Household Energy Conservation and Policy Implications</t>
  </si>
  <si>
    <t>Ito, Ida, Tanaka</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</si>
  <si>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</si>
  <si>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</si>
  <si>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</si>
  <si>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</si>
  <si>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mixed interventions</t>
  </si>
  <si>
    <t>marginal WTP for energy efficiency improvement</t>
  </si>
  <si>
    <t>Train, Atherton</t>
  </si>
  <si>
    <t>REBATES, LOANS, AND CUSTOMERS CHOICE OF APPLIANCE EFFICIENCY LEVEL - COMBINING STATED AND REVEALED-PREFERENCE DATA</t>
  </si>
  <si>
    <t>Jain, Rao, Patwardhan</t>
  </si>
  <si>
    <t>Consumer preference for labels in the purchase decisions of air conditioners in India</t>
  </si>
  <si>
    <t>India</t>
  </si>
  <si>
    <t>Ma, Yu, Urban</t>
  </si>
  <si>
    <t>Green transition of energy systems in rural China: National survey evidence of households' discrete choices on water heaters</t>
  </si>
  <si>
    <t>Harrington</t>
  </si>
  <si>
    <t>Quantifying energy savings from replacement of old refrigerators</t>
  </si>
  <si>
    <t>case study</t>
  </si>
  <si>
    <t>Sun</t>
  </si>
  <si>
    <t>Heterogeneous direct rebound effect: Theory and evidence from the Energy Star program</t>
  </si>
  <si>
    <t>Ren, Tibbs, McLauchlan, Ma, Harrington</t>
  </si>
  <si>
    <t>Refrigerator cost trap for low-income households: Developments in measurement and verification of appliance replacements</t>
  </si>
  <si>
    <t>Olsthoorn, Schleich, Gassmann, Faure</t>
  </si>
  <si>
    <t>Free riding and rebates for residential energy efficiency upgrades: A multi-country contingent valuation experiment</t>
  </si>
  <si>
    <t>in 10,000 KRW</t>
  </si>
  <si>
    <t>MWTP estimation results for refrigerator choice (highest efficiency grade)</t>
  </si>
  <si>
    <t>Raynaud, Osso, Bourges, Duplessis, Adnot</t>
  </si>
  <si>
    <t>Evidence of an indirect rebound effect with reveresible heat pumps: having air conditioning but not using it?</t>
  </si>
  <si>
    <t>Alberini, Towe</t>
  </si>
  <si>
    <t>Information v. energy efficiency incentives: Evidence from residential electricity consumption in Maryland</t>
  </si>
  <si>
    <t>Ridge</t>
  </si>
  <si>
    <t>Energy Conservation for Low-Income Households: The Evaporative Cooler Experience</t>
  </si>
  <si>
    <t>Chun, Jiang</t>
  </si>
  <si>
    <t>How households in Pakistan take on energy efficient lighting technology</t>
  </si>
  <si>
    <t>Pakistan</t>
  </si>
  <si>
    <t>Mizobuchi, Takeuchi</t>
  </si>
  <si>
    <t>Replacement or additional purchase: The impact of energy-efficient appliances on household electricity saving under public pressures</t>
  </si>
  <si>
    <t>Bjerregaard, Møller</t>
  </si>
  <si>
    <t>The Impact of EU's energy labeling policy: An econometric analysis of inceased transparency in the market of cold appliances in Denmark</t>
  </si>
  <si>
    <t>VAR</t>
  </si>
  <si>
    <t>Denmark</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</si>
  <si>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</si>
  <si>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</si>
  <si>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</si>
  <si>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less information on the label</t>
  </si>
  <si>
    <t>estimates of WTP (RMB) for the premium of variable-speed room ACs</t>
  </si>
  <si>
    <t>consumers’ WTP for variable-speed room AC over constant-speed room AC</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</si>
  <si>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</si>
  <si>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</si>
  <si>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</si>
  <si>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</si>
  <si>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individual discount rate</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</si>
  <si>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</si>
  <si>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</si>
  <si>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</si>
  <si>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</si>
  <si>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</si>
  <si>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</si>
  <si>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</si>
  <si>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</si>
  <si>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</si>
  <si>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</si>
  <si>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</si>
  <si>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</si>
  <si>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</si>
  <si>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</si>
  <si>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</si>
  <si>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</si>
  <si>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</si>
  <si>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</si>
  <si>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</si>
  <si>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Energy Star label without rebate</t>
  </si>
  <si>
    <t>Kusaka, Kojima, Watanabe</t>
  </si>
  <si>
    <t>no appliance breakdown</t>
  </si>
  <si>
    <t>Liang, Liu, Qiu, Wang, Xing</t>
  </si>
  <si>
    <t>Time-of-Use Electricity Pricing and Residential Low-carbon Energy Technology Adoption</t>
  </si>
  <si>
    <t>intervention</t>
  </si>
  <si>
    <t>Schleich, Durand, Brugger</t>
  </si>
  <si>
    <t>How effective are energy-efficiency incentive programs? Evidence from Italian homeowners</t>
  </si>
  <si>
    <t>Poland</t>
  </si>
  <si>
    <t>Romania</t>
  </si>
  <si>
    <t>Sweden</t>
  </si>
  <si>
    <t xml:space="preserve">Wang B, Deng, Liu, Sun, Wang ZH </t>
  </si>
  <si>
    <t>Effect of energy efficiency labels on household appliance choice in China: Sustainable consumption or irrational intertemporal choice?</t>
  </si>
  <si>
    <t>2016-2017</t>
  </si>
  <si>
    <t>Mills, Schleich</t>
  </si>
  <si>
    <t>Hafner, Elmes, Read, White</t>
  </si>
  <si>
    <t>Exploring the role of normative, financial and environmental information in promoting uptake of energy efficient technologies</t>
  </si>
  <si>
    <t>odds ratio</t>
  </si>
  <si>
    <t>Min, Azevedo, Michalek, de Bruin</t>
  </si>
  <si>
    <t>Labeling energy cost on light bulbs lowers implicit discount rates</t>
  </si>
  <si>
    <t>Lighting accounts for nearly 20% of overall U.S. electricity consumption and 18% of U.S. residential electricity
consumption. A transition to alternative energy-efficient technologies could reduce this energy consumption
considerably. To quantify the influence of factors that drive consumer choices for light bulbs, we conducted a
choice-based conjoint field experiment with 183 participants. We estimated discrete choice models from the
data, and found that politically liberal consumers have a stronger preference for compact fluorescent lighting
technology and for low energy consumption. Greater willingness to pay for lower energy consumption and longer
lifewas observed in conditions where estimated operating cost information was provided. Providing estimated
annual cost information to consumers reduced their implicit discount rate by a factor of five, lowering barriers
to adoption of energy efficient alternativeswith higher up-front costs; however, evenwith cost information provided,
consumers continued to use implicit discount rates of around 100%, which is larger than that experienced
for other energy technologies.</t>
  </si>
  <si>
    <t>lab</t>
  </si>
  <si>
    <t>operating cost information (baseline - no such information)</t>
  </si>
  <si>
    <t>WTP for CFL</t>
  </si>
  <si>
    <t>Heinzle, Wüstenhagen</t>
  </si>
  <si>
    <t>Disimproving the European Energy Label's value for consumers? Results from a consumer survey</t>
  </si>
  <si>
    <t>Anderson, Claxton</t>
  </si>
  <si>
    <t>Barriers to Consumer Choice of Energy Efficient Products</t>
  </si>
  <si>
    <t>Canada</t>
  </si>
  <si>
    <t>Stadelmann, Schubert</t>
  </si>
  <si>
    <t>How Do Different Designs of Energy Labels Influence Purchases of Household Appliances? A Field Study in Switzerland</t>
  </si>
  <si>
    <t>DECC</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</si>
  <si>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</si>
  <si>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</si>
  <si>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</si>
  <si>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</si>
  <si>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Market prices do not reveal much on consumer behavior</t>
  </si>
  <si>
    <t>binary</t>
  </si>
  <si>
    <t>Schultz, Colehour, Vohr, Bonn, Bullock, Sadler</t>
  </si>
  <si>
    <t>Using Social Marketing to Spur Residential Adoption of ENERGY STAR®-Certified LED Lighting</t>
  </si>
  <si>
    <t>Davis</t>
  </si>
  <si>
    <t>Durable goods and residential demand for energy and water: evidence from a field trial</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</si>
  <si>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</si>
  <si>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</si>
  <si>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stated preferences</t>
  </si>
  <si>
    <t>conditional logit</t>
  </si>
  <si>
    <t>As it is stated preference, hypothetical bias may be an issue</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</si>
  <si>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</si>
  <si>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</si>
  <si>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</si>
  <si>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</si>
  <si>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</si>
  <si>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</si>
  <si>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</si>
  <si>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</si>
  <si>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Nishijima, Kagawa, Nansai, Oguchi</t>
  </si>
  <si>
    <t>Effects of product replacement programs on climate change</t>
  </si>
  <si>
    <t>Hlakotsa, Lencwe, Ngobeni, Chowdhury</t>
  </si>
  <si>
    <t>Energy Efficient Water Heating using Air Source Heat Pumps</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</si>
  <si>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</si>
  <si>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</si>
  <si>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</si>
  <si>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</si>
  <si>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</si>
  <si>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</si>
  <si>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</si>
  <si>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</si>
  <si>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</si>
  <si>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</si>
  <si>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</si>
  <si>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</si>
  <si>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</si>
  <si>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</si>
  <si>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</si>
  <si>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</si>
  <si>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</si>
  <si>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</si>
  <si>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unclear</t>
  </si>
  <si>
    <t>refers only to eight suburbs of the city of Accra</t>
  </si>
  <si>
    <t>Dynamic Adjustment of Eco-labeling Schemes and Consumer Choice - the Revision of the EU Energy Label as a Missed Opportunity?: Dynamic Adjustment of Eco-labelling Schemes &amp; Consumer Choice</t>
  </si>
  <si>
    <t>Alberini, Gans, Towe</t>
  </si>
  <si>
    <t>Free Riding, Upsizing, and Energy Efﬁciency Incentives in Maryland Homes</t>
  </si>
  <si>
    <t>Davis, Fuchs, Gertler</t>
  </si>
  <si>
    <t>controlls</t>
  </si>
  <si>
    <t>rebate_timeframe</t>
  </si>
  <si>
    <t>dep_var_category</t>
  </si>
  <si>
    <t>bias</t>
  </si>
  <si>
    <t>students</t>
  </si>
  <si>
    <t>Alberini, Bigano</t>
  </si>
  <si>
    <t>PoC</t>
  </si>
  <si>
    <t>Looking for free riding: energy efficiency incentives and Italian homeowners</t>
  </si>
  <si>
    <t>RDD</t>
  </si>
  <si>
    <t>tenants</t>
  </si>
  <si>
    <t>The Role of Sales Agents in Information Disclosure: Evidence from a Field Experiment</t>
  </si>
  <si>
    <t>propensity score matching</t>
  </si>
  <si>
    <t>callers</t>
  </si>
  <si>
    <t>Russia</t>
  </si>
  <si>
    <t>Caldwell, Vaughn, Harrod E, Harrod J</t>
  </si>
  <si>
    <t>Social Marketing-Enhanced Home Energy Education Encourages Adoption of Energy-Saving Practices</t>
  </si>
  <si>
    <t>Analysing the impact of ENERGY STAR rebate policies in the US</t>
  </si>
  <si>
    <t>log-linear model</t>
  </si>
  <si>
    <t>EU</t>
  </si>
  <si>
    <t>Austria</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</si>
  <si>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</si>
  <si>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</si>
  <si>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</si>
  <si>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</si>
  <si>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difference-in-difference-in-difference</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</si>
  <si>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</si>
  <si>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</si>
  <si>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</si>
  <si>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</si>
  <si>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Assessment of the Governance System Regarding Adoption of Energy Efficient Appliances by Households in Nigeria</t>
  </si>
  <si>
    <t>generalised linear mixed modelling</t>
  </si>
  <si>
    <t>Ghozali, Kaneko</t>
  </si>
  <si>
    <t>Consumer behavior and ecolabeling</t>
  </si>
  <si>
    <t>Granda, Birner, Aron, Woodward</t>
  </si>
  <si>
    <t>The IFC/GEF Poland Efficient Lighting Project (PELP) final results</t>
  </si>
  <si>
    <t>Haas</t>
  </si>
  <si>
    <t>Some empirical findings of an Austrian appliance turn-in program</t>
  </si>
  <si>
    <t>Heinzle</t>
  </si>
  <si>
    <t>Disclosure of energy operating cost information: A silver bullet for overcoming the energy-efficiency gap?</t>
  </si>
  <si>
    <t>Consumers' Response to State Energy Efficient Appliance Rebate Programs</t>
  </si>
  <si>
    <t>Environmental consciousness, economic gain and consumer choice of energy efficient appliances in Thailand, China and India</t>
  </si>
  <si>
    <t>Visualisation approach and economic incentives toward low carbon practices in households: A survey study in Hyogo, Japan</t>
  </si>
  <si>
    <t>Menita, Domingos, Domingues, Alves, Calixto, Garcia, Faria, Miguel</t>
  </si>
  <si>
    <t>Measurement and verification in energy efficiency projects involving solar water heating systems in homes of low-income families - Case studies</t>
  </si>
  <si>
    <t>What's driving energy efficient appliance label awareness and purchase propensity?</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</si>
  <si>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</si>
  <si>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</si>
  <si>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</si>
  <si>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</si>
  <si>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</si>
  <si>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</si>
  <si>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</si>
  <si>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</si>
  <si>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</si>
  <si>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</si>
  <si>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</si>
  <si>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</si>
  <si>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Mixed logit with repeated choices: households' choices of appliance efficiency level</t>
  </si>
  <si>
    <t>How effective are EU minimum energy performance standards and energy labels for cold appliances?</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</si>
  <si>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</si>
  <si>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</si>
  <si>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</si>
  <si>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</si>
  <si>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Turdaliev</t>
  </si>
  <si>
    <t>Increasing Block Rate Electricity Pricing and Propensity to Purchase Electrical Appliances: Evidence from a Natural Experiment in Russia</t>
  </si>
  <si>
    <t>Yao, Liu, Yan</t>
  </si>
  <si>
    <t>A quantile approach to assess the effectiveness of the subsidy policy for energy-efficient home appliances: Evidence from Rizhao, China</t>
  </si>
  <si>
    <t>Oländer, Thogersen</t>
  </si>
  <si>
    <t>Informing Versus Nudging in Environmental Policy</t>
  </si>
  <si>
    <t>comments</t>
  </si>
  <si>
    <t>Row Labels</t>
  </si>
  <si>
    <t>Grand Total</t>
  </si>
  <si>
    <t>Count of sr_no</t>
  </si>
  <si>
    <t>Count of statistical_technique</t>
  </si>
  <si>
    <t>Count of study_design</t>
  </si>
  <si>
    <t>Count of country</t>
  </si>
  <si>
    <t>Count of study_ID</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</si>
  <si>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</si>
  <si>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</si>
  <si>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</si>
  <si>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</si>
  <si>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</si>
  <si>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</si>
  <si>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</si>
  <si>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</si>
  <si>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</si>
  <si>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</si>
  <si>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</si>
  <si>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</si>
  <si>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</si>
  <si>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</si>
  <si>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</si>
  <si>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</si>
  <si>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washing_machine</t>
  </si>
  <si>
    <t>Sum of clothes_dryer</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</si>
  <si>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</si>
  <si>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</si>
  <si>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</si>
  <si>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</si>
  <si>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</si>
  <si>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</si>
  <si>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</si>
  <si>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</si>
  <si>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</si>
  <si>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</si>
  <si>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</si>
  <si>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</si>
  <si>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</si>
  <si>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t_stat</t>
  </si>
  <si>
    <t>Count of significance_bound</t>
  </si>
  <si>
    <t>Count of percent_change</t>
  </si>
  <si>
    <t>Count of percent_change(binary predictor)</t>
  </si>
  <si>
    <t>Count of total_sample_size</t>
  </si>
  <si>
    <t>Sum of controls energy prices</t>
  </si>
  <si>
    <t>Sum of controls environmental attitudes</t>
  </si>
  <si>
    <t>Sum of controls demographics</t>
  </si>
  <si>
    <t>Count of label_scale</t>
  </si>
  <si>
    <t>Count of label_consumption</t>
  </si>
  <si>
    <t>Count of label_monetary</t>
  </si>
  <si>
    <t>Count of monetary_incentive_size</t>
  </si>
  <si>
    <t>Count of monetary_incentive_relative</t>
  </si>
  <si>
    <t>Count of monetary_incentive_timeframe</t>
  </si>
  <si>
    <t>Count of diff_mean</t>
  </si>
  <si>
    <t>Count of year_publication</t>
  </si>
  <si>
    <t>Count of exclusion_reason</t>
  </si>
  <si>
    <t>Average of df</t>
  </si>
  <si>
    <t>Count of study_design2</t>
  </si>
  <si>
    <t>Count of country2</t>
  </si>
  <si>
    <t>Average of d_value2</t>
  </si>
  <si>
    <t>Average of z_variance2</t>
  </si>
  <si>
    <t>Average of r_variance2</t>
  </si>
  <si>
    <t>Average of z_value2</t>
  </si>
  <si>
    <t>Average of r_effect_size_sample2</t>
  </si>
  <si>
    <t>only report IDR without WTP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</si>
</sst>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2" formatCode="0.0000"/>
    <numFmt numFmtId="173" formatCode="0.0000;[Red]0.0000"/>
  </numFmts>
  <fonts count="37">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sz val="12"/>
      <color rgb="FFFF0000"/>
      <name val="Calibri (Body)"/>
    </font>
    <font>
      <u/>
      <sz val="12"/>
      <color theme="10"/>
      <name val="Calibri"/>
      <family val="2"/>
      <scheme val="minor"/>
    </font>
  </fonts>
  <fills count="19">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6" fillId="0" borderId="0" applyNumberFormat="0" applyFill="0" applyBorder="0" applyAlignment="0" applyProtection="0"/>
  </cellStyleXfs>
  <cellXfs count="120">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35" fillId="0" borderId="0" xfId="0"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2"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64" fontId="35" fillId="15" borderId="0" xfId="0" applyNumberFormat="1" applyFont="1" applyFill="1"/>
    <xf numFmtId="0" fontId="35" fillId="15" borderId="0" xfId="0" applyFont="1" applyFill="1"/>
    <xf numFmtId="173" fontId="0" fillId="0" borderId="0" xfId="0" applyNumberFormat="1"/>
    <xf numFmtId="0" fontId="36" fillId="0" borderId="0" xfId="1" applyAlignment="1"/>
    <xf numFmtId="0" fontId="0" fillId="0" borderId="0" xfId="0" pivotButton="1"/>
    <xf numFmtId="0" fontId="0" fillId="0" borderId="0" xfId="0" applyAlignment="1">
      <alignment horizontal="left"/>
    </xf>
    <xf numFmtId="2" fontId="0" fillId="15" borderId="0" xfId="0" applyNumberFormat="1" applyFill="1"/>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https://d.docs.live.net/Users/dianadanilenko/Library/Containers/com.microsoft.Excel/Data/Documents/Users/dianadanilenko/Library/Containers/com.microsoft.Excel/Data/Documents/C:/Users/dianadanilenko/Downloads/Coding_Appliances_v7.xlsx?D02ED7B1" TargetMode="External"/><Relationship Id="rId1" Type="http://schemas.openxmlformats.org/officeDocument/2006/relationships/externalLinkPath" Target="file:///D02ED7B1/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D639B32B-9019-CA48-8E24-1BEF7DE87CE6}">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95B189-0291-5F4C-AF42-581998D9F62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38"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D76"/>
  <sheetViews>
    <sheetView tabSelected="1" zoomScale="93" zoomScaleNormal="93" workbookViewId="0">
      <pane xSplit="1" ySplit="1" topLeftCell="B2" activePane="bottomRight" state="frozen"/>
      <selection pane="topRight" activeCell="B1" sqref="B1"/>
      <selection pane="bottomLeft" activeCell="A2" sqref="A2"/>
      <selection pane="bottomRight" activeCell="A17" sqref="A17:XFD17"/>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7" customWidth="1"/>
    <col min="48" max="48" width="14.1640625" style="7" customWidth="1"/>
    <col min="49" max="49" width="13.1640625" customWidth="1"/>
    <col min="50" max="50" width="9.6640625" customWidth="1"/>
    <col min="51" max="51" width="17" customWidth="1"/>
    <col min="52" max="52" width="9"/>
    <col min="53"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82" max="82" width="24" customWidth="1"/>
  </cols>
  <sheetData>
    <row r="1" spans="1:82" ht="18" customHeight="1">
      <c r="A1" s="59" t="s">
        <v>181</v>
      </c>
      <c r="B1" s="59" t="s">
        <v>182</v>
      </c>
      <c r="C1" s="59" t="s">
        <v>1</v>
      </c>
      <c r="D1" s="59" t="s">
        <v>2</v>
      </c>
      <c r="E1" s="60" t="s">
        <v>183</v>
      </c>
      <c r="F1" s="61" t="s">
        <v>184</v>
      </c>
      <c r="G1" s="62" t="s">
        <v>4</v>
      </c>
      <c r="H1" s="63" t="s">
        <v>5</v>
      </c>
      <c r="I1" s="64" t="s">
        <v>11</v>
      </c>
      <c r="J1" s="64" t="s">
        <v>6</v>
      </c>
      <c r="K1" s="64" t="s">
        <v>7</v>
      </c>
      <c r="L1" s="64" t="s">
        <v>8</v>
      </c>
      <c r="M1" s="64"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60</v>
      </c>
      <c r="BY1" s="92" t="s">
        <v>62</v>
      </c>
      <c r="BZ1" s="93" t="s">
        <v>63</v>
      </c>
      <c r="CA1" s="93" t="s">
        <v>64</v>
      </c>
      <c r="CB1" t="s">
        <v>65</v>
      </c>
      <c r="CC1" t="s">
        <v>215</v>
      </c>
      <c r="CD1" t="s">
        <v>580</v>
      </c>
    </row>
    <row r="2" spans="1:82" ht="16">
      <c r="A2" s="11" t="s">
        <v>293</v>
      </c>
      <c r="B2" s="11"/>
      <c r="C2" s="94">
        <v>1241</v>
      </c>
      <c r="D2" s="11">
        <v>312</v>
      </c>
      <c r="E2" t="s">
        <v>478</v>
      </c>
      <c r="F2">
        <v>2021</v>
      </c>
      <c r="G2" t="s">
        <v>479</v>
      </c>
      <c r="H2" t="s">
        <v>480</v>
      </c>
      <c r="I2" s="18">
        <v>2</v>
      </c>
      <c r="J2">
        <v>2018</v>
      </c>
      <c r="K2" t="s">
        <v>472</v>
      </c>
      <c r="L2">
        <v>17</v>
      </c>
      <c r="M2" t="s">
        <v>282</v>
      </c>
      <c r="N2" t="s">
        <v>241</v>
      </c>
      <c r="O2" t="s">
        <v>148</v>
      </c>
      <c r="P2" s="18" t="s">
        <v>247</v>
      </c>
      <c r="Q2" t="s">
        <v>242</v>
      </c>
      <c r="R2" t="s">
        <v>233</v>
      </c>
      <c r="S2">
        <v>1</v>
      </c>
      <c r="T2" t="s">
        <v>291</v>
      </c>
      <c r="U2">
        <v>1</v>
      </c>
      <c r="V2" s="18" t="s">
        <v>221</v>
      </c>
      <c r="W2" s="18" t="s">
        <v>221</v>
      </c>
      <c r="X2" t="s">
        <v>474</v>
      </c>
      <c r="Y2" s="18">
        <v>0</v>
      </c>
      <c r="Z2" s="18">
        <v>0</v>
      </c>
      <c r="AA2" s="18">
        <v>1</v>
      </c>
      <c r="AB2" s="18">
        <v>0</v>
      </c>
      <c r="AC2" s="18">
        <v>0</v>
      </c>
      <c r="AD2" s="18">
        <v>0</v>
      </c>
      <c r="AE2" s="11">
        <v>0</v>
      </c>
      <c r="AF2" s="11">
        <v>0</v>
      </c>
      <c r="AG2" s="10" t="s">
        <v>481</v>
      </c>
      <c r="AH2" s="18">
        <v>0</v>
      </c>
      <c r="AI2" s="18">
        <v>0</v>
      </c>
      <c r="AJ2" s="18">
        <v>0</v>
      </c>
      <c r="AK2" s="18">
        <v>1</v>
      </c>
      <c r="AL2" s="18">
        <v>0</v>
      </c>
      <c r="AM2" s="18">
        <v>0</v>
      </c>
      <c r="AN2" s="18">
        <v>0</v>
      </c>
      <c r="AO2" s="18">
        <v>0</v>
      </c>
      <c r="AP2" s="18">
        <v>0</v>
      </c>
      <c r="AQ2" t="s">
        <v>482</v>
      </c>
      <c r="AR2" t="s">
        <v>259</v>
      </c>
      <c r="AS2" t="s">
        <v>482</v>
      </c>
      <c r="AT2" t="s">
        <v>223</v>
      </c>
      <c r="AU2" s="21">
        <v>0.55700000000000005</v>
      </c>
      <c r="AV2" s="7" t="s">
        <v>80</v>
      </c>
      <c r="AW2" t="s">
        <v>73</v>
      </c>
      <c r="AX2" s="41">
        <v>1E-3</v>
      </c>
      <c r="AY2">
        <v>3</v>
      </c>
      <c r="AZ2">
        <f>TINV(AX2,CC2)</f>
        <v>3.2994178866117148</v>
      </c>
      <c r="BA2" s="18" t="s">
        <v>73</v>
      </c>
      <c r="BB2" s="18"/>
      <c r="BC2" s="18" t="s">
        <v>73</v>
      </c>
      <c r="BD2" s="18" t="s">
        <v>73</v>
      </c>
      <c r="BE2" s="18" t="s">
        <v>73</v>
      </c>
      <c r="BF2" s="18" t="s">
        <v>73</v>
      </c>
      <c r="BG2" s="18" t="s">
        <v>73</v>
      </c>
      <c r="BH2" s="18" t="s">
        <v>73</v>
      </c>
      <c r="BI2">
        <v>1099</v>
      </c>
      <c r="BJ2">
        <v>13188</v>
      </c>
      <c r="BK2" s="18" t="s">
        <v>73</v>
      </c>
      <c r="BL2" s="18" t="s">
        <v>73</v>
      </c>
      <c r="BM2" s="18" t="s">
        <v>73</v>
      </c>
      <c r="BN2" s="18" t="s">
        <v>73</v>
      </c>
      <c r="BO2" s="11" t="s">
        <v>73</v>
      </c>
      <c r="BP2" s="18" t="s">
        <v>73</v>
      </c>
      <c r="BQ2" s="11" t="s">
        <v>73</v>
      </c>
      <c r="BR2">
        <v>1</v>
      </c>
      <c r="BS2">
        <v>1</v>
      </c>
      <c r="BT2" t="s">
        <v>261</v>
      </c>
      <c r="BU2">
        <v>0</v>
      </c>
      <c r="BV2">
        <v>0</v>
      </c>
      <c r="BW2">
        <v>0</v>
      </c>
      <c r="BX2" s="30">
        <f>((AZ2^2)/(AZ2^2+BI2))^(1/2)</f>
        <v>9.9037143771440309E-2</v>
      </c>
      <c r="BY2" s="30">
        <f>0.5*LN((1+BX2)/(1-BX2))</f>
        <v>9.9362859957839736E-2</v>
      </c>
      <c r="BZ2" s="30">
        <f>((1-(BY2^2)^2)/(BI2-1))</f>
        <v>9.1065803670912202E-4</v>
      </c>
      <c r="CA2" s="30">
        <f>1/(BI2-3)</f>
        <v>9.1240875912408756E-4</v>
      </c>
      <c r="CB2" s="100"/>
      <c r="CC2">
        <f>BI2-2</f>
        <v>1097</v>
      </c>
    </row>
    <row r="3" spans="1:82" ht="16">
      <c r="A3" s="11" t="s">
        <v>293</v>
      </c>
      <c r="B3" s="11"/>
      <c r="C3" s="94">
        <v>1242</v>
      </c>
      <c r="D3" s="11">
        <v>312</v>
      </c>
      <c r="E3" t="s">
        <v>478</v>
      </c>
      <c r="F3">
        <v>2021</v>
      </c>
      <c r="G3" t="s">
        <v>479</v>
      </c>
      <c r="H3" t="s">
        <v>480</v>
      </c>
      <c r="I3" s="18">
        <v>2</v>
      </c>
      <c r="J3">
        <v>2018</v>
      </c>
      <c r="K3" t="s">
        <v>472</v>
      </c>
      <c r="L3">
        <v>17</v>
      </c>
      <c r="M3" t="s">
        <v>282</v>
      </c>
      <c r="N3" t="s">
        <v>241</v>
      </c>
      <c r="O3" t="s">
        <v>148</v>
      </c>
      <c r="P3" s="18" t="s">
        <v>247</v>
      </c>
      <c r="Q3" t="s">
        <v>242</v>
      </c>
      <c r="R3" t="s">
        <v>233</v>
      </c>
      <c r="S3">
        <v>1</v>
      </c>
      <c r="T3" t="s">
        <v>291</v>
      </c>
      <c r="U3">
        <v>1</v>
      </c>
      <c r="V3" s="18" t="s">
        <v>221</v>
      </c>
      <c r="W3" s="18" t="s">
        <v>221</v>
      </c>
      <c r="X3" t="s">
        <v>474</v>
      </c>
      <c r="Y3" s="18">
        <v>0</v>
      </c>
      <c r="Z3" s="18">
        <v>0</v>
      </c>
      <c r="AA3" s="18">
        <v>1</v>
      </c>
      <c r="AB3" s="18">
        <v>0</v>
      </c>
      <c r="AC3" s="18">
        <v>0</v>
      </c>
      <c r="AD3" s="18">
        <v>0</v>
      </c>
      <c r="AE3" s="11">
        <v>0</v>
      </c>
      <c r="AF3" s="11">
        <v>0</v>
      </c>
      <c r="AG3" s="10" t="s">
        <v>481</v>
      </c>
      <c r="AH3" s="18">
        <v>0</v>
      </c>
      <c r="AI3" s="18">
        <v>0</v>
      </c>
      <c r="AJ3" s="18">
        <v>0</v>
      </c>
      <c r="AK3" s="18">
        <v>1</v>
      </c>
      <c r="AL3" s="18">
        <v>0</v>
      </c>
      <c r="AM3" s="18">
        <v>0</v>
      </c>
      <c r="AN3" s="18">
        <v>0</v>
      </c>
      <c r="AO3" s="18">
        <v>0</v>
      </c>
      <c r="AP3" s="18">
        <v>0</v>
      </c>
      <c r="AQ3" t="s">
        <v>482</v>
      </c>
      <c r="AR3" t="s">
        <v>259</v>
      </c>
      <c r="AS3" t="s">
        <v>482</v>
      </c>
      <c r="AT3" t="s">
        <v>223</v>
      </c>
      <c r="AU3" s="21">
        <v>1.58</v>
      </c>
      <c r="AV3" s="7" t="s">
        <v>80</v>
      </c>
      <c r="AW3" t="s">
        <v>73</v>
      </c>
      <c r="AX3" s="41">
        <v>1E-3</v>
      </c>
      <c r="AY3">
        <v>3</v>
      </c>
      <c r="AZ3">
        <f>TINV(AX3,CC3)</f>
        <v>3.2994178866117148</v>
      </c>
      <c r="BA3" s="18" t="s">
        <v>73</v>
      </c>
      <c r="BB3" s="18"/>
      <c r="BC3" s="18" t="s">
        <v>73</v>
      </c>
      <c r="BD3" s="18" t="s">
        <v>73</v>
      </c>
      <c r="BE3" s="18" t="s">
        <v>73</v>
      </c>
      <c r="BF3" s="18" t="s">
        <v>73</v>
      </c>
      <c r="BG3" s="18" t="s">
        <v>73</v>
      </c>
      <c r="BH3" s="18" t="s">
        <v>73</v>
      </c>
      <c r="BI3">
        <v>1099</v>
      </c>
      <c r="BJ3">
        <v>13188</v>
      </c>
      <c r="BK3" s="18" t="s">
        <v>73</v>
      </c>
      <c r="BL3" s="18" t="s">
        <v>73</v>
      </c>
      <c r="BM3" s="18" t="s">
        <v>73</v>
      </c>
      <c r="BN3" s="18" t="s">
        <v>73</v>
      </c>
      <c r="BO3" s="11" t="s">
        <v>73</v>
      </c>
      <c r="BP3" s="18" t="s">
        <v>73</v>
      </c>
      <c r="BQ3" s="11" t="s">
        <v>73</v>
      </c>
      <c r="BR3">
        <v>1</v>
      </c>
      <c r="BS3">
        <v>1</v>
      </c>
      <c r="BT3" t="s">
        <v>261</v>
      </c>
      <c r="BU3">
        <v>0</v>
      </c>
      <c r="BV3">
        <v>0</v>
      </c>
      <c r="BW3">
        <v>0</v>
      </c>
      <c r="BX3" s="30">
        <f>((AZ3^2)/(AZ3^2+BI3))^(1/2)</f>
        <v>9.9037143771440309E-2</v>
      </c>
      <c r="BY3" s="30">
        <f>0.5*LN((1+BX3)/(1-BX3))</f>
        <v>9.9362859957839736E-2</v>
      </c>
      <c r="BZ3" s="30">
        <f>((1-(BY3^2)^2)/(BI3-1))</f>
        <v>9.1065803670912202E-4</v>
      </c>
      <c r="CA3" s="30">
        <f>1/(BI3-3)</f>
        <v>9.1240875912408756E-4</v>
      </c>
      <c r="CB3" s="100"/>
      <c r="CC3">
        <f>BI3-2</f>
        <v>1097</v>
      </c>
    </row>
    <row r="4" spans="1:82" ht="16">
      <c r="A4" s="11" t="s">
        <v>293</v>
      </c>
      <c r="B4" s="11"/>
      <c r="C4" s="94">
        <v>1243</v>
      </c>
      <c r="D4" s="11">
        <v>312</v>
      </c>
      <c r="E4" t="s">
        <v>478</v>
      </c>
      <c r="F4">
        <v>2021</v>
      </c>
      <c r="G4" t="s">
        <v>479</v>
      </c>
      <c r="H4" t="s">
        <v>480</v>
      </c>
      <c r="I4" s="18">
        <v>2</v>
      </c>
      <c r="J4">
        <v>2018</v>
      </c>
      <c r="K4" t="s">
        <v>472</v>
      </c>
      <c r="L4">
        <v>17</v>
      </c>
      <c r="M4" t="s">
        <v>282</v>
      </c>
      <c r="N4" t="s">
        <v>241</v>
      </c>
      <c r="O4" t="s">
        <v>148</v>
      </c>
      <c r="P4" s="18" t="s">
        <v>247</v>
      </c>
      <c r="Q4" t="s">
        <v>242</v>
      </c>
      <c r="R4" t="s">
        <v>233</v>
      </c>
      <c r="S4">
        <v>1</v>
      </c>
      <c r="T4" t="s">
        <v>291</v>
      </c>
      <c r="U4">
        <v>1</v>
      </c>
      <c r="V4" s="18" t="s">
        <v>221</v>
      </c>
      <c r="W4" s="18" t="s">
        <v>221</v>
      </c>
      <c r="X4" t="s">
        <v>474</v>
      </c>
      <c r="Y4" s="18">
        <v>0</v>
      </c>
      <c r="Z4" s="18">
        <v>0</v>
      </c>
      <c r="AA4" s="18">
        <v>1</v>
      </c>
      <c r="AB4" s="18">
        <v>0</v>
      </c>
      <c r="AC4" s="18">
        <v>0</v>
      </c>
      <c r="AD4" s="18">
        <v>0</v>
      </c>
      <c r="AE4" s="11">
        <v>0</v>
      </c>
      <c r="AF4" s="11">
        <v>0</v>
      </c>
      <c r="AG4" s="10" t="s">
        <v>481</v>
      </c>
      <c r="AH4" s="18">
        <v>0</v>
      </c>
      <c r="AI4" s="18">
        <v>0</v>
      </c>
      <c r="AJ4" s="18">
        <v>0</v>
      </c>
      <c r="AK4" s="18">
        <v>1</v>
      </c>
      <c r="AL4" s="18">
        <v>0</v>
      </c>
      <c r="AM4" s="18">
        <v>0</v>
      </c>
      <c r="AN4" s="18">
        <v>0</v>
      </c>
      <c r="AO4" s="18">
        <v>0</v>
      </c>
      <c r="AP4" s="18">
        <v>0</v>
      </c>
      <c r="AQ4" t="s">
        <v>482</v>
      </c>
      <c r="AR4" t="s">
        <v>259</v>
      </c>
      <c r="AS4" t="s">
        <v>482</v>
      </c>
      <c r="AT4" t="s">
        <v>223</v>
      </c>
      <c r="AU4" s="21">
        <v>0.17</v>
      </c>
      <c r="AV4" s="7" t="s">
        <v>80</v>
      </c>
      <c r="AW4" t="s">
        <v>73</v>
      </c>
      <c r="AX4">
        <v>0.311</v>
      </c>
      <c r="AY4">
        <v>3</v>
      </c>
      <c r="AZ4">
        <f>TINV(AX4,CC4)</f>
        <v>1.0135940485180941</v>
      </c>
      <c r="BA4" s="18" t="s">
        <v>73</v>
      </c>
      <c r="BB4" s="18"/>
      <c r="BC4" s="18" t="s">
        <v>73</v>
      </c>
      <c r="BD4" s="18" t="s">
        <v>73</v>
      </c>
      <c r="BE4" s="18" t="s">
        <v>73</v>
      </c>
      <c r="BF4" s="18" t="s">
        <v>73</v>
      </c>
      <c r="BG4" s="18" t="s">
        <v>73</v>
      </c>
      <c r="BH4" s="18" t="s">
        <v>73</v>
      </c>
      <c r="BI4">
        <v>1099</v>
      </c>
      <c r="BJ4">
        <v>13188</v>
      </c>
      <c r="BK4" s="18" t="s">
        <v>73</v>
      </c>
      <c r="BL4" s="18" t="s">
        <v>73</v>
      </c>
      <c r="BM4" s="18" t="s">
        <v>73</v>
      </c>
      <c r="BN4" s="18" t="s">
        <v>73</v>
      </c>
      <c r="BO4" s="11" t="s">
        <v>73</v>
      </c>
      <c r="BP4" s="18" t="s">
        <v>73</v>
      </c>
      <c r="BQ4" s="11" t="s">
        <v>73</v>
      </c>
      <c r="BR4">
        <v>1</v>
      </c>
      <c r="BS4">
        <v>1</v>
      </c>
      <c r="BT4" t="s">
        <v>261</v>
      </c>
      <c r="BU4">
        <v>0</v>
      </c>
      <c r="BV4">
        <v>0</v>
      </c>
      <c r="BW4">
        <v>0</v>
      </c>
      <c r="BX4" s="30">
        <f>((AZ4^2)/(AZ4^2+BI4))^(1/2)</f>
        <v>3.056063020259667E-2</v>
      </c>
      <c r="BY4" s="30">
        <f>0.5*LN((1+BX4)/(1-BX4))</f>
        <v>3.0570149592664689E-2</v>
      </c>
      <c r="BZ4" s="30">
        <f>((1-(BY4^2)^2)/(BI4-1))</f>
        <v>9.107460169818913E-4</v>
      </c>
      <c r="CA4" s="30">
        <f>1/(BI4-3)</f>
        <v>9.1240875912408756E-4</v>
      </c>
      <c r="CB4" s="100"/>
      <c r="CC4">
        <f>BI4-2</f>
        <v>1097</v>
      </c>
    </row>
    <row r="5" spans="1:82" s="103" customFormat="1" ht="16">
      <c r="A5" s="11" t="s">
        <v>293</v>
      </c>
      <c r="B5" s="11"/>
      <c r="C5" s="94">
        <v>1244</v>
      </c>
      <c r="D5" s="11">
        <v>312</v>
      </c>
      <c r="E5" t="s">
        <v>478</v>
      </c>
      <c r="F5">
        <v>2021</v>
      </c>
      <c r="G5" t="s">
        <v>479</v>
      </c>
      <c r="H5" t="s">
        <v>480</v>
      </c>
      <c r="I5" s="18">
        <v>2</v>
      </c>
      <c r="J5">
        <v>2018</v>
      </c>
      <c r="K5" t="s">
        <v>472</v>
      </c>
      <c r="L5">
        <v>17</v>
      </c>
      <c r="M5" t="s">
        <v>282</v>
      </c>
      <c r="N5" t="s">
        <v>241</v>
      </c>
      <c r="O5" t="s">
        <v>148</v>
      </c>
      <c r="P5" s="18" t="s">
        <v>247</v>
      </c>
      <c r="Q5" t="s">
        <v>242</v>
      </c>
      <c r="R5" t="s">
        <v>233</v>
      </c>
      <c r="S5">
        <v>1</v>
      </c>
      <c r="T5" t="s">
        <v>291</v>
      </c>
      <c r="U5">
        <v>1</v>
      </c>
      <c r="V5" s="18" t="s">
        <v>221</v>
      </c>
      <c r="W5" s="18" t="s">
        <v>221</v>
      </c>
      <c r="X5" t="s">
        <v>474</v>
      </c>
      <c r="Y5" s="18">
        <v>0</v>
      </c>
      <c r="Z5" s="18">
        <v>0</v>
      </c>
      <c r="AA5" s="18">
        <v>1</v>
      </c>
      <c r="AB5" s="18">
        <v>0</v>
      </c>
      <c r="AC5" s="18">
        <v>0</v>
      </c>
      <c r="AD5" s="18">
        <v>0</v>
      </c>
      <c r="AE5" s="11">
        <v>0</v>
      </c>
      <c r="AF5" s="11">
        <v>0</v>
      </c>
      <c r="AG5" s="18" t="s">
        <v>481</v>
      </c>
      <c r="AH5" s="18">
        <v>0</v>
      </c>
      <c r="AI5" s="18">
        <v>0</v>
      </c>
      <c r="AJ5" s="18">
        <v>0</v>
      </c>
      <c r="AK5" s="18">
        <v>1</v>
      </c>
      <c r="AL5" s="18">
        <v>0</v>
      </c>
      <c r="AM5" s="18">
        <v>0</v>
      </c>
      <c r="AN5" s="18">
        <v>0</v>
      </c>
      <c r="AO5" s="18">
        <v>0</v>
      </c>
      <c r="AP5" s="18">
        <v>0</v>
      </c>
      <c r="AQ5" t="s">
        <v>482</v>
      </c>
      <c r="AR5" t="s">
        <v>259</v>
      </c>
      <c r="AS5" t="s">
        <v>482</v>
      </c>
      <c r="AT5" t="s">
        <v>223</v>
      </c>
      <c r="AU5" s="21">
        <v>1.1140000000000001</v>
      </c>
      <c r="AV5" s="7" t="s">
        <v>80</v>
      </c>
      <c r="AW5" t="s">
        <v>73</v>
      </c>
      <c r="AX5" s="41">
        <v>1E-3</v>
      </c>
      <c r="AY5">
        <v>3</v>
      </c>
      <c r="AZ5">
        <f>TINV(AX5,CC5)</f>
        <v>3.2994178866117148</v>
      </c>
      <c r="BA5" s="18" t="s">
        <v>73</v>
      </c>
      <c r="BB5" s="18"/>
      <c r="BC5" s="18" t="s">
        <v>73</v>
      </c>
      <c r="BD5" s="18" t="s">
        <v>73</v>
      </c>
      <c r="BE5" s="18" t="s">
        <v>73</v>
      </c>
      <c r="BF5" s="18" t="s">
        <v>73</v>
      </c>
      <c r="BG5" s="18" t="s">
        <v>73</v>
      </c>
      <c r="BH5" s="18" t="s">
        <v>73</v>
      </c>
      <c r="BI5">
        <v>1099</v>
      </c>
      <c r="BJ5">
        <v>13188</v>
      </c>
      <c r="BK5" s="18" t="s">
        <v>73</v>
      </c>
      <c r="BL5" s="18" t="s">
        <v>73</v>
      </c>
      <c r="BM5" s="18" t="s">
        <v>73</v>
      </c>
      <c r="BN5" s="18" t="s">
        <v>73</v>
      </c>
      <c r="BO5" s="11" t="s">
        <v>73</v>
      </c>
      <c r="BP5" s="18" t="s">
        <v>73</v>
      </c>
      <c r="BQ5" s="11" t="s">
        <v>73</v>
      </c>
      <c r="BR5">
        <v>1</v>
      </c>
      <c r="BS5">
        <v>1</v>
      </c>
      <c r="BT5" t="s">
        <v>261</v>
      </c>
      <c r="BU5">
        <v>0</v>
      </c>
      <c r="BV5">
        <v>0</v>
      </c>
      <c r="BW5">
        <v>0</v>
      </c>
      <c r="BX5" s="30">
        <f>((AZ5^2)/(AZ5^2+BI5))^(1/2)</f>
        <v>9.9037143771440309E-2</v>
      </c>
      <c r="BY5" s="30">
        <f>0.5*LN((1+BX5)/(1-BX5))</f>
        <v>9.9362859957839736E-2</v>
      </c>
      <c r="BZ5" s="30">
        <f>((1-(BY5^2)^2)/(BI5-1))</f>
        <v>9.1065803670912202E-4</v>
      </c>
      <c r="CA5" s="30">
        <f>1/(BI5-3)</f>
        <v>9.1240875912408756E-4</v>
      </c>
      <c r="CB5" s="100"/>
      <c r="CC5">
        <f>BI5-2</f>
        <v>1097</v>
      </c>
      <c r="CD5"/>
    </row>
    <row r="6" spans="1:82" ht="16">
      <c r="A6" s="11" t="s">
        <v>293</v>
      </c>
      <c r="B6" s="11"/>
      <c r="C6" s="94">
        <v>1245</v>
      </c>
      <c r="D6" s="11">
        <v>312</v>
      </c>
      <c r="E6" t="s">
        <v>478</v>
      </c>
      <c r="F6">
        <v>2021</v>
      </c>
      <c r="G6" t="s">
        <v>479</v>
      </c>
      <c r="H6" t="s">
        <v>480</v>
      </c>
      <c r="I6" s="18">
        <v>2</v>
      </c>
      <c r="J6">
        <v>2018</v>
      </c>
      <c r="K6" t="s">
        <v>472</v>
      </c>
      <c r="L6">
        <v>17</v>
      </c>
      <c r="M6" t="s">
        <v>282</v>
      </c>
      <c r="N6" t="s">
        <v>241</v>
      </c>
      <c r="O6" t="s">
        <v>148</v>
      </c>
      <c r="P6" s="18" t="s">
        <v>247</v>
      </c>
      <c r="Q6" t="s">
        <v>242</v>
      </c>
      <c r="R6" t="s">
        <v>233</v>
      </c>
      <c r="S6">
        <v>1</v>
      </c>
      <c r="T6" t="s">
        <v>291</v>
      </c>
      <c r="U6">
        <v>1</v>
      </c>
      <c r="V6" s="18" t="s">
        <v>221</v>
      </c>
      <c r="W6" s="18" t="s">
        <v>221</v>
      </c>
      <c r="X6" t="s">
        <v>474</v>
      </c>
      <c r="Y6" s="18">
        <v>0</v>
      </c>
      <c r="Z6" s="18">
        <v>0</v>
      </c>
      <c r="AA6" s="18">
        <v>1</v>
      </c>
      <c r="AB6" s="18">
        <v>0</v>
      </c>
      <c r="AC6" s="18">
        <v>0</v>
      </c>
      <c r="AD6" s="18">
        <v>0</v>
      </c>
      <c r="AE6" s="11">
        <v>0</v>
      </c>
      <c r="AF6" s="11">
        <v>0</v>
      </c>
      <c r="AG6" s="18" t="s">
        <v>481</v>
      </c>
      <c r="AH6" s="18">
        <v>0</v>
      </c>
      <c r="AI6" s="18">
        <v>0</v>
      </c>
      <c r="AJ6" s="18">
        <v>0</v>
      </c>
      <c r="AK6" s="18">
        <v>1</v>
      </c>
      <c r="AL6" s="18">
        <v>0</v>
      </c>
      <c r="AM6" s="18">
        <v>0</v>
      </c>
      <c r="AN6" s="18">
        <v>0</v>
      </c>
      <c r="AO6" s="18">
        <v>0</v>
      </c>
      <c r="AP6" s="18">
        <v>0</v>
      </c>
      <c r="AQ6" t="s">
        <v>482</v>
      </c>
      <c r="AR6" t="s">
        <v>259</v>
      </c>
      <c r="AS6" t="s">
        <v>482</v>
      </c>
      <c r="AT6" t="s">
        <v>223</v>
      </c>
      <c r="AU6" s="21">
        <v>6.0999999999999999E-2</v>
      </c>
      <c r="AV6" s="7" t="s">
        <v>86</v>
      </c>
      <c r="AW6" t="s">
        <v>73</v>
      </c>
      <c r="AX6">
        <v>0.71299999999999997</v>
      </c>
      <c r="AY6">
        <v>3</v>
      </c>
      <c r="AZ6">
        <f>TINV(AX6,CC6)</f>
        <v>0.36792518213176223</v>
      </c>
      <c r="BA6" s="18" t="s">
        <v>73</v>
      </c>
      <c r="BB6" s="18"/>
      <c r="BC6" s="18" t="s">
        <v>73</v>
      </c>
      <c r="BD6" s="18" t="s">
        <v>73</v>
      </c>
      <c r="BE6" s="18" t="s">
        <v>73</v>
      </c>
      <c r="BF6" s="18" t="s">
        <v>73</v>
      </c>
      <c r="BG6" s="18" t="s">
        <v>73</v>
      </c>
      <c r="BH6" s="18" t="s">
        <v>73</v>
      </c>
      <c r="BI6">
        <v>1099</v>
      </c>
      <c r="BJ6">
        <v>13188</v>
      </c>
      <c r="BK6" s="18" t="s">
        <v>73</v>
      </c>
      <c r="BL6" s="18" t="s">
        <v>73</v>
      </c>
      <c r="BM6" s="18" t="s">
        <v>73</v>
      </c>
      <c r="BN6" s="18" t="s">
        <v>73</v>
      </c>
      <c r="BO6" s="11" t="s">
        <v>73</v>
      </c>
      <c r="BP6" s="18" t="s">
        <v>73</v>
      </c>
      <c r="BQ6" s="11" t="s">
        <v>73</v>
      </c>
      <c r="BR6">
        <v>1</v>
      </c>
      <c r="BS6">
        <v>1</v>
      </c>
      <c r="BT6" t="s">
        <v>261</v>
      </c>
      <c r="BU6">
        <v>0</v>
      </c>
      <c r="BV6">
        <v>0</v>
      </c>
      <c r="BW6">
        <v>0</v>
      </c>
      <c r="BX6" s="30">
        <f>((AZ6^2)/(AZ6^2+BI6))^(1/2)</f>
        <v>1.1097724056507073E-2</v>
      </c>
      <c r="BY6" s="30">
        <f>0.5*LN((1+BX6)/(1-BX6))</f>
        <v>1.1098179686815215E-2</v>
      </c>
      <c r="BZ6" s="30">
        <f>((1-(BY6^2)^2)/(BI6-1))</f>
        <v>9.1074679856944585E-4</v>
      </c>
      <c r="CA6" s="30">
        <f>1/(BI6-3)</f>
        <v>9.1240875912408756E-4</v>
      </c>
      <c r="CB6" s="100"/>
      <c r="CC6">
        <f>BI6-2</f>
        <v>1097</v>
      </c>
    </row>
    <row r="7" spans="1:82" s="100" customFormat="1" ht="17" customHeight="1">
      <c r="A7" s="11" t="s">
        <v>293</v>
      </c>
      <c r="B7" s="11"/>
      <c r="C7" s="94">
        <v>1246</v>
      </c>
      <c r="D7" s="11">
        <v>312</v>
      </c>
      <c r="E7" t="s">
        <v>478</v>
      </c>
      <c r="F7">
        <v>2021</v>
      </c>
      <c r="G7" t="s">
        <v>479</v>
      </c>
      <c r="H7" t="s">
        <v>480</v>
      </c>
      <c r="I7" s="18">
        <v>2</v>
      </c>
      <c r="J7">
        <v>2018</v>
      </c>
      <c r="K7" t="s">
        <v>472</v>
      </c>
      <c r="L7">
        <v>17</v>
      </c>
      <c r="M7" t="s">
        <v>282</v>
      </c>
      <c r="N7" t="s">
        <v>241</v>
      </c>
      <c r="O7" t="s">
        <v>148</v>
      </c>
      <c r="P7" s="18" t="s">
        <v>247</v>
      </c>
      <c r="Q7" t="s">
        <v>242</v>
      </c>
      <c r="R7" t="s">
        <v>233</v>
      </c>
      <c r="S7">
        <v>1</v>
      </c>
      <c r="T7" t="s">
        <v>291</v>
      </c>
      <c r="U7">
        <v>1</v>
      </c>
      <c r="V7" s="18" t="s">
        <v>221</v>
      </c>
      <c r="W7" s="18" t="s">
        <v>221</v>
      </c>
      <c r="X7" t="s">
        <v>474</v>
      </c>
      <c r="Y7" s="18">
        <v>0</v>
      </c>
      <c r="Z7" s="18">
        <v>0</v>
      </c>
      <c r="AA7" s="18">
        <v>1</v>
      </c>
      <c r="AB7" s="18">
        <v>0</v>
      </c>
      <c r="AC7" s="18">
        <v>0</v>
      </c>
      <c r="AD7" s="18">
        <v>0</v>
      </c>
      <c r="AE7" s="11">
        <v>0</v>
      </c>
      <c r="AF7" s="11">
        <v>0</v>
      </c>
      <c r="AG7" s="18" t="s">
        <v>481</v>
      </c>
      <c r="AH7" s="18">
        <v>0</v>
      </c>
      <c r="AI7" s="18">
        <v>0</v>
      </c>
      <c r="AJ7" s="18">
        <v>0</v>
      </c>
      <c r="AK7" s="18">
        <v>1</v>
      </c>
      <c r="AL7" s="18">
        <v>0</v>
      </c>
      <c r="AM7" s="18">
        <v>0</v>
      </c>
      <c r="AN7" s="18">
        <v>0</v>
      </c>
      <c r="AO7" s="18">
        <v>0</v>
      </c>
      <c r="AP7" s="18">
        <v>0</v>
      </c>
      <c r="AQ7" t="s">
        <v>482</v>
      </c>
      <c r="AR7" t="s">
        <v>259</v>
      </c>
      <c r="AS7" t="s">
        <v>482</v>
      </c>
      <c r="AT7" t="s">
        <v>223</v>
      </c>
      <c r="AU7" s="21">
        <v>2E-3</v>
      </c>
      <c r="AV7" s="7" t="s">
        <v>86</v>
      </c>
      <c r="AW7" t="s">
        <v>73</v>
      </c>
      <c r="AX7">
        <v>0.99199999999999999</v>
      </c>
      <c r="AY7">
        <v>3</v>
      </c>
      <c r="AZ7">
        <f>TINV(AX7,CC7)</f>
        <v>1.0028966613252909E-2</v>
      </c>
      <c r="BA7" s="18" t="s">
        <v>73</v>
      </c>
      <c r="BB7" s="18"/>
      <c r="BC7" s="18" t="s">
        <v>73</v>
      </c>
      <c r="BD7" s="18" t="s">
        <v>73</v>
      </c>
      <c r="BE7" s="18" t="s">
        <v>73</v>
      </c>
      <c r="BF7" s="18" t="s">
        <v>73</v>
      </c>
      <c r="BG7" s="18" t="s">
        <v>73</v>
      </c>
      <c r="BH7" s="18" t="s">
        <v>73</v>
      </c>
      <c r="BI7">
        <v>1099</v>
      </c>
      <c r="BJ7">
        <v>13188</v>
      </c>
      <c r="BK7" s="18" t="s">
        <v>73</v>
      </c>
      <c r="BL7" s="18" t="s">
        <v>73</v>
      </c>
      <c r="BM7" s="18" t="s">
        <v>73</v>
      </c>
      <c r="BN7" s="18" t="s">
        <v>73</v>
      </c>
      <c r="BO7" s="11" t="s">
        <v>73</v>
      </c>
      <c r="BP7" s="18" t="s">
        <v>73</v>
      </c>
      <c r="BQ7" s="11" t="s">
        <v>73</v>
      </c>
      <c r="BR7">
        <v>1</v>
      </c>
      <c r="BS7">
        <v>1</v>
      </c>
      <c r="BT7" t="s">
        <v>261</v>
      </c>
      <c r="BU7">
        <v>0</v>
      </c>
      <c r="BV7">
        <v>0</v>
      </c>
      <c r="BW7">
        <v>0</v>
      </c>
      <c r="BX7" s="30">
        <f>((AZ7^2)/(AZ7^2+BI7))^(1/2)</f>
        <v>3.0252224837106504E-4</v>
      </c>
      <c r="BY7" s="30">
        <f>0.5*LN((1+BX7)/(1-BX7))</f>
        <v>3.0252225759992615E-4</v>
      </c>
      <c r="BZ7" s="30">
        <f>((1-(BY7^2)^2)/(BI7-1))</f>
        <v>9.1074681238614906E-4</v>
      </c>
      <c r="CA7" s="30">
        <f>1/(BI7-3)</f>
        <v>9.1240875912408756E-4</v>
      </c>
      <c r="CC7">
        <f>BI7-2</f>
        <v>1097</v>
      </c>
      <c r="CD7"/>
    </row>
    <row r="8" spans="1:82" s="100" customFormat="1" ht="17" customHeight="1">
      <c r="A8" s="11" t="s">
        <v>293</v>
      </c>
      <c r="B8" s="11"/>
      <c r="C8" s="94">
        <v>1235</v>
      </c>
      <c r="D8" s="102">
        <v>311</v>
      </c>
      <c r="E8" s="102" t="s">
        <v>338</v>
      </c>
      <c r="F8">
        <v>2011</v>
      </c>
      <c r="G8" t="s">
        <v>470</v>
      </c>
      <c r="H8" s="58" t="s">
        <v>471</v>
      </c>
      <c r="I8">
        <v>2</v>
      </c>
      <c r="J8">
        <v>2009</v>
      </c>
      <c r="K8" t="s">
        <v>472</v>
      </c>
      <c r="L8">
        <v>1456</v>
      </c>
      <c r="M8" t="s">
        <v>473</v>
      </c>
      <c r="N8" t="s">
        <v>241</v>
      </c>
      <c r="O8" t="s">
        <v>81</v>
      </c>
      <c r="P8" s="18" t="s">
        <v>247</v>
      </c>
      <c r="Q8" t="s">
        <v>242</v>
      </c>
      <c r="R8" t="s">
        <v>233</v>
      </c>
      <c r="S8">
        <v>1</v>
      </c>
      <c r="T8" t="s">
        <v>189</v>
      </c>
      <c r="U8">
        <v>1</v>
      </c>
      <c r="V8" s="18" t="s">
        <v>221</v>
      </c>
      <c r="W8" s="18" t="s">
        <v>221</v>
      </c>
      <c r="X8" t="s">
        <v>474</v>
      </c>
      <c r="Y8">
        <v>0</v>
      </c>
      <c r="Z8">
        <v>0</v>
      </c>
      <c r="AA8">
        <v>1</v>
      </c>
      <c r="AB8">
        <v>0</v>
      </c>
      <c r="AC8">
        <v>0</v>
      </c>
      <c r="AD8">
        <v>0</v>
      </c>
      <c r="AE8">
        <v>0</v>
      </c>
      <c r="AF8" s="101">
        <v>0</v>
      </c>
      <c r="AG8" s="10" t="s">
        <v>257</v>
      </c>
      <c r="AH8">
        <v>0</v>
      </c>
      <c r="AI8">
        <v>0</v>
      </c>
      <c r="AJ8">
        <v>0</v>
      </c>
      <c r="AK8">
        <v>1</v>
      </c>
      <c r="AL8">
        <v>0</v>
      </c>
      <c r="AM8">
        <v>0</v>
      </c>
      <c r="AN8">
        <v>0</v>
      </c>
      <c r="AO8">
        <v>0</v>
      </c>
      <c r="AP8">
        <v>0</v>
      </c>
      <c r="AQ8" t="s">
        <v>73</v>
      </c>
      <c r="AR8" t="s">
        <v>259</v>
      </c>
      <c r="AS8" t="s">
        <v>475</v>
      </c>
      <c r="AT8" t="s">
        <v>73</v>
      </c>
      <c r="AU8" s="21">
        <v>258.70999999999998</v>
      </c>
      <c r="AV8" t="s">
        <v>80</v>
      </c>
      <c r="AW8" t="s">
        <v>73</v>
      </c>
      <c r="AX8">
        <v>0.01</v>
      </c>
      <c r="AY8">
        <v>1</v>
      </c>
      <c r="AZ8">
        <f>TINV(AX8,CC8)</f>
        <v>2.5793633280407828</v>
      </c>
      <c r="BA8" t="s">
        <v>73</v>
      </c>
      <c r="BB8"/>
      <c r="BC8" t="s">
        <v>73</v>
      </c>
      <c r="BD8" t="s">
        <v>73</v>
      </c>
      <c r="BE8" t="s">
        <v>73</v>
      </c>
      <c r="BF8" t="s">
        <v>73</v>
      </c>
      <c r="BG8" t="s">
        <v>73</v>
      </c>
      <c r="BH8" t="s">
        <v>73</v>
      </c>
      <c r="BI8">
        <v>1395</v>
      </c>
      <c r="BJ8">
        <v>19860</v>
      </c>
      <c r="BK8" t="s">
        <v>73</v>
      </c>
      <c r="BL8" t="s">
        <v>73</v>
      </c>
      <c r="BM8" t="s">
        <v>73</v>
      </c>
      <c r="BN8" t="s">
        <v>73</v>
      </c>
      <c r="BO8" t="s">
        <v>73</v>
      </c>
      <c r="BP8" t="s">
        <v>73</v>
      </c>
      <c r="BQ8" t="s">
        <v>73</v>
      </c>
      <c r="BR8">
        <v>1</v>
      </c>
      <c r="BS8" t="s">
        <v>73</v>
      </c>
      <c r="BT8" s="101" t="s">
        <v>73</v>
      </c>
      <c r="BU8">
        <v>0</v>
      </c>
      <c r="BV8">
        <v>0</v>
      </c>
      <c r="BW8">
        <v>0</v>
      </c>
      <c r="BX8" s="104">
        <f>((AZ8^2)/(AZ8^2+BI8))^(1/2)</f>
        <v>6.8895720725096588E-2</v>
      </c>
      <c r="BY8" s="104">
        <f>0.5*LN((1+BX8)/(1-BX8))</f>
        <v>6.900503950756405E-2</v>
      </c>
      <c r="BZ8" s="104">
        <f>((1-(BY8^2)^2)/(BI8-1))</f>
        <v>7.1734384953814931E-4</v>
      </c>
      <c r="CA8" s="104">
        <f>1/(BI8-3)</f>
        <v>7.1839080459770114E-4</v>
      </c>
      <c r="CC8">
        <f>BI8-2</f>
        <v>1393</v>
      </c>
      <c r="CD8"/>
    </row>
    <row r="9" spans="1:82" ht="14.25" customHeight="1">
      <c r="A9" s="11" t="s">
        <v>293</v>
      </c>
      <c r="B9" s="11"/>
      <c r="C9" s="94">
        <v>1236</v>
      </c>
      <c r="D9" s="102">
        <v>311</v>
      </c>
      <c r="E9" s="102" t="s">
        <v>338</v>
      </c>
      <c r="F9">
        <v>2011</v>
      </c>
      <c r="G9" t="s">
        <v>470</v>
      </c>
      <c r="H9" t="s">
        <v>471</v>
      </c>
      <c r="I9">
        <v>2</v>
      </c>
      <c r="J9">
        <v>2009</v>
      </c>
      <c r="K9" t="s">
        <v>472</v>
      </c>
      <c r="L9">
        <v>1456</v>
      </c>
      <c r="M9" t="s">
        <v>473</v>
      </c>
      <c r="N9" t="s">
        <v>241</v>
      </c>
      <c r="O9" t="s">
        <v>81</v>
      </c>
      <c r="P9" s="18" t="s">
        <v>247</v>
      </c>
      <c r="Q9" t="s">
        <v>242</v>
      </c>
      <c r="R9" t="s">
        <v>233</v>
      </c>
      <c r="S9">
        <v>1</v>
      </c>
      <c r="T9" t="s">
        <v>189</v>
      </c>
      <c r="U9">
        <v>1</v>
      </c>
      <c r="V9" s="18" t="s">
        <v>221</v>
      </c>
      <c r="W9" s="18" t="s">
        <v>221</v>
      </c>
      <c r="X9" t="s">
        <v>474</v>
      </c>
      <c r="Y9">
        <v>0</v>
      </c>
      <c r="Z9">
        <v>0</v>
      </c>
      <c r="AA9">
        <v>1</v>
      </c>
      <c r="AB9">
        <v>0</v>
      </c>
      <c r="AC9">
        <v>0</v>
      </c>
      <c r="AD9">
        <v>0</v>
      </c>
      <c r="AE9">
        <v>0</v>
      </c>
      <c r="AF9" s="101">
        <v>0</v>
      </c>
      <c r="AG9" s="10" t="s">
        <v>257</v>
      </c>
      <c r="AH9">
        <v>0</v>
      </c>
      <c r="AI9">
        <v>0</v>
      </c>
      <c r="AJ9">
        <v>0</v>
      </c>
      <c r="AK9">
        <v>1</v>
      </c>
      <c r="AL9">
        <v>0</v>
      </c>
      <c r="AM9">
        <v>0</v>
      </c>
      <c r="AN9">
        <v>0</v>
      </c>
      <c r="AO9">
        <v>0</v>
      </c>
      <c r="AP9">
        <v>0</v>
      </c>
      <c r="AQ9" t="s">
        <v>73</v>
      </c>
      <c r="AR9" t="s">
        <v>259</v>
      </c>
      <c r="AS9" t="s">
        <v>475</v>
      </c>
      <c r="AT9" t="s">
        <v>73</v>
      </c>
      <c r="AU9" s="21">
        <v>249.82</v>
      </c>
      <c r="AV9" t="s">
        <v>80</v>
      </c>
      <c r="AW9" t="s">
        <v>73</v>
      </c>
      <c r="AX9">
        <v>0.01</v>
      </c>
      <c r="AY9">
        <v>1</v>
      </c>
      <c r="AZ9">
        <f>TINV(AX9,CC9)</f>
        <v>2.5793633280407828</v>
      </c>
      <c r="BA9" t="s">
        <v>73</v>
      </c>
      <c r="BC9" t="s">
        <v>73</v>
      </c>
      <c r="BD9" t="s">
        <v>73</v>
      </c>
      <c r="BE9" t="s">
        <v>73</v>
      </c>
      <c r="BF9" t="s">
        <v>73</v>
      </c>
      <c r="BG9" t="s">
        <v>73</v>
      </c>
      <c r="BH9" t="s">
        <v>73</v>
      </c>
      <c r="BI9">
        <v>1395</v>
      </c>
      <c r="BJ9">
        <v>19860</v>
      </c>
      <c r="BK9" t="s">
        <v>73</v>
      </c>
      <c r="BL9" t="s">
        <v>73</v>
      </c>
      <c r="BM9" t="s">
        <v>73</v>
      </c>
      <c r="BN9" t="s">
        <v>73</v>
      </c>
      <c r="BO9" t="s">
        <v>73</v>
      </c>
      <c r="BP9" t="s">
        <v>73</v>
      </c>
      <c r="BQ9" t="s">
        <v>73</v>
      </c>
      <c r="BR9">
        <v>1</v>
      </c>
      <c r="BS9" t="s">
        <v>73</v>
      </c>
      <c r="BT9" s="101" t="s">
        <v>73</v>
      </c>
      <c r="BU9">
        <v>1</v>
      </c>
      <c r="BV9">
        <v>1</v>
      </c>
      <c r="BW9">
        <v>1</v>
      </c>
      <c r="BX9" s="104">
        <f>((AZ9^2)/(AZ9^2+BI9))^(1/2)</f>
        <v>6.8895720725096588E-2</v>
      </c>
      <c r="BY9" s="104">
        <f>0.5*LN((1+BX9)/(1-BX9))</f>
        <v>6.900503950756405E-2</v>
      </c>
      <c r="BZ9" s="104">
        <f>((1-(BY9^2)^2)/(BI9-1))</f>
        <v>7.1734384953814931E-4</v>
      </c>
      <c r="CA9" s="104">
        <f>1/(BI9-3)</f>
        <v>7.1839080459770114E-4</v>
      </c>
      <c r="CB9" s="100"/>
      <c r="CC9">
        <f>BI9-2</f>
        <v>1393</v>
      </c>
    </row>
    <row r="10" spans="1:82" ht="19.5" customHeight="1">
      <c r="A10" s="11" t="s">
        <v>293</v>
      </c>
      <c r="B10" s="11"/>
      <c r="C10" s="94">
        <v>1237</v>
      </c>
      <c r="D10" s="102">
        <v>311</v>
      </c>
      <c r="E10" s="102" t="s">
        <v>338</v>
      </c>
      <c r="F10">
        <v>2011</v>
      </c>
      <c r="G10" t="s">
        <v>470</v>
      </c>
      <c r="H10" t="s">
        <v>471</v>
      </c>
      <c r="I10">
        <v>2</v>
      </c>
      <c r="J10">
        <v>2009</v>
      </c>
      <c r="K10" t="s">
        <v>472</v>
      </c>
      <c r="L10">
        <v>1456</v>
      </c>
      <c r="M10" t="s">
        <v>419</v>
      </c>
      <c r="N10" t="s">
        <v>241</v>
      </c>
      <c r="O10" t="s">
        <v>81</v>
      </c>
      <c r="P10" s="18" t="s">
        <v>247</v>
      </c>
      <c r="Q10" t="s">
        <v>242</v>
      </c>
      <c r="R10" t="s">
        <v>233</v>
      </c>
      <c r="S10">
        <v>1</v>
      </c>
      <c r="T10" t="s">
        <v>189</v>
      </c>
      <c r="U10">
        <v>1</v>
      </c>
      <c r="V10" s="18" t="s">
        <v>221</v>
      </c>
      <c r="W10" s="18" t="s">
        <v>221</v>
      </c>
      <c r="X10" t="s">
        <v>474</v>
      </c>
      <c r="Y10">
        <v>0</v>
      </c>
      <c r="Z10">
        <v>0</v>
      </c>
      <c r="AA10">
        <v>1</v>
      </c>
      <c r="AB10">
        <v>0</v>
      </c>
      <c r="AC10">
        <v>0</v>
      </c>
      <c r="AD10">
        <v>0</v>
      </c>
      <c r="AE10">
        <v>0</v>
      </c>
      <c r="AF10" s="101">
        <v>0</v>
      </c>
      <c r="AG10" s="10" t="s">
        <v>257</v>
      </c>
      <c r="AH10">
        <v>0</v>
      </c>
      <c r="AI10">
        <v>0</v>
      </c>
      <c r="AJ10">
        <v>0</v>
      </c>
      <c r="AK10">
        <v>1</v>
      </c>
      <c r="AL10">
        <v>0</v>
      </c>
      <c r="AM10">
        <v>0</v>
      </c>
      <c r="AN10">
        <v>0</v>
      </c>
      <c r="AO10">
        <v>0</v>
      </c>
      <c r="AP10">
        <v>0</v>
      </c>
      <c r="AQ10" t="s">
        <v>73</v>
      </c>
      <c r="AR10" t="s">
        <v>259</v>
      </c>
      <c r="AS10" t="s">
        <v>475</v>
      </c>
      <c r="AT10" t="s">
        <v>73</v>
      </c>
      <c r="AU10" s="21">
        <v>275.45</v>
      </c>
      <c r="AV10" t="s">
        <v>80</v>
      </c>
      <c r="AW10" t="s">
        <v>73</v>
      </c>
      <c r="AX10">
        <v>0.01</v>
      </c>
      <c r="AY10">
        <v>1</v>
      </c>
      <c r="AZ10">
        <f>TINV(AX10,CC10)</f>
        <v>2.5793633280407828</v>
      </c>
      <c r="BA10" t="s">
        <v>73</v>
      </c>
      <c r="BC10" t="s">
        <v>73</v>
      </c>
      <c r="BD10" t="s">
        <v>73</v>
      </c>
      <c r="BE10" t="s">
        <v>73</v>
      </c>
      <c r="BF10" t="s">
        <v>73</v>
      </c>
      <c r="BG10" t="s">
        <v>73</v>
      </c>
      <c r="BH10" t="s">
        <v>73</v>
      </c>
      <c r="BI10">
        <v>1395</v>
      </c>
      <c r="BJ10">
        <v>19860</v>
      </c>
      <c r="BK10" t="s">
        <v>73</v>
      </c>
      <c r="BL10" t="s">
        <v>73</v>
      </c>
      <c r="BM10" t="s">
        <v>73</v>
      </c>
      <c r="BN10" t="s">
        <v>73</v>
      </c>
      <c r="BO10" t="s">
        <v>73</v>
      </c>
      <c r="BP10" t="s">
        <v>73</v>
      </c>
      <c r="BQ10" t="s">
        <v>73</v>
      </c>
      <c r="BR10">
        <v>1</v>
      </c>
      <c r="BS10" t="s">
        <v>73</v>
      </c>
      <c r="BT10" s="101" t="s">
        <v>73</v>
      </c>
      <c r="BU10">
        <v>0</v>
      </c>
      <c r="BV10">
        <v>0</v>
      </c>
      <c r="BW10">
        <v>0</v>
      </c>
      <c r="BX10" s="104">
        <f>((AZ10^2)/(AZ10^2+BI10))^(1/2)</f>
        <v>6.8895720725096588E-2</v>
      </c>
      <c r="BY10" s="104">
        <f>0.5*LN((1+BX10)/(1-BX10))</f>
        <v>6.900503950756405E-2</v>
      </c>
      <c r="BZ10" s="104">
        <f>((1-(BY10^2)^2)/(BI10-1))</f>
        <v>7.1734384953814931E-4</v>
      </c>
      <c r="CA10" s="104">
        <f>1/(BI10-3)</f>
        <v>7.1839080459770114E-4</v>
      </c>
      <c r="CB10" s="100"/>
      <c r="CC10">
        <f>BI10-2</f>
        <v>1393</v>
      </c>
    </row>
    <row r="11" spans="1:82" ht="16">
      <c r="A11" s="11" t="s">
        <v>293</v>
      </c>
      <c r="B11" s="11"/>
      <c r="C11" s="94">
        <v>1238</v>
      </c>
      <c r="D11" s="102">
        <v>311</v>
      </c>
      <c r="E11" s="102" t="s">
        <v>338</v>
      </c>
      <c r="F11">
        <v>2011</v>
      </c>
      <c r="G11" t="s">
        <v>470</v>
      </c>
      <c r="H11" t="s">
        <v>471</v>
      </c>
      <c r="I11">
        <v>2</v>
      </c>
      <c r="J11">
        <v>2009</v>
      </c>
      <c r="K11" t="s">
        <v>472</v>
      </c>
      <c r="L11">
        <v>1456</v>
      </c>
      <c r="M11" t="s">
        <v>419</v>
      </c>
      <c r="N11" t="s">
        <v>241</v>
      </c>
      <c r="O11" t="s">
        <v>81</v>
      </c>
      <c r="P11" s="18" t="s">
        <v>247</v>
      </c>
      <c r="Q11" t="s">
        <v>242</v>
      </c>
      <c r="R11" t="s">
        <v>233</v>
      </c>
      <c r="S11">
        <v>1</v>
      </c>
      <c r="T11" t="s">
        <v>189</v>
      </c>
      <c r="U11">
        <v>1</v>
      </c>
      <c r="V11" s="18" t="s">
        <v>221</v>
      </c>
      <c r="W11" s="18" t="s">
        <v>221</v>
      </c>
      <c r="X11" t="s">
        <v>474</v>
      </c>
      <c r="Y11">
        <v>0</v>
      </c>
      <c r="Z11">
        <v>0</v>
      </c>
      <c r="AA11">
        <v>1</v>
      </c>
      <c r="AB11">
        <v>0</v>
      </c>
      <c r="AC11">
        <v>0</v>
      </c>
      <c r="AD11">
        <v>0</v>
      </c>
      <c r="AE11">
        <v>0</v>
      </c>
      <c r="AF11" s="101">
        <v>0</v>
      </c>
      <c r="AG11" s="10" t="s">
        <v>257</v>
      </c>
      <c r="AH11">
        <v>0</v>
      </c>
      <c r="AI11">
        <v>0</v>
      </c>
      <c r="AJ11">
        <v>0</v>
      </c>
      <c r="AK11">
        <v>1</v>
      </c>
      <c r="AL11">
        <v>0</v>
      </c>
      <c r="AM11">
        <v>0</v>
      </c>
      <c r="AN11">
        <v>0</v>
      </c>
      <c r="AO11">
        <v>0</v>
      </c>
      <c r="AP11">
        <v>0</v>
      </c>
      <c r="AQ11" t="s">
        <v>73</v>
      </c>
      <c r="AR11" t="s">
        <v>259</v>
      </c>
      <c r="AS11" t="s">
        <v>475</v>
      </c>
      <c r="AT11" t="s">
        <v>73</v>
      </c>
      <c r="AU11" s="21">
        <v>349.3</v>
      </c>
      <c r="AV11" t="s">
        <v>80</v>
      </c>
      <c r="AW11" t="s">
        <v>73</v>
      </c>
      <c r="AX11">
        <v>0.05</v>
      </c>
      <c r="AY11">
        <v>1</v>
      </c>
      <c r="AZ11">
        <f>TINV(AX11,CC11)</f>
        <v>1.9616684344678958</v>
      </c>
      <c r="BA11" t="s">
        <v>73</v>
      </c>
      <c r="BC11" t="s">
        <v>73</v>
      </c>
      <c r="BD11" t="s">
        <v>73</v>
      </c>
      <c r="BE11" t="s">
        <v>73</v>
      </c>
      <c r="BF11" t="s">
        <v>73</v>
      </c>
      <c r="BG11" t="s">
        <v>73</v>
      </c>
      <c r="BH11" t="s">
        <v>73</v>
      </c>
      <c r="BI11">
        <v>1395</v>
      </c>
      <c r="BJ11">
        <v>19860</v>
      </c>
      <c r="BK11" t="s">
        <v>73</v>
      </c>
      <c r="BL11" t="s">
        <v>73</v>
      </c>
      <c r="BM11" t="s">
        <v>73</v>
      </c>
      <c r="BN11" t="s">
        <v>73</v>
      </c>
      <c r="BO11" t="s">
        <v>73</v>
      </c>
      <c r="BP11" t="s">
        <v>73</v>
      </c>
      <c r="BQ11" t="s">
        <v>73</v>
      </c>
      <c r="BR11">
        <v>1</v>
      </c>
      <c r="BS11" t="s">
        <v>73</v>
      </c>
      <c r="BT11" s="101" t="s">
        <v>73</v>
      </c>
      <c r="BU11">
        <v>1</v>
      </c>
      <c r="BV11">
        <v>1</v>
      </c>
      <c r="BW11">
        <v>1</v>
      </c>
      <c r="BX11" s="104">
        <f>((AZ11^2)/(AZ11^2+BI11))^(1/2)</f>
        <v>5.2449375133439773E-2</v>
      </c>
      <c r="BY11" s="104">
        <f>0.5*LN((1+BX11)/(1-BX11))</f>
        <v>5.2497549648224964E-2</v>
      </c>
      <c r="BZ11" s="104">
        <f>((1-(BY11^2)^2)/(BI11-1))</f>
        <v>7.1735466607183095E-4</v>
      </c>
      <c r="CA11" s="104">
        <f>1/(BI11-3)</f>
        <v>7.1839080459770114E-4</v>
      </c>
      <c r="CB11" s="100"/>
      <c r="CC11">
        <f>BI11-2</f>
        <v>1393</v>
      </c>
    </row>
    <row r="12" spans="1:82" ht="17.25" customHeight="1">
      <c r="A12" s="11" t="s">
        <v>293</v>
      </c>
      <c r="B12" s="11"/>
      <c r="C12" s="94">
        <v>1239</v>
      </c>
      <c r="D12" s="102">
        <v>311</v>
      </c>
      <c r="E12" s="102" t="s">
        <v>338</v>
      </c>
      <c r="F12">
        <v>2011</v>
      </c>
      <c r="G12" t="s">
        <v>470</v>
      </c>
      <c r="H12" t="s">
        <v>471</v>
      </c>
      <c r="I12">
        <v>2</v>
      </c>
      <c r="J12">
        <v>2009</v>
      </c>
      <c r="K12" t="s">
        <v>472</v>
      </c>
      <c r="L12">
        <v>1456</v>
      </c>
      <c r="M12" t="s">
        <v>473</v>
      </c>
      <c r="N12" t="s">
        <v>241</v>
      </c>
      <c r="O12" t="s">
        <v>81</v>
      </c>
      <c r="P12" s="18" t="s">
        <v>247</v>
      </c>
      <c r="Q12" t="s">
        <v>242</v>
      </c>
      <c r="R12" t="s">
        <v>233</v>
      </c>
      <c r="S12">
        <v>1</v>
      </c>
      <c r="T12" t="s">
        <v>189</v>
      </c>
      <c r="U12">
        <v>1</v>
      </c>
      <c r="V12" s="18" t="s">
        <v>221</v>
      </c>
      <c r="W12" s="18" t="s">
        <v>221</v>
      </c>
      <c r="X12" t="s">
        <v>474</v>
      </c>
      <c r="Y12">
        <v>0</v>
      </c>
      <c r="Z12">
        <v>0</v>
      </c>
      <c r="AA12">
        <v>1</v>
      </c>
      <c r="AB12">
        <v>0</v>
      </c>
      <c r="AC12">
        <v>0</v>
      </c>
      <c r="AD12">
        <v>0</v>
      </c>
      <c r="AE12">
        <v>0</v>
      </c>
      <c r="AF12" s="101">
        <v>0</v>
      </c>
      <c r="AG12" s="10" t="s">
        <v>257</v>
      </c>
      <c r="AH12">
        <v>0</v>
      </c>
      <c r="AI12">
        <v>0</v>
      </c>
      <c r="AJ12">
        <v>0</v>
      </c>
      <c r="AK12">
        <v>1</v>
      </c>
      <c r="AL12">
        <v>0</v>
      </c>
      <c r="AM12">
        <v>0</v>
      </c>
      <c r="AN12">
        <v>0</v>
      </c>
      <c r="AO12">
        <v>0</v>
      </c>
      <c r="AP12">
        <v>0</v>
      </c>
      <c r="AQ12" t="s">
        <v>73</v>
      </c>
      <c r="AR12" t="s">
        <v>259</v>
      </c>
      <c r="AS12" t="s">
        <v>476</v>
      </c>
      <c r="AT12" t="s">
        <v>73</v>
      </c>
      <c r="AU12" s="21">
        <v>1.0760000000000001</v>
      </c>
      <c r="AV12" t="s">
        <v>80</v>
      </c>
      <c r="AW12" t="s">
        <v>73</v>
      </c>
      <c r="AX12" t="s">
        <v>73</v>
      </c>
      <c r="AY12" t="s">
        <v>73</v>
      </c>
      <c r="AZ12">
        <v>20.02</v>
      </c>
      <c r="BA12" t="s">
        <v>73</v>
      </c>
      <c r="BC12" t="s">
        <v>73</v>
      </c>
      <c r="BD12" t="s">
        <v>73</v>
      </c>
      <c r="BE12" t="s">
        <v>73</v>
      </c>
      <c r="BF12" t="s">
        <v>73</v>
      </c>
      <c r="BG12" t="s">
        <v>73</v>
      </c>
      <c r="BH12" t="s">
        <v>73</v>
      </c>
      <c r="BI12">
        <v>1395</v>
      </c>
      <c r="BJ12">
        <v>19860</v>
      </c>
      <c r="BK12" t="s">
        <v>73</v>
      </c>
      <c r="BL12" t="s">
        <v>73</v>
      </c>
      <c r="BM12" t="s">
        <v>73</v>
      </c>
      <c r="BN12" t="s">
        <v>73</v>
      </c>
      <c r="BO12" t="s">
        <v>73</v>
      </c>
      <c r="BP12" t="s">
        <v>73</v>
      </c>
      <c r="BQ12" t="s">
        <v>73</v>
      </c>
      <c r="BR12">
        <v>1</v>
      </c>
      <c r="BS12" t="s">
        <v>73</v>
      </c>
      <c r="BT12" s="101" t="s">
        <v>73</v>
      </c>
      <c r="BU12">
        <v>0</v>
      </c>
      <c r="BV12">
        <v>0</v>
      </c>
      <c r="BW12">
        <v>0</v>
      </c>
      <c r="BX12" s="104">
        <f>((AZ12^2)/(AZ12^2+BI12))^(1/2)</f>
        <v>0.47242735990047685</v>
      </c>
      <c r="BY12" s="104">
        <f>0.5*LN((1+BX12)/(1-BX12))</f>
        <v>0.51319051047617226</v>
      </c>
      <c r="BZ12" s="104">
        <f>((1-(BY12^2)^2)/(BI12-1))</f>
        <v>6.6760340037102519E-4</v>
      </c>
      <c r="CA12" s="104">
        <f>1/(BI12-3)</f>
        <v>7.1839080459770114E-4</v>
      </c>
      <c r="CB12" s="100"/>
      <c r="CC12">
        <f>BI12-2</f>
        <v>1393</v>
      </c>
    </row>
    <row r="13" spans="1:82" ht="19.5" customHeight="1">
      <c r="A13" s="11" t="s">
        <v>293</v>
      </c>
      <c r="B13" s="11"/>
      <c r="C13" s="94">
        <v>1240</v>
      </c>
      <c r="D13" s="102">
        <v>311</v>
      </c>
      <c r="E13" s="102" t="s">
        <v>338</v>
      </c>
      <c r="F13">
        <v>2011</v>
      </c>
      <c r="G13" t="s">
        <v>470</v>
      </c>
      <c r="H13" t="s">
        <v>471</v>
      </c>
      <c r="I13">
        <v>2</v>
      </c>
      <c r="J13">
        <v>2009</v>
      </c>
      <c r="K13" t="s">
        <v>472</v>
      </c>
      <c r="L13">
        <v>1456</v>
      </c>
      <c r="M13" t="s">
        <v>419</v>
      </c>
      <c r="N13" t="s">
        <v>241</v>
      </c>
      <c r="O13" t="s">
        <v>81</v>
      </c>
      <c r="P13" s="18" t="s">
        <v>247</v>
      </c>
      <c r="Q13" t="s">
        <v>242</v>
      </c>
      <c r="R13" t="s">
        <v>233</v>
      </c>
      <c r="S13">
        <v>1</v>
      </c>
      <c r="T13" t="s">
        <v>189</v>
      </c>
      <c r="U13">
        <v>1</v>
      </c>
      <c r="V13" s="18" t="s">
        <v>221</v>
      </c>
      <c r="W13" s="18" t="s">
        <v>221</v>
      </c>
      <c r="X13" t="s">
        <v>474</v>
      </c>
      <c r="Y13">
        <v>0</v>
      </c>
      <c r="Z13">
        <v>0</v>
      </c>
      <c r="AA13">
        <v>1</v>
      </c>
      <c r="AB13">
        <v>0</v>
      </c>
      <c r="AC13">
        <v>0</v>
      </c>
      <c r="AD13">
        <v>0</v>
      </c>
      <c r="AE13">
        <v>0</v>
      </c>
      <c r="AF13" s="101">
        <v>0</v>
      </c>
      <c r="AG13" s="10" t="s">
        <v>257</v>
      </c>
      <c r="AH13">
        <v>0</v>
      </c>
      <c r="AI13">
        <v>0</v>
      </c>
      <c r="AJ13">
        <v>0</v>
      </c>
      <c r="AK13">
        <v>1</v>
      </c>
      <c r="AL13">
        <v>0</v>
      </c>
      <c r="AM13">
        <v>0</v>
      </c>
      <c r="AN13">
        <v>0</v>
      </c>
      <c r="AO13">
        <v>0</v>
      </c>
      <c r="AP13">
        <v>0</v>
      </c>
      <c r="AQ13" t="s">
        <v>73</v>
      </c>
      <c r="AR13" t="s">
        <v>259</v>
      </c>
      <c r="AS13" t="s">
        <v>477</v>
      </c>
      <c r="AT13" t="s">
        <v>73</v>
      </c>
      <c r="AU13" s="21">
        <v>2.1459999999999999</v>
      </c>
      <c r="AV13" t="s">
        <v>80</v>
      </c>
      <c r="AW13" t="s">
        <v>73</v>
      </c>
      <c r="AX13" t="s">
        <v>73</v>
      </c>
      <c r="AY13" t="s">
        <v>73</v>
      </c>
      <c r="AZ13">
        <v>11.52</v>
      </c>
      <c r="BA13" t="s">
        <v>73</v>
      </c>
      <c r="BC13" t="s">
        <v>73</v>
      </c>
      <c r="BD13" t="s">
        <v>73</v>
      </c>
      <c r="BE13" t="s">
        <v>73</v>
      </c>
      <c r="BF13" t="s">
        <v>73</v>
      </c>
      <c r="BG13" t="s">
        <v>73</v>
      </c>
      <c r="BH13" t="s">
        <v>73</v>
      </c>
      <c r="BI13">
        <v>1395</v>
      </c>
      <c r="BJ13">
        <v>19860</v>
      </c>
      <c r="BK13" t="s">
        <v>73</v>
      </c>
      <c r="BL13" t="s">
        <v>73</v>
      </c>
      <c r="BM13" t="s">
        <v>73</v>
      </c>
      <c r="BN13" t="s">
        <v>73</v>
      </c>
      <c r="BO13" t="s">
        <v>73</v>
      </c>
      <c r="BP13" t="s">
        <v>73</v>
      </c>
      <c r="BQ13" t="s">
        <v>73</v>
      </c>
      <c r="BR13">
        <v>1</v>
      </c>
      <c r="BS13" t="s">
        <v>73</v>
      </c>
      <c r="BT13" s="101" t="s">
        <v>73</v>
      </c>
      <c r="BU13">
        <v>0</v>
      </c>
      <c r="BV13">
        <v>0</v>
      </c>
      <c r="BW13">
        <v>0</v>
      </c>
      <c r="BX13" s="104">
        <f>((AZ13^2)/(AZ13^2+BI13))^(1/2)</f>
        <v>0.29473516954008327</v>
      </c>
      <c r="BY13" s="104">
        <f>0.5*LN((1+BX13)/(1-BX13))</f>
        <v>0.3037440363085756</v>
      </c>
      <c r="BZ13" s="104">
        <f>((1-(BY13^2)^2)/(BI13-1))</f>
        <v>7.1125395357683058E-4</v>
      </c>
      <c r="CA13" s="104">
        <f>1/(BI13-3)</f>
        <v>7.1839080459770114E-4</v>
      </c>
      <c r="CB13" s="100"/>
      <c r="CC13">
        <f>BI13-2</f>
        <v>1393</v>
      </c>
    </row>
    <row r="14" spans="1:82" ht="19.5" customHeight="1">
      <c r="A14" s="11" t="s">
        <v>68</v>
      </c>
      <c r="B14" s="11"/>
      <c r="C14" s="11">
        <v>1071</v>
      </c>
      <c r="D14">
        <v>113</v>
      </c>
      <c r="E14" t="s">
        <v>330</v>
      </c>
      <c r="F14" s="11">
        <v>2019</v>
      </c>
      <c r="G14" t="s">
        <v>331</v>
      </c>
      <c r="H14" s="99" t="s">
        <v>332</v>
      </c>
      <c r="I14">
        <v>2</v>
      </c>
      <c r="J14">
        <v>2019</v>
      </c>
      <c r="K14" s="10" t="s">
        <v>73</v>
      </c>
      <c r="L14">
        <v>5</v>
      </c>
      <c r="M14" t="s">
        <v>120</v>
      </c>
      <c r="N14" t="s">
        <v>241</v>
      </c>
      <c r="O14" t="s">
        <v>148</v>
      </c>
      <c r="P14" s="18" t="s">
        <v>218</v>
      </c>
      <c r="Q14" t="s">
        <v>242</v>
      </c>
      <c r="R14" t="s">
        <v>228</v>
      </c>
      <c r="S14">
        <v>1</v>
      </c>
      <c r="T14" t="s">
        <v>189</v>
      </c>
      <c r="U14">
        <v>1</v>
      </c>
      <c r="V14" s="18" t="s">
        <v>221</v>
      </c>
      <c r="W14" s="18" t="s">
        <v>221</v>
      </c>
      <c r="X14" s="18" t="s">
        <v>73</v>
      </c>
      <c r="Y14">
        <v>0</v>
      </c>
      <c r="Z14">
        <v>0</v>
      </c>
      <c r="AA14">
        <v>1</v>
      </c>
      <c r="AB14">
        <v>0</v>
      </c>
      <c r="AC14">
        <v>0</v>
      </c>
      <c r="AD14">
        <v>0</v>
      </c>
      <c r="AE14">
        <v>0</v>
      </c>
      <c r="AF14">
        <v>0</v>
      </c>
      <c r="AG14" t="s">
        <v>73</v>
      </c>
      <c r="AH14">
        <v>0</v>
      </c>
      <c r="AI14">
        <v>0</v>
      </c>
      <c r="AJ14">
        <v>0</v>
      </c>
      <c r="AK14">
        <v>0</v>
      </c>
      <c r="AL14">
        <v>0</v>
      </c>
      <c r="AM14">
        <v>1</v>
      </c>
      <c r="AN14" s="32">
        <v>0</v>
      </c>
      <c r="AO14">
        <v>0</v>
      </c>
      <c r="AP14">
        <v>0</v>
      </c>
      <c r="AQ14" t="s">
        <v>73</v>
      </c>
      <c r="AR14" t="s">
        <v>259</v>
      </c>
      <c r="AS14" s="99" t="s">
        <v>333</v>
      </c>
      <c r="AT14" t="s">
        <v>73</v>
      </c>
      <c r="AU14" s="21">
        <v>0.14099999999999999</v>
      </c>
      <c r="AV14" s="7" t="s">
        <v>80</v>
      </c>
      <c r="AW14" s="106">
        <v>0.32</v>
      </c>
      <c r="AX14" s="18">
        <v>0.1</v>
      </c>
      <c r="AY14" s="18">
        <v>2</v>
      </c>
      <c r="AZ14" s="18">
        <f>AU14/AW14</f>
        <v>0.44062499999999993</v>
      </c>
      <c r="BA14" s="18" t="s">
        <v>73</v>
      </c>
      <c r="BB14" s="18"/>
      <c r="BC14" s="18" t="s">
        <v>73</v>
      </c>
      <c r="BD14">
        <v>216</v>
      </c>
      <c r="BE14" s="18" t="s">
        <v>73</v>
      </c>
      <c r="BF14" s="18" t="s">
        <v>73</v>
      </c>
      <c r="BG14">
        <v>119</v>
      </c>
      <c r="BH14" s="18" t="s">
        <v>73</v>
      </c>
      <c r="BI14">
        <v>335</v>
      </c>
      <c r="BJ14">
        <v>335</v>
      </c>
      <c r="BK14" s="18" t="s">
        <v>73</v>
      </c>
      <c r="BL14" s="18" t="s">
        <v>73</v>
      </c>
      <c r="BM14" t="s">
        <v>73</v>
      </c>
      <c r="BN14" t="s">
        <v>73</v>
      </c>
      <c r="BO14" s="18" t="s">
        <v>73</v>
      </c>
      <c r="BP14">
        <v>0</v>
      </c>
      <c r="BQ14" t="s">
        <v>73</v>
      </c>
      <c r="BR14">
        <v>1</v>
      </c>
      <c r="BS14">
        <v>7</v>
      </c>
      <c r="BT14" t="s">
        <v>261</v>
      </c>
      <c r="BU14">
        <v>1</v>
      </c>
      <c r="BV14">
        <v>0</v>
      </c>
      <c r="BW14">
        <v>1</v>
      </c>
      <c r="BX14" s="104">
        <f>((AZ14^2)/(AZ14^2+BI14))^(1/2)</f>
        <v>2.4066942415906588E-2</v>
      </c>
      <c r="BY14" s="104">
        <f>0.5*LN((1+BX14)/(1-BX14))</f>
        <v>2.4071590697916326E-2</v>
      </c>
      <c r="BZ14" s="104">
        <f>((1-(BY14^2)^2)/(BI14-1))</f>
        <v>2.9940109708011158E-3</v>
      </c>
      <c r="CA14" s="95">
        <f>1/(BI14-3)</f>
        <v>3.0120481927710845E-3</v>
      </c>
      <c r="CC14">
        <f>BI14-2</f>
        <v>333</v>
      </c>
    </row>
    <row r="15" spans="1:82" ht="16">
      <c r="A15" s="11" t="s">
        <v>68</v>
      </c>
      <c r="B15" s="11"/>
      <c r="C15" s="11">
        <v>1072</v>
      </c>
      <c r="D15">
        <v>113</v>
      </c>
      <c r="E15" t="s">
        <v>330</v>
      </c>
      <c r="F15" s="11">
        <v>2019</v>
      </c>
      <c r="G15" t="s">
        <v>331</v>
      </c>
      <c r="H15" s="99" t="s">
        <v>332</v>
      </c>
      <c r="I15">
        <v>2</v>
      </c>
      <c r="J15">
        <v>2019</v>
      </c>
      <c r="K15" s="10" t="s">
        <v>73</v>
      </c>
      <c r="L15">
        <v>5</v>
      </c>
      <c r="M15" t="s">
        <v>120</v>
      </c>
      <c r="N15" t="s">
        <v>241</v>
      </c>
      <c r="O15" t="s">
        <v>148</v>
      </c>
      <c r="P15" s="18" t="s">
        <v>218</v>
      </c>
      <c r="Q15" t="s">
        <v>242</v>
      </c>
      <c r="R15" t="s">
        <v>228</v>
      </c>
      <c r="S15">
        <v>1</v>
      </c>
      <c r="T15" t="s">
        <v>189</v>
      </c>
      <c r="U15">
        <v>1</v>
      </c>
      <c r="V15" s="18" t="s">
        <v>221</v>
      </c>
      <c r="W15" s="18" t="s">
        <v>221</v>
      </c>
      <c r="X15" s="18" t="s">
        <v>73</v>
      </c>
      <c r="Y15">
        <v>0</v>
      </c>
      <c r="Z15">
        <v>0</v>
      </c>
      <c r="AA15">
        <v>1</v>
      </c>
      <c r="AB15">
        <v>0</v>
      </c>
      <c r="AC15">
        <v>0</v>
      </c>
      <c r="AD15">
        <v>0</v>
      </c>
      <c r="AE15">
        <v>0</v>
      </c>
      <c r="AF15">
        <v>0</v>
      </c>
      <c r="AG15" t="s">
        <v>73</v>
      </c>
      <c r="AH15">
        <v>0</v>
      </c>
      <c r="AI15">
        <v>0</v>
      </c>
      <c r="AJ15">
        <v>0</v>
      </c>
      <c r="AK15">
        <v>0</v>
      </c>
      <c r="AL15">
        <v>0</v>
      </c>
      <c r="AM15">
        <v>1</v>
      </c>
      <c r="AN15" s="32">
        <v>0</v>
      </c>
      <c r="AO15">
        <v>0</v>
      </c>
      <c r="AP15">
        <v>0</v>
      </c>
      <c r="AQ15" t="s">
        <v>73</v>
      </c>
      <c r="AR15" t="s">
        <v>259</v>
      </c>
      <c r="AS15" s="99" t="s">
        <v>333</v>
      </c>
      <c r="AT15" t="s">
        <v>73</v>
      </c>
      <c r="AU15" s="21">
        <v>1.331</v>
      </c>
      <c r="AV15" s="7" t="s">
        <v>80</v>
      </c>
      <c r="AW15" s="106">
        <v>0.34499999999999997</v>
      </c>
      <c r="AX15" s="18">
        <v>0.01</v>
      </c>
      <c r="AY15" s="18">
        <v>1</v>
      </c>
      <c r="AZ15" s="18">
        <f>AU15/AW15</f>
        <v>3.8579710144927537</v>
      </c>
      <c r="BA15" s="18" t="s">
        <v>73</v>
      </c>
      <c r="BB15" s="18"/>
      <c r="BC15" s="18" t="s">
        <v>73</v>
      </c>
      <c r="BD15">
        <v>216</v>
      </c>
      <c r="BE15" s="18" t="s">
        <v>73</v>
      </c>
      <c r="BF15" s="18" t="s">
        <v>73</v>
      </c>
      <c r="BG15">
        <v>224</v>
      </c>
      <c r="BH15" s="18" t="s">
        <v>73</v>
      </c>
      <c r="BI15">
        <v>440</v>
      </c>
      <c r="BJ15">
        <v>440</v>
      </c>
      <c r="BK15" s="18" t="s">
        <v>73</v>
      </c>
      <c r="BL15" s="18" t="s">
        <v>73</v>
      </c>
      <c r="BM15" t="s">
        <v>73</v>
      </c>
      <c r="BN15" t="s">
        <v>73</v>
      </c>
      <c r="BO15" s="18" t="s">
        <v>73</v>
      </c>
      <c r="BP15">
        <v>1</v>
      </c>
      <c r="BQ15">
        <f xml:space="preserve"> 29*1.1199</f>
        <v>32.4771</v>
      </c>
      <c r="BR15">
        <v>0</v>
      </c>
      <c r="BS15" t="s">
        <v>73</v>
      </c>
      <c r="BT15" t="s">
        <v>73</v>
      </c>
      <c r="BU15">
        <v>1</v>
      </c>
      <c r="BV15">
        <v>0</v>
      </c>
      <c r="BW15">
        <v>1</v>
      </c>
      <c r="BX15" s="104">
        <f>((AZ15^2)/(AZ15^2+BI15))^(1/2)</f>
        <v>0.18088754235543161</v>
      </c>
      <c r="BY15" s="104">
        <f>0.5*LN((1+BX15)/(1-BX15))</f>
        <v>0.18290010196181533</v>
      </c>
      <c r="BZ15" s="104">
        <f>((1-(BY15^2)^2)/(BI15-1))</f>
        <v>2.2753552022091081E-3</v>
      </c>
      <c r="CA15" s="95">
        <f>1/(BI15-3)</f>
        <v>2.2883295194508009E-3</v>
      </c>
      <c r="CC15">
        <f>BI15-2</f>
        <v>438</v>
      </c>
    </row>
    <row r="16" spans="1:82" ht="16">
      <c r="A16" s="101" t="s">
        <v>68</v>
      </c>
      <c r="B16" s="101"/>
      <c r="C16" s="101">
        <v>1059</v>
      </c>
      <c r="D16">
        <v>110</v>
      </c>
      <c r="E16" t="s">
        <v>315</v>
      </c>
      <c r="F16" s="101">
        <v>2014</v>
      </c>
      <c r="G16" t="s">
        <v>316</v>
      </c>
      <c r="H16" t="s">
        <v>317</v>
      </c>
      <c r="I16">
        <v>2</v>
      </c>
      <c r="J16">
        <v>2014</v>
      </c>
      <c r="K16" s="10" t="s">
        <v>73</v>
      </c>
      <c r="L16">
        <v>35</v>
      </c>
      <c r="M16" t="s">
        <v>120</v>
      </c>
      <c r="N16" t="s">
        <v>241</v>
      </c>
      <c r="O16" t="s">
        <v>81</v>
      </c>
      <c r="P16" s="10" t="s">
        <v>247</v>
      </c>
      <c r="Q16" t="s">
        <v>227</v>
      </c>
      <c r="R16" t="s">
        <v>233</v>
      </c>
      <c r="S16">
        <v>1</v>
      </c>
      <c r="T16" t="s">
        <v>220</v>
      </c>
      <c r="U16">
        <v>1</v>
      </c>
      <c r="V16" s="10" t="s">
        <v>221</v>
      </c>
      <c r="W16" s="10" t="s">
        <v>221</v>
      </c>
      <c r="X16" t="s">
        <v>474</v>
      </c>
      <c r="Y16">
        <v>0</v>
      </c>
      <c r="Z16">
        <v>0</v>
      </c>
      <c r="AA16">
        <v>1</v>
      </c>
      <c r="AB16">
        <v>0</v>
      </c>
      <c r="AC16">
        <v>0</v>
      </c>
      <c r="AD16">
        <v>0</v>
      </c>
      <c r="AE16">
        <v>0</v>
      </c>
      <c r="AF16">
        <v>0</v>
      </c>
      <c r="AG16" t="s">
        <v>318</v>
      </c>
      <c r="AH16">
        <v>0</v>
      </c>
      <c r="AI16">
        <v>0</v>
      </c>
      <c r="AJ16">
        <v>0</v>
      </c>
      <c r="AK16">
        <v>0</v>
      </c>
      <c r="AL16">
        <v>0</v>
      </c>
      <c r="AM16">
        <v>0</v>
      </c>
      <c r="AN16">
        <v>0</v>
      </c>
      <c r="AO16">
        <v>1</v>
      </c>
      <c r="AP16">
        <v>0</v>
      </c>
      <c r="AQ16" t="s">
        <v>319</v>
      </c>
      <c r="AR16" s="94" t="s">
        <v>259</v>
      </c>
      <c r="AS16" s="94" t="s">
        <v>320</v>
      </c>
      <c r="AT16" s="94" t="s">
        <v>73</v>
      </c>
      <c r="AU16" s="21">
        <v>3.4359999999999999</v>
      </c>
      <c r="AV16" s="7" t="s">
        <v>80</v>
      </c>
      <c r="AW16">
        <v>4.9960000000000004</v>
      </c>
      <c r="AX16" s="41" t="s">
        <v>73</v>
      </c>
      <c r="AY16" s="41">
        <v>3</v>
      </c>
      <c r="AZ16">
        <f>AU16/AW16</f>
        <v>0.687750200160128</v>
      </c>
      <c r="BA16" t="s">
        <v>73</v>
      </c>
      <c r="BC16" t="s">
        <v>73</v>
      </c>
      <c r="BD16" t="s">
        <v>73</v>
      </c>
      <c r="BE16" t="s">
        <v>73</v>
      </c>
      <c r="BF16" t="s">
        <v>73</v>
      </c>
      <c r="BG16" t="s">
        <v>73</v>
      </c>
      <c r="BH16" t="s">
        <v>73</v>
      </c>
      <c r="BI16">
        <v>2440</v>
      </c>
      <c r="BJ16">
        <v>7275</v>
      </c>
      <c r="BK16" t="s">
        <v>73</v>
      </c>
      <c r="BL16" t="s">
        <v>73</v>
      </c>
      <c r="BM16" t="s">
        <v>73</v>
      </c>
      <c r="BN16" t="s">
        <v>73</v>
      </c>
      <c r="BO16" t="s">
        <v>73</v>
      </c>
      <c r="BP16">
        <v>1</v>
      </c>
      <c r="BQ16" t="s">
        <v>73</v>
      </c>
      <c r="BR16">
        <v>0</v>
      </c>
      <c r="BS16">
        <v>0</v>
      </c>
      <c r="BT16" t="s">
        <v>321</v>
      </c>
      <c r="BU16">
        <v>1</v>
      </c>
      <c r="BV16">
        <v>0</v>
      </c>
      <c r="BW16">
        <v>1</v>
      </c>
      <c r="BX16" s="30">
        <f>((AZ16^2)/(AZ16^2+BI16))^(1/2)</f>
        <v>1.3921746511164878E-2</v>
      </c>
      <c r="BY16" s="30">
        <f>0.5*LN((1+BX16)/(1-BX16))</f>
        <v>1.3922646030325031E-2</v>
      </c>
      <c r="BZ16" s="30">
        <f>((1-(BY16^2)^2)/(BI16-1))</f>
        <v>4.1000408463551713E-4</v>
      </c>
      <c r="CA16" s="30">
        <f>1/(BI16-3)</f>
        <v>4.103405826836274E-4</v>
      </c>
      <c r="CC16">
        <f>BI16-2</f>
        <v>2438</v>
      </c>
    </row>
    <row r="17" spans="1:82" ht="16">
      <c r="A17" s="96" t="s">
        <v>68</v>
      </c>
      <c r="B17" s="96"/>
      <c r="C17" s="94">
        <v>1213</v>
      </c>
      <c r="D17" s="96">
        <v>146</v>
      </c>
      <c r="E17" s="96" t="s">
        <v>446</v>
      </c>
      <c r="F17" s="96">
        <v>2014</v>
      </c>
      <c r="G17" s="96" t="s">
        <v>447</v>
      </c>
      <c r="H17" s="96" t="s">
        <v>448</v>
      </c>
      <c r="I17" s="96">
        <v>2</v>
      </c>
      <c r="J17" s="96">
        <v>2014</v>
      </c>
      <c r="K17" s="96" t="s">
        <v>73</v>
      </c>
      <c r="L17" s="96">
        <v>46</v>
      </c>
      <c r="M17" s="96" t="s">
        <v>93</v>
      </c>
      <c r="N17" s="96" t="s">
        <v>241</v>
      </c>
      <c r="O17" s="96" t="s">
        <v>81</v>
      </c>
      <c r="P17" s="96" t="s">
        <v>247</v>
      </c>
      <c r="Q17" s="96" t="s">
        <v>449</v>
      </c>
      <c r="R17" s="96" t="s">
        <v>248</v>
      </c>
      <c r="S17" s="96">
        <v>1</v>
      </c>
      <c r="T17" s="96" t="s">
        <v>291</v>
      </c>
      <c r="U17" s="96">
        <v>1</v>
      </c>
      <c r="V17" s="96" t="s">
        <v>221</v>
      </c>
      <c r="W17" s="96" t="s">
        <v>238</v>
      </c>
      <c r="X17" s="96" t="s">
        <v>644</v>
      </c>
      <c r="Y17" s="96">
        <v>0</v>
      </c>
      <c r="Z17" s="96">
        <v>1</v>
      </c>
      <c r="AA17" s="96">
        <v>0</v>
      </c>
      <c r="AB17" s="96">
        <v>0</v>
      </c>
      <c r="AC17" s="96">
        <v>0</v>
      </c>
      <c r="AD17" s="96">
        <v>0</v>
      </c>
      <c r="AE17" s="96">
        <v>0</v>
      </c>
      <c r="AF17" s="96">
        <v>0</v>
      </c>
      <c r="AG17" s="96" t="s">
        <v>450</v>
      </c>
      <c r="AH17" s="96">
        <v>0</v>
      </c>
      <c r="AI17" s="96">
        <v>0</v>
      </c>
      <c r="AJ17" s="96">
        <v>0</v>
      </c>
      <c r="AK17" s="96">
        <v>0</v>
      </c>
      <c r="AL17" s="96">
        <v>0</v>
      </c>
      <c r="AM17" s="96">
        <v>1</v>
      </c>
      <c r="AN17" s="96">
        <v>0</v>
      </c>
      <c r="AO17" s="96">
        <v>0</v>
      </c>
      <c r="AP17" s="96">
        <v>0</v>
      </c>
      <c r="AQ17" s="96" t="s">
        <v>73</v>
      </c>
      <c r="AR17" s="96" t="s">
        <v>259</v>
      </c>
      <c r="AS17" s="96" t="s">
        <v>451</v>
      </c>
      <c r="AT17" s="96" t="s">
        <v>249</v>
      </c>
      <c r="AU17" s="113"/>
      <c r="AV17" s="113"/>
      <c r="AW17" s="114"/>
      <c r="AX17" s="114"/>
      <c r="AY17" s="114"/>
      <c r="AZ17" s="114"/>
      <c r="BA17" s="114"/>
      <c r="BB17" s="114"/>
      <c r="BC17" s="96" t="s">
        <v>73</v>
      </c>
      <c r="BD17" s="96" t="s">
        <v>73</v>
      </c>
      <c r="BE17" s="96" t="s">
        <v>73</v>
      </c>
      <c r="BF17" s="96" t="s">
        <v>73</v>
      </c>
      <c r="BG17" s="96" t="s">
        <v>73</v>
      </c>
      <c r="BH17" s="96" t="s">
        <v>73</v>
      </c>
      <c r="BI17" s="96" t="s">
        <v>73</v>
      </c>
      <c r="BJ17" s="96">
        <v>6652</v>
      </c>
      <c r="BK17" s="96" t="s">
        <v>73</v>
      </c>
      <c r="BL17" s="96" t="s">
        <v>73</v>
      </c>
      <c r="BM17" s="96" t="s">
        <v>73</v>
      </c>
      <c r="BN17" s="96" t="s">
        <v>73</v>
      </c>
      <c r="BO17" s="96" t="s">
        <v>73</v>
      </c>
      <c r="BP17" s="96" t="s">
        <v>73</v>
      </c>
      <c r="BQ17" s="96" t="s">
        <v>73</v>
      </c>
      <c r="BR17" s="96" t="s">
        <v>73</v>
      </c>
      <c r="BS17" s="96" t="s">
        <v>73</v>
      </c>
      <c r="BT17" s="96" t="s">
        <v>73</v>
      </c>
      <c r="BU17" s="96">
        <v>0</v>
      </c>
      <c r="BV17" s="96">
        <v>1</v>
      </c>
      <c r="BW17" s="96">
        <v>1</v>
      </c>
      <c r="BX17" s="30" t="e">
        <f>((AZ17^2)/(AZ17^2+BI17))^(1/2)</f>
        <v>#VALUE!</v>
      </c>
      <c r="BY17" s="30" t="e">
        <f>0.5*LN((1+BX17)/(1-BX17))</f>
        <v>#VALUE!</v>
      </c>
      <c r="BZ17" s="30" t="e">
        <f>((1-(BY17^2)^2)/(BI17-1))</f>
        <v>#VALUE!</v>
      </c>
      <c r="CA17" s="30" t="e">
        <f>1/(BI17-3)</f>
        <v>#VALUE!</v>
      </c>
      <c r="CB17" s="96"/>
      <c r="CC17">
        <f>BJ17-1</f>
        <v>6651</v>
      </c>
      <c r="CD17" s="96"/>
    </row>
    <row r="18" spans="1:82" ht="16">
      <c r="A18" s="11" t="s">
        <v>68</v>
      </c>
      <c r="B18" s="11"/>
      <c r="C18" s="94">
        <v>1122</v>
      </c>
      <c r="D18" s="98">
        <v>127</v>
      </c>
      <c r="E18" t="s">
        <v>359</v>
      </c>
      <c r="F18" s="97">
        <v>2021</v>
      </c>
      <c r="G18" t="s">
        <v>360</v>
      </c>
      <c r="H18" s="17" t="s">
        <v>361</v>
      </c>
      <c r="I18" s="98">
        <v>2</v>
      </c>
      <c r="J18">
        <v>2017</v>
      </c>
      <c r="K18" s="97" t="s">
        <v>73</v>
      </c>
      <c r="L18" s="98">
        <v>58</v>
      </c>
      <c r="M18" s="98" t="s">
        <v>155</v>
      </c>
      <c r="N18" s="98" t="s">
        <v>241</v>
      </c>
      <c r="O18" s="98" t="s">
        <v>362</v>
      </c>
      <c r="P18" t="s">
        <v>247</v>
      </c>
      <c r="Q18" t="s">
        <v>242</v>
      </c>
      <c r="R18" t="s">
        <v>248</v>
      </c>
      <c r="S18">
        <v>1</v>
      </c>
      <c r="T18" t="s">
        <v>291</v>
      </c>
      <c r="U18">
        <v>1</v>
      </c>
      <c r="V18" s="97" t="s">
        <v>221</v>
      </c>
      <c r="W18" s="97" t="s">
        <v>221</v>
      </c>
      <c r="X18" t="s">
        <v>474</v>
      </c>
      <c r="Y18" s="98">
        <v>0</v>
      </c>
      <c r="Z18" s="98">
        <v>1</v>
      </c>
      <c r="AA18" s="98">
        <v>0</v>
      </c>
      <c r="AB18" s="98">
        <v>0</v>
      </c>
      <c r="AC18" s="98">
        <v>0</v>
      </c>
      <c r="AD18" s="98">
        <v>0</v>
      </c>
      <c r="AE18" s="98">
        <v>0</v>
      </c>
      <c r="AF18">
        <v>0</v>
      </c>
      <c r="AG18" s="98" t="s">
        <v>363</v>
      </c>
      <c r="AH18" s="98">
        <v>0</v>
      </c>
      <c r="AI18" s="98">
        <v>0</v>
      </c>
      <c r="AJ18" s="98">
        <v>0</v>
      </c>
      <c r="AK18" s="98">
        <v>1</v>
      </c>
      <c r="AL18" s="98">
        <v>0</v>
      </c>
      <c r="AM18" s="98">
        <v>0</v>
      </c>
      <c r="AN18" s="98">
        <v>0</v>
      </c>
      <c r="AO18" s="98">
        <v>0</v>
      </c>
      <c r="AP18" s="98">
        <v>0</v>
      </c>
      <c r="AQ18" s="98" t="s">
        <v>73</v>
      </c>
      <c r="AR18" t="s">
        <v>259</v>
      </c>
      <c r="AS18" s="98" t="s">
        <v>364</v>
      </c>
      <c r="AT18" s="110" t="s">
        <v>73</v>
      </c>
      <c r="AU18" s="21">
        <v>0.1305</v>
      </c>
      <c r="AV18" s="7" t="s">
        <v>80</v>
      </c>
      <c r="AW18" t="s">
        <v>73</v>
      </c>
      <c r="AX18">
        <v>0.05</v>
      </c>
      <c r="AY18" s="17">
        <v>1</v>
      </c>
      <c r="AZ18" s="17">
        <v>2.0280999999999998</v>
      </c>
      <c r="BA18" s="99" t="s">
        <v>73</v>
      </c>
      <c r="BB18" s="99"/>
      <c r="BC18" s="99" t="s">
        <v>73</v>
      </c>
      <c r="BD18" s="99" t="s">
        <v>73</v>
      </c>
      <c r="BE18" s="99" t="s">
        <v>73</v>
      </c>
      <c r="BF18" s="99" t="s">
        <v>73</v>
      </c>
      <c r="BG18" s="99" t="s">
        <v>73</v>
      </c>
      <c r="BH18" s="99" t="s">
        <v>73</v>
      </c>
      <c r="BI18" s="17">
        <v>36</v>
      </c>
      <c r="BJ18" s="98">
        <v>8928</v>
      </c>
      <c r="BK18" s="98" t="s">
        <v>73</v>
      </c>
      <c r="BL18" s="98" t="s">
        <v>73</v>
      </c>
      <c r="BM18" s="98" t="s">
        <v>73</v>
      </c>
      <c r="BN18" s="98" t="s">
        <v>73</v>
      </c>
      <c r="BO18" s="98" t="s">
        <v>73</v>
      </c>
      <c r="BP18" s="98" t="s">
        <v>73</v>
      </c>
      <c r="BQ18" s="98" t="s">
        <v>73</v>
      </c>
      <c r="BR18" s="98" t="s">
        <v>73</v>
      </c>
      <c r="BS18" s="98" t="s">
        <v>73</v>
      </c>
      <c r="BT18" s="98" t="s">
        <v>73</v>
      </c>
      <c r="BU18" s="98">
        <v>0</v>
      </c>
      <c r="BV18" s="98">
        <v>0</v>
      </c>
      <c r="BW18" s="98">
        <v>0</v>
      </c>
      <c r="BX18" s="104">
        <f>((AZ18^2)/(AZ18^2+BI18))^(1/2)</f>
        <v>0.32021801928313393</v>
      </c>
      <c r="BY18" s="104">
        <f>0.5*LN((1+BX18)/(1-BX18))</f>
        <v>0.33189001894838011</v>
      </c>
      <c r="BZ18" s="104">
        <f>((1-(BY18^2)^2)/(BI18-1))</f>
        <v>2.822476458784471E-2</v>
      </c>
      <c r="CA18" s="104">
        <f>1/(BI18-3)</f>
        <v>3.0303030303030304E-2</v>
      </c>
      <c r="CC18">
        <f>BI18-2</f>
        <v>34</v>
      </c>
    </row>
    <row r="19" spans="1:82" ht="16">
      <c r="A19" s="11" t="s">
        <v>68</v>
      </c>
      <c r="B19" s="11"/>
      <c r="C19" s="94">
        <v>1123</v>
      </c>
      <c r="D19" s="98">
        <v>127</v>
      </c>
      <c r="E19" t="s">
        <v>359</v>
      </c>
      <c r="F19" s="97">
        <v>2021</v>
      </c>
      <c r="G19" t="s">
        <v>360</v>
      </c>
      <c r="H19" s="17" t="s">
        <v>361</v>
      </c>
      <c r="I19" s="98">
        <v>2</v>
      </c>
      <c r="J19">
        <v>2017</v>
      </c>
      <c r="K19" s="97" t="s">
        <v>73</v>
      </c>
      <c r="L19" s="98">
        <v>58</v>
      </c>
      <c r="M19" s="98" t="s">
        <v>155</v>
      </c>
      <c r="N19" s="98" t="s">
        <v>241</v>
      </c>
      <c r="O19" s="98" t="s">
        <v>362</v>
      </c>
      <c r="P19" t="s">
        <v>247</v>
      </c>
      <c r="Q19" t="s">
        <v>242</v>
      </c>
      <c r="R19" t="s">
        <v>248</v>
      </c>
      <c r="S19">
        <v>1</v>
      </c>
      <c r="T19" t="s">
        <v>291</v>
      </c>
      <c r="U19">
        <v>1</v>
      </c>
      <c r="V19" s="97" t="s">
        <v>221</v>
      </c>
      <c r="W19" s="97" t="s">
        <v>221</v>
      </c>
      <c r="X19" t="s">
        <v>474</v>
      </c>
      <c r="Y19" s="98">
        <v>0</v>
      </c>
      <c r="Z19" s="98">
        <v>0</v>
      </c>
      <c r="AA19" s="98">
        <v>1</v>
      </c>
      <c r="AB19" s="98">
        <v>0</v>
      </c>
      <c r="AC19" s="98">
        <v>0</v>
      </c>
      <c r="AD19" s="98">
        <v>0</v>
      </c>
      <c r="AE19" s="98">
        <v>0</v>
      </c>
      <c r="AF19">
        <v>0</v>
      </c>
      <c r="AG19" s="98" t="s">
        <v>363</v>
      </c>
      <c r="AH19" s="98">
        <v>0</v>
      </c>
      <c r="AI19" s="98">
        <v>0</v>
      </c>
      <c r="AJ19" s="98">
        <v>0</v>
      </c>
      <c r="AK19" s="98">
        <v>1</v>
      </c>
      <c r="AL19" s="98">
        <v>0</v>
      </c>
      <c r="AM19" s="98">
        <v>0</v>
      </c>
      <c r="AN19" s="98">
        <v>0</v>
      </c>
      <c r="AO19" s="98">
        <v>0</v>
      </c>
      <c r="AP19" s="98">
        <v>0</v>
      </c>
      <c r="AQ19" s="98" t="s">
        <v>73</v>
      </c>
      <c r="AR19" t="s">
        <v>259</v>
      </c>
      <c r="AS19" s="98" t="s">
        <v>364</v>
      </c>
      <c r="AT19" s="110" t="s">
        <v>73</v>
      </c>
      <c r="AU19" s="21">
        <v>0.28129999999999999</v>
      </c>
      <c r="AV19" s="7" t="s">
        <v>80</v>
      </c>
      <c r="AW19" t="s">
        <v>73</v>
      </c>
      <c r="AX19">
        <v>0.05</v>
      </c>
      <c r="AY19" s="17">
        <v>1</v>
      </c>
      <c r="AZ19" s="17">
        <v>2.0280999999999998</v>
      </c>
      <c r="BA19" s="99" t="s">
        <v>73</v>
      </c>
      <c r="BB19" s="99"/>
      <c r="BC19" s="99" t="s">
        <v>73</v>
      </c>
      <c r="BD19" s="99" t="s">
        <v>73</v>
      </c>
      <c r="BE19" s="99" t="s">
        <v>73</v>
      </c>
      <c r="BF19" s="99" t="s">
        <v>73</v>
      </c>
      <c r="BG19" s="99" t="s">
        <v>73</v>
      </c>
      <c r="BH19" s="99" t="s">
        <v>73</v>
      </c>
      <c r="BI19" s="17">
        <v>36</v>
      </c>
      <c r="BJ19" s="98">
        <v>8928</v>
      </c>
      <c r="BK19" s="98" t="s">
        <v>73</v>
      </c>
      <c r="BL19" s="98" t="s">
        <v>73</v>
      </c>
      <c r="BM19" s="98" t="s">
        <v>73</v>
      </c>
      <c r="BN19" s="98" t="s">
        <v>73</v>
      </c>
      <c r="BO19" s="98" t="s">
        <v>73</v>
      </c>
      <c r="BP19" s="98" t="s">
        <v>73</v>
      </c>
      <c r="BQ19" s="98" t="s">
        <v>73</v>
      </c>
      <c r="BR19" s="98" t="s">
        <v>73</v>
      </c>
      <c r="BS19" s="98" t="s">
        <v>73</v>
      </c>
      <c r="BT19" s="98" t="s">
        <v>73</v>
      </c>
      <c r="BU19" s="98">
        <v>0</v>
      </c>
      <c r="BV19" s="98">
        <v>0</v>
      </c>
      <c r="BW19" s="98">
        <v>0</v>
      </c>
      <c r="BX19" s="104">
        <f>((AZ19^2)/(AZ19^2+BI19))^(1/2)</f>
        <v>0.32021801928313393</v>
      </c>
      <c r="BY19" s="104">
        <f>0.5*LN((1+BX19)/(1-BX19))</f>
        <v>0.33189001894838011</v>
      </c>
      <c r="BZ19" s="104">
        <f>((1-(BY19^2)^2)/(BI19-1))</f>
        <v>2.822476458784471E-2</v>
      </c>
      <c r="CA19" s="104">
        <f>1/(BI19-3)</f>
        <v>3.0303030303030304E-2</v>
      </c>
      <c r="CC19">
        <f>BI19-2</f>
        <v>34</v>
      </c>
    </row>
    <row r="20" spans="1:82" ht="16">
      <c r="A20" s="11" t="s">
        <v>68</v>
      </c>
      <c r="B20" s="11"/>
      <c r="C20" s="94">
        <v>1124</v>
      </c>
      <c r="D20" s="98">
        <v>127</v>
      </c>
      <c r="E20" t="s">
        <v>359</v>
      </c>
      <c r="F20" s="97">
        <v>2021</v>
      </c>
      <c r="G20" t="s">
        <v>360</v>
      </c>
      <c r="H20" s="17" t="s">
        <v>361</v>
      </c>
      <c r="I20" s="98">
        <v>2</v>
      </c>
      <c r="J20">
        <v>2017</v>
      </c>
      <c r="K20" s="97" t="s">
        <v>73</v>
      </c>
      <c r="L20" s="98">
        <v>58</v>
      </c>
      <c r="M20" s="98" t="s">
        <v>155</v>
      </c>
      <c r="N20" s="98" t="s">
        <v>241</v>
      </c>
      <c r="O20" s="98" t="s">
        <v>362</v>
      </c>
      <c r="P20" t="s">
        <v>247</v>
      </c>
      <c r="Q20" t="s">
        <v>242</v>
      </c>
      <c r="R20" t="s">
        <v>248</v>
      </c>
      <c r="S20">
        <v>1</v>
      </c>
      <c r="T20" t="s">
        <v>291</v>
      </c>
      <c r="U20">
        <v>1</v>
      </c>
      <c r="V20" s="97" t="s">
        <v>221</v>
      </c>
      <c r="W20" s="97" t="s">
        <v>221</v>
      </c>
      <c r="X20" t="s">
        <v>474</v>
      </c>
      <c r="Y20" s="98">
        <v>0</v>
      </c>
      <c r="Z20" s="98">
        <v>1</v>
      </c>
      <c r="AA20" s="98">
        <v>1</v>
      </c>
      <c r="AB20" s="98">
        <v>0</v>
      </c>
      <c r="AC20" s="98">
        <v>0</v>
      </c>
      <c r="AD20" s="98">
        <v>0</v>
      </c>
      <c r="AE20" s="98">
        <v>0</v>
      </c>
      <c r="AF20">
        <v>0</v>
      </c>
      <c r="AG20" s="98" t="s">
        <v>363</v>
      </c>
      <c r="AH20" s="98">
        <v>0</v>
      </c>
      <c r="AI20" s="98">
        <v>0</v>
      </c>
      <c r="AJ20" s="98">
        <v>0</v>
      </c>
      <c r="AK20" s="98">
        <v>1</v>
      </c>
      <c r="AL20" s="98">
        <v>0</v>
      </c>
      <c r="AM20" s="98">
        <v>0</v>
      </c>
      <c r="AN20" s="98">
        <v>0</v>
      </c>
      <c r="AO20" s="98">
        <v>0</v>
      </c>
      <c r="AP20" s="98">
        <v>0</v>
      </c>
      <c r="AQ20" s="98" t="s">
        <v>73</v>
      </c>
      <c r="AR20" t="s">
        <v>259</v>
      </c>
      <c r="AS20" s="98" t="s">
        <v>364</v>
      </c>
      <c r="AT20" s="110" t="s">
        <v>73</v>
      </c>
      <c r="AU20" s="21">
        <v>0.49790000000000001</v>
      </c>
      <c r="AV20" s="7" t="s">
        <v>80</v>
      </c>
      <c r="AW20" t="s">
        <v>73</v>
      </c>
      <c r="AX20">
        <v>1E-3</v>
      </c>
      <c r="AY20" s="17">
        <v>1</v>
      </c>
      <c r="AZ20" s="17">
        <v>3.5821000000000001</v>
      </c>
      <c r="BA20" s="99" t="s">
        <v>73</v>
      </c>
      <c r="BB20" s="99"/>
      <c r="BC20" s="99" t="s">
        <v>73</v>
      </c>
      <c r="BD20" s="99" t="s">
        <v>73</v>
      </c>
      <c r="BE20" s="99" t="s">
        <v>73</v>
      </c>
      <c r="BF20" s="99" t="s">
        <v>73</v>
      </c>
      <c r="BG20" s="99" t="s">
        <v>73</v>
      </c>
      <c r="BH20" s="99" t="s">
        <v>73</v>
      </c>
      <c r="BI20" s="17">
        <v>36</v>
      </c>
      <c r="BJ20" s="98">
        <v>8928</v>
      </c>
      <c r="BK20" s="98" t="s">
        <v>73</v>
      </c>
      <c r="BL20" s="98" t="s">
        <v>73</v>
      </c>
      <c r="BM20" s="98" t="s">
        <v>73</v>
      </c>
      <c r="BN20" s="98" t="s">
        <v>73</v>
      </c>
      <c r="BO20" s="98" t="s">
        <v>73</v>
      </c>
      <c r="BP20" s="98" t="s">
        <v>73</v>
      </c>
      <c r="BQ20" s="98" t="s">
        <v>73</v>
      </c>
      <c r="BR20" s="98" t="s">
        <v>73</v>
      </c>
      <c r="BS20" s="98" t="s">
        <v>73</v>
      </c>
      <c r="BT20" s="98" t="s">
        <v>73</v>
      </c>
      <c r="BU20" s="98">
        <v>0</v>
      </c>
      <c r="BV20" s="98">
        <v>0</v>
      </c>
      <c r="BW20" s="98">
        <v>0</v>
      </c>
      <c r="BX20" s="104">
        <f>((AZ20^2)/(AZ20^2+BI20))^(1/2)</f>
        <v>0.5126110197955529</v>
      </c>
      <c r="BY20" s="104">
        <f>0.5*LN((1+BX20)/(1-BX20))</f>
        <v>0.56626502857004413</v>
      </c>
      <c r="BZ20" s="104">
        <f>((1-(BY20^2)^2)/(BI20-1))</f>
        <v>2.5633705048672264E-2</v>
      </c>
      <c r="CA20" s="104">
        <f>1/(BI20-3)</f>
        <v>3.0303030303030304E-2</v>
      </c>
      <c r="CC20">
        <f>BI20-2</f>
        <v>34</v>
      </c>
    </row>
    <row r="21" spans="1:82" s="103" customFormat="1" ht="16">
      <c r="A21" s="11" t="s">
        <v>68</v>
      </c>
      <c r="B21" s="11"/>
      <c r="C21" s="94">
        <v>1125</v>
      </c>
      <c r="D21" s="98">
        <v>127</v>
      </c>
      <c r="E21" t="s">
        <v>359</v>
      </c>
      <c r="F21" s="97">
        <v>2021</v>
      </c>
      <c r="G21" t="s">
        <v>360</v>
      </c>
      <c r="H21" s="17" t="s">
        <v>361</v>
      </c>
      <c r="I21" s="98">
        <v>2</v>
      </c>
      <c r="J21">
        <v>2017</v>
      </c>
      <c r="K21" s="97" t="s">
        <v>73</v>
      </c>
      <c r="L21" s="98">
        <v>58</v>
      </c>
      <c r="M21" s="98" t="s">
        <v>155</v>
      </c>
      <c r="N21" s="98" t="s">
        <v>241</v>
      </c>
      <c r="O21" s="98" t="s">
        <v>362</v>
      </c>
      <c r="P21" t="s">
        <v>247</v>
      </c>
      <c r="Q21" t="s">
        <v>242</v>
      </c>
      <c r="R21" t="s">
        <v>248</v>
      </c>
      <c r="S21">
        <v>1</v>
      </c>
      <c r="T21" t="s">
        <v>291</v>
      </c>
      <c r="U21">
        <v>1</v>
      </c>
      <c r="V21" s="97" t="s">
        <v>221</v>
      </c>
      <c r="W21" s="97" t="s">
        <v>221</v>
      </c>
      <c r="X21" t="s">
        <v>474</v>
      </c>
      <c r="Y21" s="98">
        <v>0</v>
      </c>
      <c r="Z21" s="98">
        <v>1</v>
      </c>
      <c r="AA21" s="98">
        <v>1</v>
      </c>
      <c r="AB21" s="98">
        <v>0</v>
      </c>
      <c r="AC21" s="98">
        <v>0</v>
      </c>
      <c r="AD21" s="98">
        <v>0</v>
      </c>
      <c r="AE21" s="98">
        <v>0</v>
      </c>
      <c r="AF21">
        <v>0</v>
      </c>
      <c r="AG21" s="98" t="s">
        <v>363</v>
      </c>
      <c r="AH21" s="98">
        <v>0</v>
      </c>
      <c r="AI21" s="98">
        <v>0</v>
      </c>
      <c r="AJ21" s="98">
        <v>0</v>
      </c>
      <c r="AK21" s="98">
        <v>1</v>
      </c>
      <c r="AL21" s="98">
        <v>0</v>
      </c>
      <c r="AM21" s="98">
        <v>0</v>
      </c>
      <c r="AN21" s="98">
        <v>0</v>
      </c>
      <c r="AO21" s="98">
        <v>0</v>
      </c>
      <c r="AP21" s="98">
        <v>0</v>
      </c>
      <c r="AQ21" s="98" t="s">
        <v>73</v>
      </c>
      <c r="AR21" t="s">
        <v>259</v>
      </c>
      <c r="AS21" s="98" t="s">
        <v>364</v>
      </c>
      <c r="AT21" s="110" t="s">
        <v>73</v>
      </c>
      <c r="AU21" s="21">
        <v>1.0802</v>
      </c>
      <c r="AV21" s="7" t="s">
        <v>80</v>
      </c>
      <c r="AW21" t="s">
        <v>73</v>
      </c>
      <c r="AX21">
        <v>1E-3</v>
      </c>
      <c r="AY21" s="17">
        <v>1</v>
      </c>
      <c r="AZ21" s="17">
        <v>3.5821000000000001</v>
      </c>
      <c r="BA21" s="99" t="s">
        <v>73</v>
      </c>
      <c r="BB21" s="99"/>
      <c r="BC21" s="99" t="s">
        <v>73</v>
      </c>
      <c r="BD21" s="99" t="s">
        <v>73</v>
      </c>
      <c r="BE21" s="99" t="s">
        <v>73</v>
      </c>
      <c r="BF21" s="99" t="s">
        <v>73</v>
      </c>
      <c r="BG21" s="99" t="s">
        <v>73</v>
      </c>
      <c r="BH21" s="99" t="s">
        <v>73</v>
      </c>
      <c r="BI21" s="17">
        <v>36</v>
      </c>
      <c r="BJ21" s="98">
        <v>8928</v>
      </c>
      <c r="BK21" s="98" t="s">
        <v>73</v>
      </c>
      <c r="BL21" s="98" t="s">
        <v>73</v>
      </c>
      <c r="BM21" s="98" t="s">
        <v>73</v>
      </c>
      <c r="BN21" s="98" t="s">
        <v>73</v>
      </c>
      <c r="BO21" s="98" t="s">
        <v>73</v>
      </c>
      <c r="BP21" s="98" t="s">
        <v>73</v>
      </c>
      <c r="BQ21" s="98" t="s">
        <v>73</v>
      </c>
      <c r="BR21" s="98" t="s">
        <v>73</v>
      </c>
      <c r="BS21" s="98" t="s">
        <v>73</v>
      </c>
      <c r="BT21" s="98" t="s">
        <v>73</v>
      </c>
      <c r="BU21" s="98">
        <v>0</v>
      </c>
      <c r="BV21" s="98">
        <v>0</v>
      </c>
      <c r="BW21" s="98">
        <v>0</v>
      </c>
      <c r="BX21" s="104">
        <f>((AZ21^2)/(AZ21^2+BI21))^(1/2)</f>
        <v>0.5126110197955529</v>
      </c>
      <c r="BY21" s="104">
        <f>0.5*LN((1+BX21)/(1-BX21))</f>
        <v>0.56626502857004413</v>
      </c>
      <c r="BZ21" s="104">
        <f>((1-(BY21^2)^2)/(BI21-1))</f>
        <v>2.5633705048672264E-2</v>
      </c>
      <c r="CA21" s="104">
        <f>1/(BI21-3)</f>
        <v>3.0303030303030304E-2</v>
      </c>
      <c r="CB21"/>
      <c r="CC21">
        <f>BI21-2</f>
        <v>34</v>
      </c>
      <c r="CD21"/>
    </row>
    <row r="22" spans="1:82" s="103" customFormat="1" ht="16">
      <c r="A22" s="11" t="s">
        <v>68</v>
      </c>
      <c r="B22" s="11"/>
      <c r="C22" s="94">
        <v>1126</v>
      </c>
      <c r="D22" s="98">
        <v>127</v>
      </c>
      <c r="E22" t="s">
        <v>359</v>
      </c>
      <c r="F22" s="97">
        <v>2021</v>
      </c>
      <c r="G22" t="s">
        <v>360</v>
      </c>
      <c r="H22" s="17" t="s">
        <v>361</v>
      </c>
      <c r="I22" s="98">
        <v>2</v>
      </c>
      <c r="J22">
        <v>2017</v>
      </c>
      <c r="K22" s="97" t="s">
        <v>73</v>
      </c>
      <c r="L22" s="98">
        <v>58</v>
      </c>
      <c r="M22" s="98" t="s">
        <v>155</v>
      </c>
      <c r="N22" s="98" t="s">
        <v>241</v>
      </c>
      <c r="O22" s="98" t="s">
        <v>362</v>
      </c>
      <c r="P22" t="s">
        <v>247</v>
      </c>
      <c r="Q22" t="s">
        <v>242</v>
      </c>
      <c r="R22" s="32" t="s">
        <v>248</v>
      </c>
      <c r="S22">
        <v>1</v>
      </c>
      <c r="T22" t="s">
        <v>291</v>
      </c>
      <c r="U22">
        <v>1</v>
      </c>
      <c r="V22" s="97" t="s">
        <v>221</v>
      </c>
      <c r="W22" s="97" t="s">
        <v>221</v>
      </c>
      <c r="X22" t="s">
        <v>474</v>
      </c>
      <c r="Y22" s="98">
        <v>0</v>
      </c>
      <c r="Z22" s="98">
        <v>1</v>
      </c>
      <c r="AA22" s="98">
        <v>1</v>
      </c>
      <c r="AB22" s="98">
        <v>0</v>
      </c>
      <c r="AC22" s="98">
        <v>0</v>
      </c>
      <c r="AD22" s="98">
        <v>0</v>
      </c>
      <c r="AE22" s="98">
        <v>0</v>
      </c>
      <c r="AF22">
        <v>0</v>
      </c>
      <c r="AG22" s="98" t="s">
        <v>363</v>
      </c>
      <c r="AH22" s="98">
        <v>0</v>
      </c>
      <c r="AI22" s="98">
        <v>0</v>
      </c>
      <c r="AJ22" s="98">
        <v>0</v>
      </c>
      <c r="AK22" s="98">
        <v>1</v>
      </c>
      <c r="AL22" s="98">
        <v>0</v>
      </c>
      <c r="AM22" s="98">
        <v>0</v>
      </c>
      <c r="AN22" s="98">
        <v>0</v>
      </c>
      <c r="AO22" s="98">
        <v>0</v>
      </c>
      <c r="AP22" s="98">
        <v>0</v>
      </c>
      <c r="AQ22" s="98" t="s">
        <v>73</v>
      </c>
      <c r="AR22" t="s">
        <v>259</v>
      </c>
      <c r="AS22" s="98" t="s">
        <v>364</v>
      </c>
      <c r="AT22" s="110" t="s">
        <v>73</v>
      </c>
      <c r="AU22" s="21">
        <v>0.60389999999999999</v>
      </c>
      <c r="AV22" s="7" t="s">
        <v>80</v>
      </c>
      <c r="AW22" t="s">
        <v>73</v>
      </c>
      <c r="AX22">
        <v>1E-3</v>
      </c>
      <c r="AY22" s="17">
        <v>1</v>
      </c>
      <c r="AZ22" s="17">
        <v>3.5821000000000001</v>
      </c>
      <c r="BA22" s="99" t="s">
        <v>73</v>
      </c>
      <c r="BB22" s="99"/>
      <c r="BC22" s="99" t="s">
        <v>73</v>
      </c>
      <c r="BD22" s="99" t="s">
        <v>73</v>
      </c>
      <c r="BE22" s="99" t="s">
        <v>73</v>
      </c>
      <c r="BF22" s="99" t="s">
        <v>73</v>
      </c>
      <c r="BG22" s="99" t="s">
        <v>73</v>
      </c>
      <c r="BH22" s="99" t="s">
        <v>73</v>
      </c>
      <c r="BI22" s="17">
        <v>36</v>
      </c>
      <c r="BJ22" s="98">
        <v>8928</v>
      </c>
      <c r="BK22" s="98" t="s">
        <v>73</v>
      </c>
      <c r="BL22" s="98" t="s">
        <v>73</v>
      </c>
      <c r="BM22" s="98" t="s">
        <v>73</v>
      </c>
      <c r="BN22" s="98" t="s">
        <v>73</v>
      </c>
      <c r="BO22" s="98" t="s">
        <v>73</v>
      </c>
      <c r="BP22" s="98" t="s">
        <v>73</v>
      </c>
      <c r="BQ22" s="98" t="s">
        <v>73</v>
      </c>
      <c r="BR22" s="98" t="s">
        <v>73</v>
      </c>
      <c r="BS22" s="98" t="s">
        <v>73</v>
      </c>
      <c r="BT22" s="98" t="s">
        <v>73</v>
      </c>
      <c r="BU22" s="98">
        <v>0</v>
      </c>
      <c r="BV22" s="98">
        <v>0</v>
      </c>
      <c r="BW22" s="98">
        <v>0</v>
      </c>
      <c r="BX22" s="104">
        <f>((AZ22^2)/(AZ22^2+BI22))^(1/2)</f>
        <v>0.5126110197955529</v>
      </c>
      <c r="BY22" s="104">
        <f>0.5*LN((1+BX22)/(1-BX22))</f>
        <v>0.56626502857004413</v>
      </c>
      <c r="BZ22" s="104">
        <f>((1-(BY22^2)^2)/(BI22-1))</f>
        <v>2.5633705048672264E-2</v>
      </c>
      <c r="CA22" s="104">
        <f>1/(BI22-3)</f>
        <v>3.0303030303030304E-2</v>
      </c>
      <c r="CB22"/>
      <c r="CC22">
        <f>BI22-2</f>
        <v>34</v>
      </c>
      <c r="CD22"/>
    </row>
    <row r="23" spans="1:82" s="103" customFormat="1" ht="16">
      <c r="A23" s="11" t="s">
        <v>68</v>
      </c>
      <c r="B23" s="11"/>
      <c r="C23" s="94">
        <v>1127</v>
      </c>
      <c r="D23" s="98">
        <v>127</v>
      </c>
      <c r="E23" t="s">
        <v>359</v>
      </c>
      <c r="F23" s="97">
        <v>2021</v>
      </c>
      <c r="G23" t="s">
        <v>360</v>
      </c>
      <c r="H23" s="17" t="s">
        <v>361</v>
      </c>
      <c r="I23" s="98">
        <v>2</v>
      </c>
      <c r="J23">
        <v>2017</v>
      </c>
      <c r="K23" s="97" t="s">
        <v>73</v>
      </c>
      <c r="L23" s="98">
        <v>58</v>
      </c>
      <c r="M23" s="98" t="s">
        <v>155</v>
      </c>
      <c r="N23" s="98" t="s">
        <v>241</v>
      </c>
      <c r="O23" s="98" t="s">
        <v>362</v>
      </c>
      <c r="P23" t="s">
        <v>247</v>
      </c>
      <c r="Q23" t="s">
        <v>242</v>
      </c>
      <c r="R23" s="32" t="s">
        <v>248</v>
      </c>
      <c r="S23">
        <v>1</v>
      </c>
      <c r="T23" t="s">
        <v>291</v>
      </c>
      <c r="U23">
        <v>1</v>
      </c>
      <c r="V23" s="97" t="s">
        <v>221</v>
      </c>
      <c r="W23" s="97" t="s">
        <v>221</v>
      </c>
      <c r="X23" t="s">
        <v>474</v>
      </c>
      <c r="Y23" s="98">
        <v>0</v>
      </c>
      <c r="Z23" s="98">
        <v>1</v>
      </c>
      <c r="AA23" s="98">
        <v>1</v>
      </c>
      <c r="AB23" s="98">
        <v>0</v>
      </c>
      <c r="AC23" s="98">
        <v>0</v>
      </c>
      <c r="AD23" s="98">
        <v>0</v>
      </c>
      <c r="AE23" s="98">
        <v>0</v>
      </c>
      <c r="AF23">
        <v>0</v>
      </c>
      <c r="AG23" s="98" t="s">
        <v>363</v>
      </c>
      <c r="AH23" s="98">
        <v>0</v>
      </c>
      <c r="AI23" s="98">
        <v>0</v>
      </c>
      <c r="AJ23" s="98">
        <v>0</v>
      </c>
      <c r="AK23" s="98">
        <v>1</v>
      </c>
      <c r="AL23" s="98">
        <v>0</v>
      </c>
      <c r="AM23" s="98">
        <v>0</v>
      </c>
      <c r="AN23" s="98">
        <v>0</v>
      </c>
      <c r="AO23" s="98">
        <v>0</v>
      </c>
      <c r="AP23" s="98">
        <v>0</v>
      </c>
      <c r="AQ23" s="98" t="s">
        <v>73</v>
      </c>
      <c r="AR23" t="s">
        <v>259</v>
      </c>
      <c r="AS23" s="98" t="s">
        <v>364</v>
      </c>
      <c r="AT23" s="110" t="s">
        <v>73</v>
      </c>
      <c r="AU23" s="21">
        <v>1.1668000000000001</v>
      </c>
      <c r="AV23" s="7" t="s">
        <v>80</v>
      </c>
      <c r="AW23" t="s">
        <v>73</v>
      </c>
      <c r="AX23">
        <v>1E-3</v>
      </c>
      <c r="AY23" s="17">
        <v>1</v>
      </c>
      <c r="AZ23" s="17">
        <v>3.5821000000000001</v>
      </c>
      <c r="BA23" s="99" t="s">
        <v>73</v>
      </c>
      <c r="BB23" s="99"/>
      <c r="BC23" s="99" t="s">
        <v>73</v>
      </c>
      <c r="BD23" s="99" t="s">
        <v>73</v>
      </c>
      <c r="BE23" s="99" t="s">
        <v>73</v>
      </c>
      <c r="BF23" s="99" t="s">
        <v>73</v>
      </c>
      <c r="BG23" s="99" t="s">
        <v>73</v>
      </c>
      <c r="BH23" s="99" t="s">
        <v>73</v>
      </c>
      <c r="BI23" s="17">
        <v>36</v>
      </c>
      <c r="BJ23" s="98">
        <v>8928</v>
      </c>
      <c r="BK23" s="98" t="s">
        <v>73</v>
      </c>
      <c r="BL23" s="98" t="s">
        <v>73</v>
      </c>
      <c r="BM23" s="98" t="s">
        <v>73</v>
      </c>
      <c r="BN23" s="98" t="s">
        <v>73</v>
      </c>
      <c r="BO23" s="98" t="s">
        <v>73</v>
      </c>
      <c r="BP23" s="98" t="s">
        <v>73</v>
      </c>
      <c r="BQ23" s="98" t="s">
        <v>73</v>
      </c>
      <c r="BR23" s="98" t="s">
        <v>73</v>
      </c>
      <c r="BS23" s="98" t="s">
        <v>73</v>
      </c>
      <c r="BT23" s="98" t="s">
        <v>73</v>
      </c>
      <c r="BU23" s="98">
        <v>0</v>
      </c>
      <c r="BV23" s="98">
        <v>0</v>
      </c>
      <c r="BW23" s="98">
        <v>0</v>
      </c>
      <c r="BX23" s="104">
        <f>((AZ23^2)/(AZ23^2+BI23))^(1/2)</f>
        <v>0.5126110197955529</v>
      </c>
      <c r="BY23" s="104">
        <f>0.5*LN((1+BX23)/(1-BX23))</f>
        <v>0.56626502857004413</v>
      </c>
      <c r="BZ23" s="104">
        <f>((1-(BY23^2)^2)/(BI23-1))</f>
        <v>2.5633705048672264E-2</v>
      </c>
      <c r="CA23" s="104">
        <f>1/(BI23-3)</f>
        <v>3.0303030303030304E-2</v>
      </c>
      <c r="CB23"/>
      <c r="CC23">
        <f>BI23-2</f>
        <v>34</v>
      </c>
      <c r="CD23"/>
    </row>
    <row r="24" spans="1:82" ht="16">
      <c r="A24" s="101" t="s">
        <v>293</v>
      </c>
      <c r="B24" s="101"/>
      <c r="C24" s="94">
        <v>1232</v>
      </c>
      <c r="D24" s="101">
        <v>304</v>
      </c>
      <c r="E24" t="s">
        <v>460</v>
      </c>
      <c r="F24" s="101">
        <v>2011</v>
      </c>
      <c r="G24" t="s">
        <v>461</v>
      </c>
      <c r="H24" s="58" t="s">
        <v>462</v>
      </c>
      <c r="I24" s="10">
        <v>2</v>
      </c>
      <c r="J24" s="10">
        <v>2009</v>
      </c>
      <c r="K24" s="101" t="s">
        <v>73</v>
      </c>
      <c r="L24" t="s">
        <v>463</v>
      </c>
      <c r="M24" t="s">
        <v>120</v>
      </c>
      <c r="N24" t="s">
        <v>270</v>
      </c>
      <c r="O24" t="s">
        <v>253</v>
      </c>
      <c r="P24" s="10" t="s">
        <v>218</v>
      </c>
      <c r="Q24" t="s">
        <v>254</v>
      </c>
      <c r="R24" t="s">
        <v>255</v>
      </c>
      <c r="S24">
        <v>0</v>
      </c>
      <c r="T24" s="10" t="s">
        <v>220</v>
      </c>
      <c r="U24">
        <v>0</v>
      </c>
      <c r="V24" s="10" t="s">
        <v>238</v>
      </c>
      <c r="W24" s="10" t="s">
        <v>221</v>
      </c>
      <c r="X24" s="10" t="s">
        <v>464</v>
      </c>
      <c r="Y24" s="10">
        <v>0</v>
      </c>
      <c r="Z24" s="10">
        <v>0</v>
      </c>
      <c r="AA24" s="10">
        <v>1</v>
      </c>
      <c r="AB24" s="10">
        <v>0</v>
      </c>
      <c r="AC24" s="10">
        <v>0</v>
      </c>
      <c r="AD24" s="10">
        <v>0</v>
      </c>
      <c r="AE24" s="101">
        <v>0</v>
      </c>
      <c r="AF24" s="101">
        <v>0</v>
      </c>
      <c r="AG24" s="10" t="s">
        <v>257</v>
      </c>
      <c r="AH24" s="10">
        <v>0</v>
      </c>
      <c r="AI24" s="10">
        <v>0</v>
      </c>
      <c r="AJ24" s="10">
        <v>1</v>
      </c>
      <c r="AK24" s="10">
        <v>0</v>
      </c>
      <c r="AL24" s="10">
        <v>0</v>
      </c>
      <c r="AM24" s="10">
        <v>0</v>
      </c>
      <c r="AN24" s="10">
        <v>0</v>
      </c>
      <c r="AO24" s="10">
        <v>0</v>
      </c>
      <c r="AP24" s="10">
        <v>0</v>
      </c>
      <c r="AQ24" s="10" t="s">
        <v>258</v>
      </c>
      <c r="AR24" t="s">
        <v>259</v>
      </c>
      <c r="AS24" s="10" t="s">
        <v>260</v>
      </c>
      <c r="AT24" s="101" t="s">
        <v>249</v>
      </c>
      <c r="AU24" s="106">
        <v>0.156</v>
      </c>
      <c r="AV24" s="10" t="s">
        <v>80</v>
      </c>
      <c r="AW24" s="107">
        <f>AZ24/ABS(_xlfn.T.INV.2T(AX24,CC24))</f>
        <v>1</v>
      </c>
      <c r="AX24" s="10">
        <v>0.08</v>
      </c>
      <c r="AY24" s="10">
        <v>3</v>
      </c>
      <c r="AZ24">
        <f>TINV(AX24,CC24)</f>
        <v>1.75633423317142</v>
      </c>
      <c r="BA24" s="10" t="s">
        <v>73</v>
      </c>
      <c r="BB24" s="10"/>
      <c r="BC24" s="10" t="s">
        <v>73</v>
      </c>
      <c r="BD24" s="10" t="s">
        <v>73</v>
      </c>
      <c r="BE24" s="10" t="s">
        <v>73</v>
      </c>
      <c r="BF24" s="10" t="s">
        <v>73</v>
      </c>
      <c r="BG24" s="10" t="s">
        <v>73</v>
      </c>
      <c r="BH24" s="10" t="s">
        <v>73</v>
      </c>
      <c r="BI24" s="10">
        <v>318</v>
      </c>
      <c r="BJ24">
        <v>318</v>
      </c>
      <c r="BK24" s="10" t="s">
        <v>73</v>
      </c>
      <c r="BL24" s="10" t="s">
        <v>73</v>
      </c>
      <c r="BM24" s="10" t="s">
        <v>73</v>
      </c>
      <c r="BN24" t="s">
        <v>73</v>
      </c>
      <c r="BO24" s="101" t="s">
        <v>73</v>
      </c>
      <c r="BP24" s="101" t="s">
        <v>73</v>
      </c>
      <c r="BQ24" s="101" t="s">
        <v>73</v>
      </c>
      <c r="BR24">
        <v>1</v>
      </c>
      <c r="BS24" s="101" t="s">
        <v>73</v>
      </c>
      <c r="BT24" t="s">
        <v>465</v>
      </c>
      <c r="BU24" s="10">
        <v>0</v>
      </c>
      <c r="BV24" s="10">
        <v>0</v>
      </c>
      <c r="BW24" s="10">
        <v>0</v>
      </c>
      <c r="BX24" s="30">
        <f>((AZ24^2)/(AZ24^2+BI24))^(1/2)</f>
        <v>9.8016085482412224E-2</v>
      </c>
      <c r="BY24" s="30">
        <f>0.5*LN((1+BX24)/(1-BX24))</f>
        <v>9.8331792494724915E-2</v>
      </c>
      <c r="BZ24" s="30">
        <f>((1-(BY24^2)^2)/(BI24-1))</f>
        <v>3.1542792041144869E-3</v>
      </c>
      <c r="CA24" s="30">
        <f>1/(BI24-3)</f>
        <v>3.1746031746031746E-3</v>
      </c>
      <c r="CB24" s="100"/>
      <c r="CC24">
        <f>BI24-2</f>
        <v>316</v>
      </c>
    </row>
    <row r="25" spans="1:82" ht="16">
      <c r="A25" s="11" t="s">
        <v>68</v>
      </c>
      <c r="B25" s="11"/>
      <c r="C25" s="11">
        <v>1099</v>
      </c>
      <c r="D25">
        <v>118</v>
      </c>
      <c r="E25" t="s">
        <v>338</v>
      </c>
      <c r="F25" s="11">
        <v>2011</v>
      </c>
      <c r="G25" t="s">
        <v>339</v>
      </c>
      <c r="H25" s="22" t="s">
        <v>340</v>
      </c>
      <c r="I25">
        <v>2</v>
      </c>
      <c r="J25">
        <v>2009</v>
      </c>
      <c r="K25" s="10" t="s">
        <v>73</v>
      </c>
      <c r="L25">
        <v>1454</v>
      </c>
      <c r="M25" t="s">
        <v>155</v>
      </c>
      <c r="N25" t="s">
        <v>112</v>
      </c>
      <c r="O25" t="s">
        <v>81</v>
      </c>
      <c r="P25" t="s">
        <v>247</v>
      </c>
      <c r="Q25" t="s">
        <v>242</v>
      </c>
      <c r="R25" t="s">
        <v>248</v>
      </c>
      <c r="S25">
        <v>1</v>
      </c>
      <c r="T25" t="s">
        <v>220</v>
      </c>
      <c r="U25">
        <v>0</v>
      </c>
      <c r="V25" s="18" t="s">
        <v>221</v>
      </c>
      <c r="W25" s="18" t="s">
        <v>221</v>
      </c>
      <c r="X25" t="s">
        <v>474</v>
      </c>
      <c r="Y25">
        <v>0</v>
      </c>
      <c r="Z25">
        <v>0</v>
      </c>
      <c r="AA25">
        <v>1</v>
      </c>
      <c r="AB25">
        <v>0</v>
      </c>
      <c r="AC25">
        <v>0</v>
      </c>
      <c r="AD25">
        <v>0</v>
      </c>
      <c r="AE25">
        <v>0</v>
      </c>
      <c r="AF25">
        <v>0</v>
      </c>
      <c r="AG25" t="s">
        <v>73</v>
      </c>
      <c r="AH25">
        <v>0</v>
      </c>
      <c r="AI25">
        <v>0</v>
      </c>
      <c r="AJ25">
        <v>0</v>
      </c>
      <c r="AK25">
        <v>1</v>
      </c>
      <c r="AL25">
        <v>0</v>
      </c>
      <c r="AM25">
        <v>0</v>
      </c>
      <c r="AN25" s="32">
        <v>0</v>
      </c>
      <c r="AO25">
        <v>0</v>
      </c>
      <c r="AP25">
        <v>0</v>
      </c>
      <c r="AQ25" t="s">
        <v>73</v>
      </c>
      <c r="AR25" t="s">
        <v>259</v>
      </c>
      <c r="AS25" t="s">
        <v>341</v>
      </c>
      <c r="AT25" s="41" t="s">
        <v>73</v>
      </c>
      <c r="AU25" s="21">
        <v>1.0760000000000001</v>
      </c>
      <c r="AV25" s="7" t="s">
        <v>80</v>
      </c>
      <c r="AW25" s="108">
        <f>AU25/AZ25</f>
        <v>5.3746253746253754E-2</v>
      </c>
      <c r="AX25" s="41" t="s">
        <v>73</v>
      </c>
      <c r="AY25" s="41">
        <v>3</v>
      </c>
      <c r="AZ25">
        <v>20.02</v>
      </c>
      <c r="BA25" t="s">
        <v>73</v>
      </c>
      <c r="BC25" t="s">
        <v>73</v>
      </c>
      <c r="BD25" t="s">
        <v>73</v>
      </c>
      <c r="BE25" t="s">
        <v>73</v>
      </c>
      <c r="BF25" t="s">
        <v>73</v>
      </c>
      <c r="BG25" t="s">
        <v>73</v>
      </c>
      <c r="BH25" t="s">
        <v>73</v>
      </c>
      <c r="BI25">
        <v>1395</v>
      </c>
      <c r="BJ25">
        <v>1395</v>
      </c>
      <c r="BK25" t="s">
        <v>73</v>
      </c>
      <c r="BL25" t="s">
        <v>73</v>
      </c>
      <c r="BM25" t="s">
        <v>73</v>
      </c>
      <c r="BN25" t="s">
        <v>73</v>
      </c>
      <c r="BO25" t="s">
        <v>73</v>
      </c>
      <c r="BP25" t="s">
        <v>73</v>
      </c>
      <c r="BQ25" t="s">
        <v>73</v>
      </c>
      <c r="BR25" t="s">
        <v>73</v>
      </c>
      <c r="BS25" t="s">
        <v>73</v>
      </c>
      <c r="BT25" t="s">
        <v>73</v>
      </c>
      <c r="BU25">
        <v>0</v>
      </c>
      <c r="BV25">
        <v>1</v>
      </c>
      <c r="BW25">
        <v>1</v>
      </c>
      <c r="BX25" s="104">
        <f>((AZ25^2)/(AZ25^2+BI25))^(1/2)</f>
        <v>0.47242735990047685</v>
      </c>
      <c r="BY25" s="104">
        <f>0.5*LN((1+BX25)/(1-BX25))</f>
        <v>0.51319051047617226</v>
      </c>
      <c r="BZ25" s="104">
        <f>((1-(BY25^2)^2)/(BI25-1))</f>
        <v>6.6760340037102519E-4</v>
      </c>
      <c r="CA25" s="104">
        <f>1/(BI25-3)</f>
        <v>7.1839080459770114E-4</v>
      </c>
      <c r="CC25">
        <f>BI25-1</f>
        <v>1394</v>
      </c>
    </row>
    <row r="26" spans="1:82" ht="16">
      <c r="A26" s="11" t="s">
        <v>68</v>
      </c>
      <c r="B26" s="11"/>
      <c r="C26" s="11">
        <v>1100</v>
      </c>
      <c r="D26">
        <v>118</v>
      </c>
      <c r="E26" t="s">
        <v>338</v>
      </c>
      <c r="F26" s="11">
        <v>2011</v>
      </c>
      <c r="G26" t="s">
        <v>339</v>
      </c>
      <c r="H26" s="22" t="s">
        <v>340</v>
      </c>
      <c r="I26">
        <v>2</v>
      </c>
      <c r="J26">
        <v>2009</v>
      </c>
      <c r="K26" s="10" t="s">
        <v>73</v>
      </c>
      <c r="L26">
        <v>1454</v>
      </c>
      <c r="M26" t="s">
        <v>155</v>
      </c>
      <c r="N26" t="s">
        <v>112</v>
      </c>
      <c r="O26" t="s">
        <v>81</v>
      </c>
      <c r="P26" t="s">
        <v>247</v>
      </c>
      <c r="Q26" t="s">
        <v>242</v>
      </c>
      <c r="R26" t="s">
        <v>248</v>
      </c>
      <c r="S26">
        <v>1</v>
      </c>
      <c r="T26" t="s">
        <v>220</v>
      </c>
      <c r="U26">
        <v>0</v>
      </c>
      <c r="V26" s="18" t="s">
        <v>221</v>
      </c>
      <c r="W26" s="18" t="s">
        <v>221</v>
      </c>
      <c r="X26" t="s">
        <v>474</v>
      </c>
      <c r="Y26">
        <v>0</v>
      </c>
      <c r="Z26">
        <v>0</v>
      </c>
      <c r="AA26">
        <v>1</v>
      </c>
      <c r="AB26">
        <v>0</v>
      </c>
      <c r="AC26">
        <v>0</v>
      </c>
      <c r="AD26">
        <v>0</v>
      </c>
      <c r="AE26">
        <v>0</v>
      </c>
      <c r="AF26">
        <v>0</v>
      </c>
      <c r="AG26" t="s">
        <v>73</v>
      </c>
      <c r="AH26">
        <v>0</v>
      </c>
      <c r="AI26">
        <v>0</v>
      </c>
      <c r="AJ26">
        <v>0</v>
      </c>
      <c r="AK26">
        <v>1</v>
      </c>
      <c r="AL26">
        <v>0</v>
      </c>
      <c r="AM26">
        <v>0</v>
      </c>
      <c r="AN26" s="32">
        <v>0</v>
      </c>
      <c r="AO26">
        <v>0</v>
      </c>
      <c r="AP26">
        <v>0</v>
      </c>
      <c r="AQ26" t="s">
        <v>73</v>
      </c>
      <c r="AR26" t="s">
        <v>259</v>
      </c>
      <c r="AS26" t="s">
        <v>341</v>
      </c>
      <c r="AT26" s="41" t="s">
        <v>73</v>
      </c>
      <c r="AU26" s="21">
        <v>2.1459999999999999</v>
      </c>
      <c r="AV26" s="7" t="s">
        <v>80</v>
      </c>
      <c r="AW26" s="108">
        <f>AU26/AZ26</f>
        <v>0.18628472222222223</v>
      </c>
      <c r="AX26" s="41" t="s">
        <v>73</v>
      </c>
      <c r="AY26" s="41">
        <v>3</v>
      </c>
      <c r="AZ26">
        <v>11.52</v>
      </c>
      <c r="BA26" t="s">
        <v>73</v>
      </c>
      <c r="BC26" t="s">
        <v>73</v>
      </c>
      <c r="BD26" t="s">
        <v>73</v>
      </c>
      <c r="BE26" t="s">
        <v>73</v>
      </c>
      <c r="BF26" t="s">
        <v>73</v>
      </c>
      <c r="BG26" t="s">
        <v>73</v>
      </c>
      <c r="BH26" t="s">
        <v>73</v>
      </c>
      <c r="BI26">
        <v>1395</v>
      </c>
      <c r="BJ26">
        <v>1395</v>
      </c>
      <c r="BK26" t="s">
        <v>73</v>
      </c>
      <c r="BL26" t="s">
        <v>73</v>
      </c>
      <c r="BM26" t="s">
        <v>73</v>
      </c>
      <c r="BN26" t="s">
        <v>73</v>
      </c>
      <c r="BO26" t="s">
        <v>73</v>
      </c>
      <c r="BP26" t="s">
        <v>73</v>
      </c>
      <c r="BQ26" t="s">
        <v>73</v>
      </c>
      <c r="BR26" t="s">
        <v>73</v>
      </c>
      <c r="BS26" t="s">
        <v>73</v>
      </c>
      <c r="BT26" t="s">
        <v>73</v>
      </c>
      <c r="BU26">
        <v>0</v>
      </c>
      <c r="BV26">
        <v>1</v>
      </c>
      <c r="BW26">
        <v>1</v>
      </c>
      <c r="BX26" s="104">
        <f>((AZ26^2)/(AZ26^2+BI26))^(1/2)</f>
        <v>0.29473516954008327</v>
      </c>
      <c r="BY26" s="104">
        <f>0.5*LN((1+BX26)/(1-BX26))</f>
        <v>0.3037440363085756</v>
      </c>
      <c r="BZ26" s="104">
        <f>((1-(BY26^2)^2)/(BI26-1))</f>
        <v>7.1125395357683058E-4</v>
      </c>
      <c r="CA26" s="104">
        <f>1/(BI26-3)</f>
        <v>7.1839080459770114E-4</v>
      </c>
      <c r="CC26">
        <f>BI26-1</f>
        <v>1394</v>
      </c>
    </row>
    <row r="27" spans="1:82" ht="16">
      <c r="A27" t="s">
        <v>243</v>
      </c>
      <c r="C27" s="94">
        <v>1266</v>
      </c>
      <c r="D27" s="11">
        <v>406</v>
      </c>
      <c r="E27" t="s">
        <v>501</v>
      </c>
      <c r="F27" s="11">
        <v>2019</v>
      </c>
      <c r="G27" t="s">
        <v>502</v>
      </c>
      <c r="H27" t="s">
        <v>503</v>
      </c>
      <c r="I27" s="18">
        <v>2</v>
      </c>
      <c r="J27" t="s">
        <v>73</v>
      </c>
      <c r="K27" t="s">
        <v>73</v>
      </c>
      <c r="L27">
        <v>31</v>
      </c>
      <c r="M27" t="s">
        <v>155</v>
      </c>
      <c r="N27" t="s">
        <v>246</v>
      </c>
      <c r="O27" t="s">
        <v>504</v>
      </c>
      <c r="P27" s="18" t="s">
        <v>218</v>
      </c>
      <c r="Q27" t="s">
        <v>505</v>
      </c>
      <c r="R27" t="s">
        <v>248</v>
      </c>
      <c r="S27">
        <v>1</v>
      </c>
      <c r="T27" t="s">
        <v>73</v>
      </c>
      <c r="U27">
        <v>1</v>
      </c>
      <c r="V27" s="18" t="s">
        <v>238</v>
      </c>
      <c r="W27" s="18" t="s">
        <v>221</v>
      </c>
      <c r="X27" t="s">
        <v>506</v>
      </c>
      <c r="Y27" s="18">
        <v>0</v>
      </c>
      <c r="Z27" s="18">
        <v>1</v>
      </c>
      <c r="AA27" s="18">
        <v>1</v>
      </c>
      <c r="AB27" s="18">
        <v>0</v>
      </c>
      <c r="AC27" s="18">
        <v>0</v>
      </c>
      <c r="AD27" s="18">
        <v>0</v>
      </c>
      <c r="AE27" s="11">
        <v>0</v>
      </c>
      <c r="AF27" s="18">
        <v>0</v>
      </c>
      <c r="AG27" t="s">
        <v>73</v>
      </c>
      <c r="AH27" s="18">
        <v>0</v>
      </c>
      <c r="AI27" s="18">
        <v>0</v>
      </c>
      <c r="AJ27" s="18">
        <v>1</v>
      </c>
      <c r="AK27" s="18">
        <v>0</v>
      </c>
      <c r="AL27" s="18">
        <v>0</v>
      </c>
      <c r="AM27" s="18">
        <v>0</v>
      </c>
      <c r="AN27" s="18">
        <v>0</v>
      </c>
      <c r="AO27" s="18">
        <v>0</v>
      </c>
      <c r="AP27" s="18">
        <v>0</v>
      </c>
      <c r="AQ27" t="s">
        <v>482</v>
      </c>
      <c r="AR27" s="94" t="s">
        <v>259</v>
      </c>
      <c r="AS27" s="94" t="s">
        <v>482</v>
      </c>
      <c r="AT27" s="94" t="s">
        <v>223</v>
      </c>
      <c r="AU27" s="21">
        <v>1.6379999999999999</v>
      </c>
      <c r="AV27" s="7" t="s">
        <v>80</v>
      </c>
      <c r="AW27" t="s">
        <v>73</v>
      </c>
      <c r="AX27">
        <v>0.01</v>
      </c>
      <c r="AY27">
        <v>1</v>
      </c>
      <c r="AZ27">
        <f>TINV(AX27,CC27)</f>
        <v>2.6063275150437986</v>
      </c>
      <c r="BA27" s="18" t="s">
        <v>73</v>
      </c>
      <c r="BB27" s="18"/>
      <c r="BC27" s="18" t="s">
        <v>73</v>
      </c>
      <c r="BD27" s="18" t="s">
        <v>73</v>
      </c>
      <c r="BE27" s="18" t="s">
        <v>73</v>
      </c>
      <c r="BF27" s="18" t="s">
        <v>73</v>
      </c>
      <c r="BG27" s="18" t="s">
        <v>73</v>
      </c>
      <c r="BH27" s="18" t="s">
        <v>73</v>
      </c>
      <c r="BI27">
        <v>165</v>
      </c>
      <c r="BJ27">
        <v>2673</v>
      </c>
      <c r="BK27" s="18" t="s">
        <v>73</v>
      </c>
      <c r="BL27" s="18" t="s">
        <v>73</v>
      </c>
      <c r="BM27" s="18" t="s">
        <v>73</v>
      </c>
      <c r="BN27" s="18" t="s">
        <v>73</v>
      </c>
      <c r="BO27" s="11" t="s">
        <v>73</v>
      </c>
      <c r="BP27" s="11" t="s">
        <v>73</v>
      </c>
      <c r="BQ27" s="11" t="s">
        <v>73</v>
      </c>
      <c r="BR27" t="s">
        <v>73</v>
      </c>
      <c r="BS27" s="11" t="s">
        <v>73</v>
      </c>
      <c r="BT27" t="s">
        <v>73</v>
      </c>
      <c r="BU27">
        <v>0</v>
      </c>
      <c r="BV27">
        <v>0</v>
      </c>
      <c r="BW27">
        <v>0</v>
      </c>
      <c r="BX27" s="104">
        <f>((AZ27^2)/(AZ27^2+BI27))^(1/2)</f>
        <v>0.19885033588999154</v>
      </c>
      <c r="BY27" s="104">
        <f>0.5*LN((1+BX27)/(1-BX27))</f>
        <v>0.20153527346528599</v>
      </c>
      <c r="BZ27" s="104">
        <f>((1-(BY27^2)^2)/(BI27-1))</f>
        <v>6.0875018454454692E-3</v>
      </c>
      <c r="CA27" s="95">
        <f>1/(BI27-3)</f>
        <v>6.1728395061728392E-3</v>
      </c>
      <c r="CC27">
        <f>BI27-2</f>
        <v>163</v>
      </c>
    </row>
    <row r="28" spans="1:82" s="105" customFormat="1" ht="16">
      <c r="A28" t="s">
        <v>243</v>
      </c>
      <c r="B28"/>
      <c r="C28" s="94">
        <v>1267</v>
      </c>
      <c r="D28" s="11">
        <v>406</v>
      </c>
      <c r="E28" t="s">
        <v>501</v>
      </c>
      <c r="F28" s="11">
        <v>2019</v>
      </c>
      <c r="G28" t="s">
        <v>502</v>
      </c>
      <c r="H28" t="s">
        <v>503</v>
      </c>
      <c r="I28" s="18">
        <v>2</v>
      </c>
      <c r="J28" t="s">
        <v>73</v>
      </c>
      <c r="K28" t="s">
        <v>73</v>
      </c>
      <c r="L28">
        <v>31</v>
      </c>
      <c r="M28" t="s">
        <v>155</v>
      </c>
      <c r="N28" t="s">
        <v>246</v>
      </c>
      <c r="O28" t="s">
        <v>504</v>
      </c>
      <c r="P28" s="18" t="s">
        <v>218</v>
      </c>
      <c r="Q28" t="s">
        <v>505</v>
      </c>
      <c r="R28" t="s">
        <v>248</v>
      </c>
      <c r="S28">
        <v>1</v>
      </c>
      <c r="T28" t="s">
        <v>73</v>
      </c>
      <c r="U28">
        <v>1</v>
      </c>
      <c r="V28" s="18" t="s">
        <v>238</v>
      </c>
      <c r="W28" s="18" t="s">
        <v>221</v>
      </c>
      <c r="X28" t="s">
        <v>506</v>
      </c>
      <c r="Y28" s="18">
        <v>0</v>
      </c>
      <c r="Z28" s="18">
        <v>1</v>
      </c>
      <c r="AA28" s="18">
        <v>1</v>
      </c>
      <c r="AB28" s="18">
        <v>0</v>
      </c>
      <c r="AC28" s="18">
        <v>0</v>
      </c>
      <c r="AD28" s="18">
        <v>0</v>
      </c>
      <c r="AE28" s="11">
        <v>0</v>
      </c>
      <c r="AF28" s="18">
        <v>0</v>
      </c>
      <c r="AG28" t="s">
        <v>73</v>
      </c>
      <c r="AH28" s="18">
        <v>0</v>
      </c>
      <c r="AI28" s="18">
        <v>0</v>
      </c>
      <c r="AJ28" s="18">
        <v>1</v>
      </c>
      <c r="AK28" s="18">
        <v>0</v>
      </c>
      <c r="AL28" s="18">
        <v>0</v>
      </c>
      <c r="AM28" s="18">
        <v>0</v>
      </c>
      <c r="AN28" s="18">
        <v>0</v>
      </c>
      <c r="AO28" s="18">
        <v>0</v>
      </c>
      <c r="AP28" s="18">
        <v>0</v>
      </c>
      <c r="AQ28" t="s">
        <v>482</v>
      </c>
      <c r="AR28" s="94" t="s">
        <v>259</v>
      </c>
      <c r="AS28" s="94" t="s">
        <v>482</v>
      </c>
      <c r="AT28" s="94" t="s">
        <v>223</v>
      </c>
      <c r="AU28" s="21">
        <v>1.246</v>
      </c>
      <c r="AV28" s="7" t="s">
        <v>80</v>
      </c>
      <c r="AW28" s="94" t="s">
        <v>73</v>
      </c>
      <c r="AX28">
        <v>0.05</v>
      </c>
      <c r="AY28">
        <v>1</v>
      </c>
      <c r="AZ28">
        <f>TINV(AX28,CC28)</f>
        <v>1.974624620966356</v>
      </c>
      <c r="BA28" s="18" t="s">
        <v>73</v>
      </c>
      <c r="BB28" s="18"/>
      <c r="BC28" s="18" t="s">
        <v>73</v>
      </c>
      <c r="BD28" s="18" t="s">
        <v>73</v>
      </c>
      <c r="BE28" s="18" t="s">
        <v>73</v>
      </c>
      <c r="BF28" s="18" t="s">
        <v>73</v>
      </c>
      <c r="BG28" s="18" t="s">
        <v>73</v>
      </c>
      <c r="BH28" s="18" t="s">
        <v>73</v>
      </c>
      <c r="BI28">
        <v>165</v>
      </c>
      <c r="BJ28">
        <v>2232</v>
      </c>
      <c r="BK28" s="18" t="s">
        <v>73</v>
      </c>
      <c r="BL28" s="18" t="s">
        <v>73</v>
      </c>
      <c r="BM28" s="18" t="s">
        <v>73</v>
      </c>
      <c r="BN28" s="18" t="s">
        <v>73</v>
      </c>
      <c r="BO28" s="11" t="s">
        <v>73</v>
      </c>
      <c r="BP28" s="11" t="s">
        <v>73</v>
      </c>
      <c r="BQ28" s="11" t="s">
        <v>73</v>
      </c>
      <c r="BR28" t="s">
        <v>73</v>
      </c>
      <c r="BS28" s="11" t="s">
        <v>73</v>
      </c>
      <c r="BT28" t="s">
        <v>73</v>
      </c>
      <c r="BU28">
        <v>0</v>
      </c>
      <c r="BV28">
        <v>0</v>
      </c>
      <c r="BW28">
        <v>0</v>
      </c>
      <c r="BX28" s="104">
        <f>((AZ28^2)/(AZ28^2+BI28))^(1/2)</f>
        <v>0.15193954642337751</v>
      </c>
      <c r="BY28" s="104">
        <f>0.5*LN((1+BX28)/(1-BX28))</f>
        <v>0.15312521998491627</v>
      </c>
      <c r="BZ28" s="104">
        <f>((1-(BY28^2)^2)/(BI28-1))</f>
        <v>6.0942086742402533E-3</v>
      </c>
      <c r="CA28" s="95">
        <f>1/(BI28-3)</f>
        <v>6.1728395061728392E-3</v>
      </c>
      <c r="CB28"/>
      <c r="CC28">
        <f>BI28-2</f>
        <v>163</v>
      </c>
      <c r="CD28"/>
    </row>
    <row r="29" spans="1:82" s="109" customFormat="1" ht="16">
      <c r="A29" t="s">
        <v>243</v>
      </c>
      <c r="B29"/>
      <c r="C29" s="94">
        <v>1268</v>
      </c>
      <c r="D29" s="11">
        <v>406</v>
      </c>
      <c r="E29" t="s">
        <v>501</v>
      </c>
      <c r="F29" s="11">
        <v>2019</v>
      </c>
      <c r="G29" t="s">
        <v>502</v>
      </c>
      <c r="H29" t="s">
        <v>503</v>
      </c>
      <c r="I29" s="18">
        <v>2</v>
      </c>
      <c r="J29" t="s">
        <v>73</v>
      </c>
      <c r="K29" t="s">
        <v>73</v>
      </c>
      <c r="L29">
        <v>31</v>
      </c>
      <c r="M29" t="s">
        <v>155</v>
      </c>
      <c r="N29" t="s">
        <v>246</v>
      </c>
      <c r="O29" t="s">
        <v>504</v>
      </c>
      <c r="P29" s="18" t="s">
        <v>218</v>
      </c>
      <c r="Q29" t="s">
        <v>505</v>
      </c>
      <c r="R29" t="s">
        <v>248</v>
      </c>
      <c r="S29">
        <v>1</v>
      </c>
      <c r="T29" t="s">
        <v>73</v>
      </c>
      <c r="U29">
        <v>1</v>
      </c>
      <c r="V29" s="18" t="s">
        <v>238</v>
      </c>
      <c r="W29" s="18" t="s">
        <v>221</v>
      </c>
      <c r="X29" t="s">
        <v>506</v>
      </c>
      <c r="Y29" s="18">
        <v>0</v>
      </c>
      <c r="Z29" s="18">
        <v>1</v>
      </c>
      <c r="AA29" s="18">
        <v>1</v>
      </c>
      <c r="AB29" s="18">
        <v>0</v>
      </c>
      <c r="AC29" s="18">
        <v>0</v>
      </c>
      <c r="AD29" s="18">
        <v>0</v>
      </c>
      <c r="AE29" s="11">
        <v>0</v>
      </c>
      <c r="AF29" s="18">
        <v>0</v>
      </c>
      <c r="AG29" t="s">
        <v>73</v>
      </c>
      <c r="AH29" s="18">
        <v>0</v>
      </c>
      <c r="AI29" s="18">
        <v>0</v>
      </c>
      <c r="AJ29" s="18">
        <v>1</v>
      </c>
      <c r="AK29" s="18">
        <v>0</v>
      </c>
      <c r="AL29" s="18">
        <v>0</v>
      </c>
      <c r="AM29" s="18">
        <v>0</v>
      </c>
      <c r="AN29" s="18">
        <v>0</v>
      </c>
      <c r="AO29" s="18">
        <v>0</v>
      </c>
      <c r="AP29" s="18">
        <v>0</v>
      </c>
      <c r="AQ29" t="s">
        <v>482</v>
      </c>
      <c r="AR29" s="94" t="s">
        <v>259</v>
      </c>
      <c r="AS29" s="94" t="s">
        <v>482</v>
      </c>
      <c r="AT29" s="94" t="s">
        <v>223</v>
      </c>
      <c r="AU29" s="21">
        <v>1.86</v>
      </c>
      <c r="AV29" s="7" t="s">
        <v>80</v>
      </c>
      <c r="AW29" s="94" t="s">
        <v>73</v>
      </c>
      <c r="AX29">
        <v>0.01</v>
      </c>
      <c r="AY29">
        <v>1</v>
      </c>
      <c r="AZ29">
        <f>TINV(AX29,CC29)</f>
        <v>2.6063275150437986</v>
      </c>
      <c r="BA29" s="18" t="s">
        <v>73</v>
      </c>
      <c r="BB29" s="18"/>
      <c r="BC29" s="18" t="s">
        <v>73</v>
      </c>
      <c r="BD29" s="18" t="s">
        <v>73</v>
      </c>
      <c r="BE29" s="18" t="s">
        <v>73</v>
      </c>
      <c r="BF29" s="18" t="s">
        <v>73</v>
      </c>
      <c r="BG29" s="18" t="s">
        <v>73</v>
      </c>
      <c r="BH29" s="18" t="s">
        <v>73</v>
      </c>
      <c r="BI29">
        <v>165</v>
      </c>
      <c r="BJ29">
        <v>2673</v>
      </c>
      <c r="BK29" s="18" t="s">
        <v>73</v>
      </c>
      <c r="BL29" s="18" t="s">
        <v>73</v>
      </c>
      <c r="BM29" s="18" t="s">
        <v>73</v>
      </c>
      <c r="BN29" s="18" t="s">
        <v>73</v>
      </c>
      <c r="BO29" s="11" t="s">
        <v>73</v>
      </c>
      <c r="BP29" s="11" t="s">
        <v>73</v>
      </c>
      <c r="BQ29" s="11" t="s">
        <v>73</v>
      </c>
      <c r="BR29" t="s">
        <v>73</v>
      </c>
      <c r="BS29" s="11" t="s">
        <v>73</v>
      </c>
      <c r="BT29" t="s">
        <v>73</v>
      </c>
      <c r="BU29">
        <v>0</v>
      </c>
      <c r="BV29">
        <v>0</v>
      </c>
      <c r="BW29">
        <v>0</v>
      </c>
      <c r="BX29" s="104">
        <f>((AZ29^2)/(AZ29^2+BI29))^(1/2)</f>
        <v>0.19885033588999154</v>
      </c>
      <c r="BY29" s="104">
        <f>0.5*LN((1+BX29)/(1-BX29))</f>
        <v>0.20153527346528599</v>
      </c>
      <c r="BZ29" s="104">
        <f>((1-(BY29^2)^2)/(BI29-1))</f>
        <v>6.0875018454454692E-3</v>
      </c>
      <c r="CA29" s="95">
        <f>1/(BI29-3)</f>
        <v>6.1728395061728392E-3</v>
      </c>
      <c r="CB29"/>
      <c r="CC29">
        <f>BI29-2</f>
        <v>163</v>
      </c>
      <c r="CD29"/>
    </row>
    <row r="30" spans="1:82" s="109" customFormat="1" ht="16">
      <c r="A30" t="s">
        <v>243</v>
      </c>
      <c r="B30"/>
      <c r="C30" s="94">
        <v>1269</v>
      </c>
      <c r="D30" s="11">
        <v>406</v>
      </c>
      <c r="E30" t="s">
        <v>501</v>
      </c>
      <c r="F30" s="11">
        <v>2019</v>
      </c>
      <c r="G30" t="s">
        <v>502</v>
      </c>
      <c r="H30" t="s">
        <v>503</v>
      </c>
      <c r="I30" s="18">
        <v>2</v>
      </c>
      <c r="J30" t="s">
        <v>73</v>
      </c>
      <c r="K30" t="s">
        <v>73</v>
      </c>
      <c r="L30">
        <v>31</v>
      </c>
      <c r="M30" t="s">
        <v>155</v>
      </c>
      <c r="N30" t="s">
        <v>246</v>
      </c>
      <c r="O30" t="s">
        <v>504</v>
      </c>
      <c r="P30" s="18" t="s">
        <v>218</v>
      </c>
      <c r="Q30" t="s">
        <v>505</v>
      </c>
      <c r="R30" t="s">
        <v>248</v>
      </c>
      <c r="S30">
        <v>1</v>
      </c>
      <c r="T30" t="s">
        <v>73</v>
      </c>
      <c r="U30">
        <v>1</v>
      </c>
      <c r="V30" s="18" t="s">
        <v>238</v>
      </c>
      <c r="W30" s="18" t="s">
        <v>221</v>
      </c>
      <c r="X30" t="s">
        <v>506</v>
      </c>
      <c r="Y30" s="18">
        <v>0</v>
      </c>
      <c r="Z30" s="18">
        <v>1</v>
      </c>
      <c r="AA30" s="18">
        <v>1</v>
      </c>
      <c r="AB30" s="18">
        <v>0</v>
      </c>
      <c r="AC30" s="18">
        <v>0</v>
      </c>
      <c r="AD30" s="18">
        <v>0</v>
      </c>
      <c r="AE30" s="11">
        <v>0</v>
      </c>
      <c r="AF30" s="18">
        <v>0</v>
      </c>
      <c r="AG30" t="s">
        <v>73</v>
      </c>
      <c r="AH30" s="18">
        <v>0</v>
      </c>
      <c r="AI30" s="18">
        <v>0</v>
      </c>
      <c r="AJ30" s="18">
        <v>1</v>
      </c>
      <c r="AK30" s="18">
        <v>0</v>
      </c>
      <c r="AL30" s="18">
        <v>0</v>
      </c>
      <c r="AM30" s="18">
        <v>0</v>
      </c>
      <c r="AN30" s="18">
        <v>0</v>
      </c>
      <c r="AO30" s="18">
        <v>0</v>
      </c>
      <c r="AP30" s="18">
        <v>0</v>
      </c>
      <c r="AQ30" t="s">
        <v>482</v>
      </c>
      <c r="AR30" s="94" t="s">
        <v>259</v>
      </c>
      <c r="AS30" s="94" t="s">
        <v>482</v>
      </c>
      <c r="AT30" s="94" t="s">
        <v>223</v>
      </c>
      <c r="AU30" s="21">
        <v>1.7370000000000001</v>
      </c>
      <c r="AV30" s="7" t="s">
        <v>80</v>
      </c>
      <c r="AW30" s="94" t="s">
        <v>73</v>
      </c>
      <c r="AX30">
        <v>0.05</v>
      </c>
      <c r="AY30">
        <v>1</v>
      </c>
      <c r="AZ30">
        <f>TINV(AX30,CC30)</f>
        <v>1.974624620966356</v>
      </c>
      <c r="BA30" s="18" t="s">
        <v>73</v>
      </c>
      <c r="BB30" s="18"/>
      <c r="BC30" s="18" t="s">
        <v>73</v>
      </c>
      <c r="BD30" s="18" t="s">
        <v>73</v>
      </c>
      <c r="BE30" s="18" t="s">
        <v>73</v>
      </c>
      <c r="BF30" s="18" t="s">
        <v>73</v>
      </c>
      <c r="BG30" s="18" t="s">
        <v>73</v>
      </c>
      <c r="BH30" s="18" t="s">
        <v>73</v>
      </c>
      <c r="BI30">
        <v>165</v>
      </c>
      <c r="BJ30">
        <v>2232</v>
      </c>
      <c r="BK30" s="18" t="s">
        <v>73</v>
      </c>
      <c r="BL30" s="18" t="s">
        <v>73</v>
      </c>
      <c r="BM30" s="18" t="s">
        <v>73</v>
      </c>
      <c r="BN30" s="18" t="s">
        <v>73</v>
      </c>
      <c r="BO30" s="11" t="s">
        <v>73</v>
      </c>
      <c r="BP30" s="11" t="s">
        <v>73</v>
      </c>
      <c r="BQ30" s="11" t="s">
        <v>73</v>
      </c>
      <c r="BR30" t="s">
        <v>73</v>
      </c>
      <c r="BS30" s="11" t="s">
        <v>73</v>
      </c>
      <c r="BT30" t="s">
        <v>73</v>
      </c>
      <c r="BU30">
        <v>0</v>
      </c>
      <c r="BV30">
        <v>0</v>
      </c>
      <c r="BW30">
        <v>0</v>
      </c>
      <c r="BX30" s="104">
        <f>((AZ30^2)/(AZ30^2+BI30))^(1/2)</f>
        <v>0.15193954642337751</v>
      </c>
      <c r="BY30" s="104">
        <f>0.5*LN((1+BX30)/(1-BX30))</f>
        <v>0.15312521998491627</v>
      </c>
      <c r="BZ30" s="104">
        <f>((1-(BY30^2)^2)/(BI30-1))</f>
        <v>6.0942086742402533E-3</v>
      </c>
      <c r="CA30" s="95">
        <f>1/(BI30-3)</f>
        <v>6.1728395061728392E-3</v>
      </c>
      <c r="CB30"/>
      <c r="CC30">
        <f>BI30-2</f>
        <v>163</v>
      </c>
      <c r="CD30"/>
    </row>
    <row r="31" spans="1:82" s="109" customFormat="1" ht="16">
      <c r="A31" s="11" t="s">
        <v>68</v>
      </c>
      <c r="B31" s="11"/>
      <c r="C31" s="11">
        <v>1013</v>
      </c>
      <c r="D31" s="11">
        <v>104</v>
      </c>
      <c r="E31" s="11" t="s">
        <v>250</v>
      </c>
      <c r="F31" s="11">
        <v>2011</v>
      </c>
      <c r="G31" t="s">
        <v>251</v>
      </c>
      <c r="H31" t="s">
        <v>252</v>
      </c>
      <c r="I31" s="18">
        <v>2</v>
      </c>
      <c r="J31" s="10">
        <v>2009</v>
      </c>
      <c r="K31" s="11" t="s">
        <v>73</v>
      </c>
      <c r="L31" s="18">
        <v>2077</v>
      </c>
      <c r="M31" s="18" t="s">
        <v>120</v>
      </c>
      <c r="N31" t="s">
        <v>246</v>
      </c>
      <c r="O31" t="s">
        <v>253</v>
      </c>
      <c r="P31" s="18" t="s">
        <v>218</v>
      </c>
      <c r="Q31" t="s">
        <v>254</v>
      </c>
      <c r="R31" t="s">
        <v>255</v>
      </c>
      <c r="S31">
        <v>0</v>
      </c>
      <c r="T31" t="s">
        <v>220</v>
      </c>
      <c r="U31">
        <v>0</v>
      </c>
      <c r="V31" s="18" t="s">
        <v>221</v>
      </c>
      <c r="W31" s="18" t="s">
        <v>221</v>
      </c>
      <c r="X31" s="18" t="s">
        <v>256</v>
      </c>
      <c r="Y31" s="18">
        <v>0</v>
      </c>
      <c r="Z31" s="18">
        <v>0</v>
      </c>
      <c r="AA31" s="18">
        <v>1</v>
      </c>
      <c r="AB31" s="18">
        <v>0</v>
      </c>
      <c r="AC31" s="18">
        <v>0</v>
      </c>
      <c r="AD31" s="18">
        <v>0</v>
      </c>
      <c r="AE31" s="11">
        <v>0</v>
      </c>
      <c r="AF31" s="11">
        <v>0</v>
      </c>
      <c r="AG31" s="18" t="s">
        <v>257</v>
      </c>
      <c r="AH31" s="18">
        <v>0</v>
      </c>
      <c r="AI31" s="18">
        <v>0</v>
      </c>
      <c r="AJ31" s="18">
        <v>0</v>
      </c>
      <c r="AK31" s="18">
        <v>1</v>
      </c>
      <c r="AL31" s="18">
        <v>0</v>
      </c>
      <c r="AM31" s="18">
        <v>0</v>
      </c>
      <c r="AN31" s="18">
        <v>0</v>
      </c>
      <c r="AO31" s="18">
        <v>0</v>
      </c>
      <c r="AP31" s="18">
        <v>0</v>
      </c>
      <c r="AQ31" s="18" t="s">
        <v>258</v>
      </c>
      <c r="AR31" t="s">
        <v>259</v>
      </c>
      <c r="AS31" s="10" t="s">
        <v>260</v>
      </c>
      <c r="AT31" s="11" t="s">
        <v>249</v>
      </c>
      <c r="AU31" s="106">
        <v>8.8999999999999996E-2</v>
      </c>
      <c r="AV31" s="18" t="s">
        <v>80</v>
      </c>
      <c r="AW31" s="18">
        <v>2.1999999999999999E-2</v>
      </c>
      <c r="AX31" s="18">
        <v>0.01</v>
      </c>
      <c r="AY31" s="18">
        <v>1</v>
      </c>
      <c r="AZ31">
        <f>AU31/AW31</f>
        <v>4.0454545454545459</v>
      </c>
      <c r="BA31" s="18" t="s">
        <v>73</v>
      </c>
      <c r="BB31" s="18"/>
      <c r="BC31" s="11" t="s">
        <v>73</v>
      </c>
      <c r="BD31" s="11" t="s">
        <v>73</v>
      </c>
      <c r="BE31" s="11" t="s">
        <v>73</v>
      </c>
      <c r="BF31" s="11" t="s">
        <v>73</v>
      </c>
      <c r="BG31" s="11" t="s">
        <v>73</v>
      </c>
      <c r="BH31" s="11" t="s">
        <v>73</v>
      </c>
      <c r="BI31" s="10">
        <v>676</v>
      </c>
      <c r="BJ31" s="10">
        <v>676</v>
      </c>
      <c r="BK31" s="11" t="s">
        <v>73</v>
      </c>
      <c r="BL31" s="11" t="s">
        <v>73</v>
      </c>
      <c r="BM31" s="11" t="s">
        <v>73</v>
      </c>
      <c r="BN31" s="11" t="s">
        <v>73</v>
      </c>
      <c r="BO31" s="11" t="s">
        <v>73</v>
      </c>
      <c r="BP31" s="11" t="s">
        <v>73</v>
      </c>
      <c r="BQ31" s="11" t="s">
        <v>73</v>
      </c>
      <c r="BR31" s="11" t="s">
        <v>73</v>
      </c>
      <c r="BS31" s="11" t="s">
        <v>73</v>
      </c>
      <c r="BT31" t="s">
        <v>261</v>
      </c>
      <c r="BU31" s="18">
        <v>0</v>
      </c>
      <c r="BV31" s="18">
        <v>0</v>
      </c>
      <c r="BW31" s="18">
        <v>0</v>
      </c>
      <c r="BX31" s="30">
        <f>((AZ31^2)/(AZ31^2+BI31))^(1/2)</f>
        <v>0.15374448735583945</v>
      </c>
      <c r="BY31" s="30">
        <f>0.5*LN((1+BX31)/(1-BX31))</f>
        <v>0.15497333468721167</v>
      </c>
      <c r="BZ31" s="30">
        <f>((1-(BY31^2)^2)/(BI31-1))</f>
        <v>1.4806269577269365E-3</v>
      </c>
      <c r="CA31" s="30">
        <f>1/(BI31-3)</f>
        <v>1.4858841010401188E-3</v>
      </c>
      <c r="CB31"/>
      <c r="CC31">
        <f>BI31-2</f>
        <v>674</v>
      </c>
      <c r="CD31"/>
    </row>
    <row r="32" spans="1:82" ht="15.75" customHeight="1">
      <c r="A32" t="s">
        <v>243</v>
      </c>
      <c r="C32" s="94">
        <v>1261</v>
      </c>
      <c r="D32" s="11">
        <v>405</v>
      </c>
      <c r="E32" t="s">
        <v>494</v>
      </c>
      <c r="F32" s="11">
        <v>2019</v>
      </c>
      <c r="G32" t="s">
        <v>495</v>
      </c>
      <c r="H32" t="s">
        <v>496</v>
      </c>
      <c r="I32" s="18">
        <v>2</v>
      </c>
      <c r="J32" t="s">
        <v>441</v>
      </c>
      <c r="K32" t="s">
        <v>73</v>
      </c>
      <c r="L32">
        <v>9</v>
      </c>
      <c r="M32" t="s">
        <v>497</v>
      </c>
      <c r="N32" t="s">
        <v>246</v>
      </c>
      <c r="O32" t="s">
        <v>498</v>
      </c>
      <c r="P32" s="18" t="s">
        <v>218</v>
      </c>
      <c r="Q32" t="s">
        <v>227</v>
      </c>
      <c r="R32" t="s">
        <v>233</v>
      </c>
      <c r="S32">
        <v>1</v>
      </c>
      <c r="T32" t="s">
        <v>220</v>
      </c>
      <c r="U32" t="s">
        <v>73</v>
      </c>
      <c r="V32" s="18" t="s">
        <v>221</v>
      </c>
      <c r="W32" s="18" t="s">
        <v>221</v>
      </c>
      <c r="X32" t="s">
        <v>73</v>
      </c>
      <c r="Y32" s="18">
        <v>0</v>
      </c>
      <c r="Z32" s="18">
        <v>1</v>
      </c>
      <c r="AA32" s="18">
        <v>0</v>
      </c>
      <c r="AB32" s="18">
        <v>0</v>
      </c>
      <c r="AC32" s="18">
        <v>0</v>
      </c>
      <c r="AD32" s="18">
        <v>0</v>
      </c>
      <c r="AE32" s="11">
        <v>0</v>
      </c>
      <c r="AF32" s="18">
        <v>0</v>
      </c>
      <c r="AG32" s="18" t="s">
        <v>499</v>
      </c>
      <c r="AH32" s="18">
        <v>1</v>
      </c>
      <c r="AI32" s="18">
        <v>0</v>
      </c>
      <c r="AJ32" s="18">
        <v>0</v>
      </c>
      <c r="AK32" s="18">
        <v>0</v>
      </c>
      <c r="AL32" s="18">
        <v>0</v>
      </c>
      <c r="AM32" s="18">
        <v>0</v>
      </c>
      <c r="AN32" s="18">
        <v>0</v>
      </c>
      <c r="AO32" s="18">
        <v>0</v>
      </c>
      <c r="AP32" s="18">
        <v>0</v>
      </c>
      <c r="AQ32" t="s">
        <v>500</v>
      </c>
      <c r="AR32" t="s">
        <v>259</v>
      </c>
      <c r="AS32" s="94" t="s">
        <v>500</v>
      </c>
      <c r="AT32" t="s">
        <v>73</v>
      </c>
      <c r="AU32" s="21">
        <v>0.66400000000000003</v>
      </c>
      <c r="AV32" s="7" t="s">
        <v>86</v>
      </c>
      <c r="AW32" t="s">
        <v>73</v>
      </c>
      <c r="AX32">
        <v>0.1</v>
      </c>
      <c r="AY32">
        <v>2</v>
      </c>
      <c r="AZ32">
        <f>TINV(AX32,CC32)</f>
        <v>1.647384517634447</v>
      </c>
      <c r="BA32" s="18" t="s">
        <v>73</v>
      </c>
      <c r="BB32" s="18"/>
      <c r="BC32" s="18" t="s">
        <v>73</v>
      </c>
      <c r="BD32" s="18" t="s">
        <v>73</v>
      </c>
      <c r="BE32" s="18" t="s">
        <v>73</v>
      </c>
      <c r="BF32" s="18" t="s">
        <v>73</v>
      </c>
      <c r="BG32" s="18" t="s">
        <v>73</v>
      </c>
      <c r="BH32" s="18" t="s">
        <v>73</v>
      </c>
      <c r="BI32">
        <v>605</v>
      </c>
      <c r="BJ32">
        <v>605</v>
      </c>
      <c r="BK32" s="18" t="s">
        <v>73</v>
      </c>
      <c r="BL32" s="18" t="s">
        <v>73</v>
      </c>
      <c r="BM32" s="18" t="s">
        <v>73</v>
      </c>
      <c r="BN32" s="18" t="s">
        <v>73</v>
      </c>
      <c r="BO32" s="11" t="s">
        <v>73</v>
      </c>
      <c r="BP32" s="11" t="s">
        <v>73</v>
      </c>
      <c r="BQ32" s="11" t="s">
        <v>73</v>
      </c>
      <c r="BR32" t="s">
        <v>73</v>
      </c>
      <c r="BS32" s="11" t="s">
        <v>73</v>
      </c>
      <c r="BT32" t="s">
        <v>73</v>
      </c>
      <c r="BU32">
        <v>0</v>
      </c>
      <c r="BV32">
        <v>1</v>
      </c>
      <c r="BW32">
        <v>0</v>
      </c>
      <c r="BX32" s="30">
        <f>((AZ32^2)/(AZ32^2+BI32))^(1/2)</f>
        <v>6.6825990375612127E-2</v>
      </c>
      <c r="BY32" s="30">
        <f>0.5*LN((1+BX32)/(1-BX32))</f>
        <v>6.692573299656196E-2</v>
      </c>
      <c r="BZ32" s="30">
        <f>((1-(BY32^2)^2)/(BI32-1))</f>
        <v>1.6555959239695694E-3</v>
      </c>
      <c r="CA32" s="30">
        <f>1/(BI32-3)</f>
        <v>1.6611295681063123E-3</v>
      </c>
      <c r="CC32">
        <f>BI32-2</f>
        <v>603</v>
      </c>
    </row>
    <row r="33" spans="1:81" ht="15.75" customHeight="1">
      <c r="A33" t="s">
        <v>243</v>
      </c>
      <c r="C33" s="94">
        <v>1262</v>
      </c>
      <c r="D33" s="11">
        <v>405</v>
      </c>
      <c r="E33" t="s">
        <v>494</v>
      </c>
      <c r="F33" s="11">
        <v>2019</v>
      </c>
      <c r="G33" t="s">
        <v>495</v>
      </c>
      <c r="H33" t="s">
        <v>496</v>
      </c>
      <c r="I33" s="18">
        <v>2</v>
      </c>
      <c r="J33" t="s">
        <v>441</v>
      </c>
      <c r="K33" t="s">
        <v>73</v>
      </c>
      <c r="L33">
        <v>9</v>
      </c>
      <c r="M33" t="s">
        <v>497</v>
      </c>
      <c r="N33" t="s">
        <v>246</v>
      </c>
      <c r="O33" t="s">
        <v>498</v>
      </c>
      <c r="P33" s="18" t="s">
        <v>218</v>
      </c>
      <c r="Q33" t="s">
        <v>227</v>
      </c>
      <c r="R33" t="s">
        <v>233</v>
      </c>
      <c r="S33">
        <v>1</v>
      </c>
      <c r="T33" t="s">
        <v>220</v>
      </c>
      <c r="U33" t="s">
        <v>73</v>
      </c>
      <c r="V33" s="18" t="s">
        <v>221</v>
      </c>
      <c r="W33" s="18" t="s">
        <v>221</v>
      </c>
      <c r="X33" t="s">
        <v>73</v>
      </c>
      <c r="Y33" s="18">
        <v>0</v>
      </c>
      <c r="Z33" s="18">
        <v>1</v>
      </c>
      <c r="AA33" s="18">
        <v>0</v>
      </c>
      <c r="AB33" s="18">
        <v>0</v>
      </c>
      <c r="AC33" s="18">
        <v>0</v>
      </c>
      <c r="AD33" s="18">
        <v>0</v>
      </c>
      <c r="AE33" s="11">
        <v>0</v>
      </c>
      <c r="AF33" s="18">
        <v>0</v>
      </c>
      <c r="AG33" s="18" t="s">
        <v>499</v>
      </c>
      <c r="AH33" s="18">
        <v>0</v>
      </c>
      <c r="AI33" s="18">
        <v>0</v>
      </c>
      <c r="AJ33" s="18">
        <v>0</v>
      </c>
      <c r="AK33" s="18">
        <v>0</v>
      </c>
      <c r="AL33" s="18">
        <v>0</v>
      </c>
      <c r="AM33" s="18">
        <v>0</v>
      </c>
      <c r="AN33" s="18">
        <v>0</v>
      </c>
      <c r="AO33" s="18">
        <v>1</v>
      </c>
      <c r="AP33" s="18">
        <v>0</v>
      </c>
      <c r="AQ33" t="s">
        <v>500</v>
      </c>
      <c r="AR33" t="s">
        <v>259</v>
      </c>
      <c r="AS33" s="94" t="s">
        <v>500</v>
      </c>
      <c r="AT33" t="s">
        <v>73</v>
      </c>
      <c r="AU33" s="21">
        <v>6.96</v>
      </c>
      <c r="AV33" s="7" t="s">
        <v>80</v>
      </c>
      <c r="AW33" s="94" t="s">
        <v>73</v>
      </c>
      <c r="AX33">
        <v>0.05</v>
      </c>
      <c r="AY33">
        <v>1</v>
      </c>
      <c r="AZ33">
        <f>TINV(AX33,CC33)</f>
        <v>1.9639058734740764</v>
      </c>
      <c r="BA33" s="18" t="s">
        <v>73</v>
      </c>
      <c r="BB33" s="18"/>
      <c r="BC33" s="18" t="s">
        <v>73</v>
      </c>
      <c r="BD33" s="18" t="s">
        <v>73</v>
      </c>
      <c r="BE33" s="18" t="s">
        <v>73</v>
      </c>
      <c r="BF33" s="18" t="s">
        <v>73</v>
      </c>
      <c r="BG33" s="18" t="s">
        <v>73</v>
      </c>
      <c r="BH33" s="18" t="s">
        <v>73</v>
      </c>
      <c r="BI33">
        <v>605</v>
      </c>
      <c r="BJ33">
        <v>605</v>
      </c>
      <c r="BK33" s="18" t="s">
        <v>73</v>
      </c>
      <c r="BL33" s="18" t="s">
        <v>73</v>
      </c>
      <c r="BM33" s="18" t="s">
        <v>73</v>
      </c>
      <c r="BN33" s="18" t="s">
        <v>73</v>
      </c>
      <c r="BO33" s="11" t="s">
        <v>73</v>
      </c>
      <c r="BP33" s="11" t="s">
        <v>73</v>
      </c>
      <c r="BQ33" s="11" t="s">
        <v>73</v>
      </c>
      <c r="BR33" t="s">
        <v>73</v>
      </c>
      <c r="BS33" s="11" t="s">
        <v>73</v>
      </c>
      <c r="BT33" t="s">
        <v>73</v>
      </c>
      <c r="BU33">
        <v>0</v>
      </c>
      <c r="BV33">
        <v>1</v>
      </c>
      <c r="BW33">
        <v>0</v>
      </c>
      <c r="BX33" s="30">
        <f>((AZ33^2)/(AZ33^2+BI33))^(1/2)</f>
        <v>7.959083180520346E-2</v>
      </c>
      <c r="BY33" s="30">
        <f>0.5*LN((1+BX33)/(1-BX33))</f>
        <v>7.9759534841727944E-2</v>
      </c>
      <c r="BZ33" s="30">
        <f>((1-(BY33^2)^2)/(BI33-1))</f>
        <v>1.6555621361865366E-3</v>
      </c>
      <c r="CA33" s="30">
        <f>1/(BI33-3)</f>
        <v>1.6611295681063123E-3</v>
      </c>
      <c r="CC33">
        <f>BI33-2</f>
        <v>603</v>
      </c>
    </row>
    <row r="34" spans="1:81" ht="15.75" customHeight="1">
      <c r="A34" t="s">
        <v>243</v>
      </c>
      <c r="C34" s="94">
        <v>1263</v>
      </c>
      <c r="D34" s="11">
        <v>405</v>
      </c>
      <c r="E34" t="s">
        <v>494</v>
      </c>
      <c r="F34" s="11">
        <v>2019</v>
      </c>
      <c r="G34" t="s">
        <v>495</v>
      </c>
      <c r="H34" t="s">
        <v>496</v>
      </c>
      <c r="I34" s="18">
        <v>2</v>
      </c>
      <c r="J34" t="s">
        <v>441</v>
      </c>
      <c r="K34" t="s">
        <v>73</v>
      </c>
      <c r="L34">
        <v>9</v>
      </c>
      <c r="M34" t="s">
        <v>497</v>
      </c>
      <c r="N34" t="s">
        <v>246</v>
      </c>
      <c r="O34" t="s">
        <v>498</v>
      </c>
      <c r="P34" s="18" t="s">
        <v>218</v>
      </c>
      <c r="Q34" t="s">
        <v>227</v>
      </c>
      <c r="R34" t="s">
        <v>233</v>
      </c>
      <c r="S34">
        <v>1</v>
      </c>
      <c r="T34" t="s">
        <v>220</v>
      </c>
      <c r="U34" t="s">
        <v>73</v>
      </c>
      <c r="V34" s="18" t="s">
        <v>221</v>
      </c>
      <c r="W34" s="18" t="s">
        <v>221</v>
      </c>
      <c r="X34" t="s">
        <v>73</v>
      </c>
      <c r="Y34" s="18">
        <v>0</v>
      </c>
      <c r="Z34" s="18">
        <v>1</v>
      </c>
      <c r="AA34" s="18">
        <v>0</v>
      </c>
      <c r="AB34" s="18">
        <v>0</v>
      </c>
      <c r="AC34" s="18">
        <v>0</v>
      </c>
      <c r="AD34" s="18">
        <v>0</v>
      </c>
      <c r="AE34" s="11">
        <v>0</v>
      </c>
      <c r="AF34" s="18">
        <v>0</v>
      </c>
      <c r="AG34" s="18" t="s">
        <v>499</v>
      </c>
      <c r="AH34" s="18">
        <v>0</v>
      </c>
      <c r="AI34" s="18">
        <v>0</v>
      </c>
      <c r="AJ34" s="18">
        <v>0</v>
      </c>
      <c r="AK34" s="18">
        <v>0</v>
      </c>
      <c r="AL34" s="18">
        <v>0</v>
      </c>
      <c r="AM34" s="18">
        <v>0</v>
      </c>
      <c r="AN34" s="18">
        <v>0</v>
      </c>
      <c r="AO34" s="18">
        <v>0</v>
      </c>
      <c r="AP34" s="18">
        <v>1</v>
      </c>
      <c r="AQ34" t="s">
        <v>500</v>
      </c>
      <c r="AR34" t="s">
        <v>259</v>
      </c>
      <c r="AS34" s="94" t="s">
        <v>500</v>
      </c>
      <c r="AT34" t="s">
        <v>73</v>
      </c>
      <c r="AU34" s="21">
        <v>1.591</v>
      </c>
      <c r="AV34" s="7" t="s">
        <v>80</v>
      </c>
      <c r="AW34" s="94" t="s">
        <v>73</v>
      </c>
      <c r="AX34">
        <v>0.1</v>
      </c>
      <c r="AY34">
        <v>2</v>
      </c>
      <c r="AZ34">
        <f>TINV(AX34,CC34)</f>
        <v>1.647384517634447</v>
      </c>
      <c r="BA34" s="18" t="s">
        <v>73</v>
      </c>
      <c r="BB34" s="18"/>
      <c r="BC34" s="18" t="s">
        <v>73</v>
      </c>
      <c r="BD34" s="18" t="s">
        <v>73</v>
      </c>
      <c r="BE34" s="18" t="s">
        <v>73</v>
      </c>
      <c r="BF34" s="18" t="s">
        <v>73</v>
      </c>
      <c r="BG34" s="18" t="s">
        <v>73</v>
      </c>
      <c r="BH34" s="18" t="s">
        <v>73</v>
      </c>
      <c r="BI34">
        <v>605</v>
      </c>
      <c r="BJ34">
        <v>605</v>
      </c>
      <c r="BK34" s="18" t="s">
        <v>73</v>
      </c>
      <c r="BL34" s="18" t="s">
        <v>73</v>
      </c>
      <c r="BM34" s="18" t="s">
        <v>73</v>
      </c>
      <c r="BN34" s="18" t="s">
        <v>73</v>
      </c>
      <c r="BO34" s="11" t="s">
        <v>73</v>
      </c>
      <c r="BP34" s="11" t="s">
        <v>73</v>
      </c>
      <c r="BQ34" s="11" t="s">
        <v>73</v>
      </c>
      <c r="BR34" t="s">
        <v>73</v>
      </c>
      <c r="BS34" s="11" t="s">
        <v>73</v>
      </c>
      <c r="BT34" t="s">
        <v>73</v>
      </c>
      <c r="BU34">
        <v>0</v>
      </c>
      <c r="BV34">
        <v>1</v>
      </c>
      <c r="BW34">
        <v>0</v>
      </c>
      <c r="BX34" s="30">
        <f>((AZ34^2)/(AZ34^2+BI34))^(1/2)</f>
        <v>6.6825990375612127E-2</v>
      </c>
      <c r="BY34" s="30">
        <f>0.5*LN((1+BX34)/(1-BX34))</f>
        <v>6.692573299656196E-2</v>
      </c>
      <c r="BZ34" s="30">
        <f>((1-(BY34^2)^2)/(BI34-1))</f>
        <v>1.6555959239695694E-3</v>
      </c>
      <c r="CA34" s="30">
        <f>1/(BI34-3)</f>
        <v>1.6611295681063123E-3</v>
      </c>
      <c r="CC34">
        <f>BI34-2</f>
        <v>603</v>
      </c>
    </row>
    <row r="35" spans="1:81" ht="16">
      <c r="A35" t="s">
        <v>243</v>
      </c>
      <c r="C35" s="94">
        <v>1264</v>
      </c>
      <c r="D35" s="11">
        <v>405</v>
      </c>
      <c r="E35" t="s">
        <v>494</v>
      </c>
      <c r="F35" s="11">
        <v>2019</v>
      </c>
      <c r="G35" t="s">
        <v>495</v>
      </c>
      <c r="H35" t="s">
        <v>496</v>
      </c>
      <c r="I35" s="18">
        <v>2</v>
      </c>
      <c r="J35" t="s">
        <v>441</v>
      </c>
      <c r="K35" t="s">
        <v>73</v>
      </c>
      <c r="L35">
        <v>9</v>
      </c>
      <c r="M35" t="s">
        <v>497</v>
      </c>
      <c r="N35" t="s">
        <v>246</v>
      </c>
      <c r="O35" t="s">
        <v>498</v>
      </c>
      <c r="P35" s="18" t="s">
        <v>218</v>
      </c>
      <c r="Q35" t="s">
        <v>227</v>
      </c>
      <c r="R35" t="s">
        <v>233</v>
      </c>
      <c r="S35">
        <v>1</v>
      </c>
      <c r="T35" t="s">
        <v>220</v>
      </c>
      <c r="U35" t="s">
        <v>73</v>
      </c>
      <c r="V35" s="18" t="s">
        <v>221</v>
      </c>
      <c r="W35" s="18" t="s">
        <v>221</v>
      </c>
      <c r="X35" t="s">
        <v>73</v>
      </c>
      <c r="Y35" s="18">
        <v>0</v>
      </c>
      <c r="Z35" s="18">
        <v>1</v>
      </c>
      <c r="AA35" s="18">
        <v>0</v>
      </c>
      <c r="AB35" s="18">
        <v>0</v>
      </c>
      <c r="AC35" s="18">
        <v>0</v>
      </c>
      <c r="AD35" s="18">
        <v>0</v>
      </c>
      <c r="AE35" s="11">
        <v>0</v>
      </c>
      <c r="AF35" s="18">
        <v>0</v>
      </c>
      <c r="AG35" s="18" t="s">
        <v>499</v>
      </c>
      <c r="AH35" s="18">
        <v>0</v>
      </c>
      <c r="AI35" s="18">
        <v>0</v>
      </c>
      <c r="AJ35" s="18">
        <v>0</v>
      </c>
      <c r="AK35" s="18">
        <v>0</v>
      </c>
      <c r="AL35" s="18">
        <v>0</v>
      </c>
      <c r="AM35" s="18">
        <v>1</v>
      </c>
      <c r="AN35" s="18">
        <v>0</v>
      </c>
      <c r="AO35" s="18">
        <v>0</v>
      </c>
      <c r="AP35" s="18">
        <v>0</v>
      </c>
      <c r="AQ35" t="s">
        <v>500</v>
      </c>
      <c r="AR35" t="s">
        <v>259</v>
      </c>
      <c r="AS35" s="94" t="s">
        <v>500</v>
      </c>
      <c r="AT35" t="s">
        <v>73</v>
      </c>
      <c r="AU35" s="21">
        <v>1.585</v>
      </c>
      <c r="AV35" s="7" t="s">
        <v>80</v>
      </c>
      <c r="AW35" s="94" t="s">
        <v>73</v>
      </c>
      <c r="AX35">
        <v>0.01</v>
      </c>
      <c r="AY35">
        <v>1</v>
      </c>
      <c r="AZ35">
        <f>TINV(AX35,CC35)</f>
        <v>2.5840071350575324</v>
      </c>
      <c r="BA35" s="18" t="s">
        <v>73</v>
      </c>
      <c r="BB35" s="18"/>
      <c r="BC35" s="18" t="s">
        <v>73</v>
      </c>
      <c r="BD35" s="18" t="s">
        <v>73</v>
      </c>
      <c r="BE35" s="18" t="s">
        <v>73</v>
      </c>
      <c r="BF35" s="18" t="s">
        <v>73</v>
      </c>
      <c r="BG35" s="18" t="s">
        <v>73</v>
      </c>
      <c r="BH35" s="18" t="s">
        <v>73</v>
      </c>
      <c r="BI35">
        <v>605</v>
      </c>
      <c r="BJ35">
        <v>605</v>
      </c>
      <c r="BK35" s="18" t="s">
        <v>73</v>
      </c>
      <c r="BL35" s="18" t="s">
        <v>73</v>
      </c>
      <c r="BM35" s="18" t="s">
        <v>73</v>
      </c>
      <c r="BN35" s="18" t="s">
        <v>73</v>
      </c>
      <c r="BO35" s="11" t="s">
        <v>73</v>
      </c>
      <c r="BP35" s="11" t="s">
        <v>73</v>
      </c>
      <c r="BQ35" s="11" t="s">
        <v>73</v>
      </c>
      <c r="BR35" t="s">
        <v>73</v>
      </c>
      <c r="BS35" s="11" t="s">
        <v>73</v>
      </c>
      <c r="BT35" t="s">
        <v>73</v>
      </c>
      <c r="BU35">
        <v>0</v>
      </c>
      <c r="BV35">
        <v>1</v>
      </c>
      <c r="BW35">
        <v>0</v>
      </c>
      <c r="BX35" s="30">
        <f>((AZ35^2)/(AZ35^2+BI35))^(1/2)</f>
        <v>0.10447986438429385</v>
      </c>
      <c r="BY35" s="30">
        <f>0.5*LN((1+BX35)/(1-BX35))</f>
        <v>0.10486254279362485</v>
      </c>
      <c r="BZ35" s="30">
        <f>((1-(BY35^2)^2)/(BI35-1))</f>
        <v>1.6554289480493617E-3</v>
      </c>
      <c r="CA35" s="30">
        <f>1/(BI35-3)</f>
        <v>1.6611295681063123E-3</v>
      </c>
      <c r="CC35">
        <f>BI35-2</f>
        <v>603</v>
      </c>
    </row>
    <row r="36" spans="1:81" ht="16">
      <c r="A36" t="s">
        <v>243</v>
      </c>
      <c r="C36" s="94">
        <v>1265</v>
      </c>
      <c r="D36" s="11">
        <v>405</v>
      </c>
      <c r="E36" t="s">
        <v>494</v>
      </c>
      <c r="F36" s="11">
        <v>2019</v>
      </c>
      <c r="G36" t="s">
        <v>495</v>
      </c>
      <c r="H36" t="s">
        <v>496</v>
      </c>
      <c r="I36" s="18">
        <v>2</v>
      </c>
      <c r="J36" t="s">
        <v>441</v>
      </c>
      <c r="K36" t="s">
        <v>73</v>
      </c>
      <c r="L36">
        <v>9</v>
      </c>
      <c r="M36" t="s">
        <v>497</v>
      </c>
      <c r="N36" t="s">
        <v>246</v>
      </c>
      <c r="O36" t="s">
        <v>498</v>
      </c>
      <c r="P36" s="18" t="s">
        <v>218</v>
      </c>
      <c r="Q36" t="s">
        <v>227</v>
      </c>
      <c r="R36" t="s">
        <v>233</v>
      </c>
      <c r="S36">
        <v>1</v>
      </c>
      <c r="T36" t="s">
        <v>220</v>
      </c>
      <c r="U36" t="s">
        <v>73</v>
      </c>
      <c r="V36" s="18" t="s">
        <v>221</v>
      </c>
      <c r="W36" s="18" t="s">
        <v>221</v>
      </c>
      <c r="X36" t="s">
        <v>73</v>
      </c>
      <c r="Y36" s="18">
        <v>0</v>
      </c>
      <c r="Z36" s="18">
        <v>1</v>
      </c>
      <c r="AA36" s="18">
        <v>0</v>
      </c>
      <c r="AB36" s="18">
        <v>0</v>
      </c>
      <c r="AC36" s="18">
        <v>0</v>
      </c>
      <c r="AD36" s="18">
        <v>0</v>
      </c>
      <c r="AE36" s="11">
        <v>0</v>
      </c>
      <c r="AF36" s="18">
        <v>0</v>
      </c>
      <c r="AG36" s="18" t="s">
        <v>499</v>
      </c>
      <c r="AH36" s="18">
        <v>0</v>
      </c>
      <c r="AI36" s="18">
        <v>0</v>
      </c>
      <c r="AJ36" s="18">
        <v>0</v>
      </c>
      <c r="AK36" s="18">
        <v>1</v>
      </c>
      <c r="AL36" s="18">
        <v>0</v>
      </c>
      <c r="AM36" s="18">
        <v>0</v>
      </c>
      <c r="AN36" s="18">
        <v>0</v>
      </c>
      <c r="AO36" s="18">
        <v>0</v>
      </c>
      <c r="AP36" s="18">
        <v>0</v>
      </c>
      <c r="AQ36" t="s">
        <v>500</v>
      </c>
      <c r="AR36" t="s">
        <v>259</v>
      </c>
      <c r="AS36" s="94" t="s">
        <v>500</v>
      </c>
      <c r="AT36" t="s">
        <v>73</v>
      </c>
      <c r="AU36" s="21">
        <v>1.7</v>
      </c>
      <c r="AV36" s="7" t="s">
        <v>86</v>
      </c>
      <c r="AW36" s="94" t="s">
        <v>73</v>
      </c>
      <c r="AX36">
        <v>0.1</v>
      </c>
      <c r="AY36">
        <v>2</v>
      </c>
      <c r="AZ36">
        <f>TINV(AX36,CC36)</f>
        <v>1.647384517634447</v>
      </c>
      <c r="BA36" s="18" t="s">
        <v>73</v>
      </c>
      <c r="BB36" s="18"/>
      <c r="BC36" s="18" t="s">
        <v>73</v>
      </c>
      <c r="BD36" s="18" t="s">
        <v>73</v>
      </c>
      <c r="BE36" s="18" t="s">
        <v>73</v>
      </c>
      <c r="BF36" s="18" t="s">
        <v>73</v>
      </c>
      <c r="BG36" s="18" t="s">
        <v>73</v>
      </c>
      <c r="BH36" s="18" t="s">
        <v>73</v>
      </c>
      <c r="BI36">
        <v>605</v>
      </c>
      <c r="BJ36">
        <v>605</v>
      </c>
      <c r="BK36" s="18" t="s">
        <v>73</v>
      </c>
      <c r="BL36" s="18" t="s">
        <v>73</v>
      </c>
      <c r="BM36" s="18" t="s">
        <v>73</v>
      </c>
      <c r="BN36" s="18" t="s">
        <v>73</v>
      </c>
      <c r="BO36" s="11" t="s">
        <v>73</v>
      </c>
      <c r="BP36" s="11" t="s">
        <v>73</v>
      </c>
      <c r="BQ36" s="11" t="s">
        <v>73</v>
      </c>
      <c r="BR36" t="s">
        <v>73</v>
      </c>
      <c r="BS36" s="11" t="s">
        <v>73</v>
      </c>
      <c r="BT36" t="s">
        <v>73</v>
      </c>
      <c r="BU36">
        <v>0</v>
      </c>
      <c r="BV36">
        <v>1</v>
      </c>
      <c r="BW36">
        <v>0</v>
      </c>
      <c r="BX36" s="30">
        <f>((AZ36^2)/(AZ36^2+BI36))^(1/2)</f>
        <v>6.6825990375612127E-2</v>
      </c>
      <c r="BY36" s="30">
        <f>0.5*LN((1+BX36)/(1-BX36))</f>
        <v>6.692573299656196E-2</v>
      </c>
      <c r="BZ36" s="30">
        <f>((1-(BY36^2)^2)/(BI36-1))</f>
        <v>1.6555959239695694E-3</v>
      </c>
      <c r="CA36" s="30">
        <f>1/(BI36-3)</f>
        <v>1.6611295681063123E-3</v>
      </c>
      <c r="CC36">
        <f>BI36-2</f>
        <v>603</v>
      </c>
    </row>
    <row r="37" spans="1:81" ht="16">
      <c r="A37" s="11" t="s">
        <v>68</v>
      </c>
      <c r="B37" s="11"/>
      <c r="C37" s="97">
        <v>1155</v>
      </c>
      <c r="D37" s="98">
        <v>135</v>
      </c>
      <c r="E37" t="s">
        <v>344</v>
      </c>
      <c r="F37" s="97">
        <v>2014</v>
      </c>
      <c r="G37" t="s">
        <v>345</v>
      </c>
      <c r="H37" t="s">
        <v>346</v>
      </c>
      <c r="I37" s="98">
        <v>2</v>
      </c>
      <c r="J37">
        <v>2012</v>
      </c>
      <c r="K37" s="97" t="s">
        <v>73</v>
      </c>
      <c r="L37" s="98">
        <v>13</v>
      </c>
      <c r="M37" t="s">
        <v>349</v>
      </c>
      <c r="N37" t="s">
        <v>246</v>
      </c>
      <c r="O37" t="s">
        <v>347</v>
      </c>
      <c r="P37" t="s">
        <v>247</v>
      </c>
      <c r="Q37" t="s">
        <v>242</v>
      </c>
      <c r="R37" t="s">
        <v>248</v>
      </c>
      <c r="S37">
        <v>0</v>
      </c>
      <c r="T37" s="32" t="s">
        <v>291</v>
      </c>
      <c r="U37">
        <v>0</v>
      </c>
      <c r="V37" s="97" t="s">
        <v>221</v>
      </c>
      <c r="W37" s="97" t="s">
        <v>221</v>
      </c>
      <c r="X37" t="s">
        <v>474</v>
      </c>
      <c r="Y37" s="98">
        <v>0</v>
      </c>
      <c r="Z37" s="98">
        <v>0</v>
      </c>
      <c r="AA37" s="98">
        <v>1</v>
      </c>
      <c r="AB37" s="98">
        <v>0</v>
      </c>
      <c r="AC37" s="98">
        <v>0</v>
      </c>
      <c r="AD37" s="98">
        <v>0</v>
      </c>
      <c r="AE37" s="98">
        <v>0</v>
      </c>
      <c r="AF37" s="98">
        <v>0</v>
      </c>
      <c r="AG37" s="98" t="s">
        <v>348</v>
      </c>
      <c r="AH37" s="98">
        <v>0</v>
      </c>
      <c r="AI37" s="98">
        <v>0</v>
      </c>
      <c r="AJ37" s="98">
        <v>0</v>
      </c>
      <c r="AK37" s="98">
        <v>1</v>
      </c>
      <c r="AL37" s="98">
        <v>0</v>
      </c>
      <c r="AM37" s="98">
        <v>0</v>
      </c>
      <c r="AN37" s="98">
        <v>0</v>
      </c>
      <c r="AO37" s="98">
        <v>0</v>
      </c>
      <c r="AP37" s="98">
        <v>0</v>
      </c>
      <c r="AQ37" s="41" t="s">
        <v>381</v>
      </c>
      <c r="AR37" s="41" t="s">
        <v>259</v>
      </c>
      <c r="AS37" s="41" t="s">
        <v>382</v>
      </c>
      <c r="AT37" t="s">
        <v>73</v>
      </c>
      <c r="AU37" s="48">
        <v>15.91</v>
      </c>
      <c r="AV37" s="7" t="s">
        <v>80</v>
      </c>
      <c r="AW37" t="s">
        <v>73</v>
      </c>
      <c r="AX37" s="119">
        <v>1E-3</v>
      </c>
      <c r="AY37">
        <v>1</v>
      </c>
      <c r="AZ37">
        <f>TINV(AX37,CC37)</f>
        <v>3.3101701484367259</v>
      </c>
      <c r="BA37" s="99" t="s">
        <v>73</v>
      </c>
      <c r="BB37" s="99"/>
      <c r="BC37" s="99" t="s">
        <v>73</v>
      </c>
      <c r="BD37" s="99" t="s">
        <v>73</v>
      </c>
      <c r="BE37" s="99" t="s">
        <v>73</v>
      </c>
      <c r="BF37" s="99" t="s">
        <v>73</v>
      </c>
      <c r="BG37" s="99" t="s">
        <v>73</v>
      </c>
      <c r="BH37" s="99" t="s">
        <v>73</v>
      </c>
      <c r="BI37" s="98">
        <v>500</v>
      </c>
      <c r="BJ37" s="98">
        <v>2000</v>
      </c>
      <c r="BK37" s="98" t="s">
        <v>73</v>
      </c>
      <c r="BL37" s="98" t="s">
        <v>73</v>
      </c>
      <c r="BM37" s="98" t="s">
        <v>73</v>
      </c>
      <c r="BN37" s="98" t="s">
        <v>73</v>
      </c>
      <c r="BO37" s="98" t="s">
        <v>73</v>
      </c>
      <c r="BP37">
        <v>0</v>
      </c>
      <c r="BQ37" s="98" t="s">
        <v>73</v>
      </c>
      <c r="BR37">
        <v>1</v>
      </c>
      <c r="BS37" s="110" t="s">
        <v>73</v>
      </c>
      <c r="BT37" t="s">
        <v>321</v>
      </c>
      <c r="BU37" s="98">
        <v>0</v>
      </c>
      <c r="BV37" s="98">
        <v>0</v>
      </c>
      <c r="BW37" s="98">
        <v>1</v>
      </c>
      <c r="BX37" s="30">
        <f>((AZ37^2)/(AZ37^2+BI37))^(1/2)</f>
        <v>0.1464394351286451</v>
      </c>
      <c r="BY37" s="30">
        <f>0.5*LN((1+BX37)/(1-BX37))</f>
        <v>0.14749988735332095</v>
      </c>
      <c r="BZ37" s="30">
        <f>((1-(BY37^2)^2)/(BI37-1))</f>
        <v>2.0030594529697188E-3</v>
      </c>
      <c r="CA37" s="30">
        <f>1/(BI37-3)</f>
        <v>2.012072434607646E-3</v>
      </c>
      <c r="CC37">
        <f>BI37-2</f>
        <v>498</v>
      </c>
    </row>
    <row r="38" spans="1:81" ht="16">
      <c r="A38" s="11" t="s">
        <v>68</v>
      </c>
      <c r="B38" s="11"/>
      <c r="C38" s="97">
        <v>1156</v>
      </c>
      <c r="D38" s="98">
        <v>135</v>
      </c>
      <c r="E38" t="s">
        <v>344</v>
      </c>
      <c r="F38" s="97">
        <v>2014</v>
      </c>
      <c r="G38" t="s">
        <v>345</v>
      </c>
      <c r="H38" t="s">
        <v>346</v>
      </c>
      <c r="I38" s="98">
        <v>2</v>
      </c>
      <c r="J38">
        <v>2012</v>
      </c>
      <c r="K38" s="97" t="s">
        <v>73</v>
      </c>
      <c r="L38" s="98">
        <v>13</v>
      </c>
      <c r="M38" t="s">
        <v>282</v>
      </c>
      <c r="N38" t="s">
        <v>246</v>
      </c>
      <c r="O38" t="s">
        <v>347</v>
      </c>
      <c r="P38" t="s">
        <v>247</v>
      </c>
      <c r="Q38" t="s">
        <v>242</v>
      </c>
      <c r="R38" t="s">
        <v>248</v>
      </c>
      <c r="S38">
        <v>0</v>
      </c>
      <c r="T38" s="32" t="s">
        <v>291</v>
      </c>
      <c r="U38">
        <v>0</v>
      </c>
      <c r="V38" s="97" t="s">
        <v>221</v>
      </c>
      <c r="W38" s="97" t="s">
        <v>221</v>
      </c>
      <c r="X38" t="s">
        <v>474</v>
      </c>
      <c r="Y38" s="98">
        <v>0</v>
      </c>
      <c r="Z38" s="98">
        <v>0</v>
      </c>
      <c r="AA38" s="98">
        <v>1</v>
      </c>
      <c r="AB38" s="98">
        <v>0</v>
      </c>
      <c r="AC38" s="98">
        <v>0</v>
      </c>
      <c r="AD38" s="98">
        <v>0</v>
      </c>
      <c r="AE38" s="98">
        <v>0</v>
      </c>
      <c r="AF38" s="98">
        <v>0</v>
      </c>
      <c r="AG38" s="98" t="s">
        <v>348</v>
      </c>
      <c r="AH38" s="98">
        <v>0</v>
      </c>
      <c r="AI38" s="98">
        <v>0</v>
      </c>
      <c r="AJ38" s="98">
        <v>0</v>
      </c>
      <c r="AK38" s="98">
        <v>1</v>
      </c>
      <c r="AL38" s="98">
        <v>0</v>
      </c>
      <c r="AM38" s="98">
        <v>0</v>
      </c>
      <c r="AN38" s="98">
        <v>0</v>
      </c>
      <c r="AO38" s="98">
        <v>0</v>
      </c>
      <c r="AP38" s="98">
        <v>0</v>
      </c>
      <c r="AQ38" s="41" t="s">
        <v>381</v>
      </c>
      <c r="AR38" s="41" t="s">
        <v>259</v>
      </c>
      <c r="AS38" s="41" t="s">
        <v>382</v>
      </c>
      <c r="AT38" t="s">
        <v>73</v>
      </c>
      <c r="AU38" s="48">
        <v>13.19</v>
      </c>
      <c r="AV38" s="7" t="s">
        <v>80</v>
      </c>
      <c r="AW38" t="s">
        <v>73</v>
      </c>
      <c r="AX38">
        <v>0.01</v>
      </c>
      <c r="AY38">
        <v>3</v>
      </c>
      <c r="AZ38">
        <f>TINV(AX38,CC38)</f>
        <v>2.5857376110802122</v>
      </c>
      <c r="BA38" s="99" t="s">
        <v>73</v>
      </c>
      <c r="BB38" s="99"/>
      <c r="BC38" s="99" t="s">
        <v>73</v>
      </c>
      <c r="BD38" s="99" t="s">
        <v>73</v>
      </c>
      <c r="BE38" s="99" t="s">
        <v>73</v>
      </c>
      <c r="BF38" s="99" t="s">
        <v>73</v>
      </c>
      <c r="BG38" s="99" t="s">
        <v>73</v>
      </c>
      <c r="BH38" s="99" t="s">
        <v>73</v>
      </c>
      <c r="BI38" s="98">
        <v>500</v>
      </c>
      <c r="BJ38" s="98">
        <v>2000</v>
      </c>
      <c r="BK38" s="98" t="s">
        <v>73</v>
      </c>
      <c r="BL38" s="98" t="s">
        <v>73</v>
      </c>
      <c r="BM38" s="98" t="s">
        <v>73</v>
      </c>
      <c r="BN38" s="98" t="s">
        <v>73</v>
      </c>
      <c r="BO38" s="98" t="s">
        <v>73</v>
      </c>
      <c r="BP38">
        <v>0</v>
      </c>
      <c r="BQ38" s="98" t="s">
        <v>73</v>
      </c>
      <c r="BR38">
        <v>1</v>
      </c>
      <c r="BS38" s="110" t="s">
        <v>73</v>
      </c>
      <c r="BT38" t="s">
        <v>321</v>
      </c>
      <c r="BU38" s="98">
        <v>0</v>
      </c>
      <c r="BV38" s="98">
        <v>0</v>
      </c>
      <c r="BW38" s="98">
        <v>1</v>
      </c>
      <c r="BX38" s="30">
        <f>((AZ38^2)/(AZ38^2+BI38))^(1/2)</f>
        <v>0.11487221186750445</v>
      </c>
      <c r="BY38" s="30">
        <f>0.5*LN((1+BX38)/(1-BX38))</f>
        <v>0.11538152059067894</v>
      </c>
      <c r="BZ38" s="30">
        <f>((1-(BY38^2)^2)/(BI38-1))</f>
        <v>2.0036528393164244E-3</v>
      </c>
      <c r="CA38" s="30">
        <f>1/(BI38-3)</f>
        <v>2.012072434607646E-3</v>
      </c>
      <c r="CC38">
        <f>BI38-2</f>
        <v>498</v>
      </c>
    </row>
    <row r="39" spans="1:81" ht="16">
      <c r="A39" s="11" t="s">
        <v>68</v>
      </c>
      <c r="B39" s="11"/>
      <c r="C39" s="97">
        <v>1191</v>
      </c>
      <c r="D39" s="98">
        <v>144</v>
      </c>
      <c r="E39" s="44" t="s">
        <v>423</v>
      </c>
      <c r="F39" s="97">
        <v>2014</v>
      </c>
      <c r="G39" t="s">
        <v>424</v>
      </c>
      <c r="H39" t="s">
        <v>425</v>
      </c>
      <c r="I39" s="98">
        <v>2</v>
      </c>
      <c r="J39">
        <v>2009</v>
      </c>
      <c r="K39" s="97" t="s">
        <v>73</v>
      </c>
      <c r="L39">
        <v>13</v>
      </c>
      <c r="M39" s="97" t="s">
        <v>349</v>
      </c>
      <c r="N39" t="s">
        <v>246</v>
      </c>
      <c r="O39" s="97" t="s">
        <v>81</v>
      </c>
      <c r="P39" t="s">
        <v>247</v>
      </c>
      <c r="Q39" s="97" t="s">
        <v>242</v>
      </c>
      <c r="R39" s="32" t="s">
        <v>248</v>
      </c>
      <c r="S39">
        <v>1</v>
      </c>
      <c r="T39" s="32" t="s">
        <v>291</v>
      </c>
      <c r="U39">
        <v>1</v>
      </c>
      <c r="V39" s="97" t="s">
        <v>221</v>
      </c>
      <c r="W39" s="97" t="s">
        <v>221</v>
      </c>
      <c r="X39" t="s">
        <v>474</v>
      </c>
      <c r="Y39" s="98">
        <v>0</v>
      </c>
      <c r="Z39" s="98">
        <v>0</v>
      </c>
      <c r="AA39" s="98">
        <v>1</v>
      </c>
      <c r="AB39" s="98">
        <v>1</v>
      </c>
      <c r="AC39" s="98">
        <v>0</v>
      </c>
      <c r="AD39" s="98">
        <v>0</v>
      </c>
      <c r="AE39" s="98">
        <v>0</v>
      </c>
      <c r="AF39" s="98">
        <v>0</v>
      </c>
      <c r="AG39" t="s">
        <v>426</v>
      </c>
      <c r="AH39" s="98">
        <v>0</v>
      </c>
      <c r="AI39" s="98">
        <v>0</v>
      </c>
      <c r="AJ39" s="98">
        <v>0</v>
      </c>
      <c r="AK39" s="98">
        <v>1</v>
      </c>
      <c r="AL39" s="98">
        <v>0</v>
      </c>
      <c r="AM39" s="98">
        <v>0</v>
      </c>
      <c r="AN39" s="98">
        <v>0</v>
      </c>
      <c r="AO39" s="98">
        <v>0</v>
      </c>
      <c r="AP39" s="98">
        <v>0</v>
      </c>
      <c r="AQ39" s="98" t="s">
        <v>73</v>
      </c>
      <c r="AR39" t="s">
        <v>259</v>
      </c>
      <c r="AS39" t="s">
        <v>427</v>
      </c>
      <c r="AT39" t="s">
        <v>249</v>
      </c>
      <c r="AU39" s="106">
        <v>2.08</v>
      </c>
      <c r="AV39" s="7" t="s">
        <v>80</v>
      </c>
      <c r="AW39">
        <v>0.22900000000000001</v>
      </c>
      <c r="AX39">
        <v>0.01</v>
      </c>
      <c r="AY39">
        <v>1</v>
      </c>
      <c r="AZ39">
        <f>AU39/AW39</f>
        <v>9.0829694323144103</v>
      </c>
      <c r="BA39" t="s">
        <v>73</v>
      </c>
      <c r="BC39" t="s">
        <v>73</v>
      </c>
      <c r="BD39" t="s">
        <v>73</v>
      </c>
      <c r="BE39" t="s">
        <v>73</v>
      </c>
      <c r="BF39" t="s">
        <v>73</v>
      </c>
      <c r="BG39" t="s">
        <v>73</v>
      </c>
      <c r="BH39" t="s">
        <v>73</v>
      </c>
      <c r="BI39">
        <v>355</v>
      </c>
      <c r="BJ39" s="111">
        <v>19860</v>
      </c>
      <c r="BK39" t="s">
        <v>73</v>
      </c>
      <c r="BL39" t="s">
        <v>73</v>
      </c>
      <c r="BM39">
        <v>50</v>
      </c>
      <c r="BN39" s="98" t="s">
        <v>73</v>
      </c>
      <c r="BO39" s="98" t="s">
        <v>229</v>
      </c>
      <c r="BP39">
        <v>1</v>
      </c>
      <c r="BQ39">
        <v>14</v>
      </c>
      <c r="BR39">
        <v>1</v>
      </c>
      <c r="BS39" s="112">
        <v>0.2</v>
      </c>
      <c r="BT39" t="s">
        <v>73</v>
      </c>
      <c r="BU39" s="98">
        <v>0</v>
      </c>
      <c r="BV39" s="98">
        <v>0</v>
      </c>
      <c r="BW39" s="98">
        <v>1</v>
      </c>
      <c r="BX39" s="30">
        <f>((AZ39^2)/(AZ39^2+BI39))^(1/2)</f>
        <v>0.43424883131426489</v>
      </c>
      <c r="BY39" s="30">
        <f>0.5*LN((1+BX39)/(1-BX39))</f>
        <v>0.46512108920045175</v>
      </c>
      <c r="BZ39" s="30">
        <f>((1-(BY39^2)^2)/(BI39-1))</f>
        <v>2.6926498047349623E-3</v>
      </c>
      <c r="CA39" s="30">
        <f>1/(BI39-3)</f>
        <v>2.840909090909091E-3</v>
      </c>
      <c r="CC39">
        <f>BI39-2</f>
        <v>353</v>
      </c>
    </row>
    <row r="40" spans="1:81" ht="16">
      <c r="A40" s="11" t="s">
        <v>68</v>
      </c>
      <c r="B40" s="11"/>
      <c r="C40" s="97">
        <v>1192</v>
      </c>
      <c r="D40" s="98">
        <v>144</v>
      </c>
      <c r="E40" s="44" t="s">
        <v>423</v>
      </c>
      <c r="F40" s="97">
        <v>2014</v>
      </c>
      <c r="G40" t="s">
        <v>424</v>
      </c>
      <c r="H40" t="s">
        <v>425</v>
      </c>
      <c r="I40" s="98">
        <v>2</v>
      </c>
      <c r="J40">
        <v>2009</v>
      </c>
      <c r="K40" s="97" t="s">
        <v>73</v>
      </c>
      <c r="L40">
        <v>13</v>
      </c>
      <c r="M40" s="97" t="s">
        <v>349</v>
      </c>
      <c r="N40" t="s">
        <v>246</v>
      </c>
      <c r="O40" s="97" t="s">
        <v>81</v>
      </c>
      <c r="P40" t="s">
        <v>247</v>
      </c>
      <c r="Q40" s="97" t="s">
        <v>242</v>
      </c>
      <c r="R40" s="32" t="s">
        <v>248</v>
      </c>
      <c r="S40">
        <v>1</v>
      </c>
      <c r="T40" s="32" t="s">
        <v>291</v>
      </c>
      <c r="U40">
        <v>1</v>
      </c>
      <c r="V40" s="97" t="s">
        <v>221</v>
      </c>
      <c r="W40" s="97" t="s">
        <v>221</v>
      </c>
      <c r="X40" t="s">
        <v>474</v>
      </c>
      <c r="Y40" s="98">
        <v>0</v>
      </c>
      <c r="Z40" s="98">
        <v>0</v>
      </c>
      <c r="AA40" s="98">
        <v>1</v>
      </c>
      <c r="AB40" s="98">
        <v>0</v>
      </c>
      <c r="AC40" s="98">
        <v>0</v>
      </c>
      <c r="AD40" s="98">
        <v>0</v>
      </c>
      <c r="AE40" s="98">
        <v>0</v>
      </c>
      <c r="AF40" s="98">
        <v>0</v>
      </c>
      <c r="AG40" t="s">
        <v>428</v>
      </c>
      <c r="AH40" s="98">
        <v>0</v>
      </c>
      <c r="AI40" s="98">
        <v>0</v>
      </c>
      <c r="AJ40" s="98">
        <v>0</v>
      </c>
      <c r="AK40" s="98">
        <v>1</v>
      </c>
      <c r="AL40" s="98">
        <v>0</v>
      </c>
      <c r="AM40" s="98">
        <v>0</v>
      </c>
      <c r="AN40" s="98">
        <v>0</v>
      </c>
      <c r="AO40" s="98">
        <v>0</v>
      </c>
      <c r="AP40" s="98">
        <v>0</v>
      </c>
      <c r="AQ40" s="98" t="s">
        <v>73</v>
      </c>
      <c r="AR40" t="s">
        <v>259</v>
      </c>
      <c r="AS40" t="s">
        <v>427</v>
      </c>
      <c r="AT40" t="s">
        <v>249</v>
      </c>
      <c r="AU40" s="106">
        <v>2.3839999999999999</v>
      </c>
      <c r="AV40" s="7" t="s">
        <v>80</v>
      </c>
      <c r="AW40" s="16">
        <v>0.18</v>
      </c>
      <c r="AX40">
        <v>0.01</v>
      </c>
      <c r="AY40">
        <v>1</v>
      </c>
      <c r="AZ40">
        <f>AU40/AW40</f>
        <v>13.244444444444444</v>
      </c>
      <c r="BA40" t="s">
        <v>73</v>
      </c>
      <c r="BC40" t="s">
        <v>73</v>
      </c>
      <c r="BD40" t="s">
        <v>73</v>
      </c>
      <c r="BE40" t="s">
        <v>73</v>
      </c>
      <c r="BF40" t="s">
        <v>73</v>
      </c>
      <c r="BG40" t="s">
        <v>73</v>
      </c>
      <c r="BH40" t="s">
        <v>73</v>
      </c>
      <c r="BI40">
        <v>349</v>
      </c>
      <c r="BJ40" s="111">
        <v>19452</v>
      </c>
      <c r="BK40" t="s">
        <v>73</v>
      </c>
      <c r="BL40" t="s">
        <v>73</v>
      </c>
      <c r="BM40" t="s">
        <v>73</v>
      </c>
      <c r="BN40" s="98" t="s">
        <v>73</v>
      </c>
      <c r="BO40" s="98" t="s">
        <v>73</v>
      </c>
      <c r="BP40">
        <v>1</v>
      </c>
      <c r="BQ40">
        <v>14</v>
      </c>
      <c r="BR40">
        <v>1</v>
      </c>
      <c r="BS40" s="112">
        <v>0.2</v>
      </c>
      <c r="BT40" t="s">
        <v>73</v>
      </c>
      <c r="BU40" s="98">
        <v>0</v>
      </c>
      <c r="BV40" s="98">
        <v>0</v>
      </c>
      <c r="BW40" s="98">
        <v>1</v>
      </c>
      <c r="BX40" s="30">
        <f>((AZ40^2)/(AZ40^2+BI40))^(1/2)</f>
        <v>0.57835709203923469</v>
      </c>
      <c r="BY40" s="30">
        <f>0.5*LN((1+BX40)/(1-BX40))</f>
        <v>0.65999050186206398</v>
      </c>
      <c r="BZ40" s="30">
        <f>((1-(BY40^2)^2)/(BI40-1))</f>
        <v>2.3283435703186023E-3</v>
      </c>
      <c r="CA40" s="30">
        <f>1/(BI40-3)</f>
        <v>2.8901734104046241E-3</v>
      </c>
      <c r="CC40">
        <f>BI40-2</f>
        <v>347</v>
      </c>
    </row>
    <row r="41" spans="1:81" ht="16">
      <c r="A41" s="11" t="s">
        <v>68</v>
      </c>
      <c r="B41" s="11"/>
      <c r="C41" s="97">
        <v>1180</v>
      </c>
      <c r="D41" s="98">
        <v>142</v>
      </c>
      <c r="E41" s="44" t="s">
        <v>404</v>
      </c>
      <c r="F41" s="97">
        <v>2014</v>
      </c>
      <c r="G41" t="s">
        <v>405</v>
      </c>
      <c r="H41" t="s">
        <v>406</v>
      </c>
      <c r="I41" s="98">
        <v>2</v>
      </c>
      <c r="J41">
        <v>2011</v>
      </c>
      <c r="K41" s="97" t="s">
        <v>73</v>
      </c>
      <c r="L41">
        <v>582</v>
      </c>
      <c r="M41" s="97" t="s">
        <v>349</v>
      </c>
      <c r="N41" t="s">
        <v>246</v>
      </c>
      <c r="O41" s="97" t="s">
        <v>81</v>
      </c>
      <c r="P41" t="s">
        <v>247</v>
      </c>
      <c r="Q41" s="97" t="s">
        <v>242</v>
      </c>
      <c r="R41" t="s">
        <v>233</v>
      </c>
      <c r="S41">
        <v>1</v>
      </c>
      <c r="T41" s="32" t="s">
        <v>291</v>
      </c>
      <c r="U41">
        <v>1</v>
      </c>
      <c r="V41" s="97" t="s">
        <v>221</v>
      </c>
      <c r="W41" s="97" t="s">
        <v>221</v>
      </c>
      <c r="X41" t="s">
        <v>474</v>
      </c>
      <c r="Y41" s="98">
        <v>0</v>
      </c>
      <c r="Z41" s="98">
        <v>1</v>
      </c>
      <c r="AA41" s="98">
        <v>1</v>
      </c>
      <c r="AB41" s="98">
        <v>0</v>
      </c>
      <c r="AC41" s="98">
        <v>0</v>
      </c>
      <c r="AD41" s="98">
        <v>0</v>
      </c>
      <c r="AE41" s="98">
        <v>0</v>
      </c>
      <c r="AF41" s="98">
        <v>0</v>
      </c>
      <c r="AG41" t="s">
        <v>407</v>
      </c>
      <c r="AH41" s="98">
        <v>0</v>
      </c>
      <c r="AI41" s="98">
        <v>0</v>
      </c>
      <c r="AJ41" s="98">
        <v>0</v>
      </c>
      <c r="AK41" s="98">
        <v>0</v>
      </c>
      <c r="AL41" s="98">
        <v>0</v>
      </c>
      <c r="AM41" s="98">
        <v>0</v>
      </c>
      <c r="AN41" s="98">
        <v>1</v>
      </c>
      <c r="AO41" s="98">
        <v>0</v>
      </c>
      <c r="AP41" s="98">
        <v>0</v>
      </c>
      <c r="AQ41" t="s">
        <v>408</v>
      </c>
      <c r="AR41" t="s">
        <v>259</v>
      </c>
      <c r="AS41" t="s">
        <v>409</v>
      </c>
      <c r="AT41" t="s">
        <v>73</v>
      </c>
      <c r="AU41" s="106">
        <v>0.7</v>
      </c>
      <c r="AV41" s="7" t="s">
        <v>80</v>
      </c>
      <c r="AW41">
        <f>AU41/AZ41</f>
        <v>9.8591549295774641E-2</v>
      </c>
      <c r="AX41">
        <v>0.1</v>
      </c>
      <c r="AY41">
        <v>1</v>
      </c>
      <c r="AZ41">
        <v>7.1</v>
      </c>
      <c r="BA41" t="s">
        <v>73</v>
      </c>
      <c r="BC41" t="s">
        <v>73</v>
      </c>
      <c r="BD41" t="s">
        <v>73</v>
      </c>
      <c r="BE41" t="s">
        <v>73</v>
      </c>
      <c r="BF41" t="s">
        <v>73</v>
      </c>
      <c r="BG41" t="s">
        <v>73</v>
      </c>
      <c r="BH41" t="s">
        <v>73</v>
      </c>
      <c r="BI41">
        <v>1184</v>
      </c>
      <c r="BJ41">
        <v>1184</v>
      </c>
      <c r="BK41" t="s">
        <v>73</v>
      </c>
      <c r="BL41" t="s">
        <v>73</v>
      </c>
      <c r="BM41" s="98" t="s">
        <v>73</v>
      </c>
      <c r="BN41" s="98" t="s">
        <v>73</v>
      </c>
      <c r="BO41" s="98" t="s">
        <v>73</v>
      </c>
      <c r="BP41">
        <v>1</v>
      </c>
      <c r="BQ41">
        <v>288</v>
      </c>
      <c r="BR41">
        <v>0</v>
      </c>
      <c r="BS41" s="98" t="s">
        <v>73</v>
      </c>
      <c r="BT41" s="98" t="s">
        <v>73</v>
      </c>
      <c r="BU41" s="98">
        <v>1</v>
      </c>
      <c r="BV41" s="98">
        <v>0</v>
      </c>
      <c r="BW41" s="98">
        <v>1</v>
      </c>
      <c r="BX41" s="30">
        <f>((AZ41^2)/(AZ41^2+BI41))^(1/2)</f>
        <v>0.2020824660717096</v>
      </c>
      <c r="BY41" s="30">
        <f>0.5*LN((1+BX41)/(1-BX41))</f>
        <v>0.20490273447739515</v>
      </c>
      <c r="BZ41" s="30">
        <f>((1-(BY41^2)^2)/(BI41-1))</f>
        <v>8.4381846898462422E-4</v>
      </c>
      <c r="CA41" s="30">
        <f>1/(BI41-3)</f>
        <v>8.4674005080440302E-4</v>
      </c>
      <c r="CC41">
        <f>BI41-2</f>
        <v>1182</v>
      </c>
    </row>
    <row r="42" spans="1:81" ht="16">
      <c r="A42" s="11" t="s">
        <v>68</v>
      </c>
      <c r="B42" s="11"/>
      <c r="C42" s="97">
        <v>1181</v>
      </c>
      <c r="D42" s="98">
        <v>142</v>
      </c>
      <c r="E42" s="44" t="s">
        <v>404</v>
      </c>
      <c r="F42" s="97">
        <v>2014</v>
      </c>
      <c r="G42" t="s">
        <v>405</v>
      </c>
      <c r="H42" t="s">
        <v>406</v>
      </c>
      <c r="I42" s="98">
        <v>2</v>
      </c>
      <c r="J42">
        <v>2011</v>
      </c>
      <c r="K42" s="97" t="s">
        <v>73</v>
      </c>
      <c r="L42">
        <v>582</v>
      </c>
      <c r="M42" s="97" t="s">
        <v>349</v>
      </c>
      <c r="N42" t="s">
        <v>246</v>
      </c>
      <c r="O42" s="97" t="s">
        <v>81</v>
      </c>
      <c r="P42" t="s">
        <v>247</v>
      </c>
      <c r="Q42" s="97" t="s">
        <v>242</v>
      </c>
      <c r="R42" t="s">
        <v>233</v>
      </c>
      <c r="S42">
        <v>1</v>
      </c>
      <c r="T42" s="32" t="s">
        <v>291</v>
      </c>
      <c r="U42">
        <v>1</v>
      </c>
      <c r="V42" s="97" t="s">
        <v>221</v>
      </c>
      <c r="W42" s="97" t="s">
        <v>221</v>
      </c>
      <c r="X42" t="s">
        <v>474</v>
      </c>
      <c r="Y42" s="98">
        <v>0</v>
      </c>
      <c r="Z42" s="98">
        <v>1</v>
      </c>
      <c r="AA42" s="98">
        <v>1</v>
      </c>
      <c r="AB42" s="98">
        <v>0</v>
      </c>
      <c r="AC42" s="98">
        <v>0</v>
      </c>
      <c r="AD42" s="98">
        <v>0</v>
      </c>
      <c r="AE42" s="98">
        <v>0</v>
      </c>
      <c r="AF42" s="98">
        <v>0</v>
      </c>
      <c r="AG42" t="s">
        <v>410</v>
      </c>
      <c r="AH42" s="98">
        <v>0</v>
      </c>
      <c r="AI42" s="98">
        <v>0</v>
      </c>
      <c r="AJ42" s="98">
        <v>0</v>
      </c>
      <c r="AK42" s="98">
        <v>0</v>
      </c>
      <c r="AL42" s="98">
        <v>0</v>
      </c>
      <c r="AM42" s="98">
        <v>0</v>
      </c>
      <c r="AN42" s="98">
        <v>1</v>
      </c>
      <c r="AO42" s="98">
        <v>0</v>
      </c>
      <c r="AP42" s="98">
        <v>0</v>
      </c>
      <c r="AQ42" t="s">
        <v>408</v>
      </c>
      <c r="AR42" t="s">
        <v>259</v>
      </c>
      <c r="AS42" t="s">
        <v>409</v>
      </c>
      <c r="AT42" t="s">
        <v>73</v>
      </c>
      <c r="AU42" s="106">
        <v>0.111</v>
      </c>
      <c r="AV42" s="7" t="s">
        <v>80</v>
      </c>
      <c r="AW42">
        <f>AU42/AZ42</f>
        <v>0.15416666666666667</v>
      </c>
      <c r="AX42">
        <v>0.1</v>
      </c>
      <c r="AY42">
        <v>2</v>
      </c>
      <c r="AZ42">
        <v>0.72</v>
      </c>
      <c r="BA42" t="s">
        <v>73</v>
      </c>
      <c r="BC42" t="s">
        <v>73</v>
      </c>
      <c r="BD42" t="s">
        <v>73</v>
      </c>
      <c r="BE42" t="s">
        <v>73</v>
      </c>
      <c r="BF42" t="s">
        <v>73</v>
      </c>
      <c r="BG42" t="s">
        <v>73</v>
      </c>
      <c r="BH42" t="s">
        <v>73</v>
      </c>
      <c r="BI42">
        <v>1184</v>
      </c>
      <c r="BJ42">
        <v>1184</v>
      </c>
      <c r="BK42" t="s">
        <v>73</v>
      </c>
      <c r="BL42" t="s">
        <v>73</v>
      </c>
      <c r="BM42" s="98" t="s">
        <v>73</v>
      </c>
      <c r="BN42" s="98" t="s">
        <v>73</v>
      </c>
      <c r="BO42" s="98" t="s">
        <v>73</v>
      </c>
      <c r="BP42">
        <v>1</v>
      </c>
      <c r="BQ42">
        <v>288</v>
      </c>
      <c r="BR42">
        <v>0</v>
      </c>
      <c r="BS42" s="98" t="s">
        <v>73</v>
      </c>
      <c r="BT42" s="98" t="s">
        <v>73</v>
      </c>
      <c r="BU42" s="98">
        <v>1</v>
      </c>
      <c r="BV42" s="98">
        <v>0</v>
      </c>
      <c r="BW42" s="98">
        <v>1</v>
      </c>
      <c r="BX42" s="30">
        <f>((AZ42^2)/(AZ42^2+BI42))^(1/2)</f>
        <v>2.0919995692237577E-2</v>
      </c>
      <c r="BY42" s="30">
        <f>0.5*LN((1+BX42)/(1-BX42))</f>
        <v>2.0923048346211292E-2</v>
      </c>
      <c r="BZ42" s="30">
        <f>((1-(BY42^2)^2)/(BI42-1))</f>
        <v>8.453083756162019E-4</v>
      </c>
      <c r="CA42" s="30">
        <f>1/(BI42-3)</f>
        <v>8.4674005080440302E-4</v>
      </c>
      <c r="CC42">
        <f>BI42-2</f>
        <v>1182</v>
      </c>
    </row>
    <row r="43" spans="1:81" ht="16">
      <c r="A43" s="11" t="s">
        <v>68</v>
      </c>
      <c r="B43" s="11"/>
      <c r="C43" s="97">
        <v>1182</v>
      </c>
      <c r="D43" s="98">
        <v>142</v>
      </c>
      <c r="E43" s="44" t="s">
        <v>404</v>
      </c>
      <c r="F43" s="97">
        <v>2014</v>
      </c>
      <c r="G43" t="s">
        <v>405</v>
      </c>
      <c r="H43" t="s">
        <v>406</v>
      </c>
      <c r="I43" s="98">
        <v>2</v>
      </c>
      <c r="J43">
        <v>2011</v>
      </c>
      <c r="K43" s="97" t="s">
        <v>73</v>
      </c>
      <c r="L43">
        <v>582</v>
      </c>
      <c r="M43" s="97" t="s">
        <v>349</v>
      </c>
      <c r="N43" t="s">
        <v>246</v>
      </c>
      <c r="O43" s="97" t="s">
        <v>81</v>
      </c>
      <c r="P43" t="s">
        <v>247</v>
      </c>
      <c r="Q43" s="97" t="s">
        <v>242</v>
      </c>
      <c r="R43" t="s">
        <v>233</v>
      </c>
      <c r="S43">
        <v>1</v>
      </c>
      <c r="T43" s="32" t="s">
        <v>291</v>
      </c>
      <c r="U43">
        <v>1</v>
      </c>
      <c r="V43" s="97" t="s">
        <v>221</v>
      </c>
      <c r="W43" s="97" t="s">
        <v>221</v>
      </c>
      <c r="X43" t="s">
        <v>474</v>
      </c>
      <c r="Y43" s="98">
        <v>0</v>
      </c>
      <c r="Z43" s="98">
        <v>0</v>
      </c>
      <c r="AA43" s="98">
        <v>1</v>
      </c>
      <c r="AB43" s="98">
        <v>0</v>
      </c>
      <c r="AC43" s="98">
        <v>0</v>
      </c>
      <c r="AD43" s="98">
        <v>0</v>
      </c>
      <c r="AE43" s="98">
        <v>0</v>
      </c>
      <c r="AF43" s="98">
        <v>0</v>
      </c>
      <c r="AG43" t="s">
        <v>411</v>
      </c>
      <c r="AH43" s="98">
        <v>0</v>
      </c>
      <c r="AI43" s="98">
        <v>0</v>
      </c>
      <c r="AJ43" s="98">
        <v>0</v>
      </c>
      <c r="AK43" s="98">
        <v>0</v>
      </c>
      <c r="AL43" s="98">
        <v>0</v>
      </c>
      <c r="AM43" s="98">
        <v>0</v>
      </c>
      <c r="AN43" s="98">
        <v>1</v>
      </c>
      <c r="AO43" s="98">
        <v>0</v>
      </c>
      <c r="AP43" s="98">
        <v>0</v>
      </c>
      <c r="AQ43" t="s">
        <v>408</v>
      </c>
      <c r="AR43" t="s">
        <v>259</v>
      </c>
      <c r="AS43" t="s">
        <v>409</v>
      </c>
      <c r="AT43" t="s">
        <v>73</v>
      </c>
      <c r="AU43" s="106">
        <v>0.13200000000000001</v>
      </c>
      <c r="AV43" s="7" t="s">
        <v>86</v>
      </c>
      <c r="AW43">
        <f>AU43/AZ43</f>
        <v>0.11478260869565218</v>
      </c>
      <c r="AX43">
        <v>0.1</v>
      </c>
      <c r="AY43">
        <v>2</v>
      </c>
      <c r="AZ43">
        <v>1.1499999999999999</v>
      </c>
      <c r="BA43" t="s">
        <v>73</v>
      </c>
      <c r="BC43" t="s">
        <v>73</v>
      </c>
      <c r="BD43" t="s">
        <v>73</v>
      </c>
      <c r="BE43" t="s">
        <v>73</v>
      </c>
      <c r="BF43" t="s">
        <v>73</v>
      </c>
      <c r="BG43" t="s">
        <v>73</v>
      </c>
      <c r="BH43" t="s">
        <v>73</v>
      </c>
      <c r="BI43">
        <v>1184</v>
      </c>
      <c r="BJ43">
        <v>1184</v>
      </c>
      <c r="BK43" t="s">
        <v>73</v>
      </c>
      <c r="BL43" t="s">
        <v>73</v>
      </c>
      <c r="BM43" s="98" t="s">
        <v>73</v>
      </c>
      <c r="BN43" s="98" t="s">
        <v>73</v>
      </c>
      <c r="BO43" s="98" t="s">
        <v>73</v>
      </c>
      <c r="BP43">
        <v>1</v>
      </c>
      <c r="BQ43">
        <v>288</v>
      </c>
      <c r="BR43">
        <v>0</v>
      </c>
      <c r="BS43" s="98" t="s">
        <v>73</v>
      </c>
      <c r="BT43" s="98" t="s">
        <v>73</v>
      </c>
      <c r="BU43" s="98">
        <v>1</v>
      </c>
      <c r="BV43" s="98">
        <v>0</v>
      </c>
      <c r="BW43" s="98">
        <v>1</v>
      </c>
      <c r="BX43" s="30">
        <f>((AZ43^2)/(AZ43^2+BI43))^(1/2)</f>
        <v>3.3402546418006968E-2</v>
      </c>
      <c r="BY43" s="30">
        <f>0.5*LN((1+BX43)/(1-BX43))</f>
        <v>3.341497748312889E-2</v>
      </c>
      <c r="BZ43" s="30">
        <f>((1-(BY43^2)^2)/(BI43-1))</f>
        <v>8.4530748376344727E-4</v>
      </c>
      <c r="CA43" s="30">
        <f>1/(BI43-3)</f>
        <v>8.4674005080440302E-4</v>
      </c>
      <c r="CC43">
        <f>BI43-2</f>
        <v>1182</v>
      </c>
    </row>
    <row r="44" spans="1:81" ht="16">
      <c r="A44" s="11" t="s">
        <v>68</v>
      </c>
      <c r="B44" s="11"/>
      <c r="C44" s="97">
        <v>1183</v>
      </c>
      <c r="D44" s="98">
        <v>142</v>
      </c>
      <c r="E44" s="44" t="s">
        <v>404</v>
      </c>
      <c r="F44" s="97">
        <v>2014</v>
      </c>
      <c r="G44" t="s">
        <v>405</v>
      </c>
      <c r="H44" t="s">
        <v>406</v>
      </c>
      <c r="I44" s="98">
        <v>2</v>
      </c>
      <c r="J44">
        <v>2011</v>
      </c>
      <c r="K44" s="97" t="s">
        <v>73</v>
      </c>
      <c r="L44">
        <v>582</v>
      </c>
      <c r="M44" s="97" t="s">
        <v>349</v>
      </c>
      <c r="N44" t="s">
        <v>246</v>
      </c>
      <c r="O44" s="97" t="s">
        <v>81</v>
      </c>
      <c r="P44" t="s">
        <v>247</v>
      </c>
      <c r="Q44" s="97" t="s">
        <v>242</v>
      </c>
      <c r="R44" t="s">
        <v>233</v>
      </c>
      <c r="S44">
        <v>1</v>
      </c>
      <c r="T44" s="32" t="s">
        <v>291</v>
      </c>
      <c r="U44">
        <v>1</v>
      </c>
      <c r="V44" s="97" t="s">
        <v>221</v>
      </c>
      <c r="W44" s="97" t="s">
        <v>221</v>
      </c>
      <c r="X44" t="s">
        <v>474</v>
      </c>
      <c r="Y44" s="98">
        <v>0</v>
      </c>
      <c r="Z44" s="98">
        <v>0</v>
      </c>
      <c r="AA44" s="98">
        <v>1</v>
      </c>
      <c r="AB44" s="98">
        <v>0</v>
      </c>
      <c r="AC44" s="98">
        <v>0</v>
      </c>
      <c r="AD44" s="98">
        <v>0</v>
      </c>
      <c r="AE44" s="98">
        <v>0</v>
      </c>
      <c r="AF44" s="98">
        <v>0</v>
      </c>
      <c r="AG44" t="s">
        <v>412</v>
      </c>
      <c r="AH44" s="98">
        <v>0</v>
      </c>
      <c r="AI44" s="98">
        <v>0</v>
      </c>
      <c r="AJ44" s="98">
        <v>0</v>
      </c>
      <c r="AK44" s="98">
        <v>0</v>
      </c>
      <c r="AL44" s="98">
        <v>0</v>
      </c>
      <c r="AM44" s="98">
        <v>0</v>
      </c>
      <c r="AN44" s="98">
        <v>1</v>
      </c>
      <c r="AO44" s="98">
        <v>0</v>
      </c>
      <c r="AP44" s="98">
        <v>0</v>
      </c>
      <c r="AQ44" t="s">
        <v>408</v>
      </c>
      <c r="AR44" t="s">
        <v>259</v>
      </c>
      <c r="AS44" t="s">
        <v>409</v>
      </c>
      <c r="AT44" t="s">
        <v>73</v>
      </c>
      <c r="AU44" s="106">
        <v>0.152</v>
      </c>
      <c r="AV44" s="7" t="s">
        <v>86</v>
      </c>
      <c r="AW44">
        <f>AU44/AZ44</f>
        <v>0.14476190476190476</v>
      </c>
      <c r="AX44">
        <v>0.1</v>
      </c>
      <c r="AY44">
        <v>2</v>
      </c>
      <c r="AZ44">
        <v>1.05</v>
      </c>
      <c r="BA44" t="s">
        <v>73</v>
      </c>
      <c r="BC44" t="s">
        <v>73</v>
      </c>
      <c r="BD44" t="s">
        <v>73</v>
      </c>
      <c r="BE44" t="s">
        <v>73</v>
      </c>
      <c r="BF44" t="s">
        <v>73</v>
      </c>
      <c r="BG44" t="s">
        <v>73</v>
      </c>
      <c r="BH44" t="s">
        <v>73</v>
      </c>
      <c r="BI44">
        <v>1184</v>
      </c>
      <c r="BJ44">
        <v>1184</v>
      </c>
      <c r="BK44" t="s">
        <v>73</v>
      </c>
      <c r="BL44" t="s">
        <v>73</v>
      </c>
      <c r="BM44" s="98" t="s">
        <v>73</v>
      </c>
      <c r="BN44" s="98" t="s">
        <v>73</v>
      </c>
      <c r="BO44" s="98" t="s">
        <v>73</v>
      </c>
      <c r="BP44">
        <v>1</v>
      </c>
      <c r="BQ44">
        <v>288</v>
      </c>
      <c r="BR44">
        <v>0</v>
      </c>
      <c r="BS44" s="98" t="s">
        <v>73</v>
      </c>
      <c r="BT44" s="98" t="s">
        <v>73</v>
      </c>
      <c r="BU44" s="98">
        <v>1</v>
      </c>
      <c r="BV44" s="98">
        <v>0</v>
      </c>
      <c r="BW44" s="98">
        <v>1</v>
      </c>
      <c r="BX44" s="30">
        <f>((AZ44^2)/(AZ44^2+BI44))^(1/2)</f>
        <v>3.050080782390133E-2</v>
      </c>
      <c r="BY44" s="30">
        <f>0.5*LN((1+BX44)/(1-BX44))</f>
        <v>3.0510271400002755E-2</v>
      </c>
      <c r="BZ44" s="30">
        <f>((1-(BY44^2)^2)/(BI44-1))</f>
        <v>8.453078051298751E-4</v>
      </c>
      <c r="CA44" s="30">
        <f>1/(BI44-3)</f>
        <v>8.4674005080440302E-4</v>
      </c>
      <c r="CC44">
        <f>BI44-2</f>
        <v>1182</v>
      </c>
    </row>
    <row r="45" spans="1:81" ht="16">
      <c r="A45" s="11" t="s">
        <v>68</v>
      </c>
      <c r="B45" s="11"/>
      <c r="C45" s="97">
        <v>1184</v>
      </c>
      <c r="D45" s="98">
        <v>142</v>
      </c>
      <c r="E45" s="44" t="s">
        <v>404</v>
      </c>
      <c r="F45" s="97">
        <v>2014</v>
      </c>
      <c r="G45" t="s">
        <v>405</v>
      </c>
      <c r="H45" t="s">
        <v>406</v>
      </c>
      <c r="I45" s="98">
        <v>2</v>
      </c>
      <c r="J45">
        <v>2011</v>
      </c>
      <c r="K45" s="97" t="s">
        <v>73</v>
      </c>
      <c r="L45">
        <v>582</v>
      </c>
      <c r="M45" s="97" t="s">
        <v>349</v>
      </c>
      <c r="N45" t="s">
        <v>246</v>
      </c>
      <c r="O45" s="97" t="s">
        <v>81</v>
      </c>
      <c r="P45" t="s">
        <v>247</v>
      </c>
      <c r="Q45" s="97" t="s">
        <v>242</v>
      </c>
      <c r="R45" t="s">
        <v>233</v>
      </c>
      <c r="S45">
        <v>1</v>
      </c>
      <c r="T45" s="32" t="s">
        <v>291</v>
      </c>
      <c r="U45">
        <v>1</v>
      </c>
      <c r="V45" s="97" t="s">
        <v>221</v>
      </c>
      <c r="W45" s="97" t="s">
        <v>221</v>
      </c>
      <c r="X45" t="s">
        <v>474</v>
      </c>
      <c r="Y45" s="98">
        <v>0</v>
      </c>
      <c r="Z45" s="98">
        <v>1</v>
      </c>
      <c r="AA45" s="98">
        <v>1</v>
      </c>
      <c r="AB45" s="98">
        <v>0</v>
      </c>
      <c r="AC45" s="98">
        <v>0</v>
      </c>
      <c r="AD45" s="98">
        <v>0</v>
      </c>
      <c r="AE45" s="98">
        <v>0</v>
      </c>
      <c r="AF45" s="98">
        <v>0</v>
      </c>
      <c r="AG45" t="s">
        <v>413</v>
      </c>
      <c r="AH45" s="98">
        <v>0</v>
      </c>
      <c r="AI45" s="98">
        <v>0</v>
      </c>
      <c r="AJ45" s="98">
        <v>0</v>
      </c>
      <c r="AK45" s="98">
        <v>0</v>
      </c>
      <c r="AL45" s="98">
        <v>0</v>
      </c>
      <c r="AM45" s="98">
        <v>0</v>
      </c>
      <c r="AN45" s="98">
        <v>1</v>
      </c>
      <c r="AO45" s="98">
        <v>0</v>
      </c>
      <c r="AP45" s="98">
        <v>0</v>
      </c>
      <c r="AQ45" t="s">
        <v>408</v>
      </c>
      <c r="AR45" t="s">
        <v>259</v>
      </c>
      <c r="AS45" t="s">
        <v>409</v>
      </c>
      <c r="AT45" t="s">
        <v>73</v>
      </c>
      <c r="AU45" s="106">
        <v>0.34</v>
      </c>
      <c r="AV45" s="7" t="s">
        <v>80</v>
      </c>
      <c r="AW45">
        <f>AU45/AZ45</f>
        <v>0.15044247787610621</v>
      </c>
      <c r="AX45">
        <v>0.1</v>
      </c>
      <c r="AY45">
        <v>1</v>
      </c>
      <c r="AZ45">
        <v>2.2599999999999998</v>
      </c>
      <c r="BA45" t="s">
        <v>73</v>
      </c>
      <c r="BC45" t="s">
        <v>73</v>
      </c>
      <c r="BD45" t="s">
        <v>73</v>
      </c>
      <c r="BE45" t="s">
        <v>73</v>
      </c>
      <c r="BF45" t="s">
        <v>73</v>
      </c>
      <c r="BG45" t="s">
        <v>73</v>
      </c>
      <c r="BH45" t="s">
        <v>73</v>
      </c>
      <c r="BI45">
        <v>1184</v>
      </c>
      <c r="BJ45">
        <v>1184</v>
      </c>
      <c r="BK45" t="s">
        <v>73</v>
      </c>
      <c r="BL45" t="s">
        <v>73</v>
      </c>
      <c r="BM45" s="98" t="s">
        <v>73</v>
      </c>
      <c r="BN45" s="98" t="s">
        <v>73</v>
      </c>
      <c r="BO45" s="98" t="s">
        <v>73</v>
      </c>
      <c r="BP45">
        <v>1</v>
      </c>
      <c r="BQ45">
        <v>288</v>
      </c>
      <c r="BR45">
        <v>0</v>
      </c>
      <c r="BS45" s="98" t="s">
        <v>73</v>
      </c>
      <c r="BT45" s="98" t="s">
        <v>73</v>
      </c>
      <c r="BU45" s="98">
        <v>1</v>
      </c>
      <c r="BV45" s="98">
        <v>0</v>
      </c>
      <c r="BW45" s="98">
        <v>1</v>
      </c>
      <c r="BX45" s="30">
        <f>((AZ45^2)/(AZ45^2+BI45))^(1/2)</f>
        <v>6.5538705898597463E-2</v>
      </c>
      <c r="BY45" s="30">
        <f>0.5*LN((1+BX45)/(1-BX45))</f>
        <v>6.563278509260187E-2</v>
      </c>
      <c r="BZ45" s="30">
        <f>((1-(BY45^2)^2)/(BI45-1))</f>
        <v>8.4529285210817155E-4</v>
      </c>
      <c r="CA45" s="30">
        <f>1/(BI45-3)</f>
        <v>8.4674005080440302E-4</v>
      </c>
      <c r="CC45">
        <f>BI45-2</f>
        <v>1182</v>
      </c>
    </row>
    <row r="46" spans="1:81" ht="16">
      <c r="A46" s="11" t="s">
        <v>68</v>
      </c>
      <c r="B46" s="11"/>
      <c r="C46" s="97">
        <v>1185</v>
      </c>
      <c r="D46" s="98">
        <v>142</v>
      </c>
      <c r="E46" s="44" t="s">
        <v>404</v>
      </c>
      <c r="F46" s="97">
        <v>2014</v>
      </c>
      <c r="G46" t="s">
        <v>405</v>
      </c>
      <c r="H46" t="s">
        <v>406</v>
      </c>
      <c r="I46" s="98">
        <v>2</v>
      </c>
      <c r="J46">
        <v>2011</v>
      </c>
      <c r="K46" s="97" t="s">
        <v>73</v>
      </c>
      <c r="L46">
        <v>582</v>
      </c>
      <c r="M46" s="97" t="s">
        <v>349</v>
      </c>
      <c r="N46" t="s">
        <v>246</v>
      </c>
      <c r="O46" s="97" t="s">
        <v>81</v>
      </c>
      <c r="P46" t="s">
        <v>247</v>
      </c>
      <c r="Q46" s="97" t="s">
        <v>242</v>
      </c>
      <c r="R46" t="s">
        <v>233</v>
      </c>
      <c r="S46">
        <v>1</v>
      </c>
      <c r="T46" s="32" t="s">
        <v>291</v>
      </c>
      <c r="U46">
        <v>1</v>
      </c>
      <c r="V46" s="97" t="s">
        <v>221</v>
      </c>
      <c r="W46" s="97" t="s">
        <v>221</v>
      </c>
      <c r="X46" t="s">
        <v>474</v>
      </c>
      <c r="Y46" s="98">
        <v>0</v>
      </c>
      <c r="Z46" s="98">
        <v>1</v>
      </c>
      <c r="AA46" s="98">
        <v>1</v>
      </c>
      <c r="AB46" s="98">
        <v>0</v>
      </c>
      <c r="AC46" s="98">
        <v>0</v>
      </c>
      <c r="AD46" s="98">
        <v>0</v>
      </c>
      <c r="AE46" s="98">
        <v>0</v>
      </c>
      <c r="AF46" s="98">
        <v>0</v>
      </c>
      <c r="AG46" t="s">
        <v>414</v>
      </c>
      <c r="AH46" s="98">
        <v>0</v>
      </c>
      <c r="AI46" s="98">
        <v>0</v>
      </c>
      <c r="AJ46" s="98">
        <v>0</v>
      </c>
      <c r="AK46" s="98">
        <v>0</v>
      </c>
      <c r="AL46" s="98">
        <v>0</v>
      </c>
      <c r="AM46" s="98">
        <v>0</v>
      </c>
      <c r="AN46" s="98">
        <v>1</v>
      </c>
      <c r="AO46" s="98">
        <v>0</v>
      </c>
      <c r="AP46" s="98">
        <v>0</v>
      </c>
      <c r="AQ46" t="s">
        <v>408</v>
      </c>
      <c r="AR46" t="s">
        <v>259</v>
      </c>
      <c r="AS46" t="s">
        <v>409</v>
      </c>
      <c r="AT46" t="s">
        <v>73</v>
      </c>
      <c r="AU46" s="106">
        <v>0.249</v>
      </c>
      <c r="AV46" s="7" t="s">
        <v>80</v>
      </c>
      <c r="AW46">
        <f>AU46/AZ46</f>
        <v>0.13387096774193546</v>
      </c>
      <c r="AX46">
        <v>0.1</v>
      </c>
      <c r="AY46">
        <v>1</v>
      </c>
      <c r="AZ46">
        <v>1.86</v>
      </c>
      <c r="BA46" t="s">
        <v>73</v>
      </c>
      <c r="BC46" t="s">
        <v>73</v>
      </c>
      <c r="BD46" t="s">
        <v>73</v>
      </c>
      <c r="BE46" t="s">
        <v>73</v>
      </c>
      <c r="BF46" t="s">
        <v>73</v>
      </c>
      <c r="BG46" t="s">
        <v>73</v>
      </c>
      <c r="BH46" t="s">
        <v>73</v>
      </c>
      <c r="BI46">
        <v>1184</v>
      </c>
      <c r="BJ46">
        <v>1184</v>
      </c>
      <c r="BK46" t="s">
        <v>73</v>
      </c>
      <c r="BL46" t="s">
        <v>73</v>
      </c>
      <c r="BM46" s="98" t="s">
        <v>73</v>
      </c>
      <c r="BN46" s="98" t="s">
        <v>73</v>
      </c>
      <c r="BO46" s="98" t="s">
        <v>73</v>
      </c>
      <c r="BP46">
        <v>1</v>
      </c>
      <c r="BQ46">
        <v>288</v>
      </c>
      <c r="BR46">
        <v>0</v>
      </c>
      <c r="BS46" s="98" t="s">
        <v>73</v>
      </c>
      <c r="BT46" s="98" t="s">
        <v>73</v>
      </c>
      <c r="BU46" s="98">
        <v>1</v>
      </c>
      <c r="BV46" s="98">
        <v>0</v>
      </c>
      <c r="BW46" s="98">
        <v>1</v>
      </c>
      <c r="BX46" s="30">
        <f>((AZ46^2)/(AZ46^2+BI46))^(1/2)</f>
        <v>5.3976351182136464E-2</v>
      </c>
      <c r="BY46" s="30">
        <f>0.5*LN((1+BX46)/(1-BX46))</f>
        <v>5.402886207559579E-2</v>
      </c>
      <c r="BZ46" s="30">
        <f>((1-(BY46^2)^2)/(BI46-1))</f>
        <v>8.4530133453125005E-4</v>
      </c>
      <c r="CA46" s="30">
        <f>1/(BI46-3)</f>
        <v>8.4674005080440302E-4</v>
      </c>
      <c r="CC46">
        <f>BI46-2</f>
        <v>1182</v>
      </c>
    </row>
    <row r="47" spans="1:81" ht="16">
      <c r="A47" s="11" t="s">
        <v>68</v>
      </c>
      <c r="B47" s="11"/>
      <c r="C47" s="97">
        <v>1186</v>
      </c>
      <c r="D47" s="98">
        <v>142</v>
      </c>
      <c r="E47" s="44" t="s">
        <v>404</v>
      </c>
      <c r="F47" s="97">
        <v>2014</v>
      </c>
      <c r="G47" t="s">
        <v>405</v>
      </c>
      <c r="H47" t="s">
        <v>406</v>
      </c>
      <c r="I47" s="98">
        <v>2</v>
      </c>
      <c r="J47">
        <v>2011</v>
      </c>
      <c r="K47" s="97" t="s">
        <v>73</v>
      </c>
      <c r="L47">
        <v>582</v>
      </c>
      <c r="M47" s="97" t="s">
        <v>349</v>
      </c>
      <c r="N47" t="s">
        <v>246</v>
      </c>
      <c r="O47" s="97" t="s">
        <v>81</v>
      </c>
      <c r="P47" t="s">
        <v>247</v>
      </c>
      <c r="Q47" s="97" t="s">
        <v>242</v>
      </c>
      <c r="R47" t="s">
        <v>233</v>
      </c>
      <c r="S47">
        <v>1</v>
      </c>
      <c r="T47" s="32" t="s">
        <v>291</v>
      </c>
      <c r="U47">
        <v>1</v>
      </c>
      <c r="V47" s="97" t="s">
        <v>221</v>
      </c>
      <c r="W47" s="97" t="s">
        <v>221</v>
      </c>
      <c r="X47" t="s">
        <v>474</v>
      </c>
      <c r="Y47" s="98">
        <v>0</v>
      </c>
      <c r="Z47" s="98">
        <v>1</v>
      </c>
      <c r="AA47" s="98">
        <v>1</v>
      </c>
      <c r="AB47" s="98">
        <v>0</v>
      </c>
      <c r="AC47" s="98">
        <v>0</v>
      </c>
      <c r="AD47" s="98">
        <v>0</v>
      </c>
      <c r="AE47" s="98">
        <v>0</v>
      </c>
      <c r="AF47" s="98">
        <v>0</v>
      </c>
      <c r="AG47" t="s">
        <v>415</v>
      </c>
      <c r="AH47" s="98">
        <v>0</v>
      </c>
      <c r="AI47" s="98">
        <v>0</v>
      </c>
      <c r="AJ47" s="98">
        <v>0</v>
      </c>
      <c r="AK47" s="98">
        <v>0</v>
      </c>
      <c r="AL47" s="98">
        <v>0</v>
      </c>
      <c r="AM47" s="98">
        <v>0</v>
      </c>
      <c r="AN47" s="98">
        <v>1</v>
      </c>
      <c r="AO47" s="98">
        <v>0</v>
      </c>
      <c r="AP47" s="98">
        <v>0</v>
      </c>
      <c r="AQ47" t="s">
        <v>408</v>
      </c>
      <c r="AR47" t="s">
        <v>259</v>
      </c>
      <c r="AS47" t="s">
        <v>409</v>
      </c>
      <c r="AT47" t="s">
        <v>73</v>
      </c>
      <c r="AU47" s="106">
        <v>0.64200000000000002</v>
      </c>
      <c r="AV47" s="7" t="s">
        <v>80</v>
      </c>
      <c r="AW47">
        <f>AU47/AZ47</f>
        <v>0.19337349397590362</v>
      </c>
      <c r="AX47">
        <v>0.1</v>
      </c>
      <c r="AY47">
        <v>1</v>
      </c>
      <c r="AZ47">
        <v>3.32</v>
      </c>
      <c r="BA47" t="s">
        <v>73</v>
      </c>
      <c r="BC47" t="s">
        <v>73</v>
      </c>
      <c r="BD47" t="s">
        <v>73</v>
      </c>
      <c r="BE47" t="s">
        <v>73</v>
      </c>
      <c r="BF47" t="s">
        <v>73</v>
      </c>
      <c r="BG47" t="s">
        <v>73</v>
      </c>
      <c r="BH47" t="s">
        <v>73</v>
      </c>
      <c r="BI47">
        <v>1184</v>
      </c>
      <c r="BJ47">
        <v>1184</v>
      </c>
      <c r="BK47" t="s">
        <v>73</v>
      </c>
      <c r="BL47" t="s">
        <v>73</v>
      </c>
      <c r="BM47" s="98" t="s">
        <v>73</v>
      </c>
      <c r="BN47" s="98" t="s">
        <v>73</v>
      </c>
      <c r="BO47" s="98" t="s">
        <v>73</v>
      </c>
      <c r="BP47">
        <v>1</v>
      </c>
      <c r="BQ47">
        <v>288</v>
      </c>
      <c r="BR47">
        <v>0</v>
      </c>
      <c r="BS47" s="98" t="s">
        <v>73</v>
      </c>
      <c r="BT47" s="98" t="s">
        <v>73</v>
      </c>
      <c r="BU47" s="98">
        <v>1</v>
      </c>
      <c r="BV47" s="98">
        <v>0</v>
      </c>
      <c r="BW47" s="98">
        <v>1</v>
      </c>
      <c r="BX47" s="30">
        <f>((AZ47^2)/(AZ47^2+BI47))^(1/2)</f>
        <v>9.6039537672003544E-2</v>
      </c>
      <c r="BY47" s="30">
        <f>0.5*LN((1+BX47)/(1-BX47))</f>
        <v>9.633645915133221E-2</v>
      </c>
      <c r="BZ47" s="30">
        <f>((1-(BY47^2)^2)/(BI47-1))</f>
        <v>8.4523572980515279E-4</v>
      </c>
      <c r="CA47" s="30">
        <f>1/(BI47-3)</f>
        <v>8.4674005080440302E-4</v>
      </c>
      <c r="CC47">
        <f>BI47-2</f>
        <v>1182</v>
      </c>
    </row>
    <row r="48" spans="1:81" ht="16">
      <c r="A48" t="s">
        <v>243</v>
      </c>
      <c r="C48" s="94">
        <v>1258</v>
      </c>
      <c r="D48" s="11">
        <v>404</v>
      </c>
      <c r="E48" t="s">
        <v>487</v>
      </c>
      <c r="F48" s="11">
        <v>2021</v>
      </c>
      <c r="G48" t="s">
        <v>488</v>
      </c>
      <c r="H48" t="s">
        <v>489</v>
      </c>
      <c r="I48" s="18">
        <v>2</v>
      </c>
      <c r="J48">
        <v>2017</v>
      </c>
      <c r="K48" t="s">
        <v>73</v>
      </c>
      <c r="L48">
        <v>11</v>
      </c>
      <c r="M48" t="s">
        <v>120</v>
      </c>
      <c r="N48" t="s">
        <v>246</v>
      </c>
      <c r="O48" t="s">
        <v>304</v>
      </c>
      <c r="P48" s="18" t="s">
        <v>218</v>
      </c>
      <c r="Q48" t="s">
        <v>242</v>
      </c>
      <c r="R48" t="s">
        <v>248</v>
      </c>
      <c r="S48">
        <v>1</v>
      </c>
      <c r="T48" t="s">
        <v>189</v>
      </c>
      <c r="U48">
        <v>1</v>
      </c>
      <c r="V48" s="18" t="s">
        <v>238</v>
      </c>
      <c r="W48" s="18" t="s">
        <v>238</v>
      </c>
      <c r="X48" t="s">
        <v>490</v>
      </c>
      <c r="Y48" s="18">
        <v>0</v>
      </c>
      <c r="Z48" s="18">
        <v>1</v>
      </c>
      <c r="AA48" s="18">
        <v>0</v>
      </c>
      <c r="AB48" s="18">
        <v>0</v>
      </c>
      <c r="AC48" s="18">
        <v>0</v>
      </c>
      <c r="AD48" s="18">
        <v>0</v>
      </c>
      <c r="AE48" s="11">
        <v>0</v>
      </c>
      <c r="AF48" s="18">
        <v>0</v>
      </c>
      <c r="AG48" t="s">
        <v>491</v>
      </c>
      <c r="AH48" s="18">
        <v>0</v>
      </c>
      <c r="AI48" s="18">
        <v>0</v>
      </c>
      <c r="AJ48" s="18">
        <v>0</v>
      </c>
      <c r="AK48" s="18">
        <v>0</v>
      </c>
      <c r="AL48" s="18">
        <v>0</v>
      </c>
      <c r="AM48" s="18">
        <v>0</v>
      </c>
      <c r="AN48" s="18">
        <v>1</v>
      </c>
      <c r="AO48" s="18">
        <v>0</v>
      </c>
      <c r="AP48" s="18">
        <v>0</v>
      </c>
      <c r="AQ48" s="41" t="s">
        <v>492</v>
      </c>
      <c r="AR48" t="s">
        <v>259</v>
      </c>
      <c r="AS48" s="94" t="s">
        <v>493</v>
      </c>
      <c r="AT48" t="s">
        <v>73</v>
      </c>
      <c r="AU48" s="21">
        <v>25.879000000000001</v>
      </c>
      <c r="AV48" s="7" t="s">
        <v>80</v>
      </c>
      <c r="AW48">
        <v>15.298</v>
      </c>
      <c r="AX48">
        <v>0.1</v>
      </c>
      <c r="AY48">
        <v>1</v>
      </c>
      <c r="AZ48">
        <f>TINV(AX48,CC48)</f>
        <v>1.6519717481243639</v>
      </c>
      <c r="BA48" s="18" t="s">
        <v>73</v>
      </c>
      <c r="BB48" s="18"/>
      <c r="BC48" s="18" t="s">
        <v>73</v>
      </c>
      <c r="BD48" s="18" t="s">
        <v>73</v>
      </c>
      <c r="BE48" s="18" t="s">
        <v>73</v>
      </c>
      <c r="BF48" s="18" t="s">
        <v>73</v>
      </c>
      <c r="BG48" s="18" t="s">
        <v>73</v>
      </c>
      <c r="BH48" s="18" t="s">
        <v>73</v>
      </c>
      <c r="BI48">
        <v>217</v>
      </c>
      <c r="BJ48">
        <v>868</v>
      </c>
      <c r="BK48" s="18" t="s">
        <v>73</v>
      </c>
      <c r="BL48" s="18" t="s">
        <v>73</v>
      </c>
      <c r="BM48" s="18" t="s">
        <v>73</v>
      </c>
      <c r="BN48" s="18" t="s">
        <v>73</v>
      </c>
      <c r="BO48" s="11" t="s">
        <v>73</v>
      </c>
      <c r="BP48" s="11" t="s">
        <v>73</v>
      </c>
      <c r="BQ48" s="11" t="s">
        <v>73</v>
      </c>
      <c r="BR48" t="s">
        <v>73</v>
      </c>
      <c r="BS48" s="11" t="s">
        <v>73</v>
      </c>
      <c r="BT48" t="s">
        <v>73</v>
      </c>
      <c r="BU48">
        <v>0</v>
      </c>
      <c r="BV48">
        <v>0</v>
      </c>
      <c r="BW48">
        <v>1</v>
      </c>
      <c r="BX48" s="30">
        <f>((AZ48^2)/(AZ48^2+BI48))^(1/2)</f>
        <v>0.111444570712238</v>
      </c>
      <c r="BY48" s="30">
        <f>0.5*LN((1+BX48)/(1-BX48))</f>
        <v>0.11190941618239179</v>
      </c>
      <c r="BZ48" s="30">
        <f>((1-(BY48^2)^2)/(BI48-1))</f>
        <v>4.6289035023228077E-3</v>
      </c>
      <c r="CA48" s="30">
        <f>1/(BI48-3)</f>
        <v>4.6728971962616819E-3</v>
      </c>
      <c r="CC48">
        <f>BI48-2</f>
        <v>215</v>
      </c>
    </row>
    <row r="49" spans="1:82" ht="16">
      <c r="A49" t="s">
        <v>243</v>
      </c>
      <c r="C49" s="94">
        <v>1259</v>
      </c>
      <c r="D49" s="11">
        <v>404</v>
      </c>
      <c r="E49" t="s">
        <v>487</v>
      </c>
      <c r="F49" s="11">
        <v>2021</v>
      </c>
      <c r="G49" t="s">
        <v>488</v>
      </c>
      <c r="H49" t="s">
        <v>489</v>
      </c>
      <c r="I49" s="18">
        <v>2</v>
      </c>
      <c r="J49">
        <v>2017</v>
      </c>
      <c r="K49" t="s">
        <v>73</v>
      </c>
      <c r="L49">
        <v>11</v>
      </c>
      <c r="M49" t="s">
        <v>120</v>
      </c>
      <c r="N49" t="s">
        <v>246</v>
      </c>
      <c r="O49" t="s">
        <v>304</v>
      </c>
      <c r="P49" s="18" t="s">
        <v>218</v>
      </c>
      <c r="Q49" t="s">
        <v>242</v>
      </c>
      <c r="R49" t="s">
        <v>248</v>
      </c>
      <c r="S49">
        <v>1</v>
      </c>
      <c r="T49" t="s">
        <v>189</v>
      </c>
      <c r="U49">
        <v>1</v>
      </c>
      <c r="V49" s="18" t="s">
        <v>238</v>
      </c>
      <c r="W49" s="18" t="s">
        <v>238</v>
      </c>
      <c r="X49" t="s">
        <v>490</v>
      </c>
      <c r="Y49" s="18">
        <v>0</v>
      </c>
      <c r="Z49" s="18">
        <v>1</v>
      </c>
      <c r="AA49" s="18">
        <v>0</v>
      </c>
      <c r="AB49" s="18">
        <v>0</v>
      </c>
      <c r="AC49" s="18">
        <v>0</v>
      </c>
      <c r="AD49" s="18">
        <v>0</v>
      </c>
      <c r="AE49" s="11">
        <v>0</v>
      </c>
      <c r="AF49" s="18">
        <v>0</v>
      </c>
      <c r="AG49" t="s">
        <v>491</v>
      </c>
      <c r="AH49" s="18">
        <v>0</v>
      </c>
      <c r="AI49" s="18">
        <v>0</v>
      </c>
      <c r="AJ49" s="18">
        <v>0</v>
      </c>
      <c r="AK49" s="18">
        <v>0</v>
      </c>
      <c r="AL49" s="18">
        <v>0</v>
      </c>
      <c r="AM49" s="18">
        <v>0</v>
      </c>
      <c r="AN49" s="18">
        <v>1</v>
      </c>
      <c r="AO49" s="18">
        <v>0</v>
      </c>
      <c r="AP49" s="18">
        <v>0</v>
      </c>
      <c r="AQ49" s="41" t="s">
        <v>492</v>
      </c>
      <c r="AR49" t="s">
        <v>259</v>
      </c>
      <c r="AS49" s="94" t="s">
        <v>493</v>
      </c>
      <c r="AT49" t="s">
        <v>73</v>
      </c>
      <c r="AU49" s="21">
        <v>45.747</v>
      </c>
      <c r="AV49" s="7" t="s">
        <v>80</v>
      </c>
      <c r="AW49">
        <v>18.632000000000001</v>
      </c>
      <c r="AX49">
        <v>0.05</v>
      </c>
      <c r="AY49">
        <v>1</v>
      </c>
      <c r="AZ49">
        <f>TINV(AX49,CC49)</f>
        <v>1.9710591221336478</v>
      </c>
      <c r="BA49" s="18" t="s">
        <v>73</v>
      </c>
      <c r="BB49" s="18"/>
      <c r="BC49" s="18" t="s">
        <v>73</v>
      </c>
      <c r="BD49" s="18" t="s">
        <v>73</v>
      </c>
      <c r="BE49" s="18" t="s">
        <v>73</v>
      </c>
      <c r="BF49" s="18" t="s">
        <v>73</v>
      </c>
      <c r="BG49" s="18" t="s">
        <v>73</v>
      </c>
      <c r="BH49" s="18" t="s">
        <v>73</v>
      </c>
      <c r="BI49">
        <v>217</v>
      </c>
      <c r="BJ49">
        <v>868</v>
      </c>
      <c r="BK49" s="18" t="s">
        <v>73</v>
      </c>
      <c r="BL49" s="18" t="s">
        <v>73</v>
      </c>
      <c r="BM49" s="18" t="s">
        <v>73</v>
      </c>
      <c r="BN49" s="18" t="s">
        <v>73</v>
      </c>
      <c r="BO49" s="11" t="s">
        <v>73</v>
      </c>
      <c r="BP49" s="11" t="s">
        <v>73</v>
      </c>
      <c r="BQ49" s="11" t="s">
        <v>73</v>
      </c>
      <c r="BR49" t="s">
        <v>73</v>
      </c>
      <c r="BS49" s="11" t="s">
        <v>73</v>
      </c>
      <c r="BT49" t="s">
        <v>73</v>
      </c>
      <c r="BU49">
        <v>0</v>
      </c>
      <c r="BV49">
        <v>0</v>
      </c>
      <c r="BW49">
        <v>1</v>
      </c>
      <c r="BX49" s="30">
        <f>((AZ49^2)/(AZ49^2+BI49))^(1/2)</f>
        <v>0.13262227273834529</v>
      </c>
      <c r="BY49" s="30">
        <f>0.5*LN((1+BX49)/(1-BX49))</f>
        <v>0.13340813257086698</v>
      </c>
      <c r="BZ49" s="30">
        <f>((1-(BY49^2)^2)/(BI49-1))</f>
        <v>4.6281631519105703E-3</v>
      </c>
      <c r="CA49" s="30">
        <f>1/(BI49-3)</f>
        <v>4.6728971962616819E-3</v>
      </c>
      <c r="CC49">
        <f>BI49-2</f>
        <v>215</v>
      </c>
    </row>
    <row r="50" spans="1:82" s="103" customFormat="1" ht="16">
      <c r="A50" t="s">
        <v>243</v>
      </c>
      <c r="B50"/>
      <c r="C50" s="94">
        <v>1260</v>
      </c>
      <c r="D50" s="11">
        <v>404</v>
      </c>
      <c r="E50" t="s">
        <v>487</v>
      </c>
      <c r="F50" s="11">
        <v>2021</v>
      </c>
      <c r="G50" t="s">
        <v>488</v>
      </c>
      <c r="H50" t="s">
        <v>489</v>
      </c>
      <c r="I50" s="18">
        <v>2</v>
      </c>
      <c r="J50">
        <v>2017</v>
      </c>
      <c r="K50" t="s">
        <v>73</v>
      </c>
      <c r="L50">
        <v>11</v>
      </c>
      <c r="M50" t="s">
        <v>120</v>
      </c>
      <c r="N50" t="s">
        <v>246</v>
      </c>
      <c r="O50" t="s">
        <v>304</v>
      </c>
      <c r="P50" s="18" t="s">
        <v>218</v>
      </c>
      <c r="Q50" t="s">
        <v>242</v>
      </c>
      <c r="R50" t="s">
        <v>248</v>
      </c>
      <c r="S50">
        <v>1</v>
      </c>
      <c r="T50" t="s">
        <v>189</v>
      </c>
      <c r="U50">
        <v>1</v>
      </c>
      <c r="V50" s="18" t="s">
        <v>238</v>
      </c>
      <c r="W50" s="18" t="s">
        <v>238</v>
      </c>
      <c r="X50" t="s">
        <v>490</v>
      </c>
      <c r="Y50" s="18">
        <v>0</v>
      </c>
      <c r="Z50" s="18">
        <v>1</v>
      </c>
      <c r="AA50" s="18">
        <v>0</v>
      </c>
      <c r="AB50" s="18">
        <v>0</v>
      </c>
      <c r="AC50" s="18">
        <v>0</v>
      </c>
      <c r="AD50" s="18">
        <v>0</v>
      </c>
      <c r="AE50" s="11">
        <v>0</v>
      </c>
      <c r="AF50" s="18">
        <v>0</v>
      </c>
      <c r="AG50" t="s">
        <v>491</v>
      </c>
      <c r="AH50" s="18">
        <v>0</v>
      </c>
      <c r="AI50" s="18">
        <v>0</v>
      </c>
      <c r="AJ50" s="18">
        <v>0</v>
      </c>
      <c r="AK50" s="18">
        <v>0</v>
      </c>
      <c r="AL50" s="18">
        <v>0</v>
      </c>
      <c r="AM50" s="18">
        <v>0</v>
      </c>
      <c r="AN50" s="18">
        <v>1</v>
      </c>
      <c r="AO50" s="18">
        <v>0</v>
      </c>
      <c r="AP50" s="18">
        <v>0</v>
      </c>
      <c r="AQ50" s="41" t="s">
        <v>492</v>
      </c>
      <c r="AR50" t="s">
        <v>259</v>
      </c>
      <c r="AS50" s="94" t="s">
        <v>493</v>
      </c>
      <c r="AT50" t="s">
        <v>73</v>
      </c>
      <c r="AU50" s="21">
        <v>33.076000000000001</v>
      </c>
      <c r="AV50" s="7" t="s">
        <v>80</v>
      </c>
      <c r="AW50">
        <v>18.632000000000001</v>
      </c>
      <c r="AX50">
        <v>0.1</v>
      </c>
      <c r="AY50">
        <v>1</v>
      </c>
      <c r="AZ50">
        <f>TINV(AX50,CC50)</f>
        <v>1.6519717481243639</v>
      </c>
      <c r="BA50" s="18" t="s">
        <v>73</v>
      </c>
      <c r="BB50" s="18"/>
      <c r="BC50" s="18" t="s">
        <v>73</v>
      </c>
      <c r="BD50" s="18" t="s">
        <v>73</v>
      </c>
      <c r="BE50" s="18" t="s">
        <v>73</v>
      </c>
      <c r="BF50" s="18" t="s">
        <v>73</v>
      </c>
      <c r="BG50" s="18" t="s">
        <v>73</v>
      </c>
      <c r="BH50" s="18" t="s">
        <v>73</v>
      </c>
      <c r="BI50">
        <v>217</v>
      </c>
      <c r="BJ50">
        <v>868</v>
      </c>
      <c r="BK50" s="18" t="s">
        <v>73</v>
      </c>
      <c r="BL50" s="18" t="s">
        <v>73</v>
      </c>
      <c r="BM50" s="18" t="s">
        <v>73</v>
      </c>
      <c r="BN50" s="18" t="s">
        <v>73</v>
      </c>
      <c r="BO50" s="11" t="s">
        <v>73</v>
      </c>
      <c r="BP50" s="11" t="s">
        <v>73</v>
      </c>
      <c r="BQ50" s="11" t="s">
        <v>73</v>
      </c>
      <c r="BR50" t="s">
        <v>73</v>
      </c>
      <c r="BS50" s="11" t="s">
        <v>73</v>
      </c>
      <c r="BT50" t="s">
        <v>73</v>
      </c>
      <c r="BU50">
        <v>0</v>
      </c>
      <c r="BV50">
        <v>0</v>
      </c>
      <c r="BW50">
        <v>1</v>
      </c>
      <c r="BX50" s="30">
        <f>((AZ50^2)/(AZ50^2+BI50))^(1/2)</f>
        <v>0.111444570712238</v>
      </c>
      <c r="BY50" s="30">
        <f>0.5*LN((1+BX50)/(1-BX50))</f>
        <v>0.11190941618239179</v>
      </c>
      <c r="BZ50" s="30">
        <f>((1-(BY50^2)^2)/(BI50-1))</f>
        <v>4.6289035023228077E-3</v>
      </c>
      <c r="CA50" s="30">
        <f>1/(BI50-3)</f>
        <v>4.6728971962616819E-3</v>
      </c>
      <c r="CB50"/>
      <c r="CC50">
        <f>BI50-2</f>
        <v>215</v>
      </c>
      <c r="CD50"/>
    </row>
    <row r="51" spans="1:82" s="103" customFormat="1" ht="16">
      <c r="A51" s="11" t="s">
        <v>68</v>
      </c>
      <c r="B51" s="11"/>
      <c r="C51" s="97">
        <v>1187</v>
      </c>
      <c r="D51" s="98">
        <v>143</v>
      </c>
      <c r="E51" s="44" t="s">
        <v>416</v>
      </c>
      <c r="F51" s="97">
        <v>2009</v>
      </c>
      <c r="G51" t="s">
        <v>417</v>
      </c>
      <c r="H51" t="s">
        <v>418</v>
      </c>
      <c r="I51" s="98">
        <v>2</v>
      </c>
      <c r="J51">
        <v>2006</v>
      </c>
      <c r="K51" s="97" t="s">
        <v>73</v>
      </c>
      <c r="L51">
        <v>3569</v>
      </c>
      <c r="M51" s="97" t="s">
        <v>419</v>
      </c>
      <c r="N51" t="s">
        <v>246</v>
      </c>
      <c r="O51" s="97" t="s">
        <v>281</v>
      </c>
      <c r="P51" t="s">
        <v>247</v>
      </c>
      <c r="Q51" s="97" t="s">
        <v>254</v>
      </c>
      <c r="R51" s="32" t="s">
        <v>248</v>
      </c>
      <c r="S51">
        <v>1</v>
      </c>
      <c r="T51" t="s">
        <v>291</v>
      </c>
      <c r="U51">
        <v>1</v>
      </c>
      <c r="V51" s="97" t="s">
        <v>221</v>
      </c>
      <c r="W51" s="97" t="s">
        <v>221</v>
      </c>
      <c r="X51" s="97" t="s">
        <v>420</v>
      </c>
      <c r="Y51" s="98">
        <v>0</v>
      </c>
      <c r="Z51" s="98">
        <v>0</v>
      </c>
      <c r="AA51" s="98">
        <v>1</v>
      </c>
      <c r="AB51" s="98">
        <v>0</v>
      </c>
      <c r="AC51" s="98">
        <v>0</v>
      </c>
      <c r="AD51" s="98">
        <v>0</v>
      </c>
      <c r="AE51" s="98">
        <v>0</v>
      </c>
      <c r="AF51" s="98">
        <v>0</v>
      </c>
      <c r="AG51" t="s">
        <v>421</v>
      </c>
      <c r="AH51" s="98">
        <v>0</v>
      </c>
      <c r="AI51" s="98">
        <v>0</v>
      </c>
      <c r="AJ51" s="98">
        <v>0</v>
      </c>
      <c r="AK51" s="98">
        <v>0</v>
      </c>
      <c r="AL51" s="98">
        <v>0</v>
      </c>
      <c r="AM51" s="98">
        <v>0</v>
      </c>
      <c r="AN51" s="98">
        <v>0</v>
      </c>
      <c r="AO51" s="98">
        <v>1</v>
      </c>
      <c r="AP51" s="98">
        <v>0</v>
      </c>
      <c r="AQ51" t="s">
        <v>73</v>
      </c>
      <c r="AR51" t="s">
        <v>259</v>
      </c>
      <c r="AS51" t="s">
        <v>422</v>
      </c>
      <c r="AT51" t="s">
        <v>73</v>
      </c>
      <c r="AU51" s="21">
        <v>0.49590000000000001</v>
      </c>
      <c r="AV51" s="7" t="s">
        <v>80</v>
      </c>
      <c r="AW51" s="41" t="s">
        <v>73</v>
      </c>
      <c r="AX51" s="41">
        <v>0.1</v>
      </c>
      <c r="AY51" s="41">
        <v>1</v>
      </c>
      <c r="AZ51">
        <f>TINV(AX51,CC51)</f>
        <v>1.6474057119344734</v>
      </c>
      <c r="BA51" t="s">
        <v>73</v>
      </c>
      <c r="BB51"/>
      <c r="BC51" t="s">
        <v>73</v>
      </c>
      <c r="BD51" t="s">
        <v>73</v>
      </c>
      <c r="BE51" t="s">
        <v>73</v>
      </c>
      <c r="BF51" t="s">
        <v>73</v>
      </c>
      <c r="BG51" t="s">
        <v>73</v>
      </c>
      <c r="BH51" t="s">
        <v>73</v>
      </c>
      <c r="BI51">
        <v>600</v>
      </c>
      <c r="BJ51">
        <v>3600</v>
      </c>
      <c r="BK51" t="s">
        <v>73</v>
      </c>
      <c r="BL51" t="s">
        <v>73</v>
      </c>
      <c r="BM51" s="98" t="s">
        <v>73</v>
      </c>
      <c r="BN51" s="98" t="s">
        <v>73</v>
      </c>
      <c r="BO51" s="98" t="s">
        <v>73</v>
      </c>
      <c r="BP51"/>
      <c r="BQ51"/>
      <c r="BR51"/>
      <c r="BS51"/>
      <c r="BT51"/>
      <c r="BU51" s="98">
        <v>0</v>
      </c>
      <c r="BV51" s="98">
        <v>1</v>
      </c>
      <c r="BW51" s="98">
        <v>1</v>
      </c>
      <c r="BX51" s="104">
        <f>((AZ51^2)/(AZ51^2+BI51))^(1/2)</f>
        <v>6.7103465160314887E-2</v>
      </c>
      <c r="BY51" s="104">
        <f>0.5*LN((1+BX51)/(1-BX51))</f>
        <v>6.7204457661064573E-2</v>
      </c>
      <c r="BZ51" s="104">
        <f>((1-(BY51^2)^2)/(BI51-1))</f>
        <v>1.6694150280093312E-3</v>
      </c>
      <c r="CA51" s="104">
        <f>1/(BI51-3)</f>
        <v>1.6750418760469012E-3</v>
      </c>
      <c r="CB51"/>
      <c r="CC51">
        <f>BI51-2</f>
        <v>598</v>
      </c>
      <c r="CD51"/>
    </row>
    <row r="52" spans="1:82" s="103" customFormat="1" ht="16">
      <c r="A52" s="11" t="s">
        <v>68</v>
      </c>
      <c r="B52" s="11"/>
      <c r="C52" s="97">
        <v>1188</v>
      </c>
      <c r="D52" s="98">
        <v>143</v>
      </c>
      <c r="E52" s="44" t="s">
        <v>416</v>
      </c>
      <c r="F52" s="97">
        <v>2009</v>
      </c>
      <c r="G52" t="s">
        <v>417</v>
      </c>
      <c r="H52" t="s">
        <v>418</v>
      </c>
      <c r="I52" s="98">
        <v>2</v>
      </c>
      <c r="J52">
        <v>2006</v>
      </c>
      <c r="K52" s="97" t="s">
        <v>73</v>
      </c>
      <c r="L52">
        <v>3570</v>
      </c>
      <c r="M52" s="97" t="s">
        <v>419</v>
      </c>
      <c r="N52" t="s">
        <v>246</v>
      </c>
      <c r="O52" s="97" t="s">
        <v>281</v>
      </c>
      <c r="P52" t="s">
        <v>247</v>
      </c>
      <c r="Q52" s="97" t="s">
        <v>254</v>
      </c>
      <c r="R52" s="32" t="s">
        <v>248</v>
      </c>
      <c r="S52">
        <v>1</v>
      </c>
      <c r="T52" s="32" t="s">
        <v>291</v>
      </c>
      <c r="U52">
        <v>1</v>
      </c>
      <c r="V52" s="97" t="s">
        <v>221</v>
      </c>
      <c r="W52" s="97" t="s">
        <v>221</v>
      </c>
      <c r="X52" s="97" t="s">
        <v>420</v>
      </c>
      <c r="Y52" s="98">
        <v>0</v>
      </c>
      <c r="Z52" s="98">
        <v>0</v>
      </c>
      <c r="AA52" s="98">
        <v>1</v>
      </c>
      <c r="AB52" s="98">
        <v>0</v>
      </c>
      <c r="AC52" s="98">
        <v>0</v>
      </c>
      <c r="AD52" s="98">
        <v>0</v>
      </c>
      <c r="AE52" s="98">
        <v>0</v>
      </c>
      <c r="AF52" s="98">
        <v>0</v>
      </c>
      <c r="AG52" t="s">
        <v>421</v>
      </c>
      <c r="AH52" s="98">
        <v>0</v>
      </c>
      <c r="AI52" s="98">
        <v>0</v>
      </c>
      <c r="AJ52" s="98">
        <v>0</v>
      </c>
      <c r="AK52" s="98">
        <v>1</v>
      </c>
      <c r="AL52" s="98">
        <v>0</v>
      </c>
      <c r="AM52" s="98">
        <v>0</v>
      </c>
      <c r="AN52" s="98">
        <v>0</v>
      </c>
      <c r="AO52" s="98">
        <v>0</v>
      </c>
      <c r="AP52" s="98">
        <v>0</v>
      </c>
      <c r="AQ52" t="s">
        <v>73</v>
      </c>
      <c r="AR52" t="s">
        <v>259</v>
      </c>
      <c r="AS52" t="s">
        <v>422</v>
      </c>
      <c r="AT52" t="s">
        <v>73</v>
      </c>
      <c r="AU52" s="7">
        <v>0.17399999999999999</v>
      </c>
      <c r="AV52" s="7" t="s">
        <v>80</v>
      </c>
      <c r="AW52" s="41" t="s">
        <v>73</v>
      </c>
      <c r="AX52" s="41">
        <v>0.1</v>
      </c>
      <c r="AY52" s="41">
        <v>1</v>
      </c>
      <c r="AZ52">
        <f>TINV(AX52,CC52)</f>
        <v>1.6474057119344734</v>
      </c>
      <c r="BA52" t="s">
        <v>73</v>
      </c>
      <c r="BB52"/>
      <c r="BC52" t="s">
        <v>73</v>
      </c>
      <c r="BD52" t="s">
        <v>73</v>
      </c>
      <c r="BE52" t="s">
        <v>73</v>
      </c>
      <c r="BF52" t="s">
        <v>73</v>
      </c>
      <c r="BG52" t="s">
        <v>73</v>
      </c>
      <c r="BH52" t="s">
        <v>73</v>
      </c>
      <c r="BI52">
        <v>600</v>
      </c>
      <c r="BJ52">
        <v>3600</v>
      </c>
      <c r="BK52" t="s">
        <v>73</v>
      </c>
      <c r="BL52" t="s">
        <v>73</v>
      </c>
      <c r="BM52" s="98" t="s">
        <v>73</v>
      </c>
      <c r="BN52" s="98" t="s">
        <v>73</v>
      </c>
      <c r="BO52" s="98" t="s">
        <v>73</v>
      </c>
      <c r="BP52"/>
      <c r="BQ52"/>
      <c r="BR52"/>
      <c r="BS52"/>
      <c r="BT52"/>
      <c r="BU52" s="98">
        <v>0</v>
      </c>
      <c r="BV52" s="98">
        <v>1</v>
      </c>
      <c r="BW52" s="98">
        <v>1</v>
      </c>
      <c r="BX52" s="104">
        <f>((AZ52^2)/(AZ52^2+BI52))^(1/2)</f>
        <v>6.7103465160314887E-2</v>
      </c>
      <c r="BY52" s="104">
        <f>0.5*LN((1+BX52)/(1-BX52))</f>
        <v>6.7204457661064573E-2</v>
      </c>
      <c r="BZ52" s="104">
        <f>((1-(BY52^2)^2)/(BI52-1))</f>
        <v>1.6694150280093312E-3</v>
      </c>
      <c r="CA52" s="104">
        <f>1/(BI52-3)</f>
        <v>1.6750418760469012E-3</v>
      </c>
      <c r="CB52"/>
      <c r="CC52">
        <f>BI52-2</f>
        <v>598</v>
      </c>
      <c r="CD52"/>
    </row>
    <row r="53" spans="1:82" ht="16">
      <c r="A53" s="11" t="s">
        <v>68</v>
      </c>
      <c r="B53" s="11"/>
      <c r="C53" s="97">
        <v>1189</v>
      </c>
      <c r="D53" s="98">
        <v>143</v>
      </c>
      <c r="E53" s="44" t="s">
        <v>416</v>
      </c>
      <c r="F53" s="97">
        <v>2009</v>
      </c>
      <c r="G53" t="s">
        <v>417</v>
      </c>
      <c r="H53" t="s">
        <v>418</v>
      </c>
      <c r="I53" s="98">
        <v>2</v>
      </c>
      <c r="J53">
        <v>2006</v>
      </c>
      <c r="K53" s="97" t="s">
        <v>73</v>
      </c>
      <c r="L53">
        <v>3570</v>
      </c>
      <c r="M53" s="97" t="s">
        <v>419</v>
      </c>
      <c r="N53" t="s">
        <v>246</v>
      </c>
      <c r="O53" s="97" t="s">
        <v>281</v>
      </c>
      <c r="P53" t="s">
        <v>247</v>
      </c>
      <c r="Q53" s="97" t="s">
        <v>242</v>
      </c>
      <c r="R53" s="32" t="s">
        <v>248</v>
      </c>
      <c r="S53">
        <v>1</v>
      </c>
      <c r="T53" s="32" t="s">
        <v>291</v>
      </c>
      <c r="U53">
        <v>1</v>
      </c>
      <c r="V53" s="97" t="s">
        <v>221</v>
      </c>
      <c r="W53" s="97" t="s">
        <v>221</v>
      </c>
      <c r="X53" s="97" t="s">
        <v>420</v>
      </c>
      <c r="Y53" s="98">
        <v>0</v>
      </c>
      <c r="Z53" s="98">
        <v>0</v>
      </c>
      <c r="AA53" s="98">
        <v>1</v>
      </c>
      <c r="AB53" s="98">
        <v>0</v>
      </c>
      <c r="AC53" s="98">
        <v>0</v>
      </c>
      <c r="AD53" s="98">
        <v>0</v>
      </c>
      <c r="AE53" s="98">
        <v>0</v>
      </c>
      <c r="AF53" s="98">
        <v>0</v>
      </c>
      <c r="AG53" t="s">
        <v>421</v>
      </c>
      <c r="AH53" s="98">
        <v>0</v>
      </c>
      <c r="AI53" s="98">
        <v>0</v>
      </c>
      <c r="AJ53" s="98">
        <v>0</v>
      </c>
      <c r="AK53" s="98">
        <v>0</v>
      </c>
      <c r="AL53" s="98">
        <v>0</v>
      </c>
      <c r="AM53" s="98">
        <v>0</v>
      </c>
      <c r="AN53" s="98">
        <v>0</v>
      </c>
      <c r="AO53" s="98">
        <v>1</v>
      </c>
      <c r="AP53" s="98">
        <v>0</v>
      </c>
      <c r="AQ53" t="s">
        <v>73</v>
      </c>
      <c r="AR53" t="s">
        <v>259</v>
      </c>
      <c r="AS53" t="s">
        <v>422</v>
      </c>
      <c r="AT53" t="s">
        <v>73</v>
      </c>
      <c r="AU53" s="7">
        <v>3.0964</v>
      </c>
      <c r="AV53" s="7" t="s">
        <v>80</v>
      </c>
      <c r="AW53" s="41" t="s">
        <v>73</v>
      </c>
      <c r="AX53" s="41">
        <v>0.1</v>
      </c>
      <c r="AY53" s="41">
        <v>1</v>
      </c>
      <c r="AZ53">
        <f>TINV(AX53,CC53)</f>
        <v>1.6474057119344734</v>
      </c>
      <c r="BA53" t="s">
        <v>73</v>
      </c>
      <c r="BC53" t="s">
        <v>73</v>
      </c>
      <c r="BD53" t="s">
        <v>73</v>
      </c>
      <c r="BE53" t="s">
        <v>73</v>
      </c>
      <c r="BF53" t="s">
        <v>73</v>
      </c>
      <c r="BG53" t="s">
        <v>73</v>
      </c>
      <c r="BH53" t="s">
        <v>73</v>
      </c>
      <c r="BI53">
        <v>600</v>
      </c>
      <c r="BJ53">
        <v>3600</v>
      </c>
      <c r="BK53" t="s">
        <v>73</v>
      </c>
      <c r="BL53" t="s">
        <v>73</v>
      </c>
      <c r="BM53" s="98" t="s">
        <v>73</v>
      </c>
      <c r="BN53" s="98" t="s">
        <v>73</v>
      </c>
      <c r="BO53" s="98" t="s">
        <v>73</v>
      </c>
      <c r="BU53" s="98">
        <v>0</v>
      </c>
      <c r="BV53" s="98">
        <v>1</v>
      </c>
      <c r="BW53" s="98">
        <v>1</v>
      </c>
      <c r="BX53" s="104">
        <f>((AZ53^2)/(AZ53^2+BI53))^(1/2)</f>
        <v>6.7103465160314887E-2</v>
      </c>
      <c r="BY53" s="104">
        <f>0.5*LN((1+BX53)/(1-BX53))</f>
        <v>6.7204457661064573E-2</v>
      </c>
      <c r="BZ53" s="104">
        <f>((1-(BY53^2)^2)/(BI53-1))</f>
        <v>1.6694150280093312E-3</v>
      </c>
      <c r="CA53" s="104">
        <f>1/(BI53-3)</f>
        <v>1.6750418760469012E-3</v>
      </c>
      <c r="CC53">
        <f>BI53-2</f>
        <v>598</v>
      </c>
    </row>
    <row r="54" spans="1:82" ht="16">
      <c r="A54" s="11" t="s">
        <v>68</v>
      </c>
      <c r="B54" s="11"/>
      <c r="C54" s="97">
        <v>1190</v>
      </c>
      <c r="D54" s="98">
        <v>143</v>
      </c>
      <c r="E54" s="44" t="s">
        <v>416</v>
      </c>
      <c r="F54" s="97">
        <v>2009</v>
      </c>
      <c r="G54" t="s">
        <v>417</v>
      </c>
      <c r="H54" t="s">
        <v>418</v>
      </c>
      <c r="I54" s="98">
        <v>2</v>
      </c>
      <c r="J54">
        <v>2006</v>
      </c>
      <c r="K54" s="97" t="s">
        <v>73</v>
      </c>
      <c r="L54">
        <v>3571</v>
      </c>
      <c r="M54" s="97" t="s">
        <v>419</v>
      </c>
      <c r="N54" t="s">
        <v>246</v>
      </c>
      <c r="O54" s="97" t="s">
        <v>281</v>
      </c>
      <c r="P54" t="s">
        <v>247</v>
      </c>
      <c r="Q54" s="97" t="s">
        <v>242</v>
      </c>
      <c r="R54" s="32" t="s">
        <v>248</v>
      </c>
      <c r="S54">
        <v>1</v>
      </c>
      <c r="T54" s="32" t="s">
        <v>291</v>
      </c>
      <c r="U54">
        <v>1</v>
      </c>
      <c r="V54" s="97" t="s">
        <v>221</v>
      </c>
      <c r="W54" s="97" t="s">
        <v>221</v>
      </c>
      <c r="X54" s="97" t="s">
        <v>420</v>
      </c>
      <c r="Y54" s="98">
        <v>0</v>
      </c>
      <c r="Z54" s="98">
        <v>0</v>
      </c>
      <c r="AA54" s="98">
        <v>1</v>
      </c>
      <c r="AB54" s="98">
        <v>0</v>
      </c>
      <c r="AC54" s="98">
        <v>0</v>
      </c>
      <c r="AD54" s="98">
        <v>0</v>
      </c>
      <c r="AE54" s="98">
        <v>0</v>
      </c>
      <c r="AF54" s="98">
        <v>0</v>
      </c>
      <c r="AG54" t="s">
        <v>421</v>
      </c>
      <c r="AH54" s="98">
        <v>0</v>
      </c>
      <c r="AI54" s="98">
        <v>0</v>
      </c>
      <c r="AJ54" s="98">
        <v>0</v>
      </c>
      <c r="AK54" s="98">
        <v>1</v>
      </c>
      <c r="AL54" s="98">
        <v>0</v>
      </c>
      <c r="AM54" s="98">
        <v>0</v>
      </c>
      <c r="AN54" s="98">
        <v>0</v>
      </c>
      <c r="AO54" s="98">
        <v>0</v>
      </c>
      <c r="AP54" s="98">
        <v>0</v>
      </c>
      <c r="AQ54" t="s">
        <v>73</v>
      </c>
      <c r="AR54" t="s">
        <v>259</v>
      </c>
      <c r="AS54" t="s">
        <v>422</v>
      </c>
      <c r="AT54" t="s">
        <v>73</v>
      </c>
      <c r="AU54" s="7">
        <v>3.5619999999999998</v>
      </c>
      <c r="AV54" s="7" t="s">
        <v>80</v>
      </c>
      <c r="AW54" s="41" t="s">
        <v>73</v>
      </c>
      <c r="AX54" s="41">
        <v>0.05</v>
      </c>
      <c r="AY54" s="41">
        <v>1</v>
      </c>
      <c r="AZ54">
        <f>TINV(AX54,CC54)</f>
        <v>1.9639388980555066</v>
      </c>
      <c r="BA54" t="s">
        <v>73</v>
      </c>
      <c r="BC54" t="s">
        <v>73</v>
      </c>
      <c r="BD54" t="s">
        <v>73</v>
      </c>
      <c r="BE54" t="s">
        <v>73</v>
      </c>
      <c r="BF54" t="s">
        <v>73</v>
      </c>
      <c r="BG54" t="s">
        <v>73</v>
      </c>
      <c r="BH54" t="s">
        <v>73</v>
      </c>
      <c r="BI54">
        <v>600</v>
      </c>
      <c r="BJ54">
        <v>3600</v>
      </c>
      <c r="BK54" t="s">
        <v>73</v>
      </c>
      <c r="BL54" t="s">
        <v>73</v>
      </c>
      <c r="BM54" s="98" t="s">
        <v>73</v>
      </c>
      <c r="BN54" s="98" t="s">
        <v>73</v>
      </c>
      <c r="BO54" s="98" t="s">
        <v>73</v>
      </c>
      <c r="BU54" s="98">
        <v>0</v>
      </c>
      <c r="BV54" s="98">
        <v>1</v>
      </c>
      <c r="BW54" s="98">
        <v>1</v>
      </c>
      <c r="BX54" s="104">
        <f>((AZ54^2)/(AZ54^2+BI54))^(1/2)</f>
        <v>7.9920998150068992E-2</v>
      </c>
      <c r="BY54" s="104">
        <f>0.5*LN((1+BX54)/(1-BX54))</f>
        <v>8.0091814824645752E-2</v>
      </c>
      <c r="BZ54" s="104">
        <f>((1-(BY54^2)^2)/(BI54-1))</f>
        <v>1.6693803867099848E-3</v>
      </c>
      <c r="CA54" s="104">
        <f>1/(BI54-3)</f>
        <v>1.6750418760469012E-3</v>
      </c>
      <c r="CC54">
        <f>BI54-2</f>
        <v>598</v>
      </c>
    </row>
    <row r="55" spans="1:82" ht="16">
      <c r="A55" s="11" t="s">
        <v>68</v>
      </c>
      <c r="B55" s="11"/>
      <c r="C55" s="97">
        <v>1172</v>
      </c>
      <c r="D55" s="98">
        <v>141</v>
      </c>
      <c r="E55" t="s">
        <v>398</v>
      </c>
      <c r="F55" s="97">
        <v>2016</v>
      </c>
      <c r="G55" t="s">
        <v>399</v>
      </c>
      <c r="H55" t="s">
        <v>400</v>
      </c>
      <c r="I55" s="98">
        <v>2</v>
      </c>
      <c r="J55">
        <v>2013</v>
      </c>
      <c r="K55" s="97" t="s">
        <v>73</v>
      </c>
      <c r="L55">
        <v>17</v>
      </c>
      <c r="M55" s="97" t="s">
        <v>349</v>
      </c>
      <c r="N55" t="s">
        <v>246</v>
      </c>
      <c r="O55" t="s">
        <v>281</v>
      </c>
      <c r="P55" t="s">
        <v>247</v>
      </c>
      <c r="Q55" t="s">
        <v>227</v>
      </c>
      <c r="R55" t="s">
        <v>233</v>
      </c>
      <c r="S55">
        <v>1</v>
      </c>
      <c r="T55" s="32" t="s">
        <v>291</v>
      </c>
      <c r="U55">
        <v>1</v>
      </c>
      <c r="V55" s="97" t="s">
        <v>221</v>
      </c>
      <c r="W55" s="97" t="s">
        <v>221</v>
      </c>
      <c r="X55" t="s">
        <v>474</v>
      </c>
      <c r="Y55" s="98">
        <v>0</v>
      </c>
      <c r="Z55" s="98">
        <v>1</v>
      </c>
      <c r="AA55" s="98">
        <v>1</v>
      </c>
      <c r="AB55" s="98">
        <v>0</v>
      </c>
      <c r="AC55" s="98">
        <v>0</v>
      </c>
      <c r="AD55" s="98">
        <v>0</v>
      </c>
      <c r="AE55" s="98">
        <v>0</v>
      </c>
      <c r="AF55" s="98">
        <v>0</v>
      </c>
      <c r="AG55" t="s">
        <v>401</v>
      </c>
      <c r="AH55" s="98">
        <v>0</v>
      </c>
      <c r="AI55" s="98">
        <v>0</v>
      </c>
      <c r="AJ55" s="98">
        <v>0</v>
      </c>
      <c r="AK55" s="98">
        <v>0</v>
      </c>
      <c r="AL55" s="98">
        <v>0</v>
      </c>
      <c r="AM55" s="98">
        <v>0</v>
      </c>
      <c r="AN55" s="98">
        <v>0</v>
      </c>
      <c r="AO55" s="98">
        <v>1</v>
      </c>
      <c r="AP55" s="98">
        <v>0</v>
      </c>
      <c r="AQ55" s="41" t="s">
        <v>402</v>
      </c>
      <c r="AR55" t="s">
        <v>259</v>
      </c>
      <c r="AS55" t="s">
        <v>403</v>
      </c>
      <c r="AT55" t="s">
        <v>73</v>
      </c>
      <c r="AU55" s="106">
        <v>9.5000000000000001E-2</v>
      </c>
      <c r="AV55" s="7" t="s">
        <v>86</v>
      </c>
      <c r="AW55" t="s">
        <v>73</v>
      </c>
      <c r="AX55">
        <v>0.05</v>
      </c>
      <c r="AY55">
        <v>1</v>
      </c>
      <c r="AZ55">
        <f>TINV(AX55,CC55)</f>
        <v>1.9645365010317388</v>
      </c>
      <c r="BA55" t="s">
        <v>73</v>
      </c>
      <c r="BC55" t="s">
        <v>73</v>
      </c>
      <c r="BD55" t="s">
        <v>73</v>
      </c>
      <c r="BE55" t="s">
        <v>73</v>
      </c>
      <c r="BF55" t="s">
        <v>73</v>
      </c>
      <c r="BG55" s="41">
        <v>523</v>
      </c>
      <c r="BH55" t="s">
        <v>73</v>
      </c>
      <c r="BI55" s="41">
        <v>522</v>
      </c>
      <c r="BJ55" s="41">
        <v>522</v>
      </c>
      <c r="BK55" t="s">
        <v>73</v>
      </c>
      <c r="BL55" t="s">
        <v>73</v>
      </c>
      <c r="BM55" s="98" t="s">
        <v>73</v>
      </c>
      <c r="BN55" s="98" t="s">
        <v>73</v>
      </c>
      <c r="BO55" s="98" t="s">
        <v>73</v>
      </c>
      <c r="BP55" s="99" t="s">
        <v>73</v>
      </c>
      <c r="BQ55" s="99" t="s">
        <v>73</v>
      </c>
      <c r="BR55">
        <v>0</v>
      </c>
      <c r="BS55" s="99" t="s">
        <v>73</v>
      </c>
      <c r="BT55" s="98" t="s">
        <v>321</v>
      </c>
      <c r="BU55" s="98">
        <v>0</v>
      </c>
      <c r="BV55" s="98">
        <v>0</v>
      </c>
      <c r="BW55" s="98">
        <v>1</v>
      </c>
      <c r="BX55" s="30">
        <f>((AZ55^2)/(AZ55^2+BI55))^(1/2)</f>
        <v>8.5669312189989619E-2</v>
      </c>
      <c r="BY55" s="30">
        <f>0.5*LN((1+BX55)/(1-BX55))</f>
        <v>8.5879822251689428E-2</v>
      </c>
      <c r="BZ55" s="30">
        <f>((1-(BY55^2)^2)/(BI55-1))</f>
        <v>1.9192813902165059E-3</v>
      </c>
      <c r="CA55" s="30">
        <f>1/(BI55-3)</f>
        <v>1.9267822736030828E-3</v>
      </c>
      <c r="CC55">
        <f>BI55-2</f>
        <v>520</v>
      </c>
    </row>
    <row r="56" spans="1:82" ht="16">
      <c r="A56" s="11" t="s">
        <v>68</v>
      </c>
      <c r="B56" s="11"/>
      <c r="C56" s="97">
        <v>1173</v>
      </c>
      <c r="D56" s="98">
        <v>141</v>
      </c>
      <c r="E56" t="s">
        <v>398</v>
      </c>
      <c r="F56" s="97">
        <v>2016</v>
      </c>
      <c r="G56" t="s">
        <v>399</v>
      </c>
      <c r="H56" t="s">
        <v>400</v>
      </c>
      <c r="I56" s="98">
        <v>2</v>
      </c>
      <c r="J56">
        <v>2013</v>
      </c>
      <c r="K56" s="97" t="s">
        <v>73</v>
      </c>
      <c r="L56">
        <v>17</v>
      </c>
      <c r="M56" s="97" t="s">
        <v>349</v>
      </c>
      <c r="N56" t="s">
        <v>246</v>
      </c>
      <c r="O56" t="s">
        <v>281</v>
      </c>
      <c r="P56" t="s">
        <v>247</v>
      </c>
      <c r="Q56" t="s">
        <v>227</v>
      </c>
      <c r="R56" t="s">
        <v>233</v>
      </c>
      <c r="S56">
        <v>1</v>
      </c>
      <c r="T56" s="32" t="s">
        <v>291</v>
      </c>
      <c r="U56">
        <v>1</v>
      </c>
      <c r="V56" s="97" t="s">
        <v>221</v>
      </c>
      <c r="W56" s="97" t="s">
        <v>221</v>
      </c>
      <c r="X56" t="s">
        <v>474</v>
      </c>
      <c r="Y56" s="98">
        <v>0</v>
      </c>
      <c r="Z56" s="98">
        <v>1</v>
      </c>
      <c r="AA56" s="98">
        <v>1</v>
      </c>
      <c r="AB56" s="98">
        <v>0</v>
      </c>
      <c r="AC56" s="98">
        <v>0</v>
      </c>
      <c r="AD56" s="98">
        <v>0</v>
      </c>
      <c r="AE56" s="98">
        <v>0</v>
      </c>
      <c r="AF56" s="98">
        <v>0</v>
      </c>
      <c r="AG56" t="s">
        <v>401</v>
      </c>
      <c r="AH56" s="98">
        <v>0</v>
      </c>
      <c r="AI56" s="98">
        <v>0</v>
      </c>
      <c r="AJ56" s="98">
        <v>0</v>
      </c>
      <c r="AK56" s="98">
        <v>0</v>
      </c>
      <c r="AL56" s="98">
        <v>0</v>
      </c>
      <c r="AM56" s="98">
        <v>0</v>
      </c>
      <c r="AN56" s="98">
        <v>0</v>
      </c>
      <c r="AO56" s="98">
        <v>1</v>
      </c>
      <c r="AP56" s="98">
        <v>0</v>
      </c>
      <c r="AQ56" s="41" t="s">
        <v>402</v>
      </c>
      <c r="AR56" t="s">
        <v>259</v>
      </c>
      <c r="AS56" t="s">
        <v>403</v>
      </c>
      <c r="AT56" t="s">
        <v>73</v>
      </c>
      <c r="AU56" s="106">
        <v>8.3000000000000004E-2</v>
      </c>
      <c r="AV56" s="7" t="s">
        <v>86</v>
      </c>
      <c r="AW56" t="s">
        <v>73</v>
      </c>
      <c r="AX56">
        <v>0.1</v>
      </c>
      <c r="AY56">
        <v>1</v>
      </c>
      <c r="AZ56">
        <f>TINV(AX56,CC56)</f>
        <v>1.6477892114622541</v>
      </c>
      <c r="BA56" t="s">
        <v>73</v>
      </c>
      <c r="BC56" t="s">
        <v>73</v>
      </c>
      <c r="BD56" t="s">
        <v>73</v>
      </c>
      <c r="BE56" t="s">
        <v>73</v>
      </c>
      <c r="BF56" t="s">
        <v>73</v>
      </c>
      <c r="BG56" s="41">
        <v>523</v>
      </c>
      <c r="BH56" t="s">
        <v>73</v>
      </c>
      <c r="BI56" s="41">
        <v>522</v>
      </c>
      <c r="BJ56" s="41">
        <v>522</v>
      </c>
      <c r="BK56" t="s">
        <v>73</v>
      </c>
      <c r="BL56" t="s">
        <v>73</v>
      </c>
      <c r="BM56" s="98" t="s">
        <v>73</v>
      </c>
      <c r="BN56" s="98" t="s">
        <v>73</v>
      </c>
      <c r="BO56" s="98" t="s">
        <v>73</v>
      </c>
      <c r="BP56" s="98" t="s">
        <v>73</v>
      </c>
      <c r="BQ56" s="98" t="s">
        <v>73</v>
      </c>
      <c r="BR56">
        <v>0</v>
      </c>
      <c r="BS56" s="98" t="s">
        <v>73</v>
      </c>
      <c r="BT56" s="98" t="s">
        <v>321</v>
      </c>
      <c r="BU56" s="98">
        <v>0</v>
      </c>
      <c r="BV56" s="98">
        <v>0</v>
      </c>
      <c r="BW56" s="98">
        <v>1</v>
      </c>
      <c r="BX56" s="30">
        <f>((AZ56^2)/(AZ56^2+BI56))^(1/2)</f>
        <v>7.1934930559867688E-2</v>
      </c>
      <c r="BY56" s="30">
        <f>0.5*LN((1+BX56)/(1-BX56))</f>
        <v>7.2059396212325363E-2</v>
      </c>
      <c r="BZ56" s="30">
        <f>((1-(BY56^2)^2)/(BI56-1))</f>
        <v>1.919334044829439E-3</v>
      </c>
      <c r="CA56" s="30">
        <f>1/(BI56-3)</f>
        <v>1.9267822736030828E-3</v>
      </c>
      <c r="CC56">
        <f>BI56-2</f>
        <v>520</v>
      </c>
    </row>
    <row r="57" spans="1:82" ht="16">
      <c r="A57" s="11" t="s">
        <v>68</v>
      </c>
      <c r="B57" s="11"/>
      <c r="C57" s="97">
        <v>1174</v>
      </c>
      <c r="D57" s="98">
        <v>141</v>
      </c>
      <c r="E57" t="s">
        <v>398</v>
      </c>
      <c r="F57" s="97">
        <v>2016</v>
      </c>
      <c r="G57" t="s">
        <v>399</v>
      </c>
      <c r="H57" t="s">
        <v>400</v>
      </c>
      <c r="I57" s="98">
        <v>2</v>
      </c>
      <c r="J57">
        <v>2013</v>
      </c>
      <c r="K57" s="97" t="s">
        <v>73</v>
      </c>
      <c r="L57">
        <v>17</v>
      </c>
      <c r="M57" s="97" t="s">
        <v>282</v>
      </c>
      <c r="N57" t="s">
        <v>246</v>
      </c>
      <c r="O57" t="s">
        <v>281</v>
      </c>
      <c r="P57" t="s">
        <v>247</v>
      </c>
      <c r="Q57" t="s">
        <v>227</v>
      </c>
      <c r="R57" t="s">
        <v>233</v>
      </c>
      <c r="S57">
        <v>1</v>
      </c>
      <c r="T57" s="32" t="s">
        <v>291</v>
      </c>
      <c r="U57">
        <v>1</v>
      </c>
      <c r="V57" s="97" t="s">
        <v>221</v>
      </c>
      <c r="W57" s="97" t="s">
        <v>221</v>
      </c>
      <c r="X57" t="s">
        <v>474</v>
      </c>
      <c r="Y57" s="98">
        <v>0</v>
      </c>
      <c r="Z57" s="98">
        <v>1</v>
      </c>
      <c r="AA57" s="98">
        <v>1</v>
      </c>
      <c r="AB57" s="98">
        <v>0</v>
      </c>
      <c r="AC57" s="98">
        <v>0</v>
      </c>
      <c r="AD57" s="98">
        <v>0</v>
      </c>
      <c r="AE57" s="98">
        <v>0</v>
      </c>
      <c r="AF57" s="98">
        <v>0</v>
      </c>
      <c r="AG57" t="s">
        <v>401</v>
      </c>
      <c r="AH57" s="98">
        <v>0</v>
      </c>
      <c r="AI57" s="98">
        <v>0</v>
      </c>
      <c r="AJ57" s="98">
        <v>0</v>
      </c>
      <c r="AK57" s="98">
        <v>0</v>
      </c>
      <c r="AL57" s="98">
        <v>0</v>
      </c>
      <c r="AM57" s="98">
        <v>0</v>
      </c>
      <c r="AN57" s="98">
        <v>0</v>
      </c>
      <c r="AO57" s="98">
        <v>1</v>
      </c>
      <c r="AP57" s="98">
        <v>0</v>
      </c>
      <c r="AQ57" s="41" t="s">
        <v>402</v>
      </c>
      <c r="AR57" t="s">
        <v>259</v>
      </c>
      <c r="AS57" t="s">
        <v>403</v>
      </c>
      <c r="AT57" t="s">
        <v>73</v>
      </c>
      <c r="AU57" s="106">
        <v>0.13300000000000001</v>
      </c>
      <c r="AV57" s="7" t="s">
        <v>86</v>
      </c>
      <c r="AW57" t="s">
        <v>73</v>
      </c>
      <c r="AX57">
        <v>0.1</v>
      </c>
      <c r="AY57">
        <v>1</v>
      </c>
      <c r="AZ57">
        <f>TINV(AX57,CC57)</f>
        <v>1.6477892114622541</v>
      </c>
      <c r="BA57" t="s">
        <v>73</v>
      </c>
      <c r="BC57" t="s">
        <v>73</v>
      </c>
      <c r="BD57" t="s">
        <v>73</v>
      </c>
      <c r="BE57" t="s">
        <v>73</v>
      </c>
      <c r="BF57" t="s">
        <v>73</v>
      </c>
      <c r="BG57" s="41">
        <v>523</v>
      </c>
      <c r="BH57" t="s">
        <v>73</v>
      </c>
      <c r="BI57" s="41">
        <v>522</v>
      </c>
      <c r="BJ57" s="41">
        <v>522</v>
      </c>
      <c r="BK57" t="s">
        <v>73</v>
      </c>
      <c r="BL57" t="s">
        <v>73</v>
      </c>
      <c r="BM57" s="98" t="s">
        <v>73</v>
      </c>
      <c r="BN57" s="98" t="s">
        <v>73</v>
      </c>
      <c r="BO57" s="98" t="s">
        <v>73</v>
      </c>
      <c r="BP57" s="98" t="s">
        <v>73</v>
      </c>
      <c r="BQ57" s="98" t="s">
        <v>73</v>
      </c>
      <c r="BR57">
        <v>0</v>
      </c>
      <c r="BS57" s="98" t="s">
        <v>73</v>
      </c>
      <c r="BT57" s="98" t="s">
        <v>321</v>
      </c>
      <c r="BU57" s="98">
        <v>0</v>
      </c>
      <c r="BV57" s="98">
        <v>0</v>
      </c>
      <c r="BW57" s="98">
        <v>1</v>
      </c>
      <c r="BX57" s="30">
        <f>((AZ57^2)/(AZ57^2+BI57))^(1/2)</f>
        <v>7.1934930559867688E-2</v>
      </c>
      <c r="BY57" s="30">
        <f>0.5*LN((1+BX57)/(1-BX57))</f>
        <v>7.2059396212325363E-2</v>
      </c>
      <c r="BZ57" s="30">
        <f>((1-(BY57^2)^2)/(BI57-1))</f>
        <v>1.919334044829439E-3</v>
      </c>
      <c r="CA57" s="30">
        <f>1/(BI57-3)</f>
        <v>1.9267822736030828E-3</v>
      </c>
      <c r="CC57">
        <f>BI57-2</f>
        <v>520</v>
      </c>
    </row>
    <row r="58" spans="1:82" ht="16">
      <c r="A58" s="11" t="s">
        <v>68</v>
      </c>
      <c r="B58" s="11"/>
      <c r="C58" s="97">
        <v>1175</v>
      </c>
      <c r="D58" s="98">
        <v>141</v>
      </c>
      <c r="E58" t="s">
        <v>398</v>
      </c>
      <c r="F58" s="97">
        <v>2016</v>
      </c>
      <c r="G58" t="s">
        <v>399</v>
      </c>
      <c r="H58" t="s">
        <v>400</v>
      </c>
      <c r="I58" s="98">
        <v>2</v>
      </c>
      <c r="J58">
        <v>2013</v>
      </c>
      <c r="K58" s="97" t="s">
        <v>73</v>
      </c>
      <c r="L58">
        <v>17</v>
      </c>
      <c r="M58" s="97" t="s">
        <v>282</v>
      </c>
      <c r="N58" t="s">
        <v>246</v>
      </c>
      <c r="O58" t="s">
        <v>281</v>
      </c>
      <c r="P58" t="s">
        <v>247</v>
      </c>
      <c r="Q58" t="s">
        <v>227</v>
      </c>
      <c r="R58" t="s">
        <v>233</v>
      </c>
      <c r="S58">
        <v>1</v>
      </c>
      <c r="T58" s="32" t="s">
        <v>291</v>
      </c>
      <c r="U58">
        <v>1</v>
      </c>
      <c r="V58" s="97" t="s">
        <v>221</v>
      </c>
      <c r="W58" s="97" t="s">
        <v>221</v>
      </c>
      <c r="X58" t="s">
        <v>474</v>
      </c>
      <c r="Y58" s="98">
        <v>0</v>
      </c>
      <c r="Z58" s="98">
        <v>1</v>
      </c>
      <c r="AA58" s="98">
        <v>1</v>
      </c>
      <c r="AB58" s="98">
        <v>0</v>
      </c>
      <c r="AC58" s="98">
        <v>0</v>
      </c>
      <c r="AD58" s="98">
        <v>0</v>
      </c>
      <c r="AE58" s="98">
        <v>0</v>
      </c>
      <c r="AF58" s="98">
        <v>0</v>
      </c>
      <c r="AG58" t="s">
        <v>401</v>
      </c>
      <c r="AH58" s="98">
        <v>0</v>
      </c>
      <c r="AI58" s="98">
        <v>0</v>
      </c>
      <c r="AJ58" s="98">
        <v>0</v>
      </c>
      <c r="AK58" s="98">
        <v>0</v>
      </c>
      <c r="AL58" s="98">
        <v>0</v>
      </c>
      <c r="AM58" s="98">
        <v>0</v>
      </c>
      <c r="AN58" s="98">
        <v>0</v>
      </c>
      <c r="AO58" s="98">
        <v>1</v>
      </c>
      <c r="AP58" s="98">
        <v>0</v>
      </c>
      <c r="AQ58" s="41" t="s">
        <v>402</v>
      </c>
      <c r="AR58" t="s">
        <v>259</v>
      </c>
      <c r="AS58" t="s">
        <v>403</v>
      </c>
      <c r="AT58" t="s">
        <v>73</v>
      </c>
      <c r="AU58" s="106">
        <v>9.5000000000000001E-2</v>
      </c>
      <c r="AV58" s="7" t="s">
        <v>86</v>
      </c>
      <c r="AW58" t="s">
        <v>73</v>
      </c>
      <c r="AX58">
        <v>0.1</v>
      </c>
      <c r="AY58">
        <v>2</v>
      </c>
      <c r="AZ58">
        <f>TINV(AX58,CC58)</f>
        <v>1.6477892114622541</v>
      </c>
      <c r="BA58" t="s">
        <v>73</v>
      </c>
      <c r="BC58" t="s">
        <v>73</v>
      </c>
      <c r="BD58" t="s">
        <v>73</v>
      </c>
      <c r="BE58" t="s">
        <v>73</v>
      </c>
      <c r="BF58" t="s">
        <v>73</v>
      </c>
      <c r="BG58" s="41">
        <v>523</v>
      </c>
      <c r="BH58" t="s">
        <v>73</v>
      </c>
      <c r="BI58" s="41">
        <v>522</v>
      </c>
      <c r="BJ58" s="41">
        <v>522</v>
      </c>
      <c r="BK58" t="s">
        <v>73</v>
      </c>
      <c r="BL58" t="s">
        <v>73</v>
      </c>
      <c r="BM58" s="98" t="s">
        <v>73</v>
      </c>
      <c r="BN58" s="98" t="s">
        <v>73</v>
      </c>
      <c r="BO58" s="98" t="s">
        <v>73</v>
      </c>
      <c r="BP58" s="98" t="s">
        <v>73</v>
      </c>
      <c r="BQ58" s="98" t="s">
        <v>73</v>
      </c>
      <c r="BR58">
        <v>0</v>
      </c>
      <c r="BS58" s="98" t="s">
        <v>73</v>
      </c>
      <c r="BT58" s="98" t="s">
        <v>321</v>
      </c>
      <c r="BU58" s="98">
        <v>0</v>
      </c>
      <c r="BV58" s="98">
        <v>0</v>
      </c>
      <c r="BW58" s="98">
        <v>1</v>
      </c>
      <c r="BX58" s="30">
        <f>((AZ58^2)/(AZ58^2+BI58))^(1/2)</f>
        <v>7.1934930559867688E-2</v>
      </c>
      <c r="BY58" s="30">
        <f>0.5*LN((1+BX58)/(1-BX58))</f>
        <v>7.2059396212325363E-2</v>
      </c>
      <c r="BZ58" s="30">
        <f>((1-(BY58^2)^2)/(BI58-1))</f>
        <v>1.919334044829439E-3</v>
      </c>
      <c r="CA58" s="30">
        <f>1/(BI58-3)</f>
        <v>1.9267822736030828E-3</v>
      </c>
      <c r="CC58">
        <f>BI58-2</f>
        <v>520</v>
      </c>
    </row>
    <row r="59" spans="1:82" ht="16">
      <c r="A59" s="11" t="s">
        <v>68</v>
      </c>
      <c r="B59" s="11"/>
      <c r="C59" s="97">
        <v>1176</v>
      </c>
      <c r="D59" s="98">
        <v>141</v>
      </c>
      <c r="E59" t="s">
        <v>398</v>
      </c>
      <c r="F59" s="97">
        <v>2016</v>
      </c>
      <c r="G59" t="s">
        <v>399</v>
      </c>
      <c r="H59" t="s">
        <v>400</v>
      </c>
      <c r="I59" s="98">
        <v>2</v>
      </c>
      <c r="J59">
        <v>2013</v>
      </c>
      <c r="K59" s="97" t="s">
        <v>73</v>
      </c>
      <c r="L59">
        <v>17</v>
      </c>
      <c r="M59" s="97" t="s">
        <v>349</v>
      </c>
      <c r="N59" t="s">
        <v>246</v>
      </c>
      <c r="O59" t="s">
        <v>281</v>
      </c>
      <c r="P59" t="s">
        <v>247</v>
      </c>
      <c r="Q59" t="s">
        <v>227</v>
      </c>
      <c r="R59" t="s">
        <v>233</v>
      </c>
      <c r="S59">
        <v>1</v>
      </c>
      <c r="T59" s="32" t="s">
        <v>291</v>
      </c>
      <c r="U59">
        <v>1</v>
      </c>
      <c r="V59" s="97" t="s">
        <v>221</v>
      </c>
      <c r="W59" s="97" t="s">
        <v>221</v>
      </c>
      <c r="X59" t="s">
        <v>474</v>
      </c>
      <c r="Y59" s="98">
        <v>0</v>
      </c>
      <c r="Z59" s="98">
        <v>1</v>
      </c>
      <c r="AA59" s="98">
        <v>1</v>
      </c>
      <c r="AB59" s="98">
        <v>0</v>
      </c>
      <c r="AC59" s="98">
        <v>0</v>
      </c>
      <c r="AD59" s="98">
        <v>0</v>
      </c>
      <c r="AE59" s="98">
        <v>0</v>
      </c>
      <c r="AF59" s="98">
        <v>0</v>
      </c>
      <c r="AG59" t="s">
        <v>287</v>
      </c>
      <c r="AH59" s="98">
        <v>0</v>
      </c>
      <c r="AI59" s="98">
        <v>0</v>
      </c>
      <c r="AJ59" s="98">
        <v>0</v>
      </c>
      <c r="AK59" s="98">
        <v>0</v>
      </c>
      <c r="AL59" s="98">
        <v>0</v>
      </c>
      <c r="AM59" s="98">
        <v>0</v>
      </c>
      <c r="AN59" s="98">
        <v>0</v>
      </c>
      <c r="AO59" s="98">
        <v>1</v>
      </c>
      <c r="AP59" s="98">
        <v>0</v>
      </c>
      <c r="AQ59" s="41" t="s">
        <v>402</v>
      </c>
      <c r="AR59" t="s">
        <v>259</v>
      </c>
      <c r="AS59" t="s">
        <v>403</v>
      </c>
      <c r="AT59" t="s">
        <v>73</v>
      </c>
      <c r="AU59" s="106">
        <v>0.14000000000000001</v>
      </c>
      <c r="AV59" s="7" t="s">
        <v>80</v>
      </c>
      <c r="AW59" t="s">
        <v>73</v>
      </c>
      <c r="AX59">
        <v>0.01</v>
      </c>
      <c r="AY59">
        <v>1</v>
      </c>
      <c r="AZ59">
        <f>TINV(AX59,CC59)</f>
        <v>2.5853169622486396</v>
      </c>
      <c r="BA59" t="s">
        <v>73</v>
      </c>
      <c r="BC59" t="s">
        <v>73</v>
      </c>
      <c r="BD59" t="s">
        <v>73</v>
      </c>
      <c r="BE59" t="s">
        <v>73</v>
      </c>
      <c r="BF59" t="s">
        <v>73</v>
      </c>
      <c r="BG59" s="41">
        <v>524</v>
      </c>
      <c r="BH59" t="s">
        <v>73</v>
      </c>
      <c r="BI59" s="41">
        <v>522</v>
      </c>
      <c r="BJ59" s="41">
        <v>522</v>
      </c>
      <c r="BK59" t="s">
        <v>73</v>
      </c>
      <c r="BL59" t="s">
        <v>73</v>
      </c>
      <c r="BM59" s="98" t="s">
        <v>73</v>
      </c>
      <c r="BN59" s="98" t="s">
        <v>73</v>
      </c>
      <c r="BO59" s="98" t="s">
        <v>73</v>
      </c>
      <c r="BP59" s="98" t="s">
        <v>73</v>
      </c>
      <c r="BQ59" s="98" t="s">
        <v>73</v>
      </c>
      <c r="BR59">
        <v>1</v>
      </c>
      <c r="BS59" s="110" t="s">
        <v>73</v>
      </c>
      <c r="BT59" s="98" t="s">
        <v>321</v>
      </c>
      <c r="BU59" s="98">
        <v>0</v>
      </c>
      <c r="BV59" s="98">
        <v>0</v>
      </c>
      <c r="BW59" s="98">
        <v>1</v>
      </c>
      <c r="BX59" s="30">
        <f>((AZ59^2)/(AZ59^2+BI59))^(1/2)</f>
        <v>0.11243868763294575</v>
      </c>
      <c r="BY59" s="30">
        <f>0.5*LN((1+BX59)/(1-BX59))</f>
        <v>0.11291614848050519</v>
      </c>
      <c r="BZ59" s="30">
        <f>((1-(BY59^2)^2)/(BI59-1))</f>
        <v>1.9190737736219023E-3</v>
      </c>
      <c r="CA59" s="30">
        <f>1/(BI59-3)</f>
        <v>1.9267822736030828E-3</v>
      </c>
      <c r="CC59">
        <f>BI59-2</f>
        <v>520</v>
      </c>
    </row>
    <row r="60" spans="1:82" ht="16">
      <c r="A60" s="11" t="s">
        <v>68</v>
      </c>
      <c r="B60" s="11"/>
      <c r="C60" s="97">
        <v>1177</v>
      </c>
      <c r="D60" s="98">
        <v>141</v>
      </c>
      <c r="E60" t="s">
        <v>398</v>
      </c>
      <c r="F60" s="97">
        <v>2016</v>
      </c>
      <c r="G60" t="s">
        <v>399</v>
      </c>
      <c r="H60" t="s">
        <v>400</v>
      </c>
      <c r="I60" s="98">
        <v>2</v>
      </c>
      <c r="J60">
        <v>2013</v>
      </c>
      <c r="K60" s="97" t="s">
        <v>73</v>
      </c>
      <c r="L60">
        <v>17</v>
      </c>
      <c r="M60" s="97" t="s">
        <v>349</v>
      </c>
      <c r="N60" t="s">
        <v>246</v>
      </c>
      <c r="O60" t="s">
        <v>281</v>
      </c>
      <c r="P60" t="s">
        <v>247</v>
      </c>
      <c r="Q60" t="s">
        <v>227</v>
      </c>
      <c r="R60" t="s">
        <v>233</v>
      </c>
      <c r="S60">
        <v>1</v>
      </c>
      <c r="T60" s="32" t="s">
        <v>291</v>
      </c>
      <c r="U60">
        <v>1</v>
      </c>
      <c r="V60" s="97" t="s">
        <v>221</v>
      </c>
      <c r="W60" s="97" t="s">
        <v>221</v>
      </c>
      <c r="X60" t="s">
        <v>474</v>
      </c>
      <c r="Y60" s="98">
        <v>0</v>
      </c>
      <c r="Z60" s="98">
        <v>1</v>
      </c>
      <c r="AA60" s="98">
        <v>1</v>
      </c>
      <c r="AB60" s="98">
        <v>0</v>
      </c>
      <c r="AC60" s="98">
        <v>0</v>
      </c>
      <c r="AD60" s="98">
        <v>0</v>
      </c>
      <c r="AE60" s="98">
        <v>0</v>
      </c>
      <c r="AF60" s="98">
        <v>0</v>
      </c>
      <c r="AG60" t="s">
        <v>287</v>
      </c>
      <c r="AH60" s="98">
        <v>0</v>
      </c>
      <c r="AI60" s="98">
        <v>0</v>
      </c>
      <c r="AJ60" s="98">
        <v>0</v>
      </c>
      <c r="AK60" s="98">
        <v>0</v>
      </c>
      <c r="AL60" s="98">
        <v>0</v>
      </c>
      <c r="AM60" s="98">
        <v>0</v>
      </c>
      <c r="AN60" s="98">
        <v>0</v>
      </c>
      <c r="AO60" s="98">
        <v>1</v>
      </c>
      <c r="AP60" s="98">
        <v>0</v>
      </c>
      <c r="AQ60" s="41" t="s">
        <v>402</v>
      </c>
      <c r="AR60" t="s">
        <v>259</v>
      </c>
      <c r="AS60" t="s">
        <v>403</v>
      </c>
      <c r="AT60" t="s">
        <v>73</v>
      </c>
      <c r="AU60" s="106">
        <v>0.14299999999999999</v>
      </c>
      <c r="AV60" s="7" t="s">
        <v>80</v>
      </c>
      <c r="AW60" t="s">
        <v>73</v>
      </c>
      <c r="AX60">
        <v>0.01</v>
      </c>
      <c r="AY60">
        <v>1</v>
      </c>
      <c r="AZ60">
        <f>TINV(AX60,CC60)</f>
        <v>2.5853169622486396</v>
      </c>
      <c r="BA60" t="s">
        <v>73</v>
      </c>
      <c r="BC60" t="s">
        <v>73</v>
      </c>
      <c r="BD60" t="s">
        <v>73</v>
      </c>
      <c r="BE60" t="s">
        <v>73</v>
      </c>
      <c r="BF60" t="s">
        <v>73</v>
      </c>
      <c r="BG60" s="41">
        <v>524</v>
      </c>
      <c r="BH60" t="s">
        <v>73</v>
      </c>
      <c r="BI60" s="41">
        <v>522</v>
      </c>
      <c r="BJ60" s="41">
        <v>522</v>
      </c>
      <c r="BK60" t="s">
        <v>73</v>
      </c>
      <c r="BL60" t="s">
        <v>73</v>
      </c>
      <c r="BM60" s="98" t="s">
        <v>73</v>
      </c>
      <c r="BN60" s="98" t="s">
        <v>73</v>
      </c>
      <c r="BO60" s="98" t="s">
        <v>73</v>
      </c>
      <c r="BP60" s="98" t="s">
        <v>73</v>
      </c>
      <c r="BQ60" s="98" t="s">
        <v>73</v>
      </c>
      <c r="BR60">
        <v>1</v>
      </c>
      <c r="BS60" s="110" t="s">
        <v>73</v>
      </c>
      <c r="BT60" s="98" t="s">
        <v>321</v>
      </c>
      <c r="BU60" s="98">
        <v>0</v>
      </c>
      <c r="BV60" s="98">
        <v>0</v>
      </c>
      <c r="BW60" s="98">
        <v>1</v>
      </c>
      <c r="BX60" s="30">
        <f>((AZ60^2)/(AZ60^2+BI60))^(1/2)</f>
        <v>0.11243868763294575</v>
      </c>
      <c r="BY60" s="30">
        <f>0.5*LN((1+BX60)/(1-BX60))</f>
        <v>0.11291614848050519</v>
      </c>
      <c r="BZ60" s="30">
        <f>((1-(BY60^2)^2)/(BI60-1))</f>
        <v>1.9190737736219023E-3</v>
      </c>
      <c r="CA60" s="30">
        <f>1/(BI60-3)</f>
        <v>1.9267822736030828E-3</v>
      </c>
      <c r="CC60">
        <f>BI60-2</f>
        <v>520</v>
      </c>
    </row>
    <row r="61" spans="1:82" ht="16">
      <c r="A61" s="11" t="s">
        <v>68</v>
      </c>
      <c r="B61" s="11"/>
      <c r="C61" s="97">
        <v>1178</v>
      </c>
      <c r="D61" s="98">
        <v>141</v>
      </c>
      <c r="E61" t="s">
        <v>398</v>
      </c>
      <c r="F61" s="97">
        <v>2016</v>
      </c>
      <c r="G61" t="s">
        <v>399</v>
      </c>
      <c r="H61" t="s">
        <v>400</v>
      </c>
      <c r="I61" s="98">
        <v>2</v>
      </c>
      <c r="J61">
        <v>2013</v>
      </c>
      <c r="K61" s="97" t="s">
        <v>73</v>
      </c>
      <c r="L61">
        <v>17</v>
      </c>
      <c r="M61" s="97" t="s">
        <v>282</v>
      </c>
      <c r="N61" t="s">
        <v>246</v>
      </c>
      <c r="O61" t="s">
        <v>281</v>
      </c>
      <c r="P61" t="s">
        <v>247</v>
      </c>
      <c r="Q61" t="s">
        <v>227</v>
      </c>
      <c r="R61" t="s">
        <v>233</v>
      </c>
      <c r="S61">
        <v>1</v>
      </c>
      <c r="T61" s="32" t="s">
        <v>291</v>
      </c>
      <c r="U61">
        <v>1</v>
      </c>
      <c r="V61" s="97" t="s">
        <v>221</v>
      </c>
      <c r="W61" s="97" t="s">
        <v>221</v>
      </c>
      <c r="X61" t="s">
        <v>474</v>
      </c>
      <c r="Y61" s="98">
        <v>0</v>
      </c>
      <c r="Z61" s="98">
        <v>1</v>
      </c>
      <c r="AA61" s="98">
        <v>1</v>
      </c>
      <c r="AB61" s="98">
        <v>0</v>
      </c>
      <c r="AC61" s="98">
        <v>0</v>
      </c>
      <c r="AD61" s="98">
        <v>0</v>
      </c>
      <c r="AE61" s="98">
        <v>0</v>
      </c>
      <c r="AF61" s="98">
        <v>0</v>
      </c>
      <c r="AG61" t="s">
        <v>287</v>
      </c>
      <c r="AH61" s="98">
        <v>0</v>
      </c>
      <c r="AI61" s="98">
        <v>0</v>
      </c>
      <c r="AJ61" s="98">
        <v>0</v>
      </c>
      <c r="AK61" s="98">
        <v>0</v>
      </c>
      <c r="AL61" s="98">
        <v>0</v>
      </c>
      <c r="AM61" s="98">
        <v>0</v>
      </c>
      <c r="AN61" s="98">
        <v>0</v>
      </c>
      <c r="AO61" s="98">
        <v>1</v>
      </c>
      <c r="AP61" s="98">
        <v>0</v>
      </c>
      <c r="AQ61" s="41" t="s">
        <v>402</v>
      </c>
      <c r="AR61" t="s">
        <v>259</v>
      </c>
      <c r="AS61" t="s">
        <v>403</v>
      </c>
      <c r="AT61" t="s">
        <v>73</v>
      </c>
      <c r="AU61" s="106">
        <v>0.22</v>
      </c>
      <c r="AV61" s="7" t="s">
        <v>80</v>
      </c>
      <c r="AW61" t="s">
        <v>73</v>
      </c>
      <c r="AX61">
        <v>0.01</v>
      </c>
      <c r="AY61">
        <v>1</v>
      </c>
      <c r="AZ61">
        <f>TINV(AX61,CC61)</f>
        <v>2.5853169622486396</v>
      </c>
      <c r="BA61" t="s">
        <v>73</v>
      </c>
      <c r="BC61" t="s">
        <v>73</v>
      </c>
      <c r="BD61" t="s">
        <v>73</v>
      </c>
      <c r="BE61" t="s">
        <v>73</v>
      </c>
      <c r="BF61" t="s">
        <v>73</v>
      </c>
      <c r="BG61" s="41">
        <v>524</v>
      </c>
      <c r="BH61" t="s">
        <v>73</v>
      </c>
      <c r="BI61" s="41">
        <v>522</v>
      </c>
      <c r="BJ61" s="41">
        <v>522</v>
      </c>
      <c r="BK61" t="s">
        <v>73</v>
      </c>
      <c r="BL61" t="s">
        <v>73</v>
      </c>
      <c r="BM61" s="98" t="s">
        <v>73</v>
      </c>
      <c r="BN61" s="98" t="s">
        <v>73</v>
      </c>
      <c r="BO61" s="98" t="s">
        <v>73</v>
      </c>
      <c r="BP61" s="98" t="s">
        <v>73</v>
      </c>
      <c r="BQ61" s="98" t="s">
        <v>73</v>
      </c>
      <c r="BR61">
        <v>1</v>
      </c>
      <c r="BS61" s="110" t="s">
        <v>73</v>
      </c>
      <c r="BT61" s="98" t="s">
        <v>321</v>
      </c>
      <c r="BU61" s="98">
        <v>0</v>
      </c>
      <c r="BV61" s="98">
        <v>0</v>
      </c>
      <c r="BW61" s="98">
        <v>1</v>
      </c>
      <c r="BX61" s="30">
        <f>((AZ61^2)/(AZ61^2+BI61))^(1/2)</f>
        <v>0.11243868763294575</v>
      </c>
      <c r="BY61" s="30">
        <f>0.5*LN((1+BX61)/(1-BX61))</f>
        <v>0.11291614848050519</v>
      </c>
      <c r="BZ61" s="30">
        <f>((1-(BY61^2)^2)/(BI61-1))</f>
        <v>1.9190737736219023E-3</v>
      </c>
      <c r="CA61" s="30">
        <f>1/(BI61-3)</f>
        <v>1.9267822736030828E-3</v>
      </c>
      <c r="CC61">
        <f>BI61-2</f>
        <v>520</v>
      </c>
    </row>
    <row r="62" spans="1:82" ht="16">
      <c r="A62" s="11" t="s">
        <v>68</v>
      </c>
      <c r="B62" s="11"/>
      <c r="C62" s="97">
        <v>1179</v>
      </c>
      <c r="D62" s="98">
        <v>141</v>
      </c>
      <c r="E62" t="s">
        <v>398</v>
      </c>
      <c r="F62" s="97">
        <v>2016</v>
      </c>
      <c r="G62" t="s">
        <v>399</v>
      </c>
      <c r="H62" t="s">
        <v>400</v>
      </c>
      <c r="I62" s="98">
        <v>2</v>
      </c>
      <c r="J62">
        <v>2011</v>
      </c>
      <c r="K62" s="97" t="s">
        <v>73</v>
      </c>
      <c r="L62">
        <v>17</v>
      </c>
      <c r="M62" s="97" t="s">
        <v>282</v>
      </c>
      <c r="N62" t="s">
        <v>246</v>
      </c>
      <c r="O62" t="s">
        <v>281</v>
      </c>
      <c r="P62" t="s">
        <v>247</v>
      </c>
      <c r="Q62" t="s">
        <v>227</v>
      </c>
      <c r="R62" t="s">
        <v>233</v>
      </c>
      <c r="S62">
        <v>1</v>
      </c>
      <c r="T62" s="32" t="s">
        <v>291</v>
      </c>
      <c r="U62">
        <v>1</v>
      </c>
      <c r="V62" s="97" t="s">
        <v>221</v>
      </c>
      <c r="W62" s="97" t="s">
        <v>221</v>
      </c>
      <c r="X62" t="s">
        <v>474</v>
      </c>
      <c r="Y62" s="98">
        <v>0</v>
      </c>
      <c r="Z62" s="98">
        <v>1</v>
      </c>
      <c r="AA62" s="98">
        <v>1</v>
      </c>
      <c r="AB62" s="98">
        <v>0</v>
      </c>
      <c r="AC62" s="98">
        <v>0</v>
      </c>
      <c r="AD62" s="98">
        <v>0</v>
      </c>
      <c r="AE62" s="98">
        <v>0</v>
      </c>
      <c r="AF62" s="98">
        <v>0</v>
      </c>
      <c r="AG62" t="s">
        <v>287</v>
      </c>
      <c r="AH62" s="98">
        <v>0</v>
      </c>
      <c r="AI62" s="98">
        <v>0</v>
      </c>
      <c r="AJ62" s="98">
        <v>0</v>
      </c>
      <c r="AK62" s="98">
        <v>0</v>
      </c>
      <c r="AL62" s="98">
        <v>0</v>
      </c>
      <c r="AM62" s="98">
        <v>0</v>
      </c>
      <c r="AN62" s="98">
        <v>0</v>
      </c>
      <c r="AO62" s="98">
        <v>1</v>
      </c>
      <c r="AP62" s="98">
        <v>0</v>
      </c>
      <c r="AQ62" s="41" t="s">
        <v>402</v>
      </c>
      <c r="AR62" t="s">
        <v>259</v>
      </c>
      <c r="AS62" t="s">
        <v>403</v>
      </c>
      <c r="AT62" t="s">
        <v>73</v>
      </c>
      <c r="AU62" s="106">
        <v>0.159</v>
      </c>
      <c r="AV62" s="7" t="s">
        <v>80</v>
      </c>
      <c r="AW62" t="s">
        <v>73</v>
      </c>
      <c r="AX62">
        <v>0.05</v>
      </c>
      <c r="AY62">
        <v>1</v>
      </c>
      <c r="AZ62">
        <f>TINV(AX62,CC62)</f>
        <v>1.9645365010317388</v>
      </c>
      <c r="BA62" t="s">
        <v>73</v>
      </c>
      <c r="BC62" t="s">
        <v>73</v>
      </c>
      <c r="BD62" t="s">
        <v>73</v>
      </c>
      <c r="BE62" t="s">
        <v>73</v>
      </c>
      <c r="BF62" t="s">
        <v>73</v>
      </c>
      <c r="BG62" s="41">
        <v>524</v>
      </c>
      <c r="BH62" t="s">
        <v>73</v>
      </c>
      <c r="BI62" s="41">
        <v>522</v>
      </c>
      <c r="BJ62" s="41">
        <v>522</v>
      </c>
      <c r="BK62" t="s">
        <v>73</v>
      </c>
      <c r="BL62" t="s">
        <v>73</v>
      </c>
      <c r="BM62" s="98" t="s">
        <v>73</v>
      </c>
      <c r="BN62" s="98" t="s">
        <v>73</v>
      </c>
      <c r="BO62" s="98" t="s">
        <v>73</v>
      </c>
      <c r="BP62" s="98" t="s">
        <v>73</v>
      </c>
      <c r="BQ62" s="98" t="s">
        <v>73</v>
      </c>
      <c r="BR62">
        <v>1</v>
      </c>
      <c r="BS62" s="110" t="s">
        <v>73</v>
      </c>
      <c r="BT62" s="98" t="s">
        <v>321</v>
      </c>
      <c r="BU62" s="98">
        <v>0</v>
      </c>
      <c r="BV62" s="98">
        <v>0</v>
      </c>
      <c r="BW62" s="98">
        <v>1</v>
      </c>
      <c r="BX62" s="30">
        <f>((AZ62^2)/(AZ62^2+BI62))^(1/2)</f>
        <v>8.5669312189989619E-2</v>
      </c>
      <c r="BY62" s="30">
        <f>0.5*LN((1+BX62)/(1-BX62))</f>
        <v>8.5879822251689428E-2</v>
      </c>
      <c r="BZ62" s="30">
        <f>((1-(BY62^2)^2)/(BI62-1))</f>
        <v>1.9192813902165059E-3</v>
      </c>
      <c r="CA62" s="30">
        <f>1/(BI62-3)</f>
        <v>1.9267822736030828E-3</v>
      </c>
      <c r="CC62">
        <f>BI62-2</f>
        <v>520</v>
      </c>
    </row>
    <row r="63" spans="1:82" ht="16"/>
    <row r="64" spans="1:82" ht="16"/>
    <row r="65" spans="53:76" ht="16"/>
    <row r="66" spans="53:76" ht="16"/>
    <row r="67" spans="53:76" ht="16"/>
    <row r="68" spans="53:76" ht="16"/>
    <row r="69" spans="53:76" ht="16"/>
    <row r="70" spans="53:76" ht="16"/>
    <row r="71" spans="53:76" ht="16"/>
    <row r="72" spans="53:76" ht="15.75" customHeight="1">
      <c r="BX72" s="30"/>
    </row>
    <row r="73" spans="53:76" ht="16">
      <c r="BA73" s="115"/>
      <c r="BB73" s="115"/>
    </row>
    <row r="74" spans="53:76" ht="16">
      <c r="BA74" s="115"/>
      <c r="BB74" s="115"/>
    </row>
    <row r="76" spans="53:76" ht="16">
      <c r="BA76" s="116"/>
      <c r="BB76" s="116"/>
    </row>
  </sheetData>
  <autoFilter ref="AR1:AR71" xr:uid="{00000000-0009-0000-0000-000001000000}"/>
  <sortState xmlns:xlrd2="http://schemas.microsoft.com/office/spreadsheetml/2017/richdata2" ref="A2:CD62">
    <sortCondition ref="AR1:AR62"/>
  </sortState>
  <dataConsolidate/>
  <phoneticPr fontId="24" type="noConversion"/>
  <conditionalFormatting sqref="AU1:AU1048576">
    <cfRule type="cellIs" dxfId="0" priority="1" operator="greaterThan">
      <formula>1</formula>
    </cfRule>
  </conditionalFormatting>
  <dataValidations xWindow="603" yWindow="1085" count="7">
    <dataValidation type="whole" allowBlank="1" showInputMessage="1" showErrorMessage="1" sqref="AH1:AP1 S63:S1048576 AH32:AP43 AH7:AH8 AJ7:AP8 S15:S31 AH15:AP26 U15:U34 AL28 AH27:AK28 AL27:AP27 AH29:AL31 AN28:AQ31 S1 U1 U63:U1048576 AH44:AQ55 U40:U62 S35:S62 AH56:AP62 AH63:AP104857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15:I29 I31:I62 I63:I1048576" xr:uid="{00000000-0002-0000-0100-000001000000}">
      <formula1>0</formula1>
      <formula2>2</formula2>
    </dataValidation>
    <dataValidation allowBlank="1" showInputMessage="1" showErrorMessage="1" errorTitle="int" error="Choose 1 or 0" promptTitle="Intervention" prompt="Yes - 1_x000a_No - 0" sqref="AD1:AF1 AD40:AF62 AG7:AG8 AD15:AF27 AG21:AG31 AD29:AF34 AD28:AE28 AD35:AE39 AG35:AG39 AH62 AG1 AD63:AG1048576" xr:uid="{00000000-0002-0000-0100-000002000000}"/>
    <dataValidation type="whole" allowBlank="1" showInputMessage="1" showErrorMessage="1" errorTitle="int" error="Choose 1 or 0" promptTitle="Intervention" prompt="Yes - 1_x000a_No - 0" sqref="Y1:AC1 AI7:AI8 Y7:Y8 AA7:AE8 AC15:AC62 Y15:AB62 Y63:AC1048576" xr:uid="{00000000-0002-0000-0100-000003000000}">
      <formula1>0</formula1>
      <formula2>1</formula2>
    </dataValidation>
    <dataValidation errorStyle="warning" allowBlank="1" showInputMessage="1" showErrorMessage="1" sqref="BN1 BO28:BO31 BO44:BO55 BN63:BN1048576" xr:uid="{00000000-0002-0000-0100-000004000000}"/>
    <dataValidation type="whole" allowBlank="1" showInputMessage="1" showErrorMessage="1" prompt="1- lower bound_x000a_2 - upper bound_x000a_3- actual" sqref="AY56:AY62" xr:uid="{00000000-0002-0000-0100-000005000000}">
      <formula1>0</formula1>
      <formula2>3</formula2>
    </dataValidation>
    <dataValidation type="whole" allowBlank="1" showInputMessage="1" showErrorMessage="1" sqref="AY15:AY26 AY32:AY43"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7000000}">
          <x14:formula1>
            <xm:f>'Lists for variables'!$B$2:$B$4</xm:f>
          </x14:formula1>
          <xm:sqref>U1 U63:U1048576</xm:sqref>
        </x14:dataValidation>
        <x14:dataValidation type="list" allowBlank="1" showInputMessage="1" showErrorMessage="1" xr:uid="{00000000-0002-0000-0100-000008000000}">
          <x14:formula1>
            <xm:f>'Lists for variables'!$A$2:$A$4</xm:f>
          </x14:formula1>
          <xm:sqref>BU56:BW1048576</xm:sqref>
        </x14:dataValidation>
        <x14:dataValidation type="list" allowBlank="1" showInputMessage="1" showErrorMessage="1" xr:uid="{00000000-0002-0000-0100-000009000000}">
          <x14:formula1>
            <xm:f>'Lists for variables'!$C$2:$C$4</xm:f>
          </x14:formula1>
          <xm:sqref>BO1 BO56:BO62 BO63:BO1048576</xm:sqref>
        </x14:dataValidation>
        <x14:dataValidation type="list" allowBlank="1" showInputMessage="1" showErrorMessage="1" xr:uid="{00000000-0002-0000-0100-00000A000000}">
          <x14:formula1>
            <xm:f>'Lists for variables'!$I$2:$I$3</xm:f>
          </x14:formula1>
          <xm:sqref>AV1 AV63:AV1048576</xm:sqref>
        </x14:dataValidation>
        <x14:dataValidation type="list" allowBlank="1" showInputMessage="1" showErrorMessage="1" xr:uid="{00000000-0002-0000-0100-00000B000000}">
          <x14:formula1>
            <xm:f>'Lists for variables'!$L$2:$L$9</xm:f>
          </x14:formula1>
          <xm:sqref>S63:S1048576 U1 S1 S56:S62 U63:U1048576</xm:sqref>
        </x14:dataValidation>
        <x14:dataValidation type="list" allowBlank="1" showInputMessage="1" showErrorMessage="1" xr:uid="{00000000-0002-0000-0100-00000C000000}">
          <x14:formula1>
            <xm:f>'Lists for variables'!$K$2:$K$3</xm:f>
          </x14:formula1>
          <xm:sqref>S63:S1048576 U1:W1 S1 S56:S62 U63:W1048576</xm:sqref>
        </x14:dataValidation>
        <x14:dataValidation type="list" allowBlank="1" showInputMessage="1" showErrorMessage="1" xr:uid="{00000000-0002-0000-0100-00000D000000}">
          <x14:formula1>
            <xm:f>'Lists for variables'!$N$2:$N$7</xm:f>
          </x14:formula1>
          <xm:sqref>S63:S1048576 U1:W1 S1 S56:S62 U63:W1048576</xm:sqref>
        </x14:dataValidation>
        <x14:dataValidation type="list" allowBlank="1" showInputMessage="1" showErrorMessage="1" xr:uid="{00000000-0002-0000-0100-00000F000000}">
          <x14:formula1>
            <xm:f>'Lists for variables'!$J$2:$J$12</xm:f>
          </x14:formula1>
          <xm:sqref>K1 K63:K1048576</xm:sqref>
        </x14:dataValidation>
        <x14:dataValidation type="list" allowBlank="1" showInputMessage="1" showErrorMessage="1" xr:uid="{00000000-0002-0000-0100-000010000000}">
          <x14:formula1>
            <xm:f>'Lists for variables'!$O:$O</xm:f>
          </x14:formula1>
          <xm:sqref>BT1 BT63:BT1048576</xm:sqref>
        </x14:dataValidation>
        <x14:dataValidation type="list" allowBlank="1" showInputMessage="1" showErrorMessage="1" xr:uid="{00000000-0002-0000-0100-000011000000}">
          <x14:formula1>
            <xm:f>'Lists for variables'!$S:$S</xm:f>
          </x14:formula1>
          <xm:sqref>G1 G63:G1048576</xm:sqref>
        </x14:dataValidation>
        <x14:dataValidation type="list" allowBlank="1" showInputMessage="1" showErrorMessage="1" xr:uid="{00000000-0002-0000-0100-000012000000}">
          <x14:formula1>
            <xm:f>'Lists for variables'!$G:$G</xm:f>
          </x14:formula1>
          <xm:sqref>AR1 AR56:AR62 AR63:AR1048576</xm:sqref>
        </x14:dataValidation>
        <x14:dataValidation type="list" allowBlank="1" showInputMessage="1" showErrorMessage="1" xr:uid="{00000000-0002-0000-0100-000013000000}">
          <x14:formula1>
            <xm:f>'Lists for variables'!$F:$F</xm:f>
          </x14:formula1>
          <xm:sqref>M56:M62 M1 M63:M1048576</xm:sqref>
        </x14:dataValidation>
        <x14:dataValidation type="list" allowBlank="1" showInputMessage="1" showErrorMessage="1" xr:uid="{00000000-0002-0000-0100-000014000000}">
          <x14:formula1>
            <xm:f>'Lists for variables'!$P:$P</xm:f>
          </x14:formula1>
          <xm:sqref>AT1 AT56:AT62 AT63:AT1048576</xm:sqref>
        </x14:dataValidation>
        <x14:dataValidation type="list" allowBlank="1" showInputMessage="1" showErrorMessage="1" xr:uid="{00000000-0002-0000-0100-000015000000}">
          <x14:formula1>
            <xm:f>'Lists for variables'!$D:$D</xm:f>
          </x14:formula1>
          <xm:sqref>U63:W1048576 S63:S1048576 N63:N1048576 S1 U1:W1 S56:S62 N56:N62 N1</xm:sqref>
        </x14:dataValidation>
        <x14:dataValidation type="list" allowBlank="1" showInputMessage="1" showErrorMessage="1" xr:uid="{00000000-0002-0000-0100-000016000000}">
          <x14:formula1>
            <xm:f>'Lists for variables'!$N:$N</xm:f>
          </x14:formula1>
          <xm:sqref>O1 O56:O62 O63:O1048576</xm:sqref>
        </x14:dataValidation>
        <x14:dataValidation type="list" allowBlank="1" showInputMessage="1" showErrorMessage="1" xr:uid="{00000000-0002-0000-0100-000017000000}">
          <x14:formula1>
            <xm:f>'Lists for variables'!$B:$B</xm:f>
          </x14:formula1>
          <xm:sqref>T1 T56:T62 T63:T1048576</xm:sqref>
        </x14:dataValidation>
        <x14:dataValidation type="list" allowBlank="1" showInputMessage="1" showErrorMessage="1" xr:uid="{00000000-0002-0000-0100-000018000000}">
          <x14:formula1>
            <xm:f>'Lists for variables'!$R:$R</xm:f>
          </x14:formula1>
          <xm:sqref>E1 E56:E62 E63:E1048576</xm:sqref>
        </x14:dataValidation>
        <x14:dataValidation type="list" allowBlank="1" showInputMessage="1" showErrorMessage="1" xr:uid="{00000000-0002-0000-0100-000019000000}">
          <x14:formula1>
            <xm:f>'Lists for variables'!$H:$H</xm:f>
          </x14:formula1>
          <xm:sqref>U63:U1048576 U1 S1 S56:S62 S63:S1048576</xm:sqref>
        </x14:dataValidation>
        <x14:dataValidation type="list" allowBlank="1" showInputMessage="1" showErrorMessage="1" xr:uid="{00000000-0002-0000-0100-00001A000000}">
          <x14:formula1>
            <xm:f>'Lists for variables'!$M:$M</xm:f>
          </x14:formula1>
          <xm:sqref>P63:P1048576 S63:S1048576 S1 P28:P31 P1 U1 S56:S62 P56:P62 U63:U1048576</xm:sqref>
        </x14:dataValidation>
        <x14:dataValidation type="list" allowBlank="1" showInputMessage="1" showErrorMessage="1" xr:uid="{00000000-0002-0000-0100-00001B000000}">
          <x14:formula1>
            <xm:f>'Lists for variables'!$L$2:$L$10</xm:f>
          </x14:formula1>
          <xm:sqref>R63:R1048576 R1:R62</xm:sqref>
        </x14:dataValidation>
        <x14:dataValidation type="list" allowBlank="1" showInputMessage="1" showErrorMessage="1" xr:uid="{00000000-0002-0000-0100-00001C000000}">
          <x14:formula1>
            <xm:f>'Lists for variables'!$H$1:$H$7</xm:f>
          </x14:formula1>
          <xm:sqref>Q63:Q1048576 Q1:Q62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3C6B8-D66D-FF4D-BFD0-320CD520D889}">
  <dimension ref="A1:BJ18"/>
  <sheetViews>
    <sheetView workbookViewId="0">
      <selection activeCell="C14" sqref="C14"/>
    </sheetView>
  </sheetViews>
  <sheetFormatPr baseColWidth="10"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17" t="s">
        <v>7</v>
      </c>
      <c r="B1" t="s">
        <v>73</v>
      </c>
    </row>
    <row r="2" spans="1:62">
      <c r="A2" s="117" t="s">
        <v>198</v>
      </c>
      <c r="B2" t="s">
        <v>222</v>
      </c>
    </row>
    <row r="4" spans="1:62">
      <c r="A4" s="117" t="s">
        <v>581</v>
      </c>
      <c r="B4" t="s">
        <v>583</v>
      </c>
      <c r="C4" t="s">
        <v>643</v>
      </c>
      <c r="D4" t="s">
        <v>641</v>
      </c>
      <c r="E4" t="s">
        <v>642</v>
      </c>
      <c r="F4" t="s">
        <v>640</v>
      </c>
      <c r="G4" t="s">
        <v>639</v>
      </c>
      <c r="H4" t="s">
        <v>587</v>
      </c>
      <c r="I4" t="s">
        <v>634</v>
      </c>
      <c r="J4" t="s">
        <v>635</v>
      </c>
      <c r="K4" t="s">
        <v>584</v>
      </c>
      <c r="L4" t="s">
        <v>585</v>
      </c>
      <c r="M4" t="s">
        <v>586</v>
      </c>
      <c r="N4" t="s">
        <v>588</v>
      </c>
      <c r="O4" t="s">
        <v>589</v>
      </c>
      <c r="P4" t="s">
        <v>590</v>
      </c>
      <c r="Q4" t="s">
        <v>591</v>
      </c>
      <c r="R4" t="s">
        <v>592</v>
      </c>
      <c r="S4" t="s">
        <v>593</v>
      </c>
      <c r="T4" t="s">
        <v>594</v>
      </c>
      <c r="U4" t="s">
        <v>595</v>
      </c>
      <c r="V4" t="s">
        <v>596</v>
      </c>
      <c r="W4" t="s">
        <v>597</v>
      </c>
      <c r="X4" t="s">
        <v>598</v>
      </c>
      <c r="Y4" t="s">
        <v>599</v>
      </c>
      <c r="Z4" t="s">
        <v>600</v>
      </c>
      <c r="AA4" t="s">
        <v>601</v>
      </c>
      <c r="AB4" t="s">
        <v>602</v>
      </c>
      <c r="AC4" t="s">
        <v>603</v>
      </c>
      <c r="AD4" t="s">
        <v>605</v>
      </c>
      <c r="AE4" t="s">
        <v>604</v>
      </c>
      <c r="AF4" t="s">
        <v>606</v>
      </c>
      <c r="AG4" t="s">
        <v>607</v>
      </c>
      <c r="AH4" t="s">
        <v>608</v>
      </c>
      <c r="AI4" t="s">
        <v>609</v>
      </c>
      <c r="AJ4" t="s">
        <v>610</v>
      </c>
      <c r="AK4" t="s">
        <v>611</v>
      </c>
      <c r="AL4" t="s">
        <v>612</v>
      </c>
      <c r="AM4" t="s">
        <v>613</v>
      </c>
      <c r="AN4" t="s">
        <v>614</v>
      </c>
      <c r="AO4" t="s">
        <v>615</v>
      </c>
      <c r="AP4" t="s">
        <v>616</v>
      </c>
      <c r="AQ4" t="s">
        <v>617</v>
      </c>
      <c r="AR4" t="s">
        <v>618</v>
      </c>
      <c r="AS4" t="s">
        <v>620</v>
      </c>
      <c r="AT4" t="s">
        <v>619</v>
      </c>
      <c r="AU4" t="s">
        <v>621</v>
      </c>
      <c r="AV4" t="s">
        <v>622</v>
      </c>
      <c r="AW4" t="s">
        <v>623</v>
      </c>
      <c r="AX4" t="s">
        <v>633</v>
      </c>
      <c r="AY4" t="s">
        <v>630</v>
      </c>
      <c r="AZ4" t="s">
        <v>631</v>
      </c>
      <c r="BA4" t="s">
        <v>632</v>
      </c>
      <c r="BB4" t="s">
        <v>629</v>
      </c>
      <c r="BC4" t="s">
        <v>628</v>
      </c>
      <c r="BD4" t="s">
        <v>627</v>
      </c>
      <c r="BE4" t="s">
        <v>624</v>
      </c>
      <c r="BF4" t="s">
        <v>625</v>
      </c>
      <c r="BG4" t="s">
        <v>626</v>
      </c>
      <c r="BH4" t="s">
        <v>636</v>
      </c>
      <c r="BI4" t="s">
        <v>637</v>
      </c>
      <c r="BJ4" t="s">
        <v>638</v>
      </c>
    </row>
    <row r="5" spans="1:62">
      <c r="A5" s="118" t="s">
        <v>280</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8"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8" t="s">
        <v>217</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8"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8"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8" t="s">
        <v>282</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8" t="s">
        <v>349</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8" t="s">
        <v>329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8" t="s">
        <v>269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8" t="s">
        <v>310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8" t="s">
        <v>295</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8" t="s">
        <v>245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8"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8" t="s">
        <v>582</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511</v>
      </c>
      <c r="B1" t="s">
        <v>189</v>
      </c>
      <c r="C1" s="1" t="s">
        <v>512</v>
      </c>
      <c r="D1" t="s">
        <v>10</v>
      </c>
      <c r="E1" s="1" t="s">
        <v>40</v>
      </c>
      <c r="F1" s="2" t="s">
        <v>9</v>
      </c>
      <c r="G1" s="37" t="s">
        <v>513</v>
      </c>
      <c r="H1" s="38" t="s">
        <v>186</v>
      </c>
      <c r="I1" s="39" t="s">
        <v>28</v>
      </c>
      <c r="J1" s="39" t="s">
        <v>7</v>
      </c>
      <c r="K1" s="39" t="s">
        <v>514</v>
      </c>
      <c r="L1" s="39" t="s">
        <v>187</v>
      </c>
      <c r="M1" s="39" t="s">
        <v>185</v>
      </c>
      <c r="N1" s="39" t="s">
        <v>50</v>
      </c>
      <c r="O1" s="39" t="s">
        <v>211</v>
      </c>
      <c r="P1" s="42" t="s">
        <v>200</v>
      </c>
      <c r="R1" s="39" t="s">
        <v>183</v>
      </c>
      <c r="S1" s="39" t="s">
        <v>4</v>
      </c>
    </row>
    <row r="2" spans="1:19" ht="34">
      <c r="A2">
        <v>0</v>
      </c>
      <c r="B2" t="s">
        <v>189</v>
      </c>
      <c r="C2" t="s">
        <v>230</v>
      </c>
      <c r="D2" t="s">
        <v>112</v>
      </c>
      <c r="E2">
        <v>1</v>
      </c>
      <c r="F2" t="s">
        <v>93</v>
      </c>
      <c r="G2" s="26" t="s">
        <v>259</v>
      </c>
      <c r="H2" t="s">
        <v>254</v>
      </c>
      <c r="I2" t="s">
        <v>80</v>
      </c>
      <c r="J2" t="s">
        <v>307</v>
      </c>
      <c r="K2" t="s">
        <v>221</v>
      </c>
      <c r="L2" t="s">
        <v>515</v>
      </c>
      <c r="M2" t="s">
        <v>218</v>
      </c>
      <c r="N2" t="s">
        <v>81</v>
      </c>
      <c r="O2" t="s">
        <v>321</v>
      </c>
      <c r="P2" s="41" t="s">
        <v>223</v>
      </c>
      <c r="R2" s="47" t="s">
        <v>516</v>
      </c>
      <c r="S2" s="47" t="s">
        <v>435</v>
      </c>
    </row>
    <row r="3" spans="1:19" ht="34">
      <c r="A3">
        <v>1</v>
      </c>
      <c r="B3" t="s">
        <v>291</v>
      </c>
      <c r="C3" t="s">
        <v>229</v>
      </c>
      <c r="D3" t="s">
        <v>241</v>
      </c>
      <c r="E3">
        <v>2</v>
      </c>
      <c r="F3" t="s">
        <v>295</v>
      </c>
      <c r="G3" s="26" t="s">
        <v>234</v>
      </c>
      <c r="H3" t="s">
        <v>242</v>
      </c>
      <c r="I3" t="s">
        <v>86</v>
      </c>
      <c r="J3" t="s">
        <v>517</v>
      </c>
      <c r="K3" t="s">
        <v>238</v>
      </c>
      <c r="L3" t="s">
        <v>255</v>
      </c>
      <c r="M3" t="s">
        <v>247</v>
      </c>
      <c r="N3" t="s">
        <v>148</v>
      </c>
      <c r="O3" t="s">
        <v>326</v>
      </c>
      <c r="P3" s="41" t="s">
        <v>249</v>
      </c>
      <c r="R3" s="46" t="s">
        <v>224</v>
      </c>
      <c r="S3" s="46" t="s">
        <v>518</v>
      </c>
    </row>
    <row r="4" spans="1:19" ht="51">
      <c r="A4" t="s">
        <v>73</v>
      </c>
      <c r="B4" t="s">
        <v>220</v>
      </c>
      <c r="C4" t="s">
        <v>73</v>
      </c>
      <c r="D4" t="s">
        <v>246</v>
      </c>
      <c r="E4">
        <v>3</v>
      </c>
      <c r="F4" t="s">
        <v>519</v>
      </c>
      <c r="G4" s="26" t="s">
        <v>222</v>
      </c>
      <c r="H4" t="s">
        <v>449</v>
      </c>
      <c r="J4" t="s">
        <v>273</v>
      </c>
      <c r="L4" t="s">
        <v>228</v>
      </c>
      <c r="M4" t="s">
        <v>226</v>
      </c>
      <c r="N4" t="s">
        <v>225</v>
      </c>
      <c r="O4" t="s">
        <v>261</v>
      </c>
      <c r="P4" s="41" t="s">
        <v>445</v>
      </c>
      <c r="R4" s="44" t="s">
        <v>385</v>
      </c>
      <c r="S4" s="44" t="s">
        <v>386</v>
      </c>
    </row>
    <row r="5" spans="1:19" ht="51">
      <c r="D5" t="s">
        <v>324</v>
      </c>
      <c r="F5" t="s">
        <v>120</v>
      </c>
      <c r="G5" s="40" t="s">
        <v>300</v>
      </c>
      <c r="H5" t="s">
        <v>219</v>
      </c>
      <c r="J5" s="41" t="s">
        <v>276</v>
      </c>
      <c r="L5" t="s">
        <v>520</v>
      </c>
      <c r="M5" t="s">
        <v>73</v>
      </c>
      <c r="N5" t="s">
        <v>124</v>
      </c>
      <c r="O5" s="41" t="s">
        <v>465</v>
      </c>
      <c r="P5" t="s">
        <v>73</v>
      </c>
      <c r="R5" s="46" t="s">
        <v>216</v>
      </c>
      <c r="S5" s="46" t="s">
        <v>521</v>
      </c>
    </row>
    <row r="6" spans="1:19">
      <c r="D6" s="41" t="s">
        <v>270</v>
      </c>
      <c r="F6" t="s">
        <v>522</v>
      </c>
      <c r="H6" t="s">
        <v>227</v>
      </c>
      <c r="J6" t="s">
        <v>263</v>
      </c>
      <c r="L6" t="s">
        <v>523</v>
      </c>
      <c r="N6" t="s">
        <v>281</v>
      </c>
      <c r="O6" t="s">
        <v>73</v>
      </c>
      <c r="R6" s="46" t="s">
        <v>239</v>
      </c>
      <c r="S6" s="46" t="s">
        <v>240</v>
      </c>
    </row>
    <row r="7" spans="1:19">
      <c r="F7" t="s">
        <v>236</v>
      </c>
      <c r="H7" t="s">
        <v>232</v>
      </c>
      <c r="J7" s="41" t="s">
        <v>279</v>
      </c>
      <c r="L7" t="s">
        <v>233</v>
      </c>
      <c r="N7" t="s">
        <v>355</v>
      </c>
      <c r="O7" t="s">
        <v>292</v>
      </c>
      <c r="R7" s="46" t="s">
        <v>454</v>
      </c>
      <c r="S7" s="46" t="s">
        <v>455</v>
      </c>
    </row>
    <row r="8" spans="1:19">
      <c r="F8" t="s">
        <v>107</v>
      </c>
      <c r="J8" s="41" t="s">
        <v>374</v>
      </c>
      <c r="L8" t="s">
        <v>292</v>
      </c>
      <c r="N8" t="s">
        <v>369</v>
      </c>
      <c r="R8" s="46" t="s">
        <v>330</v>
      </c>
      <c r="S8" s="46" t="s">
        <v>331</v>
      </c>
    </row>
    <row r="9" spans="1:19">
      <c r="F9" t="s">
        <v>280</v>
      </c>
      <c r="J9" t="s">
        <v>292</v>
      </c>
      <c r="L9" t="s">
        <v>505</v>
      </c>
      <c r="N9" t="s">
        <v>524</v>
      </c>
      <c r="R9" s="44" t="s">
        <v>501</v>
      </c>
      <c r="S9" s="44" t="s">
        <v>502</v>
      </c>
    </row>
    <row r="10" spans="1:19">
      <c r="F10" t="s">
        <v>155</v>
      </c>
      <c r="J10" t="s">
        <v>433</v>
      </c>
      <c r="L10" t="s">
        <v>248</v>
      </c>
      <c r="N10" t="s">
        <v>253</v>
      </c>
      <c r="R10" s="44" t="s">
        <v>271</v>
      </c>
      <c r="S10" s="44" t="s">
        <v>272</v>
      </c>
    </row>
    <row r="11" spans="1:19">
      <c r="F11" t="s">
        <v>235</v>
      </c>
      <c r="J11" t="s">
        <v>430</v>
      </c>
      <c r="N11" t="s">
        <v>264</v>
      </c>
      <c r="R11" s="44" t="s">
        <v>274</v>
      </c>
      <c r="S11" s="44" t="s">
        <v>275</v>
      </c>
    </row>
    <row r="12" spans="1:19">
      <c r="F12" t="s">
        <v>354</v>
      </c>
      <c r="J12" t="s">
        <v>73</v>
      </c>
      <c r="N12" t="s">
        <v>237</v>
      </c>
      <c r="R12" s="44" t="s">
        <v>525</v>
      </c>
      <c r="S12" s="44" t="s">
        <v>526</v>
      </c>
    </row>
    <row r="13" spans="1:19">
      <c r="F13" t="s">
        <v>217</v>
      </c>
      <c r="N13" t="s">
        <v>96</v>
      </c>
      <c r="R13" s="46" t="s">
        <v>352</v>
      </c>
      <c r="S13" s="46" t="s">
        <v>353</v>
      </c>
    </row>
    <row r="14" spans="1:19">
      <c r="F14" s="41" t="s">
        <v>310</v>
      </c>
      <c r="N14" t="s">
        <v>308</v>
      </c>
      <c r="R14" s="44" t="s">
        <v>389</v>
      </c>
      <c r="S14" s="44" t="s">
        <v>390</v>
      </c>
    </row>
    <row r="15" spans="1:19">
      <c r="F15" s="41" t="s">
        <v>155</v>
      </c>
      <c r="N15" t="s">
        <v>325</v>
      </c>
      <c r="R15" s="46" t="s">
        <v>231</v>
      </c>
      <c r="S15" s="46" t="s">
        <v>527</v>
      </c>
    </row>
    <row r="16" spans="1:19">
      <c r="F16" s="41" t="s">
        <v>528</v>
      </c>
      <c r="N16" t="s">
        <v>156</v>
      </c>
      <c r="R16" s="46" t="s">
        <v>334</v>
      </c>
      <c r="S16" s="46" t="s">
        <v>335</v>
      </c>
    </row>
    <row r="17" spans="6:19">
      <c r="F17" s="41" t="s">
        <v>282</v>
      </c>
      <c r="N17" t="s">
        <v>456</v>
      </c>
      <c r="R17" s="44" t="s">
        <v>468</v>
      </c>
      <c r="S17" s="44" t="s">
        <v>469</v>
      </c>
    </row>
    <row r="18" spans="6:19">
      <c r="F18" s="41" t="s">
        <v>269</v>
      </c>
      <c r="N18" t="s">
        <v>362</v>
      </c>
      <c r="R18" s="46" t="s">
        <v>510</v>
      </c>
      <c r="S18" s="46" t="s">
        <v>127</v>
      </c>
    </row>
    <row r="19" spans="6:19">
      <c r="F19" s="41" t="s">
        <v>302</v>
      </c>
      <c r="N19" t="s">
        <v>529</v>
      </c>
      <c r="R19" s="44" t="s">
        <v>315</v>
      </c>
      <c r="S19" t="s">
        <v>316</v>
      </c>
    </row>
    <row r="20" spans="6:19">
      <c r="F20" s="41" t="s">
        <v>299</v>
      </c>
      <c r="N20" t="s">
        <v>530</v>
      </c>
      <c r="R20" s="46" t="s">
        <v>285</v>
      </c>
      <c r="S20" s="46" t="s">
        <v>286</v>
      </c>
    </row>
    <row r="21" spans="6:19">
      <c r="F21" s="41" t="s">
        <v>301</v>
      </c>
      <c r="N21" t="s">
        <v>296</v>
      </c>
      <c r="R21" s="44" t="s">
        <v>327</v>
      </c>
      <c r="S21" s="44" t="s">
        <v>328</v>
      </c>
    </row>
    <row r="22" spans="6:19">
      <c r="F22" s="41" t="s">
        <v>349</v>
      </c>
      <c r="N22" t="s">
        <v>138</v>
      </c>
      <c r="R22" s="46" t="s">
        <v>327</v>
      </c>
      <c r="S22" s="46" t="s">
        <v>531</v>
      </c>
    </row>
    <row r="23" spans="6:19">
      <c r="F23" s="41" t="s">
        <v>245</v>
      </c>
      <c r="N23" t="s">
        <v>532</v>
      </c>
      <c r="R23" s="44" t="s">
        <v>533</v>
      </c>
      <c r="S23" s="44" t="s">
        <v>294</v>
      </c>
    </row>
    <row r="24" spans="6:19">
      <c r="F24" s="41" t="s">
        <v>534</v>
      </c>
      <c r="N24" t="s">
        <v>347</v>
      </c>
      <c r="R24" s="44" t="s">
        <v>277</v>
      </c>
      <c r="S24" s="44" t="s">
        <v>278</v>
      </c>
    </row>
    <row r="25" spans="6:19">
      <c r="F25" s="41" t="s">
        <v>329</v>
      </c>
      <c r="N25" t="s">
        <v>391</v>
      </c>
      <c r="R25" s="44" t="s">
        <v>478</v>
      </c>
      <c r="S25" s="44" t="s">
        <v>479</v>
      </c>
    </row>
    <row r="26" spans="6:19">
      <c r="F26" s="41" t="s">
        <v>535</v>
      </c>
      <c r="N26" t="s">
        <v>397</v>
      </c>
      <c r="R26" s="44" t="s">
        <v>536</v>
      </c>
      <c r="S26" s="44" t="s">
        <v>537</v>
      </c>
    </row>
    <row r="27" spans="6:19">
      <c r="F27" s="41" t="s">
        <v>419</v>
      </c>
      <c r="N27" t="s">
        <v>304</v>
      </c>
      <c r="R27" s="44" t="s">
        <v>538</v>
      </c>
      <c r="S27" s="44" t="s">
        <v>539</v>
      </c>
    </row>
    <row r="28" spans="6:19">
      <c r="F28" s="41" t="s">
        <v>396</v>
      </c>
      <c r="N28" t="s">
        <v>436</v>
      </c>
      <c r="R28" s="44" t="s">
        <v>460</v>
      </c>
      <c r="S28" s="44" t="s">
        <v>461</v>
      </c>
    </row>
    <row r="29" spans="6:19">
      <c r="F29" s="41" t="s">
        <v>172</v>
      </c>
      <c r="N29" t="s">
        <v>437</v>
      </c>
      <c r="R29" s="44" t="s">
        <v>262</v>
      </c>
      <c r="S29" s="44" t="s">
        <v>540</v>
      </c>
    </row>
    <row r="30" spans="6:19">
      <c r="F30" s="41" t="s">
        <v>541</v>
      </c>
      <c r="N30" t="s">
        <v>438</v>
      </c>
      <c r="R30" s="44" t="s">
        <v>542</v>
      </c>
      <c r="S30" s="44" t="s">
        <v>543</v>
      </c>
    </row>
    <row r="31" spans="6:19">
      <c r="N31" t="s">
        <v>174</v>
      </c>
      <c r="R31" s="44" t="s">
        <v>267</v>
      </c>
      <c r="S31" s="44" t="s">
        <v>268</v>
      </c>
    </row>
    <row r="32" spans="6:19">
      <c r="N32" t="s">
        <v>290</v>
      </c>
      <c r="R32" s="44" t="s">
        <v>544</v>
      </c>
      <c r="S32" s="44" t="s">
        <v>545</v>
      </c>
    </row>
    <row r="33" spans="14:19">
      <c r="N33" t="s">
        <v>131</v>
      </c>
      <c r="R33" s="44" t="s">
        <v>546</v>
      </c>
      <c r="S33" s="44" t="s">
        <v>547</v>
      </c>
    </row>
    <row r="34" spans="14:19">
      <c r="R34" s="44" t="s">
        <v>443</v>
      </c>
      <c r="S34" s="44" t="s">
        <v>444</v>
      </c>
    </row>
    <row r="35" spans="14:19">
      <c r="R35" s="44" t="s">
        <v>494</v>
      </c>
      <c r="S35" s="44" t="s">
        <v>495</v>
      </c>
    </row>
    <row r="36" spans="14:19">
      <c r="R36" s="44" t="s">
        <v>372</v>
      </c>
      <c r="S36" s="44" t="s">
        <v>373</v>
      </c>
    </row>
    <row r="37" spans="14:19">
      <c r="R37" s="46" t="s">
        <v>548</v>
      </c>
      <c r="S37" s="46" t="s">
        <v>549</v>
      </c>
    </row>
    <row r="38" spans="14:19">
      <c r="R38" s="46" t="s">
        <v>452</v>
      </c>
      <c r="S38" s="46" t="s">
        <v>453</v>
      </c>
    </row>
    <row r="39" spans="14:19">
      <c r="R39" s="46" t="s">
        <v>452</v>
      </c>
      <c r="S39" s="46" t="s">
        <v>507</v>
      </c>
    </row>
    <row r="40" spans="14:19">
      <c r="R40" s="44" t="s">
        <v>313</v>
      </c>
      <c r="S40" s="44" t="s">
        <v>314</v>
      </c>
    </row>
    <row r="41" spans="14:19">
      <c r="R41" s="44" t="s">
        <v>485</v>
      </c>
      <c r="S41" s="44" t="s">
        <v>486</v>
      </c>
    </row>
    <row r="42" spans="14:19">
      <c r="R42" s="46" t="s">
        <v>336</v>
      </c>
      <c r="S42" s="46" t="s">
        <v>550</v>
      </c>
    </row>
    <row r="43" spans="14:19">
      <c r="R43" s="46" t="s">
        <v>336</v>
      </c>
      <c r="S43" s="46" t="s">
        <v>337</v>
      </c>
    </row>
    <row r="44" spans="14:19">
      <c r="R44" s="44" t="s">
        <v>358</v>
      </c>
      <c r="S44" s="17" t="s">
        <v>117</v>
      </c>
    </row>
    <row r="45" spans="14:19">
      <c r="R45" s="46" t="s">
        <v>367</v>
      </c>
      <c r="S45" s="46" t="s">
        <v>368</v>
      </c>
    </row>
    <row r="46" spans="14:19">
      <c r="R46" s="44" t="s">
        <v>344</v>
      </c>
      <c r="S46" s="44" t="s">
        <v>345</v>
      </c>
    </row>
    <row r="47" spans="14:19">
      <c r="R47" s="46" t="s">
        <v>283</v>
      </c>
      <c r="S47" s="46" t="s">
        <v>284</v>
      </c>
    </row>
    <row r="48" spans="14:19">
      <c r="R48" s="44" t="s">
        <v>429</v>
      </c>
      <c r="S48" s="44" t="s">
        <v>551</v>
      </c>
    </row>
    <row r="49" spans="18:19">
      <c r="R49" s="44" t="s">
        <v>356</v>
      </c>
      <c r="S49" s="44" t="s">
        <v>357</v>
      </c>
    </row>
    <row r="50" spans="18:19">
      <c r="R50" s="44" t="s">
        <v>431</v>
      </c>
      <c r="S50" s="44" t="s">
        <v>432</v>
      </c>
    </row>
    <row r="51" spans="18:19">
      <c r="R51" s="44" t="s">
        <v>297</v>
      </c>
      <c r="S51" s="44" t="s">
        <v>298</v>
      </c>
    </row>
    <row r="52" spans="18:19">
      <c r="R52" s="44" t="s">
        <v>309</v>
      </c>
      <c r="S52" s="44" t="s">
        <v>552</v>
      </c>
    </row>
    <row r="53" spans="18:19">
      <c r="R53" s="44" t="s">
        <v>288</v>
      </c>
      <c r="S53" s="17" t="s">
        <v>289</v>
      </c>
    </row>
    <row r="54" spans="18:19">
      <c r="R54" s="44" t="s">
        <v>370</v>
      </c>
      <c r="S54" s="44" t="s">
        <v>371</v>
      </c>
    </row>
    <row r="55" spans="18:19">
      <c r="R55" s="44" t="s">
        <v>305</v>
      </c>
      <c r="S55" s="44" t="s">
        <v>306</v>
      </c>
    </row>
    <row r="56" spans="18:19">
      <c r="R56" s="44" t="s">
        <v>553</v>
      </c>
      <c r="S56" s="44" t="s">
        <v>554</v>
      </c>
    </row>
    <row r="57" spans="18:19">
      <c r="R57" s="44" t="s">
        <v>442</v>
      </c>
      <c r="S57" s="44" t="s">
        <v>555</v>
      </c>
    </row>
    <row r="58" spans="18:19">
      <c r="R58" s="44" t="s">
        <v>446</v>
      </c>
      <c r="S58" s="44" t="s">
        <v>447</v>
      </c>
    </row>
    <row r="59" spans="18:19">
      <c r="R59" s="44" t="s">
        <v>392</v>
      </c>
      <c r="S59" s="44" t="s">
        <v>393</v>
      </c>
    </row>
    <row r="60" spans="18:19">
      <c r="R60" s="44" t="s">
        <v>556</v>
      </c>
      <c r="S60" s="44" t="s">
        <v>557</v>
      </c>
    </row>
    <row r="61" spans="18:19">
      <c r="R61" s="44" t="s">
        <v>303</v>
      </c>
      <c r="S61" s="44" t="s">
        <v>558</v>
      </c>
    </row>
    <row r="62" spans="18:19">
      <c r="R62" s="44" t="s">
        <v>244</v>
      </c>
      <c r="S62" s="44" t="s">
        <v>559</v>
      </c>
    </row>
    <row r="63" spans="18:19">
      <c r="R63" s="44" t="s">
        <v>483</v>
      </c>
      <c r="S63" s="44" t="s">
        <v>484</v>
      </c>
    </row>
    <row r="64" spans="18:19">
      <c r="R64" s="44" t="s">
        <v>560</v>
      </c>
      <c r="S64" s="44" t="s">
        <v>561</v>
      </c>
    </row>
    <row r="65" spans="18:19">
      <c r="R65" s="44" t="s">
        <v>379</v>
      </c>
      <c r="S65" s="44" t="s">
        <v>380</v>
      </c>
    </row>
    <row r="66" spans="18:19">
      <c r="R66" s="44" t="s">
        <v>562</v>
      </c>
      <c r="S66" s="44" t="s">
        <v>563</v>
      </c>
    </row>
    <row r="67" spans="18:19">
      <c r="R67" s="44" t="s">
        <v>487</v>
      </c>
      <c r="S67" s="44" t="s">
        <v>488</v>
      </c>
    </row>
    <row r="68" spans="18:19">
      <c r="R68" s="44" t="s">
        <v>564</v>
      </c>
      <c r="S68" s="44" t="s">
        <v>565</v>
      </c>
    </row>
    <row r="69" spans="18:19">
      <c r="R69" s="44" t="s">
        <v>566</v>
      </c>
      <c r="S69" s="44" t="s">
        <v>567</v>
      </c>
    </row>
    <row r="70" spans="18:19">
      <c r="R70" s="44" t="s">
        <v>383</v>
      </c>
      <c r="S70" s="44" t="s">
        <v>384</v>
      </c>
    </row>
    <row r="71" spans="18:19">
      <c r="R71" s="44" t="s">
        <v>377</v>
      </c>
      <c r="S71" s="44" t="s">
        <v>378</v>
      </c>
    </row>
    <row r="72" spans="18:19">
      <c r="R72" s="44" t="s">
        <v>265</v>
      </c>
      <c r="S72" t="s">
        <v>266</v>
      </c>
    </row>
    <row r="73" spans="18:19">
      <c r="R73" s="46" t="s">
        <v>265</v>
      </c>
      <c r="S73" s="46" t="s">
        <v>568</v>
      </c>
    </row>
    <row r="74" spans="18:19">
      <c r="R74" s="44" t="s">
        <v>387</v>
      </c>
      <c r="S74" s="44" t="s">
        <v>388</v>
      </c>
    </row>
    <row r="75" spans="18:19">
      <c r="R75" s="46" t="s">
        <v>342</v>
      </c>
      <c r="S75" s="46" t="s">
        <v>343</v>
      </c>
    </row>
    <row r="76" spans="18:19">
      <c r="R76" s="44" t="s">
        <v>434</v>
      </c>
      <c r="S76" s="44" t="s">
        <v>569</v>
      </c>
    </row>
    <row r="77" spans="18:19">
      <c r="R77" s="44" t="s">
        <v>466</v>
      </c>
      <c r="S77" s="44" t="s">
        <v>467</v>
      </c>
    </row>
    <row r="78" spans="18:19">
      <c r="R78" s="46" t="s">
        <v>359</v>
      </c>
      <c r="S78" s="46" t="s">
        <v>360</v>
      </c>
    </row>
    <row r="79" spans="18:19">
      <c r="R79" s="46" t="s">
        <v>457</v>
      </c>
      <c r="S79" s="46" t="s">
        <v>458</v>
      </c>
    </row>
    <row r="80" spans="18:19">
      <c r="R80" s="44" t="s">
        <v>570</v>
      </c>
      <c r="S80" s="44" t="s">
        <v>571</v>
      </c>
    </row>
    <row r="81" spans="18:19">
      <c r="R81" s="44" t="s">
        <v>572</v>
      </c>
      <c r="S81" s="44" t="s">
        <v>573</v>
      </c>
    </row>
    <row r="82" spans="18:19">
      <c r="R82" s="44" t="s">
        <v>375</v>
      </c>
      <c r="S82" s="44" t="s">
        <v>376</v>
      </c>
    </row>
    <row r="83" spans="18:19">
      <c r="R83" s="46" t="s">
        <v>365</v>
      </c>
      <c r="S83" s="46" t="s">
        <v>366</v>
      </c>
    </row>
    <row r="84" spans="18:19">
      <c r="R84" s="46" t="s">
        <v>365</v>
      </c>
      <c r="S84" s="46" t="s">
        <v>509</v>
      </c>
    </row>
    <row r="85" spans="18:19">
      <c r="R85" s="44" t="s">
        <v>574</v>
      </c>
      <c r="S85" s="44" t="s">
        <v>575</v>
      </c>
    </row>
    <row r="86" spans="18:19">
      <c r="R86" s="44" t="s">
        <v>439</v>
      </c>
      <c r="S86" s="44" t="s">
        <v>440</v>
      </c>
    </row>
    <row r="87" spans="18:19">
      <c r="R87" s="44" t="s">
        <v>338</v>
      </c>
      <c r="S87" s="44" t="s">
        <v>339</v>
      </c>
    </row>
    <row r="88" spans="18:19">
      <c r="R88" s="44" t="s">
        <v>322</v>
      </c>
      <c r="S88" s="44" t="s">
        <v>323</v>
      </c>
    </row>
    <row r="89" spans="18:19">
      <c r="R89" s="44" t="s">
        <v>311</v>
      </c>
      <c r="S89" s="44" t="s">
        <v>312</v>
      </c>
    </row>
    <row r="90" spans="18:19">
      <c r="R90" s="44" t="s">
        <v>576</v>
      </c>
      <c r="S90" s="44" t="s">
        <v>577</v>
      </c>
    </row>
    <row r="91" spans="18:19">
      <c r="R91" s="44" t="s">
        <v>350</v>
      </c>
      <c r="S91" s="44" t="s">
        <v>351</v>
      </c>
    </row>
    <row r="92" spans="18:19">
      <c r="R92" s="44" t="s">
        <v>394</v>
      </c>
      <c r="S92" s="44" t="s">
        <v>395</v>
      </c>
    </row>
    <row r="93" spans="18:19">
      <c r="R93" s="44" t="s">
        <v>398</v>
      </c>
      <c r="S93" t="s">
        <v>399</v>
      </c>
    </row>
    <row r="94" spans="18:19">
      <c r="R94" s="44" t="s">
        <v>404</v>
      </c>
      <c r="S94" s="44" t="s">
        <v>405</v>
      </c>
    </row>
    <row r="95" spans="18:19">
      <c r="R95" s="44" t="s">
        <v>416</v>
      </c>
      <c r="S95" s="44" t="s">
        <v>417</v>
      </c>
    </row>
    <row r="96" spans="18:19">
      <c r="R96" s="44" t="s">
        <v>423</v>
      </c>
      <c r="S96" t="s">
        <v>424</v>
      </c>
    </row>
    <row r="97" spans="18:19">
      <c r="R97" s="44" t="s">
        <v>508</v>
      </c>
      <c r="S97" s="57" t="s">
        <v>509</v>
      </c>
    </row>
    <row r="98" spans="18:19">
      <c r="R98" s="57" t="s">
        <v>459</v>
      </c>
      <c r="S98" s="32" t="s">
        <v>133</v>
      </c>
    </row>
    <row r="99" spans="18:19">
      <c r="R99" s="44" t="s">
        <v>578</v>
      </c>
      <c r="S99" t="s">
        <v>579</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2023-05-15T12:18:55Z</dcterms:modified>
  <cp:category/>
  <cp:contentStatus/>
</cp:coreProperties>
</file>