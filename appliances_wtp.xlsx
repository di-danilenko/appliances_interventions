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38400" windowHeight="21600"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62913"/>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2" i="4" l="1"/>
  <c r="CH20" i="4"/>
  <c r="CH21" i="4"/>
  <c r="CH22" i="4"/>
  <c r="CH23" i="4"/>
  <c r="CH24" i="4"/>
  <c r="CH25" i="4"/>
  <c r="CH26" i="4"/>
  <c r="CH27" i="4"/>
  <c r="CH28" i="4"/>
  <c r="CH29" i="4"/>
  <c r="CH30" i="4"/>
  <c r="CH31" i="4"/>
  <c r="CH3" i="4"/>
  <c r="CH4" i="4"/>
  <c r="CH5" i="4"/>
  <c r="CH6" i="4"/>
  <c r="CH7" i="4"/>
  <c r="CH8" i="4"/>
  <c r="CH9" i="4"/>
  <c r="CH10" i="4"/>
  <c r="CH32" i="4"/>
  <c r="CH33" i="4"/>
  <c r="CH34" i="4"/>
  <c r="CH35" i="4"/>
  <c r="CH36" i="4"/>
  <c r="CH37" i="4"/>
  <c r="CH38" i="4"/>
  <c r="CH59" i="4"/>
  <c r="CH60" i="4"/>
  <c r="CH39" i="4"/>
  <c r="CH40" i="4"/>
  <c r="CH41" i="4"/>
  <c r="CH42" i="4"/>
  <c r="CH61" i="4"/>
  <c r="CH43" i="4"/>
  <c r="CH44" i="4"/>
  <c r="CH45" i="4"/>
  <c r="CH46" i="4"/>
  <c r="CH47" i="4"/>
  <c r="CH48" i="4"/>
  <c r="CH49" i="4"/>
  <c r="CH50" i="4"/>
  <c r="CH51" i="4"/>
  <c r="CH52" i="4"/>
  <c r="CH53" i="4"/>
  <c r="CH54" i="4"/>
  <c r="CH55" i="4"/>
  <c r="CH56" i="4"/>
  <c r="CH57" i="4"/>
  <c r="CH11" i="4"/>
  <c r="CH12" i="4"/>
  <c r="CH13" i="4"/>
  <c r="CH14" i="4"/>
  <c r="CH15" i="4"/>
  <c r="CH16" i="4"/>
  <c r="CH17" i="4"/>
  <c r="CH18" i="4"/>
  <c r="CH19" i="4"/>
  <c r="CE22" i="4"/>
  <c r="CF22" i="4" s="1"/>
  <c r="CG22" i="4" s="1"/>
  <c r="CE23" i="4"/>
  <c r="CF23" i="4" s="1"/>
  <c r="CG23" i="4" s="1"/>
  <c r="CE24" i="4"/>
  <c r="CF24" i="4" s="1"/>
  <c r="CG24" i="4" s="1"/>
  <c r="CE25" i="4"/>
  <c r="CF25" i="4" s="1"/>
  <c r="CG25" i="4" s="1"/>
  <c r="CE26" i="4"/>
  <c r="CF26" i="4" s="1"/>
  <c r="CG26" i="4" s="1"/>
  <c r="CE27" i="4"/>
  <c r="CF27" i="4" s="1"/>
  <c r="CG27" i="4" s="1"/>
  <c r="CE28" i="4"/>
  <c r="CF28" i="4" s="1"/>
  <c r="CG28" i="4" s="1"/>
  <c r="CE29" i="4"/>
  <c r="CF29" i="4" s="1"/>
  <c r="CG29" i="4" s="1"/>
  <c r="CE32" i="4"/>
  <c r="CF32" i="4" s="1"/>
  <c r="CG32" i="4" s="1"/>
  <c r="CE33" i="4"/>
  <c r="CF33" i="4" s="1"/>
  <c r="CG33" i="4" s="1"/>
  <c r="CE34" i="4"/>
  <c r="CF34" i="4" s="1"/>
  <c r="CG34" i="4" s="1"/>
  <c r="CE35" i="4"/>
  <c r="CF35" i="4" s="1"/>
  <c r="CG35" i="4" s="1"/>
  <c r="CE36" i="4"/>
  <c r="CF36" i="4" s="1"/>
  <c r="CG36" i="4" s="1"/>
  <c r="CE37" i="4"/>
  <c r="CF37" i="4" s="1"/>
  <c r="CG37" i="4" s="1"/>
  <c r="CE38" i="4"/>
  <c r="CF38" i="4" s="1"/>
  <c r="CG38" i="4" s="1"/>
  <c r="CE47" i="4"/>
  <c r="CF47" i="4" s="1"/>
  <c r="CG47" i="4" s="1"/>
  <c r="CE48" i="4"/>
  <c r="CF48" i="4" s="1"/>
  <c r="CG48" i="4" s="1"/>
  <c r="CH58" i="4"/>
  <c r="CC23" i="4"/>
  <c r="CC22" i="4"/>
  <c r="CC24" i="4"/>
  <c r="CC10" i="4"/>
  <c r="AZ10" i="4" s="1"/>
  <c r="BX10" i="4" s="1"/>
  <c r="BY10" i="4" s="1"/>
  <c r="BZ10" i="4" s="1"/>
  <c r="CC9" i="4"/>
  <c r="AZ9" i="4" s="1"/>
  <c r="BX9" i="4" s="1"/>
  <c r="BY9" i="4" s="1"/>
  <c r="BZ9" i="4" s="1"/>
  <c r="CC8" i="4"/>
  <c r="AZ8" i="4" s="1"/>
  <c r="BX8" i="4" s="1"/>
  <c r="BY8" i="4" s="1"/>
  <c r="BZ8" i="4" s="1"/>
  <c r="CC7" i="4"/>
  <c r="AZ7" i="4" s="1"/>
  <c r="BX7" i="4" s="1"/>
  <c r="BY7" i="4" s="1"/>
  <c r="BZ7" i="4" s="1"/>
  <c r="CC6" i="4"/>
  <c r="AZ6" i="4" s="1"/>
  <c r="BX6" i="4" s="1"/>
  <c r="BY6" i="4" s="1"/>
  <c r="BZ6" i="4" s="1"/>
  <c r="CC5" i="4"/>
  <c r="AZ5" i="4" s="1"/>
  <c r="BX5" i="4" s="1"/>
  <c r="BY5" i="4" s="1"/>
  <c r="BZ5" i="4" s="1"/>
  <c r="CC4" i="4"/>
  <c r="AZ4" i="4" s="1"/>
  <c r="BX4" i="4" s="1"/>
  <c r="BY4" i="4" s="1"/>
  <c r="BZ4" i="4" s="1"/>
  <c r="CC3" i="4"/>
  <c r="AZ3" i="4" s="1"/>
  <c r="BX3" i="4" s="1"/>
  <c r="BY3" i="4" s="1"/>
  <c r="BZ3" i="4" s="1"/>
  <c r="CC40" i="4"/>
  <c r="AZ40" i="4" s="1"/>
  <c r="BX40" i="4" s="1"/>
  <c r="BY40" i="4" s="1"/>
  <c r="BZ40" i="4" s="1"/>
  <c r="CC39" i="4"/>
  <c r="AZ39" i="4" s="1"/>
  <c r="BX39" i="4" s="1"/>
  <c r="BY39" i="4" s="1"/>
  <c r="BZ39" i="4" s="1"/>
  <c r="CC60" i="4"/>
  <c r="AZ60" i="4" s="1"/>
  <c r="BX60" i="4" s="1"/>
  <c r="BY60" i="4" s="1"/>
  <c r="BZ60" i="4" s="1"/>
  <c r="CC59" i="4"/>
  <c r="AZ59" i="4" s="1"/>
  <c r="BX59" i="4" s="1"/>
  <c r="BY59" i="4" s="1"/>
  <c r="BZ59" i="4" s="1"/>
  <c r="CC57" i="4"/>
  <c r="AZ57" i="4" s="1"/>
  <c r="BX57" i="4" s="1"/>
  <c r="BY57" i="4" s="1"/>
  <c r="BZ57" i="4" s="1"/>
  <c r="CC56" i="4"/>
  <c r="AZ56" i="4" s="1"/>
  <c r="BX56" i="4" s="1"/>
  <c r="BY56" i="4" s="1"/>
  <c r="BZ56" i="4" s="1"/>
  <c r="CC55" i="4"/>
  <c r="AZ55" i="4" s="1"/>
  <c r="BX55" i="4" s="1"/>
  <c r="BY55" i="4" s="1"/>
  <c r="BZ55" i="4" s="1"/>
  <c r="CC38" i="4"/>
  <c r="CC37" i="4"/>
  <c r="CC36" i="4"/>
  <c r="CC35" i="4"/>
  <c r="CC34" i="4"/>
  <c r="CC33" i="4"/>
  <c r="CC32" i="4"/>
  <c r="CC42" i="4"/>
  <c r="CC41" i="4"/>
  <c r="CC31" i="4"/>
  <c r="AZ31" i="4" s="1"/>
  <c r="BX31" i="4" s="1"/>
  <c r="BY31" i="4" s="1"/>
  <c r="BZ31" i="4" s="1"/>
  <c r="CC30" i="4"/>
  <c r="AZ30" i="4" s="1"/>
  <c r="BX30" i="4" s="1"/>
  <c r="BY30" i="4" s="1"/>
  <c r="BZ30" i="4" s="1"/>
  <c r="CC15" i="4"/>
  <c r="AZ15" i="4" s="1"/>
  <c r="BX15" i="4" s="1"/>
  <c r="BY15" i="4" s="1"/>
  <c r="BZ15"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58" i="4"/>
  <c r="CC19" i="4"/>
  <c r="AZ19" i="4" s="1"/>
  <c r="BX19" i="4" s="1"/>
  <c r="BY19" i="4" s="1"/>
  <c r="BZ19" i="4" s="1"/>
  <c r="CC18" i="4"/>
  <c r="AZ18" i="4" s="1"/>
  <c r="BX18" i="4" s="1"/>
  <c r="BY18" i="4" s="1"/>
  <c r="BZ18" i="4" s="1"/>
  <c r="CC17" i="4"/>
  <c r="AZ17" i="4" s="1"/>
  <c r="BX17" i="4" s="1"/>
  <c r="BY17" i="4" s="1"/>
  <c r="BZ17" i="4" s="1"/>
  <c r="CC16" i="4"/>
  <c r="AZ16" i="4" s="1"/>
  <c r="BX16" i="4" s="1"/>
  <c r="BY16" i="4" s="1"/>
  <c r="BZ16" i="4" s="1"/>
  <c r="CC61" i="4"/>
  <c r="AZ61" i="4" s="1"/>
  <c r="BX61" i="4" s="1"/>
  <c r="BY61" i="4" s="1"/>
  <c r="BZ61" i="4" s="1"/>
  <c r="CC29" i="4"/>
  <c r="CC28" i="4"/>
  <c r="CC27" i="4"/>
  <c r="CC26" i="4"/>
  <c r="CC25" i="4"/>
  <c r="CC2" i="4"/>
  <c r="CC21" i="4"/>
  <c r="CC20" i="4"/>
  <c r="CC48" i="4"/>
  <c r="CC47" i="4"/>
  <c r="CC46" i="4"/>
  <c r="AZ46" i="4" s="1"/>
  <c r="BX46" i="4" s="1"/>
  <c r="BY46" i="4" s="1"/>
  <c r="BZ46" i="4" s="1"/>
  <c r="CC45" i="4"/>
  <c r="AZ45" i="4" s="1"/>
  <c r="BX45" i="4" s="1"/>
  <c r="BY45" i="4" s="1"/>
  <c r="BZ45" i="4" s="1"/>
  <c r="CC44" i="4"/>
  <c r="AZ44" i="4" s="1"/>
  <c r="BX44" i="4" s="1"/>
  <c r="BY44" i="4" s="1"/>
  <c r="BZ44" i="4" s="1"/>
  <c r="CC43" i="4"/>
  <c r="AZ43" i="4" s="1"/>
  <c r="BX43" i="4" s="1"/>
  <c r="BY43" i="4" s="1"/>
  <c r="BZ43" i="4" s="1"/>
  <c r="CC54" i="4"/>
  <c r="AZ54" i="4" s="1"/>
  <c r="BX54" i="4" s="1"/>
  <c r="BY54" i="4" s="1"/>
  <c r="BZ54" i="4" s="1"/>
  <c r="CC53" i="4"/>
  <c r="AZ53" i="4" s="1"/>
  <c r="BX53" i="4" s="1"/>
  <c r="BY53" i="4" s="1"/>
  <c r="BZ53" i="4" s="1"/>
  <c r="CC52" i="4"/>
  <c r="AZ52" i="4" s="1"/>
  <c r="BX52" i="4" s="1"/>
  <c r="BY52" i="4" s="1"/>
  <c r="BZ52" i="4" s="1"/>
  <c r="CC51" i="4"/>
  <c r="AZ51" i="4" s="1"/>
  <c r="BX51" i="4" s="1"/>
  <c r="BY51" i="4" s="1"/>
  <c r="BZ51" i="4" s="1"/>
  <c r="CC50" i="4"/>
  <c r="AZ50" i="4" s="1"/>
  <c r="BX50" i="4" s="1"/>
  <c r="BY50" i="4" s="1"/>
  <c r="BZ50" i="4" s="1"/>
  <c r="CC49" i="4"/>
  <c r="AZ49" i="4" s="1"/>
  <c r="BX49" i="4" s="1"/>
  <c r="BY49" i="4" s="1"/>
  <c r="BZ49" i="4" s="1"/>
  <c r="BX22" i="4"/>
  <c r="BY22" i="4" s="1"/>
  <c r="BZ22" i="4" s="1"/>
  <c r="CA22" i="4"/>
  <c r="BX23" i="4"/>
  <c r="BY23" i="4" s="1"/>
  <c r="BZ23" i="4" s="1"/>
  <c r="CA23" i="4"/>
  <c r="CA43" i="4"/>
  <c r="CA44" i="4"/>
  <c r="CA45" i="4"/>
  <c r="CA46" i="4"/>
  <c r="BX47" i="4"/>
  <c r="BY47" i="4" s="1"/>
  <c r="BZ47" i="4" s="1"/>
  <c r="CA47" i="4"/>
  <c r="BX48" i="4"/>
  <c r="BY48" i="4" s="1"/>
  <c r="BZ48" i="4" s="1"/>
  <c r="CA48" i="4"/>
  <c r="CA60" i="4"/>
  <c r="CA39" i="4"/>
  <c r="CA40" i="4"/>
  <c r="BX24" i="4"/>
  <c r="BY24" i="4" s="1"/>
  <c r="BZ24" i="4" s="1"/>
  <c r="CA24" i="4"/>
  <c r="BX25" i="4"/>
  <c r="BY25" i="4" s="1"/>
  <c r="BZ25" i="4" s="1"/>
  <c r="CA25" i="4"/>
  <c r="BX26" i="4"/>
  <c r="BY26" i="4" s="1"/>
  <c r="BZ26" i="4" s="1"/>
  <c r="CA26" i="4"/>
  <c r="BX27" i="4"/>
  <c r="BY27" i="4" s="1"/>
  <c r="BZ27" i="4" s="1"/>
  <c r="CA27" i="4"/>
  <c r="BX28" i="4"/>
  <c r="BY28" i="4" s="1"/>
  <c r="BZ28" i="4" s="1"/>
  <c r="CA28" i="4"/>
  <c r="BX29" i="4"/>
  <c r="BY29" i="4" s="1"/>
  <c r="BZ29" i="4" s="1"/>
  <c r="CA29" i="4"/>
  <c r="CA59" i="4"/>
  <c r="CA57" i="4"/>
  <c r="CA56" i="4"/>
  <c r="CA55" i="4"/>
  <c r="CA32" i="4"/>
  <c r="CA33" i="4"/>
  <c r="CA34" i="4"/>
  <c r="CA35" i="4"/>
  <c r="CA36" i="4"/>
  <c r="CA37" i="4"/>
  <c r="CA38" i="4"/>
  <c r="BX32" i="4"/>
  <c r="BY32" i="4" s="1"/>
  <c r="BZ32" i="4" s="1"/>
  <c r="BX33" i="4"/>
  <c r="BY33" i="4" s="1"/>
  <c r="BZ33" i="4" s="1"/>
  <c r="BX34" i="4"/>
  <c r="BY34" i="4" s="1"/>
  <c r="BZ34" i="4" s="1"/>
  <c r="BX35" i="4"/>
  <c r="BY35" i="4" s="1"/>
  <c r="BZ35" i="4" s="1"/>
  <c r="BX36" i="4"/>
  <c r="BY36" i="4" s="1"/>
  <c r="BZ36" i="4" s="1"/>
  <c r="BX37" i="4"/>
  <c r="BY37" i="4" s="1"/>
  <c r="BZ37" i="4" s="1"/>
  <c r="BX38" i="4"/>
  <c r="BY38" i="4" s="1"/>
  <c r="BZ38" i="4" s="1"/>
  <c r="CA41" i="4"/>
  <c r="CA42" i="4"/>
  <c r="CA3" i="4"/>
  <c r="CA4" i="4"/>
  <c r="CA5" i="4"/>
  <c r="CA6" i="4"/>
  <c r="CA7" i="4"/>
  <c r="CA8" i="4"/>
  <c r="CA9" i="4"/>
  <c r="CA10" i="4"/>
  <c r="CA30" i="4"/>
  <c r="CA31" i="4"/>
  <c r="CA11" i="4"/>
  <c r="CA12" i="4"/>
  <c r="CA13" i="4"/>
  <c r="CA14" i="4"/>
  <c r="CA15" i="4"/>
  <c r="CA61" i="4"/>
  <c r="CA58" i="4"/>
  <c r="CA49" i="4"/>
  <c r="CA50" i="4"/>
  <c r="CA51" i="4"/>
  <c r="CA52" i="4"/>
  <c r="CA53" i="4"/>
  <c r="CA54" i="4"/>
  <c r="CA2" i="4"/>
  <c r="CA20" i="4"/>
  <c r="CA21" i="4"/>
  <c r="CA16" i="4"/>
  <c r="CA17" i="4"/>
  <c r="CA18" i="4"/>
  <c r="CA19" i="4"/>
  <c r="CE19" i="4" l="1"/>
  <c r="CF19" i="4" s="1"/>
  <c r="CG19" i="4" s="1"/>
  <c r="CE15" i="4"/>
  <c r="CF15" i="4" s="1"/>
  <c r="CG15" i="4" s="1"/>
  <c r="CE11" i="4"/>
  <c r="CF11" i="4" s="1"/>
  <c r="CG11" i="4" s="1"/>
  <c r="CE54" i="4"/>
  <c r="CF54" i="4" s="1"/>
  <c r="CG54" i="4" s="1"/>
  <c r="CE50" i="4"/>
  <c r="CF50" i="4" s="1"/>
  <c r="CG50" i="4" s="1"/>
  <c r="CE46" i="4"/>
  <c r="CF46" i="4" s="1"/>
  <c r="CG46" i="4" s="1"/>
  <c r="CE61" i="4"/>
  <c r="CF61" i="4" s="1"/>
  <c r="CG61" i="4" s="1"/>
  <c r="CE40" i="4"/>
  <c r="CF40" i="4" s="1"/>
  <c r="CG40" i="4" s="1"/>
  <c r="CE9" i="4"/>
  <c r="CF9" i="4" s="1"/>
  <c r="CG9" i="4" s="1"/>
  <c r="CE5" i="4"/>
  <c r="CF5" i="4" s="1"/>
  <c r="CG5" i="4" s="1"/>
  <c r="CE30" i="4"/>
  <c r="CF30" i="4" s="1"/>
  <c r="CG30" i="4" s="1"/>
  <c r="CE18" i="4"/>
  <c r="CF18" i="4" s="1"/>
  <c r="CG18" i="4" s="1"/>
  <c r="CE14" i="4"/>
  <c r="CF14" i="4" s="1"/>
  <c r="CG14" i="4" s="1"/>
  <c r="CE57" i="4"/>
  <c r="CF57" i="4" s="1"/>
  <c r="CG57" i="4" s="1"/>
  <c r="CE53" i="4"/>
  <c r="CF53" i="4" s="1"/>
  <c r="CG53" i="4" s="1"/>
  <c r="CE49" i="4"/>
  <c r="CF49" i="4" s="1"/>
  <c r="CG49" i="4" s="1"/>
  <c r="CE45" i="4"/>
  <c r="CF45" i="4" s="1"/>
  <c r="CG45" i="4" s="1"/>
  <c r="CE39" i="4"/>
  <c r="CF39" i="4" s="1"/>
  <c r="CG39" i="4" s="1"/>
  <c r="CE8" i="4"/>
  <c r="CF8" i="4" s="1"/>
  <c r="CG8" i="4" s="1"/>
  <c r="CE4" i="4"/>
  <c r="CF4" i="4" s="1"/>
  <c r="CG4" i="4" s="1"/>
  <c r="CE17" i="4"/>
  <c r="CF17" i="4" s="1"/>
  <c r="CG17" i="4" s="1"/>
  <c r="CE13" i="4"/>
  <c r="CF13" i="4" s="1"/>
  <c r="CG13" i="4" s="1"/>
  <c r="CE56" i="4"/>
  <c r="CF56" i="4" s="1"/>
  <c r="CG56" i="4" s="1"/>
  <c r="CE52" i="4"/>
  <c r="CF52" i="4" s="1"/>
  <c r="CG52" i="4" s="1"/>
  <c r="CE44" i="4"/>
  <c r="CF44" i="4" s="1"/>
  <c r="CG44" i="4" s="1"/>
  <c r="CE60" i="4"/>
  <c r="CF60" i="4" s="1"/>
  <c r="CG60" i="4" s="1"/>
  <c r="CE7" i="4"/>
  <c r="CF7" i="4" s="1"/>
  <c r="CG7" i="4" s="1"/>
  <c r="CE3" i="4"/>
  <c r="CF3" i="4" s="1"/>
  <c r="CG3" i="4" s="1"/>
  <c r="CE16" i="4"/>
  <c r="CF16" i="4" s="1"/>
  <c r="CG16" i="4" s="1"/>
  <c r="CE12" i="4"/>
  <c r="CF12" i="4" s="1"/>
  <c r="CG12" i="4" s="1"/>
  <c r="CE55" i="4"/>
  <c r="CF55" i="4" s="1"/>
  <c r="CG55" i="4" s="1"/>
  <c r="CE51" i="4"/>
  <c r="CF51" i="4" s="1"/>
  <c r="CG51" i="4" s="1"/>
  <c r="CE43" i="4"/>
  <c r="CF43" i="4" s="1"/>
  <c r="CG43" i="4" s="1"/>
  <c r="CE59" i="4"/>
  <c r="CF59" i="4" s="1"/>
  <c r="CG59" i="4" s="1"/>
  <c r="CE10" i="4"/>
  <c r="CF10" i="4" s="1"/>
  <c r="CG10" i="4" s="1"/>
  <c r="CE6" i="4"/>
  <c r="CF6" i="4" s="1"/>
  <c r="CG6" i="4" s="1"/>
  <c r="CE31" i="4"/>
  <c r="CF31" i="4" s="1"/>
  <c r="CG31" i="4" s="1"/>
  <c r="AW61" i="4"/>
  <c r="AZ42" i="4" l="1"/>
  <c r="AZ41" i="4"/>
  <c r="BX41" i="4" l="1"/>
  <c r="BY41" i="4" s="1"/>
  <c r="BZ41" i="4" s="1"/>
  <c r="CE41" i="4"/>
  <c r="CF41" i="4" s="1"/>
  <c r="CG41" i="4" s="1"/>
  <c r="BX42" i="4"/>
  <c r="BY42" i="4" s="1"/>
  <c r="BZ42" i="4" s="1"/>
  <c r="CE42" i="4"/>
  <c r="CF42" i="4" s="1"/>
  <c r="CG42" i="4" s="1"/>
  <c r="AW33" i="4"/>
  <c r="AW34" i="4"/>
  <c r="AW35" i="4"/>
  <c r="AW36" i="4"/>
  <c r="AW37" i="4"/>
  <c r="AW38" i="4"/>
  <c r="AW32" i="4"/>
  <c r="BQ21" i="4" l="1"/>
  <c r="AZ20" i="4"/>
  <c r="AW23" i="4"/>
  <c r="AW22" i="4"/>
  <c r="BX20" i="4" l="1"/>
  <c r="BY20" i="4" s="1"/>
  <c r="BZ20" i="4" s="1"/>
  <c r="CE20" i="4"/>
  <c r="CF20" i="4" s="1"/>
  <c r="CG20" i="4" s="1"/>
  <c r="AZ21" i="4"/>
  <c r="BX21" i="4" l="1"/>
  <c r="BY21" i="4" s="1"/>
  <c r="BZ21" i="4" s="1"/>
  <c r="CE21" i="4"/>
  <c r="CF21" i="4" s="1"/>
  <c r="CG21" i="4" s="1"/>
  <c r="AZ2" i="4"/>
  <c r="BX2" i="4" l="1"/>
  <c r="BY2" i="4" s="1"/>
  <c r="BZ2" i="4" s="1"/>
  <c r="CE2" i="4"/>
  <c r="CF2" i="4" s="1"/>
  <c r="CG2" i="4" s="1"/>
  <c r="AZ58" i="4"/>
  <c r="BX58" i="4" l="1"/>
  <c r="BY58" i="4" s="1"/>
  <c r="BZ58" i="4" s="1"/>
  <c r="CE58" i="4"/>
  <c r="CF58" i="4" s="1"/>
  <c r="CG58"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31"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<sst xmlns="http://schemas.openxmlformats.org/spreadsheetml/2006/main" count="4072" uniqueCount="646">
  <si>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</si>
  <si>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</si>
  <si>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</si>
  <si>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</si>
  <si>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</si>
  <si>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</si>
  <si>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</si>
  <si>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</si>
  <si>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</si>
  <si>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</si>
  <si>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</si>
  <si>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</si>
  <si>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</si>
  <si>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</si>
  <si>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</si>
  <si>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</si>
  <si>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</si>
  <si>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</si>
  <si>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</si>
  <si>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</si>
  <si>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</si>
  <si>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</si>
  <si>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</si>
  <si>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</si>
  <si>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</si>
  <si>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</si>
  <si>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</si>
  <si>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</si>
  <si>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</si>
  <si>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</si>
  <si>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</si>
  <si>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</si>
  <si>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</si>
  <si>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</si>
  <si>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</si>
  <si>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</si>
  <si>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</si>
  <si>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</si>
  <si>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</si>
  <si>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</si>
  <si>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</si>
  <si>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</si>
  <si>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</si>
  <si>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</si>
  <si>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</si>
  <si>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</si>
  <si>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</si>
  <si>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</si>
  <si>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</si>
  <si>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</si>
  <si>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</si>
  <si>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</si>
  <si>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</si>
  <si>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</si>
  <si>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</si>
  <si>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</si>
  <si>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</si>
  <si>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</si>
  <si>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</si>
  <si>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</si>
  <si>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</si>
  <si>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</si>
  <si>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</si>
  <si>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</si>
  <si>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</si>
  <si>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</si>
  <si>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</si>
  <si>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</si>
  <si>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</si>
  <si>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</si>
  <si>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</si>
  <si>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</si>
  <si>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</si>
  <si>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</si>
  <si>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</si>
  <si>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</si>
  <si>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</si>
  <si>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</si>
  <si>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</si>
  <si>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</si>
  <si>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</si>
  <si>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</si>
  <si>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</si>
  <si>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</si>
  <si>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</si>
  <si>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</si>
  <si>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</si>
  <si>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</si>
  <si>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</si>
  <si>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</si>
  <si>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</si>
  <si>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</si>
  <si>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</si>
  <si>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</si>
  <si>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</si>
  <si>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</si>
  <si>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</si>
  <si>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</si>
  <si>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</si>
  <si>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</si>
  <si>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</si>
  <si>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</si>
  <si>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</si>
  <si>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</si>
  <si>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</si>
  <si>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</si>
  <si>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</si>
  <si>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</si>
  <si>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</si>
  <si>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</si>
  <si>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</si>
  <si>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</si>
  <si>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</si>
  <si>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</si>
  <si>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</si>
  <si>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</si>
  <si>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</si>
  <si>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</si>
  <si>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</si>
  <si>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</si>
  <si>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</si>
  <si>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</si>
  <si>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</si>
  <si>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</si>
  <si>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</si>
  <si>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</si>
  <si>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</si>
  <si>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</si>
  <si>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</si>
  <si>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</si>
  <si>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</si>
  <si>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</si>
  <si>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</si>
  <si>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</si>
  <si>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</si>
  <si>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</si>
  <si>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</si>
  <si>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</si>
  <si>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</si>
  <si>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</si>
  <si>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</si>
  <si>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</si>
  <si>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</si>
  <si>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</si>
  <si>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</si>
  <si>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</si>
  <si>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</si>
  <si>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</si>
  <si>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</si>
  <si>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</si>
  <si>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</si>
  <si>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</si>
  <si>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</si>
  <si>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</si>
  <si>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</si>
  <si>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</si>
  <si>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</si>
  <si>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</si>
  <si>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</si>
  <si>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</si>
  <si>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</si>
  <si>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</si>
  <si>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</si>
  <si>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</si>
  <si>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</si>
  <si>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</si>
  <si>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</si>
  <si>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</si>
  <si>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</si>
  <si>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</si>
  <si>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</si>
  <si>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</si>
  <si>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</si>
  <si>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</si>
  <si>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</si>
  <si>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</si>
  <si>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</si>
  <si>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</si>
  <si>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</si>
  <si>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</si>
  <si>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</si>
  <si>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</si>
  <si>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</si>
  <si>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</si>
  <si>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</si>
  <si>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</si>
  <si>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</si>
  <si>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</si>
  <si>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</si>
  <si>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</si>
  <si>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</si>
  <si>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</si>
  <si>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</si>
  <si>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</si>
  <si>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</si>
  <si>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</si>
  <si>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</si>
  <si>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</si>
  <si>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</si>
  <si>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</si>
  <si>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</si>
  <si>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</si>
  <si>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</si>
  <si>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</si>
  <si>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</si>
  <si>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</si>
  <si>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</si>
  <si>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</si>
  <si>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</si>
  <si>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</si>
  <si>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</si>
  <si>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</si>
  <si>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</si>
  <si>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</si>
  <si>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</si>
  <si>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</si>
  <si>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</si>
  <si>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</si>
  <si>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</si>
  <si>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</si>
  <si>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</si>
  <si>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</si>
  <si>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</si>
  <si>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</si>
  <si>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</si>
  <si>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</si>
  <si>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</si>
  <si>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</si>
  <si>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</si>
  <si>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</si>
  <si>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</si>
  <si>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</si>
  <si>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</si>
  <si>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</si>
  <si>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</si>
  <si>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</si>
  <si>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</si>
  <si>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</si>
  <si>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</si>
  <si>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</si>
  <si>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</si>
  <si>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</si>
  <si>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</si>
  <si>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</si>
  <si>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</si>
  <si>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</si>
  <si>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</si>
  <si>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</si>
  <si>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</si>
  <si>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</si>
  <si>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</si>
  <si>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</si>
  <si>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</si>
  <si>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</si>
  <si>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</si>
  <si>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</si>
  <si>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</si>
  <si>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</si>
  <si>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</si>
  <si>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</si>
  <si>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</si>
  <si>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</si>
  <si>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</si>
  <si>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</si>
  <si>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</si>
  <si>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</si>
  <si>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</si>
  <si>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</si>
  <si>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</si>
  <si>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</si>
  <si>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</si>
  <si>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</si>
  <si>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</si>
  <si>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</si>
  <si>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</si>
  <si>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</si>
  <si>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</si>
  <si>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</si>
  <si>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</si>
  <si>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</si>
  <si>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</si>
  <si>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</si>
  <si>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</si>
  <si>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</si>
  <si>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</si>
  <si>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</si>
  <si>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</si>
  <si>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</si>
  <si>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</si>
  <si>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individual discount rate</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</si>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</sst>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0" fillId="0" borderId="0" xfId="0" applyFill="1"/>
    <xf numFmtId="0" fontId="20" fillId="0" borderId="0" xfId="0" applyFont="1" applyFill="1"/>
    <xf numFmtId="168" fontId="0" fillId="0" borderId="0" xfId="0" applyNumberFormat="1" applyFill="1"/>
    <xf numFmtId="164" fontId="0" fillId="0" borderId="0" xfId="0" applyNumberFormat="1" applyFill="1"/>
    <xf numFmtId="0" fontId="38" fillId="0" borderId="0" xfId="0" applyFont="1"/>
    <xf numFmtId="0" fontId="37" fillId="0" borderId="0" xfId="0" applyFont="1" applyAlignment="1">
      <alignment vertical="center"/>
    </xf>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15"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5"/>
  <sheetViews>
    <sheetView tabSelected="1" zoomScale="62" zoomScaleNormal="62" workbookViewId="0">
      <pane xSplit="1" ySplit="1" topLeftCell="B2" activePane="bottomRight" state="frozen"/>
      <selection pane="topRight" activeCell="B1" sqref="B1"/>
      <selection pane="bottomLeft" activeCell="A2" sqref="A2"/>
      <selection pane="bottomRight" activeCell="A20" sqref="A20:XFD20"/>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17"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ht="15.6">
      <c r="A2" s="100" t="s">
        <v>68</v>
      </c>
      <c r="B2" s="100"/>
      <c r="C2" s="100">
        <v>1059</v>
      </c>
      <c r="D2">
        <v>110</v>
      </c>
      <c r="E2" t="s">
        <v>238</v>
      </c>
      <c r="F2" s="100">
        <v>2014</v>
      </c>
      <c r="G2" t="s">
        <v>239</v>
      </c>
      <c r="H2" t="s">
        <v>240</v>
      </c>
      <c r="I2">
        <v>2</v>
      </c>
      <c r="J2">
        <v>2014</v>
      </c>
      <c r="K2" s="10" t="s">
        <v>73</v>
      </c>
      <c r="L2">
        <v>35</v>
      </c>
      <c r="M2" s="18" t="s">
        <v>120</v>
      </c>
      <c r="N2" t="s">
        <v>241</v>
      </c>
      <c r="O2" t="s">
        <v>81</v>
      </c>
      <c r="P2" s="10" t="s">
        <v>242</v>
      </c>
      <c r="Q2" t="s">
        <v>243</v>
      </c>
      <c r="R2" t="s">
        <v>244</v>
      </c>
      <c r="S2">
        <v>1</v>
      </c>
      <c r="T2" t="s">
        <v>229</v>
      </c>
      <c r="U2">
        <v>1</v>
      </c>
      <c r="V2" s="10" t="s">
        <v>230</v>
      </c>
      <c r="W2" s="10" t="s">
        <v>230</v>
      </c>
      <c r="X2" t="s">
        <v>245</v>
      </c>
      <c r="Y2">
        <v>0</v>
      </c>
      <c r="Z2">
        <v>0</v>
      </c>
      <c r="AA2">
        <v>1</v>
      </c>
      <c r="AB2">
        <v>0</v>
      </c>
      <c r="AC2">
        <v>0</v>
      </c>
      <c r="AD2">
        <v>0</v>
      </c>
      <c r="AE2">
        <v>0</v>
      </c>
      <c r="AF2">
        <v>0</v>
      </c>
      <c r="AG2" t="s">
        <v>246</v>
      </c>
      <c r="AH2">
        <v>0</v>
      </c>
      <c r="AI2">
        <v>0</v>
      </c>
      <c r="AJ2">
        <v>0</v>
      </c>
      <c r="AK2">
        <v>0</v>
      </c>
      <c r="AL2">
        <v>0</v>
      </c>
      <c r="AM2">
        <v>0</v>
      </c>
      <c r="AN2">
        <v>0</v>
      </c>
      <c r="AO2">
        <v>1</v>
      </c>
      <c r="AP2">
        <v>0</v>
      </c>
      <c r="AQ2" t="s">
        <v>247</v>
      </c>
      <c r="AR2" s="94" t="s">
        <v>234</v>
      </c>
      <c r="AS2" s="94" t="s">
        <v>248</v>
      </c>
      <c r="AT2" s="94" t="s">
        <v>73</v>
      </c>
      <c r="AU2" s="21">
        <v>3.4359999999999999</v>
      </c>
      <c r="AV2" s="7" t="s">
        <v>80</v>
      </c>
      <c r="AW2">
        <v>4.9960000000000004</v>
      </c>
      <c r="AX2" s="41" t="s">
        <v>73</v>
      </c>
      <c r="AY2" s="41">
        <v>3</v>
      </c>
      <c r="AZ2">
        <f>AU2/AW2</f>
        <v>0.687750200160128</v>
      </c>
      <c r="BA2" t="s">
        <v>73</v>
      </c>
      <c r="BC2" t="s">
        <v>73</v>
      </c>
      <c r="BD2" t="s">
        <v>73</v>
      </c>
      <c r="BE2" t="s">
        <v>73</v>
      </c>
      <c r="BF2" t="s">
        <v>73</v>
      </c>
      <c r="BG2" t="s">
        <v>73</v>
      </c>
      <c r="BH2" t="s">
        <v>73</v>
      </c>
      <c r="BI2">
        <v>2440</v>
      </c>
      <c r="BJ2">
        <v>7275</v>
      </c>
      <c r="BK2" t="s">
        <v>73</v>
      </c>
      <c r="BL2" t="s">
        <v>73</v>
      </c>
      <c r="BM2" t="s">
        <v>73</v>
      </c>
      <c r="BN2" t="s">
        <v>73</v>
      </c>
      <c r="BO2" t="s">
        <v>73</v>
      </c>
      <c r="BP2">
        <v>1</v>
      </c>
      <c r="BQ2" t="s">
        <v>73</v>
      </c>
      <c r="BR2">
        <v>0</v>
      </c>
      <c r="BS2">
        <v>0</v>
      </c>
      <c r="BT2" t="s">
        <v>249</v>
      </c>
      <c r="BU2">
        <v>1</v>
      </c>
      <c r="BV2">
        <v>0</v>
      </c>
      <c r="BW2">
        <v>1</v>
      </c>
      <c r="BX2" s="30">
        <f>((AZ2^2)/(AZ2^2+BI2))^(1/2)</f>
        <v>1.3921746511164878E-2</v>
      </c>
      <c r="BY2" s="30">
        <f>0.5*LN((1+BX2)/(1-BX2))</f>
        <v>1.3922646030325031E-2</v>
      </c>
      <c r="BZ2" s="30">
        <f>((1-(BY2^2)^2)/(BI2-1))</f>
        <v>4.1000408463551713E-4</v>
      </c>
      <c r="CA2" s="30">
        <f>1/(BI2-3)</f>
        <v>4.103405826836274E-4</v>
      </c>
      <c r="CC2">
        <f>BI2-2</f>
        <v>2438</v>
      </c>
      <c r="CE2" s="30">
        <f>((AZ2^2)/(AZ2^2+BJ2))^(1/2)</f>
        <v>8.0630640330570883E-3</v>
      </c>
      <c r="CF2" s="30">
        <f>0.5*LN((1+CE2)/(1-CE2))</f>
        <v>8.0632387745383748E-3</v>
      </c>
      <c r="CG2" s="30">
        <f>((1-(CF2^2)^2)/(BJ2-1))</f>
        <v>1.374759411290821E-4</v>
      </c>
      <c r="CH2" s="30">
        <f>1/(BJ2-3)</f>
        <v>1.3751375137513751E-4</v>
      </c>
    </row>
    <row r="3" spans="1:86" ht="15.6">
      <c r="A3" s="11" t="s">
        <v>68</v>
      </c>
      <c r="B3" s="11"/>
      <c r="C3" s="96">
        <v>1172</v>
      </c>
      <c r="D3" s="97">
        <v>141</v>
      </c>
      <c r="E3" t="s">
        <v>277</v>
      </c>
      <c r="F3" s="96">
        <v>2016</v>
      </c>
      <c r="G3" t="s">
        <v>278</v>
      </c>
      <c r="H3" t="s">
        <v>279</v>
      </c>
      <c r="I3" s="97">
        <v>2</v>
      </c>
      <c r="J3">
        <v>2013</v>
      </c>
      <c r="K3" s="96" t="s">
        <v>73</v>
      </c>
      <c r="L3">
        <v>17</v>
      </c>
      <c r="M3" s="96" t="s">
        <v>271</v>
      </c>
      <c r="N3" t="s">
        <v>224</v>
      </c>
      <c r="O3" t="s">
        <v>280</v>
      </c>
      <c r="P3" t="s">
        <v>242</v>
      </c>
      <c r="Q3" t="s">
        <v>243</v>
      </c>
      <c r="R3" t="s">
        <v>244</v>
      </c>
      <c r="S3">
        <v>1</v>
      </c>
      <c r="T3" s="32" t="s">
        <v>265</v>
      </c>
      <c r="U3">
        <v>1</v>
      </c>
      <c r="V3" s="96" t="s">
        <v>230</v>
      </c>
      <c r="W3" s="96" t="s">
        <v>230</v>
      </c>
      <c r="X3" t="s">
        <v>245</v>
      </c>
      <c r="Y3" s="97">
        <v>0</v>
      </c>
      <c r="Z3" s="97">
        <v>1</v>
      </c>
      <c r="AA3" s="97">
        <v>1</v>
      </c>
      <c r="AB3" s="97">
        <v>0</v>
      </c>
      <c r="AC3" s="97">
        <v>0</v>
      </c>
      <c r="AD3" s="97">
        <v>0</v>
      </c>
      <c r="AE3" s="97">
        <v>0</v>
      </c>
      <c r="AF3" s="97">
        <v>0</v>
      </c>
      <c r="AG3" t="s">
        <v>281</v>
      </c>
      <c r="AH3" s="97">
        <v>0</v>
      </c>
      <c r="AI3" s="97">
        <v>0</v>
      </c>
      <c r="AJ3" s="97">
        <v>0</v>
      </c>
      <c r="AK3" s="97">
        <v>0</v>
      </c>
      <c r="AL3" s="97">
        <v>0</v>
      </c>
      <c r="AM3" s="97">
        <v>0</v>
      </c>
      <c r="AN3" s="97">
        <v>0</v>
      </c>
      <c r="AO3" s="97">
        <v>1</v>
      </c>
      <c r="AP3" s="97">
        <v>0</v>
      </c>
      <c r="AQ3" s="41" t="s">
        <v>282</v>
      </c>
      <c r="AR3" t="s">
        <v>234</v>
      </c>
      <c r="AS3" t="s">
        <v>283</v>
      </c>
      <c r="AT3" t="s">
        <v>73</v>
      </c>
      <c r="AU3" s="105">
        <v>9.5000000000000001E-2</v>
      </c>
      <c r="AV3" s="7" t="s">
        <v>86</v>
      </c>
      <c r="AW3" t="s">
        <v>73</v>
      </c>
      <c r="AX3">
        <v>0.05</v>
      </c>
      <c r="AY3">
        <v>1</v>
      </c>
      <c r="AZ3">
        <f>TINV(AX3,CC3)</f>
        <v>1.9645365010317388</v>
      </c>
      <c r="BA3" t="s">
        <v>73</v>
      </c>
      <c r="BC3" t="s">
        <v>73</v>
      </c>
      <c r="BD3" t="s">
        <v>73</v>
      </c>
      <c r="BE3" t="s">
        <v>73</v>
      </c>
      <c r="BF3" t="s">
        <v>73</v>
      </c>
      <c r="BG3" s="41">
        <v>523</v>
      </c>
      <c r="BH3" t="s">
        <v>73</v>
      </c>
      <c r="BI3" s="41">
        <v>522</v>
      </c>
      <c r="BJ3" s="41">
        <v>522</v>
      </c>
      <c r="BK3" t="s">
        <v>73</v>
      </c>
      <c r="BL3" t="s">
        <v>73</v>
      </c>
      <c r="BM3" s="97" t="s">
        <v>73</v>
      </c>
      <c r="BN3" s="97" t="s">
        <v>73</v>
      </c>
      <c r="BO3" s="97" t="s">
        <v>73</v>
      </c>
      <c r="BP3" s="98" t="s">
        <v>73</v>
      </c>
      <c r="BQ3" s="98" t="s">
        <v>73</v>
      </c>
      <c r="BR3">
        <v>0</v>
      </c>
      <c r="BS3" s="98" t="s">
        <v>73</v>
      </c>
      <c r="BT3" s="97" t="s">
        <v>249</v>
      </c>
      <c r="BU3" s="97">
        <v>0</v>
      </c>
      <c r="BV3" s="97">
        <v>0</v>
      </c>
      <c r="BW3" s="97">
        <v>1</v>
      </c>
      <c r="BX3" s="30">
        <f>((AZ3^2)/(AZ3^2+BI3))^(1/2)</f>
        <v>8.5669312189989619E-2</v>
      </c>
      <c r="BY3" s="30">
        <f>0.5*LN((1+BX3)/(1-BX3))</f>
        <v>8.5879822251689428E-2</v>
      </c>
      <c r="BZ3" s="30">
        <f>((1-(BY3^2)^2)/(BI3-1))</f>
        <v>1.9192813902165059E-3</v>
      </c>
      <c r="CA3" s="30">
        <f>1/(BI3-3)</f>
        <v>1.9267822736030828E-3</v>
      </c>
      <c r="CC3">
        <f>BI3-2</f>
        <v>520</v>
      </c>
      <c r="CE3" s="30">
        <f>((AZ3^2)/(AZ3^2+BJ3))^(1/2)</f>
        <v>8.5669312189989619E-2</v>
      </c>
      <c r="CF3" s="30">
        <f>0.5*LN((1+CE3)/(1-CE3))</f>
        <v>8.5879822251689428E-2</v>
      </c>
      <c r="CG3" s="30">
        <f>((1-(CF3^2)^2)/(BJ3-1))</f>
        <v>1.9192813902165059E-3</v>
      </c>
      <c r="CH3" s="30">
        <f>1/(BJ3-3)</f>
        <v>1.9267822736030828E-3</v>
      </c>
    </row>
    <row r="4" spans="1:86" ht="15.6">
      <c r="A4" s="11" t="s">
        <v>68</v>
      </c>
      <c r="B4" s="11"/>
      <c r="C4" s="96">
        <v>1173</v>
      </c>
      <c r="D4" s="97">
        <v>141</v>
      </c>
      <c r="E4" t="s">
        <v>277</v>
      </c>
      <c r="F4" s="96">
        <v>2016</v>
      </c>
      <c r="G4" t="s">
        <v>278</v>
      </c>
      <c r="H4" t="s">
        <v>279</v>
      </c>
      <c r="I4" s="97">
        <v>2</v>
      </c>
      <c r="J4">
        <v>2013</v>
      </c>
      <c r="K4" s="96" t="s">
        <v>73</v>
      </c>
      <c r="L4">
        <v>17</v>
      </c>
      <c r="M4" s="96" t="s">
        <v>271</v>
      </c>
      <c r="N4" t="s">
        <v>224</v>
      </c>
      <c r="O4" t="s">
        <v>280</v>
      </c>
      <c r="P4" t="s">
        <v>242</v>
      </c>
      <c r="Q4" t="s">
        <v>243</v>
      </c>
      <c r="R4" t="s">
        <v>244</v>
      </c>
      <c r="S4">
        <v>1</v>
      </c>
      <c r="T4" s="32" t="s">
        <v>265</v>
      </c>
      <c r="U4">
        <v>1</v>
      </c>
      <c r="V4" s="96" t="s">
        <v>230</v>
      </c>
      <c r="W4" s="96" t="s">
        <v>230</v>
      </c>
      <c r="X4" t="s">
        <v>245</v>
      </c>
      <c r="Y4" s="97">
        <v>0</v>
      </c>
      <c r="Z4" s="97">
        <v>1</v>
      </c>
      <c r="AA4" s="97">
        <v>1</v>
      </c>
      <c r="AB4" s="97">
        <v>0</v>
      </c>
      <c r="AC4" s="97">
        <v>0</v>
      </c>
      <c r="AD4" s="97">
        <v>0</v>
      </c>
      <c r="AE4" s="97">
        <v>0</v>
      </c>
      <c r="AF4" s="97">
        <v>0</v>
      </c>
      <c r="AG4" t="s">
        <v>281</v>
      </c>
      <c r="AH4" s="97">
        <v>0</v>
      </c>
      <c r="AI4" s="97">
        <v>0</v>
      </c>
      <c r="AJ4" s="97">
        <v>0</v>
      </c>
      <c r="AK4" s="97">
        <v>0</v>
      </c>
      <c r="AL4" s="97">
        <v>0</v>
      </c>
      <c r="AM4" s="97">
        <v>0</v>
      </c>
      <c r="AN4" s="97">
        <v>0</v>
      </c>
      <c r="AO4" s="97">
        <v>1</v>
      </c>
      <c r="AP4" s="97">
        <v>0</v>
      </c>
      <c r="AQ4" s="41" t="s">
        <v>282</v>
      </c>
      <c r="AR4" t="s">
        <v>234</v>
      </c>
      <c r="AS4" t="s">
        <v>283</v>
      </c>
      <c r="AT4" t="s">
        <v>73</v>
      </c>
      <c r="AU4" s="105">
        <v>8.3000000000000004E-2</v>
      </c>
      <c r="AV4" s="7" t="s">
        <v>86</v>
      </c>
      <c r="AW4" t="s">
        <v>73</v>
      </c>
      <c r="AX4">
        <v>0.1</v>
      </c>
      <c r="AY4">
        <v>1</v>
      </c>
      <c r="AZ4">
        <f>TINV(AX4,CC4)</f>
        <v>1.6477892114622541</v>
      </c>
      <c r="BA4" t="s">
        <v>73</v>
      </c>
      <c r="BC4" t="s">
        <v>73</v>
      </c>
      <c r="BD4" t="s">
        <v>73</v>
      </c>
      <c r="BE4" t="s">
        <v>73</v>
      </c>
      <c r="BF4" t="s">
        <v>73</v>
      </c>
      <c r="BG4" s="41">
        <v>523</v>
      </c>
      <c r="BH4" t="s">
        <v>73</v>
      </c>
      <c r="BI4" s="41">
        <v>522</v>
      </c>
      <c r="BJ4" s="41">
        <v>522</v>
      </c>
      <c r="BK4" t="s">
        <v>73</v>
      </c>
      <c r="BL4" t="s">
        <v>73</v>
      </c>
      <c r="BM4" s="97" t="s">
        <v>73</v>
      </c>
      <c r="BN4" s="97" t="s">
        <v>73</v>
      </c>
      <c r="BO4" s="97" t="s">
        <v>73</v>
      </c>
      <c r="BP4" s="97" t="s">
        <v>73</v>
      </c>
      <c r="BQ4" s="97" t="s">
        <v>73</v>
      </c>
      <c r="BR4">
        <v>0</v>
      </c>
      <c r="BS4" s="97" t="s">
        <v>73</v>
      </c>
      <c r="BT4" s="97" t="s">
        <v>249</v>
      </c>
      <c r="BU4" s="97">
        <v>0</v>
      </c>
      <c r="BV4" s="97">
        <v>0</v>
      </c>
      <c r="BW4" s="97">
        <v>1</v>
      </c>
      <c r="BX4" s="30">
        <f>((AZ4^2)/(AZ4^2+BI4))^(1/2)</f>
        <v>7.1934930559867688E-2</v>
      </c>
      <c r="BY4" s="30">
        <f>0.5*LN((1+BX4)/(1-BX4))</f>
        <v>7.2059396212325363E-2</v>
      </c>
      <c r="BZ4" s="30">
        <f>((1-(BY4^2)^2)/(BI4-1))</f>
        <v>1.919334044829439E-3</v>
      </c>
      <c r="CA4" s="30">
        <f>1/(BI4-3)</f>
        <v>1.9267822736030828E-3</v>
      </c>
      <c r="CC4">
        <f>BI4-2</f>
        <v>520</v>
      </c>
      <c r="CE4" s="30">
        <f>((AZ4^2)/(AZ4^2+BJ4))^(1/2)</f>
        <v>7.1934930559867688E-2</v>
      </c>
      <c r="CF4" s="30">
        <f>0.5*LN((1+CE4)/(1-CE4))</f>
        <v>7.2059396212325363E-2</v>
      </c>
      <c r="CG4" s="30">
        <f>((1-(CF4^2)^2)/(BJ4-1))</f>
        <v>1.919334044829439E-3</v>
      </c>
      <c r="CH4" s="30">
        <f>1/(BJ4-3)</f>
        <v>1.9267822736030828E-3</v>
      </c>
    </row>
    <row r="5" spans="1:86" s="102" customFormat="1" ht="15.6">
      <c r="A5" s="11" t="s">
        <v>68</v>
      </c>
      <c r="B5" s="11"/>
      <c r="C5" s="96">
        <v>1174</v>
      </c>
      <c r="D5" s="97">
        <v>141</v>
      </c>
      <c r="E5" t="s">
        <v>277</v>
      </c>
      <c r="F5" s="96">
        <v>2016</v>
      </c>
      <c r="G5" t="s">
        <v>278</v>
      </c>
      <c r="H5" t="s">
        <v>279</v>
      </c>
      <c r="I5" s="97">
        <v>2</v>
      </c>
      <c r="J5">
        <v>2013</v>
      </c>
      <c r="K5" s="96" t="s">
        <v>73</v>
      </c>
      <c r="L5">
        <v>17</v>
      </c>
      <c r="M5" s="96" t="s">
        <v>276</v>
      </c>
      <c r="N5" t="s">
        <v>224</v>
      </c>
      <c r="O5" t="s">
        <v>280</v>
      </c>
      <c r="P5" t="s">
        <v>242</v>
      </c>
      <c r="Q5" t="s">
        <v>243</v>
      </c>
      <c r="R5" t="s">
        <v>244</v>
      </c>
      <c r="S5">
        <v>1</v>
      </c>
      <c r="T5" s="32" t="s">
        <v>265</v>
      </c>
      <c r="U5">
        <v>1</v>
      </c>
      <c r="V5" s="96" t="s">
        <v>230</v>
      </c>
      <c r="W5" s="96" t="s">
        <v>230</v>
      </c>
      <c r="X5" t="s">
        <v>245</v>
      </c>
      <c r="Y5" s="97">
        <v>0</v>
      </c>
      <c r="Z5" s="97">
        <v>1</v>
      </c>
      <c r="AA5" s="97">
        <v>1</v>
      </c>
      <c r="AB5" s="97">
        <v>0</v>
      </c>
      <c r="AC5" s="97">
        <v>0</v>
      </c>
      <c r="AD5" s="97">
        <v>0</v>
      </c>
      <c r="AE5" s="97">
        <v>0</v>
      </c>
      <c r="AF5" s="97">
        <v>0</v>
      </c>
      <c r="AG5" t="s">
        <v>281</v>
      </c>
      <c r="AH5" s="97">
        <v>0</v>
      </c>
      <c r="AI5" s="97">
        <v>0</v>
      </c>
      <c r="AJ5" s="97">
        <v>0</v>
      </c>
      <c r="AK5" s="97">
        <v>0</v>
      </c>
      <c r="AL5" s="97">
        <v>0</v>
      </c>
      <c r="AM5" s="97">
        <v>0</v>
      </c>
      <c r="AN5" s="97">
        <v>0</v>
      </c>
      <c r="AO5" s="97">
        <v>1</v>
      </c>
      <c r="AP5" s="97">
        <v>0</v>
      </c>
      <c r="AQ5" s="41" t="s">
        <v>282</v>
      </c>
      <c r="AR5" t="s">
        <v>234</v>
      </c>
      <c r="AS5" t="s">
        <v>283</v>
      </c>
      <c r="AT5" t="s">
        <v>73</v>
      </c>
      <c r="AU5" s="105">
        <v>0.13300000000000001</v>
      </c>
      <c r="AV5" s="7" t="s">
        <v>86</v>
      </c>
      <c r="AW5" t="s">
        <v>73</v>
      </c>
      <c r="AX5">
        <v>0.1</v>
      </c>
      <c r="AY5">
        <v>1</v>
      </c>
      <c r="AZ5">
        <f>TINV(AX5,CC5)</f>
        <v>1.6477892114622541</v>
      </c>
      <c r="BA5" t="s">
        <v>73</v>
      </c>
      <c r="BB5"/>
      <c r="BC5" t="s">
        <v>73</v>
      </c>
      <c r="BD5" t="s">
        <v>73</v>
      </c>
      <c r="BE5" t="s">
        <v>73</v>
      </c>
      <c r="BF5" t="s">
        <v>73</v>
      </c>
      <c r="BG5" s="41">
        <v>523</v>
      </c>
      <c r="BH5" t="s">
        <v>73</v>
      </c>
      <c r="BI5" s="41">
        <v>522</v>
      </c>
      <c r="BJ5" s="41">
        <v>522</v>
      </c>
      <c r="BK5" t="s">
        <v>73</v>
      </c>
      <c r="BL5" t="s">
        <v>73</v>
      </c>
      <c r="BM5" s="97" t="s">
        <v>73</v>
      </c>
      <c r="BN5" s="97" t="s">
        <v>73</v>
      </c>
      <c r="BO5" s="97" t="s">
        <v>73</v>
      </c>
      <c r="BP5" s="97" t="s">
        <v>73</v>
      </c>
      <c r="BQ5" s="97" t="s">
        <v>73</v>
      </c>
      <c r="BR5">
        <v>0</v>
      </c>
      <c r="BS5" s="97" t="s">
        <v>73</v>
      </c>
      <c r="BT5" s="97" t="s">
        <v>249</v>
      </c>
      <c r="BU5" s="97">
        <v>0</v>
      </c>
      <c r="BV5" s="97">
        <v>0</v>
      </c>
      <c r="BW5" s="97">
        <v>1</v>
      </c>
      <c r="BX5" s="30">
        <f>((AZ5^2)/(AZ5^2+BI5))^(1/2)</f>
        <v>7.1934930559867688E-2</v>
      </c>
      <c r="BY5" s="30">
        <f>0.5*LN((1+BX5)/(1-BX5))</f>
        <v>7.2059396212325363E-2</v>
      </c>
      <c r="BZ5" s="30">
        <f>((1-(BY5^2)^2)/(BI5-1))</f>
        <v>1.919334044829439E-3</v>
      </c>
      <c r="CA5" s="30">
        <f>1/(BI5-3)</f>
        <v>1.9267822736030828E-3</v>
      </c>
      <c r="CB5"/>
      <c r="CC5">
        <f>BI5-2</f>
        <v>520</v>
      </c>
      <c r="CD5"/>
      <c r="CE5" s="30">
        <f>((AZ5^2)/(AZ5^2+BJ5))^(1/2)</f>
        <v>7.1934930559867688E-2</v>
      </c>
      <c r="CF5" s="30">
        <f>0.5*LN((1+CE5)/(1-CE5))</f>
        <v>7.2059396212325363E-2</v>
      </c>
      <c r="CG5" s="30">
        <f>((1-(CF5^2)^2)/(BJ5-1))</f>
        <v>1.919334044829439E-3</v>
      </c>
      <c r="CH5" s="30">
        <f>1/(BJ5-3)</f>
        <v>1.9267822736030828E-3</v>
      </c>
    </row>
    <row r="6" spans="1:86" ht="15.6">
      <c r="A6" s="11" t="s">
        <v>68</v>
      </c>
      <c r="B6" s="11"/>
      <c r="C6" s="96">
        <v>1175</v>
      </c>
      <c r="D6" s="97">
        <v>141</v>
      </c>
      <c r="E6" t="s">
        <v>277</v>
      </c>
      <c r="F6" s="96">
        <v>2016</v>
      </c>
      <c r="G6" t="s">
        <v>278</v>
      </c>
      <c r="H6" t="s">
        <v>279</v>
      </c>
      <c r="I6" s="97">
        <v>2</v>
      </c>
      <c r="J6">
        <v>2013</v>
      </c>
      <c r="K6" s="96" t="s">
        <v>73</v>
      </c>
      <c r="L6">
        <v>17</v>
      </c>
      <c r="M6" s="96" t="s">
        <v>276</v>
      </c>
      <c r="N6" t="s">
        <v>224</v>
      </c>
      <c r="O6" t="s">
        <v>280</v>
      </c>
      <c r="P6" t="s">
        <v>242</v>
      </c>
      <c r="Q6" t="s">
        <v>243</v>
      </c>
      <c r="R6" t="s">
        <v>244</v>
      </c>
      <c r="S6">
        <v>1</v>
      </c>
      <c r="T6" s="32" t="s">
        <v>265</v>
      </c>
      <c r="U6">
        <v>1</v>
      </c>
      <c r="V6" s="96" t="s">
        <v>230</v>
      </c>
      <c r="W6" s="96" t="s">
        <v>230</v>
      </c>
      <c r="X6" t="s">
        <v>245</v>
      </c>
      <c r="Y6" s="97">
        <v>0</v>
      </c>
      <c r="Z6" s="97">
        <v>1</v>
      </c>
      <c r="AA6" s="97">
        <v>1</v>
      </c>
      <c r="AB6" s="97">
        <v>0</v>
      </c>
      <c r="AC6" s="97">
        <v>0</v>
      </c>
      <c r="AD6" s="97">
        <v>0</v>
      </c>
      <c r="AE6" s="97">
        <v>0</v>
      </c>
      <c r="AF6" s="97">
        <v>0</v>
      </c>
      <c r="AG6" t="s">
        <v>281</v>
      </c>
      <c r="AH6" s="97">
        <v>0</v>
      </c>
      <c r="AI6" s="97">
        <v>0</v>
      </c>
      <c r="AJ6" s="97">
        <v>0</v>
      </c>
      <c r="AK6" s="97">
        <v>0</v>
      </c>
      <c r="AL6" s="97">
        <v>0</v>
      </c>
      <c r="AM6" s="97">
        <v>0</v>
      </c>
      <c r="AN6" s="97">
        <v>0</v>
      </c>
      <c r="AO6" s="97">
        <v>1</v>
      </c>
      <c r="AP6" s="97">
        <v>0</v>
      </c>
      <c r="AQ6" s="41" t="s">
        <v>282</v>
      </c>
      <c r="AR6" t="s">
        <v>234</v>
      </c>
      <c r="AS6" t="s">
        <v>283</v>
      </c>
      <c r="AT6" t="s">
        <v>73</v>
      </c>
      <c r="AU6" s="105">
        <v>9.5000000000000001E-2</v>
      </c>
      <c r="AV6" s="7" t="s">
        <v>86</v>
      </c>
      <c r="AW6" t="s">
        <v>73</v>
      </c>
      <c r="AX6">
        <v>0.1</v>
      </c>
      <c r="AY6">
        <v>2</v>
      </c>
      <c r="AZ6">
        <f>TINV(AX6,CC6)</f>
        <v>1.6477892114622541</v>
      </c>
      <c r="BA6" t="s">
        <v>73</v>
      </c>
      <c r="BC6" t="s">
        <v>73</v>
      </c>
      <c r="BD6" t="s">
        <v>73</v>
      </c>
      <c r="BE6" t="s">
        <v>73</v>
      </c>
      <c r="BF6" t="s">
        <v>73</v>
      </c>
      <c r="BG6" s="41">
        <v>523</v>
      </c>
      <c r="BH6" t="s">
        <v>73</v>
      </c>
      <c r="BI6" s="41">
        <v>522</v>
      </c>
      <c r="BJ6" s="41">
        <v>522</v>
      </c>
      <c r="BK6" t="s">
        <v>73</v>
      </c>
      <c r="BL6" t="s">
        <v>73</v>
      </c>
      <c r="BM6" s="97" t="s">
        <v>73</v>
      </c>
      <c r="BN6" s="97" t="s">
        <v>73</v>
      </c>
      <c r="BO6" s="97" t="s">
        <v>73</v>
      </c>
      <c r="BP6" s="97" t="s">
        <v>73</v>
      </c>
      <c r="BQ6" s="97" t="s">
        <v>73</v>
      </c>
      <c r="BR6">
        <v>0</v>
      </c>
      <c r="BS6" s="97" t="s">
        <v>73</v>
      </c>
      <c r="BT6" s="97" t="s">
        <v>249</v>
      </c>
      <c r="BU6" s="97">
        <v>0</v>
      </c>
      <c r="BV6" s="97">
        <v>0</v>
      </c>
      <c r="BW6" s="97">
        <v>1</v>
      </c>
      <c r="BX6" s="30">
        <f>((AZ6^2)/(AZ6^2+BI6))^(1/2)</f>
        <v>7.1934930559867688E-2</v>
      </c>
      <c r="BY6" s="30">
        <f>0.5*LN((1+BX6)/(1-BX6))</f>
        <v>7.2059396212325363E-2</v>
      </c>
      <c r="BZ6" s="30">
        <f>((1-(BY6^2)^2)/(BI6-1))</f>
        <v>1.919334044829439E-3</v>
      </c>
      <c r="CA6" s="30">
        <f>1/(BI6-3)</f>
        <v>1.9267822736030828E-3</v>
      </c>
      <c r="CC6">
        <f>BI6-2</f>
        <v>520</v>
      </c>
      <c r="CE6" s="30">
        <f>((AZ6^2)/(AZ6^2+BJ6))^(1/2)</f>
        <v>7.1934930559867688E-2</v>
      </c>
      <c r="CF6" s="30">
        <f>0.5*LN((1+CE6)/(1-CE6))</f>
        <v>7.2059396212325363E-2</v>
      </c>
      <c r="CG6" s="30">
        <f>((1-(CF6^2)^2)/(BJ6-1))</f>
        <v>1.919334044829439E-3</v>
      </c>
      <c r="CH6" s="30">
        <f>1/(BJ6-3)</f>
        <v>1.9267822736030828E-3</v>
      </c>
    </row>
    <row r="7" spans="1:86" s="99" customFormat="1" ht="17.100000000000001" customHeight="1">
      <c r="A7" s="11" t="s">
        <v>68</v>
      </c>
      <c r="B7" s="11"/>
      <c r="C7" s="96">
        <v>1176</v>
      </c>
      <c r="D7" s="97">
        <v>141</v>
      </c>
      <c r="E7" t="s">
        <v>277</v>
      </c>
      <c r="F7" s="96">
        <v>2016</v>
      </c>
      <c r="G7" t="s">
        <v>278</v>
      </c>
      <c r="H7" t="s">
        <v>279</v>
      </c>
      <c r="I7" s="97">
        <v>2</v>
      </c>
      <c r="J7">
        <v>2013</v>
      </c>
      <c r="K7" s="96" t="s">
        <v>73</v>
      </c>
      <c r="L7">
        <v>17</v>
      </c>
      <c r="M7" s="96" t="s">
        <v>271</v>
      </c>
      <c r="N7" t="s">
        <v>224</v>
      </c>
      <c r="O7" t="s">
        <v>280</v>
      </c>
      <c r="P7" t="s">
        <v>242</v>
      </c>
      <c r="Q7" t="s">
        <v>243</v>
      </c>
      <c r="R7" t="s">
        <v>244</v>
      </c>
      <c r="S7">
        <v>1</v>
      </c>
      <c r="T7" s="32" t="s">
        <v>265</v>
      </c>
      <c r="U7">
        <v>1</v>
      </c>
      <c r="V7" s="96" t="s">
        <v>230</v>
      </c>
      <c r="W7" s="96" t="s">
        <v>230</v>
      </c>
      <c r="X7" t="s">
        <v>245</v>
      </c>
      <c r="Y7" s="97">
        <v>0</v>
      </c>
      <c r="Z7" s="97">
        <v>1</v>
      </c>
      <c r="AA7" s="97">
        <v>1</v>
      </c>
      <c r="AB7" s="97">
        <v>0</v>
      </c>
      <c r="AC7" s="97">
        <v>0</v>
      </c>
      <c r="AD7" s="97">
        <v>0</v>
      </c>
      <c r="AE7" s="97">
        <v>0</v>
      </c>
      <c r="AF7" s="97">
        <v>0</v>
      </c>
      <c r="AG7" t="s">
        <v>284</v>
      </c>
      <c r="AH7" s="97">
        <v>0</v>
      </c>
      <c r="AI7" s="97">
        <v>0</v>
      </c>
      <c r="AJ7" s="97">
        <v>0</v>
      </c>
      <c r="AK7" s="97">
        <v>0</v>
      </c>
      <c r="AL7" s="97">
        <v>0</v>
      </c>
      <c r="AM7" s="97">
        <v>0</v>
      </c>
      <c r="AN7" s="97">
        <v>0</v>
      </c>
      <c r="AO7" s="97">
        <v>1</v>
      </c>
      <c r="AP7" s="97">
        <v>0</v>
      </c>
      <c r="AQ7" s="41" t="s">
        <v>282</v>
      </c>
      <c r="AR7" t="s">
        <v>234</v>
      </c>
      <c r="AS7" t="s">
        <v>283</v>
      </c>
      <c r="AT7" t="s">
        <v>73</v>
      </c>
      <c r="AU7" s="105">
        <v>0.14000000000000001</v>
      </c>
      <c r="AV7" s="7" t="s">
        <v>80</v>
      </c>
      <c r="AW7" t="s">
        <v>73</v>
      </c>
      <c r="AX7">
        <v>0.01</v>
      </c>
      <c r="AY7">
        <v>1</v>
      </c>
      <c r="AZ7">
        <f>TINV(AX7,CC7)</f>
        <v>2.5853169622486396</v>
      </c>
      <c r="BA7" t="s">
        <v>73</v>
      </c>
      <c r="BB7"/>
      <c r="BC7" t="s">
        <v>73</v>
      </c>
      <c r="BD7" t="s">
        <v>73</v>
      </c>
      <c r="BE7" t="s">
        <v>73</v>
      </c>
      <c r="BF7" t="s">
        <v>73</v>
      </c>
      <c r="BG7" s="41">
        <v>524</v>
      </c>
      <c r="BH7" t="s">
        <v>73</v>
      </c>
      <c r="BI7" s="41">
        <v>522</v>
      </c>
      <c r="BJ7" s="41">
        <v>522</v>
      </c>
      <c r="BK7" t="s">
        <v>73</v>
      </c>
      <c r="BL7" t="s">
        <v>73</v>
      </c>
      <c r="BM7" s="97" t="s">
        <v>73</v>
      </c>
      <c r="BN7" s="97" t="s">
        <v>73</v>
      </c>
      <c r="BO7" s="97" t="s">
        <v>73</v>
      </c>
      <c r="BP7" s="97" t="s">
        <v>73</v>
      </c>
      <c r="BQ7" s="97" t="s">
        <v>73</v>
      </c>
      <c r="BR7">
        <v>1</v>
      </c>
      <c r="BS7" s="109" t="s">
        <v>73</v>
      </c>
      <c r="BT7" s="97" t="s">
        <v>249</v>
      </c>
      <c r="BU7" s="97">
        <v>0</v>
      </c>
      <c r="BV7" s="97">
        <v>0</v>
      </c>
      <c r="BW7" s="97">
        <v>1</v>
      </c>
      <c r="BX7" s="30">
        <f>((AZ7^2)/(AZ7^2+BI7))^(1/2)</f>
        <v>0.11243868763294575</v>
      </c>
      <c r="BY7" s="30">
        <f>0.5*LN((1+BX7)/(1-BX7))</f>
        <v>0.11291614848050519</v>
      </c>
      <c r="BZ7" s="30">
        <f>((1-(BY7^2)^2)/(BI7-1))</f>
        <v>1.9190737736219023E-3</v>
      </c>
      <c r="CA7" s="30">
        <f>1/(BI7-3)</f>
        <v>1.9267822736030828E-3</v>
      </c>
      <c r="CB7"/>
      <c r="CC7">
        <f>BI7-2</f>
        <v>520</v>
      </c>
      <c r="CD7"/>
      <c r="CE7" s="30">
        <f>((AZ7^2)/(AZ7^2+BJ7))^(1/2)</f>
        <v>0.11243868763294575</v>
      </c>
      <c r="CF7" s="30">
        <f>0.5*LN((1+CE7)/(1-CE7))</f>
        <v>0.11291614848050519</v>
      </c>
      <c r="CG7" s="30">
        <f>((1-(CF7^2)^2)/(BJ7-1))</f>
        <v>1.9190737736219023E-3</v>
      </c>
      <c r="CH7" s="30">
        <f>1/(BJ7-3)</f>
        <v>1.9267822736030828E-3</v>
      </c>
    </row>
    <row r="8" spans="1:86" s="99" customFormat="1" ht="17.100000000000001" customHeight="1">
      <c r="A8" s="11" t="s">
        <v>68</v>
      </c>
      <c r="B8" s="11"/>
      <c r="C8" s="96">
        <v>1177</v>
      </c>
      <c r="D8" s="97">
        <v>141</v>
      </c>
      <c r="E8" t="s">
        <v>277</v>
      </c>
      <c r="F8" s="96">
        <v>2016</v>
      </c>
      <c r="G8" t="s">
        <v>278</v>
      </c>
      <c r="H8" t="s">
        <v>279</v>
      </c>
      <c r="I8" s="97">
        <v>2</v>
      </c>
      <c r="J8">
        <v>2013</v>
      </c>
      <c r="K8" s="96" t="s">
        <v>73</v>
      </c>
      <c r="L8">
        <v>17</v>
      </c>
      <c r="M8" s="96" t="s">
        <v>271</v>
      </c>
      <c r="N8" t="s">
        <v>224</v>
      </c>
      <c r="O8" t="s">
        <v>280</v>
      </c>
      <c r="P8" t="s">
        <v>242</v>
      </c>
      <c r="Q8" t="s">
        <v>243</v>
      </c>
      <c r="R8" t="s">
        <v>244</v>
      </c>
      <c r="S8">
        <v>1</v>
      </c>
      <c r="T8" s="32" t="s">
        <v>265</v>
      </c>
      <c r="U8">
        <v>1</v>
      </c>
      <c r="V8" s="96" t="s">
        <v>230</v>
      </c>
      <c r="W8" s="96" t="s">
        <v>230</v>
      </c>
      <c r="X8" t="s">
        <v>245</v>
      </c>
      <c r="Y8" s="97">
        <v>0</v>
      </c>
      <c r="Z8" s="97">
        <v>1</v>
      </c>
      <c r="AA8" s="97">
        <v>1</v>
      </c>
      <c r="AB8" s="97">
        <v>0</v>
      </c>
      <c r="AC8" s="97">
        <v>0</v>
      </c>
      <c r="AD8" s="97">
        <v>0</v>
      </c>
      <c r="AE8" s="97">
        <v>0</v>
      </c>
      <c r="AF8" s="97">
        <v>0</v>
      </c>
      <c r="AG8" t="s">
        <v>284</v>
      </c>
      <c r="AH8" s="97">
        <v>0</v>
      </c>
      <c r="AI8" s="97">
        <v>0</v>
      </c>
      <c r="AJ8" s="97">
        <v>0</v>
      </c>
      <c r="AK8" s="97">
        <v>0</v>
      </c>
      <c r="AL8" s="97">
        <v>0</v>
      </c>
      <c r="AM8" s="97">
        <v>0</v>
      </c>
      <c r="AN8" s="97">
        <v>0</v>
      </c>
      <c r="AO8" s="97">
        <v>1</v>
      </c>
      <c r="AP8" s="97">
        <v>0</v>
      </c>
      <c r="AQ8" s="41" t="s">
        <v>282</v>
      </c>
      <c r="AR8" t="s">
        <v>234</v>
      </c>
      <c r="AS8" t="s">
        <v>283</v>
      </c>
      <c r="AT8" t="s">
        <v>73</v>
      </c>
      <c r="AU8" s="105">
        <v>0.14299999999999999</v>
      </c>
      <c r="AV8" s="7" t="s">
        <v>80</v>
      </c>
      <c r="AW8" t="s">
        <v>73</v>
      </c>
      <c r="AX8">
        <v>0.01</v>
      </c>
      <c r="AY8">
        <v>1</v>
      </c>
      <c r="AZ8">
        <f>TINV(AX8,CC8)</f>
        <v>2.5853169622486396</v>
      </c>
      <c r="BA8" t="s">
        <v>73</v>
      </c>
      <c r="BB8"/>
      <c r="BC8" t="s">
        <v>73</v>
      </c>
      <c r="BD8" t="s">
        <v>73</v>
      </c>
      <c r="BE8" t="s">
        <v>73</v>
      </c>
      <c r="BF8" t="s">
        <v>73</v>
      </c>
      <c r="BG8" s="41">
        <v>524</v>
      </c>
      <c r="BH8" t="s">
        <v>73</v>
      </c>
      <c r="BI8" s="41">
        <v>522</v>
      </c>
      <c r="BJ8" s="41">
        <v>522</v>
      </c>
      <c r="BK8" t="s">
        <v>73</v>
      </c>
      <c r="BL8" t="s">
        <v>73</v>
      </c>
      <c r="BM8" s="97" t="s">
        <v>73</v>
      </c>
      <c r="BN8" s="97" t="s">
        <v>73</v>
      </c>
      <c r="BO8" s="97" t="s">
        <v>73</v>
      </c>
      <c r="BP8" s="97" t="s">
        <v>73</v>
      </c>
      <c r="BQ8" s="97" t="s">
        <v>73</v>
      </c>
      <c r="BR8">
        <v>1</v>
      </c>
      <c r="BS8" s="109" t="s">
        <v>73</v>
      </c>
      <c r="BT8" s="97" t="s">
        <v>249</v>
      </c>
      <c r="BU8" s="97">
        <v>0</v>
      </c>
      <c r="BV8" s="97">
        <v>0</v>
      </c>
      <c r="BW8" s="97">
        <v>1</v>
      </c>
      <c r="BX8" s="30">
        <f>((AZ8^2)/(AZ8^2+BI8))^(1/2)</f>
        <v>0.11243868763294575</v>
      </c>
      <c r="BY8" s="30">
        <f>0.5*LN((1+BX8)/(1-BX8))</f>
        <v>0.11291614848050519</v>
      </c>
      <c r="BZ8" s="30">
        <f>((1-(BY8^2)^2)/(BI8-1))</f>
        <v>1.9190737736219023E-3</v>
      </c>
      <c r="CA8" s="30">
        <f>1/(BI8-3)</f>
        <v>1.9267822736030828E-3</v>
      </c>
      <c r="CB8"/>
      <c r="CC8">
        <f>BI8-2</f>
        <v>520</v>
      </c>
      <c r="CD8"/>
      <c r="CE8" s="30">
        <f>((AZ8^2)/(AZ8^2+BJ8))^(1/2)</f>
        <v>0.11243868763294575</v>
      </c>
      <c r="CF8" s="30">
        <f>0.5*LN((1+CE8)/(1-CE8))</f>
        <v>0.11291614848050519</v>
      </c>
      <c r="CG8" s="30">
        <f>((1-(CF8^2)^2)/(BJ8-1))</f>
        <v>1.9190737736219023E-3</v>
      </c>
      <c r="CH8" s="30">
        <f>1/(BJ8-3)</f>
        <v>1.9267822736030828E-3</v>
      </c>
    </row>
    <row r="9" spans="1:86" ht="14.25" customHeight="1">
      <c r="A9" s="11" t="s">
        <v>68</v>
      </c>
      <c r="B9" s="11"/>
      <c r="C9" s="96">
        <v>1178</v>
      </c>
      <c r="D9" s="97">
        <v>141</v>
      </c>
      <c r="E9" t="s">
        <v>277</v>
      </c>
      <c r="F9" s="96">
        <v>2016</v>
      </c>
      <c r="G9" t="s">
        <v>278</v>
      </c>
      <c r="H9" t="s">
        <v>279</v>
      </c>
      <c r="I9" s="97">
        <v>2</v>
      </c>
      <c r="J9">
        <v>2013</v>
      </c>
      <c r="K9" s="96" t="s">
        <v>73</v>
      </c>
      <c r="L9">
        <v>17</v>
      </c>
      <c r="M9" s="96" t="s">
        <v>276</v>
      </c>
      <c r="N9" t="s">
        <v>224</v>
      </c>
      <c r="O9" t="s">
        <v>280</v>
      </c>
      <c r="P9" t="s">
        <v>242</v>
      </c>
      <c r="Q9" t="s">
        <v>243</v>
      </c>
      <c r="R9" t="s">
        <v>244</v>
      </c>
      <c r="S9">
        <v>1</v>
      </c>
      <c r="T9" s="32" t="s">
        <v>265</v>
      </c>
      <c r="U9">
        <v>1</v>
      </c>
      <c r="V9" s="96" t="s">
        <v>230</v>
      </c>
      <c r="W9" s="96" t="s">
        <v>230</v>
      </c>
      <c r="X9" t="s">
        <v>245</v>
      </c>
      <c r="Y9" s="97">
        <v>0</v>
      </c>
      <c r="Z9" s="97">
        <v>1</v>
      </c>
      <c r="AA9" s="97">
        <v>1</v>
      </c>
      <c r="AB9" s="97">
        <v>0</v>
      </c>
      <c r="AC9" s="97">
        <v>0</v>
      </c>
      <c r="AD9" s="97">
        <v>0</v>
      </c>
      <c r="AE9" s="97">
        <v>0</v>
      </c>
      <c r="AF9" s="97">
        <v>0</v>
      </c>
      <c r="AG9" t="s">
        <v>284</v>
      </c>
      <c r="AH9" s="97">
        <v>0</v>
      </c>
      <c r="AI9" s="97">
        <v>0</v>
      </c>
      <c r="AJ9" s="97">
        <v>0</v>
      </c>
      <c r="AK9" s="97">
        <v>0</v>
      </c>
      <c r="AL9" s="97">
        <v>0</v>
      </c>
      <c r="AM9" s="97">
        <v>0</v>
      </c>
      <c r="AN9" s="97">
        <v>0</v>
      </c>
      <c r="AO9" s="97">
        <v>1</v>
      </c>
      <c r="AP9" s="97">
        <v>0</v>
      </c>
      <c r="AQ9" s="41" t="s">
        <v>282</v>
      </c>
      <c r="AR9" t="s">
        <v>234</v>
      </c>
      <c r="AS9" t="s">
        <v>283</v>
      </c>
      <c r="AT9" t="s">
        <v>73</v>
      </c>
      <c r="AU9" s="105">
        <v>0.22</v>
      </c>
      <c r="AV9" s="7" t="s">
        <v>80</v>
      </c>
      <c r="AW9" t="s">
        <v>73</v>
      </c>
      <c r="AX9">
        <v>0.01</v>
      </c>
      <c r="AY9">
        <v>1</v>
      </c>
      <c r="AZ9">
        <f>TINV(AX9,CC9)</f>
        <v>2.5853169622486396</v>
      </c>
      <c r="BA9" t="s">
        <v>73</v>
      </c>
      <c r="BC9" t="s">
        <v>73</v>
      </c>
      <c r="BD9" t="s">
        <v>73</v>
      </c>
      <c r="BE9" t="s">
        <v>73</v>
      </c>
      <c r="BF9" t="s">
        <v>73</v>
      </c>
      <c r="BG9" s="41">
        <v>524</v>
      </c>
      <c r="BH9" t="s">
        <v>73</v>
      </c>
      <c r="BI9" s="41">
        <v>522</v>
      </c>
      <c r="BJ9" s="41">
        <v>522</v>
      </c>
      <c r="BK9" t="s">
        <v>73</v>
      </c>
      <c r="BL9" t="s">
        <v>73</v>
      </c>
      <c r="BM9" s="97" t="s">
        <v>73</v>
      </c>
      <c r="BN9" s="97" t="s">
        <v>73</v>
      </c>
      <c r="BO9" s="97" t="s">
        <v>73</v>
      </c>
      <c r="BP9" s="97" t="s">
        <v>73</v>
      </c>
      <c r="BQ9" s="97" t="s">
        <v>73</v>
      </c>
      <c r="BR9">
        <v>1</v>
      </c>
      <c r="BS9" s="109" t="s">
        <v>73</v>
      </c>
      <c r="BT9" s="97" t="s">
        <v>249</v>
      </c>
      <c r="BU9" s="97">
        <v>0</v>
      </c>
      <c r="BV9" s="97">
        <v>0</v>
      </c>
      <c r="BW9" s="97">
        <v>1</v>
      </c>
      <c r="BX9" s="30">
        <f>((AZ9^2)/(AZ9^2+BI9))^(1/2)</f>
        <v>0.11243868763294575</v>
      </c>
      <c r="BY9" s="30">
        <f>0.5*LN((1+BX9)/(1-BX9))</f>
        <v>0.11291614848050519</v>
      </c>
      <c r="BZ9" s="30">
        <f>((1-(BY9^2)^2)/(BI9-1))</f>
        <v>1.9190737736219023E-3</v>
      </c>
      <c r="CA9" s="30">
        <f>1/(BI9-3)</f>
        <v>1.9267822736030828E-3</v>
      </c>
      <c r="CC9">
        <f>BI9-2</f>
        <v>520</v>
      </c>
      <c r="CE9" s="30">
        <f>((AZ9^2)/(AZ9^2+BJ9))^(1/2)</f>
        <v>0.11243868763294575</v>
      </c>
      <c r="CF9" s="30">
        <f>0.5*LN((1+CE9)/(1-CE9))</f>
        <v>0.11291614848050519</v>
      </c>
      <c r="CG9" s="30">
        <f>((1-(CF9^2)^2)/(BJ9-1))</f>
        <v>1.9190737736219023E-3</v>
      </c>
      <c r="CH9" s="30">
        <f>1/(BJ9-3)</f>
        <v>1.9267822736030828E-3</v>
      </c>
    </row>
    <row r="10" spans="1:86" ht="19.5" customHeight="1">
      <c r="A10" s="11" t="s">
        <v>68</v>
      </c>
      <c r="B10" s="11"/>
      <c r="C10" s="96">
        <v>1179</v>
      </c>
      <c r="D10" s="97">
        <v>141</v>
      </c>
      <c r="E10" t="s">
        <v>277</v>
      </c>
      <c r="F10" s="96">
        <v>2016</v>
      </c>
      <c r="G10" t="s">
        <v>278</v>
      </c>
      <c r="H10" t="s">
        <v>279</v>
      </c>
      <c r="I10" s="97">
        <v>2</v>
      </c>
      <c r="J10">
        <v>2011</v>
      </c>
      <c r="K10" s="96" t="s">
        <v>73</v>
      </c>
      <c r="L10">
        <v>17</v>
      </c>
      <c r="M10" s="96" t="s">
        <v>276</v>
      </c>
      <c r="N10" t="s">
        <v>224</v>
      </c>
      <c r="O10" t="s">
        <v>280</v>
      </c>
      <c r="P10" t="s">
        <v>242</v>
      </c>
      <c r="Q10" t="s">
        <v>243</v>
      </c>
      <c r="R10" t="s">
        <v>244</v>
      </c>
      <c r="S10">
        <v>1</v>
      </c>
      <c r="T10" s="32" t="s">
        <v>265</v>
      </c>
      <c r="U10">
        <v>1</v>
      </c>
      <c r="V10" s="96" t="s">
        <v>230</v>
      </c>
      <c r="W10" s="96" t="s">
        <v>230</v>
      </c>
      <c r="X10" t="s">
        <v>245</v>
      </c>
      <c r="Y10" s="97">
        <v>0</v>
      </c>
      <c r="Z10" s="97">
        <v>1</v>
      </c>
      <c r="AA10" s="97">
        <v>1</v>
      </c>
      <c r="AB10" s="97">
        <v>0</v>
      </c>
      <c r="AC10" s="97">
        <v>0</v>
      </c>
      <c r="AD10" s="97">
        <v>0</v>
      </c>
      <c r="AE10" s="97">
        <v>0</v>
      </c>
      <c r="AF10" s="97">
        <v>0</v>
      </c>
      <c r="AG10" t="s">
        <v>284</v>
      </c>
      <c r="AH10" s="97">
        <v>0</v>
      </c>
      <c r="AI10" s="97">
        <v>0</v>
      </c>
      <c r="AJ10" s="97">
        <v>0</v>
      </c>
      <c r="AK10" s="97">
        <v>0</v>
      </c>
      <c r="AL10" s="97">
        <v>0</v>
      </c>
      <c r="AM10" s="97">
        <v>0</v>
      </c>
      <c r="AN10" s="97">
        <v>0</v>
      </c>
      <c r="AO10" s="97">
        <v>1</v>
      </c>
      <c r="AP10" s="97">
        <v>0</v>
      </c>
      <c r="AQ10" s="41" t="s">
        <v>282</v>
      </c>
      <c r="AR10" t="s">
        <v>234</v>
      </c>
      <c r="AS10" t="s">
        <v>283</v>
      </c>
      <c r="AT10" t="s">
        <v>73</v>
      </c>
      <c r="AU10" s="105">
        <v>0.159</v>
      </c>
      <c r="AV10" s="7" t="s">
        <v>80</v>
      </c>
      <c r="AW10" t="s">
        <v>73</v>
      </c>
      <c r="AX10">
        <v>0.05</v>
      </c>
      <c r="AY10">
        <v>1</v>
      </c>
      <c r="AZ10">
        <f>TINV(AX10,CC10)</f>
        <v>1.9645365010317388</v>
      </c>
      <c r="BA10" t="s">
        <v>73</v>
      </c>
      <c r="BC10" t="s">
        <v>73</v>
      </c>
      <c r="BD10" t="s">
        <v>73</v>
      </c>
      <c r="BE10" t="s">
        <v>73</v>
      </c>
      <c r="BF10" t="s">
        <v>73</v>
      </c>
      <c r="BG10" s="41">
        <v>524</v>
      </c>
      <c r="BH10" t="s">
        <v>73</v>
      </c>
      <c r="BI10" s="41">
        <v>522</v>
      </c>
      <c r="BJ10" s="41">
        <v>522</v>
      </c>
      <c r="BK10" t="s">
        <v>73</v>
      </c>
      <c r="BL10" t="s">
        <v>73</v>
      </c>
      <c r="BM10" s="97" t="s">
        <v>73</v>
      </c>
      <c r="BN10" s="97" t="s">
        <v>73</v>
      </c>
      <c r="BO10" s="97" t="s">
        <v>73</v>
      </c>
      <c r="BP10" s="97" t="s">
        <v>73</v>
      </c>
      <c r="BQ10" s="97" t="s">
        <v>73</v>
      </c>
      <c r="BR10">
        <v>1</v>
      </c>
      <c r="BS10" s="109" t="s">
        <v>73</v>
      </c>
      <c r="BT10" s="97" t="s">
        <v>249</v>
      </c>
      <c r="BU10" s="97">
        <v>0</v>
      </c>
      <c r="BV10" s="97">
        <v>0</v>
      </c>
      <c r="BW10" s="97">
        <v>1</v>
      </c>
      <c r="BX10" s="30">
        <f>((AZ10^2)/(AZ10^2+BI10))^(1/2)</f>
        <v>8.5669312189989619E-2</v>
      </c>
      <c r="BY10" s="30">
        <f>0.5*LN((1+BX10)/(1-BX10))</f>
        <v>8.5879822251689428E-2</v>
      </c>
      <c r="BZ10" s="30">
        <f>((1-(BY10^2)^2)/(BI10-1))</f>
        <v>1.9192813902165059E-3</v>
      </c>
      <c r="CA10" s="30">
        <f>1/(BI10-3)</f>
        <v>1.9267822736030828E-3</v>
      </c>
      <c r="CC10">
        <f>BI10-2</f>
        <v>520</v>
      </c>
      <c r="CE10" s="30">
        <f>((AZ10^2)/(AZ10^2+BJ10))^(1/2)</f>
        <v>8.5669312189989619E-2</v>
      </c>
      <c r="CF10" s="30">
        <f>0.5*LN((1+CE10)/(1-CE10))</f>
        <v>8.5879822251689428E-2</v>
      </c>
      <c r="CG10" s="30">
        <f>((1-(CF10^2)^2)/(BJ10-1))</f>
        <v>1.9192813902165059E-3</v>
      </c>
      <c r="CH10" s="30">
        <f>1/(BJ10-3)</f>
        <v>1.9267822736030828E-3</v>
      </c>
    </row>
    <row r="11" spans="1:86" ht="15.6">
      <c r="A11" t="s">
        <v>335</v>
      </c>
      <c r="C11" s="94">
        <v>1261</v>
      </c>
      <c r="D11" s="11">
        <v>405</v>
      </c>
      <c r="E11" t="s">
        <v>344</v>
      </c>
      <c r="F11" s="11">
        <v>2019</v>
      </c>
      <c r="G11" t="s">
        <v>345</v>
      </c>
      <c r="H11" t="s">
        <v>346</v>
      </c>
      <c r="I11" s="18">
        <v>2</v>
      </c>
      <c r="J11" t="s">
        <v>347</v>
      </c>
      <c r="K11" t="s">
        <v>73</v>
      </c>
      <c r="L11">
        <v>9</v>
      </c>
      <c r="M11" s="122" t="s">
        <v>348</v>
      </c>
      <c r="N11" t="s">
        <v>224</v>
      </c>
      <c r="O11" t="s">
        <v>349</v>
      </c>
      <c r="P11" s="18" t="s">
        <v>226</v>
      </c>
      <c r="Q11" t="s">
        <v>243</v>
      </c>
      <c r="R11" t="s">
        <v>244</v>
      </c>
      <c r="S11">
        <v>1</v>
      </c>
      <c r="T11" t="s">
        <v>229</v>
      </c>
      <c r="U11">
        <v>0</v>
      </c>
      <c r="V11" s="18" t="s">
        <v>230</v>
      </c>
      <c r="W11" s="18" t="s">
        <v>230</v>
      </c>
      <c r="X11" t="s">
        <v>73</v>
      </c>
      <c r="Y11" s="18">
        <v>0</v>
      </c>
      <c r="Z11" s="18">
        <v>1</v>
      </c>
      <c r="AA11" s="18">
        <v>0</v>
      </c>
      <c r="AB11" s="18">
        <v>0</v>
      </c>
      <c r="AC11" s="18">
        <v>0</v>
      </c>
      <c r="AD11" s="18">
        <v>0</v>
      </c>
      <c r="AE11" s="11">
        <v>0</v>
      </c>
      <c r="AF11" s="18">
        <v>0</v>
      </c>
      <c r="AG11" s="18" t="s">
        <v>350</v>
      </c>
      <c r="AH11" s="18">
        <v>1</v>
      </c>
      <c r="AI11" s="18">
        <v>0</v>
      </c>
      <c r="AJ11" s="18">
        <v>0</v>
      </c>
      <c r="AK11" s="18">
        <v>0</v>
      </c>
      <c r="AL11" s="18">
        <v>0</v>
      </c>
      <c r="AM11" s="18">
        <v>0</v>
      </c>
      <c r="AN11" s="18">
        <v>0</v>
      </c>
      <c r="AO11" s="18">
        <v>0</v>
      </c>
      <c r="AP11" s="18">
        <v>0</v>
      </c>
      <c r="AQ11" s="118" t="s">
        <v>351</v>
      </c>
      <c r="AR11" s="118" t="s">
        <v>234</v>
      </c>
      <c r="AS11" s="119" t="s">
        <v>351</v>
      </c>
      <c r="AT11" s="118" t="s">
        <v>73</v>
      </c>
      <c r="AU11" s="21">
        <v>0.66400000000000003</v>
      </c>
      <c r="AV11" s="7" t="s">
        <v>86</v>
      </c>
      <c r="AW11" t="s">
        <v>73</v>
      </c>
      <c r="AX11">
        <v>0.1</v>
      </c>
      <c r="AY11">
        <v>2</v>
      </c>
      <c r="AZ11">
        <f>TINV(AX11,CC11)</f>
        <v>1.647384517634447</v>
      </c>
      <c r="BA11" s="18" t="s">
        <v>73</v>
      </c>
      <c r="BB11" s="18"/>
      <c r="BC11" s="18" t="s">
        <v>73</v>
      </c>
      <c r="BD11" s="18" t="s">
        <v>73</v>
      </c>
      <c r="BE11" s="18" t="s">
        <v>73</v>
      </c>
      <c r="BF11" s="18" t="s">
        <v>73</v>
      </c>
      <c r="BG11" s="18" t="s">
        <v>73</v>
      </c>
      <c r="BH11" s="18" t="s">
        <v>73</v>
      </c>
      <c r="BI11">
        <v>605</v>
      </c>
      <c r="BJ11">
        <v>605</v>
      </c>
      <c r="BK11" s="18" t="s">
        <v>73</v>
      </c>
      <c r="BL11" s="18" t="s">
        <v>73</v>
      </c>
      <c r="BM11" s="18" t="s">
        <v>73</v>
      </c>
      <c r="BN11" s="18" t="s">
        <v>73</v>
      </c>
      <c r="BO11" s="11" t="s">
        <v>73</v>
      </c>
      <c r="BP11" s="11" t="s">
        <v>73</v>
      </c>
      <c r="BQ11" s="11" t="s">
        <v>73</v>
      </c>
      <c r="BR11" t="s">
        <v>73</v>
      </c>
      <c r="BS11" s="11" t="s">
        <v>73</v>
      </c>
      <c r="BT11" t="s">
        <v>73</v>
      </c>
      <c r="BU11">
        <v>0</v>
      </c>
      <c r="BV11">
        <v>1</v>
      </c>
      <c r="BW11">
        <v>0</v>
      </c>
      <c r="BX11" s="30">
        <f>((AZ11^2)/(AZ11^2+BI11))^(1/2)</f>
        <v>6.6825990375612127E-2</v>
      </c>
      <c r="BY11" s="30">
        <f>0.5*LN((1+BX11)/(1-BX11))</f>
        <v>6.692573299656196E-2</v>
      </c>
      <c r="BZ11" s="30">
        <f>((1-(BY11^2)^2)/(BI11-1))</f>
        <v>1.6555959239695694E-3</v>
      </c>
      <c r="CA11" s="30">
        <f>1/(BI11-3)</f>
        <v>1.6611295681063123E-3</v>
      </c>
      <c r="CC11">
        <f>BI11-2</f>
        <v>603</v>
      </c>
      <c r="CE11" s="30">
        <f>((AZ11^2)/(AZ11^2+BJ11))^(1/2)</f>
        <v>6.6825990375612127E-2</v>
      </c>
      <c r="CF11" s="30">
        <f>0.5*LN((1+CE11)/(1-CE11))</f>
        <v>6.692573299656196E-2</v>
      </c>
      <c r="CG11" s="30">
        <f>((1-(CF11^2)^2)/(BJ11-1))</f>
        <v>1.6555959239695694E-3</v>
      </c>
      <c r="CH11" s="30">
        <f>1/(BJ11-3)</f>
        <v>1.6611295681063123E-3</v>
      </c>
    </row>
    <row r="12" spans="1:86" ht="17.25" customHeight="1">
      <c r="A12" t="s">
        <v>335</v>
      </c>
      <c r="C12" s="94">
        <v>1262</v>
      </c>
      <c r="D12" s="11">
        <v>405</v>
      </c>
      <c r="E12" t="s">
        <v>344</v>
      </c>
      <c r="F12" s="11">
        <v>2019</v>
      </c>
      <c r="G12" t="s">
        <v>345</v>
      </c>
      <c r="H12" t="s">
        <v>346</v>
      </c>
      <c r="I12" s="18">
        <v>2</v>
      </c>
      <c r="J12" t="s">
        <v>347</v>
      </c>
      <c r="K12" t="s">
        <v>73</v>
      </c>
      <c r="L12">
        <v>9</v>
      </c>
      <c r="M12" s="122" t="s">
        <v>348</v>
      </c>
      <c r="N12" t="s">
        <v>224</v>
      </c>
      <c r="O12" t="s">
        <v>349</v>
      </c>
      <c r="P12" s="18" t="s">
        <v>226</v>
      </c>
      <c r="Q12" t="s">
        <v>243</v>
      </c>
      <c r="R12" t="s">
        <v>244</v>
      </c>
      <c r="S12">
        <v>1</v>
      </c>
      <c r="T12" t="s">
        <v>229</v>
      </c>
      <c r="U12">
        <v>0</v>
      </c>
      <c r="V12" s="18" t="s">
        <v>230</v>
      </c>
      <c r="W12" s="18" t="s">
        <v>230</v>
      </c>
      <c r="X12" t="s">
        <v>73</v>
      </c>
      <c r="Y12" s="18">
        <v>0</v>
      </c>
      <c r="Z12" s="18">
        <v>1</v>
      </c>
      <c r="AA12" s="18">
        <v>0</v>
      </c>
      <c r="AB12" s="18">
        <v>0</v>
      </c>
      <c r="AC12" s="18">
        <v>0</v>
      </c>
      <c r="AD12" s="18">
        <v>0</v>
      </c>
      <c r="AE12" s="11">
        <v>0</v>
      </c>
      <c r="AF12" s="18">
        <v>0</v>
      </c>
      <c r="AG12" s="18" t="s">
        <v>350</v>
      </c>
      <c r="AH12" s="18">
        <v>0</v>
      </c>
      <c r="AI12" s="18">
        <v>0</v>
      </c>
      <c r="AJ12" s="18">
        <v>0</v>
      </c>
      <c r="AK12" s="18">
        <v>0</v>
      </c>
      <c r="AL12" s="18">
        <v>0</v>
      </c>
      <c r="AM12" s="18">
        <v>0</v>
      </c>
      <c r="AN12" s="18">
        <v>0</v>
      </c>
      <c r="AO12" s="18">
        <v>1</v>
      </c>
      <c r="AP12" s="18">
        <v>0</v>
      </c>
      <c r="AQ12" s="118" t="s">
        <v>351</v>
      </c>
      <c r="AR12" s="118" t="s">
        <v>234</v>
      </c>
      <c r="AS12" s="119" t="s">
        <v>351</v>
      </c>
      <c r="AT12" s="118" t="s">
        <v>73</v>
      </c>
      <c r="AU12" s="21">
        <v>6.96</v>
      </c>
      <c r="AV12" s="7" t="s">
        <v>80</v>
      </c>
      <c r="AW12" s="94" t="s">
        <v>73</v>
      </c>
      <c r="AX12">
        <v>0.05</v>
      </c>
      <c r="AY12">
        <v>1</v>
      </c>
      <c r="AZ12">
        <f>TINV(AX12,CC12)</f>
        <v>1.9639058734740764</v>
      </c>
      <c r="BA12" s="18" t="s">
        <v>73</v>
      </c>
      <c r="BB12" s="18"/>
      <c r="BC12" s="18" t="s">
        <v>73</v>
      </c>
      <c r="BD12" s="18" t="s">
        <v>73</v>
      </c>
      <c r="BE12" s="18" t="s">
        <v>73</v>
      </c>
      <c r="BF12" s="18" t="s">
        <v>73</v>
      </c>
      <c r="BG12" s="18" t="s">
        <v>73</v>
      </c>
      <c r="BH12" s="18" t="s">
        <v>73</v>
      </c>
      <c r="BI12">
        <v>605</v>
      </c>
      <c r="BJ12">
        <v>605</v>
      </c>
      <c r="BK12" s="18" t="s">
        <v>73</v>
      </c>
      <c r="BL12" s="18" t="s">
        <v>73</v>
      </c>
      <c r="BM12" s="18" t="s">
        <v>73</v>
      </c>
      <c r="BN12" s="18" t="s">
        <v>73</v>
      </c>
      <c r="BO12" s="11" t="s">
        <v>73</v>
      </c>
      <c r="BP12" s="11" t="s">
        <v>73</v>
      </c>
      <c r="BQ12" s="11" t="s">
        <v>73</v>
      </c>
      <c r="BR12" t="s">
        <v>73</v>
      </c>
      <c r="BS12" s="11" t="s">
        <v>73</v>
      </c>
      <c r="BT12" t="s">
        <v>73</v>
      </c>
      <c r="BU12">
        <v>0</v>
      </c>
      <c r="BV12">
        <v>1</v>
      </c>
      <c r="BW12">
        <v>0</v>
      </c>
      <c r="BX12" s="30">
        <f>((AZ12^2)/(AZ12^2+BI12))^(1/2)</f>
        <v>7.959083180520346E-2</v>
      </c>
      <c r="BY12" s="30">
        <f>0.5*LN((1+BX12)/(1-BX12))</f>
        <v>7.9759534841727944E-2</v>
      </c>
      <c r="BZ12" s="30">
        <f>((1-(BY12^2)^2)/(BI12-1))</f>
        <v>1.6555621361865366E-3</v>
      </c>
      <c r="CA12" s="30">
        <f>1/(BI12-3)</f>
        <v>1.6611295681063123E-3</v>
      </c>
      <c r="CC12">
        <f>BI12-2</f>
        <v>603</v>
      </c>
      <c r="CE12" s="30">
        <f>((AZ12^2)/(AZ12^2+BJ12))^(1/2)</f>
        <v>7.959083180520346E-2</v>
      </c>
      <c r="CF12" s="30">
        <f>0.5*LN((1+CE12)/(1-CE12))</f>
        <v>7.9759534841727944E-2</v>
      </c>
      <c r="CG12" s="30">
        <f>((1-(CF12^2)^2)/(BJ12-1))</f>
        <v>1.6555621361865366E-3</v>
      </c>
      <c r="CH12" s="30">
        <f>1/(BJ12-3)</f>
        <v>1.6611295681063123E-3</v>
      </c>
    </row>
    <row r="13" spans="1:86" ht="19.5" customHeight="1">
      <c r="A13" t="s">
        <v>335</v>
      </c>
      <c r="C13" s="94">
        <v>1263</v>
      </c>
      <c r="D13" s="11">
        <v>405</v>
      </c>
      <c r="E13" t="s">
        <v>344</v>
      </c>
      <c r="F13" s="11">
        <v>2019</v>
      </c>
      <c r="G13" t="s">
        <v>345</v>
      </c>
      <c r="H13" t="s">
        <v>346</v>
      </c>
      <c r="I13" s="18">
        <v>2</v>
      </c>
      <c r="J13" t="s">
        <v>347</v>
      </c>
      <c r="K13" t="s">
        <v>73</v>
      </c>
      <c r="L13">
        <v>9</v>
      </c>
      <c r="M13" s="122" t="s">
        <v>348</v>
      </c>
      <c r="N13" t="s">
        <v>224</v>
      </c>
      <c r="O13" t="s">
        <v>349</v>
      </c>
      <c r="P13" s="18" t="s">
        <v>226</v>
      </c>
      <c r="Q13" t="s">
        <v>243</v>
      </c>
      <c r="R13" t="s">
        <v>244</v>
      </c>
      <c r="S13">
        <v>1</v>
      </c>
      <c r="T13" t="s">
        <v>229</v>
      </c>
      <c r="U13">
        <v>0</v>
      </c>
      <c r="V13" s="18" t="s">
        <v>230</v>
      </c>
      <c r="W13" s="18" t="s">
        <v>230</v>
      </c>
      <c r="X13" t="s">
        <v>73</v>
      </c>
      <c r="Y13" s="18">
        <v>0</v>
      </c>
      <c r="Z13" s="18">
        <v>1</v>
      </c>
      <c r="AA13" s="18">
        <v>0</v>
      </c>
      <c r="AB13" s="18">
        <v>0</v>
      </c>
      <c r="AC13" s="18">
        <v>0</v>
      </c>
      <c r="AD13" s="18">
        <v>0</v>
      </c>
      <c r="AE13" s="11">
        <v>0</v>
      </c>
      <c r="AF13" s="18">
        <v>0</v>
      </c>
      <c r="AG13" s="18" t="s">
        <v>350</v>
      </c>
      <c r="AH13" s="18">
        <v>0</v>
      </c>
      <c r="AI13" s="18">
        <v>0</v>
      </c>
      <c r="AJ13" s="18">
        <v>0</v>
      </c>
      <c r="AK13" s="18">
        <v>0</v>
      </c>
      <c r="AL13" s="18">
        <v>0</v>
      </c>
      <c r="AM13" s="18">
        <v>0</v>
      </c>
      <c r="AN13" s="18">
        <v>0</v>
      </c>
      <c r="AO13" s="18">
        <v>0</v>
      </c>
      <c r="AP13" s="18">
        <v>1</v>
      </c>
      <c r="AQ13" s="118" t="s">
        <v>351</v>
      </c>
      <c r="AR13" s="118" t="s">
        <v>234</v>
      </c>
      <c r="AS13" s="119" t="s">
        <v>351</v>
      </c>
      <c r="AT13" s="118" t="s">
        <v>73</v>
      </c>
      <c r="AU13" s="21">
        <v>1.591</v>
      </c>
      <c r="AV13" s="7" t="s">
        <v>80</v>
      </c>
      <c r="AW13" s="94" t="s">
        <v>73</v>
      </c>
      <c r="AX13">
        <v>0.1</v>
      </c>
      <c r="AY13">
        <v>2</v>
      </c>
      <c r="AZ13">
        <f>TINV(AX13,CC13)</f>
        <v>1.647384517634447</v>
      </c>
      <c r="BA13" s="18" t="s">
        <v>73</v>
      </c>
      <c r="BB13" s="18"/>
      <c r="BC13" s="18" t="s">
        <v>73</v>
      </c>
      <c r="BD13" s="18" t="s">
        <v>73</v>
      </c>
      <c r="BE13" s="18" t="s">
        <v>73</v>
      </c>
      <c r="BF13" s="18" t="s">
        <v>73</v>
      </c>
      <c r="BG13" s="18" t="s">
        <v>73</v>
      </c>
      <c r="BH13" s="18" t="s">
        <v>73</v>
      </c>
      <c r="BI13">
        <v>605</v>
      </c>
      <c r="BJ13">
        <v>605</v>
      </c>
      <c r="BK13" s="18" t="s">
        <v>73</v>
      </c>
      <c r="BL13" s="18" t="s">
        <v>73</v>
      </c>
      <c r="BM13" s="18" t="s">
        <v>73</v>
      </c>
      <c r="BN13" s="18" t="s">
        <v>73</v>
      </c>
      <c r="BO13" s="11" t="s">
        <v>73</v>
      </c>
      <c r="BP13" s="11" t="s">
        <v>73</v>
      </c>
      <c r="BQ13" s="11" t="s">
        <v>73</v>
      </c>
      <c r="BR13" t="s">
        <v>73</v>
      </c>
      <c r="BS13" s="11" t="s">
        <v>73</v>
      </c>
      <c r="BT13" t="s">
        <v>73</v>
      </c>
      <c r="BU13">
        <v>0</v>
      </c>
      <c r="BV13">
        <v>1</v>
      </c>
      <c r="BW13">
        <v>0</v>
      </c>
      <c r="BX13" s="30">
        <f>((AZ13^2)/(AZ13^2+BI13))^(1/2)</f>
        <v>6.6825990375612127E-2</v>
      </c>
      <c r="BY13" s="30">
        <f>0.5*LN((1+BX13)/(1-BX13))</f>
        <v>6.692573299656196E-2</v>
      </c>
      <c r="BZ13" s="30">
        <f>((1-(BY13^2)^2)/(BI13-1))</f>
        <v>1.6555959239695694E-3</v>
      </c>
      <c r="CA13" s="30">
        <f>1/(BI13-3)</f>
        <v>1.6611295681063123E-3</v>
      </c>
      <c r="CC13">
        <f>BI13-2</f>
        <v>603</v>
      </c>
      <c r="CE13" s="30">
        <f>((AZ13^2)/(AZ13^2+BJ13))^(1/2)</f>
        <v>6.6825990375612127E-2</v>
      </c>
      <c r="CF13" s="30">
        <f>0.5*LN((1+CE13)/(1-CE13))</f>
        <v>6.692573299656196E-2</v>
      </c>
      <c r="CG13" s="30">
        <f>((1-(CF13^2)^2)/(BJ13-1))</f>
        <v>1.6555959239695694E-3</v>
      </c>
      <c r="CH13" s="30">
        <f>1/(BJ13-3)</f>
        <v>1.6611295681063123E-3</v>
      </c>
    </row>
    <row r="14" spans="1:86" ht="19.5" customHeight="1">
      <c r="A14" t="s">
        <v>335</v>
      </c>
      <c r="C14" s="94">
        <v>1264</v>
      </c>
      <c r="D14" s="11">
        <v>405</v>
      </c>
      <c r="E14" t="s">
        <v>344</v>
      </c>
      <c r="F14" s="11">
        <v>2019</v>
      </c>
      <c r="G14" t="s">
        <v>345</v>
      </c>
      <c r="H14" t="s">
        <v>346</v>
      </c>
      <c r="I14" s="18">
        <v>2</v>
      </c>
      <c r="J14" t="s">
        <v>347</v>
      </c>
      <c r="K14" t="s">
        <v>73</v>
      </c>
      <c r="L14">
        <v>9</v>
      </c>
      <c r="M14" s="122" t="s">
        <v>348</v>
      </c>
      <c r="N14" t="s">
        <v>224</v>
      </c>
      <c r="O14" t="s">
        <v>349</v>
      </c>
      <c r="P14" s="18" t="s">
        <v>226</v>
      </c>
      <c r="Q14" t="s">
        <v>243</v>
      </c>
      <c r="R14" t="s">
        <v>244</v>
      </c>
      <c r="S14">
        <v>1</v>
      </c>
      <c r="T14" t="s">
        <v>229</v>
      </c>
      <c r="U14">
        <v>0</v>
      </c>
      <c r="V14" s="18" t="s">
        <v>230</v>
      </c>
      <c r="W14" s="18" t="s">
        <v>230</v>
      </c>
      <c r="X14" t="s">
        <v>73</v>
      </c>
      <c r="Y14" s="18">
        <v>0</v>
      </c>
      <c r="Z14" s="18">
        <v>1</v>
      </c>
      <c r="AA14" s="18">
        <v>0</v>
      </c>
      <c r="AB14" s="18">
        <v>0</v>
      </c>
      <c r="AC14" s="18">
        <v>0</v>
      </c>
      <c r="AD14" s="18">
        <v>0</v>
      </c>
      <c r="AE14" s="11">
        <v>0</v>
      </c>
      <c r="AF14" s="18">
        <v>0</v>
      </c>
      <c r="AG14" s="18" t="s">
        <v>350</v>
      </c>
      <c r="AH14" s="18">
        <v>0</v>
      </c>
      <c r="AI14" s="18">
        <v>0</v>
      </c>
      <c r="AJ14" s="18">
        <v>0</v>
      </c>
      <c r="AK14" s="18">
        <v>0</v>
      </c>
      <c r="AL14" s="18">
        <v>0</v>
      </c>
      <c r="AM14" s="18">
        <v>1</v>
      </c>
      <c r="AN14" s="18">
        <v>0</v>
      </c>
      <c r="AO14" s="18">
        <v>0</v>
      </c>
      <c r="AP14" s="18">
        <v>0</v>
      </c>
      <c r="AQ14" s="118" t="s">
        <v>351</v>
      </c>
      <c r="AR14" s="118" t="s">
        <v>234</v>
      </c>
      <c r="AS14" s="119" t="s">
        <v>351</v>
      </c>
      <c r="AT14" s="118" t="s">
        <v>73</v>
      </c>
      <c r="AU14" s="21">
        <v>1.585</v>
      </c>
      <c r="AV14" s="7" t="s">
        <v>80</v>
      </c>
      <c r="AW14" s="94" t="s">
        <v>73</v>
      </c>
      <c r="AX14">
        <v>0.01</v>
      </c>
      <c r="AY14">
        <v>1</v>
      </c>
      <c r="AZ14">
        <f>TINV(AX14,CC14)</f>
        <v>2.5840071350575324</v>
      </c>
      <c r="BA14" s="18" t="s">
        <v>73</v>
      </c>
      <c r="BB14" s="18"/>
      <c r="BC14" s="18" t="s">
        <v>73</v>
      </c>
      <c r="BD14" s="18" t="s">
        <v>73</v>
      </c>
      <c r="BE14" s="18" t="s">
        <v>73</v>
      </c>
      <c r="BF14" s="18" t="s">
        <v>73</v>
      </c>
      <c r="BG14" s="18" t="s">
        <v>73</v>
      </c>
      <c r="BH14" s="18" t="s">
        <v>73</v>
      </c>
      <c r="BI14">
        <v>605</v>
      </c>
      <c r="BJ14">
        <v>605</v>
      </c>
      <c r="BK14" s="18" t="s">
        <v>73</v>
      </c>
      <c r="BL14" s="18" t="s">
        <v>73</v>
      </c>
      <c r="BM14" s="18" t="s">
        <v>73</v>
      </c>
      <c r="BN14" s="18" t="s">
        <v>73</v>
      </c>
      <c r="BO14" s="11" t="s">
        <v>73</v>
      </c>
      <c r="BP14" s="11" t="s">
        <v>73</v>
      </c>
      <c r="BQ14" s="11" t="s">
        <v>73</v>
      </c>
      <c r="BR14" t="s">
        <v>73</v>
      </c>
      <c r="BS14" s="11" t="s">
        <v>73</v>
      </c>
      <c r="BT14" t="s">
        <v>73</v>
      </c>
      <c r="BU14">
        <v>0</v>
      </c>
      <c r="BV14">
        <v>1</v>
      </c>
      <c r="BW14">
        <v>0</v>
      </c>
      <c r="BX14" s="30">
        <f>((AZ14^2)/(AZ14^2+BI14))^(1/2)</f>
        <v>0.10447986438429385</v>
      </c>
      <c r="BY14" s="30">
        <f>0.5*LN((1+BX14)/(1-BX14))</f>
        <v>0.10486254279362485</v>
      </c>
      <c r="BZ14" s="30">
        <f>((1-(BY14^2)^2)/(BI14-1))</f>
        <v>1.6554289480493617E-3</v>
      </c>
      <c r="CA14" s="30">
        <f>1/(BI14-3)</f>
        <v>1.6611295681063123E-3</v>
      </c>
      <c r="CC14">
        <f>BI14-2</f>
        <v>603</v>
      </c>
      <c r="CE14" s="30">
        <f>((AZ14^2)/(AZ14^2+BJ14))^(1/2)</f>
        <v>0.10447986438429385</v>
      </c>
      <c r="CF14" s="30">
        <f>0.5*LN((1+CE14)/(1-CE14))</f>
        <v>0.10486254279362485</v>
      </c>
      <c r="CG14" s="30">
        <f>((1-(CF14^2)^2)/(BJ14-1))</f>
        <v>1.6554289480493617E-3</v>
      </c>
      <c r="CH14" s="30">
        <f>1/(BJ14-3)</f>
        <v>1.6611295681063123E-3</v>
      </c>
    </row>
    <row r="15" spans="1:86" ht="15.6">
      <c r="A15" t="s">
        <v>335</v>
      </c>
      <c r="C15" s="94">
        <v>1265</v>
      </c>
      <c r="D15" s="11">
        <v>405</v>
      </c>
      <c r="E15" t="s">
        <v>344</v>
      </c>
      <c r="F15" s="11">
        <v>2019</v>
      </c>
      <c r="G15" t="s">
        <v>345</v>
      </c>
      <c r="H15" t="s">
        <v>346</v>
      </c>
      <c r="I15" s="18">
        <v>2</v>
      </c>
      <c r="J15" t="s">
        <v>347</v>
      </c>
      <c r="K15" t="s">
        <v>73</v>
      </c>
      <c r="L15">
        <v>9</v>
      </c>
      <c r="M15" s="122" t="s">
        <v>348</v>
      </c>
      <c r="N15" t="s">
        <v>224</v>
      </c>
      <c r="O15" t="s">
        <v>349</v>
      </c>
      <c r="P15" s="18" t="s">
        <v>226</v>
      </c>
      <c r="Q15" t="s">
        <v>243</v>
      </c>
      <c r="R15" t="s">
        <v>244</v>
      </c>
      <c r="S15">
        <v>1</v>
      </c>
      <c r="T15" t="s">
        <v>229</v>
      </c>
      <c r="U15">
        <v>0</v>
      </c>
      <c r="V15" s="18" t="s">
        <v>230</v>
      </c>
      <c r="W15" s="18" t="s">
        <v>230</v>
      </c>
      <c r="X15" t="s">
        <v>73</v>
      </c>
      <c r="Y15" s="18">
        <v>0</v>
      </c>
      <c r="Z15" s="18">
        <v>1</v>
      </c>
      <c r="AA15" s="18">
        <v>0</v>
      </c>
      <c r="AB15" s="18">
        <v>0</v>
      </c>
      <c r="AC15" s="18">
        <v>0</v>
      </c>
      <c r="AD15" s="18">
        <v>0</v>
      </c>
      <c r="AE15" s="11">
        <v>0</v>
      </c>
      <c r="AF15" s="18">
        <v>0</v>
      </c>
      <c r="AG15" s="18" t="s">
        <v>350</v>
      </c>
      <c r="AH15" s="18">
        <v>0</v>
      </c>
      <c r="AI15" s="18">
        <v>0</v>
      </c>
      <c r="AJ15" s="18">
        <v>0</v>
      </c>
      <c r="AK15" s="18">
        <v>1</v>
      </c>
      <c r="AL15" s="18">
        <v>0</v>
      </c>
      <c r="AM15" s="18">
        <v>0</v>
      </c>
      <c r="AN15" s="18">
        <v>0</v>
      </c>
      <c r="AO15" s="18">
        <v>0</v>
      </c>
      <c r="AP15" s="18">
        <v>0</v>
      </c>
      <c r="AQ15" s="118" t="s">
        <v>351</v>
      </c>
      <c r="AR15" s="118" t="s">
        <v>234</v>
      </c>
      <c r="AS15" s="119" t="s">
        <v>351</v>
      </c>
      <c r="AT15" s="118" t="s">
        <v>73</v>
      </c>
      <c r="AU15" s="21">
        <v>1.7</v>
      </c>
      <c r="AV15" s="7" t="s">
        <v>86</v>
      </c>
      <c r="AW15" s="94" t="s">
        <v>73</v>
      </c>
      <c r="AX15">
        <v>0.1</v>
      </c>
      <c r="AY15">
        <v>2</v>
      </c>
      <c r="AZ15">
        <f>TINV(AX15,CC15)</f>
        <v>1.647384517634447</v>
      </c>
      <c r="BA15" s="18" t="s">
        <v>73</v>
      </c>
      <c r="BB15" s="18"/>
      <c r="BC15" s="18" t="s">
        <v>73</v>
      </c>
      <c r="BD15" s="18" t="s">
        <v>73</v>
      </c>
      <c r="BE15" s="18" t="s">
        <v>73</v>
      </c>
      <c r="BF15" s="18" t="s">
        <v>73</v>
      </c>
      <c r="BG15" s="18" t="s">
        <v>73</v>
      </c>
      <c r="BH15" s="18" t="s">
        <v>73</v>
      </c>
      <c r="BI15">
        <v>605</v>
      </c>
      <c r="BJ15">
        <v>605</v>
      </c>
      <c r="BK15" s="18" t="s">
        <v>73</v>
      </c>
      <c r="BL15" s="18" t="s">
        <v>73</v>
      </c>
      <c r="BM15" s="18" t="s">
        <v>73</v>
      </c>
      <c r="BN15" s="18" t="s">
        <v>73</v>
      </c>
      <c r="BO15" s="11" t="s">
        <v>73</v>
      </c>
      <c r="BP15" s="11" t="s">
        <v>73</v>
      </c>
      <c r="BQ15" s="11" t="s">
        <v>73</v>
      </c>
      <c r="BR15" t="s">
        <v>73</v>
      </c>
      <c r="BS15" s="11" t="s">
        <v>73</v>
      </c>
      <c r="BT15" t="s">
        <v>73</v>
      </c>
      <c r="BU15">
        <v>0</v>
      </c>
      <c r="BV15">
        <v>1</v>
      </c>
      <c r="BW15">
        <v>0</v>
      </c>
      <c r="BX15" s="30">
        <f>((AZ15^2)/(AZ15^2+BI15))^(1/2)</f>
        <v>6.6825990375612127E-2</v>
      </c>
      <c r="BY15" s="30">
        <f>0.5*LN((1+BX15)/(1-BX15))</f>
        <v>6.692573299656196E-2</v>
      </c>
      <c r="BZ15" s="30">
        <f>((1-(BY15^2)^2)/(BI15-1))</f>
        <v>1.6555959239695694E-3</v>
      </c>
      <c r="CA15" s="30">
        <f>1/(BI15-3)</f>
        <v>1.6611295681063123E-3</v>
      </c>
      <c r="CC15">
        <f>BI15-2</f>
        <v>603</v>
      </c>
      <c r="CE15" s="30">
        <f>((AZ15^2)/(AZ15^2+BJ15))^(1/2)</f>
        <v>6.6825990375612127E-2</v>
      </c>
      <c r="CF15" s="30">
        <f>0.5*LN((1+CE15)/(1-CE15))</f>
        <v>6.692573299656196E-2</v>
      </c>
      <c r="CG15" s="30">
        <f>((1-(CF15^2)^2)/(BJ15-1))</f>
        <v>1.6555959239695694E-3</v>
      </c>
      <c r="CH15" s="30">
        <f>1/(BJ15-3)</f>
        <v>1.6611295681063123E-3</v>
      </c>
    </row>
    <row r="16" spans="1:86" ht="15.6">
      <c r="A16" t="s">
        <v>335</v>
      </c>
      <c r="C16" s="94">
        <v>1266</v>
      </c>
      <c r="D16" s="11">
        <v>406</v>
      </c>
      <c r="E16" t="s">
        <v>352</v>
      </c>
      <c r="F16" s="11">
        <v>2019</v>
      </c>
      <c r="G16" t="s">
        <v>353</v>
      </c>
      <c r="H16" t="s">
        <v>354</v>
      </c>
      <c r="I16" s="18">
        <v>2</v>
      </c>
      <c r="J16" t="s">
        <v>73</v>
      </c>
      <c r="K16" t="s">
        <v>73</v>
      </c>
      <c r="L16">
        <v>31</v>
      </c>
      <c r="M16" s="18" t="s">
        <v>155</v>
      </c>
      <c r="N16" t="s">
        <v>224</v>
      </c>
      <c r="O16" t="s">
        <v>355</v>
      </c>
      <c r="P16" s="18" t="s">
        <v>226</v>
      </c>
      <c r="Q16" t="s">
        <v>243</v>
      </c>
      <c r="R16" t="s">
        <v>259</v>
      </c>
      <c r="S16">
        <v>1</v>
      </c>
      <c r="T16" t="s">
        <v>229</v>
      </c>
      <c r="U16">
        <v>1</v>
      </c>
      <c r="V16" s="18" t="s">
        <v>314</v>
      </c>
      <c r="W16" s="18" t="s">
        <v>230</v>
      </c>
      <c r="X16" t="s">
        <v>356</v>
      </c>
      <c r="Y16" s="18">
        <v>0</v>
      </c>
      <c r="Z16" s="18">
        <v>1</v>
      </c>
      <c r="AA16" s="18">
        <v>1</v>
      </c>
      <c r="AB16" s="18">
        <v>0</v>
      </c>
      <c r="AC16" s="18">
        <v>0</v>
      </c>
      <c r="AD16" s="18">
        <v>0</v>
      </c>
      <c r="AE16" s="11">
        <v>0</v>
      </c>
      <c r="AF16" s="18">
        <v>0</v>
      </c>
      <c r="AG16" t="s">
        <v>73</v>
      </c>
      <c r="AH16" s="18">
        <v>0</v>
      </c>
      <c r="AI16" s="18">
        <v>0</v>
      </c>
      <c r="AJ16" s="18">
        <v>1</v>
      </c>
      <c r="AK16" s="18">
        <v>0</v>
      </c>
      <c r="AL16" s="18">
        <v>0</v>
      </c>
      <c r="AM16" s="18">
        <v>0</v>
      </c>
      <c r="AN16" s="18">
        <v>0</v>
      </c>
      <c r="AO16" s="18">
        <v>0</v>
      </c>
      <c r="AP16" s="18">
        <v>0</v>
      </c>
      <c r="AQ16" s="118" t="s">
        <v>333</v>
      </c>
      <c r="AR16" s="119" t="s">
        <v>234</v>
      </c>
      <c r="AS16" s="119" t="s">
        <v>333</v>
      </c>
      <c r="AT16" s="119" t="s">
        <v>334</v>
      </c>
      <c r="AU16" s="21">
        <v>1.6379999999999999</v>
      </c>
      <c r="AV16" s="7" t="s">
        <v>80</v>
      </c>
      <c r="AW16" t="s">
        <v>73</v>
      </c>
      <c r="AX16">
        <v>0.01</v>
      </c>
      <c r="AY16">
        <v>1</v>
      </c>
      <c r="AZ16">
        <f>TINV(AX16,CC16)</f>
        <v>2.6063275150437986</v>
      </c>
      <c r="BA16" s="18" t="s">
        <v>73</v>
      </c>
      <c r="BB16" s="18"/>
      <c r="BC16" s="18" t="s">
        <v>73</v>
      </c>
      <c r="BD16" s="18" t="s">
        <v>73</v>
      </c>
      <c r="BE16" s="18" t="s">
        <v>73</v>
      </c>
      <c r="BF16" s="18" t="s">
        <v>73</v>
      </c>
      <c r="BG16" s="18" t="s">
        <v>73</v>
      </c>
      <c r="BH16" s="18" t="s">
        <v>73</v>
      </c>
      <c r="BI16">
        <v>165</v>
      </c>
      <c r="BJ16">
        <v>2673</v>
      </c>
      <c r="BK16" s="18" t="s">
        <v>73</v>
      </c>
      <c r="BL16" s="18" t="s">
        <v>73</v>
      </c>
      <c r="BM16" s="18" t="s">
        <v>73</v>
      </c>
      <c r="BN16" s="18" t="s">
        <v>73</v>
      </c>
      <c r="BO16" s="11" t="s">
        <v>73</v>
      </c>
      <c r="BP16" s="11" t="s">
        <v>73</v>
      </c>
      <c r="BQ16" s="11" t="s">
        <v>73</v>
      </c>
      <c r="BR16" t="s">
        <v>73</v>
      </c>
      <c r="BS16" s="11" t="s">
        <v>73</v>
      </c>
      <c r="BT16" t="s">
        <v>73</v>
      </c>
      <c r="BU16">
        <v>0</v>
      </c>
      <c r="BV16">
        <v>0</v>
      </c>
      <c r="BW16">
        <v>0</v>
      </c>
      <c r="BX16" s="103">
        <f>((AZ16^2)/(AZ16^2+BI16))^(1/2)</f>
        <v>0.19885033588999154</v>
      </c>
      <c r="BY16" s="103">
        <f>0.5*LN((1+BX16)/(1-BX16))</f>
        <v>0.20153527346528599</v>
      </c>
      <c r="BZ16" s="103">
        <f>((1-(BY16^2)^2)/(BI16-1))</f>
        <v>6.0875018454454692E-3</v>
      </c>
      <c r="CA16" s="95">
        <f>1/(BI16-3)</f>
        <v>6.1728395061728392E-3</v>
      </c>
      <c r="CC16">
        <f>BI16-2</f>
        <v>163</v>
      </c>
      <c r="CE16" s="30">
        <f>((AZ16^2)/(AZ16^2+BJ16))^(1/2)</f>
        <v>5.0347553184348748E-2</v>
      </c>
      <c r="CF16" s="30">
        <f>0.5*LN((1+CE16)/(1-CE16))</f>
        <v>5.0390159607631088E-2</v>
      </c>
      <c r="CG16" s="30">
        <f>((1-(CF16^2)^2)/(BJ16-1))</f>
        <v>3.7424908406621514E-4</v>
      </c>
      <c r="CH16" s="30">
        <f>1/(BJ16-3)</f>
        <v>3.7453183520599252E-4</v>
      </c>
    </row>
    <row r="17" spans="1:86" ht="15.6">
      <c r="A17" t="s">
        <v>335</v>
      </c>
      <c r="C17" s="94">
        <v>1267</v>
      </c>
      <c r="D17" s="11">
        <v>406</v>
      </c>
      <c r="E17" t="s">
        <v>352</v>
      </c>
      <c r="F17" s="11">
        <v>2019</v>
      </c>
      <c r="G17" t="s">
        <v>353</v>
      </c>
      <c r="H17" t="s">
        <v>354</v>
      </c>
      <c r="I17" s="18">
        <v>2</v>
      </c>
      <c r="J17" t="s">
        <v>73</v>
      </c>
      <c r="K17" t="s">
        <v>73</v>
      </c>
      <c r="L17">
        <v>31</v>
      </c>
      <c r="M17" s="18" t="s">
        <v>155</v>
      </c>
      <c r="N17" t="s">
        <v>224</v>
      </c>
      <c r="O17" t="s">
        <v>355</v>
      </c>
      <c r="P17" s="18" t="s">
        <v>226</v>
      </c>
      <c r="Q17" t="s">
        <v>243</v>
      </c>
      <c r="R17" t="s">
        <v>259</v>
      </c>
      <c r="S17">
        <v>1</v>
      </c>
      <c r="T17" t="s">
        <v>229</v>
      </c>
      <c r="U17">
        <v>1</v>
      </c>
      <c r="V17" s="18" t="s">
        <v>314</v>
      </c>
      <c r="W17" s="18" t="s">
        <v>230</v>
      </c>
      <c r="X17" t="s">
        <v>356</v>
      </c>
      <c r="Y17" s="18">
        <v>0</v>
      </c>
      <c r="Z17" s="18">
        <v>1</v>
      </c>
      <c r="AA17" s="18">
        <v>1</v>
      </c>
      <c r="AB17" s="18">
        <v>0</v>
      </c>
      <c r="AC17" s="18">
        <v>0</v>
      </c>
      <c r="AD17" s="18">
        <v>0</v>
      </c>
      <c r="AE17" s="11">
        <v>0</v>
      </c>
      <c r="AF17" s="18">
        <v>0</v>
      </c>
      <c r="AG17" t="s">
        <v>73</v>
      </c>
      <c r="AH17" s="18">
        <v>0</v>
      </c>
      <c r="AI17" s="18">
        <v>0</v>
      </c>
      <c r="AJ17" s="18">
        <v>1</v>
      </c>
      <c r="AK17" s="18">
        <v>0</v>
      </c>
      <c r="AL17" s="18">
        <v>0</v>
      </c>
      <c r="AM17" s="18">
        <v>0</v>
      </c>
      <c r="AN17" s="18">
        <v>0</v>
      </c>
      <c r="AO17" s="18">
        <v>0</v>
      </c>
      <c r="AP17" s="18">
        <v>0</v>
      </c>
      <c r="AQ17" s="118" t="s">
        <v>333</v>
      </c>
      <c r="AR17" s="119" t="s">
        <v>234</v>
      </c>
      <c r="AS17" s="119" t="s">
        <v>333</v>
      </c>
      <c r="AT17" s="119" t="s">
        <v>334</v>
      </c>
      <c r="AU17" s="21">
        <v>1.246</v>
      </c>
      <c r="AV17" s="7" t="s">
        <v>80</v>
      </c>
      <c r="AW17" s="94" t="s">
        <v>73</v>
      </c>
      <c r="AX17">
        <v>0.05</v>
      </c>
      <c r="AY17">
        <v>1</v>
      </c>
      <c r="AZ17">
        <f>TINV(AX17,CC17)</f>
        <v>1.974624620966356</v>
      </c>
      <c r="BA17" s="18" t="s">
        <v>73</v>
      </c>
      <c r="BB17" s="18"/>
      <c r="BC17" s="18" t="s">
        <v>73</v>
      </c>
      <c r="BD17" s="18" t="s">
        <v>73</v>
      </c>
      <c r="BE17" s="18" t="s">
        <v>73</v>
      </c>
      <c r="BF17" s="18" t="s">
        <v>73</v>
      </c>
      <c r="BG17" s="18" t="s">
        <v>73</v>
      </c>
      <c r="BH17" s="18" t="s">
        <v>73</v>
      </c>
      <c r="BI17">
        <v>165</v>
      </c>
      <c r="BJ17">
        <v>2232</v>
      </c>
      <c r="BK17" s="18" t="s">
        <v>73</v>
      </c>
      <c r="BL17" s="18" t="s">
        <v>73</v>
      </c>
      <c r="BM17" s="18" t="s">
        <v>73</v>
      </c>
      <c r="BN17" s="18" t="s">
        <v>73</v>
      </c>
      <c r="BO17" s="11" t="s">
        <v>73</v>
      </c>
      <c r="BP17" s="11" t="s">
        <v>73</v>
      </c>
      <c r="BQ17" s="11" t="s">
        <v>73</v>
      </c>
      <c r="BR17" t="s">
        <v>73</v>
      </c>
      <c r="BS17" s="11" t="s">
        <v>73</v>
      </c>
      <c r="BT17" t="s">
        <v>73</v>
      </c>
      <c r="BU17">
        <v>0</v>
      </c>
      <c r="BV17">
        <v>0</v>
      </c>
      <c r="BW17">
        <v>0</v>
      </c>
      <c r="BX17" s="103">
        <f>((AZ17^2)/(AZ17^2+BI17))^(1/2)</f>
        <v>0.15193954642337751</v>
      </c>
      <c r="BY17" s="103">
        <f>0.5*LN((1+BX17)/(1-BX17))</f>
        <v>0.15312521998491627</v>
      </c>
      <c r="BZ17" s="103">
        <f>((1-(BY17^2)^2)/(BI17-1))</f>
        <v>6.0942086742402533E-3</v>
      </c>
      <c r="CA17" s="95">
        <f>1/(BI17-3)</f>
        <v>6.1728395061728392E-3</v>
      </c>
      <c r="CC17">
        <f>BI17-2</f>
        <v>163</v>
      </c>
      <c r="CE17" s="30">
        <f>((AZ17^2)/(AZ17^2+BJ17))^(1/2)</f>
        <v>4.1759803179979682E-2</v>
      </c>
      <c r="CF17" s="30">
        <f>0.5*LN((1+CE17)/(1-CE17))</f>
        <v>4.1784103322347603E-2</v>
      </c>
      <c r="CG17" s="30">
        <f>((1-(CF17^2)^2)/(BJ17-1))</f>
        <v>4.4822812720473595E-4</v>
      </c>
      <c r="CH17" s="30">
        <f>1/(BJ17-3)</f>
        <v>4.4863167339614175E-4</v>
      </c>
    </row>
    <row r="18" spans="1:86" ht="15.6">
      <c r="A18" t="s">
        <v>335</v>
      </c>
      <c r="C18" s="94">
        <v>1268</v>
      </c>
      <c r="D18" s="11">
        <v>406</v>
      </c>
      <c r="E18" t="s">
        <v>352</v>
      </c>
      <c r="F18" s="11">
        <v>2019</v>
      </c>
      <c r="G18" t="s">
        <v>353</v>
      </c>
      <c r="H18" t="s">
        <v>354</v>
      </c>
      <c r="I18" s="18">
        <v>2</v>
      </c>
      <c r="J18" t="s">
        <v>73</v>
      </c>
      <c r="K18" t="s">
        <v>73</v>
      </c>
      <c r="L18">
        <v>31</v>
      </c>
      <c r="M18" s="18" t="s">
        <v>155</v>
      </c>
      <c r="N18" t="s">
        <v>224</v>
      </c>
      <c r="O18" t="s">
        <v>355</v>
      </c>
      <c r="P18" s="18" t="s">
        <v>226</v>
      </c>
      <c r="Q18" t="s">
        <v>243</v>
      </c>
      <c r="R18" t="s">
        <v>259</v>
      </c>
      <c r="S18">
        <v>1</v>
      </c>
      <c r="T18" t="s">
        <v>229</v>
      </c>
      <c r="U18">
        <v>1</v>
      </c>
      <c r="V18" s="18" t="s">
        <v>314</v>
      </c>
      <c r="W18" s="18" t="s">
        <v>230</v>
      </c>
      <c r="X18" t="s">
        <v>356</v>
      </c>
      <c r="Y18" s="18">
        <v>0</v>
      </c>
      <c r="Z18" s="18">
        <v>1</v>
      </c>
      <c r="AA18" s="18">
        <v>1</v>
      </c>
      <c r="AB18" s="18">
        <v>0</v>
      </c>
      <c r="AC18" s="18">
        <v>0</v>
      </c>
      <c r="AD18" s="18">
        <v>0</v>
      </c>
      <c r="AE18" s="11">
        <v>0</v>
      </c>
      <c r="AF18" s="18">
        <v>0</v>
      </c>
      <c r="AG18" t="s">
        <v>73</v>
      </c>
      <c r="AH18" s="18">
        <v>0</v>
      </c>
      <c r="AI18" s="18">
        <v>0</v>
      </c>
      <c r="AJ18" s="18">
        <v>1</v>
      </c>
      <c r="AK18" s="18">
        <v>0</v>
      </c>
      <c r="AL18" s="18">
        <v>0</v>
      </c>
      <c r="AM18" s="18">
        <v>0</v>
      </c>
      <c r="AN18" s="18">
        <v>0</v>
      </c>
      <c r="AO18" s="18">
        <v>0</v>
      </c>
      <c r="AP18" s="18">
        <v>0</v>
      </c>
      <c r="AQ18" s="118" t="s">
        <v>333</v>
      </c>
      <c r="AR18" s="119" t="s">
        <v>234</v>
      </c>
      <c r="AS18" s="119" t="s">
        <v>333</v>
      </c>
      <c r="AT18" s="119" t="s">
        <v>334</v>
      </c>
      <c r="AU18" s="21">
        <v>1.86</v>
      </c>
      <c r="AV18" s="7" t="s">
        <v>80</v>
      </c>
      <c r="AW18" s="94" t="s">
        <v>73</v>
      </c>
      <c r="AX18">
        <v>0.01</v>
      </c>
      <c r="AY18">
        <v>1</v>
      </c>
      <c r="AZ18">
        <f>TINV(AX18,CC18)</f>
        <v>2.6063275150437986</v>
      </c>
      <c r="BA18" s="18" t="s">
        <v>73</v>
      </c>
      <c r="BB18" s="18"/>
      <c r="BC18" s="18" t="s">
        <v>73</v>
      </c>
      <c r="BD18" s="18" t="s">
        <v>73</v>
      </c>
      <c r="BE18" s="18" t="s">
        <v>73</v>
      </c>
      <c r="BF18" s="18" t="s">
        <v>73</v>
      </c>
      <c r="BG18" s="18" t="s">
        <v>73</v>
      </c>
      <c r="BH18" s="18" t="s">
        <v>73</v>
      </c>
      <c r="BI18">
        <v>165</v>
      </c>
      <c r="BJ18">
        <v>2673</v>
      </c>
      <c r="BK18" s="18" t="s">
        <v>73</v>
      </c>
      <c r="BL18" s="18" t="s">
        <v>73</v>
      </c>
      <c r="BM18" s="18" t="s">
        <v>73</v>
      </c>
      <c r="BN18" s="18" t="s">
        <v>73</v>
      </c>
      <c r="BO18" s="11" t="s">
        <v>73</v>
      </c>
      <c r="BP18" s="11" t="s">
        <v>73</v>
      </c>
      <c r="BQ18" s="11" t="s">
        <v>73</v>
      </c>
      <c r="BR18" t="s">
        <v>73</v>
      </c>
      <c r="BS18" s="11" t="s">
        <v>73</v>
      </c>
      <c r="BT18" t="s">
        <v>73</v>
      </c>
      <c r="BU18">
        <v>0</v>
      </c>
      <c r="BV18">
        <v>0</v>
      </c>
      <c r="BW18">
        <v>0</v>
      </c>
      <c r="BX18" s="103">
        <f>((AZ18^2)/(AZ18^2+BI18))^(1/2)</f>
        <v>0.19885033588999154</v>
      </c>
      <c r="BY18" s="103">
        <f>0.5*LN((1+BX18)/(1-BX18))</f>
        <v>0.20153527346528599</v>
      </c>
      <c r="BZ18" s="103">
        <f>((1-(BY18^2)^2)/(BI18-1))</f>
        <v>6.0875018454454692E-3</v>
      </c>
      <c r="CA18" s="95">
        <f>1/(BI18-3)</f>
        <v>6.1728395061728392E-3</v>
      </c>
      <c r="CC18">
        <f>BI18-2</f>
        <v>163</v>
      </c>
      <c r="CE18" s="30">
        <f>((AZ18^2)/(AZ18^2+BJ18))^(1/2)</f>
        <v>5.0347553184348748E-2</v>
      </c>
      <c r="CF18" s="30">
        <f>0.5*LN((1+CE18)/(1-CE18))</f>
        <v>5.0390159607631088E-2</v>
      </c>
      <c r="CG18" s="30">
        <f>((1-(CF18^2)^2)/(BJ18-1))</f>
        <v>3.7424908406621514E-4</v>
      </c>
      <c r="CH18" s="30">
        <f>1/(BJ18-3)</f>
        <v>3.7453183520599252E-4</v>
      </c>
    </row>
    <row r="19" spans="1:86" ht="15.6">
      <c r="A19" t="s">
        <v>335</v>
      </c>
      <c r="C19" s="94">
        <v>1269</v>
      </c>
      <c r="D19" s="11">
        <v>406</v>
      </c>
      <c r="E19" t="s">
        <v>352</v>
      </c>
      <c r="F19" s="11">
        <v>2019</v>
      </c>
      <c r="G19" t="s">
        <v>353</v>
      </c>
      <c r="H19" t="s">
        <v>354</v>
      </c>
      <c r="I19" s="18">
        <v>2</v>
      </c>
      <c r="J19" t="s">
        <v>73</v>
      </c>
      <c r="K19" t="s">
        <v>73</v>
      </c>
      <c r="L19">
        <v>31</v>
      </c>
      <c r="M19" s="18" t="s">
        <v>155</v>
      </c>
      <c r="N19" t="s">
        <v>224</v>
      </c>
      <c r="O19" t="s">
        <v>355</v>
      </c>
      <c r="P19" s="18" t="s">
        <v>226</v>
      </c>
      <c r="Q19" t="s">
        <v>243</v>
      </c>
      <c r="R19" t="s">
        <v>259</v>
      </c>
      <c r="S19">
        <v>1</v>
      </c>
      <c r="T19" t="s">
        <v>229</v>
      </c>
      <c r="U19">
        <v>1</v>
      </c>
      <c r="V19" s="18" t="s">
        <v>314</v>
      </c>
      <c r="W19" s="18" t="s">
        <v>230</v>
      </c>
      <c r="X19" t="s">
        <v>356</v>
      </c>
      <c r="Y19" s="18">
        <v>0</v>
      </c>
      <c r="Z19" s="18">
        <v>1</v>
      </c>
      <c r="AA19" s="18">
        <v>1</v>
      </c>
      <c r="AB19" s="18">
        <v>0</v>
      </c>
      <c r="AC19" s="18">
        <v>0</v>
      </c>
      <c r="AD19" s="18">
        <v>0</v>
      </c>
      <c r="AE19" s="11">
        <v>0</v>
      </c>
      <c r="AF19" s="18">
        <v>0</v>
      </c>
      <c r="AG19" t="s">
        <v>73</v>
      </c>
      <c r="AH19" s="18">
        <v>0</v>
      </c>
      <c r="AI19" s="18">
        <v>0</v>
      </c>
      <c r="AJ19" s="18">
        <v>1</v>
      </c>
      <c r="AK19" s="18">
        <v>0</v>
      </c>
      <c r="AL19" s="18">
        <v>0</v>
      </c>
      <c r="AM19" s="18">
        <v>0</v>
      </c>
      <c r="AN19" s="18">
        <v>0</v>
      </c>
      <c r="AO19" s="18">
        <v>0</v>
      </c>
      <c r="AP19" s="18">
        <v>0</v>
      </c>
      <c r="AQ19" s="118" t="s">
        <v>333</v>
      </c>
      <c r="AR19" s="119" t="s">
        <v>234</v>
      </c>
      <c r="AS19" s="119" t="s">
        <v>333</v>
      </c>
      <c r="AT19" s="119" t="s">
        <v>334</v>
      </c>
      <c r="AU19" s="21">
        <v>1.7370000000000001</v>
      </c>
      <c r="AV19" s="7" t="s">
        <v>80</v>
      </c>
      <c r="AW19" s="94" t="s">
        <v>73</v>
      </c>
      <c r="AX19">
        <v>0.05</v>
      </c>
      <c r="AY19">
        <v>1</v>
      </c>
      <c r="AZ19">
        <f>TINV(AX19,CC19)</f>
        <v>1.974624620966356</v>
      </c>
      <c r="BA19" s="18" t="s">
        <v>73</v>
      </c>
      <c r="BB19" s="18"/>
      <c r="BC19" s="18" t="s">
        <v>73</v>
      </c>
      <c r="BD19" s="18" t="s">
        <v>73</v>
      </c>
      <c r="BE19" s="18" t="s">
        <v>73</v>
      </c>
      <c r="BF19" s="18" t="s">
        <v>73</v>
      </c>
      <c r="BG19" s="18" t="s">
        <v>73</v>
      </c>
      <c r="BH19" s="18" t="s">
        <v>73</v>
      </c>
      <c r="BI19">
        <v>165</v>
      </c>
      <c r="BJ19">
        <v>2232</v>
      </c>
      <c r="BK19" s="18" t="s">
        <v>73</v>
      </c>
      <c r="BL19" s="18" t="s">
        <v>73</v>
      </c>
      <c r="BM19" s="18" t="s">
        <v>73</v>
      </c>
      <c r="BN19" s="18" t="s">
        <v>73</v>
      </c>
      <c r="BO19" s="11" t="s">
        <v>73</v>
      </c>
      <c r="BP19" s="11" t="s">
        <v>73</v>
      </c>
      <c r="BQ19" s="11" t="s">
        <v>73</v>
      </c>
      <c r="BR19" t="s">
        <v>73</v>
      </c>
      <c r="BS19" s="11" t="s">
        <v>73</v>
      </c>
      <c r="BT19" t="s">
        <v>73</v>
      </c>
      <c r="BU19">
        <v>0</v>
      </c>
      <c r="BV19">
        <v>0</v>
      </c>
      <c r="BW19">
        <v>0</v>
      </c>
      <c r="BX19" s="103">
        <f>((AZ19^2)/(AZ19^2+BI19))^(1/2)</f>
        <v>0.15193954642337751</v>
      </c>
      <c r="BY19" s="103">
        <f>0.5*LN((1+BX19)/(1-BX19))</f>
        <v>0.15312521998491627</v>
      </c>
      <c r="BZ19" s="103">
        <f>((1-(BY19^2)^2)/(BI19-1))</f>
        <v>6.0942086742402533E-3</v>
      </c>
      <c r="CA19" s="95">
        <f>1/(BI19-3)</f>
        <v>6.1728395061728392E-3</v>
      </c>
      <c r="CC19">
        <f>BI19-2</f>
        <v>163</v>
      </c>
      <c r="CE19" s="30">
        <f>((AZ19^2)/(AZ19^2+BJ19))^(1/2)</f>
        <v>4.1759803179979682E-2</v>
      </c>
      <c r="CF19" s="30">
        <f>0.5*LN((1+CE19)/(1-CE19))</f>
        <v>4.1784103322347603E-2</v>
      </c>
      <c r="CG19" s="30">
        <f>((1-(CF19^2)^2)/(BJ19-1))</f>
        <v>4.4822812720473595E-4</v>
      </c>
      <c r="CH19" s="30">
        <f>1/(BJ19-3)</f>
        <v>4.4863167339614175E-4</v>
      </c>
    </row>
    <row r="20" spans="1:86" s="102" customFormat="1" ht="15.6">
      <c r="A20" s="11" t="s">
        <v>68</v>
      </c>
      <c r="B20" s="11"/>
      <c r="C20" s="11">
        <v>1071</v>
      </c>
      <c r="D20">
        <v>113</v>
      </c>
      <c r="E20" t="s">
        <v>250</v>
      </c>
      <c r="F20" s="11">
        <v>2019</v>
      </c>
      <c r="G20" t="s">
        <v>251</v>
      </c>
      <c r="H20" s="98" t="s">
        <v>252</v>
      </c>
      <c r="I20">
        <v>2</v>
      </c>
      <c r="J20">
        <v>2019</v>
      </c>
      <c r="K20" s="10" t="s">
        <v>73</v>
      </c>
      <c r="L20">
        <v>5</v>
      </c>
      <c r="M20" s="18" t="s">
        <v>120</v>
      </c>
      <c r="N20" t="s">
        <v>241</v>
      </c>
      <c r="O20" t="s">
        <v>148</v>
      </c>
      <c r="P20" s="18" t="s">
        <v>226</v>
      </c>
      <c r="Q20" t="s">
        <v>253</v>
      </c>
      <c r="R20" t="s">
        <v>254</v>
      </c>
      <c r="S20">
        <v>1</v>
      </c>
      <c r="T20" t="s">
        <v>189</v>
      </c>
      <c r="U20">
        <v>1</v>
      </c>
      <c r="V20" s="18" t="s">
        <v>230</v>
      </c>
      <c r="W20" s="18" t="s">
        <v>230</v>
      </c>
      <c r="X20" s="18" t="s">
        <v>73</v>
      </c>
      <c r="Y20">
        <v>0</v>
      </c>
      <c r="Z20">
        <v>0</v>
      </c>
      <c r="AA20">
        <v>1</v>
      </c>
      <c r="AB20">
        <v>0</v>
      </c>
      <c r="AC20">
        <v>0</v>
      </c>
      <c r="AD20">
        <v>0</v>
      </c>
      <c r="AE20">
        <v>0</v>
      </c>
      <c r="AF20">
        <v>0</v>
      </c>
      <c r="AG20" t="s">
        <v>73</v>
      </c>
      <c r="AH20">
        <v>0</v>
      </c>
      <c r="AI20">
        <v>0</v>
      </c>
      <c r="AJ20">
        <v>0</v>
      </c>
      <c r="AK20">
        <v>0</v>
      </c>
      <c r="AL20">
        <v>0</v>
      </c>
      <c r="AM20">
        <v>1</v>
      </c>
      <c r="AN20" s="32">
        <v>0</v>
      </c>
      <c r="AO20">
        <v>0</v>
      </c>
      <c r="AP20">
        <v>0</v>
      </c>
      <c r="AQ20" t="s">
        <v>73</v>
      </c>
      <c r="AR20" t="s">
        <v>234</v>
      </c>
      <c r="AS20" s="98" t="s">
        <v>255</v>
      </c>
      <c r="AT20" t="s">
        <v>73</v>
      </c>
      <c r="AU20" s="21">
        <v>0.14099999999999999</v>
      </c>
      <c r="AV20" s="7" t="s">
        <v>80</v>
      </c>
      <c r="AW20" s="105">
        <v>0.32</v>
      </c>
      <c r="AX20" s="18">
        <v>0.1</v>
      </c>
      <c r="AY20" s="18">
        <v>2</v>
      </c>
      <c r="AZ20" s="18">
        <f>AU20/AW20</f>
        <v>0.44062499999999993</v>
      </c>
      <c r="BA20" s="18" t="s">
        <v>73</v>
      </c>
      <c r="BB20" s="18"/>
      <c r="BC20" s="18" t="s">
        <v>73</v>
      </c>
      <c r="BD20">
        <v>216</v>
      </c>
      <c r="BE20" s="18" t="s">
        <v>73</v>
      </c>
      <c r="BF20" s="18" t="s">
        <v>73</v>
      </c>
      <c r="BG20">
        <v>119</v>
      </c>
      <c r="BH20" s="18" t="s">
        <v>73</v>
      </c>
      <c r="BI20">
        <v>335</v>
      </c>
      <c r="BJ20">
        <v>335</v>
      </c>
      <c r="BK20" s="18" t="s">
        <v>73</v>
      </c>
      <c r="BL20" s="18" t="s">
        <v>73</v>
      </c>
      <c r="BM20" t="s">
        <v>73</v>
      </c>
      <c r="BN20" t="s">
        <v>73</v>
      </c>
      <c r="BO20" s="18" t="s">
        <v>73</v>
      </c>
      <c r="BP20">
        <v>0</v>
      </c>
      <c r="BQ20" t="s">
        <v>73</v>
      </c>
      <c r="BR20">
        <v>1</v>
      </c>
      <c r="BS20">
        <v>7</v>
      </c>
      <c r="BT20" t="s">
        <v>237</v>
      </c>
      <c r="BU20">
        <v>1</v>
      </c>
      <c r="BV20">
        <v>0</v>
      </c>
      <c r="BW20">
        <v>1</v>
      </c>
      <c r="BX20" s="103">
        <f>((AZ20^2)/(AZ20^2+BI20))^(1/2)</f>
        <v>2.4066942415906588E-2</v>
      </c>
      <c r="BY20" s="103">
        <f>0.5*LN((1+BX20)/(1-BX20))</f>
        <v>2.4071590697916326E-2</v>
      </c>
      <c r="BZ20" s="103">
        <f>((1-(BY20^2)^2)/(BI20-1))</f>
        <v>2.9940109708011158E-3</v>
      </c>
      <c r="CA20" s="95">
        <f>1/(BI20-3)</f>
        <v>3.0120481927710845E-3</v>
      </c>
      <c r="CB20"/>
      <c r="CC20">
        <f>BI20-2</f>
        <v>333</v>
      </c>
      <c r="CD20"/>
      <c r="CE20" s="30">
        <f>((AZ20^2)/(AZ20^2+BJ20))^(1/2)</f>
        <v>2.4066942415906588E-2</v>
      </c>
      <c r="CF20" s="30">
        <f>0.5*LN((1+CE20)/(1-CE20))</f>
        <v>2.4071590697916326E-2</v>
      </c>
      <c r="CG20" s="30">
        <f>((1-(CF20^2)^2)/(BJ20-1))</f>
        <v>2.9940109708011158E-3</v>
      </c>
      <c r="CH20" s="30">
        <f>1/(BJ20-3)</f>
        <v>3.0120481927710845E-3</v>
      </c>
    </row>
    <row r="21" spans="1:86" s="102" customFormat="1" ht="15.6">
      <c r="A21" s="11" t="s">
        <v>68</v>
      </c>
      <c r="B21" s="11"/>
      <c r="C21" s="11">
        <v>1072</v>
      </c>
      <c r="D21">
        <v>113</v>
      </c>
      <c r="E21" t="s">
        <v>250</v>
      </c>
      <c r="F21" s="11">
        <v>2019</v>
      </c>
      <c r="G21" t="s">
        <v>251</v>
      </c>
      <c r="H21" s="98" t="s">
        <v>252</v>
      </c>
      <c r="I21">
        <v>2</v>
      </c>
      <c r="J21">
        <v>2019</v>
      </c>
      <c r="K21" s="10" t="s">
        <v>73</v>
      </c>
      <c r="L21">
        <v>5</v>
      </c>
      <c r="M21" s="18" t="s">
        <v>120</v>
      </c>
      <c r="N21" t="s">
        <v>241</v>
      </c>
      <c r="O21" t="s">
        <v>148</v>
      </c>
      <c r="P21" s="18" t="s">
        <v>226</v>
      </c>
      <c r="Q21" t="s">
        <v>253</v>
      </c>
      <c r="R21" t="s">
        <v>254</v>
      </c>
      <c r="S21">
        <v>1</v>
      </c>
      <c r="T21" t="s">
        <v>189</v>
      </c>
      <c r="U21">
        <v>1</v>
      </c>
      <c r="V21" s="18" t="s">
        <v>230</v>
      </c>
      <c r="W21" s="18" t="s">
        <v>230</v>
      </c>
      <c r="X21" s="18" t="s">
        <v>73</v>
      </c>
      <c r="Y21">
        <v>0</v>
      </c>
      <c r="Z21">
        <v>0</v>
      </c>
      <c r="AA21">
        <v>1</v>
      </c>
      <c r="AB21">
        <v>0</v>
      </c>
      <c r="AC21">
        <v>0</v>
      </c>
      <c r="AD21">
        <v>0</v>
      </c>
      <c r="AE21">
        <v>0</v>
      </c>
      <c r="AF21">
        <v>0</v>
      </c>
      <c r="AG21" t="s">
        <v>73</v>
      </c>
      <c r="AH21">
        <v>0</v>
      </c>
      <c r="AI21">
        <v>0</v>
      </c>
      <c r="AJ21">
        <v>0</v>
      </c>
      <c r="AK21">
        <v>0</v>
      </c>
      <c r="AL21">
        <v>0</v>
      </c>
      <c r="AM21">
        <v>1</v>
      </c>
      <c r="AN21" s="32">
        <v>0</v>
      </c>
      <c r="AO21">
        <v>0</v>
      </c>
      <c r="AP21">
        <v>0</v>
      </c>
      <c r="AQ21" t="s">
        <v>73</v>
      </c>
      <c r="AR21" t="s">
        <v>234</v>
      </c>
      <c r="AS21" s="98" t="s">
        <v>255</v>
      </c>
      <c r="AT21" t="s">
        <v>73</v>
      </c>
      <c r="AU21" s="21">
        <v>1.331</v>
      </c>
      <c r="AV21" s="7" t="s">
        <v>80</v>
      </c>
      <c r="AW21" s="105">
        <v>0.34499999999999997</v>
      </c>
      <c r="AX21" s="18">
        <v>0.01</v>
      </c>
      <c r="AY21" s="18">
        <v>1</v>
      </c>
      <c r="AZ21" s="18">
        <f>AU21/AW21</f>
        <v>3.8579710144927537</v>
      </c>
      <c r="BA21" s="18" t="s">
        <v>73</v>
      </c>
      <c r="BB21" s="18"/>
      <c r="BC21" s="18" t="s">
        <v>73</v>
      </c>
      <c r="BD21">
        <v>216</v>
      </c>
      <c r="BE21" s="18" t="s">
        <v>73</v>
      </c>
      <c r="BF21" s="18" t="s">
        <v>73</v>
      </c>
      <c r="BG21">
        <v>224</v>
      </c>
      <c r="BH21" s="18" t="s">
        <v>73</v>
      </c>
      <c r="BI21">
        <v>440</v>
      </c>
      <c r="BJ21">
        <v>440</v>
      </c>
      <c r="BK21" s="18" t="s">
        <v>73</v>
      </c>
      <c r="BL21" s="18" t="s">
        <v>73</v>
      </c>
      <c r="BM21" t="s">
        <v>73</v>
      </c>
      <c r="BN21" t="s">
        <v>73</v>
      </c>
      <c r="BO21" s="18" t="s">
        <v>73</v>
      </c>
      <c r="BP21">
        <v>1</v>
      </c>
      <c r="BQ21">
        <f xml:space="preserve"> 29*1.1199</f>
        <v>32.4771</v>
      </c>
      <c r="BR21">
        <v>0</v>
      </c>
      <c r="BS21" t="s">
        <v>73</v>
      </c>
      <c r="BT21" t="s">
        <v>73</v>
      </c>
      <c r="BU21">
        <v>1</v>
      </c>
      <c r="BV21">
        <v>0</v>
      </c>
      <c r="BW21">
        <v>1</v>
      </c>
      <c r="BX21" s="103">
        <f>((AZ21^2)/(AZ21^2+BI21))^(1/2)</f>
        <v>0.18088754235543161</v>
      </c>
      <c r="BY21" s="103">
        <f>0.5*LN((1+BX21)/(1-BX21))</f>
        <v>0.18290010196181533</v>
      </c>
      <c r="BZ21" s="103">
        <f>((1-(BY21^2)^2)/(BI21-1))</f>
        <v>2.2753552022091081E-3</v>
      </c>
      <c r="CA21" s="95">
        <f>1/(BI21-3)</f>
        <v>2.2883295194508009E-3</v>
      </c>
      <c r="CB21"/>
      <c r="CC21">
        <f>BI21-2</f>
        <v>438</v>
      </c>
      <c r="CD21"/>
      <c r="CE21" s="30">
        <f>((AZ21^2)/(AZ21^2+BJ21))^(1/2)</f>
        <v>0.18088754235543161</v>
      </c>
      <c r="CF21" s="30">
        <f>0.5*LN((1+CE21)/(1-CE21))</f>
        <v>0.18290010196181533</v>
      </c>
      <c r="CG21" s="30">
        <f>((1-(CF21^2)^2)/(BJ21-1))</f>
        <v>2.2753552022091081E-3</v>
      </c>
      <c r="CH21" s="30">
        <f>1/(BJ21-3)</f>
        <v>2.2883295194508009E-3</v>
      </c>
    </row>
    <row r="22" spans="1:86" s="102" customFormat="1" ht="15.6">
      <c r="A22" s="11" t="s">
        <v>68</v>
      </c>
      <c r="B22" s="11"/>
      <c r="C22" s="11">
        <v>1099</v>
      </c>
      <c r="D22">
        <v>118</v>
      </c>
      <c r="E22" t="s">
        <v>256</v>
      </c>
      <c r="F22" s="11">
        <v>2011</v>
      </c>
      <c r="G22" t="s">
        <v>257</v>
      </c>
      <c r="H22" s="22" t="s">
        <v>258</v>
      </c>
      <c r="I22">
        <v>2</v>
      </c>
      <c r="J22">
        <v>2009</v>
      </c>
      <c r="K22" s="10" t="s">
        <v>73</v>
      </c>
      <c r="L22">
        <v>1454</v>
      </c>
      <c r="M22" s="18" t="s">
        <v>155</v>
      </c>
      <c r="N22" t="s">
        <v>112</v>
      </c>
      <c r="O22" t="s">
        <v>81</v>
      </c>
      <c r="P22" t="s">
        <v>242</v>
      </c>
      <c r="Q22" t="s">
        <v>253</v>
      </c>
      <c r="R22" t="s">
        <v>259</v>
      </c>
      <c r="S22">
        <v>1</v>
      </c>
      <c r="T22" t="s">
        <v>229</v>
      </c>
      <c r="U22">
        <v>0</v>
      </c>
      <c r="V22" s="18" t="s">
        <v>230</v>
      </c>
      <c r="W22" s="18" t="s">
        <v>230</v>
      </c>
      <c r="X22" t="s">
        <v>245</v>
      </c>
      <c r="Y22">
        <v>0</v>
      </c>
      <c r="Z22">
        <v>0</v>
      </c>
      <c r="AA22">
        <v>1</v>
      </c>
      <c r="AB22">
        <v>0</v>
      </c>
      <c r="AC22">
        <v>0</v>
      </c>
      <c r="AD22">
        <v>0</v>
      </c>
      <c r="AE22">
        <v>0</v>
      </c>
      <c r="AF22">
        <v>0</v>
      </c>
      <c r="AG22" t="s">
        <v>73</v>
      </c>
      <c r="AH22">
        <v>0</v>
      </c>
      <c r="AI22">
        <v>0</v>
      </c>
      <c r="AJ22">
        <v>0</v>
      </c>
      <c r="AK22">
        <v>1</v>
      </c>
      <c r="AL22">
        <v>0</v>
      </c>
      <c r="AM22">
        <v>0</v>
      </c>
      <c r="AN22" s="32">
        <v>0</v>
      </c>
      <c r="AO22">
        <v>0</v>
      </c>
      <c r="AP22">
        <v>0</v>
      </c>
      <c r="AQ22" t="s">
        <v>73</v>
      </c>
      <c r="AR22" t="s">
        <v>234</v>
      </c>
      <c r="AS22" t="s">
        <v>260</v>
      </c>
      <c r="AT22" s="41" t="s">
        <v>73</v>
      </c>
      <c r="AU22" s="21">
        <v>1.0760000000000001</v>
      </c>
      <c r="AV22" s="7" t="s">
        <v>80</v>
      </c>
      <c r="AW22" s="107">
        <f>AU22/AZ22</f>
        <v>5.3746253746253754E-2</v>
      </c>
      <c r="AX22" s="41" t="s">
        <v>73</v>
      </c>
      <c r="AY22" s="41">
        <v>3</v>
      </c>
      <c r="AZ22">
        <v>20.02</v>
      </c>
      <c r="BA22" t="s">
        <v>73</v>
      </c>
      <c r="BB22"/>
      <c r="BC22" t="s">
        <v>73</v>
      </c>
      <c r="BD22" t="s">
        <v>73</v>
      </c>
      <c r="BE22" t="s">
        <v>73</v>
      </c>
      <c r="BF22" t="s">
        <v>73</v>
      </c>
      <c r="BG22" t="s">
        <v>73</v>
      </c>
      <c r="BH22" t="s">
        <v>73</v>
      </c>
      <c r="BI22">
        <v>1395</v>
      </c>
      <c r="BJ22">
        <v>1395</v>
      </c>
      <c r="BK22" t="s">
        <v>73</v>
      </c>
      <c r="BL22" t="s">
        <v>73</v>
      </c>
      <c r="BM22" t="s">
        <v>73</v>
      </c>
      <c r="BN22" t="s">
        <v>73</v>
      </c>
      <c r="BO22" t="s">
        <v>73</v>
      </c>
      <c r="BP22" t="s">
        <v>73</v>
      </c>
      <c r="BQ22" t="s">
        <v>73</v>
      </c>
      <c r="BR22" t="s">
        <v>73</v>
      </c>
      <c r="BS22" t="s">
        <v>73</v>
      </c>
      <c r="BT22" t="s">
        <v>73</v>
      </c>
      <c r="BU22">
        <v>0</v>
      </c>
      <c r="BV22">
        <v>1</v>
      </c>
      <c r="BW22">
        <v>1</v>
      </c>
      <c r="BX22" s="103">
        <f>((AZ22^2)/(AZ22^2+BI22))^(1/2)</f>
        <v>0.47242735990047685</v>
      </c>
      <c r="BY22" s="103">
        <f>0.5*LN((1+BX22)/(1-BX22))</f>
        <v>0.51319051047617226</v>
      </c>
      <c r="BZ22" s="103">
        <f>((1-(BY22^2)^2)/(BI22-1))</f>
        <v>6.6760340037102519E-4</v>
      </c>
      <c r="CA22" s="103">
        <f>1/(BI22-3)</f>
        <v>7.1839080459770114E-4</v>
      </c>
      <c r="CB22"/>
      <c r="CC22">
        <f>BI22-1</f>
        <v>1394</v>
      </c>
      <c r="CD22"/>
      <c r="CE22" s="30">
        <f>((AZ22^2)/(AZ22^2+BJ22))^(1/2)</f>
        <v>0.47242735990047685</v>
      </c>
      <c r="CF22" s="30">
        <f>0.5*LN((1+CE22)/(1-CE22))</f>
        <v>0.51319051047617226</v>
      </c>
      <c r="CG22" s="30">
        <f>((1-(CF22^2)^2)/(BJ22-1))</f>
        <v>6.6760340037102519E-4</v>
      </c>
      <c r="CH22" s="30">
        <f>1/(BJ22-3)</f>
        <v>7.1839080459770114E-4</v>
      </c>
    </row>
    <row r="23" spans="1:86" ht="15.6">
      <c r="A23" s="11" t="s">
        <v>68</v>
      </c>
      <c r="B23" s="11"/>
      <c r="C23" s="11">
        <v>1100</v>
      </c>
      <c r="D23">
        <v>118</v>
      </c>
      <c r="E23" t="s">
        <v>256</v>
      </c>
      <c r="F23" s="11">
        <v>2011</v>
      </c>
      <c r="G23" t="s">
        <v>257</v>
      </c>
      <c r="H23" s="22" t="s">
        <v>258</v>
      </c>
      <c r="I23">
        <v>2</v>
      </c>
      <c r="J23">
        <v>2009</v>
      </c>
      <c r="K23" s="10" t="s">
        <v>73</v>
      </c>
      <c r="L23">
        <v>1454</v>
      </c>
      <c r="M23" s="18" t="s">
        <v>155</v>
      </c>
      <c r="N23" t="s">
        <v>112</v>
      </c>
      <c r="O23" t="s">
        <v>81</v>
      </c>
      <c r="P23" t="s">
        <v>242</v>
      </c>
      <c r="Q23" t="s">
        <v>253</v>
      </c>
      <c r="R23" t="s">
        <v>259</v>
      </c>
      <c r="S23">
        <v>1</v>
      </c>
      <c r="T23" t="s">
        <v>229</v>
      </c>
      <c r="U23">
        <v>0</v>
      </c>
      <c r="V23" s="18" t="s">
        <v>230</v>
      </c>
      <c r="W23" s="18" t="s">
        <v>230</v>
      </c>
      <c r="X23" t="s">
        <v>245</v>
      </c>
      <c r="Y23">
        <v>0</v>
      </c>
      <c r="Z23">
        <v>0</v>
      </c>
      <c r="AA23">
        <v>1</v>
      </c>
      <c r="AB23">
        <v>0</v>
      </c>
      <c r="AC23">
        <v>0</v>
      </c>
      <c r="AD23">
        <v>0</v>
      </c>
      <c r="AE23">
        <v>0</v>
      </c>
      <c r="AF23">
        <v>0</v>
      </c>
      <c r="AG23" t="s">
        <v>73</v>
      </c>
      <c r="AH23">
        <v>0</v>
      </c>
      <c r="AI23">
        <v>0</v>
      </c>
      <c r="AJ23">
        <v>0</v>
      </c>
      <c r="AK23">
        <v>1</v>
      </c>
      <c r="AL23">
        <v>0</v>
      </c>
      <c r="AM23">
        <v>0</v>
      </c>
      <c r="AN23" s="32">
        <v>0</v>
      </c>
      <c r="AO23">
        <v>0</v>
      </c>
      <c r="AP23">
        <v>0</v>
      </c>
      <c r="AQ23" t="s">
        <v>73</v>
      </c>
      <c r="AR23" t="s">
        <v>234</v>
      </c>
      <c r="AS23" t="s">
        <v>260</v>
      </c>
      <c r="AT23" s="41" t="s">
        <v>73</v>
      </c>
      <c r="AU23" s="21">
        <v>2.1459999999999999</v>
      </c>
      <c r="AV23" s="7" t="s">
        <v>80</v>
      </c>
      <c r="AW23" s="107">
        <f>AU23/AZ23</f>
        <v>0.18628472222222223</v>
      </c>
      <c r="AX23" s="41" t="s">
        <v>73</v>
      </c>
      <c r="AY23" s="41">
        <v>3</v>
      </c>
      <c r="AZ23">
        <v>11.52</v>
      </c>
      <c r="BA23" t="s">
        <v>73</v>
      </c>
      <c r="BC23" t="s">
        <v>73</v>
      </c>
      <c r="BD23" t="s">
        <v>73</v>
      </c>
      <c r="BE23" t="s">
        <v>73</v>
      </c>
      <c r="BF23" t="s">
        <v>73</v>
      </c>
      <c r="BG23" t="s">
        <v>73</v>
      </c>
      <c r="BH23" t="s">
        <v>73</v>
      </c>
      <c r="BI23">
        <v>1395</v>
      </c>
      <c r="BJ23">
        <v>1395</v>
      </c>
      <c r="BK23" t="s">
        <v>73</v>
      </c>
      <c r="BL23" t="s">
        <v>73</v>
      </c>
      <c r="BM23" t="s">
        <v>73</v>
      </c>
      <c r="BN23" t="s">
        <v>73</v>
      </c>
      <c r="BO23" t="s">
        <v>73</v>
      </c>
      <c r="BP23" t="s">
        <v>73</v>
      </c>
      <c r="BQ23" t="s">
        <v>73</v>
      </c>
      <c r="BR23" t="s">
        <v>73</v>
      </c>
      <c r="BS23" t="s">
        <v>73</v>
      </c>
      <c r="BT23" t="s">
        <v>73</v>
      </c>
      <c r="BU23">
        <v>0</v>
      </c>
      <c r="BV23">
        <v>1</v>
      </c>
      <c r="BW23">
        <v>1</v>
      </c>
      <c r="BX23" s="103">
        <f>((AZ23^2)/(AZ23^2+BI23))^(1/2)</f>
        <v>0.29473516954008327</v>
      </c>
      <c r="BY23" s="103">
        <f>0.5*LN((1+BX23)/(1-BX23))</f>
        <v>0.3037440363085756</v>
      </c>
      <c r="BZ23" s="103">
        <f>((1-(BY23^2)^2)/(BI23-1))</f>
        <v>7.1125395357683058E-4</v>
      </c>
      <c r="CA23" s="103">
        <f>1/(BI23-3)</f>
        <v>7.1839080459770114E-4</v>
      </c>
      <c r="CC23">
        <f>BI23-1</f>
        <v>1394</v>
      </c>
      <c r="CE23" s="30">
        <f>((AZ23^2)/(AZ23^2+BJ23))^(1/2)</f>
        <v>0.29473516954008327</v>
      </c>
      <c r="CF23" s="30">
        <f>0.5*LN((1+CE23)/(1-CE23))</f>
        <v>0.3037440363085756</v>
      </c>
      <c r="CG23" s="30">
        <f>((1-(CF23^2)^2)/(BJ23-1))</f>
        <v>7.1125395357683058E-4</v>
      </c>
      <c r="CH23" s="30">
        <f>1/(BJ23-3)</f>
        <v>7.1839080459770114E-4</v>
      </c>
    </row>
    <row r="24" spans="1:86" ht="15.6">
      <c r="A24" s="11" t="s">
        <v>68</v>
      </c>
      <c r="B24" s="11"/>
      <c r="C24" s="94">
        <v>1122</v>
      </c>
      <c r="D24" s="97">
        <v>127</v>
      </c>
      <c r="E24" t="s">
        <v>261</v>
      </c>
      <c r="F24" s="96">
        <v>2021</v>
      </c>
      <c r="G24" t="s">
        <v>262</v>
      </c>
      <c r="H24" s="17" t="s">
        <v>263</v>
      </c>
      <c r="I24" s="97">
        <v>2</v>
      </c>
      <c r="J24">
        <v>2017</v>
      </c>
      <c r="K24" s="96" t="s">
        <v>73</v>
      </c>
      <c r="L24" s="97">
        <v>58</v>
      </c>
      <c r="M24" s="96" t="s">
        <v>155</v>
      </c>
      <c r="N24" s="97" t="s">
        <v>241</v>
      </c>
      <c r="O24" s="97" t="s">
        <v>264</v>
      </c>
      <c r="P24" t="s">
        <v>242</v>
      </c>
      <c r="Q24" t="s">
        <v>253</v>
      </c>
      <c r="R24" t="s">
        <v>259</v>
      </c>
      <c r="S24">
        <v>1</v>
      </c>
      <c r="T24" t="s">
        <v>265</v>
      </c>
      <c r="U24">
        <v>1</v>
      </c>
      <c r="V24" s="96" t="s">
        <v>230</v>
      </c>
      <c r="W24" s="96" t="s">
        <v>230</v>
      </c>
      <c r="X24" t="s">
        <v>245</v>
      </c>
      <c r="Y24" s="97">
        <v>0</v>
      </c>
      <c r="Z24" s="97">
        <v>1</v>
      </c>
      <c r="AA24" s="97">
        <v>0</v>
      </c>
      <c r="AB24" s="97">
        <v>0</v>
      </c>
      <c r="AC24" s="97">
        <v>0</v>
      </c>
      <c r="AD24" s="97">
        <v>0</v>
      </c>
      <c r="AE24" s="97">
        <v>0</v>
      </c>
      <c r="AF24">
        <v>0</v>
      </c>
      <c r="AG24" s="97" t="s">
        <v>266</v>
      </c>
      <c r="AH24" s="97">
        <v>0</v>
      </c>
      <c r="AI24" s="97">
        <v>0</v>
      </c>
      <c r="AJ24" s="97">
        <v>0</v>
      </c>
      <c r="AK24" s="97">
        <v>1</v>
      </c>
      <c r="AL24" s="97">
        <v>0</v>
      </c>
      <c r="AM24" s="97">
        <v>0</v>
      </c>
      <c r="AN24" s="97">
        <v>0</v>
      </c>
      <c r="AO24" s="97">
        <v>0</v>
      </c>
      <c r="AP24" s="97">
        <v>0</v>
      </c>
      <c r="AQ24" s="97" t="s">
        <v>73</v>
      </c>
      <c r="AR24" t="s">
        <v>234</v>
      </c>
      <c r="AS24" s="97" t="s">
        <v>267</v>
      </c>
      <c r="AT24" s="109" t="s">
        <v>73</v>
      </c>
      <c r="AU24" s="21">
        <v>0.1305</v>
      </c>
      <c r="AV24" s="7" t="s">
        <v>80</v>
      </c>
      <c r="AW24" t="s">
        <v>73</v>
      </c>
      <c r="AX24">
        <v>0.05</v>
      </c>
      <c r="AY24" s="17">
        <v>1</v>
      </c>
      <c r="AZ24" s="17">
        <v>2.0280999999999998</v>
      </c>
      <c r="BA24" s="98" t="s">
        <v>73</v>
      </c>
      <c r="BB24" s="98"/>
      <c r="BC24" s="98" t="s">
        <v>73</v>
      </c>
      <c r="BD24" s="98" t="s">
        <v>73</v>
      </c>
      <c r="BE24" s="98" t="s">
        <v>73</v>
      </c>
      <c r="BF24" s="98" t="s">
        <v>73</v>
      </c>
      <c r="BG24" s="98" t="s">
        <v>73</v>
      </c>
      <c r="BH24" s="98" t="s">
        <v>73</v>
      </c>
      <c r="BI24" s="17">
        <v>36</v>
      </c>
      <c r="BJ24" s="97">
        <v>8928</v>
      </c>
      <c r="BK24" s="97" t="s">
        <v>73</v>
      </c>
      <c r="BL24" s="97" t="s">
        <v>73</v>
      </c>
      <c r="BM24" s="97" t="s">
        <v>73</v>
      </c>
      <c r="BN24" s="97" t="s">
        <v>73</v>
      </c>
      <c r="BO24" s="97" t="s">
        <v>73</v>
      </c>
      <c r="BP24" s="97" t="s">
        <v>73</v>
      </c>
      <c r="BQ24" s="97" t="s">
        <v>73</v>
      </c>
      <c r="BR24" s="97" t="s">
        <v>73</v>
      </c>
      <c r="BS24" s="97" t="s">
        <v>73</v>
      </c>
      <c r="BT24" s="97" t="s">
        <v>73</v>
      </c>
      <c r="BU24" s="97">
        <v>0</v>
      </c>
      <c r="BV24" s="97">
        <v>0</v>
      </c>
      <c r="BW24" s="97">
        <v>0</v>
      </c>
      <c r="BX24" s="103">
        <f>((AZ24^2)/(AZ24^2+BI24))^(1/2)</f>
        <v>0.32021801928313393</v>
      </c>
      <c r="BY24" s="103">
        <f>0.5*LN((1+BX24)/(1-BX24))</f>
        <v>0.33189001894838011</v>
      </c>
      <c r="BZ24" s="103">
        <f>((1-(BY24^2)^2)/(BI24-1))</f>
        <v>2.822476458784471E-2</v>
      </c>
      <c r="CA24" s="103">
        <f>1/(BI24-3)</f>
        <v>3.0303030303030304E-2</v>
      </c>
      <c r="CC24">
        <f>BI24-2</f>
        <v>34</v>
      </c>
      <c r="CE24" s="30">
        <f>((AZ24^2)/(AZ24^2+BJ24))^(1/2)</f>
        <v>2.1459137182263048E-2</v>
      </c>
      <c r="CF24" s="30">
        <f>0.5*LN((1+CE24)/(1-CE24))</f>
        <v>2.1462432031373494E-2</v>
      </c>
      <c r="CG24" s="30">
        <f>((1-(CF24^2)^2)/(BJ24-1))</f>
        <v>1.1201969170096179E-4</v>
      </c>
      <c r="CH24" s="30">
        <f>1/(BJ24-3)</f>
        <v>1.1204481792717087E-4</v>
      </c>
    </row>
    <row r="25" spans="1:86" ht="15.6">
      <c r="A25" s="11" t="s">
        <v>68</v>
      </c>
      <c r="B25" s="11"/>
      <c r="C25" s="94">
        <v>1123</v>
      </c>
      <c r="D25" s="97">
        <v>127</v>
      </c>
      <c r="E25" t="s">
        <v>261</v>
      </c>
      <c r="F25" s="96">
        <v>2021</v>
      </c>
      <c r="G25" t="s">
        <v>262</v>
      </c>
      <c r="H25" s="17" t="s">
        <v>263</v>
      </c>
      <c r="I25" s="97">
        <v>2</v>
      </c>
      <c r="J25">
        <v>2017</v>
      </c>
      <c r="K25" s="96" t="s">
        <v>73</v>
      </c>
      <c r="L25" s="97">
        <v>58</v>
      </c>
      <c r="M25" s="96" t="s">
        <v>155</v>
      </c>
      <c r="N25" s="97" t="s">
        <v>241</v>
      </c>
      <c r="O25" s="97" t="s">
        <v>264</v>
      </c>
      <c r="P25" t="s">
        <v>242</v>
      </c>
      <c r="Q25" t="s">
        <v>253</v>
      </c>
      <c r="R25" t="s">
        <v>259</v>
      </c>
      <c r="S25">
        <v>1</v>
      </c>
      <c r="T25" t="s">
        <v>265</v>
      </c>
      <c r="U25">
        <v>1</v>
      </c>
      <c r="V25" s="96" t="s">
        <v>230</v>
      </c>
      <c r="W25" s="96" t="s">
        <v>230</v>
      </c>
      <c r="X25" t="s">
        <v>245</v>
      </c>
      <c r="Y25" s="97">
        <v>0</v>
      </c>
      <c r="Z25" s="97">
        <v>0</v>
      </c>
      <c r="AA25" s="97">
        <v>1</v>
      </c>
      <c r="AB25" s="97">
        <v>0</v>
      </c>
      <c r="AC25" s="97">
        <v>0</v>
      </c>
      <c r="AD25" s="97">
        <v>0</v>
      </c>
      <c r="AE25" s="97">
        <v>0</v>
      </c>
      <c r="AF25">
        <v>0</v>
      </c>
      <c r="AG25" s="97" t="s">
        <v>266</v>
      </c>
      <c r="AH25" s="97">
        <v>0</v>
      </c>
      <c r="AI25" s="97">
        <v>0</v>
      </c>
      <c r="AJ25" s="97">
        <v>0</v>
      </c>
      <c r="AK25" s="97">
        <v>1</v>
      </c>
      <c r="AL25" s="97">
        <v>0</v>
      </c>
      <c r="AM25" s="97">
        <v>0</v>
      </c>
      <c r="AN25" s="97">
        <v>0</v>
      </c>
      <c r="AO25" s="97">
        <v>0</v>
      </c>
      <c r="AP25" s="97">
        <v>0</v>
      </c>
      <c r="AQ25" s="97" t="s">
        <v>73</v>
      </c>
      <c r="AR25" t="s">
        <v>234</v>
      </c>
      <c r="AS25" s="97" t="s">
        <v>267</v>
      </c>
      <c r="AT25" s="109" t="s">
        <v>73</v>
      </c>
      <c r="AU25" s="21">
        <v>0.28129999999999999</v>
      </c>
      <c r="AV25" s="7" t="s">
        <v>80</v>
      </c>
      <c r="AW25" t="s">
        <v>73</v>
      </c>
      <c r="AX25">
        <v>0.05</v>
      </c>
      <c r="AY25" s="17">
        <v>1</v>
      </c>
      <c r="AZ25" s="17">
        <v>2.0280999999999998</v>
      </c>
      <c r="BA25" s="98" t="s">
        <v>73</v>
      </c>
      <c r="BB25" s="98"/>
      <c r="BC25" s="98" t="s">
        <v>73</v>
      </c>
      <c r="BD25" s="98" t="s">
        <v>73</v>
      </c>
      <c r="BE25" s="98" t="s">
        <v>73</v>
      </c>
      <c r="BF25" s="98" t="s">
        <v>73</v>
      </c>
      <c r="BG25" s="98" t="s">
        <v>73</v>
      </c>
      <c r="BH25" s="98" t="s">
        <v>73</v>
      </c>
      <c r="BI25" s="17">
        <v>36</v>
      </c>
      <c r="BJ25" s="97">
        <v>8928</v>
      </c>
      <c r="BK25" s="97" t="s">
        <v>73</v>
      </c>
      <c r="BL25" s="97" t="s">
        <v>73</v>
      </c>
      <c r="BM25" s="97" t="s">
        <v>73</v>
      </c>
      <c r="BN25" s="97" t="s">
        <v>73</v>
      </c>
      <c r="BO25" s="97" t="s">
        <v>73</v>
      </c>
      <c r="BP25" s="97" t="s">
        <v>73</v>
      </c>
      <c r="BQ25" s="97" t="s">
        <v>73</v>
      </c>
      <c r="BR25" s="97" t="s">
        <v>73</v>
      </c>
      <c r="BS25" s="97" t="s">
        <v>73</v>
      </c>
      <c r="BT25" s="97" t="s">
        <v>73</v>
      </c>
      <c r="BU25" s="97">
        <v>0</v>
      </c>
      <c r="BV25" s="97">
        <v>0</v>
      </c>
      <c r="BW25" s="97">
        <v>0</v>
      </c>
      <c r="BX25" s="103">
        <f>((AZ25^2)/(AZ25^2+BI25))^(1/2)</f>
        <v>0.32021801928313393</v>
      </c>
      <c r="BY25" s="103">
        <f>0.5*LN((1+BX25)/(1-BX25))</f>
        <v>0.33189001894838011</v>
      </c>
      <c r="BZ25" s="103">
        <f>((1-(BY25^2)^2)/(BI25-1))</f>
        <v>2.822476458784471E-2</v>
      </c>
      <c r="CA25" s="103">
        <f>1/(BI25-3)</f>
        <v>3.0303030303030304E-2</v>
      </c>
      <c r="CC25">
        <f>BI25-2</f>
        <v>34</v>
      </c>
      <c r="CE25" s="30">
        <f>((AZ25^2)/(AZ25^2+BJ25))^(1/2)</f>
        <v>2.1459137182263048E-2</v>
      </c>
      <c r="CF25" s="30">
        <f>0.5*LN((1+CE25)/(1-CE25))</f>
        <v>2.1462432031373494E-2</v>
      </c>
      <c r="CG25" s="30">
        <f>((1-(CF25^2)^2)/(BJ25-1))</f>
        <v>1.1201969170096179E-4</v>
      </c>
      <c r="CH25" s="30">
        <f>1/(BJ25-3)</f>
        <v>1.1204481792717087E-4</v>
      </c>
    </row>
    <row r="26" spans="1:86" ht="15.6">
      <c r="A26" s="11" t="s">
        <v>68</v>
      </c>
      <c r="B26" s="11"/>
      <c r="C26" s="94">
        <v>1124</v>
      </c>
      <c r="D26" s="97">
        <v>127</v>
      </c>
      <c r="E26" t="s">
        <v>261</v>
      </c>
      <c r="F26" s="96">
        <v>2021</v>
      </c>
      <c r="G26" t="s">
        <v>262</v>
      </c>
      <c r="H26" s="17" t="s">
        <v>263</v>
      </c>
      <c r="I26" s="97">
        <v>2</v>
      </c>
      <c r="J26">
        <v>2017</v>
      </c>
      <c r="K26" s="96" t="s">
        <v>73</v>
      </c>
      <c r="L26" s="97">
        <v>58</v>
      </c>
      <c r="M26" s="96" t="s">
        <v>155</v>
      </c>
      <c r="N26" s="97" t="s">
        <v>241</v>
      </c>
      <c r="O26" s="97" t="s">
        <v>264</v>
      </c>
      <c r="P26" t="s">
        <v>242</v>
      </c>
      <c r="Q26" t="s">
        <v>253</v>
      </c>
      <c r="R26" t="s">
        <v>259</v>
      </c>
      <c r="S26">
        <v>1</v>
      </c>
      <c r="T26" t="s">
        <v>265</v>
      </c>
      <c r="U26">
        <v>1</v>
      </c>
      <c r="V26" s="96" t="s">
        <v>230</v>
      </c>
      <c r="W26" s="96" t="s">
        <v>230</v>
      </c>
      <c r="X26" t="s">
        <v>245</v>
      </c>
      <c r="Y26" s="97">
        <v>0</v>
      </c>
      <c r="Z26" s="97">
        <v>1</v>
      </c>
      <c r="AA26" s="97">
        <v>1</v>
      </c>
      <c r="AB26" s="97">
        <v>0</v>
      </c>
      <c r="AC26" s="97">
        <v>0</v>
      </c>
      <c r="AD26" s="97">
        <v>0</v>
      </c>
      <c r="AE26" s="97">
        <v>0</v>
      </c>
      <c r="AF26">
        <v>0</v>
      </c>
      <c r="AG26" s="97" t="s">
        <v>266</v>
      </c>
      <c r="AH26" s="97">
        <v>0</v>
      </c>
      <c r="AI26" s="97">
        <v>0</v>
      </c>
      <c r="AJ26" s="97">
        <v>0</v>
      </c>
      <c r="AK26" s="97">
        <v>1</v>
      </c>
      <c r="AL26" s="97">
        <v>0</v>
      </c>
      <c r="AM26" s="97">
        <v>0</v>
      </c>
      <c r="AN26" s="97">
        <v>0</v>
      </c>
      <c r="AO26" s="97">
        <v>0</v>
      </c>
      <c r="AP26" s="97">
        <v>0</v>
      </c>
      <c r="AQ26" s="97" t="s">
        <v>73</v>
      </c>
      <c r="AR26" t="s">
        <v>234</v>
      </c>
      <c r="AS26" s="97" t="s">
        <v>267</v>
      </c>
      <c r="AT26" s="109" t="s">
        <v>73</v>
      </c>
      <c r="AU26" s="21">
        <v>0.49790000000000001</v>
      </c>
      <c r="AV26" s="7" t="s">
        <v>80</v>
      </c>
      <c r="AW26" t="s">
        <v>73</v>
      </c>
      <c r="AX26">
        <v>1E-3</v>
      </c>
      <c r="AY26" s="17">
        <v>1</v>
      </c>
      <c r="AZ26" s="17">
        <v>3.5821000000000001</v>
      </c>
      <c r="BA26" s="98" t="s">
        <v>73</v>
      </c>
      <c r="BB26" s="98"/>
      <c r="BC26" s="98" t="s">
        <v>73</v>
      </c>
      <c r="BD26" s="98" t="s">
        <v>73</v>
      </c>
      <c r="BE26" s="98" t="s">
        <v>73</v>
      </c>
      <c r="BF26" s="98" t="s">
        <v>73</v>
      </c>
      <c r="BG26" s="98" t="s">
        <v>73</v>
      </c>
      <c r="BH26" s="98" t="s">
        <v>73</v>
      </c>
      <c r="BI26" s="17">
        <v>36</v>
      </c>
      <c r="BJ26" s="97">
        <v>8928</v>
      </c>
      <c r="BK26" s="97" t="s">
        <v>73</v>
      </c>
      <c r="BL26" s="97" t="s">
        <v>73</v>
      </c>
      <c r="BM26" s="97" t="s">
        <v>73</v>
      </c>
      <c r="BN26" s="97" t="s">
        <v>73</v>
      </c>
      <c r="BO26" s="97" t="s">
        <v>73</v>
      </c>
      <c r="BP26" s="97" t="s">
        <v>73</v>
      </c>
      <c r="BQ26" s="97" t="s">
        <v>73</v>
      </c>
      <c r="BR26" s="97" t="s">
        <v>73</v>
      </c>
      <c r="BS26" s="97" t="s">
        <v>73</v>
      </c>
      <c r="BT26" s="97" t="s">
        <v>73</v>
      </c>
      <c r="BU26" s="97">
        <v>0</v>
      </c>
      <c r="BV26" s="97">
        <v>0</v>
      </c>
      <c r="BW26" s="97">
        <v>0</v>
      </c>
      <c r="BX26" s="103">
        <f>((AZ26^2)/(AZ26^2+BI26))^(1/2)</f>
        <v>0.5126110197955529</v>
      </c>
      <c r="BY26" s="103">
        <f>0.5*LN((1+BX26)/(1-BX26))</f>
        <v>0.56626502857004413</v>
      </c>
      <c r="BZ26" s="103">
        <f>((1-(BY26^2)^2)/(BI26-1))</f>
        <v>2.5633705048672264E-2</v>
      </c>
      <c r="CA26" s="103">
        <f>1/(BI26-3)</f>
        <v>3.0303030303030304E-2</v>
      </c>
      <c r="CC26">
        <f>BI26-2</f>
        <v>34</v>
      </c>
      <c r="CE26" s="30">
        <f>((AZ26^2)/(AZ26^2+BJ26))^(1/2)</f>
        <v>3.788338276740591E-2</v>
      </c>
      <c r="CF26" s="30">
        <f>0.5*LN((1+CE26)/(1-CE26))</f>
        <v>3.7901521176417756E-2</v>
      </c>
      <c r="CG26" s="30">
        <f>((1-(CF26^2)^2)/(BJ26-1))</f>
        <v>1.1201948430548235E-4</v>
      </c>
      <c r="CH26" s="30">
        <f>1/(BJ26-3)</f>
        <v>1.1204481792717087E-4</v>
      </c>
    </row>
    <row r="27" spans="1:86" s="104" customFormat="1" ht="15.6">
      <c r="A27" s="11" t="s">
        <v>68</v>
      </c>
      <c r="B27" s="11"/>
      <c r="C27" s="94">
        <v>1125</v>
      </c>
      <c r="D27" s="97">
        <v>127</v>
      </c>
      <c r="E27" t="s">
        <v>261</v>
      </c>
      <c r="F27" s="96">
        <v>2021</v>
      </c>
      <c r="G27" t="s">
        <v>262</v>
      </c>
      <c r="H27" s="17" t="s">
        <v>263</v>
      </c>
      <c r="I27" s="97">
        <v>2</v>
      </c>
      <c r="J27">
        <v>2017</v>
      </c>
      <c r="K27" s="96" t="s">
        <v>73</v>
      </c>
      <c r="L27" s="97">
        <v>58</v>
      </c>
      <c r="M27" s="96" t="s">
        <v>155</v>
      </c>
      <c r="N27" s="97" t="s">
        <v>241</v>
      </c>
      <c r="O27" s="97" t="s">
        <v>264</v>
      </c>
      <c r="P27" t="s">
        <v>242</v>
      </c>
      <c r="Q27" t="s">
        <v>253</v>
      </c>
      <c r="R27" t="s">
        <v>259</v>
      </c>
      <c r="S27">
        <v>1</v>
      </c>
      <c r="T27" t="s">
        <v>265</v>
      </c>
      <c r="U27">
        <v>1</v>
      </c>
      <c r="V27" s="96" t="s">
        <v>230</v>
      </c>
      <c r="W27" s="96" t="s">
        <v>230</v>
      </c>
      <c r="X27" t="s">
        <v>245</v>
      </c>
      <c r="Y27" s="97">
        <v>0</v>
      </c>
      <c r="Z27" s="97">
        <v>1</v>
      </c>
      <c r="AA27" s="97">
        <v>1</v>
      </c>
      <c r="AB27" s="97">
        <v>0</v>
      </c>
      <c r="AC27" s="97">
        <v>0</v>
      </c>
      <c r="AD27" s="97">
        <v>0</v>
      </c>
      <c r="AE27" s="97">
        <v>0</v>
      </c>
      <c r="AF27">
        <v>0</v>
      </c>
      <c r="AG27" s="97" t="s">
        <v>266</v>
      </c>
      <c r="AH27" s="97">
        <v>0</v>
      </c>
      <c r="AI27" s="97">
        <v>0</v>
      </c>
      <c r="AJ27" s="97">
        <v>0</v>
      </c>
      <c r="AK27" s="97">
        <v>1</v>
      </c>
      <c r="AL27" s="97">
        <v>0</v>
      </c>
      <c r="AM27" s="97">
        <v>0</v>
      </c>
      <c r="AN27" s="97">
        <v>0</v>
      </c>
      <c r="AO27" s="97">
        <v>0</v>
      </c>
      <c r="AP27" s="97">
        <v>0</v>
      </c>
      <c r="AQ27" s="97" t="s">
        <v>73</v>
      </c>
      <c r="AR27" t="s">
        <v>234</v>
      </c>
      <c r="AS27" s="97" t="s">
        <v>267</v>
      </c>
      <c r="AT27" s="109" t="s">
        <v>73</v>
      </c>
      <c r="AU27" s="21">
        <v>1.0802</v>
      </c>
      <c r="AV27" s="7" t="s">
        <v>80</v>
      </c>
      <c r="AW27" t="s">
        <v>73</v>
      </c>
      <c r="AX27">
        <v>1E-3</v>
      </c>
      <c r="AY27" s="17">
        <v>1</v>
      </c>
      <c r="AZ27" s="17">
        <v>3.5821000000000001</v>
      </c>
      <c r="BA27" s="98" t="s">
        <v>73</v>
      </c>
      <c r="BB27" s="98"/>
      <c r="BC27" s="98" t="s">
        <v>73</v>
      </c>
      <c r="BD27" s="98" t="s">
        <v>73</v>
      </c>
      <c r="BE27" s="98" t="s">
        <v>73</v>
      </c>
      <c r="BF27" s="98" t="s">
        <v>73</v>
      </c>
      <c r="BG27" s="98" t="s">
        <v>73</v>
      </c>
      <c r="BH27" s="98" t="s">
        <v>73</v>
      </c>
      <c r="BI27" s="17">
        <v>36</v>
      </c>
      <c r="BJ27" s="97">
        <v>8928</v>
      </c>
      <c r="BK27" s="97" t="s">
        <v>73</v>
      </c>
      <c r="BL27" s="97" t="s">
        <v>73</v>
      </c>
      <c r="BM27" s="97" t="s">
        <v>73</v>
      </c>
      <c r="BN27" s="97" t="s">
        <v>73</v>
      </c>
      <c r="BO27" s="97" t="s">
        <v>73</v>
      </c>
      <c r="BP27" s="97" t="s">
        <v>73</v>
      </c>
      <c r="BQ27" s="97" t="s">
        <v>73</v>
      </c>
      <c r="BR27" s="97" t="s">
        <v>73</v>
      </c>
      <c r="BS27" s="97" t="s">
        <v>73</v>
      </c>
      <c r="BT27" s="97" t="s">
        <v>73</v>
      </c>
      <c r="BU27" s="97">
        <v>0</v>
      </c>
      <c r="BV27" s="97">
        <v>0</v>
      </c>
      <c r="BW27" s="97">
        <v>0</v>
      </c>
      <c r="BX27" s="103">
        <f>((AZ27^2)/(AZ27^2+BI27))^(1/2)</f>
        <v>0.5126110197955529</v>
      </c>
      <c r="BY27" s="103">
        <f>0.5*LN((1+BX27)/(1-BX27))</f>
        <v>0.56626502857004413</v>
      </c>
      <c r="BZ27" s="103">
        <f>((1-(BY27^2)^2)/(BI27-1))</f>
        <v>2.5633705048672264E-2</v>
      </c>
      <c r="CA27" s="103">
        <f>1/(BI27-3)</f>
        <v>3.0303030303030304E-2</v>
      </c>
      <c r="CB27"/>
      <c r="CC27">
        <f>BI27-2</f>
        <v>34</v>
      </c>
      <c r="CD27"/>
      <c r="CE27" s="30">
        <f>((AZ27^2)/(AZ27^2+BJ27))^(1/2)</f>
        <v>3.788338276740591E-2</v>
      </c>
      <c r="CF27" s="30">
        <f>0.5*LN((1+CE27)/(1-CE27))</f>
        <v>3.7901521176417756E-2</v>
      </c>
      <c r="CG27" s="30">
        <f>((1-(CF27^2)^2)/(BJ27-1))</f>
        <v>1.1201948430548235E-4</v>
      </c>
      <c r="CH27" s="30">
        <f>1/(BJ27-3)</f>
        <v>1.1204481792717087E-4</v>
      </c>
    </row>
    <row r="28" spans="1:86" s="108" customFormat="1" ht="15.6">
      <c r="A28" s="11" t="s">
        <v>68</v>
      </c>
      <c r="B28" s="11"/>
      <c r="C28" s="94">
        <v>1126</v>
      </c>
      <c r="D28" s="97">
        <v>127</v>
      </c>
      <c r="E28" t="s">
        <v>261</v>
      </c>
      <c r="F28" s="96">
        <v>2021</v>
      </c>
      <c r="G28" t="s">
        <v>262</v>
      </c>
      <c r="H28" s="17" t="s">
        <v>263</v>
      </c>
      <c r="I28" s="97">
        <v>2</v>
      </c>
      <c r="J28">
        <v>2017</v>
      </c>
      <c r="K28" s="96" t="s">
        <v>73</v>
      </c>
      <c r="L28" s="97">
        <v>58</v>
      </c>
      <c r="M28" s="96" t="s">
        <v>155</v>
      </c>
      <c r="N28" s="97" t="s">
        <v>241</v>
      </c>
      <c r="O28" s="97" t="s">
        <v>264</v>
      </c>
      <c r="P28" t="s">
        <v>242</v>
      </c>
      <c r="Q28" t="s">
        <v>253</v>
      </c>
      <c r="R28" s="32" t="s">
        <v>259</v>
      </c>
      <c r="S28">
        <v>1</v>
      </c>
      <c r="T28" t="s">
        <v>265</v>
      </c>
      <c r="U28">
        <v>1</v>
      </c>
      <c r="V28" s="96" t="s">
        <v>230</v>
      </c>
      <c r="W28" s="96" t="s">
        <v>230</v>
      </c>
      <c r="X28" t="s">
        <v>245</v>
      </c>
      <c r="Y28" s="97">
        <v>0</v>
      </c>
      <c r="Z28" s="97">
        <v>1</v>
      </c>
      <c r="AA28" s="97">
        <v>1</v>
      </c>
      <c r="AB28" s="97">
        <v>0</v>
      </c>
      <c r="AC28" s="97">
        <v>0</v>
      </c>
      <c r="AD28" s="97">
        <v>0</v>
      </c>
      <c r="AE28" s="97">
        <v>0</v>
      </c>
      <c r="AF28">
        <v>0</v>
      </c>
      <c r="AG28" s="97" t="s">
        <v>266</v>
      </c>
      <c r="AH28" s="97">
        <v>0</v>
      </c>
      <c r="AI28" s="97">
        <v>0</v>
      </c>
      <c r="AJ28" s="97">
        <v>0</v>
      </c>
      <c r="AK28" s="97">
        <v>1</v>
      </c>
      <c r="AL28" s="97">
        <v>0</v>
      </c>
      <c r="AM28" s="97">
        <v>0</v>
      </c>
      <c r="AN28" s="97">
        <v>0</v>
      </c>
      <c r="AO28" s="97">
        <v>0</v>
      </c>
      <c r="AP28" s="97">
        <v>0</v>
      </c>
      <c r="AQ28" s="97" t="s">
        <v>73</v>
      </c>
      <c r="AR28" t="s">
        <v>234</v>
      </c>
      <c r="AS28" s="97" t="s">
        <v>267</v>
      </c>
      <c r="AT28" s="109" t="s">
        <v>73</v>
      </c>
      <c r="AU28" s="21">
        <v>0.60389999999999999</v>
      </c>
      <c r="AV28" s="7" t="s">
        <v>80</v>
      </c>
      <c r="AW28" t="s">
        <v>73</v>
      </c>
      <c r="AX28">
        <v>1E-3</v>
      </c>
      <c r="AY28" s="17">
        <v>1</v>
      </c>
      <c r="AZ28" s="17">
        <v>3.5821000000000001</v>
      </c>
      <c r="BA28" s="98" t="s">
        <v>73</v>
      </c>
      <c r="BB28" s="98"/>
      <c r="BC28" s="98" t="s">
        <v>73</v>
      </c>
      <c r="BD28" s="98" t="s">
        <v>73</v>
      </c>
      <c r="BE28" s="98" t="s">
        <v>73</v>
      </c>
      <c r="BF28" s="98" t="s">
        <v>73</v>
      </c>
      <c r="BG28" s="98" t="s">
        <v>73</v>
      </c>
      <c r="BH28" s="98" t="s">
        <v>73</v>
      </c>
      <c r="BI28" s="17">
        <v>36</v>
      </c>
      <c r="BJ28" s="97">
        <v>8928</v>
      </c>
      <c r="BK28" s="97" t="s">
        <v>73</v>
      </c>
      <c r="BL28" s="97" t="s">
        <v>73</v>
      </c>
      <c r="BM28" s="97" t="s">
        <v>73</v>
      </c>
      <c r="BN28" s="97" t="s">
        <v>73</v>
      </c>
      <c r="BO28" s="97" t="s">
        <v>73</v>
      </c>
      <c r="BP28" s="97" t="s">
        <v>73</v>
      </c>
      <c r="BQ28" s="97" t="s">
        <v>73</v>
      </c>
      <c r="BR28" s="97" t="s">
        <v>73</v>
      </c>
      <c r="BS28" s="97" t="s">
        <v>73</v>
      </c>
      <c r="BT28" s="97" t="s">
        <v>73</v>
      </c>
      <c r="BU28" s="97">
        <v>0</v>
      </c>
      <c r="BV28" s="97">
        <v>0</v>
      </c>
      <c r="BW28" s="97">
        <v>0</v>
      </c>
      <c r="BX28" s="103">
        <f>((AZ28^2)/(AZ28^2+BI28))^(1/2)</f>
        <v>0.5126110197955529</v>
      </c>
      <c r="BY28" s="103">
        <f>0.5*LN((1+BX28)/(1-BX28))</f>
        <v>0.56626502857004413</v>
      </c>
      <c r="BZ28" s="103">
        <f>((1-(BY28^2)^2)/(BI28-1))</f>
        <v>2.5633705048672264E-2</v>
      </c>
      <c r="CA28" s="103">
        <f>1/(BI28-3)</f>
        <v>3.0303030303030304E-2</v>
      </c>
      <c r="CB28"/>
      <c r="CC28">
        <f>BI28-2</f>
        <v>34</v>
      </c>
      <c r="CD28"/>
      <c r="CE28" s="30">
        <f>((AZ28^2)/(AZ28^2+BJ28))^(1/2)</f>
        <v>3.788338276740591E-2</v>
      </c>
      <c r="CF28" s="30">
        <f>0.5*LN((1+CE28)/(1-CE28))</f>
        <v>3.7901521176417756E-2</v>
      </c>
      <c r="CG28" s="30">
        <f>((1-(CF28^2)^2)/(BJ28-1))</f>
        <v>1.1201948430548235E-4</v>
      </c>
      <c r="CH28" s="30">
        <f>1/(BJ28-3)</f>
        <v>1.1204481792717087E-4</v>
      </c>
    </row>
    <row r="29" spans="1:86" s="108" customFormat="1" ht="15.6">
      <c r="A29" s="11" t="s">
        <v>68</v>
      </c>
      <c r="B29" s="11"/>
      <c r="C29" s="94">
        <v>1127</v>
      </c>
      <c r="D29" s="97">
        <v>127</v>
      </c>
      <c r="E29" t="s">
        <v>261</v>
      </c>
      <c r="F29" s="96">
        <v>2021</v>
      </c>
      <c r="G29" t="s">
        <v>262</v>
      </c>
      <c r="H29" s="17" t="s">
        <v>263</v>
      </c>
      <c r="I29" s="97">
        <v>2</v>
      </c>
      <c r="J29">
        <v>2017</v>
      </c>
      <c r="K29" s="96" t="s">
        <v>73</v>
      </c>
      <c r="L29" s="97">
        <v>58</v>
      </c>
      <c r="M29" s="96" t="s">
        <v>155</v>
      </c>
      <c r="N29" s="97" t="s">
        <v>241</v>
      </c>
      <c r="O29" s="97" t="s">
        <v>264</v>
      </c>
      <c r="P29" t="s">
        <v>242</v>
      </c>
      <c r="Q29" t="s">
        <v>253</v>
      </c>
      <c r="R29" s="32" t="s">
        <v>259</v>
      </c>
      <c r="S29">
        <v>1</v>
      </c>
      <c r="T29" t="s">
        <v>265</v>
      </c>
      <c r="U29">
        <v>1</v>
      </c>
      <c r="V29" s="96" t="s">
        <v>230</v>
      </c>
      <c r="W29" s="96" t="s">
        <v>230</v>
      </c>
      <c r="X29" t="s">
        <v>245</v>
      </c>
      <c r="Y29" s="97">
        <v>0</v>
      </c>
      <c r="Z29" s="97">
        <v>1</v>
      </c>
      <c r="AA29" s="97">
        <v>1</v>
      </c>
      <c r="AB29" s="97">
        <v>0</v>
      </c>
      <c r="AC29" s="97">
        <v>0</v>
      </c>
      <c r="AD29" s="97">
        <v>0</v>
      </c>
      <c r="AE29" s="97">
        <v>0</v>
      </c>
      <c r="AF29">
        <v>0</v>
      </c>
      <c r="AG29" s="97" t="s">
        <v>266</v>
      </c>
      <c r="AH29" s="97">
        <v>0</v>
      </c>
      <c r="AI29" s="97">
        <v>0</v>
      </c>
      <c r="AJ29" s="97">
        <v>0</v>
      </c>
      <c r="AK29" s="97">
        <v>1</v>
      </c>
      <c r="AL29" s="97">
        <v>0</v>
      </c>
      <c r="AM29" s="97">
        <v>0</v>
      </c>
      <c r="AN29" s="97">
        <v>0</v>
      </c>
      <c r="AO29" s="97">
        <v>0</v>
      </c>
      <c r="AP29" s="97">
        <v>0</v>
      </c>
      <c r="AQ29" s="97" t="s">
        <v>73</v>
      </c>
      <c r="AR29" t="s">
        <v>234</v>
      </c>
      <c r="AS29" s="97" t="s">
        <v>267</v>
      </c>
      <c r="AT29" s="109" t="s">
        <v>73</v>
      </c>
      <c r="AU29" s="21">
        <v>1.1668000000000001</v>
      </c>
      <c r="AV29" s="7" t="s">
        <v>80</v>
      </c>
      <c r="AW29" t="s">
        <v>73</v>
      </c>
      <c r="AX29">
        <v>1E-3</v>
      </c>
      <c r="AY29" s="17">
        <v>1</v>
      </c>
      <c r="AZ29" s="17">
        <v>3.5821000000000001</v>
      </c>
      <c r="BA29" s="98" t="s">
        <v>73</v>
      </c>
      <c r="BB29" s="98"/>
      <c r="BC29" s="98" t="s">
        <v>73</v>
      </c>
      <c r="BD29" s="98" t="s">
        <v>73</v>
      </c>
      <c r="BE29" s="98" t="s">
        <v>73</v>
      </c>
      <c r="BF29" s="98" t="s">
        <v>73</v>
      </c>
      <c r="BG29" s="98" t="s">
        <v>73</v>
      </c>
      <c r="BH29" s="98" t="s">
        <v>73</v>
      </c>
      <c r="BI29" s="17">
        <v>36</v>
      </c>
      <c r="BJ29" s="97">
        <v>8928</v>
      </c>
      <c r="BK29" s="97" t="s">
        <v>73</v>
      </c>
      <c r="BL29" s="97" t="s">
        <v>73</v>
      </c>
      <c r="BM29" s="97" t="s">
        <v>73</v>
      </c>
      <c r="BN29" s="97" t="s">
        <v>73</v>
      </c>
      <c r="BO29" s="97" t="s">
        <v>73</v>
      </c>
      <c r="BP29" s="97" t="s">
        <v>73</v>
      </c>
      <c r="BQ29" s="97" t="s">
        <v>73</v>
      </c>
      <c r="BR29" s="97" t="s">
        <v>73</v>
      </c>
      <c r="BS29" s="97" t="s">
        <v>73</v>
      </c>
      <c r="BT29" s="97" t="s">
        <v>73</v>
      </c>
      <c r="BU29" s="97">
        <v>0</v>
      </c>
      <c r="BV29" s="97">
        <v>0</v>
      </c>
      <c r="BW29" s="97">
        <v>0</v>
      </c>
      <c r="BX29" s="103">
        <f>((AZ29^2)/(AZ29^2+BI29))^(1/2)</f>
        <v>0.5126110197955529</v>
      </c>
      <c r="BY29" s="103">
        <f>0.5*LN((1+BX29)/(1-BX29))</f>
        <v>0.56626502857004413</v>
      </c>
      <c r="BZ29" s="103">
        <f>((1-(BY29^2)^2)/(BI29-1))</f>
        <v>2.5633705048672264E-2</v>
      </c>
      <c r="CA29" s="103">
        <f>1/(BI29-3)</f>
        <v>3.0303030303030304E-2</v>
      </c>
      <c r="CB29"/>
      <c r="CC29">
        <f>BI29-2</f>
        <v>34</v>
      </c>
      <c r="CD29"/>
      <c r="CE29" s="30">
        <f>((AZ29^2)/(AZ29^2+BJ29))^(1/2)</f>
        <v>3.788338276740591E-2</v>
      </c>
      <c r="CF29" s="30">
        <f>0.5*LN((1+CE29)/(1-CE29))</f>
        <v>3.7901521176417756E-2</v>
      </c>
      <c r="CG29" s="30">
        <f>((1-(CF29^2)^2)/(BJ29-1))</f>
        <v>1.1201948430548235E-4</v>
      </c>
      <c r="CH29" s="30">
        <f>1/(BJ29-3)</f>
        <v>1.1204481792717087E-4</v>
      </c>
    </row>
    <row r="30" spans="1:86" s="108" customFormat="1" ht="15.6">
      <c r="A30" s="11" t="s">
        <v>68</v>
      </c>
      <c r="B30" s="11"/>
      <c r="C30" s="96">
        <v>1155</v>
      </c>
      <c r="D30" s="97">
        <v>135</v>
      </c>
      <c r="E30" t="s">
        <v>268</v>
      </c>
      <c r="F30" s="96">
        <v>2014</v>
      </c>
      <c r="G30" t="s">
        <v>269</v>
      </c>
      <c r="H30" t="s">
        <v>270</v>
      </c>
      <c r="I30" s="97">
        <v>2</v>
      </c>
      <c r="J30">
        <v>2012</v>
      </c>
      <c r="K30" s="96" t="s">
        <v>73</v>
      </c>
      <c r="L30" s="97">
        <v>13</v>
      </c>
      <c r="M30" s="18" t="s">
        <v>271</v>
      </c>
      <c r="N30" t="s">
        <v>224</v>
      </c>
      <c r="O30" t="s">
        <v>272</v>
      </c>
      <c r="P30" t="s">
        <v>242</v>
      </c>
      <c r="Q30" t="s">
        <v>253</v>
      </c>
      <c r="R30" t="s">
        <v>259</v>
      </c>
      <c r="S30">
        <v>0</v>
      </c>
      <c r="T30" s="32" t="s">
        <v>265</v>
      </c>
      <c r="U30">
        <v>0</v>
      </c>
      <c r="V30" s="96" t="s">
        <v>230</v>
      </c>
      <c r="W30" s="96" t="s">
        <v>230</v>
      </c>
      <c r="X30" t="s">
        <v>245</v>
      </c>
      <c r="Y30" s="97">
        <v>0</v>
      </c>
      <c r="Z30" s="97">
        <v>0</v>
      </c>
      <c r="AA30" s="97">
        <v>1</v>
      </c>
      <c r="AB30" s="97">
        <v>0</v>
      </c>
      <c r="AC30" s="97">
        <v>0</v>
      </c>
      <c r="AD30" s="97">
        <v>0</v>
      </c>
      <c r="AE30" s="97">
        <v>0</v>
      </c>
      <c r="AF30" s="97">
        <v>0</v>
      </c>
      <c r="AG30" s="97" t="s">
        <v>273</v>
      </c>
      <c r="AH30" s="97">
        <v>0</v>
      </c>
      <c r="AI30" s="97">
        <v>0</v>
      </c>
      <c r="AJ30" s="97">
        <v>0</v>
      </c>
      <c r="AK30" s="97">
        <v>1</v>
      </c>
      <c r="AL30" s="97">
        <v>0</v>
      </c>
      <c r="AM30" s="97">
        <v>0</v>
      </c>
      <c r="AN30" s="97">
        <v>0</v>
      </c>
      <c r="AO30" s="97">
        <v>0</v>
      </c>
      <c r="AP30" s="97">
        <v>0</v>
      </c>
      <c r="AQ30" s="41" t="s">
        <v>274</v>
      </c>
      <c r="AR30" s="41" t="s">
        <v>234</v>
      </c>
      <c r="AS30" s="41" t="s">
        <v>275</v>
      </c>
      <c r="AT30" t="s">
        <v>73</v>
      </c>
      <c r="AU30" s="48">
        <v>15.91</v>
      </c>
      <c r="AV30" s="7" t="s">
        <v>80</v>
      </c>
      <c r="AW30" t="s">
        <v>73</v>
      </c>
      <c r="AX30" s="116">
        <v>1E-3</v>
      </c>
      <c r="AY30">
        <v>1</v>
      </c>
      <c r="AZ30">
        <f>TINV(AX30,CC30)</f>
        <v>3.3101701484367259</v>
      </c>
      <c r="BA30" s="98" t="s">
        <v>73</v>
      </c>
      <c r="BB30" s="98"/>
      <c r="BC30" s="98" t="s">
        <v>73</v>
      </c>
      <c r="BD30" s="98" t="s">
        <v>73</v>
      </c>
      <c r="BE30" s="98" t="s">
        <v>73</v>
      </c>
      <c r="BF30" s="98" t="s">
        <v>73</v>
      </c>
      <c r="BG30" s="98" t="s">
        <v>73</v>
      </c>
      <c r="BH30" s="98" t="s">
        <v>73</v>
      </c>
      <c r="BI30" s="97">
        <v>500</v>
      </c>
      <c r="BJ30" s="97">
        <v>2000</v>
      </c>
      <c r="BK30" s="97" t="s">
        <v>73</v>
      </c>
      <c r="BL30" s="97" t="s">
        <v>73</v>
      </c>
      <c r="BM30" s="97" t="s">
        <v>73</v>
      </c>
      <c r="BN30" s="97" t="s">
        <v>73</v>
      </c>
      <c r="BO30" s="97" t="s">
        <v>73</v>
      </c>
      <c r="BP30">
        <v>0</v>
      </c>
      <c r="BQ30" s="97" t="s">
        <v>73</v>
      </c>
      <c r="BR30">
        <v>1</v>
      </c>
      <c r="BS30" s="109" t="s">
        <v>73</v>
      </c>
      <c r="BT30" t="s">
        <v>249</v>
      </c>
      <c r="BU30" s="97">
        <v>0</v>
      </c>
      <c r="BV30" s="97">
        <v>0</v>
      </c>
      <c r="BW30" s="97">
        <v>1</v>
      </c>
      <c r="BX30" s="30">
        <f>((AZ30^2)/(AZ30^2+BI30))^(1/2)</f>
        <v>0.1464394351286451</v>
      </c>
      <c r="BY30" s="30">
        <f>0.5*LN((1+BX30)/(1-BX30))</f>
        <v>0.14749988735332095</v>
      </c>
      <c r="BZ30" s="30">
        <f>((1-(BY30^2)^2)/(BI30-1))</f>
        <v>2.0030594529697188E-3</v>
      </c>
      <c r="CA30" s="30">
        <f>1/(BI30-3)</f>
        <v>2.012072434607646E-3</v>
      </c>
      <c r="CB30"/>
      <c r="CC30">
        <f>BI30-2</f>
        <v>498</v>
      </c>
      <c r="CD30"/>
      <c r="CE30" s="30">
        <f>((AZ30^2)/(AZ30^2+BJ30))^(1/2)</f>
        <v>7.3815726974840262E-2</v>
      </c>
      <c r="CF30" s="30">
        <f>0.5*LN((1+CE30)/(1-CE30))</f>
        <v>7.395023508930447E-2</v>
      </c>
      <c r="CG30" s="30">
        <f>((1-(CF30^2)^2)/(BJ30-1))</f>
        <v>5.0023516458549868E-4</v>
      </c>
      <c r="CH30" s="30">
        <f>1/(BJ30-3)</f>
        <v>5.00751126690035E-4</v>
      </c>
    </row>
    <row r="31" spans="1:86" ht="15.75" customHeight="1">
      <c r="A31" s="11" t="s">
        <v>68</v>
      </c>
      <c r="B31" s="11"/>
      <c r="C31" s="96">
        <v>1156</v>
      </c>
      <c r="D31" s="97">
        <v>135</v>
      </c>
      <c r="E31" t="s">
        <v>268</v>
      </c>
      <c r="F31" s="96">
        <v>2014</v>
      </c>
      <c r="G31" t="s">
        <v>269</v>
      </c>
      <c r="H31" t="s">
        <v>270</v>
      </c>
      <c r="I31" s="97">
        <v>2</v>
      </c>
      <c r="J31">
        <v>2012</v>
      </c>
      <c r="K31" s="96" t="s">
        <v>73</v>
      </c>
      <c r="L31" s="97">
        <v>13</v>
      </c>
      <c r="M31" s="18" t="s">
        <v>276</v>
      </c>
      <c r="N31" t="s">
        <v>224</v>
      </c>
      <c r="O31" t="s">
        <v>272</v>
      </c>
      <c r="P31" t="s">
        <v>242</v>
      </c>
      <c r="Q31" t="s">
        <v>253</v>
      </c>
      <c r="R31" t="s">
        <v>259</v>
      </c>
      <c r="S31">
        <v>0</v>
      </c>
      <c r="T31" s="32" t="s">
        <v>265</v>
      </c>
      <c r="U31">
        <v>0</v>
      </c>
      <c r="V31" s="96" t="s">
        <v>230</v>
      </c>
      <c r="W31" s="96" t="s">
        <v>230</v>
      </c>
      <c r="X31" t="s">
        <v>245</v>
      </c>
      <c r="Y31" s="97">
        <v>0</v>
      </c>
      <c r="Z31" s="97">
        <v>0</v>
      </c>
      <c r="AA31" s="97">
        <v>1</v>
      </c>
      <c r="AB31" s="97">
        <v>0</v>
      </c>
      <c r="AC31" s="97">
        <v>0</v>
      </c>
      <c r="AD31" s="97">
        <v>0</v>
      </c>
      <c r="AE31" s="97">
        <v>0</v>
      </c>
      <c r="AF31" s="97">
        <v>0</v>
      </c>
      <c r="AG31" s="97" t="s">
        <v>273</v>
      </c>
      <c r="AH31" s="97">
        <v>0</v>
      </c>
      <c r="AI31" s="97">
        <v>0</v>
      </c>
      <c r="AJ31" s="97">
        <v>0</v>
      </c>
      <c r="AK31" s="97">
        <v>1</v>
      </c>
      <c r="AL31" s="97">
        <v>0</v>
      </c>
      <c r="AM31" s="97">
        <v>0</v>
      </c>
      <c r="AN31" s="97">
        <v>0</v>
      </c>
      <c r="AO31" s="97">
        <v>0</v>
      </c>
      <c r="AP31" s="97">
        <v>0</v>
      </c>
      <c r="AQ31" s="41" t="s">
        <v>274</v>
      </c>
      <c r="AR31" s="41" t="s">
        <v>234</v>
      </c>
      <c r="AS31" s="41" t="s">
        <v>275</v>
      </c>
      <c r="AT31" t="s">
        <v>73</v>
      </c>
      <c r="AU31" s="48">
        <v>13.19</v>
      </c>
      <c r="AV31" s="7" t="s">
        <v>80</v>
      </c>
      <c r="AW31" t="s">
        <v>73</v>
      </c>
      <c r="AX31">
        <v>0.01</v>
      </c>
      <c r="AY31">
        <v>3</v>
      </c>
      <c r="AZ31">
        <f>TINV(AX31,CC31)</f>
        <v>2.5857376110802122</v>
      </c>
      <c r="BA31" s="98" t="s">
        <v>73</v>
      </c>
      <c r="BB31" s="98"/>
      <c r="BC31" s="98" t="s">
        <v>73</v>
      </c>
      <c r="BD31" s="98" t="s">
        <v>73</v>
      </c>
      <c r="BE31" s="98" t="s">
        <v>73</v>
      </c>
      <c r="BF31" s="98" t="s">
        <v>73</v>
      </c>
      <c r="BG31" s="98" t="s">
        <v>73</v>
      </c>
      <c r="BH31" s="98" t="s">
        <v>73</v>
      </c>
      <c r="BI31" s="97">
        <v>500</v>
      </c>
      <c r="BJ31" s="97">
        <v>2000</v>
      </c>
      <c r="BK31" s="97" t="s">
        <v>73</v>
      </c>
      <c r="BL31" s="97" t="s">
        <v>73</v>
      </c>
      <c r="BM31" s="97" t="s">
        <v>73</v>
      </c>
      <c r="BN31" s="97" t="s">
        <v>73</v>
      </c>
      <c r="BO31" s="97" t="s">
        <v>73</v>
      </c>
      <c r="BP31">
        <v>0</v>
      </c>
      <c r="BQ31" s="97" t="s">
        <v>73</v>
      </c>
      <c r="BR31">
        <v>1</v>
      </c>
      <c r="BS31" s="109" t="s">
        <v>73</v>
      </c>
      <c r="BT31" t="s">
        <v>249</v>
      </c>
      <c r="BU31" s="97">
        <v>0</v>
      </c>
      <c r="BV31" s="97">
        <v>0</v>
      </c>
      <c r="BW31" s="97">
        <v>1</v>
      </c>
      <c r="BX31" s="30">
        <f>((AZ31^2)/(AZ31^2+BI31))^(1/2)</f>
        <v>0.11487221186750445</v>
      </c>
      <c r="BY31" s="30">
        <f>0.5*LN((1+BX31)/(1-BX31))</f>
        <v>0.11538152059067894</v>
      </c>
      <c r="BZ31" s="30">
        <f>((1-(BY31^2)^2)/(BI31-1))</f>
        <v>2.0036528393164244E-3</v>
      </c>
      <c r="CA31" s="30">
        <f>1/(BI31-3)</f>
        <v>2.012072434607646E-3</v>
      </c>
      <c r="CC31">
        <f>BI31-2</f>
        <v>498</v>
      </c>
      <c r="CE31" s="30">
        <f>((AZ31^2)/(AZ31^2+BJ31))^(1/2)</f>
        <v>5.7722447571881538E-2</v>
      </c>
      <c r="CF31" s="30">
        <f>0.5*LN((1+CE31)/(1-CE31))</f>
        <v>5.7786684145923431E-2</v>
      </c>
      <c r="CG31" s="30">
        <f>((1-(CF31^2)^2)/(BJ31-1))</f>
        <v>5.00244546808272E-4</v>
      </c>
      <c r="CH31" s="30">
        <f>1/(BJ31-3)</f>
        <v>5.00751126690035E-4</v>
      </c>
    </row>
    <row r="32" spans="1:86" ht="15.75" customHeight="1">
      <c r="A32" s="11" t="s">
        <v>68</v>
      </c>
      <c r="B32" s="11"/>
      <c r="C32" s="96">
        <v>1180</v>
      </c>
      <c r="D32" s="97">
        <v>142</v>
      </c>
      <c r="E32" s="44" t="s">
        <v>285</v>
      </c>
      <c r="F32" s="96">
        <v>2014</v>
      </c>
      <c r="G32" t="s">
        <v>286</v>
      </c>
      <c r="H32" t="s">
        <v>287</v>
      </c>
      <c r="I32" s="97">
        <v>2</v>
      </c>
      <c r="J32">
        <v>2011</v>
      </c>
      <c r="K32" s="96" t="s">
        <v>73</v>
      </c>
      <c r="L32">
        <v>582</v>
      </c>
      <c r="M32" s="96" t="s">
        <v>271</v>
      </c>
      <c r="N32" t="s">
        <v>224</v>
      </c>
      <c r="O32" s="96" t="s">
        <v>81</v>
      </c>
      <c r="P32" t="s">
        <v>242</v>
      </c>
      <c r="Q32" s="96" t="s">
        <v>253</v>
      </c>
      <c r="R32" t="s">
        <v>244</v>
      </c>
      <c r="S32">
        <v>1</v>
      </c>
      <c r="T32" s="32" t="s">
        <v>265</v>
      </c>
      <c r="U32">
        <v>1</v>
      </c>
      <c r="V32" s="96" t="s">
        <v>230</v>
      </c>
      <c r="W32" s="96" t="s">
        <v>230</v>
      </c>
      <c r="X32" t="s">
        <v>245</v>
      </c>
      <c r="Y32" s="97">
        <v>0</v>
      </c>
      <c r="Z32" s="97">
        <v>1</v>
      </c>
      <c r="AA32" s="97">
        <v>1</v>
      </c>
      <c r="AB32" s="97">
        <v>0</v>
      </c>
      <c r="AC32" s="97">
        <v>0</v>
      </c>
      <c r="AD32" s="97">
        <v>0</v>
      </c>
      <c r="AE32" s="97">
        <v>0</v>
      </c>
      <c r="AF32" s="97">
        <v>0</v>
      </c>
      <c r="AG32" t="s">
        <v>288</v>
      </c>
      <c r="AH32" s="97">
        <v>0</v>
      </c>
      <c r="AI32" s="97">
        <v>0</v>
      </c>
      <c r="AJ32" s="97">
        <v>0</v>
      </c>
      <c r="AK32" s="97">
        <v>0</v>
      </c>
      <c r="AL32" s="97">
        <v>0</v>
      </c>
      <c r="AM32" s="97">
        <v>0</v>
      </c>
      <c r="AN32" s="97">
        <v>1</v>
      </c>
      <c r="AO32" s="97">
        <v>0</v>
      </c>
      <c r="AP32" s="97">
        <v>0</v>
      </c>
      <c r="AQ32" s="102" t="s">
        <v>289</v>
      </c>
      <c r="AR32" t="s">
        <v>234</v>
      </c>
      <c r="AS32" t="s">
        <v>290</v>
      </c>
      <c r="AT32" t="s">
        <v>73</v>
      </c>
      <c r="AU32" s="105">
        <v>0.7</v>
      </c>
      <c r="AV32" s="7" t="s">
        <v>80</v>
      </c>
      <c r="AW32">
        <f>AU32/AZ32</f>
        <v>9.8591549295774641E-2</v>
      </c>
      <c r="AX32">
        <v>0.1</v>
      </c>
      <c r="AY32">
        <v>1</v>
      </c>
      <c r="AZ32">
        <v>7.1</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((AZ32^2)/(AZ32^2+BI32))^(1/2)</f>
        <v>0.2020824660717096</v>
      </c>
      <c r="BY32" s="30">
        <f>0.5*LN((1+BX32)/(1-BX32))</f>
        <v>0.20490273447739515</v>
      </c>
      <c r="BZ32" s="30">
        <f>((1-(BY32^2)^2)/(BI32-1))</f>
        <v>8.4381846898462422E-4</v>
      </c>
      <c r="CA32" s="30">
        <f>1/(BI32-3)</f>
        <v>8.4674005080440302E-4</v>
      </c>
      <c r="CC32">
        <f>BI32-2</f>
        <v>1182</v>
      </c>
      <c r="CE32" s="30">
        <f>((AZ32^2)/(AZ32^2+BJ32))^(1/2)</f>
        <v>0.2020824660717096</v>
      </c>
      <c r="CF32" s="30">
        <f>0.5*LN((1+CE32)/(1-CE32))</f>
        <v>0.20490273447739515</v>
      </c>
      <c r="CG32" s="30">
        <f>((1-(CF32^2)^2)/(BJ32-1))</f>
        <v>8.4381846898462422E-4</v>
      </c>
      <c r="CH32" s="30">
        <f>1/(BJ32-3)</f>
        <v>8.4674005080440302E-4</v>
      </c>
    </row>
    <row r="33" spans="1:86" ht="15.75" customHeight="1">
      <c r="A33" s="11" t="s">
        <v>68</v>
      </c>
      <c r="B33" s="11"/>
      <c r="C33" s="96">
        <v>1181</v>
      </c>
      <c r="D33" s="97">
        <v>142</v>
      </c>
      <c r="E33" s="44" t="s">
        <v>285</v>
      </c>
      <c r="F33" s="96">
        <v>2014</v>
      </c>
      <c r="G33" t="s">
        <v>286</v>
      </c>
      <c r="H33" t="s">
        <v>287</v>
      </c>
      <c r="I33" s="97">
        <v>2</v>
      </c>
      <c r="J33">
        <v>2011</v>
      </c>
      <c r="K33" s="96" t="s">
        <v>73</v>
      </c>
      <c r="L33">
        <v>582</v>
      </c>
      <c r="M33" s="96" t="s">
        <v>271</v>
      </c>
      <c r="N33" t="s">
        <v>224</v>
      </c>
      <c r="O33" s="96" t="s">
        <v>81</v>
      </c>
      <c r="P33" t="s">
        <v>242</v>
      </c>
      <c r="Q33" s="96" t="s">
        <v>253</v>
      </c>
      <c r="R33" t="s">
        <v>244</v>
      </c>
      <c r="S33">
        <v>1</v>
      </c>
      <c r="T33" s="32" t="s">
        <v>265</v>
      </c>
      <c r="U33">
        <v>1</v>
      </c>
      <c r="V33" s="96" t="s">
        <v>230</v>
      </c>
      <c r="W33" s="96" t="s">
        <v>230</v>
      </c>
      <c r="X33" t="s">
        <v>245</v>
      </c>
      <c r="Y33" s="97">
        <v>0</v>
      </c>
      <c r="Z33" s="97">
        <v>1</v>
      </c>
      <c r="AA33" s="97">
        <v>1</v>
      </c>
      <c r="AB33" s="97">
        <v>0</v>
      </c>
      <c r="AC33" s="97">
        <v>0</v>
      </c>
      <c r="AD33" s="97">
        <v>0</v>
      </c>
      <c r="AE33" s="97">
        <v>0</v>
      </c>
      <c r="AF33" s="97">
        <v>0</v>
      </c>
      <c r="AG33" t="s">
        <v>291</v>
      </c>
      <c r="AH33" s="97">
        <v>0</v>
      </c>
      <c r="AI33" s="97">
        <v>0</v>
      </c>
      <c r="AJ33" s="97">
        <v>0</v>
      </c>
      <c r="AK33" s="97">
        <v>0</v>
      </c>
      <c r="AL33" s="97">
        <v>0</v>
      </c>
      <c r="AM33" s="97">
        <v>0</v>
      </c>
      <c r="AN33" s="97">
        <v>1</v>
      </c>
      <c r="AO33" s="97">
        <v>0</v>
      </c>
      <c r="AP33" s="97">
        <v>0</v>
      </c>
      <c r="AQ33" s="102" t="s">
        <v>289</v>
      </c>
      <c r="AR33" t="s">
        <v>234</v>
      </c>
      <c r="AS33" t="s">
        <v>290</v>
      </c>
      <c r="AT33" t="s">
        <v>73</v>
      </c>
      <c r="AU33" s="105">
        <v>0.111</v>
      </c>
      <c r="AV33" s="7" t="s">
        <v>80</v>
      </c>
      <c r="AW33">
        <f>AU33/AZ33</f>
        <v>0.15416666666666667</v>
      </c>
      <c r="AX33">
        <v>0.1</v>
      </c>
      <c r="AY33">
        <v>2</v>
      </c>
      <c r="AZ33">
        <v>0.72</v>
      </c>
      <c r="BA33" t="s">
        <v>73</v>
      </c>
      <c r="BC33" t="s">
        <v>73</v>
      </c>
      <c r="BD33" t="s">
        <v>73</v>
      </c>
      <c r="BE33" t="s">
        <v>73</v>
      </c>
      <c r="BF33" t="s">
        <v>73</v>
      </c>
      <c r="BG33" t="s">
        <v>73</v>
      </c>
      <c r="BH33" t="s">
        <v>73</v>
      </c>
      <c r="BI33">
        <v>1184</v>
      </c>
      <c r="BJ33">
        <v>1184</v>
      </c>
      <c r="BK33" t="s">
        <v>73</v>
      </c>
      <c r="BL33" t="s">
        <v>73</v>
      </c>
      <c r="BM33" s="97" t="s">
        <v>73</v>
      </c>
      <c r="BN33" s="97" t="s">
        <v>73</v>
      </c>
      <c r="BO33" s="97" t="s">
        <v>73</v>
      </c>
      <c r="BP33">
        <v>1</v>
      </c>
      <c r="BQ33">
        <v>288</v>
      </c>
      <c r="BR33">
        <v>0</v>
      </c>
      <c r="BS33" s="97" t="s">
        <v>73</v>
      </c>
      <c r="BT33" s="97" t="s">
        <v>73</v>
      </c>
      <c r="BU33" s="97">
        <v>1</v>
      </c>
      <c r="BV33" s="97">
        <v>0</v>
      </c>
      <c r="BW33" s="97">
        <v>1</v>
      </c>
      <c r="BX33" s="30">
        <f>((AZ33^2)/(AZ33^2+BI33))^(1/2)</f>
        <v>2.0919995692237577E-2</v>
      </c>
      <c r="BY33" s="30">
        <f>0.5*LN((1+BX33)/(1-BX33))</f>
        <v>2.0923048346211292E-2</v>
      </c>
      <c r="BZ33" s="30">
        <f>((1-(BY33^2)^2)/(BI33-1))</f>
        <v>8.453083756162019E-4</v>
      </c>
      <c r="CA33" s="30">
        <f>1/(BI33-3)</f>
        <v>8.4674005080440302E-4</v>
      </c>
      <c r="CC33">
        <f>BI33-2</f>
        <v>1182</v>
      </c>
      <c r="CE33" s="30">
        <f>((AZ33^2)/(AZ33^2+BJ33))^(1/2)</f>
        <v>2.0919995692237577E-2</v>
      </c>
      <c r="CF33" s="30">
        <f>0.5*LN((1+CE33)/(1-CE33))</f>
        <v>2.0923048346211292E-2</v>
      </c>
      <c r="CG33" s="30">
        <f>((1-(CF33^2)^2)/(BJ33-1))</f>
        <v>8.453083756162019E-4</v>
      </c>
      <c r="CH33" s="30">
        <f>1/(BJ33-3)</f>
        <v>8.4674005080440302E-4</v>
      </c>
    </row>
    <row r="34" spans="1:86" ht="15.6">
      <c r="A34" s="11" t="s">
        <v>68</v>
      </c>
      <c r="B34" s="11"/>
      <c r="C34" s="96">
        <v>1182</v>
      </c>
      <c r="D34" s="97">
        <v>142</v>
      </c>
      <c r="E34" s="44" t="s">
        <v>285</v>
      </c>
      <c r="F34" s="96">
        <v>2014</v>
      </c>
      <c r="G34" t="s">
        <v>286</v>
      </c>
      <c r="H34" t="s">
        <v>287</v>
      </c>
      <c r="I34" s="97">
        <v>2</v>
      </c>
      <c r="J34">
        <v>2011</v>
      </c>
      <c r="K34" s="96" t="s">
        <v>73</v>
      </c>
      <c r="L34">
        <v>582</v>
      </c>
      <c r="M34" s="96" t="s">
        <v>271</v>
      </c>
      <c r="N34" t="s">
        <v>224</v>
      </c>
      <c r="O34" s="96" t="s">
        <v>81</v>
      </c>
      <c r="P34" t="s">
        <v>242</v>
      </c>
      <c r="Q34" s="96" t="s">
        <v>253</v>
      </c>
      <c r="R34" t="s">
        <v>244</v>
      </c>
      <c r="S34">
        <v>1</v>
      </c>
      <c r="T34" s="32" t="s">
        <v>265</v>
      </c>
      <c r="U34">
        <v>1</v>
      </c>
      <c r="V34" s="96" t="s">
        <v>230</v>
      </c>
      <c r="W34" s="96" t="s">
        <v>230</v>
      </c>
      <c r="X34" t="s">
        <v>245</v>
      </c>
      <c r="Y34" s="97">
        <v>0</v>
      </c>
      <c r="Z34" s="97">
        <v>0</v>
      </c>
      <c r="AA34" s="97">
        <v>1</v>
      </c>
      <c r="AB34" s="97">
        <v>0</v>
      </c>
      <c r="AC34" s="97">
        <v>0</v>
      </c>
      <c r="AD34" s="97">
        <v>0</v>
      </c>
      <c r="AE34" s="97">
        <v>0</v>
      </c>
      <c r="AF34" s="97">
        <v>0</v>
      </c>
      <c r="AG34" t="s">
        <v>292</v>
      </c>
      <c r="AH34" s="97">
        <v>0</v>
      </c>
      <c r="AI34" s="97">
        <v>0</v>
      </c>
      <c r="AJ34" s="97">
        <v>0</v>
      </c>
      <c r="AK34" s="97">
        <v>0</v>
      </c>
      <c r="AL34" s="97">
        <v>0</v>
      </c>
      <c r="AM34" s="97">
        <v>0</v>
      </c>
      <c r="AN34" s="97">
        <v>1</v>
      </c>
      <c r="AO34" s="97">
        <v>0</v>
      </c>
      <c r="AP34" s="97">
        <v>0</v>
      </c>
      <c r="AQ34" s="102" t="s">
        <v>289</v>
      </c>
      <c r="AR34" t="s">
        <v>234</v>
      </c>
      <c r="AS34" t="s">
        <v>290</v>
      </c>
      <c r="AT34" t="s">
        <v>73</v>
      </c>
      <c r="AU34" s="105">
        <v>0.13200000000000001</v>
      </c>
      <c r="AV34" s="7" t="s">
        <v>86</v>
      </c>
      <c r="AW34">
        <f>AU34/AZ34</f>
        <v>0.11478260869565218</v>
      </c>
      <c r="AX34">
        <v>0.1</v>
      </c>
      <c r="AY34">
        <v>2</v>
      </c>
      <c r="AZ34">
        <v>1.1499999999999999</v>
      </c>
      <c r="BA34" t="s">
        <v>73</v>
      </c>
      <c r="BC34" t="s">
        <v>73</v>
      </c>
      <c r="BD34" t="s">
        <v>73</v>
      </c>
      <c r="BE34" t="s">
        <v>73</v>
      </c>
      <c r="BF34" t="s">
        <v>73</v>
      </c>
      <c r="BG34" t="s">
        <v>73</v>
      </c>
      <c r="BH34" t="s">
        <v>73</v>
      </c>
      <c r="BI34">
        <v>1184</v>
      </c>
      <c r="BJ34">
        <v>1184</v>
      </c>
      <c r="BK34" t="s">
        <v>73</v>
      </c>
      <c r="BL34" t="s">
        <v>73</v>
      </c>
      <c r="BM34" s="97" t="s">
        <v>73</v>
      </c>
      <c r="BN34" s="97" t="s">
        <v>73</v>
      </c>
      <c r="BO34" s="97" t="s">
        <v>73</v>
      </c>
      <c r="BP34">
        <v>1</v>
      </c>
      <c r="BQ34">
        <v>288</v>
      </c>
      <c r="BR34">
        <v>0</v>
      </c>
      <c r="BS34" s="97" t="s">
        <v>73</v>
      </c>
      <c r="BT34" s="97" t="s">
        <v>73</v>
      </c>
      <c r="BU34" s="97">
        <v>1</v>
      </c>
      <c r="BV34" s="97">
        <v>0</v>
      </c>
      <c r="BW34" s="97">
        <v>1</v>
      </c>
      <c r="BX34" s="30">
        <f>((AZ34^2)/(AZ34^2+BI34))^(1/2)</f>
        <v>3.3402546418006968E-2</v>
      </c>
      <c r="BY34" s="30">
        <f>0.5*LN((1+BX34)/(1-BX34))</f>
        <v>3.341497748312889E-2</v>
      </c>
      <c r="BZ34" s="30">
        <f>((1-(BY34^2)^2)/(BI34-1))</f>
        <v>8.4530748376344727E-4</v>
      </c>
      <c r="CA34" s="30">
        <f>1/(BI34-3)</f>
        <v>8.4674005080440302E-4</v>
      </c>
      <c r="CC34">
        <f>BI34-2</f>
        <v>1182</v>
      </c>
      <c r="CE34" s="30">
        <f>((AZ34^2)/(AZ34^2+BJ34))^(1/2)</f>
        <v>3.3402546418006968E-2</v>
      </c>
      <c r="CF34" s="30">
        <f>0.5*LN((1+CE34)/(1-CE34))</f>
        <v>3.341497748312889E-2</v>
      </c>
      <c r="CG34" s="30">
        <f>((1-(CF34^2)^2)/(BJ34-1))</f>
        <v>8.4530748376344727E-4</v>
      </c>
      <c r="CH34" s="30">
        <f>1/(BJ34-3)</f>
        <v>8.4674005080440302E-4</v>
      </c>
    </row>
    <row r="35" spans="1:86" ht="15.6">
      <c r="A35" s="11" t="s">
        <v>68</v>
      </c>
      <c r="B35" s="11"/>
      <c r="C35" s="96">
        <v>1183</v>
      </c>
      <c r="D35" s="97">
        <v>142</v>
      </c>
      <c r="E35" s="44" t="s">
        <v>285</v>
      </c>
      <c r="F35" s="96">
        <v>2014</v>
      </c>
      <c r="G35" t="s">
        <v>286</v>
      </c>
      <c r="H35" t="s">
        <v>287</v>
      </c>
      <c r="I35" s="97">
        <v>2</v>
      </c>
      <c r="J35">
        <v>2011</v>
      </c>
      <c r="K35" s="96" t="s">
        <v>73</v>
      </c>
      <c r="L35">
        <v>582</v>
      </c>
      <c r="M35" s="96" t="s">
        <v>271</v>
      </c>
      <c r="N35" t="s">
        <v>224</v>
      </c>
      <c r="O35" s="96" t="s">
        <v>81</v>
      </c>
      <c r="P35" t="s">
        <v>242</v>
      </c>
      <c r="Q35" s="96" t="s">
        <v>253</v>
      </c>
      <c r="R35" t="s">
        <v>244</v>
      </c>
      <c r="S35">
        <v>1</v>
      </c>
      <c r="T35" s="32" t="s">
        <v>265</v>
      </c>
      <c r="U35">
        <v>1</v>
      </c>
      <c r="V35" s="96" t="s">
        <v>230</v>
      </c>
      <c r="W35" s="96" t="s">
        <v>230</v>
      </c>
      <c r="X35" t="s">
        <v>245</v>
      </c>
      <c r="Y35" s="97">
        <v>0</v>
      </c>
      <c r="Z35" s="97">
        <v>0</v>
      </c>
      <c r="AA35" s="97">
        <v>1</v>
      </c>
      <c r="AB35" s="97">
        <v>0</v>
      </c>
      <c r="AC35" s="97">
        <v>0</v>
      </c>
      <c r="AD35" s="97">
        <v>0</v>
      </c>
      <c r="AE35" s="97">
        <v>0</v>
      </c>
      <c r="AF35" s="97">
        <v>0</v>
      </c>
      <c r="AG35" t="s">
        <v>293</v>
      </c>
      <c r="AH35" s="97">
        <v>0</v>
      </c>
      <c r="AI35" s="97">
        <v>0</v>
      </c>
      <c r="AJ35" s="97">
        <v>0</v>
      </c>
      <c r="AK35" s="97">
        <v>0</v>
      </c>
      <c r="AL35" s="97">
        <v>0</v>
      </c>
      <c r="AM35" s="97">
        <v>0</v>
      </c>
      <c r="AN35" s="97">
        <v>1</v>
      </c>
      <c r="AO35" s="97">
        <v>0</v>
      </c>
      <c r="AP35" s="97">
        <v>0</v>
      </c>
      <c r="AQ35" s="102" t="s">
        <v>289</v>
      </c>
      <c r="AR35" t="s">
        <v>234</v>
      </c>
      <c r="AS35" t="s">
        <v>290</v>
      </c>
      <c r="AT35" t="s">
        <v>73</v>
      </c>
      <c r="AU35" s="105">
        <v>0.152</v>
      </c>
      <c r="AV35" s="7" t="s">
        <v>86</v>
      </c>
      <c r="AW35">
        <f>AU35/AZ35</f>
        <v>0.14476190476190476</v>
      </c>
      <c r="AX35">
        <v>0.1</v>
      </c>
      <c r="AY35">
        <v>2</v>
      </c>
      <c r="AZ35">
        <v>1.05</v>
      </c>
      <c r="BA35" t="s">
        <v>73</v>
      </c>
      <c r="BC35" t="s">
        <v>73</v>
      </c>
      <c r="BD35" t="s">
        <v>73</v>
      </c>
      <c r="BE35" t="s">
        <v>73</v>
      </c>
      <c r="BF35" t="s">
        <v>73</v>
      </c>
      <c r="BG35" t="s">
        <v>73</v>
      </c>
      <c r="BH35" t="s">
        <v>73</v>
      </c>
      <c r="BI35">
        <v>1184</v>
      </c>
      <c r="BJ35">
        <v>1184</v>
      </c>
      <c r="BK35" t="s">
        <v>73</v>
      </c>
      <c r="BL35" t="s">
        <v>73</v>
      </c>
      <c r="BM35" s="97" t="s">
        <v>73</v>
      </c>
      <c r="BN35" s="97" t="s">
        <v>73</v>
      </c>
      <c r="BO35" s="97" t="s">
        <v>73</v>
      </c>
      <c r="BP35">
        <v>1</v>
      </c>
      <c r="BQ35">
        <v>288</v>
      </c>
      <c r="BR35">
        <v>0</v>
      </c>
      <c r="BS35" s="97" t="s">
        <v>73</v>
      </c>
      <c r="BT35" s="97" t="s">
        <v>73</v>
      </c>
      <c r="BU35" s="97">
        <v>1</v>
      </c>
      <c r="BV35" s="97">
        <v>0</v>
      </c>
      <c r="BW35" s="97">
        <v>1</v>
      </c>
      <c r="BX35" s="30">
        <f>((AZ35^2)/(AZ35^2+BI35))^(1/2)</f>
        <v>3.050080782390133E-2</v>
      </c>
      <c r="BY35" s="30">
        <f>0.5*LN((1+BX35)/(1-BX35))</f>
        <v>3.0510271400002755E-2</v>
      </c>
      <c r="BZ35" s="30">
        <f>((1-(BY35^2)^2)/(BI35-1))</f>
        <v>8.453078051298751E-4</v>
      </c>
      <c r="CA35" s="30">
        <f>1/(BI35-3)</f>
        <v>8.4674005080440302E-4</v>
      </c>
      <c r="CC35">
        <f>BI35-2</f>
        <v>1182</v>
      </c>
      <c r="CE35" s="30">
        <f>((AZ35^2)/(AZ35^2+BJ35))^(1/2)</f>
        <v>3.050080782390133E-2</v>
      </c>
      <c r="CF35" s="30">
        <f>0.5*LN((1+CE35)/(1-CE35))</f>
        <v>3.0510271400002755E-2</v>
      </c>
      <c r="CG35" s="30">
        <f>((1-(CF35^2)^2)/(BJ35-1))</f>
        <v>8.453078051298751E-4</v>
      </c>
      <c r="CH35" s="30">
        <f>1/(BJ35-3)</f>
        <v>8.4674005080440302E-4</v>
      </c>
    </row>
    <row r="36" spans="1:86" ht="15.6">
      <c r="A36" s="11" t="s">
        <v>68</v>
      </c>
      <c r="B36" s="11"/>
      <c r="C36" s="96">
        <v>1184</v>
      </c>
      <c r="D36" s="97">
        <v>142</v>
      </c>
      <c r="E36" s="44" t="s">
        <v>285</v>
      </c>
      <c r="F36" s="96">
        <v>2014</v>
      </c>
      <c r="G36" t="s">
        <v>286</v>
      </c>
      <c r="H36" t="s">
        <v>287</v>
      </c>
      <c r="I36" s="97">
        <v>2</v>
      </c>
      <c r="J36">
        <v>2011</v>
      </c>
      <c r="K36" s="96" t="s">
        <v>73</v>
      </c>
      <c r="L36">
        <v>582</v>
      </c>
      <c r="M36" s="96" t="s">
        <v>271</v>
      </c>
      <c r="N36" t="s">
        <v>224</v>
      </c>
      <c r="O36" s="96" t="s">
        <v>81</v>
      </c>
      <c r="P36" t="s">
        <v>242</v>
      </c>
      <c r="Q36" s="96" t="s">
        <v>253</v>
      </c>
      <c r="R36" t="s">
        <v>244</v>
      </c>
      <c r="S36">
        <v>1</v>
      </c>
      <c r="T36" s="32" t="s">
        <v>265</v>
      </c>
      <c r="U36">
        <v>1</v>
      </c>
      <c r="V36" s="96" t="s">
        <v>230</v>
      </c>
      <c r="W36" s="96" t="s">
        <v>230</v>
      </c>
      <c r="X36" t="s">
        <v>245</v>
      </c>
      <c r="Y36" s="97">
        <v>0</v>
      </c>
      <c r="Z36" s="97">
        <v>1</v>
      </c>
      <c r="AA36" s="97">
        <v>1</v>
      </c>
      <c r="AB36" s="97">
        <v>0</v>
      </c>
      <c r="AC36" s="97">
        <v>0</v>
      </c>
      <c r="AD36" s="97">
        <v>0</v>
      </c>
      <c r="AE36" s="97">
        <v>0</v>
      </c>
      <c r="AF36" s="97">
        <v>0</v>
      </c>
      <c r="AG36" t="s">
        <v>294</v>
      </c>
      <c r="AH36" s="97">
        <v>0</v>
      </c>
      <c r="AI36" s="97">
        <v>0</v>
      </c>
      <c r="AJ36" s="97">
        <v>0</v>
      </c>
      <c r="AK36" s="97">
        <v>0</v>
      </c>
      <c r="AL36" s="97">
        <v>0</v>
      </c>
      <c r="AM36" s="97">
        <v>0</v>
      </c>
      <c r="AN36" s="97">
        <v>1</v>
      </c>
      <c r="AO36" s="97">
        <v>0</v>
      </c>
      <c r="AP36" s="97">
        <v>0</v>
      </c>
      <c r="AQ36" s="102" t="s">
        <v>289</v>
      </c>
      <c r="AR36" t="s">
        <v>234</v>
      </c>
      <c r="AS36" t="s">
        <v>290</v>
      </c>
      <c r="AT36" t="s">
        <v>73</v>
      </c>
      <c r="AU36" s="105">
        <v>0.34</v>
      </c>
      <c r="AV36" s="7" t="s">
        <v>80</v>
      </c>
      <c r="AW36">
        <f>AU36/AZ36</f>
        <v>0.15044247787610621</v>
      </c>
      <c r="AX36">
        <v>0.1</v>
      </c>
      <c r="AY36">
        <v>1</v>
      </c>
      <c r="AZ36">
        <v>2.2599999999999998</v>
      </c>
      <c r="BA36" t="s">
        <v>73</v>
      </c>
      <c r="BC36" t="s">
        <v>73</v>
      </c>
      <c r="BD36" t="s">
        <v>73</v>
      </c>
      <c r="BE36" t="s">
        <v>73</v>
      </c>
      <c r="BF36" t="s">
        <v>73</v>
      </c>
      <c r="BG36" t="s">
        <v>73</v>
      </c>
      <c r="BH36" t="s">
        <v>73</v>
      </c>
      <c r="BI36">
        <v>1184</v>
      </c>
      <c r="BJ36">
        <v>1184</v>
      </c>
      <c r="BK36" t="s">
        <v>73</v>
      </c>
      <c r="BL36" t="s">
        <v>73</v>
      </c>
      <c r="BM36" s="97" t="s">
        <v>73</v>
      </c>
      <c r="BN36" s="97" t="s">
        <v>73</v>
      </c>
      <c r="BO36" s="97" t="s">
        <v>73</v>
      </c>
      <c r="BP36">
        <v>1</v>
      </c>
      <c r="BQ36">
        <v>288</v>
      </c>
      <c r="BR36">
        <v>0</v>
      </c>
      <c r="BS36" s="97" t="s">
        <v>73</v>
      </c>
      <c r="BT36" s="97" t="s">
        <v>73</v>
      </c>
      <c r="BU36" s="97">
        <v>1</v>
      </c>
      <c r="BV36" s="97">
        <v>0</v>
      </c>
      <c r="BW36" s="97">
        <v>1</v>
      </c>
      <c r="BX36" s="30">
        <f>((AZ36^2)/(AZ36^2+BI36))^(1/2)</f>
        <v>6.5538705898597463E-2</v>
      </c>
      <c r="BY36" s="30">
        <f>0.5*LN((1+BX36)/(1-BX36))</f>
        <v>6.563278509260187E-2</v>
      </c>
      <c r="BZ36" s="30">
        <f>((1-(BY36^2)^2)/(BI36-1))</f>
        <v>8.4529285210817155E-4</v>
      </c>
      <c r="CA36" s="30">
        <f>1/(BI36-3)</f>
        <v>8.4674005080440302E-4</v>
      </c>
      <c r="CC36">
        <f>BI36-2</f>
        <v>1182</v>
      </c>
      <c r="CE36" s="30">
        <f>((AZ36^2)/(AZ36^2+BJ36))^(1/2)</f>
        <v>6.5538705898597463E-2</v>
      </c>
      <c r="CF36" s="30">
        <f>0.5*LN((1+CE36)/(1-CE36))</f>
        <v>6.563278509260187E-2</v>
      </c>
      <c r="CG36" s="30">
        <f>((1-(CF36^2)^2)/(BJ36-1))</f>
        <v>8.4529285210817155E-4</v>
      </c>
      <c r="CH36" s="30">
        <f>1/(BJ36-3)</f>
        <v>8.4674005080440302E-4</v>
      </c>
    </row>
    <row r="37" spans="1:86" ht="15.6">
      <c r="A37" s="11" t="s">
        <v>68</v>
      </c>
      <c r="B37" s="11"/>
      <c r="C37" s="96">
        <v>1185</v>
      </c>
      <c r="D37" s="97">
        <v>142</v>
      </c>
      <c r="E37" s="44" t="s">
        <v>285</v>
      </c>
      <c r="F37" s="96">
        <v>2014</v>
      </c>
      <c r="G37" t="s">
        <v>286</v>
      </c>
      <c r="H37" t="s">
        <v>287</v>
      </c>
      <c r="I37" s="97">
        <v>2</v>
      </c>
      <c r="J37">
        <v>2011</v>
      </c>
      <c r="K37" s="96" t="s">
        <v>73</v>
      </c>
      <c r="L37">
        <v>582</v>
      </c>
      <c r="M37" s="96" t="s">
        <v>271</v>
      </c>
      <c r="N37" t="s">
        <v>224</v>
      </c>
      <c r="O37" s="96" t="s">
        <v>81</v>
      </c>
      <c r="P37" t="s">
        <v>242</v>
      </c>
      <c r="Q37" s="96" t="s">
        <v>253</v>
      </c>
      <c r="R37" t="s">
        <v>244</v>
      </c>
      <c r="S37">
        <v>1</v>
      </c>
      <c r="T37" s="32" t="s">
        <v>265</v>
      </c>
      <c r="U37">
        <v>1</v>
      </c>
      <c r="V37" s="96" t="s">
        <v>230</v>
      </c>
      <c r="W37" s="96" t="s">
        <v>230</v>
      </c>
      <c r="X37" t="s">
        <v>245</v>
      </c>
      <c r="Y37" s="97">
        <v>0</v>
      </c>
      <c r="Z37" s="97">
        <v>1</v>
      </c>
      <c r="AA37" s="97">
        <v>1</v>
      </c>
      <c r="AB37" s="97">
        <v>0</v>
      </c>
      <c r="AC37" s="97">
        <v>0</v>
      </c>
      <c r="AD37" s="97">
        <v>0</v>
      </c>
      <c r="AE37" s="97">
        <v>0</v>
      </c>
      <c r="AF37" s="97">
        <v>0</v>
      </c>
      <c r="AG37" t="s">
        <v>295</v>
      </c>
      <c r="AH37" s="97">
        <v>0</v>
      </c>
      <c r="AI37" s="97">
        <v>0</v>
      </c>
      <c r="AJ37" s="97">
        <v>0</v>
      </c>
      <c r="AK37" s="97">
        <v>0</v>
      </c>
      <c r="AL37" s="97">
        <v>0</v>
      </c>
      <c r="AM37" s="97">
        <v>0</v>
      </c>
      <c r="AN37" s="97">
        <v>1</v>
      </c>
      <c r="AO37" s="97">
        <v>0</v>
      </c>
      <c r="AP37" s="97">
        <v>0</v>
      </c>
      <c r="AQ37" s="102" t="s">
        <v>289</v>
      </c>
      <c r="AR37" t="s">
        <v>234</v>
      </c>
      <c r="AS37" t="s">
        <v>290</v>
      </c>
      <c r="AT37" t="s">
        <v>73</v>
      </c>
      <c r="AU37" s="105">
        <v>0.249</v>
      </c>
      <c r="AV37" s="7" t="s">
        <v>80</v>
      </c>
      <c r="AW37">
        <f>AU37/AZ37</f>
        <v>0.13387096774193546</v>
      </c>
      <c r="AX37">
        <v>0.1</v>
      </c>
      <c r="AY37">
        <v>1</v>
      </c>
      <c r="AZ37">
        <v>1.86</v>
      </c>
      <c r="BA37" t="s">
        <v>73</v>
      </c>
      <c r="BC37" t="s">
        <v>73</v>
      </c>
      <c r="BD37" t="s">
        <v>73</v>
      </c>
      <c r="BE37" t="s">
        <v>73</v>
      </c>
      <c r="BF37" t="s">
        <v>73</v>
      </c>
      <c r="BG37" t="s">
        <v>73</v>
      </c>
      <c r="BH37" t="s">
        <v>73</v>
      </c>
      <c r="BI37">
        <v>1184</v>
      </c>
      <c r="BJ37">
        <v>1184</v>
      </c>
      <c r="BK37" t="s">
        <v>73</v>
      </c>
      <c r="BL37" t="s">
        <v>73</v>
      </c>
      <c r="BM37" s="97" t="s">
        <v>73</v>
      </c>
      <c r="BN37" s="97" t="s">
        <v>73</v>
      </c>
      <c r="BO37" s="97" t="s">
        <v>73</v>
      </c>
      <c r="BP37">
        <v>1</v>
      </c>
      <c r="BQ37">
        <v>288</v>
      </c>
      <c r="BR37">
        <v>0</v>
      </c>
      <c r="BS37" s="97" t="s">
        <v>73</v>
      </c>
      <c r="BT37" s="97" t="s">
        <v>73</v>
      </c>
      <c r="BU37" s="97">
        <v>1</v>
      </c>
      <c r="BV37" s="97">
        <v>0</v>
      </c>
      <c r="BW37" s="97">
        <v>1</v>
      </c>
      <c r="BX37" s="30">
        <f>((AZ37^2)/(AZ37^2+BI37))^(1/2)</f>
        <v>5.3976351182136464E-2</v>
      </c>
      <c r="BY37" s="30">
        <f>0.5*LN((1+BX37)/(1-BX37))</f>
        <v>5.402886207559579E-2</v>
      </c>
      <c r="BZ37" s="30">
        <f>((1-(BY37^2)^2)/(BI37-1))</f>
        <v>8.4530133453125005E-4</v>
      </c>
      <c r="CA37" s="30">
        <f>1/(BI37-3)</f>
        <v>8.4674005080440302E-4</v>
      </c>
      <c r="CC37">
        <f>BI37-2</f>
        <v>1182</v>
      </c>
      <c r="CE37" s="30">
        <f>((AZ37^2)/(AZ37^2+BJ37))^(1/2)</f>
        <v>5.3976351182136464E-2</v>
      </c>
      <c r="CF37" s="30">
        <f>0.5*LN((1+CE37)/(1-CE37))</f>
        <v>5.402886207559579E-2</v>
      </c>
      <c r="CG37" s="30">
        <f>((1-(CF37^2)^2)/(BJ37-1))</f>
        <v>8.4530133453125005E-4</v>
      </c>
      <c r="CH37" s="30">
        <f>1/(BJ37-3)</f>
        <v>8.4674005080440302E-4</v>
      </c>
    </row>
    <row r="38" spans="1:86" ht="15.6">
      <c r="A38" s="11" t="s">
        <v>68</v>
      </c>
      <c r="B38" s="11"/>
      <c r="C38" s="96">
        <v>1186</v>
      </c>
      <c r="D38" s="97">
        <v>142</v>
      </c>
      <c r="E38" s="44" t="s">
        <v>285</v>
      </c>
      <c r="F38" s="96">
        <v>2014</v>
      </c>
      <c r="G38" t="s">
        <v>286</v>
      </c>
      <c r="H38" t="s">
        <v>287</v>
      </c>
      <c r="I38" s="97">
        <v>2</v>
      </c>
      <c r="J38">
        <v>2011</v>
      </c>
      <c r="K38" s="96" t="s">
        <v>73</v>
      </c>
      <c r="L38">
        <v>582</v>
      </c>
      <c r="M38" s="96" t="s">
        <v>271</v>
      </c>
      <c r="N38" t="s">
        <v>224</v>
      </c>
      <c r="O38" s="96" t="s">
        <v>81</v>
      </c>
      <c r="P38" t="s">
        <v>242</v>
      </c>
      <c r="Q38" s="96" t="s">
        <v>253</v>
      </c>
      <c r="R38" t="s">
        <v>244</v>
      </c>
      <c r="S38">
        <v>1</v>
      </c>
      <c r="T38" s="32" t="s">
        <v>265</v>
      </c>
      <c r="U38">
        <v>1</v>
      </c>
      <c r="V38" s="96" t="s">
        <v>230</v>
      </c>
      <c r="W38" s="96" t="s">
        <v>230</v>
      </c>
      <c r="X38" t="s">
        <v>245</v>
      </c>
      <c r="Y38" s="97">
        <v>0</v>
      </c>
      <c r="Z38" s="97">
        <v>1</v>
      </c>
      <c r="AA38" s="97">
        <v>1</v>
      </c>
      <c r="AB38" s="97">
        <v>0</v>
      </c>
      <c r="AC38" s="97">
        <v>0</v>
      </c>
      <c r="AD38" s="97">
        <v>0</v>
      </c>
      <c r="AE38" s="97">
        <v>0</v>
      </c>
      <c r="AF38" s="97">
        <v>0</v>
      </c>
      <c r="AG38" t="s">
        <v>296</v>
      </c>
      <c r="AH38" s="97">
        <v>0</v>
      </c>
      <c r="AI38" s="97">
        <v>0</v>
      </c>
      <c r="AJ38" s="97">
        <v>0</v>
      </c>
      <c r="AK38" s="97">
        <v>0</v>
      </c>
      <c r="AL38" s="97">
        <v>0</v>
      </c>
      <c r="AM38" s="97">
        <v>0</v>
      </c>
      <c r="AN38" s="97">
        <v>1</v>
      </c>
      <c r="AO38" s="97">
        <v>0</v>
      </c>
      <c r="AP38" s="97">
        <v>0</v>
      </c>
      <c r="AQ38" s="102" t="s">
        <v>289</v>
      </c>
      <c r="AR38" t="s">
        <v>234</v>
      </c>
      <c r="AS38" t="s">
        <v>290</v>
      </c>
      <c r="AT38" t="s">
        <v>73</v>
      </c>
      <c r="AU38" s="105">
        <v>0.64200000000000002</v>
      </c>
      <c r="AV38" s="7" t="s">
        <v>80</v>
      </c>
      <c r="AW38">
        <f>AU38/AZ38</f>
        <v>0.19337349397590362</v>
      </c>
      <c r="AX38">
        <v>0.1</v>
      </c>
      <c r="AY38">
        <v>1</v>
      </c>
      <c r="AZ38">
        <v>3.32</v>
      </c>
      <c r="BA38" t="s">
        <v>73</v>
      </c>
      <c r="BC38" t="s">
        <v>73</v>
      </c>
      <c r="BD38" t="s">
        <v>73</v>
      </c>
      <c r="BE38" t="s">
        <v>73</v>
      </c>
      <c r="BF38" t="s">
        <v>73</v>
      </c>
      <c r="BG38" t="s">
        <v>73</v>
      </c>
      <c r="BH38" t="s">
        <v>73</v>
      </c>
      <c r="BI38">
        <v>1184</v>
      </c>
      <c r="BJ38">
        <v>1184</v>
      </c>
      <c r="BK38" t="s">
        <v>73</v>
      </c>
      <c r="BL38" t="s">
        <v>73</v>
      </c>
      <c r="BM38" s="97" t="s">
        <v>73</v>
      </c>
      <c r="BN38" s="97" t="s">
        <v>73</v>
      </c>
      <c r="BO38" s="97" t="s">
        <v>73</v>
      </c>
      <c r="BP38">
        <v>1</v>
      </c>
      <c r="BQ38">
        <v>288</v>
      </c>
      <c r="BR38">
        <v>0</v>
      </c>
      <c r="BS38" s="97" t="s">
        <v>73</v>
      </c>
      <c r="BT38" s="97" t="s">
        <v>73</v>
      </c>
      <c r="BU38" s="97">
        <v>1</v>
      </c>
      <c r="BV38" s="97">
        <v>0</v>
      </c>
      <c r="BW38" s="97">
        <v>1</v>
      </c>
      <c r="BX38" s="30">
        <f>((AZ38^2)/(AZ38^2+BI38))^(1/2)</f>
        <v>9.6039537672003544E-2</v>
      </c>
      <c r="BY38" s="30">
        <f>0.5*LN((1+BX38)/(1-BX38))</f>
        <v>9.633645915133221E-2</v>
      </c>
      <c r="BZ38" s="30">
        <f>((1-(BY38^2)^2)/(BI38-1))</f>
        <v>8.4523572980515279E-4</v>
      </c>
      <c r="CA38" s="30">
        <f>1/(BI38-3)</f>
        <v>8.4674005080440302E-4</v>
      </c>
      <c r="CC38">
        <f>BI38-2</f>
        <v>1182</v>
      </c>
      <c r="CE38" s="30">
        <f>((AZ38^2)/(AZ38^2+BJ38))^(1/2)</f>
        <v>9.6039537672003544E-2</v>
      </c>
      <c r="CF38" s="30">
        <f>0.5*LN((1+CE38)/(1-CE38))</f>
        <v>9.633645915133221E-2</v>
      </c>
      <c r="CG38" s="30">
        <f>((1-(CF38^2)^2)/(BJ38-1))</f>
        <v>8.4523572980515279E-4</v>
      </c>
      <c r="CH38" s="30">
        <f>1/(BJ38-3)</f>
        <v>8.4674005080440302E-4</v>
      </c>
    </row>
    <row r="39" spans="1:86" ht="15.6">
      <c r="A39" s="11" t="s">
        <v>68</v>
      </c>
      <c r="B39" s="11"/>
      <c r="C39" s="96">
        <v>1189</v>
      </c>
      <c r="D39" s="97">
        <v>143</v>
      </c>
      <c r="E39" s="44" t="s">
        <v>297</v>
      </c>
      <c r="F39" s="96">
        <v>2009</v>
      </c>
      <c r="G39" t="s">
        <v>298</v>
      </c>
      <c r="H39" t="s">
        <v>299</v>
      </c>
      <c r="I39" s="97">
        <v>2</v>
      </c>
      <c r="J39">
        <v>2006</v>
      </c>
      <c r="K39" s="96" t="s">
        <v>73</v>
      </c>
      <c r="L39">
        <v>3570</v>
      </c>
      <c r="M39" s="96" t="s">
        <v>300</v>
      </c>
      <c r="N39" t="s">
        <v>224</v>
      </c>
      <c r="O39" s="96" t="s">
        <v>280</v>
      </c>
      <c r="P39" t="s">
        <v>242</v>
      </c>
      <c r="Q39" s="96" t="s">
        <v>253</v>
      </c>
      <c r="R39" s="32" t="s">
        <v>259</v>
      </c>
      <c r="S39">
        <v>1</v>
      </c>
      <c r="T39" s="32" t="s">
        <v>265</v>
      </c>
      <c r="U39">
        <v>1</v>
      </c>
      <c r="V39" s="96" t="s">
        <v>230</v>
      </c>
      <c r="W39" s="96" t="s">
        <v>230</v>
      </c>
      <c r="X39" s="96" t="s">
        <v>301</v>
      </c>
      <c r="Y39" s="97">
        <v>0</v>
      </c>
      <c r="Z39" s="97">
        <v>0</v>
      </c>
      <c r="AA39" s="97">
        <v>1</v>
      </c>
      <c r="AB39" s="97">
        <v>0</v>
      </c>
      <c r="AC39" s="97">
        <v>0</v>
      </c>
      <c r="AD39" s="97">
        <v>0</v>
      </c>
      <c r="AE39" s="97">
        <v>0</v>
      </c>
      <c r="AF39" s="97">
        <v>0</v>
      </c>
      <c r="AG39" t="s">
        <v>302</v>
      </c>
      <c r="AH39" s="97">
        <v>0</v>
      </c>
      <c r="AI39" s="97">
        <v>0</v>
      </c>
      <c r="AJ39" s="97">
        <v>0</v>
      </c>
      <c r="AK39" s="97">
        <v>0</v>
      </c>
      <c r="AL39" s="97">
        <v>0</v>
      </c>
      <c r="AM39" s="97">
        <v>0</v>
      </c>
      <c r="AN39" s="97">
        <v>0</v>
      </c>
      <c r="AO39" s="97">
        <v>1</v>
      </c>
      <c r="AP39" s="97">
        <v>0</v>
      </c>
      <c r="AQ39" t="s">
        <v>73</v>
      </c>
      <c r="AR39" t="s">
        <v>234</v>
      </c>
      <c r="AS39" t="s">
        <v>303</v>
      </c>
      <c r="AT39" t="s">
        <v>73</v>
      </c>
      <c r="AU39" s="7">
        <v>3.0964</v>
      </c>
      <c r="AV39" s="7" t="s">
        <v>80</v>
      </c>
      <c r="AW39" s="41" t="s">
        <v>73</v>
      </c>
      <c r="AX39" s="41">
        <v>0.1</v>
      </c>
      <c r="AY39" s="41">
        <v>1</v>
      </c>
      <c r="AZ39">
        <f>TINV(AX39,CC39)</f>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((AZ39^2)/(AZ39^2+BI39))^(1/2)</f>
        <v>6.7103465160314887E-2</v>
      </c>
      <c r="BY39" s="103">
        <f>0.5*LN((1+BX39)/(1-BX39))</f>
        <v>6.7204457661064573E-2</v>
      </c>
      <c r="BZ39" s="103">
        <f>((1-(BY39^2)^2)/(BI39-1))</f>
        <v>1.6694150280093312E-3</v>
      </c>
      <c r="CA39" s="103">
        <f>1/(BI39-3)</f>
        <v>1.6750418760469012E-3</v>
      </c>
      <c r="CC39">
        <f>BI39-2</f>
        <v>598</v>
      </c>
      <c r="CE39" s="30">
        <f>((AZ39^2)/(AZ39^2+BJ39))^(1/2)</f>
        <v>2.7446418247225011E-2</v>
      </c>
      <c r="CF39" s="30">
        <f>0.5*LN((1+CE39)/(1-CE39))</f>
        <v>2.7453313213271935E-2</v>
      </c>
      <c r="CG39" s="30">
        <f>((1-(CF39^2)^2)/(BJ39-1))</f>
        <v>2.7785480187824828E-4</v>
      </c>
      <c r="CH39" s="30">
        <f>1/(BJ39-3)</f>
        <v>2.7800945232137893E-4</v>
      </c>
    </row>
    <row r="40" spans="1:86" ht="15.6">
      <c r="A40" s="11" t="s">
        <v>68</v>
      </c>
      <c r="B40" s="11"/>
      <c r="C40" s="96">
        <v>1190</v>
      </c>
      <c r="D40" s="97">
        <v>143</v>
      </c>
      <c r="E40" s="44" t="s">
        <v>297</v>
      </c>
      <c r="F40" s="96">
        <v>2009</v>
      </c>
      <c r="G40" t="s">
        <v>298</v>
      </c>
      <c r="H40" t="s">
        <v>299</v>
      </c>
      <c r="I40" s="97">
        <v>2</v>
      </c>
      <c r="J40">
        <v>2006</v>
      </c>
      <c r="K40" s="96" t="s">
        <v>73</v>
      </c>
      <c r="L40">
        <v>3571</v>
      </c>
      <c r="M40" s="96" t="s">
        <v>300</v>
      </c>
      <c r="N40" t="s">
        <v>224</v>
      </c>
      <c r="O40" s="96" t="s">
        <v>280</v>
      </c>
      <c r="P40" t="s">
        <v>242</v>
      </c>
      <c r="Q40" s="96" t="s">
        <v>253</v>
      </c>
      <c r="R40" s="32" t="s">
        <v>259</v>
      </c>
      <c r="S40">
        <v>1</v>
      </c>
      <c r="T40" s="32" t="s">
        <v>265</v>
      </c>
      <c r="U40">
        <v>1</v>
      </c>
      <c r="V40" s="96" t="s">
        <v>230</v>
      </c>
      <c r="W40" s="96" t="s">
        <v>230</v>
      </c>
      <c r="X40" s="96" t="s">
        <v>301</v>
      </c>
      <c r="Y40" s="97">
        <v>0</v>
      </c>
      <c r="Z40" s="97">
        <v>0</v>
      </c>
      <c r="AA40" s="97">
        <v>1</v>
      </c>
      <c r="AB40" s="97">
        <v>0</v>
      </c>
      <c r="AC40" s="97">
        <v>0</v>
      </c>
      <c r="AD40" s="97">
        <v>0</v>
      </c>
      <c r="AE40" s="97">
        <v>0</v>
      </c>
      <c r="AF40" s="97">
        <v>0</v>
      </c>
      <c r="AG40" t="s">
        <v>302</v>
      </c>
      <c r="AH40" s="97">
        <v>0</v>
      </c>
      <c r="AI40" s="97">
        <v>0</v>
      </c>
      <c r="AJ40" s="97">
        <v>0</v>
      </c>
      <c r="AK40" s="97">
        <v>1</v>
      </c>
      <c r="AL40" s="97">
        <v>0</v>
      </c>
      <c r="AM40" s="97">
        <v>0</v>
      </c>
      <c r="AN40" s="97">
        <v>0</v>
      </c>
      <c r="AO40" s="97">
        <v>0</v>
      </c>
      <c r="AP40" s="97">
        <v>0</v>
      </c>
      <c r="AQ40" t="s">
        <v>73</v>
      </c>
      <c r="AR40" t="s">
        <v>234</v>
      </c>
      <c r="AS40" t="s">
        <v>303</v>
      </c>
      <c r="AT40" t="s">
        <v>73</v>
      </c>
      <c r="AU40" s="7">
        <v>3.5619999999999998</v>
      </c>
      <c r="AV40" s="7" t="s">
        <v>80</v>
      </c>
      <c r="AW40" s="41" t="s">
        <v>73</v>
      </c>
      <c r="AX40" s="41">
        <v>0.05</v>
      </c>
      <c r="AY40" s="41">
        <v>1</v>
      </c>
      <c r="AZ40">
        <f>TINV(AX40,CC40)</f>
        <v>1.9639388980555066</v>
      </c>
      <c r="BA40" t="s">
        <v>73</v>
      </c>
      <c r="BC40" t="s">
        <v>73</v>
      </c>
      <c r="BD40" t="s">
        <v>73</v>
      </c>
      <c r="BE40" t="s">
        <v>73</v>
      </c>
      <c r="BF40" t="s">
        <v>73</v>
      </c>
      <c r="BG40" t="s">
        <v>73</v>
      </c>
      <c r="BH40" t="s">
        <v>73</v>
      </c>
      <c r="BI40">
        <v>600</v>
      </c>
      <c r="BJ40">
        <v>3600</v>
      </c>
      <c r="BK40" t="s">
        <v>73</v>
      </c>
      <c r="BL40" t="s">
        <v>73</v>
      </c>
      <c r="BM40" s="97" t="s">
        <v>73</v>
      </c>
      <c r="BN40" s="97" t="s">
        <v>73</v>
      </c>
      <c r="BO40" s="97" t="s">
        <v>73</v>
      </c>
      <c r="BU40" s="97">
        <v>0</v>
      </c>
      <c r="BV40" s="97">
        <v>1</v>
      </c>
      <c r="BW40" s="97">
        <v>1</v>
      </c>
      <c r="BX40" s="103">
        <f>((AZ40^2)/(AZ40^2+BI40))^(1/2)</f>
        <v>7.9920998150068992E-2</v>
      </c>
      <c r="BY40" s="103">
        <f>0.5*LN((1+BX40)/(1-BX40))</f>
        <v>8.0091814824645752E-2</v>
      </c>
      <c r="BZ40" s="103">
        <f>((1-(BY40^2)^2)/(BI40-1))</f>
        <v>1.6693803867099848E-3</v>
      </c>
      <c r="CA40" s="103">
        <f>1/(BI40-3)</f>
        <v>1.6750418760469012E-3</v>
      </c>
      <c r="CC40">
        <f>BI40-2</f>
        <v>598</v>
      </c>
      <c r="CE40" s="30">
        <f>((AZ40^2)/(AZ40^2+BJ40))^(1/2)</f>
        <v>3.2714794271304103E-2</v>
      </c>
      <c r="CF40" s="30">
        <f>0.5*LN((1+CE40)/(1-CE40))</f>
        <v>3.2726472859206039E-2</v>
      </c>
      <c r="CG40" s="30">
        <f>((1-(CF40^2)^2)/(BJ40-1))</f>
        <v>2.7785464098689086E-4</v>
      </c>
      <c r="CH40" s="30">
        <f>1/(BJ40-3)</f>
        <v>2.7800945232137893E-4</v>
      </c>
    </row>
    <row r="41" spans="1:86" ht="15.6">
      <c r="A41" s="11" t="s">
        <v>68</v>
      </c>
      <c r="B41" s="11"/>
      <c r="C41" s="96">
        <v>1191</v>
      </c>
      <c r="D41" s="97">
        <v>144</v>
      </c>
      <c r="E41" s="123" t="s">
        <v>304</v>
      </c>
      <c r="F41" s="96">
        <v>2014</v>
      </c>
      <c r="G41" t="s">
        <v>305</v>
      </c>
      <c r="H41" t="s">
        <v>306</v>
      </c>
      <c r="I41" s="97">
        <v>2</v>
      </c>
      <c r="J41">
        <v>2009</v>
      </c>
      <c r="K41" s="96" t="s">
        <v>73</v>
      </c>
      <c r="L41">
        <v>13</v>
      </c>
      <c r="M41" s="96" t="s">
        <v>271</v>
      </c>
      <c r="N41" t="s">
        <v>224</v>
      </c>
      <c r="O41" s="96" t="s">
        <v>81</v>
      </c>
      <c r="P41" t="s">
        <v>242</v>
      </c>
      <c r="Q41" s="96" t="s">
        <v>253</v>
      </c>
      <c r="R41" s="32" t="s">
        <v>259</v>
      </c>
      <c r="S41">
        <v>1</v>
      </c>
      <c r="T41" s="32" t="s">
        <v>265</v>
      </c>
      <c r="U41">
        <v>1</v>
      </c>
      <c r="V41" s="96" t="s">
        <v>230</v>
      </c>
      <c r="W41" s="96" t="s">
        <v>230</v>
      </c>
      <c r="X41" t="s">
        <v>245</v>
      </c>
      <c r="Y41" s="97">
        <v>0</v>
      </c>
      <c r="Z41" s="97">
        <v>0</v>
      </c>
      <c r="AA41" s="97">
        <v>1</v>
      </c>
      <c r="AB41" s="97">
        <v>1</v>
      </c>
      <c r="AC41" s="97">
        <v>0</v>
      </c>
      <c r="AD41" s="97">
        <v>0</v>
      </c>
      <c r="AE41" s="97">
        <v>0</v>
      </c>
      <c r="AF41" s="97">
        <v>0</v>
      </c>
      <c r="AG41" t="s">
        <v>307</v>
      </c>
      <c r="AH41" s="97">
        <v>0</v>
      </c>
      <c r="AI41" s="97">
        <v>0</v>
      </c>
      <c r="AJ41" s="97">
        <v>0</v>
      </c>
      <c r="AK41" s="97">
        <v>1</v>
      </c>
      <c r="AL41" s="97">
        <v>0</v>
      </c>
      <c r="AM41" s="97">
        <v>0</v>
      </c>
      <c r="AN41" s="97">
        <v>0</v>
      </c>
      <c r="AO41" s="97">
        <v>0</v>
      </c>
      <c r="AP41" s="97">
        <v>0</v>
      </c>
      <c r="AQ41" s="97" t="s">
        <v>73</v>
      </c>
      <c r="AR41" t="s">
        <v>234</v>
      </c>
      <c r="AS41" t="s">
        <v>308</v>
      </c>
      <c r="AT41" t="s">
        <v>236</v>
      </c>
      <c r="AU41" s="105">
        <v>2.08</v>
      </c>
      <c r="AV41" s="7" t="s">
        <v>80</v>
      </c>
      <c r="AW41">
        <v>0.22900000000000001</v>
      </c>
      <c r="AX41">
        <v>0.01</v>
      </c>
      <c r="AY41">
        <v>1</v>
      </c>
      <c r="AZ41">
        <f>AU41/AW41</f>
        <v>9.0829694323144103</v>
      </c>
      <c r="BA41" t="s">
        <v>73</v>
      </c>
      <c r="BC41" t="s">
        <v>73</v>
      </c>
      <c r="BD41" t="s">
        <v>73</v>
      </c>
      <c r="BE41" t="s">
        <v>73</v>
      </c>
      <c r="BF41" t="s">
        <v>73</v>
      </c>
      <c r="BG41" t="s">
        <v>73</v>
      </c>
      <c r="BH41" t="s">
        <v>73</v>
      </c>
      <c r="BI41">
        <v>355</v>
      </c>
      <c r="BJ41" s="110">
        <v>19860</v>
      </c>
      <c r="BK41" t="s">
        <v>73</v>
      </c>
      <c r="BL41" t="s">
        <v>73</v>
      </c>
      <c r="BM41">
        <v>50</v>
      </c>
      <c r="BN41" s="97" t="s">
        <v>73</v>
      </c>
      <c r="BO41" s="97" t="s">
        <v>309</v>
      </c>
      <c r="BP41">
        <v>1</v>
      </c>
      <c r="BQ41">
        <v>14</v>
      </c>
      <c r="BR41">
        <v>1</v>
      </c>
      <c r="BS41" s="111">
        <v>0.2</v>
      </c>
      <c r="BT41" t="s">
        <v>73</v>
      </c>
      <c r="BU41" s="97">
        <v>0</v>
      </c>
      <c r="BV41" s="97">
        <v>0</v>
      </c>
      <c r="BW41" s="97">
        <v>1</v>
      </c>
      <c r="BX41" s="30">
        <f>((AZ41^2)/(AZ41^2+BI41))^(1/2)</f>
        <v>0.43424883131426489</v>
      </c>
      <c r="BY41" s="30">
        <f>0.5*LN((1+BX41)/(1-BX41))</f>
        <v>0.46512108920045175</v>
      </c>
      <c r="BZ41" s="30">
        <f>((1-(BY41^2)^2)/(BI41-1))</f>
        <v>2.6926498047349623E-3</v>
      </c>
      <c r="CA41" s="30">
        <f>1/(BI41-3)</f>
        <v>2.840909090909091E-3</v>
      </c>
      <c r="CC41">
        <f>BI41-2</f>
        <v>353</v>
      </c>
      <c r="CE41" s="30">
        <f>((AZ41^2)/(AZ41^2+BJ41))^(1/2)</f>
        <v>6.4318817101316442E-2</v>
      </c>
      <c r="CF41" s="30">
        <f>0.5*LN((1+CE41)/(1-CE41))</f>
        <v>6.4407731628953774E-2</v>
      </c>
      <c r="CG41" s="30">
        <f>((1-(CF41^2)^2)/(BJ41-1))</f>
        <v>5.0354136217502399E-5</v>
      </c>
      <c r="CH41" s="30">
        <f>1/(BJ41-3)</f>
        <v>5.0360074532910306E-5</v>
      </c>
    </row>
    <row r="42" spans="1:86" ht="15.6">
      <c r="A42" s="11" t="s">
        <v>68</v>
      </c>
      <c r="B42" s="11"/>
      <c r="C42" s="96">
        <v>1192</v>
      </c>
      <c r="D42" s="97">
        <v>144</v>
      </c>
      <c r="E42" s="123" t="s">
        <v>304</v>
      </c>
      <c r="F42" s="96">
        <v>2014</v>
      </c>
      <c r="G42" t="s">
        <v>305</v>
      </c>
      <c r="H42" t="s">
        <v>306</v>
      </c>
      <c r="I42" s="97">
        <v>2</v>
      </c>
      <c r="J42">
        <v>2009</v>
      </c>
      <c r="K42" s="96" t="s">
        <v>73</v>
      </c>
      <c r="L42">
        <v>13</v>
      </c>
      <c r="M42" s="96" t="s">
        <v>271</v>
      </c>
      <c r="N42" t="s">
        <v>224</v>
      </c>
      <c r="O42" s="96" t="s">
        <v>81</v>
      </c>
      <c r="P42" t="s">
        <v>242</v>
      </c>
      <c r="Q42" s="96" t="s">
        <v>253</v>
      </c>
      <c r="R42" s="32" t="s">
        <v>259</v>
      </c>
      <c r="S42">
        <v>1</v>
      </c>
      <c r="T42" s="32" t="s">
        <v>265</v>
      </c>
      <c r="U42">
        <v>1</v>
      </c>
      <c r="V42" s="96" t="s">
        <v>230</v>
      </c>
      <c r="W42" s="96" t="s">
        <v>230</v>
      </c>
      <c r="X42" t="s">
        <v>245</v>
      </c>
      <c r="Y42" s="97">
        <v>0</v>
      </c>
      <c r="Z42" s="97">
        <v>0</v>
      </c>
      <c r="AA42" s="97">
        <v>1</v>
      </c>
      <c r="AB42" s="97">
        <v>0</v>
      </c>
      <c r="AC42" s="97">
        <v>0</v>
      </c>
      <c r="AD42" s="97">
        <v>0</v>
      </c>
      <c r="AE42" s="97">
        <v>0</v>
      </c>
      <c r="AF42" s="97">
        <v>0</v>
      </c>
      <c r="AG42" t="s">
        <v>310</v>
      </c>
      <c r="AH42" s="97">
        <v>0</v>
      </c>
      <c r="AI42" s="97">
        <v>0</v>
      </c>
      <c r="AJ42" s="97">
        <v>0</v>
      </c>
      <c r="AK42" s="97">
        <v>1</v>
      </c>
      <c r="AL42" s="97">
        <v>0</v>
      </c>
      <c r="AM42" s="97">
        <v>0</v>
      </c>
      <c r="AN42" s="97">
        <v>0</v>
      </c>
      <c r="AO42" s="97">
        <v>0</v>
      </c>
      <c r="AP42" s="97">
        <v>0</v>
      </c>
      <c r="AQ42" s="97" t="s">
        <v>73</v>
      </c>
      <c r="AR42" t="s">
        <v>234</v>
      </c>
      <c r="AS42" t="s">
        <v>308</v>
      </c>
      <c r="AT42" t="s">
        <v>236</v>
      </c>
      <c r="AU42" s="105">
        <v>2.3839999999999999</v>
      </c>
      <c r="AV42" s="7" t="s">
        <v>80</v>
      </c>
      <c r="AW42" s="16">
        <v>0.18</v>
      </c>
      <c r="AX42">
        <v>0.01</v>
      </c>
      <c r="AY42">
        <v>1</v>
      </c>
      <c r="AZ42">
        <f>AU42/AW42</f>
        <v>13.244444444444444</v>
      </c>
      <c r="BA42" t="s">
        <v>73</v>
      </c>
      <c r="BC42" t="s">
        <v>73</v>
      </c>
      <c r="BD42" t="s">
        <v>73</v>
      </c>
      <c r="BE42" t="s">
        <v>73</v>
      </c>
      <c r="BF42" t="s">
        <v>73</v>
      </c>
      <c r="BG42" t="s">
        <v>73</v>
      </c>
      <c r="BH42" t="s">
        <v>73</v>
      </c>
      <c r="BI42">
        <v>349</v>
      </c>
      <c r="BJ42" s="110">
        <v>19452</v>
      </c>
      <c r="BK42" t="s">
        <v>73</v>
      </c>
      <c r="BL42" t="s">
        <v>73</v>
      </c>
      <c r="BM42" t="s">
        <v>73</v>
      </c>
      <c r="BN42" s="97" t="s">
        <v>73</v>
      </c>
      <c r="BO42" s="97" t="s">
        <v>73</v>
      </c>
      <c r="BP42">
        <v>1</v>
      </c>
      <c r="BQ42">
        <v>14</v>
      </c>
      <c r="BR42">
        <v>1</v>
      </c>
      <c r="BS42" s="111">
        <v>0.2</v>
      </c>
      <c r="BT42" t="s">
        <v>73</v>
      </c>
      <c r="BU42" s="97">
        <v>0</v>
      </c>
      <c r="BV42" s="97">
        <v>0</v>
      </c>
      <c r="BW42" s="97">
        <v>1</v>
      </c>
      <c r="BX42" s="30">
        <f>((AZ42^2)/(AZ42^2+BI42))^(1/2)</f>
        <v>0.57835709203923469</v>
      </c>
      <c r="BY42" s="30">
        <f>0.5*LN((1+BX42)/(1-BX42))</f>
        <v>0.65999050186206398</v>
      </c>
      <c r="BZ42" s="30">
        <f>((1-(BY42^2)^2)/(BI42-1))</f>
        <v>2.3283435703186023E-3</v>
      </c>
      <c r="CA42" s="30">
        <f>1/(BI42-3)</f>
        <v>2.8901734104046241E-3</v>
      </c>
      <c r="CC42">
        <f>BI42-2</f>
        <v>347</v>
      </c>
      <c r="CE42" s="30">
        <f>((AZ42^2)/(AZ42^2+BJ42))^(1/2)</f>
        <v>9.4537081297198303E-2</v>
      </c>
      <c r="CF42" s="30">
        <f>0.5*LN((1+CE42)/(1-CE42))</f>
        <v>9.4820235378343692E-2</v>
      </c>
      <c r="CG42" s="30">
        <f>((1-(CF42^2)^2)/(BJ42-1))</f>
        <v>5.1407082624548965E-5</v>
      </c>
      <c r="CH42" s="30">
        <f>1/(BJ42-3)</f>
        <v>5.1416525271222172E-5</v>
      </c>
    </row>
    <row r="43" spans="1:86" ht="15.6">
      <c r="A43" s="11" t="s">
        <v>315</v>
      </c>
      <c r="B43" s="11"/>
      <c r="C43" s="94">
        <v>1235</v>
      </c>
      <c r="D43" s="101">
        <v>311</v>
      </c>
      <c r="E43" s="101" t="s">
        <v>256</v>
      </c>
      <c r="F43">
        <v>2011</v>
      </c>
      <c r="G43" t="s">
        <v>323</v>
      </c>
      <c r="H43" s="58" t="s">
        <v>324</v>
      </c>
      <c r="I43">
        <v>2</v>
      </c>
      <c r="J43">
        <v>2009</v>
      </c>
      <c r="K43" s="10" t="s">
        <v>73</v>
      </c>
      <c r="L43">
        <v>1456</v>
      </c>
      <c r="M43" s="18" t="s">
        <v>325</v>
      </c>
      <c r="N43" t="s">
        <v>241</v>
      </c>
      <c r="O43" t="s">
        <v>81</v>
      </c>
      <c r="P43" s="18" t="s">
        <v>242</v>
      </c>
      <c r="Q43" t="s">
        <v>253</v>
      </c>
      <c r="R43" t="s">
        <v>244</v>
      </c>
      <c r="S43">
        <v>1</v>
      </c>
      <c r="T43" t="s">
        <v>189</v>
      </c>
      <c r="U43">
        <v>1</v>
      </c>
      <c r="V43" s="18" t="s">
        <v>230</v>
      </c>
      <c r="W43" s="18" t="s">
        <v>230</v>
      </c>
      <c r="X43" t="s">
        <v>245</v>
      </c>
      <c r="Y43">
        <v>0</v>
      </c>
      <c r="Z43">
        <v>0</v>
      </c>
      <c r="AA43">
        <v>1</v>
      </c>
      <c r="AB43">
        <v>0</v>
      </c>
      <c r="AC43">
        <v>0</v>
      </c>
      <c r="AD43">
        <v>0</v>
      </c>
      <c r="AE43">
        <v>0</v>
      </c>
      <c r="AF43" s="100">
        <v>0</v>
      </c>
      <c r="AG43" s="10" t="s">
        <v>232</v>
      </c>
      <c r="AH43">
        <v>0</v>
      </c>
      <c r="AI43">
        <v>0</v>
      </c>
      <c r="AJ43">
        <v>0</v>
      </c>
      <c r="AK43">
        <v>1</v>
      </c>
      <c r="AL43">
        <v>0</v>
      </c>
      <c r="AM43">
        <v>0</v>
      </c>
      <c r="AN43">
        <v>0</v>
      </c>
      <c r="AO43">
        <v>0</v>
      </c>
      <c r="AP43">
        <v>0</v>
      </c>
      <c r="AQ43" s="41" t="s">
        <v>73</v>
      </c>
      <c r="AR43" s="41" t="s">
        <v>234</v>
      </c>
      <c r="AS43" s="41" t="s">
        <v>326</v>
      </c>
      <c r="AT43" s="41" t="s">
        <v>73</v>
      </c>
      <c r="AU43" s="21">
        <v>258.70999999999998</v>
      </c>
      <c r="AV43" t="s">
        <v>80</v>
      </c>
      <c r="AW43" t="s">
        <v>73</v>
      </c>
      <c r="AX43">
        <v>0.01</v>
      </c>
      <c r="AY43">
        <v>1</v>
      </c>
      <c r="AZ43">
        <f>TINV(AX43,CC43)</f>
        <v>2.5793633280407828</v>
      </c>
      <c r="BA43" t="s">
        <v>73</v>
      </c>
      <c r="BC43" t="s">
        <v>73</v>
      </c>
      <c r="BD43" t="s">
        <v>73</v>
      </c>
      <c r="BE43" t="s">
        <v>73</v>
      </c>
      <c r="BF43" t="s">
        <v>73</v>
      </c>
      <c r="BG43" t="s">
        <v>73</v>
      </c>
      <c r="BH43" t="s">
        <v>73</v>
      </c>
      <c r="BI43">
        <v>1395</v>
      </c>
      <c r="BJ43">
        <v>19860</v>
      </c>
      <c r="BK43" t="s">
        <v>73</v>
      </c>
      <c r="BL43" t="s">
        <v>73</v>
      </c>
      <c r="BM43" t="s">
        <v>73</v>
      </c>
      <c r="BN43" t="s">
        <v>73</v>
      </c>
      <c r="BO43" t="s">
        <v>73</v>
      </c>
      <c r="BP43" t="s">
        <v>73</v>
      </c>
      <c r="BQ43" t="s">
        <v>73</v>
      </c>
      <c r="BR43">
        <v>1</v>
      </c>
      <c r="BS43" t="s">
        <v>73</v>
      </c>
      <c r="BT43" s="100" t="s">
        <v>73</v>
      </c>
      <c r="BU43">
        <v>0</v>
      </c>
      <c r="BV43">
        <v>0</v>
      </c>
      <c r="BW43">
        <v>0</v>
      </c>
      <c r="BX43" s="103">
        <f>((AZ43^2)/(AZ43^2+BI43))^(1/2)</f>
        <v>6.8895720725096588E-2</v>
      </c>
      <c r="BY43" s="103">
        <f>0.5*LN((1+BX43)/(1-BX43))</f>
        <v>6.900503950756405E-2</v>
      </c>
      <c r="BZ43" s="103">
        <f>((1-(BY43^2)^2)/(BI43-1))</f>
        <v>7.1734384953814931E-4</v>
      </c>
      <c r="CA43" s="103">
        <f>1/(BI43-3)</f>
        <v>7.1839080459770114E-4</v>
      </c>
      <c r="CB43" s="99"/>
      <c r="CC43">
        <f>BI43-2</f>
        <v>1393</v>
      </c>
      <c r="CE43" s="30">
        <f>((AZ43^2)/(AZ43^2+BJ43))^(1/2)</f>
        <v>1.8299961101675508E-2</v>
      </c>
      <c r="CF43" s="30">
        <f>0.5*LN((1+CE43)/(1-CE43))</f>
        <v>1.8302004328216499E-2</v>
      </c>
      <c r="CG43" s="30">
        <f>((1-(CF43^2)^2)/(BJ43-1))</f>
        <v>5.035499711967097E-5</v>
      </c>
      <c r="CH43" s="30">
        <f>1/(BJ43-3)</f>
        <v>5.0360074532910306E-5</v>
      </c>
    </row>
    <row r="44" spans="1:86" ht="15.6">
      <c r="A44" s="11" t="s">
        <v>315</v>
      </c>
      <c r="B44" s="11"/>
      <c r="C44" s="94">
        <v>1236</v>
      </c>
      <c r="D44" s="101">
        <v>311</v>
      </c>
      <c r="E44" s="101" t="s">
        <v>256</v>
      </c>
      <c r="F44">
        <v>2011</v>
      </c>
      <c r="G44" t="s">
        <v>323</v>
      </c>
      <c r="H44" t="s">
        <v>324</v>
      </c>
      <c r="I44">
        <v>2</v>
      </c>
      <c r="J44">
        <v>2009</v>
      </c>
      <c r="K44" s="10" t="s">
        <v>73</v>
      </c>
      <c r="L44">
        <v>1456</v>
      </c>
      <c r="M44" s="18" t="s">
        <v>325</v>
      </c>
      <c r="N44" t="s">
        <v>241</v>
      </c>
      <c r="O44" t="s">
        <v>81</v>
      </c>
      <c r="P44" s="18" t="s">
        <v>242</v>
      </c>
      <c r="Q44" t="s">
        <v>253</v>
      </c>
      <c r="R44" t="s">
        <v>244</v>
      </c>
      <c r="S44">
        <v>1</v>
      </c>
      <c r="T44" t="s">
        <v>189</v>
      </c>
      <c r="U44">
        <v>1</v>
      </c>
      <c r="V44" s="18" t="s">
        <v>230</v>
      </c>
      <c r="W44" s="18" t="s">
        <v>230</v>
      </c>
      <c r="X44" t="s">
        <v>245</v>
      </c>
      <c r="Y44">
        <v>0</v>
      </c>
      <c r="Z44">
        <v>0</v>
      </c>
      <c r="AA44">
        <v>1</v>
      </c>
      <c r="AB44">
        <v>0</v>
      </c>
      <c r="AC44">
        <v>0</v>
      </c>
      <c r="AD44">
        <v>0</v>
      </c>
      <c r="AE44">
        <v>0</v>
      </c>
      <c r="AF44" s="100">
        <v>0</v>
      </c>
      <c r="AG44" s="10" t="s">
        <v>232</v>
      </c>
      <c r="AH44">
        <v>0</v>
      </c>
      <c r="AI44">
        <v>0</v>
      </c>
      <c r="AJ44">
        <v>0</v>
      </c>
      <c r="AK44">
        <v>1</v>
      </c>
      <c r="AL44">
        <v>0</v>
      </c>
      <c r="AM44">
        <v>0</v>
      </c>
      <c r="AN44">
        <v>0</v>
      </c>
      <c r="AO44">
        <v>0</v>
      </c>
      <c r="AP44">
        <v>0</v>
      </c>
      <c r="AQ44" s="41" t="s">
        <v>73</v>
      </c>
      <c r="AR44" s="41" t="s">
        <v>234</v>
      </c>
      <c r="AS44" s="41" t="s">
        <v>326</v>
      </c>
      <c r="AT44" s="41" t="s">
        <v>73</v>
      </c>
      <c r="AU44" s="21">
        <v>249.82</v>
      </c>
      <c r="AV44" t="s">
        <v>80</v>
      </c>
      <c r="AW44" t="s">
        <v>73</v>
      </c>
      <c r="AX44">
        <v>0.01</v>
      </c>
      <c r="AY44">
        <v>1</v>
      </c>
      <c r="AZ44">
        <f>TINV(AX44,CC44)</f>
        <v>2.5793633280407828</v>
      </c>
      <c r="BA44" t="s">
        <v>73</v>
      </c>
      <c r="BC44" t="s">
        <v>73</v>
      </c>
      <c r="BD44" t="s">
        <v>73</v>
      </c>
      <c r="BE44" t="s">
        <v>73</v>
      </c>
      <c r="BF44" t="s">
        <v>73</v>
      </c>
      <c r="BG44" t="s">
        <v>73</v>
      </c>
      <c r="BH44" t="s">
        <v>73</v>
      </c>
      <c r="BI44">
        <v>1395</v>
      </c>
      <c r="BJ44">
        <v>19860</v>
      </c>
      <c r="BK44" t="s">
        <v>73</v>
      </c>
      <c r="BL44" t="s">
        <v>73</v>
      </c>
      <c r="BM44" t="s">
        <v>73</v>
      </c>
      <c r="BN44" t="s">
        <v>73</v>
      </c>
      <c r="BO44" t="s">
        <v>73</v>
      </c>
      <c r="BP44" t="s">
        <v>73</v>
      </c>
      <c r="BQ44" t="s">
        <v>73</v>
      </c>
      <c r="BR44">
        <v>1</v>
      </c>
      <c r="BS44" t="s">
        <v>73</v>
      </c>
      <c r="BT44" s="100" t="s">
        <v>73</v>
      </c>
      <c r="BU44">
        <v>1</v>
      </c>
      <c r="BV44">
        <v>1</v>
      </c>
      <c r="BW44">
        <v>1</v>
      </c>
      <c r="BX44" s="103">
        <f>((AZ44^2)/(AZ44^2+BI44))^(1/2)</f>
        <v>6.8895720725096588E-2</v>
      </c>
      <c r="BY44" s="103">
        <f>0.5*LN((1+BX44)/(1-BX44))</f>
        <v>6.900503950756405E-2</v>
      </c>
      <c r="BZ44" s="103">
        <f>((1-(BY44^2)^2)/(BI44-1))</f>
        <v>7.1734384953814931E-4</v>
      </c>
      <c r="CA44" s="103">
        <f>1/(BI44-3)</f>
        <v>7.1839080459770114E-4</v>
      </c>
      <c r="CB44" s="99"/>
      <c r="CC44">
        <f>BI44-2</f>
        <v>1393</v>
      </c>
      <c r="CE44" s="30">
        <f>((AZ44^2)/(AZ44^2+BJ44))^(1/2)</f>
        <v>1.8299961101675508E-2</v>
      </c>
      <c r="CF44" s="30">
        <f>0.5*LN((1+CE44)/(1-CE44))</f>
        <v>1.8302004328216499E-2</v>
      </c>
      <c r="CG44" s="30">
        <f>((1-(CF44^2)^2)/(BJ44-1))</f>
        <v>5.035499711967097E-5</v>
      </c>
      <c r="CH44" s="30">
        <f>1/(BJ44-3)</f>
        <v>5.0360074532910306E-5</v>
      </c>
    </row>
    <row r="45" spans="1:86" ht="15.6">
      <c r="A45" s="11" t="s">
        <v>315</v>
      </c>
      <c r="B45" s="11"/>
      <c r="C45" s="94">
        <v>1237</v>
      </c>
      <c r="D45" s="101">
        <v>311</v>
      </c>
      <c r="E45" s="101" t="s">
        <v>256</v>
      </c>
      <c r="F45">
        <v>2011</v>
      </c>
      <c r="G45" t="s">
        <v>323</v>
      </c>
      <c r="H45" t="s">
        <v>324</v>
      </c>
      <c r="I45">
        <v>2</v>
      </c>
      <c r="J45">
        <v>2009</v>
      </c>
      <c r="K45" s="10" t="s">
        <v>73</v>
      </c>
      <c r="L45">
        <v>1456</v>
      </c>
      <c r="M45" s="18" t="s">
        <v>300</v>
      </c>
      <c r="N45" t="s">
        <v>241</v>
      </c>
      <c r="O45" t="s">
        <v>81</v>
      </c>
      <c r="P45" s="18" t="s">
        <v>242</v>
      </c>
      <c r="Q45" t="s">
        <v>253</v>
      </c>
      <c r="R45" t="s">
        <v>244</v>
      </c>
      <c r="S45">
        <v>1</v>
      </c>
      <c r="T45" t="s">
        <v>189</v>
      </c>
      <c r="U45">
        <v>1</v>
      </c>
      <c r="V45" s="18" t="s">
        <v>230</v>
      </c>
      <c r="W45" s="18" t="s">
        <v>230</v>
      </c>
      <c r="X45" t="s">
        <v>245</v>
      </c>
      <c r="Y45">
        <v>0</v>
      </c>
      <c r="Z45">
        <v>0</v>
      </c>
      <c r="AA45">
        <v>1</v>
      </c>
      <c r="AB45">
        <v>0</v>
      </c>
      <c r="AC45">
        <v>0</v>
      </c>
      <c r="AD45">
        <v>0</v>
      </c>
      <c r="AE45">
        <v>0</v>
      </c>
      <c r="AF45" s="100">
        <v>0</v>
      </c>
      <c r="AG45" s="10" t="s">
        <v>232</v>
      </c>
      <c r="AH45">
        <v>0</v>
      </c>
      <c r="AI45">
        <v>0</v>
      </c>
      <c r="AJ45">
        <v>0</v>
      </c>
      <c r="AK45">
        <v>1</v>
      </c>
      <c r="AL45">
        <v>0</v>
      </c>
      <c r="AM45">
        <v>0</v>
      </c>
      <c r="AN45">
        <v>0</v>
      </c>
      <c r="AO45">
        <v>0</v>
      </c>
      <c r="AP45">
        <v>0</v>
      </c>
      <c r="AQ45" s="41" t="s">
        <v>73</v>
      </c>
      <c r="AR45" s="41" t="s">
        <v>234</v>
      </c>
      <c r="AS45" s="41" t="s">
        <v>326</v>
      </c>
      <c r="AT45" s="41" t="s">
        <v>73</v>
      </c>
      <c r="AU45" s="21">
        <v>275.45</v>
      </c>
      <c r="AV45" t="s">
        <v>80</v>
      </c>
      <c r="AW45" t="s">
        <v>73</v>
      </c>
      <c r="AX45">
        <v>0.01</v>
      </c>
      <c r="AY45">
        <v>1</v>
      </c>
      <c r="AZ45">
        <f>TINV(AX45,CC45)</f>
        <v>2.5793633280407828</v>
      </c>
      <c r="BA45" t="s">
        <v>73</v>
      </c>
      <c r="BC45" t="s">
        <v>73</v>
      </c>
      <c r="BD45" t="s">
        <v>73</v>
      </c>
      <c r="BE45" t="s">
        <v>73</v>
      </c>
      <c r="BF45" t="s">
        <v>73</v>
      </c>
      <c r="BG45" t="s">
        <v>73</v>
      </c>
      <c r="BH45" t="s">
        <v>73</v>
      </c>
      <c r="BI45">
        <v>1395</v>
      </c>
      <c r="BJ45">
        <v>19860</v>
      </c>
      <c r="BK45" t="s">
        <v>73</v>
      </c>
      <c r="BL45" t="s">
        <v>73</v>
      </c>
      <c r="BM45" t="s">
        <v>73</v>
      </c>
      <c r="BN45" t="s">
        <v>73</v>
      </c>
      <c r="BO45" t="s">
        <v>73</v>
      </c>
      <c r="BP45" t="s">
        <v>73</v>
      </c>
      <c r="BQ45" t="s">
        <v>73</v>
      </c>
      <c r="BR45">
        <v>1</v>
      </c>
      <c r="BS45" t="s">
        <v>73</v>
      </c>
      <c r="BT45" s="100" t="s">
        <v>73</v>
      </c>
      <c r="BU45">
        <v>0</v>
      </c>
      <c r="BV45">
        <v>0</v>
      </c>
      <c r="BW45">
        <v>0</v>
      </c>
      <c r="BX45" s="103">
        <f>((AZ45^2)/(AZ45^2+BI45))^(1/2)</f>
        <v>6.8895720725096588E-2</v>
      </c>
      <c r="BY45" s="103">
        <f>0.5*LN((1+BX45)/(1-BX45))</f>
        <v>6.900503950756405E-2</v>
      </c>
      <c r="BZ45" s="103">
        <f>((1-(BY45^2)^2)/(BI45-1))</f>
        <v>7.1734384953814931E-4</v>
      </c>
      <c r="CA45" s="103">
        <f>1/(BI45-3)</f>
        <v>7.1839080459770114E-4</v>
      </c>
      <c r="CB45" s="99"/>
      <c r="CC45">
        <f>BI45-2</f>
        <v>1393</v>
      </c>
      <c r="CE45" s="30">
        <f>((AZ45^2)/(AZ45^2+BJ45))^(1/2)</f>
        <v>1.8299961101675508E-2</v>
      </c>
      <c r="CF45" s="30">
        <f>0.5*LN((1+CE45)/(1-CE45))</f>
        <v>1.8302004328216499E-2</v>
      </c>
      <c r="CG45" s="30">
        <f>((1-(CF45^2)^2)/(BJ45-1))</f>
        <v>5.035499711967097E-5</v>
      </c>
      <c r="CH45" s="30">
        <f>1/(BJ45-3)</f>
        <v>5.0360074532910306E-5</v>
      </c>
    </row>
    <row r="46" spans="1:86" ht="15.6">
      <c r="A46" s="11" t="s">
        <v>315</v>
      </c>
      <c r="B46" s="11"/>
      <c r="C46" s="94">
        <v>1238</v>
      </c>
      <c r="D46" s="101">
        <v>311</v>
      </c>
      <c r="E46" s="101" t="s">
        <v>256</v>
      </c>
      <c r="F46">
        <v>2011</v>
      </c>
      <c r="G46" t="s">
        <v>323</v>
      </c>
      <c r="H46" t="s">
        <v>324</v>
      </c>
      <c r="I46">
        <v>2</v>
      </c>
      <c r="J46">
        <v>2009</v>
      </c>
      <c r="K46" s="10" t="s">
        <v>73</v>
      </c>
      <c r="L46">
        <v>1456</v>
      </c>
      <c r="M46" s="18" t="s">
        <v>300</v>
      </c>
      <c r="N46" t="s">
        <v>241</v>
      </c>
      <c r="O46" t="s">
        <v>81</v>
      </c>
      <c r="P46" s="18" t="s">
        <v>242</v>
      </c>
      <c r="Q46" t="s">
        <v>253</v>
      </c>
      <c r="R46" t="s">
        <v>244</v>
      </c>
      <c r="S46">
        <v>1</v>
      </c>
      <c r="T46" t="s">
        <v>189</v>
      </c>
      <c r="U46">
        <v>1</v>
      </c>
      <c r="V46" s="18" t="s">
        <v>230</v>
      </c>
      <c r="W46" s="18" t="s">
        <v>230</v>
      </c>
      <c r="X46" t="s">
        <v>245</v>
      </c>
      <c r="Y46">
        <v>0</v>
      </c>
      <c r="Z46">
        <v>0</v>
      </c>
      <c r="AA46">
        <v>1</v>
      </c>
      <c r="AB46">
        <v>0</v>
      </c>
      <c r="AC46">
        <v>0</v>
      </c>
      <c r="AD46">
        <v>0</v>
      </c>
      <c r="AE46">
        <v>0</v>
      </c>
      <c r="AF46" s="100">
        <v>0</v>
      </c>
      <c r="AG46" s="10" t="s">
        <v>232</v>
      </c>
      <c r="AH46">
        <v>0</v>
      </c>
      <c r="AI46">
        <v>0</v>
      </c>
      <c r="AJ46">
        <v>0</v>
      </c>
      <c r="AK46">
        <v>1</v>
      </c>
      <c r="AL46">
        <v>0</v>
      </c>
      <c r="AM46">
        <v>0</v>
      </c>
      <c r="AN46">
        <v>0</v>
      </c>
      <c r="AO46">
        <v>0</v>
      </c>
      <c r="AP46">
        <v>0</v>
      </c>
      <c r="AQ46" s="41" t="s">
        <v>73</v>
      </c>
      <c r="AR46" s="41" t="s">
        <v>234</v>
      </c>
      <c r="AS46" s="41" t="s">
        <v>326</v>
      </c>
      <c r="AT46" s="41" t="s">
        <v>73</v>
      </c>
      <c r="AU46" s="21">
        <v>349.3</v>
      </c>
      <c r="AV46" t="s">
        <v>80</v>
      </c>
      <c r="AW46" t="s">
        <v>73</v>
      </c>
      <c r="AX46">
        <v>0.05</v>
      </c>
      <c r="AY46">
        <v>1</v>
      </c>
      <c r="AZ46">
        <f>TINV(AX46,CC46)</f>
        <v>1.9616684344678958</v>
      </c>
      <c r="BA46" t="s">
        <v>73</v>
      </c>
      <c r="BC46" t="s">
        <v>73</v>
      </c>
      <c r="BD46" t="s">
        <v>73</v>
      </c>
      <c r="BE46" t="s">
        <v>73</v>
      </c>
      <c r="BF46" t="s">
        <v>73</v>
      </c>
      <c r="BG46" t="s">
        <v>73</v>
      </c>
      <c r="BH46" t="s">
        <v>73</v>
      </c>
      <c r="BI46">
        <v>1395</v>
      </c>
      <c r="BJ46">
        <v>19860</v>
      </c>
      <c r="BK46" t="s">
        <v>73</v>
      </c>
      <c r="BL46" t="s">
        <v>73</v>
      </c>
      <c r="BM46" t="s">
        <v>73</v>
      </c>
      <c r="BN46" t="s">
        <v>73</v>
      </c>
      <c r="BO46" t="s">
        <v>73</v>
      </c>
      <c r="BP46" t="s">
        <v>73</v>
      </c>
      <c r="BQ46" t="s">
        <v>73</v>
      </c>
      <c r="BR46">
        <v>1</v>
      </c>
      <c r="BS46" t="s">
        <v>73</v>
      </c>
      <c r="BT46" s="100" t="s">
        <v>73</v>
      </c>
      <c r="BU46">
        <v>1</v>
      </c>
      <c r="BV46">
        <v>1</v>
      </c>
      <c r="BW46">
        <v>1</v>
      </c>
      <c r="BX46" s="103">
        <f>((AZ46^2)/(AZ46^2+BI46))^(1/2)</f>
        <v>5.2449375133439773E-2</v>
      </c>
      <c r="BY46" s="103">
        <f>0.5*LN((1+BX46)/(1-BX46))</f>
        <v>5.2497549648224964E-2</v>
      </c>
      <c r="BZ46" s="103">
        <f>((1-(BY46^2)^2)/(BI46-1))</f>
        <v>7.1735466607183095E-4</v>
      </c>
      <c r="CA46" s="103">
        <f>1/(BI46-3)</f>
        <v>7.1839080459770114E-4</v>
      </c>
      <c r="CB46" s="99"/>
      <c r="CC46">
        <f>BI46-2</f>
        <v>1393</v>
      </c>
      <c r="CE46" s="30">
        <f>((AZ46^2)/(AZ46^2+BJ46))^(1/2)</f>
        <v>1.3918547330727849E-2</v>
      </c>
      <c r="CF46" s="30">
        <f>0.5*LN((1+CE46)/(1-CE46))</f>
        <v>1.3919446229861089E-2</v>
      </c>
      <c r="CG46" s="30">
        <f>((1-(CF46^2)^2)/(BJ46-1))</f>
        <v>5.0355000879226367E-5</v>
      </c>
      <c r="CH46" s="30">
        <f>1/(BJ46-3)</f>
        <v>5.0360074532910306E-5</v>
      </c>
    </row>
    <row r="47" spans="1:86" ht="15.6">
      <c r="A47" s="11" t="s">
        <v>315</v>
      </c>
      <c r="B47" s="11"/>
      <c r="C47" s="94">
        <v>1239</v>
      </c>
      <c r="D47" s="101">
        <v>311</v>
      </c>
      <c r="E47" s="101" t="s">
        <v>256</v>
      </c>
      <c r="F47">
        <v>2011</v>
      </c>
      <c r="G47" t="s">
        <v>323</v>
      </c>
      <c r="H47" t="s">
        <v>324</v>
      </c>
      <c r="I47">
        <v>2</v>
      </c>
      <c r="J47">
        <v>2009</v>
      </c>
      <c r="K47" s="10" t="s">
        <v>73</v>
      </c>
      <c r="L47">
        <v>1456</v>
      </c>
      <c r="M47" s="18" t="s">
        <v>325</v>
      </c>
      <c r="N47" t="s">
        <v>241</v>
      </c>
      <c r="O47" t="s">
        <v>81</v>
      </c>
      <c r="P47" s="18" t="s">
        <v>242</v>
      </c>
      <c r="Q47" t="s">
        <v>253</v>
      </c>
      <c r="R47" t="s">
        <v>244</v>
      </c>
      <c r="S47">
        <v>1</v>
      </c>
      <c r="T47" t="s">
        <v>189</v>
      </c>
      <c r="U47">
        <v>1</v>
      </c>
      <c r="V47" s="18" t="s">
        <v>230</v>
      </c>
      <c r="W47" s="18" t="s">
        <v>230</v>
      </c>
      <c r="X47" t="s">
        <v>245</v>
      </c>
      <c r="Y47">
        <v>0</v>
      </c>
      <c r="Z47">
        <v>0</v>
      </c>
      <c r="AA47">
        <v>1</v>
      </c>
      <c r="AB47">
        <v>0</v>
      </c>
      <c r="AC47">
        <v>0</v>
      </c>
      <c r="AD47">
        <v>0</v>
      </c>
      <c r="AE47">
        <v>0</v>
      </c>
      <c r="AF47" s="100">
        <v>0</v>
      </c>
      <c r="AG47" s="10" t="s">
        <v>232</v>
      </c>
      <c r="AH47">
        <v>0</v>
      </c>
      <c r="AI47">
        <v>0</v>
      </c>
      <c r="AJ47">
        <v>0</v>
      </c>
      <c r="AK47">
        <v>1</v>
      </c>
      <c r="AL47">
        <v>0</v>
      </c>
      <c r="AM47">
        <v>0</v>
      </c>
      <c r="AN47">
        <v>0</v>
      </c>
      <c r="AO47">
        <v>0</v>
      </c>
      <c r="AP47">
        <v>0</v>
      </c>
      <c r="AQ47" t="s">
        <v>73</v>
      </c>
      <c r="AR47" t="s">
        <v>234</v>
      </c>
      <c r="AS47" t="s">
        <v>327</v>
      </c>
      <c r="AT47" t="s">
        <v>236</v>
      </c>
      <c r="AU47" s="21">
        <v>1.0760000000000001</v>
      </c>
      <c r="AV47" t="s">
        <v>80</v>
      </c>
      <c r="AW47" t="s">
        <v>73</v>
      </c>
      <c r="AX47" t="s">
        <v>73</v>
      </c>
      <c r="AY47" t="s">
        <v>73</v>
      </c>
      <c r="AZ47">
        <v>20.02</v>
      </c>
      <c r="BA47" t="s">
        <v>73</v>
      </c>
      <c r="BC47" t="s">
        <v>73</v>
      </c>
      <c r="BD47" t="s">
        <v>73</v>
      </c>
      <c r="BE47" t="s">
        <v>73</v>
      </c>
      <c r="BF47" t="s">
        <v>73</v>
      </c>
      <c r="BG47" t="s">
        <v>73</v>
      </c>
      <c r="BH47" t="s">
        <v>73</v>
      </c>
      <c r="BI47">
        <v>1395</v>
      </c>
      <c r="BJ47">
        <v>19860</v>
      </c>
      <c r="BK47" t="s">
        <v>73</v>
      </c>
      <c r="BL47" t="s">
        <v>73</v>
      </c>
      <c r="BM47" t="s">
        <v>73</v>
      </c>
      <c r="BN47" t="s">
        <v>73</v>
      </c>
      <c r="BO47" t="s">
        <v>73</v>
      </c>
      <c r="BP47" t="s">
        <v>73</v>
      </c>
      <c r="BQ47" t="s">
        <v>73</v>
      </c>
      <c r="BR47">
        <v>1</v>
      </c>
      <c r="BS47" t="s">
        <v>73</v>
      </c>
      <c r="BT47" s="100" t="s">
        <v>73</v>
      </c>
      <c r="BU47">
        <v>0</v>
      </c>
      <c r="BV47">
        <v>0</v>
      </c>
      <c r="BW47">
        <v>0</v>
      </c>
      <c r="BX47" s="103">
        <f>((AZ47^2)/(AZ47^2+BI47))^(1/2)</f>
        <v>0.47242735990047685</v>
      </c>
      <c r="BY47" s="103">
        <f>0.5*LN((1+BX47)/(1-BX47))</f>
        <v>0.51319051047617226</v>
      </c>
      <c r="BZ47" s="103">
        <f>((1-(BY47^2)^2)/(BI47-1))</f>
        <v>6.6760340037102519E-4</v>
      </c>
      <c r="CA47" s="103">
        <f>1/(BI47-3)</f>
        <v>7.1839080459770114E-4</v>
      </c>
      <c r="CB47" s="99"/>
      <c r="CC47">
        <f>BI47-2</f>
        <v>1393</v>
      </c>
      <c r="CE47" s="30">
        <f>((AZ47^2)/(AZ47^2+BJ47))^(1/2)</f>
        <v>0.14064871674533846</v>
      </c>
      <c r="CF47" s="30">
        <f>0.5*LN((1+CE47)/(1-CE47))</f>
        <v>0.14158732325545795</v>
      </c>
      <c r="CG47" s="30">
        <f>((1-(CF47^2)^2)/(BJ47-1))</f>
        <v>5.0334766050130579E-5</v>
      </c>
      <c r="CH47" s="30">
        <f>1/(BJ47-3)</f>
        <v>5.0360074532910306E-5</v>
      </c>
    </row>
    <row r="48" spans="1:86" ht="15.6">
      <c r="A48" s="11" t="s">
        <v>315</v>
      </c>
      <c r="B48" s="11"/>
      <c r="C48" s="94">
        <v>1240</v>
      </c>
      <c r="D48" s="101">
        <v>311</v>
      </c>
      <c r="E48" s="101" t="s">
        <v>256</v>
      </c>
      <c r="F48">
        <v>2011</v>
      </c>
      <c r="G48" t="s">
        <v>323</v>
      </c>
      <c r="H48" t="s">
        <v>324</v>
      </c>
      <c r="I48">
        <v>2</v>
      </c>
      <c r="J48">
        <v>2009</v>
      </c>
      <c r="K48" s="10" t="s">
        <v>73</v>
      </c>
      <c r="L48">
        <v>1456</v>
      </c>
      <c r="M48" s="18" t="s">
        <v>300</v>
      </c>
      <c r="N48" t="s">
        <v>241</v>
      </c>
      <c r="O48" t="s">
        <v>81</v>
      </c>
      <c r="P48" s="18" t="s">
        <v>242</v>
      </c>
      <c r="Q48" t="s">
        <v>253</v>
      </c>
      <c r="R48" t="s">
        <v>244</v>
      </c>
      <c r="S48">
        <v>1</v>
      </c>
      <c r="T48" t="s">
        <v>189</v>
      </c>
      <c r="U48">
        <v>1</v>
      </c>
      <c r="V48" s="18" t="s">
        <v>230</v>
      </c>
      <c r="W48" s="18" t="s">
        <v>230</v>
      </c>
      <c r="X48" t="s">
        <v>245</v>
      </c>
      <c r="Y48">
        <v>0</v>
      </c>
      <c r="Z48">
        <v>0</v>
      </c>
      <c r="AA48">
        <v>1</v>
      </c>
      <c r="AB48">
        <v>0</v>
      </c>
      <c r="AC48">
        <v>0</v>
      </c>
      <c r="AD48">
        <v>0</v>
      </c>
      <c r="AE48">
        <v>0</v>
      </c>
      <c r="AF48" s="100">
        <v>0</v>
      </c>
      <c r="AG48" s="10" t="s">
        <v>232</v>
      </c>
      <c r="AH48">
        <v>0</v>
      </c>
      <c r="AI48">
        <v>0</v>
      </c>
      <c r="AJ48">
        <v>0</v>
      </c>
      <c r="AK48">
        <v>1</v>
      </c>
      <c r="AL48">
        <v>0</v>
      </c>
      <c r="AM48">
        <v>0</v>
      </c>
      <c r="AN48">
        <v>0</v>
      </c>
      <c r="AO48">
        <v>0</v>
      </c>
      <c r="AP48">
        <v>0</v>
      </c>
      <c r="AQ48" t="s">
        <v>73</v>
      </c>
      <c r="AR48" t="s">
        <v>234</v>
      </c>
      <c r="AS48" t="s">
        <v>328</v>
      </c>
      <c r="AT48" t="s">
        <v>236</v>
      </c>
      <c r="AU48" s="21">
        <v>2.1459999999999999</v>
      </c>
      <c r="AV48" t="s">
        <v>80</v>
      </c>
      <c r="AW48" t="s">
        <v>73</v>
      </c>
      <c r="AX48" t="s">
        <v>73</v>
      </c>
      <c r="AY48" t="s">
        <v>73</v>
      </c>
      <c r="AZ48">
        <v>11.52</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((AZ48^2)/(AZ48^2+BI48))^(1/2)</f>
        <v>0.29473516954008327</v>
      </c>
      <c r="BY48" s="103">
        <f>0.5*LN((1+BX48)/(1-BX48))</f>
        <v>0.3037440363085756</v>
      </c>
      <c r="BZ48" s="103">
        <f>((1-(BY48^2)^2)/(BI48-1))</f>
        <v>7.1125395357683058E-4</v>
      </c>
      <c r="CA48" s="103">
        <f>1/(BI48-3)</f>
        <v>7.1839080459770114E-4</v>
      </c>
      <c r="CB48" s="99"/>
      <c r="CC48">
        <f>BI48-2</f>
        <v>1393</v>
      </c>
      <c r="CE48" s="30">
        <f>((AZ48^2)/(AZ48^2+BJ48))^(1/2)</f>
        <v>8.1473550285666996E-2</v>
      </c>
      <c r="CF48" s="30">
        <f>0.5*LN((1+CE48)/(1-CE48))</f>
        <v>8.165454385204271E-2</v>
      </c>
      <c r="CG48" s="30">
        <f>((1-(CF48^2)^2)/(BJ48-1))</f>
        <v>5.0352764233683405E-5</v>
      </c>
      <c r="CH48" s="30">
        <f>1/(BJ48-3)</f>
        <v>5.0360074532910306E-5</v>
      </c>
    </row>
    <row r="49" spans="1:86" s="102" customFormat="1" ht="15.6">
      <c r="A49" s="11" t="s">
        <v>315</v>
      </c>
      <c r="B49" s="11"/>
      <c r="C49" s="94">
        <v>1241</v>
      </c>
      <c r="D49" s="11">
        <v>312</v>
      </c>
      <c r="E49" t="s">
        <v>329</v>
      </c>
      <c r="F49">
        <v>2021</v>
      </c>
      <c r="G49" t="s">
        <v>330</v>
      </c>
      <c r="H49" t="s">
        <v>331</v>
      </c>
      <c r="I49" s="18">
        <v>2</v>
      </c>
      <c r="J49">
        <v>2018</v>
      </c>
      <c r="K49" s="10" t="s">
        <v>73</v>
      </c>
      <c r="L49">
        <v>17</v>
      </c>
      <c r="M49" s="18" t="s">
        <v>276</v>
      </c>
      <c r="N49" t="s">
        <v>241</v>
      </c>
      <c r="O49" t="s">
        <v>148</v>
      </c>
      <c r="P49" s="18" t="s">
        <v>242</v>
      </c>
      <c r="Q49" t="s">
        <v>253</v>
      </c>
      <c r="R49" t="s">
        <v>244</v>
      </c>
      <c r="S49">
        <v>1</v>
      </c>
      <c r="T49" t="s">
        <v>265</v>
      </c>
      <c r="U49">
        <v>1</v>
      </c>
      <c r="V49" s="18" t="s">
        <v>230</v>
      </c>
      <c r="W49" s="18" t="s">
        <v>230</v>
      </c>
      <c r="X49" t="s">
        <v>245</v>
      </c>
      <c r="Y49" s="18">
        <v>0</v>
      </c>
      <c r="Z49" s="18">
        <v>0</v>
      </c>
      <c r="AA49" s="18">
        <v>1</v>
      </c>
      <c r="AB49" s="18">
        <v>0</v>
      </c>
      <c r="AC49" s="18">
        <v>0</v>
      </c>
      <c r="AD49" s="18">
        <v>0</v>
      </c>
      <c r="AE49" s="11">
        <v>0</v>
      </c>
      <c r="AF49" s="11">
        <v>0</v>
      </c>
      <c r="AG49" s="10" t="s">
        <v>332</v>
      </c>
      <c r="AH49" s="18">
        <v>0</v>
      </c>
      <c r="AI49" s="18">
        <v>0</v>
      </c>
      <c r="AJ49" s="18">
        <v>0</v>
      </c>
      <c r="AK49" s="18">
        <v>1</v>
      </c>
      <c r="AL49" s="18">
        <v>0</v>
      </c>
      <c r="AM49" s="18">
        <v>0</v>
      </c>
      <c r="AN49" s="18">
        <v>0</v>
      </c>
      <c r="AO49" s="18">
        <v>0</v>
      </c>
      <c r="AP49" s="18">
        <v>0</v>
      </c>
      <c r="AQ49" s="118" t="s">
        <v>333</v>
      </c>
      <c r="AR49" s="118" t="s">
        <v>234</v>
      </c>
      <c r="AS49" s="118" t="s">
        <v>333</v>
      </c>
      <c r="AT49" s="118" t="s">
        <v>334</v>
      </c>
      <c r="AU49" s="120">
        <v>0.55700000000000005</v>
      </c>
      <c r="AV49" s="121" t="s">
        <v>80</v>
      </c>
      <c r="AW49" s="118" t="s">
        <v>73</v>
      </c>
      <c r="AX49" s="118">
        <v>1E-3</v>
      </c>
      <c r="AY49">
        <v>3</v>
      </c>
      <c r="AZ49">
        <f>TINV(AX49,CC49)</f>
        <v>3.2994178866117148</v>
      </c>
      <c r="BA49" s="18" t="s">
        <v>73</v>
      </c>
      <c r="BB49" s="18"/>
      <c r="BC49" s="18" t="s">
        <v>73</v>
      </c>
      <c r="BD49" s="18" t="s">
        <v>73</v>
      </c>
      <c r="BE49" s="18" t="s">
        <v>73</v>
      </c>
      <c r="BF49" s="18" t="s">
        <v>73</v>
      </c>
      <c r="BG49" s="18" t="s">
        <v>73</v>
      </c>
      <c r="BH49" s="18" t="s">
        <v>73</v>
      </c>
      <c r="BI49">
        <v>1099</v>
      </c>
      <c r="BJ49">
        <v>13188</v>
      </c>
      <c r="BK49" s="18" t="s">
        <v>73</v>
      </c>
      <c r="BL49" s="18" t="s">
        <v>73</v>
      </c>
      <c r="BM49" s="18" t="s">
        <v>73</v>
      </c>
      <c r="BN49" s="18" t="s">
        <v>73</v>
      </c>
      <c r="BO49" s="11" t="s">
        <v>73</v>
      </c>
      <c r="BP49" s="18" t="s">
        <v>73</v>
      </c>
      <c r="BQ49" s="11" t="s">
        <v>73</v>
      </c>
      <c r="BR49">
        <v>1</v>
      </c>
      <c r="BS49">
        <v>1</v>
      </c>
      <c r="BT49" t="s">
        <v>237</v>
      </c>
      <c r="BU49">
        <v>0</v>
      </c>
      <c r="BV49">
        <v>0</v>
      </c>
      <c r="BW49">
        <v>0</v>
      </c>
      <c r="BX49" s="30">
        <f>((AZ49^2)/(AZ49^2+BI49))^(1/2)</f>
        <v>9.9037143771440309E-2</v>
      </c>
      <c r="BY49" s="30">
        <f>0.5*LN((1+BX49)/(1-BX49))</f>
        <v>9.9362859957839736E-2</v>
      </c>
      <c r="BZ49" s="30">
        <f>((1-(BY49^2)^2)/(BI49-1))</f>
        <v>9.1065803670912202E-4</v>
      </c>
      <c r="CA49" s="30">
        <f>1/(BI49-3)</f>
        <v>9.1240875912408756E-4</v>
      </c>
      <c r="CB49" s="99"/>
      <c r="CC49">
        <f>BI49-2</f>
        <v>1097</v>
      </c>
      <c r="CD49"/>
      <c r="CE49" s="30">
        <f>((AZ49^2)/(AZ49^2+BJ49))^(1/2)</f>
        <v>2.8718958292254938E-2</v>
      </c>
      <c r="CF49" s="30">
        <f>0.5*LN((1+CE49)/(1-CE49))</f>
        <v>2.8726857795568102E-2</v>
      </c>
      <c r="CG49" s="30">
        <f>((1-(CF49^2)^2)/(BJ49-1))</f>
        <v>7.5832207400588011E-5</v>
      </c>
      <c r="CH49" s="30">
        <f>1/(BJ49-3)</f>
        <v>7.5843761850587782E-5</v>
      </c>
    </row>
    <row r="50" spans="1:86" s="102" customFormat="1" ht="15.6">
      <c r="A50" s="11" t="s">
        <v>315</v>
      </c>
      <c r="B50" s="11"/>
      <c r="C50" s="94">
        <v>1242</v>
      </c>
      <c r="D50" s="11">
        <v>312</v>
      </c>
      <c r="E50" t="s">
        <v>329</v>
      </c>
      <c r="F50">
        <v>2021</v>
      </c>
      <c r="G50" t="s">
        <v>330</v>
      </c>
      <c r="H50" t="s">
        <v>331</v>
      </c>
      <c r="I50" s="18">
        <v>2</v>
      </c>
      <c r="J50">
        <v>2018</v>
      </c>
      <c r="K50" s="10" t="s">
        <v>73</v>
      </c>
      <c r="L50">
        <v>17</v>
      </c>
      <c r="M50" s="18" t="s">
        <v>276</v>
      </c>
      <c r="N50" t="s">
        <v>241</v>
      </c>
      <c r="O50" t="s">
        <v>148</v>
      </c>
      <c r="P50" s="18" t="s">
        <v>242</v>
      </c>
      <c r="Q50" t="s">
        <v>253</v>
      </c>
      <c r="R50" t="s">
        <v>244</v>
      </c>
      <c r="S50">
        <v>1</v>
      </c>
      <c r="T50" t="s">
        <v>265</v>
      </c>
      <c r="U50">
        <v>1</v>
      </c>
      <c r="V50" s="18" t="s">
        <v>230</v>
      </c>
      <c r="W50" s="18" t="s">
        <v>230</v>
      </c>
      <c r="X50" t="s">
        <v>245</v>
      </c>
      <c r="Y50" s="18">
        <v>0</v>
      </c>
      <c r="Z50" s="18">
        <v>0</v>
      </c>
      <c r="AA50" s="18">
        <v>1</v>
      </c>
      <c r="AB50" s="18">
        <v>0</v>
      </c>
      <c r="AC50" s="18">
        <v>0</v>
      </c>
      <c r="AD50" s="18">
        <v>0</v>
      </c>
      <c r="AE50" s="11">
        <v>0</v>
      </c>
      <c r="AF50" s="11">
        <v>0</v>
      </c>
      <c r="AG50" s="10" t="s">
        <v>332</v>
      </c>
      <c r="AH50" s="18">
        <v>0</v>
      </c>
      <c r="AI50" s="18">
        <v>0</v>
      </c>
      <c r="AJ50" s="18">
        <v>0</v>
      </c>
      <c r="AK50" s="18">
        <v>1</v>
      </c>
      <c r="AL50" s="18">
        <v>0</v>
      </c>
      <c r="AM50" s="18">
        <v>0</v>
      </c>
      <c r="AN50" s="18">
        <v>0</v>
      </c>
      <c r="AO50" s="18">
        <v>0</v>
      </c>
      <c r="AP50" s="18">
        <v>0</v>
      </c>
      <c r="AQ50" s="118" t="s">
        <v>333</v>
      </c>
      <c r="AR50" s="118" t="s">
        <v>234</v>
      </c>
      <c r="AS50" s="118" t="s">
        <v>333</v>
      </c>
      <c r="AT50" s="118" t="s">
        <v>334</v>
      </c>
      <c r="AU50" s="120">
        <v>1.58</v>
      </c>
      <c r="AV50" s="121" t="s">
        <v>80</v>
      </c>
      <c r="AW50" s="118" t="s">
        <v>73</v>
      </c>
      <c r="AX50" s="118">
        <v>1E-3</v>
      </c>
      <c r="AY50">
        <v>3</v>
      </c>
      <c r="AZ50">
        <f>TINV(AX50,CC50)</f>
        <v>3.2994178866117148</v>
      </c>
      <c r="BA50" s="18" t="s">
        <v>73</v>
      </c>
      <c r="BB50" s="18"/>
      <c r="BC50" s="18" t="s">
        <v>73</v>
      </c>
      <c r="BD50" s="18" t="s">
        <v>73</v>
      </c>
      <c r="BE50" s="18" t="s">
        <v>73</v>
      </c>
      <c r="BF50" s="18" t="s">
        <v>73</v>
      </c>
      <c r="BG50" s="18" t="s">
        <v>73</v>
      </c>
      <c r="BH50" s="18" t="s">
        <v>73</v>
      </c>
      <c r="BI50">
        <v>1099</v>
      </c>
      <c r="BJ50">
        <v>13188</v>
      </c>
      <c r="BK50" s="18" t="s">
        <v>73</v>
      </c>
      <c r="BL50" s="18" t="s">
        <v>73</v>
      </c>
      <c r="BM50" s="18" t="s">
        <v>73</v>
      </c>
      <c r="BN50" s="18" t="s">
        <v>73</v>
      </c>
      <c r="BO50" s="11" t="s">
        <v>73</v>
      </c>
      <c r="BP50" s="18" t="s">
        <v>73</v>
      </c>
      <c r="BQ50" s="11" t="s">
        <v>73</v>
      </c>
      <c r="BR50">
        <v>1</v>
      </c>
      <c r="BS50">
        <v>1</v>
      </c>
      <c r="BT50" t="s">
        <v>237</v>
      </c>
      <c r="BU50">
        <v>0</v>
      </c>
      <c r="BV50">
        <v>0</v>
      </c>
      <c r="BW50">
        <v>0</v>
      </c>
      <c r="BX50" s="30">
        <f>((AZ50^2)/(AZ50^2+BI50))^(1/2)</f>
        <v>9.9037143771440309E-2</v>
      </c>
      <c r="BY50" s="30">
        <f>0.5*LN((1+BX50)/(1-BX50))</f>
        <v>9.9362859957839736E-2</v>
      </c>
      <c r="BZ50" s="30">
        <f>((1-(BY50^2)^2)/(BI50-1))</f>
        <v>9.1065803670912202E-4</v>
      </c>
      <c r="CA50" s="30">
        <f>1/(BI50-3)</f>
        <v>9.1240875912408756E-4</v>
      </c>
      <c r="CB50" s="99"/>
      <c r="CC50">
        <f>BI50-2</f>
        <v>1097</v>
      </c>
      <c r="CD50"/>
      <c r="CE50" s="30">
        <f>((AZ50^2)/(AZ50^2+BJ50))^(1/2)</f>
        <v>2.8718958292254938E-2</v>
      </c>
      <c r="CF50" s="30">
        <f>0.5*LN((1+CE50)/(1-CE50))</f>
        <v>2.8726857795568102E-2</v>
      </c>
      <c r="CG50" s="30">
        <f>((1-(CF50^2)^2)/(BJ50-1))</f>
        <v>7.5832207400588011E-5</v>
      </c>
      <c r="CH50" s="30">
        <f>1/(BJ50-3)</f>
        <v>7.5843761850587782E-5</v>
      </c>
    </row>
    <row r="51" spans="1:86" s="102" customFormat="1" ht="15.6">
      <c r="A51" s="11" t="s">
        <v>315</v>
      </c>
      <c r="B51" s="11"/>
      <c r="C51" s="94">
        <v>1243</v>
      </c>
      <c r="D51" s="11">
        <v>312</v>
      </c>
      <c r="E51" t="s">
        <v>329</v>
      </c>
      <c r="F51">
        <v>2021</v>
      </c>
      <c r="G51" t="s">
        <v>330</v>
      </c>
      <c r="H51" t="s">
        <v>331</v>
      </c>
      <c r="I51" s="18">
        <v>2</v>
      </c>
      <c r="J51">
        <v>2018</v>
      </c>
      <c r="K51" s="10" t="s">
        <v>73</v>
      </c>
      <c r="L51">
        <v>17</v>
      </c>
      <c r="M51" s="18" t="s">
        <v>276</v>
      </c>
      <c r="N51" t="s">
        <v>241</v>
      </c>
      <c r="O51" t="s">
        <v>148</v>
      </c>
      <c r="P51" s="18" t="s">
        <v>242</v>
      </c>
      <c r="Q51" t="s">
        <v>253</v>
      </c>
      <c r="R51" t="s">
        <v>244</v>
      </c>
      <c r="S51">
        <v>1</v>
      </c>
      <c r="T51" t="s">
        <v>265</v>
      </c>
      <c r="U51">
        <v>1</v>
      </c>
      <c r="V51" s="18" t="s">
        <v>230</v>
      </c>
      <c r="W51" s="18" t="s">
        <v>230</v>
      </c>
      <c r="X51" t="s">
        <v>245</v>
      </c>
      <c r="Y51" s="18">
        <v>0</v>
      </c>
      <c r="Z51" s="18">
        <v>0</v>
      </c>
      <c r="AA51" s="18">
        <v>1</v>
      </c>
      <c r="AB51" s="18">
        <v>0</v>
      </c>
      <c r="AC51" s="18">
        <v>0</v>
      </c>
      <c r="AD51" s="18">
        <v>0</v>
      </c>
      <c r="AE51" s="11">
        <v>0</v>
      </c>
      <c r="AF51" s="11">
        <v>0</v>
      </c>
      <c r="AG51" s="10" t="s">
        <v>332</v>
      </c>
      <c r="AH51" s="18">
        <v>0</v>
      </c>
      <c r="AI51" s="18">
        <v>0</v>
      </c>
      <c r="AJ51" s="18">
        <v>0</v>
      </c>
      <c r="AK51" s="18">
        <v>1</v>
      </c>
      <c r="AL51" s="18">
        <v>0</v>
      </c>
      <c r="AM51" s="18">
        <v>0</v>
      </c>
      <c r="AN51" s="18">
        <v>0</v>
      </c>
      <c r="AO51" s="18">
        <v>0</v>
      </c>
      <c r="AP51" s="18">
        <v>0</v>
      </c>
      <c r="AQ51" s="118" t="s">
        <v>333</v>
      </c>
      <c r="AR51" s="118" t="s">
        <v>234</v>
      </c>
      <c r="AS51" s="118" t="s">
        <v>333</v>
      </c>
      <c r="AT51" s="118" t="s">
        <v>334</v>
      </c>
      <c r="AU51" s="120">
        <v>0.17</v>
      </c>
      <c r="AV51" s="121" t="s">
        <v>80</v>
      </c>
      <c r="AW51" s="118" t="s">
        <v>73</v>
      </c>
      <c r="AX51" s="118">
        <v>0.311</v>
      </c>
      <c r="AY51">
        <v>3</v>
      </c>
      <c r="AZ51">
        <f>TINV(AX51,CC51)</f>
        <v>1.0135940485180941</v>
      </c>
      <c r="BA51" s="18" t="s">
        <v>73</v>
      </c>
      <c r="BB51" s="18"/>
      <c r="BC51" s="18" t="s">
        <v>73</v>
      </c>
      <c r="BD51" s="18" t="s">
        <v>73</v>
      </c>
      <c r="BE51" s="18" t="s">
        <v>73</v>
      </c>
      <c r="BF51" s="18" t="s">
        <v>73</v>
      </c>
      <c r="BG51" s="18" t="s">
        <v>73</v>
      </c>
      <c r="BH51" s="18" t="s">
        <v>73</v>
      </c>
      <c r="BI51">
        <v>1099</v>
      </c>
      <c r="BJ51">
        <v>13188</v>
      </c>
      <c r="BK51" s="18" t="s">
        <v>73</v>
      </c>
      <c r="BL51" s="18" t="s">
        <v>73</v>
      </c>
      <c r="BM51" s="18" t="s">
        <v>73</v>
      </c>
      <c r="BN51" s="18" t="s">
        <v>73</v>
      </c>
      <c r="BO51" s="11" t="s">
        <v>73</v>
      </c>
      <c r="BP51" s="18" t="s">
        <v>73</v>
      </c>
      <c r="BQ51" s="11" t="s">
        <v>73</v>
      </c>
      <c r="BR51">
        <v>1</v>
      </c>
      <c r="BS51">
        <v>1</v>
      </c>
      <c r="BT51" t="s">
        <v>237</v>
      </c>
      <c r="BU51">
        <v>0</v>
      </c>
      <c r="BV51">
        <v>0</v>
      </c>
      <c r="BW51">
        <v>0</v>
      </c>
      <c r="BX51" s="30">
        <f>((AZ51^2)/(AZ51^2+BI51))^(1/2)</f>
        <v>3.056063020259667E-2</v>
      </c>
      <c r="BY51" s="30">
        <f>0.5*LN((1+BX51)/(1-BX51))</f>
        <v>3.0570149592664689E-2</v>
      </c>
      <c r="BZ51" s="30">
        <f>((1-(BY51^2)^2)/(BI51-1))</f>
        <v>9.107460169818913E-4</v>
      </c>
      <c r="CA51" s="30">
        <f>1/(BI51-3)</f>
        <v>9.1240875912408756E-4</v>
      </c>
      <c r="CB51" s="99"/>
      <c r="CC51">
        <f>BI51-2</f>
        <v>1097</v>
      </c>
      <c r="CD51"/>
      <c r="CE51" s="30">
        <f>((AZ51^2)/(AZ51^2+BJ51))^(1/2)</f>
        <v>8.8258728613782138E-3</v>
      </c>
      <c r="CF51" s="30">
        <f>0.5*LN((1+CE51)/(1-CE51))</f>
        <v>8.826102038913812E-3</v>
      </c>
      <c r="CG51" s="30">
        <f>((1-(CF51^2)^2)/(BJ51-1))</f>
        <v>7.5832258582814749E-5</v>
      </c>
      <c r="CH51" s="30">
        <f>1/(BJ51-3)</f>
        <v>7.5843761850587782E-5</v>
      </c>
    </row>
    <row r="52" spans="1:86" ht="15.6">
      <c r="A52" s="11" t="s">
        <v>315</v>
      </c>
      <c r="B52" s="11"/>
      <c r="C52" s="94">
        <v>1244</v>
      </c>
      <c r="D52" s="11">
        <v>312</v>
      </c>
      <c r="E52" t="s">
        <v>329</v>
      </c>
      <c r="F52">
        <v>2021</v>
      </c>
      <c r="G52" t="s">
        <v>330</v>
      </c>
      <c r="H52" t="s">
        <v>331</v>
      </c>
      <c r="I52" s="18">
        <v>2</v>
      </c>
      <c r="J52">
        <v>2018</v>
      </c>
      <c r="K52" s="10" t="s">
        <v>73</v>
      </c>
      <c r="L52">
        <v>17</v>
      </c>
      <c r="M52" s="18" t="s">
        <v>276</v>
      </c>
      <c r="N52" t="s">
        <v>241</v>
      </c>
      <c r="O52" t="s">
        <v>148</v>
      </c>
      <c r="P52" s="18" t="s">
        <v>242</v>
      </c>
      <c r="Q52" t="s">
        <v>253</v>
      </c>
      <c r="R52" t="s">
        <v>244</v>
      </c>
      <c r="S52">
        <v>1</v>
      </c>
      <c r="T52" t="s">
        <v>265</v>
      </c>
      <c r="U52">
        <v>1</v>
      </c>
      <c r="V52" s="18" t="s">
        <v>230</v>
      </c>
      <c r="W52" s="18" t="s">
        <v>230</v>
      </c>
      <c r="X52" t="s">
        <v>245</v>
      </c>
      <c r="Y52" s="18">
        <v>0</v>
      </c>
      <c r="Z52" s="18">
        <v>0</v>
      </c>
      <c r="AA52" s="18">
        <v>1</v>
      </c>
      <c r="AB52" s="18">
        <v>0</v>
      </c>
      <c r="AC52" s="18">
        <v>0</v>
      </c>
      <c r="AD52" s="18">
        <v>0</v>
      </c>
      <c r="AE52" s="11">
        <v>0</v>
      </c>
      <c r="AF52" s="11">
        <v>0</v>
      </c>
      <c r="AG52" s="18" t="s">
        <v>332</v>
      </c>
      <c r="AH52" s="18">
        <v>0</v>
      </c>
      <c r="AI52" s="18">
        <v>0</v>
      </c>
      <c r="AJ52" s="18">
        <v>0</v>
      </c>
      <c r="AK52" s="18">
        <v>1</v>
      </c>
      <c r="AL52" s="18">
        <v>0</v>
      </c>
      <c r="AM52" s="18">
        <v>0</v>
      </c>
      <c r="AN52" s="18">
        <v>0</v>
      </c>
      <c r="AO52" s="18">
        <v>0</v>
      </c>
      <c r="AP52" s="18">
        <v>0</v>
      </c>
      <c r="AQ52" s="118" t="s">
        <v>333</v>
      </c>
      <c r="AR52" s="118" t="s">
        <v>234</v>
      </c>
      <c r="AS52" s="118" t="s">
        <v>333</v>
      </c>
      <c r="AT52" s="118" t="s">
        <v>334</v>
      </c>
      <c r="AU52" s="120">
        <v>1.1140000000000001</v>
      </c>
      <c r="AV52" s="121" t="s">
        <v>80</v>
      </c>
      <c r="AW52" s="118" t="s">
        <v>73</v>
      </c>
      <c r="AX52" s="118">
        <v>1E-3</v>
      </c>
      <c r="AY52">
        <v>3</v>
      </c>
      <c r="AZ52">
        <f>TINV(AX52,CC52)</f>
        <v>3.2994178866117148</v>
      </c>
      <c r="BA52" s="18" t="s">
        <v>73</v>
      </c>
      <c r="BB52" s="18"/>
      <c r="BC52" s="18" t="s">
        <v>73</v>
      </c>
      <c r="BD52" s="18" t="s">
        <v>73</v>
      </c>
      <c r="BE52" s="18" t="s">
        <v>73</v>
      </c>
      <c r="BF52" s="18" t="s">
        <v>73</v>
      </c>
      <c r="BG52" s="18" t="s">
        <v>73</v>
      </c>
      <c r="BH52" s="18" t="s">
        <v>73</v>
      </c>
      <c r="BI52">
        <v>1099</v>
      </c>
      <c r="BJ52">
        <v>13188</v>
      </c>
      <c r="BK52" s="18" t="s">
        <v>73</v>
      </c>
      <c r="BL52" s="18" t="s">
        <v>73</v>
      </c>
      <c r="BM52" s="18" t="s">
        <v>73</v>
      </c>
      <c r="BN52" s="18" t="s">
        <v>73</v>
      </c>
      <c r="BO52" s="11" t="s">
        <v>73</v>
      </c>
      <c r="BP52" s="18" t="s">
        <v>73</v>
      </c>
      <c r="BQ52" s="11" t="s">
        <v>73</v>
      </c>
      <c r="BR52">
        <v>1</v>
      </c>
      <c r="BS52">
        <v>1</v>
      </c>
      <c r="BT52" t="s">
        <v>237</v>
      </c>
      <c r="BU52">
        <v>0</v>
      </c>
      <c r="BV52">
        <v>0</v>
      </c>
      <c r="BW52">
        <v>0</v>
      </c>
      <c r="BX52" s="30">
        <f>((AZ52^2)/(AZ52^2+BI52))^(1/2)</f>
        <v>9.9037143771440309E-2</v>
      </c>
      <c r="BY52" s="30">
        <f>0.5*LN((1+BX52)/(1-BX52))</f>
        <v>9.9362859957839736E-2</v>
      </c>
      <c r="BZ52" s="30">
        <f>((1-(BY52^2)^2)/(BI52-1))</f>
        <v>9.1065803670912202E-4</v>
      </c>
      <c r="CA52" s="30">
        <f>1/(BI52-3)</f>
        <v>9.1240875912408756E-4</v>
      </c>
      <c r="CB52" s="99"/>
      <c r="CC52">
        <f>BI52-2</f>
        <v>1097</v>
      </c>
      <c r="CE52" s="30">
        <f>((AZ52^2)/(AZ52^2+BJ52))^(1/2)</f>
        <v>2.8718958292254938E-2</v>
      </c>
      <c r="CF52" s="30">
        <f>0.5*LN((1+CE52)/(1-CE52))</f>
        <v>2.8726857795568102E-2</v>
      </c>
      <c r="CG52" s="30">
        <f>((1-(CF52^2)^2)/(BJ52-1))</f>
        <v>7.5832207400588011E-5</v>
      </c>
      <c r="CH52" s="30">
        <f>1/(BJ52-3)</f>
        <v>7.5843761850587782E-5</v>
      </c>
    </row>
    <row r="53" spans="1:86" ht="15.6">
      <c r="A53" s="11" t="s">
        <v>315</v>
      </c>
      <c r="B53" s="11"/>
      <c r="C53" s="94">
        <v>1245</v>
      </c>
      <c r="D53" s="11">
        <v>312</v>
      </c>
      <c r="E53" t="s">
        <v>329</v>
      </c>
      <c r="F53">
        <v>2021</v>
      </c>
      <c r="G53" t="s">
        <v>330</v>
      </c>
      <c r="H53" t="s">
        <v>331</v>
      </c>
      <c r="I53" s="18">
        <v>2</v>
      </c>
      <c r="J53">
        <v>2018</v>
      </c>
      <c r="K53" s="10" t="s">
        <v>73</v>
      </c>
      <c r="L53">
        <v>17</v>
      </c>
      <c r="M53" s="18" t="s">
        <v>276</v>
      </c>
      <c r="N53" t="s">
        <v>241</v>
      </c>
      <c r="O53" t="s">
        <v>148</v>
      </c>
      <c r="P53" s="18" t="s">
        <v>242</v>
      </c>
      <c r="Q53" t="s">
        <v>253</v>
      </c>
      <c r="R53" t="s">
        <v>244</v>
      </c>
      <c r="S53">
        <v>1</v>
      </c>
      <c r="T53" t="s">
        <v>265</v>
      </c>
      <c r="U53">
        <v>1</v>
      </c>
      <c r="V53" s="18" t="s">
        <v>230</v>
      </c>
      <c r="W53" s="18" t="s">
        <v>230</v>
      </c>
      <c r="X53" t="s">
        <v>245</v>
      </c>
      <c r="Y53" s="18">
        <v>0</v>
      </c>
      <c r="Z53" s="18">
        <v>0</v>
      </c>
      <c r="AA53" s="18">
        <v>1</v>
      </c>
      <c r="AB53" s="18">
        <v>0</v>
      </c>
      <c r="AC53" s="18">
        <v>0</v>
      </c>
      <c r="AD53" s="18">
        <v>0</v>
      </c>
      <c r="AE53" s="11">
        <v>0</v>
      </c>
      <c r="AF53" s="11">
        <v>0</v>
      </c>
      <c r="AG53" s="18" t="s">
        <v>332</v>
      </c>
      <c r="AH53" s="18">
        <v>0</v>
      </c>
      <c r="AI53" s="18">
        <v>0</v>
      </c>
      <c r="AJ53" s="18">
        <v>0</v>
      </c>
      <c r="AK53" s="18">
        <v>1</v>
      </c>
      <c r="AL53" s="18">
        <v>0</v>
      </c>
      <c r="AM53" s="18">
        <v>0</v>
      </c>
      <c r="AN53" s="18">
        <v>0</v>
      </c>
      <c r="AO53" s="18">
        <v>0</v>
      </c>
      <c r="AP53" s="18">
        <v>0</v>
      </c>
      <c r="AQ53" s="118" t="s">
        <v>333</v>
      </c>
      <c r="AR53" s="118" t="s">
        <v>234</v>
      </c>
      <c r="AS53" s="118" t="s">
        <v>333</v>
      </c>
      <c r="AT53" s="118" t="s">
        <v>334</v>
      </c>
      <c r="AU53" s="120">
        <v>6.0999999999999999E-2</v>
      </c>
      <c r="AV53" s="121" t="s">
        <v>86</v>
      </c>
      <c r="AW53" s="118" t="s">
        <v>73</v>
      </c>
      <c r="AX53" s="118">
        <v>0.71299999999999997</v>
      </c>
      <c r="AY53">
        <v>3</v>
      </c>
      <c r="AZ53">
        <f>TINV(AX53,CC53)</f>
        <v>0.36792518213176223</v>
      </c>
      <c r="BA53" s="18" t="s">
        <v>73</v>
      </c>
      <c r="BB53" s="18"/>
      <c r="BC53" s="18" t="s">
        <v>73</v>
      </c>
      <c r="BD53" s="18" t="s">
        <v>73</v>
      </c>
      <c r="BE53" s="18" t="s">
        <v>73</v>
      </c>
      <c r="BF53" s="18" t="s">
        <v>73</v>
      </c>
      <c r="BG53" s="18" t="s">
        <v>73</v>
      </c>
      <c r="BH53" s="18" t="s">
        <v>73</v>
      </c>
      <c r="BI53">
        <v>1099</v>
      </c>
      <c r="BJ53">
        <v>13188</v>
      </c>
      <c r="BK53" s="18" t="s">
        <v>73</v>
      </c>
      <c r="BL53" s="18" t="s">
        <v>73</v>
      </c>
      <c r="BM53" s="18" t="s">
        <v>73</v>
      </c>
      <c r="BN53" s="18" t="s">
        <v>73</v>
      </c>
      <c r="BO53" s="11" t="s">
        <v>73</v>
      </c>
      <c r="BP53" s="18" t="s">
        <v>73</v>
      </c>
      <c r="BQ53" s="11" t="s">
        <v>73</v>
      </c>
      <c r="BR53">
        <v>1</v>
      </c>
      <c r="BS53">
        <v>1</v>
      </c>
      <c r="BT53" t="s">
        <v>237</v>
      </c>
      <c r="BU53">
        <v>0</v>
      </c>
      <c r="BV53">
        <v>0</v>
      </c>
      <c r="BW53">
        <v>0</v>
      </c>
      <c r="BX53" s="30">
        <f>((AZ53^2)/(AZ53^2+BI53))^(1/2)</f>
        <v>1.1097724056507073E-2</v>
      </c>
      <c r="BY53" s="30">
        <f>0.5*LN((1+BX53)/(1-BX53))</f>
        <v>1.1098179686815215E-2</v>
      </c>
      <c r="BZ53" s="30">
        <f>((1-(BY53^2)^2)/(BI53-1))</f>
        <v>9.1074679856944585E-4</v>
      </c>
      <c r="CA53" s="30">
        <f>1/(BI53-3)</f>
        <v>9.1240875912408756E-4</v>
      </c>
      <c r="CB53" s="99"/>
      <c r="CC53">
        <f>BI53-2</f>
        <v>1097</v>
      </c>
      <c r="CE53" s="30">
        <f>((AZ53^2)/(AZ53^2+BJ53))^(1/2)</f>
        <v>3.2038178402255461E-3</v>
      </c>
      <c r="CF53" s="30">
        <f>0.5*LN((1+CE53)/(1-CE53))</f>
        <v>3.2038288021011105E-3</v>
      </c>
      <c r="CG53" s="30">
        <f>((1-(CF53^2)^2)/(BJ53-1))</f>
        <v>7.5832259035007177E-5</v>
      </c>
      <c r="CH53" s="30">
        <f>1/(BJ53-3)</f>
        <v>7.5843761850587782E-5</v>
      </c>
    </row>
    <row r="54" spans="1:86" ht="15.6">
      <c r="A54" s="11" t="s">
        <v>315</v>
      </c>
      <c r="B54" s="11"/>
      <c r="C54" s="94">
        <v>1246</v>
      </c>
      <c r="D54" s="11">
        <v>312</v>
      </c>
      <c r="E54" t="s">
        <v>329</v>
      </c>
      <c r="F54">
        <v>2021</v>
      </c>
      <c r="G54" t="s">
        <v>330</v>
      </c>
      <c r="H54" t="s">
        <v>331</v>
      </c>
      <c r="I54" s="18">
        <v>2</v>
      </c>
      <c r="J54">
        <v>2018</v>
      </c>
      <c r="K54" s="10" t="s">
        <v>73</v>
      </c>
      <c r="L54">
        <v>17</v>
      </c>
      <c r="M54" s="18" t="s">
        <v>276</v>
      </c>
      <c r="N54" t="s">
        <v>241</v>
      </c>
      <c r="O54" t="s">
        <v>148</v>
      </c>
      <c r="P54" s="18" t="s">
        <v>242</v>
      </c>
      <c r="Q54" t="s">
        <v>253</v>
      </c>
      <c r="R54" t="s">
        <v>244</v>
      </c>
      <c r="S54">
        <v>1</v>
      </c>
      <c r="T54" t="s">
        <v>265</v>
      </c>
      <c r="U54">
        <v>1</v>
      </c>
      <c r="V54" s="18" t="s">
        <v>230</v>
      </c>
      <c r="W54" s="18" t="s">
        <v>230</v>
      </c>
      <c r="X54" t="s">
        <v>245</v>
      </c>
      <c r="Y54" s="18">
        <v>0</v>
      </c>
      <c r="Z54" s="18">
        <v>0</v>
      </c>
      <c r="AA54" s="18">
        <v>1</v>
      </c>
      <c r="AB54" s="18">
        <v>0</v>
      </c>
      <c r="AC54" s="18">
        <v>0</v>
      </c>
      <c r="AD54" s="18">
        <v>0</v>
      </c>
      <c r="AE54" s="11">
        <v>0</v>
      </c>
      <c r="AF54" s="11">
        <v>0</v>
      </c>
      <c r="AG54" s="18" t="s">
        <v>332</v>
      </c>
      <c r="AH54" s="18">
        <v>0</v>
      </c>
      <c r="AI54" s="18">
        <v>0</v>
      </c>
      <c r="AJ54" s="18">
        <v>0</v>
      </c>
      <c r="AK54" s="18">
        <v>1</v>
      </c>
      <c r="AL54" s="18">
        <v>0</v>
      </c>
      <c r="AM54" s="18">
        <v>0</v>
      </c>
      <c r="AN54" s="18">
        <v>0</v>
      </c>
      <c r="AO54" s="18">
        <v>0</v>
      </c>
      <c r="AP54" s="18">
        <v>0</v>
      </c>
      <c r="AQ54" s="118" t="s">
        <v>333</v>
      </c>
      <c r="AR54" s="118" t="s">
        <v>234</v>
      </c>
      <c r="AS54" s="118" t="s">
        <v>333</v>
      </c>
      <c r="AT54" s="118" t="s">
        <v>334</v>
      </c>
      <c r="AU54" s="120">
        <v>2E-3</v>
      </c>
      <c r="AV54" s="121" t="s">
        <v>86</v>
      </c>
      <c r="AW54" s="118" t="s">
        <v>73</v>
      </c>
      <c r="AX54" s="118">
        <v>0.99199999999999999</v>
      </c>
      <c r="AY54">
        <v>3</v>
      </c>
      <c r="AZ54">
        <f>TINV(AX54,CC54)</f>
        <v>1.0028966613252909E-2</v>
      </c>
      <c r="BA54" s="18" t="s">
        <v>73</v>
      </c>
      <c r="BB54" s="18"/>
      <c r="BC54" s="18" t="s">
        <v>73</v>
      </c>
      <c r="BD54" s="18" t="s">
        <v>73</v>
      </c>
      <c r="BE54" s="18" t="s">
        <v>73</v>
      </c>
      <c r="BF54" s="18" t="s">
        <v>73</v>
      </c>
      <c r="BG54" s="18" t="s">
        <v>73</v>
      </c>
      <c r="BH54" s="18" t="s">
        <v>73</v>
      </c>
      <c r="BI54">
        <v>1099</v>
      </c>
      <c r="BJ54">
        <v>13188</v>
      </c>
      <c r="BK54" s="18" t="s">
        <v>73</v>
      </c>
      <c r="BL54" s="18" t="s">
        <v>73</v>
      </c>
      <c r="BM54" s="18" t="s">
        <v>73</v>
      </c>
      <c r="BN54" s="18" t="s">
        <v>73</v>
      </c>
      <c r="BO54" s="11" t="s">
        <v>73</v>
      </c>
      <c r="BP54" s="18" t="s">
        <v>73</v>
      </c>
      <c r="BQ54" s="11" t="s">
        <v>73</v>
      </c>
      <c r="BR54">
        <v>1</v>
      </c>
      <c r="BS54">
        <v>1</v>
      </c>
      <c r="BT54" t="s">
        <v>237</v>
      </c>
      <c r="BU54">
        <v>0</v>
      </c>
      <c r="BV54">
        <v>0</v>
      </c>
      <c r="BW54">
        <v>0</v>
      </c>
      <c r="BX54" s="30">
        <f>((AZ54^2)/(AZ54^2+BI54))^(1/2)</f>
        <v>3.0252224837106504E-4</v>
      </c>
      <c r="BY54" s="30">
        <f>0.5*LN((1+BX54)/(1-BX54))</f>
        <v>3.0252225759992615E-4</v>
      </c>
      <c r="BZ54" s="30">
        <f>((1-(BY54^2)^2)/(BI54-1))</f>
        <v>9.1074681238614906E-4</v>
      </c>
      <c r="CA54" s="30">
        <f>1/(BI54-3)</f>
        <v>9.1240875912408756E-4</v>
      </c>
      <c r="CB54" s="99"/>
      <c r="CC54">
        <f>BI54-2</f>
        <v>1097</v>
      </c>
      <c r="CE54" s="30">
        <f>((AZ54^2)/(AZ54^2+BJ54))^(1/2)</f>
        <v>8.7330654429660967E-5</v>
      </c>
      <c r="CF54" s="30">
        <f>0.5*LN((1+CE54)/(1-CE54))</f>
        <v>8.7330654651614581E-5</v>
      </c>
      <c r="CG54" s="30">
        <f>((1-(CF54^2)^2)/(BJ54-1))</f>
        <v>7.583225904299688E-5</v>
      </c>
      <c r="CH54" s="30">
        <f>1/(BJ54-3)</f>
        <v>7.5843761850587782E-5</v>
      </c>
    </row>
    <row r="55" spans="1:86" ht="15.6">
      <c r="A55" t="s">
        <v>335</v>
      </c>
      <c r="C55" s="94">
        <v>1258</v>
      </c>
      <c r="D55" s="11">
        <v>404</v>
      </c>
      <c r="E55" t="s">
        <v>336</v>
      </c>
      <c r="F55" s="11">
        <v>2021</v>
      </c>
      <c r="G55" t="s">
        <v>337</v>
      </c>
      <c r="H55" t="s">
        <v>338</v>
      </c>
      <c r="I55" s="18">
        <v>2</v>
      </c>
      <c r="J55">
        <v>2017</v>
      </c>
      <c r="K55" t="s">
        <v>73</v>
      </c>
      <c r="L55">
        <v>11</v>
      </c>
      <c r="M55" s="18" t="s">
        <v>120</v>
      </c>
      <c r="N55" t="s">
        <v>224</v>
      </c>
      <c r="O55" t="s">
        <v>339</v>
      </c>
      <c r="P55" s="18" t="s">
        <v>226</v>
      </c>
      <c r="Q55" t="s">
        <v>253</v>
      </c>
      <c r="R55" t="s">
        <v>259</v>
      </c>
      <c r="S55">
        <v>1</v>
      </c>
      <c r="T55" t="s">
        <v>189</v>
      </c>
      <c r="U55">
        <v>1</v>
      </c>
      <c r="V55" s="18" t="s">
        <v>314</v>
      </c>
      <c r="W55" s="18" t="s">
        <v>314</v>
      </c>
      <c r="X55" t="s">
        <v>340</v>
      </c>
      <c r="Y55" s="18">
        <v>0</v>
      </c>
      <c r="Z55" s="18">
        <v>1</v>
      </c>
      <c r="AA55" s="18">
        <v>0</v>
      </c>
      <c r="AB55" s="18">
        <v>0</v>
      </c>
      <c r="AC55" s="18">
        <v>0</v>
      </c>
      <c r="AD55" s="18">
        <v>0</v>
      </c>
      <c r="AE55" s="11">
        <v>0</v>
      </c>
      <c r="AF55" s="18">
        <v>0</v>
      </c>
      <c r="AG55" t="s">
        <v>341</v>
      </c>
      <c r="AH55" s="18">
        <v>0</v>
      </c>
      <c r="AI55" s="18">
        <v>0</v>
      </c>
      <c r="AJ55" s="18">
        <v>0</v>
      </c>
      <c r="AK55" s="18">
        <v>0</v>
      </c>
      <c r="AL55" s="18">
        <v>0</v>
      </c>
      <c r="AM55" s="18">
        <v>0</v>
      </c>
      <c r="AN55" s="18">
        <v>1</v>
      </c>
      <c r="AO55" s="18">
        <v>0</v>
      </c>
      <c r="AP55" s="18">
        <v>0</v>
      </c>
      <c r="AQ55" s="118" t="s">
        <v>342</v>
      </c>
      <c r="AR55" s="118" t="s">
        <v>234</v>
      </c>
      <c r="AS55" s="119" t="s">
        <v>343</v>
      </c>
      <c r="AT55" s="118" t="s">
        <v>73</v>
      </c>
      <c r="AU55" s="21">
        <v>25.879000000000001</v>
      </c>
      <c r="AV55" s="7" t="s">
        <v>80</v>
      </c>
      <c r="AW55">
        <v>15.298</v>
      </c>
      <c r="AX55">
        <v>0.1</v>
      </c>
      <c r="AY55">
        <v>1</v>
      </c>
      <c r="AZ55">
        <f>TINV(AX55,CC55)</f>
        <v>1.6519717481243639</v>
      </c>
      <c r="BA55" s="18" t="s">
        <v>73</v>
      </c>
      <c r="BB55" s="18"/>
      <c r="BC55" s="18" t="s">
        <v>73</v>
      </c>
      <c r="BD55" s="18" t="s">
        <v>73</v>
      </c>
      <c r="BE55" s="18" t="s">
        <v>73</v>
      </c>
      <c r="BF55" s="18" t="s">
        <v>73</v>
      </c>
      <c r="BG55" s="18" t="s">
        <v>73</v>
      </c>
      <c r="BH55" s="18" t="s">
        <v>73</v>
      </c>
      <c r="BI55">
        <v>217</v>
      </c>
      <c r="BJ55">
        <v>868</v>
      </c>
      <c r="BK55" s="21">
        <v>25.879000000000001</v>
      </c>
      <c r="BL55" s="18" t="s">
        <v>73</v>
      </c>
      <c r="BM55" s="18" t="s">
        <v>73</v>
      </c>
      <c r="BN55" s="18" t="s">
        <v>73</v>
      </c>
      <c r="BO55" s="11" t="s">
        <v>73</v>
      </c>
      <c r="BP55" s="11" t="s">
        <v>73</v>
      </c>
      <c r="BQ55" s="11" t="s">
        <v>73</v>
      </c>
      <c r="BR55" t="s">
        <v>73</v>
      </c>
      <c r="BS55" s="11" t="s">
        <v>73</v>
      </c>
      <c r="BT55" t="s">
        <v>73</v>
      </c>
      <c r="BU55">
        <v>0</v>
      </c>
      <c r="BV55">
        <v>0</v>
      </c>
      <c r="BW55">
        <v>1</v>
      </c>
      <c r="BX55" s="30">
        <f>((AZ55^2)/(AZ55^2+BI55))^(1/2)</f>
        <v>0.111444570712238</v>
      </c>
      <c r="BY55" s="30">
        <f>0.5*LN((1+BX55)/(1-BX55))</f>
        <v>0.11190941618239179</v>
      </c>
      <c r="BZ55" s="30">
        <f>((1-(BY55^2)^2)/(BI55-1))</f>
        <v>4.6289035023228077E-3</v>
      </c>
      <c r="CA55" s="30">
        <f>1/(BI55-3)</f>
        <v>4.6728971962616819E-3</v>
      </c>
      <c r="CC55">
        <f>BI55-2</f>
        <v>215</v>
      </c>
      <c r="CE55" s="30">
        <f>((AZ55^2)/(AZ55^2+BJ55))^(1/2)</f>
        <v>5.5983636926066289E-2</v>
      </c>
      <c r="CF55" s="30">
        <f>0.5*LN((1+CE55)/(1-CE55))</f>
        <v>5.6042234525477685E-2</v>
      </c>
      <c r="CG55" s="30">
        <f>((1-(CF55^2)^2)/(BJ55-1))</f>
        <v>1.1533911600947939E-3</v>
      </c>
      <c r="CH55" s="30">
        <f>1/(BJ55-3)</f>
        <v>1.1560693641618498E-3</v>
      </c>
    </row>
    <row r="56" spans="1:86" ht="15.6">
      <c r="A56" t="s">
        <v>335</v>
      </c>
      <c r="C56" s="94">
        <v>1259</v>
      </c>
      <c r="D56" s="11">
        <v>404</v>
      </c>
      <c r="E56" t="s">
        <v>336</v>
      </c>
      <c r="F56" s="11">
        <v>2021</v>
      </c>
      <c r="G56" t="s">
        <v>337</v>
      </c>
      <c r="H56" t="s">
        <v>338</v>
      </c>
      <c r="I56" s="18">
        <v>2</v>
      </c>
      <c r="J56">
        <v>2017</v>
      </c>
      <c r="K56" t="s">
        <v>73</v>
      </c>
      <c r="L56">
        <v>11</v>
      </c>
      <c r="M56" s="18" t="s">
        <v>120</v>
      </c>
      <c r="N56" t="s">
        <v>224</v>
      </c>
      <c r="O56" t="s">
        <v>339</v>
      </c>
      <c r="P56" s="18" t="s">
        <v>226</v>
      </c>
      <c r="Q56" t="s">
        <v>253</v>
      </c>
      <c r="R56" t="s">
        <v>259</v>
      </c>
      <c r="S56">
        <v>1</v>
      </c>
      <c r="T56" t="s">
        <v>189</v>
      </c>
      <c r="U56">
        <v>1</v>
      </c>
      <c r="V56" s="18" t="s">
        <v>314</v>
      </c>
      <c r="W56" s="18" t="s">
        <v>314</v>
      </c>
      <c r="X56" t="s">
        <v>340</v>
      </c>
      <c r="Y56" s="18">
        <v>0</v>
      </c>
      <c r="Z56" s="18">
        <v>1</v>
      </c>
      <c r="AA56" s="18">
        <v>0</v>
      </c>
      <c r="AB56" s="18">
        <v>0</v>
      </c>
      <c r="AC56" s="18">
        <v>0</v>
      </c>
      <c r="AD56" s="18">
        <v>0</v>
      </c>
      <c r="AE56" s="11">
        <v>0</v>
      </c>
      <c r="AF56" s="18">
        <v>0</v>
      </c>
      <c r="AG56" t="s">
        <v>341</v>
      </c>
      <c r="AH56" s="18">
        <v>0</v>
      </c>
      <c r="AI56" s="18">
        <v>0</v>
      </c>
      <c r="AJ56" s="18">
        <v>0</v>
      </c>
      <c r="AK56" s="18">
        <v>0</v>
      </c>
      <c r="AL56" s="18">
        <v>0</v>
      </c>
      <c r="AM56" s="18">
        <v>0</v>
      </c>
      <c r="AN56" s="18">
        <v>1</v>
      </c>
      <c r="AO56" s="18">
        <v>0</v>
      </c>
      <c r="AP56" s="18">
        <v>0</v>
      </c>
      <c r="AQ56" s="118" t="s">
        <v>342</v>
      </c>
      <c r="AR56" s="118" t="s">
        <v>234</v>
      </c>
      <c r="AS56" s="119" t="s">
        <v>343</v>
      </c>
      <c r="AT56" s="118" t="s">
        <v>73</v>
      </c>
      <c r="AU56" s="21">
        <v>45.747</v>
      </c>
      <c r="AV56" s="7" t="s">
        <v>80</v>
      </c>
      <c r="AW56">
        <v>18.632000000000001</v>
      </c>
      <c r="AX56">
        <v>0.05</v>
      </c>
      <c r="AY56">
        <v>1</v>
      </c>
      <c r="AZ56">
        <f>TINV(AX56,CC56)</f>
        <v>1.9710591221336478</v>
      </c>
      <c r="BA56" s="18" t="s">
        <v>644</v>
      </c>
      <c r="BB56" s="18"/>
      <c r="BC56" s="18" t="s">
        <v>73</v>
      </c>
      <c r="BD56" s="18" t="s">
        <v>73</v>
      </c>
      <c r="BE56" s="18" t="s">
        <v>73</v>
      </c>
      <c r="BF56" s="18" t="s">
        <v>73</v>
      </c>
      <c r="BG56" s="18" t="s">
        <v>73</v>
      </c>
      <c r="BH56" s="18" t="s">
        <v>73</v>
      </c>
      <c r="BI56">
        <v>217</v>
      </c>
      <c r="BJ56">
        <v>868</v>
      </c>
      <c r="BK56" s="21">
        <v>45.747</v>
      </c>
      <c r="BL56" s="18" t="s">
        <v>73</v>
      </c>
      <c r="BM56" s="18" t="s">
        <v>73</v>
      </c>
      <c r="BN56" s="18" t="s">
        <v>73</v>
      </c>
      <c r="BO56" s="11" t="s">
        <v>73</v>
      </c>
      <c r="BP56" s="11" t="s">
        <v>73</v>
      </c>
      <c r="BQ56" s="11" t="s">
        <v>73</v>
      </c>
      <c r="BR56" t="s">
        <v>73</v>
      </c>
      <c r="BS56" s="11" t="s">
        <v>73</v>
      </c>
      <c r="BT56" t="s">
        <v>73</v>
      </c>
      <c r="BU56">
        <v>0</v>
      </c>
      <c r="BV56">
        <v>0</v>
      </c>
      <c r="BW56">
        <v>1</v>
      </c>
      <c r="BX56" s="30">
        <f>((AZ56^2)/(AZ56^2+BI56))^(1/2)</f>
        <v>0.13262227273834529</v>
      </c>
      <c r="BY56" s="30">
        <f>0.5*LN((1+BX56)/(1-BX56))</f>
        <v>0.13340813257086698</v>
      </c>
      <c r="BZ56" s="30">
        <f>((1-(BY56^2)^2)/(BI56-1))</f>
        <v>4.6281631519105703E-3</v>
      </c>
      <c r="CA56" s="30">
        <f>1/(BI56-3)</f>
        <v>4.6728971962616819E-3</v>
      </c>
      <c r="CC56">
        <f>BI56-2</f>
        <v>215</v>
      </c>
      <c r="CE56" s="30">
        <f>((AZ56^2)/(AZ56^2+BJ56))^(1/2)</f>
        <v>6.6752883376554634E-2</v>
      </c>
      <c r="CF56" s="30">
        <f>0.5*LN((1+CE56)/(1-CE56))</f>
        <v>6.6852298418384234E-2</v>
      </c>
      <c r="CG56" s="30">
        <f>((1-(CF56^2)^2)/(BJ56-1))</f>
        <v>1.1533794994059523E-3</v>
      </c>
      <c r="CH56" s="30">
        <f>1/(BJ56-3)</f>
        <v>1.1560693641618498E-3</v>
      </c>
    </row>
    <row r="57" spans="1:86" ht="15.6">
      <c r="A57" t="s">
        <v>335</v>
      </c>
      <c r="C57" s="94">
        <v>1260</v>
      </c>
      <c r="D57" s="11">
        <v>404</v>
      </c>
      <c r="E57" t="s">
        <v>336</v>
      </c>
      <c r="F57" s="11">
        <v>2021</v>
      </c>
      <c r="G57" t="s">
        <v>337</v>
      </c>
      <c r="H57" t="s">
        <v>338</v>
      </c>
      <c r="I57" s="18">
        <v>2</v>
      </c>
      <c r="J57">
        <v>2017</v>
      </c>
      <c r="K57" t="s">
        <v>73</v>
      </c>
      <c r="L57">
        <v>11</v>
      </c>
      <c r="M57" s="18" t="s">
        <v>120</v>
      </c>
      <c r="N57" t="s">
        <v>224</v>
      </c>
      <c r="O57" t="s">
        <v>339</v>
      </c>
      <c r="P57" s="18" t="s">
        <v>226</v>
      </c>
      <c r="Q57" t="s">
        <v>253</v>
      </c>
      <c r="R57" t="s">
        <v>259</v>
      </c>
      <c r="S57">
        <v>1</v>
      </c>
      <c r="T57" t="s">
        <v>189</v>
      </c>
      <c r="U57">
        <v>1</v>
      </c>
      <c r="V57" s="18" t="s">
        <v>314</v>
      </c>
      <c r="W57" s="18" t="s">
        <v>314</v>
      </c>
      <c r="X57" t="s">
        <v>340</v>
      </c>
      <c r="Y57" s="18">
        <v>0</v>
      </c>
      <c r="Z57" s="18">
        <v>1</v>
      </c>
      <c r="AA57" s="18">
        <v>0</v>
      </c>
      <c r="AB57" s="18">
        <v>0</v>
      </c>
      <c r="AC57" s="18">
        <v>0</v>
      </c>
      <c r="AD57" s="18">
        <v>0</v>
      </c>
      <c r="AE57" s="11">
        <v>0</v>
      </c>
      <c r="AF57" s="18">
        <v>0</v>
      </c>
      <c r="AG57" t="s">
        <v>341</v>
      </c>
      <c r="AH57" s="18">
        <v>0</v>
      </c>
      <c r="AI57" s="18">
        <v>0</v>
      </c>
      <c r="AJ57" s="18">
        <v>0</v>
      </c>
      <c r="AK57" s="18">
        <v>0</v>
      </c>
      <c r="AL57" s="18">
        <v>0</v>
      </c>
      <c r="AM57" s="18">
        <v>0</v>
      </c>
      <c r="AN57" s="18">
        <v>1</v>
      </c>
      <c r="AO57" s="18">
        <v>0</v>
      </c>
      <c r="AP57" s="18">
        <v>0</v>
      </c>
      <c r="AQ57" s="118" t="s">
        <v>342</v>
      </c>
      <c r="AR57" s="118" t="s">
        <v>234</v>
      </c>
      <c r="AS57" s="119" t="s">
        <v>343</v>
      </c>
      <c r="AT57" s="118" t="s">
        <v>73</v>
      </c>
      <c r="AU57" s="21">
        <v>33.076000000000001</v>
      </c>
      <c r="AV57" s="7" t="s">
        <v>80</v>
      </c>
      <c r="AW57">
        <v>18.632000000000001</v>
      </c>
      <c r="AX57">
        <v>0.1</v>
      </c>
      <c r="AY57">
        <v>1</v>
      </c>
      <c r="AZ57">
        <f>TINV(AX57,CC57)</f>
        <v>1.6519717481243639</v>
      </c>
      <c r="BA57" s="18" t="s">
        <v>645</v>
      </c>
      <c r="BB57" s="18"/>
      <c r="BC57" s="18" t="s">
        <v>73</v>
      </c>
      <c r="BD57" s="18" t="s">
        <v>73</v>
      </c>
      <c r="BE57" s="18" t="s">
        <v>73</v>
      </c>
      <c r="BF57" s="18" t="s">
        <v>73</v>
      </c>
      <c r="BG57" s="18" t="s">
        <v>73</v>
      </c>
      <c r="BH57" s="18" t="s">
        <v>73</v>
      </c>
      <c r="BI57">
        <v>217</v>
      </c>
      <c r="BJ57">
        <v>868</v>
      </c>
      <c r="BK57" s="21">
        <v>33.076000000000001</v>
      </c>
      <c r="BL57" s="18" t="s">
        <v>73</v>
      </c>
      <c r="BM57" s="18" t="s">
        <v>73</v>
      </c>
      <c r="BN57" s="18" t="s">
        <v>73</v>
      </c>
      <c r="BO57" s="11" t="s">
        <v>73</v>
      </c>
      <c r="BP57" s="11" t="s">
        <v>73</v>
      </c>
      <c r="BQ57" s="11" t="s">
        <v>73</v>
      </c>
      <c r="BR57" t="s">
        <v>73</v>
      </c>
      <c r="BS57" s="11" t="s">
        <v>73</v>
      </c>
      <c r="BT57" t="s">
        <v>73</v>
      </c>
      <c r="BU57">
        <v>0</v>
      </c>
      <c r="BV57">
        <v>0</v>
      </c>
      <c r="BW57">
        <v>1</v>
      </c>
      <c r="BX57" s="30">
        <f>((AZ57^2)/(AZ57^2+BI57))^(1/2)</f>
        <v>0.111444570712238</v>
      </c>
      <c r="BY57" s="30">
        <f>0.5*LN((1+BX57)/(1-BX57))</f>
        <v>0.11190941618239179</v>
      </c>
      <c r="BZ57" s="30">
        <f>((1-(BY57^2)^2)/(BI57-1))</f>
        <v>4.6289035023228077E-3</v>
      </c>
      <c r="CA57" s="30">
        <f>1/(BI57-3)</f>
        <v>4.6728971962616819E-3</v>
      </c>
      <c r="CC57">
        <f>BI57-2</f>
        <v>215</v>
      </c>
      <c r="CE57" s="30">
        <f>((AZ57^2)/(AZ57^2+BJ57))^(1/2)</f>
        <v>5.5983636926066289E-2</v>
      </c>
      <c r="CF57" s="30">
        <f>0.5*LN((1+CE57)/(1-CE57))</f>
        <v>5.6042234525477685E-2</v>
      </c>
      <c r="CG57" s="30">
        <f>((1-(CF57^2)^2)/(BJ57-1))</f>
        <v>1.1533911600947939E-3</v>
      </c>
      <c r="CH57" s="30">
        <f>1/(BJ57-3)</f>
        <v>1.1560693641618498E-3</v>
      </c>
    </row>
    <row r="58" spans="1:86" ht="15.6">
      <c r="A58" s="11" t="s">
        <v>68</v>
      </c>
      <c r="B58" s="11"/>
      <c r="C58" s="11">
        <v>1013</v>
      </c>
      <c r="D58" s="11">
        <v>104</v>
      </c>
      <c r="E58" s="11" t="s">
        <v>221</v>
      </c>
      <c r="F58" s="11">
        <v>2011</v>
      </c>
      <c r="G58" t="s">
        <v>222</v>
      </c>
      <c r="H58" t="s">
        <v>223</v>
      </c>
      <c r="I58" s="18">
        <v>2</v>
      </c>
      <c r="J58" s="10">
        <v>2009</v>
      </c>
      <c r="K58" s="11" t="s">
        <v>73</v>
      </c>
      <c r="L58" s="18">
        <v>2077</v>
      </c>
      <c r="M58" s="18" t="s">
        <v>120</v>
      </c>
      <c r="N58" t="s">
        <v>224</v>
      </c>
      <c r="O58" t="s">
        <v>225</v>
      </c>
      <c r="P58" s="18" t="s">
        <v>226</v>
      </c>
      <c r="Q58" t="s">
        <v>227</v>
      </c>
      <c r="R58" t="s">
        <v>228</v>
      </c>
      <c r="S58">
        <v>0</v>
      </c>
      <c r="T58" t="s">
        <v>229</v>
      </c>
      <c r="U58">
        <v>0</v>
      </c>
      <c r="V58" s="18" t="s">
        <v>230</v>
      </c>
      <c r="W58" s="18" t="s">
        <v>230</v>
      </c>
      <c r="X58" s="18" t="s">
        <v>231</v>
      </c>
      <c r="Y58" s="18">
        <v>0</v>
      </c>
      <c r="Z58" s="18">
        <v>0</v>
      </c>
      <c r="AA58" s="18">
        <v>1</v>
      </c>
      <c r="AB58" s="18">
        <v>0</v>
      </c>
      <c r="AC58" s="18">
        <v>0</v>
      </c>
      <c r="AD58" s="18">
        <v>0</v>
      </c>
      <c r="AE58" s="11">
        <v>0</v>
      </c>
      <c r="AF58" s="11">
        <v>0</v>
      </c>
      <c r="AG58" s="18" t="s">
        <v>232</v>
      </c>
      <c r="AH58" s="18">
        <v>0</v>
      </c>
      <c r="AI58" s="18">
        <v>0</v>
      </c>
      <c r="AJ58" s="18">
        <v>0</v>
      </c>
      <c r="AK58" s="18">
        <v>1</v>
      </c>
      <c r="AL58" s="18">
        <v>0</v>
      </c>
      <c r="AM58" s="18">
        <v>0</v>
      </c>
      <c r="AN58" s="18">
        <v>0</v>
      </c>
      <c r="AO58" s="18">
        <v>0</v>
      </c>
      <c r="AP58" s="18">
        <v>0</v>
      </c>
      <c r="AQ58" s="18" t="s">
        <v>233</v>
      </c>
      <c r="AR58" t="s">
        <v>234</v>
      </c>
      <c r="AS58" s="10" t="s">
        <v>235</v>
      </c>
      <c r="AT58" s="11" t="s">
        <v>236</v>
      </c>
      <c r="AU58" s="105">
        <v>8.8999999999999996E-2</v>
      </c>
      <c r="AV58" s="18" t="s">
        <v>80</v>
      </c>
      <c r="AW58" s="18">
        <v>2.1999999999999999E-2</v>
      </c>
      <c r="AX58" s="18">
        <v>0.01</v>
      </c>
      <c r="AY58" s="18">
        <v>1</v>
      </c>
      <c r="AZ58">
        <f>AU58/AW58</f>
        <v>4.0454545454545459</v>
      </c>
      <c r="BA58" s="18" t="s">
        <v>73</v>
      </c>
      <c r="BB58" s="18"/>
      <c r="BC58" s="11" t="s">
        <v>73</v>
      </c>
      <c r="BD58" s="11" t="s">
        <v>73</v>
      </c>
      <c r="BE58" s="11" t="s">
        <v>73</v>
      </c>
      <c r="BF58" s="11" t="s">
        <v>73</v>
      </c>
      <c r="BG58" s="11" t="s">
        <v>73</v>
      </c>
      <c r="BH58" s="11" t="s">
        <v>73</v>
      </c>
      <c r="BI58" s="10">
        <v>676</v>
      </c>
      <c r="BJ58" s="10">
        <v>676</v>
      </c>
      <c r="BK58" s="11" t="s">
        <v>73</v>
      </c>
      <c r="BL58" s="11" t="s">
        <v>73</v>
      </c>
      <c r="BM58" s="11" t="s">
        <v>73</v>
      </c>
      <c r="BN58" s="11" t="s">
        <v>73</v>
      </c>
      <c r="BO58" s="11" t="s">
        <v>73</v>
      </c>
      <c r="BP58" s="11" t="s">
        <v>73</v>
      </c>
      <c r="BQ58" s="11" t="s">
        <v>73</v>
      </c>
      <c r="BR58" s="11" t="s">
        <v>73</v>
      </c>
      <c r="BS58" s="11" t="s">
        <v>73</v>
      </c>
      <c r="BT58" t="s">
        <v>237</v>
      </c>
      <c r="BU58" s="18">
        <v>0</v>
      </c>
      <c r="BV58" s="18">
        <v>0</v>
      </c>
      <c r="BW58" s="18">
        <v>0</v>
      </c>
      <c r="BX58" s="30">
        <f>((AZ58^2)/(AZ58^2+BI58))^(1/2)</f>
        <v>0.15374448735583945</v>
      </c>
      <c r="BY58" s="30">
        <f>0.5*LN((1+BX58)/(1-BX58))</f>
        <v>0.15497333468721167</v>
      </c>
      <c r="BZ58" s="30">
        <f>((1-(BY58^2)^2)/(BI58-1))</f>
        <v>1.4806269577269365E-3</v>
      </c>
      <c r="CA58" s="30">
        <f>1/(BI58-3)</f>
        <v>1.4858841010401188E-3</v>
      </c>
      <c r="CC58">
        <f>BI58-2</f>
        <v>674</v>
      </c>
      <c r="CE58" s="30">
        <f>((AZ58^2)/(AZ58^2+BJ58))^(1/2)</f>
        <v>0.15374448735583945</v>
      </c>
      <c r="CF58" s="30">
        <f>0.5*LN((1+CE58)/(1-CE58))</f>
        <v>0.15497333468721167</v>
      </c>
      <c r="CG58" s="30">
        <f>((1-(CF58^2)^2)/(BJ58-1))</f>
        <v>1.4806269577269365E-3</v>
      </c>
      <c r="CH58" s="30">
        <f>1/(BJ58-3)</f>
        <v>1.4858841010401188E-3</v>
      </c>
    </row>
    <row r="59" spans="1:86" ht="15.6">
      <c r="A59" s="11" t="s">
        <v>68</v>
      </c>
      <c r="B59" s="11"/>
      <c r="C59" s="96">
        <v>1187</v>
      </c>
      <c r="D59" s="97">
        <v>143</v>
      </c>
      <c r="E59" s="44" t="s">
        <v>297</v>
      </c>
      <c r="F59" s="96">
        <v>2009</v>
      </c>
      <c r="G59" t="s">
        <v>298</v>
      </c>
      <c r="H59" t="s">
        <v>299</v>
      </c>
      <c r="I59" s="97">
        <v>2</v>
      </c>
      <c r="J59">
        <v>2006</v>
      </c>
      <c r="K59" s="96" t="s">
        <v>73</v>
      </c>
      <c r="L59">
        <v>3569</v>
      </c>
      <c r="M59" s="96" t="s">
        <v>300</v>
      </c>
      <c r="N59" t="s">
        <v>224</v>
      </c>
      <c r="O59" s="96" t="s">
        <v>280</v>
      </c>
      <c r="P59" t="s">
        <v>242</v>
      </c>
      <c r="Q59" s="96" t="s">
        <v>227</v>
      </c>
      <c r="R59" s="32" t="s">
        <v>259</v>
      </c>
      <c r="S59">
        <v>1</v>
      </c>
      <c r="T59" t="s">
        <v>265</v>
      </c>
      <c r="U59">
        <v>1</v>
      </c>
      <c r="V59" s="96" t="s">
        <v>230</v>
      </c>
      <c r="W59" s="96" t="s">
        <v>230</v>
      </c>
      <c r="X59" s="96" t="s">
        <v>301</v>
      </c>
      <c r="Y59" s="97">
        <v>0</v>
      </c>
      <c r="Z59" s="97">
        <v>0</v>
      </c>
      <c r="AA59" s="97">
        <v>1</v>
      </c>
      <c r="AB59" s="97">
        <v>0</v>
      </c>
      <c r="AC59" s="97">
        <v>0</v>
      </c>
      <c r="AD59" s="97">
        <v>0</v>
      </c>
      <c r="AE59" s="97">
        <v>0</v>
      </c>
      <c r="AF59" s="97">
        <v>0</v>
      </c>
      <c r="AG59" t="s">
        <v>302</v>
      </c>
      <c r="AH59" s="97">
        <v>0</v>
      </c>
      <c r="AI59" s="97">
        <v>0</v>
      </c>
      <c r="AJ59" s="97">
        <v>0</v>
      </c>
      <c r="AK59" s="97">
        <v>0</v>
      </c>
      <c r="AL59" s="97">
        <v>0</v>
      </c>
      <c r="AM59" s="97">
        <v>0</v>
      </c>
      <c r="AN59" s="97">
        <v>0</v>
      </c>
      <c r="AO59" s="97">
        <v>1</v>
      </c>
      <c r="AP59" s="97">
        <v>0</v>
      </c>
      <c r="AQ59" t="s">
        <v>73</v>
      </c>
      <c r="AR59" t="s">
        <v>234</v>
      </c>
      <c r="AS59" t="s">
        <v>303</v>
      </c>
      <c r="AT59" t="s">
        <v>73</v>
      </c>
      <c r="AU59" s="21">
        <v>0.49590000000000001</v>
      </c>
      <c r="AV59" s="7" t="s">
        <v>80</v>
      </c>
      <c r="AW59" s="41" t="s">
        <v>73</v>
      </c>
      <c r="AX59" s="41">
        <v>0.1</v>
      </c>
      <c r="AY59" s="41">
        <v>1</v>
      </c>
      <c r="AZ59">
        <f>TINV(AX59,CC59)</f>
        <v>1.6474057119344734</v>
      </c>
      <c r="BA59" t="s">
        <v>73</v>
      </c>
      <c r="BC59" t="s">
        <v>73</v>
      </c>
      <c r="BD59" t="s">
        <v>73</v>
      </c>
      <c r="BE59" t="s">
        <v>73</v>
      </c>
      <c r="BF59" t="s">
        <v>73</v>
      </c>
      <c r="BG59" t="s">
        <v>73</v>
      </c>
      <c r="BH59" t="s">
        <v>73</v>
      </c>
      <c r="BI59">
        <v>600</v>
      </c>
      <c r="BJ59">
        <v>3600</v>
      </c>
      <c r="BK59" t="s">
        <v>73</v>
      </c>
      <c r="BL59" t="s">
        <v>73</v>
      </c>
      <c r="BM59" s="97" t="s">
        <v>73</v>
      </c>
      <c r="BN59" s="97" t="s">
        <v>73</v>
      </c>
      <c r="BO59" s="97" t="s">
        <v>73</v>
      </c>
      <c r="BU59" s="97">
        <v>0</v>
      </c>
      <c r="BV59" s="97">
        <v>1</v>
      </c>
      <c r="BW59" s="97">
        <v>1</v>
      </c>
      <c r="BX59" s="103">
        <f>((AZ59^2)/(AZ59^2+BI59))^(1/2)</f>
        <v>6.7103465160314887E-2</v>
      </c>
      <c r="BY59" s="103">
        <f>0.5*LN((1+BX59)/(1-BX59))</f>
        <v>6.7204457661064573E-2</v>
      </c>
      <c r="BZ59" s="103">
        <f>((1-(BY59^2)^2)/(BI59-1))</f>
        <v>1.6694150280093312E-3</v>
      </c>
      <c r="CA59" s="103">
        <f>1/(BI59-3)</f>
        <v>1.6750418760469012E-3</v>
      </c>
      <c r="CC59">
        <f>BI59-2</f>
        <v>598</v>
      </c>
      <c r="CE59" s="30">
        <f>((AZ59^2)/(AZ59^2+BJ59))^(1/2)</f>
        <v>2.7446418247225011E-2</v>
      </c>
      <c r="CF59" s="30">
        <f>0.5*LN((1+CE59)/(1-CE59))</f>
        <v>2.7453313213271935E-2</v>
      </c>
      <c r="CG59" s="30">
        <f>((1-(CF59^2)^2)/(BJ59-1))</f>
        <v>2.7785480187824828E-4</v>
      </c>
      <c r="CH59" s="30">
        <f>1/(BJ59-3)</f>
        <v>2.7800945232137893E-4</v>
      </c>
    </row>
    <row r="60" spans="1:86" ht="15.6">
      <c r="A60" s="11" t="s">
        <v>68</v>
      </c>
      <c r="B60" s="11"/>
      <c r="C60" s="96">
        <v>1188</v>
      </c>
      <c r="D60" s="97">
        <v>143</v>
      </c>
      <c r="E60" s="44" t="s">
        <v>297</v>
      </c>
      <c r="F60" s="96">
        <v>2009</v>
      </c>
      <c r="G60" t="s">
        <v>298</v>
      </c>
      <c r="H60" t="s">
        <v>299</v>
      </c>
      <c r="I60" s="97">
        <v>2</v>
      </c>
      <c r="J60">
        <v>2006</v>
      </c>
      <c r="K60" s="96" t="s">
        <v>73</v>
      </c>
      <c r="L60">
        <v>3570</v>
      </c>
      <c r="M60" s="96" t="s">
        <v>300</v>
      </c>
      <c r="N60" t="s">
        <v>224</v>
      </c>
      <c r="O60" s="96" t="s">
        <v>280</v>
      </c>
      <c r="P60" t="s">
        <v>242</v>
      </c>
      <c r="Q60" s="96" t="s">
        <v>227</v>
      </c>
      <c r="R60" s="32" t="s">
        <v>259</v>
      </c>
      <c r="S60">
        <v>1</v>
      </c>
      <c r="T60" s="32" t="s">
        <v>265</v>
      </c>
      <c r="U60">
        <v>1</v>
      </c>
      <c r="V60" s="96" t="s">
        <v>230</v>
      </c>
      <c r="W60" s="96" t="s">
        <v>230</v>
      </c>
      <c r="X60" s="96" t="s">
        <v>301</v>
      </c>
      <c r="Y60" s="97">
        <v>0</v>
      </c>
      <c r="Z60" s="97">
        <v>0</v>
      </c>
      <c r="AA60" s="97">
        <v>1</v>
      </c>
      <c r="AB60" s="97">
        <v>0</v>
      </c>
      <c r="AC60" s="97">
        <v>0</v>
      </c>
      <c r="AD60" s="97">
        <v>0</v>
      </c>
      <c r="AE60" s="97">
        <v>0</v>
      </c>
      <c r="AF60" s="97">
        <v>0</v>
      </c>
      <c r="AG60" t="s">
        <v>302</v>
      </c>
      <c r="AH60" s="97">
        <v>0</v>
      </c>
      <c r="AI60" s="97">
        <v>0</v>
      </c>
      <c r="AJ60" s="97">
        <v>0</v>
      </c>
      <c r="AK60" s="97">
        <v>1</v>
      </c>
      <c r="AL60" s="97">
        <v>0</v>
      </c>
      <c r="AM60" s="97">
        <v>0</v>
      </c>
      <c r="AN60" s="97">
        <v>0</v>
      </c>
      <c r="AO60" s="97">
        <v>0</v>
      </c>
      <c r="AP60" s="97">
        <v>0</v>
      </c>
      <c r="AQ60" t="s">
        <v>73</v>
      </c>
      <c r="AR60" t="s">
        <v>234</v>
      </c>
      <c r="AS60" t="s">
        <v>303</v>
      </c>
      <c r="AT60" t="s">
        <v>73</v>
      </c>
      <c r="AU60" s="7">
        <v>0.17399999999999999</v>
      </c>
      <c r="AV60" s="7" t="s">
        <v>80</v>
      </c>
      <c r="AW60" s="41" t="s">
        <v>73</v>
      </c>
      <c r="AX60" s="41">
        <v>0.1</v>
      </c>
      <c r="AY60" s="41">
        <v>1</v>
      </c>
      <c r="AZ60">
        <f>TINV(AX60,CC60)</f>
        <v>1.6474057119344734</v>
      </c>
      <c r="BA60" t="s">
        <v>73</v>
      </c>
      <c r="BC60" t="s">
        <v>73</v>
      </c>
      <c r="BD60" t="s">
        <v>73</v>
      </c>
      <c r="BE60" t="s">
        <v>73</v>
      </c>
      <c r="BF60" t="s">
        <v>73</v>
      </c>
      <c r="BG60" t="s">
        <v>73</v>
      </c>
      <c r="BH60" t="s">
        <v>73</v>
      </c>
      <c r="BI60">
        <v>600</v>
      </c>
      <c r="BJ60">
        <v>3600</v>
      </c>
      <c r="BK60" t="s">
        <v>73</v>
      </c>
      <c r="BL60" t="s">
        <v>73</v>
      </c>
      <c r="BM60" s="97" t="s">
        <v>73</v>
      </c>
      <c r="BN60" s="97" t="s">
        <v>73</v>
      </c>
      <c r="BO60" s="97" t="s">
        <v>73</v>
      </c>
      <c r="BU60" s="97">
        <v>0</v>
      </c>
      <c r="BV60" s="97">
        <v>1</v>
      </c>
      <c r="BW60" s="97">
        <v>1</v>
      </c>
      <c r="BX60" s="103">
        <f>((AZ60^2)/(AZ60^2+BI60))^(1/2)</f>
        <v>6.7103465160314887E-2</v>
      </c>
      <c r="BY60" s="103">
        <f>0.5*LN((1+BX60)/(1-BX60))</f>
        <v>6.7204457661064573E-2</v>
      </c>
      <c r="BZ60" s="103">
        <f>((1-(BY60^2)^2)/(BI60-1))</f>
        <v>1.6694150280093312E-3</v>
      </c>
      <c r="CA60" s="103">
        <f>1/(BI60-3)</f>
        <v>1.6750418760469012E-3</v>
      </c>
      <c r="CC60">
        <f>BI60-2</f>
        <v>598</v>
      </c>
      <c r="CE60" s="30">
        <f>((AZ60^2)/(AZ60^2+BJ60))^(1/2)</f>
        <v>2.7446418247225011E-2</v>
      </c>
      <c r="CF60" s="30">
        <f>0.5*LN((1+CE60)/(1-CE60))</f>
        <v>2.7453313213271935E-2</v>
      </c>
      <c r="CG60" s="30">
        <f>((1-(CF60^2)^2)/(BJ60-1))</f>
        <v>2.7785480187824828E-4</v>
      </c>
      <c r="CH60" s="30">
        <f>1/(BJ60-3)</f>
        <v>2.7800945232137893E-4</v>
      </c>
    </row>
    <row r="61" spans="1:86" ht="15.6">
      <c r="A61" s="100" t="s">
        <v>315</v>
      </c>
      <c r="B61" s="100"/>
      <c r="C61" s="94">
        <v>1232</v>
      </c>
      <c r="D61" s="100">
        <v>304</v>
      </c>
      <c r="E61" t="s">
        <v>316</v>
      </c>
      <c r="F61" s="100">
        <v>2011</v>
      </c>
      <c r="G61" t="s">
        <v>317</v>
      </c>
      <c r="H61" s="58" t="s">
        <v>318</v>
      </c>
      <c r="I61" s="10">
        <v>2</v>
      </c>
      <c r="J61" s="10">
        <v>2009</v>
      </c>
      <c r="K61" s="100" t="s">
        <v>73</v>
      </c>
      <c r="L61" t="s">
        <v>319</v>
      </c>
      <c r="M61" s="18" t="s">
        <v>120</v>
      </c>
      <c r="N61" t="s">
        <v>320</v>
      </c>
      <c r="O61" t="s">
        <v>225</v>
      </c>
      <c r="P61" s="10" t="s">
        <v>226</v>
      </c>
      <c r="Q61" t="s">
        <v>227</v>
      </c>
      <c r="R61" t="s">
        <v>228</v>
      </c>
      <c r="S61">
        <v>0</v>
      </c>
      <c r="T61" s="10" t="s">
        <v>229</v>
      </c>
      <c r="U61">
        <v>0</v>
      </c>
      <c r="V61" s="10" t="s">
        <v>314</v>
      </c>
      <c r="W61" s="10" t="s">
        <v>230</v>
      </c>
      <c r="X61" s="10" t="s">
        <v>321</v>
      </c>
      <c r="Y61" s="10">
        <v>0</v>
      </c>
      <c r="Z61" s="10">
        <v>0</v>
      </c>
      <c r="AA61" s="10">
        <v>1</v>
      </c>
      <c r="AB61" s="10">
        <v>0</v>
      </c>
      <c r="AC61" s="10">
        <v>0</v>
      </c>
      <c r="AD61" s="10">
        <v>0</v>
      </c>
      <c r="AE61" s="100">
        <v>0</v>
      </c>
      <c r="AF61" s="100">
        <v>0</v>
      </c>
      <c r="AG61" s="10" t="s">
        <v>232</v>
      </c>
      <c r="AH61" s="10">
        <v>0</v>
      </c>
      <c r="AI61" s="10">
        <v>0</v>
      </c>
      <c r="AJ61" s="10">
        <v>1</v>
      </c>
      <c r="AK61" s="10">
        <v>0</v>
      </c>
      <c r="AL61" s="10">
        <v>0</v>
      </c>
      <c r="AM61" s="10">
        <v>0</v>
      </c>
      <c r="AN61" s="10">
        <v>0</v>
      </c>
      <c r="AO61" s="10">
        <v>0</v>
      </c>
      <c r="AP61" s="10">
        <v>0</v>
      </c>
      <c r="AQ61" s="10" t="s">
        <v>233</v>
      </c>
      <c r="AR61" t="s">
        <v>234</v>
      </c>
      <c r="AS61" s="10" t="s">
        <v>235</v>
      </c>
      <c r="AT61" s="100" t="s">
        <v>236</v>
      </c>
      <c r="AU61" s="105">
        <v>0.156</v>
      </c>
      <c r="AV61" s="10" t="s">
        <v>80</v>
      </c>
      <c r="AW61" s="106">
        <f>AZ61/ABS(_xlfn.T.INV.2T(AX61,CC61))</f>
        <v>1</v>
      </c>
      <c r="AX61" s="10">
        <v>0.08</v>
      </c>
      <c r="AY61" s="10">
        <v>3</v>
      </c>
      <c r="AZ61">
        <f>TINV(AX61,CC61)</f>
        <v>1.75633423317142</v>
      </c>
      <c r="BA61" s="10" t="s">
        <v>73</v>
      </c>
      <c r="BB61" s="10"/>
      <c r="BC61" s="10" t="s">
        <v>73</v>
      </c>
      <c r="BD61" s="10" t="s">
        <v>73</v>
      </c>
      <c r="BE61" s="10" t="s">
        <v>73</v>
      </c>
      <c r="BF61" s="10" t="s">
        <v>73</v>
      </c>
      <c r="BG61" s="10" t="s">
        <v>73</v>
      </c>
      <c r="BH61" s="10" t="s">
        <v>73</v>
      </c>
      <c r="BI61" s="10">
        <v>318</v>
      </c>
      <c r="BJ61">
        <v>318</v>
      </c>
      <c r="BK61" s="10" t="s">
        <v>73</v>
      </c>
      <c r="BL61" s="10" t="s">
        <v>73</v>
      </c>
      <c r="BM61" s="10" t="s">
        <v>73</v>
      </c>
      <c r="BN61" t="s">
        <v>73</v>
      </c>
      <c r="BO61" s="100" t="s">
        <v>73</v>
      </c>
      <c r="BP61" s="100" t="s">
        <v>73</v>
      </c>
      <c r="BQ61" s="100" t="s">
        <v>73</v>
      </c>
      <c r="BR61">
        <v>1</v>
      </c>
      <c r="BS61" s="100" t="s">
        <v>73</v>
      </c>
      <c r="BT61" t="s">
        <v>322</v>
      </c>
      <c r="BU61" s="10">
        <v>0</v>
      </c>
      <c r="BV61" s="10">
        <v>0</v>
      </c>
      <c r="BW61" s="10">
        <v>0</v>
      </c>
      <c r="BX61" s="30">
        <f>((AZ61^2)/(AZ61^2+BI61))^(1/2)</f>
        <v>9.8016085482412224E-2</v>
      </c>
      <c r="BY61" s="30">
        <f>0.5*LN((1+BX61)/(1-BX61))</f>
        <v>9.8331792494724915E-2</v>
      </c>
      <c r="BZ61" s="30">
        <f>((1-(BY61^2)^2)/(BI61-1))</f>
        <v>3.1542792041144869E-3</v>
      </c>
      <c r="CA61" s="30">
        <f>1/(BI61-3)</f>
        <v>3.1746031746031746E-3</v>
      </c>
      <c r="CB61" s="99"/>
      <c r="CC61">
        <f>BI61-2</f>
        <v>316</v>
      </c>
      <c r="CE61" s="30">
        <f>((AZ61^2)/(AZ61^2+BJ61))^(1/2)</f>
        <v>9.8016085482412224E-2</v>
      </c>
      <c r="CF61" s="30">
        <f>0.5*LN((1+CE61)/(1-CE61))</f>
        <v>9.8331792494724915E-2</v>
      </c>
      <c r="CG61" s="30">
        <f>((1-(CF61^2)^2)/(BJ61-1))</f>
        <v>3.1542792041144869E-3</v>
      </c>
      <c r="CH61" s="30">
        <f>1/(BJ61-3)</f>
        <v>3.1746031746031746E-3</v>
      </c>
    </row>
    <row r="62" spans="1:86" ht="15.6">
      <c r="M62" s="18"/>
    </row>
    <row r="63" spans="1:86" ht="15.6">
      <c r="M63" s="18"/>
    </row>
    <row r="64" spans="1:86" ht="15.6">
      <c r="M64" s="18"/>
    </row>
    <row r="65" spans="13:76" ht="15.6">
      <c r="M65" s="18"/>
    </row>
    <row r="66" spans="13:76" ht="15.6">
      <c r="M66" s="18"/>
    </row>
    <row r="67" spans="13:76" ht="15.6">
      <c r="M67" s="18"/>
    </row>
    <row r="68" spans="13:76" ht="15.6">
      <c r="M68" s="18"/>
    </row>
    <row r="69" spans="13:76" ht="15.6">
      <c r="M69" s="18"/>
    </row>
    <row r="70" spans="13:76" ht="15.6">
      <c r="M70" s="18"/>
    </row>
    <row r="71" spans="13:76" ht="15.75" customHeight="1">
      <c r="M71" s="18"/>
      <c r="BX71" s="30"/>
    </row>
    <row r="72" spans="13:76" ht="15.6">
      <c r="M72" s="18"/>
      <c r="BA72" s="112"/>
      <c r="BB72" s="112"/>
    </row>
    <row r="73" spans="13:76" ht="15.6">
      <c r="M73" s="18"/>
      <c r="BA73" s="112"/>
      <c r="BB73" s="112"/>
    </row>
    <row r="74" spans="13:76" ht="15.75" customHeight="1">
      <c r="M74" s="18"/>
    </row>
    <row r="75" spans="13:76" ht="15.6">
      <c r="M75" s="18"/>
      <c r="BA75" s="113"/>
      <c r="BB75" s="113"/>
    </row>
  </sheetData>
  <autoFilter ref="AR1:AR70"/>
  <sortState ref="A2:CH76">
    <sortCondition ref="Q1"/>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H1:AP1 AH31:AP42 AH7:AH8 AJ7:AP8 AH55:AP1048576 AL27 AH26:AK27 AL26:AP26 AH28:AL30 AN27:AQ30 S1 U1 AH43:AQ54 U39:U1048576 S34:S1048576 U15:U35 AH15:AP25 S15:S3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variables'!$I$2:$I$3</xm:f>
          </x14:formula1>
          <xm:sqref>AV1 AV62:AV1048576</xm:sqref>
        </x14:dataValidation>
        <x14:dataValidation type="list" allowBlank="1" showInputMessage="1" showErrorMessage="1">
          <x14:formula1>
            <xm:f>'Lists for variables'!$L$2:$L$9</xm:f>
          </x14:formula1>
          <xm:sqref>U1 S1 S55:S1048576 U62:U1048576</xm:sqref>
        </x14:dataValidation>
        <x14:dataValidation type="list" allowBlank="1" showInputMessage="1" showErrorMessage="1">
          <x14:formula1>
            <xm:f>'Lists for variables'!$K$2:$K$3</xm:f>
          </x14:formula1>
          <xm:sqref>U1:W1 S1 S55:S1048576 U62:W1048576</xm:sqref>
        </x14:dataValidation>
        <x14:dataValidation type="list" allowBlank="1" showInputMessage="1" showErrorMessage="1">
          <x14:formula1>
            <xm:f>'Lists for variables'!$N$2:$N$7</xm:f>
          </x14:formula1>
          <xm:sqref>U1:W1 S1 S55:S1048576 U62:W1048576</xm:sqref>
        </x14:dataValidation>
        <x14:dataValidation type="list" allowBlank="1" showInputMessage="1" showErrorMessage="1">
          <x14:formula1>
            <xm:f>'Lists for variables'!$J$2:$J$12</xm:f>
          </x14:formula1>
          <xm:sqref>K1 K62:K1048576</xm:sqref>
        </x14:dataValidation>
        <x14:dataValidation type="list" allowBlank="1" showInputMessage="1" showErrorMessage="1">
          <x14:formula1>
            <xm:f>'Lists for variables'!$O:$O</xm:f>
          </x14:formula1>
          <xm:sqref>BT1 BT62:BT1048576</xm:sqref>
        </x14:dataValidation>
        <x14:dataValidation type="list" allowBlank="1" showInputMessage="1" showErrorMessage="1">
          <x14:formula1>
            <xm:f>'Lists for variables'!$S:$S</xm:f>
          </x14:formula1>
          <xm:sqref>G1 G62:G1048576</xm:sqref>
        </x14:dataValidation>
        <x14:dataValidation type="list" allowBlank="1" showInputMessage="1" showErrorMessage="1">
          <x14:formula1>
            <xm:f>'Lists for variables'!$G:$G</xm:f>
          </x14:formula1>
          <xm:sqref>AR1 AR55:AR1048576</xm:sqref>
        </x14:dataValidation>
        <x14:dataValidation type="list" allowBlank="1" showInputMessage="1" showErrorMessage="1">
          <x14:formula1>
            <xm:f>'Lists for variables'!$F:$F</xm:f>
          </x14:formula1>
          <xm:sqref>M76:M1048576</xm:sqref>
        </x14:dataValidation>
        <x14:dataValidation type="list" allowBlank="1" showInputMessage="1" showErrorMessage="1">
          <x14:formula1>
            <xm:f>'Lists for variables'!$P:$P</xm:f>
          </x14:formula1>
          <xm:sqref>AT1 AT55:AT1048576</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variables'!$N:$N</xm:f>
          </x14:formula1>
          <xm:sqref>O1 O55:O1048576</xm:sqref>
        </x14:dataValidation>
        <x14:dataValidation type="list" allowBlank="1" showInputMessage="1" showErrorMessage="1">
          <x14:formula1>
            <xm:f>'Lists for variables'!$B:$B</xm:f>
          </x14:formula1>
          <xm:sqref>T1 T55:T1048576</xm:sqref>
        </x14:dataValidation>
        <x14:dataValidation type="list" allowBlank="1" showInputMessage="1" showErrorMessage="1">
          <x14:formula1>
            <xm:f>'Lists for variables'!$R:$R</xm:f>
          </x14:formula1>
          <xm:sqref>E1 E55:E1048576</xm:sqref>
        </x14:dataValidation>
        <x14:dataValidation type="list" allowBlank="1" showInputMessage="1" showErrorMessage="1">
          <x14:formula1>
            <xm:f>'Lists for variables'!$H:$H</xm:f>
          </x14:formula1>
          <xm:sqref>U62:U1048576 U1 S1 S55:S1048576</xm:sqref>
        </x14:dataValidation>
        <x14:dataValidation type="list" allowBlank="1" showInputMessage="1" showErrorMessage="1">
          <x14:formula1>
            <xm:f>'Lists for variables'!$M:$M</xm:f>
          </x14:formula1>
          <xm:sqref>S1 P27:P30 P1 U1 S55:S1048576 P55:P1048576 U62:U1048576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14" t="s">
        <v>7</v>
      </c>
      <c r="B1" t="s">
        <v>73</v>
      </c>
    </row>
    <row r="2" spans="1:62">
      <c r="A2" s="114" t="s">
        <v>198</v>
      </c>
      <c r="B2" t="s">
        <v>357</v>
      </c>
    </row>
    <row r="4" spans="1:62">
      <c r="A4" s="114" t="s">
        <v>358</v>
      </c>
      <c r="B4" t="s">
        <v>359</v>
      </c>
      <c r="C4" t="s">
        <v>360</v>
      </c>
      <c r="D4" t="s">
        <v>361</v>
      </c>
      <c r="E4" t="s">
        <v>362</v>
      </c>
      <c r="F4" t="s">
        <v>363</v>
      </c>
      <c r="G4" t="s">
        <v>364</v>
      </c>
      <c r="H4" t="s">
        <v>365</v>
      </c>
      <c r="I4" t="s">
        <v>366</v>
      </c>
      <c r="J4" t="s">
        <v>367</v>
      </c>
      <c r="K4" t="s">
        <v>368</v>
      </c>
      <c r="L4" t="s">
        <v>369</v>
      </c>
      <c r="M4" t="s">
        <v>370</v>
      </c>
      <c r="N4" t="s">
        <v>371</v>
      </c>
      <c r="O4" t="s">
        <v>372</v>
      </c>
      <c r="P4" t="s">
        <v>373</v>
      </c>
      <c r="Q4" t="s">
        <v>374</v>
      </c>
      <c r="R4" t="s">
        <v>375</v>
      </c>
      <c r="S4" t="s">
        <v>376</v>
      </c>
      <c r="T4" t="s">
        <v>377</v>
      </c>
      <c r="U4" t="s">
        <v>378</v>
      </c>
      <c r="V4" t="s">
        <v>379</v>
      </c>
      <c r="W4" t="s">
        <v>380</v>
      </c>
      <c r="X4" t="s">
        <v>381</v>
      </c>
      <c r="Y4" t="s">
        <v>382</v>
      </c>
      <c r="Z4" t="s">
        <v>383</v>
      </c>
      <c r="AA4" t="s">
        <v>384</v>
      </c>
      <c r="AB4" t="s">
        <v>385</v>
      </c>
      <c r="AC4" t="s">
        <v>386</v>
      </c>
      <c r="AD4" t="s">
        <v>387</v>
      </c>
      <c r="AE4" t="s">
        <v>388</v>
      </c>
      <c r="AF4" t="s">
        <v>389</v>
      </c>
      <c r="AG4" t="s">
        <v>390</v>
      </c>
      <c r="AH4" t="s">
        <v>391</v>
      </c>
      <c r="AI4" t="s">
        <v>392</v>
      </c>
      <c r="AJ4" t="s">
        <v>393</v>
      </c>
      <c r="AK4" t="s">
        <v>394</v>
      </c>
      <c r="AL4" t="s">
        <v>395</v>
      </c>
      <c r="AM4" t="s">
        <v>396</v>
      </c>
      <c r="AN4" t="s">
        <v>397</v>
      </c>
      <c r="AO4" t="s">
        <v>398</v>
      </c>
      <c r="AP4" t="s">
        <v>399</v>
      </c>
      <c r="AQ4" t="s">
        <v>400</v>
      </c>
      <c r="AR4" t="s">
        <v>401</v>
      </c>
      <c r="AS4" t="s">
        <v>402</v>
      </c>
      <c r="AT4" t="s">
        <v>403</v>
      </c>
      <c r="AU4" t="s">
        <v>404</v>
      </c>
      <c r="AV4" t="s">
        <v>405</v>
      </c>
      <c r="AW4" t="s">
        <v>406</v>
      </c>
      <c r="AX4" t="s">
        <v>407</v>
      </c>
      <c r="AY4" t="s">
        <v>408</v>
      </c>
      <c r="AZ4" t="s">
        <v>409</v>
      </c>
      <c r="BA4" t="s">
        <v>410</v>
      </c>
      <c r="BB4" t="s">
        <v>411</v>
      </c>
      <c r="BC4" t="s">
        <v>412</v>
      </c>
      <c r="BD4" t="s">
        <v>413</v>
      </c>
      <c r="BE4" t="s">
        <v>414</v>
      </c>
      <c r="BF4" t="s">
        <v>415</v>
      </c>
      <c r="BG4" t="s">
        <v>416</v>
      </c>
      <c r="BH4" t="s">
        <v>417</v>
      </c>
      <c r="BI4" t="s">
        <v>418</v>
      </c>
      <c r="BJ4" t="s">
        <v>419</v>
      </c>
    </row>
    <row r="5" spans="1:62">
      <c r="A5" s="115" t="s">
        <v>420</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421</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422</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423</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424</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425</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426</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427</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428</v>
      </c>
      <c r="B1" t="s">
        <v>189</v>
      </c>
      <c r="C1" s="1" t="s">
        <v>429</v>
      </c>
      <c r="D1" t="s">
        <v>10</v>
      </c>
      <c r="E1" s="1" t="s">
        <v>40</v>
      </c>
      <c r="F1" s="2" t="s">
        <v>9</v>
      </c>
      <c r="G1" s="37" t="s">
        <v>430</v>
      </c>
      <c r="H1" s="38" t="s">
        <v>186</v>
      </c>
      <c r="I1" s="39" t="s">
        <v>28</v>
      </c>
      <c r="J1" s="39" t="s">
        <v>7</v>
      </c>
      <c r="K1" s="39" t="s">
        <v>431</v>
      </c>
      <c r="L1" s="39" t="s">
        <v>187</v>
      </c>
      <c r="M1" s="39" t="s">
        <v>185</v>
      </c>
      <c r="N1" s="39" t="s">
        <v>50</v>
      </c>
      <c r="O1" s="39" t="s">
        <v>211</v>
      </c>
      <c r="P1" s="42" t="s">
        <v>200</v>
      </c>
      <c r="R1" s="39" t="s">
        <v>183</v>
      </c>
      <c r="S1" s="39" t="s">
        <v>4</v>
      </c>
    </row>
    <row r="2" spans="1:19" ht="31.2">
      <c r="A2">
        <v>0</v>
      </c>
      <c r="B2" t="s">
        <v>189</v>
      </c>
      <c r="C2" t="s">
        <v>432</v>
      </c>
      <c r="D2" t="s">
        <v>112</v>
      </c>
      <c r="E2">
        <v>1</v>
      </c>
      <c r="F2" t="s">
        <v>93</v>
      </c>
      <c r="G2" s="26" t="s">
        <v>234</v>
      </c>
      <c r="H2" t="s">
        <v>227</v>
      </c>
      <c r="I2" t="s">
        <v>80</v>
      </c>
      <c r="J2" t="s">
        <v>433</v>
      </c>
      <c r="K2" t="s">
        <v>230</v>
      </c>
      <c r="L2" t="s">
        <v>434</v>
      </c>
      <c r="M2" t="s">
        <v>226</v>
      </c>
      <c r="N2" t="s">
        <v>81</v>
      </c>
      <c r="O2" t="s">
        <v>249</v>
      </c>
      <c r="P2" s="41" t="s">
        <v>334</v>
      </c>
      <c r="R2" s="47" t="s">
        <v>435</v>
      </c>
      <c r="S2" s="47" t="s">
        <v>436</v>
      </c>
    </row>
    <row r="3" spans="1:19" ht="31.2">
      <c r="A3">
        <v>1</v>
      </c>
      <c r="B3" t="s">
        <v>265</v>
      </c>
      <c r="C3" t="s">
        <v>309</v>
      </c>
      <c r="D3" t="s">
        <v>241</v>
      </c>
      <c r="E3">
        <v>2</v>
      </c>
      <c r="F3" t="s">
        <v>425</v>
      </c>
      <c r="G3" s="26" t="s">
        <v>437</v>
      </c>
      <c r="H3" t="s">
        <v>253</v>
      </c>
      <c r="I3" t="s">
        <v>86</v>
      </c>
      <c r="J3" t="s">
        <v>438</v>
      </c>
      <c r="K3" t="s">
        <v>314</v>
      </c>
      <c r="L3" t="s">
        <v>228</v>
      </c>
      <c r="M3" t="s">
        <v>242</v>
      </c>
      <c r="N3" t="s">
        <v>148</v>
      </c>
      <c r="O3" t="s">
        <v>439</v>
      </c>
      <c r="P3" s="41" t="s">
        <v>236</v>
      </c>
      <c r="R3" s="46" t="s">
        <v>440</v>
      </c>
      <c r="S3" s="46" t="s">
        <v>441</v>
      </c>
    </row>
    <row r="4" spans="1:19" ht="46.8">
      <c r="A4" t="s">
        <v>73</v>
      </c>
      <c r="B4" t="s">
        <v>229</v>
      </c>
      <c r="C4" t="s">
        <v>73</v>
      </c>
      <c r="D4" t="s">
        <v>224</v>
      </c>
      <c r="E4">
        <v>3</v>
      </c>
      <c r="F4" t="s">
        <v>442</v>
      </c>
      <c r="G4" s="26" t="s">
        <v>357</v>
      </c>
      <c r="H4" t="s">
        <v>313</v>
      </c>
      <c r="J4" t="s">
        <v>443</v>
      </c>
      <c r="L4" t="s">
        <v>254</v>
      </c>
      <c r="M4" t="s">
        <v>444</v>
      </c>
      <c r="N4" t="s">
        <v>445</v>
      </c>
      <c r="O4" t="s">
        <v>237</v>
      </c>
      <c r="P4" s="41" t="s">
        <v>446</v>
      </c>
      <c r="R4" s="44" t="s">
        <v>447</v>
      </c>
      <c r="S4" s="44" t="s">
        <v>448</v>
      </c>
    </row>
    <row r="5" spans="1:19" ht="46.8">
      <c r="D5" t="s">
        <v>449</v>
      </c>
      <c r="F5" t="s">
        <v>120</v>
      </c>
      <c r="G5" s="40" t="s">
        <v>450</v>
      </c>
      <c r="H5" t="s">
        <v>451</v>
      </c>
      <c r="J5" s="41" t="s">
        <v>452</v>
      </c>
      <c r="L5" t="s">
        <v>453</v>
      </c>
      <c r="M5" t="s">
        <v>73</v>
      </c>
      <c r="N5" t="s">
        <v>124</v>
      </c>
      <c r="O5" s="41" t="s">
        <v>322</v>
      </c>
      <c r="P5" t="s">
        <v>73</v>
      </c>
      <c r="R5" s="46" t="s">
        <v>454</v>
      </c>
      <c r="S5" s="46" t="s">
        <v>455</v>
      </c>
    </row>
    <row r="6" spans="1:19">
      <c r="D6" s="41" t="s">
        <v>320</v>
      </c>
      <c r="F6" t="s">
        <v>456</v>
      </c>
      <c r="H6" t="s">
        <v>243</v>
      </c>
      <c r="J6" t="s">
        <v>457</v>
      </c>
      <c r="L6" t="s">
        <v>458</v>
      </c>
      <c r="N6" t="s">
        <v>280</v>
      </c>
      <c r="O6" t="s">
        <v>73</v>
      </c>
      <c r="R6" s="46" t="s">
        <v>459</v>
      </c>
      <c r="S6" s="46" t="s">
        <v>460</v>
      </c>
    </row>
    <row r="7" spans="1:19">
      <c r="F7" t="s">
        <v>461</v>
      </c>
      <c r="H7" t="s">
        <v>462</v>
      </c>
      <c r="J7" s="41" t="s">
        <v>463</v>
      </c>
      <c r="L7" t="s">
        <v>244</v>
      </c>
      <c r="N7" t="s">
        <v>464</v>
      </c>
      <c r="O7" t="s">
        <v>465</v>
      </c>
      <c r="R7" s="46" t="s">
        <v>466</v>
      </c>
      <c r="S7" s="46" t="s">
        <v>467</v>
      </c>
    </row>
    <row r="8" spans="1:19">
      <c r="F8" t="s">
        <v>107</v>
      </c>
      <c r="J8" s="41" t="s">
        <v>468</v>
      </c>
      <c r="L8" t="s">
        <v>465</v>
      </c>
      <c r="N8" t="s">
        <v>469</v>
      </c>
      <c r="R8" s="46" t="s">
        <v>250</v>
      </c>
      <c r="S8" s="46" t="s">
        <v>251</v>
      </c>
    </row>
    <row r="9" spans="1:19">
      <c r="F9" t="s">
        <v>420</v>
      </c>
      <c r="J9" t="s">
        <v>465</v>
      </c>
      <c r="L9" t="s">
        <v>470</v>
      </c>
      <c r="N9" t="s">
        <v>471</v>
      </c>
      <c r="R9" s="44" t="s">
        <v>352</v>
      </c>
      <c r="S9" s="44" t="s">
        <v>353</v>
      </c>
    </row>
    <row r="10" spans="1:19">
      <c r="F10" t="s">
        <v>155</v>
      </c>
      <c r="J10" t="s">
        <v>472</v>
      </c>
      <c r="L10" t="s">
        <v>259</v>
      </c>
      <c r="N10" t="s">
        <v>225</v>
      </c>
      <c r="R10" s="44" t="s">
        <v>473</v>
      </c>
      <c r="S10" s="44" t="s">
        <v>474</v>
      </c>
    </row>
    <row r="11" spans="1:19">
      <c r="F11" t="s">
        <v>475</v>
      </c>
      <c r="J11" t="s">
        <v>476</v>
      </c>
      <c r="N11" t="s">
        <v>477</v>
      </c>
      <c r="R11" s="44" t="s">
        <v>478</v>
      </c>
      <c r="S11" s="44" t="s">
        <v>479</v>
      </c>
    </row>
    <row r="12" spans="1:19">
      <c r="F12" t="s">
        <v>480</v>
      </c>
      <c r="J12" t="s">
        <v>73</v>
      </c>
      <c r="N12" t="s">
        <v>481</v>
      </c>
      <c r="R12" s="44" t="s">
        <v>482</v>
      </c>
      <c r="S12" s="44" t="s">
        <v>483</v>
      </c>
    </row>
    <row r="13" spans="1:19">
      <c r="F13" t="s">
        <v>421</v>
      </c>
      <c r="N13" t="s">
        <v>96</v>
      </c>
      <c r="R13" s="46" t="s">
        <v>484</v>
      </c>
      <c r="S13" s="46" t="s">
        <v>485</v>
      </c>
    </row>
    <row r="14" spans="1:19">
      <c r="F14" s="41" t="s">
        <v>424</v>
      </c>
      <c r="N14" t="s">
        <v>486</v>
      </c>
      <c r="R14" s="44" t="s">
        <v>487</v>
      </c>
      <c r="S14" s="44" t="s">
        <v>488</v>
      </c>
    </row>
    <row r="15" spans="1:19">
      <c r="F15" s="41" t="s">
        <v>155</v>
      </c>
      <c r="N15" t="s">
        <v>489</v>
      </c>
      <c r="R15" s="46" t="s">
        <v>490</v>
      </c>
      <c r="S15" s="46" t="s">
        <v>491</v>
      </c>
    </row>
    <row r="16" spans="1:19">
      <c r="F16" s="41" t="s">
        <v>492</v>
      </c>
      <c r="N16" t="s">
        <v>156</v>
      </c>
      <c r="R16" s="46" t="s">
        <v>493</v>
      </c>
      <c r="S16" s="46" t="s">
        <v>494</v>
      </c>
    </row>
    <row r="17" spans="6:19">
      <c r="F17" s="41" t="s">
        <v>276</v>
      </c>
      <c r="N17" t="s">
        <v>495</v>
      </c>
      <c r="R17" s="44" t="s">
        <v>496</v>
      </c>
      <c r="S17" s="44" t="s">
        <v>497</v>
      </c>
    </row>
    <row r="18" spans="6:19">
      <c r="F18" s="41" t="s">
        <v>423</v>
      </c>
      <c r="N18" t="s">
        <v>264</v>
      </c>
      <c r="R18" s="46" t="s">
        <v>498</v>
      </c>
      <c r="S18" s="46" t="s">
        <v>127</v>
      </c>
    </row>
    <row r="19" spans="6:19">
      <c r="F19" s="41" t="s">
        <v>499</v>
      </c>
      <c r="N19" t="s">
        <v>500</v>
      </c>
      <c r="R19" s="44" t="s">
        <v>238</v>
      </c>
      <c r="S19" t="s">
        <v>239</v>
      </c>
    </row>
    <row r="20" spans="6:19">
      <c r="F20" s="41" t="s">
        <v>501</v>
      </c>
      <c r="N20" t="s">
        <v>502</v>
      </c>
      <c r="R20" s="46" t="s">
        <v>503</v>
      </c>
      <c r="S20" s="46" t="s">
        <v>504</v>
      </c>
    </row>
    <row r="21" spans="6:19">
      <c r="F21" s="41" t="s">
        <v>505</v>
      </c>
      <c r="N21" t="s">
        <v>506</v>
      </c>
      <c r="R21" s="44" t="s">
        <v>507</v>
      </c>
      <c r="S21" s="44" t="s">
        <v>508</v>
      </c>
    </row>
    <row r="22" spans="6:19">
      <c r="F22" s="41" t="s">
        <v>271</v>
      </c>
      <c r="N22" t="s">
        <v>138</v>
      </c>
      <c r="R22" s="46" t="s">
        <v>507</v>
      </c>
      <c r="S22" s="46" t="s">
        <v>509</v>
      </c>
    </row>
    <row r="23" spans="6:19">
      <c r="F23" s="41" t="s">
        <v>426</v>
      </c>
      <c r="N23" t="s">
        <v>510</v>
      </c>
      <c r="R23" s="44" t="s">
        <v>511</v>
      </c>
      <c r="S23" s="44" t="s">
        <v>512</v>
      </c>
    </row>
    <row r="24" spans="6:19">
      <c r="F24" s="41" t="s">
        <v>513</v>
      </c>
      <c r="N24" t="s">
        <v>272</v>
      </c>
      <c r="R24" s="44" t="s">
        <v>514</v>
      </c>
      <c r="S24" s="44" t="s">
        <v>515</v>
      </c>
    </row>
    <row r="25" spans="6:19">
      <c r="F25" s="41" t="s">
        <v>422</v>
      </c>
      <c r="N25" t="s">
        <v>516</v>
      </c>
      <c r="R25" s="44" t="s">
        <v>329</v>
      </c>
      <c r="S25" s="44" t="s">
        <v>330</v>
      </c>
    </row>
    <row r="26" spans="6:19">
      <c r="F26" s="41" t="s">
        <v>517</v>
      </c>
      <c r="N26" t="s">
        <v>518</v>
      </c>
      <c r="R26" s="44" t="s">
        <v>519</v>
      </c>
      <c r="S26" s="44" t="s">
        <v>520</v>
      </c>
    </row>
    <row r="27" spans="6:19">
      <c r="F27" s="41" t="s">
        <v>300</v>
      </c>
      <c r="N27" t="s">
        <v>339</v>
      </c>
      <c r="R27" s="44" t="s">
        <v>521</v>
      </c>
      <c r="S27" s="44" t="s">
        <v>522</v>
      </c>
    </row>
    <row r="28" spans="6:19">
      <c r="F28" s="41" t="s">
        <v>523</v>
      </c>
      <c r="N28" t="s">
        <v>524</v>
      </c>
      <c r="R28" s="44" t="s">
        <v>316</v>
      </c>
      <c r="S28" s="44" t="s">
        <v>317</v>
      </c>
    </row>
    <row r="29" spans="6:19">
      <c r="F29" s="41" t="s">
        <v>172</v>
      </c>
      <c r="N29" t="s">
        <v>525</v>
      </c>
      <c r="R29" s="44" t="s">
        <v>526</v>
      </c>
      <c r="S29" s="44" t="s">
        <v>527</v>
      </c>
    </row>
    <row r="30" spans="6:19">
      <c r="F30" s="41" t="s">
        <v>528</v>
      </c>
      <c r="N30" t="s">
        <v>529</v>
      </c>
      <c r="R30" s="44" t="s">
        <v>530</v>
      </c>
      <c r="S30" s="44" t="s">
        <v>531</v>
      </c>
    </row>
    <row r="31" spans="6:19">
      <c r="N31" t="s">
        <v>174</v>
      </c>
      <c r="R31" s="44" t="s">
        <v>532</v>
      </c>
      <c r="S31" s="44" t="s">
        <v>533</v>
      </c>
    </row>
    <row r="32" spans="6:19">
      <c r="N32" t="s">
        <v>534</v>
      </c>
      <c r="R32" s="44" t="s">
        <v>535</v>
      </c>
      <c r="S32" s="44" t="s">
        <v>536</v>
      </c>
    </row>
    <row r="33" spans="14:19">
      <c r="N33" t="s">
        <v>131</v>
      </c>
      <c r="R33" s="44" t="s">
        <v>537</v>
      </c>
      <c r="S33" s="44" t="s">
        <v>538</v>
      </c>
    </row>
    <row r="34" spans="14:19">
      <c r="R34" s="44" t="s">
        <v>539</v>
      </c>
      <c r="S34" s="44" t="s">
        <v>540</v>
      </c>
    </row>
    <row r="35" spans="14:19">
      <c r="R35" s="44" t="s">
        <v>344</v>
      </c>
      <c r="S35" s="44" t="s">
        <v>345</v>
      </c>
    </row>
    <row r="36" spans="14:19">
      <c r="R36" s="44" t="s">
        <v>541</v>
      </c>
      <c r="S36" s="44" t="s">
        <v>542</v>
      </c>
    </row>
    <row r="37" spans="14:19">
      <c r="R37" s="46" t="s">
        <v>543</v>
      </c>
      <c r="S37" s="46" t="s">
        <v>544</v>
      </c>
    </row>
    <row r="38" spans="14:19">
      <c r="R38" s="46" t="s">
        <v>545</v>
      </c>
      <c r="S38" s="46" t="s">
        <v>546</v>
      </c>
    </row>
    <row r="39" spans="14:19">
      <c r="R39" s="46" t="s">
        <v>545</v>
      </c>
      <c r="S39" s="46" t="s">
        <v>547</v>
      </c>
    </row>
    <row r="40" spans="14:19">
      <c r="R40" s="44" t="s">
        <v>548</v>
      </c>
      <c r="S40" s="44" t="s">
        <v>549</v>
      </c>
    </row>
    <row r="41" spans="14:19">
      <c r="R41" s="44" t="s">
        <v>550</v>
      </c>
      <c r="S41" s="44" t="s">
        <v>551</v>
      </c>
    </row>
    <row r="42" spans="14:19">
      <c r="R42" s="46" t="s">
        <v>552</v>
      </c>
      <c r="S42" s="46" t="s">
        <v>553</v>
      </c>
    </row>
    <row r="43" spans="14:19">
      <c r="R43" s="46" t="s">
        <v>552</v>
      </c>
      <c r="S43" s="46" t="s">
        <v>554</v>
      </c>
    </row>
    <row r="44" spans="14:19">
      <c r="R44" s="44" t="s">
        <v>555</v>
      </c>
      <c r="S44" s="17" t="s">
        <v>117</v>
      </c>
    </row>
    <row r="45" spans="14:19">
      <c r="R45" s="46" t="s">
        <v>556</v>
      </c>
      <c r="S45" s="46" t="s">
        <v>557</v>
      </c>
    </row>
    <row r="46" spans="14:19">
      <c r="R46" s="44" t="s">
        <v>268</v>
      </c>
      <c r="S46" s="44" t="s">
        <v>269</v>
      </c>
    </row>
    <row r="47" spans="14:19">
      <c r="R47" s="46" t="s">
        <v>558</v>
      </c>
      <c r="S47" s="46" t="s">
        <v>559</v>
      </c>
    </row>
    <row r="48" spans="14:19">
      <c r="R48" s="44" t="s">
        <v>560</v>
      </c>
      <c r="S48" s="44" t="s">
        <v>561</v>
      </c>
    </row>
    <row r="49" spans="18:19">
      <c r="R49" s="44" t="s">
        <v>562</v>
      </c>
      <c r="S49" s="44" t="s">
        <v>563</v>
      </c>
    </row>
    <row r="50" spans="18:19">
      <c r="R50" s="44" t="s">
        <v>564</v>
      </c>
      <c r="S50" s="44" t="s">
        <v>565</v>
      </c>
    </row>
    <row r="51" spans="18:19">
      <c r="R51" s="44" t="s">
        <v>566</v>
      </c>
      <c r="S51" s="44" t="s">
        <v>567</v>
      </c>
    </row>
    <row r="52" spans="18:19">
      <c r="R52" s="44" t="s">
        <v>568</v>
      </c>
      <c r="S52" s="44" t="s">
        <v>569</v>
      </c>
    </row>
    <row r="53" spans="18:19">
      <c r="R53" s="44" t="s">
        <v>570</v>
      </c>
      <c r="S53" s="17" t="s">
        <v>571</v>
      </c>
    </row>
    <row r="54" spans="18:19">
      <c r="R54" s="44" t="s">
        <v>572</v>
      </c>
      <c r="S54" s="44" t="s">
        <v>573</v>
      </c>
    </row>
    <row r="55" spans="18:19">
      <c r="R55" s="44" t="s">
        <v>574</v>
      </c>
      <c r="S55" s="44" t="s">
        <v>575</v>
      </c>
    </row>
    <row r="56" spans="18:19">
      <c r="R56" s="44" t="s">
        <v>576</v>
      </c>
      <c r="S56" s="44" t="s">
        <v>577</v>
      </c>
    </row>
    <row r="57" spans="18:19">
      <c r="R57" s="44" t="s">
        <v>578</v>
      </c>
      <c r="S57" s="44" t="s">
        <v>579</v>
      </c>
    </row>
    <row r="58" spans="18:19">
      <c r="R58" s="44" t="s">
        <v>311</v>
      </c>
      <c r="S58" s="44" t="s">
        <v>312</v>
      </c>
    </row>
    <row r="59" spans="18:19">
      <c r="R59" s="44" t="s">
        <v>580</v>
      </c>
      <c r="S59" s="44" t="s">
        <v>581</v>
      </c>
    </row>
    <row r="60" spans="18:19">
      <c r="R60" s="44" t="s">
        <v>582</v>
      </c>
      <c r="S60" s="44" t="s">
        <v>583</v>
      </c>
    </row>
    <row r="61" spans="18:19">
      <c r="R61" s="44" t="s">
        <v>584</v>
      </c>
      <c r="S61" s="44" t="s">
        <v>585</v>
      </c>
    </row>
    <row r="62" spans="18:19">
      <c r="R62" s="44" t="s">
        <v>586</v>
      </c>
      <c r="S62" s="44" t="s">
        <v>587</v>
      </c>
    </row>
    <row r="63" spans="18:19">
      <c r="R63" s="44" t="s">
        <v>588</v>
      </c>
      <c r="S63" s="44" t="s">
        <v>589</v>
      </c>
    </row>
    <row r="64" spans="18:19">
      <c r="R64" s="44" t="s">
        <v>590</v>
      </c>
      <c r="S64" s="44" t="s">
        <v>591</v>
      </c>
    </row>
    <row r="65" spans="18:19">
      <c r="R65" s="44" t="s">
        <v>592</v>
      </c>
      <c r="S65" s="44" t="s">
        <v>593</v>
      </c>
    </row>
    <row r="66" spans="18:19">
      <c r="R66" s="44" t="s">
        <v>594</v>
      </c>
      <c r="S66" s="44" t="s">
        <v>595</v>
      </c>
    </row>
    <row r="67" spans="18:19">
      <c r="R67" s="44" t="s">
        <v>336</v>
      </c>
      <c r="S67" s="44" t="s">
        <v>337</v>
      </c>
    </row>
    <row r="68" spans="18:19">
      <c r="R68" s="44" t="s">
        <v>596</v>
      </c>
      <c r="S68" s="44" t="s">
        <v>597</v>
      </c>
    </row>
    <row r="69" spans="18:19">
      <c r="R69" s="44" t="s">
        <v>598</v>
      </c>
      <c r="S69" s="44" t="s">
        <v>599</v>
      </c>
    </row>
    <row r="70" spans="18:19">
      <c r="R70" s="44" t="s">
        <v>600</v>
      </c>
      <c r="S70" s="44" t="s">
        <v>601</v>
      </c>
    </row>
    <row r="71" spans="18:19">
      <c r="R71" s="44" t="s">
        <v>602</v>
      </c>
      <c r="S71" s="44" t="s">
        <v>603</v>
      </c>
    </row>
    <row r="72" spans="18:19">
      <c r="R72" s="44" t="s">
        <v>604</v>
      </c>
      <c r="S72" t="s">
        <v>605</v>
      </c>
    </row>
    <row r="73" spans="18:19">
      <c r="R73" s="46" t="s">
        <v>604</v>
      </c>
      <c r="S73" s="46" t="s">
        <v>606</v>
      </c>
    </row>
    <row r="74" spans="18:19">
      <c r="R74" s="44" t="s">
        <v>607</v>
      </c>
      <c r="S74" s="44" t="s">
        <v>608</v>
      </c>
    </row>
    <row r="75" spans="18:19">
      <c r="R75" s="46" t="s">
        <v>609</v>
      </c>
      <c r="S75" s="46" t="s">
        <v>610</v>
      </c>
    </row>
    <row r="76" spans="18:19">
      <c r="R76" s="44" t="s">
        <v>611</v>
      </c>
      <c r="S76" s="44" t="s">
        <v>612</v>
      </c>
    </row>
    <row r="77" spans="18:19">
      <c r="R77" s="44" t="s">
        <v>613</v>
      </c>
      <c r="S77" s="44" t="s">
        <v>614</v>
      </c>
    </row>
    <row r="78" spans="18:19">
      <c r="R78" s="46" t="s">
        <v>261</v>
      </c>
      <c r="S78" s="46" t="s">
        <v>262</v>
      </c>
    </row>
    <row r="79" spans="18:19">
      <c r="R79" s="46" t="s">
        <v>615</v>
      </c>
      <c r="S79" s="46" t="s">
        <v>616</v>
      </c>
    </row>
    <row r="80" spans="18:19">
      <c r="R80" s="44" t="s">
        <v>617</v>
      </c>
      <c r="S80" s="44" t="s">
        <v>618</v>
      </c>
    </row>
    <row r="81" spans="18:19">
      <c r="R81" s="44" t="s">
        <v>619</v>
      </c>
      <c r="S81" s="44" t="s">
        <v>620</v>
      </c>
    </row>
    <row r="82" spans="18:19">
      <c r="R82" s="44" t="s">
        <v>621</v>
      </c>
      <c r="S82" s="44" t="s">
        <v>622</v>
      </c>
    </row>
    <row r="83" spans="18:19">
      <c r="R83" s="46" t="s">
        <v>623</v>
      </c>
      <c r="S83" s="46" t="s">
        <v>624</v>
      </c>
    </row>
    <row r="84" spans="18:19">
      <c r="R84" s="46" t="s">
        <v>623</v>
      </c>
      <c r="S84" s="46" t="s">
        <v>625</v>
      </c>
    </row>
    <row r="85" spans="18:19">
      <c r="R85" s="44" t="s">
        <v>626</v>
      </c>
      <c r="S85" s="44" t="s">
        <v>627</v>
      </c>
    </row>
    <row r="86" spans="18:19">
      <c r="R86" s="44" t="s">
        <v>628</v>
      </c>
      <c r="S86" s="44" t="s">
        <v>629</v>
      </c>
    </row>
    <row r="87" spans="18:19">
      <c r="R87" s="44" t="s">
        <v>256</v>
      </c>
      <c r="S87" s="44" t="s">
        <v>257</v>
      </c>
    </row>
    <row r="88" spans="18:19">
      <c r="R88" s="44" t="s">
        <v>630</v>
      </c>
      <c r="S88" s="44" t="s">
        <v>631</v>
      </c>
    </row>
    <row r="89" spans="18:19">
      <c r="R89" s="44" t="s">
        <v>632</v>
      </c>
      <c r="S89" s="44" t="s">
        <v>633</v>
      </c>
    </row>
    <row r="90" spans="18:19">
      <c r="R90" s="44" t="s">
        <v>634</v>
      </c>
      <c r="S90" s="44" t="s">
        <v>635</v>
      </c>
    </row>
    <row r="91" spans="18:19">
      <c r="R91" s="44" t="s">
        <v>636</v>
      </c>
      <c r="S91" s="44" t="s">
        <v>637</v>
      </c>
    </row>
    <row r="92" spans="18:19">
      <c r="R92" s="44" t="s">
        <v>638</v>
      </c>
      <c r="S92" s="44" t="s">
        <v>639</v>
      </c>
    </row>
    <row r="93" spans="18:19">
      <c r="R93" s="44" t="s">
        <v>277</v>
      </c>
      <c r="S93" t="s">
        <v>278</v>
      </c>
    </row>
    <row r="94" spans="18:19">
      <c r="R94" s="44" t="s">
        <v>285</v>
      </c>
      <c r="S94" s="44" t="s">
        <v>286</v>
      </c>
    </row>
    <row r="95" spans="18:19">
      <c r="R95" s="44" t="s">
        <v>297</v>
      </c>
      <c r="S95" s="44" t="s">
        <v>298</v>
      </c>
    </row>
    <row r="96" spans="18:19">
      <c r="R96" s="44" t="s">
        <v>304</v>
      </c>
      <c r="S96" t="s">
        <v>305</v>
      </c>
    </row>
    <row r="97" spans="18:19">
      <c r="R97" s="44" t="s">
        <v>640</v>
      </c>
      <c r="S97" s="57" t="s">
        <v>625</v>
      </c>
    </row>
    <row r="98" spans="18:19">
      <c r="R98" s="57" t="s">
        <v>641</v>
      </c>
      <c r="S98" s="32" t="s">
        <v>133</v>
      </c>
    </row>
    <row r="99" spans="18:19">
      <c r="R99" s="44" t="s">
        <v>642</v>
      </c>
      <c r="S99" t="s">
        <v>643</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2023-05-31T09:48:57Z</dcterms:modified>
  <cp:category/>
  <cp:contentStatus/>
</cp:coreProperties>
</file>