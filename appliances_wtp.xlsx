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dand\Documents\GitHub\appliances_interventions\"/>
    </mc:Choice>
  </mc:AlternateContent>
  <bookViews>
    <workbookView xWindow="-5280" yWindow="-21600" windowWidth="38400" windowHeight="21600" activeTab="1"/>
  </bookViews>
  <sheets>
    <sheet name="Usage" sheetId="5" state="hidden" r:id="rId1"/>
    <sheet name="Appliances" sheetId="4" r:id="rId2"/>
    <sheet name="Summary" sheetId="7" r:id="rId3"/>
    <sheet name="Lists for variables" sheetId="3" r:id="rId4"/>
  </sheets>
  <definedNames>
    <definedName name="_xlnm._FilterDatabase" localSheetId="1" hidden="1">Appliances!$AR$1:$AR$70</definedName>
    <definedName name="_xlnm._FilterDatabase" localSheetId="0" hidden="1">Usage!$A$1:$BN$53</definedName>
  </definedNames>
  <calcPr calcId="162913"/>
  <pivotCaches>
    <pivotCache cacheId="3"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H8" i="4" l="1"/>
  <c r="CH2" i="4"/>
  <c r="CH3" i="4"/>
  <c r="CH46" i="4"/>
  <c r="CH47" i="4"/>
  <c r="CH40" i="4"/>
  <c r="CH41" i="4"/>
  <c r="CH42" i="4"/>
  <c r="CH43" i="4"/>
  <c r="CH44" i="4"/>
  <c r="CH45" i="4"/>
  <c r="CH22" i="4"/>
  <c r="CH23" i="4"/>
  <c r="CH54" i="4"/>
  <c r="CH55" i="4"/>
  <c r="CH56" i="4"/>
  <c r="CH57" i="4"/>
  <c r="CH58" i="4"/>
  <c r="CH59" i="4"/>
  <c r="CH60" i="4"/>
  <c r="CH61" i="4"/>
  <c r="CH26" i="4"/>
  <c r="CH27" i="4"/>
  <c r="CH28" i="4"/>
  <c r="CH29" i="4"/>
  <c r="CH30" i="4"/>
  <c r="CH31" i="4"/>
  <c r="CH32" i="4"/>
  <c r="CH38" i="4"/>
  <c r="CH39" i="4"/>
  <c r="CH36" i="4"/>
  <c r="CH37" i="4"/>
  <c r="CH24" i="4"/>
  <c r="CH25" i="4"/>
  <c r="CH15" i="4"/>
  <c r="CH48" i="4"/>
  <c r="CH49" i="4"/>
  <c r="CH50" i="4"/>
  <c r="CH51" i="4"/>
  <c r="CH52" i="4"/>
  <c r="CH53" i="4"/>
  <c r="CH9" i="4"/>
  <c r="CH10" i="4"/>
  <c r="CH11" i="4"/>
  <c r="CH12" i="4"/>
  <c r="CH13" i="4"/>
  <c r="CH14" i="4"/>
  <c r="CH33" i="4"/>
  <c r="CH34" i="4"/>
  <c r="CH35" i="4"/>
  <c r="CH17" i="4"/>
  <c r="CH18" i="4"/>
  <c r="CH19" i="4"/>
  <c r="CH20" i="4"/>
  <c r="CH21" i="4"/>
  <c r="CH4" i="4"/>
  <c r="CH5" i="4"/>
  <c r="CH6" i="4"/>
  <c r="CH7" i="4"/>
  <c r="CE46" i="4"/>
  <c r="CF46" i="4" s="1"/>
  <c r="CG46" i="4" s="1"/>
  <c r="CE47" i="4"/>
  <c r="CF47" i="4" s="1"/>
  <c r="CG47" i="4" s="1"/>
  <c r="CE40" i="4"/>
  <c r="CF40" i="4" s="1"/>
  <c r="CG40" i="4" s="1"/>
  <c r="CE41" i="4"/>
  <c r="CF41" i="4" s="1"/>
  <c r="CG41" i="4" s="1"/>
  <c r="CE42" i="4"/>
  <c r="CF42" i="4" s="1"/>
  <c r="CG42" i="4" s="1"/>
  <c r="CE43" i="4"/>
  <c r="CF43" i="4" s="1"/>
  <c r="CG43" i="4" s="1"/>
  <c r="CE44" i="4"/>
  <c r="CF44" i="4" s="1"/>
  <c r="CG44" i="4" s="1"/>
  <c r="CE45" i="4"/>
  <c r="CF45" i="4" s="1"/>
  <c r="CG45" i="4" s="1"/>
  <c r="CE26" i="4"/>
  <c r="CF26" i="4" s="1"/>
  <c r="CG26" i="4" s="1"/>
  <c r="CE27" i="4"/>
  <c r="CF27" i="4" s="1"/>
  <c r="CG27" i="4" s="1"/>
  <c r="CE28" i="4"/>
  <c r="CF28" i="4" s="1"/>
  <c r="CG28" i="4" s="1"/>
  <c r="CE29" i="4"/>
  <c r="CF29" i="4" s="1"/>
  <c r="CG29" i="4" s="1"/>
  <c r="CE30" i="4"/>
  <c r="CF30" i="4" s="1"/>
  <c r="CG30" i="4" s="1"/>
  <c r="CE31" i="4"/>
  <c r="CF31" i="4" s="1"/>
  <c r="CG31" i="4" s="1"/>
  <c r="CE32" i="4"/>
  <c r="CF32" i="4" s="1"/>
  <c r="CG32" i="4" s="1"/>
  <c r="CE52" i="4"/>
  <c r="CF52" i="4" s="1"/>
  <c r="CG52" i="4" s="1"/>
  <c r="CE53" i="4"/>
  <c r="CF53" i="4" s="1"/>
  <c r="CG53" i="4" s="1"/>
  <c r="CH16" i="4"/>
  <c r="CC47" i="4"/>
  <c r="CC46" i="4"/>
  <c r="CC40" i="4"/>
  <c r="CC61" i="4"/>
  <c r="AZ61" i="4" s="1"/>
  <c r="BX61" i="4" s="1"/>
  <c r="BY61" i="4" s="1"/>
  <c r="BZ61" i="4" s="1"/>
  <c r="CC60" i="4"/>
  <c r="AZ60" i="4" s="1"/>
  <c r="BX60" i="4" s="1"/>
  <c r="BY60" i="4" s="1"/>
  <c r="BZ60" i="4" s="1"/>
  <c r="CC59" i="4"/>
  <c r="AZ59" i="4" s="1"/>
  <c r="BX59" i="4" s="1"/>
  <c r="BY59" i="4" s="1"/>
  <c r="BZ59" i="4" s="1"/>
  <c r="CC58" i="4"/>
  <c r="AZ58" i="4" s="1"/>
  <c r="BX58" i="4" s="1"/>
  <c r="BY58" i="4" s="1"/>
  <c r="BZ58" i="4" s="1"/>
  <c r="CC57" i="4"/>
  <c r="AZ57" i="4" s="1"/>
  <c r="BX57" i="4" s="1"/>
  <c r="BY57" i="4" s="1"/>
  <c r="BZ57" i="4" s="1"/>
  <c r="CC56" i="4"/>
  <c r="AZ56" i="4" s="1"/>
  <c r="BX56" i="4" s="1"/>
  <c r="BY56" i="4" s="1"/>
  <c r="BZ56" i="4" s="1"/>
  <c r="CC55" i="4"/>
  <c r="AZ55" i="4" s="1"/>
  <c r="BX55" i="4" s="1"/>
  <c r="BY55" i="4" s="1"/>
  <c r="BZ55" i="4" s="1"/>
  <c r="CC54" i="4"/>
  <c r="AZ54" i="4" s="1"/>
  <c r="BX54" i="4" s="1"/>
  <c r="BY54" i="4" s="1"/>
  <c r="BZ54" i="4" s="1"/>
  <c r="CC37" i="4"/>
  <c r="AZ37" i="4" s="1"/>
  <c r="BX37" i="4" s="1"/>
  <c r="BY37" i="4" s="1"/>
  <c r="BZ37" i="4" s="1"/>
  <c r="CC36" i="4"/>
  <c r="AZ36" i="4" s="1"/>
  <c r="BX36" i="4" s="1"/>
  <c r="BY36" i="4" s="1"/>
  <c r="BZ36" i="4" s="1"/>
  <c r="CC39" i="4"/>
  <c r="AZ39" i="4" s="1"/>
  <c r="BX39" i="4" s="1"/>
  <c r="BY39" i="4" s="1"/>
  <c r="BZ39" i="4" s="1"/>
  <c r="CC38" i="4"/>
  <c r="AZ38" i="4" s="1"/>
  <c r="BX38" i="4" s="1"/>
  <c r="BY38" i="4" s="1"/>
  <c r="BZ38" i="4" s="1"/>
  <c r="CC35" i="4"/>
  <c r="AZ35" i="4" s="1"/>
  <c r="BX35" i="4" s="1"/>
  <c r="BY35" i="4" s="1"/>
  <c r="BZ35" i="4" s="1"/>
  <c r="CC34" i="4"/>
  <c r="AZ34" i="4" s="1"/>
  <c r="BX34" i="4" s="1"/>
  <c r="BY34" i="4" s="1"/>
  <c r="BZ34" i="4" s="1"/>
  <c r="CC33" i="4"/>
  <c r="AZ33" i="4" s="1"/>
  <c r="BX33" i="4" s="1"/>
  <c r="BY33" i="4" s="1"/>
  <c r="BZ33" i="4" s="1"/>
  <c r="CC32" i="4"/>
  <c r="CC31" i="4"/>
  <c r="CC30" i="4"/>
  <c r="CC29" i="4"/>
  <c r="CC28" i="4"/>
  <c r="CC27" i="4"/>
  <c r="CC26" i="4"/>
  <c r="CC25" i="4"/>
  <c r="CC24" i="4"/>
  <c r="CC23" i="4"/>
  <c r="AZ23" i="4" s="1"/>
  <c r="BX23" i="4" s="1"/>
  <c r="BY23" i="4" s="1"/>
  <c r="BZ23" i="4" s="1"/>
  <c r="CC22" i="4"/>
  <c r="AZ22" i="4" s="1"/>
  <c r="BX22" i="4" s="1"/>
  <c r="BY22" i="4" s="1"/>
  <c r="BZ22" i="4" s="1"/>
  <c r="CC21" i="4"/>
  <c r="AZ21" i="4" s="1"/>
  <c r="BX21" i="4" s="1"/>
  <c r="BY21" i="4" s="1"/>
  <c r="BZ21" i="4" s="1"/>
  <c r="CC20" i="4"/>
  <c r="AZ20" i="4" s="1"/>
  <c r="BX20" i="4" s="1"/>
  <c r="BY20" i="4" s="1"/>
  <c r="BZ20" i="4" s="1"/>
  <c r="CC19" i="4"/>
  <c r="AZ19" i="4" s="1"/>
  <c r="BX19" i="4" s="1"/>
  <c r="BY19" i="4" s="1"/>
  <c r="BZ19" i="4" s="1"/>
  <c r="CC18" i="4"/>
  <c r="AZ18" i="4" s="1"/>
  <c r="BX18" i="4" s="1"/>
  <c r="BY18" i="4" s="1"/>
  <c r="BZ18" i="4" s="1"/>
  <c r="CC17" i="4"/>
  <c r="AZ17" i="4" s="1"/>
  <c r="BX17" i="4" s="1"/>
  <c r="BY17" i="4" s="1"/>
  <c r="BZ17" i="4" s="1"/>
  <c r="CC16" i="4"/>
  <c r="CC7" i="4"/>
  <c r="AZ7" i="4" s="1"/>
  <c r="BX7" i="4" s="1"/>
  <c r="BY7" i="4" s="1"/>
  <c r="BZ7" i="4" s="1"/>
  <c r="CC6" i="4"/>
  <c r="AZ6" i="4" s="1"/>
  <c r="BX6" i="4" s="1"/>
  <c r="BY6" i="4" s="1"/>
  <c r="BZ6" i="4" s="1"/>
  <c r="CC5" i="4"/>
  <c r="AZ5" i="4" s="1"/>
  <c r="BX5" i="4" s="1"/>
  <c r="BY5" i="4" s="1"/>
  <c r="BZ5" i="4" s="1"/>
  <c r="CC4" i="4"/>
  <c r="AZ4" i="4" s="1"/>
  <c r="BX4" i="4" s="1"/>
  <c r="BY4" i="4" s="1"/>
  <c r="BZ4" i="4" s="1"/>
  <c r="CC15" i="4"/>
  <c r="AZ15" i="4" s="1"/>
  <c r="BX15" i="4" s="1"/>
  <c r="BY15" i="4" s="1"/>
  <c r="BZ15" i="4" s="1"/>
  <c r="CC45" i="4"/>
  <c r="CC44" i="4"/>
  <c r="CC43" i="4"/>
  <c r="CC42" i="4"/>
  <c r="CC41" i="4"/>
  <c r="CC8" i="4"/>
  <c r="CC3" i="4"/>
  <c r="CC2" i="4"/>
  <c r="CC53" i="4"/>
  <c r="CC52" i="4"/>
  <c r="CC51" i="4"/>
  <c r="AZ51" i="4" s="1"/>
  <c r="BX51" i="4" s="1"/>
  <c r="BY51" i="4" s="1"/>
  <c r="BZ51" i="4" s="1"/>
  <c r="CC50" i="4"/>
  <c r="AZ50" i="4" s="1"/>
  <c r="BX50" i="4" s="1"/>
  <c r="BY50" i="4" s="1"/>
  <c r="BZ50" i="4" s="1"/>
  <c r="CC49" i="4"/>
  <c r="AZ49" i="4" s="1"/>
  <c r="BX49" i="4" s="1"/>
  <c r="BY49" i="4" s="1"/>
  <c r="BZ49" i="4" s="1"/>
  <c r="CC48" i="4"/>
  <c r="AZ48" i="4" s="1"/>
  <c r="BX48" i="4" s="1"/>
  <c r="BY48" i="4" s="1"/>
  <c r="BZ48" i="4" s="1"/>
  <c r="CC14" i="4"/>
  <c r="AZ14" i="4" s="1"/>
  <c r="BX14" i="4" s="1"/>
  <c r="BY14" i="4" s="1"/>
  <c r="BZ14" i="4" s="1"/>
  <c r="CC13" i="4"/>
  <c r="AZ13" i="4" s="1"/>
  <c r="BX13" i="4" s="1"/>
  <c r="BY13" i="4" s="1"/>
  <c r="BZ13" i="4" s="1"/>
  <c r="CC12" i="4"/>
  <c r="AZ12" i="4" s="1"/>
  <c r="BX12" i="4" s="1"/>
  <c r="BY12" i="4" s="1"/>
  <c r="BZ12" i="4" s="1"/>
  <c r="CC11" i="4"/>
  <c r="AZ11" i="4" s="1"/>
  <c r="BX11" i="4" s="1"/>
  <c r="BY11" i="4" s="1"/>
  <c r="BZ11" i="4" s="1"/>
  <c r="CC10" i="4"/>
  <c r="AZ10" i="4" s="1"/>
  <c r="BX10" i="4" s="1"/>
  <c r="BY10" i="4" s="1"/>
  <c r="BZ10" i="4" s="1"/>
  <c r="CC9" i="4"/>
  <c r="AZ9" i="4" s="1"/>
  <c r="BX9" i="4" s="1"/>
  <c r="BY9" i="4" s="1"/>
  <c r="BZ9" i="4" s="1"/>
  <c r="BX46" i="4"/>
  <c r="BY46" i="4" s="1"/>
  <c r="BZ46" i="4" s="1"/>
  <c r="CA46" i="4"/>
  <c r="BX47" i="4"/>
  <c r="BY47" i="4" s="1"/>
  <c r="BZ47" i="4" s="1"/>
  <c r="CA47" i="4"/>
  <c r="CA48" i="4"/>
  <c r="CA49" i="4"/>
  <c r="CA50" i="4"/>
  <c r="CA51" i="4"/>
  <c r="BX52" i="4"/>
  <c r="BY52" i="4" s="1"/>
  <c r="BZ52" i="4" s="1"/>
  <c r="CA52" i="4"/>
  <c r="BX53" i="4"/>
  <c r="BY53" i="4" s="1"/>
  <c r="BZ53" i="4" s="1"/>
  <c r="CA53" i="4"/>
  <c r="CA39" i="4"/>
  <c r="CA36" i="4"/>
  <c r="CA37" i="4"/>
  <c r="BX40" i="4"/>
  <c r="BY40" i="4" s="1"/>
  <c r="BZ40" i="4" s="1"/>
  <c r="CA40" i="4"/>
  <c r="BX41" i="4"/>
  <c r="BY41" i="4" s="1"/>
  <c r="BZ41" i="4" s="1"/>
  <c r="CA41" i="4"/>
  <c r="BX42" i="4"/>
  <c r="BY42" i="4" s="1"/>
  <c r="BZ42" i="4" s="1"/>
  <c r="CA42" i="4"/>
  <c r="BX43" i="4"/>
  <c r="BY43" i="4" s="1"/>
  <c r="BZ43" i="4" s="1"/>
  <c r="CA43" i="4"/>
  <c r="BX44" i="4"/>
  <c r="BY44" i="4" s="1"/>
  <c r="BZ44" i="4" s="1"/>
  <c r="CA44" i="4"/>
  <c r="BX45" i="4"/>
  <c r="BY45" i="4" s="1"/>
  <c r="BZ45" i="4" s="1"/>
  <c r="CA45" i="4"/>
  <c r="CA38" i="4"/>
  <c r="CA35" i="4"/>
  <c r="CA34" i="4"/>
  <c r="CA33" i="4"/>
  <c r="CA26" i="4"/>
  <c r="CA27" i="4"/>
  <c r="CA28" i="4"/>
  <c r="CA29" i="4"/>
  <c r="CA30" i="4"/>
  <c r="CA31" i="4"/>
  <c r="CA32" i="4"/>
  <c r="BX26" i="4"/>
  <c r="BY26" i="4" s="1"/>
  <c r="BZ26" i="4" s="1"/>
  <c r="BX27" i="4"/>
  <c r="BY27" i="4" s="1"/>
  <c r="BZ27" i="4" s="1"/>
  <c r="BX28" i="4"/>
  <c r="BY28" i="4" s="1"/>
  <c r="BZ28" i="4" s="1"/>
  <c r="BX29" i="4"/>
  <c r="BY29" i="4" s="1"/>
  <c r="BZ29" i="4" s="1"/>
  <c r="BX30" i="4"/>
  <c r="BY30" i="4" s="1"/>
  <c r="BZ30" i="4" s="1"/>
  <c r="BX31" i="4"/>
  <c r="BY31" i="4" s="1"/>
  <c r="BZ31" i="4" s="1"/>
  <c r="BX32" i="4"/>
  <c r="BY32" i="4" s="1"/>
  <c r="BZ32" i="4" s="1"/>
  <c r="CA24" i="4"/>
  <c r="CA25" i="4"/>
  <c r="CA54" i="4"/>
  <c r="CA55" i="4"/>
  <c r="CA56" i="4"/>
  <c r="CA57" i="4"/>
  <c r="CA58" i="4"/>
  <c r="CA59" i="4"/>
  <c r="CA60" i="4"/>
  <c r="CA61" i="4"/>
  <c r="CA22" i="4"/>
  <c r="CA23" i="4"/>
  <c r="CA17" i="4"/>
  <c r="CA18" i="4"/>
  <c r="CA19" i="4"/>
  <c r="CA20" i="4"/>
  <c r="CA21" i="4"/>
  <c r="CA15" i="4"/>
  <c r="CA16" i="4"/>
  <c r="CA9" i="4"/>
  <c r="CA10" i="4"/>
  <c r="CA11" i="4"/>
  <c r="CA12" i="4"/>
  <c r="CA13" i="4"/>
  <c r="CA14" i="4"/>
  <c r="CA8" i="4"/>
  <c r="CA2" i="4"/>
  <c r="CA3" i="4"/>
  <c r="CA4" i="4"/>
  <c r="CA5" i="4"/>
  <c r="CA6" i="4"/>
  <c r="CA7" i="4"/>
  <c r="CE7" i="4" l="1"/>
  <c r="CF7" i="4" s="1"/>
  <c r="CG7" i="4" s="1"/>
  <c r="CE21" i="4"/>
  <c r="CF21" i="4" s="1"/>
  <c r="CG21" i="4" s="1"/>
  <c r="CE17" i="4"/>
  <c r="CF17" i="4" s="1"/>
  <c r="CG17" i="4" s="1"/>
  <c r="CE14" i="4"/>
  <c r="CF14" i="4" s="1"/>
  <c r="CG14" i="4" s="1"/>
  <c r="CE10" i="4"/>
  <c r="CF10" i="4" s="1"/>
  <c r="CG10" i="4" s="1"/>
  <c r="CE51" i="4"/>
  <c r="CF51" i="4" s="1"/>
  <c r="CG51" i="4" s="1"/>
  <c r="CE15" i="4"/>
  <c r="CF15" i="4" s="1"/>
  <c r="CG15" i="4" s="1"/>
  <c r="CE37" i="4"/>
  <c r="CF37" i="4" s="1"/>
  <c r="CG37" i="4" s="1"/>
  <c r="CE60" i="4"/>
  <c r="CF60" i="4" s="1"/>
  <c r="CG60" i="4" s="1"/>
  <c r="CE56" i="4"/>
  <c r="CF56" i="4" s="1"/>
  <c r="CG56" i="4" s="1"/>
  <c r="CE22" i="4"/>
  <c r="CF22" i="4" s="1"/>
  <c r="CG22" i="4" s="1"/>
  <c r="CE6" i="4"/>
  <c r="CF6" i="4" s="1"/>
  <c r="CG6" i="4" s="1"/>
  <c r="CE20" i="4"/>
  <c r="CF20" i="4" s="1"/>
  <c r="CG20" i="4" s="1"/>
  <c r="CE35" i="4"/>
  <c r="CF35" i="4" s="1"/>
  <c r="CG35" i="4" s="1"/>
  <c r="CE13" i="4"/>
  <c r="CF13" i="4" s="1"/>
  <c r="CG13" i="4" s="1"/>
  <c r="CE9" i="4"/>
  <c r="CF9" i="4" s="1"/>
  <c r="CG9" i="4" s="1"/>
  <c r="CE50" i="4"/>
  <c r="CF50" i="4" s="1"/>
  <c r="CG50" i="4" s="1"/>
  <c r="CE36" i="4"/>
  <c r="CF36" i="4" s="1"/>
  <c r="CG36" i="4" s="1"/>
  <c r="CE59" i="4"/>
  <c r="CF59" i="4" s="1"/>
  <c r="CG59" i="4" s="1"/>
  <c r="CE55" i="4"/>
  <c r="CF55" i="4" s="1"/>
  <c r="CG55" i="4" s="1"/>
  <c r="CE5" i="4"/>
  <c r="CF5" i="4" s="1"/>
  <c r="CG5" i="4" s="1"/>
  <c r="CE19" i="4"/>
  <c r="CF19" i="4" s="1"/>
  <c r="CG19" i="4" s="1"/>
  <c r="CE34" i="4"/>
  <c r="CF34" i="4" s="1"/>
  <c r="CG34" i="4" s="1"/>
  <c r="CE12" i="4"/>
  <c r="CF12" i="4" s="1"/>
  <c r="CG12" i="4" s="1"/>
  <c r="CE49" i="4"/>
  <c r="CF49" i="4" s="1"/>
  <c r="CG49" i="4" s="1"/>
  <c r="CE39" i="4"/>
  <c r="CF39" i="4" s="1"/>
  <c r="CG39" i="4" s="1"/>
  <c r="CE58" i="4"/>
  <c r="CF58" i="4" s="1"/>
  <c r="CG58" i="4" s="1"/>
  <c r="CE54" i="4"/>
  <c r="CF54" i="4" s="1"/>
  <c r="CG54" i="4" s="1"/>
  <c r="CE4" i="4"/>
  <c r="CF4" i="4" s="1"/>
  <c r="CG4" i="4" s="1"/>
  <c r="CE18" i="4"/>
  <c r="CF18" i="4" s="1"/>
  <c r="CG18" i="4" s="1"/>
  <c r="CE33" i="4"/>
  <c r="CF33" i="4" s="1"/>
  <c r="CG33" i="4" s="1"/>
  <c r="CE11" i="4"/>
  <c r="CF11" i="4" s="1"/>
  <c r="CG11" i="4" s="1"/>
  <c r="CE48" i="4"/>
  <c r="CF48" i="4" s="1"/>
  <c r="CG48" i="4" s="1"/>
  <c r="CE38" i="4"/>
  <c r="CF38" i="4" s="1"/>
  <c r="CG38" i="4" s="1"/>
  <c r="CE61" i="4"/>
  <c r="CF61" i="4" s="1"/>
  <c r="CG61" i="4" s="1"/>
  <c r="CE57" i="4"/>
  <c r="CF57" i="4" s="1"/>
  <c r="CG57" i="4" s="1"/>
  <c r="CE23" i="4"/>
  <c r="CF23" i="4" s="1"/>
  <c r="CG23" i="4" s="1"/>
  <c r="AW15" i="4"/>
  <c r="AZ25" i="4" l="1"/>
  <c r="AZ24" i="4"/>
  <c r="BX24" i="4" l="1"/>
  <c r="BY24" i="4" s="1"/>
  <c r="BZ24" i="4" s="1"/>
  <c r="CE24" i="4"/>
  <c r="CF24" i="4" s="1"/>
  <c r="CG24" i="4" s="1"/>
  <c r="BX25" i="4"/>
  <c r="BY25" i="4" s="1"/>
  <c r="BZ25" i="4" s="1"/>
  <c r="CE25" i="4"/>
  <c r="CF25" i="4" s="1"/>
  <c r="CG25" i="4" s="1"/>
  <c r="AW27" i="4"/>
  <c r="AW28" i="4"/>
  <c r="AW29" i="4"/>
  <c r="AW30" i="4"/>
  <c r="AW31" i="4"/>
  <c r="AW32" i="4"/>
  <c r="AW26" i="4"/>
  <c r="BQ3" i="4" l="1"/>
  <c r="AZ2" i="4"/>
  <c r="AW47" i="4"/>
  <c r="AW46" i="4"/>
  <c r="BX2" i="4" l="1"/>
  <c r="BY2" i="4" s="1"/>
  <c r="BZ2" i="4" s="1"/>
  <c r="CE2" i="4"/>
  <c r="CF2" i="4" s="1"/>
  <c r="CG2" i="4" s="1"/>
  <c r="AZ3" i="4"/>
  <c r="BX3" i="4" l="1"/>
  <c r="BY3" i="4" s="1"/>
  <c r="BZ3" i="4" s="1"/>
  <c r="CE3" i="4"/>
  <c r="CF3" i="4" s="1"/>
  <c r="CG3" i="4" s="1"/>
  <c r="AZ8" i="4"/>
  <c r="BX8" i="4" l="1"/>
  <c r="BY8" i="4" s="1"/>
  <c r="BZ8" i="4" s="1"/>
  <c r="CE8" i="4"/>
  <c r="CF8" i="4" s="1"/>
  <c r="CG8" i="4" s="1"/>
  <c r="AZ16" i="4"/>
  <c r="BX16" i="4" l="1"/>
  <c r="BY16" i="4" s="1"/>
  <c r="BZ16" i="4" s="1"/>
  <c r="CE16" i="4"/>
  <c r="CF16" i="4" s="1"/>
  <c r="CG16" i="4" s="1"/>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authors>
    <author>tc={73C2226C-6106-4DC2-88CF-9C0A06F48311}</author>
    <author>tc={CEE78422-255C-40DC-AFED-5AA185CC03E1}</author>
    <author>tc={C7CEED71-5EFE-4791-84D8-7010C40A69F0}</author>
  </authors>
  <commentList>
    <comment ref="AQ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r>
      </text>
    </comment>
    <comment ref="AZ1"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daily kWh</t>
        </r>
      </text>
    </comment>
    <comment ref="AQ22"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 kWh</t>
        </r>
      </text>
    </comment>
  </commentList>
</comments>
</file>

<file path=xl/comments2.xml><?xml version="1.0" encoding="utf-8"?>
<comments xmlns="http://schemas.openxmlformats.org/spreadsheetml/2006/main">
  <authors>
    <author>tc={1DD52412-77C6-1E43-B8CC-07AD562D2C6E}</author>
    <author>tc={52E723F4-9A55-1E46-88F7-D2164B4696BA}</author>
  </authors>
  <commentList>
    <comment ref="AA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check label studies from srmt for label type</t>
        </r>
      </text>
    </comment>
    <comment ref="AR23" authorId="1" shapeId="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can we code them as relative WTP? </t>
        </r>
      </text>
    </comment>
  </commentList>
</comments>
</file>

<file path=xl/comments3.xml><?xml version="1.0" encoding="utf-8"?>
<comments xmlns="http://schemas.openxmlformats.org/spreadsheetml/2006/main">
  <authors>
    <author>tc={CF36070F-7893-4948-8AB8-1CADF6EBBFD9}</author>
  </authors>
  <commentList>
    <comment ref="D6"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r>
      </text>
    </comment>
  </commentList>
</comments>
</file>

<file path=xl/sharedStrings.xml><?xml version="1.0" encoding="utf-8"?>
<sst xmlns="http://schemas.openxmlformats.org/spreadsheetml/2006/main" count="4132" uniqueCount="662">
  <si>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</si>
  <si>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</si>
  <si>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</si>
  <si>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</si>
  <si>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</si>
  <si>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</si>
  <si>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</si>
  <si>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</si>
  <si>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</si>
  <si>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</si>
  <si>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</si>
  <si>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</si>
  <si>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</si>
  <si>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</si>
  <si>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</si>
  <si>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</si>
  <si>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</si>
  <si>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</si>
  <si>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</si>
  <si>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</si>
  <si>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</si>
  <si>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</si>
  <si>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</si>
  <si>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</si>
  <si>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</si>
  <si>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</si>
  <si>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</si>
  <si>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</si>
  <si>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</si>
  <si>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</si>
  <si>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</si>
  <si>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</si>
  <si>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</si>
  <si>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</si>
  <si>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</si>
  <si>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</si>
  <si>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</si>
  <si>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</si>
  <si>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</si>
  <si>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</si>
  <si>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</si>
  <si>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</si>
  <si>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</si>
  <si>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</si>
  <si>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</si>
  <si>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</si>
  <si>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</si>
  <si>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</si>
  <si>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</si>
  <si>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</si>
  <si>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</si>
  <si>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</si>
  <si>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</si>
  <si>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</si>
  <si>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</si>
  <si>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</si>
  <si>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</si>
  <si>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</si>
  <si>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</si>
  <si>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</si>
  <si>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</si>
  <si>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</si>
  <si>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</si>
  <si>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</si>
  <si>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</si>
  <si>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</si>
  <si>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</si>
  <si>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</si>
  <si>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</si>
  <si>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</si>
  <si>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</si>
  <si>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</si>
  <si>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</si>
  <si>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</si>
  <si>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</si>
  <si>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</si>
  <si>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</si>
  <si>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</si>
  <si>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</si>
  <si>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</si>
  <si>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</si>
  <si>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</si>
  <si>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</si>
  <si>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</si>
  <si>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</si>
  <si>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</si>
  <si>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</si>
  <si>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</si>
  <si>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</si>
  <si>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</si>
  <si>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</si>
  <si>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</si>
  <si>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</si>
  <si>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</si>
  <si>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</si>
  <si>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</si>
  <si>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</si>
  <si>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</si>
  <si>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</si>
  <si>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</si>
  <si>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</si>
  <si>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</si>
  <si>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</si>
  <si>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</si>
  <si>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</si>
  <si>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</si>
  <si>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</si>
  <si>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</si>
  <si>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</si>
  <si>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</si>
  <si>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</si>
  <si>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</si>
  <si>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</si>
  <si>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</si>
  <si>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</si>
  <si>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</si>
  <si>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</si>
  <si>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</si>
  <si>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</si>
  <si>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</si>
  <si>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</si>
  <si>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</si>
  <si>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</si>
  <si>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</si>
  <si>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</si>
  <si>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</si>
  <si>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</si>
  <si>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</si>
  <si>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</si>
  <si>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</si>
  <si>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</si>
  <si>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</si>
  <si>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</si>
  <si>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</si>
  <si>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</si>
  <si>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</si>
  <si>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</si>
  <si>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</si>
  <si>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</si>
  <si>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</si>
  <si>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</si>
  <si>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</si>
  <si>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</si>
  <si>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</si>
  <si>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</si>
  <si>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</si>
  <si>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</si>
  <si>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</si>
  <si>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</si>
  <si>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</si>
  <si>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</si>
  <si>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</si>
  <si>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</si>
  <si>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</si>
  <si>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</si>
  <si>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</si>
  <si>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</si>
  <si>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</si>
  <si>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</si>
  <si>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</si>
  <si>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</si>
  <si>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</si>
  <si>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</si>
  <si>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</si>
  <si>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</si>
  <si>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</si>
  <si>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</si>
  <si>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</si>
  <si>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</si>
  <si>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</si>
  <si>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</si>
  <si>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</si>
  <si>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</si>
  <si>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</si>
  <si>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</si>
  <si>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</si>
  <si>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</si>
  <si>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</si>
  <si>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</si>
  <si>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</si>
  <si>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</si>
  <si>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</si>
  <si>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</si>
  <si>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</si>
  <si>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</si>
  <si>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</si>
  <si>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</si>
  <si>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</si>
  <si>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</si>
  <si>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</si>
  <si>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</si>
  <si>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</si>
  <si>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</si>
  <si>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</si>
  <si>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</si>
  <si>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ac</t>
  </si>
  <si>
    <t>notes_dep_var</t>
  </si>
  <si>
    <t>dep_variable_purchase_category</t>
  </si>
  <si>
    <t>dep_var_original_study</t>
  </si>
  <si>
    <t>dep_var_transformation</t>
  </si>
  <si>
    <t>t_stat</t>
  </si>
  <si>
    <t>percent_change</t>
  </si>
  <si>
    <t>percent_change(binary predictor)</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</si>
  <si>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</si>
  <si>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</si>
  <si>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</si>
  <si>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</si>
  <si>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</si>
  <si>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</si>
  <si>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</si>
  <si>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</si>
  <si>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</si>
  <si>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</si>
  <si>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</si>
  <si>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df</t>
  </si>
  <si>
    <t>comments</t>
  </si>
  <si>
    <t>r_value_obs</t>
  </si>
  <si>
    <t>z_value_obs</t>
  </si>
  <si>
    <t>r_variance_obs</t>
  </si>
  <si>
    <t>z_variance_obs</t>
  </si>
  <si>
    <t>Galarraga, Heres, Gonzalez-Eguino</t>
  </si>
  <si>
    <t>Price premium for high-efficiency refrigerators and calculation of price-elasticities
for close-substitutes: a methodology using hedonic pricing and demand systems</t>
  </si>
  <si>
    <t>This article uses the hedonic method to estimate the price premium paid for the highest energyefficiency
label (Aþ) in the refrigerators market of the Basque Autonomous Community (Spain). The
estimated figure is 8.9% of the final price or about 60 euro, which represents one third of the energy
savings that a consumer obtains during the lifetime of a refrigerator with the highest energy-efficiency
label. This figure is then combined with the linear version of the Almost Ideal Demand System (LA/AIDS)
to obtain own and cross-price elasticities of demand. The method presented here could be useful for
policy design and analysis. Our results indicate that the demand for refrigerators with the highest
energy-efficiency label is highly sensitive to price variations.</t>
  </si>
  <si>
    <t>quasi-experimental</t>
  </si>
  <si>
    <t>Spain</t>
  </si>
  <si>
    <t>revealed preference</t>
  </si>
  <si>
    <t>retailer</t>
  </si>
  <si>
    <t>store visitors</t>
  </si>
  <si>
    <t>no such option</t>
  </si>
  <si>
    <t>probably no</t>
  </si>
  <si>
    <t>not in meta regression - ? dynamics rather than demand</t>
  </si>
  <si>
    <t>impossible to separate the effect of the label from energy efficiency</t>
  </si>
  <si>
    <t>lprice</t>
  </si>
  <si>
    <t>WTP for efficient appliance</t>
  </si>
  <si>
    <t>estimated price-premium for the most energy-efficient refrigerators</t>
  </si>
  <si>
    <t>log scale</t>
  </si>
  <si>
    <t>alphabetical with +</t>
  </si>
  <si>
    <t>Davis, Metcalf</t>
  </si>
  <si>
    <t>DOES BETTER INFORMATION LEAD TO BETTER CHOICES? EVIDENCE FROM
ENERGY-EFFICIENCY LABELS</t>
  </si>
  <si>
    <t>Information provision is a key element of government energy-efficiency policy, but the information
that is provided is often too coarse to allow consumers to make efficient decisions. An important example
is the ubiquitous yellow “EnergyGuide” label, which is required by law to be displayed on all major
appliances sold in the United States. These labels report energy cost information based on average
national usage and energy prices. We conduct an online randomized controlled trial to measure the
potential benefits from providing more accurate information. We find that state-specific labels lead
to significantly better choices. Consumers invest about the same amount overall in energy-efficiency,
but the allocation is much better with more investment in high-usage high-price states and less investment
in low-usage low-price states. The implied aggregate cost savings are larger than any reasonable estimate
of the cost of implementing state-specific labels.</t>
  </si>
  <si>
    <t>control &amp; treatment</t>
  </si>
  <si>
    <t>stated preference</t>
  </si>
  <si>
    <t>household</t>
  </si>
  <si>
    <t>residents</t>
  </si>
  <si>
    <t>As it is stated preference, hypothetical bias may be an issue</t>
  </si>
  <si>
    <t>comparison of two different labels (one with operation costs based on national-level energy price, the other with OC based on state-level energy price)</t>
  </si>
  <si>
    <t>difference between labels and not absence / presence of a label</t>
  </si>
  <si>
    <t>purchase price (investment in energy efficiency)</t>
  </si>
  <si>
    <t>numerical</t>
  </si>
  <si>
    <t>Andor, Gerster, Goette</t>
  </si>
  <si>
    <t>How effective is the European Union energy label? Evidence from a real-stakes experiment</t>
  </si>
  <si>
    <t>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t>
  </si>
  <si>
    <t>online</t>
  </si>
  <si>
    <t>homeowners</t>
  </si>
  <si>
    <t>Ward, Clark, Jensen, Yen, Russell</t>
  </si>
  <si>
    <t>Factors influencing willingness-to-pay for the ENERGY STAR (R) label</t>
  </si>
  <si>
    <t xml:space="preserve">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t>
  </si>
  <si>
    <t>individuals</t>
  </si>
  <si>
    <t>WTP for Energy Star labelled refrigerator</t>
  </si>
  <si>
    <t>Skourtos, Damigos, Tourkolias, Kontogianni</t>
  </si>
  <si>
    <t>Efficient energy labelling: the impact of information content and style on product choice</t>
  </si>
  <si>
    <t xml:space="preserve">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t>
  </si>
  <si>
    <t>Greece</t>
  </si>
  <si>
    <t>opt_out</t>
  </si>
  <si>
    <t>mixed interventions</t>
  </si>
  <si>
    <t>marginal WTP for energy efficiency improvement</t>
  </si>
  <si>
    <t>Jeong, Kim</t>
  </si>
  <si>
    <t>The effects of energy efficiency and environmental labels on appliance choice in South Korea</t>
  </si>
  <si>
    <t>This paper investigates the effects of energy
efficiency and environmental labels on households’
choice of appliances, using a discrete choice experiment
approach. Labeling programs currently operated by the
South Korean government are considered in the empirical
study, and the effects of such labels on appliance
choice. This paper found that households showed a
positive preference for labeled appliances, and an intention
to pay more to purchase appliances with energy
efficiency, and/or other environmental labels, with more
value placed on energy efficiency labels than other
environmental labels. The results of this study offer
implications for both the government and manufacturers.
For promotion of “green” appliances, it is recommended
that the South Korean government expand the
list of items mandatorily included in its labeling programs.
For manufacturers, it is worth noting that consumers
properly identify the information regarding energy
efficiency, and environmental friendliness with
reasonable monetary value. Thus, appliance manufacturers
would be wise to concentrate on improving
energy efficiency grades, and acquiring environmental
labels.</t>
  </si>
  <si>
    <t>multinomial logit</t>
  </si>
  <si>
    <t>South Korea</t>
  </si>
  <si>
    <t>effect of energy efficiency in itself rather than label (the Energy Efficiency Grade Label)</t>
  </si>
  <si>
    <t>in 10,000 KRW</t>
  </si>
  <si>
    <t>MWTP estimation results for refrigerator choice (highest efficiency grade)</t>
  </si>
  <si>
    <t>mixed logit</t>
  </si>
  <si>
    <t>Zhou, Bukenya</t>
  </si>
  <si>
    <t>Information inefficiency and willingness-to-pay forenergy-efficient technology: A stated preference approach for China Energy Label</t>
  </si>
  <si>
    <t>The paperexaminestheextenttowhichconsumers'willingness-to-payforenergy-efficient roomair
conditioners maybealteredbycorrectingtheinformationinefficiency ontheChinaEnergyLabel.The
data arecollectedfromadiscretechoiceexperimentwithtwoalternatives(variable-speedandconstant-
speed roomairconditioners)characterizedbyattributesofbrand,purchasepriceandenergygrade.
Three versionsofthequestionnaireswithchoicesetsdifferingonlyinenergyconsumptionindicators
weredistributedrandomlyto1602potentialconsumersinNanjing,Chinaandasampleof1569was
obtained afterdroppingmissingdata.Theanalysiswithmultinomialandmixedlogitmodelsrevealthat
the pricepremiumthatconsumersarewillingtopayforavariable-speedroomACoveraconstant-speed
room ACincreasessignificantly whenenergyconsumptioninformationbecomescomparableandad-
ditional energy-relatedinformationisprovided.Furthermore,theimpactofinformationonWTPvaries
under differentenergy-savingscenarios.ItissuggestedthatChinaEnergyLabelshouldcorrectin-
formation inefficiency byadoptingsameenergyindicatorsforroomACswithdifferenttechnologiesand
providingenergyconsumptioninformationbasedondifferentclimatezones.</t>
  </si>
  <si>
    <t>China</t>
  </si>
  <si>
    <t>less information on the label</t>
  </si>
  <si>
    <t>estimates of WTP (RMB) for the premium of variable-speed room ACs</t>
  </si>
  <si>
    <t>consumers’ WTP for variable-speed room AC over constant-speed room AC</t>
  </si>
  <si>
    <t>additional information - on the label</t>
  </si>
  <si>
    <t>Newell, Siikamäki</t>
  </si>
  <si>
    <t>Nudging Energy Efficiency Behavior: The Role of Information Labels</t>
  </si>
  <si>
    <t>We use choice experiments and randomized information treatments to
study the effectiveness of alternative energy efficiency labels in guiding households’
energy efficiency decisions. We disentangle the relative importance of different types
of information and distinguish it from intertemporal behavior. We find that insufficient
information can lead to considerable undervaluation of energy efficiency.
Simple information on the monetary value of energy savings was the most important
element guiding cost-efficient energy efficiency investments, with information on
physical energy use and carbon dioxide emissions having additional but lesser importance.
The degree to which the current US EnergyGuide label guided cost-efficient
decisions depends on the discount rate. Using elicited individual discount rates, the
current EnergyGuide label came very close to guiding cost-efficient decisions. Using a
uniform 5% discount rate, the current label led to one-third undervaluation of energy
efficiency. Our results reinforce the centrality of discounting in understanding individual
behavior and guiding policy.</t>
  </si>
  <si>
    <t>operating cost information (baseline - current EnergyGuide label)</t>
  </si>
  <si>
    <t>WTP for reduced present value operating cost</t>
  </si>
  <si>
    <t>operating cost relative to range (baseline - current EnergyGuide label)</t>
  </si>
  <si>
    <t>EnergyGuide image</t>
  </si>
  <si>
    <t>Energy Star logo (baseline - current EnergyGuide label)</t>
  </si>
  <si>
    <t>physical energy info (baseline - current EnergyGuide label)</t>
  </si>
  <si>
    <t>CO2 emission info (baseline - current EnergyGuide label)</t>
  </si>
  <si>
    <t>relative grade info (baseline - current EnergyGuide label)</t>
  </si>
  <si>
    <t>Shen, Saijo</t>
  </si>
  <si>
    <t>Does an energy efficiency label alter consumers’ purchasing decisions? A latent
class approach based on a stated choice experiment in Shanghai</t>
  </si>
  <si>
    <t>In this paper we conducted a hypothetical choice experiment in Shanghai, China, to examine whether the
China Energy Efficiency Label influences consumers’ choices of air conditioners and refrigerators. A latent
class approach was applied to observe both heterogeneities among the respondents and product brands.
Our results suggested that consumers in Shanghai were well aware of the China Energy Efficiency Label
and tended to pay more attention to products with such labels. In addition, air conditioners and
refrigerators affixed with a hypothetical label that indicates saving in electricity bills compared with
a standard model received significant preferences, which suggested that the more information manufacturers
provide, the more their products would be preferred by consumers. Finally, weighted by class
probability, the willingness to pay values for more energy efficient refrigerators were higher than those
for more energy efficient air conditioners, implying that Shanghai consumers have greater incentive to
pay more for appliances they use more frequently.</t>
  </si>
  <si>
    <t>random parameter logit</t>
  </si>
  <si>
    <t>effect of label or energy efficiency?</t>
  </si>
  <si>
    <t>China Energy Efficiency Label</t>
  </si>
  <si>
    <t>WTP for highest energy rank</t>
  </si>
  <si>
    <t>Li, Clark, Jensen, Yen</t>
  </si>
  <si>
    <t>The Effect of Mail-in Utility Rebates on Willingness-to-Pay for ENERGY STAR® Certified Refrigerators</t>
  </si>
  <si>
    <t>The number and variety of governmental programs designed to promote energy
efficiency have increased over time. Examples include mandatory minimum efficiency standards,
subsidies for more energy efficient goods and services, and consumer labels, such
as the United States Environmental Protection Agency’s ENERGY STAR®. While there
has been considerable research on the effects of these programs in isolation, there has been
less of a focus on joint effects or interactions between programs. This study examines how
the offer of a mail-in rebate influences consumer willingness-to-pay for an ENERGY STARcertified
refrigerator. Data used for this study were collected from an online survey containing
a hypothetical choice experiment conducted in the United States in 2009. Results suggest
that the offer of a rebate induces uncertainty about the quality of ENERGY STAR-certified
refrigerators and, thus, could actually reduce willingness-to-pay for such refrigerators.</t>
  </si>
  <si>
    <t>Energy Star label with a rebate</t>
  </si>
  <si>
    <t>Maximum simulated likelihood estimates: ES refrigerator choice</t>
  </si>
  <si>
    <t>delayed</t>
  </si>
  <si>
    <t>Energy Star label without rebate</t>
  </si>
  <si>
    <t>Min, Azevedo, Michalek, de Bruin</t>
  </si>
  <si>
    <t>Labeling energy cost on light bulbs lowers implicit discount rates</t>
  </si>
  <si>
    <t>lab</t>
  </si>
  <si>
    <t>probably yes</t>
  </si>
  <si>
    <t>LT</t>
  </si>
  <si>
    <t>Galarraga, Gonzalez-Eguino, Markandya</t>
  </si>
  <si>
    <t>Willingness to pay and price elasticities of demand for energy-efficient appliances: Combining the hedonic approach and demand systems</t>
  </si>
  <si>
    <r>
      <t>This article proposes a combined approach for estimating willingness to pay for the attributes represented by energy ef</t>
    </r>
    <r>
      <rPr>
        <sz val="11"/>
        <color theme="1"/>
        <rFont val="AdvTT5235d5a9+fb"/>
      </rPr>
      <t>fi</t>
    </r>
    <r>
      <rPr>
        <sz val="12"/>
        <color theme="1"/>
        <rFont val="Calibri"/>
        <family val="2"/>
        <scheme val="minor"/>
      </rPr>
      <t>ciency labels and providing reliable price elasticities of demand (own and cross) for close substitutes (e.g. those with low energy ef</t>
    </r>
    <r>
      <rPr>
        <sz val="11"/>
        <color theme="1"/>
        <rFont val="AdvTT5235d5a9+fb"/>
      </rPr>
      <t>fi</t>
    </r>
    <r>
      <rPr>
        <sz val="12"/>
        <color theme="1"/>
        <rFont val="Calibri"/>
        <family val="2"/>
        <scheme val="minor"/>
      </rPr>
      <t>ciency and those with higher energy ef</t>
    </r>
    <r>
      <rPr>
        <sz val="11"/>
        <color theme="1"/>
        <rFont val="AdvTT5235d5a9+fb"/>
      </rPr>
      <t>fi</t>
    </r>
    <r>
      <rPr>
        <sz val="12"/>
        <color theme="1"/>
        <rFont val="Calibri"/>
        <family val="2"/>
        <scheme val="minor"/>
      </rPr>
      <t xml:space="preserve">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t>
    </r>
    <r>
      <rPr>
        <sz val="11"/>
        <color theme="1"/>
        <rFont val="AdvTT5235d5a9+fb"/>
      </rPr>
      <t>fi</t>
    </r>
    <r>
      <rPr>
        <sz val="12"/>
        <color theme="1"/>
        <rFont val="Calibri"/>
        <family val="2"/>
        <scheme val="minor"/>
      </rPr>
      <t>nal price is actually paid for the energy ef</t>
    </r>
    <r>
      <rPr>
        <sz val="11"/>
        <color theme="1"/>
        <rFont val="AdvTT5235d5a9+fb"/>
      </rPr>
      <t>fi</t>
    </r>
    <r>
      <rPr>
        <sz val="12"/>
        <color theme="1"/>
        <rFont val="Calibri"/>
        <family val="2"/>
        <scheme val="minor"/>
      </rPr>
      <t xml:space="preserve">ciency attribute. This accounts for about </t>
    </r>
    <r>
      <rPr>
        <sz val="11"/>
        <color theme="1"/>
        <rFont val="AdvTT5235d5a9+20"/>
      </rPr>
      <t>€</t>
    </r>
    <r>
      <rPr>
        <sz val="12"/>
        <color theme="1"/>
        <rFont val="Calibri"/>
        <family val="2"/>
        <scheme val="minor"/>
      </rPr>
      <t>80 of the average market price. The elasticity results con</t>
    </r>
    <r>
      <rPr>
        <sz val="11"/>
        <color theme="1"/>
        <rFont val="AdvTT5235d5a9+fb"/>
      </rPr>
      <t>fi</t>
    </r>
    <r>
      <rPr>
        <sz val="12"/>
        <color theme="1"/>
        <rFont val="Calibri"/>
        <family val="2"/>
        <scheme val="minor"/>
      </rPr>
      <t>rm that energy ef</t>
    </r>
    <r>
      <rPr>
        <sz val="11"/>
        <color theme="1"/>
        <rFont val="AdvTT5235d5a9+fb"/>
      </rPr>
      <t>fi</t>
    </r>
    <r>
      <rPr>
        <sz val="12"/>
        <color theme="1"/>
        <rFont val="Calibri"/>
        <family val="2"/>
        <scheme val="minor"/>
      </rPr>
      <t>cient appliances are more price elastic than regular ones.</t>
    </r>
  </si>
  <si>
    <t>S69</t>
  </si>
  <si>
    <t>correlation</t>
  </si>
  <si>
    <t>Market prices do not reveal much on consumer behavior</t>
  </si>
  <si>
    <t>binary</t>
  </si>
  <si>
    <t>Factors influencing willingness-to-pay for the ENERGYSTAR label</t>
  </si>
  <si>
    <t>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t>
  </si>
  <si>
    <t>conditional logit</t>
  </si>
  <si>
    <t>Marginal WTP for higher efficiency</t>
  </si>
  <si>
    <t>Coefficient from conditional logit model</t>
  </si>
  <si>
    <t>Coefficient from conditional random parameter logit model</t>
  </si>
  <si>
    <t>Faure, Guetlein, Schleich</t>
  </si>
  <si>
    <t>Effects of rescaling the EU energy label on household preferences for top-rated appliances</t>
  </si>
  <si>
    <t xml:space="preserve">The European Union has decided to replace its previously existing A+++ to D labelling 
scheme for cold appliances with a rescaled A to G labelling scheme in 2021. 
Employing a demographically representative discrete choice experiment on refrigerator 
adoption using an online survey among more than 1000 households in Germany, this 
paper explores the effects of the rescaled scheme compared to the previous scheme 
on the stated uptake of top-rated refrigerators, i.e. those classified A+++ under the 
previous scheme and B under the rescaled scheme. Since in practice both schemes 
may be shown for a transitory period, the paper also explores the effects of displaying 
both labels simultaneously. The findings from estimating a mixed logit model suggest 
that showing the rescaled label alone significantly increases valuation of top-rated 
refrigerators compared to showing the previous A+++ to D label alone. In comparison, 
when the previous A+++ to D and the rescaled A to G schemes are shown 
simultaneously, no benefits of introducing the rescaled label are found. Thus, 
policymakers should strive to enforce the application of the rescaled label scheme as quickly as possible and to shorten transitory periods where both labels are shown 
simultaneously. </t>
  </si>
  <si>
    <t>here it is possible to differentiate the label from actual efficiency</t>
  </si>
  <si>
    <t>dummy choice for a refrigerator</t>
  </si>
  <si>
    <t>dummy (0/1)</t>
  </si>
  <si>
    <t>SH</t>
  </si>
  <si>
    <t>Orset</t>
  </si>
  <si>
    <t>Is information a good policy instrument to influence the energy behaviour of households?</t>
  </si>
  <si>
    <t>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t>
  </si>
  <si>
    <t>France</t>
  </si>
  <si>
    <t>Opt in online survey, but with quotas. Was distributed via social meida, so people without an account could not be reached. Seemingly only significant results were reported in table B.5 on page 11. (Message 3 is missing)</t>
  </si>
  <si>
    <t>Information treatment received before WTP questionnaire</t>
  </si>
  <si>
    <t>difference in WTPs between choices 𝑖 + 1</t>
  </si>
  <si>
    <t>WTP difference in €</t>
  </si>
  <si>
    <t>Harajli, Chalak</t>
  </si>
  <si>
    <t>Willingness to Pay for Energy Efficient Appliances: The Case of Lebanese Consumers</t>
  </si>
  <si>
    <t>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t>
  </si>
  <si>
    <t>2016-2017</t>
  </si>
  <si>
    <t>tobit</t>
  </si>
  <si>
    <t>Lebanon</t>
  </si>
  <si>
    <t xml:space="preserve">in the model, the treated group is the reference category, therefore the results are counterintuitive. </t>
  </si>
  <si>
    <t>WTP</t>
  </si>
  <si>
    <t>Asinyaka</t>
  </si>
  <si>
    <t>Willingness to Pay for Energy Efficient Refrigerating Appliances in Accra, Ghana: A Choice Experiment Approach</t>
  </si>
  <si>
    <t>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t>
  </si>
  <si>
    <t>Ghana</t>
  </si>
  <si>
    <t>refers only to eight suburbs of the city of Accra</t>
  </si>
  <si>
    <t>purschase (probability) of efficient appliance</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</si>
  <si>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</si>
  <si>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</si>
  <si>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</si>
  <si>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</si>
  <si>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</si>
  <si>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</si>
  <si>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</si>
  <si>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</si>
  <si>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</si>
  <si>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</si>
  <si>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</si>
  <si>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</si>
  <si>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</si>
  <si>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</si>
  <si>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</si>
  <si>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</si>
  <si>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</si>
  <si>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</si>
  <si>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</si>
  <si>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</si>
  <si>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</si>
  <si>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</si>
  <si>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</si>
  <si>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</si>
  <si>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</si>
  <si>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</si>
  <si>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</si>
  <si>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</si>
  <si>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</si>
  <si>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</si>
  <si>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</si>
  <si>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</si>
  <si>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</si>
  <si>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</si>
  <si>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</si>
  <si>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</si>
  <si>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</si>
  <si>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</si>
  <si>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</si>
  <si>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</si>
  <si>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</si>
  <si>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</si>
  <si>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</si>
  <si>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</si>
  <si>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</si>
  <si>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</si>
  <si>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</si>
  <si>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</si>
  <si>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</si>
  <si>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</si>
  <si>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</si>
  <si>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</si>
  <si>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</si>
  <si>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</si>
  <si>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</si>
  <si>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</si>
  <si>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</si>
  <si>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</si>
  <si>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</si>
  <si>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</si>
  <si>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</si>
  <si>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</si>
  <si>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ANOVA</t>
  </si>
  <si>
    <t>ITT</t>
  </si>
  <si>
    <t>negative binomial regression</t>
  </si>
  <si>
    <t>nested logit</t>
  </si>
  <si>
    <t>ordered probit</t>
  </si>
  <si>
    <t>probit</t>
  </si>
  <si>
    <t>structural model</t>
  </si>
  <si>
    <t>Grand Total</t>
  </si>
  <si>
    <t>controlls</t>
  </si>
  <si>
    <t>rebate_timeframe</t>
  </si>
  <si>
    <t>dep_var_category</t>
  </si>
  <si>
    <t>bias</t>
  </si>
  <si>
    <t xml:space="preserve">current </t>
  </si>
  <si>
    <t>simulation</t>
  </si>
  <si>
    <t>students</t>
  </si>
  <si>
    <t>Alberini, Bigano</t>
  </si>
  <si>
    <t>How effective are energy-efficiency incentive programs? Evidence from Italian homeowners</t>
  </si>
  <si>
    <t>market share of efficient appliance</t>
  </si>
  <si>
    <t>PoC</t>
  </si>
  <si>
    <t>alphabetical</t>
  </si>
  <si>
    <t>Alberini, Bigano, Boeri</t>
  </si>
  <si>
    <t>Looking for free riding: energy efficiency incentives and Italian homeowners</t>
  </si>
  <si>
    <t>RDD</t>
  </si>
  <si>
    <t>dep_var</t>
  </si>
  <si>
    <t>self-reported behaviour</t>
  </si>
  <si>
    <t>Italy</t>
  </si>
  <si>
    <t>odds ratio</t>
  </si>
  <si>
    <t>Alberini, Towe</t>
  </si>
  <si>
    <t>Information v. energy efficiency incentives: Evidence from residential electricity consumption in Maryland</t>
  </si>
  <si>
    <t>diff-in-diff</t>
  </si>
  <si>
    <t>energy use after switching to a more efficient appliance</t>
  </si>
  <si>
    <t>sales agent</t>
  </si>
  <si>
    <t>review</t>
  </si>
  <si>
    <t>tenants</t>
  </si>
  <si>
    <t>Allcott, Sweeney</t>
  </si>
  <si>
    <t>The Role of Sales Agents in Information Disclosure: Evidence from a Field Experiment</t>
  </si>
  <si>
    <t>propensity score matching</t>
  </si>
  <si>
    <t>uncertainty / sample size missing</t>
  </si>
  <si>
    <t>callers</t>
  </si>
  <si>
    <t>Allcott, Taubinsky</t>
  </si>
  <si>
    <t>Evaluating Behaviorally Motivated Policy: Experimental Evidence from the Lightbulb Market</t>
  </si>
  <si>
    <t>IV</t>
  </si>
  <si>
    <t>pre-recorded (no experiment)</t>
  </si>
  <si>
    <t>quality</t>
  </si>
  <si>
    <t>Ireland</t>
  </si>
  <si>
    <t>other</t>
  </si>
  <si>
    <t>Anderson, Claxton</t>
  </si>
  <si>
    <t>Barriers to Consumer Choice of Energy Efficient Products</t>
  </si>
  <si>
    <t>case study</t>
  </si>
  <si>
    <t>India</t>
  </si>
  <si>
    <t>unclear</t>
  </si>
  <si>
    <t>Russia</t>
  </si>
  <si>
    <t>intervention</t>
  </si>
  <si>
    <t>Aydin, Kok, Brounen</t>
  </si>
  <si>
    <t>Energy efficiency and household behavior: the rebound effect in the residential sector</t>
  </si>
  <si>
    <t>2SLS</t>
  </si>
  <si>
    <t>no appliance breakdown</t>
  </si>
  <si>
    <t>Nigeria</t>
  </si>
  <si>
    <t>Berman, Cooper, Geller</t>
  </si>
  <si>
    <t>COMPENDIUM OF UTILITY-SPONSORED ENERGY EFFICIENCY REBATE PROGRAMS.</t>
  </si>
  <si>
    <t>negative binomial count model</t>
  </si>
  <si>
    <t>Kenya</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</si>
  <si>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</si>
  <si>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</si>
  <si>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</si>
  <si>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</si>
  <si>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</si>
  <si>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Chun, Jiang</t>
  </si>
  <si>
    <t>How households in Pakistan take on energy efficient lighting technology</t>
  </si>
  <si>
    <t>Australia</t>
  </si>
  <si>
    <t>Datta, Filippini</t>
  </si>
  <si>
    <t>Analysing the impact of ENERGY STAR rebate policies in the US</t>
  </si>
  <si>
    <t>log-linear model</t>
  </si>
  <si>
    <t>Datta, Gulati</t>
  </si>
  <si>
    <t>Utility rebates for ENERGY STAR appliances: Are they effective?</t>
  </si>
  <si>
    <t>Canada</t>
  </si>
  <si>
    <t>Davis</t>
  </si>
  <si>
    <t>Durable goods and residential demand for energy and water: evidence from a field trial</t>
  </si>
  <si>
    <t>Davis, Fuchs, Gertler</t>
  </si>
  <si>
    <t>coarsened exact matching</t>
  </si>
  <si>
    <t>EU</t>
  </si>
  <si>
    <t>OLS - FE</t>
  </si>
  <si>
    <t>Austria</t>
  </si>
  <si>
    <t>del Mar Sola, de Ayala, Galarraga</t>
  </si>
  <si>
    <t>The Effect of Providing Monetary Information on Energy Savings for Household Appliances: A Field Trial in Spain</t>
  </si>
  <si>
    <t>OLS - RE</t>
  </si>
  <si>
    <t>Australia, Canada, Chile, France, Israel, Korea, Japan, Netherlands, Spain, Sweden, Switzerland</t>
  </si>
  <si>
    <t>Deutsch</t>
  </si>
  <si>
    <t>The effect of life-cycle cost disclosure on consumer behavior: evidence from a field experiment with cooling appliances</t>
  </si>
  <si>
    <t>Life Cycle Cost Disclosure, Consumer Behavior, and Business Implications: Evidence From an Online Field Experiment</t>
  </si>
  <si>
    <t>France, Germany, Italy, Poland, Romania, Spain, Sweden, UK</t>
  </si>
  <si>
    <t>Dieu-Hang, Grafton, Martinez-Espineira, Garcia-Valinas</t>
  </si>
  <si>
    <t>Household adoption of energy and water-efficient appliances: An analysis of attitudes, labelling and complementary green behaviours in selected OECD countries</t>
  </si>
  <si>
    <t>double bounded contingent valuation model</t>
  </si>
  <si>
    <t>Dong, Futawatari</t>
  </si>
  <si>
    <t>The study of low-carbon policy influence on consumers' energy efficiency household appliance purchase behavior</t>
  </si>
  <si>
    <t>Pakistan</t>
  </si>
  <si>
    <t>difference-in-difference-in-difference</t>
  </si>
  <si>
    <t>Denmark</t>
  </si>
  <si>
    <t>Figueroa, de Moliere, Pegels, Never, Kutzner</t>
  </si>
  <si>
    <t>Show me (more than) the money! Assessing the social and psychological dimensions to energy efficient lighting in Kenya</t>
  </si>
  <si>
    <t>Galaraga, Heres, Gonzalez, Eguino</t>
  </si>
  <si>
    <t>Price premium for high-efficiency refrigerators and calculation of price-elasticities for close-substitutes: a methodology using hedonic pricing and demand systems</t>
  </si>
  <si>
    <t>VAR</t>
  </si>
  <si>
    <t>Poland</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</si>
  <si>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</si>
  <si>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</si>
  <si>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</si>
  <si>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</si>
  <si>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</si>
  <si>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</si>
  <si>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</si>
  <si>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Goto H, Goto M, Sueyoshi</t>
  </si>
  <si>
    <t>Consumer choice on ecologically efficient water heaters: Marketing strategy and policy implications in Japan</t>
  </si>
  <si>
    <t xml:space="preserve">France, Slovenia, Szech Republic, Portugal </t>
  </si>
  <si>
    <t>Granda, Birner, Aron, Woodward</t>
  </si>
  <si>
    <t>The IFC/GEF Poland Efficient Lighting Project (PELP) final results</t>
  </si>
  <si>
    <t>Haas</t>
  </si>
  <si>
    <t>Some empirical findings of an Austrian appliance turn-in program</t>
  </si>
  <si>
    <t>Hafner, Elmes, Read, White</t>
  </si>
  <si>
    <t>Exploring the role of normative, financial and environmental information in promoting uptake of energy efficient technologies</t>
  </si>
  <si>
    <t>Harrington</t>
  </si>
  <si>
    <t>Quantifying energy savings from replacement of old refrigerators</t>
  </si>
  <si>
    <t>Heinzle</t>
  </si>
  <si>
    <t>Disclosure of energy operating cost information: A silver bullet for overcoming the energy-efficiency gap?</t>
  </si>
  <si>
    <t>Heinzle, Wüstenhagen</t>
  </si>
  <si>
    <t>Disimproving the European Energy Label's value for consumers? Results from a consumer survey</t>
  </si>
  <si>
    <t>Dynamic Adjustment of Eco-labeling Schemes and Consumer Choice - the Revision of the EU Energy Label as a Missed Opportunity?: Dynamic Adjustment of Eco-labelling Schemes &amp; Consumer Choice</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</si>
  <si>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</si>
  <si>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</si>
  <si>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</si>
  <si>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</si>
  <si>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</si>
  <si>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</si>
  <si>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</si>
  <si>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</si>
  <si>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Jain, Rao, Patwardhan</t>
  </si>
  <si>
    <t>Consumer preference for labels in the purchase decisions of air conditioners in India</t>
  </si>
  <si>
    <t>Kallbekken, Saelen, Hermansen</t>
  </si>
  <si>
    <t>Bridging the Energy Efficiency Gap: A Field Experiment on Lifetime Energy Costs and Household Appliances</t>
  </si>
  <si>
    <t>Kusaka, Kojima, Watanabe</t>
  </si>
  <si>
    <t>Environmental consciousness, economic gain and consumer choice of energy efficient appliances in Thailand, China and India</t>
  </si>
  <si>
    <t>Li, Cao</t>
  </si>
  <si>
    <t>Effectiveness of China's Labeling and Incentive Programs for Household Energy Conservation and Policy Implications</t>
  </si>
  <si>
    <t>Liang, Liu, Qiu, Wang, Xing</t>
  </si>
  <si>
    <t>Time-of-Use Electricity Pricing and Residential Low-carbon Energy Technology Adoption</t>
  </si>
  <si>
    <t>Liddle, Loi, Owen, Tao</t>
  </si>
  <si>
    <t>Evaluating consumption and cost savings from new air-conditioner purchases: The case of Singapore</t>
  </si>
  <si>
    <t>Liu, Jin</t>
  </si>
  <si>
    <t>Visualisation approach and economic incentives toward low carbon practices in households: A survey study in Hyogo, Japan</t>
  </si>
  <si>
    <t>London Economics</t>
  </si>
  <si>
    <t>Study on the impact of the energy label – and potential changes to it – on consumer understanding and on purchase decisions</t>
  </si>
  <si>
    <t>Ma, Yu, Urban</t>
  </si>
  <si>
    <t>Green transition of energy systems in rural China: National survey evidence of households' discrete choices on water heaters</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</si>
  <si>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</si>
  <si>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</si>
  <si>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</si>
  <si>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</si>
  <si>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</si>
  <si>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</si>
  <si>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Mizobuchi, Takeuchi</t>
  </si>
  <si>
    <t>Replacement or additional purchase: The impact of energy-efficient appliances on household electricity saving under public pressures</t>
  </si>
  <si>
    <t>Modic</t>
  </si>
  <si>
    <t>Energy use in households</t>
  </si>
  <si>
    <t>Nakano, Zusman, Nugroho, Kaswanto, Arifin N, Munandar, Arifin HS, Muchtar, Gomi, Fujita</t>
  </si>
  <si>
    <t>Determinants of energy savings in Indonesia: The case of LED lighting in Bogor</t>
  </si>
  <si>
    <t>Neves, Oliveira</t>
  </si>
  <si>
    <t>Drivers of consumers' change to an energy-efficient heating appliance (EEHA) in households: Evidence from five European countries</t>
  </si>
  <si>
    <t>Nishijima, Kagawa, Nansai, Oguchi</t>
  </si>
  <si>
    <t>Effects of product replacement programs on climate change</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</si>
  <si>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</si>
  <si>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</si>
  <si>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</si>
  <si>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</si>
  <si>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</si>
  <si>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</si>
  <si>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</si>
  <si>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</si>
  <si>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</si>
  <si>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</si>
  <si>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</si>
  <si>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</si>
  <si>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</si>
  <si>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</si>
  <si>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Revelt, Train</t>
  </si>
  <si>
    <t>MIXED LOGIT WITH REPEATED CHOICES: HOUSEHOLDS’ CHOICES
OF APPLIANCE EFFICIENCY LEVEL</t>
  </si>
  <si>
    <t>Mixed logit with repeated choices: households' choices of appliance efficiency level</t>
  </si>
  <si>
    <t>Ridge</t>
  </si>
  <si>
    <t>Energy Conservation for Low-Income Households: The Evaporative Cooler Experience</t>
  </si>
  <si>
    <t>Sammer, Wuestenhagen</t>
  </si>
  <si>
    <t>The influence of eco-labelling on consumer behaviour – results of a discrete choice analysis for washing machines</t>
  </si>
  <si>
    <t>Schleich, Durand, Brugger</t>
  </si>
  <si>
    <t>How effective are EU minimum energy performance standards and energy labels for cold appliances?</t>
  </si>
  <si>
    <t>Schultz, Colehour, Vohr, Bonn, Bullock, Sadler</t>
  </si>
  <si>
    <t>Using Social Marketing to Spur Residential Adoption of ENERGY STAR®-Certified LED Lighting</t>
  </si>
  <si>
    <t>Stadelmann, Schubert</t>
  </si>
  <si>
    <t>How Do Different Designs of Energy Labels Influence Purchases of Household Appliances? A Field Study in Switzerland</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</si>
  <si>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</si>
  <si>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</si>
  <si>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</si>
  <si>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</si>
  <si>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</si>
  <si>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</si>
  <si>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Train, Atherton</t>
  </si>
  <si>
    <t>REBATES, LOANS, AND CUSTOMERS CHOICE OF APPLIANCE EFFICIENCY LEVEL - COMBINING STATED AND REVEALED-PREFERENCE DATA</t>
  </si>
  <si>
    <t>Free Riding, Upsizing, and Energy Efﬁciency Incentives in Maryland Homes</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</si>
  <si>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</si>
  <si>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</si>
  <si>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</si>
  <si>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</si>
  <si>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Wasi, Carson</t>
  </si>
  <si>
    <t>The influence of rebate programs on the demand for water heaters: The case of New South Wales</t>
  </si>
  <si>
    <t>Webber, Brown, Koomey</t>
  </si>
  <si>
    <t>Savings estimates for the ENERGY STAR (R) voluntary labeling program</t>
  </si>
  <si>
    <t>Yao, Liu, Yan</t>
  </si>
  <si>
    <t>A quantile approach to assess the effectiveness of the subsidy policy for energy-efficient home appliances: Evidence from Rizhao, China</t>
  </si>
  <si>
    <t>Zha, Yang, Wang, Zhou</t>
  </si>
  <si>
    <t>Appliance energy labels and consumer heterogeneity: A latent class approach based on a discrete choice experiment in China</t>
  </si>
  <si>
    <t>Bjerregaard, Møller</t>
  </si>
  <si>
    <t>The Impact of EU's energy labeling policy: An econometric analysis of inceased transparency in the market of cold appliances in Denmark</t>
  </si>
  <si>
    <t>Alberini, Gans, Towe</t>
  </si>
  <si>
    <t>DECC</t>
  </si>
  <si>
    <t>Oländer, Thogersen</t>
  </si>
  <si>
    <t>Informing Versus Nudging in Environmental Policy</t>
  </si>
  <si>
    <t>3,15</t>
  </si>
  <si>
    <t>1,83</t>
  </si>
  <si>
    <t>dishwasher</t>
  </si>
  <si>
    <t>counterfactual</t>
  </si>
  <si>
    <t>relative WTP for a more energy-efficient LED light bulb compared to a CFL bulb</t>
  </si>
  <si>
    <t>relative WTP for a more energy-efficient LED light bulb compared to a CFL bulb (in treatment and in control)</t>
  </si>
  <si>
    <t>relative WTP for LED vs CFL (diff experimental conditions), ATE in euro</t>
  </si>
  <si>
    <t>choice of a labelled refrigerator compared to a not-labelled refrigerator</t>
  </si>
  <si>
    <t>WTP for efficient appliance in a treatment group compared to control (where control is existing label and treatment is label including operating cost)</t>
  </si>
  <si>
    <t>valuation of top-rated refrigerators in treatment (rescaled label) compared to control (existing label)</t>
  </si>
  <si>
    <t>WTP for top-rated appliance in presence of a label compared to no label</t>
  </si>
  <si>
    <t>WTP for efficient appliance compared to existing appliance</t>
  </si>
  <si>
    <t>WTP for efficient appliance in presence of a label compared to no label</t>
  </si>
  <si>
    <t>baseline is the current EnergyGuide label</t>
  </si>
  <si>
    <t>label compared to no label</t>
  </si>
  <si>
    <t>WTP for ENERGY STAR appliance compared to no label</t>
  </si>
  <si>
    <t>WTP before and after an information message</t>
  </si>
  <si>
    <t>WTP for ES appliance in presence of rebate compared to no rebate</t>
  </si>
  <si>
    <t>WTP for A+ appliance in presence of a label compared to A</t>
  </si>
  <si>
    <t>WTP for labelled compared to not labelled appliance</t>
  </si>
  <si>
    <t>WTP for labelled appliance in presence compared to absence of information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</si>
</sst>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 numFmtId="172" formatCode="0.0000;[Red]0.0000"/>
  </numFmts>
  <fonts count="39">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8"/>
      <name val="Calibri"/>
      <family val="2"/>
      <scheme val="minor"/>
    </font>
    <font>
      <sz val="11"/>
      <name val="Calibri"/>
      <family val="2"/>
      <scheme val="minor"/>
    </font>
    <font>
      <sz val="12"/>
      <name val="Calibri"/>
      <family val="2"/>
    </font>
    <font>
      <sz val="12"/>
      <name val="Calibri"/>
      <family val="2"/>
      <charset val="1"/>
    </font>
    <font>
      <sz val="12"/>
      <name val="Calibri"/>
      <family val="2"/>
      <charset val="1"/>
      <scheme val="minor"/>
    </font>
    <font>
      <sz val="11"/>
      <color rgb="FF131413"/>
      <name val="Calibri"/>
      <family val="2"/>
      <scheme val="minor"/>
    </font>
    <font>
      <sz val="11"/>
      <color rgb="FF000000"/>
      <name val="Calibri"/>
      <family val="2"/>
      <scheme val="minor"/>
    </font>
    <font>
      <sz val="12"/>
      <color theme="1"/>
      <name val="Calibri"/>
      <family val="2"/>
      <charset val="1"/>
    </font>
    <font>
      <sz val="11"/>
      <color theme="1"/>
      <name val="AdvTT5235d5a9+fb"/>
    </font>
    <font>
      <sz val="11"/>
      <color theme="1"/>
      <name val="AdvTT5235d5a9+20"/>
    </font>
    <font>
      <sz val="12"/>
      <color rgb="FFFF0000"/>
      <name val="Calibri"/>
      <family val="2"/>
      <scheme val="minor"/>
    </font>
    <font>
      <u/>
      <sz val="12"/>
      <color theme="10"/>
      <name val="Calibri"/>
      <family val="2"/>
      <scheme val="minor"/>
    </font>
    <font>
      <b/>
      <sz val="12"/>
      <color rgb="FF000000"/>
      <name val="Calibri"/>
      <family val="2"/>
    </font>
    <font>
      <sz val="11"/>
      <color rgb="FFFF0000"/>
      <name val="Calibri"/>
      <family val="2"/>
      <scheme val="minor"/>
    </font>
    <font>
      <sz val="12"/>
      <color rgb="FFFF0000"/>
      <name val="Calibri"/>
      <family val="2"/>
    </font>
  </fonts>
  <fills count="20">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rgb="FFFFF2CC"/>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2">
    <xf numFmtId="0" fontId="0" fillId="0" borderId="0"/>
    <xf numFmtId="0" fontId="35" fillId="0" borderId="0" applyNumberFormat="0" applyFill="0" applyBorder="0" applyAlignment="0" applyProtection="0"/>
  </cellStyleXfs>
  <cellXfs count="123">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7" fillId="0" borderId="0" xfId="0" applyFont="1"/>
    <xf numFmtId="0" fontId="10" fillId="0" borderId="0" xfId="0" quotePrefix="1" applyFont="1"/>
    <xf numFmtId="164" fontId="0" fillId="5" borderId="0" xfId="0" applyNumberFormat="1" applyFill="1"/>
    <xf numFmtId="168" fontId="0" fillId="0" borderId="0" xfId="0" applyNumberFormat="1"/>
    <xf numFmtId="0" fontId="12"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8" fillId="2" borderId="0" xfId="0" applyNumberFormat="1" applyFont="1" applyFill="1" applyAlignment="1">
      <alignment wrapText="1"/>
    </xf>
    <xf numFmtId="170" fontId="0" fillId="0" borderId="0" xfId="0" applyNumberFormat="1"/>
    <xf numFmtId="0" fontId="9" fillId="0" borderId="0" xfId="0" applyFont="1"/>
    <xf numFmtId="0" fontId="11" fillId="0" borderId="0" xfId="0" applyFont="1"/>
    <xf numFmtId="164" fontId="11" fillId="0" borderId="0" xfId="0" applyNumberFormat="1" applyFont="1"/>
    <xf numFmtId="0" fontId="10" fillId="0" borderId="0" xfId="0" applyFont="1"/>
    <xf numFmtId="165" fontId="0" fillId="0" borderId="0" xfId="0" applyNumberFormat="1"/>
    <xf numFmtId="0" fontId="8" fillId="0" borderId="0" xfId="0" applyFont="1"/>
    <xf numFmtId="0" fontId="21" fillId="0" borderId="0" xfId="0" applyFont="1" applyAlignment="1">
      <alignment wrapText="1"/>
    </xf>
    <xf numFmtId="0" fontId="18" fillId="2" borderId="1" xfId="0" applyFont="1" applyFill="1" applyBorder="1"/>
    <xf numFmtId="0" fontId="21" fillId="0" borderId="0" xfId="0" applyFont="1"/>
    <xf numFmtId="0" fontId="0" fillId="15" borderId="0" xfId="0" applyFill="1" applyAlignment="1">
      <alignment wrapText="1"/>
    </xf>
    <xf numFmtId="0" fontId="0" fillId="15" borderId="0" xfId="0" applyFill="1"/>
    <xf numFmtId="0" fontId="2" fillId="15" borderId="0" xfId="0" applyFont="1" applyFill="1"/>
    <xf numFmtId="0" fontId="7" fillId="15" borderId="0" xfId="0" applyFont="1" applyFill="1"/>
    <xf numFmtId="0" fontId="22" fillId="0" borderId="0" xfId="0" applyFont="1" applyAlignment="1">
      <alignment vertical="center"/>
    </xf>
    <xf numFmtId="0" fontId="5" fillId="15" borderId="0" xfId="0" applyFont="1" applyFill="1"/>
    <xf numFmtId="0" fontId="25" fillId="0" borderId="0" xfId="0" applyFont="1"/>
    <xf numFmtId="0" fontId="25" fillId="15" borderId="0" xfId="0" applyFont="1" applyFill="1"/>
    <xf numFmtId="164" fontId="0" fillId="15" borderId="0" xfId="0" applyNumberFormat="1" applyFill="1"/>
    <xf numFmtId="168" fontId="0" fillId="15" borderId="0" xfId="0" applyNumberFormat="1" applyFill="1"/>
    <xf numFmtId="0" fontId="11" fillId="15" borderId="0" xfId="0" applyFont="1" applyFill="1"/>
    <xf numFmtId="170" fontId="0" fillId="15" borderId="0" xfId="0" applyNumberFormat="1" applyFill="1"/>
    <xf numFmtId="0" fontId="10" fillId="15" borderId="0" xfId="0" quotePrefix="1" applyFont="1" applyFill="1"/>
    <xf numFmtId="167" fontId="0" fillId="15" borderId="0" xfId="0" applyNumberFormat="1" applyFill="1"/>
    <xf numFmtId="0" fontId="6" fillId="15" borderId="0" xfId="0" applyFont="1" applyFill="1"/>
    <xf numFmtId="0" fontId="12" fillId="15" borderId="0" xfId="0" applyFont="1" applyFill="1"/>
    <xf numFmtId="0" fontId="21" fillId="15" borderId="0" xfId="0" applyFont="1" applyFill="1"/>
    <xf numFmtId="0" fontId="30" fillId="0" borderId="0" xfId="0" applyFont="1"/>
    <xf numFmtId="0" fontId="0" fillId="0" borderId="0" xfId="0" applyAlignment="1">
      <alignment vertical="center"/>
    </xf>
    <xf numFmtId="0" fontId="2" fillId="10" borderId="0" xfId="0" applyFont="1" applyFill="1"/>
    <xf numFmtId="0" fontId="3" fillId="10" borderId="1" xfId="0" applyFont="1" applyFill="1" applyBorder="1"/>
    <xf numFmtId="0" fontId="3" fillId="10" borderId="0" xfId="0" applyFont="1" applyFill="1"/>
    <xf numFmtId="0" fontId="21" fillId="10" borderId="0" xfId="0" applyFont="1" applyFill="1"/>
    <xf numFmtId="0" fontId="2" fillId="10" borderId="6" xfId="0" applyFont="1" applyFill="1" applyBorder="1"/>
    <xf numFmtId="0" fontId="2" fillId="7" borderId="0" xfId="0" applyFont="1" applyFill="1"/>
    <xf numFmtId="0" fontId="21" fillId="13" borderId="4" xfId="0" applyFont="1" applyFill="1" applyBorder="1"/>
    <xf numFmtId="0" fontId="21" fillId="17" borderId="9" xfId="0" applyFont="1" applyFill="1" applyBorder="1"/>
    <xf numFmtId="0" fontId="21" fillId="17" borderId="1" xfId="0" applyFont="1" applyFill="1" applyBorder="1"/>
    <xf numFmtId="0" fontId="21" fillId="9" borderId="1" xfId="0" applyFont="1" applyFill="1" applyBorder="1"/>
    <xf numFmtId="0" fontId="21" fillId="17" borderId="0" xfId="0" applyFont="1" applyFill="1"/>
    <xf numFmtId="0" fontId="21" fillId="17" borderId="4" xfId="0" applyFont="1" applyFill="1" applyBorder="1"/>
    <xf numFmtId="0" fontId="21"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8" fillId="14" borderId="1" xfId="0" applyFont="1" applyFill="1" applyBorder="1"/>
    <xf numFmtId="0" fontId="18" fillId="14" borderId="7" xfId="0" applyFont="1" applyFill="1" applyBorder="1"/>
    <xf numFmtId="0" fontId="18" fillId="14" borderId="4" xfId="0" applyFont="1" applyFill="1" applyBorder="1"/>
    <xf numFmtId="0" fontId="18" fillId="7" borderId="4" xfId="0" applyFont="1" applyFill="1" applyBorder="1"/>
    <xf numFmtId="0" fontId="18" fillId="7" borderId="1" xfId="0" applyFont="1" applyFill="1" applyBorder="1"/>
    <xf numFmtId="0" fontId="18" fillId="7" borderId="7" xfId="0" applyFont="1" applyFill="1" applyBorder="1"/>
    <xf numFmtId="0" fontId="18" fillId="11" borderId="4" xfId="0" applyFont="1" applyFill="1" applyBorder="1"/>
    <xf numFmtId="0" fontId="18" fillId="11" borderId="1" xfId="0" applyFont="1" applyFill="1" applyBorder="1"/>
    <xf numFmtId="0" fontId="18" fillId="11" borderId="7" xfId="0" applyFont="1" applyFill="1" applyBorder="1"/>
    <xf numFmtId="0" fontId="18" fillId="12" borderId="4" xfId="0" applyFont="1" applyFill="1" applyBorder="1"/>
    <xf numFmtId="0" fontId="18" fillId="12" borderId="1" xfId="0" applyFont="1" applyFill="1" applyBorder="1"/>
    <xf numFmtId="0" fontId="21" fillId="16" borderId="4" xfId="0" applyFont="1" applyFill="1" applyBorder="1"/>
    <xf numFmtId="0" fontId="21" fillId="16" borderId="1" xfId="0" applyFont="1" applyFill="1" applyBorder="1"/>
    <xf numFmtId="0" fontId="21" fillId="16" borderId="7" xfId="0" applyFont="1" applyFill="1" applyBorder="1"/>
    <xf numFmtId="170" fontId="18" fillId="2" borderId="0" xfId="0" applyNumberFormat="1" applyFont="1" applyFill="1"/>
    <xf numFmtId="170" fontId="21" fillId="0" borderId="0" xfId="0" applyNumberFormat="1" applyFont="1"/>
    <xf numFmtId="0" fontId="20" fillId="0" borderId="0" xfId="0" applyFont="1"/>
    <xf numFmtId="170" fontId="11" fillId="0" borderId="0" xfId="0" applyNumberFormat="1" applyFont="1"/>
    <xf numFmtId="0" fontId="27" fillId="0" borderId="0" xfId="0" applyFont="1"/>
    <xf numFmtId="0" fontId="28" fillId="0" borderId="0" xfId="0" applyFont="1"/>
    <xf numFmtId="0" fontId="23" fillId="0" borderId="0" xfId="0" applyFont="1"/>
    <xf numFmtId="0" fontId="0" fillId="8" borderId="0" xfId="0" applyFill="1"/>
    <xf numFmtId="0" fontId="31" fillId="0" borderId="0" xfId="0" applyFont="1"/>
    <xf numFmtId="0" fontId="34" fillId="0" borderId="0" xfId="0" applyFont="1"/>
    <xf numFmtId="170" fontId="23" fillId="0" borderId="0" xfId="0" applyNumberFormat="1" applyFont="1"/>
    <xf numFmtId="0" fontId="0" fillId="18" borderId="0" xfId="0" applyFill="1"/>
    <xf numFmtId="167" fontId="0" fillId="0" borderId="0" xfId="0" applyNumberFormat="1"/>
    <xf numFmtId="0" fontId="34" fillId="8" borderId="0" xfId="0" applyFont="1" applyFill="1"/>
    <xf numFmtId="171" fontId="0" fillId="0" borderId="0" xfId="0" applyNumberFormat="1"/>
    <xf numFmtId="0" fontId="0" fillId="7" borderId="0" xfId="0" applyFill="1"/>
    <xf numFmtId="0" fontId="28" fillId="15" borderId="0" xfId="0" applyFont="1" applyFill="1"/>
    <xf numFmtId="0" fontId="29" fillId="0" borderId="0" xfId="0" applyFont="1"/>
    <xf numFmtId="9" fontId="0" fillId="0" borderId="0" xfId="0" applyNumberFormat="1"/>
    <xf numFmtId="172" fontId="0" fillId="0" borderId="0" xfId="0" applyNumberFormat="1"/>
    <xf numFmtId="0" fontId="35" fillId="0" borderId="0" xfId="1" applyAlignment="1"/>
    <xf numFmtId="0" fontId="0" fillId="0" borderId="0" xfId="0" pivotButton="1"/>
    <xf numFmtId="0" fontId="0" fillId="0" borderId="0" xfId="0" applyAlignment="1">
      <alignment horizontal="left"/>
    </xf>
    <xf numFmtId="2" fontId="0" fillId="15" borderId="0" xfId="0" applyNumberFormat="1" applyFill="1"/>
    <xf numFmtId="0" fontId="36" fillId="19" borderId="0" xfId="0" applyFont="1" applyFill="1"/>
    <xf numFmtId="0" fontId="38" fillId="0" borderId="0" xfId="0" applyFont="1"/>
    <xf numFmtId="0" fontId="6" fillId="0" borderId="0" xfId="0" applyFont="1" applyFill="1"/>
    <xf numFmtId="0" fontId="37" fillId="0" borderId="0" xfId="0" applyFont="1" applyFill="1" applyAlignment="1">
      <alignment vertical="center"/>
    </xf>
    <xf numFmtId="0" fontId="0" fillId="0" borderId="0" xfId="0" applyFill="1"/>
    <xf numFmtId="0" fontId="22" fillId="0" borderId="0" xfId="0" applyFont="1" applyFill="1" applyAlignment="1">
      <alignment vertical="center"/>
    </xf>
    <xf numFmtId="0" fontId="26" fillId="0" borderId="0" xfId="0" applyFont="1" applyFill="1"/>
  </cellXfs>
  <cellStyles count="2">
    <cellStyle name="Link" xfId="1" builtinId="8"/>
    <cellStyle name="Standard"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icrosoft Office User" refreshedDate="45057.552441087966" createdVersion="8" refreshedVersion="8" minRefreshableVersion="3" recordCount="334">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 ref="AR23" dT="2022-12-14T13:27:58.05" personId="{07E012BB-865F-6142-9A86-EDCC0A8503F7}" id="{52E723F4-9A55-1E46-88F7-D2164B4696BA}">
    <text xml:space="preserve">can we code them as relative WTP? </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5.75"/>
  <cols>
    <col min="4" max="4" width="20.625" customWidth="1"/>
    <col min="5" max="5" width="14.125" customWidth="1"/>
    <col min="7" max="7" width="16.125" customWidth="1"/>
    <col min="8" max="8" width="16.625" customWidth="1"/>
    <col min="10" max="10" width="18.125" bestFit="1" customWidth="1"/>
    <col min="11" max="11" width="12" hidden="1" customWidth="1"/>
    <col min="12" max="17" width="0" hidden="1" customWidth="1"/>
    <col min="18" max="18" width="16" hidden="1" customWidth="1"/>
    <col min="19" max="22" width="0" hidden="1" customWidth="1"/>
    <col min="23" max="24" width="12.125" hidden="1" customWidth="1"/>
    <col min="25" max="25" width="0" hidden="1" customWidth="1"/>
    <col min="26" max="26" width="0" style="12" hidden="1" customWidth="1"/>
    <col min="27" max="27" width="18.625" hidden="1" customWidth="1"/>
    <col min="28" max="28" width="14.125" style="7" bestFit="1" customWidth="1"/>
    <col min="29" max="29" width="14.625" style="7" customWidth="1"/>
    <col min="30" max="30" width="13.625" customWidth="1"/>
    <col min="31" max="31" width="14.625" customWidth="1"/>
    <col min="32" max="32" width="13.625" hidden="1" customWidth="1"/>
    <col min="33" max="33" width="19.125" hidden="1" customWidth="1"/>
    <col min="34" max="34" width="10.625" hidden="1" customWidth="1"/>
    <col min="35" max="35" width="13.125" hidden="1" customWidth="1"/>
    <col min="36" max="36" width="22.125" hidden="1" customWidth="1"/>
    <col min="37" max="37" width="10.625" hidden="1" customWidth="1"/>
    <col min="38" max="38" width="18.125" customWidth="1"/>
    <col min="39" max="39" width="14.125" customWidth="1"/>
    <col min="40" max="40" width="9.625" customWidth="1"/>
    <col min="41" max="41" width="19.125" customWidth="1"/>
    <col min="42" max="42" width="12.125" customWidth="1"/>
    <col min="44" max="45" width="0" hidden="1" customWidth="1"/>
    <col min="46" max="47" width="13.125" hidden="1" customWidth="1"/>
    <col min="48" max="51" width="0" hidden="1" customWidth="1"/>
    <col min="52" max="52" width="13.625" style="17" hidden="1" customWidth="1"/>
    <col min="53" max="53" width="26.5" hidden="1" customWidth="1"/>
    <col min="54" max="54" width="20.625" hidden="1" customWidth="1"/>
    <col min="55" max="55" width="0" hidden="1" customWidth="1"/>
    <col min="56" max="56" width="17.625" hidden="1" customWidth="1"/>
    <col min="57" max="57" width="16.125" hidden="1" customWidth="1"/>
    <col min="58" max="58" width="15.125" hidden="1" customWidth="1"/>
    <col min="59" max="59" width="20.625" hidden="1" customWidth="1"/>
    <col min="60" max="60" width="24.625" hidden="1" customWidth="1"/>
    <col min="61" max="61" width="19.625" style="30" bestFit="1" customWidth="1"/>
    <col min="62" max="62" width="24.125" style="30" bestFit="1" customWidth="1"/>
    <col min="63" max="65" width="11" style="30"/>
    <col min="67" max="67" width="25.125" bestFit="1" customWidth="1"/>
  </cols>
  <sheetData>
    <row r="1" spans="1:68" ht="45">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6.4285714285714276E-3</v>
      </c>
      <c r="BJ27" s="30">
        <f t="shared" si="15"/>
        <v>6.4285714285714276E-3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6.5">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6.5">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6.5">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6.5">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formula1>0</formula1>
      <formula2>1</formula2>
    </dataValidation>
    <dataValidation type="whole" allowBlank="1" showInputMessage="1" showErrorMessage="1" prompt="1- lower bound_x000a_2 - upper bound_x000a_3- actual" sqref="AO54:AO1048576 AO43:AO52 AO1:AO38">
      <formula1>0</formula1>
      <formula2>3</formula2>
    </dataValidation>
    <dataValidation allowBlank="1" showInputMessage="1" showErrorMessage="1" prompt="Yes - 1_x000a_No - 0_x000a_" sqref="X1"/>
    <dataValidation allowBlank="1" showInputMessage="1" showErrorMessage="1" sqref="BA53 AR53"/>
    <dataValidation type="list" allowBlank="1" showInputMessage="1" showErrorMessage="1" sqref="J23:J37 J1:J12">
      <formula1>$F$2:$F$9</formula1>
    </dataValidation>
    <dataValidation type="list" allowBlank="1" showInputMessage="1" showErrorMessage="1" sqref="K23:K37 K1:K12">
      <formula1>$D$2:$D$6</formula1>
    </dataValidation>
    <dataValidation type="list" allowBlank="1" showInputMessage="1" showErrorMessage="1" sqref="K43:K51">
      <formula1>$D$2:$D$7</formula1>
    </dataValidation>
    <dataValidation type="list" allowBlank="1" showInputMessage="1" showErrorMessage="1" sqref="J43:J51">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14:formula1>
            <xm:f>'Lists for variables'!$B$2:$B$4</xm:f>
          </x14:formula1>
          <xm:sqref>BC23:BC28 BC54:BC1048576 BC33:BC38 BC1:BC12</xm:sqref>
        </x14:dataValidation>
        <x14:dataValidation type="list" allowBlank="1" showInputMessage="1" showErrorMessage="1">
          <x14:formula1>
            <xm:f>'Lists for variables'!$F$2:$F$9</xm:f>
          </x14:formula1>
          <xm:sqref>J54:J1048576</xm:sqref>
        </x14:dataValidation>
        <x14:dataValidation type="list" allowBlank="1" showInputMessage="1" showErrorMessage="1">
          <x14:formula1>
            <xm:f>'Lists for variables'!$A$2:$A$4</xm:f>
          </x14:formula1>
          <xm:sqref>AS43:AX51 AS54:AX1048576 AS23:AX38 AS2:AX12</xm:sqref>
        </x14:dataValidation>
        <x14:dataValidation type="list" allowBlank="1" showInputMessage="1" showErrorMessage="1">
          <x14:formula1>
            <xm:f>'Lists for variables'!$F$2:$F$10</xm:f>
          </x14:formula1>
          <xm:sqref>J38</xm:sqref>
        </x14:dataValidation>
        <x14:dataValidation type="list" allowBlank="1" showInputMessage="1" showErrorMessage="1">
          <x14:formula1>
            <xm:f>'Lists for variables'!$E$2:$E$4</xm:f>
          </x14:formula1>
          <xm:sqref>AO43:AO51</xm:sqref>
        </x14:dataValidation>
        <x14:dataValidation type="list" allowBlank="1" showInputMessage="1" showErrorMessage="1">
          <x14:formula1>
            <xm:f>'Lists for variables'!$D$2:$D$6</xm:f>
          </x14:formula1>
          <xm:sqref>K54:K1048576</xm:sqref>
        </x14:dataValidation>
        <x14:dataValidation type="list" allowBlank="1" showInputMessage="1" showErrorMessage="1">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CH75"/>
  <sheetViews>
    <sheetView tabSelected="1" zoomScale="94" zoomScaleNormal="94" workbookViewId="0">
      <pane xSplit="1" ySplit="1" topLeftCell="B35" activePane="bottomRight" state="frozen"/>
      <selection pane="topRight" activeCell="B1" sqref="B1"/>
      <selection pane="bottomLeft" activeCell="A2" sqref="A2"/>
      <selection pane="bottomRight" activeCell="B33" sqref="B33"/>
    </sheetView>
  </sheetViews>
  <sheetFormatPr baseColWidth="10" defaultColWidth="11" defaultRowHeight="15.75" customHeight="1"/>
  <cols>
    <col min="2" max="2" width="136" customWidth="1"/>
    <col min="5" max="5" width="24.625" customWidth="1"/>
    <col min="6" max="6" width="17.625" customWidth="1"/>
    <col min="7" max="7" width="14.125" customWidth="1"/>
    <col min="8" max="8" width="16.5" customWidth="1"/>
    <col min="9" max="9" width="11" customWidth="1"/>
    <col min="10" max="10" width="16.125" customWidth="1"/>
    <col min="11" max="11" width="15.125" bestFit="1" customWidth="1"/>
    <col min="13" max="13" width="20.625" bestFit="1" customWidth="1"/>
    <col min="14" max="14" width="13.125" customWidth="1"/>
    <col min="15" max="15" width="11" customWidth="1"/>
    <col min="16" max="16" width="14.625" customWidth="1"/>
    <col min="17" max="17" width="13.125" customWidth="1"/>
    <col min="18" max="18" width="15" customWidth="1"/>
    <col min="19" max="19" width="14.125" customWidth="1"/>
    <col min="20" max="20" width="11" customWidth="1"/>
    <col min="21" max="21" width="21.125" customWidth="1"/>
    <col min="22" max="22" width="16" customWidth="1"/>
    <col min="23" max="23" width="14.625" customWidth="1"/>
    <col min="24" max="24" width="12.5" customWidth="1"/>
    <col min="25" max="33" width="11" customWidth="1"/>
    <col min="34" max="35" width="16" customWidth="1"/>
    <col min="36" max="39" width="11" customWidth="1"/>
    <col min="40" max="41" width="12.125" customWidth="1"/>
    <col min="42" max="42" width="11" customWidth="1"/>
    <col min="43" max="43" width="27.625" customWidth="1"/>
    <col min="44" max="44" width="41.125" bestFit="1" customWidth="1"/>
    <col min="45" max="45" width="54.625" customWidth="1"/>
    <col min="46" max="46" width="21" customWidth="1"/>
    <col min="47" max="47" width="26.625" style="7" customWidth="1"/>
    <col min="48" max="48" width="14.125" style="7" customWidth="1"/>
    <col min="49" max="49" width="13.125" customWidth="1"/>
    <col min="50" max="50" width="9.625" customWidth="1"/>
    <col min="51" max="51" width="17" customWidth="1"/>
    <col min="52" max="52" width="9"/>
    <col min="53" max="54" width="14.125" customWidth="1"/>
    <col min="55" max="55" width="13.625" customWidth="1"/>
    <col min="56" max="56" width="12.625" customWidth="1"/>
    <col min="57" max="57" width="10.625" customWidth="1"/>
    <col min="58" max="58" width="13" customWidth="1"/>
    <col min="59" max="60" width="10.625" customWidth="1"/>
    <col min="61" max="62" width="11.125" customWidth="1"/>
    <col min="63" max="64" width="11" customWidth="1"/>
    <col min="65" max="65" width="12.625" customWidth="1"/>
    <col min="66" max="66" width="18.125" customWidth="1"/>
    <col min="67" max="67" width="22.125" customWidth="1"/>
    <col min="68" max="68" width="15.125" customWidth="1"/>
    <col min="69" max="69" width="18" customWidth="1"/>
    <col min="70" max="70" width="17.125" customWidth="1"/>
    <col min="71" max="71" width="21.125" customWidth="1"/>
    <col min="72" max="72" width="10.125" customWidth="1"/>
    <col min="73" max="73" width="13" customWidth="1"/>
    <col min="74" max="74" width="14" customWidth="1"/>
    <col min="75" max="75" width="13.125" customWidth="1"/>
    <col min="82" max="82" width="24" customWidth="1"/>
  </cols>
  <sheetData>
    <row r="1" spans="1:86" ht="18" customHeight="1">
      <c r="A1" s="59" t="s">
        <v>181</v>
      </c>
      <c r="B1" s="42" t="s">
        <v>644</v>
      </c>
      <c r="C1" s="59" t="s">
        <v>1</v>
      </c>
      <c r="D1" s="59" t="s">
        <v>2</v>
      </c>
      <c r="E1" s="60" t="s">
        <v>182</v>
      </c>
      <c r="F1" s="61" t="s">
        <v>183</v>
      </c>
      <c r="G1" s="62" t="s">
        <v>4</v>
      </c>
      <c r="H1" s="63" t="s">
        <v>5</v>
      </c>
      <c r="I1" s="64" t="s">
        <v>11</v>
      </c>
      <c r="J1" s="64" t="s">
        <v>6</v>
      </c>
      <c r="K1" s="64" t="s">
        <v>7</v>
      </c>
      <c r="L1" s="64" t="s">
        <v>8</v>
      </c>
      <c r="M1" s="116" t="s">
        <v>9</v>
      </c>
      <c r="N1" s="64" t="s">
        <v>10</v>
      </c>
      <c r="O1" s="65" t="s">
        <v>50</v>
      </c>
      <c r="P1" s="66" t="s">
        <v>184</v>
      </c>
      <c r="Q1" s="67" t="s">
        <v>185</v>
      </c>
      <c r="R1" s="67" t="s">
        <v>186</v>
      </c>
      <c r="S1" s="67" t="s">
        <v>187</v>
      </c>
      <c r="T1" s="68" t="s">
        <v>188</v>
      </c>
      <c r="U1" s="67" t="s">
        <v>53</v>
      </c>
      <c r="V1" s="69" t="s">
        <v>55</v>
      </c>
      <c r="W1" s="70" t="s">
        <v>56</v>
      </c>
      <c r="X1" s="71" t="s">
        <v>189</v>
      </c>
      <c r="Y1" s="72" t="s">
        <v>12</v>
      </c>
      <c r="Z1" s="73" t="s">
        <v>14</v>
      </c>
      <c r="AA1" s="73" t="s">
        <v>15</v>
      </c>
      <c r="AB1" s="73" t="s">
        <v>13</v>
      </c>
      <c r="AC1" s="73" t="s">
        <v>16</v>
      </c>
      <c r="AD1" s="73" t="s">
        <v>190</v>
      </c>
      <c r="AE1" s="73" t="s">
        <v>191</v>
      </c>
      <c r="AF1" s="73" t="s">
        <v>192</v>
      </c>
      <c r="AG1" s="73" t="s">
        <v>193</v>
      </c>
      <c r="AH1" s="74" t="s">
        <v>17</v>
      </c>
      <c r="AI1" s="75" t="s">
        <v>194</v>
      </c>
      <c r="AJ1" s="75" t="s">
        <v>643</v>
      </c>
      <c r="AK1" s="75" t="s">
        <v>19</v>
      </c>
      <c r="AL1" s="75" t="s">
        <v>20</v>
      </c>
      <c r="AM1" s="75" t="s">
        <v>21</v>
      </c>
      <c r="AN1" s="75" t="s">
        <v>22</v>
      </c>
      <c r="AO1" s="75" t="s">
        <v>195</v>
      </c>
      <c r="AP1" s="75" t="s">
        <v>24</v>
      </c>
      <c r="AQ1" s="76" t="s">
        <v>196</v>
      </c>
      <c r="AR1" s="59" t="s">
        <v>197</v>
      </c>
      <c r="AS1" s="59" t="s">
        <v>198</v>
      </c>
      <c r="AT1" s="59" t="s">
        <v>199</v>
      </c>
      <c r="AU1" s="59" t="s">
        <v>27</v>
      </c>
      <c r="AV1" s="59" t="s">
        <v>28</v>
      </c>
      <c r="AW1" s="60" t="s">
        <v>29</v>
      </c>
      <c r="AX1" s="77" t="s">
        <v>39</v>
      </c>
      <c r="AY1" s="78" t="s">
        <v>40</v>
      </c>
      <c r="AZ1" s="78" t="s">
        <v>200</v>
      </c>
      <c r="BA1" s="79" t="s">
        <v>201</v>
      </c>
      <c r="BB1" s="80" t="s">
        <v>202</v>
      </c>
      <c r="BC1" s="81" t="s">
        <v>31</v>
      </c>
      <c r="BD1" s="82" t="s">
        <v>32</v>
      </c>
      <c r="BE1" s="82" t="s">
        <v>33</v>
      </c>
      <c r="BF1" s="82" t="s">
        <v>34</v>
      </c>
      <c r="BG1" s="82" t="s">
        <v>35</v>
      </c>
      <c r="BH1" s="82" t="s">
        <v>36</v>
      </c>
      <c r="BI1" s="82" t="s">
        <v>37</v>
      </c>
      <c r="BJ1" s="82" t="s">
        <v>38</v>
      </c>
      <c r="BK1" s="82" t="s">
        <v>42</v>
      </c>
      <c r="BL1" s="83" t="s">
        <v>43</v>
      </c>
      <c r="BM1" s="84" t="s">
        <v>203</v>
      </c>
      <c r="BN1" s="85" t="s">
        <v>204</v>
      </c>
      <c r="BO1" s="86" t="s">
        <v>205</v>
      </c>
      <c r="BP1" s="87" t="s">
        <v>206</v>
      </c>
      <c r="BQ1" s="88" t="s">
        <v>207</v>
      </c>
      <c r="BR1" s="88" t="s">
        <v>208</v>
      </c>
      <c r="BS1" s="88" t="s">
        <v>209</v>
      </c>
      <c r="BT1" s="86" t="s">
        <v>210</v>
      </c>
      <c r="BU1" s="89" t="s">
        <v>211</v>
      </c>
      <c r="BV1" s="90" t="s">
        <v>212</v>
      </c>
      <c r="BW1" s="91" t="s">
        <v>213</v>
      </c>
      <c r="BX1" s="28" t="s">
        <v>60</v>
      </c>
      <c r="BY1" s="92" t="s">
        <v>62</v>
      </c>
      <c r="BZ1" s="93" t="s">
        <v>63</v>
      </c>
      <c r="CA1" s="93" t="s">
        <v>64</v>
      </c>
      <c r="CB1" t="s">
        <v>65</v>
      </c>
      <c r="CC1" t="s">
        <v>214</v>
      </c>
      <c r="CD1" t="s">
        <v>215</v>
      </c>
      <c r="CE1" s="28" t="s">
        <v>216</v>
      </c>
      <c r="CF1" s="92" t="s">
        <v>217</v>
      </c>
      <c r="CG1" s="93" t="s">
        <v>218</v>
      </c>
      <c r="CH1" s="93" t="s">
        <v>219</v>
      </c>
    </row>
    <row r="2" spans="1:86">
      <c r="A2" s="11" t="s">
        <v>68</v>
      </c>
      <c r="B2" s="11" t="s">
        <v>646</v>
      </c>
      <c r="C2" s="11">
        <v>1071</v>
      </c>
      <c r="D2">
        <v>113</v>
      </c>
      <c r="E2" t="s">
        <v>249</v>
      </c>
      <c r="F2" s="11">
        <v>2019</v>
      </c>
      <c r="G2" t="s">
        <v>250</v>
      </c>
      <c r="H2" s="98" t="s">
        <v>251</v>
      </c>
      <c r="I2">
        <v>2</v>
      </c>
      <c r="J2">
        <v>2019</v>
      </c>
      <c r="K2" s="10" t="s">
        <v>73</v>
      </c>
      <c r="L2">
        <v>5</v>
      </c>
      <c r="M2" s="18" t="s">
        <v>120</v>
      </c>
      <c r="N2" t="s">
        <v>240</v>
      </c>
      <c r="O2" t="s">
        <v>148</v>
      </c>
      <c r="P2" s="18" t="s">
        <v>225</v>
      </c>
      <c r="Q2" t="s">
        <v>252</v>
      </c>
      <c r="R2" t="s">
        <v>253</v>
      </c>
      <c r="S2">
        <v>1</v>
      </c>
      <c r="T2" t="s">
        <v>188</v>
      </c>
      <c r="U2">
        <v>1</v>
      </c>
      <c r="V2" s="18" t="s">
        <v>229</v>
      </c>
      <c r="W2" s="18" t="s">
        <v>229</v>
      </c>
      <c r="X2" s="18" t="s">
        <v>73</v>
      </c>
      <c r="Y2">
        <v>0</v>
      </c>
      <c r="Z2">
        <v>0</v>
      </c>
      <c r="AA2">
        <v>1</v>
      </c>
      <c r="AB2">
        <v>0</v>
      </c>
      <c r="AC2">
        <v>0</v>
      </c>
      <c r="AD2">
        <v>0</v>
      </c>
      <c r="AE2">
        <v>0</v>
      </c>
      <c r="AF2">
        <v>0</v>
      </c>
      <c r="AG2" t="s">
        <v>73</v>
      </c>
      <c r="AH2">
        <v>0</v>
      </c>
      <c r="AI2">
        <v>0</v>
      </c>
      <c r="AJ2">
        <v>0</v>
      </c>
      <c r="AK2">
        <v>0</v>
      </c>
      <c r="AL2">
        <v>0</v>
      </c>
      <c r="AM2">
        <v>1</v>
      </c>
      <c r="AN2" s="32">
        <v>0</v>
      </c>
      <c r="AO2">
        <v>0</v>
      </c>
      <c r="AP2">
        <v>0</v>
      </c>
      <c r="AQ2" t="s">
        <v>73</v>
      </c>
      <c r="AR2" t="s">
        <v>233</v>
      </c>
      <c r="AS2" s="98" t="s">
        <v>647</v>
      </c>
      <c r="AT2" t="s">
        <v>73</v>
      </c>
      <c r="AU2" s="21">
        <v>0.14099999999999999</v>
      </c>
      <c r="AV2" s="7" t="s">
        <v>80</v>
      </c>
      <c r="AW2" s="104">
        <v>0.32</v>
      </c>
      <c r="AX2" s="18">
        <v>0.1</v>
      </c>
      <c r="AY2" s="18">
        <v>2</v>
      </c>
      <c r="AZ2" s="18">
        <f>AU2/AW2</f>
        <v>0.44062499999999993</v>
      </c>
      <c r="BA2" s="18" t="s">
        <v>73</v>
      </c>
      <c r="BB2" s="18"/>
      <c r="BC2" s="18" t="s">
        <v>73</v>
      </c>
      <c r="BD2">
        <v>216</v>
      </c>
      <c r="BE2" s="18" t="s">
        <v>73</v>
      </c>
      <c r="BF2" s="18" t="s">
        <v>73</v>
      </c>
      <c r="BG2">
        <v>119</v>
      </c>
      <c r="BH2" s="18" t="s">
        <v>73</v>
      </c>
      <c r="BI2">
        <v>335</v>
      </c>
      <c r="BJ2">
        <v>335</v>
      </c>
      <c r="BK2" s="18" t="s">
        <v>73</v>
      </c>
      <c r="BL2" s="18" t="s">
        <v>73</v>
      </c>
      <c r="BM2" t="s">
        <v>73</v>
      </c>
      <c r="BN2" t="s">
        <v>73</v>
      </c>
      <c r="BO2" s="18" t="s">
        <v>73</v>
      </c>
      <c r="BP2">
        <v>0</v>
      </c>
      <c r="BQ2" t="s">
        <v>73</v>
      </c>
      <c r="BR2">
        <v>1</v>
      </c>
      <c r="BS2">
        <v>7</v>
      </c>
      <c r="BT2" t="s">
        <v>236</v>
      </c>
      <c r="BU2">
        <v>1</v>
      </c>
      <c r="BV2">
        <v>0</v>
      </c>
      <c r="BW2">
        <v>1</v>
      </c>
      <c r="BX2" s="102">
        <f t="shared" ref="BX2:BX33" si="0">((AZ2^2)/(AZ2^2+BI2))^(1/2)</f>
        <v>2.4066942415906588E-2</v>
      </c>
      <c r="BY2" s="102">
        <f t="shared" ref="BY2:BY33" si="1">0.5*LN((1+BX2)/(1-BX2))</f>
        <v>2.4071590697916326E-2</v>
      </c>
      <c r="BZ2" s="102">
        <f t="shared" ref="BZ2:BZ33" si="2">((1-(BY2^2)^2)/(BI2-1))</f>
        <v>2.9940109708011158E-3</v>
      </c>
      <c r="CA2" s="95">
        <f t="shared" ref="CA2:CA33" si="3">1/(BI2-3)</f>
        <v>3.0120481927710845E-3</v>
      </c>
      <c r="CC2">
        <f t="shared" ref="CC2:CC45" si="4">BI2-2</f>
        <v>333</v>
      </c>
      <c r="CE2" s="30">
        <f t="shared" ref="CE2:CE33" si="5">((AZ2^2)/(AZ2^2+BJ2))^(1/2)</f>
        <v>2.4066942415906588E-2</v>
      </c>
      <c r="CF2" s="30">
        <f t="shared" ref="CF2:CF33" si="6">0.5*LN((1+CE2)/(1-CE2))</f>
        <v>2.4071590697916326E-2</v>
      </c>
      <c r="CG2" s="30">
        <f t="shared" ref="CG2:CG33" si="7">((1-(CF2^2)^2)/(BJ2-1))</f>
        <v>2.9940109708011158E-3</v>
      </c>
      <c r="CH2" s="30">
        <f t="shared" ref="CH2:CH33" si="8">1/(BJ2-3)</f>
        <v>3.0120481927710845E-3</v>
      </c>
    </row>
    <row r="3" spans="1:86">
      <c r="A3" s="11" t="s">
        <v>68</v>
      </c>
      <c r="B3" s="11" t="s">
        <v>645</v>
      </c>
      <c r="C3" s="11">
        <v>1072</v>
      </c>
      <c r="D3">
        <v>113</v>
      </c>
      <c r="E3" t="s">
        <v>249</v>
      </c>
      <c r="F3" s="11">
        <v>2019</v>
      </c>
      <c r="G3" t="s">
        <v>250</v>
      </c>
      <c r="H3" s="98" t="s">
        <v>251</v>
      </c>
      <c r="I3">
        <v>2</v>
      </c>
      <c r="J3">
        <v>2019</v>
      </c>
      <c r="K3" s="10" t="s">
        <v>73</v>
      </c>
      <c r="L3">
        <v>5</v>
      </c>
      <c r="M3" s="18" t="s">
        <v>120</v>
      </c>
      <c r="N3" t="s">
        <v>240</v>
      </c>
      <c r="O3" t="s">
        <v>148</v>
      </c>
      <c r="P3" s="18" t="s">
        <v>225</v>
      </c>
      <c r="Q3" t="s">
        <v>252</v>
      </c>
      <c r="R3" t="s">
        <v>253</v>
      </c>
      <c r="S3">
        <v>1</v>
      </c>
      <c r="T3" t="s">
        <v>188</v>
      </c>
      <c r="U3">
        <v>1</v>
      </c>
      <c r="V3" s="18" t="s">
        <v>229</v>
      </c>
      <c r="W3" s="18" t="s">
        <v>229</v>
      </c>
      <c r="X3" s="18" t="s">
        <v>73</v>
      </c>
      <c r="Y3">
        <v>0</v>
      </c>
      <c r="Z3">
        <v>0</v>
      </c>
      <c r="AA3">
        <v>1</v>
      </c>
      <c r="AB3">
        <v>0</v>
      </c>
      <c r="AC3">
        <v>0</v>
      </c>
      <c r="AD3">
        <v>0</v>
      </c>
      <c r="AE3">
        <v>0</v>
      </c>
      <c r="AF3">
        <v>0</v>
      </c>
      <c r="AG3" t="s">
        <v>73</v>
      </c>
      <c r="AH3">
        <v>0</v>
      </c>
      <c r="AI3">
        <v>0</v>
      </c>
      <c r="AJ3">
        <v>0</v>
      </c>
      <c r="AK3">
        <v>0</v>
      </c>
      <c r="AL3">
        <v>0</v>
      </c>
      <c r="AM3">
        <v>1</v>
      </c>
      <c r="AN3" s="32">
        <v>0</v>
      </c>
      <c r="AO3">
        <v>0</v>
      </c>
      <c r="AP3">
        <v>0</v>
      </c>
      <c r="AQ3" t="s">
        <v>73</v>
      </c>
      <c r="AR3" t="s">
        <v>233</v>
      </c>
      <c r="AS3" s="98" t="s">
        <v>647</v>
      </c>
      <c r="AT3" t="s">
        <v>73</v>
      </c>
      <c r="AU3" s="21">
        <v>1.331</v>
      </c>
      <c r="AV3" s="7" t="s">
        <v>80</v>
      </c>
      <c r="AW3" s="104">
        <v>0.34499999999999997</v>
      </c>
      <c r="AX3" s="18">
        <v>0.01</v>
      </c>
      <c r="AY3" s="18">
        <v>1</v>
      </c>
      <c r="AZ3" s="18">
        <f>AU3/AW3</f>
        <v>3.8579710144927537</v>
      </c>
      <c r="BA3" s="18" t="s">
        <v>73</v>
      </c>
      <c r="BB3" s="18"/>
      <c r="BC3" s="18" t="s">
        <v>73</v>
      </c>
      <c r="BD3">
        <v>216</v>
      </c>
      <c r="BE3" s="18" t="s">
        <v>73</v>
      </c>
      <c r="BF3" s="18" t="s">
        <v>73</v>
      </c>
      <c r="BG3">
        <v>224</v>
      </c>
      <c r="BH3" s="18" t="s">
        <v>73</v>
      </c>
      <c r="BI3">
        <v>440</v>
      </c>
      <c r="BJ3">
        <v>440</v>
      </c>
      <c r="BK3" s="18" t="s">
        <v>73</v>
      </c>
      <c r="BL3" s="18" t="s">
        <v>73</v>
      </c>
      <c r="BM3" t="s">
        <v>73</v>
      </c>
      <c r="BN3" t="s">
        <v>73</v>
      </c>
      <c r="BO3" s="18" t="s">
        <v>73</v>
      </c>
      <c r="BP3">
        <v>1</v>
      </c>
      <c r="BQ3">
        <f xml:space="preserve"> 29*1.1199</f>
        <v>32.4771</v>
      </c>
      <c r="BR3">
        <v>0</v>
      </c>
      <c r="BS3" t="s">
        <v>73</v>
      </c>
      <c r="BT3" t="s">
        <v>73</v>
      </c>
      <c r="BU3">
        <v>1</v>
      </c>
      <c r="BV3">
        <v>0</v>
      </c>
      <c r="BW3">
        <v>1</v>
      </c>
      <c r="BX3" s="102">
        <f t="shared" si="0"/>
        <v>0.18088754235543161</v>
      </c>
      <c r="BY3" s="102">
        <f t="shared" si="1"/>
        <v>0.18290010196181533</v>
      </c>
      <c r="BZ3" s="102">
        <f t="shared" si="2"/>
        <v>2.2753552022091081E-3</v>
      </c>
      <c r="CA3" s="95">
        <f t="shared" si="3"/>
        <v>2.2883295194508009E-3</v>
      </c>
      <c r="CC3">
        <f t="shared" si="4"/>
        <v>438</v>
      </c>
      <c r="CE3" s="30">
        <f t="shared" si="5"/>
        <v>0.18088754235543161</v>
      </c>
      <c r="CF3" s="30">
        <f t="shared" si="6"/>
        <v>0.18290010196181533</v>
      </c>
      <c r="CG3" s="30">
        <f t="shared" si="7"/>
        <v>2.2753552022091081E-3</v>
      </c>
      <c r="CH3" s="30">
        <f t="shared" si="8"/>
        <v>2.2883295194508009E-3</v>
      </c>
    </row>
    <row r="4" spans="1:86">
      <c r="A4" t="s">
        <v>332</v>
      </c>
      <c r="B4" t="s">
        <v>648</v>
      </c>
      <c r="C4" s="94">
        <v>1266</v>
      </c>
      <c r="D4" s="11">
        <v>406</v>
      </c>
      <c r="E4" t="s">
        <v>349</v>
      </c>
      <c r="F4" s="11">
        <v>2019</v>
      </c>
      <c r="G4" t="s">
        <v>350</v>
      </c>
      <c r="H4" t="s">
        <v>351</v>
      </c>
      <c r="I4" s="18">
        <v>2</v>
      </c>
      <c r="J4" t="s">
        <v>73</v>
      </c>
      <c r="K4" t="s">
        <v>73</v>
      </c>
      <c r="L4">
        <v>31</v>
      </c>
      <c r="M4" s="18" t="s">
        <v>155</v>
      </c>
      <c r="N4" t="s">
        <v>223</v>
      </c>
      <c r="O4" t="s">
        <v>352</v>
      </c>
      <c r="P4" s="18" t="s">
        <v>225</v>
      </c>
      <c r="Q4" t="s">
        <v>242</v>
      </c>
      <c r="R4" t="s">
        <v>257</v>
      </c>
      <c r="S4">
        <v>1</v>
      </c>
      <c r="T4" t="s">
        <v>228</v>
      </c>
      <c r="U4">
        <v>1</v>
      </c>
      <c r="V4" s="18" t="s">
        <v>311</v>
      </c>
      <c r="W4" s="18" t="s">
        <v>229</v>
      </c>
      <c r="X4" t="s">
        <v>353</v>
      </c>
      <c r="Y4" s="18">
        <v>0</v>
      </c>
      <c r="Z4" s="18">
        <v>1</v>
      </c>
      <c r="AA4" s="18">
        <v>1</v>
      </c>
      <c r="AB4" s="18">
        <v>0</v>
      </c>
      <c r="AC4" s="18">
        <v>0</v>
      </c>
      <c r="AD4" s="18">
        <v>0</v>
      </c>
      <c r="AE4" s="11">
        <v>0</v>
      </c>
      <c r="AF4" s="18">
        <v>0</v>
      </c>
      <c r="AG4" t="s">
        <v>73</v>
      </c>
      <c r="AH4" s="18">
        <v>0</v>
      </c>
      <c r="AI4" s="18">
        <v>0</v>
      </c>
      <c r="AJ4" s="18">
        <v>0</v>
      </c>
      <c r="AK4" s="18">
        <v>1</v>
      </c>
      <c r="AL4" s="18">
        <v>0</v>
      </c>
      <c r="AM4" s="18">
        <v>0</v>
      </c>
      <c r="AN4" s="18">
        <v>0</v>
      </c>
      <c r="AO4" s="18">
        <v>0</v>
      </c>
      <c r="AP4" s="18">
        <v>0</v>
      </c>
      <c r="AQ4" t="s">
        <v>330</v>
      </c>
      <c r="AR4" s="94" t="s">
        <v>233</v>
      </c>
      <c r="AS4" s="94" t="s">
        <v>330</v>
      </c>
      <c r="AT4" s="94" t="s">
        <v>331</v>
      </c>
      <c r="AU4" s="21">
        <v>1.6379999999999999</v>
      </c>
      <c r="AV4" s="7" t="s">
        <v>80</v>
      </c>
      <c r="AW4" t="s">
        <v>73</v>
      </c>
      <c r="AX4">
        <v>0.01</v>
      </c>
      <c r="AY4">
        <v>1</v>
      </c>
      <c r="AZ4">
        <f>TINV(AX4,CC4)</f>
        <v>2.6063275150437986</v>
      </c>
      <c r="BA4" s="18" t="s">
        <v>73</v>
      </c>
      <c r="BB4" s="18"/>
      <c r="BC4" s="18" t="s">
        <v>73</v>
      </c>
      <c r="BD4" s="18" t="s">
        <v>73</v>
      </c>
      <c r="BE4" s="18" t="s">
        <v>73</v>
      </c>
      <c r="BF4" s="18" t="s">
        <v>73</v>
      </c>
      <c r="BG4" s="18" t="s">
        <v>73</v>
      </c>
      <c r="BH4" s="18" t="s">
        <v>73</v>
      </c>
      <c r="BI4">
        <v>165</v>
      </c>
      <c r="BJ4">
        <v>2673</v>
      </c>
      <c r="BK4" s="18" t="s">
        <v>73</v>
      </c>
      <c r="BL4" s="18" t="s">
        <v>73</v>
      </c>
      <c r="BM4" s="18" t="s">
        <v>73</v>
      </c>
      <c r="BN4" s="18" t="s">
        <v>73</v>
      </c>
      <c r="BO4" s="11" t="s">
        <v>73</v>
      </c>
      <c r="BP4" s="11" t="s">
        <v>73</v>
      </c>
      <c r="BQ4" s="11" t="s">
        <v>73</v>
      </c>
      <c r="BR4" t="s">
        <v>73</v>
      </c>
      <c r="BS4" s="11" t="s">
        <v>73</v>
      </c>
      <c r="BT4" t="s">
        <v>73</v>
      </c>
      <c r="BU4">
        <v>0</v>
      </c>
      <c r="BV4">
        <v>0</v>
      </c>
      <c r="BW4">
        <v>0</v>
      </c>
      <c r="BX4" s="102">
        <f t="shared" si="0"/>
        <v>0.19885033588999154</v>
      </c>
      <c r="BY4" s="102">
        <f t="shared" si="1"/>
        <v>0.20153527346528599</v>
      </c>
      <c r="BZ4" s="102">
        <f t="shared" si="2"/>
        <v>6.0875018454454692E-3</v>
      </c>
      <c r="CA4" s="95">
        <f t="shared" si="3"/>
        <v>6.1728395061728392E-3</v>
      </c>
      <c r="CC4">
        <f t="shared" si="4"/>
        <v>163</v>
      </c>
      <c r="CE4" s="30">
        <f t="shared" si="5"/>
        <v>5.0347553184348748E-2</v>
      </c>
      <c r="CF4" s="30">
        <f t="shared" si="6"/>
        <v>5.0390159607631088E-2</v>
      </c>
      <c r="CG4" s="30">
        <f t="shared" si="7"/>
        <v>3.7424908406621514E-4</v>
      </c>
      <c r="CH4" s="30">
        <f t="shared" si="8"/>
        <v>3.7453183520599252E-4</v>
      </c>
    </row>
    <row r="5" spans="1:86" s="101" customFormat="1">
      <c r="A5" t="s">
        <v>332</v>
      </c>
      <c r="B5" t="s">
        <v>648</v>
      </c>
      <c r="C5" s="94">
        <v>1267</v>
      </c>
      <c r="D5" s="11">
        <v>406</v>
      </c>
      <c r="E5" t="s">
        <v>349</v>
      </c>
      <c r="F5" s="11">
        <v>2019</v>
      </c>
      <c r="G5" t="s">
        <v>350</v>
      </c>
      <c r="H5" t="s">
        <v>351</v>
      </c>
      <c r="I5" s="18">
        <v>2</v>
      </c>
      <c r="J5" t="s">
        <v>73</v>
      </c>
      <c r="K5" t="s">
        <v>73</v>
      </c>
      <c r="L5">
        <v>31</v>
      </c>
      <c r="M5" s="18" t="s">
        <v>155</v>
      </c>
      <c r="N5" t="s">
        <v>223</v>
      </c>
      <c r="O5" t="s">
        <v>352</v>
      </c>
      <c r="P5" s="18" t="s">
        <v>225</v>
      </c>
      <c r="Q5" t="s">
        <v>242</v>
      </c>
      <c r="R5" t="s">
        <v>257</v>
      </c>
      <c r="S5">
        <v>1</v>
      </c>
      <c r="T5" t="s">
        <v>228</v>
      </c>
      <c r="U5">
        <v>1</v>
      </c>
      <c r="V5" s="18" t="s">
        <v>311</v>
      </c>
      <c r="W5" s="18" t="s">
        <v>229</v>
      </c>
      <c r="X5" t="s">
        <v>353</v>
      </c>
      <c r="Y5" s="18">
        <v>0</v>
      </c>
      <c r="Z5" s="18">
        <v>1</v>
      </c>
      <c r="AA5" s="18">
        <v>1</v>
      </c>
      <c r="AB5" s="18">
        <v>0</v>
      </c>
      <c r="AC5" s="18">
        <v>0</v>
      </c>
      <c r="AD5" s="18">
        <v>0</v>
      </c>
      <c r="AE5" s="11">
        <v>0</v>
      </c>
      <c r="AF5" s="18">
        <v>0</v>
      </c>
      <c r="AG5" t="s">
        <v>73</v>
      </c>
      <c r="AH5" s="18">
        <v>0</v>
      </c>
      <c r="AI5" s="18">
        <v>0</v>
      </c>
      <c r="AJ5" s="18">
        <v>0</v>
      </c>
      <c r="AK5" s="18">
        <v>1</v>
      </c>
      <c r="AL5" s="18">
        <v>0</v>
      </c>
      <c r="AM5" s="18">
        <v>0</v>
      </c>
      <c r="AN5" s="18">
        <v>0</v>
      </c>
      <c r="AO5" s="18">
        <v>0</v>
      </c>
      <c r="AP5" s="18">
        <v>0</v>
      </c>
      <c r="AQ5" t="s">
        <v>330</v>
      </c>
      <c r="AR5" s="94" t="s">
        <v>233</v>
      </c>
      <c r="AS5" s="94" t="s">
        <v>330</v>
      </c>
      <c r="AT5" s="94" t="s">
        <v>331</v>
      </c>
      <c r="AU5" s="21">
        <v>1.246</v>
      </c>
      <c r="AV5" s="7" t="s">
        <v>80</v>
      </c>
      <c r="AW5" s="94" t="s">
        <v>73</v>
      </c>
      <c r="AX5">
        <v>0.05</v>
      </c>
      <c r="AY5">
        <v>1</v>
      </c>
      <c r="AZ5">
        <f>TINV(AX5,CC5)</f>
        <v>1.974624620966356</v>
      </c>
      <c r="BA5" s="18" t="s">
        <v>73</v>
      </c>
      <c r="BB5" s="18"/>
      <c r="BC5" s="18" t="s">
        <v>73</v>
      </c>
      <c r="BD5" s="18" t="s">
        <v>73</v>
      </c>
      <c r="BE5" s="18" t="s">
        <v>73</v>
      </c>
      <c r="BF5" s="18" t="s">
        <v>73</v>
      </c>
      <c r="BG5" s="18" t="s">
        <v>73</v>
      </c>
      <c r="BH5" s="18" t="s">
        <v>73</v>
      </c>
      <c r="BI5">
        <v>165</v>
      </c>
      <c r="BJ5">
        <v>2232</v>
      </c>
      <c r="BK5" s="18" t="s">
        <v>73</v>
      </c>
      <c r="BL5" s="18" t="s">
        <v>73</v>
      </c>
      <c r="BM5" s="18" t="s">
        <v>73</v>
      </c>
      <c r="BN5" s="18" t="s">
        <v>73</v>
      </c>
      <c r="BO5" s="11" t="s">
        <v>73</v>
      </c>
      <c r="BP5" s="11" t="s">
        <v>73</v>
      </c>
      <c r="BQ5" s="11" t="s">
        <v>73</v>
      </c>
      <c r="BR5" t="s">
        <v>73</v>
      </c>
      <c r="BS5" s="11" t="s">
        <v>73</v>
      </c>
      <c r="BT5" t="s">
        <v>73</v>
      </c>
      <c r="BU5">
        <v>0</v>
      </c>
      <c r="BV5">
        <v>0</v>
      </c>
      <c r="BW5">
        <v>0</v>
      </c>
      <c r="BX5" s="102">
        <f t="shared" si="0"/>
        <v>0.15193954642337751</v>
      </c>
      <c r="BY5" s="102">
        <f t="shared" si="1"/>
        <v>0.15312521998491627</v>
      </c>
      <c r="BZ5" s="102">
        <f t="shared" si="2"/>
        <v>6.0942086742402533E-3</v>
      </c>
      <c r="CA5" s="95">
        <f t="shared" si="3"/>
        <v>6.1728395061728392E-3</v>
      </c>
      <c r="CB5"/>
      <c r="CC5">
        <f t="shared" si="4"/>
        <v>163</v>
      </c>
      <c r="CD5"/>
      <c r="CE5" s="30">
        <f t="shared" si="5"/>
        <v>4.1759803179979682E-2</v>
      </c>
      <c r="CF5" s="30">
        <f t="shared" si="6"/>
        <v>4.1784103322347603E-2</v>
      </c>
      <c r="CG5" s="30">
        <f t="shared" si="7"/>
        <v>4.4822812720473595E-4</v>
      </c>
      <c r="CH5" s="30">
        <f t="shared" si="8"/>
        <v>4.4863167339614175E-4</v>
      </c>
    </row>
    <row r="6" spans="1:86">
      <c r="A6" t="s">
        <v>332</v>
      </c>
      <c r="B6" t="s">
        <v>648</v>
      </c>
      <c r="C6" s="94">
        <v>1268</v>
      </c>
      <c r="D6" s="11">
        <v>406</v>
      </c>
      <c r="E6" t="s">
        <v>349</v>
      </c>
      <c r="F6" s="11">
        <v>2019</v>
      </c>
      <c r="G6" t="s">
        <v>350</v>
      </c>
      <c r="H6" t="s">
        <v>351</v>
      </c>
      <c r="I6" s="18">
        <v>2</v>
      </c>
      <c r="J6" t="s">
        <v>73</v>
      </c>
      <c r="K6" t="s">
        <v>73</v>
      </c>
      <c r="L6">
        <v>31</v>
      </c>
      <c r="M6" s="18" t="s">
        <v>155</v>
      </c>
      <c r="N6" t="s">
        <v>223</v>
      </c>
      <c r="O6" t="s">
        <v>352</v>
      </c>
      <c r="P6" s="18" t="s">
        <v>225</v>
      </c>
      <c r="Q6" t="s">
        <v>242</v>
      </c>
      <c r="R6" t="s">
        <v>257</v>
      </c>
      <c r="S6">
        <v>1</v>
      </c>
      <c r="T6" t="s">
        <v>228</v>
      </c>
      <c r="U6">
        <v>1</v>
      </c>
      <c r="V6" s="18" t="s">
        <v>311</v>
      </c>
      <c r="W6" s="18" t="s">
        <v>229</v>
      </c>
      <c r="X6" t="s">
        <v>353</v>
      </c>
      <c r="Y6" s="18">
        <v>0</v>
      </c>
      <c r="Z6" s="18">
        <v>1</v>
      </c>
      <c r="AA6" s="18">
        <v>1</v>
      </c>
      <c r="AB6" s="18">
        <v>0</v>
      </c>
      <c r="AC6" s="18">
        <v>0</v>
      </c>
      <c r="AD6" s="18">
        <v>0</v>
      </c>
      <c r="AE6" s="11">
        <v>0</v>
      </c>
      <c r="AF6" s="18">
        <v>0</v>
      </c>
      <c r="AG6" t="s">
        <v>73</v>
      </c>
      <c r="AH6" s="18">
        <v>0</v>
      </c>
      <c r="AI6" s="18">
        <v>0</v>
      </c>
      <c r="AJ6" s="18">
        <v>0</v>
      </c>
      <c r="AK6" s="18">
        <v>1</v>
      </c>
      <c r="AL6" s="18">
        <v>0</v>
      </c>
      <c r="AM6" s="18">
        <v>0</v>
      </c>
      <c r="AN6" s="18">
        <v>0</v>
      </c>
      <c r="AO6" s="18">
        <v>0</v>
      </c>
      <c r="AP6" s="18">
        <v>0</v>
      </c>
      <c r="AQ6" t="s">
        <v>330</v>
      </c>
      <c r="AR6" s="94" t="s">
        <v>233</v>
      </c>
      <c r="AS6" s="94" t="s">
        <v>330</v>
      </c>
      <c r="AT6" s="94" t="s">
        <v>331</v>
      </c>
      <c r="AU6" s="21">
        <v>1.86</v>
      </c>
      <c r="AV6" s="7" t="s">
        <v>80</v>
      </c>
      <c r="AW6" s="94" t="s">
        <v>73</v>
      </c>
      <c r="AX6">
        <v>0.01</v>
      </c>
      <c r="AY6">
        <v>1</v>
      </c>
      <c r="AZ6">
        <f>TINV(AX6,CC6)</f>
        <v>2.6063275150437986</v>
      </c>
      <c r="BA6" s="18" t="s">
        <v>73</v>
      </c>
      <c r="BB6" s="18"/>
      <c r="BC6" s="18" t="s">
        <v>73</v>
      </c>
      <c r="BD6" s="18" t="s">
        <v>73</v>
      </c>
      <c r="BE6" s="18" t="s">
        <v>73</v>
      </c>
      <c r="BF6" s="18" t="s">
        <v>73</v>
      </c>
      <c r="BG6" s="18" t="s">
        <v>73</v>
      </c>
      <c r="BH6" s="18" t="s">
        <v>73</v>
      </c>
      <c r="BI6">
        <v>165</v>
      </c>
      <c r="BJ6">
        <v>2673</v>
      </c>
      <c r="BK6" s="18" t="s">
        <v>73</v>
      </c>
      <c r="BL6" s="18" t="s">
        <v>73</v>
      </c>
      <c r="BM6" s="18" t="s">
        <v>73</v>
      </c>
      <c r="BN6" s="18" t="s">
        <v>73</v>
      </c>
      <c r="BO6" s="11" t="s">
        <v>73</v>
      </c>
      <c r="BP6" s="11" t="s">
        <v>73</v>
      </c>
      <c r="BQ6" s="11" t="s">
        <v>73</v>
      </c>
      <c r="BR6" t="s">
        <v>73</v>
      </c>
      <c r="BS6" s="11" t="s">
        <v>73</v>
      </c>
      <c r="BT6" t="s">
        <v>73</v>
      </c>
      <c r="BU6">
        <v>0</v>
      </c>
      <c r="BV6">
        <v>0</v>
      </c>
      <c r="BW6">
        <v>0</v>
      </c>
      <c r="BX6" s="102">
        <f t="shared" si="0"/>
        <v>0.19885033588999154</v>
      </c>
      <c r="BY6" s="102">
        <f t="shared" si="1"/>
        <v>0.20153527346528599</v>
      </c>
      <c r="BZ6" s="102">
        <f t="shared" si="2"/>
        <v>6.0875018454454692E-3</v>
      </c>
      <c r="CA6" s="95">
        <f t="shared" si="3"/>
        <v>6.1728395061728392E-3</v>
      </c>
      <c r="CC6">
        <f t="shared" si="4"/>
        <v>163</v>
      </c>
      <c r="CE6" s="30">
        <f t="shared" si="5"/>
        <v>5.0347553184348748E-2</v>
      </c>
      <c r="CF6" s="30">
        <f t="shared" si="6"/>
        <v>5.0390159607631088E-2</v>
      </c>
      <c r="CG6" s="30">
        <f t="shared" si="7"/>
        <v>3.7424908406621514E-4</v>
      </c>
      <c r="CH6" s="30">
        <f t="shared" si="8"/>
        <v>3.7453183520599252E-4</v>
      </c>
    </row>
    <row r="7" spans="1:86" s="99" customFormat="1" ht="17.100000000000001" customHeight="1">
      <c r="A7" t="s">
        <v>332</v>
      </c>
      <c r="B7" t="s">
        <v>648</v>
      </c>
      <c r="C7" s="94">
        <v>1269</v>
      </c>
      <c r="D7" s="11">
        <v>406</v>
      </c>
      <c r="E7" t="s">
        <v>349</v>
      </c>
      <c r="F7" s="11">
        <v>2019</v>
      </c>
      <c r="G7" t="s">
        <v>350</v>
      </c>
      <c r="H7" t="s">
        <v>351</v>
      </c>
      <c r="I7" s="18">
        <v>2</v>
      </c>
      <c r="J7" t="s">
        <v>73</v>
      </c>
      <c r="K7" t="s">
        <v>73</v>
      </c>
      <c r="L7">
        <v>31</v>
      </c>
      <c r="M7" s="18" t="s">
        <v>155</v>
      </c>
      <c r="N7" t="s">
        <v>223</v>
      </c>
      <c r="O7" t="s">
        <v>352</v>
      </c>
      <c r="P7" s="18" t="s">
        <v>225</v>
      </c>
      <c r="Q7" t="s">
        <v>242</v>
      </c>
      <c r="R7" t="s">
        <v>257</v>
      </c>
      <c r="S7">
        <v>1</v>
      </c>
      <c r="T7" t="s">
        <v>228</v>
      </c>
      <c r="U7">
        <v>1</v>
      </c>
      <c r="V7" s="18" t="s">
        <v>311</v>
      </c>
      <c r="W7" s="18" t="s">
        <v>229</v>
      </c>
      <c r="X7" t="s">
        <v>353</v>
      </c>
      <c r="Y7" s="18">
        <v>0</v>
      </c>
      <c r="Z7" s="18">
        <v>1</v>
      </c>
      <c r="AA7" s="18">
        <v>1</v>
      </c>
      <c r="AB7" s="18">
        <v>0</v>
      </c>
      <c r="AC7" s="18">
        <v>0</v>
      </c>
      <c r="AD7" s="18">
        <v>0</v>
      </c>
      <c r="AE7" s="11">
        <v>0</v>
      </c>
      <c r="AF7" s="18">
        <v>0</v>
      </c>
      <c r="AG7" t="s">
        <v>73</v>
      </c>
      <c r="AH7" s="18">
        <v>0</v>
      </c>
      <c r="AI7" s="18">
        <v>0</v>
      </c>
      <c r="AJ7" s="18">
        <v>0</v>
      </c>
      <c r="AK7" s="18">
        <v>1</v>
      </c>
      <c r="AL7" s="18">
        <v>0</v>
      </c>
      <c r="AM7" s="18">
        <v>0</v>
      </c>
      <c r="AN7" s="18">
        <v>0</v>
      </c>
      <c r="AO7" s="18">
        <v>0</v>
      </c>
      <c r="AP7" s="18">
        <v>0</v>
      </c>
      <c r="AQ7" t="s">
        <v>330</v>
      </c>
      <c r="AR7" s="94" t="s">
        <v>233</v>
      </c>
      <c r="AS7" s="94" t="s">
        <v>330</v>
      </c>
      <c r="AT7" s="94" t="s">
        <v>331</v>
      </c>
      <c r="AU7" s="21">
        <v>1.7370000000000001</v>
      </c>
      <c r="AV7" s="7" t="s">
        <v>80</v>
      </c>
      <c r="AW7" s="94" t="s">
        <v>73</v>
      </c>
      <c r="AX7">
        <v>0.05</v>
      </c>
      <c r="AY7">
        <v>1</v>
      </c>
      <c r="AZ7">
        <f>TINV(AX7,CC7)</f>
        <v>1.974624620966356</v>
      </c>
      <c r="BA7" s="18" t="s">
        <v>73</v>
      </c>
      <c r="BB7" s="18"/>
      <c r="BC7" s="18" t="s">
        <v>73</v>
      </c>
      <c r="BD7" s="18" t="s">
        <v>73</v>
      </c>
      <c r="BE7" s="18" t="s">
        <v>73</v>
      </c>
      <c r="BF7" s="18" t="s">
        <v>73</v>
      </c>
      <c r="BG7" s="18" t="s">
        <v>73</v>
      </c>
      <c r="BH7" s="18" t="s">
        <v>73</v>
      </c>
      <c r="BI7">
        <v>165</v>
      </c>
      <c r="BJ7">
        <v>2232</v>
      </c>
      <c r="BK7" s="18" t="s">
        <v>73</v>
      </c>
      <c r="BL7" s="18" t="s">
        <v>73</v>
      </c>
      <c r="BM7" s="18" t="s">
        <v>73</v>
      </c>
      <c r="BN7" s="18" t="s">
        <v>73</v>
      </c>
      <c r="BO7" s="11" t="s">
        <v>73</v>
      </c>
      <c r="BP7" s="11" t="s">
        <v>73</v>
      </c>
      <c r="BQ7" s="11" t="s">
        <v>73</v>
      </c>
      <c r="BR7" t="s">
        <v>73</v>
      </c>
      <c r="BS7" s="11" t="s">
        <v>73</v>
      </c>
      <c r="BT7" t="s">
        <v>73</v>
      </c>
      <c r="BU7">
        <v>0</v>
      </c>
      <c r="BV7">
        <v>0</v>
      </c>
      <c r="BW7">
        <v>0</v>
      </c>
      <c r="BX7" s="102">
        <f t="shared" si="0"/>
        <v>0.15193954642337751</v>
      </c>
      <c r="BY7" s="102">
        <f t="shared" si="1"/>
        <v>0.15312521998491627</v>
      </c>
      <c r="BZ7" s="102">
        <f t="shared" si="2"/>
        <v>6.0942086742402533E-3</v>
      </c>
      <c r="CA7" s="95">
        <f t="shared" si="3"/>
        <v>6.1728395061728392E-3</v>
      </c>
      <c r="CB7"/>
      <c r="CC7">
        <f t="shared" si="4"/>
        <v>163</v>
      </c>
      <c r="CD7"/>
      <c r="CE7" s="30">
        <f t="shared" si="5"/>
        <v>4.1759803179979682E-2</v>
      </c>
      <c r="CF7" s="30">
        <f t="shared" si="6"/>
        <v>4.1784103322347603E-2</v>
      </c>
      <c r="CG7" s="30">
        <f t="shared" si="7"/>
        <v>4.4822812720473595E-4</v>
      </c>
      <c r="CH7" s="30">
        <f t="shared" si="8"/>
        <v>4.4863167339614175E-4</v>
      </c>
    </row>
    <row r="8" spans="1:86" s="99" customFormat="1" ht="17.100000000000001" customHeight="1">
      <c r="A8" s="100" t="s">
        <v>68</v>
      </c>
      <c r="B8" s="100" t="s">
        <v>649</v>
      </c>
      <c r="C8" s="100">
        <v>1059</v>
      </c>
      <c r="D8">
        <v>110</v>
      </c>
      <c r="E8" t="s">
        <v>237</v>
      </c>
      <c r="F8" s="100">
        <v>2014</v>
      </c>
      <c r="G8" t="s">
        <v>238</v>
      </c>
      <c r="H8" t="s">
        <v>239</v>
      </c>
      <c r="I8">
        <v>2</v>
      </c>
      <c r="J8">
        <v>2014</v>
      </c>
      <c r="K8" s="10" t="s">
        <v>73</v>
      </c>
      <c r="L8">
        <v>35</v>
      </c>
      <c r="M8" s="18" t="s">
        <v>120</v>
      </c>
      <c r="N8" t="s">
        <v>240</v>
      </c>
      <c r="O8" t="s">
        <v>81</v>
      </c>
      <c r="P8" s="10" t="s">
        <v>241</v>
      </c>
      <c r="Q8" t="s">
        <v>242</v>
      </c>
      <c r="R8" t="s">
        <v>243</v>
      </c>
      <c r="S8">
        <v>1</v>
      </c>
      <c r="T8" t="s">
        <v>228</v>
      </c>
      <c r="U8">
        <v>1</v>
      </c>
      <c r="V8" s="10" t="s">
        <v>229</v>
      </c>
      <c r="W8" s="10" t="s">
        <v>229</v>
      </c>
      <c r="X8" t="s">
        <v>244</v>
      </c>
      <c r="Y8">
        <v>0</v>
      </c>
      <c r="Z8">
        <v>0</v>
      </c>
      <c r="AA8">
        <v>1</v>
      </c>
      <c r="AB8">
        <v>0</v>
      </c>
      <c r="AC8">
        <v>0</v>
      </c>
      <c r="AD8">
        <v>0</v>
      </c>
      <c r="AE8">
        <v>0</v>
      </c>
      <c r="AF8">
        <v>0</v>
      </c>
      <c r="AG8" t="s">
        <v>245</v>
      </c>
      <c r="AH8">
        <v>0</v>
      </c>
      <c r="AI8">
        <v>0</v>
      </c>
      <c r="AJ8">
        <v>0</v>
      </c>
      <c r="AK8">
        <v>0</v>
      </c>
      <c r="AL8">
        <v>0</v>
      </c>
      <c r="AM8">
        <v>0</v>
      </c>
      <c r="AN8">
        <v>0</v>
      </c>
      <c r="AO8">
        <v>1</v>
      </c>
      <c r="AP8">
        <v>0</v>
      </c>
      <c r="AQ8" t="s">
        <v>246</v>
      </c>
      <c r="AR8" s="94" t="s">
        <v>233</v>
      </c>
      <c r="AS8" s="94" t="s">
        <v>247</v>
      </c>
      <c r="AT8" s="94" t="s">
        <v>73</v>
      </c>
      <c r="AU8" s="21">
        <v>3.4359999999999999</v>
      </c>
      <c r="AV8" s="7" t="s">
        <v>80</v>
      </c>
      <c r="AW8">
        <v>4.9960000000000004</v>
      </c>
      <c r="AX8" s="41" t="s">
        <v>73</v>
      </c>
      <c r="AY8" s="41">
        <v>3</v>
      </c>
      <c r="AZ8">
        <f>AU8/AW8</f>
        <v>0.687750200160128</v>
      </c>
      <c r="BA8" t="s">
        <v>73</v>
      </c>
      <c r="BB8"/>
      <c r="BC8" t="s">
        <v>73</v>
      </c>
      <c r="BD8" t="s">
        <v>73</v>
      </c>
      <c r="BE8" t="s">
        <v>73</v>
      </c>
      <c r="BF8" t="s">
        <v>73</v>
      </c>
      <c r="BG8" t="s">
        <v>73</v>
      </c>
      <c r="BH8" t="s">
        <v>73</v>
      </c>
      <c r="BI8">
        <v>2440</v>
      </c>
      <c r="BJ8">
        <v>7275</v>
      </c>
      <c r="BK8" t="s">
        <v>73</v>
      </c>
      <c r="BL8" t="s">
        <v>73</v>
      </c>
      <c r="BM8" t="s">
        <v>73</v>
      </c>
      <c r="BN8" t="s">
        <v>73</v>
      </c>
      <c r="BO8" t="s">
        <v>73</v>
      </c>
      <c r="BP8">
        <v>1</v>
      </c>
      <c r="BQ8" t="s">
        <v>73</v>
      </c>
      <c r="BR8">
        <v>0</v>
      </c>
      <c r="BS8">
        <v>0</v>
      </c>
      <c r="BT8" t="s">
        <v>248</v>
      </c>
      <c r="BU8">
        <v>1</v>
      </c>
      <c r="BV8">
        <v>0</v>
      </c>
      <c r="BW8">
        <v>1</v>
      </c>
      <c r="BX8" s="30">
        <f t="shared" si="0"/>
        <v>1.3921746511164878E-2</v>
      </c>
      <c r="BY8" s="30">
        <f t="shared" si="1"/>
        <v>1.3922646030325031E-2</v>
      </c>
      <c r="BZ8" s="30">
        <f t="shared" si="2"/>
        <v>4.1000408463551713E-4</v>
      </c>
      <c r="CA8" s="30">
        <f t="shared" si="3"/>
        <v>4.103405826836274E-4</v>
      </c>
      <c r="CB8"/>
      <c r="CC8">
        <f t="shared" si="4"/>
        <v>2438</v>
      </c>
      <c r="CD8"/>
      <c r="CE8" s="30">
        <f t="shared" si="5"/>
        <v>8.0630640330570883E-3</v>
      </c>
      <c r="CF8" s="30">
        <f t="shared" si="6"/>
        <v>8.0632387745383748E-3</v>
      </c>
      <c r="CG8" s="30">
        <f t="shared" si="7"/>
        <v>1.374759411290821E-4</v>
      </c>
      <c r="CH8" s="30">
        <f t="shared" si="8"/>
        <v>1.3751375137513751E-4</v>
      </c>
    </row>
    <row r="9" spans="1:86" ht="14.25" customHeight="1">
      <c r="A9" s="11" t="s">
        <v>312</v>
      </c>
      <c r="B9" s="11" t="s">
        <v>650</v>
      </c>
      <c r="C9" s="94">
        <v>1241</v>
      </c>
      <c r="D9" s="11">
        <v>312</v>
      </c>
      <c r="E9" t="s">
        <v>326</v>
      </c>
      <c r="F9">
        <v>2021</v>
      </c>
      <c r="G9" t="s">
        <v>327</v>
      </c>
      <c r="H9" t="s">
        <v>328</v>
      </c>
      <c r="I9" s="18">
        <v>2</v>
      </c>
      <c r="J9">
        <v>2018</v>
      </c>
      <c r="K9" s="10" t="s">
        <v>73</v>
      </c>
      <c r="L9">
        <v>17</v>
      </c>
      <c r="M9" s="18" t="s">
        <v>274</v>
      </c>
      <c r="N9" t="s">
        <v>240</v>
      </c>
      <c r="O9" t="s">
        <v>148</v>
      </c>
      <c r="P9" s="18" t="s">
        <v>241</v>
      </c>
      <c r="Q9" t="s">
        <v>252</v>
      </c>
      <c r="R9" t="s">
        <v>243</v>
      </c>
      <c r="S9">
        <v>1</v>
      </c>
      <c r="T9" t="s">
        <v>263</v>
      </c>
      <c r="U9">
        <v>1</v>
      </c>
      <c r="V9" s="18" t="s">
        <v>229</v>
      </c>
      <c r="W9" s="18" t="s">
        <v>229</v>
      </c>
      <c r="X9" t="s">
        <v>244</v>
      </c>
      <c r="Y9" s="18">
        <v>0</v>
      </c>
      <c r="Z9" s="18">
        <v>0</v>
      </c>
      <c r="AA9" s="18">
        <v>1</v>
      </c>
      <c r="AB9" s="18">
        <v>0</v>
      </c>
      <c r="AC9" s="18">
        <v>0</v>
      </c>
      <c r="AD9" s="18">
        <v>0</v>
      </c>
      <c r="AE9" s="11">
        <v>0</v>
      </c>
      <c r="AF9" s="11">
        <v>0</v>
      </c>
      <c r="AG9" s="10" t="s">
        <v>329</v>
      </c>
      <c r="AH9" s="18">
        <v>0</v>
      </c>
      <c r="AI9" s="18">
        <v>0</v>
      </c>
      <c r="AJ9" s="18">
        <v>0</v>
      </c>
      <c r="AK9" s="18">
        <v>1</v>
      </c>
      <c r="AL9" s="18">
        <v>0</v>
      </c>
      <c r="AM9" s="18">
        <v>0</v>
      </c>
      <c r="AN9" s="18">
        <v>0</v>
      </c>
      <c r="AO9" s="18">
        <v>0</v>
      </c>
      <c r="AP9" s="18">
        <v>0</v>
      </c>
      <c r="AQ9" t="s">
        <v>330</v>
      </c>
      <c r="AR9" t="s">
        <v>233</v>
      </c>
      <c r="AS9" t="s">
        <v>330</v>
      </c>
      <c r="AT9" t="s">
        <v>331</v>
      </c>
      <c r="AU9" s="21">
        <v>0.55700000000000005</v>
      </c>
      <c r="AV9" s="7" t="s">
        <v>80</v>
      </c>
      <c r="AW9" t="s">
        <v>73</v>
      </c>
      <c r="AX9">
        <v>1E-3</v>
      </c>
      <c r="AY9">
        <v>3</v>
      </c>
      <c r="AZ9">
        <f t="shared" ref="AZ9:AZ15" si="9">TINV(AX9,CC9)</f>
        <v>3.2994178866117148</v>
      </c>
      <c r="BA9" s="18" t="s">
        <v>73</v>
      </c>
      <c r="BB9" s="18"/>
      <c r="BC9" s="18" t="s">
        <v>73</v>
      </c>
      <c r="BD9" s="18" t="s">
        <v>73</v>
      </c>
      <c r="BE9" s="18" t="s">
        <v>73</v>
      </c>
      <c r="BF9" s="18" t="s">
        <v>73</v>
      </c>
      <c r="BG9" s="18" t="s">
        <v>73</v>
      </c>
      <c r="BH9" s="18" t="s">
        <v>73</v>
      </c>
      <c r="BI9">
        <v>1099</v>
      </c>
      <c r="BJ9">
        <v>13188</v>
      </c>
      <c r="BK9" s="18" t="s">
        <v>73</v>
      </c>
      <c r="BL9" s="18" t="s">
        <v>73</v>
      </c>
      <c r="BM9" s="18" t="s">
        <v>73</v>
      </c>
      <c r="BN9" s="18" t="s">
        <v>73</v>
      </c>
      <c r="BO9" s="11" t="s">
        <v>73</v>
      </c>
      <c r="BP9" s="18" t="s">
        <v>73</v>
      </c>
      <c r="BQ9" s="11" t="s">
        <v>73</v>
      </c>
      <c r="BR9">
        <v>1</v>
      </c>
      <c r="BS9">
        <v>1</v>
      </c>
      <c r="BT9" t="s">
        <v>236</v>
      </c>
      <c r="BU9">
        <v>0</v>
      </c>
      <c r="BV9">
        <v>0</v>
      </c>
      <c r="BW9">
        <v>0</v>
      </c>
      <c r="BX9" s="30">
        <f t="shared" si="0"/>
        <v>9.9037143771440309E-2</v>
      </c>
      <c r="BY9" s="30">
        <f t="shared" si="1"/>
        <v>9.9362859957839736E-2</v>
      </c>
      <c r="BZ9" s="30">
        <f t="shared" si="2"/>
        <v>9.1065803670912202E-4</v>
      </c>
      <c r="CA9" s="30">
        <f t="shared" si="3"/>
        <v>9.1240875912408756E-4</v>
      </c>
      <c r="CB9" s="99"/>
      <c r="CC9">
        <f t="shared" si="4"/>
        <v>1097</v>
      </c>
      <c r="CE9" s="30">
        <f t="shared" si="5"/>
        <v>2.8718958292254938E-2</v>
      </c>
      <c r="CF9" s="30">
        <f t="shared" si="6"/>
        <v>2.8726857795568102E-2</v>
      </c>
      <c r="CG9" s="30">
        <f t="shared" si="7"/>
        <v>7.5832207400588011E-5</v>
      </c>
      <c r="CH9" s="30">
        <f t="shared" si="8"/>
        <v>7.5843761850587782E-5</v>
      </c>
    </row>
    <row r="10" spans="1:86" ht="19.5" customHeight="1">
      <c r="A10" s="11" t="s">
        <v>312</v>
      </c>
      <c r="B10" s="11" t="s">
        <v>650</v>
      </c>
      <c r="C10" s="94">
        <v>1242</v>
      </c>
      <c r="D10" s="11">
        <v>312</v>
      </c>
      <c r="E10" t="s">
        <v>326</v>
      </c>
      <c r="F10">
        <v>2021</v>
      </c>
      <c r="G10" t="s">
        <v>327</v>
      </c>
      <c r="H10" t="s">
        <v>328</v>
      </c>
      <c r="I10" s="18">
        <v>2</v>
      </c>
      <c r="J10">
        <v>2018</v>
      </c>
      <c r="K10" s="10" t="s">
        <v>73</v>
      </c>
      <c r="L10">
        <v>17</v>
      </c>
      <c r="M10" s="18" t="s">
        <v>274</v>
      </c>
      <c r="N10" t="s">
        <v>240</v>
      </c>
      <c r="O10" t="s">
        <v>148</v>
      </c>
      <c r="P10" s="18" t="s">
        <v>241</v>
      </c>
      <c r="Q10" t="s">
        <v>252</v>
      </c>
      <c r="R10" t="s">
        <v>243</v>
      </c>
      <c r="S10">
        <v>1</v>
      </c>
      <c r="T10" t="s">
        <v>263</v>
      </c>
      <c r="U10">
        <v>1</v>
      </c>
      <c r="V10" s="18" t="s">
        <v>229</v>
      </c>
      <c r="W10" s="18" t="s">
        <v>229</v>
      </c>
      <c r="X10" t="s">
        <v>244</v>
      </c>
      <c r="Y10" s="18">
        <v>0</v>
      </c>
      <c r="Z10" s="18">
        <v>0</v>
      </c>
      <c r="AA10" s="18">
        <v>1</v>
      </c>
      <c r="AB10" s="18">
        <v>0</v>
      </c>
      <c r="AC10" s="18">
        <v>0</v>
      </c>
      <c r="AD10" s="18">
        <v>0</v>
      </c>
      <c r="AE10" s="11">
        <v>0</v>
      </c>
      <c r="AF10" s="11">
        <v>0</v>
      </c>
      <c r="AG10" s="10" t="s">
        <v>329</v>
      </c>
      <c r="AH10" s="18">
        <v>0</v>
      </c>
      <c r="AI10" s="18">
        <v>0</v>
      </c>
      <c r="AJ10" s="18">
        <v>0</v>
      </c>
      <c r="AK10" s="18">
        <v>1</v>
      </c>
      <c r="AL10" s="18">
        <v>0</v>
      </c>
      <c r="AM10" s="18">
        <v>0</v>
      </c>
      <c r="AN10" s="18">
        <v>0</v>
      </c>
      <c r="AO10" s="18">
        <v>0</v>
      </c>
      <c r="AP10" s="18">
        <v>0</v>
      </c>
      <c r="AQ10" t="s">
        <v>330</v>
      </c>
      <c r="AR10" t="s">
        <v>233</v>
      </c>
      <c r="AS10" t="s">
        <v>330</v>
      </c>
      <c r="AT10" t="s">
        <v>331</v>
      </c>
      <c r="AU10" s="21">
        <v>1.58</v>
      </c>
      <c r="AV10" s="7" t="s">
        <v>80</v>
      </c>
      <c r="AW10" t="s">
        <v>73</v>
      </c>
      <c r="AX10">
        <v>1E-3</v>
      </c>
      <c r="AY10">
        <v>3</v>
      </c>
      <c r="AZ10">
        <f t="shared" si="9"/>
        <v>3.2994178866117148</v>
      </c>
      <c r="BA10" s="18" t="s">
        <v>73</v>
      </c>
      <c r="BB10" s="18"/>
      <c r="BC10" s="18" t="s">
        <v>73</v>
      </c>
      <c r="BD10" s="18" t="s">
        <v>73</v>
      </c>
      <c r="BE10" s="18" t="s">
        <v>73</v>
      </c>
      <c r="BF10" s="18" t="s">
        <v>73</v>
      </c>
      <c r="BG10" s="18" t="s">
        <v>73</v>
      </c>
      <c r="BH10" s="18" t="s">
        <v>73</v>
      </c>
      <c r="BI10">
        <v>1099</v>
      </c>
      <c r="BJ10">
        <v>13188</v>
      </c>
      <c r="BK10" s="18" t="s">
        <v>73</v>
      </c>
      <c r="BL10" s="18" t="s">
        <v>73</v>
      </c>
      <c r="BM10" s="18" t="s">
        <v>73</v>
      </c>
      <c r="BN10" s="18" t="s">
        <v>73</v>
      </c>
      <c r="BO10" s="11" t="s">
        <v>73</v>
      </c>
      <c r="BP10" s="18" t="s">
        <v>73</v>
      </c>
      <c r="BQ10" s="11" t="s">
        <v>73</v>
      </c>
      <c r="BR10">
        <v>1</v>
      </c>
      <c r="BS10">
        <v>1</v>
      </c>
      <c r="BT10" t="s">
        <v>236</v>
      </c>
      <c r="BU10">
        <v>0</v>
      </c>
      <c r="BV10">
        <v>0</v>
      </c>
      <c r="BW10">
        <v>0</v>
      </c>
      <c r="BX10" s="30">
        <f t="shared" si="0"/>
        <v>9.9037143771440309E-2</v>
      </c>
      <c r="BY10" s="30">
        <f t="shared" si="1"/>
        <v>9.9362859957839736E-2</v>
      </c>
      <c r="BZ10" s="30">
        <f t="shared" si="2"/>
        <v>9.1065803670912202E-4</v>
      </c>
      <c r="CA10" s="30">
        <f t="shared" si="3"/>
        <v>9.1240875912408756E-4</v>
      </c>
      <c r="CB10" s="99"/>
      <c r="CC10">
        <f t="shared" si="4"/>
        <v>1097</v>
      </c>
      <c r="CE10" s="30">
        <f t="shared" si="5"/>
        <v>2.8718958292254938E-2</v>
      </c>
      <c r="CF10" s="30">
        <f t="shared" si="6"/>
        <v>2.8726857795568102E-2</v>
      </c>
      <c r="CG10" s="30">
        <f t="shared" si="7"/>
        <v>7.5832207400588011E-5</v>
      </c>
      <c r="CH10" s="30">
        <f t="shared" si="8"/>
        <v>7.5843761850587782E-5</v>
      </c>
    </row>
    <row r="11" spans="1:86">
      <c r="A11" s="11" t="s">
        <v>312</v>
      </c>
      <c r="B11" s="11" t="s">
        <v>650</v>
      </c>
      <c r="C11" s="94">
        <v>1243</v>
      </c>
      <c r="D11" s="11">
        <v>312</v>
      </c>
      <c r="E11" t="s">
        <v>326</v>
      </c>
      <c r="F11">
        <v>2021</v>
      </c>
      <c r="G11" t="s">
        <v>327</v>
      </c>
      <c r="H11" t="s">
        <v>328</v>
      </c>
      <c r="I11" s="18">
        <v>2</v>
      </c>
      <c r="J11">
        <v>2018</v>
      </c>
      <c r="K11" s="10" t="s">
        <v>73</v>
      </c>
      <c r="L11">
        <v>17</v>
      </c>
      <c r="M11" s="18" t="s">
        <v>274</v>
      </c>
      <c r="N11" t="s">
        <v>240</v>
      </c>
      <c r="O11" t="s">
        <v>148</v>
      </c>
      <c r="P11" s="18" t="s">
        <v>241</v>
      </c>
      <c r="Q11" t="s">
        <v>252</v>
      </c>
      <c r="R11" t="s">
        <v>243</v>
      </c>
      <c r="S11">
        <v>1</v>
      </c>
      <c r="T11" t="s">
        <v>263</v>
      </c>
      <c r="U11">
        <v>1</v>
      </c>
      <c r="V11" s="18" t="s">
        <v>229</v>
      </c>
      <c r="W11" s="18" t="s">
        <v>229</v>
      </c>
      <c r="X11" t="s">
        <v>244</v>
      </c>
      <c r="Y11" s="18">
        <v>0</v>
      </c>
      <c r="Z11" s="18">
        <v>0</v>
      </c>
      <c r="AA11" s="18">
        <v>1</v>
      </c>
      <c r="AB11" s="18">
        <v>0</v>
      </c>
      <c r="AC11" s="18">
        <v>0</v>
      </c>
      <c r="AD11" s="18">
        <v>0</v>
      </c>
      <c r="AE11" s="11">
        <v>0</v>
      </c>
      <c r="AF11" s="11">
        <v>0</v>
      </c>
      <c r="AG11" s="10" t="s">
        <v>329</v>
      </c>
      <c r="AH11" s="18">
        <v>0</v>
      </c>
      <c r="AI11" s="18">
        <v>0</v>
      </c>
      <c r="AJ11" s="18">
        <v>0</v>
      </c>
      <c r="AK11" s="18">
        <v>1</v>
      </c>
      <c r="AL11" s="18">
        <v>0</v>
      </c>
      <c r="AM11" s="18">
        <v>0</v>
      </c>
      <c r="AN11" s="18">
        <v>0</v>
      </c>
      <c r="AO11" s="18">
        <v>0</v>
      </c>
      <c r="AP11" s="18">
        <v>0</v>
      </c>
      <c r="AQ11" t="s">
        <v>330</v>
      </c>
      <c r="AR11" t="s">
        <v>233</v>
      </c>
      <c r="AS11" t="s">
        <v>330</v>
      </c>
      <c r="AT11" t="s">
        <v>331</v>
      </c>
      <c r="AU11" s="21">
        <v>0.17</v>
      </c>
      <c r="AV11" s="7" t="s">
        <v>80</v>
      </c>
      <c r="AW11" t="s">
        <v>73</v>
      </c>
      <c r="AX11">
        <v>0.311</v>
      </c>
      <c r="AY11">
        <v>3</v>
      </c>
      <c r="AZ11">
        <f t="shared" si="9"/>
        <v>1.0135940485180941</v>
      </c>
      <c r="BA11" s="18" t="s">
        <v>73</v>
      </c>
      <c r="BB11" s="18"/>
      <c r="BC11" s="18" t="s">
        <v>73</v>
      </c>
      <c r="BD11" s="18" t="s">
        <v>73</v>
      </c>
      <c r="BE11" s="18" t="s">
        <v>73</v>
      </c>
      <c r="BF11" s="18" t="s">
        <v>73</v>
      </c>
      <c r="BG11" s="18" t="s">
        <v>73</v>
      </c>
      <c r="BH11" s="18" t="s">
        <v>73</v>
      </c>
      <c r="BI11">
        <v>1099</v>
      </c>
      <c r="BJ11">
        <v>13188</v>
      </c>
      <c r="BK11" s="18" t="s">
        <v>73</v>
      </c>
      <c r="BL11" s="18" t="s">
        <v>73</v>
      </c>
      <c r="BM11" s="18" t="s">
        <v>73</v>
      </c>
      <c r="BN11" s="18" t="s">
        <v>73</v>
      </c>
      <c r="BO11" s="11" t="s">
        <v>73</v>
      </c>
      <c r="BP11" s="18" t="s">
        <v>73</v>
      </c>
      <c r="BQ11" s="11" t="s">
        <v>73</v>
      </c>
      <c r="BR11">
        <v>1</v>
      </c>
      <c r="BS11">
        <v>1</v>
      </c>
      <c r="BT11" t="s">
        <v>236</v>
      </c>
      <c r="BU11">
        <v>0</v>
      </c>
      <c r="BV11">
        <v>0</v>
      </c>
      <c r="BW11">
        <v>0</v>
      </c>
      <c r="BX11" s="30">
        <f t="shared" si="0"/>
        <v>3.056063020259667E-2</v>
      </c>
      <c r="BY11" s="30">
        <f t="shared" si="1"/>
        <v>3.0570149592664689E-2</v>
      </c>
      <c r="BZ11" s="30">
        <f t="shared" si="2"/>
        <v>9.107460169818913E-4</v>
      </c>
      <c r="CA11" s="30">
        <f t="shared" si="3"/>
        <v>9.1240875912408756E-4</v>
      </c>
      <c r="CB11" s="99"/>
      <c r="CC11">
        <f t="shared" si="4"/>
        <v>1097</v>
      </c>
      <c r="CE11" s="30">
        <f t="shared" si="5"/>
        <v>8.8258728613782138E-3</v>
      </c>
      <c r="CF11" s="30">
        <f t="shared" si="6"/>
        <v>8.826102038913812E-3</v>
      </c>
      <c r="CG11" s="30">
        <f t="shared" si="7"/>
        <v>7.5832258582814749E-5</v>
      </c>
      <c r="CH11" s="30">
        <f t="shared" si="8"/>
        <v>7.5843761850587782E-5</v>
      </c>
    </row>
    <row r="12" spans="1:86" ht="17.25" customHeight="1">
      <c r="A12" s="11" t="s">
        <v>312</v>
      </c>
      <c r="B12" s="11" t="s">
        <v>650</v>
      </c>
      <c r="C12" s="94">
        <v>1244</v>
      </c>
      <c r="D12" s="11">
        <v>312</v>
      </c>
      <c r="E12" t="s">
        <v>326</v>
      </c>
      <c r="F12">
        <v>2021</v>
      </c>
      <c r="G12" t="s">
        <v>327</v>
      </c>
      <c r="H12" t="s">
        <v>328</v>
      </c>
      <c r="I12" s="18">
        <v>2</v>
      </c>
      <c r="J12">
        <v>2018</v>
      </c>
      <c r="K12" s="10" t="s">
        <v>73</v>
      </c>
      <c r="L12">
        <v>17</v>
      </c>
      <c r="M12" s="18" t="s">
        <v>274</v>
      </c>
      <c r="N12" t="s">
        <v>240</v>
      </c>
      <c r="O12" t="s">
        <v>148</v>
      </c>
      <c r="P12" s="18" t="s">
        <v>241</v>
      </c>
      <c r="Q12" t="s">
        <v>252</v>
      </c>
      <c r="R12" t="s">
        <v>243</v>
      </c>
      <c r="S12">
        <v>1</v>
      </c>
      <c r="T12" t="s">
        <v>263</v>
      </c>
      <c r="U12">
        <v>1</v>
      </c>
      <c r="V12" s="18" t="s">
        <v>229</v>
      </c>
      <c r="W12" s="18" t="s">
        <v>229</v>
      </c>
      <c r="X12" t="s">
        <v>244</v>
      </c>
      <c r="Y12" s="18">
        <v>0</v>
      </c>
      <c r="Z12" s="18">
        <v>0</v>
      </c>
      <c r="AA12" s="18">
        <v>1</v>
      </c>
      <c r="AB12" s="18">
        <v>0</v>
      </c>
      <c r="AC12" s="18">
        <v>0</v>
      </c>
      <c r="AD12" s="18">
        <v>0</v>
      </c>
      <c r="AE12" s="11">
        <v>0</v>
      </c>
      <c r="AF12" s="11">
        <v>0</v>
      </c>
      <c r="AG12" s="18" t="s">
        <v>329</v>
      </c>
      <c r="AH12" s="18">
        <v>0</v>
      </c>
      <c r="AI12" s="18">
        <v>0</v>
      </c>
      <c r="AJ12" s="18">
        <v>0</v>
      </c>
      <c r="AK12" s="18">
        <v>1</v>
      </c>
      <c r="AL12" s="18">
        <v>0</v>
      </c>
      <c r="AM12" s="18">
        <v>0</v>
      </c>
      <c r="AN12" s="18">
        <v>0</v>
      </c>
      <c r="AO12" s="18">
        <v>0</v>
      </c>
      <c r="AP12" s="18">
        <v>0</v>
      </c>
      <c r="AQ12" t="s">
        <v>330</v>
      </c>
      <c r="AR12" t="s">
        <v>233</v>
      </c>
      <c r="AS12" t="s">
        <v>330</v>
      </c>
      <c r="AT12" t="s">
        <v>331</v>
      </c>
      <c r="AU12" s="21">
        <v>1.1140000000000001</v>
      </c>
      <c r="AV12" s="7" t="s">
        <v>80</v>
      </c>
      <c r="AW12" t="s">
        <v>73</v>
      </c>
      <c r="AX12">
        <v>1E-3</v>
      </c>
      <c r="AY12">
        <v>3</v>
      </c>
      <c r="AZ12">
        <f t="shared" si="9"/>
        <v>3.2994178866117148</v>
      </c>
      <c r="BA12" s="18" t="s">
        <v>73</v>
      </c>
      <c r="BB12" s="18"/>
      <c r="BC12" s="18" t="s">
        <v>73</v>
      </c>
      <c r="BD12" s="18" t="s">
        <v>73</v>
      </c>
      <c r="BE12" s="18" t="s">
        <v>73</v>
      </c>
      <c r="BF12" s="18" t="s">
        <v>73</v>
      </c>
      <c r="BG12" s="18" t="s">
        <v>73</v>
      </c>
      <c r="BH12" s="18" t="s">
        <v>73</v>
      </c>
      <c r="BI12">
        <v>1099</v>
      </c>
      <c r="BJ12">
        <v>13188</v>
      </c>
      <c r="BK12" s="18" t="s">
        <v>73</v>
      </c>
      <c r="BL12" s="18" t="s">
        <v>73</v>
      </c>
      <c r="BM12" s="18" t="s">
        <v>73</v>
      </c>
      <c r="BN12" s="18" t="s">
        <v>73</v>
      </c>
      <c r="BO12" s="11" t="s">
        <v>73</v>
      </c>
      <c r="BP12" s="18" t="s">
        <v>73</v>
      </c>
      <c r="BQ12" s="11" t="s">
        <v>73</v>
      </c>
      <c r="BR12">
        <v>1</v>
      </c>
      <c r="BS12">
        <v>1</v>
      </c>
      <c r="BT12" t="s">
        <v>236</v>
      </c>
      <c r="BU12">
        <v>0</v>
      </c>
      <c r="BV12">
        <v>0</v>
      </c>
      <c r="BW12">
        <v>0</v>
      </c>
      <c r="BX12" s="30">
        <f t="shared" si="0"/>
        <v>9.9037143771440309E-2</v>
      </c>
      <c r="BY12" s="30">
        <f t="shared" si="1"/>
        <v>9.9362859957839736E-2</v>
      </c>
      <c r="BZ12" s="30">
        <f t="shared" si="2"/>
        <v>9.1065803670912202E-4</v>
      </c>
      <c r="CA12" s="30">
        <f t="shared" si="3"/>
        <v>9.1240875912408756E-4</v>
      </c>
      <c r="CB12" s="99"/>
      <c r="CC12">
        <f t="shared" si="4"/>
        <v>1097</v>
      </c>
      <c r="CE12" s="30">
        <f t="shared" si="5"/>
        <v>2.8718958292254938E-2</v>
      </c>
      <c r="CF12" s="30">
        <f t="shared" si="6"/>
        <v>2.8726857795568102E-2</v>
      </c>
      <c r="CG12" s="30">
        <f t="shared" si="7"/>
        <v>7.5832207400588011E-5</v>
      </c>
      <c r="CH12" s="30">
        <f t="shared" si="8"/>
        <v>7.5843761850587782E-5</v>
      </c>
    </row>
    <row r="13" spans="1:86" ht="19.5" customHeight="1">
      <c r="A13" s="11" t="s">
        <v>312</v>
      </c>
      <c r="B13" s="11" t="s">
        <v>650</v>
      </c>
      <c r="C13" s="94">
        <v>1245</v>
      </c>
      <c r="D13" s="11">
        <v>312</v>
      </c>
      <c r="E13" t="s">
        <v>326</v>
      </c>
      <c r="F13">
        <v>2021</v>
      </c>
      <c r="G13" t="s">
        <v>327</v>
      </c>
      <c r="H13" t="s">
        <v>328</v>
      </c>
      <c r="I13" s="18">
        <v>2</v>
      </c>
      <c r="J13">
        <v>2018</v>
      </c>
      <c r="K13" s="10" t="s">
        <v>73</v>
      </c>
      <c r="L13">
        <v>17</v>
      </c>
      <c r="M13" s="18" t="s">
        <v>274</v>
      </c>
      <c r="N13" t="s">
        <v>240</v>
      </c>
      <c r="O13" t="s">
        <v>148</v>
      </c>
      <c r="P13" s="18" t="s">
        <v>241</v>
      </c>
      <c r="Q13" t="s">
        <v>252</v>
      </c>
      <c r="R13" t="s">
        <v>243</v>
      </c>
      <c r="S13">
        <v>1</v>
      </c>
      <c r="T13" t="s">
        <v>263</v>
      </c>
      <c r="U13">
        <v>1</v>
      </c>
      <c r="V13" s="18" t="s">
        <v>229</v>
      </c>
      <c r="W13" s="18" t="s">
        <v>229</v>
      </c>
      <c r="X13" t="s">
        <v>244</v>
      </c>
      <c r="Y13" s="18">
        <v>0</v>
      </c>
      <c r="Z13" s="18">
        <v>0</v>
      </c>
      <c r="AA13" s="18">
        <v>1</v>
      </c>
      <c r="AB13" s="18">
        <v>0</v>
      </c>
      <c r="AC13" s="18">
        <v>0</v>
      </c>
      <c r="AD13" s="18">
        <v>0</v>
      </c>
      <c r="AE13" s="11">
        <v>0</v>
      </c>
      <c r="AF13" s="11">
        <v>0</v>
      </c>
      <c r="AG13" s="18" t="s">
        <v>329</v>
      </c>
      <c r="AH13" s="18">
        <v>0</v>
      </c>
      <c r="AI13" s="18">
        <v>0</v>
      </c>
      <c r="AJ13" s="18">
        <v>0</v>
      </c>
      <c r="AK13" s="18">
        <v>1</v>
      </c>
      <c r="AL13" s="18">
        <v>0</v>
      </c>
      <c r="AM13" s="18">
        <v>0</v>
      </c>
      <c r="AN13" s="18">
        <v>0</v>
      </c>
      <c r="AO13" s="18">
        <v>0</v>
      </c>
      <c r="AP13" s="18">
        <v>0</v>
      </c>
      <c r="AQ13" t="s">
        <v>330</v>
      </c>
      <c r="AR13" t="s">
        <v>233</v>
      </c>
      <c r="AS13" t="s">
        <v>330</v>
      </c>
      <c r="AT13" t="s">
        <v>331</v>
      </c>
      <c r="AU13" s="21">
        <v>6.0999999999999999E-2</v>
      </c>
      <c r="AV13" s="7" t="s">
        <v>86</v>
      </c>
      <c r="AW13" t="s">
        <v>73</v>
      </c>
      <c r="AX13">
        <v>0.71299999999999997</v>
      </c>
      <c r="AY13">
        <v>3</v>
      </c>
      <c r="AZ13">
        <f t="shared" si="9"/>
        <v>0.36792518213176223</v>
      </c>
      <c r="BA13" s="18" t="s">
        <v>73</v>
      </c>
      <c r="BB13" s="18"/>
      <c r="BC13" s="18" t="s">
        <v>73</v>
      </c>
      <c r="BD13" s="18" t="s">
        <v>73</v>
      </c>
      <c r="BE13" s="18" t="s">
        <v>73</v>
      </c>
      <c r="BF13" s="18" t="s">
        <v>73</v>
      </c>
      <c r="BG13" s="18" t="s">
        <v>73</v>
      </c>
      <c r="BH13" s="18" t="s">
        <v>73</v>
      </c>
      <c r="BI13">
        <v>1099</v>
      </c>
      <c r="BJ13">
        <v>13188</v>
      </c>
      <c r="BK13" s="18" t="s">
        <v>73</v>
      </c>
      <c r="BL13" s="18" t="s">
        <v>73</v>
      </c>
      <c r="BM13" s="18" t="s">
        <v>73</v>
      </c>
      <c r="BN13" s="18" t="s">
        <v>73</v>
      </c>
      <c r="BO13" s="11" t="s">
        <v>73</v>
      </c>
      <c r="BP13" s="18" t="s">
        <v>73</v>
      </c>
      <c r="BQ13" s="11" t="s">
        <v>73</v>
      </c>
      <c r="BR13">
        <v>1</v>
      </c>
      <c r="BS13">
        <v>1</v>
      </c>
      <c r="BT13" t="s">
        <v>236</v>
      </c>
      <c r="BU13">
        <v>0</v>
      </c>
      <c r="BV13">
        <v>0</v>
      </c>
      <c r="BW13">
        <v>0</v>
      </c>
      <c r="BX13" s="30">
        <f t="shared" si="0"/>
        <v>1.1097724056507073E-2</v>
      </c>
      <c r="BY13" s="30">
        <f t="shared" si="1"/>
        <v>1.1098179686815215E-2</v>
      </c>
      <c r="BZ13" s="30">
        <f t="shared" si="2"/>
        <v>9.1074679856944585E-4</v>
      </c>
      <c r="CA13" s="30">
        <f t="shared" si="3"/>
        <v>9.1240875912408756E-4</v>
      </c>
      <c r="CB13" s="99"/>
      <c r="CC13">
        <f t="shared" si="4"/>
        <v>1097</v>
      </c>
      <c r="CE13" s="30">
        <f t="shared" si="5"/>
        <v>3.2038178402255461E-3</v>
      </c>
      <c r="CF13" s="30">
        <f t="shared" si="6"/>
        <v>3.2038288021011105E-3</v>
      </c>
      <c r="CG13" s="30">
        <f t="shared" si="7"/>
        <v>7.5832259035007177E-5</v>
      </c>
      <c r="CH13" s="30">
        <f t="shared" si="8"/>
        <v>7.5843761850587782E-5</v>
      </c>
    </row>
    <row r="14" spans="1:86" ht="19.5" customHeight="1">
      <c r="A14" s="11" t="s">
        <v>312</v>
      </c>
      <c r="B14" s="11" t="s">
        <v>650</v>
      </c>
      <c r="C14" s="94">
        <v>1246</v>
      </c>
      <c r="D14" s="11">
        <v>312</v>
      </c>
      <c r="E14" t="s">
        <v>326</v>
      </c>
      <c r="F14">
        <v>2021</v>
      </c>
      <c r="G14" t="s">
        <v>327</v>
      </c>
      <c r="H14" t="s">
        <v>328</v>
      </c>
      <c r="I14" s="18">
        <v>2</v>
      </c>
      <c r="J14">
        <v>2018</v>
      </c>
      <c r="K14" s="10" t="s">
        <v>73</v>
      </c>
      <c r="L14">
        <v>17</v>
      </c>
      <c r="M14" s="18" t="s">
        <v>274</v>
      </c>
      <c r="N14" t="s">
        <v>240</v>
      </c>
      <c r="O14" t="s">
        <v>148</v>
      </c>
      <c r="P14" s="18" t="s">
        <v>241</v>
      </c>
      <c r="Q14" t="s">
        <v>252</v>
      </c>
      <c r="R14" t="s">
        <v>243</v>
      </c>
      <c r="S14">
        <v>1</v>
      </c>
      <c r="T14" t="s">
        <v>263</v>
      </c>
      <c r="U14">
        <v>1</v>
      </c>
      <c r="V14" s="18" t="s">
        <v>229</v>
      </c>
      <c r="W14" s="18" t="s">
        <v>229</v>
      </c>
      <c r="X14" t="s">
        <v>244</v>
      </c>
      <c r="Y14" s="18">
        <v>0</v>
      </c>
      <c r="Z14" s="18">
        <v>0</v>
      </c>
      <c r="AA14" s="18">
        <v>1</v>
      </c>
      <c r="AB14" s="18">
        <v>0</v>
      </c>
      <c r="AC14" s="18">
        <v>0</v>
      </c>
      <c r="AD14" s="18">
        <v>0</v>
      </c>
      <c r="AE14" s="11">
        <v>0</v>
      </c>
      <c r="AF14" s="11">
        <v>0</v>
      </c>
      <c r="AG14" s="18" t="s">
        <v>329</v>
      </c>
      <c r="AH14" s="18">
        <v>0</v>
      </c>
      <c r="AI14" s="18">
        <v>0</v>
      </c>
      <c r="AJ14" s="18">
        <v>0</v>
      </c>
      <c r="AK14" s="18">
        <v>1</v>
      </c>
      <c r="AL14" s="18">
        <v>0</v>
      </c>
      <c r="AM14" s="18">
        <v>0</v>
      </c>
      <c r="AN14" s="18">
        <v>0</v>
      </c>
      <c r="AO14" s="18">
        <v>0</v>
      </c>
      <c r="AP14" s="18">
        <v>0</v>
      </c>
      <c r="AQ14" t="s">
        <v>330</v>
      </c>
      <c r="AR14" t="s">
        <v>233</v>
      </c>
      <c r="AS14" t="s">
        <v>330</v>
      </c>
      <c r="AT14" t="s">
        <v>331</v>
      </c>
      <c r="AU14" s="21">
        <v>2E-3</v>
      </c>
      <c r="AV14" s="7" t="s">
        <v>86</v>
      </c>
      <c r="AW14" t="s">
        <v>73</v>
      </c>
      <c r="AX14">
        <v>0.99199999999999999</v>
      </c>
      <c r="AY14">
        <v>3</v>
      </c>
      <c r="AZ14">
        <f t="shared" si="9"/>
        <v>1.0028966613252909E-2</v>
      </c>
      <c r="BA14" s="18" t="s">
        <v>73</v>
      </c>
      <c r="BB14" s="18"/>
      <c r="BC14" s="18" t="s">
        <v>73</v>
      </c>
      <c r="BD14" s="18" t="s">
        <v>73</v>
      </c>
      <c r="BE14" s="18" t="s">
        <v>73</v>
      </c>
      <c r="BF14" s="18" t="s">
        <v>73</v>
      </c>
      <c r="BG14" s="18" t="s">
        <v>73</v>
      </c>
      <c r="BH14" s="18" t="s">
        <v>73</v>
      </c>
      <c r="BI14">
        <v>1099</v>
      </c>
      <c r="BJ14">
        <v>13188</v>
      </c>
      <c r="BK14" s="18" t="s">
        <v>73</v>
      </c>
      <c r="BL14" s="18" t="s">
        <v>73</v>
      </c>
      <c r="BM14" s="18" t="s">
        <v>73</v>
      </c>
      <c r="BN14" s="18" t="s">
        <v>73</v>
      </c>
      <c r="BO14" s="11" t="s">
        <v>73</v>
      </c>
      <c r="BP14" s="18" t="s">
        <v>73</v>
      </c>
      <c r="BQ14" s="11" t="s">
        <v>73</v>
      </c>
      <c r="BR14">
        <v>1</v>
      </c>
      <c r="BS14">
        <v>1</v>
      </c>
      <c r="BT14" t="s">
        <v>236</v>
      </c>
      <c r="BU14">
        <v>0</v>
      </c>
      <c r="BV14">
        <v>0</v>
      </c>
      <c r="BW14">
        <v>0</v>
      </c>
      <c r="BX14" s="30">
        <f t="shared" si="0"/>
        <v>3.0252224837106504E-4</v>
      </c>
      <c r="BY14" s="30">
        <f t="shared" si="1"/>
        <v>3.0252225759992615E-4</v>
      </c>
      <c r="BZ14" s="30">
        <f t="shared" si="2"/>
        <v>9.1074681238614906E-4</v>
      </c>
      <c r="CA14" s="30">
        <f t="shared" si="3"/>
        <v>9.1240875912408756E-4</v>
      </c>
      <c r="CB14" s="99"/>
      <c r="CC14">
        <f t="shared" si="4"/>
        <v>1097</v>
      </c>
      <c r="CE14" s="30">
        <f t="shared" si="5"/>
        <v>8.7330654429660967E-5</v>
      </c>
      <c r="CF14" s="30">
        <f t="shared" si="6"/>
        <v>8.7330654651614581E-5</v>
      </c>
      <c r="CG14" s="30">
        <f t="shared" si="7"/>
        <v>7.583225904299688E-5</v>
      </c>
      <c r="CH14" s="30">
        <f t="shared" si="8"/>
        <v>7.5843761850587782E-5</v>
      </c>
    </row>
    <row r="15" spans="1:86">
      <c r="A15" s="100" t="s">
        <v>312</v>
      </c>
      <c r="B15" s="100" t="s">
        <v>651</v>
      </c>
      <c r="C15" s="94">
        <v>1232</v>
      </c>
      <c r="D15" s="100">
        <v>304</v>
      </c>
      <c r="E15" t="s">
        <v>313</v>
      </c>
      <c r="F15" s="100">
        <v>2011</v>
      </c>
      <c r="G15" t="s">
        <v>314</v>
      </c>
      <c r="H15" s="58" t="s">
        <v>315</v>
      </c>
      <c r="I15" s="10">
        <v>2</v>
      </c>
      <c r="J15" s="10">
        <v>2009</v>
      </c>
      <c r="K15" s="100" t="s">
        <v>73</v>
      </c>
      <c r="L15" t="s">
        <v>316</v>
      </c>
      <c r="M15" s="18" t="s">
        <v>120</v>
      </c>
      <c r="N15" t="s">
        <v>317</v>
      </c>
      <c r="O15" t="s">
        <v>224</v>
      </c>
      <c r="P15" s="10" t="s">
        <v>225</v>
      </c>
      <c r="Q15" t="s">
        <v>226</v>
      </c>
      <c r="R15" t="s">
        <v>227</v>
      </c>
      <c r="S15">
        <v>0</v>
      </c>
      <c r="T15" s="10" t="s">
        <v>228</v>
      </c>
      <c r="U15">
        <v>0</v>
      </c>
      <c r="V15" s="10" t="s">
        <v>311</v>
      </c>
      <c r="W15" s="10" t="s">
        <v>229</v>
      </c>
      <c r="X15" s="10" t="s">
        <v>318</v>
      </c>
      <c r="Y15" s="10">
        <v>0</v>
      </c>
      <c r="Z15" s="10">
        <v>0</v>
      </c>
      <c r="AA15" s="10">
        <v>1</v>
      </c>
      <c r="AB15" s="10">
        <v>0</v>
      </c>
      <c r="AC15" s="10">
        <v>0</v>
      </c>
      <c r="AD15" s="10">
        <v>0</v>
      </c>
      <c r="AE15" s="100">
        <v>0</v>
      </c>
      <c r="AF15" s="100">
        <v>0</v>
      </c>
      <c r="AG15" s="10" t="s">
        <v>231</v>
      </c>
      <c r="AH15" s="10">
        <v>0</v>
      </c>
      <c r="AI15" s="10">
        <v>0</v>
      </c>
      <c r="AJ15" s="10">
        <v>1</v>
      </c>
      <c r="AK15" s="10">
        <v>0</v>
      </c>
      <c r="AL15" s="10">
        <v>0</v>
      </c>
      <c r="AM15" s="10">
        <v>0</v>
      </c>
      <c r="AN15" s="10">
        <v>0</v>
      </c>
      <c r="AO15" s="10">
        <v>0</v>
      </c>
      <c r="AP15" s="10">
        <v>0</v>
      </c>
      <c r="AQ15" s="10" t="s">
        <v>232</v>
      </c>
      <c r="AR15" t="s">
        <v>233</v>
      </c>
      <c r="AS15" s="10" t="s">
        <v>234</v>
      </c>
      <c r="AT15" s="100" t="s">
        <v>235</v>
      </c>
      <c r="AU15" s="104">
        <v>0.156</v>
      </c>
      <c r="AV15" s="10" t="s">
        <v>80</v>
      </c>
      <c r="AW15" s="105">
        <f>AZ15/ABS(_xlfn.T.INV.2T(AX15,CC15))</f>
        <v>1</v>
      </c>
      <c r="AX15" s="10">
        <v>0.08</v>
      </c>
      <c r="AY15" s="10">
        <v>3</v>
      </c>
      <c r="AZ15">
        <f t="shared" si="9"/>
        <v>1.75633423317142</v>
      </c>
      <c r="BA15" s="10" t="s">
        <v>73</v>
      </c>
      <c r="BB15" s="10"/>
      <c r="BC15" s="10" t="s">
        <v>73</v>
      </c>
      <c r="BD15" s="10" t="s">
        <v>73</v>
      </c>
      <c r="BE15" s="10" t="s">
        <v>73</v>
      </c>
      <c r="BF15" s="10" t="s">
        <v>73</v>
      </c>
      <c r="BG15" s="10" t="s">
        <v>73</v>
      </c>
      <c r="BH15" s="10" t="s">
        <v>73</v>
      </c>
      <c r="BI15" s="10">
        <v>318</v>
      </c>
      <c r="BJ15">
        <v>318</v>
      </c>
      <c r="BK15" s="10" t="s">
        <v>73</v>
      </c>
      <c r="BL15" s="10" t="s">
        <v>73</v>
      </c>
      <c r="BM15" s="10" t="s">
        <v>73</v>
      </c>
      <c r="BN15" t="s">
        <v>73</v>
      </c>
      <c r="BO15" s="100" t="s">
        <v>73</v>
      </c>
      <c r="BP15" s="100" t="s">
        <v>73</v>
      </c>
      <c r="BQ15" s="100" t="s">
        <v>73</v>
      </c>
      <c r="BR15">
        <v>1</v>
      </c>
      <c r="BS15" s="100" t="s">
        <v>73</v>
      </c>
      <c r="BT15" t="s">
        <v>319</v>
      </c>
      <c r="BU15" s="10">
        <v>0</v>
      </c>
      <c r="BV15" s="10">
        <v>0</v>
      </c>
      <c r="BW15" s="10">
        <v>0</v>
      </c>
      <c r="BX15" s="30">
        <f t="shared" si="0"/>
        <v>9.8016085482412224E-2</v>
      </c>
      <c r="BY15" s="30">
        <f t="shared" si="1"/>
        <v>9.8331792494724915E-2</v>
      </c>
      <c r="BZ15" s="30">
        <f t="shared" si="2"/>
        <v>3.1542792041144869E-3</v>
      </c>
      <c r="CA15" s="30">
        <f t="shared" si="3"/>
        <v>3.1746031746031746E-3</v>
      </c>
      <c r="CB15" s="99"/>
      <c r="CC15">
        <f t="shared" si="4"/>
        <v>316</v>
      </c>
      <c r="CE15" s="30">
        <f t="shared" si="5"/>
        <v>9.8016085482412224E-2</v>
      </c>
      <c r="CF15" s="30">
        <f t="shared" si="6"/>
        <v>9.8331792494724915E-2</v>
      </c>
      <c r="CG15" s="30">
        <f t="shared" si="7"/>
        <v>3.1542792041144869E-3</v>
      </c>
      <c r="CH15" s="30">
        <f t="shared" si="8"/>
        <v>3.1746031746031746E-3</v>
      </c>
    </row>
    <row r="16" spans="1:86">
      <c r="A16" s="11" t="s">
        <v>68</v>
      </c>
      <c r="B16" s="100" t="s">
        <v>659</v>
      </c>
      <c r="C16" s="11">
        <v>1013</v>
      </c>
      <c r="D16" s="11">
        <v>104</v>
      </c>
      <c r="E16" s="118" t="s">
        <v>220</v>
      </c>
      <c r="F16" s="11">
        <v>2011</v>
      </c>
      <c r="G16" t="s">
        <v>221</v>
      </c>
      <c r="H16" t="s">
        <v>222</v>
      </c>
      <c r="I16" s="18">
        <v>2</v>
      </c>
      <c r="J16" s="10">
        <v>2009</v>
      </c>
      <c r="K16" s="11" t="s">
        <v>73</v>
      </c>
      <c r="L16" s="18">
        <v>2077</v>
      </c>
      <c r="M16" s="18" t="s">
        <v>120</v>
      </c>
      <c r="N16" t="s">
        <v>223</v>
      </c>
      <c r="O16" t="s">
        <v>224</v>
      </c>
      <c r="P16" s="18" t="s">
        <v>225</v>
      </c>
      <c r="Q16" t="s">
        <v>226</v>
      </c>
      <c r="R16" t="s">
        <v>227</v>
      </c>
      <c r="S16">
        <v>0</v>
      </c>
      <c r="T16" t="s">
        <v>228</v>
      </c>
      <c r="U16">
        <v>0</v>
      </c>
      <c r="V16" s="18" t="s">
        <v>229</v>
      </c>
      <c r="W16" s="18" t="s">
        <v>229</v>
      </c>
      <c r="X16" s="18" t="s">
        <v>230</v>
      </c>
      <c r="Y16" s="18">
        <v>0</v>
      </c>
      <c r="Z16" s="18">
        <v>0</v>
      </c>
      <c r="AA16" s="18">
        <v>1</v>
      </c>
      <c r="AB16" s="18">
        <v>0</v>
      </c>
      <c r="AC16" s="18">
        <v>0</v>
      </c>
      <c r="AD16" s="18">
        <v>0</v>
      </c>
      <c r="AE16" s="11">
        <v>0</v>
      </c>
      <c r="AF16" s="11">
        <v>0</v>
      </c>
      <c r="AG16" s="18" t="s">
        <v>231</v>
      </c>
      <c r="AH16" s="18">
        <v>0</v>
      </c>
      <c r="AI16" s="18">
        <v>0</v>
      </c>
      <c r="AJ16" s="18">
        <v>0</v>
      </c>
      <c r="AK16" s="18">
        <v>1</v>
      </c>
      <c r="AL16" s="18">
        <v>0</v>
      </c>
      <c r="AM16" s="18">
        <v>0</v>
      </c>
      <c r="AN16" s="18">
        <v>0</v>
      </c>
      <c r="AO16" s="18">
        <v>0</v>
      </c>
      <c r="AP16" s="18">
        <v>0</v>
      </c>
      <c r="AQ16" s="18" t="s">
        <v>232</v>
      </c>
      <c r="AR16" t="s">
        <v>233</v>
      </c>
      <c r="AS16" s="10" t="s">
        <v>234</v>
      </c>
      <c r="AT16" s="11" t="s">
        <v>235</v>
      </c>
      <c r="AU16" s="104">
        <v>8.8999999999999996E-2</v>
      </c>
      <c r="AV16" s="18" t="s">
        <v>80</v>
      </c>
      <c r="AW16" s="18">
        <v>2.1999999999999999E-2</v>
      </c>
      <c r="AX16" s="18">
        <v>0.01</v>
      </c>
      <c r="AY16" s="18">
        <v>1</v>
      </c>
      <c r="AZ16">
        <f>AU16/AW16</f>
        <v>4.0454545454545459</v>
      </c>
      <c r="BA16" s="18" t="s">
        <v>73</v>
      </c>
      <c r="BB16" s="18"/>
      <c r="BC16" s="11" t="s">
        <v>73</v>
      </c>
      <c r="BD16" s="11" t="s">
        <v>73</v>
      </c>
      <c r="BE16" s="11" t="s">
        <v>73</v>
      </c>
      <c r="BF16" s="11" t="s">
        <v>73</v>
      </c>
      <c r="BG16" s="11" t="s">
        <v>73</v>
      </c>
      <c r="BH16" s="11" t="s">
        <v>73</v>
      </c>
      <c r="BI16" s="10">
        <v>676</v>
      </c>
      <c r="BJ16" s="10">
        <v>676</v>
      </c>
      <c r="BK16" s="11" t="s">
        <v>73</v>
      </c>
      <c r="BL16" s="11" t="s">
        <v>73</v>
      </c>
      <c r="BM16" s="11" t="s">
        <v>73</v>
      </c>
      <c r="BN16" s="11" t="s">
        <v>73</v>
      </c>
      <c r="BO16" s="11" t="s">
        <v>73</v>
      </c>
      <c r="BP16" s="11" t="s">
        <v>73</v>
      </c>
      <c r="BQ16" s="11" t="s">
        <v>73</v>
      </c>
      <c r="BR16" s="11" t="s">
        <v>73</v>
      </c>
      <c r="BS16" s="11" t="s">
        <v>73</v>
      </c>
      <c r="BT16" t="s">
        <v>236</v>
      </c>
      <c r="BU16" s="18">
        <v>0</v>
      </c>
      <c r="BV16" s="18">
        <v>0</v>
      </c>
      <c r="BW16" s="18">
        <v>0</v>
      </c>
      <c r="BX16" s="30">
        <f t="shared" si="0"/>
        <v>0.15374448735583945</v>
      </c>
      <c r="BY16" s="30">
        <f t="shared" si="1"/>
        <v>0.15497333468721167</v>
      </c>
      <c r="BZ16" s="30">
        <f t="shared" si="2"/>
        <v>1.4806269577269365E-3</v>
      </c>
      <c r="CA16" s="30">
        <f t="shared" si="3"/>
        <v>1.4858841010401188E-3</v>
      </c>
      <c r="CC16">
        <f t="shared" si="4"/>
        <v>674</v>
      </c>
      <c r="CE16" s="30">
        <f t="shared" si="5"/>
        <v>0.15374448735583945</v>
      </c>
      <c r="CF16" s="30">
        <f t="shared" si="6"/>
        <v>0.15497333468721167</v>
      </c>
      <c r="CG16" s="30">
        <f t="shared" si="7"/>
        <v>1.4806269577269365E-3</v>
      </c>
      <c r="CH16" s="30">
        <f t="shared" si="8"/>
        <v>1.4858841010401188E-3</v>
      </c>
    </row>
    <row r="17" spans="1:86">
      <c r="A17" t="s">
        <v>332</v>
      </c>
      <c r="B17" s="11" t="s">
        <v>652</v>
      </c>
      <c r="C17" s="94">
        <v>1261</v>
      </c>
      <c r="D17" s="11">
        <v>405</v>
      </c>
      <c r="E17" t="s">
        <v>341</v>
      </c>
      <c r="F17" s="11">
        <v>2019</v>
      </c>
      <c r="G17" t="s">
        <v>342</v>
      </c>
      <c r="H17" t="s">
        <v>343</v>
      </c>
      <c r="I17" s="18">
        <v>2</v>
      </c>
      <c r="J17" t="s">
        <v>344</v>
      </c>
      <c r="K17" t="s">
        <v>73</v>
      </c>
      <c r="L17">
        <v>9</v>
      </c>
      <c r="M17" s="117" t="s">
        <v>345</v>
      </c>
      <c r="N17" t="s">
        <v>223</v>
      </c>
      <c r="O17" t="s">
        <v>346</v>
      </c>
      <c r="P17" s="18" t="s">
        <v>225</v>
      </c>
      <c r="Q17" t="s">
        <v>242</v>
      </c>
      <c r="R17" t="s">
        <v>243</v>
      </c>
      <c r="S17">
        <v>1</v>
      </c>
      <c r="T17" t="s">
        <v>228</v>
      </c>
      <c r="U17">
        <v>0</v>
      </c>
      <c r="V17" s="18" t="s">
        <v>229</v>
      </c>
      <c r="W17" s="18" t="s">
        <v>229</v>
      </c>
      <c r="X17" t="s">
        <v>73</v>
      </c>
      <c r="Y17" s="18">
        <v>0</v>
      </c>
      <c r="Z17" s="18">
        <v>1</v>
      </c>
      <c r="AA17" s="18">
        <v>0</v>
      </c>
      <c r="AB17" s="18">
        <v>0</v>
      </c>
      <c r="AC17" s="18">
        <v>0</v>
      </c>
      <c r="AD17" s="18">
        <v>0</v>
      </c>
      <c r="AE17" s="11">
        <v>0</v>
      </c>
      <c r="AF17" s="18">
        <v>0</v>
      </c>
      <c r="AG17" s="18" t="s">
        <v>347</v>
      </c>
      <c r="AH17" s="18">
        <v>1</v>
      </c>
      <c r="AI17" s="18">
        <v>0</v>
      </c>
      <c r="AJ17" s="18">
        <v>0</v>
      </c>
      <c r="AK17" s="18">
        <v>0</v>
      </c>
      <c r="AL17" s="18">
        <v>0</v>
      </c>
      <c r="AM17" s="18">
        <v>0</v>
      </c>
      <c r="AN17" s="18">
        <v>0</v>
      </c>
      <c r="AO17" s="18">
        <v>0</v>
      </c>
      <c r="AP17" s="18">
        <v>0</v>
      </c>
      <c r="AQ17" t="s">
        <v>348</v>
      </c>
      <c r="AR17" t="s">
        <v>233</v>
      </c>
      <c r="AS17" s="94" t="s">
        <v>348</v>
      </c>
      <c r="AT17" t="s">
        <v>73</v>
      </c>
      <c r="AU17" s="21">
        <v>0.66400000000000003</v>
      </c>
      <c r="AV17" s="7" t="s">
        <v>86</v>
      </c>
      <c r="AW17" t="s">
        <v>73</v>
      </c>
      <c r="AX17">
        <v>0.1</v>
      </c>
      <c r="AY17">
        <v>2</v>
      </c>
      <c r="AZ17">
        <f t="shared" ref="AZ17:AZ23" si="10">TINV(AX17,CC17)</f>
        <v>1.647384517634447</v>
      </c>
      <c r="BA17" s="18" t="s">
        <v>73</v>
      </c>
      <c r="BB17" s="18"/>
      <c r="BC17" s="18" t="s">
        <v>73</v>
      </c>
      <c r="BD17" s="18" t="s">
        <v>73</v>
      </c>
      <c r="BE17" s="18" t="s">
        <v>73</v>
      </c>
      <c r="BF17" s="18" t="s">
        <v>73</v>
      </c>
      <c r="BG17" s="18" t="s">
        <v>73</v>
      </c>
      <c r="BH17" s="18" t="s">
        <v>73</v>
      </c>
      <c r="BI17">
        <v>605</v>
      </c>
      <c r="BJ17">
        <v>605</v>
      </c>
      <c r="BK17" s="18" t="s">
        <v>73</v>
      </c>
      <c r="BL17" s="18" t="s">
        <v>73</v>
      </c>
      <c r="BM17" s="18" t="s">
        <v>73</v>
      </c>
      <c r="BN17" s="18" t="s">
        <v>73</v>
      </c>
      <c r="BO17" s="11" t="s">
        <v>73</v>
      </c>
      <c r="BP17" s="11" t="s">
        <v>73</v>
      </c>
      <c r="BQ17" s="11" t="s">
        <v>73</v>
      </c>
      <c r="BR17" t="s">
        <v>73</v>
      </c>
      <c r="BS17" s="11" t="s">
        <v>73</v>
      </c>
      <c r="BT17" t="s">
        <v>73</v>
      </c>
      <c r="BU17">
        <v>0</v>
      </c>
      <c r="BV17">
        <v>1</v>
      </c>
      <c r="BW17">
        <v>0</v>
      </c>
      <c r="BX17" s="30">
        <f t="shared" si="0"/>
        <v>6.6825990375612127E-2</v>
      </c>
      <c r="BY17" s="30">
        <f t="shared" si="1"/>
        <v>6.692573299656196E-2</v>
      </c>
      <c r="BZ17" s="30">
        <f t="shared" si="2"/>
        <v>1.6555959239695694E-3</v>
      </c>
      <c r="CA17" s="30">
        <f t="shared" si="3"/>
        <v>1.6611295681063123E-3</v>
      </c>
      <c r="CC17">
        <f t="shared" si="4"/>
        <v>603</v>
      </c>
      <c r="CE17" s="30">
        <f t="shared" si="5"/>
        <v>6.6825990375612127E-2</v>
      </c>
      <c r="CF17" s="30">
        <f t="shared" si="6"/>
        <v>6.692573299656196E-2</v>
      </c>
      <c r="CG17" s="30">
        <f t="shared" si="7"/>
        <v>1.6555959239695694E-3</v>
      </c>
      <c r="CH17" s="30">
        <f t="shared" si="8"/>
        <v>1.6611295681063123E-3</v>
      </c>
    </row>
    <row r="18" spans="1:86">
      <c r="A18" t="s">
        <v>332</v>
      </c>
      <c r="B18" s="11" t="s">
        <v>652</v>
      </c>
      <c r="C18" s="94">
        <v>1262</v>
      </c>
      <c r="D18" s="11">
        <v>405</v>
      </c>
      <c r="E18" t="s">
        <v>341</v>
      </c>
      <c r="F18" s="11">
        <v>2019</v>
      </c>
      <c r="G18" t="s">
        <v>342</v>
      </c>
      <c r="H18" t="s">
        <v>343</v>
      </c>
      <c r="I18" s="18">
        <v>2</v>
      </c>
      <c r="J18" t="s">
        <v>344</v>
      </c>
      <c r="K18" t="s">
        <v>73</v>
      </c>
      <c r="L18">
        <v>9</v>
      </c>
      <c r="M18" s="117" t="s">
        <v>345</v>
      </c>
      <c r="N18" t="s">
        <v>223</v>
      </c>
      <c r="O18" t="s">
        <v>346</v>
      </c>
      <c r="P18" s="18" t="s">
        <v>225</v>
      </c>
      <c r="Q18" t="s">
        <v>242</v>
      </c>
      <c r="R18" t="s">
        <v>243</v>
      </c>
      <c r="S18">
        <v>1</v>
      </c>
      <c r="T18" t="s">
        <v>228</v>
      </c>
      <c r="U18">
        <v>0</v>
      </c>
      <c r="V18" s="18" t="s">
        <v>229</v>
      </c>
      <c r="W18" s="18" t="s">
        <v>229</v>
      </c>
      <c r="X18" t="s">
        <v>73</v>
      </c>
      <c r="Y18" s="18">
        <v>0</v>
      </c>
      <c r="Z18" s="18">
        <v>1</v>
      </c>
      <c r="AA18" s="18">
        <v>0</v>
      </c>
      <c r="AB18" s="18">
        <v>0</v>
      </c>
      <c r="AC18" s="18">
        <v>0</v>
      </c>
      <c r="AD18" s="18">
        <v>0</v>
      </c>
      <c r="AE18" s="11">
        <v>0</v>
      </c>
      <c r="AF18" s="18">
        <v>0</v>
      </c>
      <c r="AG18" s="18" t="s">
        <v>347</v>
      </c>
      <c r="AH18" s="18">
        <v>0</v>
      </c>
      <c r="AI18" s="18">
        <v>0</v>
      </c>
      <c r="AJ18" s="18">
        <v>0</v>
      </c>
      <c r="AK18" s="18">
        <v>0</v>
      </c>
      <c r="AL18" s="18">
        <v>0</v>
      </c>
      <c r="AM18" s="18">
        <v>0</v>
      </c>
      <c r="AN18" s="18">
        <v>0</v>
      </c>
      <c r="AO18" s="18">
        <v>1</v>
      </c>
      <c r="AP18" s="18">
        <v>0</v>
      </c>
      <c r="AQ18" t="s">
        <v>348</v>
      </c>
      <c r="AR18" t="s">
        <v>233</v>
      </c>
      <c r="AS18" s="94" t="s">
        <v>348</v>
      </c>
      <c r="AT18" t="s">
        <v>73</v>
      </c>
      <c r="AU18" s="21">
        <v>6.96</v>
      </c>
      <c r="AV18" s="7" t="s">
        <v>80</v>
      </c>
      <c r="AW18" s="94" t="s">
        <v>73</v>
      </c>
      <c r="AX18">
        <v>0.05</v>
      </c>
      <c r="AY18">
        <v>1</v>
      </c>
      <c r="AZ18">
        <f t="shared" si="10"/>
        <v>1.9639058734740764</v>
      </c>
      <c r="BA18" s="18" t="s">
        <v>73</v>
      </c>
      <c r="BB18" s="18"/>
      <c r="BC18" s="18" t="s">
        <v>73</v>
      </c>
      <c r="BD18" s="18" t="s">
        <v>73</v>
      </c>
      <c r="BE18" s="18" t="s">
        <v>73</v>
      </c>
      <c r="BF18" s="18" t="s">
        <v>73</v>
      </c>
      <c r="BG18" s="18" t="s">
        <v>73</v>
      </c>
      <c r="BH18" s="18" t="s">
        <v>73</v>
      </c>
      <c r="BI18">
        <v>605</v>
      </c>
      <c r="BJ18">
        <v>605</v>
      </c>
      <c r="BK18" s="18" t="s">
        <v>73</v>
      </c>
      <c r="BL18" s="18" t="s">
        <v>73</v>
      </c>
      <c r="BM18" s="18" t="s">
        <v>73</v>
      </c>
      <c r="BN18" s="18" t="s">
        <v>73</v>
      </c>
      <c r="BO18" s="11" t="s">
        <v>73</v>
      </c>
      <c r="BP18" s="11" t="s">
        <v>73</v>
      </c>
      <c r="BQ18" s="11" t="s">
        <v>73</v>
      </c>
      <c r="BR18" t="s">
        <v>73</v>
      </c>
      <c r="BS18" s="11" t="s">
        <v>73</v>
      </c>
      <c r="BT18" t="s">
        <v>73</v>
      </c>
      <c r="BU18">
        <v>0</v>
      </c>
      <c r="BV18">
        <v>1</v>
      </c>
      <c r="BW18">
        <v>0</v>
      </c>
      <c r="BX18" s="30">
        <f t="shared" si="0"/>
        <v>7.959083180520346E-2</v>
      </c>
      <c r="BY18" s="30">
        <f t="shared" si="1"/>
        <v>7.9759534841727944E-2</v>
      </c>
      <c r="BZ18" s="30">
        <f t="shared" si="2"/>
        <v>1.6555621361865366E-3</v>
      </c>
      <c r="CA18" s="30">
        <f t="shared" si="3"/>
        <v>1.6611295681063123E-3</v>
      </c>
      <c r="CC18">
        <f t="shared" si="4"/>
        <v>603</v>
      </c>
      <c r="CE18" s="30">
        <f t="shared" si="5"/>
        <v>7.959083180520346E-2</v>
      </c>
      <c r="CF18" s="30">
        <f t="shared" si="6"/>
        <v>7.9759534841727944E-2</v>
      </c>
      <c r="CG18" s="30">
        <f t="shared" si="7"/>
        <v>1.6555621361865366E-3</v>
      </c>
      <c r="CH18" s="30">
        <f t="shared" si="8"/>
        <v>1.6611295681063123E-3</v>
      </c>
    </row>
    <row r="19" spans="1:86">
      <c r="A19" t="s">
        <v>332</v>
      </c>
      <c r="B19" s="11" t="s">
        <v>652</v>
      </c>
      <c r="C19" s="94">
        <v>1263</v>
      </c>
      <c r="D19" s="11">
        <v>405</v>
      </c>
      <c r="E19" t="s">
        <v>341</v>
      </c>
      <c r="F19" s="11">
        <v>2019</v>
      </c>
      <c r="G19" t="s">
        <v>342</v>
      </c>
      <c r="H19" t="s">
        <v>343</v>
      </c>
      <c r="I19" s="18">
        <v>2</v>
      </c>
      <c r="J19" t="s">
        <v>344</v>
      </c>
      <c r="K19" t="s">
        <v>73</v>
      </c>
      <c r="L19">
        <v>9</v>
      </c>
      <c r="M19" s="117" t="s">
        <v>345</v>
      </c>
      <c r="N19" t="s">
        <v>223</v>
      </c>
      <c r="O19" t="s">
        <v>346</v>
      </c>
      <c r="P19" s="18" t="s">
        <v>225</v>
      </c>
      <c r="Q19" t="s">
        <v>242</v>
      </c>
      <c r="R19" t="s">
        <v>243</v>
      </c>
      <c r="S19">
        <v>1</v>
      </c>
      <c r="T19" t="s">
        <v>228</v>
      </c>
      <c r="U19">
        <v>0</v>
      </c>
      <c r="V19" s="18" t="s">
        <v>229</v>
      </c>
      <c r="W19" s="18" t="s">
        <v>229</v>
      </c>
      <c r="X19" t="s">
        <v>73</v>
      </c>
      <c r="Y19" s="18">
        <v>0</v>
      </c>
      <c r="Z19" s="18">
        <v>1</v>
      </c>
      <c r="AA19" s="18">
        <v>0</v>
      </c>
      <c r="AB19" s="18">
        <v>0</v>
      </c>
      <c r="AC19" s="18">
        <v>0</v>
      </c>
      <c r="AD19" s="18">
        <v>0</v>
      </c>
      <c r="AE19" s="11">
        <v>0</v>
      </c>
      <c r="AF19" s="18">
        <v>0</v>
      </c>
      <c r="AG19" s="18" t="s">
        <v>347</v>
      </c>
      <c r="AH19" s="18">
        <v>0</v>
      </c>
      <c r="AI19" s="18">
        <v>0</v>
      </c>
      <c r="AJ19" s="18">
        <v>0</v>
      </c>
      <c r="AK19" s="18">
        <v>0</v>
      </c>
      <c r="AL19" s="18">
        <v>0</v>
      </c>
      <c r="AM19" s="18">
        <v>0</v>
      </c>
      <c r="AN19" s="18">
        <v>0</v>
      </c>
      <c r="AO19" s="18">
        <v>0</v>
      </c>
      <c r="AP19" s="18">
        <v>1</v>
      </c>
      <c r="AQ19" t="s">
        <v>348</v>
      </c>
      <c r="AR19" t="s">
        <v>233</v>
      </c>
      <c r="AS19" s="94" t="s">
        <v>348</v>
      </c>
      <c r="AT19" t="s">
        <v>73</v>
      </c>
      <c r="AU19" s="21">
        <v>1.591</v>
      </c>
      <c r="AV19" s="7" t="s">
        <v>80</v>
      </c>
      <c r="AW19" s="94" t="s">
        <v>73</v>
      </c>
      <c r="AX19">
        <v>0.1</v>
      </c>
      <c r="AY19">
        <v>2</v>
      </c>
      <c r="AZ19">
        <f t="shared" si="10"/>
        <v>1.647384517634447</v>
      </c>
      <c r="BA19" s="18" t="s">
        <v>73</v>
      </c>
      <c r="BB19" s="18"/>
      <c r="BC19" s="18" t="s">
        <v>73</v>
      </c>
      <c r="BD19" s="18" t="s">
        <v>73</v>
      </c>
      <c r="BE19" s="18" t="s">
        <v>73</v>
      </c>
      <c r="BF19" s="18" t="s">
        <v>73</v>
      </c>
      <c r="BG19" s="18" t="s">
        <v>73</v>
      </c>
      <c r="BH19" s="18" t="s">
        <v>73</v>
      </c>
      <c r="BI19">
        <v>605</v>
      </c>
      <c r="BJ19">
        <v>605</v>
      </c>
      <c r="BK19" s="18" t="s">
        <v>73</v>
      </c>
      <c r="BL19" s="18" t="s">
        <v>73</v>
      </c>
      <c r="BM19" s="18" t="s">
        <v>73</v>
      </c>
      <c r="BN19" s="18" t="s">
        <v>73</v>
      </c>
      <c r="BO19" s="11" t="s">
        <v>73</v>
      </c>
      <c r="BP19" s="11" t="s">
        <v>73</v>
      </c>
      <c r="BQ19" s="11" t="s">
        <v>73</v>
      </c>
      <c r="BR19" t="s">
        <v>73</v>
      </c>
      <c r="BS19" s="11" t="s">
        <v>73</v>
      </c>
      <c r="BT19" t="s">
        <v>73</v>
      </c>
      <c r="BU19">
        <v>0</v>
      </c>
      <c r="BV19">
        <v>1</v>
      </c>
      <c r="BW19">
        <v>0</v>
      </c>
      <c r="BX19" s="30">
        <f t="shared" si="0"/>
        <v>6.6825990375612127E-2</v>
      </c>
      <c r="BY19" s="30">
        <f t="shared" si="1"/>
        <v>6.692573299656196E-2</v>
      </c>
      <c r="BZ19" s="30">
        <f t="shared" si="2"/>
        <v>1.6555959239695694E-3</v>
      </c>
      <c r="CA19" s="30">
        <f t="shared" si="3"/>
        <v>1.6611295681063123E-3</v>
      </c>
      <c r="CC19">
        <f t="shared" si="4"/>
        <v>603</v>
      </c>
      <c r="CE19" s="30">
        <f t="shared" si="5"/>
        <v>6.6825990375612127E-2</v>
      </c>
      <c r="CF19" s="30">
        <f t="shared" si="6"/>
        <v>6.692573299656196E-2</v>
      </c>
      <c r="CG19" s="30">
        <f t="shared" si="7"/>
        <v>1.6555959239695694E-3</v>
      </c>
      <c r="CH19" s="30">
        <f t="shared" si="8"/>
        <v>1.6611295681063123E-3</v>
      </c>
    </row>
    <row r="20" spans="1:86" s="101" customFormat="1">
      <c r="A20" t="s">
        <v>332</v>
      </c>
      <c r="B20" s="11" t="s">
        <v>652</v>
      </c>
      <c r="C20" s="94">
        <v>1264</v>
      </c>
      <c r="D20" s="11">
        <v>405</v>
      </c>
      <c r="E20" t="s">
        <v>341</v>
      </c>
      <c r="F20" s="11">
        <v>2019</v>
      </c>
      <c r="G20" t="s">
        <v>342</v>
      </c>
      <c r="H20" t="s">
        <v>343</v>
      </c>
      <c r="I20" s="18">
        <v>2</v>
      </c>
      <c r="J20" t="s">
        <v>344</v>
      </c>
      <c r="K20" t="s">
        <v>73</v>
      </c>
      <c r="L20">
        <v>9</v>
      </c>
      <c r="M20" s="117" t="s">
        <v>345</v>
      </c>
      <c r="N20" t="s">
        <v>223</v>
      </c>
      <c r="O20" t="s">
        <v>346</v>
      </c>
      <c r="P20" s="18" t="s">
        <v>225</v>
      </c>
      <c r="Q20" t="s">
        <v>242</v>
      </c>
      <c r="R20" t="s">
        <v>243</v>
      </c>
      <c r="S20">
        <v>1</v>
      </c>
      <c r="T20" t="s">
        <v>228</v>
      </c>
      <c r="U20">
        <v>0</v>
      </c>
      <c r="V20" s="18" t="s">
        <v>229</v>
      </c>
      <c r="W20" s="18" t="s">
        <v>229</v>
      </c>
      <c r="X20" t="s">
        <v>73</v>
      </c>
      <c r="Y20" s="18">
        <v>0</v>
      </c>
      <c r="Z20" s="18">
        <v>1</v>
      </c>
      <c r="AA20" s="18">
        <v>0</v>
      </c>
      <c r="AB20" s="18">
        <v>0</v>
      </c>
      <c r="AC20" s="18">
        <v>0</v>
      </c>
      <c r="AD20" s="18">
        <v>0</v>
      </c>
      <c r="AE20" s="11">
        <v>0</v>
      </c>
      <c r="AF20" s="18">
        <v>0</v>
      </c>
      <c r="AG20" s="18" t="s">
        <v>347</v>
      </c>
      <c r="AH20" s="18">
        <v>0</v>
      </c>
      <c r="AI20" s="18">
        <v>0</v>
      </c>
      <c r="AJ20" s="18">
        <v>0</v>
      </c>
      <c r="AK20" s="18">
        <v>0</v>
      </c>
      <c r="AL20" s="18">
        <v>0</v>
      </c>
      <c r="AM20" s="18">
        <v>1</v>
      </c>
      <c r="AN20" s="18">
        <v>0</v>
      </c>
      <c r="AO20" s="18">
        <v>0</v>
      </c>
      <c r="AP20" s="18">
        <v>0</v>
      </c>
      <c r="AQ20" t="s">
        <v>348</v>
      </c>
      <c r="AR20" t="s">
        <v>233</v>
      </c>
      <c r="AS20" s="94" t="s">
        <v>348</v>
      </c>
      <c r="AT20" t="s">
        <v>73</v>
      </c>
      <c r="AU20" s="21">
        <v>1.585</v>
      </c>
      <c r="AV20" s="7" t="s">
        <v>80</v>
      </c>
      <c r="AW20" s="94" t="s">
        <v>73</v>
      </c>
      <c r="AX20">
        <v>0.01</v>
      </c>
      <c r="AY20">
        <v>1</v>
      </c>
      <c r="AZ20">
        <f t="shared" si="10"/>
        <v>2.5840071350575324</v>
      </c>
      <c r="BA20" s="18" t="s">
        <v>73</v>
      </c>
      <c r="BB20" s="18"/>
      <c r="BC20" s="18" t="s">
        <v>73</v>
      </c>
      <c r="BD20" s="18" t="s">
        <v>73</v>
      </c>
      <c r="BE20" s="18" t="s">
        <v>73</v>
      </c>
      <c r="BF20" s="18" t="s">
        <v>73</v>
      </c>
      <c r="BG20" s="18" t="s">
        <v>73</v>
      </c>
      <c r="BH20" s="18" t="s">
        <v>73</v>
      </c>
      <c r="BI20">
        <v>605</v>
      </c>
      <c r="BJ20">
        <v>605</v>
      </c>
      <c r="BK20" s="18" t="s">
        <v>73</v>
      </c>
      <c r="BL20" s="18" t="s">
        <v>73</v>
      </c>
      <c r="BM20" s="18" t="s">
        <v>73</v>
      </c>
      <c r="BN20" s="18" t="s">
        <v>73</v>
      </c>
      <c r="BO20" s="11" t="s">
        <v>73</v>
      </c>
      <c r="BP20" s="11" t="s">
        <v>73</v>
      </c>
      <c r="BQ20" s="11" t="s">
        <v>73</v>
      </c>
      <c r="BR20" t="s">
        <v>73</v>
      </c>
      <c r="BS20" s="11" t="s">
        <v>73</v>
      </c>
      <c r="BT20" t="s">
        <v>73</v>
      </c>
      <c r="BU20">
        <v>0</v>
      </c>
      <c r="BV20">
        <v>1</v>
      </c>
      <c r="BW20">
        <v>0</v>
      </c>
      <c r="BX20" s="30">
        <f t="shared" si="0"/>
        <v>0.10447986438429385</v>
      </c>
      <c r="BY20" s="30">
        <f t="shared" si="1"/>
        <v>0.10486254279362485</v>
      </c>
      <c r="BZ20" s="30">
        <f t="shared" si="2"/>
        <v>1.6554289480493617E-3</v>
      </c>
      <c r="CA20" s="30">
        <f t="shared" si="3"/>
        <v>1.6611295681063123E-3</v>
      </c>
      <c r="CB20"/>
      <c r="CC20">
        <f t="shared" si="4"/>
        <v>603</v>
      </c>
      <c r="CD20"/>
      <c r="CE20" s="30">
        <f t="shared" si="5"/>
        <v>0.10447986438429385</v>
      </c>
      <c r="CF20" s="30">
        <f t="shared" si="6"/>
        <v>0.10486254279362485</v>
      </c>
      <c r="CG20" s="30">
        <f t="shared" si="7"/>
        <v>1.6554289480493617E-3</v>
      </c>
      <c r="CH20" s="30">
        <f t="shared" si="8"/>
        <v>1.6611295681063123E-3</v>
      </c>
    </row>
    <row r="21" spans="1:86" s="101" customFormat="1">
      <c r="A21" t="s">
        <v>332</v>
      </c>
      <c r="B21" s="11" t="s">
        <v>652</v>
      </c>
      <c r="C21" s="94">
        <v>1265</v>
      </c>
      <c r="D21" s="11">
        <v>405</v>
      </c>
      <c r="E21" t="s">
        <v>341</v>
      </c>
      <c r="F21" s="11">
        <v>2019</v>
      </c>
      <c r="G21" t="s">
        <v>342</v>
      </c>
      <c r="H21" t="s">
        <v>343</v>
      </c>
      <c r="I21" s="18">
        <v>2</v>
      </c>
      <c r="J21" t="s">
        <v>344</v>
      </c>
      <c r="K21" t="s">
        <v>73</v>
      </c>
      <c r="L21">
        <v>9</v>
      </c>
      <c r="M21" s="117" t="s">
        <v>345</v>
      </c>
      <c r="N21" t="s">
        <v>223</v>
      </c>
      <c r="O21" t="s">
        <v>346</v>
      </c>
      <c r="P21" s="18" t="s">
        <v>225</v>
      </c>
      <c r="Q21" t="s">
        <v>242</v>
      </c>
      <c r="R21" t="s">
        <v>243</v>
      </c>
      <c r="S21">
        <v>1</v>
      </c>
      <c r="T21" t="s">
        <v>228</v>
      </c>
      <c r="U21">
        <v>0</v>
      </c>
      <c r="V21" s="18" t="s">
        <v>229</v>
      </c>
      <c r="W21" s="18" t="s">
        <v>229</v>
      </c>
      <c r="X21" t="s">
        <v>73</v>
      </c>
      <c r="Y21" s="18">
        <v>0</v>
      </c>
      <c r="Z21" s="18">
        <v>1</v>
      </c>
      <c r="AA21" s="18">
        <v>0</v>
      </c>
      <c r="AB21" s="18">
        <v>0</v>
      </c>
      <c r="AC21" s="18">
        <v>0</v>
      </c>
      <c r="AD21" s="18">
        <v>0</v>
      </c>
      <c r="AE21" s="11">
        <v>0</v>
      </c>
      <c r="AF21" s="18">
        <v>0</v>
      </c>
      <c r="AG21" s="18" t="s">
        <v>347</v>
      </c>
      <c r="AH21" s="18">
        <v>0</v>
      </c>
      <c r="AI21" s="18">
        <v>0</v>
      </c>
      <c r="AJ21" s="18">
        <v>0</v>
      </c>
      <c r="AK21" s="18">
        <v>1</v>
      </c>
      <c r="AL21" s="18">
        <v>0</v>
      </c>
      <c r="AM21" s="18">
        <v>0</v>
      </c>
      <c r="AN21" s="18">
        <v>0</v>
      </c>
      <c r="AO21" s="18">
        <v>0</v>
      </c>
      <c r="AP21" s="18">
        <v>0</v>
      </c>
      <c r="AQ21" t="s">
        <v>348</v>
      </c>
      <c r="AR21" t="s">
        <v>233</v>
      </c>
      <c r="AS21" s="94" t="s">
        <v>348</v>
      </c>
      <c r="AT21" t="s">
        <v>73</v>
      </c>
      <c r="AU21" s="21">
        <v>1.7</v>
      </c>
      <c r="AV21" s="7" t="s">
        <v>86</v>
      </c>
      <c r="AW21" s="94" t="s">
        <v>73</v>
      </c>
      <c r="AX21">
        <v>0.1</v>
      </c>
      <c r="AY21">
        <v>2</v>
      </c>
      <c r="AZ21">
        <f t="shared" si="10"/>
        <v>1.647384517634447</v>
      </c>
      <c r="BA21" s="18" t="s">
        <v>73</v>
      </c>
      <c r="BB21" s="18"/>
      <c r="BC21" s="18" t="s">
        <v>73</v>
      </c>
      <c r="BD21" s="18" t="s">
        <v>73</v>
      </c>
      <c r="BE21" s="18" t="s">
        <v>73</v>
      </c>
      <c r="BF21" s="18" t="s">
        <v>73</v>
      </c>
      <c r="BG21" s="18" t="s">
        <v>73</v>
      </c>
      <c r="BH21" s="18" t="s">
        <v>73</v>
      </c>
      <c r="BI21">
        <v>605</v>
      </c>
      <c r="BJ21">
        <v>605</v>
      </c>
      <c r="BK21" s="18" t="s">
        <v>73</v>
      </c>
      <c r="BL21" s="18" t="s">
        <v>73</v>
      </c>
      <c r="BM21" s="18" t="s">
        <v>73</v>
      </c>
      <c r="BN21" s="18" t="s">
        <v>73</v>
      </c>
      <c r="BO21" s="11" t="s">
        <v>73</v>
      </c>
      <c r="BP21" s="11" t="s">
        <v>73</v>
      </c>
      <c r="BQ21" s="11" t="s">
        <v>73</v>
      </c>
      <c r="BR21" t="s">
        <v>73</v>
      </c>
      <c r="BS21" s="11" t="s">
        <v>73</v>
      </c>
      <c r="BT21" t="s">
        <v>73</v>
      </c>
      <c r="BU21">
        <v>0</v>
      </c>
      <c r="BV21">
        <v>1</v>
      </c>
      <c r="BW21">
        <v>0</v>
      </c>
      <c r="BX21" s="30">
        <f t="shared" si="0"/>
        <v>6.6825990375612127E-2</v>
      </c>
      <c r="BY21" s="30">
        <f t="shared" si="1"/>
        <v>6.692573299656196E-2</v>
      </c>
      <c r="BZ21" s="30">
        <f t="shared" si="2"/>
        <v>1.6555959239695694E-3</v>
      </c>
      <c r="CA21" s="30">
        <f t="shared" si="3"/>
        <v>1.6611295681063123E-3</v>
      </c>
      <c r="CB21"/>
      <c r="CC21">
        <f t="shared" si="4"/>
        <v>603</v>
      </c>
      <c r="CD21"/>
      <c r="CE21" s="30">
        <f t="shared" si="5"/>
        <v>6.6825990375612127E-2</v>
      </c>
      <c r="CF21" s="30">
        <f t="shared" si="6"/>
        <v>6.692573299656196E-2</v>
      </c>
      <c r="CG21" s="30">
        <f t="shared" si="7"/>
        <v>1.6555959239695694E-3</v>
      </c>
      <c r="CH21" s="30">
        <f t="shared" si="8"/>
        <v>1.6611295681063123E-3</v>
      </c>
    </row>
    <row r="22" spans="1:86" s="101" customFormat="1">
      <c r="A22" s="11" t="s">
        <v>68</v>
      </c>
      <c r="B22" s="11" t="s">
        <v>653</v>
      </c>
      <c r="C22" s="96">
        <v>1155</v>
      </c>
      <c r="D22" s="97">
        <v>135</v>
      </c>
      <c r="E22" t="s">
        <v>266</v>
      </c>
      <c r="F22" s="96">
        <v>2014</v>
      </c>
      <c r="G22" t="s">
        <v>267</v>
      </c>
      <c r="H22" t="s">
        <v>268</v>
      </c>
      <c r="I22" s="97">
        <v>2</v>
      </c>
      <c r="J22">
        <v>2012</v>
      </c>
      <c r="K22" s="96" t="s">
        <v>73</v>
      </c>
      <c r="L22" s="97">
        <v>13</v>
      </c>
      <c r="M22" s="18" t="s">
        <v>269</v>
      </c>
      <c r="N22" t="s">
        <v>223</v>
      </c>
      <c r="O22" t="s">
        <v>270</v>
      </c>
      <c r="P22" t="s">
        <v>241</v>
      </c>
      <c r="Q22" t="s">
        <v>252</v>
      </c>
      <c r="R22" t="s">
        <v>257</v>
      </c>
      <c r="S22">
        <v>0</v>
      </c>
      <c r="T22" s="32" t="s">
        <v>263</v>
      </c>
      <c r="U22">
        <v>0</v>
      </c>
      <c r="V22" s="96" t="s">
        <v>229</v>
      </c>
      <c r="W22" s="96" t="s">
        <v>229</v>
      </c>
      <c r="X22" t="s">
        <v>244</v>
      </c>
      <c r="Y22" s="97">
        <v>0</v>
      </c>
      <c r="Z22" s="97">
        <v>0</v>
      </c>
      <c r="AA22" s="97">
        <v>1</v>
      </c>
      <c r="AB22" s="97">
        <v>0</v>
      </c>
      <c r="AC22" s="97">
        <v>0</v>
      </c>
      <c r="AD22" s="97">
        <v>0</v>
      </c>
      <c r="AE22" s="97">
        <v>0</v>
      </c>
      <c r="AF22" s="97">
        <v>0</v>
      </c>
      <c r="AG22" s="97" t="s">
        <v>271</v>
      </c>
      <c r="AH22" s="97">
        <v>0</v>
      </c>
      <c r="AI22" s="97">
        <v>0</v>
      </c>
      <c r="AJ22" s="97">
        <v>0</v>
      </c>
      <c r="AK22" s="97">
        <v>1</v>
      </c>
      <c r="AL22" s="97">
        <v>0</v>
      </c>
      <c r="AM22" s="97">
        <v>0</v>
      </c>
      <c r="AN22" s="97">
        <v>0</v>
      </c>
      <c r="AO22" s="97">
        <v>0</v>
      </c>
      <c r="AP22" s="97">
        <v>0</v>
      </c>
      <c r="AQ22" s="41" t="s">
        <v>272</v>
      </c>
      <c r="AR22" s="41" t="s">
        <v>233</v>
      </c>
      <c r="AS22" s="41" t="s">
        <v>273</v>
      </c>
      <c r="AT22" t="s">
        <v>73</v>
      </c>
      <c r="AU22" s="48">
        <v>15.91</v>
      </c>
      <c r="AV22" s="7" t="s">
        <v>80</v>
      </c>
      <c r="AW22" t="s">
        <v>73</v>
      </c>
      <c r="AX22" s="115">
        <v>1E-3</v>
      </c>
      <c r="AY22">
        <v>1</v>
      </c>
      <c r="AZ22">
        <f t="shared" si="10"/>
        <v>3.3101701484367259</v>
      </c>
      <c r="BA22" s="98" t="s">
        <v>73</v>
      </c>
      <c r="BB22" s="98"/>
      <c r="BC22" s="98" t="s">
        <v>73</v>
      </c>
      <c r="BD22" s="98" t="s">
        <v>73</v>
      </c>
      <c r="BE22" s="98" t="s">
        <v>73</v>
      </c>
      <c r="BF22" s="98" t="s">
        <v>73</v>
      </c>
      <c r="BG22" s="98" t="s">
        <v>73</v>
      </c>
      <c r="BH22" s="98" t="s">
        <v>73</v>
      </c>
      <c r="BI22" s="97">
        <v>500</v>
      </c>
      <c r="BJ22" s="97">
        <v>2000</v>
      </c>
      <c r="BK22" s="97" t="s">
        <v>73</v>
      </c>
      <c r="BL22" s="97" t="s">
        <v>73</v>
      </c>
      <c r="BM22" s="97" t="s">
        <v>73</v>
      </c>
      <c r="BN22" s="97" t="s">
        <v>73</v>
      </c>
      <c r="BO22" s="97" t="s">
        <v>73</v>
      </c>
      <c r="BP22">
        <v>0</v>
      </c>
      <c r="BQ22" s="97" t="s">
        <v>73</v>
      </c>
      <c r="BR22">
        <v>1</v>
      </c>
      <c r="BS22" s="108" t="s">
        <v>73</v>
      </c>
      <c r="BT22" t="s">
        <v>248</v>
      </c>
      <c r="BU22" s="97">
        <v>0</v>
      </c>
      <c r="BV22" s="97">
        <v>0</v>
      </c>
      <c r="BW22" s="97">
        <v>1</v>
      </c>
      <c r="BX22" s="30">
        <f t="shared" si="0"/>
        <v>0.1464394351286451</v>
      </c>
      <c r="BY22" s="30">
        <f t="shared" si="1"/>
        <v>0.14749988735332095</v>
      </c>
      <c r="BZ22" s="30">
        <f t="shared" si="2"/>
        <v>2.0030594529697188E-3</v>
      </c>
      <c r="CA22" s="30">
        <f t="shared" si="3"/>
        <v>2.012072434607646E-3</v>
      </c>
      <c r="CB22"/>
      <c r="CC22">
        <f t="shared" si="4"/>
        <v>498</v>
      </c>
      <c r="CD22"/>
      <c r="CE22" s="30">
        <f t="shared" si="5"/>
        <v>7.3815726974840262E-2</v>
      </c>
      <c r="CF22" s="30">
        <f t="shared" si="6"/>
        <v>7.395023508930447E-2</v>
      </c>
      <c r="CG22" s="30">
        <f t="shared" si="7"/>
        <v>5.0023516458549868E-4</v>
      </c>
      <c r="CH22" s="30">
        <f t="shared" si="8"/>
        <v>5.00751126690035E-4</v>
      </c>
    </row>
    <row r="23" spans="1:86">
      <c r="A23" s="11" t="s">
        <v>68</v>
      </c>
      <c r="B23" s="11" t="s">
        <v>653</v>
      </c>
      <c r="C23" s="96">
        <v>1156</v>
      </c>
      <c r="D23" s="97">
        <v>135</v>
      </c>
      <c r="E23" t="s">
        <v>266</v>
      </c>
      <c r="F23" s="96">
        <v>2014</v>
      </c>
      <c r="G23" t="s">
        <v>267</v>
      </c>
      <c r="H23" t="s">
        <v>268</v>
      </c>
      <c r="I23" s="97">
        <v>2</v>
      </c>
      <c r="J23">
        <v>2012</v>
      </c>
      <c r="K23" s="96" t="s">
        <v>73</v>
      </c>
      <c r="L23" s="97">
        <v>13</v>
      </c>
      <c r="M23" s="18" t="s">
        <v>274</v>
      </c>
      <c r="N23" t="s">
        <v>223</v>
      </c>
      <c r="O23" t="s">
        <v>270</v>
      </c>
      <c r="P23" t="s">
        <v>241</v>
      </c>
      <c r="Q23" t="s">
        <v>252</v>
      </c>
      <c r="R23" t="s">
        <v>257</v>
      </c>
      <c r="S23">
        <v>0</v>
      </c>
      <c r="T23" s="32" t="s">
        <v>263</v>
      </c>
      <c r="U23">
        <v>0</v>
      </c>
      <c r="V23" s="96" t="s">
        <v>229</v>
      </c>
      <c r="W23" s="96" t="s">
        <v>229</v>
      </c>
      <c r="X23" t="s">
        <v>244</v>
      </c>
      <c r="Y23" s="97">
        <v>0</v>
      </c>
      <c r="Z23" s="97">
        <v>0</v>
      </c>
      <c r="AA23" s="97">
        <v>1</v>
      </c>
      <c r="AB23" s="97">
        <v>0</v>
      </c>
      <c r="AC23" s="97">
        <v>0</v>
      </c>
      <c r="AD23" s="97">
        <v>0</v>
      </c>
      <c r="AE23" s="97">
        <v>0</v>
      </c>
      <c r="AF23" s="97">
        <v>0</v>
      </c>
      <c r="AG23" s="97" t="s">
        <v>271</v>
      </c>
      <c r="AH23" s="97">
        <v>0</v>
      </c>
      <c r="AI23" s="97">
        <v>0</v>
      </c>
      <c r="AJ23" s="97">
        <v>0</v>
      </c>
      <c r="AK23" s="97">
        <v>1</v>
      </c>
      <c r="AL23" s="97">
        <v>0</v>
      </c>
      <c r="AM23" s="97">
        <v>0</v>
      </c>
      <c r="AN23" s="97">
        <v>0</v>
      </c>
      <c r="AO23" s="97">
        <v>0</v>
      </c>
      <c r="AP23" s="97">
        <v>0</v>
      </c>
      <c r="AQ23" s="41" t="s">
        <v>272</v>
      </c>
      <c r="AR23" s="41" t="s">
        <v>233</v>
      </c>
      <c r="AS23" s="41" t="s">
        <v>273</v>
      </c>
      <c r="AT23" t="s">
        <v>73</v>
      </c>
      <c r="AU23" s="48">
        <v>13.19</v>
      </c>
      <c r="AV23" s="7" t="s">
        <v>80</v>
      </c>
      <c r="AW23" t="s">
        <v>73</v>
      </c>
      <c r="AX23">
        <v>0.01</v>
      </c>
      <c r="AY23">
        <v>3</v>
      </c>
      <c r="AZ23">
        <f t="shared" si="10"/>
        <v>2.5857376110802122</v>
      </c>
      <c r="BA23" s="98" t="s">
        <v>73</v>
      </c>
      <c r="BB23" s="98"/>
      <c r="BC23" s="98" t="s">
        <v>73</v>
      </c>
      <c r="BD23" s="98" t="s">
        <v>73</v>
      </c>
      <c r="BE23" s="98" t="s">
        <v>73</v>
      </c>
      <c r="BF23" s="98" t="s">
        <v>73</v>
      </c>
      <c r="BG23" s="98" t="s">
        <v>73</v>
      </c>
      <c r="BH23" s="98" t="s">
        <v>73</v>
      </c>
      <c r="BI23" s="97">
        <v>500</v>
      </c>
      <c r="BJ23" s="97">
        <v>2000</v>
      </c>
      <c r="BK23" s="97" t="s">
        <v>73</v>
      </c>
      <c r="BL23" s="97" t="s">
        <v>73</v>
      </c>
      <c r="BM23" s="97" t="s">
        <v>73</v>
      </c>
      <c r="BN23" s="97" t="s">
        <v>73</v>
      </c>
      <c r="BO23" s="97" t="s">
        <v>73</v>
      </c>
      <c r="BP23">
        <v>0</v>
      </c>
      <c r="BQ23" s="97" t="s">
        <v>73</v>
      </c>
      <c r="BR23">
        <v>1</v>
      </c>
      <c r="BS23" s="108" t="s">
        <v>73</v>
      </c>
      <c r="BT23" t="s">
        <v>248</v>
      </c>
      <c r="BU23" s="97">
        <v>0</v>
      </c>
      <c r="BV23" s="97">
        <v>0</v>
      </c>
      <c r="BW23" s="97">
        <v>1</v>
      </c>
      <c r="BX23" s="30">
        <f t="shared" si="0"/>
        <v>0.11487221186750445</v>
      </c>
      <c r="BY23" s="30">
        <f t="shared" si="1"/>
        <v>0.11538152059067894</v>
      </c>
      <c r="BZ23" s="30">
        <f t="shared" si="2"/>
        <v>2.0036528393164244E-3</v>
      </c>
      <c r="CA23" s="30">
        <f t="shared" si="3"/>
        <v>2.012072434607646E-3</v>
      </c>
      <c r="CC23">
        <f t="shared" si="4"/>
        <v>498</v>
      </c>
      <c r="CE23" s="30">
        <f t="shared" si="5"/>
        <v>5.7722447571881538E-2</v>
      </c>
      <c r="CF23" s="30">
        <f t="shared" si="6"/>
        <v>5.7786684145923431E-2</v>
      </c>
      <c r="CG23" s="30">
        <f t="shared" si="7"/>
        <v>5.00244546808272E-4</v>
      </c>
      <c r="CH23" s="30">
        <f t="shared" si="8"/>
        <v>5.00751126690035E-4</v>
      </c>
    </row>
    <row r="24" spans="1:86">
      <c r="A24" s="11" t="s">
        <v>68</v>
      </c>
      <c r="B24" s="11" t="s">
        <v>658</v>
      </c>
      <c r="C24" s="96">
        <v>1191</v>
      </c>
      <c r="D24" s="97">
        <v>144</v>
      </c>
      <c r="E24" s="119" t="s">
        <v>301</v>
      </c>
      <c r="F24" s="96">
        <v>2014</v>
      </c>
      <c r="G24" t="s">
        <v>302</v>
      </c>
      <c r="H24" t="s">
        <v>303</v>
      </c>
      <c r="I24" s="97">
        <v>2</v>
      </c>
      <c r="J24">
        <v>2009</v>
      </c>
      <c r="K24" s="96" t="s">
        <v>73</v>
      </c>
      <c r="L24">
        <v>13</v>
      </c>
      <c r="M24" s="96" t="s">
        <v>269</v>
      </c>
      <c r="N24" t="s">
        <v>223</v>
      </c>
      <c r="O24" s="96" t="s">
        <v>81</v>
      </c>
      <c r="P24" t="s">
        <v>241</v>
      </c>
      <c r="Q24" s="96" t="s">
        <v>252</v>
      </c>
      <c r="R24" s="32" t="s">
        <v>257</v>
      </c>
      <c r="S24">
        <v>1</v>
      </c>
      <c r="T24" s="32" t="s">
        <v>263</v>
      </c>
      <c r="U24">
        <v>1</v>
      </c>
      <c r="V24" s="96" t="s">
        <v>229</v>
      </c>
      <c r="W24" s="96" t="s">
        <v>229</v>
      </c>
      <c r="X24" t="s">
        <v>244</v>
      </c>
      <c r="Y24" s="97">
        <v>0</v>
      </c>
      <c r="Z24" s="97">
        <v>0</v>
      </c>
      <c r="AA24" s="97">
        <v>1</v>
      </c>
      <c r="AB24" s="97">
        <v>1</v>
      </c>
      <c r="AC24" s="97">
        <v>0</v>
      </c>
      <c r="AD24" s="97">
        <v>0</v>
      </c>
      <c r="AE24" s="97">
        <v>0</v>
      </c>
      <c r="AF24" s="97">
        <v>0</v>
      </c>
      <c r="AG24" t="s">
        <v>304</v>
      </c>
      <c r="AH24" s="97">
        <v>0</v>
      </c>
      <c r="AI24" s="97">
        <v>0</v>
      </c>
      <c r="AJ24" s="97">
        <v>0</v>
      </c>
      <c r="AK24" s="97">
        <v>1</v>
      </c>
      <c r="AL24" s="97">
        <v>0</v>
      </c>
      <c r="AM24" s="97">
        <v>0</v>
      </c>
      <c r="AN24" s="97">
        <v>0</v>
      </c>
      <c r="AO24" s="97">
        <v>0</v>
      </c>
      <c r="AP24" s="97">
        <v>0</v>
      </c>
      <c r="AQ24" s="97" t="s">
        <v>73</v>
      </c>
      <c r="AR24" t="s">
        <v>233</v>
      </c>
      <c r="AS24" t="s">
        <v>305</v>
      </c>
      <c r="AT24" t="s">
        <v>235</v>
      </c>
      <c r="AU24" s="104">
        <v>2.08</v>
      </c>
      <c r="AV24" s="7" t="s">
        <v>80</v>
      </c>
      <c r="AW24">
        <v>0.22900000000000001</v>
      </c>
      <c r="AX24">
        <v>0.01</v>
      </c>
      <c r="AY24">
        <v>1</v>
      </c>
      <c r="AZ24">
        <f>AU24/AW24</f>
        <v>9.0829694323144103</v>
      </c>
      <c r="BA24" t="s">
        <v>73</v>
      </c>
      <c r="BC24" t="s">
        <v>73</v>
      </c>
      <c r="BD24" t="s">
        <v>73</v>
      </c>
      <c r="BE24" t="s">
        <v>73</v>
      </c>
      <c r="BF24" t="s">
        <v>73</v>
      </c>
      <c r="BG24" t="s">
        <v>73</v>
      </c>
      <c r="BH24" t="s">
        <v>73</v>
      </c>
      <c r="BI24">
        <v>355</v>
      </c>
      <c r="BJ24" s="109">
        <v>19860</v>
      </c>
      <c r="BK24" t="s">
        <v>73</v>
      </c>
      <c r="BL24" t="s">
        <v>73</v>
      </c>
      <c r="BM24">
        <v>50</v>
      </c>
      <c r="BN24" s="97" t="s">
        <v>73</v>
      </c>
      <c r="BO24" s="97" t="s">
        <v>306</v>
      </c>
      <c r="BP24">
        <v>1</v>
      </c>
      <c r="BQ24">
        <v>14</v>
      </c>
      <c r="BR24">
        <v>1</v>
      </c>
      <c r="BS24" s="110">
        <v>0.2</v>
      </c>
      <c r="BT24" t="s">
        <v>73</v>
      </c>
      <c r="BU24" s="97">
        <v>0</v>
      </c>
      <c r="BV24" s="97">
        <v>0</v>
      </c>
      <c r="BW24" s="97">
        <v>1</v>
      </c>
      <c r="BX24" s="30">
        <f t="shared" si="0"/>
        <v>0.43424883131426489</v>
      </c>
      <c r="BY24" s="30">
        <f t="shared" si="1"/>
        <v>0.46512108920045175</v>
      </c>
      <c r="BZ24" s="30">
        <f t="shared" si="2"/>
        <v>2.6926498047349623E-3</v>
      </c>
      <c r="CA24" s="30">
        <f t="shared" si="3"/>
        <v>2.840909090909091E-3</v>
      </c>
      <c r="CC24">
        <f t="shared" si="4"/>
        <v>353</v>
      </c>
      <c r="CE24" s="30">
        <f t="shared" si="5"/>
        <v>6.4318817101316442E-2</v>
      </c>
      <c r="CF24" s="30">
        <f t="shared" si="6"/>
        <v>6.4407731628953774E-2</v>
      </c>
      <c r="CG24" s="30">
        <f t="shared" si="7"/>
        <v>5.0354136217502399E-5</v>
      </c>
      <c r="CH24" s="30">
        <f t="shared" si="8"/>
        <v>5.0360074532910306E-5</v>
      </c>
    </row>
    <row r="25" spans="1:86">
      <c r="A25" s="11" t="s">
        <v>68</v>
      </c>
      <c r="B25" s="11" t="s">
        <v>658</v>
      </c>
      <c r="C25" s="96">
        <v>1192</v>
      </c>
      <c r="D25" s="97">
        <v>144</v>
      </c>
      <c r="E25" s="119" t="s">
        <v>301</v>
      </c>
      <c r="F25" s="96">
        <v>2014</v>
      </c>
      <c r="G25" t="s">
        <v>302</v>
      </c>
      <c r="H25" t="s">
        <v>303</v>
      </c>
      <c r="I25" s="97">
        <v>2</v>
      </c>
      <c r="J25">
        <v>2009</v>
      </c>
      <c r="K25" s="96" t="s">
        <v>73</v>
      </c>
      <c r="L25">
        <v>13</v>
      </c>
      <c r="M25" s="96" t="s">
        <v>269</v>
      </c>
      <c r="N25" t="s">
        <v>223</v>
      </c>
      <c r="O25" s="96" t="s">
        <v>81</v>
      </c>
      <c r="P25" t="s">
        <v>241</v>
      </c>
      <c r="Q25" s="96" t="s">
        <v>252</v>
      </c>
      <c r="R25" s="32" t="s">
        <v>257</v>
      </c>
      <c r="S25">
        <v>1</v>
      </c>
      <c r="T25" s="32" t="s">
        <v>263</v>
      </c>
      <c r="U25">
        <v>1</v>
      </c>
      <c r="V25" s="96" t="s">
        <v>229</v>
      </c>
      <c r="W25" s="96" t="s">
        <v>229</v>
      </c>
      <c r="X25" t="s">
        <v>244</v>
      </c>
      <c r="Y25" s="97">
        <v>0</v>
      </c>
      <c r="Z25" s="97">
        <v>0</v>
      </c>
      <c r="AA25" s="97">
        <v>1</v>
      </c>
      <c r="AB25" s="97">
        <v>0</v>
      </c>
      <c r="AC25" s="97">
        <v>0</v>
      </c>
      <c r="AD25" s="97">
        <v>0</v>
      </c>
      <c r="AE25" s="97">
        <v>0</v>
      </c>
      <c r="AF25" s="97">
        <v>0</v>
      </c>
      <c r="AG25" t="s">
        <v>307</v>
      </c>
      <c r="AH25" s="97">
        <v>0</v>
      </c>
      <c r="AI25" s="97">
        <v>0</v>
      </c>
      <c r="AJ25" s="97">
        <v>0</v>
      </c>
      <c r="AK25" s="97">
        <v>1</v>
      </c>
      <c r="AL25" s="97">
        <v>0</v>
      </c>
      <c r="AM25" s="97">
        <v>0</v>
      </c>
      <c r="AN25" s="97">
        <v>0</v>
      </c>
      <c r="AO25" s="97">
        <v>0</v>
      </c>
      <c r="AP25" s="97">
        <v>0</v>
      </c>
      <c r="AQ25" s="97" t="s">
        <v>73</v>
      </c>
      <c r="AR25" t="s">
        <v>233</v>
      </c>
      <c r="AS25" t="s">
        <v>305</v>
      </c>
      <c r="AT25" t="s">
        <v>235</v>
      </c>
      <c r="AU25" s="104">
        <v>2.3839999999999999</v>
      </c>
      <c r="AV25" s="7" t="s">
        <v>80</v>
      </c>
      <c r="AW25" s="16">
        <v>0.18</v>
      </c>
      <c r="AX25">
        <v>0.01</v>
      </c>
      <c r="AY25">
        <v>1</v>
      </c>
      <c r="AZ25">
        <f>AU25/AW25</f>
        <v>13.244444444444444</v>
      </c>
      <c r="BA25" t="s">
        <v>73</v>
      </c>
      <c r="BC25" t="s">
        <v>73</v>
      </c>
      <c r="BD25" t="s">
        <v>73</v>
      </c>
      <c r="BE25" t="s">
        <v>73</v>
      </c>
      <c r="BF25" t="s">
        <v>73</v>
      </c>
      <c r="BG25" t="s">
        <v>73</v>
      </c>
      <c r="BH25" t="s">
        <v>73</v>
      </c>
      <c r="BI25">
        <v>349</v>
      </c>
      <c r="BJ25" s="109">
        <v>19452</v>
      </c>
      <c r="BK25" t="s">
        <v>73</v>
      </c>
      <c r="BL25" t="s">
        <v>73</v>
      </c>
      <c r="BM25" t="s">
        <v>73</v>
      </c>
      <c r="BN25" s="97" t="s">
        <v>73</v>
      </c>
      <c r="BO25" s="97" t="s">
        <v>73</v>
      </c>
      <c r="BP25">
        <v>1</v>
      </c>
      <c r="BQ25">
        <v>14</v>
      </c>
      <c r="BR25">
        <v>1</v>
      </c>
      <c r="BS25" s="110">
        <v>0.2</v>
      </c>
      <c r="BT25" t="s">
        <v>73</v>
      </c>
      <c r="BU25" s="97">
        <v>0</v>
      </c>
      <c r="BV25" s="97">
        <v>0</v>
      </c>
      <c r="BW25" s="97">
        <v>1</v>
      </c>
      <c r="BX25" s="30">
        <f t="shared" si="0"/>
        <v>0.57835709203923469</v>
      </c>
      <c r="BY25" s="30">
        <f t="shared" si="1"/>
        <v>0.65999050186206398</v>
      </c>
      <c r="BZ25" s="30">
        <f t="shared" si="2"/>
        <v>2.3283435703186023E-3</v>
      </c>
      <c r="CA25" s="30">
        <f t="shared" si="3"/>
        <v>2.8901734104046241E-3</v>
      </c>
      <c r="CC25">
        <f t="shared" si="4"/>
        <v>347</v>
      </c>
      <c r="CE25" s="30">
        <f t="shared" si="5"/>
        <v>9.4537081297198303E-2</v>
      </c>
      <c r="CF25" s="30">
        <f t="shared" si="6"/>
        <v>9.4820235378343692E-2</v>
      </c>
      <c r="CG25" s="30">
        <f t="shared" si="7"/>
        <v>5.1407082624548965E-5</v>
      </c>
      <c r="CH25" s="30">
        <f t="shared" si="8"/>
        <v>5.1416525271222172E-5</v>
      </c>
    </row>
    <row r="26" spans="1:86">
      <c r="A26" s="11" t="s">
        <v>68</v>
      </c>
      <c r="B26" s="11" t="s">
        <v>654</v>
      </c>
      <c r="C26" s="96">
        <v>1180</v>
      </c>
      <c r="D26" s="97">
        <v>142</v>
      </c>
      <c r="E26" s="44" t="s">
        <v>283</v>
      </c>
      <c r="F26" s="96">
        <v>2014</v>
      </c>
      <c r="G26" t="s">
        <v>284</v>
      </c>
      <c r="H26" t="s">
        <v>285</v>
      </c>
      <c r="I26" s="97">
        <v>2</v>
      </c>
      <c r="J26">
        <v>2011</v>
      </c>
      <c r="K26" s="96" t="s">
        <v>73</v>
      </c>
      <c r="L26">
        <v>582</v>
      </c>
      <c r="M26" s="96" t="s">
        <v>269</v>
      </c>
      <c r="N26" t="s">
        <v>223</v>
      </c>
      <c r="O26" s="96" t="s">
        <v>81</v>
      </c>
      <c r="P26" t="s">
        <v>241</v>
      </c>
      <c r="Q26" s="96" t="s">
        <v>252</v>
      </c>
      <c r="R26" t="s">
        <v>243</v>
      </c>
      <c r="S26">
        <v>1</v>
      </c>
      <c r="T26" s="32" t="s">
        <v>263</v>
      </c>
      <c r="U26">
        <v>1</v>
      </c>
      <c r="V26" s="96" t="s">
        <v>229</v>
      </c>
      <c r="W26" s="96" t="s">
        <v>229</v>
      </c>
      <c r="X26" t="s">
        <v>244</v>
      </c>
      <c r="Y26" s="97">
        <v>0</v>
      </c>
      <c r="Z26" s="97">
        <v>1</v>
      </c>
      <c r="AA26" s="97">
        <v>1</v>
      </c>
      <c r="AB26" s="97">
        <v>0</v>
      </c>
      <c r="AC26" s="97">
        <v>0</v>
      </c>
      <c r="AD26" s="97">
        <v>0</v>
      </c>
      <c r="AE26" s="97">
        <v>0</v>
      </c>
      <c r="AF26" s="97">
        <v>0</v>
      </c>
      <c r="AG26" t="s">
        <v>286</v>
      </c>
      <c r="AH26" s="97">
        <v>0</v>
      </c>
      <c r="AI26" s="97">
        <v>0</v>
      </c>
      <c r="AJ26" s="97">
        <v>0</v>
      </c>
      <c r="AK26" s="97">
        <v>0</v>
      </c>
      <c r="AL26" s="97">
        <v>0</v>
      </c>
      <c r="AM26" s="97">
        <v>0</v>
      </c>
      <c r="AN26" s="97">
        <v>1</v>
      </c>
      <c r="AO26" s="97">
        <v>0</v>
      </c>
      <c r="AP26" s="97">
        <v>0</v>
      </c>
      <c r="AQ26" s="97" t="s">
        <v>73</v>
      </c>
      <c r="AR26" t="s">
        <v>233</v>
      </c>
      <c r="AS26" t="s">
        <v>287</v>
      </c>
      <c r="AT26" t="s">
        <v>73</v>
      </c>
      <c r="AU26" s="104">
        <v>0.7</v>
      </c>
      <c r="AV26" s="7" t="s">
        <v>80</v>
      </c>
      <c r="AW26">
        <f t="shared" ref="AW26:AW32" si="11">AU26/AZ26</f>
        <v>9.8591549295774641E-2</v>
      </c>
      <c r="AX26">
        <v>0.1</v>
      </c>
      <c r="AY26">
        <v>1</v>
      </c>
      <c r="AZ26">
        <v>7.1</v>
      </c>
      <c r="BA26" t="s">
        <v>73</v>
      </c>
      <c r="BC26" t="s">
        <v>73</v>
      </c>
      <c r="BD26" t="s">
        <v>73</v>
      </c>
      <c r="BE26" t="s">
        <v>73</v>
      </c>
      <c r="BF26" t="s">
        <v>73</v>
      </c>
      <c r="BG26" t="s">
        <v>73</v>
      </c>
      <c r="BH26" t="s">
        <v>73</v>
      </c>
      <c r="BI26">
        <v>1184</v>
      </c>
      <c r="BJ26">
        <v>1184</v>
      </c>
      <c r="BK26" t="s">
        <v>73</v>
      </c>
      <c r="BL26" t="s">
        <v>73</v>
      </c>
      <c r="BM26" s="97" t="s">
        <v>73</v>
      </c>
      <c r="BN26" s="97" t="s">
        <v>73</v>
      </c>
      <c r="BO26" s="97" t="s">
        <v>73</v>
      </c>
      <c r="BP26">
        <v>1</v>
      </c>
      <c r="BQ26">
        <v>288</v>
      </c>
      <c r="BR26">
        <v>0</v>
      </c>
      <c r="BS26" s="97" t="s">
        <v>73</v>
      </c>
      <c r="BT26" s="97" t="s">
        <v>73</v>
      </c>
      <c r="BU26" s="97">
        <v>1</v>
      </c>
      <c r="BV26" s="97">
        <v>0</v>
      </c>
      <c r="BW26" s="97">
        <v>1</v>
      </c>
      <c r="BX26" s="30">
        <f t="shared" si="0"/>
        <v>0.2020824660717096</v>
      </c>
      <c r="BY26" s="30">
        <f t="shared" si="1"/>
        <v>0.20490273447739515</v>
      </c>
      <c r="BZ26" s="30">
        <f t="shared" si="2"/>
        <v>8.4381846898462422E-4</v>
      </c>
      <c r="CA26" s="30">
        <f t="shared" si="3"/>
        <v>8.4674005080440302E-4</v>
      </c>
      <c r="CC26">
        <f t="shared" si="4"/>
        <v>1182</v>
      </c>
      <c r="CE26" s="30">
        <f t="shared" si="5"/>
        <v>0.2020824660717096</v>
      </c>
      <c r="CF26" s="30">
        <f t="shared" si="6"/>
        <v>0.20490273447739515</v>
      </c>
      <c r="CG26" s="30">
        <f t="shared" si="7"/>
        <v>8.4381846898462422E-4</v>
      </c>
      <c r="CH26" s="30">
        <f t="shared" si="8"/>
        <v>8.4674005080440302E-4</v>
      </c>
    </row>
    <row r="27" spans="1:86" s="103" customFormat="1">
      <c r="A27" s="11" t="s">
        <v>68</v>
      </c>
      <c r="B27" s="11" t="s">
        <v>654</v>
      </c>
      <c r="C27" s="96">
        <v>1181</v>
      </c>
      <c r="D27" s="97">
        <v>142</v>
      </c>
      <c r="E27" s="44" t="s">
        <v>283</v>
      </c>
      <c r="F27" s="96">
        <v>2014</v>
      </c>
      <c r="G27" t="s">
        <v>284</v>
      </c>
      <c r="H27" t="s">
        <v>285</v>
      </c>
      <c r="I27" s="97">
        <v>2</v>
      </c>
      <c r="J27">
        <v>2011</v>
      </c>
      <c r="K27" s="96" t="s">
        <v>73</v>
      </c>
      <c r="L27">
        <v>582</v>
      </c>
      <c r="M27" s="96" t="s">
        <v>269</v>
      </c>
      <c r="N27" t="s">
        <v>223</v>
      </c>
      <c r="O27" s="96" t="s">
        <v>81</v>
      </c>
      <c r="P27" t="s">
        <v>241</v>
      </c>
      <c r="Q27" s="96" t="s">
        <v>252</v>
      </c>
      <c r="R27" t="s">
        <v>243</v>
      </c>
      <c r="S27">
        <v>1</v>
      </c>
      <c r="T27" s="32" t="s">
        <v>263</v>
      </c>
      <c r="U27">
        <v>1</v>
      </c>
      <c r="V27" s="96" t="s">
        <v>229</v>
      </c>
      <c r="W27" s="96" t="s">
        <v>229</v>
      </c>
      <c r="X27" t="s">
        <v>244</v>
      </c>
      <c r="Y27" s="97">
        <v>0</v>
      </c>
      <c r="Z27" s="97">
        <v>1</v>
      </c>
      <c r="AA27" s="97">
        <v>1</v>
      </c>
      <c r="AB27" s="97">
        <v>0</v>
      </c>
      <c r="AC27" s="97">
        <v>0</v>
      </c>
      <c r="AD27" s="97">
        <v>0</v>
      </c>
      <c r="AE27" s="97">
        <v>0</v>
      </c>
      <c r="AF27" s="97">
        <v>0</v>
      </c>
      <c r="AG27" t="s">
        <v>288</v>
      </c>
      <c r="AH27" s="97">
        <v>0</v>
      </c>
      <c r="AI27" s="97">
        <v>0</v>
      </c>
      <c r="AJ27" s="97">
        <v>0</v>
      </c>
      <c r="AK27" s="97">
        <v>0</v>
      </c>
      <c r="AL27" s="97">
        <v>0</v>
      </c>
      <c r="AM27" s="97">
        <v>0</v>
      </c>
      <c r="AN27" s="97">
        <v>1</v>
      </c>
      <c r="AO27" s="97">
        <v>0</v>
      </c>
      <c r="AP27" s="97">
        <v>0</v>
      </c>
      <c r="AQ27" s="97" t="s">
        <v>73</v>
      </c>
      <c r="AR27" t="s">
        <v>233</v>
      </c>
      <c r="AS27" t="s">
        <v>287</v>
      </c>
      <c r="AT27" t="s">
        <v>73</v>
      </c>
      <c r="AU27" s="104">
        <v>0.111</v>
      </c>
      <c r="AV27" s="7" t="s">
        <v>80</v>
      </c>
      <c r="AW27">
        <f t="shared" si="11"/>
        <v>0.15416666666666667</v>
      </c>
      <c r="AX27">
        <v>0.1</v>
      </c>
      <c r="AY27">
        <v>2</v>
      </c>
      <c r="AZ27">
        <v>0.72</v>
      </c>
      <c r="BA27" t="s">
        <v>73</v>
      </c>
      <c r="BB27"/>
      <c r="BC27" t="s">
        <v>73</v>
      </c>
      <c r="BD27" t="s">
        <v>73</v>
      </c>
      <c r="BE27" t="s">
        <v>73</v>
      </c>
      <c r="BF27" t="s">
        <v>73</v>
      </c>
      <c r="BG27" t="s">
        <v>73</v>
      </c>
      <c r="BH27" t="s">
        <v>73</v>
      </c>
      <c r="BI27">
        <v>1184</v>
      </c>
      <c r="BJ27">
        <v>1184</v>
      </c>
      <c r="BK27" t="s">
        <v>73</v>
      </c>
      <c r="BL27" t="s">
        <v>73</v>
      </c>
      <c r="BM27" s="97" t="s">
        <v>73</v>
      </c>
      <c r="BN27" s="97" t="s">
        <v>73</v>
      </c>
      <c r="BO27" s="97" t="s">
        <v>73</v>
      </c>
      <c r="BP27">
        <v>1</v>
      </c>
      <c r="BQ27">
        <v>288</v>
      </c>
      <c r="BR27">
        <v>0</v>
      </c>
      <c r="BS27" s="97" t="s">
        <v>73</v>
      </c>
      <c r="BT27" s="97" t="s">
        <v>73</v>
      </c>
      <c r="BU27" s="97">
        <v>1</v>
      </c>
      <c r="BV27" s="97">
        <v>0</v>
      </c>
      <c r="BW27" s="97">
        <v>1</v>
      </c>
      <c r="BX27" s="30">
        <f t="shared" si="0"/>
        <v>2.0919995692237577E-2</v>
      </c>
      <c r="BY27" s="30">
        <f t="shared" si="1"/>
        <v>2.0923048346211292E-2</v>
      </c>
      <c r="BZ27" s="30">
        <f t="shared" si="2"/>
        <v>8.453083756162019E-4</v>
      </c>
      <c r="CA27" s="30">
        <f t="shared" si="3"/>
        <v>8.4674005080440302E-4</v>
      </c>
      <c r="CB27"/>
      <c r="CC27">
        <f t="shared" si="4"/>
        <v>1182</v>
      </c>
      <c r="CD27"/>
      <c r="CE27" s="30">
        <f t="shared" si="5"/>
        <v>2.0919995692237577E-2</v>
      </c>
      <c r="CF27" s="30">
        <f t="shared" si="6"/>
        <v>2.0923048346211292E-2</v>
      </c>
      <c r="CG27" s="30">
        <f t="shared" si="7"/>
        <v>8.453083756162019E-4</v>
      </c>
      <c r="CH27" s="30">
        <f t="shared" si="8"/>
        <v>8.4674005080440302E-4</v>
      </c>
    </row>
    <row r="28" spans="1:86" s="107" customFormat="1">
      <c r="A28" s="11" t="s">
        <v>68</v>
      </c>
      <c r="B28" s="11" t="s">
        <v>654</v>
      </c>
      <c r="C28" s="96">
        <v>1182</v>
      </c>
      <c r="D28" s="97">
        <v>142</v>
      </c>
      <c r="E28" s="44" t="s">
        <v>283</v>
      </c>
      <c r="F28" s="96">
        <v>2014</v>
      </c>
      <c r="G28" t="s">
        <v>284</v>
      </c>
      <c r="H28" t="s">
        <v>285</v>
      </c>
      <c r="I28" s="97">
        <v>2</v>
      </c>
      <c r="J28">
        <v>2011</v>
      </c>
      <c r="K28" s="96" t="s">
        <v>73</v>
      </c>
      <c r="L28">
        <v>582</v>
      </c>
      <c r="M28" s="96" t="s">
        <v>269</v>
      </c>
      <c r="N28" t="s">
        <v>223</v>
      </c>
      <c r="O28" s="96" t="s">
        <v>81</v>
      </c>
      <c r="P28" t="s">
        <v>241</v>
      </c>
      <c r="Q28" s="96" t="s">
        <v>252</v>
      </c>
      <c r="R28" t="s">
        <v>243</v>
      </c>
      <c r="S28">
        <v>1</v>
      </c>
      <c r="T28" s="32" t="s">
        <v>263</v>
      </c>
      <c r="U28">
        <v>1</v>
      </c>
      <c r="V28" s="96" t="s">
        <v>229</v>
      </c>
      <c r="W28" s="96" t="s">
        <v>229</v>
      </c>
      <c r="X28" t="s">
        <v>244</v>
      </c>
      <c r="Y28" s="97">
        <v>0</v>
      </c>
      <c r="Z28" s="97">
        <v>0</v>
      </c>
      <c r="AA28" s="97">
        <v>1</v>
      </c>
      <c r="AB28" s="97">
        <v>0</v>
      </c>
      <c r="AC28" s="97">
        <v>0</v>
      </c>
      <c r="AD28" s="97">
        <v>0</v>
      </c>
      <c r="AE28" s="97">
        <v>0</v>
      </c>
      <c r="AF28" s="97">
        <v>0</v>
      </c>
      <c r="AG28" t="s">
        <v>289</v>
      </c>
      <c r="AH28" s="97">
        <v>0</v>
      </c>
      <c r="AI28" s="97">
        <v>0</v>
      </c>
      <c r="AJ28" s="97">
        <v>0</v>
      </c>
      <c r="AK28" s="97">
        <v>0</v>
      </c>
      <c r="AL28" s="97">
        <v>0</v>
      </c>
      <c r="AM28" s="97">
        <v>0</v>
      </c>
      <c r="AN28" s="97">
        <v>1</v>
      </c>
      <c r="AO28" s="97">
        <v>0</v>
      </c>
      <c r="AP28" s="97">
        <v>0</v>
      </c>
      <c r="AQ28" s="97" t="s">
        <v>73</v>
      </c>
      <c r="AR28" t="s">
        <v>233</v>
      </c>
      <c r="AS28" t="s">
        <v>287</v>
      </c>
      <c r="AT28" t="s">
        <v>73</v>
      </c>
      <c r="AU28" s="104">
        <v>0.13200000000000001</v>
      </c>
      <c r="AV28" s="7" t="s">
        <v>86</v>
      </c>
      <c r="AW28">
        <f t="shared" si="11"/>
        <v>0.11478260869565218</v>
      </c>
      <c r="AX28">
        <v>0.1</v>
      </c>
      <c r="AY28">
        <v>2</v>
      </c>
      <c r="AZ28">
        <v>1.1499999999999999</v>
      </c>
      <c r="BA28" t="s">
        <v>73</v>
      </c>
      <c r="BB28"/>
      <c r="BC28" t="s">
        <v>73</v>
      </c>
      <c r="BD28" t="s">
        <v>73</v>
      </c>
      <c r="BE28" t="s">
        <v>73</v>
      </c>
      <c r="BF28" t="s">
        <v>73</v>
      </c>
      <c r="BG28" t="s">
        <v>73</v>
      </c>
      <c r="BH28" t="s">
        <v>73</v>
      </c>
      <c r="BI28">
        <v>1184</v>
      </c>
      <c r="BJ28">
        <v>1184</v>
      </c>
      <c r="BK28" t="s">
        <v>73</v>
      </c>
      <c r="BL28" t="s">
        <v>73</v>
      </c>
      <c r="BM28" s="97" t="s">
        <v>73</v>
      </c>
      <c r="BN28" s="97" t="s">
        <v>73</v>
      </c>
      <c r="BO28" s="97" t="s">
        <v>73</v>
      </c>
      <c r="BP28">
        <v>1</v>
      </c>
      <c r="BQ28">
        <v>288</v>
      </c>
      <c r="BR28">
        <v>0</v>
      </c>
      <c r="BS28" s="97" t="s">
        <v>73</v>
      </c>
      <c r="BT28" s="97" t="s">
        <v>73</v>
      </c>
      <c r="BU28" s="97">
        <v>1</v>
      </c>
      <c r="BV28" s="97">
        <v>0</v>
      </c>
      <c r="BW28" s="97">
        <v>1</v>
      </c>
      <c r="BX28" s="30">
        <f t="shared" si="0"/>
        <v>3.3402546418006968E-2</v>
      </c>
      <c r="BY28" s="30">
        <f t="shared" si="1"/>
        <v>3.341497748312889E-2</v>
      </c>
      <c r="BZ28" s="30">
        <f t="shared" si="2"/>
        <v>8.4530748376344727E-4</v>
      </c>
      <c r="CA28" s="30">
        <f t="shared" si="3"/>
        <v>8.4674005080440302E-4</v>
      </c>
      <c r="CB28"/>
      <c r="CC28">
        <f t="shared" si="4"/>
        <v>1182</v>
      </c>
      <c r="CD28"/>
      <c r="CE28" s="30">
        <f t="shared" si="5"/>
        <v>3.3402546418006968E-2</v>
      </c>
      <c r="CF28" s="30">
        <f t="shared" si="6"/>
        <v>3.341497748312889E-2</v>
      </c>
      <c r="CG28" s="30">
        <f t="shared" si="7"/>
        <v>8.4530748376344727E-4</v>
      </c>
      <c r="CH28" s="30">
        <f t="shared" si="8"/>
        <v>8.4674005080440302E-4</v>
      </c>
    </row>
    <row r="29" spans="1:86" s="107" customFormat="1">
      <c r="A29" s="11" t="s">
        <v>68</v>
      </c>
      <c r="B29" s="11" t="s">
        <v>654</v>
      </c>
      <c r="C29" s="96">
        <v>1183</v>
      </c>
      <c r="D29" s="97">
        <v>142</v>
      </c>
      <c r="E29" s="44" t="s">
        <v>283</v>
      </c>
      <c r="F29" s="96">
        <v>2014</v>
      </c>
      <c r="G29" t="s">
        <v>284</v>
      </c>
      <c r="H29" t="s">
        <v>285</v>
      </c>
      <c r="I29" s="97">
        <v>2</v>
      </c>
      <c r="J29">
        <v>2011</v>
      </c>
      <c r="K29" s="96" t="s">
        <v>73</v>
      </c>
      <c r="L29">
        <v>582</v>
      </c>
      <c r="M29" s="96" t="s">
        <v>269</v>
      </c>
      <c r="N29" t="s">
        <v>223</v>
      </c>
      <c r="O29" s="96" t="s">
        <v>81</v>
      </c>
      <c r="P29" t="s">
        <v>241</v>
      </c>
      <c r="Q29" s="96" t="s">
        <v>252</v>
      </c>
      <c r="R29" t="s">
        <v>243</v>
      </c>
      <c r="S29">
        <v>1</v>
      </c>
      <c r="T29" s="32" t="s">
        <v>263</v>
      </c>
      <c r="U29">
        <v>1</v>
      </c>
      <c r="V29" s="96" t="s">
        <v>229</v>
      </c>
      <c r="W29" s="96" t="s">
        <v>229</v>
      </c>
      <c r="X29" t="s">
        <v>244</v>
      </c>
      <c r="Y29" s="97">
        <v>0</v>
      </c>
      <c r="Z29" s="97">
        <v>0</v>
      </c>
      <c r="AA29" s="97">
        <v>1</v>
      </c>
      <c r="AB29" s="97">
        <v>0</v>
      </c>
      <c r="AC29" s="97">
        <v>0</v>
      </c>
      <c r="AD29" s="97">
        <v>0</v>
      </c>
      <c r="AE29" s="97">
        <v>0</v>
      </c>
      <c r="AF29" s="97">
        <v>0</v>
      </c>
      <c r="AG29" t="s">
        <v>290</v>
      </c>
      <c r="AH29" s="97">
        <v>0</v>
      </c>
      <c r="AI29" s="97">
        <v>0</v>
      </c>
      <c r="AJ29" s="97">
        <v>0</v>
      </c>
      <c r="AK29" s="97">
        <v>0</v>
      </c>
      <c r="AL29" s="97">
        <v>0</v>
      </c>
      <c r="AM29" s="97">
        <v>0</v>
      </c>
      <c r="AN29" s="97">
        <v>1</v>
      </c>
      <c r="AO29" s="97">
        <v>0</v>
      </c>
      <c r="AP29" s="97">
        <v>0</v>
      </c>
      <c r="AQ29" s="97" t="s">
        <v>73</v>
      </c>
      <c r="AR29" t="s">
        <v>233</v>
      </c>
      <c r="AS29" t="s">
        <v>287</v>
      </c>
      <c r="AT29" t="s">
        <v>73</v>
      </c>
      <c r="AU29" s="104">
        <v>0.152</v>
      </c>
      <c r="AV29" s="7" t="s">
        <v>86</v>
      </c>
      <c r="AW29">
        <f t="shared" si="11"/>
        <v>0.14476190476190476</v>
      </c>
      <c r="AX29">
        <v>0.1</v>
      </c>
      <c r="AY29">
        <v>2</v>
      </c>
      <c r="AZ29">
        <v>1.05</v>
      </c>
      <c r="BA29" t="s">
        <v>73</v>
      </c>
      <c r="BB29"/>
      <c r="BC29" t="s">
        <v>73</v>
      </c>
      <c r="BD29" t="s">
        <v>73</v>
      </c>
      <c r="BE29" t="s">
        <v>73</v>
      </c>
      <c r="BF29" t="s">
        <v>73</v>
      </c>
      <c r="BG29" t="s">
        <v>73</v>
      </c>
      <c r="BH29" t="s">
        <v>73</v>
      </c>
      <c r="BI29">
        <v>1184</v>
      </c>
      <c r="BJ29">
        <v>1184</v>
      </c>
      <c r="BK29" t="s">
        <v>73</v>
      </c>
      <c r="BL29" t="s">
        <v>73</v>
      </c>
      <c r="BM29" s="97" t="s">
        <v>73</v>
      </c>
      <c r="BN29" s="97" t="s">
        <v>73</v>
      </c>
      <c r="BO29" s="97" t="s">
        <v>73</v>
      </c>
      <c r="BP29">
        <v>1</v>
      </c>
      <c r="BQ29">
        <v>288</v>
      </c>
      <c r="BR29">
        <v>0</v>
      </c>
      <c r="BS29" s="97" t="s">
        <v>73</v>
      </c>
      <c r="BT29" s="97" t="s">
        <v>73</v>
      </c>
      <c r="BU29" s="97">
        <v>1</v>
      </c>
      <c r="BV29" s="97">
        <v>0</v>
      </c>
      <c r="BW29" s="97">
        <v>1</v>
      </c>
      <c r="BX29" s="30">
        <f t="shared" si="0"/>
        <v>3.050080782390133E-2</v>
      </c>
      <c r="BY29" s="30">
        <f t="shared" si="1"/>
        <v>3.0510271400002755E-2</v>
      </c>
      <c r="BZ29" s="30">
        <f t="shared" si="2"/>
        <v>8.453078051298751E-4</v>
      </c>
      <c r="CA29" s="30">
        <f t="shared" si="3"/>
        <v>8.4674005080440302E-4</v>
      </c>
      <c r="CB29"/>
      <c r="CC29">
        <f t="shared" si="4"/>
        <v>1182</v>
      </c>
      <c r="CD29"/>
      <c r="CE29" s="30">
        <f t="shared" si="5"/>
        <v>3.050080782390133E-2</v>
      </c>
      <c r="CF29" s="30">
        <f t="shared" si="6"/>
        <v>3.0510271400002755E-2</v>
      </c>
      <c r="CG29" s="30">
        <f t="shared" si="7"/>
        <v>8.453078051298751E-4</v>
      </c>
      <c r="CH29" s="30">
        <f t="shared" si="8"/>
        <v>8.4674005080440302E-4</v>
      </c>
    </row>
    <row r="30" spans="1:86" s="107" customFormat="1">
      <c r="A30" s="11" t="s">
        <v>68</v>
      </c>
      <c r="B30" s="11" t="s">
        <v>654</v>
      </c>
      <c r="C30" s="96">
        <v>1184</v>
      </c>
      <c r="D30" s="97">
        <v>142</v>
      </c>
      <c r="E30" s="44" t="s">
        <v>283</v>
      </c>
      <c r="F30" s="96">
        <v>2014</v>
      </c>
      <c r="G30" t="s">
        <v>284</v>
      </c>
      <c r="H30" t="s">
        <v>285</v>
      </c>
      <c r="I30" s="97">
        <v>2</v>
      </c>
      <c r="J30">
        <v>2011</v>
      </c>
      <c r="K30" s="96" t="s">
        <v>73</v>
      </c>
      <c r="L30">
        <v>582</v>
      </c>
      <c r="M30" s="96" t="s">
        <v>269</v>
      </c>
      <c r="N30" t="s">
        <v>223</v>
      </c>
      <c r="O30" s="96" t="s">
        <v>81</v>
      </c>
      <c r="P30" t="s">
        <v>241</v>
      </c>
      <c r="Q30" s="96" t="s">
        <v>252</v>
      </c>
      <c r="R30" t="s">
        <v>243</v>
      </c>
      <c r="S30">
        <v>1</v>
      </c>
      <c r="T30" s="32" t="s">
        <v>263</v>
      </c>
      <c r="U30">
        <v>1</v>
      </c>
      <c r="V30" s="96" t="s">
        <v>229</v>
      </c>
      <c r="W30" s="96" t="s">
        <v>229</v>
      </c>
      <c r="X30" t="s">
        <v>244</v>
      </c>
      <c r="Y30" s="97">
        <v>0</v>
      </c>
      <c r="Z30" s="97">
        <v>1</v>
      </c>
      <c r="AA30" s="97">
        <v>1</v>
      </c>
      <c r="AB30" s="97">
        <v>0</v>
      </c>
      <c r="AC30" s="97">
        <v>0</v>
      </c>
      <c r="AD30" s="97">
        <v>0</v>
      </c>
      <c r="AE30" s="97">
        <v>0</v>
      </c>
      <c r="AF30" s="97">
        <v>0</v>
      </c>
      <c r="AG30" t="s">
        <v>291</v>
      </c>
      <c r="AH30" s="97">
        <v>0</v>
      </c>
      <c r="AI30" s="97">
        <v>0</v>
      </c>
      <c r="AJ30" s="97">
        <v>0</v>
      </c>
      <c r="AK30" s="97">
        <v>0</v>
      </c>
      <c r="AL30" s="97">
        <v>0</v>
      </c>
      <c r="AM30" s="97">
        <v>0</v>
      </c>
      <c r="AN30" s="97">
        <v>1</v>
      </c>
      <c r="AO30" s="97">
        <v>0</v>
      </c>
      <c r="AP30" s="97">
        <v>0</v>
      </c>
      <c r="AQ30" s="97" t="s">
        <v>73</v>
      </c>
      <c r="AR30" t="s">
        <v>233</v>
      </c>
      <c r="AS30" t="s">
        <v>287</v>
      </c>
      <c r="AT30" t="s">
        <v>73</v>
      </c>
      <c r="AU30" s="104">
        <v>0.34</v>
      </c>
      <c r="AV30" s="7" t="s">
        <v>80</v>
      </c>
      <c r="AW30">
        <f t="shared" si="11"/>
        <v>0.15044247787610621</v>
      </c>
      <c r="AX30">
        <v>0.1</v>
      </c>
      <c r="AY30">
        <v>1</v>
      </c>
      <c r="AZ30">
        <v>2.2599999999999998</v>
      </c>
      <c r="BA30" t="s">
        <v>73</v>
      </c>
      <c r="BB30"/>
      <c r="BC30" t="s">
        <v>73</v>
      </c>
      <c r="BD30" t="s">
        <v>73</v>
      </c>
      <c r="BE30" t="s">
        <v>73</v>
      </c>
      <c r="BF30" t="s">
        <v>73</v>
      </c>
      <c r="BG30" t="s">
        <v>73</v>
      </c>
      <c r="BH30" t="s">
        <v>73</v>
      </c>
      <c r="BI30">
        <v>1184</v>
      </c>
      <c r="BJ30">
        <v>1184</v>
      </c>
      <c r="BK30" t="s">
        <v>73</v>
      </c>
      <c r="BL30" t="s">
        <v>73</v>
      </c>
      <c r="BM30" s="97" t="s">
        <v>73</v>
      </c>
      <c r="BN30" s="97" t="s">
        <v>73</v>
      </c>
      <c r="BO30" s="97" t="s">
        <v>73</v>
      </c>
      <c r="BP30">
        <v>1</v>
      </c>
      <c r="BQ30">
        <v>288</v>
      </c>
      <c r="BR30">
        <v>0</v>
      </c>
      <c r="BS30" s="97" t="s">
        <v>73</v>
      </c>
      <c r="BT30" s="97" t="s">
        <v>73</v>
      </c>
      <c r="BU30" s="97">
        <v>1</v>
      </c>
      <c r="BV30" s="97">
        <v>0</v>
      </c>
      <c r="BW30" s="97">
        <v>1</v>
      </c>
      <c r="BX30" s="30">
        <f t="shared" si="0"/>
        <v>6.5538705898597463E-2</v>
      </c>
      <c r="BY30" s="30">
        <f t="shared" si="1"/>
        <v>6.563278509260187E-2</v>
      </c>
      <c r="BZ30" s="30">
        <f t="shared" si="2"/>
        <v>8.4529285210817155E-4</v>
      </c>
      <c r="CA30" s="30">
        <f t="shared" si="3"/>
        <v>8.4674005080440302E-4</v>
      </c>
      <c r="CB30"/>
      <c r="CC30">
        <f t="shared" si="4"/>
        <v>1182</v>
      </c>
      <c r="CD30"/>
      <c r="CE30" s="30">
        <f t="shared" si="5"/>
        <v>6.5538705898597463E-2</v>
      </c>
      <c r="CF30" s="30">
        <f t="shared" si="6"/>
        <v>6.563278509260187E-2</v>
      </c>
      <c r="CG30" s="30">
        <f t="shared" si="7"/>
        <v>8.4529285210817155E-4</v>
      </c>
      <c r="CH30" s="30">
        <f t="shared" si="8"/>
        <v>8.4674005080440302E-4</v>
      </c>
    </row>
    <row r="31" spans="1:86" ht="15.75" customHeight="1">
      <c r="A31" s="11" t="s">
        <v>68</v>
      </c>
      <c r="B31" s="11" t="s">
        <v>654</v>
      </c>
      <c r="C31" s="96">
        <v>1185</v>
      </c>
      <c r="D31" s="97">
        <v>142</v>
      </c>
      <c r="E31" s="44" t="s">
        <v>283</v>
      </c>
      <c r="F31" s="96">
        <v>2014</v>
      </c>
      <c r="G31" t="s">
        <v>284</v>
      </c>
      <c r="H31" t="s">
        <v>285</v>
      </c>
      <c r="I31" s="97">
        <v>2</v>
      </c>
      <c r="J31">
        <v>2011</v>
      </c>
      <c r="K31" s="96" t="s">
        <v>73</v>
      </c>
      <c r="L31">
        <v>582</v>
      </c>
      <c r="M31" s="96" t="s">
        <v>269</v>
      </c>
      <c r="N31" t="s">
        <v>223</v>
      </c>
      <c r="O31" s="96" t="s">
        <v>81</v>
      </c>
      <c r="P31" t="s">
        <v>241</v>
      </c>
      <c r="Q31" s="96" t="s">
        <v>252</v>
      </c>
      <c r="R31" t="s">
        <v>243</v>
      </c>
      <c r="S31">
        <v>1</v>
      </c>
      <c r="T31" s="32" t="s">
        <v>263</v>
      </c>
      <c r="U31">
        <v>1</v>
      </c>
      <c r="V31" s="96" t="s">
        <v>229</v>
      </c>
      <c r="W31" s="96" t="s">
        <v>229</v>
      </c>
      <c r="X31" t="s">
        <v>244</v>
      </c>
      <c r="Y31" s="97">
        <v>0</v>
      </c>
      <c r="Z31" s="97">
        <v>1</v>
      </c>
      <c r="AA31" s="97">
        <v>1</v>
      </c>
      <c r="AB31" s="97">
        <v>0</v>
      </c>
      <c r="AC31" s="97">
        <v>0</v>
      </c>
      <c r="AD31" s="97">
        <v>0</v>
      </c>
      <c r="AE31" s="97">
        <v>0</v>
      </c>
      <c r="AF31" s="97">
        <v>0</v>
      </c>
      <c r="AG31" t="s">
        <v>292</v>
      </c>
      <c r="AH31" s="97">
        <v>0</v>
      </c>
      <c r="AI31" s="97">
        <v>0</v>
      </c>
      <c r="AJ31" s="97">
        <v>0</v>
      </c>
      <c r="AK31" s="97">
        <v>0</v>
      </c>
      <c r="AL31" s="97">
        <v>0</v>
      </c>
      <c r="AM31" s="97">
        <v>0</v>
      </c>
      <c r="AN31" s="97">
        <v>1</v>
      </c>
      <c r="AO31" s="97">
        <v>0</v>
      </c>
      <c r="AP31" s="97">
        <v>0</v>
      </c>
      <c r="AQ31" s="97" t="s">
        <v>73</v>
      </c>
      <c r="AR31" t="s">
        <v>233</v>
      </c>
      <c r="AS31" t="s">
        <v>287</v>
      </c>
      <c r="AT31" t="s">
        <v>73</v>
      </c>
      <c r="AU31" s="104">
        <v>0.249</v>
      </c>
      <c r="AV31" s="7" t="s">
        <v>80</v>
      </c>
      <c r="AW31">
        <f t="shared" si="11"/>
        <v>0.13387096774193546</v>
      </c>
      <c r="AX31">
        <v>0.1</v>
      </c>
      <c r="AY31">
        <v>1</v>
      </c>
      <c r="AZ31">
        <v>1.86</v>
      </c>
      <c r="BA31" t="s">
        <v>73</v>
      </c>
      <c r="BC31" t="s">
        <v>73</v>
      </c>
      <c r="BD31" t="s">
        <v>73</v>
      </c>
      <c r="BE31" t="s">
        <v>73</v>
      </c>
      <c r="BF31" t="s">
        <v>73</v>
      </c>
      <c r="BG31" t="s">
        <v>73</v>
      </c>
      <c r="BH31" t="s">
        <v>73</v>
      </c>
      <c r="BI31">
        <v>1184</v>
      </c>
      <c r="BJ31">
        <v>1184</v>
      </c>
      <c r="BK31" t="s">
        <v>73</v>
      </c>
      <c r="BL31" t="s">
        <v>73</v>
      </c>
      <c r="BM31" s="97" t="s">
        <v>73</v>
      </c>
      <c r="BN31" s="97" t="s">
        <v>73</v>
      </c>
      <c r="BO31" s="97" t="s">
        <v>73</v>
      </c>
      <c r="BP31">
        <v>1</v>
      </c>
      <c r="BQ31">
        <v>288</v>
      </c>
      <c r="BR31">
        <v>0</v>
      </c>
      <c r="BS31" s="97" t="s">
        <v>73</v>
      </c>
      <c r="BT31" s="97" t="s">
        <v>73</v>
      </c>
      <c r="BU31" s="97">
        <v>1</v>
      </c>
      <c r="BV31" s="97">
        <v>0</v>
      </c>
      <c r="BW31" s="97">
        <v>1</v>
      </c>
      <c r="BX31" s="30">
        <f t="shared" si="0"/>
        <v>5.3976351182136464E-2</v>
      </c>
      <c r="BY31" s="30">
        <f t="shared" si="1"/>
        <v>5.402886207559579E-2</v>
      </c>
      <c r="BZ31" s="30">
        <f t="shared" si="2"/>
        <v>8.4530133453125005E-4</v>
      </c>
      <c r="CA31" s="30">
        <f t="shared" si="3"/>
        <v>8.4674005080440302E-4</v>
      </c>
      <c r="CC31">
        <f t="shared" si="4"/>
        <v>1182</v>
      </c>
      <c r="CE31" s="30">
        <f t="shared" si="5"/>
        <v>5.3976351182136464E-2</v>
      </c>
      <c r="CF31" s="30">
        <f t="shared" si="6"/>
        <v>5.402886207559579E-2</v>
      </c>
      <c r="CG31" s="30">
        <f t="shared" si="7"/>
        <v>8.4530133453125005E-4</v>
      </c>
      <c r="CH31" s="30">
        <f t="shared" si="8"/>
        <v>8.4674005080440302E-4</v>
      </c>
    </row>
    <row r="32" spans="1:86" ht="15.75" customHeight="1">
      <c r="A32" s="11" t="s">
        <v>68</v>
      </c>
      <c r="B32" s="11" t="s">
        <v>654</v>
      </c>
      <c r="C32" s="96">
        <v>1186</v>
      </c>
      <c r="D32" s="97">
        <v>142</v>
      </c>
      <c r="E32" s="44" t="s">
        <v>283</v>
      </c>
      <c r="F32" s="96">
        <v>2014</v>
      </c>
      <c r="G32" t="s">
        <v>284</v>
      </c>
      <c r="H32" t="s">
        <v>285</v>
      </c>
      <c r="I32" s="97">
        <v>2</v>
      </c>
      <c r="J32">
        <v>2011</v>
      </c>
      <c r="K32" s="96" t="s">
        <v>73</v>
      </c>
      <c r="L32">
        <v>582</v>
      </c>
      <c r="M32" s="96" t="s">
        <v>269</v>
      </c>
      <c r="N32" t="s">
        <v>223</v>
      </c>
      <c r="O32" s="96" t="s">
        <v>81</v>
      </c>
      <c r="P32" t="s">
        <v>241</v>
      </c>
      <c r="Q32" s="96" t="s">
        <v>252</v>
      </c>
      <c r="R32" t="s">
        <v>243</v>
      </c>
      <c r="S32">
        <v>1</v>
      </c>
      <c r="T32" s="32" t="s">
        <v>263</v>
      </c>
      <c r="U32">
        <v>1</v>
      </c>
      <c r="V32" s="96" t="s">
        <v>229</v>
      </c>
      <c r="W32" s="96" t="s">
        <v>229</v>
      </c>
      <c r="X32" t="s">
        <v>244</v>
      </c>
      <c r="Y32" s="97">
        <v>0</v>
      </c>
      <c r="Z32" s="97">
        <v>1</v>
      </c>
      <c r="AA32" s="97">
        <v>1</v>
      </c>
      <c r="AB32" s="97">
        <v>0</v>
      </c>
      <c r="AC32" s="97">
        <v>0</v>
      </c>
      <c r="AD32" s="97">
        <v>0</v>
      </c>
      <c r="AE32" s="97">
        <v>0</v>
      </c>
      <c r="AF32" s="97">
        <v>0</v>
      </c>
      <c r="AG32" t="s">
        <v>293</v>
      </c>
      <c r="AH32" s="97">
        <v>0</v>
      </c>
      <c r="AI32" s="97">
        <v>0</v>
      </c>
      <c r="AJ32" s="97">
        <v>0</v>
      </c>
      <c r="AK32" s="97">
        <v>0</v>
      </c>
      <c r="AL32" s="97">
        <v>0</v>
      </c>
      <c r="AM32" s="97">
        <v>0</v>
      </c>
      <c r="AN32" s="97">
        <v>1</v>
      </c>
      <c r="AO32" s="97">
        <v>0</v>
      </c>
      <c r="AP32" s="97">
        <v>0</v>
      </c>
      <c r="AQ32" s="97" t="s">
        <v>73</v>
      </c>
      <c r="AR32" t="s">
        <v>233</v>
      </c>
      <c r="AS32" t="s">
        <v>287</v>
      </c>
      <c r="AT32" t="s">
        <v>73</v>
      </c>
      <c r="AU32" s="104">
        <v>0.64200000000000002</v>
      </c>
      <c r="AV32" s="7" t="s">
        <v>80</v>
      </c>
      <c r="AW32">
        <f t="shared" si="11"/>
        <v>0.19337349397590362</v>
      </c>
      <c r="AX32">
        <v>0.1</v>
      </c>
      <c r="AY32">
        <v>1</v>
      </c>
      <c r="AZ32">
        <v>3.32</v>
      </c>
      <c r="BA32" t="s">
        <v>73</v>
      </c>
      <c r="BC32" t="s">
        <v>73</v>
      </c>
      <c r="BD32" t="s">
        <v>73</v>
      </c>
      <c r="BE32" t="s">
        <v>73</v>
      </c>
      <c r="BF32" t="s">
        <v>73</v>
      </c>
      <c r="BG32" t="s">
        <v>73</v>
      </c>
      <c r="BH32" t="s">
        <v>73</v>
      </c>
      <c r="BI32">
        <v>1184</v>
      </c>
      <c r="BJ32">
        <v>1184</v>
      </c>
      <c r="BK32" t="s">
        <v>73</v>
      </c>
      <c r="BL32" t="s">
        <v>73</v>
      </c>
      <c r="BM32" s="97" t="s">
        <v>73</v>
      </c>
      <c r="BN32" s="97" t="s">
        <v>73</v>
      </c>
      <c r="BO32" s="97" t="s">
        <v>73</v>
      </c>
      <c r="BP32">
        <v>1</v>
      </c>
      <c r="BQ32">
        <v>288</v>
      </c>
      <c r="BR32">
        <v>0</v>
      </c>
      <c r="BS32" s="97" t="s">
        <v>73</v>
      </c>
      <c r="BT32" s="97" t="s">
        <v>73</v>
      </c>
      <c r="BU32" s="97">
        <v>1</v>
      </c>
      <c r="BV32" s="97">
        <v>0</v>
      </c>
      <c r="BW32" s="97">
        <v>1</v>
      </c>
      <c r="BX32" s="30">
        <f t="shared" si="0"/>
        <v>9.6039537672003544E-2</v>
      </c>
      <c r="BY32" s="30">
        <f t="shared" si="1"/>
        <v>9.633645915133221E-2</v>
      </c>
      <c r="BZ32" s="30">
        <f t="shared" si="2"/>
        <v>8.4523572980515279E-4</v>
      </c>
      <c r="CA32" s="30">
        <f t="shared" si="3"/>
        <v>8.4674005080440302E-4</v>
      </c>
      <c r="CC32">
        <f t="shared" si="4"/>
        <v>1182</v>
      </c>
      <c r="CE32" s="30">
        <f t="shared" si="5"/>
        <v>9.6039537672003544E-2</v>
      </c>
      <c r="CF32" s="30">
        <f t="shared" si="6"/>
        <v>9.633645915133221E-2</v>
      </c>
      <c r="CG32" s="30">
        <f t="shared" si="7"/>
        <v>8.4523572980515279E-4</v>
      </c>
      <c r="CH32" s="30">
        <f t="shared" si="8"/>
        <v>8.4674005080440302E-4</v>
      </c>
    </row>
    <row r="33" spans="1:86" ht="15.75" customHeight="1">
      <c r="A33" t="s">
        <v>332</v>
      </c>
      <c r="B33" s="11" t="s">
        <v>657</v>
      </c>
      <c r="C33" s="94">
        <v>1258</v>
      </c>
      <c r="D33" s="11">
        <v>404</v>
      </c>
      <c r="E33" s="120" t="s">
        <v>333</v>
      </c>
      <c r="F33" s="11">
        <v>2021</v>
      </c>
      <c r="G33" t="s">
        <v>334</v>
      </c>
      <c r="H33" t="s">
        <v>335</v>
      </c>
      <c r="I33" s="18">
        <v>2</v>
      </c>
      <c r="J33">
        <v>2017</v>
      </c>
      <c r="K33" t="s">
        <v>73</v>
      </c>
      <c r="L33">
        <v>11</v>
      </c>
      <c r="M33" s="18" t="s">
        <v>120</v>
      </c>
      <c r="N33" t="s">
        <v>223</v>
      </c>
      <c r="O33" t="s">
        <v>336</v>
      </c>
      <c r="P33" s="18" t="s">
        <v>225</v>
      </c>
      <c r="Q33" t="s">
        <v>252</v>
      </c>
      <c r="R33" t="s">
        <v>257</v>
      </c>
      <c r="S33">
        <v>1</v>
      </c>
      <c r="T33" t="s">
        <v>188</v>
      </c>
      <c r="U33">
        <v>1</v>
      </c>
      <c r="V33" s="18" t="s">
        <v>311</v>
      </c>
      <c r="W33" s="18" t="s">
        <v>311</v>
      </c>
      <c r="X33" t="s">
        <v>337</v>
      </c>
      <c r="Y33" s="18">
        <v>0</v>
      </c>
      <c r="Z33" s="18">
        <v>1</v>
      </c>
      <c r="AA33" s="18">
        <v>0</v>
      </c>
      <c r="AB33" s="18">
        <v>0</v>
      </c>
      <c r="AC33" s="18">
        <v>0</v>
      </c>
      <c r="AD33" s="18">
        <v>0</v>
      </c>
      <c r="AE33" s="11">
        <v>0</v>
      </c>
      <c r="AF33" s="18">
        <v>0</v>
      </c>
      <c r="AG33" t="s">
        <v>338</v>
      </c>
      <c r="AH33" s="18">
        <v>0</v>
      </c>
      <c r="AI33" s="18">
        <v>0</v>
      </c>
      <c r="AJ33" s="18">
        <v>0</v>
      </c>
      <c r="AK33" s="18">
        <v>0</v>
      </c>
      <c r="AL33" s="18">
        <v>0</v>
      </c>
      <c r="AM33" s="18">
        <v>0</v>
      </c>
      <c r="AN33" s="18">
        <v>1</v>
      </c>
      <c r="AO33" s="18">
        <v>0</v>
      </c>
      <c r="AP33" s="18">
        <v>0</v>
      </c>
      <c r="AQ33" t="s">
        <v>339</v>
      </c>
      <c r="AR33" t="s">
        <v>233</v>
      </c>
      <c r="AS33" s="94" t="s">
        <v>340</v>
      </c>
      <c r="AT33" t="s">
        <v>73</v>
      </c>
      <c r="AU33" s="21">
        <v>25.879000000000001</v>
      </c>
      <c r="AV33" s="7" t="s">
        <v>80</v>
      </c>
      <c r="AW33">
        <v>15.298</v>
      </c>
      <c r="AX33">
        <v>0.1</v>
      </c>
      <c r="AY33">
        <v>1</v>
      </c>
      <c r="AZ33">
        <f t="shared" ref="AZ33:AZ39" si="12">TINV(AX33,CC33)</f>
        <v>1.6519717481243639</v>
      </c>
      <c r="BA33" s="18" t="s">
        <v>73</v>
      </c>
      <c r="BB33" s="18"/>
      <c r="BC33" s="18" t="s">
        <v>73</v>
      </c>
      <c r="BD33" s="18" t="s">
        <v>73</v>
      </c>
      <c r="BE33" s="18" t="s">
        <v>73</v>
      </c>
      <c r="BF33" s="18" t="s">
        <v>73</v>
      </c>
      <c r="BG33" s="18" t="s">
        <v>73</v>
      </c>
      <c r="BH33" s="18" t="s">
        <v>73</v>
      </c>
      <c r="BI33">
        <v>217</v>
      </c>
      <c r="BJ33">
        <v>868</v>
      </c>
      <c r="BK33" s="21">
        <v>25.879000000000001</v>
      </c>
      <c r="BL33" s="18" t="s">
        <v>73</v>
      </c>
      <c r="BM33" s="18" t="s">
        <v>73</v>
      </c>
      <c r="BN33" s="18" t="s">
        <v>73</v>
      </c>
      <c r="BO33" s="11" t="s">
        <v>73</v>
      </c>
      <c r="BP33" s="11" t="s">
        <v>73</v>
      </c>
      <c r="BQ33" s="11" t="s">
        <v>73</v>
      </c>
      <c r="BR33" t="s">
        <v>73</v>
      </c>
      <c r="BS33" s="11" t="s">
        <v>73</v>
      </c>
      <c r="BT33" t="s">
        <v>73</v>
      </c>
      <c r="BU33">
        <v>0</v>
      </c>
      <c r="BV33">
        <v>0</v>
      </c>
      <c r="BW33">
        <v>1</v>
      </c>
      <c r="BX33" s="30">
        <f t="shared" si="0"/>
        <v>0.111444570712238</v>
      </c>
      <c r="BY33" s="30">
        <f t="shared" si="1"/>
        <v>0.11190941618239179</v>
      </c>
      <c r="BZ33" s="30">
        <f t="shared" si="2"/>
        <v>4.6289035023228077E-3</v>
      </c>
      <c r="CA33" s="30">
        <f t="shared" si="3"/>
        <v>4.6728971962616819E-3</v>
      </c>
      <c r="CC33">
        <f t="shared" si="4"/>
        <v>215</v>
      </c>
      <c r="CE33" s="30">
        <f t="shared" si="5"/>
        <v>5.5983636926066289E-2</v>
      </c>
      <c r="CF33" s="30">
        <f t="shared" si="6"/>
        <v>5.6042234525477685E-2</v>
      </c>
      <c r="CG33" s="30">
        <f t="shared" si="7"/>
        <v>1.1533911600947939E-3</v>
      </c>
      <c r="CH33" s="30">
        <f t="shared" si="8"/>
        <v>1.1560693641618498E-3</v>
      </c>
    </row>
    <row r="34" spans="1:86">
      <c r="A34" t="s">
        <v>332</v>
      </c>
      <c r="B34" s="11" t="s">
        <v>657</v>
      </c>
      <c r="C34" s="94">
        <v>1259</v>
      </c>
      <c r="D34" s="11">
        <v>404</v>
      </c>
      <c r="E34" t="s">
        <v>333</v>
      </c>
      <c r="F34" s="11">
        <v>2021</v>
      </c>
      <c r="G34" t="s">
        <v>334</v>
      </c>
      <c r="H34" t="s">
        <v>335</v>
      </c>
      <c r="I34" s="18">
        <v>2</v>
      </c>
      <c r="J34">
        <v>2017</v>
      </c>
      <c r="K34" t="s">
        <v>73</v>
      </c>
      <c r="L34">
        <v>11</v>
      </c>
      <c r="M34" s="18" t="s">
        <v>120</v>
      </c>
      <c r="N34" t="s">
        <v>223</v>
      </c>
      <c r="O34" t="s">
        <v>336</v>
      </c>
      <c r="P34" s="18" t="s">
        <v>225</v>
      </c>
      <c r="Q34" t="s">
        <v>252</v>
      </c>
      <c r="R34" t="s">
        <v>257</v>
      </c>
      <c r="S34">
        <v>1</v>
      </c>
      <c r="T34" t="s">
        <v>188</v>
      </c>
      <c r="U34">
        <v>1</v>
      </c>
      <c r="V34" s="18" t="s">
        <v>311</v>
      </c>
      <c r="W34" s="18" t="s">
        <v>311</v>
      </c>
      <c r="X34" t="s">
        <v>337</v>
      </c>
      <c r="Y34" s="18">
        <v>0</v>
      </c>
      <c r="Z34" s="18">
        <v>1</v>
      </c>
      <c r="AA34" s="18">
        <v>0</v>
      </c>
      <c r="AB34" s="18">
        <v>0</v>
      </c>
      <c r="AC34" s="18">
        <v>0</v>
      </c>
      <c r="AD34" s="18">
        <v>0</v>
      </c>
      <c r="AE34" s="11">
        <v>0</v>
      </c>
      <c r="AF34" s="18">
        <v>0</v>
      </c>
      <c r="AG34" t="s">
        <v>338</v>
      </c>
      <c r="AH34" s="18">
        <v>0</v>
      </c>
      <c r="AI34" s="18">
        <v>0</v>
      </c>
      <c r="AJ34" s="18">
        <v>0</v>
      </c>
      <c r="AK34" s="18">
        <v>0</v>
      </c>
      <c r="AL34" s="18">
        <v>0</v>
      </c>
      <c r="AM34" s="18">
        <v>0</v>
      </c>
      <c r="AN34" s="18">
        <v>1</v>
      </c>
      <c r="AO34" s="18">
        <v>0</v>
      </c>
      <c r="AP34" s="18">
        <v>0</v>
      </c>
      <c r="AQ34" t="s">
        <v>339</v>
      </c>
      <c r="AR34" t="s">
        <v>233</v>
      </c>
      <c r="AS34" s="94" t="s">
        <v>340</v>
      </c>
      <c r="AT34" t="s">
        <v>73</v>
      </c>
      <c r="AU34" s="21">
        <v>45.747</v>
      </c>
      <c r="AV34" s="7" t="s">
        <v>80</v>
      </c>
      <c r="AW34">
        <v>18.632000000000001</v>
      </c>
      <c r="AX34">
        <v>0.05</v>
      </c>
      <c r="AY34">
        <v>1</v>
      </c>
      <c r="AZ34">
        <f t="shared" si="12"/>
        <v>1.9710591221336478</v>
      </c>
      <c r="BA34" s="18" t="s">
        <v>641</v>
      </c>
      <c r="BB34" s="18"/>
      <c r="BC34" s="18" t="s">
        <v>73</v>
      </c>
      <c r="BD34" s="18" t="s">
        <v>73</v>
      </c>
      <c r="BE34" s="18" t="s">
        <v>73</v>
      </c>
      <c r="BF34" s="18" t="s">
        <v>73</v>
      </c>
      <c r="BG34" s="18" t="s">
        <v>73</v>
      </c>
      <c r="BH34" s="18" t="s">
        <v>73</v>
      </c>
      <c r="BI34">
        <v>217</v>
      </c>
      <c r="BJ34">
        <v>868</v>
      </c>
      <c r="BK34" s="21">
        <v>45.747</v>
      </c>
      <c r="BL34" s="18" t="s">
        <v>73</v>
      </c>
      <c r="BM34" s="18" t="s">
        <v>73</v>
      </c>
      <c r="BN34" s="18" t="s">
        <v>73</v>
      </c>
      <c r="BO34" s="11" t="s">
        <v>73</v>
      </c>
      <c r="BP34" s="11" t="s">
        <v>73</v>
      </c>
      <c r="BQ34" s="11" t="s">
        <v>73</v>
      </c>
      <c r="BR34" t="s">
        <v>73</v>
      </c>
      <c r="BS34" s="11" t="s">
        <v>73</v>
      </c>
      <c r="BT34" t="s">
        <v>73</v>
      </c>
      <c r="BU34">
        <v>0</v>
      </c>
      <c r="BV34">
        <v>0</v>
      </c>
      <c r="BW34">
        <v>1</v>
      </c>
      <c r="BX34" s="30">
        <f t="shared" ref="BX34:BX61" si="13">((AZ34^2)/(AZ34^2+BI34))^(1/2)</f>
        <v>0.13262227273834529</v>
      </c>
      <c r="BY34" s="30">
        <f t="shared" ref="BY34:BY61" si="14">0.5*LN((1+BX34)/(1-BX34))</f>
        <v>0.13340813257086698</v>
      </c>
      <c r="BZ34" s="30">
        <f t="shared" ref="BZ34:BZ61" si="15">((1-(BY34^2)^2)/(BI34-1))</f>
        <v>4.6281631519105703E-3</v>
      </c>
      <c r="CA34" s="30">
        <f t="shared" ref="CA34:CA61" si="16">1/(BI34-3)</f>
        <v>4.6728971962616819E-3</v>
      </c>
      <c r="CC34">
        <f t="shared" si="4"/>
        <v>215</v>
      </c>
      <c r="CE34" s="30">
        <f t="shared" ref="CE34:CE61" si="17">((AZ34^2)/(AZ34^2+BJ34))^(1/2)</f>
        <v>6.6752883376554634E-2</v>
      </c>
      <c r="CF34" s="30">
        <f t="shared" ref="CF34:CF61" si="18">0.5*LN((1+CE34)/(1-CE34))</f>
        <v>6.6852298418384234E-2</v>
      </c>
      <c r="CG34" s="30">
        <f t="shared" ref="CG34:CG61" si="19">((1-(CF34^2)^2)/(BJ34-1))</f>
        <v>1.1533794994059523E-3</v>
      </c>
      <c r="CH34" s="30">
        <f t="shared" ref="CH34:CH61" si="20">1/(BJ34-3)</f>
        <v>1.1560693641618498E-3</v>
      </c>
    </row>
    <row r="35" spans="1:86">
      <c r="A35" t="s">
        <v>332</v>
      </c>
      <c r="B35" s="11" t="s">
        <v>657</v>
      </c>
      <c r="C35" s="94">
        <v>1260</v>
      </c>
      <c r="D35" s="11">
        <v>404</v>
      </c>
      <c r="E35" t="s">
        <v>333</v>
      </c>
      <c r="F35" s="11">
        <v>2021</v>
      </c>
      <c r="G35" t="s">
        <v>334</v>
      </c>
      <c r="H35" t="s">
        <v>335</v>
      </c>
      <c r="I35" s="18">
        <v>2</v>
      </c>
      <c r="J35">
        <v>2017</v>
      </c>
      <c r="K35" t="s">
        <v>73</v>
      </c>
      <c r="L35">
        <v>11</v>
      </c>
      <c r="M35" s="18" t="s">
        <v>120</v>
      </c>
      <c r="N35" t="s">
        <v>223</v>
      </c>
      <c r="O35" t="s">
        <v>336</v>
      </c>
      <c r="P35" s="18" t="s">
        <v>225</v>
      </c>
      <c r="Q35" t="s">
        <v>252</v>
      </c>
      <c r="R35" t="s">
        <v>257</v>
      </c>
      <c r="S35">
        <v>1</v>
      </c>
      <c r="T35" t="s">
        <v>188</v>
      </c>
      <c r="U35">
        <v>1</v>
      </c>
      <c r="V35" s="18" t="s">
        <v>311</v>
      </c>
      <c r="W35" s="18" t="s">
        <v>311</v>
      </c>
      <c r="X35" t="s">
        <v>337</v>
      </c>
      <c r="Y35" s="18">
        <v>0</v>
      </c>
      <c r="Z35" s="18">
        <v>1</v>
      </c>
      <c r="AA35" s="18">
        <v>0</v>
      </c>
      <c r="AB35" s="18">
        <v>0</v>
      </c>
      <c r="AC35" s="18">
        <v>0</v>
      </c>
      <c r="AD35" s="18">
        <v>0</v>
      </c>
      <c r="AE35" s="11">
        <v>0</v>
      </c>
      <c r="AF35" s="18">
        <v>0</v>
      </c>
      <c r="AG35" t="s">
        <v>338</v>
      </c>
      <c r="AH35" s="18">
        <v>0</v>
      </c>
      <c r="AI35" s="18">
        <v>0</v>
      </c>
      <c r="AJ35" s="18">
        <v>0</v>
      </c>
      <c r="AK35" s="18">
        <v>0</v>
      </c>
      <c r="AL35" s="18">
        <v>0</v>
      </c>
      <c r="AM35" s="18">
        <v>0</v>
      </c>
      <c r="AN35" s="18">
        <v>1</v>
      </c>
      <c r="AO35" s="18">
        <v>0</v>
      </c>
      <c r="AP35" s="18">
        <v>0</v>
      </c>
      <c r="AQ35" t="s">
        <v>339</v>
      </c>
      <c r="AR35" t="s">
        <v>233</v>
      </c>
      <c r="AS35" s="94" t="s">
        <v>340</v>
      </c>
      <c r="AT35" t="s">
        <v>73</v>
      </c>
      <c r="AU35" s="21">
        <v>33.076000000000001</v>
      </c>
      <c r="AV35" s="7" t="s">
        <v>80</v>
      </c>
      <c r="AW35">
        <v>18.632000000000001</v>
      </c>
      <c r="AX35">
        <v>0.1</v>
      </c>
      <c r="AY35">
        <v>1</v>
      </c>
      <c r="AZ35">
        <f t="shared" si="12"/>
        <v>1.6519717481243639</v>
      </c>
      <c r="BA35" s="18" t="s">
        <v>642</v>
      </c>
      <c r="BB35" s="18"/>
      <c r="BC35" s="18" t="s">
        <v>73</v>
      </c>
      <c r="BD35" s="18" t="s">
        <v>73</v>
      </c>
      <c r="BE35" s="18" t="s">
        <v>73</v>
      </c>
      <c r="BF35" s="18" t="s">
        <v>73</v>
      </c>
      <c r="BG35" s="18" t="s">
        <v>73</v>
      </c>
      <c r="BH35" s="18" t="s">
        <v>73</v>
      </c>
      <c r="BI35">
        <v>217</v>
      </c>
      <c r="BJ35">
        <v>868</v>
      </c>
      <c r="BK35" s="21">
        <v>33.076000000000001</v>
      </c>
      <c r="BL35" s="18" t="s">
        <v>73</v>
      </c>
      <c r="BM35" s="18" t="s">
        <v>73</v>
      </c>
      <c r="BN35" s="18" t="s">
        <v>73</v>
      </c>
      <c r="BO35" s="11" t="s">
        <v>73</v>
      </c>
      <c r="BP35" s="11" t="s">
        <v>73</v>
      </c>
      <c r="BQ35" s="11" t="s">
        <v>73</v>
      </c>
      <c r="BR35" t="s">
        <v>73</v>
      </c>
      <c r="BS35" s="11" t="s">
        <v>73</v>
      </c>
      <c r="BT35" t="s">
        <v>73</v>
      </c>
      <c r="BU35">
        <v>0</v>
      </c>
      <c r="BV35">
        <v>0</v>
      </c>
      <c r="BW35">
        <v>1</v>
      </c>
      <c r="BX35" s="30">
        <f t="shared" si="13"/>
        <v>0.111444570712238</v>
      </c>
      <c r="BY35" s="30">
        <f t="shared" si="14"/>
        <v>0.11190941618239179</v>
      </c>
      <c r="BZ35" s="30">
        <f t="shared" si="15"/>
        <v>4.6289035023228077E-3</v>
      </c>
      <c r="CA35" s="30">
        <f t="shared" si="16"/>
        <v>4.6728971962616819E-3</v>
      </c>
      <c r="CC35">
        <f t="shared" si="4"/>
        <v>215</v>
      </c>
      <c r="CE35" s="30">
        <f t="shared" si="17"/>
        <v>5.5983636926066289E-2</v>
      </c>
      <c r="CF35" s="30">
        <f t="shared" si="18"/>
        <v>5.6042234525477685E-2</v>
      </c>
      <c r="CG35" s="30">
        <f t="shared" si="19"/>
        <v>1.1533911600947939E-3</v>
      </c>
      <c r="CH35" s="30">
        <f t="shared" si="20"/>
        <v>1.1560693641618498E-3</v>
      </c>
    </row>
    <row r="36" spans="1:86">
      <c r="A36" s="11" t="s">
        <v>68</v>
      </c>
      <c r="B36" s="11" t="s">
        <v>660</v>
      </c>
      <c r="C36" s="96">
        <v>1189</v>
      </c>
      <c r="D36" s="97">
        <v>143</v>
      </c>
      <c r="E36" s="121" t="s">
        <v>294</v>
      </c>
      <c r="F36" s="96">
        <v>2009</v>
      </c>
      <c r="G36" t="s">
        <v>295</v>
      </c>
      <c r="H36" t="s">
        <v>296</v>
      </c>
      <c r="I36" s="97">
        <v>2</v>
      </c>
      <c r="J36">
        <v>2006</v>
      </c>
      <c r="K36" s="96" t="s">
        <v>73</v>
      </c>
      <c r="L36">
        <v>3570</v>
      </c>
      <c r="M36" s="96" t="s">
        <v>297</v>
      </c>
      <c r="N36" t="s">
        <v>223</v>
      </c>
      <c r="O36" s="96" t="s">
        <v>278</v>
      </c>
      <c r="P36" t="s">
        <v>241</v>
      </c>
      <c r="Q36" s="96" t="s">
        <v>252</v>
      </c>
      <c r="R36" s="32" t="s">
        <v>257</v>
      </c>
      <c r="S36">
        <v>1</v>
      </c>
      <c r="T36" s="32" t="s">
        <v>263</v>
      </c>
      <c r="U36">
        <v>1</v>
      </c>
      <c r="V36" s="96" t="s">
        <v>229</v>
      </c>
      <c r="W36" s="96" t="s">
        <v>229</v>
      </c>
      <c r="X36" s="96" t="s">
        <v>298</v>
      </c>
      <c r="Y36" s="97">
        <v>0</v>
      </c>
      <c r="Z36" s="97">
        <v>0</v>
      </c>
      <c r="AA36" s="97">
        <v>1</v>
      </c>
      <c r="AB36" s="97">
        <v>0</v>
      </c>
      <c r="AC36" s="97">
        <v>0</v>
      </c>
      <c r="AD36" s="97">
        <v>0</v>
      </c>
      <c r="AE36" s="97">
        <v>0</v>
      </c>
      <c r="AF36" s="97">
        <v>0</v>
      </c>
      <c r="AG36" t="s">
        <v>299</v>
      </c>
      <c r="AH36" s="97">
        <v>0</v>
      </c>
      <c r="AI36" s="97">
        <v>0</v>
      </c>
      <c r="AJ36" s="97">
        <v>0</v>
      </c>
      <c r="AK36" s="97">
        <v>0</v>
      </c>
      <c r="AL36" s="97">
        <v>0</v>
      </c>
      <c r="AM36" s="97">
        <v>0</v>
      </c>
      <c r="AN36" s="97">
        <v>0</v>
      </c>
      <c r="AO36" s="97">
        <v>1</v>
      </c>
      <c r="AP36" s="97">
        <v>0</v>
      </c>
      <c r="AQ36" t="s">
        <v>73</v>
      </c>
      <c r="AR36" t="s">
        <v>233</v>
      </c>
      <c r="AS36" t="s">
        <v>300</v>
      </c>
      <c r="AT36" t="s">
        <v>73</v>
      </c>
      <c r="AU36" s="7">
        <v>3.0964</v>
      </c>
      <c r="AV36" s="7" t="s">
        <v>80</v>
      </c>
      <c r="AW36" s="41" t="s">
        <v>73</v>
      </c>
      <c r="AX36" s="41">
        <v>0.1</v>
      </c>
      <c r="AY36" s="41">
        <v>1</v>
      </c>
      <c r="AZ36">
        <f t="shared" si="12"/>
        <v>1.6474057119344734</v>
      </c>
      <c r="BA36" t="s">
        <v>73</v>
      </c>
      <c r="BC36" t="s">
        <v>73</v>
      </c>
      <c r="BD36" t="s">
        <v>73</v>
      </c>
      <c r="BE36" t="s">
        <v>73</v>
      </c>
      <c r="BF36" t="s">
        <v>73</v>
      </c>
      <c r="BG36" t="s">
        <v>73</v>
      </c>
      <c r="BH36" t="s">
        <v>73</v>
      </c>
      <c r="BI36">
        <v>600</v>
      </c>
      <c r="BJ36">
        <v>3600</v>
      </c>
      <c r="BK36" t="s">
        <v>73</v>
      </c>
      <c r="BL36" t="s">
        <v>73</v>
      </c>
      <c r="BM36" s="97" t="s">
        <v>73</v>
      </c>
      <c r="BN36" s="97" t="s">
        <v>73</v>
      </c>
      <c r="BO36" s="97" t="s">
        <v>73</v>
      </c>
      <c r="BU36" s="97">
        <v>0</v>
      </c>
      <c r="BV36" s="97">
        <v>1</v>
      </c>
      <c r="BW36" s="97">
        <v>1</v>
      </c>
      <c r="BX36" s="102">
        <f t="shared" si="13"/>
        <v>6.7103465160314887E-2</v>
      </c>
      <c r="BY36" s="102">
        <f t="shared" si="14"/>
        <v>6.7204457661064573E-2</v>
      </c>
      <c r="BZ36" s="102">
        <f t="shared" si="15"/>
        <v>1.6694150280093312E-3</v>
      </c>
      <c r="CA36" s="102">
        <f t="shared" si="16"/>
        <v>1.6750418760469012E-3</v>
      </c>
      <c r="CC36">
        <f t="shared" si="4"/>
        <v>598</v>
      </c>
      <c r="CE36" s="30">
        <f t="shared" si="17"/>
        <v>2.7446418247225011E-2</v>
      </c>
      <c r="CF36" s="30">
        <f t="shared" si="18"/>
        <v>2.7453313213271935E-2</v>
      </c>
      <c r="CG36" s="30">
        <f t="shared" si="19"/>
        <v>2.7785480187824828E-4</v>
      </c>
      <c r="CH36" s="30">
        <f t="shared" si="20"/>
        <v>2.7800945232137893E-4</v>
      </c>
    </row>
    <row r="37" spans="1:86">
      <c r="A37" s="11" t="s">
        <v>68</v>
      </c>
      <c r="B37" s="11" t="s">
        <v>660</v>
      </c>
      <c r="C37" s="96">
        <v>1190</v>
      </c>
      <c r="D37" s="97">
        <v>143</v>
      </c>
      <c r="E37" s="121" t="s">
        <v>294</v>
      </c>
      <c r="F37" s="96">
        <v>2009</v>
      </c>
      <c r="G37" t="s">
        <v>295</v>
      </c>
      <c r="H37" t="s">
        <v>296</v>
      </c>
      <c r="I37" s="97">
        <v>2</v>
      </c>
      <c r="J37">
        <v>2006</v>
      </c>
      <c r="K37" s="96" t="s">
        <v>73</v>
      </c>
      <c r="L37">
        <v>3571</v>
      </c>
      <c r="M37" s="96" t="s">
        <v>297</v>
      </c>
      <c r="N37" t="s">
        <v>223</v>
      </c>
      <c r="O37" s="96" t="s">
        <v>278</v>
      </c>
      <c r="P37" t="s">
        <v>241</v>
      </c>
      <c r="Q37" s="96" t="s">
        <v>252</v>
      </c>
      <c r="R37" s="32" t="s">
        <v>257</v>
      </c>
      <c r="S37">
        <v>1</v>
      </c>
      <c r="T37" s="32" t="s">
        <v>263</v>
      </c>
      <c r="U37">
        <v>1</v>
      </c>
      <c r="V37" s="96" t="s">
        <v>229</v>
      </c>
      <c r="W37" s="96" t="s">
        <v>229</v>
      </c>
      <c r="X37" s="96" t="s">
        <v>298</v>
      </c>
      <c r="Y37" s="97">
        <v>0</v>
      </c>
      <c r="Z37" s="97">
        <v>0</v>
      </c>
      <c r="AA37" s="97">
        <v>1</v>
      </c>
      <c r="AB37" s="97">
        <v>0</v>
      </c>
      <c r="AC37" s="97">
        <v>0</v>
      </c>
      <c r="AD37" s="97">
        <v>0</v>
      </c>
      <c r="AE37" s="97">
        <v>0</v>
      </c>
      <c r="AF37" s="97">
        <v>0</v>
      </c>
      <c r="AG37" t="s">
        <v>299</v>
      </c>
      <c r="AH37" s="97">
        <v>0</v>
      </c>
      <c r="AI37" s="97">
        <v>0</v>
      </c>
      <c r="AJ37" s="97">
        <v>0</v>
      </c>
      <c r="AK37" s="97">
        <v>1</v>
      </c>
      <c r="AL37" s="97">
        <v>0</v>
      </c>
      <c r="AM37" s="97">
        <v>0</v>
      </c>
      <c r="AN37" s="97">
        <v>0</v>
      </c>
      <c r="AO37" s="97">
        <v>0</v>
      </c>
      <c r="AP37" s="97">
        <v>0</v>
      </c>
      <c r="AQ37" t="s">
        <v>73</v>
      </c>
      <c r="AR37" t="s">
        <v>233</v>
      </c>
      <c r="AS37" t="s">
        <v>300</v>
      </c>
      <c r="AT37" t="s">
        <v>73</v>
      </c>
      <c r="AU37" s="7">
        <v>3.5619999999999998</v>
      </c>
      <c r="AV37" s="7" t="s">
        <v>80</v>
      </c>
      <c r="AW37" s="41" t="s">
        <v>73</v>
      </c>
      <c r="AX37" s="41">
        <v>0.05</v>
      </c>
      <c r="AY37" s="41">
        <v>1</v>
      </c>
      <c r="AZ37">
        <f t="shared" si="12"/>
        <v>1.9639388980555066</v>
      </c>
      <c r="BA37" t="s">
        <v>73</v>
      </c>
      <c r="BC37" t="s">
        <v>73</v>
      </c>
      <c r="BD37" t="s">
        <v>73</v>
      </c>
      <c r="BE37" t="s">
        <v>73</v>
      </c>
      <c r="BF37" t="s">
        <v>73</v>
      </c>
      <c r="BG37" t="s">
        <v>73</v>
      </c>
      <c r="BH37" t="s">
        <v>73</v>
      </c>
      <c r="BI37">
        <v>600</v>
      </c>
      <c r="BJ37">
        <v>3600</v>
      </c>
      <c r="BK37" t="s">
        <v>73</v>
      </c>
      <c r="BL37" t="s">
        <v>73</v>
      </c>
      <c r="BM37" s="97" t="s">
        <v>73</v>
      </c>
      <c r="BN37" s="97" t="s">
        <v>73</v>
      </c>
      <c r="BO37" s="97" t="s">
        <v>73</v>
      </c>
      <c r="BU37" s="97">
        <v>0</v>
      </c>
      <c r="BV37" s="97">
        <v>1</v>
      </c>
      <c r="BW37" s="97">
        <v>1</v>
      </c>
      <c r="BX37" s="102">
        <f t="shared" si="13"/>
        <v>7.9920998150068992E-2</v>
      </c>
      <c r="BY37" s="102">
        <f t="shared" si="14"/>
        <v>8.0091814824645752E-2</v>
      </c>
      <c r="BZ37" s="102">
        <f t="shared" si="15"/>
        <v>1.6693803867099848E-3</v>
      </c>
      <c r="CA37" s="102">
        <f t="shared" si="16"/>
        <v>1.6750418760469012E-3</v>
      </c>
      <c r="CC37">
        <f t="shared" si="4"/>
        <v>598</v>
      </c>
      <c r="CE37" s="30">
        <f t="shared" si="17"/>
        <v>3.2714794271304103E-2</v>
      </c>
      <c r="CF37" s="30">
        <f t="shared" si="18"/>
        <v>3.2726472859206039E-2</v>
      </c>
      <c r="CG37" s="30">
        <f t="shared" si="19"/>
        <v>2.7785464098689086E-4</v>
      </c>
      <c r="CH37" s="30">
        <f t="shared" si="20"/>
        <v>2.7800945232137893E-4</v>
      </c>
    </row>
    <row r="38" spans="1:86">
      <c r="A38" s="11" t="s">
        <v>68</v>
      </c>
      <c r="B38" s="11" t="s">
        <v>660</v>
      </c>
      <c r="C38" s="96">
        <v>1187</v>
      </c>
      <c r="D38" s="97">
        <v>143</v>
      </c>
      <c r="E38" s="121" t="s">
        <v>294</v>
      </c>
      <c r="F38" s="96">
        <v>2009</v>
      </c>
      <c r="G38" t="s">
        <v>295</v>
      </c>
      <c r="H38" t="s">
        <v>296</v>
      </c>
      <c r="I38" s="97">
        <v>2</v>
      </c>
      <c r="J38">
        <v>2006</v>
      </c>
      <c r="K38" s="96" t="s">
        <v>73</v>
      </c>
      <c r="L38">
        <v>3569</v>
      </c>
      <c r="M38" s="96" t="s">
        <v>297</v>
      </c>
      <c r="N38" t="s">
        <v>223</v>
      </c>
      <c r="O38" s="96" t="s">
        <v>278</v>
      </c>
      <c r="P38" t="s">
        <v>241</v>
      </c>
      <c r="Q38" s="96" t="s">
        <v>226</v>
      </c>
      <c r="R38" s="32" t="s">
        <v>257</v>
      </c>
      <c r="S38">
        <v>1</v>
      </c>
      <c r="T38" t="s">
        <v>263</v>
      </c>
      <c r="U38">
        <v>1</v>
      </c>
      <c r="V38" s="96" t="s">
        <v>229</v>
      </c>
      <c r="W38" s="96" t="s">
        <v>229</v>
      </c>
      <c r="X38" s="96" t="s">
        <v>298</v>
      </c>
      <c r="Y38" s="97">
        <v>0</v>
      </c>
      <c r="Z38" s="97">
        <v>0</v>
      </c>
      <c r="AA38" s="97">
        <v>1</v>
      </c>
      <c r="AB38" s="97">
        <v>0</v>
      </c>
      <c r="AC38" s="97">
        <v>0</v>
      </c>
      <c r="AD38" s="97">
        <v>0</v>
      </c>
      <c r="AE38" s="97">
        <v>0</v>
      </c>
      <c r="AF38" s="97">
        <v>0</v>
      </c>
      <c r="AG38" t="s">
        <v>299</v>
      </c>
      <c r="AH38" s="97">
        <v>0</v>
      </c>
      <c r="AI38" s="97">
        <v>0</v>
      </c>
      <c r="AJ38" s="97">
        <v>0</v>
      </c>
      <c r="AK38" s="97">
        <v>0</v>
      </c>
      <c r="AL38" s="97">
        <v>0</v>
      </c>
      <c r="AM38" s="97">
        <v>0</v>
      </c>
      <c r="AN38" s="97">
        <v>0</v>
      </c>
      <c r="AO38" s="97">
        <v>1</v>
      </c>
      <c r="AP38" s="97">
        <v>0</v>
      </c>
      <c r="AQ38" t="s">
        <v>73</v>
      </c>
      <c r="AR38" t="s">
        <v>233</v>
      </c>
      <c r="AS38" t="s">
        <v>300</v>
      </c>
      <c r="AT38" t="s">
        <v>73</v>
      </c>
      <c r="AU38" s="21">
        <v>0.49590000000000001</v>
      </c>
      <c r="AV38" s="7" t="s">
        <v>80</v>
      </c>
      <c r="AW38" s="41" t="s">
        <v>73</v>
      </c>
      <c r="AX38" s="41">
        <v>0.1</v>
      </c>
      <c r="AY38" s="41">
        <v>1</v>
      </c>
      <c r="AZ38">
        <f t="shared" si="12"/>
        <v>1.6474057119344734</v>
      </c>
      <c r="BA38" t="s">
        <v>73</v>
      </c>
      <c r="BC38" t="s">
        <v>73</v>
      </c>
      <c r="BD38" t="s">
        <v>73</v>
      </c>
      <c r="BE38" t="s">
        <v>73</v>
      </c>
      <c r="BF38" t="s">
        <v>73</v>
      </c>
      <c r="BG38" t="s">
        <v>73</v>
      </c>
      <c r="BH38" t="s">
        <v>73</v>
      </c>
      <c r="BI38">
        <v>600</v>
      </c>
      <c r="BJ38">
        <v>3600</v>
      </c>
      <c r="BK38" t="s">
        <v>73</v>
      </c>
      <c r="BL38" t="s">
        <v>73</v>
      </c>
      <c r="BM38" s="97" t="s">
        <v>73</v>
      </c>
      <c r="BN38" s="97" t="s">
        <v>73</v>
      </c>
      <c r="BO38" s="97" t="s">
        <v>73</v>
      </c>
      <c r="BU38" s="97">
        <v>0</v>
      </c>
      <c r="BV38" s="97">
        <v>1</v>
      </c>
      <c r="BW38" s="97">
        <v>1</v>
      </c>
      <c r="BX38" s="102">
        <f t="shared" si="13"/>
        <v>6.7103465160314887E-2</v>
      </c>
      <c r="BY38" s="102">
        <f t="shared" si="14"/>
        <v>6.7204457661064573E-2</v>
      </c>
      <c r="BZ38" s="102">
        <f t="shared" si="15"/>
        <v>1.6694150280093312E-3</v>
      </c>
      <c r="CA38" s="102">
        <f t="shared" si="16"/>
        <v>1.6750418760469012E-3</v>
      </c>
      <c r="CC38">
        <f t="shared" si="4"/>
        <v>598</v>
      </c>
      <c r="CE38" s="30">
        <f t="shared" si="17"/>
        <v>2.7446418247225011E-2</v>
      </c>
      <c r="CF38" s="30">
        <f t="shared" si="18"/>
        <v>2.7453313213271935E-2</v>
      </c>
      <c r="CG38" s="30">
        <f t="shared" si="19"/>
        <v>2.7785480187824828E-4</v>
      </c>
      <c r="CH38" s="30">
        <f t="shared" si="20"/>
        <v>2.7800945232137893E-4</v>
      </c>
    </row>
    <row r="39" spans="1:86">
      <c r="A39" s="11" t="s">
        <v>68</v>
      </c>
      <c r="B39" s="11" t="s">
        <v>660</v>
      </c>
      <c r="C39" s="96">
        <v>1188</v>
      </c>
      <c r="D39" s="97">
        <v>143</v>
      </c>
      <c r="E39" s="121" t="s">
        <v>294</v>
      </c>
      <c r="F39" s="96">
        <v>2009</v>
      </c>
      <c r="G39" t="s">
        <v>295</v>
      </c>
      <c r="H39" t="s">
        <v>296</v>
      </c>
      <c r="I39" s="97">
        <v>2</v>
      </c>
      <c r="J39">
        <v>2006</v>
      </c>
      <c r="K39" s="96" t="s">
        <v>73</v>
      </c>
      <c r="L39">
        <v>3570</v>
      </c>
      <c r="M39" s="96" t="s">
        <v>297</v>
      </c>
      <c r="N39" t="s">
        <v>223</v>
      </c>
      <c r="O39" s="96" t="s">
        <v>278</v>
      </c>
      <c r="P39" t="s">
        <v>241</v>
      </c>
      <c r="Q39" s="96" t="s">
        <v>226</v>
      </c>
      <c r="R39" s="32" t="s">
        <v>257</v>
      </c>
      <c r="S39">
        <v>1</v>
      </c>
      <c r="T39" s="32" t="s">
        <v>263</v>
      </c>
      <c r="U39">
        <v>1</v>
      </c>
      <c r="V39" s="96" t="s">
        <v>229</v>
      </c>
      <c r="W39" s="96" t="s">
        <v>229</v>
      </c>
      <c r="X39" s="96" t="s">
        <v>298</v>
      </c>
      <c r="Y39" s="97">
        <v>0</v>
      </c>
      <c r="Z39" s="97">
        <v>0</v>
      </c>
      <c r="AA39" s="97">
        <v>1</v>
      </c>
      <c r="AB39" s="97">
        <v>0</v>
      </c>
      <c r="AC39" s="97">
        <v>0</v>
      </c>
      <c r="AD39" s="97">
        <v>0</v>
      </c>
      <c r="AE39" s="97">
        <v>0</v>
      </c>
      <c r="AF39" s="97">
        <v>0</v>
      </c>
      <c r="AG39" t="s">
        <v>299</v>
      </c>
      <c r="AH39" s="97">
        <v>0</v>
      </c>
      <c r="AI39" s="97">
        <v>0</v>
      </c>
      <c r="AJ39" s="97">
        <v>0</v>
      </c>
      <c r="AK39" s="97">
        <v>1</v>
      </c>
      <c r="AL39" s="97">
        <v>0</v>
      </c>
      <c r="AM39" s="97">
        <v>0</v>
      </c>
      <c r="AN39" s="97">
        <v>0</v>
      </c>
      <c r="AO39" s="97">
        <v>0</v>
      </c>
      <c r="AP39" s="97">
        <v>0</v>
      </c>
      <c r="AQ39" t="s">
        <v>73</v>
      </c>
      <c r="AR39" t="s">
        <v>233</v>
      </c>
      <c r="AS39" t="s">
        <v>300</v>
      </c>
      <c r="AT39" t="s">
        <v>73</v>
      </c>
      <c r="AU39" s="7">
        <v>0.17399999999999999</v>
      </c>
      <c r="AV39" s="7" t="s">
        <v>80</v>
      </c>
      <c r="AW39" s="41" t="s">
        <v>73</v>
      </c>
      <c r="AX39" s="41">
        <v>0.1</v>
      </c>
      <c r="AY39" s="41">
        <v>1</v>
      </c>
      <c r="AZ39">
        <f t="shared" si="12"/>
        <v>1.6474057119344734</v>
      </c>
      <c r="BA39" t="s">
        <v>73</v>
      </c>
      <c r="BC39" t="s">
        <v>73</v>
      </c>
      <c r="BD39" t="s">
        <v>73</v>
      </c>
      <c r="BE39" t="s">
        <v>73</v>
      </c>
      <c r="BF39" t="s">
        <v>73</v>
      </c>
      <c r="BG39" t="s">
        <v>73</v>
      </c>
      <c r="BH39" t="s">
        <v>73</v>
      </c>
      <c r="BI39">
        <v>600</v>
      </c>
      <c r="BJ39">
        <v>3600</v>
      </c>
      <c r="BK39" t="s">
        <v>73</v>
      </c>
      <c r="BL39" t="s">
        <v>73</v>
      </c>
      <c r="BM39" s="97" t="s">
        <v>73</v>
      </c>
      <c r="BN39" s="97" t="s">
        <v>73</v>
      </c>
      <c r="BO39" s="97" t="s">
        <v>73</v>
      </c>
      <c r="BU39" s="97">
        <v>0</v>
      </c>
      <c r="BV39" s="97">
        <v>1</v>
      </c>
      <c r="BW39" s="97">
        <v>1</v>
      </c>
      <c r="BX39" s="102">
        <f t="shared" si="13"/>
        <v>6.7103465160314887E-2</v>
      </c>
      <c r="BY39" s="102">
        <f t="shared" si="14"/>
        <v>6.7204457661064573E-2</v>
      </c>
      <c r="BZ39" s="102">
        <f t="shared" si="15"/>
        <v>1.6694150280093312E-3</v>
      </c>
      <c r="CA39" s="102">
        <f t="shared" si="16"/>
        <v>1.6750418760469012E-3</v>
      </c>
      <c r="CC39">
        <f t="shared" si="4"/>
        <v>598</v>
      </c>
      <c r="CE39" s="30">
        <f t="shared" si="17"/>
        <v>2.7446418247225011E-2</v>
      </c>
      <c r="CF39" s="30">
        <f t="shared" si="18"/>
        <v>2.7453313213271935E-2</v>
      </c>
      <c r="CG39" s="30">
        <f t="shared" si="19"/>
        <v>2.7785480187824828E-4</v>
      </c>
      <c r="CH39" s="30">
        <f t="shared" si="20"/>
        <v>2.7800945232137893E-4</v>
      </c>
    </row>
    <row r="40" spans="1:86">
      <c r="A40" s="11" t="s">
        <v>68</v>
      </c>
      <c r="B40" s="11" t="s">
        <v>655</v>
      </c>
      <c r="C40" s="94">
        <v>1122</v>
      </c>
      <c r="D40" s="97">
        <v>127</v>
      </c>
      <c r="E40" s="120" t="s">
        <v>259</v>
      </c>
      <c r="F40" s="96">
        <v>2021</v>
      </c>
      <c r="G40" t="s">
        <v>260</v>
      </c>
      <c r="H40" s="17" t="s">
        <v>261</v>
      </c>
      <c r="I40" s="97">
        <v>2</v>
      </c>
      <c r="J40">
        <v>2017</v>
      </c>
      <c r="K40" s="96" t="s">
        <v>73</v>
      </c>
      <c r="L40" s="97">
        <v>58</v>
      </c>
      <c r="M40" s="96" t="s">
        <v>155</v>
      </c>
      <c r="N40" s="97" t="s">
        <v>240</v>
      </c>
      <c r="O40" s="97" t="s">
        <v>262</v>
      </c>
      <c r="P40" t="s">
        <v>241</v>
      </c>
      <c r="Q40" t="s">
        <v>252</v>
      </c>
      <c r="R40" t="s">
        <v>257</v>
      </c>
      <c r="S40">
        <v>1</v>
      </c>
      <c r="T40" t="s">
        <v>263</v>
      </c>
      <c r="U40">
        <v>1</v>
      </c>
      <c r="V40" s="96" t="s">
        <v>229</v>
      </c>
      <c r="W40" s="96" t="s">
        <v>229</v>
      </c>
      <c r="X40" t="s">
        <v>244</v>
      </c>
      <c r="Y40" s="97">
        <v>0</v>
      </c>
      <c r="Z40" s="97">
        <v>1</v>
      </c>
      <c r="AA40" s="97">
        <v>0</v>
      </c>
      <c r="AB40" s="97">
        <v>0</v>
      </c>
      <c r="AC40" s="97">
        <v>0</v>
      </c>
      <c r="AD40" s="97">
        <v>0</v>
      </c>
      <c r="AE40" s="97">
        <v>0</v>
      </c>
      <c r="AF40">
        <v>0</v>
      </c>
      <c r="AG40" s="97" t="s">
        <v>264</v>
      </c>
      <c r="AH40" s="97">
        <v>0</v>
      </c>
      <c r="AI40" s="97">
        <v>0</v>
      </c>
      <c r="AJ40" s="97">
        <v>0</v>
      </c>
      <c r="AK40" s="97">
        <v>1</v>
      </c>
      <c r="AL40" s="97">
        <v>0</v>
      </c>
      <c r="AM40" s="97">
        <v>0</v>
      </c>
      <c r="AN40" s="97">
        <v>0</v>
      </c>
      <c r="AO40" s="97">
        <v>0</v>
      </c>
      <c r="AP40" s="97">
        <v>0</v>
      </c>
      <c r="AQ40" s="97" t="s">
        <v>73</v>
      </c>
      <c r="AR40" t="s">
        <v>233</v>
      </c>
      <c r="AS40" s="97" t="s">
        <v>265</v>
      </c>
      <c r="AT40" s="108" t="s">
        <v>73</v>
      </c>
      <c r="AU40" s="21">
        <v>0.1305</v>
      </c>
      <c r="AV40" s="7" t="s">
        <v>80</v>
      </c>
      <c r="AW40" t="s">
        <v>73</v>
      </c>
      <c r="AX40">
        <v>0.05</v>
      </c>
      <c r="AY40" s="17">
        <v>1</v>
      </c>
      <c r="AZ40" s="17">
        <v>2.0280999999999998</v>
      </c>
      <c r="BA40" s="98" t="s">
        <v>73</v>
      </c>
      <c r="BB40" s="98"/>
      <c r="BC40" s="98" t="s">
        <v>73</v>
      </c>
      <c r="BD40" s="98" t="s">
        <v>73</v>
      </c>
      <c r="BE40" s="98" t="s">
        <v>73</v>
      </c>
      <c r="BF40" s="98" t="s">
        <v>73</v>
      </c>
      <c r="BG40" s="98" t="s">
        <v>73</v>
      </c>
      <c r="BH40" s="98" t="s">
        <v>73</v>
      </c>
      <c r="BI40" s="17">
        <v>36</v>
      </c>
      <c r="BJ40" s="97">
        <v>8928</v>
      </c>
      <c r="BK40" s="97" t="s">
        <v>73</v>
      </c>
      <c r="BL40" s="97" t="s">
        <v>73</v>
      </c>
      <c r="BM40" s="97" t="s">
        <v>73</v>
      </c>
      <c r="BN40" s="97" t="s">
        <v>73</v>
      </c>
      <c r="BO40" s="97" t="s">
        <v>73</v>
      </c>
      <c r="BP40" s="97" t="s">
        <v>73</v>
      </c>
      <c r="BQ40" s="97" t="s">
        <v>73</v>
      </c>
      <c r="BR40" s="97" t="s">
        <v>73</v>
      </c>
      <c r="BS40" s="97" t="s">
        <v>73</v>
      </c>
      <c r="BT40" s="97" t="s">
        <v>73</v>
      </c>
      <c r="BU40" s="97">
        <v>0</v>
      </c>
      <c r="BV40" s="97">
        <v>0</v>
      </c>
      <c r="BW40" s="97">
        <v>0</v>
      </c>
      <c r="BX40" s="102">
        <f t="shared" si="13"/>
        <v>0.32021801928313393</v>
      </c>
      <c r="BY40" s="102">
        <f t="shared" si="14"/>
        <v>0.33189001894838011</v>
      </c>
      <c r="BZ40" s="102">
        <f t="shared" si="15"/>
        <v>2.822476458784471E-2</v>
      </c>
      <c r="CA40" s="102">
        <f t="shared" si="16"/>
        <v>3.0303030303030304E-2</v>
      </c>
      <c r="CC40">
        <f t="shared" si="4"/>
        <v>34</v>
      </c>
      <c r="CE40" s="30">
        <f t="shared" si="17"/>
        <v>2.1459137182263048E-2</v>
      </c>
      <c r="CF40" s="30">
        <f t="shared" si="18"/>
        <v>2.1462432031373494E-2</v>
      </c>
      <c r="CG40" s="30">
        <f t="shared" si="19"/>
        <v>1.1201969170096179E-4</v>
      </c>
      <c r="CH40" s="30">
        <f t="shared" si="20"/>
        <v>1.1204481792717087E-4</v>
      </c>
    </row>
    <row r="41" spans="1:86">
      <c r="A41" s="11" t="s">
        <v>68</v>
      </c>
      <c r="B41" s="11" t="s">
        <v>655</v>
      </c>
      <c r="C41" s="94">
        <v>1123</v>
      </c>
      <c r="D41" s="97">
        <v>127</v>
      </c>
      <c r="E41" s="120" t="s">
        <v>259</v>
      </c>
      <c r="F41" s="96">
        <v>2021</v>
      </c>
      <c r="G41" t="s">
        <v>260</v>
      </c>
      <c r="H41" s="17" t="s">
        <v>261</v>
      </c>
      <c r="I41" s="97">
        <v>2</v>
      </c>
      <c r="J41">
        <v>2017</v>
      </c>
      <c r="K41" s="96" t="s">
        <v>73</v>
      </c>
      <c r="L41" s="97">
        <v>58</v>
      </c>
      <c r="M41" s="96" t="s">
        <v>155</v>
      </c>
      <c r="N41" s="97" t="s">
        <v>240</v>
      </c>
      <c r="O41" s="97" t="s">
        <v>262</v>
      </c>
      <c r="P41" t="s">
        <v>241</v>
      </c>
      <c r="Q41" t="s">
        <v>252</v>
      </c>
      <c r="R41" t="s">
        <v>257</v>
      </c>
      <c r="S41">
        <v>1</v>
      </c>
      <c r="T41" t="s">
        <v>263</v>
      </c>
      <c r="U41">
        <v>1</v>
      </c>
      <c r="V41" s="96" t="s">
        <v>229</v>
      </c>
      <c r="W41" s="96" t="s">
        <v>229</v>
      </c>
      <c r="X41" t="s">
        <v>244</v>
      </c>
      <c r="Y41" s="97">
        <v>0</v>
      </c>
      <c r="Z41" s="97">
        <v>0</v>
      </c>
      <c r="AA41" s="97">
        <v>1</v>
      </c>
      <c r="AB41" s="97">
        <v>0</v>
      </c>
      <c r="AC41" s="97">
        <v>0</v>
      </c>
      <c r="AD41" s="97">
        <v>0</v>
      </c>
      <c r="AE41" s="97">
        <v>0</v>
      </c>
      <c r="AF41">
        <v>0</v>
      </c>
      <c r="AG41" s="97" t="s">
        <v>264</v>
      </c>
      <c r="AH41" s="97">
        <v>0</v>
      </c>
      <c r="AI41" s="97">
        <v>0</v>
      </c>
      <c r="AJ41" s="97">
        <v>0</v>
      </c>
      <c r="AK41" s="97">
        <v>1</v>
      </c>
      <c r="AL41" s="97">
        <v>0</v>
      </c>
      <c r="AM41" s="97">
        <v>0</v>
      </c>
      <c r="AN41" s="97">
        <v>0</v>
      </c>
      <c r="AO41" s="97">
        <v>0</v>
      </c>
      <c r="AP41" s="97">
        <v>0</v>
      </c>
      <c r="AQ41" s="97" t="s">
        <v>73</v>
      </c>
      <c r="AR41" t="s">
        <v>233</v>
      </c>
      <c r="AS41" s="97" t="s">
        <v>265</v>
      </c>
      <c r="AT41" s="108" t="s">
        <v>73</v>
      </c>
      <c r="AU41" s="21">
        <v>0.28129999999999999</v>
      </c>
      <c r="AV41" s="7" t="s">
        <v>80</v>
      </c>
      <c r="AW41" t="s">
        <v>73</v>
      </c>
      <c r="AX41">
        <v>0.05</v>
      </c>
      <c r="AY41" s="17">
        <v>1</v>
      </c>
      <c r="AZ41" s="17">
        <v>2.0280999999999998</v>
      </c>
      <c r="BA41" s="98" t="s">
        <v>73</v>
      </c>
      <c r="BB41" s="98"/>
      <c r="BC41" s="98" t="s">
        <v>73</v>
      </c>
      <c r="BD41" s="98" t="s">
        <v>73</v>
      </c>
      <c r="BE41" s="98" t="s">
        <v>73</v>
      </c>
      <c r="BF41" s="98" t="s">
        <v>73</v>
      </c>
      <c r="BG41" s="98" t="s">
        <v>73</v>
      </c>
      <c r="BH41" s="98" t="s">
        <v>73</v>
      </c>
      <c r="BI41" s="17">
        <v>36</v>
      </c>
      <c r="BJ41" s="97">
        <v>8928</v>
      </c>
      <c r="BK41" s="97" t="s">
        <v>73</v>
      </c>
      <c r="BL41" s="97" t="s">
        <v>73</v>
      </c>
      <c r="BM41" s="97" t="s">
        <v>73</v>
      </c>
      <c r="BN41" s="97" t="s">
        <v>73</v>
      </c>
      <c r="BO41" s="97" t="s">
        <v>73</v>
      </c>
      <c r="BP41" s="97" t="s">
        <v>73</v>
      </c>
      <c r="BQ41" s="97" t="s">
        <v>73</v>
      </c>
      <c r="BR41" s="97" t="s">
        <v>73</v>
      </c>
      <c r="BS41" s="97" t="s">
        <v>73</v>
      </c>
      <c r="BT41" s="97" t="s">
        <v>73</v>
      </c>
      <c r="BU41" s="97">
        <v>0</v>
      </c>
      <c r="BV41" s="97">
        <v>0</v>
      </c>
      <c r="BW41" s="97">
        <v>0</v>
      </c>
      <c r="BX41" s="102">
        <f t="shared" si="13"/>
        <v>0.32021801928313393</v>
      </c>
      <c r="BY41" s="102">
        <f t="shared" si="14"/>
        <v>0.33189001894838011</v>
      </c>
      <c r="BZ41" s="102">
        <f t="shared" si="15"/>
        <v>2.822476458784471E-2</v>
      </c>
      <c r="CA41" s="102">
        <f t="shared" si="16"/>
        <v>3.0303030303030304E-2</v>
      </c>
      <c r="CC41">
        <f t="shared" si="4"/>
        <v>34</v>
      </c>
      <c r="CE41" s="30">
        <f t="shared" si="17"/>
        <v>2.1459137182263048E-2</v>
      </c>
      <c r="CF41" s="30">
        <f t="shared" si="18"/>
        <v>2.1462432031373494E-2</v>
      </c>
      <c r="CG41" s="30">
        <f t="shared" si="19"/>
        <v>1.1201969170096179E-4</v>
      </c>
      <c r="CH41" s="30">
        <f t="shared" si="20"/>
        <v>1.1204481792717087E-4</v>
      </c>
    </row>
    <row r="42" spans="1:86">
      <c r="A42" s="11" t="s">
        <v>68</v>
      </c>
      <c r="B42" s="11" t="s">
        <v>655</v>
      </c>
      <c r="C42" s="94">
        <v>1124</v>
      </c>
      <c r="D42" s="97">
        <v>127</v>
      </c>
      <c r="E42" s="120" t="s">
        <v>259</v>
      </c>
      <c r="F42" s="96">
        <v>2021</v>
      </c>
      <c r="G42" t="s">
        <v>260</v>
      </c>
      <c r="H42" s="17" t="s">
        <v>261</v>
      </c>
      <c r="I42" s="97">
        <v>2</v>
      </c>
      <c r="J42">
        <v>2017</v>
      </c>
      <c r="K42" s="96" t="s">
        <v>73</v>
      </c>
      <c r="L42" s="97">
        <v>58</v>
      </c>
      <c r="M42" s="96" t="s">
        <v>155</v>
      </c>
      <c r="N42" s="97" t="s">
        <v>240</v>
      </c>
      <c r="O42" s="97" t="s">
        <v>262</v>
      </c>
      <c r="P42" t="s">
        <v>241</v>
      </c>
      <c r="Q42" t="s">
        <v>252</v>
      </c>
      <c r="R42" t="s">
        <v>257</v>
      </c>
      <c r="S42">
        <v>1</v>
      </c>
      <c r="T42" t="s">
        <v>263</v>
      </c>
      <c r="U42">
        <v>1</v>
      </c>
      <c r="V42" s="96" t="s">
        <v>229</v>
      </c>
      <c r="W42" s="96" t="s">
        <v>229</v>
      </c>
      <c r="X42" t="s">
        <v>244</v>
      </c>
      <c r="Y42" s="97">
        <v>0</v>
      </c>
      <c r="Z42" s="97">
        <v>1</v>
      </c>
      <c r="AA42" s="97">
        <v>1</v>
      </c>
      <c r="AB42" s="97">
        <v>0</v>
      </c>
      <c r="AC42" s="97">
        <v>0</v>
      </c>
      <c r="AD42" s="97">
        <v>0</v>
      </c>
      <c r="AE42" s="97">
        <v>0</v>
      </c>
      <c r="AF42">
        <v>0</v>
      </c>
      <c r="AG42" s="97" t="s">
        <v>264</v>
      </c>
      <c r="AH42" s="97">
        <v>0</v>
      </c>
      <c r="AI42" s="97">
        <v>0</v>
      </c>
      <c r="AJ42" s="97">
        <v>0</v>
      </c>
      <c r="AK42" s="97">
        <v>1</v>
      </c>
      <c r="AL42" s="97">
        <v>0</v>
      </c>
      <c r="AM42" s="97">
        <v>0</v>
      </c>
      <c r="AN42" s="97">
        <v>0</v>
      </c>
      <c r="AO42" s="97">
        <v>0</v>
      </c>
      <c r="AP42" s="97">
        <v>0</v>
      </c>
      <c r="AQ42" s="97" t="s">
        <v>73</v>
      </c>
      <c r="AR42" t="s">
        <v>233</v>
      </c>
      <c r="AS42" s="97" t="s">
        <v>265</v>
      </c>
      <c r="AT42" s="108" t="s">
        <v>73</v>
      </c>
      <c r="AU42" s="21">
        <v>0.49790000000000001</v>
      </c>
      <c r="AV42" s="7" t="s">
        <v>80</v>
      </c>
      <c r="AW42" t="s">
        <v>73</v>
      </c>
      <c r="AX42">
        <v>1E-3</v>
      </c>
      <c r="AY42" s="17">
        <v>1</v>
      </c>
      <c r="AZ42" s="17">
        <v>3.5821000000000001</v>
      </c>
      <c r="BA42" s="98" t="s">
        <v>73</v>
      </c>
      <c r="BB42" s="98"/>
      <c r="BC42" s="98" t="s">
        <v>73</v>
      </c>
      <c r="BD42" s="98" t="s">
        <v>73</v>
      </c>
      <c r="BE42" s="98" t="s">
        <v>73</v>
      </c>
      <c r="BF42" s="98" t="s">
        <v>73</v>
      </c>
      <c r="BG42" s="98" t="s">
        <v>73</v>
      </c>
      <c r="BH42" s="98" t="s">
        <v>73</v>
      </c>
      <c r="BI42" s="17">
        <v>36</v>
      </c>
      <c r="BJ42" s="97">
        <v>8928</v>
      </c>
      <c r="BK42" s="97" t="s">
        <v>73</v>
      </c>
      <c r="BL42" s="97" t="s">
        <v>73</v>
      </c>
      <c r="BM42" s="97" t="s">
        <v>73</v>
      </c>
      <c r="BN42" s="97" t="s">
        <v>73</v>
      </c>
      <c r="BO42" s="97" t="s">
        <v>73</v>
      </c>
      <c r="BP42" s="97" t="s">
        <v>73</v>
      </c>
      <c r="BQ42" s="97" t="s">
        <v>73</v>
      </c>
      <c r="BR42" s="97" t="s">
        <v>73</v>
      </c>
      <c r="BS42" s="97" t="s">
        <v>73</v>
      </c>
      <c r="BT42" s="97" t="s">
        <v>73</v>
      </c>
      <c r="BU42" s="97">
        <v>0</v>
      </c>
      <c r="BV42" s="97">
        <v>0</v>
      </c>
      <c r="BW42" s="97">
        <v>0</v>
      </c>
      <c r="BX42" s="102">
        <f t="shared" si="13"/>
        <v>0.5126110197955529</v>
      </c>
      <c r="BY42" s="102">
        <f t="shared" si="14"/>
        <v>0.56626502857004413</v>
      </c>
      <c r="BZ42" s="102">
        <f t="shared" si="15"/>
        <v>2.5633705048672264E-2</v>
      </c>
      <c r="CA42" s="102">
        <f t="shared" si="16"/>
        <v>3.0303030303030304E-2</v>
      </c>
      <c r="CC42">
        <f t="shared" si="4"/>
        <v>34</v>
      </c>
      <c r="CE42" s="30">
        <f t="shared" si="17"/>
        <v>3.788338276740591E-2</v>
      </c>
      <c r="CF42" s="30">
        <f t="shared" si="18"/>
        <v>3.7901521176417756E-2</v>
      </c>
      <c r="CG42" s="30">
        <f t="shared" si="19"/>
        <v>1.1201948430548235E-4</v>
      </c>
      <c r="CH42" s="30">
        <f t="shared" si="20"/>
        <v>1.1204481792717087E-4</v>
      </c>
    </row>
    <row r="43" spans="1:86">
      <c r="A43" s="11" t="s">
        <v>68</v>
      </c>
      <c r="B43" s="11" t="s">
        <v>655</v>
      </c>
      <c r="C43" s="94">
        <v>1125</v>
      </c>
      <c r="D43" s="97">
        <v>127</v>
      </c>
      <c r="E43" s="120" t="s">
        <v>259</v>
      </c>
      <c r="F43" s="96">
        <v>2021</v>
      </c>
      <c r="G43" t="s">
        <v>260</v>
      </c>
      <c r="H43" s="17" t="s">
        <v>261</v>
      </c>
      <c r="I43" s="97">
        <v>2</v>
      </c>
      <c r="J43">
        <v>2017</v>
      </c>
      <c r="K43" s="96" t="s">
        <v>73</v>
      </c>
      <c r="L43" s="97">
        <v>58</v>
      </c>
      <c r="M43" s="96" t="s">
        <v>155</v>
      </c>
      <c r="N43" s="97" t="s">
        <v>240</v>
      </c>
      <c r="O43" s="97" t="s">
        <v>262</v>
      </c>
      <c r="P43" t="s">
        <v>241</v>
      </c>
      <c r="Q43" t="s">
        <v>252</v>
      </c>
      <c r="R43" t="s">
        <v>257</v>
      </c>
      <c r="S43">
        <v>1</v>
      </c>
      <c r="T43" t="s">
        <v>263</v>
      </c>
      <c r="U43">
        <v>1</v>
      </c>
      <c r="V43" s="96" t="s">
        <v>229</v>
      </c>
      <c r="W43" s="96" t="s">
        <v>229</v>
      </c>
      <c r="X43" t="s">
        <v>244</v>
      </c>
      <c r="Y43" s="97">
        <v>0</v>
      </c>
      <c r="Z43" s="97">
        <v>1</v>
      </c>
      <c r="AA43" s="97">
        <v>1</v>
      </c>
      <c r="AB43" s="97">
        <v>0</v>
      </c>
      <c r="AC43" s="97">
        <v>0</v>
      </c>
      <c r="AD43" s="97">
        <v>0</v>
      </c>
      <c r="AE43" s="97">
        <v>0</v>
      </c>
      <c r="AF43">
        <v>0</v>
      </c>
      <c r="AG43" s="97" t="s">
        <v>264</v>
      </c>
      <c r="AH43" s="97">
        <v>0</v>
      </c>
      <c r="AI43" s="97">
        <v>0</v>
      </c>
      <c r="AJ43" s="97">
        <v>0</v>
      </c>
      <c r="AK43" s="97">
        <v>1</v>
      </c>
      <c r="AL43" s="97">
        <v>0</v>
      </c>
      <c r="AM43" s="97">
        <v>0</v>
      </c>
      <c r="AN43" s="97">
        <v>0</v>
      </c>
      <c r="AO43" s="97">
        <v>0</v>
      </c>
      <c r="AP43" s="97">
        <v>0</v>
      </c>
      <c r="AQ43" s="97" t="s">
        <v>73</v>
      </c>
      <c r="AR43" t="s">
        <v>233</v>
      </c>
      <c r="AS43" s="97" t="s">
        <v>265</v>
      </c>
      <c r="AT43" s="108" t="s">
        <v>73</v>
      </c>
      <c r="AU43" s="21">
        <v>1.0802</v>
      </c>
      <c r="AV43" s="7" t="s">
        <v>80</v>
      </c>
      <c r="AW43" t="s">
        <v>73</v>
      </c>
      <c r="AX43">
        <v>1E-3</v>
      </c>
      <c r="AY43" s="17">
        <v>1</v>
      </c>
      <c r="AZ43" s="17">
        <v>3.5821000000000001</v>
      </c>
      <c r="BA43" s="98" t="s">
        <v>73</v>
      </c>
      <c r="BB43" s="98"/>
      <c r="BC43" s="98" t="s">
        <v>73</v>
      </c>
      <c r="BD43" s="98" t="s">
        <v>73</v>
      </c>
      <c r="BE43" s="98" t="s">
        <v>73</v>
      </c>
      <c r="BF43" s="98" t="s">
        <v>73</v>
      </c>
      <c r="BG43" s="98" t="s">
        <v>73</v>
      </c>
      <c r="BH43" s="98" t="s">
        <v>73</v>
      </c>
      <c r="BI43" s="17">
        <v>36</v>
      </c>
      <c r="BJ43" s="97">
        <v>8928</v>
      </c>
      <c r="BK43" s="97" t="s">
        <v>73</v>
      </c>
      <c r="BL43" s="97" t="s">
        <v>73</v>
      </c>
      <c r="BM43" s="97" t="s">
        <v>73</v>
      </c>
      <c r="BN43" s="97" t="s">
        <v>73</v>
      </c>
      <c r="BO43" s="97" t="s">
        <v>73</v>
      </c>
      <c r="BP43" s="97" t="s">
        <v>73</v>
      </c>
      <c r="BQ43" s="97" t="s">
        <v>73</v>
      </c>
      <c r="BR43" s="97" t="s">
        <v>73</v>
      </c>
      <c r="BS43" s="97" t="s">
        <v>73</v>
      </c>
      <c r="BT43" s="97" t="s">
        <v>73</v>
      </c>
      <c r="BU43" s="97">
        <v>0</v>
      </c>
      <c r="BV43" s="97">
        <v>0</v>
      </c>
      <c r="BW43" s="97">
        <v>0</v>
      </c>
      <c r="BX43" s="102">
        <f t="shared" si="13"/>
        <v>0.5126110197955529</v>
      </c>
      <c r="BY43" s="102">
        <f t="shared" si="14"/>
        <v>0.56626502857004413</v>
      </c>
      <c r="BZ43" s="102">
        <f t="shared" si="15"/>
        <v>2.5633705048672264E-2</v>
      </c>
      <c r="CA43" s="102">
        <f t="shared" si="16"/>
        <v>3.0303030303030304E-2</v>
      </c>
      <c r="CC43">
        <f t="shared" si="4"/>
        <v>34</v>
      </c>
      <c r="CE43" s="30">
        <f t="shared" si="17"/>
        <v>3.788338276740591E-2</v>
      </c>
      <c r="CF43" s="30">
        <f t="shared" si="18"/>
        <v>3.7901521176417756E-2</v>
      </c>
      <c r="CG43" s="30">
        <f t="shared" si="19"/>
        <v>1.1201948430548235E-4</v>
      </c>
      <c r="CH43" s="30">
        <f t="shared" si="20"/>
        <v>1.1204481792717087E-4</v>
      </c>
    </row>
    <row r="44" spans="1:86">
      <c r="A44" s="11" t="s">
        <v>68</v>
      </c>
      <c r="B44" s="11" t="s">
        <v>655</v>
      </c>
      <c r="C44" s="94">
        <v>1126</v>
      </c>
      <c r="D44" s="97">
        <v>127</v>
      </c>
      <c r="E44" s="120" t="s">
        <v>259</v>
      </c>
      <c r="F44" s="96">
        <v>2021</v>
      </c>
      <c r="G44" t="s">
        <v>260</v>
      </c>
      <c r="H44" s="17" t="s">
        <v>261</v>
      </c>
      <c r="I44" s="97">
        <v>2</v>
      </c>
      <c r="J44">
        <v>2017</v>
      </c>
      <c r="K44" s="96" t="s">
        <v>73</v>
      </c>
      <c r="L44" s="97">
        <v>58</v>
      </c>
      <c r="M44" s="96" t="s">
        <v>155</v>
      </c>
      <c r="N44" s="97" t="s">
        <v>240</v>
      </c>
      <c r="O44" s="97" t="s">
        <v>262</v>
      </c>
      <c r="P44" t="s">
        <v>241</v>
      </c>
      <c r="Q44" t="s">
        <v>252</v>
      </c>
      <c r="R44" s="32" t="s">
        <v>257</v>
      </c>
      <c r="S44">
        <v>1</v>
      </c>
      <c r="T44" t="s">
        <v>263</v>
      </c>
      <c r="U44">
        <v>1</v>
      </c>
      <c r="V44" s="96" t="s">
        <v>229</v>
      </c>
      <c r="W44" s="96" t="s">
        <v>229</v>
      </c>
      <c r="X44" t="s">
        <v>244</v>
      </c>
      <c r="Y44" s="97">
        <v>0</v>
      </c>
      <c r="Z44" s="97">
        <v>1</v>
      </c>
      <c r="AA44" s="97">
        <v>1</v>
      </c>
      <c r="AB44" s="97">
        <v>0</v>
      </c>
      <c r="AC44" s="97">
        <v>0</v>
      </c>
      <c r="AD44" s="97">
        <v>0</v>
      </c>
      <c r="AE44" s="97">
        <v>0</v>
      </c>
      <c r="AF44">
        <v>0</v>
      </c>
      <c r="AG44" s="97" t="s">
        <v>264</v>
      </c>
      <c r="AH44" s="97">
        <v>0</v>
      </c>
      <c r="AI44" s="97">
        <v>0</v>
      </c>
      <c r="AJ44" s="97">
        <v>0</v>
      </c>
      <c r="AK44" s="97">
        <v>1</v>
      </c>
      <c r="AL44" s="97">
        <v>0</v>
      </c>
      <c r="AM44" s="97">
        <v>0</v>
      </c>
      <c r="AN44" s="97">
        <v>0</v>
      </c>
      <c r="AO44" s="97">
        <v>0</v>
      </c>
      <c r="AP44" s="97">
        <v>0</v>
      </c>
      <c r="AQ44" s="97" t="s">
        <v>73</v>
      </c>
      <c r="AR44" t="s">
        <v>233</v>
      </c>
      <c r="AS44" s="97" t="s">
        <v>265</v>
      </c>
      <c r="AT44" s="108" t="s">
        <v>73</v>
      </c>
      <c r="AU44" s="21">
        <v>0.60389999999999999</v>
      </c>
      <c r="AV44" s="7" t="s">
        <v>80</v>
      </c>
      <c r="AW44" t="s">
        <v>73</v>
      </c>
      <c r="AX44">
        <v>1E-3</v>
      </c>
      <c r="AY44" s="17">
        <v>1</v>
      </c>
      <c r="AZ44" s="17">
        <v>3.5821000000000001</v>
      </c>
      <c r="BA44" s="98" t="s">
        <v>73</v>
      </c>
      <c r="BB44" s="98"/>
      <c r="BC44" s="98" t="s">
        <v>73</v>
      </c>
      <c r="BD44" s="98" t="s">
        <v>73</v>
      </c>
      <c r="BE44" s="98" t="s">
        <v>73</v>
      </c>
      <c r="BF44" s="98" t="s">
        <v>73</v>
      </c>
      <c r="BG44" s="98" t="s">
        <v>73</v>
      </c>
      <c r="BH44" s="98" t="s">
        <v>73</v>
      </c>
      <c r="BI44" s="17">
        <v>36</v>
      </c>
      <c r="BJ44" s="97">
        <v>8928</v>
      </c>
      <c r="BK44" s="97" t="s">
        <v>73</v>
      </c>
      <c r="BL44" s="97" t="s">
        <v>73</v>
      </c>
      <c r="BM44" s="97" t="s">
        <v>73</v>
      </c>
      <c r="BN44" s="97" t="s">
        <v>73</v>
      </c>
      <c r="BO44" s="97" t="s">
        <v>73</v>
      </c>
      <c r="BP44" s="97" t="s">
        <v>73</v>
      </c>
      <c r="BQ44" s="97" t="s">
        <v>73</v>
      </c>
      <c r="BR44" s="97" t="s">
        <v>73</v>
      </c>
      <c r="BS44" s="97" t="s">
        <v>73</v>
      </c>
      <c r="BT44" s="97" t="s">
        <v>73</v>
      </c>
      <c r="BU44" s="97">
        <v>0</v>
      </c>
      <c r="BV44" s="97">
        <v>0</v>
      </c>
      <c r="BW44" s="97">
        <v>0</v>
      </c>
      <c r="BX44" s="102">
        <f t="shared" si="13"/>
        <v>0.5126110197955529</v>
      </c>
      <c r="BY44" s="102">
        <f t="shared" si="14"/>
        <v>0.56626502857004413</v>
      </c>
      <c r="BZ44" s="102">
        <f t="shared" si="15"/>
        <v>2.5633705048672264E-2</v>
      </c>
      <c r="CA44" s="102">
        <f t="shared" si="16"/>
        <v>3.0303030303030304E-2</v>
      </c>
      <c r="CC44">
        <f t="shared" si="4"/>
        <v>34</v>
      </c>
      <c r="CE44" s="30">
        <f t="shared" si="17"/>
        <v>3.788338276740591E-2</v>
      </c>
      <c r="CF44" s="30">
        <f t="shared" si="18"/>
        <v>3.7901521176417756E-2</v>
      </c>
      <c r="CG44" s="30">
        <f t="shared" si="19"/>
        <v>1.1201948430548235E-4</v>
      </c>
      <c r="CH44" s="30">
        <f t="shared" si="20"/>
        <v>1.1204481792717087E-4</v>
      </c>
    </row>
    <row r="45" spans="1:86">
      <c r="A45" s="11" t="s">
        <v>68</v>
      </c>
      <c r="B45" s="11" t="s">
        <v>655</v>
      </c>
      <c r="C45" s="94">
        <v>1127</v>
      </c>
      <c r="D45" s="97">
        <v>127</v>
      </c>
      <c r="E45" s="120" t="s">
        <v>259</v>
      </c>
      <c r="F45" s="96">
        <v>2021</v>
      </c>
      <c r="G45" t="s">
        <v>260</v>
      </c>
      <c r="H45" s="17" t="s">
        <v>261</v>
      </c>
      <c r="I45" s="97">
        <v>2</v>
      </c>
      <c r="J45">
        <v>2017</v>
      </c>
      <c r="K45" s="96" t="s">
        <v>73</v>
      </c>
      <c r="L45" s="97">
        <v>58</v>
      </c>
      <c r="M45" s="96" t="s">
        <v>155</v>
      </c>
      <c r="N45" s="97" t="s">
        <v>240</v>
      </c>
      <c r="O45" s="97" t="s">
        <v>262</v>
      </c>
      <c r="P45" t="s">
        <v>241</v>
      </c>
      <c r="Q45" t="s">
        <v>252</v>
      </c>
      <c r="R45" s="32" t="s">
        <v>257</v>
      </c>
      <c r="S45">
        <v>1</v>
      </c>
      <c r="T45" t="s">
        <v>263</v>
      </c>
      <c r="U45">
        <v>1</v>
      </c>
      <c r="V45" s="96" t="s">
        <v>229</v>
      </c>
      <c r="W45" s="96" t="s">
        <v>229</v>
      </c>
      <c r="X45" t="s">
        <v>244</v>
      </c>
      <c r="Y45" s="97">
        <v>0</v>
      </c>
      <c r="Z45" s="97">
        <v>1</v>
      </c>
      <c r="AA45" s="97">
        <v>1</v>
      </c>
      <c r="AB45" s="97">
        <v>0</v>
      </c>
      <c r="AC45" s="97">
        <v>0</v>
      </c>
      <c r="AD45" s="97">
        <v>0</v>
      </c>
      <c r="AE45" s="97">
        <v>0</v>
      </c>
      <c r="AF45">
        <v>0</v>
      </c>
      <c r="AG45" s="97" t="s">
        <v>264</v>
      </c>
      <c r="AH45" s="97">
        <v>0</v>
      </c>
      <c r="AI45" s="97">
        <v>0</v>
      </c>
      <c r="AJ45" s="97">
        <v>0</v>
      </c>
      <c r="AK45" s="97">
        <v>1</v>
      </c>
      <c r="AL45" s="97">
        <v>0</v>
      </c>
      <c r="AM45" s="97">
        <v>0</v>
      </c>
      <c r="AN45" s="97">
        <v>0</v>
      </c>
      <c r="AO45" s="97">
        <v>0</v>
      </c>
      <c r="AP45" s="97">
        <v>0</v>
      </c>
      <c r="AQ45" s="97" t="s">
        <v>73</v>
      </c>
      <c r="AR45" t="s">
        <v>233</v>
      </c>
      <c r="AS45" s="97" t="s">
        <v>265</v>
      </c>
      <c r="AT45" s="108" t="s">
        <v>73</v>
      </c>
      <c r="AU45" s="21">
        <v>1.1668000000000001</v>
      </c>
      <c r="AV45" s="7" t="s">
        <v>80</v>
      </c>
      <c r="AW45" t="s">
        <v>73</v>
      </c>
      <c r="AX45">
        <v>1E-3</v>
      </c>
      <c r="AY45" s="17">
        <v>1</v>
      </c>
      <c r="AZ45" s="17">
        <v>3.5821000000000001</v>
      </c>
      <c r="BA45" s="98" t="s">
        <v>73</v>
      </c>
      <c r="BB45" s="98"/>
      <c r="BC45" s="98" t="s">
        <v>73</v>
      </c>
      <c r="BD45" s="98" t="s">
        <v>73</v>
      </c>
      <c r="BE45" s="98" t="s">
        <v>73</v>
      </c>
      <c r="BF45" s="98" t="s">
        <v>73</v>
      </c>
      <c r="BG45" s="98" t="s">
        <v>73</v>
      </c>
      <c r="BH45" s="98" t="s">
        <v>73</v>
      </c>
      <c r="BI45" s="17">
        <v>36</v>
      </c>
      <c r="BJ45" s="97">
        <v>8928</v>
      </c>
      <c r="BK45" s="97" t="s">
        <v>73</v>
      </c>
      <c r="BL45" s="97" t="s">
        <v>73</v>
      </c>
      <c r="BM45" s="97" t="s">
        <v>73</v>
      </c>
      <c r="BN45" s="97" t="s">
        <v>73</v>
      </c>
      <c r="BO45" s="97" t="s">
        <v>73</v>
      </c>
      <c r="BP45" s="97" t="s">
        <v>73</v>
      </c>
      <c r="BQ45" s="97" t="s">
        <v>73</v>
      </c>
      <c r="BR45" s="97" t="s">
        <v>73</v>
      </c>
      <c r="BS45" s="97" t="s">
        <v>73</v>
      </c>
      <c r="BT45" s="97" t="s">
        <v>73</v>
      </c>
      <c r="BU45" s="97">
        <v>0</v>
      </c>
      <c r="BV45" s="97">
        <v>0</v>
      </c>
      <c r="BW45" s="97">
        <v>0</v>
      </c>
      <c r="BX45" s="102">
        <f t="shared" si="13"/>
        <v>0.5126110197955529</v>
      </c>
      <c r="BY45" s="102">
        <f t="shared" si="14"/>
        <v>0.56626502857004413</v>
      </c>
      <c r="BZ45" s="102">
        <f t="shared" si="15"/>
        <v>2.5633705048672264E-2</v>
      </c>
      <c r="CA45" s="102">
        <f t="shared" si="16"/>
        <v>3.0303030303030304E-2</v>
      </c>
      <c r="CC45">
        <f t="shared" si="4"/>
        <v>34</v>
      </c>
      <c r="CE45" s="30">
        <f t="shared" si="17"/>
        <v>3.788338276740591E-2</v>
      </c>
      <c r="CF45" s="30">
        <f t="shared" si="18"/>
        <v>3.7901521176417756E-2</v>
      </c>
      <c r="CG45" s="30">
        <f t="shared" si="19"/>
        <v>1.1201948430548235E-4</v>
      </c>
      <c r="CH45" s="30">
        <f t="shared" si="20"/>
        <v>1.1204481792717087E-4</v>
      </c>
    </row>
    <row r="46" spans="1:86">
      <c r="A46" s="11" t="s">
        <v>68</v>
      </c>
      <c r="B46" s="11" t="s">
        <v>656</v>
      </c>
      <c r="C46" s="11">
        <v>1099</v>
      </c>
      <c r="D46">
        <v>118</v>
      </c>
      <c r="E46" s="120" t="s">
        <v>254</v>
      </c>
      <c r="F46" s="11">
        <v>2011</v>
      </c>
      <c r="G46" t="s">
        <v>255</v>
      </c>
      <c r="H46" s="22" t="s">
        <v>256</v>
      </c>
      <c r="I46">
        <v>2</v>
      </c>
      <c r="J46">
        <v>2009</v>
      </c>
      <c r="K46" s="10" t="s">
        <v>73</v>
      </c>
      <c r="L46">
        <v>1454</v>
      </c>
      <c r="M46" s="18" t="s">
        <v>155</v>
      </c>
      <c r="N46" t="s">
        <v>112</v>
      </c>
      <c r="O46" t="s">
        <v>81</v>
      </c>
      <c r="P46" t="s">
        <v>241</v>
      </c>
      <c r="Q46" t="s">
        <v>252</v>
      </c>
      <c r="R46" t="s">
        <v>257</v>
      </c>
      <c r="S46">
        <v>1</v>
      </c>
      <c r="T46" t="s">
        <v>228</v>
      </c>
      <c r="U46">
        <v>0</v>
      </c>
      <c r="V46" s="18" t="s">
        <v>229</v>
      </c>
      <c r="W46" s="18" t="s">
        <v>229</v>
      </c>
      <c r="X46" t="s">
        <v>244</v>
      </c>
      <c r="Y46">
        <v>0</v>
      </c>
      <c r="Z46">
        <v>0</v>
      </c>
      <c r="AA46">
        <v>1</v>
      </c>
      <c r="AB46">
        <v>0</v>
      </c>
      <c r="AC46">
        <v>0</v>
      </c>
      <c r="AD46">
        <v>0</v>
      </c>
      <c r="AE46">
        <v>0</v>
      </c>
      <c r="AF46">
        <v>0</v>
      </c>
      <c r="AG46" t="s">
        <v>73</v>
      </c>
      <c r="AH46">
        <v>0</v>
      </c>
      <c r="AI46">
        <v>0</v>
      </c>
      <c r="AJ46">
        <v>0</v>
      </c>
      <c r="AK46">
        <v>1</v>
      </c>
      <c r="AL46">
        <v>0</v>
      </c>
      <c r="AM46">
        <v>0</v>
      </c>
      <c r="AN46" s="32">
        <v>0</v>
      </c>
      <c r="AO46">
        <v>0</v>
      </c>
      <c r="AP46">
        <v>0</v>
      </c>
      <c r="AQ46" t="s">
        <v>73</v>
      </c>
      <c r="AR46" t="s">
        <v>233</v>
      </c>
      <c r="AS46" t="s">
        <v>258</v>
      </c>
      <c r="AT46" s="41" t="s">
        <v>73</v>
      </c>
      <c r="AU46" s="21">
        <v>1.0760000000000001</v>
      </c>
      <c r="AV46" s="7" t="s">
        <v>80</v>
      </c>
      <c r="AW46" s="106">
        <f>AU46/AZ46</f>
        <v>5.3746253746253754E-2</v>
      </c>
      <c r="AX46" s="41" t="s">
        <v>73</v>
      </c>
      <c r="AY46" s="41">
        <v>3</v>
      </c>
      <c r="AZ46">
        <v>20.02</v>
      </c>
      <c r="BA46" t="s">
        <v>73</v>
      </c>
      <c r="BC46" t="s">
        <v>73</v>
      </c>
      <c r="BD46" t="s">
        <v>73</v>
      </c>
      <c r="BE46" t="s">
        <v>73</v>
      </c>
      <c r="BF46" t="s">
        <v>73</v>
      </c>
      <c r="BG46" t="s">
        <v>73</v>
      </c>
      <c r="BH46" t="s">
        <v>73</v>
      </c>
      <c r="BI46">
        <v>1395</v>
      </c>
      <c r="BJ46">
        <v>1395</v>
      </c>
      <c r="BK46" t="s">
        <v>73</v>
      </c>
      <c r="BL46" t="s">
        <v>73</v>
      </c>
      <c r="BM46" t="s">
        <v>73</v>
      </c>
      <c r="BN46" t="s">
        <v>73</v>
      </c>
      <c r="BO46" t="s">
        <v>73</v>
      </c>
      <c r="BP46" t="s">
        <v>73</v>
      </c>
      <c r="BQ46" t="s">
        <v>73</v>
      </c>
      <c r="BR46" t="s">
        <v>73</v>
      </c>
      <c r="BS46" t="s">
        <v>73</v>
      </c>
      <c r="BT46" t="s">
        <v>73</v>
      </c>
      <c r="BU46">
        <v>0</v>
      </c>
      <c r="BV46">
        <v>1</v>
      </c>
      <c r="BW46">
        <v>1</v>
      </c>
      <c r="BX46" s="102">
        <f t="shared" si="13"/>
        <v>0.47242735990047685</v>
      </c>
      <c r="BY46" s="102">
        <f t="shared" si="14"/>
        <v>0.51319051047617226</v>
      </c>
      <c r="BZ46" s="102">
        <f t="shared" si="15"/>
        <v>6.6760340037102519E-4</v>
      </c>
      <c r="CA46" s="102">
        <f t="shared" si="16"/>
        <v>7.1839080459770114E-4</v>
      </c>
      <c r="CC46">
        <f>BI46-1</f>
        <v>1394</v>
      </c>
      <c r="CE46" s="30">
        <f t="shared" si="17"/>
        <v>0.47242735990047685</v>
      </c>
      <c r="CF46" s="30">
        <f t="shared" si="18"/>
        <v>0.51319051047617226</v>
      </c>
      <c r="CG46" s="30">
        <f t="shared" si="19"/>
        <v>6.6760340037102519E-4</v>
      </c>
      <c r="CH46" s="30">
        <f t="shared" si="20"/>
        <v>7.1839080459770114E-4</v>
      </c>
    </row>
    <row r="47" spans="1:86">
      <c r="A47" s="11" t="s">
        <v>68</v>
      </c>
      <c r="B47" s="11" t="s">
        <v>656</v>
      </c>
      <c r="C47" s="11">
        <v>1100</v>
      </c>
      <c r="D47">
        <v>118</v>
      </c>
      <c r="E47" s="120" t="s">
        <v>254</v>
      </c>
      <c r="F47" s="11">
        <v>2011</v>
      </c>
      <c r="G47" t="s">
        <v>255</v>
      </c>
      <c r="H47" s="22" t="s">
        <v>256</v>
      </c>
      <c r="I47">
        <v>2</v>
      </c>
      <c r="J47">
        <v>2009</v>
      </c>
      <c r="K47" s="10" t="s">
        <v>73</v>
      </c>
      <c r="L47">
        <v>1454</v>
      </c>
      <c r="M47" s="18" t="s">
        <v>155</v>
      </c>
      <c r="N47" t="s">
        <v>112</v>
      </c>
      <c r="O47" t="s">
        <v>81</v>
      </c>
      <c r="P47" t="s">
        <v>241</v>
      </c>
      <c r="Q47" t="s">
        <v>252</v>
      </c>
      <c r="R47" t="s">
        <v>257</v>
      </c>
      <c r="S47">
        <v>1</v>
      </c>
      <c r="T47" t="s">
        <v>228</v>
      </c>
      <c r="U47">
        <v>0</v>
      </c>
      <c r="V47" s="18" t="s">
        <v>229</v>
      </c>
      <c r="W47" s="18" t="s">
        <v>229</v>
      </c>
      <c r="X47" t="s">
        <v>244</v>
      </c>
      <c r="Y47">
        <v>0</v>
      </c>
      <c r="Z47">
        <v>0</v>
      </c>
      <c r="AA47">
        <v>1</v>
      </c>
      <c r="AB47">
        <v>0</v>
      </c>
      <c r="AC47">
        <v>0</v>
      </c>
      <c r="AD47">
        <v>0</v>
      </c>
      <c r="AE47">
        <v>0</v>
      </c>
      <c r="AF47">
        <v>0</v>
      </c>
      <c r="AG47" t="s">
        <v>73</v>
      </c>
      <c r="AH47">
        <v>0</v>
      </c>
      <c r="AI47">
        <v>0</v>
      </c>
      <c r="AJ47">
        <v>0</v>
      </c>
      <c r="AK47">
        <v>1</v>
      </c>
      <c r="AL47">
        <v>0</v>
      </c>
      <c r="AM47">
        <v>0</v>
      </c>
      <c r="AN47" s="32">
        <v>0</v>
      </c>
      <c r="AO47">
        <v>0</v>
      </c>
      <c r="AP47">
        <v>0</v>
      </c>
      <c r="AQ47" t="s">
        <v>73</v>
      </c>
      <c r="AR47" t="s">
        <v>233</v>
      </c>
      <c r="AS47" t="s">
        <v>258</v>
      </c>
      <c r="AT47" s="41" t="s">
        <v>73</v>
      </c>
      <c r="AU47" s="21">
        <v>2.1459999999999999</v>
      </c>
      <c r="AV47" s="7" t="s">
        <v>80</v>
      </c>
      <c r="AW47" s="106">
        <f>AU47/AZ47</f>
        <v>0.18628472222222223</v>
      </c>
      <c r="AX47" s="41" t="s">
        <v>73</v>
      </c>
      <c r="AY47" s="41">
        <v>3</v>
      </c>
      <c r="AZ47">
        <v>11.52</v>
      </c>
      <c r="BA47" t="s">
        <v>73</v>
      </c>
      <c r="BC47" t="s">
        <v>73</v>
      </c>
      <c r="BD47" t="s">
        <v>73</v>
      </c>
      <c r="BE47" t="s">
        <v>73</v>
      </c>
      <c r="BF47" t="s">
        <v>73</v>
      </c>
      <c r="BG47" t="s">
        <v>73</v>
      </c>
      <c r="BH47" t="s">
        <v>73</v>
      </c>
      <c r="BI47">
        <v>1395</v>
      </c>
      <c r="BJ47">
        <v>1395</v>
      </c>
      <c r="BK47" t="s">
        <v>73</v>
      </c>
      <c r="BL47" t="s">
        <v>73</v>
      </c>
      <c r="BM47" t="s">
        <v>73</v>
      </c>
      <c r="BN47" t="s">
        <v>73</v>
      </c>
      <c r="BO47" t="s">
        <v>73</v>
      </c>
      <c r="BP47" t="s">
        <v>73</v>
      </c>
      <c r="BQ47" t="s">
        <v>73</v>
      </c>
      <c r="BR47" t="s">
        <v>73</v>
      </c>
      <c r="BS47" t="s">
        <v>73</v>
      </c>
      <c r="BT47" t="s">
        <v>73</v>
      </c>
      <c r="BU47">
        <v>0</v>
      </c>
      <c r="BV47">
        <v>1</v>
      </c>
      <c r="BW47">
        <v>1</v>
      </c>
      <c r="BX47" s="102">
        <f t="shared" si="13"/>
        <v>0.29473516954008327</v>
      </c>
      <c r="BY47" s="102">
        <f t="shared" si="14"/>
        <v>0.3037440363085756</v>
      </c>
      <c r="BZ47" s="102">
        <f t="shared" si="15"/>
        <v>7.1125395357683058E-4</v>
      </c>
      <c r="CA47" s="102">
        <f t="shared" si="16"/>
        <v>7.1839080459770114E-4</v>
      </c>
      <c r="CC47">
        <f>BI47-1</f>
        <v>1394</v>
      </c>
      <c r="CE47" s="30">
        <f t="shared" si="17"/>
        <v>0.29473516954008327</v>
      </c>
      <c r="CF47" s="30">
        <f t="shared" si="18"/>
        <v>0.3037440363085756</v>
      </c>
      <c r="CG47" s="30">
        <f t="shared" si="19"/>
        <v>7.1125395357683058E-4</v>
      </c>
      <c r="CH47" s="30">
        <f t="shared" si="20"/>
        <v>7.1839080459770114E-4</v>
      </c>
    </row>
    <row r="48" spans="1:86">
      <c r="A48" s="11" t="s">
        <v>312</v>
      </c>
      <c r="B48" s="11" t="s">
        <v>656</v>
      </c>
      <c r="C48" s="94">
        <v>1235</v>
      </c>
      <c r="D48">
        <v>118</v>
      </c>
      <c r="E48" s="122" t="s">
        <v>254</v>
      </c>
      <c r="F48">
        <v>2011</v>
      </c>
      <c r="G48" t="s">
        <v>320</v>
      </c>
      <c r="H48" s="58" t="s">
        <v>321</v>
      </c>
      <c r="I48">
        <v>2</v>
      </c>
      <c r="J48">
        <v>2009</v>
      </c>
      <c r="K48" s="10" t="s">
        <v>73</v>
      </c>
      <c r="L48">
        <v>1456</v>
      </c>
      <c r="M48" s="18" t="s">
        <v>322</v>
      </c>
      <c r="N48" t="s">
        <v>240</v>
      </c>
      <c r="O48" t="s">
        <v>81</v>
      </c>
      <c r="P48" s="18" t="s">
        <v>241</v>
      </c>
      <c r="Q48" t="s">
        <v>252</v>
      </c>
      <c r="R48" t="s">
        <v>243</v>
      </c>
      <c r="S48">
        <v>1</v>
      </c>
      <c r="T48" t="s">
        <v>188</v>
      </c>
      <c r="U48">
        <v>1</v>
      </c>
      <c r="V48" s="18" t="s">
        <v>229</v>
      </c>
      <c r="W48" s="18" t="s">
        <v>229</v>
      </c>
      <c r="X48" t="s">
        <v>244</v>
      </c>
      <c r="Y48">
        <v>0</v>
      </c>
      <c r="Z48">
        <v>0</v>
      </c>
      <c r="AA48">
        <v>1</v>
      </c>
      <c r="AB48">
        <v>0</v>
      </c>
      <c r="AC48">
        <v>0</v>
      </c>
      <c r="AD48">
        <v>0</v>
      </c>
      <c r="AE48">
        <v>0</v>
      </c>
      <c r="AF48" s="100">
        <v>0</v>
      </c>
      <c r="AG48" s="10" t="s">
        <v>231</v>
      </c>
      <c r="AH48">
        <v>0</v>
      </c>
      <c r="AI48">
        <v>0</v>
      </c>
      <c r="AJ48">
        <v>0</v>
      </c>
      <c r="AK48">
        <v>1</v>
      </c>
      <c r="AL48">
        <v>0</v>
      </c>
      <c r="AM48">
        <v>0</v>
      </c>
      <c r="AN48">
        <v>0</v>
      </c>
      <c r="AO48">
        <v>0</v>
      </c>
      <c r="AP48">
        <v>0</v>
      </c>
      <c r="AQ48" s="41" t="s">
        <v>73</v>
      </c>
      <c r="AR48" s="41" t="s">
        <v>233</v>
      </c>
      <c r="AS48" s="41" t="s">
        <v>323</v>
      </c>
      <c r="AT48" s="41" t="s">
        <v>73</v>
      </c>
      <c r="AU48" s="21">
        <v>258.70999999999998</v>
      </c>
      <c r="AV48" t="s">
        <v>80</v>
      </c>
      <c r="AW48" t="s">
        <v>73</v>
      </c>
      <c r="AX48">
        <v>0.01</v>
      </c>
      <c r="AY48">
        <v>1</v>
      </c>
      <c r="AZ48">
        <f>TINV(AX48,CC48)</f>
        <v>2.5793633280407828</v>
      </c>
      <c r="BA48" t="s">
        <v>73</v>
      </c>
      <c r="BC48" t="s">
        <v>73</v>
      </c>
      <c r="BD48" t="s">
        <v>73</v>
      </c>
      <c r="BE48" t="s">
        <v>73</v>
      </c>
      <c r="BF48" t="s">
        <v>73</v>
      </c>
      <c r="BG48" t="s">
        <v>73</v>
      </c>
      <c r="BH48" t="s">
        <v>73</v>
      </c>
      <c r="BI48">
        <v>1395</v>
      </c>
      <c r="BJ48">
        <v>19860</v>
      </c>
      <c r="BK48" t="s">
        <v>73</v>
      </c>
      <c r="BL48" t="s">
        <v>73</v>
      </c>
      <c r="BM48" t="s">
        <v>73</v>
      </c>
      <c r="BN48" t="s">
        <v>73</v>
      </c>
      <c r="BO48" t="s">
        <v>73</v>
      </c>
      <c r="BP48" t="s">
        <v>73</v>
      </c>
      <c r="BQ48" t="s">
        <v>73</v>
      </c>
      <c r="BR48">
        <v>1</v>
      </c>
      <c r="BS48" t="s">
        <v>73</v>
      </c>
      <c r="BT48" s="100" t="s">
        <v>73</v>
      </c>
      <c r="BU48">
        <v>0</v>
      </c>
      <c r="BV48">
        <v>0</v>
      </c>
      <c r="BW48">
        <v>0</v>
      </c>
      <c r="BX48" s="102">
        <f t="shared" si="13"/>
        <v>6.8895720725096588E-2</v>
      </c>
      <c r="BY48" s="102">
        <f t="shared" si="14"/>
        <v>6.900503950756405E-2</v>
      </c>
      <c r="BZ48" s="102">
        <f t="shared" si="15"/>
        <v>7.1734384953814931E-4</v>
      </c>
      <c r="CA48" s="102">
        <f t="shared" si="16"/>
        <v>7.1839080459770114E-4</v>
      </c>
      <c r="CB48" s="99"/>
      <c r="CC48">
        <f t="shared" ref="CC48:CC61" si="21">BI48-2</f>
        <v>1393</v>
      </c>
      <c r="CE48" s="30">
        <f t="shared" si="17"/>
        <v>1.8299961101675508E-2</v>
      </c>
      <c r="CF48" s="30">
        <f t="shared" si="18"/>
        <v>1.8302004328216499E-2</v>
      </c>
      <c r="CG48" s="30">
        <f t="shared" si="19"/>
        <v>5.035499711967097E-5</v>
      </c>
      <c r="CH48" s="30">
        <f t="shared" si="20"/>
        <v>5.0360074532910306E-5</v>
      </c>
    </row>
    <row r="49" spans="1:86" s="101" customFormat="1">
      <c r="A49" s="11" t="s">
        <v>312</v>
      </c>
      <c r="B49" s="11" t="s">
        <v>656</v>
      </c>
      <c r="C49" s="94">
        <v>1236</v>
      </c>
      <c r="D49">
        <v>118</v>
      </c>
      <c r="E49" s="122" t="s">
        <v>254</v>
      </c>
      <c r="F49">
        <v>2011</v>
      </c>
      <c r="G49" t="s">
        <v>320</v>
      </c>
      <c r="H49" t="s">
        <v>321</v>
      </c>
      <c r="I49">
        <v>2</v>
      </c>
      <c r="J49">
        <v>2009</v>
      </c>
      <c r="K49" s="10" t="s">
        <v>73</v>
      </c>
      <c r="L49">
        <v>1456</v>
      </c>
      <c r="M49" s="18" t="s">
        <v>322</v>
      </c>
      <c r="N49" t="s">
        <v>240</v>
      </c>
      <c r="O49" t="s">
        <v>81</v>
      </c>
      <c r="P49" s="18" t="s">
        <v>241</v>
      </c>
      <c r="Q49" t="s">
        <v>252</v>
      </c>
      <c r="R49" t="s">
        <v>243</v>
      </c>
      <c r="S49">
        <v>1</v>
      </c>
      <c r="T49" t="s">
        <v>188</v>
      </c>
      <c r="U49">
        <v>1</v>
      </c>
      <c r="V49" s="18" t="s">
        <v>229</v>
      </c>
      <c r="W49" s="18" t="s">
        <v>229</v>
      </c>
      <c r="X49" t="s">
        <v>244</v>
      </c>
      <c r="Y49">
        <v>0</v>
      </c>
      <c r="Z49">
        <v>0</v>
      </c>
      <c r="AA49">
        <v>1</v>
      </c>
      <c r="AB49">
        <v>0</v>
      </c>
      <c r="AC49">
        <v>0</v>
      </c>
      <c r="AD49">
        <v>0</v>
      </c>
      <c r="AE49">
        <v>0</v>
      </c>
      <c r="AF49" s="100">
        <v>0</v>
      </c>
      <c r="AG49" s="10" t="s">
        <v>231</v>
      </c>
      <c r="AH49">
        <v>0</v>
      </c>
      <c r="AI49">
        <v>0</v>
      </c>
      <c r="AJ49">
        <v>0</v>
      </c>
      <c r="AK49">
        <v>1</v>
      </c>
      <c r="AL49">
        <v>0</v>
      </c>
      <c r="AM49">
        <v>0</v>
      </c>
      <c r="AN49">
        <v>0</v>
      </c>
      <c r="AO49">
        <v>0</v>
      </c>
      <c r="AP49">
        <v>0</v>
      </c>
      <c r="AQ49" s="41" t="s">
        <v>73</v>
      </c>
      <c r="AR49" s="41" t="s">
        <v>233</v>
      </c>
      <c r="AS49" s="41" t="s">
        <v>323</v>
      </c>
      <c r="AT49" s="41" t="s">
        <v>73</v>
      </c>
      <c r="AU49" s="21">
        <v>249.82</v>
      </c>
      <c r="AV49" t="s">
        <v>80</v>
      </c>
      <c r="AW49" t="s">
        <v>73</v>
      </c>
      <c r="AX49">
        <v>0.01</v>
      </c>
      <c r="AY49">
        <v>1</v>
      </c>
      <c r="AZ49">
        <f>TINV(AX49,CC49)</f>
        <v>2.5793633280407828</v>
      </c>
      <c r="BA49" t="s">
        <v>73</v>
      </c>
      <c r="BB49"/>
      <c r="BC49" t="s">
        <v>73</v>
      </c>
      <c r="BD49" t="s">
        <v>73</v>
      </c>
      <c r="BE49" t="s">
        <v>73</v>
      </c>
      <c r="BF49" t="s">
        <v>73</v>
      </c>
      <c r="BG49" t="s">
        <v>73</v>
      </c>
      <c r="BH49" t="s">
        <v>73</v>
      </c>
      <c r="BI49">
        <v>1395</v>
      </c>
      <c r="BJ49">
        <v>19860</v>
      </c>
      <c r="BK49" t="s">
        <v>73</v>
      </c>
      <c r="BL49" t="s">
        <v>73</v>
      </c>
      <c r="BM49" t="s">
        <v>73</v>
      </c>
      <c r="BN49" t="s">
        <v>73</v>
      </c>
      <c r="BO49" t="s">
        <v>73</v>
      </c>
      <c r="BP49" t="s">
        <v>73</v>
      </c>
      <c r="BQ49" t="s">
        <v>73</v>
      </c>
      <c r="BR49">
        <v>1</v>
      </c>
      <c r="BS49" t="s">
        <v>73</v>
      </c>
      <c r="BT49" s="100" t="s">
        <v>73</v>
      </c>
      <c r="BU49">
        <v>1</v>
      </c>
      <c r="BV49">
        <v>1</v>
      </c>
      <c r="BW49">
        <v>1</v>
      </c>
      <c r="BX49" s="102">
        <f t="shared" si="13"/>
        <v>6.8895720725096588E-2</v>
      </c>
      <c r="BY49" s="102">
        <f t="shared" si="14"/>
        <v>6.900503950756405E-2</v>
      </c>
      <c r="BZ49" s="102">
        <f t="shared" si="15"/>
        <v>7.1734384953814931E-4</v>
      </c>
      <c r="CA49" s="102">
        <f t="shared" si="16"/>
        <v>7.1839080459770114E-4</v>
      </c>
      <c r="CB49" s="99"/>
      <c r="CC49">
        <f t="shared" si="21"/>
        <v>1393</v>
      </c>
      <c r="CD49"/>
      <c r="CE49" s="30">
        <f t="shared" si="17"/>
        <v>1.8299961101675508E-2</v>
      </c>
      <c r="CF49" s="30">
        <f t="shared" si="18"/>
        <v>1.8302004328216499E-2</v>
      </c>
      <c r="CG49" s="30">
        <f t="shared" si="19"/>
        <v>5.035499711967097E-5</v>
      </c>
      <c r="CH49" s="30">
        <f t="shared" si="20"/>
        <v>5.0360074532910306E-5</v>
      </c>
    </row>
    <row r="50" spans="1:86" s="101" customFormat="1">
      <c r="A50" s="11" t="s">
        <v>312</v>
      </c>
      <c r="B50" s="11" t="s">
        <v>656</v>
      </c>
      <c r="C50" s="94">
        <v>1237</v>
      </c>
      <c r="D50">
        <v>118</v>
      </c>
      <c r="E50" s="122" t="s">
        <v>254</v>
      </c>
      <c r="F50">
        <v>2011</v>
      </c>
      <c r="G50" t="s">
        <v>320</v>
      </c>
      <c r="H50" t="s">
        <v>321</v>
      </c>
      <c r="I50">
        <v>2</v>
      </c>
      <c r="J50">
        <v>2009</v>
      </c>
      <c r="K50" s="10" t="s">
        <v>73</v>
      </c>
      <c r="L50">
        <v>1456</v>
      </c>
      <c r="M50" s="18" t="s">
        <v>297</v>
      </c>
      <c r="N50" t="s">
        <v>240</v>
      </c>
      <c r="O50" t="s">
        <v>81</v>
      </c>
      <c r="P50" s="18" t="s">
        <v>241</v>
      </c>
      <c r="Q50" t="s">
        <v>252</v>
      </c>
      <c r="R50" t="s">
        <v>243</v>
      </c>
      <c r="S50">
        <v>1</v>
      </c>
      <c r="T50" t="s">
        <v>188</v>
      </c>
      <c r="U50">
        <v>1</v>
      </c>
      <c r="V50" s="18" t="s">
        <v>229</v>
      </c>
      <c r="W50" s="18" t="s">
        <v>229</v>
      </c>
      <c r="X50" t="s">
        <v>244</v>
      </c>
      <c r="Y50">
        <v>0</v>
      </c>
      <c r="Z50">
        <v>0</v>
      </c>
      <c r="AA50">
        <v>1</v>
      </c>
      <c r="AB50">
        <v>0</v>
      </c>
      <c r="AC50">
        <v>0</v>
      </c>
      <c r="AD50">
        <v>0</v>
      </c>
      <c r="AE50">
        <v>0</v>
      </c>
      <c r="AF50" s="100">
        <v>0</v>
      </c>
      <c r="AG50" s="10" t="s">
        <v>231</v>
      </c>
      <c r="AH50">
        <v>0</v>
      </c>
      <c r="AI50">
        <v>0</v>
      </c>
      <c r="AJ50">
        <v>0</v>
      </c>
      <c r="AK50">
        <v>1</v>
      </c>
      <c r="AL50">
        <v>0</v>
      </c>
      <c r="AM50">
        <v>0</v>
      </c>
      <c r="AN50">
        <v>0</v>
      </c>
      <c r="AO50">
        <v>0</v>
      </c>
      <c r="AP50">
        <v>0</v>
      </c>
      <c r="AQ50" s="41" t="s">
        <v>73</v>
      </c>
      <c r="AR50" s="41" t="s">
        <v>233</v>
      </c>
      <c r="AS50" s="41" t="s">
        <v>323</v>
      </c>
      <c r="AT50" s="41" t="s">
        <v>73</v>
      </c>
      <c r="AU50" s="21">
        <v>275.45</v>
      </c>
      <c r="AV50" t="s">
        <v>80</v>
      </c>
      <c r="AW50" t="s">
        <v>73</v>
      </c>
      <c r="AX50">
        <v>0.01</v>
      </c>
      <c r="AY50">
        <v>1</v>
      </c>
      <c r="AZ50">
        <f>TINV(AX50,CC50)</f>
        <v>2.5793633280407828</v>
      </c>
      <c r="BA50" t="s">
        <v>73</v>
      </c>
      <c r="BB50"/>
      <c r="BC50" t="s">
        <v>73</v>
      </c>
      <c r="BD50" t="s">
        <v>73</v>
      </c>
      <c r="BE50" t="s">
        <v>73</v>
      </c>
      <c r="BF50" t="s">
        <v>73</v>
      </c>
      <c r="BG50" t="s">
        <v>73</v>
      </c>
      <c r="BH50" t="s">
        <v>73</v>
      </c>
      <c r="BI50">
        <v>1395</v>
      </c>
      <c r="BJ50">
        <v>19860</v>
      </c>
      <c r="BK50" t="s">
        <v>73</v>
      </c>
      <c r="BL50" t="s">
        <v>73</v>
      </c>
      <c r="BM50" t="s">
        <v>73</v>
      </c>
      <c r="BN50" t="s">
        <v>73</v>
      </c>
      <c r="BO50" t="s">
        <v>73</v>
      </c>
      <c r="BP50" t="s">
        <v>73</v>
      </c>
      <c r="BQ50" t="s">
        <v>73</v>
      </c>
      <c r="BR50">
        <v>1</v>
      </c>
      <c r="BS50" t="s">
        <v>73</v>
      </c>
      <c r="BT50" s="100" t="s">
        <v>73</v>
      </c>
      <c r="BU50">
        <v>0</v>
      </c>
      <c r="BV50">
        <v>0</v>
      </c>
      <c r="BW50">
        <v>0</v>
      </c>
      <c r="BX50" s="102">
        <f t="shared" si="13"/>
        <v>6.8895720725096588E-2</v>
      </c>
      <c r="BY50" s="102">
        <f t="shared" si="14"/>
        <v>6.900503950756405E-2</v>
      </c>
      <c r="BZ50" s="102">
        <f t="shared" si="15"/>
        <v>7.1734384953814931E-4</v>
      </c>
      <c r="CA50" s="102">
        <f t="shared" si="16"/>
        <v>7.1839080459770114E-4</v>
      </c>
      <c r="CB50" s="99"/>
      <c r="CC50">
        <f t="shared" si="21"/>
        <v>1393</v>
      </c>
      <c r="CD50"/>
      <c r="CE50" s="30">
        <f t="shared" si="17"/>
        <v>1.8299961101675508E-2</v>
      </c>
      <c r="CF50" s="30">
        <f t="shared" si="18"/>
        <v>1.8302004328216499E-2</v>
      </c>
      <c r="CG50" s="30">
        <f t="shared" si="19"/>
        <v>5.035499711967097E-5</v>
      </c>
      <c r="CH50" s="30">
        <f t="shared" si="20"/>
        <v>5.0360074532910306E-5</v>
      </c>
    </row>
    <row r="51" spans="1:86" s="101" customFormat="1">
      <c r="A51" s="11" t="s">
        <v>312</v>
      </c>
      <c r="B51" s="11" t="s">
        <v>656</v>
      </c>
      <c r="C51" s="94">
        <v>1238</v>
      </c>
      <c r="D51">
        <v>118</v>
      </c>
      <c r="E51" s="122" t="s">
        <v>254</v>
      </c>
      <c r="F51">
        <v>2011</v>
      </c>
      <c r="G51" t="s">
        <v>320</v>
      </c>
      <c r="H51" t="s">
        <v>321</v>
      </c>
      <c r="I51">
        <v>2</v>
      </c>
      <c r="J51">
        <v>2009</v>
      </c>
      <c r="K51" s="10" t="s">
        <v>73</v>
      </c>
      <c r="L51">
        <v>1456</v>
      </c>
      <c r="M51" s="18" t="s">
        <v>297</v>
      </c>
      <c r="N51" t="s">
        <v>240</v>
      </c>
      <c r="O51" t="s">
        <v>81</v>
      </c>
      <c r="P51" s="18" t="s">
        <v>241</v>
      </c>
      <c r="Q51" t="s">
        <v>252</v>
      </c>
      <c r="R51" t="s">
        <v>243</v>
      </c>
      <c r="S51">
        <v>1</v>
      </c>
      <c r="T51" t="s">
        <v>188</v>
      </c>
      <c r="U51">
        <v>1</v>
      </c>
      <c r="V51" s="18" t="s">
        <v>229</v>
      </c>
      <c r="W51" s="18" t="s">
        <v>229</v>
      </c>
      <c r="X51" t="s">
        <v>244</v>
      </c>
      <c r="Y51">
        <v>0</v>
      </c>
      <c r="Z51">
        <v>0</v>
      </c>
      <c r="AA51">
        <v>1</v>
      </c>
      <c r="AB51">
        <v>0</v>
      </c>
      <c r="AC51">
        <v>0</v>
      </c>
      <c r="AD51">
        <v>0</v>
      </c>
      <c r="AE51">
        <v>0</v>
      </c>
      <c r="AF51" s="100">
        <v>0</v>
      </c>
      <c r="AG51" s="10" t="s">
        <v>231</v>
      </c>
      <c r="AH51">
        <v>0</v>
      </c>
      <c r="AI51">
        <v>0</v>
      </c>
      <c r="AJ51">
        <v>0</v>
      </c>
      <c r="AK51">
        <v>1</v>
      </c>
      <c r="AL51">
        <v>0</v>
      </c>
      <c r="AM51">
        <v>0</v>
      </c>
      <c r="AN51">
        <v>0</v>
      </c>
      <c r="AO51">
        <v>0</v>
      </c>
      <c r="AP51">
        <v>0</v>
      </c>
      <c r="AQ51" s="41" t="s">
        <v>73</v>
      </c>
      <c r="AR51" s="41" t="s">
        <v>233</v>
      </c>
      <c r="AS51" s="41" t="s">
        <v>323</v>
      </c>
      <c r="AT51" s="41" t="s">
        <v>73</v>
      </c>
      <c r="AU51" s="21">
        <v>349.3</v>
      </c>
      <c r="AV51" t="s">
        <v>80</v>
      </c>
      <c r="AW51" t="s">
        <v>73</v>
      </c>
      <c r="AX51">
        <v>0.05</v>
      </c>
      <c r="AY51">
        <v>1</v>
      </c>
      <c r="AZ51">
        <f>TINV(AX51,CC51)</f>
        <v>1.9616684344678958</v>
      </c>
      <c r="BA51" t="s">
        <v>73</v>
      </c>
      <c r="BB51"/>
      <c r="BC51" t="s">
        <v>73</v>
      </c>
      <c r="BD51" t="s">
        <v>73</v>
      </c>
      <c r="BE51" t="s">
        <v>73</v>
      </c>
      <c r="BF51" t="s">
        <v>73</v>
      </c>
      <c r="BG51" t="s">
        <v>73</v>
      </c>
      <c r="BH51" t="s">
        <v>73</v>
      </c>
      <c r="BI51">
        <v>1395</v>
      </c>
      <c r="BJ51">
        <v>19860</v>
      </c>
      <c r="BK51" t="s">
        <v>73</v>
      </c>
      <c r="BL51" t="s">
        <v>73</v>
      </c>
      <c r="BM51" t="s">
        <v>73</v>
      </c>
      <c r="BN51" t="s">
        <v>73</v>
      </c>
      <c r="BO51" t="s">
        <v>73</v>
      </c>
      <c r="BP51" t="s">
        <v>73</v>
      </c>
      <c r="BQ51" t="s">
        <v>73</v>
      </c>
      <c r="BR51">
        <v>1</v>
      </c>
      <c r="BS51" t="s">
        <v>73</v>
      </c>
      <c r="BT51" s="100" t="s">
        <v>73</v>
      </c>
      <c r="BU51">
        <v>1</v>
      </c>
      <c r="BV51">
        <v>1</v>
      </c>
      <c r="BW51">
        <v>1</v>
      </c>
      <c r="BX51" s="102">
        <f t="shared" si="13"/>
        <v>5.2449375133439773E-2</v>
      </c>
      <c r="BY51" s="102">
        <f t="shared" si="14"/>
        <v>5.2497549648224964E-2</v>
      </c>
      <c r="BZ51" s="102">
        <f t="shared" si="15"/>
        <v>7.1735466607183095E-4</v>
      </c>
      <c r="CA51" s="102">
        <f t="shared" si="16"/>
        <v>7.1839080459770114E-4</v>
      </c>
      <c r="CB51" s="99"/>
      <c r="CC51">
        <f t="shared" si="21"/>
        <v>1393</v>
      </c>
      <c r="CD51"/>
      <c r="CE51" s="30">
        <f t="shared" si="17"/>
        <v>1.3918547330727849E-2</v>
      </c>
      <c r="CF51" s="30">
        <f t="shared" si="18"/>
        <v>1.3919446229861089E-2</v>
      </c>
      <c r="CG51" s="30">
        <f t="shared" si="19"/>
        <v>5.0355000879226367E-5</v>
      </c>
      <c r="CH51" s="30">
        <f t="shared" si="20"/>
        <v>5.0360074532910306E-5</v>
      </c>
    </row>
    <row r="52" spans="1:86">
      <c r="A52" s="11" t="s">
        <v>312</v>
      </c>
      <c r="B52" s="11" t="s">
        <v>656</v>
      </c>
      <c r="C52" s="94">
        <v>1239</v>
      </c>
      <c r="D52">
        <v>118</v>
      </c>
      <c r="E52" s="122" t="s">
        <v>254</v>
      </c>
      <c r="F52">
        <v>2011</v>
      </c>
      <c r="G52" t="s">
        <v>320</v>
      </c>
      <c r="H52" t="s">
        <v>321</v>
      </c>
      <c r="I52">
        <v>2</v>
      </c>
      <c r="J52">
        <v>2009</v>
      </c>
      <c r="K52" s="10" t="s">
        <v>73</v>
      </c>
      <c r="L52">
        <v>1456</v>
      </c>
      <c r="M52" s="18" t="s">
        <v>322</v>
      </c>
      <c r="N52" t="s">
        <v>240</v>
      </c>
      <c r="O52" t="s">
        <v>81</v>
      </c>
      <c r="P52" s="18" t="s">
        <v>241</v>
      </c>
      <c r="Q52" t="s">
        <v>252</v>
      </c>
      <c r="R52" t="s">
        <v>243</v>
      </c>
      <c r="S52">
        <v>1</v>
      </c>
      <c r="T52" t="s">
        <v>188</v>
      </c>
      <c r="U52">
        <v>1</v>
      </c>
      <c r="V52" s="18" t="s">
        <v>229</v>
      </c>
      <c r="W52" s="18" t="s">
        <v>229</v>
      </c>
      <c r="X52" t="s">
        <v>244</v>
      </c>
      <c r="Y52">
        <v>0</v>
      </c>
      <c r="Z52">
        <v>0</v>
      </c>
      <c r="AA52">
        <v>1</v>
      </c>
      <c r="AB52">
        <v>0</v>
      </c>
      <c r="AC52">
        <v>0</v>
      </c>
      <c r="AD52">
        <v>0</v>
      </c>
      <c r="AE52">
        <v>0</v>
      </c>
      <c r="AF52" s="100">
        <v>0</v>
      </c>
      <c r="AG52" s="10" t="s">
        <v>231</v>
      </c>
      <c r="AH52">
        <v>0</v>
      </c>
      <c r="AI52">
        <v>0</v>
      </c>
      <c r="AJ52">
        <v>0</v>
      </c>
      <c r="AK52">
        <v>1</v>
      </c>
      <c r="AL52">
        <v>0</v>
      </c>
      <c r="AM52">
        <v>0</v>
      </c>
      <c r="AN52">
        <v>0</v>
      </c>
      <c r="AO52">
        <v>0</v>
      </c>
      <c r="AP52">
        <v>0</v>
      </c>
      <c r="AQ52" t="s">
        <v>73</v>
      </c>
      <c r="AR52" t="s">
        <v>233</v>
      </c>
      <c r="AS52" t="s">
        <v>324</v>
      </c>
      <c r="AT52" t="s">
        <v>235</v>
      </c>
      <c r="AU52" s="21">
        <v>1.0760000000000001</v>
      </c>
      <c r="AV52" t="s">
        <v>80</v>
      </c>
      <c r="AW52" t="s">
        <v>73</v>
      </c>
      <c r="AX52" t="s">
        <v>73</v>
      </c>
      <c r="AY52" t="s">
        <v>73</v>
      </c>
      <c r="AZ52">
        <v>20.02</v>
      </c>
      <c r="BA52" t="s">
        <v>73</v>
      </c>
      <c r="BC52" t="s">
        <v>73</v>
      </c>
      <c r="BD52" t="s">
        <v>73</v>
      </c>
      <c r="BE52" t="s">
        <v>73</v>
      </c>
      <c r="BF52" t="s">
        <v>73</v>
      </c>
      <c r="BG52" t="s">
        <v>73</v>
      </c>
      <c r="BH52" t="s">
        <v>73</v>
      </c>
      <c r="BI52">
        <v>1395</v>
      </c>
      <c r="BJ52">
        <v>19860</v>
      </c>
      <c r="BK52" t="s">
        <v>73</v>
      </c>
      <c r="BL52" t="s">
        <v>73</v>
      </c>
      <c r="BM52" t="s">
        <v>73</v>
      </c>
      <c r="BN52" t="s">
        <v>73</v>
      </c>
      <c r="BO52" t="s">
        <v>73</v>
      </c>
      <c r="BP52" t="s">
        <v>73</v>
      </c>
      <c r="BQ52" t="s">
        <v>73</v>
      </c>
      <c r="BR52">
        <v>1</v>
      </c>
      <c r="BS52" t="s">
        <v>73</v>
      </c>
      <c r="BT52" s="100" t="s">
        <v>73</v>
      </c>
      <c r="BU52">
        <v>0</v>
      </c>
      <c r="BV52">
        <v>0</v>
      </c>
      <c r="BW52">
        <v>0</v>
      </c>
      <c r="BX52" s="102">
        <f t="shared" si="13"/>
        <v>0.47242735990047685</v>
      </c>
      <c r="BY52" s="102">
        <f t="shared" si="14"/>
        <v>0.51319051047617226</v>
      </c>
      <c r="BZ52" s="102">
        <f t="shared" si="15"/>
        <v>6.6760340037102519E-4</v>
      </c>
      <c r="CA52" s="102">
        <f t="shared" si="16"/>
        <v>7.1839080459770114E-4</v>
      </c>
      <c r="CB52" s="99"/>
      <c r="CC52">
        <f t="shared" si="21"/>
        <v>1393</v>
      </c>
      <c r="CE52" s="30">
        <f t="shared" si="17"/>
        <v>0.14064871674533846</v>
      </c>
      <c r="CF52" s="30">
        <f t="shared" si="18"/>
        <v>0.14158732325545795</v>
      </c>
      <c r="CG52" s="30">
        <f t="shared" si="19"/>
        <v>5.0334766050130579E-5</v>
      </c>
      <c r="CH52" s="30">
        <f t="shared" si="20"/>
        <v>5.0360074532910306E-5</v>
      </c>
    </row>
    <row r="53" spans="1:86">
      <c r="A53" s="11" t="s">
        <v>312</v>
      </c>
      <c r="B53" s="11" t="s">
        <v>656</v>
      </c>
      <c r="C53" s="94">
        <v>1240</v>
      </c>
      <c r="D53">
        <v>118</v>
      </c>
      <c r="E53" s="122" t="s">
        <v>254</v>
      </c>
      <c r="F53">
        <v>2011</v>
      </c>
      <c r="G53" t="s">
        <v>320</v>
      </c>
      <c r="H53" t="s">
        <v>321</v>
      </c>
      <c r="I53">
        <v>2</v>
      </c>
      <c r="J53">
        <v>2009</v>
      </c>
      <c r="K53" s="10" t="s">
        <v>73</v>
      </c>
      <c r="L53">
        <v>1456</v>
      </c>
      <c r="M53" s="18" t="s">
        <v>297</v>
      </c>
      <c r="N53" t="s">
        <v>240</v>
      </c>
      <c r="O53" t="s">
        <v>81</v>
      </c>
      <c r="P53" s="18" t="s">
        <v>241</v>
      </c>
      <c r="Q53" t="s">
        <v>252</v>
      </c>
      <c r="R53" t="s">
        <v>243</v>
      </c>
      <c r="S53">
        <v>1</v>
      </c>
      <c r="T53" t="s">
        <v>188</v>
      </c>
      <c r="U53">
        <v>1</v>
      </c>
      <c r="V53" s="18" t="s">
        <v>229</v>
      </c>
      <c r="W53" s="18" t="s">
        <v>229</v>
      </c>
      <c r="X53" t="s">
        <v>244</v>
      </c>
      <c r="Y53">
        <v>0</v>
      </c>
      <c r="Z53">
        <v>0</v>
      </c>
      <c r="AA53">
        <v>1</v>
      </c>
      <c r="AB53">
        <v>0</v>
      </c>
      <c r="AC53">
        <v>0</v>
      </c>
      <c r="AD53">
        <v>0</v>
      </c>
      <c r="AE53">
        <v>0</v>
      </c>
      <c r="AF53" s="100">
        <v>0</v>
      </c>
      <c r="AG53" s="10" t="s">
        <v>231</v>
      </c>
      <c r="AH53">
        <v>0</v>
      </c>
      <c r="AI53">
        <v>0</v>
      </c>
      <c r="AJ53">
        <v>0</v>
      </c>
      <c r="AK53">
        <v>1</v>
      </c>
      <c r="AL53">
        <v>0</v>
      </c>
      <c r="AM53">
        <v>0</v>
      </c>
      <c r="AN53">
        <v>0</v>
      </c>
      <c r="AO53">
        <v>0</v>
      </c>
      <c r="AP53">
        <v>0</v>
      </c>
      <c r="AQ53" t="s">
        <v>73</v>
      </c>
      <c r="AR53" t="s">
        <v>233</v>
      </c>
      <c r="AS53" t="s">
        <v>325</v>
      </c>
      <c r="AT53" t="s">
        <v>235</v>
      </c>
      <c r="AU53" s="21">
        <v>2.1459999999999999</v>
      </c>
      <c r="AV53" t="s">
        <v>80</v>
      </c>
      <c r="AW53" t="s">
        <v>73</v>
      </c>
      <c r="AX53" t="s">
        <v>73</v>
      </c>
      <c r="AY53" t="s">
        <v>73</v>
      </c>
      <c r="AZ53">
        <v>11.52</v>
      </c>
      <c r="BA53" t="s">
        <v>73</v>
      </c>
      <c r="BC53" t="s">
        <v>73</v>
      </c>
      <c r="BD53" t="s">
        <v>73</v>
      </c>
      <c r="BE53" t="s">
        <v>73</v>
      </c>
      <c r="BF53" t="s">
        <v>73</v>
      </c>
      <c r="BG53" t="s">
        <v>73</v>
      </c>
      <c r="BH53" t="s">
        <v>73</v>
      </c>
      <c r="BI53">
        <v>1395</v>
      </c>
      <c r="BJ53">
        <v>19860</v>
      </c>
      <c r="BK53" t="s">
        <v>73</v>
      </c>
      <c r="BL53" t="s">
        <v>73</v>
      </c>
      <c r="BM53" t="s">
        <v>73</v>
      </c>
      <c r="BN53" t="s">
        <v>73</v>
      </c>
      <c r="BO53" t="s">
        <v>73</v>
      </c>
      <c r="BP53" t="s">
        <v>73</v>
      </c>
      <c r="BQ53" t="s">
        <v>73</v>
      </c>
      <c r="BR53">
        <v>1</v>
      </c>
      <c r="BS53" t="s">
        <v>73</v>
      </c>
      <c r="BT53" s="100" t="s">
        <v>73</v>
      </c>
      <c r="BU53">
        <v>0</v>
      </c>
      <c r="BV53">
        <v>0</v>
      </c>
      <c r="BW53">
        <v>0</v>
      </c>
      <c r="BX53" s="102">
        <f t="shared" si="13"/>
        <v>0.29473516954008327</v>
      </c>
      <c r="BY53" s="102">
        <f t="shared" si="14"/>
        <v>0.3037440363085756</v>
      </c>
      <c r="BZ53" s="102">
        <f t="shared" si="15"/>
        <v>7.1125395357683058E-4</v>
      </c>
      <c r="CA53" s="102">
        <f t="shared" si="16"/>
        <v>7.1839080459770114E-4</v>
      </c>
      <c r="CB53" s="99"/>
      <c r="CC53">
        <f t="shared" si="21"/>
        <v>1393</v>
      </c>
      <c r="CE53" s="30">
        <f t="shared" si="17"/>
        <v>8.1473550285666996E-2</v>
      </c>
      <c r="CF53" s="30">
        <f t="shared" si="18"/>
        <v>8.165454385204271E-2</v>
      </c>
      <c r="CG53" s="30">
        <f t="shared" si="19"/>
        <v>5.0352764233683405E-5</v>
      </c>
      <c r="CH53" s="30">
        <f t="shared" si="20"/>
        <v>5.0360074532910306E-5</v>
      </c>
    </row>
    <row r="54" spans="1:86">
      <c r="A54" s="11" t="s">
        <v>68</v>
      </c>
      <c r="B54" s="11" t="s">
        <v>661</v>
      </c>
      <c r="C54" s="96">
        <v>1172</v>
      </c>
      <c r="D54" s="97">
        <v>141</v>
      </c>
      <c r="E54" s="120" t="s">
        <v>275</v>
      </c>
      <c r="F54" s="96">
        <v>2016</v>
      </c>
      <c r="G54" t="s">
        <v>276</v>
      </c>
      <c r="H54" t="s">
        <v>277</v>
      </c>
      <c r="I54" s="97">
        <v>2</v>
      </c>
      <c r="J54">
        <v>2013</v>
      </c>
      <c r="K54" s="96" t="s">
        <v>73</v>
      </c>
      <c r="L54">
        <v>17</v>
      </c>
      <c r="M54" s="96" t="s">
        <v>269</v>
      </c>
      <c r="N54" t="s">
        <v>223</v>
      </c>
      <c r="O54" t="s">
        <v>278</v>
      </c>
      <c r="P54" t="s">
        <v>241</v>
      </c>
      <c r="Q54" t="s">
        <v>242</v>
      </c>
      <c r="R54" t="s">
        <v>243</v>
      </c>
      <c r="S54">
        <v>1</v>
      </c>
      <c r="T54" s="32" t="s">
        <v>263</v>
      </c>
      <c r="U54">
        <v>1</v>
      </c>
      <c r="V54" s="96" t="s">
        <v>229</v>
      </c>
      <c r="W54" s="96" t="s">
        <v>229</v>
      </c>
      <c r="X54" t="s">
        <v>244</v>
      </c>
      <c r="Y54" s="97">
        <v>0</v>
      </c>
      <c r="Z54" s="97">
        <v>1</v>
      </c>
      <c r="AA54" s="97">
        <v>1</v>
      </c>
      <c r="AB54" s="97">
        <v>0</v>
      </c>
      <c r="AC54" s="97">
        <v>0</v>
      </c>
      <c r="AD54" s="97">
        <v>0</v>
      </c>
      <c r="AE54" s="97">
        <v>0</v>
      </c>
      <c r="AF54" s="97">
        <v>0</v>
      </c>
      <c r="AG54" t="s">
        <v>279</v>
      </c>
      <c r="AH54" s="97">
        <v>0</v>
      </c>
      <c r="AI54" s="97">
        <v>0</v>
      </c>
      <c r="AJ54" s="97">
        <v>0</v>
      </c>
      <c r="AK54" s="97">
        <v>0</v>
      </c>
      <c r="AL54" s="97">
        <v>0</v>
      </c>
      <c r="AM54" s="97">
        <v>0</v>
      </c>
      <c r="AN54" s="97">
        <v>0</v>
      </c>
      <c r="AO54" s="97">
        <v>1</v>
      </c>
      <c r="AP54" s="97">
        <v>0</v>
      </c>
      <c r="AQ54" s="41" t="s">
        <v>280</v>
      </c>
      <c r="AR54" t="s">
        <v>233</v>
      </c>
      <c r="AS54" t="s">
        <v>281</v>
      </c>
      <c r="AT54" t="s">
        <v>73</v>
      </c>
      <c r="AU54" s="104">
        <v>9.5000000000000001E-2</v>
      </c>
      <c r="AV54" s="7" t="s">
        <v>86</v>
      </c>
      <c r="AW54" t="s">
        <v>73</v>
      </c>
      <c r="AX54">
        <v>0.05</v>
      </c>
      <c r="AY54">
        <v>1</v>
      </c>
      <c r="AZ54">
        <f t="shared" ref="AZ54:AZ61" si="22">TINV(AX54,CC54)</f>
        <v>1.9645365010317388</v>
      </c>
      <c r="BA54" t="s">
        <v>73</v>
      </c>
      <c r="BC54" t="s">
        <v>73</v>
      </c>
      <c r="BD54" t="s">
        <v>73</v>
      </c>
      <c r="BE54" t="s">
        <v>73</v>
      </c>
      <c r="BF54" t="s">
        <v>73</v>
      </c>
      <c r="BG54" s="41">
        <v>523</v>
      </c>
      <c r="BH54" t="s">
        <v>73</v>
      </c>
      <c r="BI54" s="41">
        <v>522</v>
      </c>
      <c r="BJ54" s="41">
        <v>522</v>
      </c>
      <c r="BK54" t="s">
        <v>73</v>
      </c>
      <c r="BL54" t="s">
        <v>73</v>
      </c>
      <c r="BM54" s="97" t="s">
        <v>73</v>
      </c>
      <c r="BN54" s="97" t="s">
        <v>73</v>
      </c>
      <c r="BO54" s="97" t="s">
        <v>73</v>
      </c>
      <c r="BP54" s="98" t="s">
        <v>73</v>
      </c>
      <c r="BQ54" s="98" t="s">
        <v>73</v>
      </c>
      <c r="BR54">
        <v>0</v>
      </c>
      <c r="BS54" s="98" t="s">
        <v>73</v>
      </c>
      <c r="BT54" s="97" t="s">
        <v>248</v>
      </c>
      <c r="BU54" s="97">
        <v>0</v>
      </c>
      <c r="BV54" s="97">
        <v>0</v>
      </c>
      <c r="BW54" s="97">
        <v>1</v>
      </c>
      <c r="BX54" s="30">
        <f t="shared" si="13"/>
        <v>8.5669312189989619E-2</v>
      </c>
      <c r="BY54" s="30">
        <f t="shared" si="14"/>
        <v>8.5879822251689428E-2</v>
      </c>
      <c r="BZ54" s="30">
        <f t="shared" si="15"/>
        <v>1.9192813902165059E-3</v>
      </c>
      <c r="CA54" s="30">
        <f t="shared" si="16"/>
        <v>1.9267822736030828E-3</v>
      </c>
      <c r="CC54">
        <f t="shared" si="21"/>
        <v>520</v>
      </c>
      <c r="CE54" s="30">
        <f t="shared" si="17"/>
        <v>8.5669312189989619E-2</v>
      </c>
      <c r="CF54" s="30">
        <f t="shared" si="18"/>
        <v>8.5879822251689428E-2</v>
      </c>
      <c r="CG54" s="30">
        <f t="shared" si="19"/>
        <v>1.9192813902165059E-3</v>
      </c>
      <c r="CH54" s="30">
        <f t="shared" si="20"/>
        <v>1.9267822736030828E-3</v>
      </c>
    </row>
    <row r="55" spans="1:86">
      <c r="A55" s="11" t="s">
        <v>68</v>
      </c>
      <c r="B55" s="11" t="s">
        <v>661</v>
      </c>
      <c r="C55" s="96">
        <v>1173</v>
      </c>
      <c r="D55" s="97">
        <v>141</v>
      </c>
      <c r="E55" t="s">
        <v>275</v>
      </c>
      <c r="F55" s="96">
        <v>2016</v>
      </c>
      <c r="G55" t="s">
        <v>276</v>
      </c>
      <c r="H55" t="s">
        <v>277</v>
      </c>
      <c r="I55" s="97">
        <v>2</v>
      </c>
      <c r="J55">
        <v>2013</v>
      </c>
      <c r="K55" s="96" t="s">
        <v>73</v>
      </c>
      <c r="L55">
        <v>17</v>
      </c>
      <c r="M55" s="96" t="s">
        <v>269</v>
      </c>
      <c r="N55" t="s">
        <v>223</v>
      </c>
      <c r="O55" t="s">
        <v>278</v>
      </c>
      <c r="P55" t="s">
        <v>241</v>
      </c>
      <c r="Q55" t="s">
        <v>242</v>
      </c>
      <c r="R55" t="s">
        <v>243</v>
      </c>
      <c r="S55">
        <v>1</v>
      </c>
      <c r="T55" s="32" t="s">
        <v>263</v>
      </c>
      <c r="U55">
        <v>1</v>
      </c>
      <c r="V55" s="96" t="s">
        <v>229</v>
      </c>
      <c r="W55" s="96" t="s">
        <v>229</v>
      </c>
      <c r="X55" t="s">
        <v>244</v>
      </c>
      <c r="Y55" s="97">
        <v>0</v>
      </c>
      <c r="Z55" s="97">
        <v>1</v>
      </c>
      <c r="AA55" s="97">
        <v>1</v>
      </c>
      <c r="AB55" s="97">
        <v>0</v>
      </c>
      <c r="AC55" s="97">
        <v>0</v>
      </c>
      <c r="AD55" s="97">
        <v>0</v>
      </c>
      <c r="AE55" s="97">
        <v>0</v>
      </c>
      <c r="AF55" s="97">
        <v>0</v>
      </c>
      <c r="AG55" t="s">
        <v>279</v>
      </c>
      <c r="AH55" s="97">
        <v>0</v>
      </c>
      <c r="AI55" s="97">
        <v>0</v>
      </c>
      <c r="AJ55" s="97">
        <v>0</v>
      </c>
      <c r="AK55" s="97">
        <v>0</v>
      </c>
      <c r="AL55" s="97">
        <v>0</v>
      </c>
      <c r="AM55" s="97">
        <v>0</v>
      </c>
      <c r="AN55" s="97">
        <v>0</v>
      </c>
      <c r="AO55" s="97">
        <v>1</v>
      </c>
      <c r="AP55" s="97">
        <v>0</v>
      </c>
      <c r="AQ55" s="41" t="s">
        <v>280</v>
      </c>
      <c r="AR55" t="s">
        <v>233</v>
      </c>
      <c r="AS55" t="s">
        <v>281</v>
      </c>
      <c r="AT55" t="s">
        <v>73</v>
      </c>
      <c r="AU55" s="104">
        <v>8.3000000000000004E-2</v>
      </c>
      <c r="AV55" s="7" t="s">
        <v>86</v>
      </c>
      <c r="AW55" t="s">
        <v>73</v>
      </c>
      <c r="AX55">
        <v>0.1</v>
      </c>
      <c r="AY55">
        <v>1</v>
      </c>
      <c r="AZ55">
        <f t="shared" si="22"/>
        <v>1.6477892114622541</v>
      </c>
      <c r="BA55" t="s">
        <v>73</v>
      </c>
      <c r="BC55" t="s">
        <v>73</v>
      </c>
      <c r="BD55" t="s">
        <v>73</v>
      </c>
      <c r="BE55" t="s">
        <v>73</v>
      </c>
      <c r="BF55" t="s">
        <v>73</v>
      </c>
      <c r="BG55" s="41">
        <v>523</v>
      </c>
      <c r="BH55" t="s">
        <v>73</v>
      </c>
      <c r="BI55" s="41">
        <v>522</v>
      </c>
      <c r="BJ55" s="41">
        <v>522</v>
      </c>
      <c r="BK55" t="s">
        <v>73</v>
      </c>
      <c r="BL55" t="s">
        <v>73</v>
      </c>
      <c r="BM55" s="97" t="s">
        <v>73</v>
      </c>
      <c r="BN55" s="97" t="s">
        <v>73</v>
      </c>
      <c r="BO55" s="97" t="s">
        <v>73</v>
      </c>
      <c r="BP55" s="97" t="s">
        <v>73</v>
      </c>
      <c r="BQ55" s="97" t="s">
        <v>73</v>
      </c>
      <c r="BR55">
        <v>0</v>
      </c>
      <c r="BS55" s="97" t="s">
        <v>73</v>
      </c>
      <c r="BT55" s="97" t="s">
        <v>248</v>
      </c>
      <c r="BU55" s="97">
        <v>0</v>
      </c>
      <c r="BV55" s="97">
        <v>0</v>
      </c>
      <c r="BW55" s="97">
        <v>1</v>
      </c>
      <c r="BX55" s="30">
        <f t="shared" si="13"/>
        <v>7.1934930559867688E-2</v>
      </c>
      <c r="BY55" s="30">
        <f t="shared" si="14"/>
        <v>7.2059396212325363E-2</v>
      </c>
      <c r="BZ55" s="30">
        <f t="shared" si="15"/>
        <v>1.919334044829439E-3</v>
      </c>
      <c r="CA55" s="30">
        <f t="shared" si="16"/>
        <v>1.9267822736030828E-3</v>
      </c>
      <c r="CC55">
        <f t="shared" si="21"/>
        <v>520</v>
      </c>
      <c r="CE55" s="30">
        <f t="shared" si="17"/>
        <v>7.1934930559867688E-2</v>
      </c>
      <c r="CF55" s="30">
        <f t="shared" si="18"/>
        <v>7.2059396212325363E-2</v>
      </c>
      <c r="CG55" s="30">
        <f t="shared" si="19"/>
        <v>1.919334044829439E-3</v>
      </c>
      <c r="CH55" s="30">
        <f t="shared" si="20"/>
        <v>1.9267822736030828E-3</v>
      </c>
    </row>
    <row r="56" spans="1:86">
      <c r="A56" s="11" t="s">
        <v>68</v>
      </c>
      <c r="B56" s="11" t="s">
        <v>661</v>
      </c>
      <c r="C56" s="96">
        <v>1174</v>
      </c>
      <c r="D56" s="97">
        <v>141</v>
      </c>
      <c r="E56" t="s">
        <v>275</v>
      </c>
      <c r="F56" s="96">
        <v>2016</v>
      </c>
      <c r="G56" t="s">
        <v>276</v>
      </c>
      <c r="H56" t="s">
        <v>277</v>
      </c>
      <c r="I56" s="97">
        <v>2</v>
      </c>
      <c r="J56">
        <v>2013</v>
      </c>
      <c r="K56" s="96" t="s">
        <v>73</v>
      </c>
      <c r="L56">
        <v>17</v>
      </c>
      <c r="M56" s="96" t="s">
        <v>274</v>
      </c>
      <c r="N56" t="s">
        <v>223</v>
      </c>
      <c r="O56" t="s">
        <v>278</v>
      </c>
      <c r="P56" t="s">
        <v>241</v>
      </c>
      <c r="Q56" t="s">
        <v>242</v>
      </c>
      <c r="R56" t="s">
        <v>243</v>
      </c>
      <c r="S56">
        <v>1</v>
      </c>
      <c r="T56" s="32" t="s">
        <v>263</v>
      </c>
      <c r="U56">
        <v>1</v>
      </c>
      <c r="V56" s="96" t="s">
        <v>229</v>
      </c>
      <c r="W56" s="96" t="s">
        <v>229</v>
      </c>
      <c r="X56" t="s">
        <v>244</v>
      </c>
      <c r="Y56" s="97">
        <v>0</v>
      </c>
      <c r="Z56" s="97">
        <v>1</v>
      </c>
      <c r="AA56" s="97">
        <v>1</v>
      </c>
      <c r="AB56" s="97">
        <v>0</v>
      </c>
      <c r="AC56" s="97">
        <v>0</v>
      </c>
      <c r="AD56" s="97">
        <v>0</v>
      </c>
      <c r="AE56" s="97">
        <v>0</v>
      </c>
      <c r="AF56" s="97">
        <v>0</v>
      </c>
      <c r="AG56" t="s">
        <v>279</v>
      </c>
      <c r="AH56" s="97">
        <v>0</v>
      </c>
      <c r="AI56" s="97">
        <v>0</v>
      </c>
      <c r="AJ56" s="97">
        <v>0</v>
      </c>
      <c r="AK56" s="97">
        <v>0</v>
      </c>
      <c r="AL56" s="97">
        <v>0</v>
      </c>
      <c r="AM56" s="97">
        <v>0</v>
      </c>
      <c r="AN56" s="97">
        <v>0</v>
      </c>
      <c r="AO56" s="97">
        <v>1</v>
      </c>
      <c r="AP56" s="97">
        <v>0</v>
      </c>
      <c r="AQ56" s="41" t="s">
        <v>280</v>
      </c>
      <c r="AR56" t="s">
        <v>233</v>
      </c>
      <c r="AS56" t="s">
        <v>281</v>
      </c>
      <c r="AT56" t="s">
        <v>73</v>
      </c>
      <c r="AU56" s="104">
        <v>0.13300000000000001</v>
      </c>
      <c r="AV56" s="7" t="s">
        <v>86</v>
      </c>
      <c r="AW56" t="s">
        <v>73</v>
      </c>
      <c r="AX56">
        <v>0.1</v>
      </c>
      <c r="AY56">
        <v>1</v>
      </c>
      <c r="AZ56">
        <f t="shared" si="22"/>
        <v>1.6477892114622541</v>
      </c>
      <c r="BA56" t="s">
        <v>73</v>
      </c>
      <c r="BC56" t="s">
        <v>73</v>
      </c>
      <c r="BD56" t="s">
        <v>73</v>
      </c>
      <c r="BE56" t="s">
        <v>73</v>
      </c>
      <c r="BF56" t="s">
        <v>73</v>
      </c>
      <c r="BG56" s="41">
        <v>523</v>
      </c>
      <c r="BH56" t="s">
        <v>73</v>
      </c>
      <c r="BI56" s="41">
        <v>522</v>
      </c>
      <c r="BJ56" s="41">
        <v>522</v>
      </c>
      <c r="BK56" t="s">
        <v>73</v>
      </c>
      <c r="BL56" t="s">
        <v>73</v>
      </c>
      <c r="BM56" s="97" t="s">
        <v>73</v>
      </c>
      <c r="BN56" s="97" t="s">
        <v>73</v>
      </c>
      <c r="BO56" s="97" t="s">
        <v>73</v>
      </c>
      <c r="BP56" s="97" t="s">
        <v>73</v>
      </c>
      <c r="BQ56" s="97" t="s">
        <v>73</v>
      </c>
      <c r="BR56">
        <v>0</v>
      </c>
      <c r="BS56" s="97" t="s">
        <v>73</v>
      </c>
      <c r="BT56" s="97" t="s">
        <v>248</v>
      </c>
      <c r="BU56" s="97">
        <v>0</v>
      </c>
      <c r="BV56" s="97">
        <v>0</v>
      </c>
      <c r="BW56" s="97">
        <v>1</v>
      </c>
      <c r="BX56" s="30">
        <f t="shared" si="13"/>
        <v>7.1934930559867688E-2</v>
      </c>
      <c r="BY56" s="30">
        <f t="shared" si="14"/>
        <v>7.2059396212325363E-2</v>
      </c>
      <c r="BZ56" s="30">
        <f t="shared" si="15"/>
        <v>1.919334044829439E-3</v>
      </c>
      <c r="CA56" s="30">
        <f t="shared" si="16"/>
        <v>1.9267822736030828E-3</v>
      </c>
      <c r="CC56">
        <f t="shared" si="21"/>
        <v>520</v>
      </c>
      <c r="CE56" s="30">
        <f t="shared" si="17"/>
        <v>7.1934930559867688E-2</v>
      </c>
      <c r="CF56" s="30">
        <f t="shared" si="18"/>
        <v>7.2059396212325363E-2</v>
      </c>
      <c r="CG56" s="30">
        <f t="shared" si="19"/>
        <v>1.919334044829439E-3</v>
      </c>
      <c r="CH56" s="30">
        <f t="shared" si="20"/>
        <v>1.9267822736030828E-3</v>
      </c>
    </row>
    <row r="57" spans="1:86">
      <c r="A57" s="11" t="s">
        <v>68</v>
      </c>
      <c r="B57" s="11" t="s">
        <v>661</v>
      </c>
      <c r="C57" s="96">
        <v>1175</v>
      </c>
      <c r="D57" s="97">
        <v>141</v>
      </c>
      <c r="E57" t="s">
        <v>275</v>
      </c>
      <c r="F57" s="96">
        <v>2016</v>
      </c>
      <c r="G57" t="s">
        <v>276</v>
      </c>
      <c r="H57" t="s">
        <v>277</v>
      </c>
      <c r="I57" s="97">
        <v>2</v>
      </c>
      <c r="J57">
        <v>2013</v>
      </c>
      <c r="K57" s="96" t="s">
        <v>73</v>
      </c>
      <c r="L57">
        <v>17</v>
      </c>
      <c r="M57" s="96" t="s">
        <v>274</v>
      </c>
      <c r="N57" t="s">
        <v>223</v>
      </c>
      <c r="O57" t="s">
        <v>278</v>
      </c>
      <c r="P57" t="s">
        <v>241</v>
      </c>
      <c r="Q57" t="s">
        <v>242</v>
      </c>
      <c r="R57" t="s">
        <v>243</v>
      </c>
      <c r="S57">
        <v>1</v>
      </c>
      <c r="T57" s="32" t="s">
        <v>263</v>
      </c>
      <c r="U57">
        <v>1</v>
      </c>
      <c r="V57" s="96" t="s">
        <v>229</v>
      </c>
      <c r="W57" s="96" t="s">
        <v>229</v>
      </c>
      <c r="X57" t="s">
        <v>244</v>
      </c>
      <c r="Y57" s="97">
        <v>0</v>
      </c>
      <c r="Z57" s="97">
        <v>1</v>
      </c>
      <c r="AA57" s="97">
        <v>1</v>
      </c>
      <c r="AB57" s="97">
        <v>0</v>
      </c>
      <c r="AC57" s="97">
        <v>0</v>
      </c>
      <c r="AD57" s="97">
        <v>0</v>
      </c>
      <c r="AE57" s="97">
        <v>0</v>
      </c>
      <c r="AF57" s="97">
        <v>0</v>
      </c>
      <c r="AG57" t="s">
        <v>279</v>
      </c>
      <c r="AH57" s="97">
        <v>0</v>
      </c>
      <c r="AI57" s="97">
        <v>0</v>
      </c>
      <c r="AJ57" s="97">
        <v>0</v>
      </c>
      <c r="AK57" s="97">
        <v>0</v>
      </c>
      <c r="AL57" s="97">
        <v>0</v>
      </c>
      <c r="AM57" s="97">
        <v>0</v>
      </c>
      <c r="AN57" s="97">
        <v>0</v>
      </c>
      <c r="AO57" s="97">
        <v>1</v>
      </c>
      <c r="AP57" s="97">
        <v>0</v>
      </c>
      <c r="AQ57" s="41" t="s">
        <v>280</v>
      </c>
      <c r="AR57" t="s">
        <v>233</v>
      </c>
      <c r="AS57" t="s">
        <v>281</v>
      </c>
      <c r="AT57" t="s">
        <v>73</v>
      </c>
      <c r="AU57" s="104">
        <v>9.5000000000000001E-2</v>
      </c>
      <c r="AV57" s="7" t="s">
        <v>86</v>
      </c>
      <c r="AW57" t="s">
        <v>73</v>
      </c>
      <c r="AX57">
        <v>0.1</v>
      </c>
      <c r="AY57">
        <v>2</v>
      </c>
      <c r="AZ57">
        <f t="shared" si="22"/>
        <v>1.6477892114622541</v>
      </c>
      <c r="BA57" t="s">
        <v>73</v>
      </c>
      <c r="BC57" t="s">
        <v>73</v>
      </c>
      <c r="BD57" t="s">
        <v>73</v>
      </c>
      <c r="BE57" t="s">
        <v>73</v>
      </c>
      <c r="BF57" t="s">
        <v>73</v>
      </c>
      <c r="BG57" s="41">
        <v>523</v>
      </c>
      <c r="BH57" t="s">
        <v>73</v>
      </c>
      <c r="BI57" s="41">
        <v>522</v>
      </c>
      <c r="BJ57" s="41">
        <v>522</v>
      </c>
      <c r="BK57" t="s">
        <v>73</v>
      </c>
      <c r="BL57" t="s">
        <v>73</v>
      </c>
      <c r="BM57" s="97" t="s">
        <v>73</v>
      </c>
      <c r="BN57" s="97" t="s">
        <v>73</v>
      </c>
      <c r="BO57" s="97" t="s">
        <v>73</v>
      </c>
      <c r="BP57" s="97" t="s">
        <v>73</v>
      </c>
      <c r="BQ57" s="97" t="s">
        <v>73</v>
      </c>
      <c r="BR57">
        <v>0</v>
      </c>
      <c r="BS57" s="97" t="s">
        <v>73</v>
      </c>
      <c r="BT57" s="97" t="s">
        <v>248</v>
      </c>
      <c r="BU57" s="97">
        <v>0</v>
      </c>
      <c r="BV57" s="97">
        <v>0</v>
      </c>
      <c r="BW57" s="97">
        <v>1</v>
      </c>
      <c r="BX57" s="30">
        <f t="shared" si="13"/>
        <v>7.1934930559867688E-2</v>
      </c>
      <c r="BY57" s="30">
        <f t="shared" si="14"/>
        <v>7.2059396212325363E-2</v>
      </c>
      <c r="BZ57" s="30">
        <f t="shared" si="15"/>
        <v>1.919334044829439E-3</v>
      </c>
      <c r="CA57" s="30">
        <f t="shared" si="16"/>
        <v>1.9267822736030828E-3</v>
      </c>
      <c r="CC57">
        <f t="shared" si="21"/>
        <v>520</v>
      </c>
      <c r="CE57" s="30">
        <f t="shared" si="17"/>
        <v>7.1934930559867688E-2</v>
      </c>
      <c r="CF57" s="30">
        <f t="shared" si="18"/>
        <v>7.2059396212325363E-2</v>
      </c>
      <c r="CG57" s="30">
        <f t="shared" si="19"/>
        <v>1.919334044829439E-3</v>
      </c>
      <c r="CH57" s="30">
        <f t="shared" si="20"/>
        <v>1.9267822736030828E-3</v>
      </c>
    </row>
    <row r="58" spans="1:86">
      <c r="A58" s="11" t="s">
        <v>68</v>
      </c>
      <c r="B58" s="11" t="s">
        <v>661</v>
      </c>
      <c r="C58" s="96">
        <v>1176</v>
      </c>
      <c r="D58" s="97">
        <v>141</v>
      </c>
      <c r="E58" t="s">
        <v>275</v>
      </c>
      <c r="F58" s="96">
        <v>2016</v>
      </c>
      <c r="G58" t="s">
        <v>276</v>
      </c>
      <c r="H58" t="s">
        <v>277</v>
      </c>
      <c r="I58" s="97">
        <v>2</v>
      </c>
      <c r="J58">
        <v>2013</v>
      </c>
      <c r="K58" s="96" t="s">
        <v>73</v>
      </c>
      <c r="L58">
        <v>17</v>
      </c>
      <c r="M58" s="96" t="s">
        <v>269</v>
      </c>
      <c r="N58" t="s">
        <v>223</v>
      </c>
      <c r="O58" t="s">
        <v>278</v>
      </c>
      <c r="P58" t="s">
        <v>241</v>
      </c>
      <c r="Q58" t="s">
        <v>242</v>
      </c>
      <c r="R58" t="s">
        <v>243</v>
      </c>
      <c r="S58">
        <v>1</v>
      </c>
      <c r="T58" s="32" t="s">
        <v>263</v>
      </c>
      <c r="U58">
        <v>1</v>
      </c>
      <c r="V58" s="96" t="s">
        <v>229</v>
      </c>
      <c r="W58" s="96" t="s">
        <v>229</v>
      </c>
      <c r="X58" t="s">
        <v>244</v>
      </c>
      <c r="Y58" s="97">
        <v>0</v>
      </c>
      <c r="Z58" s="97">
        <v>1</v>
      </c>
      <c r="AA58" s="97">
        <v>1</v>
      </c>
      <c r="AB58" s="97">
        <v>0</v>
      </c>
      <c r="AC58" s="97">
        <v>0</v>
      </c>
      <c r="AD58" s="97">
        <v>0</v>
      </c>
      <c r="AE58" s="97">
        <v>0</v>
      </c>
      <c r="AF58" s="97">
        <v>0</v>
      </c>
      <c r="AG58" t="s">
        <v>282</v>
      </c>
      <c r="AH58" s="97">
        <v>0</v>
      </c>
      <c r="AI58" s="97">
        <v>0</v>
      </c>
      <c r="AJ58" s="97">
        <v>0</v>
      </c>
      <c r="AK58" s="97">
        <v>0</v>
      </c>
      <c r="AL58" s="97">
        <v>0</v>
      </c>
      <c r="AM58" s="97">
        <v>0</v>
      </c>
      <c r="AN58" s="97">
        <v>0</v>
      </c>
      <c r="AO58" s="97">
        <v>1</v>
      </c>
      <c r="AP58" s="97">
        <v>0</v>
      </c>
      <c r="AQ58" s="41" t="s">
        <v>280</v>
      </c>
      <c r="AR58" t="s">
        <v>233</v>
      </c>
      <c r="AS58" t="s">
        <v>281</v>
      </c>
      <c r="AT58" t="s">
        <v>73</v>
      </c>
      <c r="AU58" s="104">
        <v>0.14000000000000001</v>
      </c>
      <c r="AV58" s="7" t="s">
        <v>80</v>
      </c>
      <c r="AW58" t="s">
        <v>73</v>
      </c>
      <c r="AX58">
        <v>0.01</v>
      </c>
      <c r="AY58">
        <v>1</v>
      </c>
      <c r="AZ58">
        <f t="shared" si="22"/>
        <v>2.5853169622486396</v>
      </c>
      <c r="BA58" t="s">
        <v>73</v>
      </c>
      <c r="BC58" t="s">
        <v>73</v>
      </c>
      <c r="BD58" t="s">
        <v>73</v>
      </c>
      <c r="BE58" t="s">
        <v>73</v>
      </c>
      <c r="BF58" t="s">
        <v>73</v>
      </c>
      <c r="BG58" s="41">
        <v>524</v>
      </c>
      <c r="BH58" t="s">
        <v>73</v>
      </c>
      <c r="BI58" s="41">
        <v>522</v>
      </c>
      <c r="BJ58" s="41">
        <v>522</v>
      </c>
      <c r="BK58" t="s">
        <v>73</v>
      </c>
      <c r="BL58" t="s">
        <v>73</v>
      </c>
      <c r="BM58" s="97" t="s">
        <v>73</v>
      </c>
      <c r="BN58" s="97" t="s">
        <v>73</v>
      </c>
      <c r="BO58" s="97" t="s">
        <v>73</v>
      </c>
      <c r="BP58" s="97" t="s">
        <v>73</v>
      </c>
      <c r="BQ58" s="97" t="s">
        <v>73</v>
      </c>
      <c r="BR58">
        <v>1</v>
      </c>
      <c r="BS58" s="108" t="s">
        <v>73</v>
      </c>
      <c r="BT58" s="97" t="s">
        <v>248</v>
      </c>
      <c r="BU58" s="97">
        <v>0</v>
      </c>
      <c r="BV58" s="97">
        <v>0</v>
      </c>
      <c r="BW58" s="97">
        <v>1</v>
      </c>
      <c r="BX58" s="30">
        <f t="shared" si="13"/>
        <v>0.11243868763294575</v>
      </c>
      <c r="BY58" s="30">
        <f t="shared" si="14"/>
        <v>0.11291614848050519</v>
      </c>
      <c r="BZ58" s="30">
        <f t="shared" si="15"/>
        <v>1.9190737736219023E-3</v>
      </c>
      <c r="CA58" s="30">
        <f t="shared" si="16"/>
        <v>1.9267822736030828E-3</v>
      </c>
      <c r="CC58">
        <f t="shared" si="21"/>
        <v>520</v>
      </c>
      <c r="CE58" s="30">
        <f t="shared" si="17"/>
        <v>0.11243868763294575</v>
      </c>
      <c r="CF58" s="30">
        <f t="shared" si="18"/>
        <v>0.11291614848050519</v>
      </c>
      <c r="CG58" s="30">
        <f t="shared" si="19"/>
        <v>1.9190737736219023E-3</v>
      </c>
      <c r="CH58" s="30">
        <f t="shared" si="20"/>
        <v>1.9267822736030828E-3</v>
      </c>
    </row>
    <row r="59" spans="1:86">
      <c r="A59" s="11" t="s">
        <v>68</v>
      </c>
      <c r="B59" s="11" t="s">
        <v>661</v>
      </c>
      <c r="C59" s="96">
        <v>1177</v>
      </c>
      <c r="D59" s="97">
        <v>141</v>
      </c>
      <c r="E59" t="s">
        <v>275</v>
      </c>
      <c r="F59" s="96">
        <v>2016</v>
      </c>
      <c r="G59" t="s">
        <v>276</v>
      </c>
      <c r="H59" t="s">
        <v>277</v>
      </c>
      <c r="I59" s="97">
        <v>2</v>
      </c>
      <c r="J59">
        <v>2013</v>
      </c>
      <c r="K59" s="96" t="s">
        <v>73</v>
      </c>
      <c r="L59">
        <v>17</v>
      </c>
      <c r="M59" s="96" t="s">
        <v>269</v>
      </c>
      <c r="N59" t="s">
        <v>223</v>
      </c>
      <c r="O59" t="s">
        <v>278</v>
      </c>
      <c r="P59" t="s">
        <v>241</v>
      </c>
      <c r="Q59" t="s">
        <v>242</v>
      </c>
      <c r="R59" t="s">
        <v>243</v>
      </c>
      <c r="S59">
        <v>1</v>
      </c>
      <c r="T59" s="32" t="s">
        <v>263</v>
      </c>
      <c r="U59">
        <v>1</v>
      </c>
      <c r="V59" s="96" t="s">
        <v>229</v>
      </c>
      <c r="W59" s="96" t="s">
        <v>229</v>
      </c>
      <c r="X59" t="s">
        <v>244</v>
      </c>
      <c r="Y59" s="97">
        <v>0</v>
      </c>
      <c r="Z59" s="97">
        <v>1</v>
      </c>
      <c r="AA59" s="97">
        <v>1</v>
      </c>
      <c r="AB59" s="97">
        <v>0</v>
      </c>
      <c r="AC59" s="97">
        <v>0</v>
      </c>
      <c r="AD59" s="97">
        <v>0</v>
      </c>
      <c r="AE59" s="97">
        <v>0</v>
      </c>
      <c r="AF59" s="97">
        <v>0</v>
      </c>
      <c r="AG59" t="s">
        <v>282</v>
      </c>
      <c r="AH59" s="97">
        <v>0</v>
      </c>
      <c r="AI59" s="97">
        <v>0</v>
      </c>
      <c r="AJ59" s="97">
        <v>0</v>
      </c>
      <c r="AK59" s="97">
        <v>0</v>
      </c>
      <c r="AL59" s="97">
        <v>0</v>
      </c>
      <c r="AM59" s="97">
        <v>0</v>
      </c>
      <c r="AN59" s="97">
        <v>0</v>
      </c>
      <c r="AO59" s="97">
        <v>1</v>
      </c>
      <c r="AP59" s="97">
        <v>0</v>
      </c>
      <c r="AQ59" s="41" t="s">
        <v>280</v>
      </c>
      <c r="AR59" t="s">
        <v>233</v>
      </c>
      <c r="AS59" t="s">
        <v>281</v>
      </c>
      <c r="AT59" t="s">
        <v>73</v>
      </c>
      <c r="AU59" s="104">
        <v>0.14299999999999999</v>
      </c>
      <c r="AV59" s="7" t="s">
        <v>80</v>
      </c>
      <c r="AW59" t="s">
        <v>73</v>
      </c>
      <c r="AX59">
        <v>0.01</v>
      </c>
      <c r="AY59">
        <v>1</v>
      </c>
      <c r="AZ59">
        <f t="shared" si="22"/>
        <v>2.5853169622486396</v>
      </c>
      <c r="BA59" t="s">
        <v>73</v>
      </c>
      <c r="BC59" t="s">
        <v>73</v>
      </c>
      <c r="BD59" t="s">
        <v>73</v>
      </c>
      <c r="BE59" t="s">
        <v>73</v>
      </c>
      <c r="BF59" t="s">
        <v>73</v>
      </c>
      <c r="BG59" s="41">
        <v>524</v>
      </c>
      <c r="BH59" t="s">
        <v>73</v>
      </c>
      <c r="BI59" s="41">
        <v>522</v>
      </c>
      <c r="BJ59" s="41">
        <v>522</v>
      </c>
      <c r="BK59" t="s">
        <v>73</v>
      </c>
      <c r="BL59" t="s">
        <v>73</v>
      </c>
      <c r="BM59" s="97" t="s">
        <v>73</v>
      </c>
      <c r="BN59" s="97" t="s">
        <v>73</v>
      </c>
      <c r="BO59" s="97" t="s">
        <v>73</v>
      </c>
      <c r="BP59" s="97" t="s">
        <v>73</v>
      </c>
      <c r="BQ59" s="97" t="s">
        <v>73</v>
      </c>
      <c r="BR59">
        <v>1</v>
      </c>
      <c r="BS59" s="108" t="s">
        <v>73</v>
      </c>
      <c r="BT59" s="97" t="s">
        <v>248</v>
      </c>
      <c r="BU59" s="97">
        <v>0</v>
      </c>
      <c r="BV59" s="97">
        <v>0</v>
      </c>
      <c r="BW59" s="97">
        <v>1</v>
      </c>
      <c r="BX59" s="30">
        <f t="shared" si="13"/>
        <v>0.11243868763294575</v>
      </c>
      <c r="BY59" s="30">
        <f t="shared" si="14"/>
        <v>0.11291614848050519</v>
      </c>
      <c r="BZ59" s="30">
        <f t="shared" si="15"/>
        <v>1.9190737736219023E-3</v>
      </c>
      <c r="CA59" s="30">
        <f t="shared" si="16"/>
        <v>1.9267822736030828E-3</v>
      </c>
      <c r="CC59">
        <f t="shared" si="21"/>
        <v>520</v>
      </c>
      <c r="CE59" s="30">
        <f t="shared" si="17"/>
        <v>0.11243868763294575</v>
      </c>
      <c r="CF59" s="30">
        <f t="shared" si="18"/>
        <v>0.11291614848050519</v>
      </c>
      <c r="CG59" s="30">
        <f t="shared" si="19"/>
        <v>1.9190737736219023E-3</v>
      </c>
      <c r="CH59" s="30">
        <f t="shared" si="20"/>
        <v>1.9267822736030828E-3</v>
      </c>
    </row>
    <row r="60" spans="1:86">
      <c r="A60" s="11" t="s">
        <v>68</v>
      </c>
      <c r="B60" s="11" t="s">
        <v>661</v>
      </c>
      <c r="C60" s="96">
        <v>1178</v>
      </c>
      <c r="D60" s="97">
        <v>141</v>
      </c>
      <c r="E60" t="s">
        <v>275</v>
      </c>
      <c r="F60" s="96">
        <v>2016</v>
      </c>
      <c r="G60" t="s">
        <v>276</v>
      </c>
      <c r="H60" t="s">
        <v>277</v>
      </c>
      <c r="I60" s="97">
        <v>2</v>
      </c>
      <c r="J60">
        <v>2013</v>
      </c>
      <c r="K60" s="96" t="s">
        <v>73</v>
      </c>
      <c r="L60">
        <v>17</v>
      </c>
      <c r="M60" s="96" t="s">
        <v>274</v>
      </c>
      <c r="N60" t="s">
        <v>223</v>
      </c>
      <c r="O60" t="s">
        <v>278</v>
      </c>
      <c r="P60" t="s">
        <v>241</v>
      </c>
      <c r="Q60" t="s">
        <v>242</v>
      </c>
      <c r="R60" t="s">
        <v>243</v>
      </c>
      <c r="S60">
        <v>1</v>
      </c>
      <c r="T60" s="32" t="s">
        <v>263</v>
      </c>
      <c r="U60">
        <v>1</v>
      </c>
      <c r="V60" s="96" t="s">
        <v>229</v>
      </c>
      <c r="W60" s="96" t="s">
        <v>229</v>
      </c>
      <c r="X60" t="s">
        <v>244</v>
      </c>
      <c r="Y60" s="97">
        <v>0</v>
      </c>
      <c r="Z60" s="97">
        <v>1</v>
      </c>
      <c r="AA60" s="97">
        <v>1</v>
      </c>
      <c r="AB60" s="97">
        <v>0</v>
      </c>
      <c r="AC60" s="97">
        <v>0</v>
      </c>
      <c r="AD60" s="97">
        <v>0</v>
      </c>
      <c r="AE60" s="97">
        <v>0</v>
      </c>
      <c r="AF60" s="97">
        <v>0</v>
      </c>
      <c r="AG60" t="s">
        <v>282</v>
      </c>
      <c r="AH60" s="97">
        <v>0</v>
      </c>
      <c r="AI60" s="97">
        <v>0</v>
      </c>
      <c r="AJ60" s="97">
        <v>0</v>
      </c>
      <c r="AK60" s="97">
        <v>0</v>
      </c>
      <c r="AL60" s="97">
        <v>0</v>
      </c>
      <c r="AM60" s="97">
        <v>0</v>
      </c>
      <c r="AN60" s="97">
        <v>0</v>
      </c>
      <c r="AO60" s="97">
        <v>1</v>
      </c>
      <c r="AP60" s="97">
        <v>0</v>
      </c>
      <c r="AQ60" s="41" t="s">
        <v>280</v>
      </c>
      <c r="AR60" t="s">
        <v>233</v>
      </c>
      <c r="AS60" t="s">
        <v>281</v>
      </c>
      <c r="AT60" t="s">
        <v>73</v>
      </c>
      <c r="AU60" s="104">
        <v>0.22</v>
      </c>
      <c r="AV60" s="7" t="s">
        <v>80</v>
      </c>
      <c r="AW60" t="s">
        <v>73</v>
      </c>
      <c r="AX60">
        <v>0.01</v>
      </c>
      <c r="AY60">
        <v>1</v>
      </c>
      <c r="AZ60">
        <f t="shared" si="22"/>
        <v>2.5853169622486396</v>
      </c>
      <c r="BA60" t="s">
        <v>73</v>
      </c>
      <c r="BC60" t="s">
        <v>73</v>
      </c>
      <c r="BD60" t="s">
        <v>73</v>
      </c>
      <c r="BE60" t="s">
        <v>73</v>
      </c>
      <c r="BF60" t="s">
        <v>73</v>
      </c>
      <c r="BG60" s="41">
        <v>524</v>
      </c>
      <c r="BH60" t="s">
        <v>73</v>
      </c>
      <c r="BI60" s="41">
        <v>522</v>
      </c>
      <c r="BJ60" s="41">
        <v>522</v>
      </c>
      <c r="BK60" t="s">
        <v>73</v>
      </c>
      <c r="BL60" t="s">
        <v>73</v>
      </c>
      <c r="BM60" s="97" t="s">
        <v>73</v>
      </c>
      <c r="BN60" s="97" t="s">
        <v>73</v>
      </c>
      <c r="BO60" s="97" t="s">
        <v>73</v>
      </c>
      <c r="BP60" s="97" t="s">
        <v>73</v>
      </c>
      <c r="BQ60" s="97" t="s">
        <v>73</v>
      </c>
      <c r="BR60">
        <v>1</v>
      </c>
      <c r="BS60" s="108" t="s">
        <v>73</v>
      </c>
      <c r="BT60" s="97" t="s">
        <v>248</v>
      </c>
      <c r="BU60" s="97">
        <v>0</v>
      </c>
      <c r="BV60" s="97">
        <v>0</v>
      </c>
      <c r="BW60" s="97">
        <v>1</v>
      </c>
      <c r="BX60" s="30">
        <f t="shared" si="13"/>
        <v>0.11243868763294575</v>
      </c>
      <c r="BY60" s="30">
        <f t="shared" si="14"/>
        <v>0.11291614848050519</v>
      </c>
      <c r="BZ60" s="30">
        <f t="shared" si="15"/>
        <v>1.9190737736219023E-3</v>
      </c>
      <c r="CA60" s="30">
        <f t="shared" si="16"/>
        <v>1.9267822736030828E-3</v>
      </c>
      <c r="CC60">
        <f t="shared" si="21"/>
        <v>520</v>
      </c>
      <c r="CE60" s="30">
        <f t="shared" si="17"/>
        <v>0.11243868763294575</v>
      </c>
      <c r="CF60" s="30">
        <f t="shared" si="18"/>
        <v>0.11291614848050519</v>
      </c>
      <c r="CG60" s="30">
        <f t="shared" si="19"/>
        <v>1.9190737736219023E-3</v>
      </c>
      <c r="CH60" s="30">
        <f t="shared" si="20"/>
        <v>1.9267822736030828E-3</v>
      </c>
    </row>
    <row r="61" spans="1:86">
      <c r="A61" s="11" t="s">
        <v>68</v>
      </c>
      <c r="B61" s="11" t="s">
        <v>661</v>
      </c>
      <c r="C61" s="96">
        <v>1179</v>
      </c>
      <c r="D61" s="97">
        <v>141</v>
      </c>
      <c r="E61" t="s">
        <v>275</v>
      </c>
      <c r="F61" s="96">
        <v>2016</v>
      </c>
      <c r="G61" t="s">
        <v>276</v>
      </c>
      <c r="H61" t="s">
        <v>277</v>
      </c>
      <c r="I61" s="97">
        <v>2</v>
      </c>
      <c r="J61">
        <v>2011</v>
      </c>
      <c r="K61" s="96" t="s">
        <v>73</v>
      </c>
      <c r="L61">
        <v>17</v>
      </c>
      <c r="M61" s="96" t="s">
        <v>274</v>
      </c>
      <c r="N61" t="s">
        <v>223</v>
      </c>
      <c r="O61" t="s">
        <v>278</v>
      </c>
      <c r="P61" t="s">
        <v>241</v>
      </c>
      <c r="Q61" t="s">
        <v>242</v>
      </c>
      <c r="R61" t="s">
        <v>243</v>
      </c>
      <c r="S61">
        <v>1</v>
      </c>
      <c r="T61" s="32" t="s">
        <v>263</v>
      </c>
      <c r="U61">
        <v>1</v>
      </c>
      <c r="V61" s="96" t="s">
        <v>229</v>
      </c>
      <c r="W61" s="96" t="s">
        <v>229</v>
      </c>
      <c r="X61" t="s">
        <v>244</v>
      </c>
      <c r="Y61" s="97">
        <v>0</v>
      </c>
      <c r="Z61" s="97">
        <v>1</v>
      </c>
      <c r="AA61" s="97">
        <v>1</v>
      </c>
      <c r="AB61" s="97">
        <v>0</v>
      </c>
      <c r="AC61" s="97">
        <v>0</v>
      </c>
      <c r="AD61" s="97">
        <v>0</v>
      </c>
      <c r="AE61" s="97">
        <v>0</v>
      </c>
      <c r="AF61" s="97">
        <v>0</v>
      </c>
      <c r="AG61" t="s">
        <v>282</v>
      </c>
      <c r="AH61" s="97">
        <v>0</v>
      </c>
      <c r="AI61" s="97">
        <v>0</v>
      </c>
      <c r="AJ61" s="97">
        <v>0</v>
      </c>
      <c r="AK61" s="97">
        <v>0</v>
      </c>
      <c r="AL61" s="97">
        <v>0</v>
      </c>
      <c r="AM61" s="97">
        <v>0</v>
      </c>
      <c r="AN61" s="97">
        <v>0</v>
      </c>
      <c r="AO61" s="97">
        <v>1</v>
      </c>
      <c r="AP61" s="97">
        <v>0</v>
      </c>
      <c r="AQ61" s="41" t="s">
        <v>280</v>
      </c>
      <c r="AR61" t="s">
        <v>233</v>
      </c>
      <c r="AS61" t="s">
        <v>281</v>
      </c>
      <c r="AT61" t="s">
        <v>73</v>
      </c>
      <c r="AU61" s="104">
        <v>0.159</v>
      </c>
      <c r="AV61" s="7" t="s">
        <v>80</v>
      </c>
      <c r="AW61" t="s">
        <v>73</v>
      </c>
      <c r="AX61">
        <v>0.05</v>
      </c>
      <c r="AY61">
        <v>1</v>
      </c>
      <c r="AZ61">
        <f t="shared" si="22"/>
        <v>1.9645365010317388</v>
      </c>
      <c r="BA61" t="s">
        <v>73</v>
      </c>
      <c r="BC61" t="s">
        <v>73</v>
      </c>
      <c r="BD61" t="s">
        <v>73</v>
      </c>
      <c r="BE61" t="s">
        <v>73</v>
      </c>
      <c r="BF61" t="s">
        <v>73</v>
      </c>
      <c r="BG61" s="41">
        <v>524</v>
      </c>
      <c r="BH61" t="s">
        <v>73</v>
      </c>
      <c r="BI61" s="41">
        <v>522</v>
      </c>
      <c r="BJ61" s="41">
        <v>522</v>
      </c>
      <c r="BK61" t="s">
        <v>73</v>
      </c>
      <c r="BL61" t="s">
        <v>73</v>
      </c>
      <c r="BM61" s="97" t="s">
        <v>73</v>
      </c>
      <c r="BN61" s="97" t="s">
        <v>73</v>
      </c>
      <c r="BO61" s="97" t="s">
        <v>73</v>
      </c>
      <c r="BP61" s="97" t="s">
        <v>73</v>
      </c>
      <c r="BQ61" s="97" t="s">
        <v>73</v>
      </c>
      <c r="BR61">
        <v>1</v>
      </c>
      <c r="BS61" s="108" t="s">
        <v>73</v>
      </c>
      <c r="BT61" s="97" t="s">
        <v>248</v>
      </c>
      <c r="BU61" s="97">
        <v>0</v>
      </c>
      <c r="BV61" s="97">
        <v>0</v>
      </c>
      <c r="BW61" s="97">
        <v>1</v>
      </c>
      <c r="BX61" s="30">
        <f t="shared" si="13"/>
        <v>8.5669312189989619E-2</v>
      </c>
      <c r="BY61" s="30">
        <f t="shared" si="14"/>
        <v>8.5879822251689428E-2</v>
      </c>
      <c r="BZ61" s="30">
        <f t="shared" si="15"/>
        <v>1.9192813902165059E-3</v>
      </c>
      <c r="CA61" s="30">
        <f t="shared" si="16"/>
        <v>1.9267822736030828E-3</v>
      </c>
      <c r="CC61">
        <f t="shared" si="21"/>
        <v>520</v>
      </c>
      <c r="CE61" s="30">
        <f t="shared" si="17"/>
        <v>8.5669312189989619E-2</v>
      </c>
      <c r="CF61" s="30">
        <f t="shared" si="18"/>
        <v>8.5879822251689428E-2</v>
      </c>
      <c r="CG61" s="30">
        <f t="shared" si="19"/>
        <v>1.9192813902165059E-3</v>
      </c>
      <c r="CH61" s="30">
        <f t="shared" si="20"/>
        <v>1.9267822736030828E-3</v>
      </c>
    </row>
    <row r="62" spans="1:86">
      <c r="M62" s="18"/>
    </row>
    <row r="63" spans="1:86">
      <c r="M63" s="18"/>
    </row>
    <row r="64" spans="1:86">
      <c r="M64" s="18"/>
    </row>
    <row r="65" spans="13:76">
      <c r="M65" s="18"/>
    </row>
    <row r="66" spans="13:76">
      <c r="M66" s="18"/>
    </row>
    <row r="67" spans="13:76">
      <c r="M67" s="18"/>
    </row>
    <row r="68" spans="13:76">
      <c r="M68" s="18"/>
    </row>
    <row r="69" spans="13:76">
      <c r="M69" s="18"/>
    </row>
    <row r="70" spans="13:76">
      <c r="M70" s="18"/>
    </row>
    <row r="71" spans="13:76" ht="15.75" customHeight="1">
      <c r="M71" s="18"/>
      <c r="BX71" s="30"/>
    </row>
    <row r="72" spans="13:76">
      <c r="M72" s="18"/>
      <c r="BA72" s="111"/>
      <c r="BB72" s="111"/>
    </row>
    <row r="73" spans="13:76">
      <c r="M73" s="18"/>
      <c r="BA73" s="111"/>
      <c r="BB73" s="111"/>
    </row>
    <row r="74" spans="13:76" ht="15.75" customHeight="1">
      <c r="M74" s="18"/>
    </row>
    <row r="75" spans="13:76">
      <c r="M75" s="18"/>
      <c r="BA75" s="112"/>
      <c r="BB75" s="112"/>
    </row>
  </sheetData>
  <autoFilter ref="AR1:AR70"/>
  <sortState ref="A2:CH75">
    <sortCondition ref="E1:E75"/>
  </sortState>
  <dataConsolidate/>
  <phoneticPr fontId="24" type="noConversion"/>
  <conditionalFormatting sqref="AU1:AU1048576">
    <cfRule type="cellIs" dxfId="1" priority="2" operator="greaterThan">
      <formula>1</formula>
    </cfRule>
  </conditionalFormatting>
  <conditionalFormatting sqref="BK50:BK52">
    <cfRule type="cellIs" dxfId="0" priority="1" operator="greaterThan">
      <formula>1</formula>
    </cfRule>
  </conditionalFormatting>
  <dataValidations xWindow="603" yWindow="1085" count="7">
    <dataValidation type="whole" allowBlank="1" showInputMessage="1" showErrorMessage="1" sqref="AN27:AP30 AH31:AP42 AH7:AH8 AJ7:AP8 AH55:AP1048576 AL27 AH26:AK27 AL26:AP26 AH28:AL30 S15:S30 S1 U1 AH43:AQ54 U39:U1048576 S34:S1048576 U15:U35 AH15:AP25 AH1:AI1 AK1:AP1">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 I30:I1048576 I15:I28">
      <formula1>0</formula1>
      <formula2>2</formula2>
    </dataValidation>
    <dataValidation allowBlank="1" showInputMessage="1" showErrorMessage="1" errorTitle="int" error="Choose 1 or 0" promptTitle="Intervention" prompt="Yes - 1_x000a_No - 0" sqref="AD39:AF61 AG7:AG8 AG20:AG30 AD28:AF33 AD27:AE27 AD34:AE38 AG34:AG38 AH61 AD1:AG1 AD62:AG1048576 AD15:AF26"/>
    <dataValidation type="whole" allowBlank="1" showInputMessage="1" showErrorMessage="1" errorTitle="int" error="Choose 1 or 0" promptTitle="Intervention" prompt="Yes - 1_x000a_No - 0" sqref="Y1:AC1 AI7:AI8 Y7:Y8 AA7:AE8 Y15:AC1048576">
      <formula1>0</formula1>
      <formula2>1</formula2>
    </dataValidation>
    <dataValidation errorStyle="warning" allowBlank="1" showInputMessage="1" showErrorMessage="1" sqref="BN1 BO27:BO30 BO43:BO54 BN62:BN1048576"/>
    <dataValidation type="whole" allowBlank="1" showInputMessage="1" showErrorMessage="1" prompt="1- lower bound_x000a_2 - upper bound_x000a_3- actual" sqref="AY55:AY61">
      <formula1>0</formula1>
      <formula2>3</formula2>
    </dataValidation>
    <dataValidation type="whole" allowBlank="1" showInputMessage="1" showErrorMessage="1" sqref="AY31:AY42 AY15:AY25">
      <formula1>1</formula1>
      <formula2>3</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1">
        <x14:dataValidation type="list" allowBlank="1" showInputMessage="1" showErrorMessage="1">
          <x14:formula1>
            <xm:f>'Lists for variables'!$B$2:$B$4</xm:f>
          </x14:formula1>
          <xm:sqref>U1 U62:U1048576</xm:sqref>
        </x14:dataValidation>
        <x14:dataValidation type="list" allowBlank="1" showInputMessage="1" showErrorMessage="1">
          <x14:formula1>
            <xm:f>'Lists for variables'!$A$2:$A$4</xm:f>
          </x14:formula1>
          <xm:sqref>BU55:BW1048576</xm:sqref>
        </x14:dataValidation>
        <x14:dataValidation type="list" allowBlank="1" showInputMessage="1" showErrorMessage="1">
          <x14:formula1>
            <xm:f>'Lists for variables'!$C$2:$C$4</xm:f>
          </x14:formula1>
          <xm:sqref>BO1 BO55:BO1048576</xm:sqref>
        </x14:dataValidation>
        <x14:dataValidation type="list" allowBlank="1" showInputMessage="1" showErrorMessage="1">
          <x14:formula1>
            <xm:f>'Lists for variables'!$I$2:$I$3</xm:f>
          </x14:formula1>
          <xm:sqref>AV1 AV62:AV1048576</xm:sqref>
        </x14:dataValidation>
        <x14:dataValidation type="list" allowBlank="1" showInputMessage="1" showErrorMessage="1">
          <x14:formula1>
            <xm:f>'Lists for variables'!$L$2:$L$9</xm:f>
          </x14:formula1>
          <xm:sqref>U1 S1 S55:S1048576 U62:U1048576</xm:sqref>
        </x14:dataValidation>
        <x14:dataValidation type="list" allowBlank="1" showInputMessage="1" showErrorMessage="1">
          <x14:formula1>
            <xm:f>'Lists for variables'!$K$2:$K$3</xm:f>
          </x14:formula1>
          <xm:sqref>U1:W1 S1 S55:S1048576 U62:W1048576</xm:sqref>
        </x14:dataValidation>
        <x14:dataValidation type="list" allowBlank="1" showInputMessage="1" showErrorMessage="1">
          <x14:formula1>
            <xm:f>'Lists for variables'!$N$2:$N$7</xm:f>
          </x14:formula1>
          <xm:sqref>U1:W1 S1 S55:S1048576 U62:W1048576</xm:sqref>
        </x14:dataValidation>
        <x14:dataValidation type="list" allowBlank="1" showInputMessage="1" showErrorMessage="1">
          <x14:formula1>
            <xm:f>'Lists for variables'!$J$2:$J$12</xm:f>
          </x14:formula1>
          <xm:sqref>K1 K62:K1048576</xm:sqref>
        </x14:dataValidation>
        <x14:dataValidation type="list" allowBlank="1" showInputMessage="1" showErrorMessage="1">
          <x14:formula1>
            <xm:f>'Lists for variables'!$O:$O</xm:f>
          </x14:formula1>
          <xm:sqref>BT1 BT62:BT1048576</xm:sqref>
        </x14:dataValidation>
        <x14:dataValidation type="list" allowBlank="1" showInputMessage="1" showErrorMessage="1">
          <x14:formula1>
            <xm:f>'Lists for variables'!$S:$S</xm:f>
          </x14:formula1>
          <xm:sqref>G1 G62:G1048576</xm:sqref>
        </x14:dataValidation>
        <x14:dataValidation type="list" allowBlank="1" showInputMessage="1" showErrorMessage="1">
          <x14:formula1>
            <xm:f>'Lists for variables'!$G:$G</xm:f>
          </x14:formula1>
          <xm:sqref>AR1 AR55:AR1048576</xm:sqref>
        </x14:dataValidation>
        <x14:dataValidation type="list" allowBlank="1" showInputMessage="1" showErrorMessage="1">
          <x14:formula1>
            <xm:f>'Lists for variables'!$F:$F</xm:f>
          </x14:formula1>
          <xm:sqref>M76:M1048576</xm:sqref>
        </x14:dataValidation>
        <x14:dataValidation type="list" allowBlank="1" showInputMessage="1" showErrorMessage="1">
          <x14:formula1>
            <xm:f>'Lists for variables'!$P:$P</xm:f>
          </x14:formula1>
          <xm:sqref>AT1 AT55:AT1048576</xm:sqref>
        </x14:dataValidation>
        <x14:dataValidation type="list" allowBlank="1" showInputMessage="1" showErrorMessage="1">
          <x14:formula1>
            <xm:f>'Lists for variables'!$D:$D</xm:f>
          </x14:formula1>
          <xm:sqref>U62:W1048576 S1 U1:W1 S55:S1048576 N55:N1048576 N1</xm:sqref>
        </x14:dataValidation>
        <x14:dataValidation type="list" allowBlank="1" showInputMessage="1" showErrorMessage="1">
          <x14:formula1>
            <xm:f>'Lists for variables'!$N:$N</xm:f>
          </x14:formula1>
          <xm:sqref>O1 O55:O1048576</xm:sqref>
        </x14:dataValidation>
        <x14:dataValidation type="list" allowBlank="1" showInputMessage="1" showErrorMessage="1">
          <x14:formula1>
            <xm:f>'Lists for variables'!$B:$B</xm:f>
          </x14:formula1>
          <xm:sqref>T1 T55:T1048576</xm:sqref>
        </x14:dataValidation>
        <x14:dataValidation type="list" allowBlank="1" showInputMessage="1" showErrorMessage="1">
          <x14:formula1>
            <xm:f>'Lists for variables'!$R:$R</xm:f>
          </x14:formula1>
          <xm:sqref>E1 E55:E1048576</xm:sqref>
        </x14:dataValidation>
        <x14:dataValidation type="list" allowBlank="1" showInputMessage="1" showErrorMessage="1">
          <x14:formula1>
            <xm:f>'Lists for variables'!$H:$H</xm:f>
          </x14:formula1>
          <xm:sqref>U62:U1048576 U1 S1 S55:S1048576</xm:sqref>
        </x14:dataValidation>
        <x14:dataValidation type="list" allowBlank="1" showInputMessage="1" showErrorMessage="1">
          <x14:formula1>
            <xm:f>'Lists for variables'!$M:$M</xm:f>
          </x14:formula1>
          <xm:sqref>S1 P27:P30 P1 U1 S55:S1048576 P55:P1048576 U62:U1048576</xm:sqref>
        </x14:dataValidation>
        <x14:dataValidation type="list" allowBlank="1" showInputMessage="1" showErrorMessage="1">
          <x14:formula1>
            <xm:f>'Lists for variables'!$L$2:$L$10</xm:f>
          </x14:formula1>
          <xm:sqref>R1:R1048576</xm:sqref>
        </x14:dataValidation>
        <x14:dataValidation type="list" allowBlank="1" showInputMessage="1" showErrorMessage="1">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J18"/>
  <sheetViews>
    <sheetView workbookViewId="0">
      <selection activeCell="C14" sqref="C14"/>
    </sheetView>
  </sheetViews>
  <sheetFormatPr baseColWidth="10" defaultColWidth="11" defaultRowHeight="15.75"/>
  <cols>
    <col min="1" max="1" width="28.5" bestFit="1" customWidth="1"/>
    <col min="2" max="2" width="41" bestFit="1" customWidth="1"/>
    <col min="3" max="3" width="29.875" bestFit="1" customWidth="1"/>
    <col min="4" max="4" width="20.5" bestFit="1" customWidth="1"/>
    <col min="5" max="5" width="18.125" bestFit="1" customWidth="1"/>
    <col min="6" max="6" width="20.625" bestFit="1" customWidth="1"/>
    <col min="7" max="7" width="18.375" bestFit="1" customWidth="1"/>
    <col min="8" max="8" width="15.875" bestFit="1" customWidth="1"/>
    <col min="9" max="9" width="22.5" bestFit="1" customWidth="1"/>
    <col min="10" max="10" width="23" bestFit="1" customWidth="1"/>
    <col min="11" max="11" width="25.875" bestFit="1" customWidth="1"/>
    <col min="12" max="12" width="19.5" bestFit="1" customWidth="1"/>
    <col min="13" max="13" width="14.625" bestFit="1" customWidth="1"/>
    <col min="14" max="14" width="30" bestFit="1" customWidth="1"/>
    <col min="15" max="15" width="26.625" bestFit="1" customWidth="1"/>
    <col min="16" max="16" width="22.375" bestFit="1" customWidth="1"/>
    <col min="17" max="17" width="22.125" bestFit="1" customWidth="1"/>
    <col min="18" max="18" width="13.625" bestFit="1" customWidth="1"/>
    <col min="19" max="19" width="28.125" bestFit="1" customWidth="1"/>
    <col min="20" max="20" width="23.125" bestFit="1" customWidth="1"/>
    <col min="21" max="21" width="21.625" bestFit="1" customWidth="1"/>
    <col min="22" max="22" width="15" bestFit="1" customWidth="1"/>
    <col min="23" max="23" width="17.375" bestFit="1" customWidth="1"/>
    <col min="24" max="24" width="11.5" bestFit="1" customWidth="1"/>
    <col min="25" max="25" width="12.875" bestFit="1" customWidth="1"/>
    <col min="26" max="26" width="15.875" bestFit="1" customWidth="1"/>
    <col min="27" max="27" width="13.625" bestFit="1" customWidth="1"/>
    <col min="28" max="28" width="11" bestFit="1" customWidth="1"/>
    <col min="29" max="29" width="23.875" bestFit="1" customWidth="1"/>
    <col min="30" max="30" width="18.875" bestFit="1" customWidth="1"/>
    <col min="31" max="31" width="22.625" bestFit="1" customWidth="1"/>
    <col min="32" max="32" width="15.875" bestFit="1" customWidth="1"/>
    <col min="33" max="33" width="17.125" bestFit="1" customWidth="1"/>
    <col min="34" max="34" width="17" bestFit="1" customWidth="1"/>
    <col min="35" max="35" width="13.625" bestFit="1" customWidth="1"/>
    <col min="36" max="36" width="18.875" bestFit="1" customWidth="1"/>
    <col min="37" max="37" width="9.375" bestFit="1" customWidth="1"/>
    <col min="38" max="38" width="9.125" bestFit="1" customWidth="1"/>
    <col min="39" max="39" width="36.375" bestFit="1" customWidth="1"/>
    <col min="40" max="40" width="29" bestFit="1" customWidth="1"/>
    <col min="41" max="41" width="17.875" bestFit="1" customWidth="1"/>
    <col min="42" max="42" width="21.875" bestFit="1" customWidth="1"/>
    <col min="43" max="43" width="20.125" bestFit="1" customWidth="1"/>
    <col min="44" max="44" width="15" bestFit="1" customWidth="1"/>
    <col min="45" max="45" width="24.5" bestFit="1" customWidth="1"/>
    <col min="46" max="46" width="13.375" bestFit="1" customWidth="1"/>
    <col min="47" max="47" width="21.875" bestFit="1" customWidth="1"/>
    <col min="48" max="48" width="36.5" bestFit="1" customWidth="1"/>
    <col min="49" max="49" width="23.875" bestFit="1" customWidth="1"/>
    <col min="50" max="50" width="17.125" bestFit="1" customWidth="1"/>
    <col min="51" max="51" width="29.625" bestFit="1" customWidth="1"/>
    <col min="52" max="52" width="33" bestFit="1" customWidth="1"/>
    <col min="53" max="53" width="35.5" bestFit="1" customWidth="1"/>
    <col min="54" max="54" width="21.875" bestFit="1" customWidth="1"/>
    <col min="55" max="55" width="24.375" bestFit="1" customWidth="1"/>
    <col min="56" max="56" width="17.875" bestFit="1" customWidth="1"/>
    <col min="57" max="57" width="25.875" bestFit="1" customWidth="1"/>
    <col min="58" max="58" width="35" bestFit="1" customWidth="1"/>
    <col min="59" max="59" width="26.375" bestFit="1" customWidth="1"/>
    <col min="60" max="60" width="12.375" bestFit="1" customWidth="1"/>
    <col min="61" max="61" width="20.5" bestFit="1" customWidth="1"/>
    <col min="62" max="62" width="15.625" bestFit="1" customWidth="1"/>
    <col min="63" max="64" width="18.5" bestFit="1" customWidth="1"/>
  </cols>
  <sheetData>
    <row r="1" spans="1:62">
      <c r="A1" s="113" t="s">
        <v>7</v>
      </c>
      <c r="B1" t="s">
        <v>73</v>
      </c>
    </row>
    <row r="2" spans="1:62">
      <c r="A2" s="113" t="s">
        <v>197</v>
      </c>
      <c r="B2" t="s">
        <v>354</v>
      </c>
    </row>
    <row r="4" spans="1:62">
      <c r="A4" s="113" t="s">
        <v>355</v>
      </c>
      <c r="B4" t="s">
        <v>356</v>
      </c>
      <c r="C4" t="s">
        <v>357</v>
      </c>
      <c r="D4" t="s">
        <v>358</v>
      </c>
      <c r="E4" t="s">
        <v>359</v>
      </c>
      <c r="F4" t="s">
        <v>360</v>
      </c>
      <c r="G4" t="s">
        <v>361</v>
      </c>
      <c r="H4" t="s">
        <v>362</v>
      </c>
      <c r="I4" t="s">
        <v>363</v>
      </c>
      <c r="J4" t="s">
        <v>364</v>
      </c>
      <c r="K4" t="s">
        <v>365</v>
      </c>
      <c r="L4" t="s">
        <v>366</v>
      </c>
      <c r="M4" t="s">
        <v>367</v>
      </c>
      <c r="N4" t="s">
        <v>368</v>
      </c>
      <c r="O4" t="s">
        <v>369</v>
      </c>
      <c r="P4" t="s">
        <v>370</v>
      </c>
      <c r="Q4" t="s">
        <v>371</v>
      </c>
      <c r="R4" t="s">
        <v>372</v>
      </c>
      <c r="S4" t="s">
        <v>373</v>
      </c>
      <c r="T4" t="s">
        <v>374</v>
      </c>
      <c r="U4" t="s">
        <v>375</v>
      </c>
      <c r="V4" t="s">
        <v>376</v>
      </c>
      <c r="W4" t="s">
        <v>377</v>
      </c>
      <c r="X4" t="s">
        <v>378</v>
      </c>
      <c r="Y4" t="s">
        <v>379</v>
      </c>
      <c r="Z4" t="s">
        <v>380</v>
      </c>
      <c r="AA4" t="s">
        <v>381</v>
      </c>
      <c r="AB4" t="s">
        <v>382</v>
      </c>
      <c r="AC4" t="s">
        <v>383</v>
      </c>
      <c r="AD4" t="s">
        <v>384</v>
      </c>
      <c r="AE4" t="s">
        <v>385</v>
      </c>
      <c r="AF4" t="s">
        <v>386</v>
      </c>
      <c r="AG4" t="s">
        <v>387</v>
      </c>
      <c r="AH4" t="s">
        <v>388</v>
      </c>
      <c r="AI4" t="s">
        <v>389</v>
      </c>
      <c r="AJ4" t="s">
        <v>390</v>
      </c>
      <c r="AK4" t="s">
        <v>391</v>
      </c>
      <c r="AL4" t="s">
        <v>392</v>
      </c>
      <c r="AM4" t="s">
        <v>393</v>
      </c>
      <c r="AN4" t="s">
        <v>394</v>
      </c>
      <c r="AO4" t="s">
        <v>395</v>
      </c>
      <c r="AP4" t="s">
        <v>396</v>
      </c>
      <c r="AQ4" t="s">
        <v>397</v>
      </c>
      <c r="AR4" t="s">
        <v>398</v>
      </c>
      <c r="AS4" t="s">
        <v>399</v>
      </c>
      <c r="AT4" t="s">
        <v>400</v>
      </c>
      <c r="AU4" t="s">
        <v>401</v>
      </c>
      <c r="AV4" t="s">
        <v>402</v>
      </c>
      <c r="AW4" t="s">
        <v>403</v>
      </c>
      <c r="AX4" t="s">
        <v>404</v>
      </c>
      <c r="AY4" t="s">
        <v>405</v>
      </c>
      <c r="AZ4" t="s">
        <v>406</v>
      </c>
      <c r="BA4" t="s">
        <v>407</v>
      </c>
      <c r="BB4" t="s">
        <v>408</v>
      </c>
      <c r="BC4" t="s">
        <v>409</v>
      </c>
      <c r="BD4" t="s">
        <v>410</v>
      </c>
      <c r="BE4" t="s">
        <v>411</v>
      </c>
      <c r="BF4" t="s">
        <v>412</v>
      </c>
      <c r="BG4" t="s">
        <v>413</v>
      </c>
      <c r="BH4" t="s">
        <v>414</v>
      </c>
      <c r="BI4" t="s">
        <v>415</v>
      </c>
      <c r="BJ4" t="s">
        <v>416</v>
      </c>
    </row>
    <row r="5" spans="1:62">
      <c r="A5" s="114" t="s">
        <v>417</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14"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14" t="s">
        <v>418</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14"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14"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14" t="s">
        <v>274</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14" t="s">
        <v>269</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14" t="s">
        <v>419</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14" t="s">
        <v>420</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14" t="s">
        <v>421</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14" t="s">
        <v>422</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14" t="s">
        <v>423</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14"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14" t="s">
        <v>424</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S99"/>
  <sheetViews>
    <sheetView topLeftCell="D1" zoomScale="115" zoomScaleNormal="70" workbookViewId="0">
      <pane ySplit="1" topLeftCell="A2" activePane="bottomLeft" state="frozen"/>
      <selection pane="bottomLeft" activeCell="I28" sqref="I28"/>
    </sheetView>
  </sheetViews>
  <sheetFormatPr baseColWidth="10" defaultColWidth="11" defaultRowHeight="15.75"/>
  <cols>
    <col min="3" max="3" width="15.5" customWidth="1"/>
    <col min="5" max="5" width="19.625" customWidth="1"/>
    <col min="6" max="6" width="22" customWidth="1"/>
    <col min="7" max="7" width="18.125" style="26" customWidth="1"/>
    <col min="8" max="8" width="20.5" customWidth="1"/>
    <col min="9" max="9" width="14.125" customWidth="1"/>
    <col min="10" max="10" width="15.125" customWidth="1"/>
  </cols>
  <sheetData>
    <row r="1" spans="1:19">
      <c r="A1" t="s">
        <v>425</v>
      </c>
      <c r="B1" t="s">
        <v>188</v>
      </c>
      <c r="C1" s="1" t="s">
        <v>426</v>
      </c>
      <c r="D1" t="s">
        <v>10</v>
      </c>
      <c r="E1" s="1" t="s">
        <v>40</v>
      </c>
      <c r="F1" s="2" t="s">
        <v>9</v>
      </c>
      <c r="G1" s="37" t="s">
        <v>427</v>
      </c>
      <c r="H1" s="38" t="s">
        <v>185</v>
      </c>
      <c r="I1" s="39" t="s">
        <v>28</v>
      </c>
      <c r="J1" s="39" t="s">
        <v>7</v>
      </c>
      <c r="K1" s="39" t="s">
        <v>428</v>
      </c>
      <c r="L1" s="39" t="s">
        <v>186</v>
      </c>
      <c r="M1" s="39" t="s">
        <v>184</v>
      </c>
      <c r="N1" s="39" t="s">
        <v>50</v>
      </c>
      <c r="O1" s="39" t="s">
        <v>210</v>
      </c>
      <c r="P1" s="42" t="s">
        <v>199</v>
      </c>
      <c r="R1" s="39" t="s">
        <v>182</v>
      </c>
      <c r="S1" s="39" t="s">
        <v>4</v>
      </c>
    </row>
    <row r="2" spans="1:19" ht="31.5">
      <c r="A2">
        <v>0</v>
      </c>
      <c r="B2" t="s">
        <v>188</v>
      </c>
      <c r="C2" t="s">
        <v>429</v>
      </c>
      <c r="D2" t="s">
        <v>112</v>
      </c>
      <c r="E2">
        <v>1</v>
      </c>
      <c r="F2" t="s">
        <v>93</v>
      </c>
      <c r="G2" s="26" t="s">
        <v>233</v>
      </c>
      <c r="H2" t="s">
        <v>226</v>
      </c>
      <c r="I2" t="s">
        <v>80</v>
      </c>
      <c r="J2" t="s">
        <v>430</v>
      </c>
      <c r="K2" t="s">
        <v>229</v>
      </c>
      <c r="L2" t="s">
        <v>431</v>
      </c>
      <c r="M2" t="s">
        <v>225</v>
      </c>
      <c r="N2" t="s">
        <v>81</v>
      </c>
      <c r="O2" t="s">
        <v>248</v>
      </c>
      <c r="P2" s="41" t="s">
        <v>331</v>
      </c>
      <c r="R2" s="47" t="s">
        <v>432</v>
      </c>
      <c r="S2" s="47" t="s">
        <v>433</v>
      </c>
    </row>
    <row r="3" spans="1:19" ht="31.5">
      <c r="A3">
        <v>1</v>
      </c>
      <c r="B3" t="s">
        <v>263</v>
      </c>
      <c r="C3" t="s">
        <v>306</v>
      </c>
      <c r="D3" t="s">
        <v>240</v>
      </c>
      <c r="E3">
        <v>2</v>
      </c>
      <c r="F3" t="s">
        <v>422</v>
      </c>
      <c r="G3" s="26" t="s">
        <v>434</v>
      </c>
      <c r="H3" t="s">
        <v>252</v>
      </c>
      <c r="I3" t="s">
        <v>86</v>
      </c>
      <c r="J3" t="s">
        <v>435</v>
      </c>
      <c r="K3" t="s">
        <v>311</v>
      </c>
      <c r="L3" t="s">
        <v>227</v>
      </c>
      <c r="M3" t="s">
        <v>241</v>
      </c>
      <c r="N3" t="s">
        <v>148</v>
      </c>
      <c r="O3" t="s">
        <v>436</v>
      </c>
      <c r="P3" s="41" t="s">
        <v>235</v>
      </c>
      <c r="R3" s="46" t="s">
        <v>437</v>
      </c>
      <c r="S3" s="46" t="s">
        <v>438</v>
      </c>
    </row>
    <row r="4" spans="1:19" ht="47.25">
      <c r="A4" t="s">
        <v>73</v>
      </c>
      <c r="B4" t="s">
        <v>228</v>
      </c>
      <c r="C4" t="s">
        <v>73</v>
      </c>
      <c r="D4" t="s">
        <v>223</v>
      </c>
      <c r="E4">
        <v>3</v>
      </c>
      <c r="F4" t="s">
        <v>439</v>
      </c>
      <c r="G4" s="26" t="s">
        <v>354</v>
      </c>
      <c r="H4" t="s">
        <v>310</v>
      </c>
      <c r="J4" t="s">
        <v>440</v>
      </c>
      <c r="L4" t="s">
        <v>253</v>
      </c>
      <c r="M4" t="s">
        <v>441</v>
      </c>
      <c r="N4" t="s">
        <v>442</v>
      </c>
      <c r="O4" t="s">
        <v>236</v>
      </c>
      <c r="P4" s="41" t="s">
        <v>443</v>
      </c>
      <c r="R4" s="44" t="s">
        <v>444</v>
      </c>
      <c r="S4" s="44" t="s">
        <v>445</v>
      </c>
    </row>
    <row r="5" spans="1:19" ht="47.25">
      <c r="D5" t="s">
        <v>446</v>
      </c>
      <c r="F5" t="s">
        <v>120</v>
      </c>
      <c r="G5" s="40" t="s">
        <v>447</v>
      </c>
      <c r="H5" t="s">
        <v>448</v>
      </c>
      <c r="J5" s="41" t="s">
        <v>449</v>
      </c>
      <c r="L5" t="s">
        <v>450</v>
      </c>
      <c r="M5" t="s">
        <v>73</v>
      </c>
      <c r="N5" t="s">
        <v>124</v>
      </c>
      <c r="O5" s="41" t="s">
        <v>319</v>
      </c>
      <c r="P5" t="s">
        <v>73</v>
      </c>
      <c r="R5" s="46" t="s">
        <v>451</v>
      </c>
      <c r="S5" s="46" t="s">
        <v>452</v>
      </c>
    </row>
    <row r="6" spans="1:19">
      <c r="D6" s="41" t="s">
        <v>317</v>
      </c>
      <c r="F6" t="s">
        <v>453</v>
      </c>
      <c r="H6" t="s">
        <v>242</v>
      </c>
      <c r="J6" t="s">
        <v>454</v>
      </c>
      <c r="L6" t="s">
        <v>455</v>
      </c>
      <c r="N6" t="s">
        <v>278</v>
      </c>
      <c r="O6" t="s">
        <v>73</v>
      </c>
      <c r="R6" s="46" t="s">
        <v>456</v>
      </c>
      <c r="S6" s="46" t="s">
        <v>457</v>
      </c>
    </row>
    <row r="7" spans="1:19">
      <c r="F7" t="s">
        <v>458</v>
      </c>
      <c r="H7" t="s">
        <v>459</v>
      </c>
      <c r="J7" s="41" t="s">
        <v>460</v>
      </c>
      <c r="L7" t="s">
        <v>243</v>
      </c>
      <c r="N7" t="s">
        <v>461</v>
      </c>
      <c r="O7" t="s">
        <v>462</v>
      </c>
      <c r="R7" s="46" t="s">
        <v>463</v>
      </c>
      <c r="S7" s="46" t="s">
        <v>464</v>
      </c>
    </row>
    <row r="8" spans="1:19">
      <c r="F8" t="s">
        <v>107</v>
      </c>
      <c r="J8" s="41" t="s">
        <v>465</v>
      </c>
      <c r="L8" t="s">
        <v>462</v>
      </c>
      <c r="N8" t="s">
        <v>466</v>
      </c>
      <c r="R8" s="46" t="s">
        <v>249</v>
      </c>
      <c r="S8" s="46" t="s">
        <v>250</v>
      </c>
    </row>
    <row r="9" spans="1:19">
      <c r="F9" t="s">
        <v>417</v>
      </c>
      <c r="J9" t="s">
        <v>462</v>
      </c>
      <c r="L9" t="s">
        <v>467</v>
      </c>
      <c r="N9" t="s">
        <v>468</v>
      </c>
      <c r="R9" s="44" t="s">
        <v>349</v>
      </c>
      <c r="S9" s="44" t="s">
        <v>350</v>
      </c>
    </row>
    <row r="10" spans="1:19">
      <c r="F10" t="s">
        <v>155</v>
      </c>
      <c r="J10" t="s">
        <v>469</v>
      </c>
      <c r="L10" t="s">
        <v>257</v>
      </c>
      <c r="N10" t="s">
        <v>224</v>
      </c>
      <c r="R10" s="44" t="s">
        <v>470</v>
      </c>
      <c r="S10" s="44" t="s">
        <v>471</v>
      </c>
    </row>
    <row r="11" spans="1:19">
      <c r="F11" t="s">
        <v>472</v>
      </c>
      <c r="J11" t="s">
        <v>473</v>
      </c>
      <c r="N11" t="s">
        <v>474</v>
      </c>
      <c r="R11" s="44" t="s">
        <v>475</v>
      </c>
      <c r="S11" s="44" t="s">
        <v>476</v>
      </c>
    </row>
    <row r="12" spans="1:19">
      <c r="F12" t="s">
        <v>477</v>
      </c>
      <c r="J12" t="s">
        <v>73</v>
      </c>
      <c r="N12" t="s">
        <v>478</v>
      </c>
      <c r="R12" s="44" t="s">
        <v>479</v>
      </c>
      <c r="S12" s="44" t="s">
        <v>480</v>
      </c>
    </row>
    <row r="13" spans="1:19">
      <c r="F13" t="s">
        <v>418</v>
      </c>
      <c r="N13" t="s">
        <v>96</v>
      </c>
      <c r="R13" s="46" t="s">
        <v>481</v>
      </c>
      <c r="S13" s="46" t="s">
        <v>482</v>
      </c>
    </row>
    <row r="14" spans="1:19">
      <c r="F14" s="41" t="s">
        <v>421</v>
      </c>
      <c r="N14" t="s">
        <v>483</v>
      </c>
      <c r="R14" s="44" t="s">
        <v>484</v>
      </c>
      <c r="S14" s="44" t="s">
        <v>485</v>
      </c>
    </row>
    <row r="15" spans="1:19">
      <c r="F15" s="41" t="s">
        <v>155</v>
      </c>
      <c r="N15" t="s">
        <v>486</v>
      </c>
      <c r="R15" s="46" t="s">
        <v>487</v>
      </c>
      <c r="S15" s="46" t="s">
        <v>488</v>
      </c>
    </row>
    <row r="16" spans="1:19">
      <c r="F16" s="41" t="s">
        <v>489</v>
      </c>
      <c r="N16" t="s">
        <v>156</v>
      </c>
      <c r="R16" s="46" t="s">
        <v>490</v>
      </c>
      <c r="S16" s="46" t="s">
        <v>491</v>
      </c>
    </row>
    <row r="17" spans="6:19">
      <c r="F17" s="41" t="s">
        <v>274</v>
      </c>
      <c r="N17" t="s">
        <v>492</v>
      </c>
      <c r="R17" s="44" t="s">
        <v>493</v>
      </c>
      <c r="S17" s="44" t="s">
        <v>494</v>
      </c>
    </row>
    <row r="18" spans="6:19">
      <c r="F18" s="41" t="s">
        <v>420</v>
      </c>
      <c r="N18" t="s">
        <v>262</v>
      </c>
      <c r="R18" s="46" t="s">
        <v>495</v>
      </c>
      <c r="S18" s="46" t="s">
        <v>127</v>
      </c>
    </row>
    <row r="19" spans="6:19">
      <c r="F19" s="41" t="s">
        <v>496</v>
      </c>
      <c r="N19" t="s">
        <v>497</v>
      </c>
      <c r="R19" s="44" t="s">
        <v>237</v>
      </c>
      <c r="S19" t="s">
        <v>238</v>
      </c>
    </row>
    <row r="20" spans="6:19">
      <c r="F20" s="41" t="s">
        <v>498</v>
      </c>
      <c r="N20" t="s">
        <v>499</v>
      </c>
      <c r="R20" s="46" t="s">
        <v>500</v>
      </c>
      <c r="S20" s="46" t="s">
        <v>501</v>
      </c>
    </row>
    <row r="21" spans="6:19">
      <c r="F21" s="41" t="s">
        <v>502</v>
      </c>
      <c r="N21" t="s">
        <v>503</v>
      </c>
      <c r="R21" s="44" t="s">
        <v>504</v>
      </c>
      <c r="S21" s="44" t="s">
        <v>505</v>
      </c>
    </row>
    <row r="22" spans="6:19">
      <c r="F22" s="41" t="s">
        <v>269</v>
      </c>
      <c r="N22" t="s">
        <v>138</v>
      </c>
      <c r="R22" s="46" t="s">
        <v>504</v>
      </c>
      <c r="S22" s="46" t="s">
        <v>506</v>
      </c>
    </row>
    <row r="23" spans="6:19">
      <c r="F23" s="41" t="s">
        <v>423</v>
      </c>
      <c r="N23" t="s">
        <v>507</v>
      </c>
      <c r="R23" s="44" t="s">
        <v>508</v>
      </c>
      <c r="S23" s="44" t="s">
        <v>509</v>
      </c>
    </row>
    <row r="24" spans="6:19">
      <c r="F24" s="41" t="s">
        <v>510</v>
      </c>
      <c r="N24" t="s">
        <v>270</v>
      </c>
      <c r="R24" s="44" t="s">
        <v>511</v>
      </c>
      <c r="S24" s="44" t="s">
        <v>512</v>
      </c>
    </row>
    <row r="25" spans="6:19">
      <c r="F25" s="41" t="s">
        <v>419</v>
      </c>
      <c r="N25" t="s">
        <v>513</v>
      </c>
      <c r="R25" s="44" t="s">
        <v>326</v>
      </c>
      <c r="S25" s="44" t="s">
        <v>327</v>
      </c>
    </row>
    <row r="26" spans="6:19">
      <c r="F26" s="41" t="s">
        <v>514</v>
      </c>
      <c r="N26" t="s">
        <v>515</v>
      </c>
      <c r="R26" s="44" t="s">
        <v>516</v>
      </c>
      <c r="S26" s="44" t="s">
        <v>517</v>
      </c>
    </row>
    <row r="27" spans="6:19">
      <c r="F27" s="41" t="s">
        <v>297</v>
      </c>
      <c r="N27" t="s">
        <v>336</v>
      </c>
      <c r="R27" s="44" t="s">
        <v>518</v>
      </c>
      <c r="S27" s="44" t="s">
        <v>519</v>
      </c>
    </row>
    <row r="28" spans="6:19">
      <c r="F28" s="41" t="s">
        <v>520</v>
      </c>
      <c r="N28" t="s">
        <v>521</v>
      </c>
      <c r="R28" s="44" t="s">
        <v>313</v>
      </c>
      <c r="S28" s="44" t="s">
        <v>314</v>
      </c>
    </row>
    <row r="29" spans="6:19">
      <c r="F29" s="41" t="s">
        <v>172</v>
      </c>
      <c r="N29" t="s">
        <v>522</v>
      </c>
      <c r="R29" s="44" t="s">
        <v>523</v>
      </c>
      <c r="S29" s="44" t="s">
        <v>524</v>
      </c>
    </row>
    <row r="30" spans="6:19">
      <c r="F30" s="41" t="s">
        <v>525</v>
      </c>
      <c r="N30" t="s">
        <v>526</v>
      </c>
      <c r="R30" s="44" t="s">
        <v>527</v>
      </c>
      <c r="S30" s="44" t="s">
        <v>528</v>
      </c>
    </row>
    <row r="31" spans="6:19">
      <c r="N31" t="s">
        <v>174</v>
      </c>
      <c r="R31" s="44" t="s">
        <v>529</v>
      </c>
      <c r="S31" s="44" t="s">
        <v>530</v>
      </c>
    </row>
    <row r="32" spans="6:19">
      <c r="N32" t="s">
        <v>531</v>
      </c>
      <c r="R32" s="44" t="s">
        <v>532</v>
      </c>
      <c r="S32" s="44" t="s">
        <v>533</v>
      </c>
    </row>
    <row r="33" spans="14:19">
      <c r="N33" t="s">
        <v>131</v>
      </c>
      <c r="R33" s="44" t="s">
        <v>534</v>
      </c>
      <c r="S33" s="44" t="s">
        <v>535</v>
      </c>
    </row>
    <row r="34" spans="14:19">
      <c r="R34" s="44" t="s">
        <v>536</v>
      </c>
      <c r="S34" s="44" t="s">
        <v>537</v>
      </c>
    </row>
    <row r="35" spans="14:19">
      <c r="R35" s="44" t="s">
        <v>341</v>
      </c>
      <c r="S35" s="44" t="s">
        <v>342</v>
      </c>
    </row>
    <row r="36" spans="14:19">
      <c r="R36" s="44" t="s">
        <v>538</v>
      </c>
      <c r="S36" s="44" t="s">
        <v>539</v>
      </c>
    </row>
    <row r="37" spans="14:19">
      <c r="R37" s="46" t="s">
        <v>540</v>
      </c>
      <c r="S37" s="46" t="s">
        <v>541</v>
      </c>
    </row>
    <row r="38" spans="14:19">
      <c r="R38" s="46" t="s">
        <v>542</v>
      </c>
      <c r="S38" s="46" t="s">
        <v>543</v>
      </c>
    </row>
    <row r="39" spans="14:19">
      <c r="R39" s="46" t="s">
        <v>542</v>
      </c>
      <c r="S39" s="46" t="s">
        <v>544</v>
      </c>
    </row>
    <row r="40" spans="14:19">
      <c r="R40" s="44" t="s">
        <v>545</v>
      </c>
      <c r="S40" s="44" t="s">
        <v>546</v>
      </c>
    </row>
    <row r="41" spans="14:19">
      <c r="R41" s="44" t="s">
        <v>547</v>
      </c>
      <c r="S41" s="44" t="s">
        <v>548</v>
      </c>
    </row>
    <row r="42" spans="14:19">
      <c r="R42" s="46" t="s">
        <v>549</v>
      </c>
      <c r="S42" s="46" t="s">
        <v>550</v>
      </c>
    </row>
    <row r="43" spans="14:19">
      <c r="R43" s="46" t="s">
        <v>549</v>
      </c>
      <c r="S43" s="46" t="s">
        <v>551</v>
      </c>
    </row>
    <row r="44" spans="14:19">
      <c r="R44" s="44" t="s">
        <v>552</v>
      </c>
      <c r="S44" s="17" t="s">
        <v>117</v>
      </c>
    </row>
    <row r="45" spans="14:19">
      <c r="R45" s="46" t="s">
        <v>553</v>
      </c>
      <c r="S45" s="46" t="s">
        <v>554</v>
      </c>
    </row>
    <row r="46" spans="14:19">
      <c r="R46" s="44" t="s">
        <v>266</v>
      </c>
      <c r="S46" s="44" t="s">
        <v>267</v>
      </c>
    </row>
    <row r="47" spans="14:19">
      <c r="R47" s="46" t="s">
        <v>555</v>
      </c>
      <c r="S47" s="46" t="s">
        <v>556</v>
      </c>
    </row>
    <row r="48" spans="14:19">
      <c r="R48" s="44" t="s">
        <v>557</v>
      </c>
      <c r="S48" s="44" t="s">
        <v>558</v>
      </c>
    </row>
    <row r="49" spans="18:19">
      <c r="R49" s="44" t="s">
        <v>559</v>
      </c>
      <c r="S49" s="44" t="s">
        <v>560</v>
      </c>
    </row>
    <row r="50" spans="18:19">
      <c r="R50" s="44" t="s">
        <v>561</v>
      </c>
      <c r="S50" s="44" t="s">
        <v>562</v>
      </c>
    </row>
    <row r="51" spans="18:19">
      <c r="R51" s="44" t="s">
        <v>563</v>
      </c>
      <c r="S51" s="44" t="s">
        <v>564</v>
      </c>
    </row>
    <row r="52" spans="18:19">
      <c r="R52" s="44" t="s">
        <v>565</v>
      </c>
      <c r="S52" s="44" t="s">
        <v>566</v>
      </c>
    </row>
    <row r="53" spans="18:19">
      <c r="R53" s="44" t="s">
        <v>567</v>
      </c>
      <c r="S53" s="17" t="s">
        <v>568</v>
      </c>
    </row>
    <row r="54" spans="18:19">
      <c r="R54" s="44" t="s">
        <v>569</v>
      </c>
      <c r="S54" s="44" t="s">
        <v>570</v>
      </c>
    </row>
    <row r="55" spans="18:19">
      <c r="R55" s="44" t="s">
        <v>571</v>
      </c>
      <c r="S55" s="44" t="s">
        <v>572</v>
      </c>
    </row>
    <row r="56" spans="18:19">
      <c r="R56" s="44" t="s">
        <v>573</v>
      </c>
      <c r="S56" s="44" t="s">
        <v>574</v>
      </c>
    </row>
    <row r="57" spans="18:19">
      <c r="R57" s="44" t="s">
        <v>575</v>
      </c>
      <c r="S57" s="44" t="s">
        <v>576</v>
      </c>
    </row>
    <row r="58" spans="18:19">
      <c r="R58" s="44" t="s">
        <v>308</v>
      </c>
      <c r="S58" s="44" t="s">
        <v>309</v>
      </c>
    </row>
    <row r="59" spans="18:19">
      <c r="R59" s="44" t="s">
        <v>577</v>
      </c>
      <c r="S59" s="44" t="s">
        <v>578</v>
      </c>
    </row>
    <row r="60" spans="18:19">
      <c r="R60" s="44" t="s">
        <v>579</v>
      </c>
      <c r="S60" s="44" t="s">
        <v>580</v>
      </c>
    </row>
    <row r="61" spans="18:19">
      <c r="R61" s="44" t="s">
        <v>581</v>
      </c>
      <c r="S61" s="44" t="s">
        <v>582</v>
      </c>
    </row>
    <row r="62" spans="18:19">
      <c r="R62" s="44" t="s">
        <v>583</v>
      </c>
      <c r="S62" s="44" t="s">
        <v>584</v>
      </c>
    </row>
    <row r="63" spans="18:19">
      <c r="R63" s="44" t="s">
        <v>585</v>
      </c>
      <c r="S63" s="44" t="s">
        <v>586</v>
      </c>
    </row>
    <row r="64" spans="18:19">
      <c r="R64" s="44" t="s">
        <v>587</v>
      </c>
      <c r="S64" s="44" t="s">
        <v>588</v>
      </c>
    </row>
    <row r="65" spans="18:19">
      <c r="R65" s="44" t="s">
        <v>589</v>
      </c>
      <c r="S65" s="44" t="s">
        <v>590</v>
      </c>
    </row>
    <row r="66" spans="18:19">
      <c r="R66" s="44" t="s">
        <v>591</v>
      </c>
      <c r="S66" s="44" t="s">
        <v>592</v>
      </c>
    </row>
    <row r="67" spans="18:19">
      <c r="R67" s="44" t="s">
        <v>333</v>
      </c>
      <c r="S67" s="44" t="s">
        <v>334</v>
      </c>
    </row>
    <row r="68" spans="18:19">
      <c r="R68" s="44" t="s">
        <v>593</v>
      </c>
      <c r="S68" s="44" t="s">
        <v>594</v>
      </c>
    </row>
    <row r="69" spans="18:19">
      <c r="R69" s="44" t="s">
        <v>595</v>
      </c>
      <c r="S69" s="44" t="s">
        <v>596</v>
      </c>
    </row>
    <row r="70" spans="18:19">
      <c r="R70" s="44" t="s">
        <v>597</v>
      </c>
      <c r="S70" s="44" t="s">
        <v>598</v>
      </c>
    </row>
    <row r="71" spans="18:19">
      <c r="R71" s="44" t="s">
        <v>599</v>
      </c>
      <c r="S71" s="44" t="s">
        <v>600</v>
      </c>
    </row>
    <row r="72" spans="18:19">
      <c r="R72" s="44" t="s">
        <v>601</v>
      </c>
      <c r="S72" t="s">
        <v>602</v>
      </c>
    </row>
    <row r="73" spans="18:19">
      <c r="R73" s="46" t="s">
        <v>601</v>
      </c>
      <c r="S73" s="46" t="s">
        <v>603</v>
      </c>
    </row>
    <row r="74" spans="18:19">
      <c r="R74" s="44" t="s">
        <v>604</v>
      </c>
      <c r="S74" s="44" t="s">
        <v>605</v>
      </c>
    </row>
    <row r="75" spans="18:19">
      <c r="R75" s="46" t="s">
        <v>606</v>
      </c>
      <c r="S75" s="46" t="s">
        <v>607</v>
      </c>
    </row>
    <row r="76" spans="18:19">
      <c r="R76" s="44" t="s">
        <v>608</v>
      </c>
      <c r="S76" s="44" t="s">
        <v>609</v>
      </c>
    </row>
    <row r="77" spans="18:19">
      <c r="R77" s="44" t="s">
        <v>610</v>
      </c>
      <c r="S77" s="44" t="s">
        <v>611</v>
      </c>
    </row>
    <row r="78" spans="18:19">
      <c r="R78" s="46" t="s">
        <v>259</v>
      </c>
      <c r="S78" s="46" t="s">
        <v>260</v>
      </c>
    </row>
    <row r="79" spans="18:19">
      <c r="R79" s="46" t="s">
        <v>612</v>
      </c>
      <c r="S79" s="46" t="s">
        <v>613</v>
      </c>
    </row>
    <row r="80" spans="18:19">
      <c r="R80" s="44" t="s">
        <v>614</v>
      </c>
      <c r="S80" s="44" t="s">
        <v>615</v>
      </c>
    </row>
    <row r="81" spans="18:19">
      <c r="R81" s="44" t="s">
        <v>616</v>
      </c>
      <c r="S81" s="44" t="s">
        <v>617</v>
      </c>
    </row>
    <row r="82" spans="18:19">
      <c r="R82" s="44" t="s">
        <v>618</v>
      </c>
      <c r="S82" s="44" t="s">
        <v>619</v>
      </c>
    </row>
    <row r="83" spans="18:19">
      <c r="R83" s="46" t="s">
        <v>620</v>
      </c>
      <c r="S83" s="46" t="s">
        <v>621</v>
      </c>
    </row>
    <row r="84" spans="18:19">
      <c r="R84" s="46" t="s">
        <v>620</v>
      </c>
      <c r="S84" s="46" t="s">
        <v>622</v>
      </c>
    </row>
    <row r="85" spans="18:19">
      <c r="R85" s="44" t="s">
        <v>623</v>
      </c>
      <c r="S85" s="44" t="s">
        <v>624</v>
      </c>
    </row>
    <row r="86" spans="18:19">
      <c r="R86" s="44" t="s">
        <v>625</v>
      </c>
      <c r="S86" s="44" t="s">
        <v>626</v>
      </c>
    </row>
    <row r="87" spans="18:19">
      <c r="R87" s="44" t="s">
        <v>254</v>
      </c>
      <c r="S87" s="44" t="s">
        <v>255</v>
      </c>
    </row>
    <row r="88" spans="18:19">
      <c r="R88" s="44" t="s">
        <v>627</v>
      </c>
      <c r="S88" s="44" t="s">
        <v>628</v>
      </c>
    </row>
    <row r="89" spans="18:19">
      <c r="R89" s="44" t="s">
        <v>629</v>
      </c>
      <c r="S89" s="44" t="s">
        <v>630</v>
      </c>
    </row>
    <row r="90" spans="18:19">
      <c r="R90" s="44" t="s">
        <v>631</v>
      </c>
      <c r="S90" s="44" t="s">
        <v>632</v>
      </c>
    </row>
    <row r="91" spans="18:19">
      <c r="R91" s="44" t="s">
        <v>633</v>
      </c>
      <c r="S91" s="44" t="s">
        <v>634</v>
      </c>
    </row>
    <row r="92" spans="18:19">
      <c r="R92" s="44" t="s">
        <v>635</v>
      </c>
      <c r="S92" s="44" t="s">
        <v>636</v>
      </c>
    </row>
    <row r="93" spans="18:19">
      <c r="R93" s="44" t="s">
        <v>275</v>
      </c>
      <c r="S93" t="s">
        <v>276</v>
      </c>
    </row>
    <row r="94" spans="18:19">
      <c r="R94" s="44" t="s">
        <v>283</v>
      </c>
      <c r="S94" s="44" t="s">
        <v>284</v>
      </c>
    </row>
    <row r="95" spans="18:19">
      <c r="R95" s="44" t="s">
        <v>294</v>
      </c>
      <c r="S95" s="44" t="s">
        <v>295</v>
      </c>
    </row>
    <row r="96" spans="18:19">
      <c r="R96" s="44" t="s">
        <v>301</v>
      </c>
      <c r="S96" t="s">
        <v>302</v>
      </c>
    </row>
    <row r="97" spans="18:19">
      <c r="R97" s="44" t="s">
        <v>637</v>
      </c>
      <c r="S97" s="57" t="s">
        <v>622</v>
      </c>
    </row>
    <row r="98" spans="18:19">
      <c r="R98" s="57" t="s">
        <v>638</v>
      </c>
      <c r="S98" s="32" t="s">
        <v>133</v>
      </c>
    </row>
    <row r="99" spans="18:19">
      <c r="R99" s="44" t="s">
        <v>639</v>
      </c>
      <c r="S99" t="s">
        <v>640</v>
      </c>
    </row>
  </sheetData>
  <sortState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2023-07-21T09:24:06Z</dcterms:modified>
  <cp:category/>
  <cp:contentStatus/>
</cp:coreProperties>
</file>