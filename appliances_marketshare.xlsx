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8" yWindow="-21108" windowWidth="38400" windowHeight="21108"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62913"/>
  <pivotCaches>
    <pivotCache cacheId="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3" i="4" l="1"/>
  <c r="CH4" i="4"/>
  <c r="CH5" i="4"/>
  <c r="CH6" i="4"/>
  <c r="CH7" i="4"/>
  <c r="CH8" i="4"/>
  <c r="CH9" i="4"/>
  <c r="CH10" i="4"/>
  <c r="CH11" i="4"/>
  <c r="CH12" i="4"/>
  <c r="CH13" i="4"/>
  <c r="CH14" i="4"/>
  <c r="CH15" i="4"/>
  <c r="CH16" i="4"/>
  <c r="CH17" i="4"/>
  <c r="CH18" i="4"/>
  <c r="CH19" i="4"/>
  <c r="CH20" i="4"/>
  <c r="CH21" i="4"/>
  <c r="CH22" i="4"/>
  <c r="CH23" i="4"/>
  <c r="CH24" i="4"/>
  <c r="CH25" i="4"/>
  <c r="CH47" i="4"/>
  <c r="CH38" i="4"/>
  <c r="CH39" i="4"/>
  <c r="CH40" i="4"/>
  <c r="CH41" i="4"/>
  <c r="CH42" i="4"/>
  <c r="CH43" i="4"/>
  <c r="CH44" i="4"/>
  <c r="CH45" i="4"/>
  <c r="CH46" i="4"/>
  <c r="CH2" i="4"/>
  <c r="CA3" i="4"/>
  <c r="CA4" i="4"/>
  <c r="CA2" i="4"/>
  <c r="AZ47" i="4"/>
  <c r="BX47" i="4" s="1"/>
  <c r="BY47" i="4" s="1"/>
  <c r="BZ47" i="4" s="1"/>
  <c r="CA35" i="4"/>
  <c r="CA36" i="4"/>
  <c r="CA37" i="4"/>
  <c r="CA34" i="4"/>
  <c r="CA26" i="4"/>
  <c r="CA27" i="4"/>
  <c r="CA28" i="4"/>
  <c r="CA29" i="4"/>
  <c r="CA30" i="4"/>
  <c r="CA31" i="4"/>
  <c r="CA32" i="4"/>
  <c r="CA33" i="4"/>
  <c r="CA18" i="4"/>
  <c r="CA19" i="4"/>
  <c r="CA20" i="4"/>
  <c r="CA21" i="4"/>
  <c r="CA22" i="4"/>
  <c r="CA23" i="4"/>
  <c r="CA24" i="4"/>
  <c r="CA25" i="4"/>
  <c r="CA38" i="4"/>
  <c r="CA39" i="4"/>
  <c r="CA40" i="4"/>
  <c r="CA41" i="4"/>
  <c r="CA42" i="4"/>
  <c r="CA43" i="4"/>
  <c r="CA44" i="4"/>
  <c r="CA45" i="4"/>
  <c r="CA46" i="4"/>
  <c r="CA17" i="4"/>
  <c r="CA5" i="4"/>
  <c r="CA6" i="4"/>
  <c r="CA7" i="4"/>
  <c r="CA8" i="4"/>
  <c r="CA9" i="4"/>
  <c r="CA10" i="4"/>
  <c r="CA11" i="4"/>
  <c r="CA12" i="4"/>
  <c r="CA13" i="4"/>
  <c r="CA14" i="4"/>
  <c r="CA15" i="4"/>
  <c r="CA16" i="4"/>
  <c r="CA47" i="4"/>
  <c r="CE47" i="4" l="1"/>
  <c r="CF47" i="4" s="1"/>
  <c r="CG47" i="4" s="1"/>
  <c r="BA39" i="4"/>
  <c r="BA40" i="4"/>
  <c r="BA41" i="4"/>
  <c r="BA42" i="4"/>
  <c r="BA43" i="4"/>
  <c r="BA44" i="4"/>
  <c r="BA45" i="4"/>
  <c r="BA46" i="4"/>
  <c r="BA38" i="4"/>
  <c r="AZ39" i="4"/>
  <c r="AZ40" i="4"/>
  <c r="AZ41" i="4"/>
  <c r="AZ42" i="4"/>
  <c r="AZ43" i="4"/>
  <c r="AZ44" i="4"/>
  <c r="AZ45" i="4"/>
  <c r="AZ46" i="4"/>
  <c r="AZ38" i="4"/>
  <c r="BX44" i="4" l="1"/>
  <c r="BY44" i="4" s="1"/>
  <c r="BZ44" i="4" s="1"/>
  <c r="CE44" i="4"/>
  <c r="CF44" i="4" s="1"/>
  <c r="CG44" i="4" s="1"/>
  <c r="BX40" i="4"/>
  <c r="BY40" i="4" s="1"/>
  <c r="BZ40" i="4" s="1"/>
  <c r="CE40" i="4"/>
  <c r="CF40" i="4" s="1"/>
  <c r="CG40" i="4" s="1"/>
  <c r="BX38" i="4"/>
  <c r="BY38" i="4" s="1"/>
  <c r="BZ38" i="4" s="1"/>
  <c r="CE38" i="4"/>
  <c r="CF38" i="4" s="1"/>
  <c r="CG38" i="4" s="1"/>
  <c r="BX43" i="4"/>
  <c r="BY43" i="4" s="1"/>
  <c r="BZ43" i="4" s="1"/>
  <c r="CE43" i="4"/>
  <c r="CF43" i="4" s="1"/>
  <c r="CG43" i="4" s="1"/>
  <c r="BX39" i="4"/>
  <c r="BY39" i="4" s="1"/>
  <c r="BZ39" i="4" s="1"/>
  <c r="CE39" i="4"/>
  <c r="CF39" i="4" s="1"/>
  <c r="CG39" i="4" s="1"/>
  <c r="BX46" i="4"/>
  <c r="BY46" i="4" s="1"/>
  <c r="BZ46" i="4" s="1"/>
  <c r="CE46" i="4"/>
  <c r="CF46" i="4" s="1"/>
  <c r="CG46" i="4" s="1"/>
  <c r="BX42" i="4"/>
  <c r="BY42" i="4" s="1"/>
  <c r="BZ42" i="4" s="1"/>
  <c r="CE42" i="4"/>
  <c r="CF42" i="4" s="1"/>
  <c r="CG42" i="4" s="1"/>
  <c r="BX45" i="4"/>
  <c r="BY45" i="4" s="1"/>
  <c r="BZ45" i="4" s="1"/>
  <c r="CE45" i="4"/>
  <c r="CF45" i="4" s="1"/>
  <c r="CG45" i="4" s="1"/>
  <c r="BX41" i="4"/>
  <c r="BY41" i="4" s="1"/>
  <c r="BZ41" i="4" s="1"/>
  <c r="CE41" i="4"/>
  <c r="CF41" i="4" s="1"/>
  <c r="CG41" i="4" s="1"/>
  <c r="AZ27" i="4"/>
  <c r="BJ37" i="4"/>
  <c r="CH37" i="4" s="1"/>
  <c r="AZ37" i="4"/>
  <c r="BJ36" i="4"/>
  <c r="CH36" i="4" s="1"/>
  <c r="AZ36" i="4"/>
  <c r="BJ35" i="4"/>
  <c r="CH35" i="4" s="1"/>
  <c r="AZ35" i="4"/>
  <c r="BJ34" i="4"/>
  <c r="CH34" i="4" s="1"/>
  <c r="AZ34" i="4"/>
  <c r="BJ33" i="4"/>
  <c r="CH33" i="4" s="1"/>
  <c r="AZ33" i="4"/>
  <c r="BJ32" i="4"/>
  <c r="CH32" i="4" s="1"/>
  <c r="AZ32" i="4"/>
  <c r="BJ31" i="4"/>
  <c r="CH31" i="4" s="1"/>
  <c r="AZ31" i="4"/>
  <c r="BJ30" i="4"/>
  <c r="CH30" i="4" s="1"/>
  <c r="AZ30" i="4"/>
  <c r="BJ29" i="4"/>
  <c r="CH29" i="4" s="1"/>
  <c r="AZ29" i="4"/>
  <c r="BJ28" i="4"/>
  <c r="CH28" i="4" s="1"/>
  <c r="AZ28" i="4"/>
  <c r="BJ27" i="4"/>
  <c r="CH27" i="4" s="1"/>
  <c r="BJ26" i="4"/>
  <c r="CH26" i="4" s="1"/>
  <c r="AZ26" i="4"/>
  <c r="BX28" i="4" l="1"/>
  <c r="BY28" i="4" s="1"/>
  <c r="BZ28" i="4" s="1"/>
  <c r="CE28" i="4"/>
  <c r="CF28" i="4" s="1"/>
  <c r="CG28" i="4" s="1"/>
  <c r="BX30" i="4"/>
  <c r="BY30" i="4" s="1"/>
  <c r="BZ30" i="4" s="1"/>
  <c r="CE30" i="4"/>
  <c r="CF30" i="4" s="1"/>
  <c r="CG30" i="4" s="1"/>
  <c r="BX32" i="4"/>
  <c r="BY32" i="4" s="1"/>
  <c r="BZ32" i="4" s="1"/>
  <c r="CE32" i="4"/>
  <c r="CF32" i="4" s="1"/>
  <c r="CG32" i="4" s="1"/>
  <c r="BX34" i="4"/>
  <c r="BY34" i="4" s="1"/>
  <c r="BZ34" i="4" s="1"/>
  <c r="CE34" i="4"/>
  <c r="CF34" i="4" s="1"/>
  <c r="CG34" i="4" s="1"/>
  <c r="BX36" i="4"/>
  <c r="BY36" i="4" s="1"/>
  <c r="BZ36" i="4" s="1"/>
  <c r="CE36" i="4"/>
  <c r="CF36" i="4" s="1"/>
  <c r="CG36" i="4" s="1"/>
  <c r="BX27" i="4"/>
  <c r="BY27" i="4" s="1"/>
  <c r="BZ27" i="4" s="1"/>
  <c r="CE27" i="4"/>
  <c r="CF27" i="4" s="1"/>
  <c r="CG27" i="4" s="1"/>
  <c r="BX26" i="4"/>
  <c r="BY26" i="4" s="1"/>
  <c r="BZ26" i="4" s="1"/>
  <c r="CE26" i="4"/>
  <c r="CF26" i="4" s="1"/>
  <c r="CG26" i="4" s="1"/>
  <c r="BX29" i="4"/>
  <c r="BY29" i="4" s="1"/>
  <c r="BZ29" i="4" s="1"/>
  <c r="CE29" i="4"/>
  <c r="CF29" i="4" s="1"/>
  <c r="CG29" i="4" s="1"/>
  <c r="BX31" i="4"/>
  <c r="BY31" i="4" s="1"/>
  <c r="BZ31" i="4" s="1"/>
  <c r="CE31" i="4"/>
  <c r="CF31" i="4" s="1"/>
  <c r="CG31" i="4" s="1"/>
  <c r="BX33" i="4"/>
  <c r="BY33" i="4" s="1"/>
  <c r="BZ33" i="4" s="1"/>
  <c r="CE33" i="4"/>
  <c r="CF33" i="4" s="1"/>
  <c r="CG33" i="4" s="1"/>
  <c r="BX35" i="4"/>
  <c r="BY35" i="4" s="1"/>
  <c r="BZ35" i="4" s="1"/>
  <c r="CE35" i="4"/>
  <c r="CF35" i="4" s="1"/>
  <c r="CG35" i="4" s="1"/>
  <c r="BX37" i="4"/>
  <c r="BY37" i="4" s="1"/>
  <c r="BZ37" i="4" s="1"/>
  <c r="CE37" i="4"/>
  <c r="CF37" i="4" s="1"/>
  <c r="CG37" i="4" s="1"/>
  <c r="AZ25" i="4"/>
  <c r="AZ24" i="4"/>
  <c r="AZ23" i="4"/>
  <c r="AZ22" i="4"/>
  <c r="AZ21" i="4"/>
  <c r="AZ20" i="4"/>
  <c r="AZ19" i="4"/>
  <c r="AZ18" i="4"/>
  <c r="AZ17" i="4"/>
  <c r="BX18" i="4" l="1"/>
  <c r="BY18" i="4" s="1"/>
  <c r="BZ18" i="4" s="1"/>
  <c r="CE18" i="4"/>
  <c r="CF18" i="4" s="1"/>
  <c r="CG18" i="4" s="1"/>
  <c r="BX19" i="4"/>
  <c r="BY19" i="4" s="1"/>
  <c r="BZ19" i="4" s="1"/>
  <c r="CE19" i="4"/>
  <c r="CF19" i="4" s="1"/>
  <c r="CG19" i="4" s="1"/>
  <c r="BX23" i="4"/>
  <c r="BY23" i="4" s="1"/>
  <c r="BZ23" i="4" s="1"/>
  <c r="CE23" i="4"/>
  <c r="CF23" i="4" s="1"/>
  <c r="CG23" i="4" s="1"/>
  <c r="BX20" i="4"/>
  <c r="BY20" i="4" s="1"/>
  <c r="BZ20" i="4" s="1"/>
  <c r="CE20" i="4"/>
  <c r="CF20" i="4" s="1"/>
  <c r="CG20" i="4" s="1"/>
  <c r="BX24" i="4"/>
  <c r="BY24" i="4" s="1"/>
  <c r="BZ24" i="4" s="1"/>
  <c r="CE24" i="4"/>
  <c r="CF24" i="4" s="1"/>
  <c r="CG24" i="4" s="1"/>
  <c r="BX22" i="4"/>
  <c r="BY22" i="4" s="1"/>
  <c r="BZ22" i="4" s="1"/>
  <c r="CE22" i="4"/>
  <c r="CF22" i="4" s="1"/>
  <c r="CG22" i="4" s="1"/>
  <c r="BX17" i="4"/>
  <c r="BY17" i="4" s="1"/>
  <c r="BZ17" i="4" s="1"/>
  <c r="CE17" i="4"/>
  <c r="CF17" i="4" s="1"/>
  <c r="CG17" i="4" s="1"/>
  <c r="BX21" i="4"/>
  <c r="BY21" i="4" s="1"/>
  <c r="BZ21" i="4" s="1"/>
  <c r="CE21" i="4"/>
  <c r="CF21" i="4" s="1"/>
  <c r="CG21" i="4" s="1"/>
  <c r="BX25" i="4"/>
  <c r="BY25" i="4" s="1"/>
  <c r="BZ25" i="4" s="1"/>
  <c r="CE25" i="4"/>
  <c r="CF25" i="4" s="1"/>
  <c r="CG25" i="4" s="1"/>
  <c r="AZ16" i="4"/>
  <c r="AZ15" i="4"/>
  <c r="AZ14" i="4"/>
  <c r="AZ13" i="4"/>
  <c r="AZ12" i="4"/>
  <c r="AZ11" i="4"/>
  <c r="AZ10" i="4"/>
  <c r="AZ9" i="4"/>
  <c r="AZ8" i="4"/>
  <c r="AZ7" i="4"/>
  <c r="AZ6" i="4"/>
  <c r="AZ5" i="4"/>
  <c r="BX11" i="4" l="1"/>
  <c r="BY11" i="4" s="1"/>
  <c r="BZ11" i="4" s="1"/>
  <c r="CE11" i="4"/>
  <c r="CF11" i="4" s="1"/>
  <c r="CG11" i="4" s="1"/>
  <c r="BX15" i="4"/>
  <c r="BY15" i="4" s="1"/>
  <c r="BZ15" i="4" s="1"/>
  <c r="CE15" i="4"/>
  <c r="CF15" i="4" s="1"/>
  <c r="CG15" i="4" s="1"/>
  <c r="BX8" i="4"/>
  <c r="BY8" i="4" s="1"/>
  <c r="BZ8" i="4" s="1"/>
  <c r="CE8" i="4"/>
  <c r="CF8" i="4" s="1"/>
  <c r="CG8" i="4" s="1"/>
  <c r="BX9" i="4"/>
  <c r="BY9" i="4" s="1"/>
  <c r="BZ9" i="4" s="1"/>
  <c r="CE9" i="4"/>
  <c r="CF9" i="4" s="1"/>
  <c r="CG9" i="4" s="1"/>
  <c r="BX7" i="4"/>
  <c r="BY7" i="4" s="1"/>
  <c r="BZ7" i="4" s="1"/>
  <c r="CE7" i="4"/>
  <c r="CF7" i="4" s="1"/>
  <c r="CG7" i="4" s="1"/>
  <c r="BX12" i="4"/>
  <c r="BY12" i="4" s="1"/>
  <c r="BZ12" i="4" s="1"/>
  <c r="CE12" i="4"/>
  <c r="CF12" i="4" s="1"/>
  <c r="CG12" i="4" s="1"/>
  <c r="BX16" i="4"/>
  <c r="BY16" i="4" s="1"/>
  <c r="BZ16" i="4" s="1"/>
  <c r="CE16" i="4"/>
  <c r="CF16" i="4" s="1"/>
  <c r="CG16" i="4" s="1"/>
  <c r="BX5" i="4"/>
  <c r="BY5" i="4" s="1"/>
  <c r="BZ5" i="4" s="1"/>
  <c r="CE5" i="4"/>
  <c r="CF5" i="4" s="1"/>
  <c r="CG5" i="4" s="1"/>
  <c r="BX13" i="4"/>
  <c r="BY13" i="4" s="1"/>
  <c r="BZ13" i="4" s="1"/>
  <c r="CE13" i="4"/>
  <c r="CF13" i="4" s="1"/>
  <c r="CG13" i="4" s="1"/>
  <c r="BX6" i="4"/>
  <c r="BY6" i="4" s="1"/>
  <c r="BZ6" i="4" s="1"/>
  <c r="CE6" i="4"/>
  <c r="CF6" i="4" s="1"/>
  <c r="CG6" i="4" s="1"/>
  <c r="BX10" i="4"/>
  <c r="BY10" i="4" s="1"/>
  <c r="BZ10" i="4" s="1"/>
  <c r="CE10" i="4"/>
  <c r="CF10" i="4" s="1"/>
  <c r="CG10" i="4" s="1"/>
  <c r="BX14" i="4"/>
  <c r="BY14" i="4" s="1"/>
  <c r="BZ14" i="4" s="1"/>
  <c r="CE14" i="4"/>
  <c r="CF14" i="4" s="1"/>
  <c r="CG14"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<sst xmlns="http://schemas.openxmlformats.org/spreadsheetml/2006/main" count="3557" uniqueCount="596">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</sst>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1"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9"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24" fillId="0" borderId="0" xfId="0" applyFont="1"/>
    <xf numFmtId="0" fontId="7" fillId="0" borderId="0" xfId="0" applyFont="1"/>
    <xf numFmtId="0" fontId="28" fillId="0" borderId="0" xfId="0" applyFont="1"/>
    <xf numFmtId="167" fontId="24" fillId="0" borderId="0" xfId="0" applyNumberFormat="1" applyFont="1"/>
    <xf numFmtId="164" fontId="24" fillId="0" borderId="0" xfId="0" applyNumberFormat="1" applyFont="1"/>
    <xf numFmtId="0" fontId="30" fillId="0" borderId="0" xfId="0" applyFont="1"/>
    <xf numFmtId="170" fontId="24" fillId="0" borderId="0" xfId="0" applyNumberFormat="1" applyFont="1"/>
    <xf numFmtId="0" fontId="0" fillId="18" borderId="0" xfId="0" applyFill="1"/>
    <xf numFmtId="167" fontId="0" fillId="5" borderId="0" xfId="0" applyNumberFormat="1" applyFill="1"/>
    <xf numFmtId="0" fontId="24" fillId="15" borderId="0" xfId="0" applyFont="1"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1" fillId="0" borderId="0" xfId="2" applyAlignment="1"/>
    <xf numFmtId="0" fontId="0" fillId="0" borderId="0" xfId="0" pivotButton="1"/>
    <xf numFmtId="0" fontId="0" fillId="0" borderId="0" xfId="0" applyAlignment="1">
      <alignment horizontal="left"/>
    </xf>
    <xf numFmtId="0" fontId="32" fillId="0" borderId="0" xfId="0" applyFont="1"/>
    <xf numFmtId="171" fontId="32" fillId="0" borderId="0" xfId="0" applyNumberFormat="1" applyFont="1"/>
    <xf numFmtId="164" fontId="32" fillId="0" borderId="0" xfId="0" applyNumberFormat="1" applyFont="1"/>
    <xf numFmtId="2" fontId="32" fillId="0" borderId="0" xfId="0" applyNumberFormat="1" applyFont="1"/>
    <xf numFmtId="1" fontId="32" fillId="0" borderId="0" xfId="0" applyNumberFormat="1" applyFont="1"/>
    <xf numFmtId="0" fontId="32" fillId="15" borderId="0" xfId="0" applyFont="1" applyFill="1"/>
    <xf numFmtId="170" fontId="32" fillId="0" borderId="0" xfId="0" applyNumberFormat="1" applyFont="1"/>
    <xf numFmtId="170" fontId="32" fillId="15" borderId="0" xfId="0" applyNumberFormat="1" applyFont="1" applyFill="1"/>
    <xf numFmtId="0" fontId="32" fillId="7" borderId="0" xfId="0" applyFont="1" applyFill="1"/>
    <xf numFmtId="0" fontId="33" fillId="19" borderId="0" xfId="0" applyFont="1" applyFill="1"/>
    <xf numFmtId="0" fontId="34" fillId="0" borderId="0" xfId="0"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61"/>
  <sheetViews>
    <sheetView tabSelected="1" zoomScale="75" zoomScaleNormal="93" workbookViewId="0">
      <pane xSplit="1" ySplit="1" topLeftCell="H2" activePane="bottomRight" state="frozen"/>
      <selection pane="topRight" activeCell="B1" sqref="B1"/>
      <selection pane="bottomLeft" activeCell="A2" sqref="A2"/>
      <selection pane="bottomRight" activeCell="Q1" sqref="Q1:Q1048576"/>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20"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18</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104">
        <v>3.3000000000000002E-2</v>
      </c>
      <c r="AV2" s="105" t="s">
        <v>80</v>
      </c>
      <c r="AW2" s="18">
        <v>1.7000000000000001E-2</v>
      </c>
      <c r="AX2" s="18">
        <v>0.05</v>
      </c>
      <c r="AY2" s="18">
        <v>1</v>
      </c>
      <c r="AZ2" s="18">
        <f>AU2/AW2</f>
        <v>1.9411764705882353</v>
      </c>
      <c r="BA2" s="11" t="s">
        <v>73</v>
      </c>
      <c r="BB2" s="11"/>
      <c r="BC2" s="11" t="s">
        <v>73</v>
      </c>
      <c r="BD2" s="11" t="s">
        <v>73</v>
      </c>
      <c r="BE2" s="11" t="s">
        <v>73</v>
      </c>
      <c r="BF2" s="11" t="s">
        <v>73</v>
      </c>
      <c r="BG2" s="11" t="s">
        <v>73</v>
      </c>
      <c r="BH2" s="11" t="s">
        <v>73</v>
      </c>
      <c r="BI2" s="95">
        <v>1128</v>
      </c>
      <c r="BJ2" s="95">
        <v>1128</v>
      </c>
      <c r="BK2" s="11" t="s">
        <v>73</v>
      </c>
      <c r="BL2" s="11" t="s">
        <v>73</v>
      </c>
      <c r="BM2" s="11" t="s">
        <v>73</v>
      </c>
      <c r="BN2" s="11" t="s">
        <v>73</v>
      </c>
      <c r="BO2" s="11" t="s">
        <v>73</v>
      </c>
      <c r="BP2" s="11" t="s">
        <v>73</v>
      </c>
      <c r="BQ2" s="11" t="s">
        <v>73</v>
      </c>
      <c r="BR2" s="11" t="s">
        <v>73</v>
      </c>
      <c r="BS2" s="11" t="s">
        <v>73</v>
      </c>
      <c r="BT2" s="11" t="s">
        <v>73</v>
      </c>
      <c r="BU2" s="18">
        <v>1</v>
      </c>
      <c r="BV2" s="18">
        <v>1</v>
      </c>
      <c r="BW2" s="18">
        <v>1</v>
      </c>
      <c r="BX2" s="100">
        <f>((AZ2^2)/(AZ2^2+BJ2))^(1/2)</f>
        <v>5.7701390824540712E-2</v>
      </c>
      <c r="BY2" s="30">
        <f>0.5*LN((1+BX2)/(1-BX2))</f>
        <v>5.7765557031227328E-2</v>
      </c>
      <c r="BZ2" s="30">
        <f>((1-(BY2^2)^2)/(BJ2-1))</f>
        <v>8.8730156643136563E-4</v>
      </c>
      <c r="CA2" s="30">
        <f>1/(BJ2-3)</f>
        <v>8.8888888888888893E-4</v>
      </c>
      <c r="CE2" s="30">
        <f>((AZ2^2)/(AZ2^2+BJ2))^(1/2)</f>
        <v>5.7701390824540712E-2</v>
      </c>
      <c r="CF2" s="30">
        <f>0.5*LN((1+CE2)/(1-CE2))</f>
        <v>5.7765557031227328E-2</v>
      </c>
      <c r="CG2" s="30">
        <f>((1-(CF2^2)^2)/(BJ2-1))</f>
        <v>8.8730156643136563E-4</v>
      </c>
      <c r="CH2" s="30">
        <f>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104">
        <v>0.107</v>
      </c>
      <c r="AV3" s="105" t="s">
        <v>80</v>
      </c>
      <c r="AW3" s="18">
        <v>0.124</v>
      </c>
      <c r="AX3" s="18">
        <v>0.1</v>
      </c>
      <c r="AY3" s="18">
        <v>2</v>
      </c>
      <c r="AZ3" s="18">
        <f>AU3/AW3</f>
        <v>0.86290322580645162</v>
      </c>
      <c r="BA3" s="11" t="s">
        <v>73</v>
      </c>
      <c r="BB3" s="11"/>
      <c r="BC3" s="11" t="s">
        <v>73</v>
      </c>
      <c r="BD3" s="11" t="s">
        <v>73</v>
      </c>
      <c r="BE3" s="11" t="s">
        <v>73</v>
      </c>
      <c r="BF3" s="11" t="s">
        <v>73</v>
      </c>
      <c r="BG3" s="11" t="s">
        <v>73</v>
      </c>
      <c r="BH3" s="11" t="s">
        <v>73</v>
      </c>
      <c r="BI3" s="95">
        <v>1104</v>
      </c>
      <c r="BJ3" s="95">
        <v>1104</v>
      </c>
      <c r="BK3" s="11" t="s">
        <v>73</v>
      </c>
      <c r="BL3" s="11" t="s">
        <v>73</v>
      </c>
      <c r="BM3" s="11" t="s">
        <v>73</v>
      </c>
      <c r="BN3" s="11" t="s">
        <v>73</v>
      </c>
      <c r="BO3" s="11" t="s">
        <v>73</v>
      </c>
      <c r="BP3" s="11" t="s">
        <v>73</v>
      </c>
      <c r="BQ3" s="11" t="s">
        <v>73</v>
      </c>
      <c r="BR3" s="11" t="s">
        <v>73</v>
      </c>
      <c r="BS3" s="11" t="s">
        <v>73</v>
      </c>
      <c r="BT3" s="11" t="s">
        <v>73</v>
      </c>
      <c r="BU3" s="18">
        <v>1</v>
      </c>
      <c r="BV3" s="18">
        <v>1</v>
      </c>
      <c r="BW3" s="18">
        <v>1</v>
      </c>
      <c r="BX3" s="100">
        <f>((AZ3^2)/(AZ3^2+BJ3))^(1/2)</f>
        <v>2.5961581715718191E-2</v>
      </c>
      <c r="BY3" s="30">
        <f>0.5*LN((1+BX3)/(1-BX3))</f>
        <v>2.5967416809887796E-2</v>
      </c>
      <c r="BZ3" s="30">
        <f>((1-(BY3^2)^2)/(BJ3-1))</f>
        <v>9.0661790146004178E-4</v>
      </c>
      <c r="CA3" s="30">
        <f>1/(BJ3-3)</f>
        <v>9.0826521344232513E-4</v>
      </c>
      <c r="CE3" s="30">
        <f>((AZ3^2)/(AZ3^2+BJ3))^(1/2)</f>
        <v>2.5961581715718191E-2</v>
      </c>
      <c r="CF3" s="30">
        <f>0.5*LN((1+CE3)/(1-CE3))</f>
        <v>2.5967416809887796E-2</v>
      </c>
      <c r="CG3" s="30">
        <f>((1-(CF3^2)^2)/(BJ3-1))</f>
        <v>9.0661790146004178E-4</v>
      </c>
      <c r="CH3" s="30">
        <f>1/(BJ3-3)</f>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104">
        <v>6.6000000000000003E-2</v>
      </c>
      <c r="AV4" s="105" t="s">
        <v>80</v>
      </c>
      <c r="AW4" s="18">
        <v>3.1E-2</v>
      </c>
      <c r="AX4" s="18">
        <v>0.05</v>
      </c>
      <c r="AY4" s="18">
        <v>1</v>
      </c>
      <c r="AZ4" s="18">
        <f>AU4/AW4</f>
        <v>2.1290322580645165</v>
      </c>
      <c r="BA4" s="11" t="s">
        <v>73</v>
      </c>
      <c r="BB4" s="11"/>
      <c r="BC4" s="11" t="s">
        <v>73</v>
      </c>
      <c r="BD4" s="11" t="s">
        <v>73</v>
      </c>
      <c r="BE4" s="11" t="s">
        <v>73</v>
      </c>
      <c r="BF4" s="11" t="s">
        <v>73</v>
      </c>
      <c r="BG4" s="11" t="s">
        <v>73</v>
      </c>
      <c r="BH4" s="11" t="s">
        <v>73</v>
      </c>
      <c r="BI4" s="95">
        <v>1128</v>
      </c>
      <c r="BJ4" s="95">
        <v>1128</v>
      </c>
      <c r="BK4" s="11" t="s">
        <v>73</v>
      </c>
      <c r="BL4" s="11" t="s">
        <v>73</v>
      </c>
      <c r="BM4" s="11" t="s">
        <v>73</v>
      </c>
      <c r="BN4" s="11" t="s">
        <v>73</v>
      </c>
      <c r="BO4" s="11" t="s">
        <v>73</v>
      </c>
      <c r="BP4" s="11" t="s">
        <v>73</v>
      </c>
      <c r="BQ4" s="11" t="s">
        <v>73</v>
      </c>
      <c r="BR4" s="11" t="s">
        <v>73</v>
      </c>
      <c r="BS4" s="11" t="s">
        <v>73</v>
      </c>
      <c r="BT4" s="11" t="s">
        <v>73</v>
      </c>
      <c r="BU4" s="18">
        <v>1</v>
      </c>
      <c r="BV4" s="18">
        <v>1</v>
      </c>
      <c r="BW4" s="18">
        <v>1</v>
      </c>
      <c r="BX4" s="100">
        <f>((AZ4^2)/(AZ4^2+BJ4))^(1/2)</f>
        <v>6.3264029695226501E-2</v>
      </c>
      <c r="BY4" s="30">
        <f>0.5*LN((1+BX4)/(1-BX4))</f>
        <v>6.3348634289863148E-2</v>
      </c>
      <c r="BZ4" s="30">
        <f>((1-(BY4^2)^2)/(BJ4-1))</f>
        <v>8.8729715655189016E-4</v>
      </c>
      <c r="CA4" s="30">
        <f>1/(BJ4-3)</f>
        <v>8.8888888888888893E-4</v>
      </c>
      <c r="CE4" s="30">
        <f>((AZ4^2)/(AZ4^2+BJ4))^(1/2)</f>
        <v>6.3264029695226501E-2</v>
      </c>
      <c r="CF4" s="30">
        <f>0.5*LN((1+CE4)/(1-CE4))</f>
        <v>6.3348634289863148E-2</v>
      </c>
      <c r="CG4" s="30">
        <f>((1-(CF4^2)^2)/(BJ4-1))</f>
        <v>8.8729715655189016E-4</v>
      </c>
      <c r="CH4" s="30">
        <f>1/(BJ4-3)</f>
        <v>8.8888888888888893E-4</v>
      </c>
    </row>
    <row r="5" spans="1:86" ht="18" customHeight="1">
      <c r="A5" s="11" t="s">
        <v>68</v>
      </c>
      <c r="B5" s="11"/>
      <c r="C5" s="11">
        <v>1073</v>
      </c>
      <c r="D5">
        <v>114</v>
      </c>
      <c r="E5" t="s">
        <v>237</v>
      </c>
      <c r="F5" s="11">
        <v>2014</v>
      </c>
      <c r="G5" t="s">
        <v>238</v>
      </c>
      <c r="H5" s="94" t="s">
        <v>239</v>
      </c>
      <c r="I5">
        <v>2</v>
      </c>
      <c r="J5" t="s">
        <v>225</v>
      </c>
      <c r="K5" s="10" t="s">
        <v>73</v>
      </c>
      <c r="L5">
        <v>489</v>
      </c>
      <c r="M5" s="18" t="s">
        <v>155</v>
      </c>
      <c r="N5" t="s">
        <v>112</v>
      </c>
      <c r="O5" t="s">
        <v>81</v>
      </c>
      <c r="P5" s="18" t="s">
        <v>227</v>
      </c>
      <c r="Q5" t="s">
        <v>228</v>
      </c>
      <c r="R5" t="s">
        <v>229</v>
      </c>
      <c r="S5">
        <v>0</v>
      </c>
      <c r="T5" t="s">
        <v>189</v>
      </c>
      <c r="U5">
        <v>0</v>
      </c>
      <c r="V5" s="18" t="s">
        <v>231</v>
      </c>
      <c r="W5" s="18" t="s">
        <v>231</v>
      </c>
      <c r="X5" s="18" t="s">
        <v>73</v>
      </c>
      <c r="Y5">
        <v>0</v>
      </c>
      <c r="Z5">
        <v>0</v>
      </c>
      <c r="AA5">
        <v>0</v>
      </c>
      <c r="AB5">
        <v>1</v>
      </c>
      <c r="AC5">
        <v>0</v>
      </c>
      <c r="AD5">
        <v>0</v>
      </c>
      <c r="AE5">
        <v>0</v>
      </c>
      <c r="AF5">
        <v>0</v>
      </c>
      <c r="AG5" t="s">
        <v>73</v>
      </c>
      <c r="AH5">
        <v>1</v>
      </c>
      <c r="AI5">
        <v>0</v>
      </c>
      <c r="AJ5">
        <v>0</v>
      </c>
      <c r="AK5">
        <v>0</v>
      </c>
      <c r="AL5">
        <v>0</v>
      </c>
      <c r="AM5">
        <v>0</v>
      </c>
      <c r="AN5" s="32">
        <v>0</v>
      </c>
      <c r="AO5">
        <v>0</v>
      </c>
      <c r="AP5">
        <v>0</v>
      </c>
      <c r="AQ5" t="s">
        <v>73</v>
      </c>
      <c r="AR5" t="s">
        <v>233</v>
      </c>
      <c r="AS5" s="96" t="s">
        <v>240</v>
      </c>
      <c r="AT5" t="s">
        <v>241</v>
      </c>
      <c r="AU5" s="97">
        <v>1.181</v>
      </c>
      <c r="AV5" s="96" t="s">
        <v>80</v>
      </c>
      <c r="AW5" s="94">
        <v>0.161</v>
      </c>
      <c r="AX5" s="94">
        <v>0.01</v>
      </c>
      <c r="AY5" s="94">
        <v>1</v>
      </c>
      <c r="AZ5" s="94">
        <f>AU5/AW5</f>
        <v>7.3354037267080745</v>
      </c>
      <c r="BA5" s="18" t="s">
        <v>73</v>
      </c>
      <c r="BB5" s="18"/>
      <c r="BC5" s="18" t="s">
        <v>73</v>
      </c>
      <c r="BD5" s="18" t="s">
        <v>73</v>
      </c>
      <c r="BE5" s="18" t="s">
        <v>73</v>
      </c>
      <c r="BF5" s="18" t="s">
        <v>73</v>
      </c>
      <c r="BG5" s="18" t="s">
        <v>73</v>
      </c>
      <c r="BH5" s="18" t="s">
        <v>73</v>
      </c>
      <c r="BI5">
        <v>1200</v>
      </c>
      <c r="BJ5">
        <v>1200</v>
      </c>
      <c r="BK5" s="18" t="s">
        <v>73</v>
      </c>
      <c r="BL5" s="18" t="s">
        <v>73</v>
      </c>
      <c r="BM5">
        <v>68.653999999999996</v>
      </c>
      <c r="BN5" t="s">
        <v>73</v>
      </c>
      <c r="BO5" s="18" t="s">
        <v>242</v>
      </c>
      <c r="BP5" s="18" t="s">
        <v>73</v>
      </c>
      <c r="BQ5" s="18" t="s">
        <v>73</v>
      </c>
      <c r="BR5" s="18" t="s">
        <v>73</v>
      </c>
      <c r="BS5" s="18" t="s">
        <v>73</v>
      </c>
      <c r="BT5" s="18" t="s">
        <v>73</v>
      </c>
      <c r="BU5">
        <v>0</v>
      </c>
      <c r="BV5">
        <v>0</v>
      </c>
      <c r="BW5">
        <v>1</v>
      </c>
      <c r="BX5" s="100">
        <f>((AZ5^2)/(AZ5^2+BI5))^(1/2)</f>
        <v>0.20716122845709467</v>
      </c>
      <c r="BY5" s="30">
        <f>0.5*LN((1+BX5)/(1-BX5))</f>
        <v>0.21020345181527472</v>
      </c>
      <c r="BZ5" s="30">
        <f>((1-(BY5^2)^2)/(BI5-1))</f>
        <v>8.3240003533893779E-4</v>
      </c>
      <c r="CA5" s="30">
        <f>1/(BI5-3)</f>
        <v>8.3542188805346695E-4</v>
      </c>
      <c r="CE5" s="30">
        <f>((AZ5^2)/(AZ5^2+BJ5))^(1/2)</f>
        <v>0.20716122845709467</v>
      </c>
      <c r="CF5" s="30">
        <f>0.5*LN((1+CE5)/(1-CE5))</f>
        <v>0.21020345181527472</v>
      </c>
      <c r="CG5" s="30">
        <f>((1-(CF5^2)^2)/(BJ5-1))</f>
        <v>8.3240003533893779E-4</v>
      </c>
      <c r="CH5" s="30">
        <f>1/(BJ5-3)</f>
        <v>8.3542188805346695E-4</v>
      </c>
    </row>
    <row r="6" spans="1:86" ht="18" customHeight="1">
      <c r="A6" s="11" t="s">
        <v>68</v>
      </c>
      <c r="B6" s="11"/>
      <c r="C6" s="11">
        <v>1074</v>
      </c>
      <c r="D6">
        <v>114</v>
      </c>
      <c r="E6" t="s">
        <v>237</v>
      </c>
      <c r="F6" s="11">
        <v>2014</v>
      </c>
      <c r="G6" t="s">
        <v>238</v>
      </c>
      <c r="H6" s="94" t="s">
        <v>239</v>
      </c>
      <c r="I6">
        <v>2</v>
      </c>
      <c r="J6" t="s">
        <v>225</v>
      </c>
      <c r="K6" s="10" t="s">
        <v>73</v>
      </c>
      <c r="L6">
        <v>489</v>
      </c>
      <c r="M6" s="18" t="s">
        <v>155</v>
      </c>
      <c r="N6" t="s">
        <v>112</v>
      </c>
      <c r="O6" t="s">
        <v>81</v>
      </c>
      <c r="P6" s="18" t="s">
        <v>227</v>
      </c>
      <c r="Q6" t="s">
        <v>228</v>
      </c>
      <c r="R6" t="s">
        <v>229</v>
      </c>
      <c r="S6">
        <v>0</v>
      </c>
      <c r="T6" t="s">
        <v>189</v>
      </c>
      <c r="U6">
        <v>0</v>
      </c>
      <c r="V6" s="18" t="s">
        <v>231</v>
      </c>
      <c r="W6" s="18" t="s">
        <v>231</v>
      </c>
      <c r="X6" s="18" t="s">
        <v>73</v>
      </c>
      <c r="Y6">
        <v>0</v>
      </c>
      <c r="Z6">
        <v>0</v>
      </c>
      <c r="AA6">
        <v>0</v>
      </c>
      <c r="AB6">
        <v>1</v>
      </c>
      <c r="AC6">
        <v>0</v>
      </c>
      <c r="AD6">
        <v>0</v>
      </c>
      <c r="AE6">
        <v>0</v>
      </c>
      <c r="AF6">
        <v>0</v>
      </c>
      <c r="AG6" t="s">
        <v>73</v>
      </c>
      <c r="AH6">
        <v>1</v>
      </c>
      <c r="AI6">
        <v>0</v>
      </c>
      <c r="AJ6">
        <v>0</v>
      </c>
      <c r="AK6">
        <v>0</v>
      </c>
      <c r="AL6">
        <v>0</v>
      </c>
      <c r="AM6">
        <v>0</v>
      </c>
      <c r="AN6" s="32">
        <v>0</v>
      </c>
      <c r="AO6">
        <v>0</v>
      </c>
      <c r="AP6">
        <v>0</v>
      </c>
      <c r="AQ6" t="s">
        <v>73</v>
      </c>
      <c r="AR6" t="s">
        <v>233</v>
      </c>
      <c r="AS6" s="96" t="s">
        <v>240</v>
      </c>
      <c r="AT6" t="s">
        <v>241</v>
      </c>
      <c r="AU6" s="97">
        <v>1.1559999999999999</v>
      </c>
      <c r="AV6" s="96" t="s">
        <v>80</v>
      </c>
      <c r="AW6" s="94">
        <v>0.16500000000000001</v>
      </c>
      <c r="AX6" s="94">
        <v>0.01</v>
      </c>
      <c r="AY6" s="94">
        <v>1</v>
      </c>
      <c r="AZ6" s="94">
        <f>AU6/AW6</f>
        <v>7.006060606060605</v>
      </c>
      <c r="BA6" s="18" t="s">
        <v>73</v>
      </c>
      <c r="BB6" s="18"/>
      <c r="BC6" s="18" t="s">
        <v>73</v>
      </c>
      <c r="BD6" s="18" t="s">
        <v>73</v>
      </c>
      <c r="BE6" s="18" t="s">
        <v>73</v>
      </c>
      <c r="BF6" s="18" t="s">
        <v>73</v>
      </c>
      <c r="BG6" s="18" t="s">
        <v>73</v>
      </c>
      <c r="BH6" s="18" t="s">
        <v>73</v>
      </c>
      <c r="BI6">
        <v>1200</v>
      </c>
      <c r="BJ6">
        <v>1200</v>
      </c>
      <c r="BK6" s="18" t="s">
        <v>73</v>
      </c>
      <c r="BL6" s="18" t="s">
        <v>73</v>
      </c>
      <c r="BM6">
        <v>68.653999999999996</v>
      </c>
      <c r="BN6" t="s">
        <v>73</v>
      </c>
      <c r="BO6" s="18" t="s">
        <v>242</v>
      </c>
      <c r="BP6" s="18" t="s">
        <v>73</v>
      </c>
      <c r="BQ6" s="18" t="s">
        <v>73</v>
      </c>
      <c r="BR6" s="18" t="s">
        <v>73</v>
      </c>
      <c r="BS6" s="18" t="s">
        <v>73</v>
      </c>
      <c r="BT6" s="18" t="s">
        <v>73</v>
      </c>
      <c r="BU6">
        <v>0</v>
      </c>
      <c r="BV6">
        <v>0</v>
      </c>
      <c r="BW6">
        <v>1</v>
      </c>
      <c r="BX6" s="100">
        <f>((AZ6^2)/(AZ6^2+BI6))^(1/2)</f>
        <v>0.19823389455053378</v>
      </c>
      <c r="BY6" s="30">
        <f>0.5*LN((1+BX6)/(1-BX6))</f>
        <v>0.20089353544961</v>
      </c>
      <c r="BZ6" s="30">
        <f>((1-(BY6^2)^2)/(BI6-1))</f>
        <v>8.3266990381727121E-4</v>
      </c>
      <c r="CA6" s="30">
        <f>1/(BI6-3)</f>
        <v>8.3542188805346695E-4</v>
      </c>
      <c r="CE6" s="30">
        <f>((AZ6^2)/(AZ6^2+BJ6))^(1/2)</f>
        <v>0.19823389455053378</v>
      </c>
      <c r="CF6" s="30">
        <f>0.5*LN((1+CE6)/(1-CE6))</f>
        <v>0.20089353544961</v>
      </c>
      <c r="CG6" s="30">
        <f>((1-(CF6^2)^2)/(BJ6-1))</f>
        <v>8.3266990381727121E-4</v>
      </c>
      <c r="CH6" s="30">
        <f>1/(BJ6-3)</f>
        <v>8.3542188805346695E-4</v>
      </c>
    </row>
    <row r="7" spans="1:86" ht="15.6">
      <c r="A7" s="11" t="s">
        <v>68</v>
      </c>
      <c r="B7" s="11"/>
      <c r="C7" s="11">
        <v>1075</v>
      </c>
      <c r="D7">
        <v>114</v>
      </c>
      <c r="E7" t="s">
        <v>237</v>
      </c>
      <c r="F7" s="11">
        <v>2014</v>
      </c>
      <c r="G7" t="s">
        <v>238</v>
      </c>
      <c r="H7" s="94" t="s">
        <v>239</v>
      </c>
      <c r="I7">
        <v>2</v>
      </c>
      <c r="J7" t="s">
        <v>225</v>
      </c>
      <c r="K7" s="10" t="s">
        <v>73</v>
      </c>
      <c r="L7">
        <v>489</v>
      </c>
      <c r="M7" s="18" t="s">
        <v>155</v>
      </c>
      <c r="N7" t="s">
        <v>112</v>
      </c>
      <c r="O7" t="s">
        <v>81</v>
      </c>
      <c r="P7" s="18" t="s">
        <v>227</v>
      </c>
      <c r="Q7" t="s">
        <v>228</v>
      </c>
      <c r="R7" t="s">
        <v>229</v>
      </c>
      <c r="S7">
        <v>0</v>
      </c>
      <c r="T7" t="s">
        <v>189</v>
      </c>
      <c r="U7">
        <v>0</v>
      </c>
      <c r="V7" s="18" t="s">
        <v>231</v>
      </c>
      <c r="W7" s="18" t="s">
        <v>231</v>
      </c>
      <c r="X7" s="18" t="s">
        <v>73</v>
      </c>
      <c r="Y7">
        <v>0</v>
      </c>
      <c r="Z7">
        <v>0</v>
      </c>
      <c r="AA7">
        <v>0</v>
      </c>
      <c r="AB7">
        <v>1</v>
      </c>
      <c r="AC7">
        <v>0</v>
      </c>
      <c r="AD7">
        <v>0</v>
      </c>
      <c r="AE7">
        <v>0</v>
      </c>
      <c r="AF7">
        <v>0</v>
      </c>
      <c r="AG7" t="s">
        <v>73</v>
      </c>
      <c r="AH7">
        <v>1</v>
      </c>
      <c r="AI7">
        <v>0</v>
      </c>
      <c r="AJ7">
        <v>0</v>
      </c>
      <c r="AK7">
        <v>0</v>
      </c>
      <c r="AL7">
        <v>0</v>
      </c>
      <c r="AM7">
        <v>0</v>
      </c>
      <c r="AN7" s="32">
        <v>0</v>
      </c>
      <c r="AO7">
        <v>0</v>
      </c>
      <c r="AP7">
        <v>0</v>
      </c>
      <c r="AQ7" t="s">
        <v>73</v>
      </c>
      <c r="AR7" t="s">
        <v>233</v>
      </c>
      <c r="AS7" s="96" t="s">
        <v>240</v>
      </c>
      <c r="AT7" t="s">
        <v>241</v>
      </c>
      <c r="AU7" s="97">
        <v>0.23599999999999999</v>
      </c>
      <c r="AV7" s="96" t="s">
        <v>80</v>
      </c>
      <c r="AW7" s="94">
        <v>7.6999999999999999E-2</v>
      </c>
      <c r="AX7" s="94">
        <v>0.01</v>
      </c>
      <c r="AY7" s="94">
        <v>1</v>
      </c>
      <c r="AZ7" s="94">
        <f>AU7/AW7</f>
        <v>3.0649350649350646</v>
      </c>
      <c r="BA7" s="18" t="s">
        <v>73</v>
      </c>
      <c r="BB7" s="18"/>
      <c r="BC7" s="18" t="s">
        <v>73</v>
      </c>
      <c r="BD7" s="18" t="s">
        <v>73</v>
      </c>
      <c r="BE7" s="18" t="s">
        <v>73</v>
      </c>
      <c r="BF7" s="18" t="s">
        <v>73</v>
      </c>
      <c r="BG7" s="18" t="s">
        <v>73</v>
      </c>
      <c r="BH7" s="18" t="s">
        <v>73</v>
      </c>
      <c r="BI7">
        <v>1200</v>
      </c>
      <c r="BJ7">
        <v>1200</v>
      </c>
      <c r="BK7" s="18" t="s">
        <v>73</v>
      </c>
      <c r="BL7" s="18" t="s">
        <v>73</v>
      </c>
      <c r="BM7">
        <v>68.653999999999996</v>
      </c>
      <c r="BN7" t="s">
        <v>73</v>
      </c>
      <c r="BO7" s="18" t="s">
        <v>242</v>
      </c>
      <c r="BP7" s="18" t="s">
        <v>73</v>
      </c>
      <c r="BQ7" s="18" t="s">
        <v>73</v>
      </c>
      <c r="BR7" s="18" t="s">
        <v>73</v>
      </c>
      <c r="BS7" s="18" t="s">
        <v>73</v>
      </c>
      <c r="BT7" s="18" t="s">
        <v>73</v>
      </c>
      <c r="BU7">
        <v>0</v>
      </c>
      <c r="BV7">
        <v>0</v>
      </c>
      <c r="BW7">
        <v>1</v>
      </c>
      <c r="BX7" s="100">
        <f>((AZ7^2)/(AZ7^2+BI7))^(1/2)</f>
        <v>8.8132766729768969E-2</v>
      </c>
      <c r="BY7" s="30">
        <f>0.5*LN((1+BX7)/(1-BX7))</f>
        <v>8.8362023146500421E-2</v>
      </c>
      <c r="BZ7" s="30">
        <f>((1-(BY7^2)^2)/(BI7-1))</f>
        <v>8.3397751252971112E-4</v>
      </c>
      <c r="CA7" s="30">
        <f>1/(BI7-3)</f>
        <v>8.3542188805346695E-4</v>
      </c>
      <c r="CE7" s="30">
        <f>((AZ7^2)/(AZ7^2+BJ7))^(1/2)</f>
        <v>8.8132766729768969E-2</v>
      </c>
      <c r="CF7" s="30">
        <f>0.5*LN((1+CE7)/(1-CE7))</f>
        <v>8.8362023146500421E-2</v>
      </c>
      <c r="CG7" s="30">
        <f>((1-(CF7^2)^2)/(BJ7-1))</f>
        <v>8.3397751252971112E-4</v>
      </c>
      <c r="CH7" s="30">
        <f>1/(BJ7-3)</f>
        <v>8.3542188805346695E-4</v>
      </c>
    </row>
    <row r="8" spans="1:86" ht="15.6">
      <c r="A8" s="11" t="s">
        <v>68</v>
      </c>
      <c r="B8" s="11"/>
      <c r="C8" s="11">
        <v>1076</v>
      </c>
      <c r="D8">
        <v>114</v>
      </c>
      <c r="E8" t="s">
        <v>237</v>
      </c>
      <c r="F8" s="11">
        <v>2014</v>
      </c>
      <c r="G8" t="s">
        <v>238</v>
      </c>
      <c r="H8" s="94" t="s">
        <v>239</v>
      </c>
      <c r="I8">
        <v>2</v>
      </c>
      <c r="J8" t="s">
        <v>225</v>
      </c>
      <c r="K8" s="10" t="s">
        <v>73</v>
      </c>
      <c r="L8">
        <v>489</v>
      </c>
      <c r="M8" s="18" t="s">
        <v>155</v>
      </c>
      <c r="N8" t="s">
        <v>112</v>
      </c>
      <c r="O8" t="s">
        <v>81</v>
      </c>
      <c r="P8" s="18" t="s">
        <v>227</v>
      </c>
      <c r="Q8" t="s">
        <v>228</v>
      </c>
      <c r="R8" t="s">
        <v>229</v>
      </c>
      <c r="S8">
        <v>0</v>
      </c>
      <c r="T8" t="s">
        <v>189</v>
      </c>
      <c r="U8">
        <v>0</v>
      </c>
      <c r="V8" s="18" t="s">
        <v>231</v>
      </c>
      <c r="W8" s="18" t="s">
        <v>231</v>
      </c>
      <c r="X8" s="18" t="s">
        <v>73</v>
      </c>
      <c r="Y8">
        <v>0</v>
      </c>
      <c r="Z8">
        <v>0</v>
      </c>
      <c r="AA8">
        <v>0</v>
      </c>
      <c r="AB8">
        <v>1</v>
      </c>
      <c r="AC8">
        <v>0</v>
      </c>
      <c r="AD8">
        <v>0</v>
      </c>
      <c r="AE8">
        <v>0</v>
      </c>
      <c r="AF8">
        <v>0</v>
      </c>
      <c r="AG8" t="s">
        <v>73</v>
      </c>
      <c r="AH8">
        <v>1</v>
      </c>
      <c r="AI8">
        <v>0</v>
      </c>
      <c r="AJ8">
        <v>0</v>
      </c>
      <c r="AK8">
        <v>0</v>
      </c>
      <c r="AL8">
        <v>0</v>
      </c>
      <c r="AM8">
        <v>0</v>
      </c>
      <c r="AN8" s="32">
        <v>0</v>
      </c>
      <c r="AO8">
        <v>0</v>
      </c>
      <c r="AP8">
        <v>0</v>
      </c>
      <c r="AQ8" t="s">
        <v>73</v>
      </c>
      <c r="AR8" t="s">
        <v>233</v>
      </c>
      <c r="AS8" s="96" t="s">
        <v>240</v>
      </c>
      <c r="AT8" t="s">
        <v>241</v>
      </c>
      <c r="AU8" s="97">
        <v>0.39500000000000002</v>
      </c>
      <c r="AV8" s="96" t="s">
        <v>80</v>
      </c>
      <c r="AW8" s="94">
        <v>0.13200000000000001</v>
      </c>
      <c r="AX8" s="94">
        <v>0.01</v>
      </c>
      <c r="AY8" s="94">
        <v>1</v>
      </c>
      <c r="AZ8" s="94">
        <f>AU8/AW8</f>
        <v>2.9924242424242422</v>
      </c>
      <c r="BA8" s="18" t="s">
        <v>73</v>
      </c>
      <c r="BB8" s="18"/>
      <c r="BC8" s="18" t="s">
        <v>73</v>
      </c>
      <c r="BD8" s="18" t="s">
        <v>73</v>
      </c>
      <c r="BE8" s="18" t="s">
        <v>73</v>
      </c>
      <c r="BF8" s="18" t="s">
        <v>73</v>
      </c>
      <c r="BG8" s="18" t="s">
        <v>73</v>
      </c>
      <c r="BH8" s="18" t="s">
        <v>73</v>
      </c>
      <c r="BI8">
        <v>1200</v>
      </c>
      <c r="BJ8">
        <v>1200</v>
      </c>
      <c r="BK8" s="18" t="s">
        <v>73</v>
      </c>
      <c r="BL8" s="18" t="s">
        <v>73</v>
      </c>
      <c r="BM8">
        <v>68.653999999999996</v>
      </c>
      <c r="BN8" t="s">
        <v>73</v>
      </c>
      <c r="BO8" s="18" t="s">
        <v>242</v>
      </c>
      <c r="BP8" s="18" t="s">
        <v>73</v>
      </c>
      <c r="BQ8" s="18" t="s">
        <v>73</v>
      </c>
      <c r="BR8" s="18" t="s">
        <v>73</v>
      </c>
      <c r="BS8" s="18" t="s">
        <v>73</v>
      </c>
      <c r="BT8" s="18" t="s">
        <v>73</v>
      </c>
      <c r="BU8">
        <v>0</v>
      </c>
      <c r="BV8">
        <v>0</v>
      </c>
      <c r="BW8">
        <v>1</v>
      </c>
      <c r="BX8" s="100">
        <f>((AZ8^2)/(AZ8^2+BI8))^(1/2)</f>
        <v>8.6063334338985817E-2</v>
      </c>
      <c r="BY8" s="30">
        <f>0.5*LN((1+BX8)/(1-BX8))</f>
        <v>8.6276771120091189E-2</v>
      </c>
      <c r="BZ8" s="30">
        <f>((1-(BY8^2)^2)/(BI8-1))</f>
        <v>8.3398214479539034E-4</v>
      </c>
      <c r="CA8" s="30">
        <f>1/(BI8-3)</f>
        <v>8.3542188805346695E-4</v>
      </c>
      <c r="CE8" s="30">
        <f>((AZ8^2)/(AZ8^2+BJ8))^(1/2)</f>
        <v>8.6063334338985817E-2</v>
      </c>
      <c r="CF8" s="30">
        <f>0.5*LN((1+CE8)/(1-CE8))</f>
        <v>8.6276771120091189E-2</v>
      </c>
      <c r="CG8" s="30">
        <f>((1-(CF8^2)^2)/(BJ8-1))</f>
        <v>8.3398214479539034E-4</v>
      </c>
      <c r="CH8" s="30">
        <f>1/(BJ8-3)</f>
        <v>8.3542188805346695E-4</v>
      </c>
    </row>
    <row r="9" spans="1:86" ht="15.6">
      <c r="A9" s="11" t="s">
        <v>68</v>
      </c>
      <c r="B9" s="11"/>
      <c r="C9" s="11">
        <v>1077</v>
      </c>
      <c r="D9">
        <v>114</v>
      </c>
      <c r="E9" t="s">
        <v>237</v>
      </c>
      <c r="F9" s="11">
        <v>2014</v>
      </c>
      <c r="G9" t="s">
        <v>238</v>
      </c>
      <c r="H9" s="94" t="s">
        <v>239</v>
      </c>
      <c r="I9">
        <v>2</v>
      </c>
      <c r="J9" t="s">
        <v>225</v>
      </c>
      <c r="K9" s="10" t="s">
        <v>73</v>
      </c>
      <c r="L9">
        <v>489</v>
      </c>
      <c r="M9" s="18" t="s">
        <v>155</v>
      </c>
      <c r="N9" t="s">
        <v>112</v>
      </c>
      <c r="O9" t="s">
        <v>81</v>
      </c>
      <c r="P9" s="18" t="s">
        <v>227</v>
      </c>
      <c r="Q9" t="s">
        <v>228</v>
      </c>
      <c r="R9" t="s">
        <v>229</v>
      </c>
      <c r="S9">
        <v>0</v>
      </c>
      <c r="T9" t="s">
        <v>189</v>
      </c>
      <c r="U9">
        <v>0</v>
      </c>
      <c r="V9" s="18" t="s">
        <v>231</v>
      </c>
      <c r="W9" s="18" t="s">
        <v>231</v>
      </c>
      <c r="X9" s="18" t="s">
        <v>73</v>
      </c>
      <c r="Y9">
        <v>0</v>
      </c>
      <c r="Z9">
        <v>0</v>
      </c>
      <c r="AA9">
        <v>0</v>
      </c>
      <c r="AB9">
        <v>1</v>
      </c>
      <c r="AC9">
        <v>0</v>
      </c>
      <c r="AD9">
        <v>0</v>
      </c>
      <c r="AE9">
        <v>0</v>
      </c>
      <c r="AF9">
        <v>0</v>
      </c>
      <c r="AG9" t="s">
        <v>73</v>
      </c>
      <c r="AH9">
        <v>0</v>
      </c>
      <c r="AI9">
        <v>0</v>
      </c>
      <c r="AJ9">
        <v>1</v>
      </c>
      <c r="AK9">
        <v>0</v>
      </c>
      <c r="AL9">
        <v>0</v>
      </c>
      <c r="AM9">
        <v>0</v>
      </c>
      <c r="AN9" s="32">
        <v>0</v>
      </c>
      <c r="AO9">
        <v>0</v>
      </c>
      <c r="AP9">
        <v>0</v>
      </c>
      <c r="AQ9" t="s">
        <v>73</v>
      </c>
      <c r="AR9" t="s">
        <v>233</v>
      </c>
      <c r="AS9" s="96" t="s">
        <v>240</v>
      </c>
      <c r="AT9" t="s">
        <v>241</v>
      </c>
      <c r="AU9" s="97">
        <v>2.6779999999999999</v>
      </c>
      <c r="AV9" s="98" t="s">
        <v>80</v>
      </c>
      <c r="AW9" s="94">
        <v>0.45</v>
      </c>
      <c r="AX9" s="94">
        <v>0.01</v>
      </c>
      <c r="AY9" s="94">
        <v>1</v>
      </c>
      <c r="AZ9" s="94">
        <f>AU9/AW9</f>
        <v>5.9511111111111106</v>
      </c>
      <c r="BA9" s="18" t="s">
        <v>73</v>
      </c>
      <c r="BB9" s="18"/>
      <c r="BC9" s="18" t="s">
        <v>73</v>
      </c>
      <c r="BD9" s="18" t="s">
        <v>73</v>
      </c>
      <c r="BE9" s="18" t="s">
        <v>73</v>
      </c>
      <c r="BF9" s="18" t="s">
        <v>73</v>
      </c>
      <c r="BG9" s="18" t="s">
        <v>73</v>
      </c>
      <c r="BH9" s="18" t="s">
        <v>73</v>
      </c>
      <c r="BI9">
        <v>1199</v>
      </c>
      <c r="BJ9">
        <v>1199</v>
      </c>
      <c r="BK9" s="18" t="s">
        <v>73</v>
      </c>
      <c r="BL9" s="18" t="s">
        <v>73</v>
      </c>
      <c r="BM9">
        <v>34.347999999999999</v>
      </c>
      <c r="BN9" t="s">
        <v>73</v>
      </c>
      <c r="BO9" s="18" t="s">
        <v>242</v>
      </c>
      <c r="BP9" s="18" t="s">
        <v>73</v>
      </c>
      <c r="BQ9" s="18" t="s">
        <v>73</v>
      </c>
      <c r="BR9" s="18" t="s">
        <v>73</v>
      </c>
      <c r="BS9" s="18" t="s">
        <v>73</v>
      </c>
      <c r="BT9" s="18" t="s">
        <v>73</v>
      </c>
      <c r="BU9">
        <v>0</v>
      </c>
      <c r="BV9">
        <v>0</v>
      </c>
      <c r="BW9">
        <v>1</v>
      </c>
      <c r="BX9" s="100">
        <f>((AZ9^2)/(AZ9^2+BI9))^(1/2)</f>
        <v>0.16938203115368139</v>
      </c>
      <c r="BY9" s="30">
        <f>0.5*LN((1+BX9)/(1-BX9))</f>
        <v>0.17103037260946002</v>
      </c>
      <c r="BZ9" s="30">
        <f>((1-(BY9^2)^2)/(BI9-1))</f>
        <v>8.3401031408957341E-4</v>
      </c>
      <c r="CA9" s="30">
        <f>1/(BI9-3)</f>
        <v>8.3612040133779263E-4</v>
      </c>
      <c r="CE9" s="30">
        <f>((AZ9^2)/(AZ9^2+BJ9))^(1/2)</f>
        <v>0.16938203115368139</v>
      </c>
      <c r="CF9" s="30">
        <f>0.5*LN((1+CE9)/(1-CE9))</f>
        <v>0.17103037260946002</v>
      </c>
      <c r="CG9" s="30">
        <f>((1-(CF9^2)^2)/(BJ9-1))</f>
        <v>8.3401031408957341E-4</v>
      </c>
      <c r="CH9" s="30">
        <f>1/(BJ9-3)</f>
        <v>8.3612040133779263E-4</v>
      </c>
    </row>
    <row r="10" spans="1:86" ht="15.6">
      <c r="A10" s="11" t="s">
        <v>68</v>
      </c>
      <c r="B10" s="11"/>
      <c r="C10" s="11">
        <v>1078</v>
      </c>
      <c r="D10">
        <v>114</v>
      </c>
      <c r="E10" t="s">
        <v>237</v>
      </c>
      <c r="F10" s="11">
        <v>2014</v>
      </c>
      <c r="G10" t="s">
        <v>238</v>
      </c>
      <c r="H10" s="94" t="s">
        <v>239</v>
      </c>
      <c r="I10">
        <v>2</v>
      </c>
      <c r="J10" t="s">
        <v>225</v>
      </c>
      <c r="K10" s="10" t="s">
        <v>73</v>
      </c>
      <c r="L10">
        <v>489</v>
      </c>
      <c r="M10" s="18" t="s">
        <v>155</v>
      </c>
      <c r="N10" t="s">
        <v>112</v>
      </c>
      <c r="O10" t="s">
        <v>81</v>
      </c>
      <c r="P10" s="18" t="s">
        <v>227</v>
      </c>
      <c r="Q10" t="s">
        <v>228</v>
      </c>
      <c r="R10" t="s">
        <v>229</v>
      </c>
      <c r="S10">
        <v>0</v>
      </c>
      <c r="T10" t="s">
        <v>189</v>
      </c>
      <c r="U10">
        <v>0</v>
      </c>
      <c r="V10" s="18" t="s">
        <v>231</v>
      </c>
      <c r="W10" s="18" t="s">
        <v>231</v>
      </c>
      <c r="X10" s="18" t="s">
        <v>73</v>
      </c>
      <c r="Y10">
        <v>0</v>
      </c>
      <c r="Z10">
        <v>0</v>
      </c>
      <c r="AA10">
        <v>0</v>
      </c>
      <c r="AB10">
        <v>1</v>
      </c>
      <c r="AC10">
        <v>0</v>
      </c>
      <c r="AD10">
        <v>0</v>
      </c>
      <c r="AE10">
        <v>0</v>
      </c>
      <c r="AF10">
        <v>0</v>
      </c>
      <c r="AG10" t="s">
        <v>73</v>
      </c>
      <c r="AH10">
        <v>0</v>
      </c>
      <c r="AI10">
        <v>0</v>
      </c>
      <c r="AJ10">
        <v>1</v>
      </c>
      <c r="AK10">
        <v>0</v>
      </c>
      <c r="AL10">
        <v>0</v>
      </c>
      <c r="AM10">
        <v>0</v>
      </c>
      <c r="AN10" s="32">
        <v>0</v>
      </c>
      <c r="AO10">
        <v>0</v>
      </c>
      <c r="AP10">
        <v>0</v>
      </c>
      <c r="AQ10" t="s">
        <v>73</v>
      </c>
      <c r="AR10" t="s">
        <v>233</v>
      </c>
      <c r="AS10" s="96" t="s">
        <v>240</v>
      </c>
      <c r="AT10" t="s">
        <v>241</v>
      </c>
      <c r="AU10" s="97">
        <v>2.617</v>
      </c>
      <c r="AV10" s="98" t="s">
        <v>80</v>
      </c>
      <c r="AW10" s="94">
        <v>0.45600000000000002</v>
      </c>
      <c r="AX10" s="94">
        <v>0.01</v>
      </c>
      <c r="AY10" s="94">
        <v>1</v>
      </c>
      <c r="AZ10" s="94">
        <f>AU10/AW10</f>
        <v>5.7390350877192979</v>
      </c>
      <c r="BA10" s="18" t="s">
        <v>73</v>
      </c>
      <c r="BB10" s="18"/>
      <c r="BC10" s="18" t="s">
        <v>73</v>
      </c>
      <c r="BD10" s="18" t="s">
        <v>73</v>
      </c>
      <c r="BE10" s="18" t="s">
        <v>73</v>
      </c>
      <c r="BF10" s="18" t="s">
        <v>73</v>
      </c>
      <c r="BG10" s="18" t="s">
        <v>73</v>
      </c>
      <c r="BH10" s="18" t="s">
        <v>73</v>
      </c>
      <c r="BI10">
        <v>1199</v>
      </c>
      <c r="BJ10">
        <v>1199</v>
      </c>
      <c r="BK10" s="18" t="s">
        <v>73</v>
      </c>
      <c r="BL10" s="18" t="s">
        <v>73</v>
      </c>
      <c r="BM10">
        <v>34.347999999999999</v>
      </c>
      <c r="BN10" t="s">
        <v>73</v>
      </c>
      <c r="BO10" s="18" t="s">
        <v>242</v>
      </c>
      <c r="BP10" s="18" t="s">
        <v>73</v>
      </c>
      <c r="BQ10" s="18" t="s">
        <v>73</v>
      </c>
      <c r="BR10" s="18" t="s">
        <v>73</v>
      </c>
      <c r="BS10" s="18" t="s">
        <v>73</v>
      </c>
      <c r="BT10" s="18" t="s">
        <v>73</v>
      </c>
      <c r="BU10">
        <v>0</v>
      </c>
      <c r="BV10">
        <v>0</v>
      </c>
      <c r="BW10">
        <v>1</v>
      </c>
      <c r="BX10" s="100">
        <f>((AZ10^2)/(AZ10^2+BI10))^(1/2)</f>
        <v>0.16351014904569258</v>
      </c>
      <c r="BY10" s="30">
        <f>0.5*LN((1+BX10)/(1-BX10))</f>
        <v>0.16499115897987898</v>
      </c>
      <c r="BZ10" s="30">
        <f>((1-(BY10^2)^2)/(BI10-1))</f>
        <v>8.3410597514365812E-4</v>
      </c>
      <c r="CA10" s="30">
        <f>1/(BI10-3)</f>
        <v>8.3612040133779263E-4</v>
      </c>
      <c r="CE10" s="30">
        <f>((AZ10^2)/(AZ10^2+BJ10))^(1/2)</f>
        <v>0.16351014904569258</v>
      </c>
      <c r="CF10" s="30">
        <f>0.5*LN((1+CE10)/(1-CE10))</f>
        <v>0.16499115897987898</v>
      </c>
      <c r="CG10" s="30">
        <f>((1-(CF10^2)^2)/(BJ10-1))</f>
        <v>8.3410597514365812E-4</v>
      </c>
      <c r="CH10" s="30">
        <f>1/(BJ10-3)</f>
        <v>8.3612040133779263E-4</v>
      </c>
    </row>
    <row r="11" spans="1:86" ht="15.6">
      <c r="A11" s="11" t="s">
        <v>68</v>
      </c>
      <c r="B11" s="11"/>
      <c r="C11" s="11">
        <v>1079</v>
      </c>
      <c r="D11">
        <v>114</v>
      </c>
      <c r="E11" t="s">
        <v>237</v>
      </c>
      <c r="F11" s="11">
        <v>2014</v>
      </c>
      <c r="G11" t="s">
        <v>238</v>
      </c>
      <c r="H11" s="94" t="s">
        <v>239</v>
      </c>
      <c r="I11">
        <v>2</v>
      </c>
      <c r="J11" t="s">
        <v>225</v>
      </c>
      <c r="K11" s="10" t="s">
        <v>73</v>
      </c>
      <c r="L11">
        <v>489</v>
      </c>
      <c r="M11" s="18" t="s">
        <v>155</v>
      </c>
      <c r="N11" t="s">
        <v>112</v>
      </c>
      <c r="O11" t="s">
        <v>81</v>
      </c>
      <c r="P11" s="18" t="s">
        <v>227</v>
      </c>
      <c r="Q11" t="s">
        <v>228</v>
      </c>
      <c r="R11" t="s">
        <v>229</v>
      </c>
      <c r="S11">
        <v>0</v>
      </c>
      <c r="T11" t="s">
        <v>189</v>
      </c>
      <c r="U11">
        <v>0</v>
      </c>
      <c r="V11" s="18" t="s">
        <v>231</v>
      </c>
      <c r="W11" s="18" t="s">
        <v>231</v>
      </c>
      <c r="X11" s="18" t="s">
        <v>73</v>
      </c>
      <c r="Y11">
        <v>0</v>
      </c>
      <c r="Z11">
        <v>0</v>
      </c>
      <c r="AA11">
        <v>0</v>
      </c>
      <c r="AB11">
        <v>1</v>
      </c>
      <c r="AC11">
        <v>0</v>
      </c>
      <c r="AD11">
        <v>0</v>
      </c>
      <c r="AE11">
        <v>0</v>
      </c>
      <c r="AF11">
        <v>0</v>
      </c>
      <c r="AG11" t="s">
        <v>73</v>
      </c>
      <c r="AH11">
        <v>0</v>
      </c>
      <c r="AI11">
        <v>0</v>
      </c>
      <c r="AJ11">
        <v>1</v>
      </c>
      <c r="AK11">
        <v>0</v>
      </c>
      <c r="AL11">
        <v>0</v>
      </c>
      <c r="AM11">
        <v>0</v>
      </c>
      <c r="AN11" s="32">
        <v>0</v>
      </c>
      <c r="AO11">
        <v>0</v>
      </c>
      <c r="AP11">
        <v>0</v>
      </c>
      <c r="AQ11" t="s">
        <v>73</v>
      </c>
      <c r="AR11" t="s">
        <v>233</v>
      </c>
      <c r="AS11" s="96" t="s">
        <v>240</v>
      </c>
      <c r="AT11" t="s">
        <v>241</v>
      </c>
      <c r="AU11" s="97">
        <v>1.1240000000000001</v>
      </c>
      <c r="AV11" s="98" t="s">
        <v>86</v>
      </c>
      <c r="AW11" s="94">
        <v>0.42899999999999999</v>
      </c>
      <c r="AX11" s="94">
        <v>0.05</v>
      </c>
      <c r="AY11" s="94">
        <v>1</v>
      </c>
      <c r="AZ11" s="94">
        <f>AU11/AW11</f>
        <v>2.6200466200466201</v>
      </c>
      <c r="BA11" s="18" t="s">
        <v>73</v>
      </c>
      <c r="BB11" s="18"/>
      <c r="BC11" s="18" t="s">
        <v>73</v>
      </c>
      <c r="BD11" s="18" t="s">
        <v>73</v>
      </c>
      <c r="BE11" s="18" t="s">
        <v>73</v>
      </c>
      <c r="BF11" s="18" t="s">
        <v>73</v>
      </c>
      <c r="BG11" s="18" t="s">
        <v>73</v>
      </c>
      <c r="BH11" s="18" t="s">
        <v>73</v>
      </c>
      <c r="BI11">
        <v>1199</v>
      </c>
      <c r="BJ11">
        <v>1199</v>
      </c>
      <c r="BK11" s="18" t="s">
        <v>73</v>
      </c>
      <c r="BL11" s="18" t="s">
        <v>73</v>
      </c>
      <c r="BM11">
        <v>34.347999999999999</v>
      </c>
      <c r="BN11" t="s">
        <v>73</v>
      </c>
      <c r="BO11" s="18" t="s">
        <v>242</v>
      </c>
      <c r="BP11" s="18" t="s">
        <v>73</v>
      </c>
      <c r="BQ11" s="18" t="s">
        <v>73</v>
      </c>
      <c r="BR11" s="18" t="s">
        <v>73</v>
      </c>
      <c r="BS11" s="18" t="s">
        <v>73</v>
      </c>
      <c r="BT11" s="18" t="s">
        <v>73</v>
      </c>
      <c r="BU11">
        <v>0</v>
      </c>
      <c r="BV11">
        <v>0</v>
      </c>
      <c r="BW11">
        <v>1</v>
      </c>
      <c r="BX11" s="100">
        <f>((AZ11^2)/(AZ11^2+BI11))^(1/2)</f>
        <v>7.545008581866168E-2</v>
      </c>
      <c r="BY11" s="30">
        <f>0.5*LN((1+BX11)/(1-BX11))</f>
        <v>7.5593748794722831E-2</v>
      </c>
      <c r="BZ11" s="30">
        <f>((1-(BY11^2)^2)/(BI11-1))</f>
        <v>8.3469728335796656E-4</v>
      </c>
      <c r="CA11" s="30">
        <f>1/(BI11-3)</f>
        <v>8.3612040133779263E-4</v>
      </c>
      <c r="CE11" s="30">
        <f>((AZ11^2)/(AZ11^2+BJ11))^(1/2)</f>
        <v>7.545008581866168E-2</v>
      </c>
      <c r="CF11" s="30">
        <f>0.5*LN((1+CE11)/(1-CE11))</f>
        <v>7.5593748794722831E-2</v>
      </c>
      <c r="CG11" s="30">
        <f>((1-(CF11^2)^2)/(BJ11-1))</f>
        <v>8.3469728335796656E-4</v>
      </c>
      <c r="CH11" s="30">
        <f>1/(BJ11-3)</f>
        <v>8.3612040133779263E-4</v>
      </c>
    </row>
    <row r="12" spans="1:86" ht="15.6">
      <c r="A12" s="11" t="s">
        <v>68</v>
      </c>
      <c r="B12" s="11"/>
      <c r="C12" s="11">
        <v>1080</v>
      </c>
      <c r="D12">
        <v>114</v>
      </c>
      <c r="E12" t="s">
        <v>237</v>
      </c>
      <c r="F12" s="11">
        <v>2014</v>
      </c>
      <c r="G12" t="s">
        <v>238</v>
      </c>
      <c r="H12" s="94" t="s">
        <v>239</v>
      </c>
      <c r="I12">
        <v>2</v>
      </c>
      <c r="J12" t="s">
        <v>225</v>
      </c>
      <c r="K12" s="10" t="s">
        <v>73</v>
      </c>
      <c r="L12">
        <v>489</v>
      </c>
      <c r="M12" s="18" t="s">
        <v>155</v>
      </c>
      <c r="N12" t="s">
        <v>112</v>
      </c>
      <c r="O12" t="s">
        <v>81</v>
      </c>
      <c r="P12" s="18" t="s">
        <v>227</v>
      </c>
      <c r="Q12" t="s">
        <v>228</v>
      </c>
      <c r="R12" t="s">
        <v>229</v>
      </c>
      <c r="S12">
        <v>0</v>
      </c>
      <c r="T12" t="s">
        <v>189</v>
      </c>
      <c r="U12">
        <v>0</v>
      </c>
      <c r="V12" s="18" t="s">
        <v>231</v>
      </c>
      <c r="W12" s="18" t="s">
        <v>231</v>
      </c>
      <c r="X12" s="18" t="s">
        <v>73</v>
      </c>
      <c r="Y12">
        <v>0</v>
      </c>
      <c r="Z12">
        <v>0</v>
      </c>
      <c r="AA12">
        <v>0</v>
      </c>
      <c r="AB12">
        <v>1</v>
      </c>
      <c r="AC12">
        <v>0</v>
      </c>
      <c r="AD12">
        <v>0</v>
      </c>
      <c r="AE12">
        <v>0</v>
      </c>
      <c r="AF12">
        <v>0</v>
      </c>
      <c r="AG12" t="s">
        <v>73</v>
      </c>
      <c r="AH12">
        <v>0</v>
      </c>
      <c r="AI12">
        <v>0</v>
      </c>
      <c r="AJ12">
        <v>1</v>
      </c>
      <c r="AK12">
        <v>0</v>
      </c>
      <c r="AL12">
        <v>0</v>
      </c>
      <c r="AM12">
        <v>0</v>
      </c>
      <c r="AN12" s="32">
        <v>0</v>
      </c>
      <c r="AO12">
        <v>0</v>
      </c>
      <c r="AP12">
        <v>0</v>
      </c>
      <c r="AQ12" t="s">
        <v>73</v>
      </c>
      <c r="AR12" t="s">
        <v>233</v>
      </c>
      <c r="AS12" s="96" t="s">
        <v>240</v>
      </c>
      <c r="AT12" t="s">
        <v>241</v>
      </c>
      <c r="AU12" s="97">
        <v>0.60399999999999998</v>
      </c>
      <c r="AV12" s="98" t="s">
        <v>86</v>
      </c>
      <c r="AW12" s="94">
        <v>0.41699999999999998</v>
      </c>
      <c r="AX12" s="94">
        <v>0.1</v>
      </c>
      <c r="AY12" s="94">
        <v>2</v>
      </c>
      <c r="AZ12" s="94">
        <f>AU12/AW12</f>
        <v>1.4484412470023982</v>
      </c>
      <c r="BA12" s="18" t="s">
        <v>73</v>
      </c>
      <c r="BB12" s="18"/>
      <c r="BC12" s="18" t="s">
        <v>73</v>
      </c>
      <c r="BD12" s="18" t="s">
        <v>73</v>
      </c>
      <c r="BE12" s="18" t="s">
        <v>73</v>
      </c>
      <c r="BF12" s="18" t="s">
        <v>73</v>
      </c>
      <c r="BG12" s="18" t="s">
        <v>73</v>
      </c>
      <c r="BH12" s="18" t="s">
        <v>73</v>
      </c>
      <c r="BI12">
        <v>1199</v>
      </c>
      <c r="BJ12">
        <v>1199</v>
      </c>
      <c r="BK12" s="18" t="s">
        <v>73</v>
      </c>
      <c r="BL12" s="18" t="s">
        <v>73</v>
      </c>
      <c r="BM12">
        <v>34.347999999999999</v>
      </c>
      <c r="BN12" t="s">
        <v>73</v>
      </c>
      <c r="BO12" s="18" t="s">
        <v>242</v>
      </c>
      <c r="BP12" s="18" t="s">
        <v>73</v>
      </c>
      <c r="BQ12" s="18" t="s">
        <v>73</v>
      </c>
      <c r="BR12" s="18" t="s">
        <v>73</v>
      </c>
      <c r="BS12" s="18" t="s">
        <v>73</v>
      </c>
      <c r="BT12" s="18" t="s">
        <v>73</v>
      </c>
      <c r="BU12">
        <v>0</v>
      </c>
      <c r="BV12">
        <v>0</v>
      </c>
      <c r="BW12">
        <v>1</v>
      </c>
      <c r="BX12" s="100">
        <f>((AZ12^2)/(AZ12^2+BI12))^(1/2)</f>
        <v>4.1793781222559251E-2</v>
      </c>
      <c r="BY12" s="30">
        <f>0.5*LN((1+BX12)/(1-BX12))</f>
        <v>4.1818140770501222E-2</v>
      </c>
      <c r="BZ12" s="30">
        <f>((1-(BY12^2)^2)/(BI12-1))</f>
        <v>8.3472198818807463E-4</v>
      </c>
      <c r="CA12" s="30">
        <f>1/(BI12-3)</f>
        <v>8.3612040133779263E-4</v>
      </c>
      <c r="CE12" s="30">
        <f>((AZ12^2)/(AZ12^2+BJ12))^(1/2)</f>
        <v>4.1793781222559251E-2</v>
      </c>
      <c r="CF12" s="30">
        <f>0.5*LN((1+CE12)/(1-CE12))</f>
        <v>4.1818140770501222E-2</v>
      </c>
      <c r="CG12" s="30">
        <f>((1-(CF12^2)^2)/(BJ12-1))</f>
        <v>8.3472198818807463E-4</v>
      </c>
      <c r="CH12" s="30">
        <f>1/(BJ12-3)</f>
        <v>8.3612040133779263E-4</v>
      </c>
    </row>
    <row r="13" spans="1:86" s="101" customFormat="1" ht="15.6">
      <c r="A13" s="11" t="s">
        <v>68</v>
      </c>
      <c r="B13" s="11"/>
      <c r="C13" s="11">
        <v>1081</v>
      </c>
      <c r="D13">
        <v>114</v>
      </c>
      <c r="E13" t="s">
        <v>237</v>
      </c>
      <c r="F13" s="11">
        <v>2014</v>
      </c>
      <c r="G13" t="s">
        <v>238</v>
      </c>
      <c r="H13" s="94" t="s">
        <v>239</v>
      </c>
      <c r="I13">
        <v>2</v>
      </c>
      <c r="J13" t="s">
        <v>225</v>
      </c>
      <c r="K13" s="10" t="s">
        <v>73</v>
      </c>
      <c r="L13">
        <v>489</v>
      </c>
      <c r="M13" s="18" t="s">
        <v>155</v>
      </c>
      <c r="N13" t="s">
        <v>112</v>
      </c>
      <c r="O13" t="s">
        <v>81</v>
      </c>
      <c r="P13" s="18" t="s">
        <v>227</v>
      </c>
      <c r="Q13" t="s">
        <v>228</v>
      </c>
      <c r="R13" t="s">
        <v>229</v>
      </c>
      <c r="S13">
        <v>0</v>
      </c>
      <c r="T13" t="s">
        <v>189</v>
      </c>
      <c r="U13">
        <v>0</v>
      </c>
      <c r="V13" s="18" t="s">
        <v>231</v>
      </c>
      <c r="W13" s="18" t="s">
        <v>231</v>
      </c>
      <c r="X13" s="18" t="s">
        <v>73</v>
      </c>
      <c r="Y13">
        <v>0</v>
      </c>
      <c r="Z13">
        <v>0</v>
      </c>
      <c r="AA13">
        <v>0</v>
      </c>
      <c r="AB13">
        <v>1</v>
      </c>
      <c r="AC13">
        <v>0</v>
      </c>
      <c r="AD13">
        <v>0</v>
      </c>
      <c r="AE13">
        <v>0</v>
      </c>
      <c r="AF13">
        <v>0</v>
      </c>
      <c r="AG13" t="s">
        <v>73</v>
      </c>
      <c r="AH13">
        <v>0</v>
      </c>
      <c r="AI13">
        <v>0</v>
      </c>
      <c r="AJ13">
        <v>0</v>
      </c>
      <c r="AK13">
        <v>1</v>
      </c>
      <c r="AL13">
        <v>0</v>
      </c>
      <c r="AM13">
        <v>0</v>
      </c>
      <c r="AN13" s="32">
        <v>0</v>
      </c>
      <c r="AO13">
        <v>0</v>
      </c>
      <c r="AP13">
        <v>0</v>
      </c>
      <c r="AQ13" t="s">
        <v>73</v>
      </c>
      <c r="AR13" t="s">
        <v>233</v>
      </c>
      <c r="AS13" s="96" t="s">
        <v>240</v>
      </c>
      <c r="AT13" t="s">
        <v>241</v>
      </c>
      <c r="AU13" s="97">
        <v>1.171</v>
      </c>
      <c r="AV13" s="96" t="s">
        <v>80</v>
      </c>
      <c r="AW13" s="94">
        <v>0.26900000000000002</v>
      </c>
      <c r="AX13" s="94">
        <v>0.01</v>
      </c>
      <c r="AY13" s="94">
        <v>1</v>
      </c>
      <c r="AZ13" s="94">
        <f>AU13/AW13</f>
        <v>4.3531598513011147</v>
      </c>
      <c r="BA13" s="18" t="s">
        <v>73</v>
      </c>
      <c r="BB13" s="18"/>
      <c r="BC13" s="18" t="s">
        <v>73</v>
      </c>
      <c r="BD13" s="18" t="s">
        <v>73</v>
      </c>
      <c r="BE13" s="18" t="s">
        <v>73</v>
      </c>
      <c r="BF13" s="18" t="s">
        <v>73</v>
      </c>
      <c r="BG13" s="18" t="s">
        <v>73</v>
      </c>
      <c r="BH13" s="18" t="s">
        <v>73</v>
      </c>
      <c r="BI13">
        <v>1200</v>
      </c>
      <c r="BJ13">
        <v>1200</v>
      </c>
      <c r="BK13" s="18" t="s">
        <v>73</v>
      </c>
      <c r="BL13" s="18" t="s">
        <v>73</v>
      </c>
      <c r="BM13">
        <v>49.061999999999998</v>
      </c>
      <c r="BN13" t="s">
        <v>73</v>
      </c>
      <c r="BO13" s="18" t="s">
        <v>242</v>
      </c>
      <c r="BP13" s="18" t="s">
        <v>73</v>
      </c>
      <c r="BQ13" s="18" t="s">
        <v>73</v>
      </c>
      <c r="BR13" s="18" t="s">
        <v>73</v>
      </c>
      <c r="BS13" s="18" t="s">
        <v>73</v>
      </c>
      <c r="BT13" s="18" t="s">
        <v>73</v>
      </c>
      <c r="BU13">
        <v>0</v>
      </c>
      <c r="BV13">
        <v>0</v>
      </c>
      <c r="BW13">
        <v>1</v>
      </c>
      <c r="BX13" s="100">
        <f>((AZ13^2)/(AZ13^2+BI13))^(1/2)</f>
        <v>0.12468427062360037</v>
      </c>
      <c r="BY13" s="30">
        <f>0.5*LN((1+BX13)/(1-BX13))</f>
        <v>0.12533648603448228</v>
      </c>
      <c r="BZ13" s="30">
        <f>((1-(BY13^2)^2)/(BI13-1))</f>
        <v>8.3382253539962601E-4</v>
      </c>
      <c r="CA13" s="30">
        <f>1/(BI13-3)</f>
        <v>8.3542188805346695E-4</v>
      </c>
      <c r="CB13"/>
      <c r="CC13"/>
      <c r="CD13"/>
      <c r="CE13" s="30">
        <f>((AZ13^2)/(AZ13^2+BJ13))^(1/2)</f>
        <v>0.12468427062360037</v>
      </c>
      <c r="CF13" s="30">
        <f>0.5*LN((1+CE13)/(1-CE13))</f>
        <v>0.12533648603448228</v>
      </c>
      <c r="CG13" s="30">
        <f>((1-(CF13^2)^2)/(BJ13-1))</f>
        <v>8.3382253539962601E-4</v>
      </c>
      <c r="CH13" s="30">
        <f>1/(BJ13-3)</f>
        <v>8.3542188805346695E-4</v>
      </c>
    </row>
    <row r="14" spans="1:86" ht="15.75" customHeight="1">
      <c r="A14" s="11" t="s">
        <v>68</v>
      </c>
      <c r="B14" s="11"/>
      <c r="C14" s="11">
        <v>1082</v>
      </c>
      <c r="D14">
        <v>114</v>
      </c>
      <c r="E14" t="s">
        <v>237</v>
      </c>
      <c r="F14" s="11">
        <v>2014</v>
      </c>
      <c r="G14" t="s">
        <v>238</v>
      </c>
      <c r="H14" s="94" t="s">
        <v>239</v>
      </c>
      <c r="I14">
        <v>2</v>
      </c>
      <c r="J14" t="s">
        <v>225</v>
      </c>
      <c r="K14" s="10" t="s">
        <v>73</v>
      </c>
      <c r="L14">
        <v>489</v>
      </c>
      <c r="M14" s="18" t="s">
        <v>155</v>
      </c>
      <c r="N14" t="s">
        <v>112</v>
      </c>
      <c r="O14" t="s">
        <v>81</v>
      </c>
      <c r="P14" s="18" t="s">
        <v>227</v>
      </c>
      <c r="Q14" t="s">
        <v>228</v>
      </c>
      <c r="R14" t="s">
        <v>229</v>
      </c>
      <c r="S14">
        <v>0</v>
      </c>
      <c r="T14" t="s">
        <v>189</v>
      </c>
      <c r="U14">
        <v>0</v>
      </c>
      <c r="V14" s="18" t="s">
        <v>231</v>
      </c>
      <c r="W14" s="18" t="s">
        <v>231</v>
      </c>
      <c r="X14" s="18" t="s">
        <v>73</v>
      </c>
      <c r="Y14">
        <v>0</v>
      </c>
      <c r="Z14">
        <v>0</v>
      </c>
      <c r="AA14">
        <v>0</v>
      </c>
      <c r="AB14">
        <v>1</v>
      </c>
      <c r="AC14">
        <v>0</v>
      </c>
      <c r="AD14">
        <v>0</v>
      </c>
      <c r="AE14">
        <v>0</v>
      </c>
      <c r="AF14">
        <v>0</v>
      </c>
      <c r="AG14" t="s">
        <v>73</v>
      </c>
      <c r="AH14">
        <v>0</v>
      </c>
      <c r="AI14">
        <v>0</v>
      </c>
      <c r="AJ14">
        <v>0</v>
      </c>
      <c r="AK14">
        <v>1</v>
      </c>
      <c r="AL14">
        <v>0</v>
      </c>
      <c r="AM14">
        <v>0</v>
      </c>
      <c r="AN14" s="32">
        <v>0</v>
      </c>
      <c r="AO14">
        <v>0</v>
      </c>
      <c r="AP14">
        <v>0</v>
      </c>
      <c r="AQ14" t="s">
        <v>73</v>
      </c>
      <c r="AR14" t="s">
        <v>233</v>
      </c>
      <c r="AS14" s="96" t="s">
        <v>240</v>
      </c>
      <c r="AT14" t="s">
        <v>241</v>
      </c>
      <c r="AU14" s="97">
        <v>1.03</v>
      </c>
      <c r="AV14" s="96" t="s">
        <v>80</v>
      </c>
      <c r="AW14" s="94">
        <v>0.27200000000000002</v>
      </c>
      <c r="AX14" s="94">
        <v>0.01</v>
      </c>
      <c r="AY14" s="94">
        <v>1</v>
      </c>
      <c r="AZ14" s="94">
        <f>AU14/AW14</f>
        <v>3.7867647058823528</v>
      </c>
      <c r="BA14" s="18" t="s">
        <v>73</v>
      </c>
      <c r="BB14" s="18"/>
      <c r="BC14" s="18" t="s">
        <v>73</v>
      </c>
      <c r="BD14" s="18" t="s">
        <v>73</v>
      </c>
      <c r="BE14" s="18" t="s">
        <v>73</v>
      </c>
      <c r="BF14" s="18" t="s">
        <v>73</v>
      </c>
      <c r="BG14" s="18" t="s">
        <v>73</v>
      </c>
      <c r="BH14" s="18" t="s">
        <v>73</v>
      </c>
      <c r="BI14">
        <v>1200</v>
      </c>
      <c r="BJ14">
        <v>1200</v>
      </c>
      <c r="BK14" s="18" t="s">
        <v>73</v>
      </c>
      <c r="BL14" s="18" t="s">
        <v>73</v>
      </c>
      <c r="BM14">
        <v>49.061999999999998</v>
      </c>
      <c r="BN14" t="s">
        <v>73</v>
      </c>
      <c r="BO14" s="18" t="s">
        <v>242</v>
      </c>
      <c r="BP14" s="18" t="s">
        <v>73</v>
      </c>
      <c r="BQ14" s="18" t="s">
        <v>73</v>
      </c>
      <c r="BR14" s="18" t="s">
        <v>73</v>
      </c>
      <c r="BS14" s="18" t="s">
        <v>73</v>
      </c>
      <c r="BT14" s="18" t="s">
        <v>73</v>
      </c>
      <c r="BU14">
        <v>0</v>
      </c>
      <c r="BV14">
        <v>0</v>
      </c>
      <c r="BW14">
        <v>1</v>
      </c>
      <c r="BX14" s="100">
        <f>((AZ14^2)/(AZ14^2+BI14))^(1/2)</f>
        <v>0.10866714177304562</v>
      </c>
      <c r="BY14" s="30">
        <f>0.5*LN((1+BX14)/(1-BX14))</f>
        <v>0.10909793182920374</v>
      </c>
      <c r="BZ14" s="30">
        <f>((1-(BY14^2)^2)/(BI14-1))</f>
        <v>8.3391020338338315E-4</v>
      </c>
      <c r="CA14" s="30">
        <f>1/(BI14-3)</f>
        <v>8.3542188805346695E-4</v>
      </c>
      <c r="CE14" s="30">
        <f>((AZ14^2)/(AZ14^2+BJ14))^(1/2)</f>
        <v>0.10866714177304562</v>
      </c>
      <c r="CF14" s="30">
        <f>0.5*LN((1+CE14)/(1-CE14))</f>
        <v>0.10909793182920374</v>
      </c>
      <c r="CG14" s="30">
        <f>((1-(CF14^2)^2)/(BJ14-1))</f>
        <v>8.3391020338338315E-4</v>
      </c>
      <c r="CH14" s="30">
        <f>1/(BJ14-3)</f>
        <v>8.3542188805346695E-4</v>
      </c>
    </row>
    <row r="15" spans="1:86" ht="15.75" customHeight="1">
      <c r="A15" s="11" t="s">
        <v>68</v>
      </c>
      <c r="B15" s="11"/>
      <c r="C15" s="11">
        <v>1083</v>
      </c>
      <c r="D15">
        <v>114</v>
      </c>
      <c r="E15" t="s">
        <v>237</v>
      </c>
      <c r="F15" s="11">
        <v>2014</v>
      </c>
      <c r="G15" t="s">
        <v>238</v>
      </c>
      <c r="H15" s="94" t="s">
        <v>239</v>
      </c>
      <c r="I15">
        <v>2</v>
      </c>
      <c r="J15" t="s">
        <v>225</v>
      </c>
      <c r="K15" s="10" t="s">
        <v>73</v>
      </c>
      <c r="L15">
        <v>489</v>
      </c>
      <c r="M15" s="18" t="s">
        <v>155</v>
      </c>
      <c r="N15" t="s">
        <v>112</v>
      </c>
      <c r="O15" t="s">
        <v>81</v>
      </c>
      <c r="P15" s="18" t="s">
        <v>227</v>
      </c>
      <c r="Q15" t="s">
        <v>228</v>
      </c>
      <c r="R15" t="s">
        <v>229</v>
      </c>
      <c r="S15">
        <v>0</v>
      </c>
      <c r="T15" t="s">
        <v>189</v>
      </c>
      <c r="U15">
        <v>0</v>
      </c>
      <c r="V15" s="18" t="s">
        <v>231</v>
      </c>
      <c r="W15" s="18" t="s">
        <v>231</v>
      </c>
      <c r="X15" s="18" t="s">
        <v>73</v>
      </c>
      <c r="Y15">
        <v>0</v>
      </c>
      <c r="Z15">
        <v>0</v>
      </c>
      <c r="AA15">
        <v>0</v>
      </c>
      <c r="AB15">
        <v>1</v>
      </c>
      <c r="AC15">
        <v>0</v>
      </c>
      <c r="AD15">
        <v>0</v>
      </c>
      <c r="AE15">
        <v>0</v>
      </c>
      <c r="AF15">
        <v>0</v>
      </c>
      <c r="AG15" t="s">
        <v>73</v>
      </c>
      <c r="AH15">
        <v>0</v>
      </c>
      <c r="AI15">
        <v>0</v>
      </c>
      <c r="AJ15">
        <v>0</v>
      </c>
      <c r="AK15">
        <v>1</v>
      </c>
      <c r="AL15">
        <v>0</v>
      </c>
      <c r="AM15">
        <v>0</v>
      </c>
      <c r="AN15" s="32">
        <v>0</v>
      </c>
      <c r="AO15">
        <v>0</v>
      </c>
      <c r="AP15">
        <v>0</v>
      </c>
      <c r="AQ15" t="s">
        <v>73</v>
      </c>
      <c r="AR15" t="s">
        <v>233</v>
      </c>
      <c r="AS15" s="96" t="s">
        <v>240</v>
      </c>
      <c r="AT15" t="s">
        <v>241</v>
      </c>
      <c r="AU15" s="97">
        <v>1.2E-2</v>
      </c>
      <c r="AV15" s="96" t="s">
        <v>80</v>
      </c>
      <c r="AW15" s="94">
        <v>0.113</v>
      </c>
      <c r="AX15" s="94">
        <v>0.1</v>
      </c>
      <c r="AY15" s="94">
        <v>2</v>
      </c>
      <c r="AZ15" s="94">
        <f>AU15/AW15</f>
        <v>0.10619469026548672</v>
      </c>
      <c r="BA15" s="18" t="s">
        <v>73</v>
      </c>
      <c r="BB15" s="18"/>
      <c r="BC15" s="18" t="s">
        <v>73</v>
      </c>
      <c r="BD15" s="18" t="s">
        <v>73</v>
      </c>
      <c r="BE15" s="18" t="s">
        <v>73</v>
      </c>
      <c r="BF15" s="18" t="s">
        <v>73</v>
      </c>
      <c r="BG15" s="18" t="s">
        <v>73</v>
      </c>
      <c r="BH15" s="18" t="s">
        <v>73</v>
      </c>
      <c r="BI15">
        <v>1200</v>
      </c>
      <c r="BJ15">
        <v>1200</v>
      </c>
      <c r="BK15" s="18" t="s">
        <v>73</v>
      </c>
      <c r="BL15" s="18" t="s">
        <v>73</v>
      </c>
      <c r="BM15">
        <v>49.061999999999998</v>
      </c>
      <c r="BN15" t="s">
        <v>73</v>
      </c>
      <c r="BO15" s="18" t="s">
        <v>242</v>
      </c>
      <c r="BP15" s="18" t="s">
        <v>73</v>
      </c>
      <c r="BQ15" s="18" t="s">
        <v>73</v>
      </c>
      <c r="BR15" s="18" t="s">
        <v>73</v>
      </c>
      <c r="BS15" s="18" t="s">
        <v>73</v>
      </c>
      <c r="BT15" s="18" t="s">
        <v>73</v>
      </c>
      <c r="BU15">
        <v>0</v>
      </c>
      <c r="BV15">
        <v>0</v>
      </c>
      <c r="BW15">
        <v>1</v>
      </c>
      <c r="BX15" s="100">
        <f>((AZ15^2)/(AZ15^2+BI15))^(1/2)</f>
        <v>3.0655622458887941E-3</v>
      </c>
      <c r="BY15" s="30">
        <f>0.5*LN((1+BX15)/(1-BX15))</f>
        <v>3.0655718489923326E-3</v>
      </c>
      <c r="BZ15" s="30">
        <f>((1-(BY15^2)^2)/(BI15-1))</f>
        <v>8.3402835689047757E-4</v>
      </c>
      <c r="CA15" s="30">
        <f>1/(BI15-3)</f>
        <v>8.3542188805346695E-4</v>
      </c>
      <c r="CE15" s="30">
        <f>((AZ15^2)/(AZ15^2+BJ15))^(1/2)</f>
        <v>3.0655622458887941E-3</v>
      </c>
      <c r="CF15" s="30">
        <f>0.5*LN((1+CE15)/(1-CE15))</f>
        <v>3.0655718489923326E-3</v>
      </c>
      <c r="CG15" s="30">
        <f>((1-(CF15^2)^2)/(BJ15-1))</f>
        <v>8.3402835689047757E-4</v>
      </c>
      <c r="CH15" s="30">
        <f>1/(BJ15-3)</f>
        <v>8.3542188805346695E-4</v>
      </c>
    </row>
    <row r="16" spans="1:86" ht="15.75" customHeight="1">
      <c r="A16" s="11" t="s">
        <v>68</v>
      </c>
      <c r="B16" s="11"/>
      <c r="C16" s="11">
        <v>1084</v>
      </c>
      <c r="D16">
        <v>114</v>
      </c>
      <c r="E16" t="s">
        <v>237</v>
      </c>
      <c r="F16" s="11">
        <v>2014</v>
      </c>
      <c r="G16" t="s">
        <v>238</v>
      </c>
      <c r="H16" s="94" t="s">
        <v>239</v>
      </c>
      <c r="I16">
        <v>2</v>
      </c>
      <c r="J16" t="s">
        <v>225</v>
      </c>
      <c r="K16" s="10" t="s">
        <v>73</v>
      </c>
      <c r="L16">
        <v>489</v>
      </c>
      <c r="M16" s="18" t="s">
        <v>155</v>
      </c>
      <c r="N16" t="s">
        <v>112</v>
      </c>
      <c r="O16" t="s">
        <v>81</v>
      </c>
      <c r="P16" s="18" t="s">
        <v>227</v>
      </c>
      <c r="Q16" t="s">
        <v>228</v>
      </c>
      <c r="R16" t="s">
        <v>229</v>
      </c>
      <c r="S16">
        <v>0</v>
      </c>
      <c r="T16" t="s">
        <v>189</v>
      </c>
      <c r="U16">
        <v>0</v>
      </c>
      <c r="V16" s="18" t="s">
        <v>231</v>
      </c>
      <c r="W16" s="18" t="s">
        <v>231</v>
      </c>
      <c r="X16" s="18" t="s">
        <v>73</v>
      </c>
      <c r="Y16">
        <v>0</v>
      </c>
      <c r="Z16">
        <v>0</v>
      </c>
      <c r="AA16">
        <v>0</v>
      </c>
      <c r="AB16">
        <v>1</v>
      </c>
      <c r="AC16">
        <v>0</v>
      </c>
      <c r="AD16">
        <v>0</v>
      </c>
      <c r="AE16">
        <v>0</v>
      </c>
      <c r="AF16">
        <v>0</v>
      </c>
      <c r="AG16" t="s">
        <v>73</v>
      </c>
      <c r="AH16">
        <v>0</v>
      </c>
      <c r="AI16">
        <v>0</v>
      </c>
      <c r="AJ16">
        <v>0</v>
      </c>
      <c r="AK16">
        <v>1</v>
      </c>
      <c r="AL16">
        <v>0</v>
      </c>
      <c r="AM16">
        <v>0</v>
      </c>
      <c r="AN16" s="32">
        <v>0</v>
      </c>
      <c r="AO16">
        <v>0</v>
      </c>
      <c r="AP16">
        <v>0</v>
      </c>
      <c r="AQ16" t="s">
        <v>73</v>
      </c>
      <c r="AR16" t="s">
        <v>233</v>
      </c>
      <c r="AS16" s="96" t="s">
        <v>240</v>
      </c>
      <c r="AT16" t="s">
        <v>241</v>
      </c>
      <c r="AU16" s="97">
        <v>0.28199999999999997</v>
      </c>
      <c r="AV16" s="96" t="s">
        <v>80</v>
      </c>
      <c r="AW16" s="94">
        <v>0.15</v>
      </c>
      <c r="AX16" s="94">
        <v>0.1</v>
      </c>
      <c r="AY16" s="94">
        <v>1</v>
      </c>
      <c r="AZ16" s="94">
        <f>AU16/AW16</f>
        <v>1.88</v>
      </c>
      <c r="BA16" s="18" t="s">
        <v>73</v>
      </c>
      <c r="BB16" s="18"/>
      <c r="BC16" s="18" t="s">
        <v>73</v>
      </c>
      <c r="BD16" s="18" t="s">
        <v>73</v>
      </c>
      <c r="BE16" s="18" t="s">
        <v>73</v>
      </c>
      <c r="BF16" s="18" t="s">
        <v>73</v>
      </c>
      <c r="BG16" s="18" t="s">
        <v>73</v>
      </c>
      <c r="BH16" s="18" t="s">
        <v>73</v>
      </c>
      <c r="BI16">
        <v>1200</v>
      </c>
      <c r="BJ16">
        <v>1200</v>
      </c>
      <c r="BK16" s="18" t="s">
        <v>73</v>
      </c>
      <c r="BL16" s="18" t="s">
        <v>73</v>
      </c>
      <c r="BM16">
        <v>49.061999999999998</v>
      </c>
      <c r="BN16" t="s">
        <v>73</v>
      </c>
      <c r="BO16" s="18" t="s">
        <v>242</v>
      </c>
      <c r="BP16" s="18" t="s">
        <v>73</v>
      </c>
      <c r="BQ16" s="18" t="s">
        <v>73</v>
      </c>
      <c r="BR16" s="18" t="s">
        <v>73</v>
      </c>
      <c r="BS16" s="18" t="s">
        <v>73</v>
      </c>
      <c r="BT16" s="18" t="s">
        <v>73</v>
      </c>
      <c r="BU16">
        <v>0</v>
      </c>
      <c r="BV16">
        <v>0</v>
      </c>
      <c r="BW16">
        <v>1</v>
      </c>
      <c r="BX16" s="100">
        <f>((AZ16^2)/(AZ16^2+BI16))^(1/2)</f>
        <v>5.4191178438811397E-2</v>
      </c>
      <c r="BY16" s="30">
        <f>0.5*LN((1+BX16)/(1-BX16))</f>
        <v>5.4244319557796482E-2</v>
      </c>
      <c r="BZ16" s="30">
        <f>((1-(BY16^2)^2)/(BI16-1))</f>
        <v>8.3402113595524175E-4</v>
      </c>
      <c r="CA16" s="30">
        <f>1/(BI16-3)</f>
        <v>8.3542188805346695E-4</v>
      </c>
      <c r="CE16" s="30">
        <f>((AZ16^2)/(AZ16^2+BJ16))^(1/2)</f>
        <v>5.4191178438811397E-2</v>
      </c>
      <c r="CF16" s="30">
        <f>0.5*LN((1+CE16)/(1-CE16))</f>
        <v>5.4244319557796482E-2</v>
      </c>
      <c r="CG16" s="30">
        <f>((1-(CF16^2)^2)/(BJ16-1))</f>
        <v>8.3402113595524175E-4</v>
      </c>
      <c r="CH16" s="30">
        <f>1/(BJ16-3)</f>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AU17/AW17</f>
        <v>4.7619047619047619</v>
      </c>
      <c r="BA17" t="s">
        <v>73</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((AZ17^2)/(AZ17^2+BI17))^(1/2)</f>
        <v>4.2638399008658186E-2</v>
      </c>
      <c r="BY17" s="30">
        <f>0.5*LN((1+BX17)/(1-BX17))</f>
        <v>4.2664266571193814E-2</v>
      </c>
      <c r="BZ17" s="30">
        <f>((1-(BY17^2)^2)/(BI17-1))</f>
        <v>8.0327471019973139E-5</v>
      </c>
      <c r="CA17" s="30">
        <f>1/(BI17-3)</f>
        <v>8.0340644331967548E-5</v>
      </c>
      <c r="CE17" s="30">
        <f>((AZ17^2)/(AZ17^2+BJ17))^(1/2)</f>
        <v>4.2638399008658186E-2</v>
      </c>
      <c r="CF17" s="30">
        <f>0.5*LN((1+CE17)/(1-CE17))</f>
        <v>4.2664266571193814E-2</v>
      </c>
      <c r="CG17" s="30">
        <f>((1-(CF17^2)^2)/(BJ17-1))</f>
        <v>8.0327471019973139E-5</v>
      </c>
      <c r="CH17" s="30">
        <f>1/(BJ17-3)</f>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AU18/AW18</f>
        <v>2</v>
      </c>
      <c r="BA18" t="s">
        <v>73</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((AZ18^2)/(AZ18^2+BI18))^(1/2)</f>
        <v>1.7921549865299986E-2</v>
      </c>
      <c r="BY18" s="30">
        <f>0.5*LN((1+BX18)/(1-BX18))</f>
        <v>1.7923468927909639E-2</v>
      </c>
      <c r="BZ18" s="30">
        <f>((1-(BY18^2)^2)/(BI18-1))</f>
        <v>8.0327728877657888E-5</v>
      </c>
      <c r="CA18" s="30">
        <f>1/(BI18-3)</f>
        <v>8.0340644331967548E-5</v>
      </c>
      <c r="CE18" s="30">
        <f>((AZ18^2)/(AZ18^2+BJ18))^(1/2)</f>
        <v>1.7921549865299986E-2</v>
      </c>
      <c r="CF18" s="30">
        <f>0.5*LN((1+CE18)/(1-CE18))</f>
        <v>1.7923468927909639E-2</v>
      </c>
      <c r="CG18" s="30">
        <f>((1-(CF18^2)^2)/(BJ18-1))</f>
        <v>8.0327728877657888E-5</v>
      </c>
      <c r="CH18" s="30">
        <f>1/(BJ18-3)</f>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AU19/AW19</f>
        <v>1.7000000000000002</v>
      </c>
      <c r="BA19" t="s">
        <v>73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((AZ19^2)/(AZ19^2+BI19))^(1/2)</f>
        <v>1.5233996288374733E-2</v>
      </c>
      <c r="BY19" s="30">
        <f>0.5*LN((1+BX19)/(1-BX19))</f>
        <v>1.5235174927247961E-2</v>
      </c>
      <c r="BZ19" s="30">
        <f>((1-(BY19^2)^2)/(BI19-1))</f>
        <v>8.0327732839962263E-5</v>
      </c>
      <c r="CA19" s="30">
        <f>1/(BI19-3)</f>
        <v>8.0340644331967548E-5</v>
      </c>
      <c r="CE19" s="30">
        <f>((AZ19^2)/(AZ19^2+BJ19))^(1/2)</f>
        <v>1.5233996288374733E-2</v>
      </c>
      <c r="CF19" s="30">
        <f>0.5*LN((1+CE19)/(1-CE19))</f>
        <v>1.5235174927247961E-2</v>
      </c>
      <c r="CG19" s="30">
        <f>((1-(CF19^2)^2)/(BJ19-1))</f>
        <v>8.0327732839962263E-5</v>
      </c>
      <c r="CH19" s="30">
        <f>1/(BJ19-3)</f>
        <v>8.0340644331967548E-5</v>
      </c>
    </row>
    <row r="20" spans="1:86" s="101" customFormat="1" ht="15.6">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t="s">
        <v>73</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((AZ20^2)/(AZ20^2+BI20))^(1/2)</f>
        <v>4.8294891321417933E-3</v>
      </c>
      <c r="BY20" s="30">
        <f>0.5*LN((1+BX20)/(1-BX20))</f>
        <v>4.8295266802795347E-3</v>
      </c>
      <c r="BZ20" s="30">
        <f>((1-(BY20^2)^2)/(BI20-1))</f>
        <v>8.2651458753283386E-5</v>
      </c>
      <c r="CA20" s="30">
        <f>1/(BI20-3)</f>
        <v>8.2665123584359755E-5</v>
      </c>
      <c r="CB20"/>
      <c r="CC20"/>
      <c r="CD20"/>
      <c r="CE20" s="30">
        <f>((AZ20^2)/(AZ20^2+BJ20))^(1/2)</f>
        <v>4.8294891321417933E-3</v>
      </c>
      <c r="CF20" s="30">
        <f>0.5*LN((1+CE20)/(1-CE20))</f>
        <v>4.8295266802795347E-3</v>
      </c>
      <c r="CG20" s="30">
        <f>((1-(CF20^2)^2)/(BJ20-1))</f>
        <v>8.2651458753283386E-5</v>
      </c>
      <c r="CH20" s="30">
        <f>1/(BJ20-3)</f>
        <v>8.2665123584359755E-5</v>
      </c>
    </row>
    <row r="21" spans="1:86" s="101" customFormat="1" ht="15.6">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t="s">
        <v>73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((AZ21^2)/(AZ21^2+BI21))^(1/2)</f>
        <v>1.5149776296267388E-2</v>
      </c>
      <c r="BY21" s="30">
        <f>0.5*LN((1+BX21)/(1-BX21))</f>
        <v>1.5150935493184629E-2</v>
      </c>
      <c r="BZ21" s="30">
        <f>((1-(BY21^2)^2)/(BI21-1))</f>
        <v>8.2651454443045618E-5</v>
      </c>
      <c r="CA21" s="30">
        <f>1/(BI21-3)</f>
        <v>8.2665123584359755E-5</v>
      </c>
      <c r="CB21"/>
      <c r="CC21"/>
      <c r="CD21"/>
      <c r="CE21" s="30">
        <f>((AZ21^2)/(AZ21^2+BJ21))^(1/2)</f>
        <v>1.5149776296267388E-2</v>
      </c>
      <c r="CF21" s="30">
        <f>0.5*LN((1+CE21)/(1-CE21))</f>
        <v>1.5150935493184629E-2</v>
      </c>
      <c r="CG21" s="30">
        <f>((1-(CF21^2)^2)/(BJ21-1))</f>
        <v>8.2651454443045618E-5</v>
      </c>
      <c r="CH21" s="30">
        <f>1/(BJ21-3)</f>
        <v>8.2665123584359755E-5</v>
      </c>
    </row>
    <row r="22" spans="1:86" s="99" customFormat="1" ht="17.100000000000001"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AU22/AW22</f>
        <v>1.75</v>
      </c>
      <c r="BA22" t="s">
        <v>73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((AZ22^2)/(AZ22^2+BI22))^(1/2)</f>
        <v>1.5907078002301091E-2</v>
      </c>
      <c r="BY22" s="30">
        <f>0.5*LN((1+BX22)/(1-BX22))</f>
        <v>1.5908419889220204E-2</v>
      </c>
      <c r="BZ22" s="30">
        <f>((1-(BY22^2)^2)/(BI22-1))</f>
        <v>8.2651453504555366E-5</v>
      </c>
      <c r="CA22" s="30">
        <f>1/(BI22-3)</f>
        <v>8.2665123584359755E-5</v>
      </c>
      <c r="CB22"/>
      <c r="CC22"/>
      <c r="CD22"/>
      <c r="CE22" s="30">
        <f>((AZ22^2)/(AZ22^2+BJ22))^(1/2)</f>
        <v>1.5907078002301091E-2</v>
      </c>
      <c r="CF22" s="30">
        <f>0.5*LN((1+CE22)/(1-CE22))</f>
        <v>1.5908419889220204E-2</v>
      </c>
      <c r="CG22" s="30">
        <f>((1-(CF22^2)^2)/(BJ22-1))</f>
        <v>8.2651453504555366E-5</v>
      </c>
      <c r="CH22" s="30">
        <f>1/(BJ22-3)</f>
        <v>8.2665123584359755E-5</v>
      </c>
    </row>
    <row r="23" spans="1:86" ht="15.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AU23/AW23</f>
        <v>5.3333333333333339</v>
      </c>
      <c r="BA23" t="s">
        <v>73</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((AZ23^2)/(AZ23^2+BI23))^(1/2)</f>
        <v>4.7459569987691901E-2</v>
      </c>
      <c r="BY23" s="30">
        <f>0.5*LN((1+BX23)/(1-BX23))</f>
        <v>4.7495251036885983E-2</v>
      </c>
      <c r="BZ23" s="30">
        <f>((1-(BY23^2)^2)/(BI23-1))</f>
        <v>7.9370974789384351E-5</v>
      </c>
      <c r="CA23" s="30">
        <f>1/(BI23-3)</f>
        <v>7.9383980312772889E-5</v>
      </c>
      <c r="CE23" s="30">
        <f>((AZ23^2)/(AZ23^2+BJ23))^(1/2)</f>
        <v>4.7459569987691901E-2</v>
      </c>
      <c r="CF23" s="30">
        <f>0.5*LN((1+CE23)/(1-CE23))</f>
        <v>4.7495251036885983E-2</v>
      </c>
      <c r="CG23" s="30">
        <f>((1-(CF23^2)^2)/(BJ23-1))</f>
        <v>7.9370974789384351E-5</v>
      </c>
      <c r="CH23" s="30">
        <f>1/(BJ23-3)</f>
        <v>7.9383980312772889E-5</v>
      </c>
    </row>
    <row r="24" spans="1:86" ht="15.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AU24/AW24</f>
        <v>3</v>
      </c>
      <c r="BA24" t="s">
        <v>73</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((AZ24^2)/(AZ24^2+BI24))^(1/2)</f>
        <v>2.6716584257263244E-2</v>
      </c>
      <c r="BY24" s="30">
        <f>0.5*LN((1+BX24)/(1-BX24))</f>
        <v>2.672294353203979E-2</v>
      </c>
      <c r="BZ24" s="30">
        <f>((1-(BY24^2)^2)/(BI24-1))</f>
        <v>7.9371338204520307E-5</v>
      </c>
      <c r="CA24" s="30">
        <f>1/(BI24-3)</f>
        <v>7.9383980312772889E-5</v>
      </c>
      <c r="CE24" s="30">
        <f>((AZ24^2)/(AZ24^2+BJ24))^(1/2)</f>
        <v>2.6716584257263244E-2</v>
      </c>
      <c r="CF24" s="30">
        <f>0.5*LN((1+CE24)/(1-CE24))</f>
        <v>2.672294353203979E-2</v>
      </c>
      <c r="CG24" s="30">
        <f>((1-(CF24^2)^2)/(BJ24-1))</f>
        <v>7.9371338204520307E-5</v>
      </c>
      <c r="CH24" s="30">
        <f>1/(BJ24-3)</f>
        <v>7.9383980312772889E-5</v>
      </c>
    </row>
    <row r="25" spans="1:86" ht="15.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AU25/AW25</f>
        <v>0.47999999999999993</v>
      </c>
      <c r="BA25" t="s">
        <v>73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((AZ25^2)/(AZ25^2+BI25))^(1/2)</f>
        <v>4.2761407746332884E-3</v>
      </c>
      <c r="BY25" s="30">
        <f>0.5*LN((1+BX25)/(1-BX25))</f>
        <v>4.2761668385387485E-3</v>
      </c>
      <c r="BZ25" s="30">
        <f>((1-(BY25^2)^2)/(BI25-1))</f>
        <v>7.9371378654308805E-5</v>
      </c>
      <c r="CA25" s="30">
        <f>1/(BI25-3)</f>
        <v>7.9383980312772889E-5</v>
      </c>
      <c r="CE25" s="30">
        <f>((AZ25^2)/(AZ25^2+BJ25))^(1/2)</f>
        <v>4.2761407746332884E-3</v>
      </c>
      <c r="CF25" s="30">
        <f>0.5*LN((1+CE25)/(1-CE25))</f>
        <v>4.2761668385387485E-3</v>
      </c>
      <c r="CG25" s="30">
        <f>((1-(CF25^2)^2)/(BJ25-1))</f>
        <v>7.9371378654308805E-5</v>
      </c>
      <c r="CH25" s="30">
        <f>1/(BJ25-3)</f>
        <v>7.9383980312772889E-5</v>
      </c>
    </row>
    <row r="26" spans="1:86" ht="15.6">
      <c r="A26" s="111" t="s">
        <v>258</v>
      </c>
      <c r="B26" s="111"/>
      <c r="C26" s="111">
        <v>1197</v>
      </c>
      <c r="D26" s="111">
        <v>202</v>
      </c>
      <c r="E26" s="111" t="s">
        <v>259</v>
      </c>
      <c r="F26" s="111">
        <v>2021</v>
      </c>
      <c r="G26" s="111" t="s">
        <v>260</v>
      </c>
      <c r="H26" s="111" t="s">
        <v>261</v>
      </c>
      <c r="I26" s="111">
        <v>2</v>
      </c>
      <c r="J26" s="111" t="s">
        <v>262</v>
      </c>
      <c r="K26" s="111" t="s">
        <v>73</v>
      </c>
      <c r="L26" s="111">
        <v>8</v>
      </c>
      <c r="M26" s="18" t="s">
        <v>120</v>
      </c>
      <c r="N26" s="111" t="s">
        <v>263</v>
      </c>
      <c r="O26" s="111" t="s">
        <v>148</v>
      </c>
      <c r="P26" t="s">
        <v>227</v>
      </c>
      <c r="Q26" s="111" t="s">
        <v>228</v>
      </c>
      <c r="R26" s="111" t="s">
        <v>406</v>
      </c>
      <c r="S26">
        <v>0</v>
      </c>
      <c r="T26" t="s">
        <v>230</v>
      </c>
      <c r="U26">
        <v>0</v>
      </c>
      <c r="V26" s="111" t="s">
        <v>231</v>
      </c>
      <c r="W26" s="111" t="s">
        <v>231</v>
      </c>
      <c r="X26" s="111" t="s">
        <v>264</v>
      </c>
      <c r="Y26" s="111">
        <v>0</v>
      </c>
      <c r="Z26" s="111">
        <v>0</v>
      </c>
      <c r="AA26" s="111">
        <v>1</v>
      </c>
      <c r="AB26" s="111">
        <v>0</v>
      </c>
      <c r="AC26" s="111">
        <v>0</v>
      </c>
      <c r="AD26" s="111">
        <v>0</v>
      </c>
      <c r="AE26" s="111">
        <v>0</v>
      </c>
      <c r="AF26" s="111">
        <v>1</v>
      </c>
      <c r="AG26" s="111" t="s">
        <v>265</v>
      </c>
      <c r="AH26" s="111">
        <v>0</v>
      </c>
      <c r="AI26" s="111">
        <v>0</v>
      </c>
      <c r="AJ26" s="111">
        <v>0</v>
      </c>
      <c r="AK26" s="111">
        <v>1</v>
      </c>
      <c r="AL26" s="111">
        <v>0</v>
      </c>
      <c r="AM26" s="111">
        <v>0</v>
      </c>
      <c r="AN26" s="111">
        <v>0</v>
      </c>
      <c r="AO26" s="111">
        <v>0</v>
      </c>
      <c r="AP26" s="111">
        <v>0</v>
      </c>
      <c r="AQ26" s="111" t="s">
        <v>73</v>
      </c>
      <c r="AR26" s="111" t="s">
        <v>233</v>
      </c>
      <c r="AS26" s="111" t="s">
        <v>266</v>
      </c>
      <c r="AT26" s="111" t="s">
        <v>73</v>
      </c>
      <c r="AU26" s="112">
        <v>0.16500000000000001</v>
      </c>
      <c r="AV26" s="113" t="s">
        <v>80</v>
      </c>
      <c r="AW26" s="112">
        <v>1.4E-2</v>
      </c>
      <c r="AX26" s="114">
        <v>0.05</v>
      </c>
      <c r="AY26" s="111">
        <v>1</v>
      </c>
      <c r="AZ26" s="115">
        <f>AU26/AW26</f>
        <v>11.785714285714286</v>
      </c>
      <c r="BA26" s="111" t="s">
        <v>73</v>
      </c>
      <c r="BB26" s="111"/>
      <c r="BC26" s="111" t="s">
        <v>73</v>
      </c>
      <c r="BD26" s="111" t="s">
        <v>73</v>
      </c>
      <c r="BE26" s="111" t="s">
        <v>73</v>
      </c>
      <c r="BF26" s="111" t="s">
        <v>73</v>
      </c>
      <c r="BG26" s="111" t="s">
        <v>73</v>
      </c>
      <c r="BH26" s="111" t="s">
        <v>73</v>
      </c>
      <c r="BI26" s="116">
        <v>1143</v>
      </c>
      <c r="BJ26" s="116">
        <f>BI26</f>
        <v>1143</v>
      </c>
      <c r="BK26" s="111" t="s">
        <v>73</v>
      </c>
      <c r="BL26" s="111" t="s">
        <v>73</v>
      </c>
      <c r="BM26" s="111" t="s">
        <v>73</v>
      </c>
      <c r="BN26" s="111" t="s">
        <v>73</v>
      </c>
      <c r="BO26" s="111" t="s">
        <v>73</v>
      </c>
      <c r="BP26" s="111">
        <v>0</v>
      </c>
      <c r="BQ26" s="111" t="s">
        <v>73</v>
      </c>
      <c r="BR26" s="111">
        <v>0</v>
      </c>
      <c r="BS26" s="111" t="s">
        <v>73</v>
      </c>
      <c r="BT26" s="111" t="s">
        <v>267</v>
      </c>
      <c r="BU26" s="111">
        <v>0</v>
      </c>
      <c r="BV26" s="111">
        <v>0</v>
      </c>
      <c r="BW26" s="111">
        <v>0</v>
      </c>
      <c r="BX26" s="117">
        <f>((AZ26^2)/(AZ26^2+BI26))^(1/2)</f>
        <v>0.32917611569084376</v>
      </c>
      <c r="BY26" s="117">
        <f>0.5*LN((1+BX26)/(1-BX26))</f>
        <v>0.34190396617995006</v>
      </c>
      <c r="BZ26" s="117">
        <f>((1-(BY26^2)^2)/(BI26-1))</f>
        <v>8.6369070253296037E-4</v>
      </c>
      <c r="CA26" s="117">
        <f>1/(BI26-3)</f>
        <v>8.7719298245614037E-4</v>
      </c>
      <c r="CB26" s="111"/>
      <c r="CC26" s="111"/>
      <c r="CD26" s="111"/>
      <c r="CE26" s="30">
        <f>((AZ26^2)/(AZ26^2+BJ26))^(1/2)</f>
        <v>0.32917611569084376</v>
      </c>
      <c r="CF26" s="30">
        <f>0.5*LN((1+CE26)/(1-CE26))</f>
        <v>0.34190396617995006</v>
      </c>
      <c r="CG26" s="30">
        <f>((1-(CF26^2)^2)/(BJ26-1))</f>
        <v>8.6369070253296037E-4</v>
      </c>
      <c r="CH26" s="30">
        <f>1/(BJ26-3)</f>
        <v>8.7719298245614037E-4</v>
      </c>
    </row>
    <row r="27" spans="1:86" ht="15.6">
      <c r="A27" s="111" t="s">
        <v>258</v>
      </c>
      <c r="B27" s="111"/>
      <c r="C27" s="111">
        <v>1198</v>
      </c>
      <c r="D27" s="111">
        <v>202</v>
      </c>
      <c r="E27" s="111" t="s">
        <v>259</v>
      </c>
      <c r="F27" s="111">
        <v>2021</v>
      </c>
      <c r="G27" s="111" t="s">
        <v>260</v>
      </c>
      <c r="H27" s="111" t="s">
        <v>261</v>
      </c>
      <c r="I27" s="111">
        <v>2</v>
      </c>
      <c r="J27" s="111" t="s">
        <v>262</v>
      </c>
      <c r="K27" s="111" t="s">
        <v>73</v>
      </c>
      <c r="L27" s="111">
        <v>8</v>
      </c>
      <c r="M27" s="18" t="s">
        <v>120</v>
      </c>
      <c r="N27" s="111" t="s">
        <v>263</v>
      </c>
      <c r="O27" s="111" t="s">
        <v>268</v>
      </c>
      <c r="P27" t="s">
        <v>227</v>
      </c>
      <c r="Q27" s="111" t="s">
        <v>228</v>
      </c>
      <c r="R27" s="111" t="s">
        <v>406</v>
      </c>
      <c r="S27">
        <v>0</v>
      </c>
      <c r="T27" t="s">
        <v>230</v>
      </c>
      <c r="U27">
        <v>0</v>
      </c>
      <c r="V27" s="111" t="s">
        <v>231</v>
      </c>
      <c r="W27" s="111" t="s">
        <v>231</v>
      </c>
      <c r="X27" s="111" t="s">
        <v>264</v>
      </c>
      <c r="Y27" s="111">
        <v>0</v>
      </c>
      <c r="Z27" s="111">
        <v>0</v>
      </c>
      <c r="AA27" s="111">
        <v>1</v>
      </c>
      <c r="AB27" s="111">
        <v>0</v>
      </c>
      <c r="AC27" s="111">
        <v>0</v>
      </c>
      <c r="AD27" s="111">
        <v>0</v>
      </c>
      <c r="AE27" s="111">
        <v>0</v>
      </c>
      <c r="AF27" s="111">
        <v>1</v>
      </c>
      <c r="AG27" s="111" t="s">
        <v>265</v>
      </c>
      <c r="AH27" s="111">
        <v>0</v>
      </c>
      <c r="AI27" s="111">
        <v>0</v>
      </c>
      <c r="AJ27" s="111">
        <v>0</v>
      </c>
      <c r="AK27" s="111">
        <v>1</v>
      </c>
      <c r="AL27" s="111">
        <v>0</v>
      </c>
      <c r="AM27" s="111">
        <v>0</v>
      </c>
      <c r="AN27" s="111">
        <v>0</v>
      </c>
      <c r="AO27" s="111">
        <v>0</v>
      </c>
      <c r="AP27" s="111">
        <v>0</v>
      </c>
      <c r="AQ27" s="111" t="s">
        <v>73</v>
      </c>
      <c r="AR27" s="111" t="s">
        <v>233</v>
      </c>
      <c r="AS27" s="111" t="s">
        <v>266</v>
      </c>
      <c r="AT27" s="111" t="s">
        <v>73</v>
      </c>
      <c r="AU27" s="112">
        <v>0.38400000000000001</v>
      </c>
      <c r="AV27" s="113" t="s">
        <v>80</v>
      </c>
      <c r="AW27" s="112">
        <v>4.0000000000000002E-4</v>
      </c>
      <c r="AX27" s="114">
        <v>0.01</v>
      </c>
      <c r="AY27" s="111">
        <v>1</v>
      </c>
      <c r="AZ27" s="115">
        <f>AU27/AW27</f>
        <v>960</v>
      </c>
      <c r="BA27" s="111" t="s">
        <v>73</v>
      </c>
      <c r="BB27" s="111"/>
      <c r="BC27" s="111" t="s">
        <v>73</v>
      </c>
      <c r="BD27" s="111" t="s">
        <v>73</v>
      </c>
      <c r="BE27" s="111" t="s">
        <v>73</v>
      </c>
      <c r="BF27" s="111" t="s">
        <v>73</v>
      </c>
      <c r="BG27" s="111" t="s">
        <v>73</v>
      </c>
      <c r="BH27" s="111" t="s">
        <v>73</v>
      </c>
      <c r="BI27" s="116">
        <v>1143</v>
      </c>
      <c r="BJ27" s="116">
        <f>BI27</f>
        <v>1143</v>
      </c>
      <c r="BK27" s="111" t="s">
        <v>73</v>
      </c>
      <c r="BL27" s="111" t="s">
        <v>73</v>
      </c>
      <c r="BM27" s="111" t="s">
        <v>73</v>
      </c>
      <c r="BN27" s="111" t="s">
        <v>73</v>
      </c>
      <c r="BO27" s="111" t="s">
        <v>73</v>
      </c>
      <c r="BP27" s="111">
        <v>0</v>
      </c>
      <c r="BQ27" s="111" t="s">
        <v>73</v>
      </c>
      <c r="BR27" s="111">
        <v>0</v>
      </c>
      <c r="BS27" s="111" t="s">
        <v>73</v>
      </c>
      <c r="BT27" s="111" t="s">
        <v>267</v>
      </c>
      <c r="BU27" s="111">
        <v>0</v>
      </c>
      <c r="BV27" s="111">
        <v>0</v>
      </c>
      <c r="BW27" s="111">
        <v>0</v>
      </c>
      <c r="BX27" s="118">
        <f>((AZ27^2)/(AZ27^2+BI27))^(1/2)</f>
        <v>0.99938045903497763</v>
      </c>
      <c r="BY27" s="117">
        <f>0.5*LN((1+BX27)/(1-BX27))</f>
        <v>4.0396845476129251</v>
      </c>
      <c r="BZ27" s="117">
        <f>((1-(BY27^2)^2)/(BI27-1))</f>
        <v>-0.23232174563184291</v>
      </c>
      <c r="CA27" s="117">
        <f>1/(BI27-3)</f>
        <v>8.7719298245614037E-4</v>
      </c>
      <c r="CB27" s="111"/>
      <c r="CC27" s="111"/>
      <c r="CD27" s="111"/>
      <c r="CE27" s="30">
        <f>((AZ27^2)/(AZ27^2+BJ27))^(1/2)</f>
        <v>0.99938045903497763</v>
      </c>
      <c r="CF27" s="30">
        <f>0.5*LN((1+CE27)/(1-CE27))</f>
        <v>4.0396845476129251</v>
      </c>
      <c r="CG27" s="30">
        <f>((1-(CF27^2)^2)/(BJ27-1))</f>
        <v>-0.23232174563184291</v>
      </c>
      <c r="CH27" s="30">
        <f>1/(BJ27-3)</f>
        <v>8.7719298245614037E-4</v>
      </c>
    </row>
    <row r="28" spans="1:86" ht="15.6">
      <c r="A28" s="111" t="s">
        <v>258</v>
      </c>
      <c r="B28" s="111"/>
      <c r="C28" s="111">
        <v>1199</v>
      </c>
      <c r="D28" s="111">
        <v>202</v>
      </c>
      <c r="E28" s="111" t="s">
        <v>259</v>
      </c>
      <c r="F28" s="111">
        <v>2021</v>
      </c>
      <c r="G28" s="111" t="s">
        <v>260</v>
      </c>
      <c r="H28" s="111" t="s">
        <v>261</v>
      </c>
      <c r="I28" s="111">
        <v>2</v>
      </c>
      <c r="J28" s="111" t="s">
        <v>262</v>
      </c>
      <c r="K28" s="111" t="s">
        <v>73</v>
      </c>
      <c r="L28" s="111">
        <v>8</v>
      </c>
      <c r="M28" s="18" t="s">
        <v>120</v>
      </c>
      <c r="N28" s="111" t="s">
        <v>263</v>
      </c>
      <c r="O28" s="111" t="s">
        <v>269</v>
      </c>
      <c r="P28" t="s">
        <v>227</v>
      </c>
      <c r="Q28" s="111" t="s">
        <v>228</v>
      </c>
      <c r="R28" s="111" t="s">
        <v>406</v>
      </c>
      <c r="S28">
        <v>0</v>
      </c>
      <c r="T28" t="s">
        <v>230</v>
      </c>
      <c r="U28">
        <v>0</v>
      </c>
      <c r="V28" s="111" t="s">
        <v>231</v>
      </c>
      <c r="W28" s="111" t="s">
        <v>231</v>
      </c>
      <c r="X28" s="111" t="s">
        <v>264</v>
      </c>
      <c r="Y28" s="111">
        <v>0</v>
      </c>
      <c r="Z28" s="111">
        <v>0</v>
      </c>
      <c r="AA28" s="111">
        <v>1</v>
      </c>
      <c r="AB28" s="111">
        <v>0</v>
      </c>
      <c r="AC28" s="111">
        <v>0</v>
      </c>
      <c r="AD28" s="111">
        <v>0</v>
      </c>
      <c r="AE28" s="111">
        <v>0</v>
      </c>
      <c r="AF28" s="111">
        <v>1</v>
      </c>
      <c r="AG28" s="111" t="s">
        <v>265</v>
      </c>
      <c r="AH28" s="111">
        <v>0</v>
      </c>
      <c r="AI28" s="111">
        <v>0</v>
      </c>
      <c r="AJ28" s="111">
        <v>0</v>
      </c>
      <c r="AK28" s="111">
        <v>1</v>
      </c>
      <c r="AL28" s="111">
        <v>0</v>
      </c>
      <c r="AM28" s="111">
        <v>0</v>
      </c>
      <c r="AN28" s="111">
        <v>0</v>
      </c>
      <c r="AO28" s="111">
        <v>0</v>
      </c>
      <c r="AP28" s="111">
        <v>0</v>
      </c>
      <c r="AQ28" s="111" t="s">
        <v>73</v>
      </c>
      <c r="AR28" s="111" t="s">
        <v>233</v>
      </c>
      <c r="AS28" s="111" t="s">
        <v>266</v>
      </c>
      <c r="AT28" s="111" t="s">
        <v>73</v>
      </c>
      <c r="AU28" s="112">
        <v>0.188</v>
      </c>
      <c r="AV28" s="113" t="s">
        <v>80</v>
      </c>
      <c r="AW28" s="112">
        <v>6.0000000000000001E-3</v>
      </c>
      <c r="AX28" s="114">
        <v>0.01</v>
      </c>
      <c r="AY28" s="111">
        <v>1</v>
      </c>
      <c r="AZ28" s="115">
        <f>AU28/AW28</f>
        <v>31.333333333333332</v>
      </c>
      <c r="BA28" s="111" t="s">
        <v>73</v>
      </c>
      <c r="BB28" s="111"/>
      <c r="BC28" s="111" t="s">
        <v>73</v>
      </c>
      <c r="BD28" s="111" t="s">
        <v>73</v>
      </c>
      <c r="BE28" s="111" t="s">
        <v>73</v>
      </c>
      <c r="BF28" s="111" t="s">
        <v>73</v>
      </c>
      <c r="BG28" s="111" t="s">
        <v>73</v>
      </c>
      <c r="BH28" s="111" t="s">
        <v>73</v>
      </c>
      <c r="BI28" s="116">
        <v>1143</v>
      </c>
      <c r="BJ28" s="116">
        <f>BI28</f>
        <v>1143</v>
      </c>
      <c r="BK28" s="111" t="s">
        <v>73</v>
      </c>
      <c r="BL28" s="111" t="s">
        <v>73</v>
      </c>
      <c r="BM28" s="111" t="s">
        <v>73</v>
      </c>
      <c r="BN28" s="111" t="s">
        <v>73</v>
      </c>
      <c r="BO28" s="111" t="s">
        <v>73</v>
      </c>
      <c r="BP28" s="111">
        <v>0</v>
      </c>
      <c r="BQ28" s="111" t="s">
        <v>73</v>
      </c>
      <c r="BR28" s="111">
        <v>0</v>
      </c>
      <c r="BS28" s="111" t="s">
        <v>73</v>
      </c>
      <c r="BT28" s="111" t="s">
        <v>267</v>
      </c>
      <c r="BU28" s="111">
        <v>0</v>
      </c>
      <c r="BV28" s="111">
        <v>0</v>
      </c>
      <c r="BW28" s="111">
        <v>0</v>
      </c>
      <c r="BX28" s="118">
        <f>((AZ28^2)/(AZ28^2+BI28))^(1/2)</f>
        <v>0.6797509779625166</v>
      </c>
      <c r="BY28" s="117">
        <f>0.5*LN((1+BX28)/(1-BX28))</f>
        <v>0.8286509734911085</v>
      </c>
      <c r="BZ28" s="117">
        <f>((1-(BY28^2)^2)/(BI28-1))</f>
        <v>4.6277994673218209E-4</v>
      </c>
      <c r="CA28" s="117">
        <f>1/(BI28-3)</f>
        <v>8.7719298245614037E-4</v>
      </c>
      <c r="CB28" s="111"/>
      <c r="CC28" s="111"/>
      <c r="CD28" s="111"/>
      <c r="CE28" s="30">
        <f>((AZ28^2)/(AZ28^2+BJ28))^(1/2)</f>
        <v>0.6797509779625166</v>
      </c>
      <c r="CF28" s="30">
        <f>0.5*LN((1+CE28)/(1-CE28))</f>
        <v>0.8286509734911085</v>
      </c>
      <c r="CG28" s="30">
        <f>((1-(CF28^2)^2)/(BJ28-1))</f>
        <v>4.6277994673218209E-4</v>
      </c>
      <c r="CH28" s="30">
        <f>1/(BJ28-3)</f>
        <v>8.7719298245614037E-4</v>
      </c>
    </row>
    <row r="29" spans="1:86" ht="15.6">
      <c r="A29" s="111" t="s">
        <v>258</v>
      </c>
      <c r="B29" s="111"/>
      <c r="C29" s="111">
        <v>1200</v>
      </c>
      <c r="D29" s="111">
        <v>202</v>
      </c>
      <c r="E29" s="111" t="s">
        <v>259</v>
      </c>
      <c r="F29" s="111">
        <v>2021</v>
      </c>
      <c r="G29" s="111" t="s">
        <v>260</v>
      </c>
      <c r="H29" s="111" t="s">
        <v>261</v>
      </c>
      <c r="I29" s="111">
        <v>2</v>
      </c>
      <c r="J29" s="111" t="s">
        <v>262</v>
      </c>
      <c r="K29" s="111" t="s">
        <v>73</v>
      </c>
      <c r="L29" s="111">
        <v>8</v>
      </c>
      <c r="M29" s="18" t="s">
        <v>120</v>
      </c>
      <c r="N29" s="111" t="s">
        <v>263</v>
      </c>
      <c r="O29" s="111" t="s">
        <v>270</v>
      </c>
      <c r="P29" t="s">
        <v>227</v>
      </c>
      <c r="Q29" s="111" t="s">
        <v>228</v>
      </c>
      <c r="R29" s="111" t="s">
        <v>406</v>
      </c>
      <c r="S29">
        <v>0</v>
      </c>
      <c r="T29" t="s">
        <v>230</v>
      </c>
      <c r="U29">
        <v>0</v>
      </c>
      <c r="V29" s="111" t="s">
        <v>231</v>
      </c>
      <c r="W29" s="111" t="s">
        <v>231</v>
      </c>
      <c r="X29" s="111" t="s">
        <v>264</v>
      </c>
      <c r="Y29" s="111">
        <v>0</v>
      </c>
      <c r="Z29" s="111">
        <v>0</v>
      </c>
      <c r="AA29" s="111">
        <v>1</v>
      </c>
      <c r="AB29" s="111">
        <v>0</v>
      </c>
      <c r="AC29" s="111">
        <v>0</v>
      </c>
      <c r="AD29" s="111">
        <v>0</v>
      </c>
      <c r="AE29" s="111">
        <v>0</v>
      </c>
      <c r="AF29" s="111">
        <v>1</v>
      </c>
      <c r="AG29" s="111" t="s">
        <v>265</v>
      </c>
      <c r="AH29" s="111">
        <v>0</v>
      </c>
      <c r="AI29" s="111">
        <v>0</v>
      </c>
      <c r="AJ29" s="111">
        <v>0</v>
      </c>
      <c r="AK29" s="111">
        <v>1</v>
      </c>
      <c r="AL29" s="111">
        <v>0</v>
      </c>
      <c r="AM29" s="111">
        <v>0</v>
      </c>
      <c r="AN29" s="111">
        <v>0</v>
      </c>
      <c r="AO29" s="111">
        <v>0</v>
      </c>
      <c r="AP29" s="111">
        <v>0</v>
      </c>
      <c r="AQ29" s="111" t="s">
        <v>73</v>
      </c>
      <c r="AR29" s="111" t="s">
        <v>233</v>
      </c>
      <c r="AS29" s="111" t="s">
        <v>266</v>
      </c>
      <c r="AT29" s="111" t="s">
        <v>73</v>
      </c>
      <c r="AU29" s="112">
        <v>0.17799999999999999</v>
      </c>
      <c r="AV29" s="113" t="s">
        <v>80</v>
      </c>
      <c r="AW29" s="112">
        <v>4.0000000000000002E-4</v>
      </c>
      <c r="AX29" s="114">
        <v>0.01</v>
      </c>
      <c r="AY29" s="111">
        <v>1</v>
      </c>
      <c r="AZ29" s="115">
        <f>AU29/AW29</f>
        <v>444.99999999999994</v>
      </c>
      <c r="BA29" s="111" t="s">
        <v>73</v>
      </c>
      <c r="BB29" s="111"/>
      <c r="BC29" s="111" t="s">
        <v>73</v>
      </c>
      <c r="BD29" s="111" t="s">
        <v>73</v>
      </c>
      <c r="BE29" s="111" t="s">
        <v>73</v>
      </c>
      <c r="BF29" s="111" t="s">
        <v>73</v>
      </c>
      <c r="BG29" s="111" t="s">
        <v>73</v>
      </c>
      <c r="BH29" s="111" t="s">
        <v>73</v>
      </c>
      <c r="BI29" s="116">
        <v>1143</v>
      </c>
      <c r="BJ29" s="116">
        <f>BI29</f>
        <v>1143</v>
      </c>
      <c r="BK29" s="111" t="s">
        <v>73</v>
      </c>
      <c r="BL29" s="111" t="s">
        <v>73</v>
      </c>
      <c r="BM29" s="111" t="s">
        <v>73</v>
      </c>
      <c r="BN29" s="111" t="s">
        <v>73</v>
      </c>
      <c r="BO29" s="111" t="s">
        <v>73</v>
      </c>
      <c r="BP29" s="111">
        <v>0</v>
      </c>
      <c r="BQ29" s="111" t="s">
        <v>73</v>
      </c>
      <c r="BR29" s="111">
        <v>0</v>
      </c>
      <c r="BS29" s="111" t="s">
        <v>73</v>
      </c>
      <c r="BT29" s="111" t="s">
        <v>267</v>
      </c>
      <c r="BU29" s="111">
        <v>0</v>
      </c>
      <c r="BV29" s="111">
        <v>0</v>
      </c>
      <c r="BW29" s="111">
        <v>0</v>
      </c>
      <c r="BX29" s="118">
        <f>((AZ29^2)/(AZ29^2+BI29))^(1/2)</f>
        <v>0.9971264344531976</v>
      </c>
      <c r="BY29" s="117">
        <f>0.5*LN((1+BX29)/(1-BX29))</f>
        <v>3.2719555170560017</v>
      </c>
      <c r="BZ29" s="117">
        <f>((1-(BY29^2)^2)/(BI29-1))</f>
        <v>-9.9484991759079461E-2</v>
      </c>
      <c r="CA29" s="117">
        <f>1/(BI29-3)</f>
        <v>8.7719298245614037E-4</v>
      </c>
      <c r="CB29" s="111"/>
      <c r="CC29" s="111"/>
      <c r="CD29" s="111"/>
      <c r="CE29" s="30">
        <f>((AZ29^2)/(AZ29^2+BJ29))^(1/2)</f>
        <v>0.9971264344531976</v>
      </c>
      <c r="CF29" s="30">
        <f>0.5*LN((1+CE29)/(1-CE29))</f>
        <v>3.2719555170560017</v>
      </c>
      <c r="CG29" s="30">
        <f>((1-(CF29^2)^2)/(BJ29-1))</f>
        <v>-9.9484991759079461E-2</v>
      </c>
      <c r="CH29" s="30">
        <f>1/(BJ29-3)</f>
        <v>8.7719298245614037E-4</v>
      </c>
    </row>
    <row r="30" spans="1:86" ht="15.6">
      <c r="A30" s="111" t="s">
        <v>258</v>
      </c>
      <c r="B30" s="111"/>
      <c r="C30" s="111">
        <v>1201</v>
      </c>
      <c r="D30" s="111">
        <v>202</v>
      </c>
      <c r="E30" s="111" t="s">
        <v>259</v>
      </c>
      <c r="F30" s="111">
        <v>2021</v>
      </c>
      <c r="G30" s="111" t="s">
        <v>260</v>
      </c>
      <c r="H30" s="111" t="s">
        <v>261</v>
      </c>
      <c r="I30" s="111">
        <v>2</v>
      </c>
      <c r="J30" s="111" t="s">
        <v>262</v>
      </c>
      <c r="K30" s="111" t="s">
        <v>73</v>
      </c>
      <c r="L30" s="111">
        <v>8</v>
      </c>
      <c r="M30" s="18" t="s">
        <v>120</v>
      </c>
      <c r="N30" s="111" t="s">
        <v>263</v>
      </c>
      <c r="O30" s="111" t="s">
        <v>271</v>
      </c>
      <c r="P30" t="s">
        <v>227</v>
      </c>
      <c r="Q30" s="111" t="s">
        <v>228</v>
      </c>
      <c r="R30" s="111" t="s">
        <v>406</v>
      </c>
      <c r="S30">
        <v>0</v>
      </c>
      <c r="T30" t="s">
        <v>230</v>
      </c>
      <c r="U30">
        <v>0</v>
      </c>
      <c r="V30" s="111" t="s">
        <v>231</v>
      </c>
      <c r="W30" s="111" t="s">
        <v>231</v>
      </c>
      <c r="X30" s="111" t="s">
        <v>264</v>
      </c>
      <c r="Y30" s="111">
        <v>0</v>
      </c>
      <c r="Z30" s="111">
        <v>0</v>
      </c>
      <c r="AA30" s="111">
        <v>1</v>
      </c>
      <c r="AB30" s="111">
        <v>0</v>
      </c>
      <c r="AC30" s="111">
        <v>0</v>
      </c>
      <c r="AD30" s="111">
        <v>0</v>
      </c>
      <c r="AE30" s="111">
        <v>0</v>
      </c>
      <c r="AF30" s="111">
        <v>1</v>
      </c>
      <c r="AG30" s="111" t="s">
        <v>265</v>
      </c>
      <c r="AH30" s="111">
        <v>0</v>
      </c>
      <c r="AI30" s="111">
        <v>0</v>
      </c>
      <c r="AJ30" s="111">
        <v>0</v>
      </c>
      <c r="AK30" s="111">
        <v>1</v>
      </c>
      <c r="AL30" s="111">
        <v>0</v>
      </c>
      <c r="AM30" s="111">
        <v>0</v>
      </c>
      <c r="AN30" s="111">
        <v>0</v>
      </c>
      <c r="AO30" s="111">
        <v>0</v>
      </c>
      <c r="AP30" s="111">
        <v>0</v>
      </c>
      <c r="AQ30" s="111" t="s">
        <v>73</v>
      </c>
      <c r="AR30" s="111" t="s">
        <v>233</v>
      </c>
      <c r="AS30" s="111" t="s">
        <v>266</v>
      </c>
      <c r="AT30" s="111" t="s">
        <v>73</v>
      </c>
      <c r="AU30" s="112">
        <v>0.22500000000000001</v>
      </c>
      <c r="AV30" s="113" t="s">
        <v>80</v>
      </c>
      <c r="AW30" s="112">
        <v>4.0000000000000002E-4</v>
      </c>
      <c r="AX30" s="114">
        <v>0.01</v>
      </c>
      <c r="AY30" s="111">
        <v>1</v>
      </c>
      <c r="AZ30" s="115">
        <f>AU30/AW30</f>
        <v>562.5</v>
      </c>
      <c r="BA30" s="111" t="s">
        <v>73</v>
      </c>
      <c r="BB30" s="111"/>
      <c r="BC30" s="111" t="s">
        <v>73</v>
      </c>
      <c r="BD30" s="111" t="s">
        <v>73</v>
      </c>
      <c r="BE30" s="111" t="s">
        <v>73</v>
      </c>
      <c r="BF30" s="111" t="s">
        <v>73</v>
      </c>
      <c r="BG30" s="111" t="s">
        <v>73</v>
      </c>
      <c r="BH30" s="111" t="s">
        <v>73</v>
      </c>
      <c r="BI30" s="116">
        <v>1143</v>
      </c>
      <c r="BJ30" s="116">
        <f>BI30</f>
        <v>1143</v>
      </c>
      <c r="BK30" s="111" t="s">
        <v>73</v>
      </c>
      <c r="BL30" s="111" t="s">
        <v>73</v>
      </c>
      <c r="BM30" s="111" t="s">
        <v>73</v>
      </c>
      <c r="BN30" s="111" t="s">
        <v>73</v>
      </c>
      <c r="BO30" s="111" t="s">
        <v>73</v>
      </c>
      <c r="BP30" s="111">
        <v>0</v>
      </c>
      <c r="BQ30" s="111" t="s">
        <v>73</v>
      </c>
      <c r="BR30" s="111">
        <v>0</v>
      </c>
      <c r="BS30" s="111" t="s">
        <v>73</v>
      </c>
      <c r="BT30" s="111" t="s">
        <v>267</v>
      </c>
      <c r="BU30" s="111">
        <v>0</v>
      </c>
      <c r="BV30" s="111">
        <v>0</v>
      </c>
      <c r="BW30" s="111">
        <v>0</v>
      </c>
      <c r="BX30" s="118">
        <f>((AZ30^2)/(AZ30^2+BI30))^(1/2)</f>
        <v>0.99819865675054298</v>
      </c>
      <c r="BY30" s="117">
        <f>0.5*LN((1+BX30)/(1-BX30))</f>
        <v>3.5057343728871753</v>
      </c>
      <c r="BZ30" s="117">
        <f>((1-(BY30^2)^2)/(BI30-1))</f>
        <v>-0.13139086207881251</v>
      </c>
      <c r="CA30" s="117">
        <f>1/(BI30-3)</f>
        <v>8.7719298245614037E-4</v>
      </c>
      <c r="CB30" s="111"/>
      <c r="CC30" s="111"/>
      <c r="CD30" s="111"/>
      <c r="CE30" s="30">
        <f>((AZ30^2)/(AZ30^2+BJ30))^(1/2)</f>
        <v>0.99819865675054298</v>
      </c>
      <c r="CF30" s="30">
        <f>0.5*LN((1+CE30)/(1-CE30))</f>
        <v>3.5057343728871753</v>
      </c>
      <c r="CG30" s="30">
        <f>((1-(CF30^2)^2)/(BJ30-1))</f>
        <v>-0.13139086207881251</v>
      </c>
      <c r="CH30" s="30">
        <f>1/(BJ30-3)</f>
        <v>8.7719298245614037E-4</v>
      </c>
    </row>
    <row r="31" spans="1:86" ht="15.6">
      <c r="A31" s="111" t="s">
        <v>258</v>
      </c>
      <c r="B31" s="111"/>
      <c r="C31" s="111">
        <v>1202</v>
      </c>
      <c r="D31" s="111">
        <v>202</v>
      </c>
      <c r="E31" s="111" t="s">
        <v>259</v>
      </c>
      <c r="F31" s="111">
        <v>2021</v>
      </c>
      <c r="G31" s="111" t="s">
        <v>260</v>
      </c>
      <c r="H31" s="111" t="s">
        <v>261</v>
      </c>
      <c r="I31" s="111">
        <v>2</v>
      </c>
      <c r="J31" s="111" t="s">
        <v>262</v>
      </c>
      <c r="K31" s="111" t="s">
        <v>73</v>
      </c>
      <c r="L31" s="111">
        <v>8</v>
      </c>
      <c r="M31" s="18" t="s">
        <v>120</v>
      </c>
      <c r="N31" s="111" t="s">
        <v>263</v>
      </c>
      <c r="O31" s="111" t="s">
        <v>272</v>
      </c>
      <c r="P31" t="s">
        <v>227</v>
      </c>
      <c r="Q31" s="111" t="s">
        <v>228</v>
      </c>
      <c r="R31" s="111" t="s">
        <v>406</v>
      </c>
      <c r="S31">
        <v>0</v>
      </c>
      <c r="T31" t="s">
        <v>230</v>
      </c>
      <c r="U31">
        <v>0</v>
      </c>
      <c r="V31" s="111" t="s">
        <v>231</v>
      </c>
      <c r="W31" s="111" t="s">
        <v>231</v>
      </c>
      <c r="X31" s="111" t="s">
        <v>264</v>
      </c>
      <c r="Y31" s="111">
        <v>0</v>
      </c>
      <c r="Z31" s="111">
        <v>0</v>
      </c>
      <c r="AA31" s="111">
        <v>1</v>
      </c>
      <c r="AB31" s="111">
        <v>0</v>
      </c>
      <c r="AC31" s="111">
        <v>0</v>
      </c>
      <c r="AD31" s="111">
        <v>0</v>
      </c>
      <c r="AE31" s="111">
        <v>0</v>
      </c>
      <c r="AF31" s="111">
        <v>1</v>
      </c>
      <c r="AG31" s="111" t="s">
        <v>265</v>
      </c>
      <c r="AH31" s="111">
        <v>0</v>
      </c>
      <c r="AI31" s="111">
        <v>0</v>
      </c>
      <c r="AJ31" s="111">
        <v>0</v>
      </c>
      <c r="AK31" s="111">
        <v>1</v>
      </c>
      <c r="AL31" s="111">
        <v>0</v>
      </c>
      <c r="AM31" s="111">
        <v>0</v>
      </c>
      <c r="AN31" s="111">
        <v>0</v>
      </c>
      <c r="AO31" s="111">
        <v>0</v>
      </c>
      <c r="AP31" s="111">
        <v>0</v>
      </c>
      <c r="AQ31" s="111" t="s">
        <v>73</v>
      </c>
      <c r="AR31" s="111" t="s">
        <v>233</v>
      </c>
      <c r="AS31" s="111" t="s">
        <v>266</v>
      </c>
      <c r="AT31" s="111" t="s">
        <v>73</v>
      </c>
      <c r="AU31" s="112">
        <v>0.217</v>
      </c>
      <c r="AV31" s="113" t="s">
        <v>80</v>
      </c>
      <c r="AW31" s="112">
        <v>1.0999999999999999E-2</v>
      </c>
      <c r="AX31" s="114">
        <v>0.05</v>
      </c>
      <c r="AY31" s="111">
        <v>1</v>
      </c>
      <c r="AZ31" s="115">
        <f>AU31/AW31</f>
        <v>19.727272727272727</v>
      </c>
      <c r="BA31" s="111" t="s">
        <v>73</v>
      </c>
      <c r="BB31" s="111"/>
      <c r="BC31" s="111" t="s">
        <v>73</v>
      </c>
      <c r="BD31" s="111" t="s">
        <v>73</v>
      </c>
      <c r="BE31" s="111" t="s">
        <v>73</v>
      </c>
      <c r="BF31" s="111" t="s">
        <v>73</v>
      </c>
      <c r="BG31" s="111" t="s">
        <v>73</v>
      </c>
      <c r="BH31" s="111" t="s">
        <v>73</v>
      </c>
      <c r="BI31" s="116">
        <v>1143</v>
      </c>
      <c r="BJ31" s="116">
        <f>BI31</f>
        <v>1143</v>
      </c>
      <c r="BK31" s="111" t="s">
        <v>73</v>
      </c>
      <c r="BL31" s="111" t="s">
        <v>73</v>
      </c>
      <c r="BM31" s="111" t="s">
        <v>73</v>
      </c>
      <c r="BN31" s="111" t="s">
        <v>73</v>
      </c>
      <c r="BO31" s="111" t="s">
        <v>73</v>
      </c>
      <c r="BP31" s="111">
        <v>0</v>
      </c>
      <c r="BQ31" s="111" t="s">
        <v>73</v>
      </c>
      <c r="BR31" s="111">
        <v>0</v>
      </c>
      <c r="BS31" s="111" t="s">
        <v>73</v>
      </c>
      <c r="BT31" s="111" t="s">
        <v>267</v>
      </c>
      <c r="BU31" s="111">
        <v>0</v>
      </c>
      <c r="BV31" s="111">
        <v>0</v>
      </c>
      <c r="BW31" s="111">
        <v>0</v>
      </c>
      <c r="BX31" s="118">
        <f>((AZ31^2)/(AZ31^2+BI31))^(1/2)</f>
        <v>0.50398108716659962</v>
      </c>
      <c r="BY31" s="117">
        <f>0.5*LN((1+BX31)/(1-BX31))</f>
        <v>0.55462843634902004</v>
      </c>
      <c r="BZ31" s="117">
        <f>((1-(BY31^2)^2)/(BI31-1))</f>
        <v>7.9279722006820284E-4</v>
      </c>
      <c r="CA31" s="117">
        <f>1/(BI31-3)</f>
        <v>8.7719298245614037E-4</v>
      </c>
      <c r="CB31" s="111"/>
      <c r="CC31" s="111"/>
      <c r="CD31" s="111"/>
      <c r="CE31" s="30">
        <f>((AZ31^2)/(AZ31^2+BJ31))^(1/2)</f>
        <v>0.50398108716659962</v>
      </c>
      <c r="CF31" s="30">
        <f>0.5*LN((1+CE31)/(1-CE31))</f>
        <v>0.55462843634902004</v>
      </c>
      <c r="CG31" s="30">
        <f>((1-(CF31^2)^2)/(BJ31-1))</f>
        <v>7.9279722006820284E-4</v>
      </c>
      <c r="CH31" s="30">
        <f>1/(BJ31-3)</f>
        <v>8.7719298245614037E-4</v>
      </c>
    </row>
    <row r="32" spans="1:86" ht="15.6">
      <c r="A32" s="111" t="s">
        <v>258</v>
      </c>
      <c r="B32" s="111"/>
      <c r="C32" s="111">
        <v>1203</v>
      </c>
      <c r="D32" s="111">
        <v>202</v>
      </c>
      <c r="E32" s="111" t="s">
        <v>259</v>
      </c>
      <c r="F32" s="111">
        <v>2021</v>
      </c>
      <c r="G32" s="111" t="s">
        <v>260</v>
      </c>
      <c r="H32" s="111" t="s">
        <v>261</v>
      </c>
      <c r="I32" s="111">
        <v>2</v>
      </c>
      <c r="J32" s="111" t="s">
        <v>262</v>
      </c>
      <c r="K32" s="111" t="s">
        <v>73</v>
      </c>
      <c r="L32" s="111">
        <v>8</v>
      </c>
      <c r="M32" s="18" t="s">
        <v>120</v>
      </c>
      <c r="N32" s="111" t="s">
        <v>263</v>
      </c>
      <c r="O32" s="111" t="s">
        <v>273</v>
      </c>
      <c r="P32" t="s">
        <v>227</v>
      </c>
      <c r="Q32" s="111" t="s">
        <v>228</v>
      </c>
      <c r="R32" s="111" t="s">
        <v>406</v>
      </c>
      <c r="S32">
        <v>0</v>
      </c>
      <c r="T32" t="s">
        <v>230</v>
      </c>
      <c r="U32">
        <v>0</v>
      </c>
      <c r="V32" s="111" t="s">
        <v>231</v>
      </c>
      <c r="W32" s="111" t="s">
        <v>231</v>
      </c>
      <c r="X32" s="111" t="s">
        <v>264</v>
      </c>
      <c r="Y32" s="111">
        <v>0</v>
      </c>
      <c r="Z32" s="111">
        <v>0</v>
      </c>
      <c r="AA32" s="111">
        <v>1</v>
      </c>
      <c r="AB32" s="111">
        <v>0</v>
      </c>
      <c r="AC32" s="111">
        <v>0</v>
      </c>
      <c r="AD32" s="111">
        <v>0</v>
      </c>
      <c r="AE32" s="111">
        <v>0</v>
      </c>
      <c r="AF32" s="111">
        <v>1</v>
      </c>
      <c r="AG32" s="111" t="s">
        <v>265</v>
      </c>
      <c r="AH32" s="111">
        <v>0</v>
      </c>
      <c r="AI32" s="111">
        <v>0</v>
      </c>
      <c r="AJ32" s="111">
        <v>0</v>
      </c>
      <c r="AK32" s="111">
        <v>1</v>
      </c>
      <c r="AL32" s="111">
        <v>0</v>
      </c>
      <c r="AM32" s="111">
        <v>0</v>
      </c>
      <c r="AN32" s="111">
        <v>0</v>
      </c>
      <c r="AO32" s="111">
        <v>0</v>
      </c>
      <c r="AP32" s="111">
        <v>0</v>
      </c>
      <c r="AQ32" s="111" t="s">
        <v>73</v>
      </c>
      <c r="AR32" s="111" t="s">
        <v>233</v>
      </c>
      <c r="AS32" s="111" t="s">
        <v>266</v>
      </c>
      <c r="AT32" s="111" t="s">
        <v>73</v>
      </c>
      <c r="AU32" s="112">
        <v>0.32900000000000001</v>
      </c>
      <c r="AV32" s="113" t="s">
        <v>80</v>
      </c>
      <c r="AW32" s="112">
        <v>1E-3</v>
      </c>
      <c r="AX32" s="114">
        <v>0.01</v>
      </c>
      <c r="AY32" s="111">
        <v>1</v>
      </c>
      <c r="AZ32" s="115">
        <f>AU32/AW32</f>
        <v>329</v>
      </c>
      <c r="BA32" s="111" t="s">
        <v>73</v>
      </c>
      <c r="BB32" s="111"/>
      <c r="BC32" s="111" t="s">
        <v>73</v>
      </c>
      <c r="BD32" s="111" t="s">
        <v>73</v>
      </c>
      <c r="BE32" s="111" t="s">
        <v>73</v>
      </c>
      <c r="BF32" s="111" t="s">
        <v>73</v>
      </c>
      <c r="BG32" s="111" t="s">
        <v>73</v>
      </c>
      <c r="BH32" s="111" t="s">
        <v>73</v>
      </c>
      <c r="BI32" s="116">
        <v>1143</v>
      </c>
      <c r="BJ32" s="116">
        <f>BI32</f>
        <v>1143</v>
      </c>
      <c r="BK32" s="111" t="s">
        <v>73</v>
      </c>
      <c r="BL32" s="111" t="s">
        <v>73</v>
      </c>
      <c r="BM32" s="111" t="s">
        <v>73</v>
      </c>
      <c r="BN32" s="111" t="s">
        <v>73</v>
      </c>
      <c r="BO32" s="111" t="s">
        <v>73</v>
      </c>
      <c r="BP32" s="111">
        <v>0</v>
      </c>
      <c r="BQ32" s="111" t="s">
        <v>73</v>
      </c>
      <c r="BR32" s="111">
        <v>0</v>
      </c>
      <c r="BS32" s="111" t="s">
        <v>73</v>
      </c>
      <c r="BT32" s="111" t="s">
        <v>267</v>
      </c>
      <c r="BU32" s="111">
        <v>0</v>
      </c>
      <c r="BV32" s="111">
        <v>0</v>
      </c>
      <c r="BW32" s="111">
        <v>0</v>
      </c>
      <c r="BX32" s="118">
        <f>((AZ32^2)/(AZ32^2+BI32))^(1/2)</f>
        <v>0.99476156646916469</v>
      </c>
      <c r="BY32" s="117">
        <f>0.5*LN((1+BX32)/(1-BX32))</f>
        <v>2.9711286487420243</v>
      </c>
      <c r="BZ32" s="117">
        <f>((1-(BY32^2)^2)/(BI32-1))</f>
        <v>-6.736131167647591E-2</v>
      </c>
      <c r="CA32" s="117">
        <f>1/(BI32-3)</f>
        <v>8.7719298245614037E-4</v>
      </c>
      <c r="CB32" s="111"/>
      <c r="CC32" s="111"/>
      <c r="CD32" s="111"/>
      <c r="CE32" s="30">
        <f>((AZ32^2)/(AZ32^2+BJ32))^(1/2)</f>
        <v>0.99476156646916469</v>
      </c>
      <c r="CF32" s="30">
        <f>0.5*LN((1+CE32)/(1-CE32))</f>
        <v>2.9711286487420243</v>
      </c>
      <c r="CG32" s="30">
        <f>((1-(CF32^2)^2)/(BJ32-1))</f>
        <v>-6.736131167647591E-2</v>
      </c>
      <c r="CH32" s="30">
        <f>1/(BJ32-3)</f>
        <v>8.7719298245614037E-4</v>
      </c>
    </row>
    <row r="33" spans="1:16359" ht="15.6">
      <c r="A33" s="111" t="s">
        <v>258</v>
      </c>
      <c r="B33" s="111"/>
      <c r="C33" s="111">
        <v>1204</v>
      </c>
      <c r="D33" s="111">
        <v>202</v>
      </c>
      <c r="E33" s="111" t="s">
        <v>259</v>
      </c>
      <c r="F33" s="111">
        <v>2021</v>
      </c>
      <c r="G33" s="111" t="s">
        <v>260</v>
      </c>
      <c r="H33" s="111" t="s">
        <v>261</v>
      </c>
      <c r="I33" s="111">
        <v>2</v>
      </c>
      <c r="J33" s="111" t="s">
        <v>262</v>
      </c>
      <c r="K33" s="111" t="s">
        <v>73</v>
      </c>
      <c r="L33" s="111">
        <v>8</v>
      </c>
      <c r="M33" s="18" t="s">
        <v>120</v>
      </c>
      <c r="N33" s="111" t="s">
        <v>263</v>
      </c>
      <c r="O33" s="111" t="s">
        <v>138</v>
      </c>
      <c r="P33" t="s">
        <v>227</v>
      </c>
      <c r="Q33" s="111" t="s">
        <v>228</v>
      </c>
      <c r="R33" s="111" t="s">
        <v>406</v>
      </c>
      <c r="S33">
        <v>0</v>
      </c>
      <c r="T33" t="s">
        <v>230</v>
      </c>
      <c r="U33">
        <v>0</v>
      </c>
      <c r="V33" s="111" t="s">
        <v>231</v>
      </c>
      <c r="W33" s="111" t="s">
        <v>231</v>
      </c>
      <c r="X33" s="111" t="s">
        <v>264</v>
      </c>
      <c r="Y33" s="111">
        <v>0</v>
      </c>
      <c r="Z33" s="111">
        <v>0</v>
      </c>
      <c r="AA33" s="111">
        <v>1</v>
      </c>
      <c r="AB33" s="111">
        <v>0</v>
      </c>
      <c r="AC33" s="111">
        <v>0</v>
      </c>
      <c r="AD33" s="111">
        <v>0</v>
      </c>
      <c r="AE33" s="111">
        <v>0</v>
      </c>
      <c r="AF33" s="111">
        <v>1</v>
      </c>
      <c r="AG33" s="111" t="s">
        <v>265</v>
      </c>
      <c r="AH33" s="111">
        <v>0</v>
      </c>
      <c r="AI33" s="111">
        <v>0</v>
      </c>
      <c r="AJ33" s="111">
        <v>0</v>
      </c>
      <c r="AK33" s="111">
        <v>1</v>
      </c>
      <c r="AL33" s="111">
        <v>0</v>
      </c>
      <c r="AM33" s="111">
        <v>0</v>
      </c>
      <c r="AN33" s="111">
        <v>0</v>
      </c>
      <c r="AO33" s="111">
        <v>0</v>
      </c>
      <c r="AP33" s="111">
        <v>0</v>
      </c>
      <c r="AQ33" s="111" t="s">
        <v>73</v>
      </c>
      <c r="AR33" s="111" t="s">
        <v>233</v>
      </c>
      <c r="AS33" s="111" t="s">
        <v>266</v>
      </c>
      <c r="AT33" s="111" t="s">
        <v>73</v>
      </c>
      <c r="AU33" s="112">
        <v>0.152</v>
      </c>
      <c r="AV33" s="113" t="s">
        <v>80</v>
      </c>
      <c r="AW33" s="112">
        <v>0.107</v>
      </c>
      <c r="AX33" s="114">
        <v>0.1</v>
      </c>
      <c r="AY33" s="111">
        <v>2</v>
      </c>
      <c r="AZ33" s="115">
        <f>AU33/AW33</f>
        <v>1.4205607476635513</v>
      </c>
      <c r="BA33" s="111" t="s">
        <v>73</v>
      </c>
      <c r="BB33" s="111"/>
      <c r="BC33" s="111" t="s">
        <v>73</v>
      </c>
      <c r="BD33" s="111" t="s">
        <v>73</v>
      </c>
      <c r="BE33" s="111" t="s">
        <v>73</v>
      </c>
      <c r="BF33" s="111" t="s">
        <v>73</v>
      </c>
      <c r="BG33" s="111" t="s">
        <v>73</v>
      </c>
      <c r="BH33" s="111" t="s">
        <v>73</v>
      </c>
      <c r="BI33" s="116">
        <v>1143</v>
      </c>
      <c r="BJ33" s="116">
        <f>BI33</f>
        <v>1143</v>
      </c>
      <c r="BK33" s="111" t="s">
        <v>73</v>
      </c>
      <c r="BL33" s="111" t="s">
        <v>73</v>
      </c>
      <c r="BM33" s="111" t="s">
        <v>73</v>
      </c>
      <c r="BN33" s="111" t="s">
        <v>73</v>
      </c>
      <c r="BO33" s="111" t="s">
        <v>73</v>
      </c>
      <c r="BP33" s="111">
        <v>0</v>
      </c>
      <c r="BQ33" s="111" t="s">
        <v>73</v>
      </c>
      <c r="BR33" s="111">
        <v>0</v>
      </c>
      <c r="BS33" s="111" t="s">
        <v>73</v>
      </c>
      <c r="BT33" s="111" t="s">
        <v>267</v>
      </c>
      <c r="BU33" s="111">
        <v>0</v>
      </c>
      <c r="BV33" s="111">
        <v>0</v>
      </c>
      <c r="BW33" s="111">
        <v>0</v>
      </c>
      <c r="BX33" s="118">
        <f>((AZ33^2)/(AZ33^2+BI33))^(1/2)</f>
        <v>4.1981084605393931E-2</v>
      </c>
      <c r="BY33" s="117">
        <f>0.5*LN((1+BX33)/(1-BX33))</f>
        <v>4.2005773365978882E-2</v>
      </c>
      <c r="BZ33" s="117">
        <f>((1-(BY33^2)^2)/(BI33-1))</f>
        <v>8.7565401628082187E-4</v>
      </c>
      <c r="CA33" s="117">
        <f>1/(BI33-3)</f>
        <v>8.7719298245614037E-4</v>
      </c>
      <c r="CB33" s="111"/>
      <c r="CC33" s="111"/>
      <c r="CD33" s="111"/>
      <c r="CE33" s="30">
        <f>((AZ33^2)/(AZ33^2+BJ33))^(1/2)</f>
        <v>4.1981084605393931E-2</v>
      </c>
      <c r="CF33" s="30">
        <f>0.5*LN((1+CE33)/(1-CE33))</f>
        <v>4.2005773365978882E-2</v>
      </c>
      <c r="CG33" s="30">
        <f>((1-(CF33^2)^2)/(BJ33-1))</f>
        <v>8.7565401628082187E-4</v>
      </c>
      <c r="CH33" s="30">
        <f>1/(BJ33-3)</f>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93" customFormat="1" ht="15.6">
      <c r="A34" s="111" t="s">
        <v>258</v>
      </c>
      <c r="B34" s="111"/>
      <c r="C34" s="111">
        <v>1205</v>
      </c>
      <c r="D34" s="111">
        <v>203</v>
      </c>
      <c r="E34" s="111" t="s">
        <v>274</v>
      </c>
      <c r="F34" s="111">
        <v>2021</v>
      </c>
      <c r="G34" s="111" t="s">
        <v>275</v>
      </c>
      <c r="H34" s="111" t="s">
        <v>276</v>
      </c>
      <c r="I34" s="111">
        <v>2</v>
      </c>
      <c r="J34" s="111" t="s">
        <v>277</v>
      </c>
      <c r="K34" s="111" t="s">
        <v>73</v>
      </c>
      <c r="L34" s="111">
        <v>5</v>
      </c>
      <c r="M34" s="121" t="s">
        <v>120</v>
      </c>
      <c r="N34" s="111" t="s">
        <v>263</v>
      </c>
      <c r="O34" s="111" t="s">
        <v>278</v>
      </c>
      <c r="P34" t="s">
        <v>227</v>
      </c>
      <c r="Q34" s="111" t="s">
        <v>228</v>
      </c>
      <c r="R34" s="111" t="s">
        <v>406</v>
      </c>
      <c r="S34">
        <v>0</v>
      </c>
      <c r="T34" t="s">
        <v>230</v>
      </c>
      <c r="U34">
        <v>0</v>
      </c>
      <c r="V34" s="119" t="s">
        <v>279</v>
      </c>
      <c r="W34" s="119" t="s">
        <v>231</v>
      </c>
      <c r="X34" s="119" t="s">
        <v>280</v>
      </c>
      <c r="Y34" s="111">
        <v>0</v>
      </c>
      <c r="Z34" s="111">
        <v>0</v>
      </c>
      <c r="AA34" s="111">
        <v>1</v>
      </c>
      <c r="AB34" s="111">
        <v>0</v>
      </c>
      <c r="AC34" s="111">
        <v>0</v>
      </c>
      <c r="AD34" s="111">
        <v>0</v>
      </c>
      <c r="AE34" s="111">
        <v>0</v>
      </c>
      <c r="AF34" s="111">
        <v>0</v>
      </c>
      <c r="AG34" s="111" t="s">
        <v>281</v>
      </c>
      <c r="AH34" s="111">
        <v>0</v>
      </c>
      <c r="AI34" s="111">
        <v>0</v>
      </c>
      <c r="AJ34" s="111">
        <v>0</v>
      </c>
      <c r="AK34" s="111">
        <v>1</v>
      </c>
      <c r="AL34" s="111">
        <v>0</v>
      </c>
      <c r="AM34" s="111">
        <v>0</v>
      </c>
      <c r="AN34" s="111">
        <v>0</v>
      </c>
      <c r="AO34" s="111">
        <v>0</v>
      </c>
      <c r="AP34" s="111">
        <v>0</v>
      </c>
      <c r="AQ34" s="111" t="s">
        <v>73</v>
      </c>
      <c r="AR34" s="111" t="s">
        <v>233</v>
      </c>
      <c r="AS34" s="111" t="s">
        <v>282</v>
      </c>
      <c r="AT34" s="111" t="s">
        <v>73</v>
      </c>
      <c r="AU34" s="112">
        <v>0.27960000000000002</v>
      </c>
      <c r="AV34" s="113" t="s">
        <v>86</v>
      </c>
      <c r="AW34" s="112">
        <v>6.9599999999999995E-2</v>
      </c>
      <c r="AX34" s="114">
        <v>1E-3</v>
      </c>
      <c r="AY34" s="111">
        <v>1</v>
      </c>
      <c r="AZ34" s="114">
        <f>AU34/AW34</f>
        <v>4.0172413793103452</v>
      </c>
      <c r="BA34" s="111" t="s">
        <v>73</v>
      </c>
      <c r="BB34" s="111"/>
      <c r="BC34" s="111" t="s">
        <v>73</v>
      </c>
      <c r="BD34" s="111" t="s">
        <v>73</v>
      </c>
      <c r="BE34" s="111" t="s">
        <v>73</v>
      </c>
      <c r="BF34" s="111" t="s">
        <v>73</v>
      </c>
      <c r="BG34" s="111" t="s">
        <v>73</v>
      </c>
      <c r="BH34" s="111" t="s">
        <v>73</v>
      </c>
      <c r="BI34" s="111">
        <v>1301</v>
      </c>
      <c r="BJ34" s="111">
        <f>BI34</f>
        <v>1301</v>
      </c>
      <c r="BK34" s="111" t="s">
        <v>73</v>
      </c>
      <c r="BL34" s="111" t="s">
        <v>73</v>
      </c>
      <c r="BM34" s="111" t="s">
        <v>73</v>
      </c>
      <c r="BN34" s="111" t="s">
        <v>73</v>
      </c>
      <c r="BO34" s="111" t="s">
        <v>73</v>
      </c>
      <c r="BP34" s="111">
        <v>0</v>
      </c>
      <c r="BQ34" s="111" t="s">
        <v>73</v>
      </c>
      <c r="BR34" s="111">
        <v>0</v>
      </c>
      <c r="BS34" s="111" t="s">
        <v>73</v>
      </c>
      <c r="BT34" s="111" t="s">
        <v>283</v>
      </c>
      <c r="BU34" s="111">
        <v>0</v>
      </c>
      <c r="BV34" s="111">
        <v>0</v>
      </c>
      <c r="BW34" s="111">
        <v>0</v>
      </c>
      <c r="BX34" s="118">
        <f>((AZ34^2)/(AZ34^2+BI34))^(1/2)</f>
        <v>0.11069098448260768</v>
      </c>
      <c r="BY34" s="117">
        <f>0.5*LN((1+BX34)/(1-BX34))</f>
        <v>0.11114641752432197</v>
      </c>
      <c r="BZ34" s="117">
        <f>((1-(BY34^2)^2)/(BI34-1))</f>
        <v>7.6911337722476367E-4</v>
      </c>
      <c r="CA34" s="117">
        <f>1/(BI34-3)</f>
        <v>7.7041602465331282E-4</v>
      </c>
      <c r="CB34" s="111"/>
      <c r="CC34" s="111"/>
      <c r="CD34" s="111"/>
      <c r="CE34" s="30">
        <f>((AZ34^2)/(AZ34^2+BJ34))^(1/2)</f>
        <v>0.11069098448260768</v>
      </c>
      <c r="CF34" s="30">
        <f>0.5*LN((1+CE34)/(1-CE34))</f>
        <v>0.11114641752432197</v>
      </c>
      <c r="CG34" s="30">
        <f>((1-(CF34^2)^2)/(BJ34-1))</f>
        <v>7.6911337722476367E-4</v>
      </c>
      <c r="CH34" s="30">
        <f>1/(BJ34-3)</f>
        <v>7.7041602465331282E-4</v>
      </c>
    </row>
    <row r="35" spans="1:16359" ht="15.6">
      <c r="A35" s="111" t="s">
        <v>258</v>
      </c>
      <c r="B35" s="111"/>
      <c r="C35" s="111">
        <v>1206</v>
      </c>
      <c r="D35" s="111">
        <v>203</v>
      </c>
      <c r="E35" s="111" t="s">
        <v>274</v>
      </c>
      <c r="F35" s="111">
        <v>2021</v>
      </c>
      <c r="G35" s="111" t="s">
        <v>275</v>
      </c>
      <c r="H35" s="111" t="s">
        <v>276</v>
      </c>
      <c r="I35" s="111">
        <v>2</v>
      </c>
      <c r="J35" s="111" t="s">
        <v>277</v>
      </c>
      <c r="K35" s="111" t="s">
        <v>73</v>
      </c>
      <c r="L35" s="111">
        <v>5</v>
      </c>
      <c r="M35" s="121" t="s">
        <v>120</v>
      </c>
      <c r="N35" s="111" t="s">
        <v>263</v>
      </c>
      <c r="O35" s="111" t="s">
        <v>278</v>
      </c>
      <c r="P35" t="s">
        <v>227</v>
      </c>
      <c r="Q35" s="111" t="s">
        <v>228</v>
      </c>
      <c r="R35" s="111" t="s">
        <v>406</v>
      </c>
      <c r="S35">
        <v>0</v>
      </c>
      <c r="T35" t="s">
        <v>230</v>
      </c>
      <c r="U35">
        <v>0</v>
      </c>
      <c r="V35" s="119" t="s">
        <v>279</v>
      </c>
      <c r="W35" s="119" t="s">
        <v>231</v>
      </c>
      <c r="X35" s="119" t="s">
        <v>280</v>
      </c>
      <c r="Y35" s="111">
        <v>0</v>
      </c>
      <c r="Z35" s="111">
        <v>0</v>
      </c>
      <c r="AA35" s="111">
        <v>1</v>
      </c>
      <c r="AB35" s="111">
        <v>0</v>
      </c>
      <c r="AC35" s="111">
        <v>0</v>
      </c>
      <c r="AD35" s="111">
        <v>0</v>
      </c>
      <c r="AE35" s="111">
        <v>0</v>
      </c>
      <c r="AF35" s="111">
        <v>0</v>
      </c>
      <c r="AG35" s="111" t="s">
        <v>281</v>
      </c>
      <c r="AH35" s="111">
        <v>0</v>
      </c>
      <c r="AI35" s="111">
        <v>0</v>
      </c>
      <c r="AJ35" s="111">
        <v>0</v>
      </c>
      <c r="AK35" s="111">
        <v>1</v>
      </c>
      <c r="AL35" s="111">
        <v>0</v>
      </c>
      <c r="AM35" s="111">
        <v>0</v>
      </c>
      <c r="AN35" s="111">
        <v>0</v>
      </c>
      <c r="AO35" s="111">
        <v>0</v>
      </c>
      <c r="AP35" s="111">
        <v>0</v>
      </c>
      <c r="AQ35" s="111" t="s">
        <v>73</v>
      </c>
      <c r="AR35" s="111" t="s">
        <v>233</v>
      </c>
      <c r="AS35" s="111" t="s">
        <v>282</v>
      </c>
      <c r="AT35" s="111" t="s">
        <v>73</v>
      </c>
      <c r="AU35" s="112">
        <v>4.5100000000000001E-2</v>
      </c>
      <c r="AV35" s="113" t="s">
        <v>86</v>
      </c>
      <c r="AW35" s="112">
        <v>0.1074</v>
      </c>
      <c r="AX35" s="114">
        <v>0.1</v>
      </c>
      <c r="AY35" s="111">
        <v>2</v>
      </c>
      <c r="AZ35" s="114">
        <f>AU35/AW35</f>
        <v>0.41992551210428308</v>
      </c>
      <c r="BA35" s="111" t="s">
        <v>73</v>
      </c>
      <c r="BB35" s="111"/>
      <c r="BC35" s="111" t="s">
        <v>73</v>
      </c>
      <c r="BD35" s="111" t="s">
        <v>73</v>
      </c>
      <c r="BE35" s="111" t="s">
        <v>73</v>
      </c>
      <c r="BF35" s="111" t="s">
        <v>73</v>
      </c>
      <c r="BG35" s="111" t="s">
        <v>73</v>
      </c>
      <c r="BH35" s="111" t="s">
        <v>73</v>
      </c>
      <c r="BI35" s="111">
        <v>1002</v>
      </c>
      <c r="BJ35" s="111">
        <f>BI35</f>
        <v>1002</v>
      </c>
      <c r="BK35" s="111" t="s">
        <v>73</v>
      </c>
      <c r="BL35" s="111" t="s">
        <v>73</v>
      </c>
      <c r="BM35" s="111" t="s">
        <v>73</v>
      </c>
      <c r="BN35" s="111" t="s">
        <v>73</v>
      </c>
      <c r="BO35" s="111" t="s">
        <v>73</v>
      </c>
      <c r="BP35" s="111">
        <v>0</v>
      </c>
      <c r="BQ35" s="111" t="s">
        <v>73</v>
      </c>
      <c r="BR35" s="111">
        <v>0</v>
      </c>
      <c r="BS35" s="111" t="s">
        <v>73</v>
      </c>
      <c r="BT35" s="111" t="s">
        <v>283</v>
      </c>
      <c r="BU35" s="111">
        <v>0</v>
      </c>
      <c r="BV35" s="111">
        <v>0</v>
      </c>
      <c r="BW35" s="111">
        <v>0</v>
      </c>
      <c r="BX35" s="117">
        <f>((AZ35^2)/(AZ35^2+BI35))^(1/2)</f>
        <v>1.3264784180382344E-2</v>
      </c>
      <c r="BY35" s="117">
        <f>0.5*LN((1+BX35)/(1-BX35))</f>
        <v>1.326556226201467E-2</v>
      </c>
      <c r="BZ35" s="117">
        <f>((1-(BY35^2)^2)/(BI35-1))</f>
        <v>9.9900096806468473E-4</v>
      </c>
      <c r="CA35" s="117">
        <f>1/(BI35-3)</f>
        <v>1.001001001001001E-3</v>
      </c>
      <c r="CB35" s="111"/>
      <c r="CC35" s="111"/>
      <c r="CD35" s="111"/>
      <c r="CE35" s="30">
        <f>((AZ35^2)/(AZ35^2+BJ35))^(1/2)</f>
        <v>1.3264784180382344E-2</v>
      </c>
      <c r="CF35" s="30">
        <f>0.5*LN((1+CE35)/(1-CE35))</f>
        <v>1.326556226201467E-2</v>
      </c>
      <c r="CG35" s="30">
        <f>((1-(CF35^2)^2)/(BJ35-1))</f>
        <v>9.9900096806468473E-4</v>
      </c>
      <c r="CH35" s="30">
        <f>1/(BJ35-3)</f>
        <v>1.001001001001001E-3</v>
      </c>
    </row>
    <row r="36" spans="1:16359" s="111" customFormat="1" ht="17.100000000000001" customHeight="1">
      <c r="A36" s="111" t="s">
        <v>258</v>
      </c>
      <c r="C36" s="111">
        <v>1207</v>
      </c>
      <c r="D36" s="111">
        <v>203</v>
      </c>
      <c r="E36" s="111" t="s">
        <v>274</v>
      </c>
      <c r="F36" s="111">
        <v>2021</v>
      </c>
      <c r="G36" s="111" t="s">
        <v>275</v>
      </c>
      <c r="H36" s="111" t="s">
        <v>276</v>
      </c>
      <c r="I36" s="111">
        <v>2</v>
      </c>
      <c r="J36" s="111" t="s">
        <v>277</v>
      </c>
      <c r="K36" s="111" t="s">
        <v>73</v>
      </c>
      <c r="L36" s="111">
        <v>5</v>
      </c>
      <c r="M36" s="121" t="s">
        <v>120</v>
      </c>
      <c r="N36" s="111" t="s">
        <v>263</v>
      </c>
      <c r="O36" s="111" t="s">
        <v>278</v>
      </c>
      <c r="P36" t="s">
        <v>227</v>
      </c>
      <c r="Q36" s="111" t="s">
        <v>228</v>
      </c>
      <c r="R36" s="111" t="s">
        <v>406</v>
      </c>
      <c r="S36">
        <v>0</v>
      </c>
      <c r="T36" t="s">
        <v>230</v>
      </c>
      <c r="U36">
        <v>0</v>
      </c>
      <c r="V36" s="119" t="s">
        <v>279</v>
      </c>
      <c r="W36" s="119" t="s">
        <v>231</v>
      </c>
      <c r="X36" s="119" t="s">
        <v>280</v>
      </c>
      <c r="Y36" s="111">
        <v>0</v>
      </c>
      <c r="Z36" s="111">
        <v>0</v>
      </c>
      <c r="AA36" s="111">
        <v>1</v>
      </c>
      <c r="AB36" s="111">
        <v>0</v>
      </c>
      <c r="AC36" s="111">
        <v>0</v>
      </c>
      <c r="AD36" s="111">
        <v>0</v>
      </c>
      <c r="AE36" s="111">
        <v>0</v>
      </c>
      <c r="AF36" s="111">
        <v>0</v>
      </c>
      <c r="AG36" s="111" t="s">
        <v>281</v>
      </c>
      <c r="AH36" s="111">
        <v>0</v>
      </c>
      <c r="AI36" s="111">
        <v>0</v>
      </c>
      <c r="AJ36" s="111">
        <v>0</v>
      </c>
      <c r="AK36" s="111">
        <v>1</v>
      </c>
      <c r="AL36" s="111">
        <v>0</v>
      </c>
      <c r="AM36" s="111">
        <v>0</v>
      </c>
      <c r="AN36" s="111">
        <v>0</v>
      </c>
      <c r="AO36" s="111">
        <v>0</v>
      </c>
      <c r="AP36" s="111">
        <v>0</v>
      </c>
      <c r="AQ36" s="111" t="s">
        <v>73</v>
      </c>
      <c r="AR36" s="111" t="s">
        <v>233</v>
      </c>
      <c r="AS36" s="111" t="s">
        <v>282</v>
      </c>
      <c r="AT36" s="111" t="s">
        <v>73</v>
      </c>
      <c r="AU36" s="112">
        <v>0.33500000000000002</v>
      </c>
      <c r="AV36" s="113" t="s">
        <v>80</v>
      </c>
      <c r="AW36" s="112">
        <v>0.14960000000000001</v>
      </c>
      <c r="AX36" s="114">
        <v>0.05</v>
      </c>
      <c r="AY36" s="111">
        <v>1</v>
      </c>
      <c r="AZ36" s="114">
        <f>AU36/AW36</f>
        <v>2.2393048128342246</v>
      </c>
      <c r="BA36" s="111" t="s">
        <v>73</v>
      </c>
      <c r="BC36" s="111" t="s">
        <v>73</v>
      </c>
      <c r="BD36" s="111" t="s">
        <v>73</v>
      </c>
      <c r="BE36" s="111" t="s">
        <v>73</v>
      </c>
      <c r="BF36" s="111" t="s">
        <v>73</v>
      </c>
      <c r="BG36" s="111" t="s">
        <v>73</v>
      </c>
      <c r="BH36" s="111" t="s">
        <v>73</v>
      </c>
      <c r="BI36" s="111">
        <v>326</v>
      </c>
      <c r="BJ36" s="111">
        <f>BI36</f>
        <v>326</v>
      </c>
      <c r="BK36" s="111" t="s">
        <v>73</v>
      </c>
      <c r="BL36" s="111" t="s">
        <v>73</v>
      </c>
      <c r="BM36" s="111" t="s">
        <v>73</v>
      </c>
      <c r="BN36" s="111" t="s">
        <v>73</v>
      </c>
      <c r="BO36" s="111" t="s">
        <v>73</v>
      </c>
      <c r="BP36" s="111">
        <v>0</v>
      </c>
      <c r="BQ36" s="111" t="s">
        <v>73</v>
      </c>
      <c r="BR36" s="111">
        <v>0</v>
      </c>
      <c r="BS36" s="111" t="s">
        <v>73</v>
      </c>
      <c r="BT36" s="111" t="s">
        <v>283</v>
      </c>
      <c r="BU36" s="111">
        <v>0</v>
      </c>
      <c r="BV36" s="111">
        <v>0</v>
      </c>
      <c r="BW36" s="111">
        <v>0</v>
      </c>
      <c r="BX36" s="117">
        <f>((AZ36^2)/(AZ36^2+BI36))^(1/2)</f>
        <v>0.12308063083097449</v>
      </c>
      <c r="BY36" s="117">
        <f>0.5*LN((1+BX36)/(1-BX36))</f>
        <v>0.12370785144137753</v>
      </c>
      <c r="BZ36" s="117">
        <f>((1-(BY36^2)^2)/(BI36-1))</f>
        <v>3.0762024579447773E-3</v>
      </c>
      <c r="CA36" s="117">
        <f>1/(BI36-3)</f>
        <v>3.0959752321981426E-3</v>
      </c>
      <c r="CE36" s="30">
        <f>((AZ36^2)/(AZ36^2+BJ36))^(1/2)</f>
        <v>0.12308063083097449</v>
      </c>
      <c r="CF36" s="30">
        <f>0.5*LN((1+CE36)/(1-CE36))</f>
        <v>0.12370785144137753</v>
      </c>
      <c r="CG36" s="30">
        <f>((1-(CF36^2)^2)/(BJ36-1))</f>
        <v>3.0762024579447773E-3</v>
      </c>
      <c r="CH36" s="30">
        <f>1/(BJ36-3)</f>
        <v>3.0959752321981426E-3</v>
      </c>
    </row>
    <row r="37" spans="1:16359" s="111" customFormat="1" ht="15.6">
      <c r="A37" s="111" t="s">
        <v>258</v>
      </c>
      <c r="C37" s="111">
        <v>1208</v>
      </c>
      <c r="D37" s="111">
        <v>203</v>
      </c>
      <c r="E37" s="111" t="s">
        <v>274</v>
      </c>
      <c r="F37" s="111">
        <v>2021</v>
      </c>
      <c r="G37" s="111" t="s">
        <v>275</v>
      </c>
      <c r="H37" s="111" t="s">
        <v>276</v>
      </c>
      <c r="I37" s="111">
        <v>2</v>
      </c>
      <c r="J37" s="111" t="s">
        <v>277</v>
      </c>
      <c r="K37" s="111" t="s">
        <v>73</v>
      </c>
      <c r="L37" s="111">
        <v>5</v>
      </c>
      <c r="M37" s="121" t="s">
        <v>120</v>
      </c>
      <c r="N37" s="111" t="s">
        <v>263</v>
      </c>
      <c r="O37" s="111" t="s">
        <v>278</v>
      </c>
      <c r="P37" t="s">
        <v>227</v>
      </c>
      <c r="Q37" s="111" t="s">
        <v>228</v>
      </c>
      <c r="R37" s="111" t="s">
        <v>406</v>
      </c>
      <c r="S37">
        <v>0</v>
      </c>
      <c r="T37" t="s">
        <v>230</v>
      </c>
      <c r="U37">
        <v>0</v>
      </c>
      <c r="V37" s="119" t="s">
        <v>279</v>
      </c>
      <c r="W37" s="119" t="s">
        <v>231</v>
      </c>
      <c r="X37" s="119" t="s">
        <v>280</v>
      </c>
      <c r="Y37" s="111">
        <v>0</v>
      </c>
      <c r="Z37" s="111">
        <v>0</v>
      </c>
      <c r="AA37" s="111">
        <v>1</v>
      </c>
      <c r="AB37" s="111">
        <v>0</v>
      </c>
      <c r="AC37" s="111">
        <v>0</v>
      </c>
      <c r="AD37" s="111">
        <v>0</v>
      </c>
      <c r="AE37" s="111">
        <v>0</v>
      </c>
      <c r="AF37" s="111">
        <v>0</v>
      </c>
      <c r="AG37" s="111" t="s">
        <v>281</v>
      </c>
      <c r="AH37" s="111">
        <v>0</v>
      </c>
      <c r="AI37" s="111">
        <v>0</v>
      </c>
      <c r="AJ37" s="111">
        <v>0</v>
      </c>
      <c r="AK37" s="111">
        <v>1</v>
      </c>
      <c r="AL37" s="111">
        <v>0</v>
      </c>
      <c r="AM37" s="111">
        <v>0</v>
      </c>
      <c r="AN37" s="111">
        <v>0</v>
      </c>
      <c r="AO37" s="111">
        <v>0</v>
      </c>
      <c r="AP37" s="111">
        <v>0</v>
      </c>
      <c r="AQ37" s="111" t="s">
        <v>73</v>
      </c>
      <c r="AR37" s="111" t="s">
        <v>233</v>
      </c>
      <c r="AS37" s="111" t="s">
        <v>282</v>
      </c>
      <c r="AT37" s="111" t="s">
        <v>73</v>
      </c>
      <c r="AU37" s="112">
        <v>0.4017</v>
      </c>
      <c r="AV37" s="113" t="s">
        <v>86</v>
      </c>
      <c r="AW37" s="112">
        <v>0.35070000000000001</v>
      </c>
      <c r="AX37" s="114">
        <v>0.1</v>
      </c>
      <c r="AY37" s="111">
        <v>2</v>
      </c>
      <c r="AZ37" s="114">
        <f>AU37/AW37</f>
        <v>1.1454234388366125</v>
      </c>
      <c r="BA37" s="111" t="s">
        <v>73</v>
      </c>
      <c r="BC37" s="111" t="s">
        <v>73</v>
      </c>
      <c r="BD37" s="111" t="s">
        <v>73</v>
      </c>
      <c r="BE37" s="111" t="s">
        <v>73</v>
      </c>
      <c r="BF37" s="111" t="s">
        <v>73</v>
      </c>
      <c r="BG37" s="111" t="s">
        <v>73</v>
      </c>
      <c r="BH37" s="111" t="s">
        <v>73</v>
      </c>
      <c r="BI37" s="111">
        <v>208</v>
      </c>
      <c r="BJ37" s="111">
        <f>BI37</f>
        <v>208</v>
      </c>
      <c r="BK37" s="111" t="s">
        <v>73</v>
      </c>
      <c r="BL37" s="111" t="s">
        <v>73</v>
      </c>
      <c r="BM37" s="111" t="s">
        <v>73</v>
      </c>
      <c r="BN37" s="111" t="s">
        <v>73</v>
      </c>
      <c r="BO37" s="111" t="s">
        <v>73</v>
      </c>
      <c r="BP37" s="111">
        <v>0</v>
      </c>
      <c r="BQ37" s="111" t="s">
        <v>73</v>
      </c>
      <c r="BR37" s="111">
        <v>0</v>
      </c>
      <c r="BS37" s="111" t="s">
        <v>73</v>
      </c>
      <c r="BT37" s="111" t="s">
        <v>283</v>
      </c>
      <c r="BU37" s="111">
        <v>0</v>
      </c>
      <c r="BV37" s="111">
        <v>0</v>
      </c>
      <c r="BW37" s="111">
        <v>0</v>
      </c>
      <c r="BX37" s="117">
        <f>((AZ37^2)/(AZ37^2+BI37))^(1/2)</f>
        <v>7.9171524466324972E-2</v>
      </c>
      <c r="BY37" s="117">
        <f>0.5*LN((1+BX37)/(1-BX37))</f>
        <v>7.9337568530044145E-2</v>
      </c>
      <c r="BZ37" s="117">
        <f>((1-(BY37^2)^2)/(BI37-1))</f>
        <v>4.8307264729563473E-3</v>
      </c>
      <c r="CA37" s="117">
        <f>1/(BI37-3)</f>
        <v>4.8780487804878049E-3</v>
      </c>
      <c r="CE37" s="30">
        <f>((AZ37^2)/(AZ37^2+BJ37))^(1/2)</f>
        <v>7.9171524466324972E-2</v>
      </c>
      <c r="CF37" s="30">
        <f>0.5*LN((1+CE37)/(1-CE37))</f>
        <v>7.9337568530044145E-2</v>
      </c>
      <c r="CG37" s="30">
        <f>((1-(CF37^2)^2)/(BJ37-1))</f>
        <v>4.8307264729563473E-3</v>
      </c>
      <c r="CH37" s="30">
        <f>1/(BJ37-3)</f>
        <v>4.8780487804878049E-3</v>
      </c>
    </row>
    <row r="38" spans="1:16359" s="111" customFormat="1" ht="15.6">
      <c r="A38" t="s">
        <v>68</v>
      </c>
      <c r="B38"/>
      <c r="C38" s="93">
        <v>1281</v>
      </c>
      <c r="D38">
        <v>147</v>
      </c>
      <c r="E38" t="s">
        <v>243</v>
      </c>
      <c r="F38">
        <v>2017</v>
      </c>
      <c r="G38" t="s">
        <v>166</v>
      </c>
      <c r="H38" s="10" t="s">
        <v>167</v>
      </c>
      <c r="I38">
        <v>1</v>
      </c>
      <c r="J38">
        <v>2009</v>
      </c>
      <c r="K38" t="s">
        <v>73</v>
      </c>
      <c r="L38">
        <v>40</v>
      </c>
      <c r="M38" s="18" t="s">
        <v>120</v>
      </c>
      <c r="N38" t="s">
        <v>226</v>
      </c>
      <c r="O38" t="s">
        <v>81</v>
      </c>
      <c r="P38" t="s">
        <v>227</v>
      </c>
      <c r="Q38" t="s">
        <v>228</v>
      </c>
      <c r="R38" t="s">
        <v>246</v>
      </c>
      <c r="S38">
        <v>0</v>
      </c>
      <c r="T38" t="s">
        <v>189</v>
      </c>
      <c r="U38">
        <v>0</v>
      </c>
      <c r="V38" t="s">
        <v>231</v>
      </c>
      <c r="W38" t="s">
        <v>231</v>
      </c>
      <c r="X38" t="s">
        <v>73</v>
      </c>
      <c r="Y38">
        <v>0</v>
      </c>
      <c r="Z38">
        <v>0</v>
      </c>
      <c r="AA38">
        <v>0</v>
      </c>
      <c r="AB38">
        <v>1</v>
      </c>
      <c r="AC38">
        <v>0</v>
      </c>
      <c r="AD38">
        <v>0</v>
      </c>
      <c r="AE38">
        <v>0</v>
      </c>
      <c r="AF38">
        <v>0</v>
      </c>
      <c r="AG38" t="s">
        <v>73</v>
      </c>
      <c r="AH38">
        <v>0</v>
      </c>
      <c r="AI38">
        <v>0</v>
      </c>
      <c r="AJ38">
        <v>0</v>
      </c>
      <c r="AK38">
        <v>1</v>
      </c>
      <c r="AL38">
        <v>0</v>
      </c>
      <c r="AM38">
        <v>0</v>
      </c>
      <c r="AN38">
        <v>0</v>
      </c>
      <c r="AO38">
        <v>0</v>
      </c>
      <c r="AP38" s="10">
        <v>0</v>
      </c>
      <c r="AQ38" t="s">
        <v>73</v>
      </c>
      <c r="AR38" t="s">
        <v>233</v>
      </c>
      <c r="AS38" s="99" t="s">
        <v>284</v>
      </c>
      <c r="AT38" t="s">
        <v>241</v>
      </c>
      <c r="AU38" s="25">
        <v>2.1000000000000001E-2</v>
      </c>
      <c r="AV38" s="7" t="s">
        <v>80</v>
      </c>
      <c r="AW38">
        <v>5.0000000000000001E-3</v>
      </c>
      <c r="AX38" s="41" t="s">
        <v>73</v>
      </c>
      <c r="AY38">
        <v>3</v>
      </c>
      <c r="AZ38">
        <f>AU38/AW38</f>
        <v>4.2</v>
      </c>
      <c r="BA38" s="106">
        <f>AU38</f>
        <v>2.1000000000000001E-2</v>
      </c>
      <c r="BB38" s="106"/>
      <c r="BC38" t="s">
        <v>73</v>
      </c>
      <c r="BD38" t="s">
        <v>73</v>
      </c>
      <c r="BE38" t="s">
        <v>73</v>
      </c>
      <c r="BF38" t="s">
        <v>73</v>
      </c>
      <c r="BG38" t="s">
        <v>73</v>
      </c>
      <c r="BH38" t="s">
        <v>73</v>
      </c>
      <c r="BI38">
        <v>12450</v>
      </c>
      <c r="BJ38">
        <v>12450</v>
      </c>
      <c r="BK38" t="s">
        <v>73</v>
      </c>
      <c r="BL38" t="s">
        <v>73</v>
      </c>
      <c r="BM38">
        <v>100</v>
      </c>
      <c r="BN38" t="s">
        <v>73</v>
      </c>
      <c r="BO38" t="s">
        <v>242</v>
      </c>
      <c r="BP38" t="s">
        <v>73</v>
      </c>
      <c r="BQ38" t="s">
        <v>73</v>
      </c>
      <c r="BR38" t="s">
        <v>73</v>
      </c>
      <c r="BS38" t="s">
        <v>73</v>
      </c>
      <c r="BT38" t="s">
        <v>73</v>
      </c>
      <c r="BU38">
        <v>0</v>
      </c>
      <c r="BV38">
        <v>1</v>
      </c>
      <c r="BW38">
        <v>0</v>
      </c>
      <c r="BX38" s="30">
        <f>((AZ38^2)/(AZ38^2+BI38))^(1/2)</f>
        <v>3.7614661992478114E-2</v>
      </c>
      <c r="BY38" s="30">
        <f>0.5*LN((1+BX38)/(1-BX38))</f>
        <v>3.7632416929352756E-2</v>
      </c>
      <c r="BZ38" s="30">
        <f>((1-(BY38^2)^2)/(BI38-1))</f>
        <v>8.0327576060803895E-5</v>
      </c>
      <c r="CA38" s="30">
        <f>1/(BI38-3)</f>
        <v>8.0340644331967548E-5</v>
      </c>
      <c r="CB38"/>
      <c r="CC38"/>
      <c r="CD38"/>
      <c r="CE38" s="30">
        <f>((AZ38^2)/(AZ38^2+BJ38))^(1/2)</f>
        <v>3.7614661992478114E-2</v>
      </c>
      <c r="CF38" s="30">
        <f>0.5*LN((1+CE38)/(1-CE38))</f>
        <v>3.7632416929352756E-2</v>
      </c>
      <c r="CG38" s="30">
        <f>((1-(CF38^2)^2)/(BJ38-1))</f>
        <v>8.0327576060803895E-5</v>
      </c>
      <c r="CH38" s="30">
        <f>1/(BJ38-3)</f>
        <v>8.0340644331967548E-5</v>
      </c>
    </row>
    <row r="39" spans="1:16359" s="111" customFormat="1" ht="15.6">
      <c r="A39" t="s">
        <v>68</v>
      </c>
      <c r="B39"/>
      <c r="C39" s="93">
        <v>1282</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t="s">
        <v>285</v>
      </c>
      <c r="AT39" t="s">
        <v>241</v>
      </c>
      <c r="AU39" s="25">
        <v>2.3999999999999998E-3</v>
      </c>
      <c r="AV39" s="7" t="s">
        <v>80</v>
      </c>
      <c r="AW39">
        <v>2E-3</v>
      </c>
      <c r="AX39" s="41" t="s">
        <v>73</v>
      </c>
      <c r="AY39">
        <v>3</v>
      </c>
      <c r="AZ39">
        <f>AU39/AW39</f>
        <v>1.2</v>
      </c>
      <c r="BA39" s="106">
        <f>AU39</f>
        <v>2.3999999999999998E-3</v>
      </c>
      <c r="BB39" s="106"/>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((AZ39^2)/(AZ39^2+BI39))^(1/2)</f>
        <v>1.0754035256628266E-2</v>
      </c>
      <c r="BY39" s="30">
        <f>0.5*LN((1+BX39)/(1-BX39))</f>
        <v>1.0754449850854842E-2</v>
      </c>
      <c r="BZ39" s="30">
        <f>((1-(BY39^2)^2)/(BI39-1))</f>
        <v>8.0327736093114527E-5</v>
      </c>
      <c r="CA39" s="30">
        <f>1/(BI39-3)</f>
        <v>8.0340644331967548E-5</v>
      </c>
      <c r="CB39"/>
      <c r="CC39"/>
      <c r="CD39"/>
      <c r="CE39" s="30">
        <f>((AZ39^2)/(AZ39^2+BJ39))^(1/2)</f>
        <v>1.0754035256628266E-2</v>
      </c>
      <c r="CF39" s="30">
        <f>0.5*LN((1+CE39)/(1-CE39))</f>
        <v>1.0754449850854842E-2</v>
      </c>
      <c r="CG39" s="30">
        <f>((1-(CF39^2)^2)/(BJ39-1))</f>
        <v>8.0327736093114527E-5</v>
      </c>
      <c r="CH39" s="30">
        <f>1/(BJ39-3)</f>
        <v>8.0340644331967548E-5</v>
      </c>
    </row>
    <row r="40" spans="1:16359" s="111" customFormat="1" ht="15.6">
      <c r="A40" t="s">
        <v>68</v>
      </c>
      <c r="B40"/>
      <c r="C40" s="93">
        <v>1283</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3.1E-4</v>
      </c>
      <c r="AV40" s="7" t="s">
        <v>86</v>
      </c>
      <c r="AW40">
        <v>1E-3</v>
      </c>
      <c r="AX40" s="41" t="s">
        <v>73</v>
      </c>
      <c r="AY40">
        <v>3</v>
      </c>
      <c r="AZ40">
        <f>AU40/AW40</f>
        <v>0.31</v>
      </c>
      <c r="BA40" s="106">
        <f>AU40</f>
        <v>3.1E-4</v>
      </c>
      <c r="BB40" s="106"/>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((AZ40^2)/(AZ40^2+BI40))^(1/2)</f>
        <v>2.7782757101175023E-3</v>
      </c>
      <c r="BY40" s="30">
        <f>0.5*LN((1+BX40)/(1-BX40))</f>
        <v>2.7782828584835876E-3</v>
      </c>
      <c r="BZ40" s="30">
        <f>((1-(BY40^2)^2)/(BI40-1))</f>
        <v>8.0327737162857996E-5</v>
      </c>
      <c r="CA40" s="30">
        <f>1/(BI40-3)</f>
        <v>8.0340644331967548E-5</v>
      </c>
      <c r="CB40"/>
      <c r="CC40"/>
      <c r="CD40"/>
      <c r="CE40" s="30">
        <f>((AZ40^2)/(AZ40^2+BJ40))^(1/2)</f>
        <v>2.7782757101175023E-3</v>
      </c>
      <c r="CF40" s="30">
        <f>0.5*LN((1+CE40)/(1-CE40))</f>
        <v>2.7782828584835876E-3</v>
      </c>
      <c r="CG40" s="30">
        <f>((1-(CF40^2)^2)/(BJ40-1))</f>
        <v>8.0327737162857996E-5</v>
      </c>
      <c r="CH40" s="30">
        <f>1/(BJ40-3)</f>
        <v>8.0340644331967548E-5</v>
      </c>
    </row>
    <row r="41" spans="1:16359" s="111" customFormat="1" ht="15.6">
      <c r="A41" t="s">
        <v>68</v>
      </c>
      <c r="B41"/>
      <c r="C41" s="93">
        <v>1284</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1</v>
      </c>
      <c r="AI41">
        <v>0</v>
      </c>
      <c r="AJ41">
        <v>0</v>
      </c>
      <c r="AK41">
        <v>0</v>
      </c>
      <c r="AL41">
        <v>0</v>
      </c>
      <c r="AM41">
        <v>0</v>
      </c>
      <c r="AN41">
        <v>0</v>
      </c>
      <c r="AO41">
        <v>0</v>
      </c>
      <c r="AP41" s="10">
        <v>0</v>
      </c>
      <c r="AQ41" t="s">
        <v>73</v>
      </c>
      <c r="AR41" t="s">
        <v>233</v>
      </c>
      <c r="AS41" t="s">
        <v>285</v>
      </c>
      <c r="AT41" t="s">
        <v>241</v>
      </c>
      <c r="AU41" s="25">
        <v>2.1000000000000001E-2</v>
      </c>
      <c r="AV41" s="7" t="s">
        <v>80</v>
      </c>
      <c r="AW41">
        <v>5.0000000000000001E-3</v>
      </c>
      <c r="AX41" s="41" t="s">
        <v>73</v>
      </c>
      <c r="AY41">
        <v>3</v>
      </c>
      <c r="AZ41">
        <f>AU41/AW41</f>
        <v>4.2</v>
      </c>
      <c r="BA41" s="106">
        <f>AU41</f>
        <v>2.1000000000000001E-2</v>
      </c>
      <c r="BB41" s="106"/>
      <c r="BC41" t="s">
        <v>73</v>
      </c>
      <c r="BD41" t="s">
        <v>73</v>
      </c>
      <c r="BE41" t="s">
        <v>73</v>
      </c>
      <c r="BF41" t="s">
        <v>73</v>
      </c>
      <c r="BG41" t="s">
        <v>73</v>
      </c>
      <c r="BH41" t="s">
        <v>73</v>
      </c>
      <c r="BI41">
        <v>12100</v>
      </c>
      <c r="BJ41">
        <v>12100</v>
      </c>
      <c r="BK41" t="s">
        <v>73</v>
      </c>
      <c r="BL41" t="s">
        <v>73</v>
      </c>
      <c r="BM41">
        <v>100</v>
      </c>
      <c r="BN41" t="s">
        <v>73</v>
      </c>
      <c r="BO41" t="s">
        <v>242</v>
      </c>
      <c r="BP41" t="s">
        <v>73</v>
      </c>
      <c r="BQ41" t="s">
        <v>73</v>
      </c>
      <c r="BR41" t="s">
        <v>73</v>
      </c>
      <c r="BS41" t="s">
        <v>73</v>
      </c>
      <c r="BT41" t="s">
        <v>73</v>
      </c>
      <c r="BU41">
        <v>0</v>
      </c>
      <c r="BV41">
        <v>1</v>
      </c>
      <c r="BW41">
        <v>0</v>
      </c>
      <c r="BX41" s="30">
        <f>((AZ41^2)/(AZ41^2+BI41))^(1/2)</f>
        <v>3.8154016870275712E-2</v>
      </c>
      <c r="BY41" s="30">
        <f>0.5*LN((1+BX41)/(1-BX41))</f>
        <v>3.8172547027553468E-2</v>
      </c>
      <c r="BZ41" s="30">
        <f>((1-(BY41^2)^2)/(BI41-1))</f>
        <v>8.2651283307154936E-5</v>
      </c>
      <c r="CA41" s="30">
        <f>1/(BI41-3)</f>
        <v>8.2665123584359755E-5</v>
      </c>
      <c r="CB41"/>
      <c r="CC41"/>
      <c r="CD41"/>
      <c r="CE41" s="30">
        <f>((AZ41^2)/(AZ41^2+BJ41))^(1/2)</f>
        <v>3.8154016870275712E-2</v>
      </c>
      <c r="CF41" s="30">
        <f>0.5*LN((1+CE41)/(1-CE41))</f>
        <v>3.8172547027553468E-2</v>
      </c>
      <c r="CG41" s="30">
        <f>((1-(CF41^2)^2)/(BJ41-1))</f>
        <v>8.2651283307154936E-5</v>
      </c>
      <c r="CH41" s="30">
        <f>1/(BJ41-3)</f>
        <v>8.2665123584359755E-5</v>
      </c>
    </row>
    <row r="42" spans="1:16359" s="111" customFormat="1" ht="15.6">
      <c r="A42" t="s">
        <v>68</v>
      </c>
      <c r="B42"/>
      <c r="C42" s="93">
        <v>1285</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8.7000000000000001E-4</v>
      </c>
      <c r="AV42" s="7" t="s">
        <v>80</v>
      </c>
      <c r="AW42">
        <v>1E-3</v>
      </c>
      <c r="AX42" s="41" t="s">
        <v>73</v>
      </c>
      <c r="AY42">
        <v>3</v>
      </c>
      <c r="AZ42">
        <f>AU42/AW42</f>
        <v>0.87</v>
      </c>
      <c r="BA42" s="106">
        <f>AU42</f>
        <v>8.7000000000000001E-4</v>
      </c>
      <c r="BB42" s="106"/>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((AZ42^2)/(AZ42^2+BI42))^(1/2)</f>
        <v>7.9088435491706417E-3</v>
      </c>
      <c r="BY42" s="30">
        <f>0.5*LN((1+BX42)/(1-BX42))</f>
        <v>7.9090084542367822E-3</v>
      </c>
      <c r="BZ42" s="30">
        <f>((1-(BY42^2)^2)/(BI42-1))</f>
        <v>8.2651458474848776E-5</v>
      </c>
      <c r="CA42" s="30">
        <f>1/(BI42-3)</f>
        <v>8.2665123584359755E-5</v>
      </c>
      <c r="CB42"/>
      <c r="CC42"/>
      <c r="CD42"/>
      <c r="CE42" s="30">
        <f>((AZ42^2)/(AZ42^2+BJ42))^(1/2)</f>
        <v>7.9088435491706417E-3</v>
      </c>
      <c r="CF42" s="30">
        <f>0.5*LN((1+CE42)/(1-CE42))</f>
        <v>7.9090084542367822E-3</v>
      </c>
      <c r="CG42" s="30">
        <f>((1-(CF42^2)^2)/(BJ42-1))</f>
        <v>8.2651458474848776E-5</v>
      </c>
      <c r="CH42" s="30">
        <f>1/(BJ42-3)</f>
        <v>8.2665123584359755E-5</v>
      </c>
    </row>
    <row r="43" spans="1:16359" s="111" customFormat="1" ht="15.6">
      <c r="A43" t="s">
        <v>68</v>
      </c>
      <c r="B43"/>
      <c r="C43" s="93">
        <v>1286</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6.3000000000000003E-4</v>
      </c>
      <c r="AV43" s="7" t="s">
        <v>86</v>
      </c>
      <c r="AW43">
        <v>1E-3</v>
      </c>
      <c r="AX43" s="41" t="s">
        <v>73</v>
      </c>
      <c r="AY43">
        <v>3</v>
      </c>
      <c r="AZ43">
        <f>AU43/AW43</f>
        <v>0.63</v>
      </c>
      <c r="BA43" s="106">
        <f>AU43</f>
        <v>6.3000000000000003E-4</v>
      </c>
      <c r="BB43" s="106"/>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((AZ43^2)/(AZ43^2+BI43))^(1/2)</f>
        <v>5.7271787975774974E-3</v>
      </c>
      <c r="BY43" s="30">
        <f>0.5*LN((1+BX43)/(1-BX43))</f>
        <v>5.7272414170662115E-3</v>
      </c>
      <c r="BZ43" s="30">
        <f>((1-(BY43^2)^2)/(BI43-1))</f>
        <v>8.2651458709321021E-5</v>
      </c>
      <c r="CA43" s="30">
        <f>1/(BI43-3)</f>
        <v>8.2665123584359755E-5</v>
      </c>
      <c r="CB43"/>
      <c r="CC43"/>
      <c r="CD43"/>
      <c r="CE43" s="30">
        <f>((AZ43^2)/(AZ43^2+BJ43))^(1/2)</f>
        <v>5.7271787975774974E-3</v>
      </c>
      <c r="CF43" s="30">
        <f>0.5*LN((1+CE43)/(1-CE43))</f>
        <v>5.7272414170662115E-3</v>
      </c>
      <c r="CG43" s="30">
        <f>((1-(CF43^2)^2)/(BJ43-1))</f>
        <v>8.2651458709321021E-5</v>
      </c>
      <c r="CH43" s="30">
        <f>1/(BJ43-3)</f>
        <v>8.2665123584359755E-5</v>
      </c>
    </row>
    <row r="44" spans="1:16359" s="111" customFormat="1" ht="15.6">
      <c r="A44" t="s">
        <v>68</v>
      </c>
      <c r="B44"/>
      <c r="C44" s="93">
        <v>1287</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0</v>
      </c>
      <c r="AI44">
        <v>0</v>
      </c>
      <c r="AJ44">
        <v>1</v>
      </c>
      <c r="AK44">
        <v>0</v>
      </c>
      <c r="AL44">
        <v>0</v>
      </c>
      <c r="AM44">
        <v>0</v>
      </c>
      <c r="AN44">
        <v>0</v>
      </c>
      <c r="AO44">
        <v>0</v>
      </c>
      <c r="AP44" s="10">
        <v>0</v>
      </c>
      <c r="AQ44" t="s">
        <v>73</v>
      </c>
      <c r="AR44" t="s">
        <v>233</v>
      </c>
      <c r="AS44" t="s">
        <v>285</v>
      </c>
      <c r="AT44" t="s">
        <v>241</v>
      </c>
      <c r="AU44" s="25">
        <v>7.3000000000000001E-3</v>
      </c>
      <c r="AV44" s="7" t="s">
        <v>80</v>
      </c>
      <c r="AW44">
        <v>3.0000000000000001E-3</v>
      </c>
      <c r="AX44" s="41" t="s">
        <v>73</v>
      </c>
      <c r="AY44">
        <v>3</v>
      </c>
      <c r="AZ44">
        <f>AU44/AW44</f>
        <v>2.4333333333333331</v>
      </c>
      <c r="BA44" s="106">
        <f>AU44</f>
        <v>7.3000000000000001E-3</v>
      </c>
      <c r="BB44" s="106"/>
      <c r="BC44" t="s">
        <v>73</v>
      </c>
      <c r="BD44" t="s">
        <v>73</v>
      </c>
      <c r="BE44" t="s">
        <v>73</v>
      </c>
      <c r="BF44" t="s">
        <v>73</v>
      </c>
      <c r="BG44" t="s">
        <v>73</v>
      </c>
      <c r="BH44" t="s">
        <v>73</v>
      </c>
      <c r="BI44">
        <v>12600</v>
      </c>
      <c r="BJ44">
        <v>12600</v>
      </c>
      <c r="BK44" t="s">
        <v>73</v>
      </c>
      <c r="BL44" t="s">
        <v>73</v>
      </c>
      <c r="BM44">
        <v>100</v>
      </c>
      <c r="BN44" t="s">
        <v>73</v>
      </c>
      <c r="BO44" t="s">
        <v>242</v>
      </c>
      <c r="BP44" t="s">
        <v>73</v>
      </c>
      <c r="BQ44" t="s">
        <v>73</v>
      </c>
      <c r="BR44" t="s">
        <v>73</v>
      </c>
      <c r="BS44" t="s">
        <v>73</v>
      </c>
      <c r="BT44" t="s">
        <v>73</v>
      </c>
      <c r="BU44">
        <v>0</v>
      </c>
      <c r="BV44">
        <v>1</v>
      </c>
      <c r="BW44">
        <v>0</v>
      </c>
      <c r="BX44" s="30">
        <f>((AZ44^2)/(AZ44^2+BI44))^(1/2)</f>
        <v>2.1672764551373083E-2</v>
      </c>
      <c r="BY44" s="30">
        <f>0.5*LN((1+BX44)/(1-BX44))</f>
        <v>2.1676158803532894E-2</v>
      </c>
      <c r="BZ44" s="30">
        <f>((1-(BY44^2)^2)/(BI44-1))</f>
        <v>7.9371361158462602E-5</v>
      </c>
      <c r="CA44" s="30">
        <f>1/(BI44-3)</f>
        <v>7.9383980312772889E-5</v>
      </c>
      <c r="CB44"/>
      <c r="CC44"/>
      <c r="CD44"/>
      <c r="CE44" s="30">
        <f>((AZ44^2)/(AZ44^2+BJ44))^(1/2)</f>
        <v>2.1672764551373083E-2</v>
      </c>
      <c r="CF44" s="30">
        <f>0.5*LN((1+CE44)/(1-CE44))</f>
        <v>2.1676158803532894E-2</v>
      </c>
      <c r="CG44" s="30">
        <f>((1-(CF44^2)^2)/(BJ44-1))</f>
        <v>7.9371361158462602E-5</v>
      </c>
      <c r="CH44" s="30">
        <f>1/(BJ44-3)</f>
        <v>7.9383980312772889E-5</v>
      </c>
    </row>
    <row r="45" spans="1:16359" s="111" customFormat="1" ht="15.6">
      <c r="A45" t="s">
        <v>68</v>
      </c>
      <c r="B45"/>
      <c r="C45" s="93">
        <v>1288</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2.5999999999999998E-4</v>
      </c>
      <c r="AV45" s="7" t="s">
        <v>86</v>
      </c>
      <c r="AW45">
        <v>1E-3</v>
      </c>
      <c r="AX45" s="41" t="s">
        <v>73</v>
      </c>
      <c r="AY45">
        <v>3</v>
      </c>
      <c r="AZ45">
        <f>AU45/AW45</f>
        <v>0.25999999999999995</v>
      </c>
      <c r="BA45" s="106">
        <f>AU45</f>
        <v>2.5999999999999998E-4</v>
      </c>
      <c r="BB45" s="106"/>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((AZ45^2)/(AZ45^2+BI45))^(1/2)</f>
        <v>2.3162578831289918E-3</v>
      </c>
      <c r="BY45" s="30">
        <f>0.5*LN((1+BX45)/(1-BX45))</f>
        <v>2.3162620254225598E-3</v>
      </c>
      <c r="BZ45" s="30">
        <f>((1-(BY45^2)^2)/(BI45-1))</f>
        <v>7.9371378678563058E-5</v>
      </c>
      <c r="CA45" s="30">
        <f>1/(BI45-3)</f>
        <v>7.9383980312772889E-5</v>
      </c>
      <c r="CB45"/>
      <c r="CC45"/>
      <c r="CD45"/>
      <c r="CE45" s="30">
        <f>((AZ45^2)/(AZ45^2+BJ45))^(1/2)</f>
        <v>2.3162578831289918E-3</v>
      </c>
      <c r="CF45" s="30">
        <f>0.5*LN((1+CE45)/(1-CE45))</f>
        <v>2.3162620254225598E-3</v>
      </c>
      <c r="CG45" s="30">
        <f>((1-(CF45^2)^2)/(BJ45-1))</f>
        <v>7.9371378678563058E-5</v>
      </c>
      <c r="CH45" s="30">
        <f>1/(BJ45-3)</f>
        <v>7.9383980312772889E-5</v>
      </c>
    </row>
    <row r="46" spans="1:16359" s="111" customFormat="1" ht="15.6">
      <c r="A46" t="s">
        <v>68</v>
      </c>
      <c r="B46"/>
      <c r="C46" s="93">
        <v>1289</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6.9999999999999999E-4</v>
      </c>
      <c r="AV46" s="7" t="s">
        <v>86</v>
      </c>
      <c r="AW46">
        <v>2E-3</v>
      </c>
      <c r="AX46" s="41" t="s">
        <v>73</v>
      </c>
      <c r="AY46">
        <v>3</v>
      </c>
      <c r="AZ46">
        <f>AU46/AW46</f>
        <v>0.35</v>
      </c>
      <c r="BA46" s="106">
        <f>AU46</f>
        <v>6.9999999999999999E-4</v>
      </c>
      <c r="BB46" s="106"/>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((AZ46^2)/(AZ46^2+BI46))^(1/2)</f>
        <v>3.1180326652452241E-3</v>
      </c>
      <c r="BY46" s="30">
        <f>0.5*LN((1+BX46)/(1-BX46))</f>
        <v>3.1180427699413972E-3</v>
      </c>
      <c r="BZ46" s="30">
        <f>((1-(BY46^2)^2)/(BI46-1))</f>
        <v>7.937137867334543E-5</v>
      </c>
      <c r="CA46" s="30">
        <f>1/(BI46-3)</f>
        <v>7.9383980312772889E-5</v>
      </c>
      <c r="CB46"/>
      <c r="CC46"/>
      <c r="CD46"/>
      <c r="CE46" s="30">
        <f>((AZ46^2)/(AZ46^2+BJ46))^(1/2)</f>
        <v>3.1180326652452241E-3</v>
      </c>
      <c r="CF46" s="30">
        <f>0.5*LN((1+CE46)/(1-CE46))</f>
        <v>3.1180427699413972E-3</v>
      </c>
      <c r="CG46" s="30">
        <f>((1-(CF46^2)^2)/(BJ46-1))</f>
        <v>7.937137867334543E-5</v>
      </c>
      <c r="CH46" s="30">
        <f>1/(BJ46-3)</f>
        <v>7.9383980312772889E-5</v>
      </c>
    </row>
    <row r="47" spans="1:16359" s="111" customFormat="1" ht="15.6">
      <c r="A47" t="s">
        <v>68</v>
      </c>
      <c r="B47"/>
      <c r="C47" s="11">
        <v>1113</v>
      </c>
      <c r="D47">
        <v>122</v>
      </c>
      <c r="E47" t="s">
        <v>248</v>
      </c>
      <c r="F47">
        <v>2016</v>
      </c>
      <c r="G47" t="s">
        <v>249</v>
      </c>
      <c r="H47" s="17" t="s">
        <v>250</v>
      </c>
      <c r="I47">
        <v>2</v>
      </c>
      <c r="J47">
        <v>2013</v>
      </c>
      <c r="K47" t="s">
        <v>73</v>
      </c>
      <c r="L47">
        <v>33</v>
      </c>
      <c r="M47" s="18" t="s">
        <v>251</v>
      </c>
      <c r="N47" t="s">
        <v>226</v>
      </c>
      <c r="O47" t="s">
        <v>252</v>
      </c>
      <c r="P47" t="s">
        <v>227</v>
      </c>
      <c r="Q47" t="s">
        <v>253</v>
      </c>
      <c r="R47" t="s">
        <v>254</v>
      </c>
      <c r="S47">
        <v>0</v>
      </c>
      <c r="T47" t="s">
        <v>230</v>
      </c>
      <c r="U47">
        <v>0</v>
      </c>
      <c r="V47" t="s">
        <v>231</v>
      </c>
      <c r="W47" t="s">
        <v>231</v>
      </c>
      <c r="X47" t="s">
        <v>73</v>
      </c>
      <c r="Y47">
        <v>0</v>
      </c>
      <c r="Z47">
        <v>0</v>
      </c>
      <c r="AA47">
        <v>1</v>
      </c>
      <c r="AB47">
        <v>0</v>
      </c>
      <c r="AC47">
        <v>0</v>
      </c>
      <c r="AD47">
        <v>0</v>
      </c>
      <c r="AE47">
        <v>0</v>
      </c>
      <c r="AF47">
        <v>0</v>
      </c>
      <c r="AG47" t="s">
        <v>255</v>
      </c>
      <c r="AH47">
        <v>0</v>
      </c>
      <c r="AI47">
        <v>1</v>
      </c>
      <c r="AJ47">
        <v>0</v>
      </c>
      <c r="AK47">
        <v>0</v>
      </c>
      <c r="AL47">
        <v>0</v>
      </c>
      <c r="AM47">
        <v>0</v>
      </c>
      <c r="AN47">
        <v>0</v>
      </c>
      <c r="AO47">
        <v>0</v>
      </c>
      <c r="AP47">
        <v>0</v>
      </c>
      <c r="AQ47" t="s">
        <v>73</v>
      </c>
      <c r="AR47" t="s">
        <v>233</v>
      </c>
      <c r="AS47" t="s">
        <v>256</v>
      </c>
      <c r="AT47" t="s">
        <v>241</v>
      </c>
      <c r="AU47" s="102">
        <v>1.24</v>
      </c>
      <c r="AV47" s="20" t="s">
        <v>80</v>
      </c>
      <c r="AW47" s="17">
        <v>0.53400000000000003</v>
      </c>
      <c r="AX47" s="41" t="s">
        <v>73</v>
      </c>
      <c r="AY47" s="41">
        <v>3</v>
      </c>
      <c r="AZ47" s="103">
        <f>AU47/AW47</f>
        <v>2.3220973782771535</v>
      </c>
      <c r="BA47" s="17" t="s">
        <v>73</v>
      </c>
      <c r="BB47" s="17"/>
      <c r="BC47" s="17" t="s">
        <v>73</v>
      </c>
      <c r="BD47" s="17" t="s">
        <v>73</v>
      </c>
      <c r="BE47" s="17" t="s">
        <v>73</v>
      </c>
      <c r="BF47" s="17" t="s">
        <v>73</v>
      </c>
      <c r="BG47" s="17" t="s">
        <v>73</v>
      </c>
      <c r="BH47" s="17" t="s">
        <v>73</v>
      </c>
      <c r="BI47">
        <v>1620</v>
      </c>
      <c r="BJ47">
        <v>1620</v>
      </c>
      <c r="BK47" s="17" t="s">
        <v>73</v>
      </c>
      <c r="BL47" s="17" t="s">
        <v>73</v>
      </c>
      <c r="BM47" s="17" t="s">
        <v>73</v>
      </c>
      <c r="BN47" s="17" t="s">
        <v>73</v>
      </c>
      <c r="BO47" s="17" t="s">
        <v>73</v>
      </c>
      <c r="BP47">
        <v>1</v>
      </c>
      <c r="BQ47" s="17">
        <v>486</v>
      </c>
      <c r="BR47">
        <v>1</v>
      </c>
      <c r="BS47">
        <v>2560</v>
      </c>
      <c r="BT47" t="s">
        <v>257</v>
      </c>
      <c r="BU47">
        <v>0</v>
      </c>
      <c r="BV47">
        <v>0</v>
      </c>
      <c r="BW47">
        <v>1</v>
      </c>
      <c r="BX47" s="100">
        <f>((AZ47^2)/(AZ47^2+BI47))^(1/2)</f>
        <v>5.759719729770886E-2</v>
      </c>
      <c r="BY47" s="30">
        <f>0.5*LN((1+BX47)/(1-BX47))</f>
        <v>5.766101606856705E-2</v>
      </c>
      <c r="BZ47" s="30">
        <f>((1-(BY47^2)^2)/(BI47-1))</f>
        <v>6.1765839762384779E-4</v>
      </c>
      <c r="CA47" s="30">
        <f>1/(BI47-3)</f>
        <v>6.1842918985776133E-4</v>
      </c>
      <c r="CB47"/>
      <c r="CC47"/>
      <c r="CD47"/>
      <c r="CE47" s="30">
        <f>((AZ47^2)/(AZ47^2+BJ47))^(1/2)</f>
        <v>5.759719729770886E-2</v>
      </c>
      <c r="CF47" s="30">
        <f>0.5*LN((1+CE47)/(1-CE47))</f>
        <v>5.766101606856705E-2</v>
      </c>
      <c r="CG47" s="30">
        <f>((1-(CF47^2)^2)/(BJ47-1))</f>
        <v>6.1765839762384779E-4</v>
      </c>
      <c r="CH47" s="30">
        <f>1/(BJ47-3)</f>
        <v>6.1842918985776133E-4</v>
      </c>
    </row>
    <row r="48" spans="1:16359" ht="15.6">
      <c r="M48" s="18"/>
    </row>
    <row r="49" spans="13:76" ht="15.6">
      <c r="M49" s="18"/>
    </row>
    <row r="50" spans="13:76" ht="15.6">
      <c r="M50" s="18"/>
    </row>
    <row r="51" spans="13:76" ht="15.6">
      <c r="M51" s="18"/>
    </row>
    <row r="52" spans="13:76" ht="15.6">
      <c r="M52" s="18"/>
    </row>
    <row r="53" spans="13:76" ht="15.6">
      <c r="M53" s="18"/>
    </row>
    <row r="54" spans="13:76" ht="15.6">
      <c r="M54" s="18"/>
    </row>
    <row r="55" spans="13:76" ht="15.6">
      <c r="M55" s="18"/>
    </row>
    <row r="56" spans="13:76" ht="15.6">
      <c r="M56" s="18"/>
    </row>
    <row r="57" spans="13:76" ht="41.1" customHeight="1">
      <c r="M57" s="18"/>
      <c r="BX57" s="30"/>
    </row>
    <row r="58" spans="13:76" ht="15.6">
      <c r="M58" s="18"/>
      <c r="BA58" s="107"/>
      <c r="BB58" s="107"/>
    </row>
    <row r="59" spans="13:76" ht="15.6">
      <c r="M59" s="18"/>
      <c r="BA59" s="107"/>
      <c r="BB59" s="107"/>
    </row>
    <row r="60" spans="13:76" ht="15.75" customHeight="1">
      <c r="M60" s="18"/>
    </row>
    <row r="61" spans="13:76" ht="15.6">
      <c r="M61" s="18"/>
      <c r="BA61" s="108"/>
      <c r="BB61" s="108"/>
    </row>
  </sheetData>
  <autoFilter ref="AR1:AR56"/>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H33:AP1048576 S1:S1048576 AH1:AP18 U1: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 allowBlank="1" showInputMessage="1" showErrorMessage="1" errorTitle="int" error="Choose 1 or 0" promptTitle="Intervention" prompt="Yes - 1_x000a_No - 0" sqref="AD33:AE47 AD48:AG1048576 AG1:AG47 AD1:AF21"/>
    <dataValidation type="whole" allowBlank="1" showInputMessage="1" showErrorMessage="1" errorTitle="int" error="Choose 1 or 0" promptTitle="Intervention" prompt="Yes - 1_x000a_No - 0" sqref="Y1:AC1 Z33:AC47 Z22:AF32 AH23:AJ32 AF33:AF47 Y48:AC1048576 Y2:Y47 Z2:AC21">
      <formula1>0</formula1>
      <formula2>1</formula2>
    </dataValidation>
    <dataValidation errorStyle="warning" allowBlank="1" showInputMessage="1" showErrorMessage="1" sqref="BN1 BN7:BN21 BN33:BN1048576"/>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variables'!$A$2:$A$4</xm:f>
          </x14:formula1>
          <xm:sqref>BU2:BW32 BU35:BW1048576</xm:sqref>
        </x14:dataValidation>
        <x14:dataValidation type="list" allowBlank="1" showInputMessage="1" showErrorMessage="1">
          <x14:formula1>
            <xm:f>'Lists for variables'!$C$2:$C$4</xm:f>
          </x14:formula1>
          <xm:sqref>BO1 BO7:BO21 BO33:BO1048576</xm:sqref>
        </x14:dataValidation>
        <x14:dataValidation type="list" allowBlank="1" showInputMessage="1" showErrorMessage="1">
          <x14:formula1>
            <xm:f>'Lists for variables'!$I$2:$I$3</xm:f>
          </x14:formula1>
          <xm:sqref>AV48:AV1048576 AV1:AV36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variables'!$O:$O</xm:f>
          </x14:formula1>
          <xm:sqref>BT1 BT20:BT22 BT13 BT34:BT36 BT48:BT1048576</xm:sqref>
        </x14:dataValidation>
        <x14:dataValidation type="list" allowBlank="1" showInputMessage="1" showErrorMessage="1">
          <x14:formula1>
            <xm:f>'Lists for variables'!$S:$S</xm:f>
          </x14:formula1>
          <xm:sqref>G35:G1048576 G1:G32</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M62:M1048576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N1:N1048576 S1:S1048576 U1:W1048576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S1:S1048576 P1:P1048576 U1:U1048576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09" t="s">
        <v>7</v>
      </c>
      <c r="B1" t="s">
        <v>73</v>
      </c>
    </row>
    <row r="2" spans="1:62">
      <c r="A2" s="109" t="s">
        <v>198</v>
      </c>
      <c r="B2" t="s">
        <v>286</v>
      </c>
    </row>
    <row r="4" spans="1:62">
      <c r="A4" s="109"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10"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0"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0"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0"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0"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0"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0"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0"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0"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0"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2">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2">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6.8">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6.8">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2023-05-31T09:46:44Z</dcterms:modified>
  <cp:category/>
  <cp:contentStatus/>
</cp:coreProperties>
</file>