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dianadanilenko/Desktop/appliances_analysis/"/>
    </mc:Choice>
  </mc:AlternateContent>
  <xr:revisionPtr revIDLastSave="0" documentId="13_ncr:1_{56C459D4-4D59-D54A-9FB0-0994CFB35690}" xr6:coauthVersionLast="47" xr6:coauthVersionMax="47" xr10:uidLastSave="{00000000-0000-0000-0000-000000000000}"/>
  <bookViews>
    <workbookView xWindow="-5280" yWindow="-21100" windowWidth="38400" windowHeight="21100" activeTab="1" xr2:uid="{00000000-000D-0000-FFFF-FFFF00000000}"/>
  </bookViews>
  <sheets>
    <sheet name="Usage" sheetId="5" state="hidden" r:id="rId1"/>
    <sheet name="Appliances" sheetId="4" r:id="rId2"/>
    <sheet name="Summary" sheetId="7" r:id="rId3"/>
    <sheet name="Lists for variables" sheetId="3" r:id="rId4"/>
  </sheets>
  <externalReferences>
    <externalReference r:id="rId5"/>
  </externalReferences>
  <definedNames>
    <definedName name="_xlnm._FilterDatabase" localSheetId="1" hidden="1">Appliances!$AR$1:$AR$56</definedName>
    <definedName name="_xlnm._FilterDatabase" localSheetId="0" hidden="1">Usage!$A$1:$BN$53</definedName>
  </definedNames>
  <calcPr calcId="191028"/>
  <pivotCaches>
    <pivotCache cacheId="8"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A4" i="4" l="1"/>
  <c r="CA5" i="4"/>
  <c r="CA3" i="4"/>
  <c r="AZ2" i="4"/>
  <c r="BX2" i="4" s="1"/>
  <c r="BY2" i="4" s="1"/>
  <c r="BZ2" i="4" s="1"/>
  <c r="CA45" i="4"/>
  <c r="CA46" i="4"/>
  <c r="CA47" i="4"/>
  <c r="CA44" i="4"/>
  <c r="CA36" i="4"/>
  <c r="CA37" i="4"/>
  <c r="CA38" i="4"/>
  <c r="CA39" i="4"/>
  <c r="CA40" i="4"/>
  <c r="CA41" i="4"/>
  <c r="CA42" i="4"/>
  <c r="CA43" i="4"/>
  <c r="CA19" i="4"/>
  <c r="CA20" i="4"/>
  <c r="CA21" i="4"/>
  <c r="CA22" i="4"/>
  <c r="CA23" i="4"/>
  <c r="CA24" i="4"/>
  <c r="CA25" i="4"/>
  <c r="CA26" i="4"/>
  <c r="CA27" i="4"/>
  <c r="CA28" i="4"/>
  <c r="CA29" i="4"/>
  <c r="CA30" i="4"/>
  <c r="CA31" i="4"/>
  <c r="CA32" i="4"/>
  <c r="CA33" i="4"/>
  <c r="CA34" i="4"/>
  <c r="CA35" i="4"/>
  <c r="CA18" i="4"/>
  <c r="CA6" i="4"/>
  <c r="CA7" i="4"/>
  <c r="CA8" i="4"/>
  <c r="CA9" i="4"/>
  <c r="CA10" i="4"/>
  <c r="CA11" i="4"/>
  <c r="CA12" i="4"/>
  <c r="CA13" i="4"/>
  <c r="CA14" i="4"/>
  <c r="CA15" i="4"/>
  <c r="CA16" i="4"/>
  <c r="CA17" i="4"/>
  <c r="CA2" i="4"/>
  <c r="BA28" i="4" l="1"/>
  <c r="BA29" i="4"/>
  <c r="BA30" i="4"/>
  <c r="BA31" i="4"/>
  <c r="BA32" i="4"/>
  <c r="BA33" i="4"/>
  <c r="BA34" i="4"/>
  <c r="BA35" i="4"/>
  <c r="BA27" i="4"/>
  <c r="AZ28" i="4"/>
  <c r="BX28" i="4" s="1"/>
  <c r="BY28" i="4" s="1"/>
  <c r="BZ28" i="4" s="1"/>
  <c r="AZ29" i="4"/>
  <c r="BX29" i="4" s="1"/>
  <c r="BY29" i="4" s="1"/>
  <c r="BZ29" i="4" s="1"/>
  <c r="AZ30" i="4"/>
  <c r="BX30" i="4" s="1"/>
  <c r="BY30" i="4" s="1"/>
  <c r="BZ30" i="4" s="1"/>
  <c r="AZ31" i="4"/>
  <c r="BX31" i="4" s="1"/>
  <c r="BY31" i="4" s="1"/>
  <c r="BZ31" i="4" s="1"/>
  <c r="AZ32" i="4"/>
  <c r="BX32" i="4" s="1"/>
  <c r="BY32" i="4" s="1"/>
  <c r="BZ32" i="4" s="1"/>
  <c r="AZ33" i="4"/>
  <c r="BX33" i="4" s="1"/>
  <c r="BY33" i="4" s="1"/>
  <c r="BZ33" i="4" s="1"/>
  <c r="AZ34" i="4"/>
  <c r="BX34" i="4" s="1"/>
  <c r="BY34" i="4" s="1"/>
  <c r="BZ34" i="4" s="1"/>
  <c r="AZ35" i="4"/>
  <c r="BX35" i="4" s="1"/>
  <c r="BY35" i="4" s="1"/>
  <c r="BZ35" i="4" s="1"/>
  <c r="AZ27" i="4"/>
  <c r="BX27" i="4" s="1"/>
  <c r="BY27" i="4" s="1"/>
  <c r="BZ27" i="4" s="1"/>
  <c r="AZ37" i="4" l="1"/>
  <c r="BX37" i="4" s="1"/>
  <c r="BY37" i="4" s="1"/>
  <c r="BZ37" i="4" s="1"/>
  <c r="BJ47" i="4"/>
  <c r="AZ47" i="4"/>
  <c r="BX47" i="4" s="1"/>
  <c r="BY47" i="4" s="1"/>
  <c r="BZ47" i="4" s="1"/>
  <c r="BJ46" i="4"/>
  <c r="AZ46" i="4"/>
  <c r="BX46" i="4" s="1"/>
  <c r="BY46" i="4" s="1"/>
  <c r="BZ46" i="4" s="1"/>
  <c r="BJ45" i="4"/>
  <c r="AZ45" i="4"/>
  <c r="BX45" i="4" s="1"/>
  <c r="BY45" i="4" s="1"/>
  <c r="BZ45" i="4" s="1"/>
  <c r="BJ44" i="4"/>
  <c r="AZ44" i="4"/>
  <c r="BX44" i="4" s="1"/>
  <c r="BY44" i="4" s="1"/>
  <c r="BZ44" i="4" s="1"/>
  <c r="BJ43" i="4"/>
  <c r="AZ43" i="4"/>
  <c r="BX43" i="4" s="1"/>
  <c r="BY43" i="4" s="1"/>
  <c r="BZ43" i="4" s="1"/>
  <c r="BJ42" i="4"/>
  <c r="AZ42" i="4"/>
  <c r="BX42" i="4" s="1"/>
  <c r="BY42" i="4" s="1"/>
  <c r="BZ42" i="4" s="1"/>
  <c r="BJ41" i="4"/>
  <c r="AZ41" i="4"/>
  <c r="BX41" i="4" s="1"/>
  <c r="BY41" i="4" s="1"/>
  <c r="BZ41" i="4" s="1"/>
  <c r="BJ40" i="4"/>
  <c r="AZ40" i="4"/>
  <c r="BX40" i="4" s="1"/>
  <c r="BY40" i="4" s="1"/>
  <c r="BZ40" i="4" s="1"/>
  <c r="BJ39" i="4"/>
  <c r="AZ39" i="4"/>
  <c r="BX39" i="4" s="1"/>
  <c r="BY39" i="4" s="1"/>
  <c r="BZ39" i="4" s="1"/>
  <c r="BJ38" i="4"/>
  <c r="AZ38" i="4"/>
  <c r="BX38" i="4" s="1"/>
  <c r="BY38" i="4" s="1"/>
  <c r="BZ38" i="4" s="1"/>
  <c r="BJ37" i="4"/>
  <c r="BJ36" i="4"/>
  <c r="AZ36" i="4"/>
  <c r="BX36" i="4" s="1"/>
  <c r="BY36" i="4" s="1"/>
  <c r="BZ36" i="4" s="1"/>
  <c r="AZ26" i="4" l="1"/>
  <c r="BX26" i="4" s="1"/>
  <c r="BY26" i="4" s="1"/>
  <c r="BZ26" i="4" s="1"/>
  <c r="AZ25" i="4"/>
  <c r="BX25" i="4" s="1"/>
  <c r="BY25" i="4" s="1"/>
  <c r="BZ25" i="4" s="1"/>
  <c r="AZ24" i="4"/>
  <c r="BX24" i="4" s="1"/>
  <c r="BY24" i="4" s="1"/>
  <c r="BZ24" i="4" s="1"/>
  <c r="AZ23" i="4"/>
  <c r="BX23" i="4" s="1"/>
  <c r="BY23" i="4" s="1"/>
  <c r="BZ23" i="4" s="1"/>
  <c r="AZ22" i="4"/>
  <c r="BX22" i="4" s="1"/>
  <c r="BY22" i="4" s="1"/>
  <c r="BZ22" i="4" s="1"/>
  <c r="AZ21" i="4"/>
  <c r="BX21" i="4" s="1"/>
  <c r="BY21" i="4" s="1"/>
  <c r="BZ21" i="4" s="1"/>
  <c r="AZ20" i="4"/>
  <c r="BX20" i="4" s="1"/>
  <c r="BY20" i="4" s="1"/>
  <c r="BZ20" i="4" s="1"/>
  <c r="AZ19" i="4"/>
  <c r="BX19" i="4" s="1"/>
  <c r="BY19" i="4" s="1"/>
  <c r="BZ19" i="4" s="1"/>
  <c r="AZ18" i="4"/>
  <c r="BX18" i="4" s="1"/>
  <c r="BY18" i="4" s="1"/>
  <c r="BZ18" i="4" s="1"/>
  <c r="AZ17" i="4" l="1"/>
  <c r="BX17" i="4" s="1"/>
  <c r="BY17" i="4" s="1"/>
  <c r="BZ17" i="4" s="1"/>
  <c r="AZ16" i="4"/>
  <c r="BX16" i="4" s="1"/>
  <c r="BY16" i="4" s="1"/>
  <c r="BZ16" i="4" s="1"/>
  <c r="AZ15" i="4"/>
  <c r="BX15" i="4" s="1"/>
  <c r="BY15" i="4" s="1"/>
  <c r="BZ15" i="4" s="1"/>
  <c r="AZ14" i="4"/>
  <c r="BX14" i="4" s="1"/>
  <c r="BY14" i="4" s="1"/>
  <c r="BZ14" i="4" s="1"/>
  <c r="AZ13" i="4"/>
  <c r="BX13" i="4" s="1"/>
  <c r="BY13" i="4" s="1"/>
  <c r="BZ13" i="4" s="1"/>
  <c r="AZ12" i="4"/>
  <c r="BX12" i="4" s="1"/>
  <c r="BY12" i="4" s="1"/>
  <c r="BZ12" i="4" s="1"/>
  <c r="AZ11" i="4"/>
  <c r="BX11" i="4" s="1"/>
  <c r="BY11" i="4" s="1"/>
  <c r="BZ11" i="4" s="1"/>
  <c r="AZ10" i="4"/>
  <c r="BX10" i="4" s="1"/>
  <c r="BY10" i="4" s="1"/>
  <c r="BZ10" i="4" s="1"/>
  <c r="AZ9" i="4"/>
  <c r="BX9" i="4" s="1"/>
  <c r="BY9" i="4" s="1"/>
  <c r="BZ9" i="4" s="1"/>
  <c r="AZ8" i="4"/>
  <c r="BX8" i="4" s="1"/>
  <c r="BY8" i="4" s="1"/>
  <c r="BZ8" i="4" s="1"/>
  <c r="AZ7" i="4"/>
  <c r="BX7" i="4" s="1"/>
  <c r="BY7" i="4" s="1"/>
  <c r="BZ7" i="4" s="1"/>
  <c r="AZ6" i="4"/>
  <c r="BX6" i="4" s="1"/>
  <c r="BY6" i="4" s="1"/>
  <c r="BZ6" i="4" s="1"/>
  <c r="AZ4" i="4" l="1"/>
  <c r="AZ5" i="4"/>
  <c r="AZ3" i="4"/>
  <c r="BX3" i="4" l="1"/>
  <c r="BY3" i="4" s="1"/>
  <c r="BZ3" i="4" s="1"/>
  <c r="BX4" i="4"/>
  <c r="BY4" i="4" s="1"/>
  <c r="BZ4" i="4" s="1"/>
  <c r="BX5" i="4"/>
  <c r="BY5" i="4" s="1"/>
  <c r="BZ5" i="4" s="1"/>
  <c r="BM53" i="5"/>
  <c r="BJ53" i="5"/>
  <c r="BK53" i="5" s="1"/>
  <c r="BL53" i="5" s="1"/>
  <c r="BI53" i="5"/>
  <c r="BG53" i="5"/>
  <c r="BK52" i="5"/>
  <c r="BG52" i="5"/>
  <c r="AL52" i="5"/>
  <c r="BM52" i="5" s="1"/>
  <c r="BM51" i="5"/>
  <c r="AP51" i="5"/>
  <c r="BM50" i="5"/>
  <c r="AP50" i="5"/>
  <c r="B50" i="5"/>
  <c r="B51" i="5" s="1"/>
  <c r="B52" i="5" s="1"/>
  <c r="BM49" i="5"/>
  <c r="BK49" i="5"/>
  <c r="BL49" i="5" s="1"/>
  <c r="AP49" i="5"/>
  <c r="BM48" i="5"/>
  <c r="AP48" i="5"/>
  <c r="BM47" i="5"/>
  <c r="AP47" i="5"/>
  <c r="BM46" i="5"/>
  <c r="AP46" i="5"/>
  <c r="B46" i="5"/>
  <c r="B47" i="5" s="1"/>
  <c r="B48" i="5" s="1"/>
  <c r="BM45" i="5"/>
  <c r="AP45" i="5"/>
  <c r="BM44" i="5"/>
  <c r="AP44" i="5"/>
  <c r="BM43" i="5"/>
  <c r="AP43" i="5"/>
  <c r="BN42" i="5"/>
  <c r="BJ42" i="5" s="1"/>
  <c r="BK42" i="5" s="1"/>
  <c r="BG42" i="5"/>
  <c r="AQ42" i="5"/>
  <c r="AL42" i="5"/>
  <c r="BM42" i="5" s="1"/>
  <c r="B42" i="5"/>
  <c r="B43" i="5" s="1"/>
  <c r="B44" i="5" s="1"/>
  <c r="BN41" i="5"/>
  <c r="BJ41" i="5" s="1"/>
  <c r="BK41" i="5" s="1"/>
  <c r="BG41" i="5"/>
  <c r="AQ41" i="5"/>
  <c r="AL41" i="5"/>
  <c r="BM41" i="5" s="1"/>
  <c r="BK40" i="5"/>
  <c r="BG40" i="5"/>
  <c r="AQ40" i="5"/>
  <c r="AL40" i="5"/>
  <c r="BM40" i="5" s="1"/>
  <c r="BK39" i="5"/>
  <c r="BG39" i="5"/>
  <c r="AQ39" i="5"/>
  <c r="AL39" i="5"/>
  <c r="BM39" i="5" s="1"/>
  <c r="BM38" i="5"/>
  <c r="AP38" i="5"/>
  <c r="B38" i="5"/>
  <c r="B39" i="5" s="1"/>
  <c r="B40" i="5" s="1"/>
  <c r="BM37" i="5"/>
  <c r="AP37" i="5"/>
  <c r="BM36" i="5"/>
  <c r="BK36" i="5"/>
  <c r="BL36" i="5" s="1"/>
  <c r="BG36" i="5"/>
  <c r="BM35" i="5"/>
  <c r="BK35" i="5"/>
  <c r="BL35" i="5" s="1"/>
  <c r="BG35" i="5"/>
  <c r="BM34" i="5"/>
  <c r="BJ34" i="5"/>
  <c r="BK34" i="5" s="1"/>
  <c r="BL34" i="5" s="1"/>
  <c r="BI34" i="5"/>
  <c r="BG34" i="5"/>
  <c r="BM33" i="5"/>
  <c r="BK33" i="5"/>
  <c r="BL33" i="5" s="1"/>
  <c r="BG33" i="5"/>
  <c r="BM32" i="5"/>
  <c r="BG32" i="5"/>
  <c r="AZ32" i="5"/>
  <c r="AP32" i="5"/>
  <c r="BM31" i="5"/>
  <c r="BG31" i="5"/>
  <c r="AZ31" i="5"/>
  <c r="AP31" i="5"/>
  <c r="BM30" i="5"/>
  <c r="BG30" i="5"/>
  <c r="AZ30" i="5"/>
  <c r="AP30" i="5"/>
  <c r="B30" i="5"/>
  <c r="B31" i="5" s="1"/>
  <c r="BM29" i="5"/>
  <c r="BG29" i="5"/>
  <c r="AZ29" i="5"/>
  <c r="AP29" i="5"/>
  <c r="BM28" i="5"/>
  <c r="AP28" i="5"/>
  <c r="BM27" i="5"/>
  <c r="AP27" i="5"/>
  <c r="BM26" i="5"/>
  <c r="AP26" i="5"/>
  <c r="BM25" i="5"/>
  <c r="AP25" i="5"/>
  <c r="BM24" i="5"/>
  <c r="AP24" i="5"/>
  <c r="BM23" i="5"/>
  <c r="AP23" i="5"/>
  <c r="BM22" i="5"/>
  <c r="BI22" i="5"/>
  <c r="BH22" i="5"/>
  <c r="BG22" i="5"/>
  <c r="AM22" i="5"/>
  <c r="BJ22" i="5" s="1"/>
  <c r="BK22" i="5" s="1"/>
  <c r="BL22" i="5" s="1"/>
  <c r="BM21" i="5"/>
  <c r="BI21" i="5"/>
  <c r="BH21" i="5"/>
  <c r="BG21" i="5"/>
  <c r="AM21" i="5"/>
  <c r="BJ21" i="5" s="1"/>
  <c r="BK21" i="5" s="1"/>
  <c r="BL21" i="5" s="1"/>
  <c r="BM20" i="5"/>
  <c r="BI20" i="5"/>
  <c r="BH20" i="5"/>
  <c r="BG20" i="5"/>
  <c r="AM20" i="5"/>
  <c r="BJ20" i="5" s="1"/>
  <c r="BK20" i="5" s="1"/>
  <c r="BL20" i="5" s="1"/>
  <c r="BM19" i="5"/>
  <c r="BK19" i="5"/>
  <c r="BL19" i="5" s="1"/>
  <c r="AQ19" i="5"/>
  <c r="AM19" i="5"/>
  <c r="BM18" i="5"/>
  <c r="BK18" i="5"/>
  <c r="BL18" i="5" s="1"/>
  <c r="AQ18" i="5"/>
  <c r="AM18" i="5"/>
  <c r="B18" i="5"/>
  <c r="B19" i="5" s="1"/>
  <c r="BM17" i="5"/>
  <c r="BK17" i="5"/>
  <c r="BL17" i="5" s="1"/>
  <c r="AQ17" i="5"/>
  <c r="AM17" i="5"/>
  <c r="BM16" i="5"/>
  <c r="BI16" i="5"/>
  <c r="AM16" i="5"/>
  <c r="BJ16" i="5" s="1"/>
  <c r="BK16" i="5" s="1"/>
  <c r="BL16" i="5" s="1"/>
  <c r="BM15" i="5"/>
  <c r="BK15" i="5"/>
  <c r="BL15" i="5" s="1"/>
  <c r="AM15" i="5"/>
  <c r="B15" i="5"/>
  <c r="B16" i="5" s="1"/>
  <c r="BM14" i="5"/>
  <c r="BK14" i="5"/>
  <c r="BL14" i="5" s="1"/>
  <c r="AM14" i="5"/>
  <c r="BM13" i="5"/>
  <c r="BI13" i="5"/>
  <c r="AM13" i="5"/>
  <c r="BJ13" i="5" s="1"/>
  <c r="BK13" i="5" s="1"/>
  <c r="BL13" i="5" s="1"/>
  <c r="BM12" i="5"/>
  <c r="AP12" i="5"/>
  <c r="AF12" i="5"/>
  <c r="BM11" i="5"/>
  <c r="AP11" i="5"/>
  <c r="AF11" i="5"/>
  <c r="B11" i="5"/>
  <c r="B12" i="5" s="1"/>
  <c r="BM10" i="5"/>
  <c r="AP10" i="5"/>
  <c r="AF10" i="5"/>
  <c r="BM9" i="5"/>
  <c r="BH9" i="5"/>
  <c r="BG9" i="5"/>
  <c r="AP9" i="5"/>
  <c r="BN9" i="5" s="1"/>
  <c r="BM8" i="5"/>
  <c r="BH8" i="5"/>
  <c r="BG8" i="5"/>
  <c r="AP8" i="5"/>
  <c r="BN8" i="5" s="1"/>
  <c r="BM7" i="5"/>
  <c r="BH7" i="5"/>
  <c r="BG7" i="5"/>
  <c r="AP7" i="5"/>
  <c r="BN7" i="5" s="1"/>
  <c r="BM6" i="5"/>
  <c r="BH6" i="5"/>
  <c r="BG6" i="5"/>
  <c r="AP6" i="5"/>
  <c r="BN6" i="5" s="1"/>
  <c r="BM5" i="5"/>
  <c r="BH5" i="5"/>
  <c r="BG5" i="5"/>
  <c r="AP5" i="5"/>
  <c r="BN5" i="5" s="1"/>
  <c r="BM4" i="5"/>
  <c r="BH4" i="5"/>
  <c r="BG4" i="5"/>
  <c r="AP4" i="5"/>
  <c r="BN4" i="5" s="1"/>
  <c r="BM3" i="5"/>
  <c r="BH3" i="5"/>
  <c r="BG3" i="5"/>
  <c r="AP3" i="5"/>
  <c r="BN3" i="5" s="1"/>
  <c r="BM2" i="5"/>
  <c r="BH2" i="5"/>
  <c r="BG2" i="5"/>
  <c r="AP2" i="5"/>
  <c r="BN2" i="5" s="1"/>
  <c r="B2" i="5"/>
  <c r="B3" i="5" s="1"/>
  <c r="B4" i="5" s="1"/>
  <c r="B5" i="5" s="1"/>
  <c r="B6" i="5" s="1"/>
  <c r="B7" i="5" s="1"/>
  <c r="B8" i="5" s="1"/>
  <c r="B9" i="5" s="1"/>
  <c r="BI41" i="5" l="1"/>
  <c r="BI42" i="5"/>
  <c r="BJ2" i="5"/>
  <c r="BK2" i="5" s="1"/>
  <c r="BL2" i="5" s="1"/>
  <c r="BI2" i="5"/>
  <c r="BJ3" i="5"/>
  <c r="BK3" i="5" s="1"/>
  <c r="BL3" i="5" s="1"/>
  <c r="BI3" i="5"/>
  <c r="BJ4" i="5"/>
  <c r="BK4" i="5" s="1"/>
  <c r="BL4" i="5" s="1"/>
  <c r="BI4" i="5"/>
  <c r="BJ5" i="5"/>
  <c r="BK5" i="5" s="1"/>
  <c r="BL5" i="5" s="1"/>
  <c r="BI5" i="5"/>
  <c r="BJ6" i="5"/>
  <c r="BK6" i="5" s="1"/>
  <c r="BL6" i="5" s="1"/>
  <c r="BI6" i="5"/>
  <c r="BJ7" i="5"/>
  <c r="BK7" i="5" s="1"/>
  <c r="BL7" i="5" s="1"/>
  <c r="BI7" i="5"/>
  <c r="BJ8" i="5"/>
  <c r="BK8" i="5" s="1"/>
  <c r="BL8" i="5" s="1"/>
  <c r="BI8" i="5"/>
  <c r="BJ9" i="5"/>
  <c r="BK9" i="5" s="1"/>
  <c r="BL9" i="5" s="1"/>
  <c r="BI9" i="5"/>
  <c r="BJ10" i="5"/>
  <c r="BK10" i="5" s="1"/>
  <c r="BL10" i="5" s="1"/>
  <c r="BI10" i="5"/>
  <c r="BJ11" i="5"/>
  <c r="BK11" i="5" s="1"/>
  <c r="BL11" i="5" s="1"/>
  <c r="BI11" i="5"/>
  <c r="BJ12" i="5"/>
  <c r="BK12" i="5" s="1"/>
  <c r="BL12" i="5" s="1"/>
  <c r="BI12" i="5"/>
  <c r="BJ23" i="5"/>
  <c r="BK23" i="5" s="1"/>
  <c r="BL23" i="5" s="1"/>
  <c r="BI23" i="5"/>
  <c r="BJ24" i="5"/>
  <c r="BK24" i="5" s="1"/>
  <c r="BL24" i="5" s="1"/>
  <c r="BI24" i="5"/>
  <c r="BJ25" i="5"/>
  <c r="BK25" i="5" s="1"/>
  <c r="BL25" i="5" s="1"/>
  <c r="BI25" i="5"/>
  <c r="BJ26" i="5"/>
  <c r="BK26" i="5" s="1"/>
  <c r="BL26" i="5" s="1"/>
  <c r="BI26" i="5"/>
  <c r="BJ27" i="5"/>
  <c r="BK27" i="5" s="1"/>
  <c r="BL27" i="5" s="1"/>
  <c r="BI27" i="5"/>
  <c r="BJ28" i="5"/>
  <c r="BK28" i="5" s="1"/>
  <c r="BL28" i="5" s="1"/>
  <c r="BI28" i="5"/>
  <c r="BJ29" i="5"/>
  <c r="BK29" i="5" s="1"/>
  <c r="BL29" i="5" s="1"/>
  <c r="BI29" i="5"/>
  <c r="BJ30" i="5"/>
  <c r="BK30" i="5" s="1"/>
  <c r="BL30" i="5" s="1"/>
  <c r="BI30" i="5"/>
  <c r="BJ31" i="5"/>
  <c r="BK31" i="5" s="1"/>
  <c r="BL31" i="5" s="1"/>
  <c r="BI31" i="5"/>
  <c r="BJ32" i="5"/>
  <c r="BK32" i="5" s="1"/>
  <c r="BL32" i="5" s="1"/>
  <c r="BI32" i="5"/>
  <c r="BJ37" i="5"/>
  <c r="BK37" i="5" s="1"/>
  <c r="BL37" i="5" s="1"/>
  <c r="BI37" i="5"/>
  <c r="BJ38" i="5"/>
  <c r="BK38" i="5" s="1"/>
  <c r="BL38" i="5" s="1"/>
  <c r="BI38" i="5"/>
  <c r="BL39" i="5"/>
  <c r="BL40" i="5"/>
  <c r="BL41" i="5"/>
  <c r="BL42" i="5"/>
  <c r="BJ43" i="5"/>
  <c r="BK43" i="5" s="1"/>
  <c r="BL43" i="5" s="1"/>
  <c r="BI43" i="5"/>
  <c r="BJ44" i="5"/>
  <c r="BK44" i="5" s="1"/>
  <c r="BL44" i="5" s="1"/>
  <c r="BI44" i="5"/>
  <c r="BJ45" i="5"/>
  <c r="BK45" i="5" s="1"/>
  <c r="BL45" i="5" s="1"/>
  <c r="BI45" i="5"/>
  <c r="BJ46" i="5"/>
  <c r="BK46" i="5" s="1"/>
  <c r="BL46" i="5" s="1"/>
  <c r="BI46" i="5"/>
  <c r="BJ47" i="5"/>
  <c r="BK47" i="5" s="1"/>
  <c r="BL47" i="5" s="1"/>
  <c r="BI47" i="5"/>
  <c r="BJ48" i="5"/>
  <c r="BK48" i="5" s="1"/>
  <c r="BL48" i="5" s="1"/>
  <c r="BI48" i="5"/>
  <c r="BJ50" i="5"/>
  <c r="BK50" i="5" s="1"/>
  <c r="BL50" i="5" s="1"/>
  <c r="BI50" i="5"/>
  <c r="BJ51" i="5"/>
  <c r="BK51" i="5" s="1"/>
  <c r="BL51" i="5" s="1"/>
  <c r="BI51" i="5"/>
  <c r="BL5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tc={73C2226C-6106-4DC2-88CF-9C0A06F48311}</author>
    <author>tc={CEE78422-255C-40DC-AFED-5AA185CC03E1}</author>
    <author>tc={C7CEED71-5EFE-4791-84D8-7010C40A69F0}</author>
  </authors>
  <commentList>
    <comment ref="AQ1"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is this supposed to capture mean difference between control and treatment or ?</t>
      </text>
    </comment>
    <comment ref="AZ1"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daily kWh</t>
      </text>
    </comment>
    <comment ref="AQ22"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in kWh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tc={1DD52412-77C6-1E43-B8CC-07AD562D2C6E}</author>
  </authors>
  <commentList>
    <comment ref="AA1"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check label studies from srmt for label type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tc={CF36070F-7893-4948-8AB8-1CADF6EBBFD9}</author>
  </authors>
  <commentList>
    <comment ref="D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 bit confused as of where it’s correlation and where - quasi-experimental
Reply:
    the way i reassessed this was - market statistics - correlation, whereas hypothetical choice - quasi-experimental</t>
      </text>
    </comment>
  </commentList>
</comments>
</file>

<file path=xl/sharedStrings.xml><?xml version="1.0" encoding="utf-8"?>
<sst xmlns="http://schemas.openxmlformats.org/spreadsheetml/2006/main" count="3577" uniqueCount="592">
  <si>
    <t>Coder</t>
  </si>
  <si>
    <t>sr_no</t>
  </si>
  <si>
    <t>study_ID</t>
  </si>
  <si>
    <t>Authors</t>
  </si>
  <si>
    <t>doc_title</t>
  </si>
  <si>
    <t>abstract</t>
  </si>
  <si>
    <t>year_data_study</t>
  </si>
  <si>
    <t>exclusion_reason</t>
  </si>
  <si>
    <t>page</t>
  </si>
  <si>
    <t>statistical_technique</t>
  </si>
  <si>
    <t>study_design</t>
  </si>
  <si>
    <t>study_type</t>
  </si>
  <si>
    <t>feedback</t>
  </si>
  <si>
    <t>rebate</t>
  </si>
  <si>
    <t>information</t>
  </si>
  <si>
    <t>label</t>
  </si>
  <si>
    <t>tax_credit</t>
  </si>
  <si>
    <t>washing_machine</t>
  </si>
  <si>
    <t>diswasher</t>
  </si>
  <si>
    <t>refrigerator</t>
  </si>
  <si>
    <t>heat_pump</t>
  </si>
  <si>
    <t>lighting</t>
  </si>
  <si>
    <t>water_heater</t>
  </si>
  <si>
    <t>air_conditioning</t>
  </si>
  <si>
    <t>tv</t>
  </si>
  <si>
    <t>Notes</t>
  </si>
  <si>
    <t>dep_variable usage</t>
  </si>
  <si>
    <t xml:space="preserve">coefficient </t>
  </si>
  <si>
    <t>effect_direction</t>
  </si>
  <si>
    <t>coefficient_se</t>
  </si>
  <si>
    <t>PercentChange</t>
  </si>
  <si>
    <t>control_mean</t>
  </si>
  <si>
    <t>control_sample_size</t>
  </si>
  <si>
    <t>control_sd</t>
  </si>
  <si>
    <t>treated_mean</t>
  </si>
  <si>
    <t>treatment_sample_size</t>
  </si>
  <si>
    <t>treated_sd</t>
  </si>
  <si>
    <t>total_sample_size</t>
  </si>
  <si>
    <t>total_observations</t>
  </si>
  <si>
    <t>p_value</t>
  </si>
  <si>
    <t>significance_bound</t>
  </si>
  <si>
    <t>test_statistic</t>
  </si>
  <si>
    <t>diff_mean</t>
  </si>
  <si>
    <t>pooled_sd</t>
  </si>
  <si>
    <t>controls Electricity use</t>
  </si>
  <si>
    <t>controls Environmental attitudes</t>
  </si>
  <si>
    <t>controls HH controls (demographics)</t>
  </si>
  <si>
    <t>controls Residence controls</t>
  </si>
  <si>
    <t>controls Seasonal controls</t>
  </si>
  <si>
    <t>controls Weather controls</t>
  </si>
  <si>
    <t>country</t>
  </si>
  <si>
    <t>Baseline Consumption</t>
  </si>
  <si>
    <t>Notes_BaselineConsumption</t>
  </si>
  <si>
    <t>randomisation_dummy</t>
  </si>
  <si>
    <t>Opt_in</t>
  </si>
  <si>
    <t>outOfSampleBias</t>
  </si>
  <si>
    <t>reportingBiases</t>
  </si>
  <si>
    <t>Notes_Biases</t>
  </si>
  <si>
    <t>interventionDuration</t>
  </si>
  <si>
    <t>interventionTreatmentPeriod</t>
  </si>
  <si>
    <t>r_effect_size_sample</t>
  </si>
  <si>
    <t>r_effect_size_obsversation</t>
  </si>
  <si>
    <t>z_value</t>
  </si>
  <si>
    <t>r_variance</t>
  </si>
  <si>
    <t>z_variance</t>
  </si>
  <si>
    <t>d_value</t>
  </si>
  <si>
    <t>Significance in Original study</t>
  </si>
  <si>
    <t>note</t>
  </si>
  <si>
    <t>DD</t>
  </si>
  <si>
    <t>Asensio, Delmas, 2015</t>
  </si>
  <si>
    <t>Nonprice incentives and energy conservation</t>
  </si>
  <si>
    <t>In the electricity sector, energy conservation through technological and behavioral change is estimated to have a savings potential of 123 million metric tons of carbon per year, which represents 20% of US household direct emissions in the United States. In this article, we investigate the effectiveness of nonprice information strategies to motivate conservation behavior. We introduce environment and health-based messaging as a behavioral strategy to reduce energy use in the home and promote energy conserva- tion. In a randomized controlled trial with real-time appliance- level energy metering, we find that environment and health-based information strategies, which communicate the environmental and public health externalities of electricity production, such as pounds of pollutants, childhood asthma, and cancer, outperform monetary savings information to drive behavioral change in the home. Environment and health-based information treatments motivated 8% energy savings versus control and were particularly effective on families with children, who achieved up to 19% energy savings. Our results are based on a panel of 3.4 million hourly appliance-level kilowatt–hour observations for 118 residen- ces over 8 mo. We discuss the relative impacts of both cost-savings information and environmental health messaging strategies with residential consumers.</t>
  </si>
  <si>
    <t>2011-2012</t>
  </si>
  <si>
    <t>NA</t>
  </si>
  <si>
    <t>SI Appendix</t>
  </si>
  <si>
    <t>RCT</t>
  </si>
  <si>
    <t>Control &amp; Treatment</t>
  </si>
  <si>
    <t>info - monetary, reported as heating/cooling</t>
  </si>
  <si>
    <t>electricity consumption</t>
  </si>
  <si>
    <t>?</t>
  </si>
  <si>
    <t>increase</t>
  </si>
  <si>
    <t>US</t>
  </si>
  <si>
    <t>slightly below the national average</t>
  </si>
  <si>
    <t>Probably No</t>
  </si>
  <si>
    <t>significant</t>
  </si>
  <si>
    <t>info - health, reported as heating/cooling</t>
  </si>
  <si>
    <t>decrease</t>
  </si>
  <si>
    <t>not significant</t>
  </si>
  <si>
    <t>info - monetary</t>
  </si>
  <si>
    <t>info - health</t>
  </si>
  <si>
    <t>Brülisauer, Goette, Jiang, Schmitz, Schubert, 2018</t>
  </si>
  <si>
    <t>Appliance specific feedback and social comparisons: Evidence from a field experiment on electricity saving</t>
  </si>
  <si>
    <t>Feedback about individual electricity consumption relative to others in the popu- lation is widely used to steer behavior and reduce electricity consumption. This feedback usually informs households about their aggregate electricity consumption relative to others. While aggregate consumption feedback already translates into significant energy savings, it may leave potential savings untapped because house- holds lack the knowledge where to save most efficiently. In this paper, we provide households with detailed feedback about their consumption of a specific high energy use appliance (air-conditioning) relative to other households. We thereby also exo- genously vary a households’ reference group about which they receive the appliance specific consumption information. We find that our appliance specific feedback is a powerful tool to curb electricity consumption. Households significantly reduce their average air-conditioning consumption by 17% in our treatment groups. Our effects are not driven by comparative feedback to specific reference groups. We interpret this as encouraging evidence to promote the use of appliance specific consumption feedback to realize electricity savings.</t>
  </si>
  <si>
    <t>linear probability model</t>
  </si>
  <si>
    <t>Diff in Diff</t>
  </si>
  <si>
    <t>average peers</t>
  </si>
  <si>
    <t>Singapore</t>
  </si>
  <si>
    <t>identifiable peers</t>
  </si>
  <si>
    <t>unidentifiable peers</t>
  </si>
  <si>
    <t>Delmas, Lessem, 2012</t>
  </si>
  <si>
    <t>SAVING POWER TO CONSERVE YOUR REPUTATION?
THE EFFECTIVENESS OF PRIVATE VERSUS PUBLIC INFORMATION</t>
  </si>
  <si>
    <t xml:space="preserve">
Environmental damage is often an unseen byproduct of other activities. Disclosing environmental impact privately to consumers can reduce the costs and/or increase the moral benefits of conservation behaviors, while publicly disclosing such information can provide an additional motivation for conservation - cultivating a green reputation. In a unique field experiment in the residence halls at the University of California – Los Angeles, we test the efficacy of detailed private and public information on electricity conservation. Private information was given through real-time appliance level feedback and social norms over usage, and public information was given through a publicly visible conservation rating. Our analysis is based on 7,120 daily observations about energy use from heating and cooling, lights and plug load for 66 rooms collected over an academic year. Our results suggest that while private information alone was ineffective, public information combined with private information motivated a 20 percent reduction in electricity consumption achieved through lower use of heating and cooling. Public information was particularly effective for above median energy users.</t>
  </si>
  <si>
    <t>2010-2011</t>
  </si>
  <si>
    <t>private</t>
  </si>
  <si>
    <t>public</t>
  </si>
  <si>
    <t>Becker, Seligman 1978</t>
  </si>
  <si>
    <t>Reducing Air Conditioning Waste by Signalling it is Cool Outside</t>
  </si>
  <si>
    <t>diff of means</t>
  </si>
  <si>
    <t>electricity consumption (daily)</t>
  </si>
  <si>
    <t>Herter, Wood, Blozis, 2013</t>
  </si>
  <si>
    <t xml:space="preserve">
The effects of combining dynamic pricing, AC load control, and real-time energy feedback: SMUD’S 2011 Residential Summer Solutions Study</t>
  </si>
  <si>
    <t>The 2011 Residential Summer Solutions Study compared the hourly load effects of three dif- ferent real-time information treatments and two pro- gram options. The information treatments included: Baseline information (no real-time data), real-time Home information (whole-house data), and real-time Appliance information (data for the whole house plus three individual appliances). Compared to the Baseline group, real-time Home information lowered overall energy use by about 4 %. Real-time information at both the Home and Appliance levels had a significant effect on non-event peak loads: compared to the Baseline group, real-time Home data lowered peak load by 5 %, while Appliance data lowered peak load by 7 %. All three information treatments averaged a 1-kW (40 %) load shed during events. The customer-chosen program options included a dynamic time-of-use rate and a load control incentive program. Customers were more likely to sign up for the dynamic rate, and those who did saved significantly more peak load on both event days (&gt;50 % savings) and non-event days (&gt;20 % savings) than did those on the load control program alone. In addition, those on the dynamic rate saved twice as much on their summer bills as did those who chose to remain on the standard tiered rate. At the end of the summer, more than 90 % of participants signed up to participate again the following year.control incentive program. Customers were more likely to sign up for the dynamic rate, and those who did saved significantly more peak load on both event days (&gt;50 % savings) and non-event days (&gt;20 % savings) than did those on the load control program alone. In addition, those on the dynamic rate saved twice as much on their summer bills as did those who chose to remain on the standard tiered rate. At the end of the summer, more than 90 % of participants signed up to participate again the following year.</t>
  </si>
  <si>
    <t>pre and post</t>
  </si>
  <si>
    <t>house electricity consumption (overall 24 hours)</t>
  </si>
  <si>
    <t>house electricity consumption (non-event peak load)</t>
  </si>
  <si>
    <t>house electricity consumption (event peak load)</t>
  </si>
  <si>
    <t>Ito, Ida, Tanaka, 2018</t>
  </si>
  <si>
    <t>Moral Suasion and Economic Incentives: Field Experimental Evidence from Energy Demand</t>
  </si>
  <si>
    <t>Firms and governments often use moral suasion and economic incentives to influence intrinsic and extrinsic motivations for economic activities. To investigate persistence of such interventions, we randomly assign households to moral suasion and dynamic pricing that stimulate energy conservation during peak-demand hours. We find significant habituation and dishabituation for moral suasion—the treatment effect diminishes after repeated interventions but can be restored to the original level by a sufficient time interval between interventions. Economic incentives induce larger treatment effects, little habituation, and significant habit formation. Our results suggest moral suasion and economic incentives produce substantially different short-run and long-run policy impacts.</t>
  </si>
  <si>
    <t>2012-2013</t>
  </si>
  <si>
    <t>OLS</t>
  </si>
  <si>
    <t>moral</t>
  </si>
  <si>
    <t>energy-efficient use of appliance (dummy)</t>
  </si>
  <si>
    <t>not reported</t>
  </si>
  <si>
    <t>Japan</t>
  </si>
  <si>
    <t>economic</t>
  </si>
  <si>
    <t>Davis, Fuchs, Gertler, 2014</t>
  </si>
  <si>
    <t>Cash for Coolers: Evaluating a Large-Scale Appliance Replacement Program in Mexico</t>
  </si>
  <si>
    <t>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t>
  </si>
  <si>
    <t>2009-2012</t>
  </si>
  <si>
    <t>electricity consumption (monthly)</t>
  </si>
  <si>
    <t>Mexico</t>
  </si>
  <si>
    <t>DECC, 2014</t>
  </si>
  <si>
    <t>Evaluation of the DECC/John Lewis energy labelling trial</t>
  </si>
  <si>
    <t>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t>
  </si>
  <si>
    <t>2013-2014</t>
  </si>
  <si>
    <t>washing machine</t>
  </si>
  <si>
    <t>electricity consumption (yearly)</t>
  </si>
  <si>
    <t>UK</t>
  </si>
  <si>
    <t>Probably Yes</t>
  </si>
  <si>
    <t xml:space="preserve">self-selected sample of stores, training of personnel </t>
  </si>
  <si>
    <t>washer dryer</t>
  </si>
  <si>
    <t>tumble dryer condenser</t>
  </si>
  <si>
    <t>tumble dryer vented</t>
  </si>
  <si>
    <t>Deutsch, 2010</t>
  </si>
  <si>
    <t>Life Cycle Cost Disclosure, Consumer Behavior, and Business Implications</t>
  </si>
  <si>
    <t>Comprehensive assessments of final consumption have iden- tified “housing” as a major contributor to total environmental impacts. Within this category, electrical-energy-using products are important. Do consumers opt for more energy-efficient household appliances if they are provided with life cycle cost (LCC)—that is, the sum of purchase price and operating cost estimated over the life span of the appliance? And what con- sequences does LCC disclosure have for business? Physical energy figures shown on appliance labels may be cognitively demanding for consumers, whereas monetary information promises to simplify the decision problem. Despite the rising interest in monetary cost disclosure, its effectiveness relative to physical cost disclosure has not been rigorously evaluated. This research approached the question of effectiveness with an online field experiment for washing machines. Customers of a commercially operating online shop were randomly assigned to two groups. The control group was provided with regular product price information; the treatment group received addi- tional LCC information. A total of 2,065 clicks were recorded and analyzed with multiple regression that controlled for sev- eral product characteristics. The evidence suggests that LCC disclosure decreases the mean specific energy use of chosen washing machines by 0.8% (p &lt; 0.01) and their mean specific water use by 0.7% (p &lt; 0.05). As to business implications, LCC disclosure had no effect on the indicator of retail vol- ume, which makes it unattractive for retailers to provide LCC on their own initiative.</t>
  </si>
  <si>
    <t>electricity consumption (per cycle)</t>
  </si>
  <si>
    <t>Germany</t>
  </si>
  <si>
    <t>control</t>
  </si>
  <si>
    <t>limited appliance selection on the website, the actual effect size probably higher</t>
  </si>
  <si>
    <t>SR</t>
  </si>
  <si>
    <t>Sammer, Wustenhagen, 2006</t>
  </si>
  <si>
    <t xml:space="preserve">The Influence of Eco-Labelling on Consumer Behaviour – Results of a Discrete Choice Analysis for Washing Machines </t>
  </si>
  <si>
    <t xml:space="preserve">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 </t>
  </si>
  <si>
    <t>logit</t>
  </si>
  <si>
    <t>Switzerland</t>
  </si>
  <si>
    <t>Study chooses surveyors who are already at supermarket and only 6 supermarkets most of which are in suburban areas</t>
  </si>
  <si>
    <t>Stadelmann, Schubert, 2018</t>
  </si>
  <si>
    <r>
      <t>How Do Di</t>
    </r>
    <r>
      <rPr>
        <sz val="13"/>
        <color theme="1"/>
        <rFont val="AdvOT596495f2+fb"/>
      </rPr>
      <t>ff</t>
    </r>
    <r>
      <rPr>
        <sz val="13"/>
        <color theme="1"/>
        <rFont val="AdvOT596495f2"/>
      </rPr>
      <t>erent Designs of Energy Labels In</t>
    </r>
    <r>
      <rPr>
        <sz val="13"/>
        <color theme="1"/>
        <rFont val="AdvOT596495f2+fb"/>
      </rPr>
      <t>fl</t>
    </r>
    <r>
      <rPr>
        <sz val="13"/>
        <color theme="1"/>
        <rFont val="AdvOT596495f2"/>
      </rPr>
      <t xml:space="preserve">uence Purchases of Household Appliances? A Field Study in Switzerland </t>
    </r>
  </si>
  <si>
    <r>
      <t>Energy labels are a key element of energy e</t>
    </r>
    <r>
      <rPr>
        <sz val="7"/>
        <color theme="1"/>
        <rFont val="AdvOT596495f2+fb"/>
      </rPr>
      <t>ffi</t>
    </r>
    <r>
      <rPr>
        <sz val="7"/>
        <color theme="1"/>
        <rFont val="AdvOT596495f2"/>
      </rPr>
      <t xml:space="preserve">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t>
    </r>
    <r>
      <rPr>
        <sz val="7"/>
        <color theme="1"/>
        <rFont val="AdvOT596495f2+fb"/>
      </rPr>
      <t>fi</t>
    </r>
    <r>
      <rPr>
        <sz val="7"/>
        <color theme="1"/>
        <rFont val="AdvOT596495f2"/>
      </rPr>
      <t xml:space="preserve">eld. We analyze private purchases of household appliances, especially freezers, vacuum cleaners and tumble dryers. We </t>
    </r>
    <r>
      <rPr>
        <sz val="7"/>
        <color theme="1"/>
        <rFont val="AdvOT596495f2+fb"/>
      </rPr>
      <t>fi</t>
    </r>
    <r>
      <rPr>
        <sz val="7"/>
        <color theme="1"/>
        <rFont val="AdvOT596495f2"/>
      </rPr>
      <t>nd that the display of any of the two energy labels increases the sales proportion of energy-e</t>
    </r>
    <r>
      <rPr>
        <sz val="7"/>
        <color theme="1"/>
        <rFont val="AdvOT596495f2+fb"/>
      </rPr>
      <t>ffi</t>
    </r>
    <r>
      <rPr>
        <sz val="7"/>
        <color theme="1"/>
        <rFont val="AdvOT596495f2"/>
      </rPr>
      <t>cient appliances compared to the absence of any energy label. At the same time, we observe a volume-e</t>
    </r>
    <r>
      <rPr>
        <sz val="7"/>
        <color theme="1"/>
        <rFont val="AdvOT596495f2+fb"/>
      </rPr>
      <t>ff</t>
    </r>
    <r>
      <rPr>
        <sz val="7"/>
        <color theme="1"/>
        <rFont val="AdvOT596495f2"/>
      </rPr>
      <t>ect for freezers: The average size of purchased freezers is larger when any of the two energy labels is displayed compared to the absence of any energy label. The in</t>
    </r>
    <r>
      <rPr>
        <sz val="7"/>
        <color theme="1"/>
        <rFont val="AdvOT596495f2+fb"/>
      </rPr>
      <t>fl</t>
    </r>
    <r>
      <rPr>
        <sz val="7"/>
        <color theme="1"/>
        <rFont val="AdvOT596495f2"/>
      </rPr>
      <t>uence of the two di</t>
    </r>
    <r>
      <rPr>
        <sz val="7"/>
        <color theme="1"/>
        <rFont val="AdvOT596495f2+fb"/>
      </rPr>
      <t>ff</t>
    </r>
    <r>
      <rPr>
        <sz val="7"/>
        <color theme="1"/>
        <rFont val="AdvOT596495f2"/>
      </rPr>
      <t>erent energy labels is similar except for vacuum cleaners, for which monetary information might have an adverse e</t>
    </r>
    <r>
      <rPr>
        <sz val="7"/>
        <color theme="1"/>
        <rFont val="AdvOT596495f2+fb"/>
      </rPr>
      <t>ff</t>
    </r>
    <r>
      <rPr>
        <sz val="7"/>
        <color theme="1"/>
        <rFont val="AdvOT596495f2"/>
      </rPr>
      <t xml:space="preserve">ect. </t>
    </r>
  </si>
  <si>
    <t>freezer</t>
  </si>
  <si>
    <t>mean expected annual electricity consumption</t>
  </si>
  <si>
    <t>country specific?</t>
  </si>
  <si>
    <t>dryer</t>
  </si>
  <si>
    <t>Houde, Aldy, 2017</t>
  </si>
  <si>
    <t>Consumers' Response to State Energy Efficient Appliance Rebate Programs.</t>
  </si>
  <si>
    <r>
      <t xml:space="preserve">Through an evaluation of the 2009 Recovery Act's State Energy </t>
    </r>
    <r>
      <rPr>
        <sz val="12"/>
        <color theme="1"/>
        <rFont val="Code2000"/>
      </rPr>
      <t xml:space="preserve">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t>
    </r>
  </si>
  <si>
    <t xml:space="preserve">log of kWh </t>
  </si>
  <si>
    <t>Kallbekken, Saelen, Hermansen, 2013</t>
  </si>
  <si>
    <t xml:space="preserve">Bridging the Energy Efficiency Gap: A Field Experiment on Lifetime Energy Costs and Household Appliances </t>
  </si>
  <si>
    <r>
      <t xml:space="preserve">Abstract </t>
    </r>
    <r>
      <rPr>
        <sz val="9"/>
        <color rgb="FF111111"/>
        <rFont val="AdvTT3713a231"/>
      </rPr>
      <t xml:space="preserve">Providing consumers with information that can lead to more energy-efficient choices can help reduce energy use and greenhouse gas emissions while reducing costs to consumers. A natural field experiment is conducted in collaboration with an electrical retailer to test strategies for influencing sales of household appliances. The experiment involves two product categories, fridge-freezers and tumble driers. Information on lifetime energy cost of appliances is provided through a label and training of sales staff. For fridge- freezers, the authors find no significant effects. For tumble driers, the combined treatment and training treatment reduce average energy use of tumble driers sold by 4.9% and 3.4%, respectively. The effect is strongest initially, over 12% on average for the first 3 months for the combined treatment but declines over time. The effect is significant at the 5% level for the combined treatment while not significant for sales staff training. </t>
    </r>
  </si>
  <si>
    <t>synthetic control method</t>
  </si>
  <si>
    <t>average energy use</t>
  </si>
  <si>
    <t>Norway</t>
  </si>
  <si>
    <t>Alberini, Gans, Towe, 2016</t>
  </si>
  <si>
    <t>Free Riding, Upsizing, and Energy Efficiency Incentives in Maryland Homes</t>
  </si>
  <si>
    <t>We use a unique dataset that combines an original survey of households, infor- mation about the structural characteristics of their homes, utility-provided elec- tricity usage records and program participation status, to study the uptake of energy efficiency incentives and their effect on residential electricity consump- tion. Attention is restricted to homes where heating and cooling is provided ex- clusively by air-source heat pumps. We deploy a difference-in-difference study design and find that replacing a heat pump with a new one does reduce electricity usage by 8% on average. The effect differs dramatically across households based upon whether they receive an incentive towards the purchase of a new heat pump. Among incentive recipients, the effect is small, and the larger the incentive, the smaller the reduction in electricity usage. These findings suggest that capital costs are incorporated into the (long-term) cost of energy, generating an apparent re- bound effect that is much more pronounced for incentive recipients.</t>
  </si>
  <si>
    <t>energy consumption</t>
  </si>
  <si>
    <t>per billing period (i.e. monthly)</t>
  </si>
  <si>
    <t>Our sampling frame is a mix of stratified and choice-based sampling (see table 1), which means that it is necessary to calculate and use appropriate weights when extrapolating sample statistics to the population.</t>
  </si>
  <si>
    <t>coder</t>
  </si>
  <si>
    <t>study_ID_purchaseprobability</t>
  </si>
  <si>
    <t>authors</t>
  </si>
  <si>
    <t>year_publication</t>
  </si>
  <si>
    <t>incentive_follow_through</t>
  </si>
  <si>
    <t>experimental_setting</t>
  </si>
  <si>
    <t>participant_type</t>
  </si>
  <si>
    <t>aware_of_study</t>
  </si>
  <si>
    <t>opt_in</t>
  </si>
  <si>
    <t>notes_bias</t>
  </si>
  <si>
    <t>subsidy</t>
  </si>
  <si>
    <t>loan</t>
  </si>
  <si>
    <t>choice_architecture</t>
  </si>
  <si>
    <t>notes_intervention</t>
  </si>
  <si>
    <t>clothes_dryer</t>
  </si>
  <si>
    <t>ac</t>
  </si>
  <si>
    <t>notes_dep_var</t>
  </si>
  <si>
    <t>dep_variable_purchase_category</t>
  </si>
  <si>
    <t>dep_var_original_study</t>
  </si>
  <si>
    <t>dep_var_transformation</t>
  </si>
  <si>
    <t>t_stat</t>
  </si>
  <si>
    <t>percent_change</t>
  </si>
  <si>
    <t>percent_change(binary predictor)</t>
  </si>
  <si>
    <t>monetary_incentive_size</t>
  </si>
  <si>
    <t>monetary_incentive_relative</t>
  </si>
  <si>
    <t>monetary_incentive_timeframe</t>
  </si>
  <si>
    <t>label_monetary</t>
  </si>
  <si>
    <t>label_monetary_size</t>
  </si>
  <si>
    <t>label_consumption</t>
  </si>
  <si>
    <t>label_consumption_size</t>
  </si>
  <si>
    <t>label_scale</t>
  </si>
  <si>
    <t>controls energy prices</t>
  </si>
  <si>
    <t>controls environmental attitudes</t>
  </si>
  <si>
    <t>controls demographics</t>
  </si>
  <si>
    <t>df</t>
  </si>
  <si>
    <t>all</t>
  </si>
  <si>
    <t>Allcott, Sweeney</t>
  </si>
  <si>
    <t>ITT</t>
  </si>
  <si>
    <t>revealed preference</t>
  </si>
  <si>
    <t>sales agent</t>
  </si>
  <si>
    <t>no such option</t>
  </si>
  <si>
    <t>probably no</t>
  </si>
  <si>
    <t>purschase (probability) of efficient appliance</t>
  </si>
  <si>
    <t>dummy (0/1)</t>
  </si>
  <si>
    <t>Alberini, Bigano, Boeri</t>
  </si>
  <si>
    <t>Italy</t>
  </si>
  <si>
    <t>self-reported behaviour</t>
  </si>
  <si>
    <t>household</t>
  </si>
  <si>
    <t>homeowners</t>
  </si>
  <si>
    <t>delayed</t>
  </si>
  <si>
    <t xml:space="preserve">current </t>
  </si>
  <si>
    <t>Datta, Filippini</t>
  </si>
  <si>
    <t>Analysing the impact of ENERGY STAR rebate
policies in the US</t>
  </si>
  <si>
    <t>In this paper, we estimate the impact of 
rebate policies in various US states on the sales share
of ENERGY STAR household appliances. We use
annual ENERGY STAR sales data for clothes washers,
dishwashers, refrigerators and air conditioners
from 2001 to 2006 and the variation in the coverage of
rebates across US states and over time to identify the
impact of rebate policies.We use, at first, a differencein-
differences approach to estimate this impact.
Then, we take into account the possibility of rebate policies being endogenous and use instrumental variables
approaches in fixed effects panel data regression
models. Results suggest that rebate policies increase
the sales share of ENERGY STAR household appliances
by 3.3 to 6.6 percentage points, and this represents
an impact of 9 to 18 % on the mean level of the
sales share of ENERGY STAR household appliances
in the US between 2001 and 2006. We conclude that
rebates on ENERGY STAR appliances increase the
uptake of energy-efficient appliances.</t>
  </si>
  <si>
    <t>2001-2006</t>
  </si>
  <si>
    <t>pre-recorded (no experiment)</t>
  </si>
  <si>
    <t>residents</t>
  </si>
  <si>
    <t>not reported separately for each appliance</t>
  </si>
  <si>
    <t>market share of efficient appliance</t>
  </si>
  <si>
    <t>share of ENERGY STAR household
appliance type</t>
  </si>
  <si>
    <t>2SLS</t>
  </si>
  <si>
    <t>IV</t>
  </si>
  <si>
    <t>Kenya</t>
  </si>
  <si>
    <t>probably yes</t>
  </si>
  <si>
    <t>Allcott, Taubinsky</t>
  </si>
  <si>
    <t>Evaluating Behaviorally Motivated Policy: Experimental Evidence from the Lightbulb Market</t>
  </si>
  <si>
    <t>control &amp; treatment</t>
  </si>
  <si>
    <t>online</t>
  </si>
  <si>
    <t>Neves, Oliveira</t>
  </si>
  <si>
    <t>structural model</t>
  </si>
  <si>
    <t>quasi-experimental</t>
  </si>
  <si>
    <t>stated preference</t>
  </si>
  <si>
    <t>individuals</t>
  </si>
  <si>
    <t>Behavior intention to change to Energy efficient household appliance</t>
  </si>
  <si>
    <t>log scale</t>
  </si>
  <si>
    <t>Spain</t>
  </si>
  <si>
    <t>retailer</t>
  </si>
  <si>
    <t>store visitors</t>
  </si>
  <si>
    <t>WTP for efficient appliance</t>
  </si>
  <si>
    <t>alphabetical with +</t>
  </si>
  <si>
    <t>Gana, Hoppe</t>
  </si>
  <si>
    <t>uncertainty / sample size missing</t>
  </si>
  <si>
    <t>Nigeria</t>
  </si>
  <si>
    <t>Revelt, Train</t>
  </si>
  <si>
    <t>MIXED LOGIT WITH REPEATED CHOICES: HOUSEHOLDS’ CHOICES
OF APPLIANCE EFFICIENCY LEVEL</t>
  </si>
  <si>
    <t>Goto H, Goto M, Sueyoshi</t>
  </si>
  <si>
    <t>Consumer choice on ecologically efficient water heaters: Marketing strategy and policy implications in Japan</t>
  </si>
  <si>
    <t>nested logit</t>
  </si>
  <si>
    <t>correlation</t>
  </si>
  <si>
    <t>Aydin, Kok, Brounen</t>
  </si>
  <si>
    <t>Energy efficiency and household behavior: the rebound effect in the residential sector</t>
  </si>
  <si>
    <t>dep_var</t>
  </si>
  <si>
    <t>Berman, Cooper, Geller</t>
  </si>
  <si>
    <t>COMPENDIUM OF UTILITY-SPONSORED ENERGY EFFICIENCY REBATE PROGRAMS.</t>
  </si>
  <si>
    <t>review</t>
  </si>
  <si>
    <t>Dong, Futawatari</t>
  </si>
  <si>
    <t>The study of low-carbon policy influence on consumers' energy efficiency household appliance purchase behavior</t>
  </si>
  <si>
    <t>quality</t>
  </si>
  <si>
    <t>ANOVA</t>
  </si>
  <si>
    <t>China</t>
  </si>
  <si>
    <t>mixed logit</t>
  </si>
  <si>
    <t>Kallbekken, Saelen, Hermansen</t>
  </si>
  <si>
    <t>Bridging the Energy Efficiency Gap: A Field Experiment on Lifetime Energy Costs and Household Appliances</t>
  </si>
  <si>
    <t>del Mar Sola, de Ayala, Galarraga</t>
  </si>
  <si>
    <t>The Effect of Providing Monetary Information on Energy Savings for Household Appliances: A Field Trial in Spain</t>
  </si>
  <si>
    <t>London Economics</t>
  </si>
  <si>
    <t>Study on the impact of the energy label – and potential changes to it – on consumer understanding and on purchase decisions</t>
  </si>
  <si>
    <t xml:space="preserve">France, Slovenia, Szech Republic, Portugal </t>
  </si>
  <si>
    <t>opt_out</t>
  </si>
  <si>
    <t>other</t>
  </si>
  <si>
    <t>Household adoption of energy and water-efficient appliances: An analysis of attitudes, labelling and complementary green behaviours in selected OECD countries</t>
  </si>
  <si>
    <t>probit</t>
  </si>
  <si>
    <t>Australia, Canada, Chile, France, Israel, Korea, Japan, Netherlands, Spain, Sweden, Switzerland</t>
  </si>
  <si>
    <t>Liddle, Loi, Owen, Tao</t>
  </si>
  <si>
    <t>Evaluating consumption and cost savings from new air-conditioner purchases: The case of Singapore</t>
  </si>
  <si>
    <t>OLS - FE</t>
  </si>
  <si>
    <t>mandatory energy labelling scheme and mandatory energy performance standard</t>
  </si>
  <si>
    <t>energy use after switching to a more efficient appliance</t>
  </si>
  <si>
    <t>OLS - RE</t>
  </si>
  <si>
    <t>coarsened exact matching</t>
  </si>
  <si>
    <t>Nakano, Zusman, Nugroho, Kaswanto, Arifin N, Munandar, Arifin HS, Muchtar, Gomi, Fujita</t>
  </si>
  <si>
    <t>France</t>
  </si>
  <si>
    <t>Mahlia, Masjuki, Choudhury, Ghazali</t>
  </si>
  <si>
    <t>Economical and environmental impact of room air conditioners energy labels in Malaysia</t>
  </si>
  <si>
    <t>simulation</t>
  </si>
  <si>
    <t>Malaysia</t>
  </si>
  <si>
    <t>Liu, Jin</t>
  </si>
  <si>
    <t>ordered probit</t>
  </si>
  <si>
    <t>Webber, Brown, Koomey</t>
  </si>
  <si>
    <t>Savings estimates for the ENERGY STAR (R) voluntary labeling program</t>
  </si>
  <si>
    <t>Hirst, Carney, O'Neal</t>
  </si>
  <si>
    <t>Alternative technologies for US residential water heating. Energy savings and economic benefits</t>
  </si>
  <si>
    <t>Davis, Metcalf</t>
  </si>
  <si>
    <t>DOES BETTER INFORMATION LEAD TO BETTER CHOICES? EVIDENCE FROM
ENERGY-EFFICIENCY LABELS</t>
  </si>
  <si>
    <t>numerical</t>
  </si>
  <si>
    <t>Wasi, Carson</t>
  </si>
  <si>
    <t>The influence of rebate programs on the demand for water heaters: The case of New South Wales</t>
  </si>
  <si>
    <t>diff-in-diff</t>
  </si>
  <si>
    <t>Australia</t>
  </si>
  <si>
    <t>alphabetical</t>
  </si>
  <si>
    <t>Deutsch</t>
  </si>
  <si>
    <t>The effect of life-cycle cost disclosure on consumer behavior: evidence from a field experiment with cooling appliances</t>
  </si>
  <si>
    <t>negative binomial regression</t>
  </si>
  <si>
    <t>Andor, Gerster, Goette</t>
  </si>
  <si>
    <t>How effective is the European Union energy label? Evidence from a real-stakes experiment</t>
  </si>
  <si>
    <t>Datta, Gulati</t>
  </si>
  <si>
    <t>Utility rebates for ENERGY STAR appliances: Are they effective?</t>
  </si>
  <si>
    <t>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t>
  </si>
  <si>
    <t>share of energy star appliance vs non energy star appliance</t>
  </si>
  <si>
    <t>Houde, Aldy</t>
  </si>
  <si>
    <t>Belt and suspenders and more: the incremental impact of energy efficiency subsidies in the presence of existing policy instruments</t>
  </si>
  <si>
    <t>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t>
  </si>
  <si>
    <t>energy star market share</t>
  </si>
  <si>
    <t>Ward, Clark, Jensen, Yen, Russell</t>
  </si>
  <si>
    <t>Factors influencing willingness-to-pay for the ENERGY STAR (R) label</t>
  </si>
  <si>
    <t>Sammer, Wuestenhagen</t>
  </si>
  <si>
    <t>The influence of eco-labelling on consumer behaviour – results of a discrete choice analysis for washing machines</t>
  </si>
  <si>
    <t>Jeong, Kim</t>
  </si>
  <si>
    <t>The effects of energy efficiency and environmental labels on appliance choice in South Korea</t>
  </si>
  <si>
    <t>South Korea</t>
  </si>
  <si>
    <t>multinomial logit</t>
  </si>
  <si>
    <t>Zha, Yang, Wang, Zhou</t>
  </si>
  <si>
    <t>Appliance energy labels and consumer heterogeneity: A latent class approach based on a discrete choice experiment in China</t>
  </si>
  <si>
    <t>Carroll, Denny, Lyons</t>
  </si>
  <si>
    <t>The Effects of Energy Cost Labelling on Appliance Purchasing Decisions: Trial Results from Ireland</t>
  </si>
  <si>
    <t>Household failure to minimize the total costs of energy-consuming investments has become known as the Benergy efficiency gap.^ This paper explores if this is partly the result of imperfect information related to future energy costs. We test this hypothesis by adding 5-year consumption cost labels to the tumble dryer lineup of four outlets of an Irish electrical retailer. Although we observe a reduction in the average energy consumption of dryer sales, our analysis does not show a statistically significant effect. However, we highlight a number of experimental limitations in our trial which potentially undermine this treatment effect. In addition, mixed findings from previous research suggest that further trials should be conducted before Blifetime^ energy cost labelling is removed from potential policy options to increase the energy efficiency of household appliances.</t>
  </si>
  <si>
    <t>negative binomial count model</t>
  </si>
  <si>
    <t>Ireland</t>
  </si>
  <si>
    <t>log of a model's sales</t>
  </si>
  <si>
    <t>TK</t>
  </si>
  <si>
    <t>Li, Cao</t>
  </si>
  <si>
    <t>Effectiveness of China's Labeling and Incentive Programs for Household Energy Conservation and Policy Implications</t>
  </si>
  <si>
    <t>Ito, Ida, Tanaka</t>
  </si>
  <si>
    <t>Skourtos, Damigos, Tourkolias, Kontogianni</t>
  </si>
  <si>
    <t>Efficient energy labelling: the impact of information content and style on product choice</t>
  </si>
  <si>
    <t>Greece</t>
  </si>
  <si>
    <t>Train, Atherton</t>
  </si>
  <si>
    <t>REBATES, LOANS, AND CUSTOMERS CHOICE OF APPLIANCE EFFICIENCY LEVEL - COMBINING STATED AND REVEALED-PREFERENCE DATA</t>
  </si>
  <si>
    <t>Jain, Rao, Patwardhan</t>
  </si>
  <si>
    <t>Consumer preference for labels in the purchase decisions of air conditioners in India</t>
  </si>
  <si>
    <t>India</t>
  </si>
  <si>
    <t>Ma, Yu, Urban</t>
  </si>
  <si>
    <t>Green transition of energy systems in rural China: National survey evidence of households' discrete choices on water heaters</t>
  </si>
  <si>
    <t>Harrington</t>
  </si>
  <si>
    <t>Quantifying energy savings from replacement of old refrigerators</t>
  </si>
  <si>
    <t>case study</t>
  </si>
  <si>
    <t>Sun</t>
  </si>
  <si>
    <t>Heterogeneous direct rebound effect: Theory and evidence from the Energy Star program</t>
  </si>
  <si>
    <t>Ren, Tibbs, McLauchlan, Ma, Harrington</t>
  </si>
  <si>
    <t>Refrigerator cost trap for low-income households: Developments in measurement and verification of appliance replacements</t>
  </si>
  <si>
    <t>Olsthoorn, Schleich, Gassmann, Faure</t>
  </si>
  <si>
    <t>Free riding and rebates for residential energy efficiency upgrades: A multi-country contingent valuation experiment</t>
  </si>
  <si>
    <t>Raynaud, Osso, Bourges, Duplessis, Adnot</t>
  </si>
  <si>
    <t>Evidence of an indirect rebound effect with reveresible heat pumps: having air conditioning but not using it?</t>
  </si>
  <si>
    <t>Alberini, Towe</t>
  </si>
  <si>
    <t>Information v. energy efficiency incentives: Evidence from residential electricity consumption in Maryland</t>
  </si>
  <si>
    <t>Ridge</t>
  </si>
  <si>
    <t>Energy Conservation for Low-Income Households: The Evaporative Cooler Experience</t>
  </si>
  <si>
    <t>Chun, Jiang</t>
  </si>
  <si>
    <t>How households in Pakistan take on energy efficient lighting technology</t>
  </si>
  <si>
    <t>Pakistan</t>
  </si>
  <si>
    <t>Mizobuchi, Takeuchi</t>
  </si>
  <si>
    <t>Replacement or additional purchase: The impact of energy-efficient appliances on household electricity saving under public pressures</t>
  </si>
  <si>
    <t>Bjerregaard, Møller</t>
  </si>
  <si>
    <t>The Impact of EU's energy labeling policy: An econometric analysis of inceased transparency in the market of cold appliances in Denmark</t>
  </si>
  <si>
    <t>VAR</t>
  </si>
  <si>
    <t>Denmark</t>
  </si>
  <si>
    <t>Zhou, Bukenya</t>
  </si>
  <si>
    <t>Information inefficiency and willingness-to-pay forenergy-efficient technology: A stated preference approach for China Energy Label</t>
  </si>
  <si>
    <t>Newell, Siikamäki</t>
  </si>
  <si>
    <t>Nudging Energy Efficiency Behavior: The Role of Information Labels</t>
  </si>
  <si>
    <t>Shen, Saijo</t>
  </si>
  <si>
    <t>Does an energy efficiency label alter consumers’ purchasing decisions? A latent
class approach based on a stated choice experiment in Shanghai</t>
  </si>
  <si>
    <t>random parameter logit</t>
  </si>
  <si>
    <t>Li, Clark, Jensen, Yen</t>
  </si>
  <si>
    <t>The Effect of Mail-in Utility Rebates on Willingness-to-Pay for ENERGY STAR® Certified Refrigerators</t>
  </si>
  <si>
    <t>Kusaka, Kojima, Watanabe</t>
  </si>
  <si>
    <t>no appliance breakdown</t>
  </si>
  <si>
    <t xml:space="preserve">here choice architecture refers to the MANDATORY phasing out of low energy effieicncy appliances </t>
  </si>
  <si>
    <t>Liang, Liu, Qiu, Wang, Xing</t>
  </si>
  <si>
    <t>Time-of-Use Electricity Pricing and Residential Low-carbon Energy Technology Adoption</t>
  </si>
  <si>
    <t>intervention</t>
  </si>
  <si>
    <t>Schleich, Durand, Brugger</t>
  </si>
  <si>
    <t>How effective are energy-efficiency incentive programs? Evidence from Italian homeowners</t>
  </si>
  <si>
    <t>In most countries, minimum energy performance standards (MEPS) and energy labels are the key policies to
accelerate the diffusion of energy-efficient appliances and to help meet energy efficiency and climate policy
targets. This paper estimates country-specific multivariate econometric models for eight EU countries over the
period of 2007–2017 to evaluate the combined effects of changes in the MEPS and the energy labels entering into
force in the EU in 2010 and 2011. The findings suggest that these policies increased the market share of cold
appliances (refrigerators and fridge-freezer combinations) with an energy label of A+ and better between about
15 and 38 percentage points. For these appliances, autonomous developments (captured through a time trend)
are estimated to range between 5 and 10 percentage points per year. Thus, failure to account for autonomous
developments would have resulted in substantially overestimating the combined effects of MEPS and energy
label policies in the EU. The findings further imply that policy evaluations should allow for policy effectiveness
and autonomous</t>
  </si>
  <si>
    <t>2007-2017</t>
  </si>
  <si>
    <t xml:space="preserve">study tries to distinguish between time effects and effect of labels. Probbaly not successful. Not very reliable </t>
  </si>
  <si>
    <t>The dependent variable sharel
tji stands for the share of
energy efficiency class l in the sales of a particular product category in
year t in country j.</t>
  </si>
  <si>
    <t>Poland</t>
  </si>
  <si>
    <t>Romania</t>
  </si>
  <si>
    <t>Sweden</t>
  </si>
  <si>
    <t xml:space="preserve">Wang B, Deng, Liu, Sun, Wang ZH </t>
  </si>
  <si>
    <t>Effect of energy efficiency labels on household appliance choice in China: Sustainable consumption or irrational intertemporal choice?</t>
  </si>
  <si>
    <t>Energy consumption has caused severe environmental problems, such as climate change and air pollution. The
energy efficiency label is an environmental information policy that provides consumers with energy consumption
information of products to change consumers’ choices and guide consumers to green consumption. Current
evaluations mainly focus on consumers’ purchase intention toward energy efficiency labels through questionnaire
survey and simulation experiment. Our study paper used the real purchase data on China’s largest online
sales platform to explore consumers’ energy-efficiency home appliance purchase behaviors. This paper found
that the energy efficiency labeling policy does not promote consumers’ green consumption behavior, an increase
of energy efficiency grade raises the sales of refrigerator by 24.47%, however, the price of the product can
negatively regulate the relationship between the energy efficiency grade and the sales. The results of heterogeneity
analysis show that when the product price is in the low-price range, consumers will choose high energyconsuming
household appliances; only for consumers who purchase mid-to-high-priced products, energy efficiency
labeling policies played a guiding role in green consumption. This will cause the energy-saving products
more expensive, and consumers are less willing to buy energy-saving products resulting in an energy efficiency
paradox. Through further analysis of questionnaire survey data, the results indicate that the energy efficiency
paradox is not caused by rational factors, but irrational intertemporal choices. Therefore, accurate assessment of
the effect of energy efficiency labels is crucial to promote consumers’ green consumption behavior and mitigate
climate change.</t>
  </si>
  <si>
    <t>2016-2017</t>
  </si>
  <si>
    <t xml:space="preserve">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t>
  </si>
  <si>
    <t>2) tries to measure the effect of labels though it is not really that of labels vs. no labels but rather higher efficiency vs. lower efficiency</t>
  </si>
  <si>
    <t>Log of actual sales in units of the product</t>
  </si>
  <si>
    <t>Mills, Schleich</t>
  </si>
  <si>
    <t>Hafner, Elmes, Read, White</t>
  </si>
  <si>
    <t>Exploring the role of normative, financial and environmental information in promoting uptake of energy efficient technologies</t>
  </si>
  <si>
    <t>odds ratio</t>
  </si>
  <si>
    <t>Min, Azevedo, Michalek, de Bruin</t>
  </si>
  <si>
    <t>Labeling energy cost on light bulbs lowers implicit discount rates</t>
  </si>
  <si>
    <t>lab</t>
  </si>
  <si>
    <t>Heinzle, Wüstenhagen</t>
  </si>
  <si>
    <t>Disimproving the European Energy Label's value for consumers? Results from a consumer survey</t>
  </si>
  <si>
    <t>Anderson, Claxton</t>
  </si>
  <si>
    <t>Barriers to Consumer Choice of Energy Efficient Products</t>
  </si>
  <si>
    <t>Canada</t>
  </si>
  <si>
    <t>Stadelmann, Schubert</t>
  </si>
  <si>
    <t>How Do Different Designs of Energy Labels Influence Purchases of Household Appliances? A Field Study in Switzerland</t>
  </si>
  <si>
    <t>DECC</t>
  </si>
  <si>
    <t>Galarraga, Gonzalez-Eguino, Markandya</t>
  </si>
  <si>
    <t>Willingness to pay and price elasticities of demand for energy-efficient appliances: Combining the hedonic approach and demand systems</t>
  </si>
  <si>
    <t>binary</t>
  </si>
  <si>
    <t>Schultz, Colehour, Vohr, Bonn, Bullock, Sadler</t>
  </si>
  <si>
    <t>Using Social Marketing to Spur Residential Adoption of ENERGY STAR®-Certified LED Lighting</t>
  </si>
  <si>
    <t>Davis</t>
  </si>
  <si>
    <t>Durable goods and residential demand for energy and water: evidence from a field trial</t>
  </si>
  <si>
    <t>Faure, Guetlein, Schleich</t>
  </si>
  <si>
    <t>Effects of rescaling the EU energy label on household preferences for top-rated appliances</t>
  </si>
  <si>
    <t>Nishijima, Kagawa, Nansai, Oguchi</t>
  </si>
  <si>
    <t>Effects of product replacement programs on climate change</t>
  </si>
  <si>
    <t>Hlakotsa, Lencwe, Ngobeni, Chowdhury</t>
  </si>
  <si>
    <t>Energy Efficient Water Heating using Air Source Heat Pumps</t>
  </si>
  <si>
    <t>Orset</t>
  </si>
  <si>
    <t>Is information a good policy instrument to influence the energy behaviour of households?</t>
  </si>
  <si>
    <t>Harajli, Chalak</t>
  </si>
  <si>
    <t>Willingness to Pay for Energy Efficient Appliances: The Case of Lebanese Consumers</t>
  </si>
  <si>
    <t>Asinyaka</t>
  </si>
  <si>
    <t>Willingness to Pay for Energy Efficient Refrigerating Appliances in Accra, Ghana: A Choice Experiment Approach</t>
  </si>
  <si>
    <t>unclear</t>
  </si>
  <si>
    <t>Dynamic Adjustment of Eco-labeling Schemes and Consumer Choice - the Revision of the EU Energy Label as a Missed Opportunity?: Dynamic Adjustment of Eco-labelling Schemes &amp; Consumer Choice</t>
  </si>
  <si>
    <t>ES market share</t>
  </si>
  <si>
    <t>Alberini, Gans, Towe</t>
  </si>
  <si>
    <t>Free Riding, Upsizing, and Energy Efﬁciency Incentives in Maryland Homes</t>
  </si>
  <si>
    <t>Davis, Fuchs, Gertler</t>
  </si>
  <si>
    <t>controlls</t>
  </si>
  <si>
    <t>rebate_timeframe</t>
  </si>
  <si>
    <t>dep_var_category</t>
  </si>
  <si>
    <t>bias</t>
  </si>
  <si>
    <t>students</t>
  </si>
  <si>
    <t>Alberini, Bigano</t>
  </si>
  <si>
    <t>PoC</t>
  </si>
  <si>
    <t>Looking for free riding: energy efficiency incentives and Italian homeowners</t>
  </si>
  <si>
    <t>RDD</t>
  </si>
  <si>
    <t>tenants</t>
  </si>
  <si>
    <t>The Role of Sales Agents in Information Disclosure: Evidence from a Field Experiment</t>
  </si>
  <si>
    <t>propensity score matching</t>
  </si>
  <si>
    <t>callers</t>
  </si>
  <si>
    <t>Russia</t>
  </si>
  <si>
    <t>Caldwell, Vaughn, Harrod E, Harrod J</t>
  </si>
  <si>
    <t>Social Marketing-Enhanced Home Energy Education Encourages Adoption of Energy-Saving Practices</t>
  </si>
  <si>
    <t>Analysing the impact of ENERGY STAR rebate policies in the US</t>
  </si>
  <si>
    <t>log-linear model</t>
  </si>
  <si>
    <t>EU</t>
  </si>
  <si>
    <t>Austria</t>
  </si>
  <si>
    <t>Life Cycle Cost Disclosure, Consumer Behavior, and Business Implications: Evidence From an Online Field Experiment</t>
  </si>
  <si>
    <t>France, Germany, Italy, Poland, Romania, Spain, Sweden, UK</t>
  </si>
  <si>
    <t>Dieu-Hang, Grafton, Martinez-Espineira, Garcia-Valinas</t>
  </si>
  <si>
    <t>double bounded contingent valuation model</t>
  </si>
  <si>
    <t>difference-in-difference-in-difference</t>
  </si>
  <si>
    <t>Figueroa, de Moliere, Pegels, Never, Kutzner</t>
  </si>
  <si>
    <t>Show me (more than) the money! Assessing the social and psychological dimensions to energy efficient lighting in Kenya</t>
  </si>
  <si>
    <t>Galaraga, Heres, Gonzalez, Eguino</t>
  </si>
  <si>
    <t>Price premium for high-efficiency refrigerators and calculation of price-elasticities for close-substitutes: a methodology using hedonic pricing and demand systems</t>
  </si>
  <si>
    <t>Assessment of the Governance System Regarding Adoption of Energy Efficient Appliances by Households in Nigeria</t>
  </si>
  <si>
    <t>generalised linear mixed modelling</t>
  </si>
  <si>
    <t>Ghozali, Kaneko</t>
  </si>
  <si>
    <t>Consumer behavior and ecolabeling</t>
  </si>
  <si>
    <t>Granda, Birner, Aron, Woodward</t>
  </si>
  <si>
    <t>The IFC/GEF Poland Efficient Lighting Project (PELP) final results</t>
  </si>
  <si>
    <t>Haas</t>
  </si>
  <si>
    <t>Some empirical findings of an Austrian appliance turn-in program</t>
  </si>
  <si>
    <t>Heinzle</t>
  </si>
  <si>
    <t>Disclosure of energy operating cost information: A silver bullet for overcoming the energy-efficiency gap?</t>
  </si>
  <si>
    <t>Consumers' Response to State Energy Efficient Appliance Rebate Programs</t>
  </si>
  <si>
    <t>Environmental consciousness, economic gain and consumer choice of energy efficient appliances in Thailand, China and India</t>
  </si>
  <si>
    <t>Visualisation approach and economic incentives toward low carbon practices in households: A survey study in Hyogo, Japan</t>
  </si>
  <si>
    <t>Menita, Domingos, Domingues, Alves, Calixto, Garcia, Faria, Miguel</t>
  </si>
  <si>
    <t>Measurement and verification in energy efficiency projects involving solar water heating systems in homes of low-income families - Case studies</t>
  </si>
  <si>
    <t>What's driving energy efficient appliance label awareness and purchase propensity?</t>
  </si>
  <si>
    <t>Modic</t>
  </si>
  <si>
    <t>Energy use in households</t>
  </si>
  <si>
    <t>Determinants of energy savings in Indonesia: The case of LED lighting in Bogor</t>
  </si>
  <si>
    <t>Drivers of consumers' change to an energy-efficient heating appliance (EEHA) in households: Evidence from five European countries</t>
  </si>
  <si>
    <t>Ohler, Loomis, Ilves</t>
  </si>
  <si>
    <t>A study of electricity savings from energy star appliances using household survey data</t>
  </si>
  <si>
    <t>Onuma, Matsumoto, Arimura</t>
  </si>
  <si>
    <t>How much household electricity consumption is actually saved by replacement with Light-Emitting Diodes (LEDs)?</t>
  </si>
  <si>
    <t>Peters, McWhinnie</t>
  </si>
  <si>
    <t>On the rebound: estimating direct rebound effects for Australian households</t>
  </si>
  <si>
    <t>Radpour, Mondal, Kumar</t>
  </si>
  <si>
    <t>Market penetration modeling of high energy efficiency appliances in the residential sector</t>
  </si>
  <si>
    <t>Mixed logit with repeated choices: households' choices of appliance efficiency level</t>
  </si>
  <si>
    <t>How effective are EU minimum energy performance standards and energy labels for cold appliances?</t>
  </si>
  <si>
    <t>Suffolk, Poortinga</t>
  </si>
  <si>
    <t>Behavioural changes after energy efficiency improvements in residential properties</t>
  </si>
  <si>
    <t>Sulyma, Chin, Du Pont, Ference, Martin, Phumaraphand, Tiedemann, Wikler, Zariffa</t>
  </si>
  <si>
    <t>Taking the pulse of Thailand's DSM market transformation programs</t>
  </si>
  <si>
    <t>Turdaliev</t>
  </si>
  <si>
    <t>Increasing Block Rate Electricity Pricing and Propensity to Purchase Electrical Appliances: Evidence from a Natural Experiment in Russia</t>
  </si>
  <si>
    <t>Yao, Liu, Yan</t>
  </si>
  <si>
    <t>A quantile approach to assess the effectiveness of the subsidy policy for energy-efficient home appliances: Evidence from Rizhao, China</t>
  </si>
  <si>
    <t>Oländer, Thogersen</t>
  </si>
  <si>
    <t>Informing Versus Nudging in Environmental Policy</t>
  </si>
  <si>
    <t>comments</t>
  </si>
  <si>
    <t>Row Labels</t>
  </si>
  <si>
    <t>Grand Total</t>
  </si>
  <si>
    <t>Count of sr_no</t>
  </si>
  <si>
    <t>Count of statistical_technique</t>
  </si>
  <si>
    <t>Count of study_design</t>
  </si>
  <si>
    <t>Count of country</t>
  </si>
  <si>
    <t>Count of study_ID</t>
  </si>
  <si>
    <t>Count of incentive_follow_through</t>
  </si>
  <si>
    <t>Count of experimental_setting</t>
  </si>
  <si>
    <t>Count of participant_type</t>
  </si>
  <si>
    <t>Count of aware_of_study</t>
  </si>
  <si>
    <t>Count of opt_in</t>
  </si>
  <si>
    <t>Count of randomisation_dummy</t>
  </si>
  <si>
    <t>Count of outOfSampleBias</t>
  </si>
  <si>
    <t>Count of reportingBiases</t>
  </si>
  <si>
    <t>Sum of feedback</t>
  </si>
  <si>
    <t>Sum of information</t>
  </si>
  <si>
    <t>Sum of label</t>
  </si>
  <si>
    <t>Sum of rebate</t>
  </si>
  <si>
    <t>Sum of tax_credit</t>
  </si>
  <si>
    <t>Sum of subsidy</t>
  </si>
  <si>
    <t>Sum of loan</t>
  </si>
  <si>
    <t>Sum of choice_architecture</t>
  </si>
  <si>
    <t>Sum of washing_machine</t>
  </si>
  <si>
    <t>Sum of clothes_dryer</t>
  </si>
  <si>
    <t>Sum of diswasher</t>
  </si>
  <si>
    <t>Sum of refrigerator</t>
  </si>
  <si>
    <t>Sum of heat_pump</t>
  </si>
  <si>
    <t>Sum of lighting</t>
  </si>
  <si>
    <t>Sum of water_heater</t>
  </si>
  <si>
    <t>Sum of ac</t>
  </si>
  <si>
    <t>Sum of tv</t>
  </si>
  <si>
    <t>Count of dep_variable_purchase_category</t>
  </si>
  <si>
    <t>Count of dep_var_transformation</t>
  </si>
  <si>
    <t xml:space="preserve">Count of coefficient </t>
  </si>
  <si>
    <t>Count of effect_direction</t>
  </si>
  <si>
    <t>Count of coefficient_se</t>
  </si>
  <si>
    <t>Count of p_value</t>
  </si>
  <si>
    <t>Count of t_stat</t>
  </si>
  <si>
    <t>Count of significance_bound</t>
  </si>
  <si>
    <t>Count of percent_change</t>
  </si>
  <si>
    <t>Count of percent_change(binary predictor)</t>
  </si>
  <si>
    <t>Count of total_sample_size</t>
  </si>
  <si>
    <t>Sum of controls energy prices</t>
  </si>
  <si>
    <t>Sum of controls environmental attitudes</t>
  </si>
  <si>
    <t>Sum of controls demographics</t>
  </si>
  <si>
    <t>Count of label_scale</t>
  </si>
  <si>
    <t>Count of label_consumption</t>
  </si>
  <si>
    <t>Count of label_monetary</t>
  </si>
  <si>
    <t>Count of monetary_incentive_size</t>
  </si>
  <si>
    <t>Count of monetary_incentive_relative</t>
  </si>
  <si>
    <t>Count of monetary_incentive_timeframe</t>
  </si>
  <si>
    <t>Count of diff_mean</t>
  </si>
  <si>
    <t>Count of year_publication</t>
  </si>
  <si>
    <t>Count of exclusion_reason</t>
  </si>
  <si>
    <t>Average of df</t>
  </si>
  <si>
    <t>Count of study_design2</t>
  </si>
  <si>
    <t>Count of country2</t>
  </si>
  <si>
    <t>Average of d_value2</t>
  </si>
  <si>
    <t>Average of z_variance2</t>
  </si>
  <si>
    <t>Average of r_variance2</t>
  </si>
  <si>
    <t>Average of z_value2</t>
  </si>
  <si>
    <t>Average of r_effect_size_sample2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</si>
</sst>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_);[Red]\(0.00\)"/>
    <numFmt numFmtId="165" formatCode="#,##0.000"/>
    <numFmt numFmtId="166" formatCode="0.000"/>
    <numFmt numFmtId="167" formatCode="0.000_);[Red]\(0.000\)"/>
    <numFmt numFmtId="168" formatCode="0.0000_);[Red]\(0.0000\)"/>
    <numFmt numFmtId="169" formatCode="0.00000_);[Red]\(0.00000\)"/>
    <numFmt numFmtId="170" formatCode="0.0000000"/>
    <numFmt numFmtId="172" formatCode="0.0000"/>
    <numFmt numFmtId="173" formatCode="0.0000;[Red]0.0000"/>
  </numFmts>
  <fonts count="34">
    <font>
      <sz val="12"/>
      <color theme="1"/>
      <name val="Calibri"/>
      <family val="2"/>
      <scheme val="minor"/>
    </font>
    <font>
      <b/>
      <sz val="11"/>
      <name val="Calibri"/>
      <family val="2"/>
      <scheme val="minor"/>
    </font>
    <font>
      <b/>
      <sz val="12"/>
      <color theme="1"/>
      <name val="Calibri (Body)"/>
    </font>
    <font>
      <b/>
      <sz val="12"/>
      <name val="Calibri (Body)"/>
    </font>
    <font>
      <b/>
      <sz val="11"/>
      <color theme="1"/>
      <name val="Calibri"/>
      <family val="2"/>
      <scheme val="minor"/>
    </font>
    <font>
      <sz val="12"/>
      <color theme="1"/>
      <name val="Calibri"/>
      <family val="2"/>
    </font>
    <font>
      <sz val="12"/>
      <color rgb="FF000000"/>
      <name val="Calibri"/>
      <family val="2"/>
      <charset val="1"/>
    </font>
    <font>
      <sz val="12"/>
      <color rgb="FF111111"/>
      <name val="Calibri"/>
      <family val="2"/>
      <charset val="1"/>
    </font>
    <font>
      <sz val="12"/>
      <color rgb="FF000000"/>
      <name val="Calibri"/>
      <family val="2"/>
    </font>
    <font>
      <sz val="11"/>
      <color rgb="FF444444"/>
      <name val="Calibri"/>
      <family val="2"/>
    </font>
    <font>
      <sz val="11"/>
      <color rgb="FF202124"/>
      <name val="Calibri"/>
      <family val="2"/>
    </font>
    <font>
      <sz val="11"/>
      <color rgb="FF444444"/>
      <name val="Calibri"/>
      <family val="2"/>
      <charset val="1"/>
    </font>
    <font>
      <sz val="12"/>
      <color rgb="FF000000"/>
      <name val="Calibri"/>
      <family val="2"/>
      <scheme val="minor"/>
    </font>
    <font>
      <sz val="12"/>
      <color theme="1"/>
      <name val="TimesNewRoman"/>
    </font>
    <font>
      <sz val="9"/>
      <color rgb="FF111111"/>
      <name val="AdvTT3713a231"/>
    </font>
    <font>
      <sz val="13"/>
      <color theme="1"/>
      <name val="AdvOT596495f2"/>
    </font>
    <font>
      <sz val="13"/>
      <color theme="1"/>
      <name val="AdvOT596495f2+fb"/>
    </font>
    <font>
      <sz val="7"/>
      <color theme="1"/>
      <name val="AdvOT596495f2"/>
    </font>
    <font>
      <sz val="7"/>
      <color theme="1"/>
      <name val="AdvOT596495f2+fb"/>
    </font>
    <font>
      <b/>
      <sz val="12"/>
      <name val="Calibri"/>
      <family val="2"/>
      <scheme val="minor"/>
    </font>
    <font>
      <sz val="12"/>
      <color theme="1"/>
      <name val="Code2000"/>
    </font>
    <font>
      <sz val="12"/>
      <color theme="1"/>
      <name val="Calibri (Body)"/>
    </font>
    <font>
      <b/>
      <sz val="12"/>
      <color theme="1"/>
      <name val="Calibri"/>
      <family val="2"/>
      <scheme val="minor"/>
    </font>
    <font>
      <sz val="11"/>
      <color theme="1"/>
      <name val="Calibri"/>
      <family val="2"/>
      <scheme val="minor"/>
    </font>
    <font>
      <sz val="12"/>
      <name val="Calibri"/>
      <family val="2"/>
      <scheme val="minor"/>
    </font>
    <font>
      <sz val="8"/>
      <name val="Calibri"/>
      <family val="2"/>
      <scheme val="minor"/>
    </font>
    <font>
      <sz val="12"/>
      <color theme="1"/>
      <name val="Calibri"/>
      <family val="2"/>
      <scheme val="minor"/>
    </font>
    <font>
      <sz val="11"/>
      <name val="Calibri"/>
      <family val="2"/>
      <scheme val="minor"/>
    </font>
    <font>
      <sz val="12"/>
      <name val="Calibri"/>
      <family val="2"/>
    </font>
    <font>
      <sz val="12"/>
      <name val="Calibri"/>
      <family val="2"/>
      <charset val="1"/>
    </font>
    <font>
      <sz val="12"/>
      <name val="Calibri"/>
      <family val="2"/>
      <charset val="1"/>
      <scheme val="minor"/>
    </font>
    <font>
      <sz val="11"/>
      <color rgb="FF000000"/>
      <name val="Calibri"/>
      <family val="2"/>
      <scheme val="minor"/>
    </font>
    <font>
      <sz val="12"/>
      <color rgb="FFFF0000"/>
      <name val="Calibri"/>
      <family val="2"/>
      <scheme val="minor"/>
    </font>
    <font>
      <u/>
      <sz val="12"/>
      <color theme="10"/>
      <name val="Calibri"/>
      <family val="2"/>
      <scheme val="minor"/>
    </font>
  </fonts>
  <fills count="19">
    <fill>
      <patternFill patternType="none"/>
    </fill>
    <fill>
      <patternFill patternType="gray125"/>
    </fill>
    <fill>
      <patternFill patternType="solid">
        <fgColor theme="0"/>
        <bgColor theme="9"/>
      </patternFill>
    </fill>
    <fill>
      <patternFill patternType="solid">
        <fgColor rgb="FFF2F2F2"/>
        <bgColor indexed="64"/>
      </patternFill>
    </fill>
    <fill>
      <patternFill patternType="solid">
        <fgColor rgb="FFFFF2CC"/>
        <bgColor indexed="64"/>
      </patternFill>
    </fill>
    <fill>
      <patternFill patternType="solid">
        <fgColor rgb="FFFFFFFF"/>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theme="9"/>
      </patternFill>
    </fill>
    <fill>
      <patternFill patternType="solid">
        <fgColor theme="6" tint="0.79998168889431442"/>
        <bgColor indexed="64"/>
      </patternFill>
    </fill>
    <fill>
      <patternFill patternType="solid">
        <fgColor theme="7" tint="0.79998168889431442"/>
        <bgColor theme="9"/>
      </patternFill>
    </fill>
    <fill>
      <patternFill patternType="solid">
        <fgColor theme="9" tint="0.79998168889431442"/>
        <bgColor theme="9"/>
      </patternFill>
    </fill>
    <fill>
      <patternFill patternType="solid">
        <fgColor rgb="FFFFFF00"/>
        <bgColor indexed="64"/>
      </patternFill>
    </fill>
    <fill>
      <patternFill patternType="solid">
        <fgColor rgb="FFD9E1F2"/>
        <bgColor indexed="64"/>
      </patternFill>
    </fill>
    <fill>
      <patternFill patternType="solid">
        <fgColor rgb="FFFCE4D6"/>
        <bgColor indexed="64"/>
      </patternFill>
    </fill>
    <fill>
      <patternFill patternType="solid">
        <fgColor theme="2"/>
        <bgColor indexed="64"/>
      </patternFill>
    </fill>
  </fills>
  <borders count="10">
    <border>
      <left/>
      <right/>
      <top/>
      <bottom/>
      <diagonal/>
    </border>
    <border>
      <left style="thin">
        <color theme="9" tint="0.39997558519241921"/>
      </left>
      <right/>
      <top style="thin">
        <color theme="9" tint="0.39997558519241921"/>
      </top>
      <bottom style="thin">
        <color theme="9" tint="0.39997558519241921"/>
      </bottom>
      <diagonal/>
    </border>
    <border>
      <left style="thin">
        <color indexed="64"/>
      </left>
      <right/>
      <top/>
      <bottom/>
      <diagonal/>
    </border>
    <border>
      <left/>
      <right style="thin">
        <color indexed="64"/>
      </right>
      <top/>
      <bottom/>
      <diagonal/>
    </border>
    <border>
      <left/>
      <right/>
      <top style="thin">
        <color theme="9" tint="0.39997558519241921"/>
      </top>
      <bottom style="thin">
        <color theme="9" tint="0.39997558519241921"/>
      </bottom>
      <diagonal/>
    </border>
    <border>
      <left/>
      <right/>
      <top style="thin">
        <color theme="9" tint="0.39997558519241921"/>
      </top>
      <bottom/>
      <diagonal/>
    </border>
    <border>
      <left/>
      <right style="thin">
        <color rgb="FF000000"/>
      </right>
      <top/>
      <bottom/>
      <diagonal/>
    </border>
    <border>
      <left style="thin">
        <color theme="9" tint="0.39997558519241921"/>
      </left>
      <right style="thin">
        <color rgb="FF000000"/>
      </right>
      <top style="thin">
        <color theme="9" tint="0.39997558519241921"/>
      </top>
      <bottom style="thin">
        <color theme="9" tint="0.39997558519241921"/>
      </bottom>
      <diagonal/>
    </border>
    <border>
      <left/>
      <right style="thin">
        <color rgb="FF000000"/>
      </right>
      <top style="thin">
        <color theme="9" tint="0.39997558519241921"/>
      </top>
      <bottom style="thin">
        <color theme="9" tint="0.39997558519241921"/>
      </bottom>
      <diagonal/>
    </border>
    <border>
      <left style="thin">
        <color rgb="FF000000"/>
      </left>
      <right/>
      <top style="thin">
        <color theme="9" tint="0.39997558519241921"/>
      </top>
      <bottom style="thin">
        <color theme="9" tint="0.39997558519241921"/>
      </bottom>
      <diagonal/>
    </border>
  </borders>
  <cellStyleXfs count="3">
    <xf numFmtId="0" fontId="0" fillId="0" borderId="0"/>
    <xf numFmtId="9" fontId="26" fillId="0" borderId="0" applyFont="0" applyFill="0" applyBorder="0" applyAlignment="0" applyProtection="0"/>
    <xf numFmtId="0" fontId="33" fillId="0" borderId="0" applyNumberFormat="0" applyFill="0" applyBorder="0" applyAlignment="0" applyProtection="0"/>
  </cellStyleXfs>
  <cellXfs count="120">
    <xf numFmtId="0" fontId="0" fillId="0" borderId="0" xfId="0"/>
    <xf numFmtId="0" fontId="1" fillId="2" borderId="1" xfId="0" applyFont="1" applyFill="1" applyBorder="1" applyAlignment="1">
      <alignment wrapText="1"/>
    </xf>
    <xf numFmtId="0" fontId="2" fillId="0" borderId="0" xfId="0" applyFont="1"/>
    <xf numFmtId="0" fontId="3" fillId="2" borderId="1" xfId="0" applyFont="1" applyFill="1" applyBorder="1" applyAlignment="1">
      <alignment wrapText="1"/>
    </xf>
    <xf numFmtId="0" fontId="2" fillId="0" borderId="2" xfId="0" applyFont="1" applyBorder="1"/>
    <xf numFmtId="0" fontId="2" fillId="0" borderId="0" xfId="0" applyFont="1" applyAlignment="1">
      <alignment wrapText="1"/>
    </xf>
    <xf numFmtId="0" fontId="2" fillId="0" borderId="3" xfId="0" applyFont="1" applyBorder="1"/>
    <xf numFmtId="164" fontId="0" fillId="0" borderId="0" xfId="0" applyNumberFormat="1"/>
    <xf numFmtId="0" fontId="1" fillId="2" borderId="4" xfId="0" applyFont="1" applyFill="1" applyBorder="1" applyAlignment="1">
      <alignment wrapText="1"/>
    </xf>
    <xf numFmtId="0" fontId="4" fillId="0" borderId="5" xfId="0" applyFont="1" applyBorder="1"/>
    <xf numFmtId="0" fontId="5" fillId="0" borderId="0" xfId="0" applyFont="1"/>
    <xf numFmtId="0" fontId="6" fillId="0" borderId="0" xfId="0" applyFont="1"/>
    <xf numFmtId="0" fontId="0" fillId="3" borderId="0" xfId="0" applyFill="1"/>
    <xf numFmtId="0" fontId="2" fillId="3" borderId="2" xfId="0" applyFont="1" applyFill="1" applyBorder="1"/>
    <xf numFmtId="0" fontId="0" fillId="4" borderId="0" xfId="0" applyFill="1"/>
    <xf numFmtId="0" fontId="6" fillId="5" borderId="0" xfId="0" applyFont="1" applyFill="1"/>
    <xf numFmtId="166" fontId="0" fillId="0" borderId="0" xfId="0" applyNumberFormat="1"/>
    <xf numFmtId="0" fontId="0" fillId="5" borderId="0" xfId="0" applyFill="1"/>
    <xf numFmtId="0" fontId="8" fillId="0" borderId="0" xfId="0" applyFont="1"/>
    <xf numFmtId="0" fontId="11" fillId="0" borderId="0" xfId="0" quotePrefix="1" applyFont="1"/>
    <xf numFmtId="164" fontId="0" fillId="5" borderId="0" xfId="0" applyNumberFormat="1" applyFill="1"/>
    <xf numFmtId="168" fontId="0" fillId="0" borderId="0" xfId="0" applyNumberFormat="1"/>
    <xf numFmtId="0" fontId="13" fillId="0" borderId="0" xfId="0" applyFont="1"/>
    <xf numFmtId="0" fontId="1" fillId="0" borderId="1" xfId="0" applyFont="1" applyBorder="1" applyAlignment="1">
      <alignment wrapText="1"/>
    </xf>
    <xf numFmtId="0" fontId="1" fillId="5" borderId="1" xfId="0" applyFont="1" applyFill="1" applyBorder="1" applyAlignment="1">
      <alignment wrapText="1"/>
    </xf>
    <xf numFmtId="169" fontId="0" fillId="0" borderId="0" xfId="0" applyNumberFormat="1"/>
    <xf numFmtId="0" fontId="0" fillId="0" borderId="0" xfId="0" applyAlignment="1">
      <alignment wrapText="1"/>
    </xf>
    <xf numFmtId="0" fontId="0" fillId="0" borderId="0" xfId="0" applyAlignment="1">
      <alignment horizontal="right"/>
    </xf>
    <xf numFmtId="170" fontId="4" fillId="0" borderId="5" xfId="0" applyNumberFormat="1" applyFont="1" applyBorder="1"/>
    <xf numFmtId="170" fontId="19" fillId="2" borderId="0" xfId="0" applyNumberFormat="1" applyFont="1" applyFill="1" applyAlignment="1">
      <alignment wrapText="1"/>
    </xf>
    <xf numFmtId="170" fontId="0" fillId="0" borderId="0" xfId="0" applyNumberFormat="1"/>
    <xf numFmtId="0" fontId="10" fillId="0" borderId="0" xfId="0" applyFont="1"/>
    <xf numFmtId="0" fontId="12" fillId="0" borderId="0" xfId="0" applyFont="1"/>
    <xf numFmtId="164" fontId="12" fillId="0" borderId="0" xfId="0" applyNumberFormat="1" applyFont="1"/>
    <xf numFmtId="0" fontId="11" fillId="0" borderId="0" xfId="0" applyFont="1"/>
    <xf numFmtId="165" fontId="0" fillId="0" borderId="0" xfId="0" applyNumberFormat="1"/>
    <xf numFmtId="0" fontId="9" fillId="0" borderId="0" xfId="0" applyFont="1"/>
    <xf numFmtId="0" fontId="22" fillId="0" borderId="0" xfId="0" applyFont="1" applyAlignment="1">
      <alignment wrapText="1"/>
    </xf>
    <xf numFmtId="0" fontId="19" fillId="2" borderId="1" xfId="0" applyFont="1" applyFill="1" applyBorder="1"/>
    <xf numFmtId="0" fontId="22" fillId="0" borderId="0" xfId="0" applyFont="1"/>
    <xf numFmtId="0" fontId="0" fillId="15" borderId="0" xfId="0" applyFill="1" applyAlignment="1">
      <alignment wrapText="1"/>
    </xf>
    <xf numFmtId="0" fontId="0" fillId="15" borderId="0" xfId="0" applyFill="1"/>
    <xf numFmtId="0" fontId="2" fillId="15" borderId="0" xfId="0" applyFont="1" applyFill="1"/>
    <xf numFmtId="0" fontId="8" fillId="15" borderId="0" xfId="0" applyFont="1" applyFill="1"/>
    <xf numFmtId="0" fontId="23" fillId="0" borderId="0" xfId="0" applyFont="1" applyAlignment="1">
      <alignment vertical="center"/>
    </xf>
    <xf numFmtId="0" fontId="5" fillId="15" borderId="0" xfId="0" applyFont="1" applyFill="1"/>
    <xf numFmtId="0" fontId="27" fillId="0" borderId="0" xfId="0" applyFont="1"/>
    <xf numFmtId="0" fontId="27" fillId="15" borderId="0" xfId="0" applyFont="1" applyFill="1"/>
    <xf numFmtId="164" fontId="0" fillId="15" borderId="0" xfId="0" applyNumberFormat="1" applyFill="1"/>
    <xf numFmtId="168" fontId="0" fillId="15" borderId="0" xfId="0" applyNumberFormat="1" applyFill="1"/>
    <xf numFmtId="0" fontId="12" fillId="15" borderId="0" xfId="0" applyFont="1" applyFill="1"/>
    <xf numFmtId="170" fontId="0" fillId="15" borderId="0" xfId="0" applyNumberFormat="1" applyFill="1"/>
    <xf numFmtId="0" fontId="11" fillId="15" borderId="0" xfId="0" quotePrefix="1" applyFont="1" applyFill="1"/>
    <xf numFmtId="167" fontId="0" fillId="15" borderId="0" xfId="0" applyNumberFormat="1" applyFill="1"/>
    <xf numFmtId="0" fontId="6" fillId="15" borderId="0" xfId="0" applyFont="1" applyFill="1"/>
    <xf numFmtId="0" fontId="13" fillId="15" borderId="0" xfId="0" applyFont="1" applyFill="1"/>
    <xf numFmtId="0" fontId="22" fillId="15" borderId="0" xfId="0" applyFont="1" applyFill="1"/>
    <xf numFmtId="0" fontId="31" fillId="0" borderId="0" xfId="0" applyFont="1"/>
    <xf numFmtId="0" fontId="2" fillId="10" borderId="0" xfId="0" applyFont="1" applyFill="1"/>
    <xf numFmtId="0" fontId="3" fillId="10" borderId="1" xfId="0" applyFont="1" applyFill="1" applyBorder="1"/>
    <xf numFmtId="0" fontId="3" fillId="10" borderId="0" xfId="0" applyFont="1" applyFill="1"/>
    <xf numFmtId="0" fontId="22" fillId="10" borderId="0" xfId="0" applyFont="1" applyFill="1"/>
    <xf numFmtId="0" fontId="2" fillId="10" borderId="6" xfId="0" applyFont="1" applyFill="1" applyBorder="1"/>
    <xf numFmtId="0" fontId="2" fillId="7" borderId="0" xfId="0" applyFont="1" applyFill="1"/>
    <xf numFmtId="0" fontId="22" fillId="13" borderId="4" xfId="0" applyFont="1" applyFill="1" applyBorder="1"/>
    <xf numFmtId="0" fontId="22" fillId="17" borderId="9" xfId="0" applyFont="1" applyFill="1" applyBorder="1"/>
    <xf numFmtId="0" fontId="22" fillId="17" borderId="1" xfId="0" applyFont="1" applyFill="1" applyBorder="1"/>
    <xf numFmtId="0" fontId="22" fillId="9" borderId="1" xfId="0" applyFont="1" applyFill="1" applyBorder="1"/>
    <xf numFmtId="0" fontId="22" fillId="17" borderId="0" xfId="0" applyFont="1" applyFill="1"/>
    <xf numFmtId="0" fontId="22" fillId="17" borderId="4" xfId="0" applyFont="1" applyFill="1" applyBorder="1"/>
    <xf numFmtId="0" fontId="22" fillId="17" borderId="8" xfId="0" applyFont="1" applyFill="1" applyBorder="1"/>
    <xf numFmtId="0" fontId="2" fillId="6" borderId="2" xfId="0" applyFont="1" applyFill="1" applyBorder="1"/>
    <xf numFmtId="0" fontId="2" fillId="6" borderId="0" xfId="0" applyFont="1" applyFill="1"/>
    <xf numFmtId="0" fontId="2" fillId="8" borderId="2" xfId="0" applyFont="1" applyFill="1" applyBorder="1"/>
    <xf numFmtId="0" fontId="2" fillId="8" borderId="0" xfId="0" applyFont="1" applyFill="1"/>
    <xf numFmtId="0" fontId="2" fillId="10" borderId="2" xfId="0" applyFont="1" applyFill="1" applyBorder="1"/>
    <xf numFmtId="0" fontId="3" fillId="14" borderId="1" xfId="0" applyFont="1" applyFill="1" applyBorder="1"/>
    <xf numFmtId="0" fontId="19" fillId="14" borderId="1" xfId="0" applyFont="1" applyFill="1" applyBorder="1"/>
    <xf numFmtId="0" fontId="19" fillId="14" borderId="7" xfId="0" applyFont="1" applyFill="1" applyBorder="1"/>
    <xf numFmtId="0" fontId="19" fillId="14" borderId="4" xfId="0" applyFont="1" applyFill="1" applyBorder="1"/>
    <xf numFmtId="0" fontId="19" fillId="7" borderId="4" xfId="0" applyFont="1" applyFill="1" applyBorder="1"/>
    <xf numFmtId="0" fontId="19" fillId="7" borderId="1" xfId="0" applyFont="1" applyFill="1" applyBorder="1"/>
    <xf numFmtId="0" fontId="19" fillId="7" borderId="7" xfId="0" applyFont="1" applyFill="1" applyBorder="1"/>
    <xf numFmtId="0" fontId="19" fillId="11" borderId="4" xfId="0" applyFont="1" applyFill="1" applyBorder="1"/>
    <xf numFmtId="0" fontId="19" fillId="11" borderId="1" xfId="0" applyFont="1" applyFill="1" applyBorder="1"/>
    <xf numFmtId="0" fontId="19" fillId="11" borderId="7" xfId="0" applyFont="1" applyFill="1" applyBorder="1"/>
    <xf numFmtId="0" fontId="19" fillId="12" borderId="4" xfId="0" applyFont="1" applyFill="1" applyBorder="1"/>
    <xf numFmtId="0" fontId="19" fillId="12" borderId="1" xfId="0" applyFont="1" applyFill="1" applyBorder="1"/>
    <xf numFmtId="0" fontId="22" fillId="16" borderId="4" xfId="0" applyFont="1" applyFill="1" applyBorder="1"/>
    <xf numFmtId="0" fontId="22" fillId="16" borderId="1" xfId="0" applyFont="1" applyFill="1" applyBorder="1"/>
    <xf numFmtId="0" fontId="22" fillId="16" borderId="7" xfId="0" applyFont="1" applyFill="1" applyBorder="1"/>
    <xf numFmtId="170" fontId="19" fillId="2" borderId="0" xfId="0" applyNumberFormat="1" applyFont="1" applyFill="1"/>
    <xf numFmtId="170" fontId="22" fillId="0" borderId="0" xfId="0" applyNumberFormat="1" applyFont="1"/>
    <xf numFmtId="0" fontId="21" fillId="0" borderId="0" xfId="0" applyFont="1"/>
    <xf numFmtId="1" fontId="0" fillId="0" borderId="0" xfId="0" applyNumberFormat="1"/>
    <xf numFmtId="0" fontId="29" fillId="0" borderId="0" xfId="0" applyFont="1"/>
    <xf numFmtId="0" fontId="30" fillId="0" borderId="0" xfId="0" applyFont="1"/>
    <xf numFmtId="0" fontId="24" fillId="0" borderId="0" xfId="0" applyFont="1"/>
    <xf numFmtId="2" fontId="0" fillId="0" borderId="0" xfId="0" applyNumberFormat="1"/>
    <xf numFmtId="0" fontId="7" fillId="0" borderId="0" xfId="0" applyFont="1"/>
    <xf numFmtId="0" fontId="28" fillId="0" borderId="0" xfId="0" applyFont="1"/>
    <xf numFmtId="167" fontId="24" fillId="0" borderId="0" xfId="0" applyNumberFormat="1" applyFont="1"/>
    <xf numFmtId="164" fontId="24" fillId="0" borderId="0" xfId="0" applyNumberFormat="1" applyFont="1"/>
    <xf numFmtId="0" fontId="32" fillId="0" borderId="0" xfId="0" applyFont="1"/>
    <xf numFmtId="170" fontId="24" fillId="0" borderId="0" xfId="0" applyNumberFormat="1" applyFont="1"/>
    <xf numFmtId="0" fontId="0" fillId="18" borderId="0" xfId="0" applyFill="1"/>
    <xf numFmtId="167" fontId="0" fillId="5" borderId="0" xfId="0" applyNumberFormat="1" applyFill="1"/>
    <xf numFmtId="0" fontId="24" fillId="15" borderId="0" xfId="0" applyFont="1" applyFill="1"/>
    <xf numFmtId="168" fontId="5" fillId="0" borderId="0" xfId="0" applyNumberFormat="1" applyFont="1"/>
    <xf numFmtId="164" fontId="5" fillId="0" borderId="0" xfId="0" applyNumberFormat="1" applyFont="1"/>
    <xf numFmtId="172" fontId="0" fillId="0" borderId="0" xfId="0" applyNumberFormat="1"/>
    <xf numFmtId="0" fontId="0" fillId="7" borderId="0" xfId="0" applyFill="1"/>
    <xf numFmtId="10" fontId="0" fillId="5" borderId="0" xfId="1" applyNumberFormat="1" applyFont="1" applyFill="1" applyAlignment="1"/>
    <xf numFmtId="0" fontId="30" fillId="15" borderId="0" xfId="0" applyFont="1" applyFill="1"/>
    <xf numFmtId="0" fontId="29" fillId="7" borderId="0" xfId="0" applyFont="1" applyFill="1"/>
    <xf numFmtId="173" fontId="0" fillId="0" borderId="0" xfId="0" applyNumberFormat="1"/>
    <xf numFmtId="0" fontId="33" fillId="0" borderId="0" xfId="2" applyAlignment="1"/>
    <xf numFmtId="0" fontId="0" fillId="0" borderId="0" xfId="0" pivotButton="1"/>
    <xf numFmtId="0" fontId="0" fillId="0" borderId="0" xfId="0" applyAlignment="1">
      <alignment horizontal="left"/>
    </xf>
    <xf numFmtId="170" fontId="24" fillId="15" borderId="0" xfId="0" applyNumberFormat="1" applyFont="1" applyFill="1"/>
  </cellXfs>
  <cellStyles count="3">
    <cellStyle name="Hyperlink" xfId="2" builtinId="8"/>
    <cellStyle name="Normal" xfId="0" builtinId="0"/>
    <cellStyle name="Per 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d.docs.live.net/Users/dianadanilenko/Library/Containers/com.microsoft.Excel/Data/Documents/Users/dianadanilenko/Library/Containers/com.microsoft.Excel/Data/Documents/C:/Users/dianadanilenko/Downloads/Coding_Appliances_v7.xlsx?D02ED7B1" TargetMode="External"/><Relationship Id="rId1" Type="http://schemas.openxmlformats.org/officeDocument/2006/relationships/externalLinkPath" Target="file:///D02ED7B1/Coding_Appliances_v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for variables"/>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Diana Danilenko" id="{30BB1996-8EFC-476E-8528-976729F6D7F5}" userId="5bdd78ed22bf5b4c" providerId="Windows Live"/>
  <person displayName="Diana Danilenko" id="{07E012BB-865F-6142-9A86-EDCC0A8503F7}" userId="S::Diana.Danilenko@cmsa3.onmicrosoft.com::e115ff8c-f9a3-4954-929e-3e7023cc489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057.552441087966" createdVersion="8" refreshedVersion="8" minRefreshableVersion="3" recordCount="334" xr:uid="{D639B32B-9019-CA48-8E24-1BEF7DE87CE6}">
  <cacheSource type="worksheet">
    <worksheetSource ref="A1:CD1048576" sheet="Appliances"/>
  </cacheSource>
  <cacheFields count="92">
    <cacheField name="coder" numFmtId="0">
      <sharedItems containsBlank="1" count="6">
        <s v="DD"/>
        <s v="all"/>
        <s v="SH"/>
        <s v="LT"/>
        <s v="TK"/>
        <m/>
      </sharedItems>
    </cacheField>
    <cacheField name="study_ID_purchaseprobability" numFmtId="0">
      <sharedItems containsString="0" containsBlank="1" containsNumber="1" containsInteger="1" minValue="1" maxValue="30"/>
    </cacheField>
    <cacheField name="sr_no" numFmtId="0">
      <sharedItems containsBlank="1" containsMixedTypes="1" containsNumber="1" containsInteger="1" minValue="1001" maxValue="3050"/>
    </cacheField>
    <cacheField name="study_ID" numFmtId="0">
      <sharedItems containsBlank="1" containsMixedTypes="1" containsNumber="1" containsInteger="1" minValue="101" maxValue="407"/>
    </cacheField>
    <cacheField name="authors" numFmtId="0">
      <sharedItems containsBlank="1"/>
    </cacheField>
    <cacheField name="year_publication" numFmtId="0">
      <sharedItems containsString="0" containsBlank="1" containsNumber="1" containsInteger="1" minValue="1979" maxValue="2021"/>
    </cacheField>
    <cacheField name="doc_title" numFmtId="0">
      <sharedItems containsBlank="1"/>
    </cacheField>
    <cacheField name="abstract" numFmtId="0">
      <sharedItems containsBlank="1" longText="1"/>
    </cacheField>
    <cacheField name="study_type" numFmtId="0">
      <sharedItems containsString="0" containsBlank="1" containsNumber="1" containsInteger="1" minValue="1" maxValue="2"/>
    </cacheField>
    <cacheField name="year_data_study" numFmtId="0">
      <sharedItems containsBlank="1" containsMixedTypes="1" containsNumber="1" containsInteger="1" minValue="1982" maxValue="2020"/>
    </cacheField>
    <cacheField name="exclusion_reason" numFmtId="0">
      <sharedItems containsBlank="1" count="16">
        <s v="NA"/>
        <s v="dep_var"/>
        <s v="review"/>
        <s v="uncertainty / sample size missing"/>
        <s v="no clear uncertainty measure"/>
        <s v="No energy but water efficiency? (see notes_dep_var)"/>
        <s v="quality"/>
        <s v="stated preferences"/>
        <s v="case study"/>
        <s v="simulation"/>
        <s v="no appliance breakdown"/>
        <s v="intervention"/>
        <s v="stated preferences; there is no real intervention. They measure the effect of knowledge about policies and labels on the willingness to adopt efficient lighting"/>
        <s v="no clear uncertainty measure / household level use"/>
        <s v="Standard errors, implied t-statistics and p-values do not match. There must be something wrong"/>
        <m/>
      </sharedItems>
    </cacheField>
    <cacheField name="page" numFmtId="0">
      <sharedItems containsBlank="1" containsMixedTypes="1" containsNumber="1" containsInteger="1" minValue="4" maxValue="3571"/>
    </cacheField>
    <cacheField name="statistical_technique" numFmtId="0">
      <sharedItems containsBlank="1" count="28">
        <s v="linear probability model"/>
        <s v="weighted least squares"/>
        <s v="ITT"/>
        <s v="diff of means"/>
        <s v="OLS"/>
        <s v="logit"/>
        <m/>
        <s v="VAR"/>
        <s v="negative binomial count model"/>
        <s v="IV"/>
        <s v="2SLS"/>
        <s v="negative binomial regression"/>
        <s v="probit"/>
        <s v="ANOVA"/>
        <s v="mixed logit"/>
        <s v="nested logit"/>
        <s v="tobit"/>
        <s v="descriptive statistics"/>
        <s v="multinomial logit"/>
        <s v="synthetic control method"/>
        <s v="OLS - FE"/>
        <s v="OLS - RE"/>
        <s v="coarsened exact matching"/>
        <s v="ordered probit"/>
        <s v="ordinal logit"/>
        <s v="structural model"/>
        <s v="random parameter logit"/>
        <s v="conditional logit"/>
      </sharedItems>
    </cacheField>
    <cacheField name="study_design" numFmtId="0">
      <sharedItems containsBlank="1" count="8">
        <s v="pre and post"/>
        <s v="diff-in-diff"/>
        <s v="control &amp; treatment"/>
        <s v="quasi-experimental"/>
        <m/>
        <s v="correlation"/>
        <s v="Diff in Diff"/>
        <s v="choice experiment"/>
      </sharedItems>
    </cacheField>
    <cacheField name="country" numFmtId="0">
      <sharedItems containsBlank="1" count="36">
        <s v="Italy"/>
        <s v="US"/>
        <s v="Canada"/>
        <s v="Germany"/>
        <s v="Ghana"/>
        <m/>
        <s v="Denmark"/>
        <s v="Ireland"/>
        <s v="Pakistan"/>
        <s v="Mexico"/>
        <s v="UK"/>
        <s v="Spain"/>
        <s v="Australia, Canada, Chile, France, Israel, Korea, Japan, Netherlands, Spain, Sweden, Switzerland"/>
        <s v="China"/>
        <s v="Kenya"/>
        <s v="Nigeria"/>
        <s v="Japan"/>
        <s v="Lebanon"/>
        <s v="South Africa"/>
        <s v="India"/>
        <s v="South Korea"/>
        <s v="Norway"/>
        <s v="Singapore"/>
        <s v="France, Slovenia, Szech Republic, Portugal "/>
        <s v="Malaysia"/>
        <s v="Brazil"/>
        <s v="Indonesia"/>
        <s v="France, Germany, Italy, Portugal, Spain"/>
        <s v="Portugal"/>
        <s v="France"/>
        <s v="Australia"/>
        <s v="Switzerland"/>
        <s v="Poland"/>
        <s v="Romania"/>
        <s v="Sweden"/>
        <s v="Greece"/>
      </sharedItems>
    </cacheField>
    <cacheField name="incentive_follow_through" numFmtId="0">
      <sharedItems containsBlank="1"/>
    </cacheField>
    <cacheField name="experimental_setting" numFmtId="0">
      <sharedItems containsBlank="1"/>
    </cacheField>
    <cacheField name="participant_type" numFmtId="0">
      <sharedItems containsBlank="1"/>
    </cacheField>
    <cacheField name="aware_of_study" numFmtId="0">
      <sharedItems containsBlank="1" containsMixedTypes="1" containsNumber="1" containsInteger="1" minValue="0" maxValue="1"/>
    </cacheField>
    <cacheField name="opt_in" numFmtId="0">
      <sharedItems containsBlank="1"/>
    </cacheField>
    <cacheField name="randomisation_dummy" numFmtId="0">
      <sharedItems containsBlank="1" containsMixedTypes="1" containsNumber="1" containsInteger="1" minValue="0" maxValue="1"/>
    </cacheField>
    <cacheField name="outOfSampleBias" numFmtId="0">
      <sharedItems containsBlank="1"/>
    </cacheField>
    <cacheField name="reportingBiases" numFmtId="0">
      <sharedItems containsBlank="1"/>
    </cacheField>
    <cacheField name="notes_bias" numFmtId="0">
      <sharedItems containsBlank="1" longText="1"/>
    </cacheField>
    <cacheField name="feedback" numFmtId="0">
      <sharedItems containsString="0" containsBlank="1" containsNumber="1" containsInteger="1" minValue="0" maxValue="1"/>
    </cacheField>
    <cacheField name="information" numFmtId="0">
      <sharedItems containsString="0" containsBlank="1" containsNumber="1" containsInteger="1" minValue="0" maxValue="1"/>
    </cacheField>
    <cacheField name="label" numFmtId="0">
      <sharedItems containsString="0" containsBlank="1" containsNumber="1" containsInteger="1" minValue="0" maxValue="1"/>
    </cacheField>
    <cacheField name="rebate" numFmtId="0">
      <sharedItems containsString="0" containsBlank="1" containsNumber="1" containsInteger="1" minValue="0" maxValue="1"/>
    </cacheField>
    <cacheField name="tax_credit" numFmtId="0">
      <sharedItems containsString="0" containsBlank="1" containsNumber="1" containsInteger="1" minValue="0" maxValue="1"/>
    </cacheField>
    <cacheField name="subsidy" numFmtId="0">
      <sharedItems containsString="0" containsBlank="1" containsNumber="1" containsInteger="1" minValue="0" maxValue="1"/>
    </cacheField>
    <cacheField name="loan" numFmtId="0">
      <sharedItems containsString="0" containsBlank="1" containsNumber="1" containsInteger="1" minValue="0" maxValue="1"/>
    </cacheField>
    <cacheField name="choice_architecture" numFmtId="0">
      <sharedItems containsString="0" containsBlank="1" containsNumber="1" containsInteger="1" minValue="0" maxValue="1"/>
    </cacheField>
    <cacheField name="notes_intervention" numFmtId="0">
      <sharedItems containsBlank="1"/>
    </cacheField>
    <cacheField name="washing_machine" numFmtId="0">
      <sharedItems containsString="0" containsBlank="1" containsNumber="1" containsInteger="1" minValue="0" maxValue="1"/>
    </cacheField>
    <cacheField name="clothes_dryer" numFmtId="0">
      <sharedItems containsString="0" containsBlank="1" containsNumber="1" containsInteger="1" minValue="0" maxValue="1"/>
    </cacheField>
    <cacheField name="diswasher" numFmtId="0">
      <sharedItems containsString="0" containsBlank="1" containsNumber="1" containsInteger="1" minValue="0" maxValue="1"/>
    </cacheField>
    <cacheField name="refrigerator" numFmtId="0">
      <sharedItems containsString="0" containsBlank="1" containsNumber="1" containsInteger="1" minValue="0" maxValue="1"/>
    </cacheField>
    <cacheField name="heat_pump" numFmtId="0">
      <sharedItems containsString="0" containsBlank="1" containsNumber="1" containsInteger="1" minValue="0" maxValue="1"/>
    </cacheField>
    <cacheField name="lighting" numFmtId="0">
      <sharedItems containsString="0" containsBlank="1" containsNumber="1" containsInteger="1" minValue="0" maxValue="1"/>
    </cacheField>
    <cacheField name="water_heater" numFmtId="0">
      <sharedItems containsString="0" containsBlank="1" containsNumber="1" containsInteger="1" minValue="0" maxValue="1"/>
    </cacheField>
    <cacheField name="ac" numFmtId="0">
      <sharedItems containsString="0" containsBlank="1" containsNumber="1" containsInteger="1" minValue="0" maxValue="1"/>
    </cacheField>
    <cacheField name="tv" numFmtId="0">
      <sharedItems containsString="0" containsBlank="1" containsNumber="1" containsInteger="1" minValue="0" maxValue="1"/>
    </cacheField>
    <cacheField name="notes_dep_var" numFmtId="0">
      <sharedItems containsBlank="1"/>
    </cacheField>
    <cacheField name="dep_variable_purchase_category" numFmtId="0">
      <sharedItems containsBlank="1" count="5">
        <s v="purschase (probability) of efficient appliance"/>
        <s v="energy use after switching to a more efficient appliance"/>
        <s v="WTP for efficient appliance"/>
        <m/>
        <s v="market share of efficient appliance"/>
      </sharedItems>
    </cacheField>
    <cacheField name="dep_var_original_study" numFmtId="0">
      <sharedItems containsBlank="1"/>
    </cacheField>
    <cacheField name="dep_var_transformation" numFmtId="0">
      <sharedItems containsBlank="1"/>
    </cacheField>
    <cacheField name="coefficient " numFmtId="0">
      <sharedItems containsBlank="1" containsMixedTypes="1" containsNumber="1" minValue="0" maxValue="3586.4569999999999"/>
    </cacheField>
    <cacheField name="effect_direction" numFmtId="0">
      <sharedItems containsBlank="1"/>
    </cacheField>
    <cacheField name="coefficient_se" numFmtId="0">
      <sharedItems containsBlank="1" containsMixedTypes="1" containsNumber="1" minValue="4.0000000000000002E-4" maxValue="2082.6759999999999"/>
    </cacheField>
    <cacheField name="p_value" numFmtId="0">
      <sharedItems containsBlank="1" containsMixedTypes="1" containsNumber="1" minValue="0" maxValue="0.99199999999999999"/>
    </cacheField>
    <cacheField name="significance_bound" numFmtId="0">
      <sharedItems containsBlank="1" containsMixedTypes="1" containsNumber="1" containsInteger="1" minValue="1" maxValue="3"/>
    </cacheField>
    <cacheField name="t_stat" numFmtId="0">
      <sharedItems containsBlank="1" containsMixedTypes="1" containsNumber="1" minValue="0" maxValue="960"/>
    </cacheField>
    <cacheField name="percent_change" numFmtId="0">
      <sharedItems containsBlank="1" containsMixedTypes="1" containsNumber="1" minValue="0" maxValue="796.11582942023051"/>
    </cacheField>
    <cacheField name="percent_change(binary predictor)" numFmtId="0">
      <sharedItems containsBlank="1" containsMixedTypes="1" containsNumber="1" minValue="0.5" maxValue="0.9758729785823308"/>
    </cacheField>
    <cacheField name="control_mean" numFmtId="0">
      <sharedItems containsBlank="1" containsMixedTypes="1" containsNumber="1" minValue="0.27" maxValue="959"/>
    </cacheField>
    <cacheField name="control_sample_size" numFmtId="0">
      <sharedItems containsBlank="1" containsMixedTypes="1" containsNumber="1" containsInteger="1" minValue="3" maxValue="13471"/>
    </cacheField>
    <cacheField name="control_sd" numFmtId="0">
      <sharedItems containsBlank="1" containsMixedTypes="1" containsNumber="1" minValue="2.1" maxValue="7.5"/>
    </cacheField>
    <cacheField name="treated_mean" numFmtId="0">
      <sharedItems containsBlank="1" containsMixedTypes="1" containsNumber="1" minValue="0.5" maxValue="8593"/>
    </cacheField>
    <cacheField name="treatment_sample_size" numFmtId="0">
      <sharedItems containsBlank="1" containsMixedTypes="1" containsNumber="1" minValue="1" maxValue="5672"/>
    </cacheField>
    <cacheField name="treated_sd" numFmtId="0">
      <sharedItems containsBlank="1" containsMixedTypes="1" containsNumber="1" minValue="0" maxValue="6.2"/>
    </cacheField>
    <cacheField name="total_sample_size" numFmtId="0">
      <sharedItems containsBlank="1" containsMixedTypes="1" containsNumber="1" containsInteger="1" minValue="1" maxValue="957080"/>
    </cacheField>
    <cacheField name="total_observations" numFmtId="0">
      <sharedItems containsBlank="1" containsMixedTypes="1" containsNumber="1" containsInteger="1" minValue="1" maxValue="957080"/>
    </cacheField>
    <cacheField name="diff_mean" numFmtId="0">
      <sharedItems containsBlank="1" containsMixedTypes="1" containsNumber="1" minValue="0" maxValue="8352"/>
    </cacheField>
    <cacheField name="pooled_sd" numFmtId="0">
      <sharedItems containsBlank="1"/>
    </cacheField>
    <cacheField name="monetary_incentive_size" numFmtId="0">
      <sharedItems containsBlank="1" containsMixedTypes="1" containsNumber="1" minValue="0" maxValue="10000"/>
    </cacheField>
    <cacheField name="monetary_incentive_relative" numFmtId="0">
      <sharedItems containsBlank="1" containsMixedTypes="1" containsNumber="1" minValue="0" maxValue="1"/>
    </cacheField>
    <cacheField name="monetary_incentive_timeframe" numFmtId="0">
      <sharedItems containsBlank="1"/>
    </cacheField>
    <cacheField name="label_monetary" numFmtId="0">
      <sharedItems containsBlank="1" containsMixedTypes="1" containsNumber="1" containsInteger="1" minValue="0" maxValue="1"/>
    </cacheField>
    <cacheField name="label_monetary_size" numFmtId="0">
      <sharedItems containsBlank="1" containsMixedTypes="1" containsNumber="1" minValue="0" maxValue="486"/>
    </cacheField>
    <cacheField name="label_consumption" numFmtId="0">
      <sharedItems containsBlank="1" containsMixedTypes="1" containsNumber="1" containsInteger="1" minValue="0" maxValue="1"/>
    </cacheField>
    <cacheField name="label_consumption_size" numFmtId="0">
      <sharedItems containsBlank="1" containsMixedTypes="1" containsNumber="1" minValue="0" maxValue="2560"/>
    </cacheField>
    <cacheField name="label_scale" numFmtId="0">
      <sharedItems containsBlank="1" containsMixedTypes="1" containsNumber="1" minValue="3.8627414089036701E-4" maxValue="3.8627414089036701E-4"/>
    </cacheField>
    <cacheField name="controls energy prices" numFmtId="0">
      <sharedItems containsString="0" containsBlank="1" containsNumber="1" containsInteger="1" minValue="0" maxValue="1"/>
    </cacheField>
    <cacheField name="controls environmental attitudes" numFmtId="0">
      <sharedItems containsString="0" containsBlank="1" containsNumber="1" containsInteger="1" minValue="0" maxValue="1"/>
    </cacheField>
    <cacheField name="controls demographics" numFmtId="0">
      <sharedItems containsString="0" containsBlank="1" containsNumber="1" containsInteger="1" minValue="0" maxValue="1"/>
    </cacheField>
    <cacheField name="r_effect_size_sample" numFmtId="0">
      <sharedItems containsString="0" containsBlank="1" containsNumber="1" containsInteger="1" minValue="0" maxValue="0"/>
    </cacheField>
    <cacheField name="r_effect_size_obsversation" numFmtId="0">
      <sharedItems containsString="0" containsBlank="1" containsNumber="1" containsInteger="1" minValue="1" maxValue="1"/>
    </cacheField>
    <cacheField name="z_value" numFmtId="0">
      <sharedItems containsNonDate="0" containsString="0" containsBlank="1"/>
    </cacheField>
    <cacheField name="r_variance" numFmtId="0">
      <sharedItems containsNonDate="0" containsString="0" containsBlank="1"/>
    </cacheField>
    <cacheField name="z_variance" numFmtId="0">
      <sharedItems containsNonDate="0" containsString="0" containsBlank="1"/>
    </cacheField>
    <cacheField name="d_value" numFmtId="0">
      <sharedItems containsNonDate="0" containsString="0" containsBlank="1"/>
    </cacheField>
    <cacheField name="z_value_sample" numFmtId="0">
      <sharedItems containsNonDate="0" containsString="0" containsBlank="1"/>
    </cacheField>
    <cacheField name="z_variance_sample" numFmtId="0">
      <sharedItems containsNonDate="0" containsString="0" containsBlank="1"/>
    </cacheField>
    <cacheField name="Significance from Original Study" numFmtId="0">
      <sharedItems containsNonDate="0" containsString="0" containsBlank="1"/>
    </cacheField>
    <cacheField name="Did intervention have desired effect (positive/decrease)" numFmtId="0">
      <sharedItems containsNonDate="0" containsString="0" containsBlank="1"/>
    </cacheField>
    <cacheField name="r_effect_size_sample2" numFmtId="0">
      <sharedItems containsBlank="1" containsMixedTypes="1" containsNumber="1" minValue="0" maxValue="0.99999997132859308"/>
    </cacheField>
    <cacheField name="z_value2" numFmtId="0">
      <sharedItems containsBlank="1" containsMixedTypes="1" containsNumber="1" minValue="0" maxValue="9.0302563258721591"/>
    </cacheField>
    <cacheField name="r_variance2" numFmtId="0">
      <sharedItems containsBlank="1" containsMixedTypes="1" containsNumber="1" minValue="-1329.7346701207366" maxValue="2.822476458784471E-2"/>
    </cacheField>
    <cacheField name="z_variance2" numFmtId="0">
      <sharedItems containsBlank="1" containsMixedTypes="1" containsNumber="1" minValue="1.0448480111840532E-6" maxValue="0.33333333333333331"/>
    </cacheField>
    <cacheField name="d_value2" numFmtId="0">
      <sharedItems containsBlank="1" containsMixedTypes="1" containsNumber="1" minValue="0" maxValue="8352"/>
    </cacheField>
    <cacheField name="df" numFmtId="0">
      <sharedItems containsString="0" containsBlank="1" containsNumber="1" containsInteger="1" minValue="4" maxValue="81094"/>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
  <r>
    <x v="0"/>
    <n v="1"/>
    <n v="1070"/>
    <n v="112"/>
    <s v="Alberini, Bigano, Boeri"/>
    <n v="2013"/>
    <s v="Looking for free riding: energy efficiency incentives and Italian homeowners "/>
    <s v="We examine the effect of energy efficiency incentives on household energy efficiency home im- provements. Starting in February 2007, Italian homeowners have been able to avail themselves of tax credits on the purchase and installation costs of certain types of energy efficiency renovations. We examine two such renovations—door/window replacements and heating system replacements—using multi-year cross- section data from the Italian Consumer Expenditure Survey and focusing on a narrow period around the introduction of the tax credits. Our regressions control for dwelling and household characteristics and economy-wide factors likely to influence the replace- ment rates. The effects of the policy are different for the two types of renovations. With window replacements, the policy is generally associated with a 30 % or stron- ger increase in the renovation rates and number of renovations. In the simplest econometric models, the effect is not statistically significant, but the results get stronger when we allow for heterogeneous effects across the country. With heating system replacements, simpler models suggest that the tax credits policy had no effect whatsoever or that free riding was rampant, i.e., people are now accepting subsidies for replacements that they would have done anyway. Further examination suggests a strong degree of heterogeneity in the effects across warmer and colder parts of the country, and effects in the colder areas that are even more pronounced than those for window replacements. These results should, howev- er, be interpreted with caution due to the low rates of renovations, which imply that the effects are estimated relatively imprecisely."/>
    <n v="2"/>
    <s v="2004-2009"/>
    <x v="0"/>
    <n v="14"/>
    <x v="0"/>
    <x v="0"/>
    <x v="0"/>
    <s v="self-reported behaviour"/>
    <s v="household"/>
    <s v="homeowners"/>
    <n v="0"/>
    <s v="opt_in"/>
    <n v="0"/>
    <s v="probably no"/>
    <s v="probably no"/>
    <s v="NA"/>
    <n v="0"/>
    <n v="1"/>
    <n v="0"/>
    <n v="0"/>
    <n v="1"/>
    <n v="0"/>
    <n v="0"/>
    <n v="0"/>
    <s v="NA"/>
    <n v="0"/>
    <n v="0"/>
    <n v="0"/>
    <n v="0"/>
    <n v="1"/>
    <n v="0"/>
    <n v="0"/>
    <n v="0"/>
    <n v="0"/>
    <s v="NA"/>
    <x v="0"/>
    <s v="likelihood of replacing the heating system"/>
    <s v="dummy (0/1)"/>
    <n v="1.6000000000000001E-4"/>
    <s v="decrease"/>
    <n v="1.4545454545454547E-3"/>
    <s v="NA"/>
    <n v="3"/>
    <n v="0.11"/>
    <n v="1.6001280068267398E-4"/>
    <n v="0.50003999999991466"/>
    <s v="NA"/>
    <s v="NA"/>
    <s v="NA"/>
    <s v="NA"/>
    <s v="NA"/>
    <s v="NA"/>
    <n v="81095"/>
    <n v="81095"/>
    <s v="NA"/>
    <s v="NA"/>
    <s v="NA"/>
    <n v="0.55000000000000004"/>
    <s v="delayed"/>
    <n v="0"/>
    <n v="0"/>
    <n v="1"/>
    <n v="3.8627412167859866E-4"/>
    <n v="3.8627414089036701E-4"/>
    <n v="0"/>
    <n v="0"/>
    <n v="1"/>
    <m/>
    <m/>
    <m/>
    <m/>
    <m/>
    <m/>
    <m/>
    <m/>
    <m/>
    <m/>
    <n v="3.8627412167859866E-4"/>
    <n v="3.8627414089036701E-4"/>
    <n v="1.233136853527977E-5"/>
    <n v="1.2331672668080699E-5"/>
    <s v="NA"/>
    <n v="81094"/>
    <s v="NA"/>
  </r>
  <r>
    <x v="0"/>
    <n v="1"/>
    <n v="1070"/>
    <n v="112"/>
    <s v="Alberini, Bigano, Boeri"/>
    <n v="2013"/>
    <s v="Looking for free riding: energy efficiency incentives and Italian homeowners "/>
    <s v="We examine the effect of energy efficiency incentives on household energy efficiency home im- provements. Starting in February 2007, Italian homeowners have been able to avail themselves of tax credits on the purchase and installation costs of certain types of energy efficiency renovations. We examine two such renovations—door/window replacements and heating system replacements—using multi-year cross- section data from the Italian Consumer Expenditure Survey and focusing on a narrow period around the introduction of the tax credits. Our regressions control for dwelling and household characteristics and economy-wide factors likely to influence the replace- ment rates. The effects of the policy are different for the two types of renovations. With window replacements, the policy is generally associated with a 30 % or stron- ger increase in the renovation rates and number of renovations. In the simplest econometric models, the effect is not statistically significant, but the results get stronger when we allow for heterogeneous effects across the country. With heating system replacements, simpler models suggest that the tax credits policy had no effect whatsoever or that free riding was rampant, i.e., people are now accepting subsidies for replacements that they would have done anyway. Further examination suggests a strong degree of heterogeneity in the effects across warmer and colder parts of the country, and effects in the colder areas that are even more pronounced than those for window replacements. These results should, howev- er, be interpreted with caution due to the low rates of renovations, which imply that the effects are estimated relatively imprecisely."/>
    <n v="2"/>
    <s v="2004-2009"/>
    <x v="0"/>
    <n v="14"/>
    <x v="0"/>
    <x v="0"/>
    <x v="0"/>
    <s v="self-reported behaviour"/>
    <s v="household"/>
    <s v="homeowners"/>
    <n v="0"/>
    <s v="opt_in"/>
    <n v="0"/>
    <s v="probably no"/>
    <s v="probably no"/>
    <s v="NA"/>
    <n v="0"/>
    <n v="1"/>
    <n v="0"/>
    <n v="0"/>
    <n v="1"/>
    <n v="0"/>
    <n v="0"/>
    <n v="0"/>
    <s v="NA"/>
    <n v="0"/>
    <n v="0"/>
    <n v="0"/>
    <n v="0"/>
    <n v="1"/>
    <n v="0"/>
    <n v="0"/>
    <n v="0"/>
    <n v="0"/>
    <s v="NA"/>
    <x v="0"/>
    <s v="likelihood of replacing the heating system"/>
    <s v="dummy (0/1)"/>
    <n v="3.8500000000000001E-3"/>
    <s v="decrease"/>
    <n v="2.3765432098765433E-3"/>
    <s v="NA"/>
    <n v="3"/>
    <n v="1.62"/>
    <n v="3.8574207702657404E-3"/>
    <n v="0.50096249881111377"/>
    <s v="NA"/>
    <s v="NA"/>
    <s v="NA"/>
    <s v="NA"/>
    <s v="NA"/>
    <s v="NA"/>
    <n v="81095"/>
    <n v="81095"/>
    <s v="NA"/>
    <s v="NA"/>
    <s v="NA"/>
    <n v="0.55000000000000004"/>
    <s v="delayed"/>
    <s v="NA"/>
    <s v="NA"/>
    <s v="NA"/>
    <s v="NA"/>
    <s v="NA"/>
    <n v="0"/>
    <n v="0"/>
    <n v="1"/>
    <m/>
    <m/>
    <m/>
    <m/>
    <m/>
    <m/>
    <m/>
    <m/>
    <m/>
    <m/>
    <n v="5.6886727140571178E-3"/>
    <n v="5.688734078955906E-3"/>
    <n v="1.2331368522365657E-5"/>
    <n v="1.2331672668080699E-5"/>
    <s v="NA"/>
    <n v="81094"/>
    <s v="NA"/>
  </r>
  <r>
    <x v="0"/>
    <m/>
    <n v="1290"/>
    <n v="148"/>
    <s v="Alberini, Gans, Towe"/>
    <n v="2016"/>
    <s v="Free Riding, Upsizing, and Energy Efﬁciency Incentives in Maryland Homes"/>
    <s v="We use a unique dataset that combines an original survey of households, infor- mation about the structural characteristics of their homes, utility-provided elec- tricity usage records and program participation status, to study the uptake of energy efficiency incentives and their effect on residential electricity consump- tion. Attention is restricted to homes where heating and cooling is provided ex- clusively by air-source heat pumps. We deploy a difference-in-difference study design and find that replacing a heat pump with a new one does reduce electricity usage by 8% on average. The effect differs dramatically across households based upon whether they receive an incentive towards the purchase of a new heat pump. Among incentive recipients, the effect is small, and the larger the incentive, the smaller the reduction in electricity usage. These findings suggest that capital costs are incorporated into the (long-term) cost of energy, generating an apparent re- bound effect that is much more pronounced for incentive recipients."/>
    <n v="1"/>
    <n v="2011"/>
    <x v="0"/>
    <n v="280"/>
    <x v="0"/>
    <x v="1"/>
    <x v="1"/>
    <s v="revealed preference"/>
    <s v="household"/>
    <s v="homeowners"/>
    <n v="0"/>
    <s v="opt_in"/>
    <n v="0"/>
    <s v="probably yes"/>
    <s v="probably no"/>
    <s v="Our sampling frame is a mix of stratified and choice-based sampling (see table 1), which means that it is necessary to calculate and use appropriate weights when extrapolating sample statistics to the population."/>
    <n v="0"/>
    <n v="0"/>
    <n v="0"/>
    <n v="1"/>
    <n v="0"/>
    <n v="0"/>
    <n v="0"/>
    <n v="0"/>
    <s v="NA"/>
    <n v="0"/>
    <n v="0"/>
    <n v="0"/>
    <n v="0"/>
    <n v="1"/>
    <n v="0"/>
    <n v="0"/>
    <n v="0"/>
    <n v="0"/>
    <s v="the percentage change in energy use that occurs when a heat pump is replaced with a_x000a_new, more efficient one"/>
    <x v="1"/>
    <s v="energy consumption (monthly)"/>
    <s v="log scale"/>
    <n v="3.5900000000000001E-2"/>
    <s v="decrease"/>
    <n v="3.5544554455445548E-2"/>
    <s v="NA"/>
    <n v="3"/>
    <n v="1.01"/>
    <n v="0.08"/>
    <m/>
    <s v="NA"/>
    <s v="NA"/>
    <s v="NA"/>
    <s v="NA"/>
    <s v="NA"/>
    <s v="NA"/>
    <n v="1153"/>
    <n v="13923"/>
    <s v="NA"/>
    <s v="NA"/>
    <s v="200 to 500$"/>
    <s v="NA"/>
    <s v="delayed"/>
    <s v="NA"/>
    <s v="NA"/>
    <s v="NA"/>
    <s v="NA"/>
    <s v="NA"/>
    <n v="1"/>
    <n v="1"/>
    <n v="1"/>
    <m/>
    <m/>
    <m/>
    <m/>
    <m/>
    <m/>
    <m/>
    <m/>
    <m/>
    <m/>
    <n v="2.9731353950735877E-2"/>
    <n v="2.9740118977144511E-2"/>
    <n v="8.6805487647964076E-4"/>
    <n v="8.6956521739130438E-4"/>
    <m/>
    <m/>
    <m/>
  </r>
  <r>
    <x v="0"/>
    <m/>
    <n v="1159"/>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7"/>
    <x v="1"/>
    <x v="2"/>
    <x v="1"/>
    <s v="revealed preference"/>
    <s v="household"/>
    <s v="homeowners"/>
    <n v="0"/>
    <s v="opt_in"/>
    <n v="0"/>
    <s v="probably no"/>
    <s v="probably no"/>
    <s v="NA"/>
    <n v="1"/>
    <n v="0"/>
    <n v="0"/>
    <n v="0"/>
    <n v="0"/>
    <n v="0"/>
    <n v="0"/>
    <n v="0"/>
    <s v="QHEC - quick house electricity checkup - free audit"/>
    <n v="0"/>
    <n v="0"/>
    <n v="0"/>
    <n v="0"/>
    <n v="1"/>
    <n v="0"/>
    <n v="0"/>
    <n v="0"/>
    <n v="0"/>
    <s v="NA"/>
    <x v="1"/>
    <s v="ln electricity use"/>
    <s v="log scale"/>
    <n v="2.7799999999999998E-2"/>
    <s v="decrease"/>
    <n v="1.3627450980392156E-2"/>
    <n v="2.0687000000000001E-2"/>
    <n v="3"/>
    <n v="2.04"/>
    <n v="2.8190025851083211E-2"/>
    <m/>
    <s v="NA"/>
    <n v="10676"/>
    <s v="NA"/>
    <s v="NA"/>
    <n v="378"/>
    <s v="NA"/>
    <n v="11054"/>
    <n v="108387"/>
    <s v="NA"/>
    <s v="NA"/>
    <s v="from 200 to 400"/>
    <n v="0.1"/>
    <s v="current "/>
    <s v="NA"/>
    <s v="NA"/>
    <s v="NA"/>
    <s v="NA"/>
    <s v="NA"/>
    <n v="0"/>
    <n v="0"/>
    <n v="1"/>
    <m/>
    <m/>
    <m/>
    <m/>
    <m/>
    <m/>
    <m/>
    <m/>
    <m/>
    <m/>
    <n v="1.9399418017388252E-2"/>
    <n v="1.9401852142681517E-2"/>
    <n v="9.0473161883565525E-5"/>
    <n v="9.0489548457153195E-5"/>
    <m/>
    <m/>
    <m/>
  </r>
  <r>
    <x v="0"/>
    <m/>
    <n v="1160"/>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7"/>
    <x v="1"/>
    <x v="2"/>
    <x v="1"/>
    <s v="revealed preference"/>
    <s v="household"/>
    <s v="homeowners"/>
    <n v="0"/>
    <s v="opt_in"/>
    <n v="0"/>
    <s v="probably no"/>
    <s v="probably no"/>
    <s v="NA"/>
    <n v="1"/>
    <n v="0"/>
    <n v="0"/>
    <n v="0"/>
    <n v="0"/>
    <n v="0"/>
    <n v="0"/>
    <n v="0"/>
    <s v="QHEC - quick house electricity checkup - free audit"/>
    <n v="0"/>
    <n v="0"/>
    <n v="0"/>
    <n v="0"/>
    <n v="1"/>
    <n v="0"/>
    <n v="0"/>
    <n v="0"/>
    <n v="0"/>
    <s v="with CEM"/>
    <x v="1"/>
    <s v="ln electricity use"/>
    <s v="log scale"/>
    <n v="5.4399999999999997E-2"/>
    <s v="decrease"/>
    <n v="1.4986225895316804E-2"/>
    <n v="1.4200000000000001E-4"/>
    <n v="3"/>
    <n v="3.63"/>
    <n v="5.590688044596992E-2"/>
    <m/>
    <s v="NA"/>
    <n v="10676"/>
    <s v="NA"/>
    <s v="NA"/>
    <n v="378"/>
    <s v="NA"/>
    <n v="11054"/>
    <n v="37511"/>
    <s v="NA"/>
    <s v="NA"/>
    <s v="from 200 to 400"/>
    <n v="0.1"/>
    <s v="current "/>
    <s v="NA"/>
    <s v="NA"/>
    <s v="NA"/>
    <s v="NA"/>
    <s v="NA"/>
    <n v="0"/>
    <n v="0"/>
    <n v="1"/>
    <m/>
    <m/>
    <m/>
    <m/>
    <m/>
    <m/>
    <m/>
    <m/>
    <m/>
    <m/>
    <n v="3.4505490005142594E-2"/>
    <n v="3.4519194206964816E-2"/>
    <n v="9.0473046245324396E-5"/>
    <n v="9.0489548457153195E-5"/>
    <m/>
    <m/>
    <m/>
  </r>
  <r>
    <x v="0"/>
    <m/>
    <n v="1161"/>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8"/>
    <x v="1"/>
    <x v="2"/>
    <x v="1"/>
    <s v="revealed preference"/>
    <s v="household"/>
    <s v="homeowners"/>
    <n v="0"/>
    <s v="opt_in"/>
    <n v="0"/>
    <s v="probably no"/>
    <s v="probably no"/>
    <s v="NA"/>
    <n v="0"/>
    <n v="0"/>
    <n v="0"/>
    <n v="1"/>
    <n v="0"/>
    <n v="0"/>
    <n v="0"/>
    <n v="0"/>
    <s v="QHEC - quick house electricity checkup - free audit"/>
    <n v="0"/>
    <n v="0"/>
    <n v="0"/>
    <n v="0"/>
    <n v="1"/>
    <n v="0"/>
    <n v="0"/>
    <n v="0"/>
    <n v="0"/>
    <s v="NA"/>
    <x v="1"/>
    <s v="ln electricity use"/>
    <s v="log scale"/>
    <n v="5.4600000000000003E-2"/>
    <s v="decrease"/>
    <n v="1.7333333333333336E-2"/>
    <n v="8.1899999999999996E-4"/>
    <n v="3"/>
    <n v="3.15"/>
    <n v="5.6118082941604586E-2"/>
    <m/>
    <s v="NA"/>
    <n v="10676"/>
    <s v="NA"/>
    <s v="NA"/>
    <n v="430"/>
    <s v="NA"/>
    <n v="11106"/>
    <n v="68754"/>
    <s v="NA"/>
    <s v="NA"/>
    <s v="from 200 to 400"/>
    <n v="0.1"/>
    <s v="current "/>
    <s v="NA"/>
    <s v="NA"/>
    <s v="NA"/>
    <s v="NA"/>
    <s v="NA"/>
    <n v="0"/>
    <n v="0"/>
    <n v="1"/>
    <m/>
    <m/>
    <m/>
    <m/>
    <m/>
    <m/>
    <m/>
    <m/>
    <m/>
    <m/>
    <n v="2.9877055832671907E-2"/>
    <n v="2.9885950400025899E-2"/>
    <n v="9.0049455402728065E-5"/>
    <n v="9.0065747996037111E-5"/>
    <m/>
    <m/>
    <m/>
  </r>
  <r>
    <x v="0"/>
    <m/>
    <n v="1162"/>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8"/>
    <x v="1"/>
    <x v="2"/>
    <x v="1"/>
    <s v="revealed preference"/>
    <s v="household"/>
    <s v="homeowners"/>
    <n v="0"/>
    <s v="opt_in"/>
    <n v="0"/>
    <s v="probably no"/>
    <s v="probably no"/>
    <s v="NA"/>
    <n v="0"/>
    <n v="0"/>
    <n v="0"/>
    <n v="1"/>
    <n v="0"/>
    <n v="0"/>
    <n v="0"/>
    <n v="0"/>
    <s v="QHEC - quick house electricity checkup - free audit"/>
    <n v="0"/>
    <n v="0"/>
    <n v="0"/>
    <n v="0"/>
    <n v="1"/>
    <n v="0"/>
    <n v="0"/>
    <n v="0"/>
    <n v="0"/>
    <s v="with CEM"/>
    <x v="1"/>
    <s v="ln electricity use"/>
    <s v="log scale"/>
    <n v="4.19E-2"/>
    <s v="decrease"/>
    <n v="1.682730923694779E-2"/>
    <n v="6.3940000000000004E-3"/>
    <n v="3"/>
    <n v="2.4900000000000002"/>
    <n v="4.2790194517186686E-2"/>
    <m/>
    <s v="NA"/>
    <n v="10676"/>
    <s v="NA"/>
    <s v="NA"/>
    <n v="430"/>
    <s v="NA"/>
    <n v="11106"/>
    <n v="33268"/>
    <s v="NA"/>
    <s v="NA"/>
    <s v="from 200 to 400"/>
    <n v="0.1"/>
    <s v="current "/>
    <s v="NA"/>
    <s v="NA"/>
    <s v="NA"/>
    <s v="NA"/>
    <s v="NA"/>
    <n v="0"/>
    <n v="0"/>
    <n v="1"/>
    <m/>
    <m/>
    <m/>
    <m/>
    <m/>
    <m/>
    <m/>
    <m/>
    <m/>
    <m/>
    <n v="2.3621056611749961E-2"/>
    <n v="2.3625451239868967E-2"/>
    <n v="9.0049499185523786E-5"/>
    <n v="9.0065747996037111E-5"/>
    <m/>
    <m/>
    <m/>
  </r>
  <r>
    <x v="1"/>
    <n v="2"/>
    <n v="1003"/>
    <n v="101"/>
    <s v="Allcott, Sweeney"/>
    <n v="2016"/>
    <s v="The Role of Sales Agents in Information Disclosure:_x000a_Evidence from a Field Experiment"/>
    <s v="With a large nationwide retailer, we run a natural field experiment to measure the effects of energy use_x000a_information disclosure, customer rebates, and sales agent incentives on demand for energy-efficient durable_x000a_goods. Although a combination of large rebates plus sales incentives substantially increases market share,_x000a_information and sales incentives alone each have zero statistical effect and explain at most a small fraction of_x000a_the low baseline market share. Sales agents strategically comply only partially with the experiment, targeting_x000a_information to more interested consumers but not discussing energy efficiency with the disinterested majority._x000a_These results suggest that seller-provided information is not a major barrier to energy-efficiency investments at_x000a_current prices in this context."/>
    <n v="2"/>
    <s v="2012-2013"/>
    <x v="0"/>
    <n v="13"/>
    <x v="2"/>
    <x v="2"/>
    <x v="1"/>
    <s v="revealed preference"/>
    <s v="sales agent"/>
    <s v="caller"/>
    <n v="0"/>
    <s v="no such option"/>
    <n v="1"/>
    <s v="probably no"/>
    <s v="probably no"/>
    <s v="NA"/>
    <n v="0"/>
    <n v="1"/>
    <n v="0"/>
    <n v="0"/>
    <n v="0"/>
    <n v="0"/>
    <n v="0"/>
    <n v="0"/>
    <s v="focus on phase 1 as there the effect is separated from agent incentivisation"/>
    <n v="0"/>
    <n v="0"/>
    <n v="0"/>
    <n v="0"/>
    <n v="0"/>
    <n v="0"/>
    <n v="1"/>
    <n v="0"/>
    <n v="0"/>
    <s v="NA"/>
    <x v="0"/>
    <s v="whether the consumer purchases an Energy Star model"/>
    <s v="dummy (0/1)"/>
    <n v="0"/>
    <s v="increase"/>
    <n v="2E-3"/>
    <n v="0.1"/>
    <n v="2"/>
    <n v="0"/>
    <n v="0"/>
    <n v="0.5"/>
    <s v="NA"/>
    <s v="NA"/>
    <s v="NA"/>
    <s v="NA"/>
    <n v="2525.8000000000002"/>
    <s v="NA"/>
    <n v="23347"/>
    <n v="23347"/>
    <s v="NA"/>
    <s v="NA"/>
    <s v="NA"/>
    <s v="NA"/>
    <s v="NA"/>
    <s v="NA"/>
    <s v="NA"/>
    <s v="NA"/>
    <s v="NA"/>
    <s v="NA"/>
    <n v="0"/>
    <n v="1"/>
    <n v="1"/>
    <m/>
    <m/>
    <m/>
    <m/>
    <m/>
    <m/>
    <m/>
    <m/>
    <m/>
    <m/>
    <n v="0"/>
    <n v="0"/>
    <n v="4.2833890173905597E-5"/>
    <n v="4.2837559972583965E-5"/>
    <s v="NA"/>
    <n v="23345"/>
    <s v="NA"/>
  </r>
  <r>
    <x v="1"/>
    <n v="2"/>
    <n v="1002"/>
    <n v="101"/>
    <s v="Allcott, Sweeney"/>
    <n v="2016"/>
    <s v="The Role of Sales Agents in Information Disclosure:_x000a_Evidence from a Field Experiment"/>
    <s v="With a large nationwide retailer, we run a natural field experiment to measure the effects of energy use_x000a_information disclosure, customer rebates, and sales agent incentives on demand for energy-efficient durable_x000a_goods. Although a combination of large rebates plus sales incentives substantially increases market share,_x000a_information and sales incentives alone each have zero statistical effect and explain at most a small fraction of_x000a_the low baseline market share. Sales agents strategically comply only partially with the experiment, targeting_x000a_information to more interested consumers but not discussing energy efficiency with the disinterested majority._x000a_These results suggest that seller-provided information is not a major barrier to energy-efficiency investments at_x000a_current prices in this context."/>
    <n v="2"/>
    <s v="2012-2013"/>
    <x v="0"/>
    <n v="13"/>
    <x v="2"/>
    <x v="2"/>
    <x v="1"/>
    <s v="revealed preference"/>
    <s v="sales agent"/>
    <s v="caller"/>
    <n v="0"/>
    <s v="no such option"/>
    <n v="1"/>
    <s v="probably no"/>
    <s v="probably no"/>
    <s v="NA"/>
    <n v="0"/>
    <n v="0"/>
    <n v="0"/>
    <n v="1"/>
    <n v="0"/>
    <n v="0"/>
    <n v="0"/>
    <n v="0"/>
    <s v="focus on phase 1 as there the effect is separated from agent incentivisation"/>
    <n v="0"/>
    <n v="0"/>
    <n v="0"/>
    <n v="0"/>
    <n v="0"/>
    <n v="0"/>
    <n v="1"/>
    <n v="0"/>
    <n v="0"/>
    <s v="NA"/>
    <x v="0"/>
    <s v="whether the consumer purchases an Energy Star model"/>
    <s v="dummy (0/1)"/>
    <n v="1E-3"/>
    <s v="increase"/>
    <n v="1E-3"/>
    <n v="0.1"/>
    <n v="2"/>
    <n v="1"/>
    <n v="1.0005001667083846E-3"/>
    <n v="0.50024999997916664"/>
    <s v="NA"/>
    <s v="NA"/>
    <s v="NA"/>
    <s v="NA"/>
    <n v="2525.8000000000002"/>
    <s v="NA"/>
    <n v="23347"/>
    <n v="23347"/>
    <s v="NA"/>
    <s v="NA"/>
    <n v="25"/>
    <s v="NA"/>
    <s v="current "/>
    <s v="NA"/>
    <s v="NA"/>
    <s v="NA"/>
    <s v="NA"/>
    <s v="NA"/>
    <n v="0"/>
    <n v="1"/>
    <n v="1"/>
    <m/>
    <m/>
    <m/>
    <m/>
    <m/>
    <m/>
    <m/>
    <m/>
    <m/>
    <m/>
    <n v="6.5444801935631517E-3"/>
    <n v="6.5445736298086485E-3"/>
    <n v="4.2833890095325423E-5"/>
    <n v="4.2837559972583965E-5"/>
    <s v="NA"/>
    <n v="23345"/>
    <s v="NA"/>
  </r>
  <r>
    <x v="1"/>
    <n v="2"/>
    <n v="1001"/>
    <n v="101"/>
    <s v="Allcott, Sweeney"/>
    <n v="2016"/>
    <s v="The Role of Sales Agents in Information Disclosure:_x000a_Evidence from a Field Experiment"/>
    <s v="With a large nationwide retailer, we run a natural field experiment to measure the effects of energy use_x000a_information disclosure, customer rebates, and sales agent incentives on demand for energy-efficient durable_x000a_goods. Although a combination of large rebates plus sales incentives substantially increases market share,_x000a_information and sales incentives alone each have zero statistical effect and explain at most a small fraction of_x000a_the low baseline market share. Sales agents strategically comply only partially with the experiment, targeting_x000a_information to more interested consumers but not discussing energy efficiency with the disinterested majority._x000a_These results suggest that seller-provided information is not a major barrier to energy-efficiency investments at_x000a_current prices in this context."/>
    <n v="2"/>
    <s v="2012-2013"/>
    <x v="0"/>
    <n v="13"/>
    <x v="2"/>
    <x v="2"/>
    <x v="1"/>
    <s v="revealed preference"/>
    <s v="sales agent"/>
    <s v="caller"/>
    <n v="0"/>
    <s v="no such option"/>
    <n v="1"/>
    <s v="probably no"/>
    <s v="probably no"/>
    <s v="NA"/>
    <n v="0"/>
    <n v="0"/>
    <n v="0"/>
    <n v="1"/>
    <n v="0"/>
    <n v="0"/>
    <n v="0"/>
    <n v="0"/>
    <s v="focus on phase 1 as there the effect is separated from agent incentivisation"/>
    <n v="0"/>
    <n v="0"/>
    <n v="0"/>
    <n v="0"/>
    <n v="0"/>
    <n v="0"/>
    <n v="1"/>
    <n v="0"/>
    <n v="0"/>
    <s v="NA"/>
    <x v="0"/>
    <s v="whether the consumer purchases an Energy Star model"/>
    <s v="dummy (0/1)"/>
    <n v="6.0000000000000001E-3"/>
    <s v="increase"/>
    <n v="3.0000000000000001E-3"/>
    <n v="0.05"/>
    <n v="1"/>
    <n v="2"/>
    <n v="6.0180360540649236E-3"/>
    <n v="0.50149999550001623"/>
    <s v="NA"/>
    <s v="NA"/>
    <s v="NA"/>
    <s v="NA"/>
    <n v="2525.8000000000002"/>
    <s v="NA"/>
    <n v="23347"/>
    <n v="23347"/>
    <s v="NA"/>
    <s v="NA"/>
    <n v="100"/>
    <s v="NA"/>
    <s v="current "/>
    <s v="NA"/>
    <s v="NA"/>
    <s v="NA"/>
    <s v="NA"/>
    <s v="NA"/>
    <n v="0"/>
    <n v="1"/>
    <n v="1"/>
    <m/>
    <m/>
    <m/>
    <m/>
    <m/>
    <m/>
    <m/>
    <m/>
    <m/>
    <m/>
    <n v="1.308811956355478E-2"/>
    <n v="1.3088866967087377E-2"/>
    <n v="4.2833888916730603E-5"/>
    <n v="4.2837559972583965E-5"/>
    <s v="NA"/>
    <n v="23345"/>
    <s v="NA"/>
  </r>
  <r>
    <x v="0"/>
    <n v="3"/>
    <n v="1087"/>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2"/>
    <x v="0"/>
    <x v="2"/>
    <x v="1"/>
    <s v="revealed preference"/>
    <s v="online"/>
    <s v="residents"/>
    <n v="1"/>
    <s v="no such option"/>
    <n v="1"/>
    <s v="probably no"/>
    <s v="probably no"/>
    <s v="NA"/>
    <n v="0"/>
    <n v="1"/>
    <n v="0"/>
    <n v="0"/>
    <n v="0"/>
    <n v="0"/>
    <n v="0"/>
    <n v="0"/>
    <s v="NA"/>
    <n v="0"/>
    <n v="0"/>
    <n v="0"/>
    <n v="0"/>
    <n v="0"/>
    <n v="1"/>
    <n v="0"/>
    <n v="0"/>
    <n v="0"/>
    <s v="NA"/>
    <x v="0"/>
    <s v="purchased CFL"/>
    <s v="dummy (0/1)"/>
    <n v="4.0000000000000001E-3"/>
    <s v="increase"/>
    <n v="3.3000000000000002E-2"/>
    <n v="0.1"/>
    <n v="2"/>
    <n v="0.12121212121212122"/>
    <n v="4.0080106773419111E-3"/>
    <n v="0.50099999866666878"/>
    <s v="NA"/>
    <s v="NA"/>
    <s v="NA"/>
    <s v="NA"/>
    <s v="NA"/>
    <s v="NA"/>
    <n v="1087"/>
    <n v="1087"/>
    <s v="NA"/>
    <s v="NA"/>
    <s v="NA"/>
    <s v="NA"/>
    <s v="NA"/>
    <s v="NA"/>
    <s v="NA"/>
    <s v="NA"/>
    <s v="NA"/>
    <s v="NA"/>
    <n v="0"/>
    <n v="0"/>
    <n v="1"/>
    <m/>
    <m/>
    <m/>
    <m/>
    <m/>
    <m/>
    <m/>
    <m/>
    <m/>
    <m/>
    <n v="3.6764472949663419E-3"/>
    <n v="3.6764638590456372E-3"/>
    <n v="9.2081031290728113E-4"/>
    <n v="9.225092250922509E-4"/>
    <s v="NA"/>
    <n v="1085"/>
    <s v="NA"/>
  </r>
  <r>
    <x v="0"/>
    <n v="3"/>
    <n v="1086"/>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1"/>
    <x v="3"/>
    <x v="2"/>
    <x v="1"/>
    <s v="revealed preference"/>
    <s v="online"/>
    <s v="residents"/>
    <n v="1"/>
    <s v="no such option"/>
    <n v="1"/>
    <s v="probably no"/>
    <s v="probably no"/>
    <s v="NA"/>
    <n v="0"/>
    <n v="1"/>
    <n v="0"/>
    <n v="0"/>
    <n v="0"/>
    <n v="0"/>
    <n v="0"/>
    <n v="0"/>
    <s v="NA"/>
    <n v="0"/>
    <n v="0"/>
    <n v="0"/>
    <n v="0"/>
    <n v="0"/>
    <n v="1"/>
    <n v="0"/>
    <n v="0"/>
    <n v="0"/>
    <s v="NA"/>
    <x v="0"/>
    <s v="purchased CFL"/>
    <s v="NA"/>
    <n v="8.0000000000000002E-3"/>
    <s v="decrease"/>
    <n v="2.7E-2"/>
    <n v="0.1"/>
    <n v="2"/>
    <n v="0.29629629629629628"/>
    <s v="NA"/>
    <m/>
    <s v="NA"/>
    <n v="294"/>
    <s v="NA"/>
    <s v="NA"/>
    <n v="793"/>
    <s v="NA"/>
    <n v="1087"/>
    <n v="1087"/>
    <n v="8.0000000000000002E-3"/>
    <s v="NA"/>
    <s v="NA"/>
    <s v="NA"/>
    <s v="NA"/>
    <s v="NA"/>
    <s v="NA"/>
    <s v="NA"/>
    <s v="NA"/>
    <s v="NA"/>
    <n v="0"/>
    <n v="0"/>
    <n v="1"/>
    <m/>
    <m/>
    <m/>
    <m/>
    <m/>
    <m/>
    <m/>
    <m/>
    <m/>
    <m/>
    <n v="0.14654866108946232"/>
    <n v="0.14761150876627599"/>
    <n v="9.2037314237067909E-4"/>
    <n v="9.225092250922509E-4"/>
    <n v="0.29629629629629628"/>
    <n v="1085"/>
    <s v="NA"/>
  </r>
  <r>
    <x v="0"/>
    <n v="3"/>
    <n v="1085"/>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1"/>
    <x v="3"/>
    <x v="2"/>
    <x v="1"/>
    <s v="revealed preference"/>
    <s v="online"/>
    <s v="residents"/>
    <n v="1"/>
    <s v="no such option"/>
    <n v="1"/>
    <s v="probably no"/>
    <s v="probably no"/>
    <s v="NA"/>
    <n v="0"/>
    <n v="1"/>
    <n v="0"/>
    <n v="0"/>
    <n v="0"/>
    <n v="0"/>
    <n v="0"/>
    <n v="0"/>
    <s v="NA"/>
    <n v="0"/>
    <n v="0"/>
    <n v="0"/>
    <n v="0"/>
    <n v="0"/>
    <n v="1"/>
    <n v="0"/>
    <n v="0"/>
    <n v="0"/>
    <s v="NA"/>
    <x v="0"/>
    <s v="purchased CFL"/>
    <s v="NA"/>
    <n v="1.0999999999999999E-2"/>
    <s v="increase"/>
    <n v="2.5000000000000001E-2"/>
    <n v="0.1"/>
    <n v="2"/>
    <n v="0.43999999999999995"/>
    <s v="NA"/>
    <m/>
    <s v="NA"/>
    <n v="294"/>
    <s v="NA"/>
    <s v="NA"/>
    <n v="793"/>
    <s v="NA"/>
    <n v="1087"/>
    <n v="1087"/>
    <n v="1.0999999999999999E-2"/>
    <s v="NA"/>
    <s v="NA"/>
    <s v="NA"/>
    <s v="NA"/>
    <s v="NA"/>
    <s v="NA"/>
    <s v="NA"/>
    <s v="NA"/>
    <s v="NA"/>
    <n v="0"/>
    <n v="0"/>
    <n v="1"/>
    <m/>
    <m/>
    <m/>
    <m/>
    <m/>
    <m/>
    <m/>
    <m/>
    <m/>
    <m/>
    <n v="0.21486178267511974"/>
    <n v="0.21826290743988225"/>
    <n v="9.1872058431916861E-4"/>
    <n v="9.225092250922509E-4"/>
    <n v="0.43999999999999995"/>
    <n v="1085"/>
    <s v="NA"/>
  </r>
  <r>
    <x v="0"/>
    <n v="3"/>
    <n v="1089"/>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2"/>
    <x v="0"/>
    <x v="2"/>
    <x v="1"/>
    <s v="revealed preference"/>
    <s v="online"/>
    <s v="residents"/>
    <n v="1"/>
    <s v="no such option"/>
    <n v="1"/>
    <s v="probably no"/>
    <s v="probably no"/>
    <s v="NA"/>
    <n v="0"/>
    <n v="1"/>
    <n v="0"/>
    <n v="1"/>
    <n v="0"/>
    <n v="0"/>
    <n v="0"/>
    <n v="0"/>
    <s v="NA"/>
    <n v="0"/>
    <n v="0"/>
    <n v="0"/>
    <n v="0"/>
    <n v="0"/>
    <n v="1"/>
    <n v="0"/>
    <n v="0"/>
    <n v="0"/>
    <s v="NA"/>
    <x v="0"/>
    <s v="purchased CFL"/>
    <s v="dummy (0/1)"/>
    <n v="5.3999999999999999E-2"/>
    <s v="increase"/>
    <n v="6.6000000000000003E-2"/>
    <n v="0.1"/>
    <n v="2"/>
    <n v="0.81818181818181812"/>
    <n v="5.5484602155080109E-2"/>
    <n v="0.51349672045631156"/>
    <s v="NA"/>
    <s v="NA"/>
    <s v="NA"/>
    <s v="NA"/>
    <s v="NA"/>
    <s v="NA"/>
    <n v="1087"/>
    <n v="1087"/>
    <s v="NA"/>
    <s v="NA"/>
    <s v="NA"/>
    <s v="NA"/>
    <s v="current "/>
    <s v="NA"/>
    <s v="NA"/>
    <s v="NA"/>
    <s v="NA"/>
    <s v="NA"/>
    <n v="0"/>
    <n v="0"/>
    <n v="1"/>
    <m/>
    <m/>
    <m/>
    <m/>
    <m/>
    <m/>
    <m/>
    <m/>
    <m/>
    <m/>
    <n v="2.4808549041116852E-2"/>
    <n v="2.4813640511901335E-2"/>
    <n v="9.2080996398975789E-4"/>
    <n v="9.225092250922509E-4"/>
    <s v="NA"/>
    <n v="1085"/>
    <s v="NA"/>
  </r>
  <r>
    <x v="0"/>
    <n v="3"/>
    <n v="1088"/>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2"/>
    <x v="0"/>
    <x v="2"/>
    <x v="1"/>
    <s v="revealed preference"/>
    <s v="online"/>
    <s v="residents"/>
    <n v="1"/>
    <s v="no such option"/>
    <n v="1"/>
    <s v="probably no"/>
    <s v="probably no"/>
    <s v="NA"/>
    <n v="0"/>
    <n v="0"/>
    <n v="0"/>
    <n v="1"/>
    <n v="0"/>
    <n v="0"/>
    <n v="0"/>
    <n v="0"/>
    <s v="NA"/>
    <n v="0"/>
    <n v="0"/>
    <n v="0"/>
    <n v="0"/>
    <n v="0"/>
    <n v="1"/>
    <n v="0"/>
    <n v="0"/>
    <n v="0"/>
    <s v="NA"/>
    <x v="0"/>
    <s v="purchased CFL"/>
    <s v="dummy (0/1)"/>
    <n v="0.105"/>
    <s v="increase"/>
    <n v="3.3000000000000002E-2"/>
    <n v="0.01"/>
    <n v="1"/>
    <n v="3.1818181818181817"/>
    <n v="0.11071061035570517"/>
    <n v="0.5262259093720687"/>
    <s v="NA"/>
    <s v="NA"/>
    <s v="NA"/>
    <s v="NA"/>
    <s v="NA"/>
    <s v="NA"/>
    <n v="1087"/>
    <n v="1087"/>
    <s v="NA"/>
    <s v="NA"/>
    <s v="NA"/>
    <s v="NA"/>
    <s v="current "/>
    <s v="NA"/>
    <s v="NA"/>
    <s v="NA"/>
    <s v="NA"/>
    <s v="NA"/>
    <n v="0"/>
    <n v="0"/>
    <n v="1"/>
    <m/>
    <m/>
    <m/>
    <m/>
    <m/>
    <m/>
    <m/>
    <m/>
    <m/>
    <m/>
    <n v="9.6061089497837926E-2"/>
    <n v="9.6358211658461979E-2"/>
    <n v="9.2073093051564905E-4"/>
    <n v="9.225092250922509E-4"/>
    <s v="NA"/>
    <n v="1085"/>
    <s v="NA"/>
  </r>
  <r>
    <x v="0"/>
    <n v="4"/>
    <n v="1112"/>
    <n v="121"/>
    <s v="Anderson, Claxton"/>
    <n v="1982"/>
    <s v="Barriers to Consumer Choice of Energy Efficient Products"/>
    <s v="A number of barriers deter consumers from making energy conserving choices when buying major durables. In a field experiment, refrigerator energy labels and sales staff emphasis were manipulated in an attempt to help put these barriers into perspective. Energy information was most effective in the low price market segment when consumers were choosing between manual and frost-free refrig- erators."/>
    <n v="2"/>
    <n v="1982"/>
    <x v="0"/>
    <n v="167"/>
    <x v="3"/>
    <x v="2"/>
    <x v="2"/>
    <s v="revealed preference"/>
    <s v="retailer"/>
    <s v="store visitors"/>
    <n v="0"/>
    <s v="no such option"/>
    <n v="0"/>
    <s v="probably no"/>
    <s v="probably no"/>
    <s v="can't disentangle scepific effects for each intervention ?"/>
    <n v="0"/>
    <n v="1"/>
    <n v="1"/>
    <n v="0"/>
    <n v="0"/>
    <n v="0"/>
    <n v="0"/>
    <n v="0"/>
    <s v="can't disentangle scepific effects for each intervention - emphasis on energy information and label "/>
    <n v="0"/>
    <n v="0"/>
    <n v="0"/>
    <n v="1"/>
    <n v="0"/>
    <n v="0"/>
    <n v="0"/>
    <n v="0"/>
    <n v="0"/>
    <s v="treatments effect not differentiated"/>
    <x v="0"/>
    <s v="NA"/>
    <s v="odds ratio"/>
    <s v="NA"/>
    <s v="increase"/>
    <n v="2.287361707025994"/>
    <n v="0.05"/>
    <n v="2"/>
    <n v="4.53"/>
    <n v="0.85185185185185175"/>
    <m/>
    <n v="0.27"/>
    <n v="26"/>
    <s v="NA"/>
    <n v="0.5"/>
    <n v="16"/>
    <s v="NA"/>
    <n v="119"/>
    <n v="1116"/>
    <n v="0.22999999999999998"/>
    <s v="NA"/>
    <s v="NA"/>
    <s v="NA"/>
    <s v="NA"/>
    <n v="1"/>
    <n v="43"/>
    <n v="1"/>
    <n v="123"/>
    <s v="other"/>
    <n v="0"/>
    <n v="0"/>
    <n v="0"/>
    <m/>
    <m/>
    <m/>
    <m/>
    <m/>
    <m/>
    <m/>
    <m/>
    <m/>
    <m/>
    <n v="5.0212842027547909E-2"/>
    <n v="5.0255107024421791E-2"/>
    <n v="8.4745222158217736E-3"/>
    <n v="8.6206896551724137E-3"/>
    <n v="0.1005525270854708"/>
    <n v="117"/>
    <s v="NA"/>
  </r>
  <r>
    <x v="0"/>
    <m/>
    <n v="1071"/>
    <n v="113"/>
    <s v="Andor, Gerster, Goette"/>
    <n v="2019"/>
    <s v="How effective is the European Union energy label? Evidence from a real-stakes experiment"/>
    <s v="Imperfect information and inattention can lead consumers to undervalue the energy efficiency of products, contributing to growing environmental problems and climate change. To nudge individuals towards energy efficiency, environmental certification schemes, such as the European Union (EU) energy label, present grade-like efficiency classes. In a real-stakes randomized controlled trial, we contrast this approach with a control condition that gives no energy-related information and an alternative treatment condition that provides detailed information on the lifetime cost of energy-using durables. Our results show that the EU energy label does not increase demand for energy-efficient products over a control condition. By contrast, lifetime-cost information increases the willingness-to- pay for energy efficiency considerably."/>
    <n v="2"/>
    <n v="2019"/>
    <x v="0"/>
    <n v="5"/>
    <x v="4"/>
    <x v="2"/>
    <x v="3"/>
    <s v="revealed preference"/>
    <s v="online"/>
    <s v="homeowners"/>
    <n v="1"/>
    <s v="opt_in"/>
    <n v="1"/>
    <s v="probably no"/>
    <s v="probably no"/>
    <s v="NA"/>
    <n v="0"/>
    <n v="0"/>
    <n v="1"/>
    <n v="0"/>
    <n v="0"/>
    <n v="0"/>
    <n v="0"/>
    <n v="0"/>
    <s v="NA"/>
    <n v="0"/>
    <n v="0"/>
    <n v="0"/>
    <n v="0"/>
    <n v="0"/>
    <n v="1"/>
    <n v="0"/>
    <n v="0"/>
    <n v="0"/>
    <s v="NA"/>
    <x v="2"/>
    <s v="relative WTP for LED vs CFL (diff experimental conditions)"/>
    <s v="NA"/>
    <n v="0.14099999999999999"/>
    <s v="increase"/>
    <n v="0.32"/>
    <n v="0.1"/>
    <n v="2"/>
    <n v="0.44062499999999993"/>
    <s v="NA"/>
    <m/>
    <s v="NA"/>
    <n v="216"/>
    <s v="NA"/>
    <s v="NA"/>
    <n v="119"/>
    <s v="NA"/>
    <n v="335"/>
    <n v="335"/>
    <s v="NA"/>
    <s v="NA"/>
    <s v="NA"/>
    <s v="NA"/>
    <s v="NA"/>
    <n v="0"/>
    <s v="NA"/>
    <n v="1"/>
    <n v="7"/>
    <s v="alphabetical with +"/>
    <n v="1"/>
    <n v="0"/>
    <n v="1"/>
    <m/>
    <m/>
    <m/>
    <m/>
    <m/>
    <m/>
    <m/>
    <m/>
    <m/>
    <m/>
    <n v="2.4066942415906588E-2"/>
    <n v="2.4071590697916326E-2"/>
    <n v="2.9940109708011158E-3"/>
    <n v="3.0120481927710845E-3"/>
    <m/>
    <m/>
    <m/>
  </r>
  <r>
    <x v="0"/>
    <m/>
    <n v="1072"/>
    <n v="113"/>
    <s v="Andor, Gerster, Goette"/>
    <n v="2019"/>
    <s v="How effective is the European Union energy label? Evidence from a real-stakes experiment"/>
    <s v="Imperfect information and inattention can lead consumers to undervalue the energy efficiency of products, contributing to growing environmental problems and climate change. To nudge individuals towards energy efficiency, environmental certification schemes, such as the European Union (EU) energy label, present grade-like efficiency classes. In a real-stakes randomized controlled trial, we contrast this approach with a control condition that gives no energy-related information and an alternative treatment condition that provides detailed information on the lifetime cost of energy-using durables. Our results show that the EU energy label does not increase demand for energy-efficient products over a control condition. By contrast, lifetime-cost information increases the willingness-to- pay for energy efficiency considerably."/>
    <n v="2"/>
    <n v="2019"/>
    <x v="0"/>
    <n v="5"/>
    <x v="4"/>
    <x v="2"/>
    <x v="3"/>
    <s v="revealed preference"/>
    <s v="online"/>
    <s v="homeowners"/>
    <n v="1"/>
    <s v="opt_in"/>
    <n v="1"/>
    <s v="probably no"/>
    <s v="probably no"/>
    <s v="NA"/>
    <n v="0"/>
    <n v="0"/>
    <n v="1"/>
    <n v="0"/>
    <n v="0"/>
    <n v="0"/>
    <n v="0"/>
    <n v="0"/>
    <s v="NA"/>
    <n v="0"/>
    <n v="0"/>
    <n v="0"/>
    <n v="0"/>
    <n v="0"/>
    <n v="1"/>
    <n v="0"/>
    <n v="0"/>
    <n v="0"/>
    <s v="NA"/>
    <x v="2"/>
    <s v="relative WTP for LED vs CFL (diff experimental conditions)"/>
    <s v="NA"/>
    <n v="1.331"/>
    <s v="increase"/>
    <n v="0.34499999999999997"/>
    <n v="0.01"/>
    <n v="1"/>
    <n v="3.8579710144927537"/>
    <s v="NA"/>
    <m/>
    <s v="NA"/>
    <n v="216"/>
    <s v="NA"/>
    <s v="NA"/>
    <n v="224"/>
    <s v="NA"/>
    <n v="440"/>
    <n v="440"/>
    <s v="NA"/>
    <s v="NA"/>
    <s v="NA"/>
    <s v="NA"/>
    <s v="NA"/>
    <n v="1"/>
    <n v="32.4771"/>
    <n v="0"/>
    <s v="NA"/>
    <s v="NA"/>
    <n v="1"/>
    <n v="0"/>
    <n v="1"/>
    <m/>
    <m/>
    <m/>
    <m/>
    <m/>
    <m/>
    <m/>
    <m/>
    <m/>
    <m/>
    <n v="0.18088754235543161"/>
    <n v="0.18290010196181533"/>
    <n v="2.2753552022091081E-3"/>
    <n v="2.2883295194508009E-3"/>
    <m/>
    <m/>
    <m/>
  </r>
  <r>
    <x v="2"/>
    <m/>
    <n v="1266"/>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6379999999999999"/>
    <s v="increase"/>
    <s v="NA"/>
    <n v="0.01"/>
    <n v="1"/>
    <s v="NA"/>
    <s v="NA"/>
    <m/>
    <s v="NA"/>
    <s v="NA"/>
    <s v="NA"/>
    <s v="NA"/>
    <s v="NA"/>
    <s v="NA"/>
    <n v="165"/>
    <n v="2673"/>
    <s v="NA"/>
    <s v="NA"/>
    <s v="NA"/>
    <s v="NA"/>
    <s v="NA"/>
    <s v="NA"/>
    <s v="NA"/>
    <s v="NA"/>
    <s v="NA"/>
    <s v="NA"/>
    <n v="0"/>
    <n v="0"/>
    <n v="0"/>
    <m/>
    <m/>
    <m/>
    <m/>
    <m/>
    <m/>
    <m/>
    <m/>
    <m/>
    <m/>
    <e v="#VALUE!"/>
    <e v="#VALUE!"/>
    <e v="#VALUE!"/>
    <n v="6.1728395061728392E-3"/>
    <m/>
    <m/>
    <m/>
  </r>
  <r>
    <x v="2"/>
    <m/>
    <n v="1267"/>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246"/>
    <s v="increase"/>
    <s v="NA"/>
    <n v="0.05"/>
    <n v="1"/>
    <s v="NA"/>
    <s v="NA"/>
    <m/>
    <s v="NA"/>
    <s v="NA"/>
    <s v="NA"/>
    <s v="NA"/>
    <s v="NA"/>
    <s v="NA"/>
    <n v="165"/>
    <n v="2232"/>
    <s v="NA"/>
    <s v="NA"/>
    <s v="NA"/>
    <s v="NA"/>
    <s v="NA"/>
    <s v="NA"/>
    <s v="NA"/>
    <s v="NA"/>
    <s v="NA"/>
    <s v="NA"/>
    <n v="0"/>
    <n v="0"/>
    <n v="0"/>
    <m/>
    <m/>
    <m/>
    <m/>
    <m/>
    <m/>
    <m/>
    <m/>
    <m/>
    <m/>
    <e v="#VALUE!"/>
    <e v="#VALUE!"/>
    <e v="#VALUE!"/>
    <n v="6.1728395061728392E-3"/>
    <m/>
    <m/>
    <m/>
  </r>
  <r>
    <x v="2"/>
    <m/>
    <n v="1268"/>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86"/>
    <s v="increase"/>
    <s v="NA"/>
    <n v="0.01"/>
    <n v="1"/>
    <s v="NA"/>
    <s v="NA"/>
    <m/>
    <s v="NA"/>
    <s v="NA"/>
    <s v="NA"/>
    <s v="NA"/>
    <s v="NA"/>
    <s v="NA"/>
    <n v="165"/>
    <n v="2673"/>
    <s v="NA"/>
    <s v="NA"/>
    <s v="NA"/>
    <s v="NA"/>
    <s v="NA"/>
    <s v="NA"/>
    <s v="NA"/>
    <s v="NA"/>
    <s v="NA"/>
    <s v="NA"/>
    <n v="0"/>
    <n v="0"/>
    <n v="0"/>
    <m/>
    <m/>
    <m/>
    <m/>
    <m/>
    <m/>
    <m/>
    <m/>
    <m/>
    <m/>
    <e v="#VALUE!"/>
    <e v="#VALUE!"/>
    <e v="#VALUE!"/>
    <n v="6.1728395061728392E-3"/>
    <m/>
    <m/>
    <m/>
  </r>
  <r>
    <x v="2"/>
    <m/>
    <n v="1269"/>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7370000000000001"/>
    <s v="increase"/>
    <s v="NA"/>
    <n v="0.05"/>
    <n v="1"/>
    <s v="NA"/>
    <s v="NA"/>
    <m/>
    <s v="NA"/>
    <s v="NA"/>
    <s v="NA"/>
    <s v="NA"/>
    <s v="NA"/>
    <s v="NA"/>
    <n v="165"/>
    <n v="2232"/>
    <s v="NA"/>
    <s v="NA"/>
    <s v="NA"/>
    <s v="NA"/>
    <s v="NA"/>
    <s v="NA"/>
    <s v="NA"/>
    <s v="NA"/>
    <s v="NA"/>
    <s v="NA"/>
    <n v="0"/>
    <n v="0"/>
    <n v="0"/>
    <m/>
    <m/>
    <m/>
    <m/>
    <m/>
    <m/>
    <m/>
    <m/>
    <m/>
    <m/>
    <e v="#VALUE!"/>
    <e v="#VALUE!"/>
    <e v="#VALUE!"/>
    <n v="6.1728395061728392E-3"/>
    <m/>
    <m/>
    <m/>
  </r>
  <r>
    <x v="0"/>
    <m/>
    <s v="NA"/>
    <s v="NA"/>
    <s v="Aydin, Kok, Brounen"/>
    <n v="2017"/>
    <s v="Energy efficiency and household behavior: the rebound effect in the residential sector"/>
    <s v="This article investigates the rebound effect in residential heating, using a sample of 563,000_x000a_households in the Netherlands. Using instrumental variable and fixed-effects approaches, we_x000a_address potential endogeneity concerns. The results show a rebound effect of 26.7% among_x000a_homeowners, and 41.3% among tenants.We corroborate the findings through a quasiexperimental_x000a_analysis, using a large retrofit subsidy program.We also document significant heterogeneity in the_x000a_rebound effect, determined by household wealth and income, and the actual energy use intensity._x000a_The findings in this article confirm the important role of household behavior in determining the_x000a_outcomes of energy efficiency improvement programs."/>
    <n v="1"/>
    <s v="2008-2011"/>
    <x v="1"/>
    <m/>
    <x v="6"/>
    <x v="3"/>
    <x v="5"/>
    <m/>
    <m/>
    <s v="homeowners"/>
    <m/>
    <m/>
    <m/>
    <m/>
    <m/>
    <m/>
    <m/>
    <m/>
    <m/>
    <m/>
    <m/>
    <m/>
    <m/>
    <m/>
    <m/>
    <m/>
    <m/>
    <m/>
    <m/>
    <m/>
    <m/>
    <m/>
    <m/>
    <m/>
    <m/>
    <x v="3"/>
    <m/>
    <m/>
    <m/>
    <m/>
    <m/>
    <m/>
    <m/>
    <m/>
    <m/>
    <m/>
    <m/>
    <m/>
    <m/>
    <m/>
    <m/>
    <m/>
    <m/>
    <m/>
    <m/>
    <m/>
    <m/>
    <m/>
    <m/>
    <m/>
    <m/>
    <m/>
    <m/>
    <m/>
    <m/>
    <m/>
    <m/>
    <m/>
    <m/>
    <m/>
    <m/>
    <m/>
    <m/>
    <m/>
    <m/>
    <m/>
    <m/>
    <m/>
    <m/>
    <m/>
    <m/>
    <m/>
    <m/>
    <m/>
  </r>
  <r>
    <x v="0"/>
    <m/>
    <s v="NA"/>
    <s v="NA"/>
    <s v="Berman, Cooper, Geller"/>
    <n v="1987"/>
    <s v="COMPENDIUM OF UTILITY-SPONSORED ENERGY EFFICIENCY REBATE PROGRAMS."/>
    <s v="Rebate programs are becoming increasingly popular among utilities across the_x000a_country as a method to persuade customers to purchase more energy efficient_x000a_appliances, space conditioning systems, lighting products and motors~ While there_x000a_is substantial experience with and interest in utility rebate programs, utilities_x000a_and other organizations lack comprehensive information on other utility-sponsored_x000a_energy efficient rebate programs~ The authors developed this Compendium to fill_x000a_that gape_x000a_This Compendium contains information on 59 energy efficiency rebate programs, based_x000a_upon a survey of 157 utilitieso The information on each rebate program has been_x000a_cross-tabulated and analyzed to identify such variables as program characteristics,_x000a_products included, efficiency levels, rebate amounts, funding levels, energy and_x000a_peak power savings, and the cost of peak demand reductione Summary conclusions_x000a_about these variables are also presentede"/>
    <n v="2"/>
    <m/>
    <x v="2"/>
    <m/>
    <x v="6"/>
    <x v="4"/>
    <x v="5"/>
    <m/>
    <m/>
    <m/>
    <m/>
    <m/>
    <m/>
    <m/>
    <m/>
    <m/>
    <m/>
    <m/>
    <m/>
    <m/>
    <m/>
    <m/>
    <m/>
    <m/>
    <m/>
    <m/>
    <m/>
    <m/>
    <m/>
    <m/>
    <m/>
    <m/>
    <m/>
    <m/>
    <m/>
    <x v="3"/>
    <m/>
    <m/>
    <m/>
    <m/>
    <m/>
    <m/>
    <m/>
    <m/>
    <m/>
    <m/>
    <m/>
    <m/>
    <m/>
    <m/>
    <m/>
    <m/>
    <m/>
    <m/>
    <m/>
    <m/>
    <m/>
    <m/>
    <m/>
    <m/>
    <m/>
    <m/>
    <m/>
    <m/>
    <m/>
    <m/>
    <m/>
    <m/>
    <m/>
    <m/>
    <m/>
    <m/>
    <m/>
    <m/>
    <m/>
    <m/>
    <m/>
    <m/>
    <m/>
    <m/>
    <m/>
    <m/>
    <m/>
    <m/>
  </r>
  <r>
    <x v="0"/>
    <m/>
    <s v="NA"/>
    <s v="NA"/>
    <s v="Bjerregaard, Møller"/>
    <n v="2019"/>
    <s v="The Impact of EU's energy labeling policy: An econometric analysis of inceased transparency in the market of cold appliances in Denmark"/>
    <s v="In 2010 the EU decided to change the energy efficiency label for electrical appliances, so that the most effective_x000a_appliances became more visible to consumers. We apply a Cointegrated Vector-Auto-Regressive (CVAR) model_x000a_to assess the quantitative impact of this change on monthly sales (2005–2017) in the Danish markets for cold_x000a_appliances of high and low efficiencies. The data support large effects with the expected signs. In particular, we_x000a_find that the change increased sales of high-efficiency appliances by 55%, at the announcement, and by a further_x000a_42% when implemented. Sales of low-efficiency appliances were not affected by the announcement, but decreased,_x000a_as a result of the implementation for online sales by 45%. These conclusions derive from the analysis of_x000a_a well-specified VAR within which we take into account sample dependence, outliers and exogenous level shifts."/>
    <n v="2"/>
    <s v="2005-2017"/>
    <x v="3"/>
    <m/>
    <x v="7"/>
    <x v="5"/>
    <x v="6"/>
    <s v="revealed preference"/>
    <m/>
    <m/>
    <n v="0"/>
    <s v="no such option"/>
    <n v="0"/>
    <s v="probably no"/>
    <s v="probably no"/>
    <s v="NA"/>
    <n v="0"/>
    <n v="0"/>
    <n v="1"/>
    <n v="0"/>
    <n v="0"/>
    <n v="0"/>
    <n v="0"/>
    <n v="0"/>
    <s v="announcement - label compared to old and not absence of label"/>
    <n v="0"/>
    <n v="0"/>
    <n v="0"/>
    <n v="1"/>
    <n v="0"/>
    <n v="0"/>
    <n v="0"/>
    <n v="0"/>
    <n v="0"/>
    <s v="market statistics"/>
    <x v="4"/>
    <m/>
    <s v="NA"/>
    <m/>
    <m/>
    <m/>
    <m/>
    <m/>
    <m/>
    <n v="0.55000000000000004"/>
    <m/>
    <m/>
    <m/>
    <m/>
    <m/>
    <m/>
    <m/>
    <m/>
    <m/>
    <m/>
    <m/>
    <s v="NA"/>
    <s v="NA"/>
    <s v="NA"/>
    <n v="0"/>
    <s v="NA"/>
    <n v="1"/>
    <s v="NA"/>
    <s v="alphabetical with +"/>
    <m/>
    <m/>
    <m/>
    <m/>
    <m/>
    <m/>
    <m/>
    <m/>
    <m/>
    <m/>
    <m/>
    <m/>
    <m/>
    <m/>
    <m/>
    <m/>
    <m/>
    <m/>
    <m/>
    <m/>
  </r>
  <r>
    <x v="0"/>
    <m/>
    <s v="NA"/>
    <s v="NA"/>
    <s v="Bjerregaard, Møller"/>
    <n v="2019"/>
    <s v="The Impact of EU's energy labeling policy: An econometric analysis of inceased transparency in the market of cold appliances in Denmark"/>
    <s v="In 2010 the EU decided to change the energy efficiency label for electrical appliances, so that the most effective_x000a_appliances became more visible to consumers. We apply a Cointegrated Vector-Auto-Regressive (CVAR) model_x000a_to assess the quantitative impact of this change on monthly sales (2005–2017) in the Danish markets for cold_x000a_appliances of high and low efficiencies. The data support large effects with the expected signs. In particular, we_x000a_find that the change increased sales of high-efficiency appliances by 55%, at the announcement, and by a further_x000a_42% when implemented. Sales of low-efficiency appliances were not affected by the announcement, but decreased,_x000a_as a result of the implementation for online sales by 45%. These conclusions derive from the analysis of_x000a_a well-specified VAR within which we take into account sample dependence, outliers and exogenous level shifts."/>
    <n v="2"/>
    <s v="2005-2017"/>
    <x v="3"/>
    <m/>
    <x v="7"/>
    <x v="5"/>
    <x v="6"/>
    <s v="revealed preference"/>
    <m/>
    <m/>
    <n v="0"/>
    <s v="no such option"/>
    <n v="0"/>
    <s v="probably no"/>
    <s v="probably no"/>
    <s v="NA"/>
    <n v="0"/>
    <n v="0"/>
    <n v="1"/>
    <n v="0"/>
    <n v="0"/>
    <n v="0"/>
    <n v="0"/>
    <n v="0"/>
    <s v="implementation label compared to old and not absence of label"/>
    <n v="0"/>
    <n v="0"/>
    <n v="0"/>
    <n v="1"/>
    <n v="0"/>
    <n v="0"/>
    <n v="0"/>
    <n v="0"/>
    <n v="0"/>
    <s v="market statistics"/>
    <x v="4"/>
    <m/>
    <s v="NA"/>
    <m/>
    <m/>
    <m/>
    <m/>
    <m/>
    <m/>
    <n v="0.42"/>
    <m/>
    <m/>
    <m/>
    <m/>
    <m/>
    <m/>
    <m/>
    <m/>
    <m/>
    <m/>
    <m/>
    <s v="NA"/>
    <s v="NA"/>
    <s v="NA"/>
    <n v="0"/>
    <s v="NA"/>
    <n v="1"/>
    <s v="NA"/>
    <s v="alphabetical with +"/>
    <m/>
    <m/>
    <m/>
    <m/>
    <m/>
    <m/>
    <m/>
    <m/>
    <m/>
    <m/>
    <m/>
    <m/>
    <m/>
    <m/>
    <m/>
    <m/>
    <m/>
    <m/>
    <m/>
    <m/>
  </r>
  <r>
    <x v="2"/>
    <n v="5"/>
    <n v="1274"/>
    <n v="401"/>
    <s v="Caldwell, Vaughan, Harrod, Harrod"/>
    <n v="2019"/>
    <s v="Social Marketing–Enhanced Home Energy Education Encourages Adoption of Energy-Saving Practices"/>
    <s v="We developed a program centered on a social marketing–enhanced home energy education visit to encourage homeowner adoption of specific energy conservation measures. We randomly assigned 170 homeowners to an experimental condition that included energy education before an energy audit or a control condition that included only an energy audit. Participants in the experimental condition adopted more no-cost and low-cost one-time energy conservation changes, such as adjusting refrigerator/freezer temperatures and lowering hot water temperature. However, they did not invest more in home energy renovations or other costly changes, such as replacing inefficient appliances. We discuss implications of this experiment for enhancing effectiveness of Extension-based energy education programs."/>
    <n v="2"/>
    <s v="NA"/>
    <x v="0"/>
    <n v="4"/>
    <x v="3"/>
    <x v="2"/>
    <x v="1"/>
    <s v="self-reported behaviour"/>
    <s v="household"/>
    <s v="homeowners"/>
    <n v="0"/>
    <s v="no such option"/>
    <n v="0"/>
    <s v="probably yes"/>
    <s v="probably no"/>
    <s v="small sample size, outcome reported in percentage of households"/>
    <n v="0"/>
    <n v="1"/>
    <n v="0"/>
    <n v="0"/>
    <n v="0"/>
    <n v="0"/>
    <n v="0"/>
    <n v="0"/>
    <s v="Intervention is combination of energy audit + energy education visit vs. audit only. Customers qualify for the study by requesting an  audit."/>
    <n v="0"/>
    <n v="0"/>
    <n v="0"/>
    <n v="0"/>
    <n v="0"/>
    <n v="1"/>
    <n v="0"/>
    <n v="0"/>
    <n v="0"/>
    <s v="percentage of households who purchased efficient lighting"/>
    <x v="0"/>
    <s v="probability of appliance purchase"/>
    <s v="NA"/>
    <s v="NA"/>
    <s v="increase"/>
    <s v="NA"/>
    <n v="0.16600000000000001"/>
    <s v="NA"/>
    <s v="NA"/>
    <n v="0.18"/>
    <m/>
    <s v="NA"/>
    <n v="54"/>
    <s v="NA"/>
    <s v="NA"/>
    <n v="53"/>
    <s v="NA"/>
    <n v="107"/>
    <n v="107"/>
    <s v="NA"/>
    <s v="NA"/>
    <s v="NA"/>
    <s v="NA"/>
    <s v="NA"/>
    <s v="NA"/>
    <s v="NA"/>
    <s v="NA"/>
    <s v="NA"/>
    <s v="NA"/>
    <n v="0"/>
    <n v="0"/>
    <n v="0"/>
    <m/>
    <m/>
    <m/>
    <m/>
    <m/>
    <m/>
    <m/>
    <m/>
    <m/>
    <m/>
    <e v="#VALUE!"/>
    <e v="#VALUE!"/>
    <e v="#VALUE!"/>
    <n v="9.6153846153846159E-3"/>
    <e v="#VALUE!"/>
    <n v="105"/>
    <s v="these have only % change reported and no absolute diff of means"/>
  </r>
  <r>
    <x v="0"/>
    <m/>
    <n v="1113"/>
    <n v="122"/>
    <s v="Carroll, Denny, Lyons"/>
    <n v="2016"/>
    <s v="The Effects of Energy Cost Labelling on Appliance Purchasing Decisions: Trial Results from Ireland"/>
    <s v="Household failure to minimize the total costs of energy-consuming investments has become known as the Benergy efficiency gap.^ This paper explores if this is partly the result of imperfect information related to future energy costs. We test this hypothesis by adding 5-year consumption cost labels to the tumble dryer lineup of four outlets of an Irish electrical retailer. Although we observe a reduction in the average energy consumption of dryer sales, our analysis does not show a statistically significant effect. However, we highlight a number of experimental limitations in our trial which potentially undermine this treatment effect. In addition, mixed findings from previous research suggest that further trials should be conducted before Blifetime^ energy cost labelling is removed from potential policy options to increase the energy efficiency of household appliances."/>
    <n v="2"/>
    <n v="2013"/>
    <x v="0"/>
    <n v="33"/>
    <x v="8"/>
    <x v="1"/>
    <x v="7"/>
    <s v="revealed preference"/>
    <s v="retailer"/>
    <s v="store visitors"/>
    <n v="0"/>
    <s v="no such option"/>
    <n v="0"/>
    <s v="probably no"/>
    <s v="probably no"/>
    <s v="NA"/>
    <n v="0"/>
    <n v="0"/>
    <n v="1"/>
    <n v="0"/>
    <n v="0"/>
    <n v="0"/>
    <n v="0"/>
    <n v="0"/>
    <s v="mandatory energy labelling scheme and mandatory energy performance standard"/>
    <n v="0"/>
    <n v="1"/>
    <n v="0"/>
    <n v="0"/>
    <n v="0"/>
    <n v="0"/>
    <n v="0"/>
    <n v="0"/>
    <n v="0"/>
    <s v="NA"/>
    <x v="4"/>
    <s v="log of a model's sales"/>
    <s v="log scale"/>
    <n v="1.24"/>
    <s v="increase"/>
    <n v="0.53400000000000003"/>
    <s v="NA"/>
    <n v="3"/>
    <s v="=TINV(AW3,CM3)"/>
    <s v="NA"/>
    <m/>
    <s v="NA"/>
    <s v="NA"/>
    <s v="NA"/>
    <s v="NA"/>
    <s v="NA"/>
    <s v="NA"/>
    <n v="1620"/>
    <n v="1620"/>
    <s v="NA"/>
    <s v="NA"/>
    <s v="NA"/>
    <s v="NA"/>
    <s v="NA"/>
    <n v="1"/>
    <n v="486"/>
    <n v="1"/>
    <n v="2560"/>
    <s v="other"/>
    <n v="0"/>
    <n v="0"/>
    <n v="1"/>
    <m/>
    <m/>
    <m/>
    <m/>
    <m/>
    <m/>
    <m/>
    <m/>
    <m/>
    <m/>
    <e v="#VALUE!"/>
    <e v="#VALUE!"/>
    <e v="#VALUE!"/>
    <n v="6.1842918985776133E-4"/>
    <m/>
    <m/>
    <m/>
  </r>
  <r>
    <x v="0"/>
    <m/>
    <n v="1165"/>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4"/>
    <x v="5"/>
    <x v="8"/>
    <s v="self-reported behaviour"/>
    <s v="household"/>
    <s v="homeowners"/>
    <n v="0"/>
    <s v="no such option"/>
    <n v="0"/>
    <s v="probably no"/>
    <s v="probably no"/>
    <s v="NA"/>
    <n v="0"/>
    <n v="0"/>
    <n v="0"/>
    <n v="0"/>
    <n v="0"/>
    <n v="0"/>
    <n v="0"/>
    <n v="1"/>
    <s v="no behavioural incentive per se"/>
    <n v="0"/>
    <n v="0"/>
    <n v="0"/>
    <n v="0"/>
    <n v="0"/>
    <n v="1"/>
    <n v="0"/>
    <n v="0"/>
    <n v="0"/>
    <s v="NA"/>
    <x v="1"/>
    <s v="log avg wattage"/>
    <s v="log scale"/>
    <n v="0.77300000000000002"/>
    <s v="decrease"/>
    <n v="3.7999999999999999E-2"/>
    <n v="0.01"/>
    <n v="1"/>
    <n v="20.342105263157897"/>
    <n v="1.1662552812206535"/>
    <m/>
    <s v="NA"/>
    <s v="NA"/>
    <s v="NA"/>
    <s v="NA"/>
    <s v="NA"/>
    <s v="NA"/>
    <n v="2445"/>
    <n v="2445"/>
    <s v="NA"/>
    <s v="NA"/>
    <s v="NA"/>
    <s v="NA"/>
    <s v="NA"/>
    <s v="NA"/>
    <s v="NA"/>
    <s v="NA"/>
    <s v="NA"/>
    <s v="NA"/>
    <n v="0"/>
    <n v="0"/>
    <n v="0"/>
    <m/>
    <m/>
    <m/>
    <m/>
    <m/>
    <m/>
    <m/>
    <m/>
    <m/>
    <m/>
    <n v="0.38045554301813767"/>
    <n v="0.40059218306919919"/>
    <n v="3.9862850415234801E-4"/>
    <n v="4.0950040950040953E-4"/>
    <m/>
    <m/>
    <m/>
  </r>
  <r>
    <x v="0"/>
    <m/>
    <n v="1166"/>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9"/>
    <x v="5"/>
    <x v="8"/>
    <s v="self-reported behaviour"/>
    <s v="household"/>
    <s v="homeowners"/>
    <n v="0"/>
    <s v="no such option"/>
    <n v="0"/>
    <s v="probably no"/>
    <s v="probably no"/>
    <s v="NA"/>
    <n v="0"/>
    <n v="0"/>
    <n v="0"/>
    <n v="0"/>
    <n v="0"/>
    <n v="0"/>
    <n v="0"/>
    <n v="1"/>
    <s v="no behavioural incentive per se - switch to CFL from IB"/>
    <n v="0"/>
    <n v="0"/>
    <n v="0"/>
    <n v="0"/>
    <n v="0"/>
    <n v="1"/>
    <n v="0"/>
    <n v="0"/>
    <n v="0"/>
    <s v="NA"/>
    <x v="1"/>
    <s v="log avg wattage"/>
    <s v="log scale"/>
    <n v="0.84"/>
    <s v="decrease"/>
    <n v="6.0999999999999999E-2"/>
    <n v="0.01"/>
    <n v="1"/>
    <n v="13.770491803278688"/>
    <n v="1.3163669767810915"/>
    <m/>
    <s v="NA"/>
    <s v="NA"/>
    <s v="NA"/>
    <s v="NA"/>
    <s v="NA"/>
    <s v="NA"/>
    <n v="2433"/>
    <n v="2433"/>
    <s v="NA"/>
    <s v="NA"/>
    <s v="NA"/>
    <s v="NA"/>
    <s v="NA"/>
    <s v="NA"/>
    <s v="NA"/>
    <s v="NA"/>
    <s v="NA"/>
    <s v="NA"/>
    <n v="1"/>
    <n v="1"/>
    <n v="1"/>
    <m/>
    <m/>
    <m/>
    <m/>
    <m/>
    <m/>
    <m/>
    <m/>
    <m/>
    <m/>
    <n v="0.26889407517381664"/>
    <n v="0.27567131993753202"/>
    <n v="4.0880954322490722E-4"/>
    <n v="4.1152263374485596E-4"/>
    <m/>
    <m/>
    <m/>
  </r>
  <r>
    <x v="0"/>
    <m/>
    <n v="1167"/>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4"/>
    <x v="5"/>
    <x v="8"/>
    <s v="self-reported behaviour"/>
    <s v="household"/>
    <s v="homeowners"/>
    <n v="0"/>
    <s v="no such option"/>
    <n v="0"/>
    <s v="probably no"/>
    <s v="probably no"/>
    <s v="NA"/>
    <n v="0"/>
    <n v="0"/>
    <n v="0"/>
    <n v="0"/>
    <n v="0"/>
    <n v="0"/>
    <n v="0"/>
    <n v="1"/>
    <s v="no behavioural incentive per se - switch to CFL from IB"/>
    <n v="0"/>
    <n v="0"/>
    <n v="0"/>
    <n v="0"/>
    <n v="0"/>
    <n v="1"/>
    <n v="0"/>
    <n v="0"/>
    <n v="0"/>
    <s v="NA"/>
    <x v="1"/>
    <s v="log lumen adjusted wattage"/>
    <s v="log scale"/>
    <n v="1.0999999999999999E-2"/>
    <s v="decrease"/>
    <n v="0.03"/>
    <n v="0.1"/>
    <n v="2"/>
    <n v="0.36666666666666664"/>
    <n v="1.1060722444719451E-2"/>
    <m/>
    <s v="NA"/>
    <s v="NA"/>
    <s v="NA"/>
    <s v="NA"/>
    <s v="NA"/>
    <s v="NA"/>
    <n v="2445"/>
    <n v="2445"/>
    <s v="NA"/>
    <s v="NA"/>
    <s v="NA"/>
    <s v="NA"/>
    <s v="NA"/>
    <s v="NA"/>
    <s v="NA"/>
    <s v="NA"/>
    <s v="NA"/>
    <s v="NA"/>
    <n v="0"/>
    <n v="0"/>
    <n v="0"/>
    <m/>
    <m/>
    <m/>
    <m/>
    <m/>
    <m/>
    <m/>
    <m/>
    <m/>
    <m/>
    <n v="7.4151520133472265E-3"/>
    <n v="7.4152879239220478E-3"/>
    <n v="4.0916530154520679E-4"/>
    <n v="4.0950040950040953E-4"/>
    <m/>
    <m/>
    <m/>
  </r>
  <r>
    <x v="0"/>
    <m/>
    <n v="1168"/>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9"/>
    <x v="5"/>
    <x v="8"/>
    <s v="self-reported behaviour"/>
    <s v="household"/>
    <s v="homeowners"/>
    <n v="0"/>
    <s v="no such option"/>
    <n v="0"/>
    <s v="probably no"/>
    <s v="probably no"/>
    <s v="NA"/>
    <n v="0"/>
    <n v="0"/>
    <n v="0"/>
    <n v="0"/>
    <n v="0"/>
    <n v="0"/>
    <n v="0"/>
    <n v="1"/>
    <s v="no behavioural incentive per se - switch to CFL from IB"/>
    <n v="0"/>
    <n v="0"/>
    <n v="0"/>
    <n v="0"/>
    <n v="0"/>
    <n v="1"/>
    <n v="0"/>
    <n v="0"/>
    <n v="0"/>
    <s v="NA"/>
    <x v="1"/>
    <s v="log lumen adjusted wattage"/>
    <s v="log scale"/>
    <n v="9.5000000000000001E-2"/>
    <s v="increase"/>
    <n v="5.6000000000000001E-2"/>
    <n v="0.1"/>
    <n v="1"/>
    <n v="1.6964285714285714"/>
    <n v="9.9658855126102841E-2"/>
    <m/>
    <s v="NA"/>
    <s v="NA"/>
    <s v="NA"/>
    <s v="NA"/>
    <s v="NA"/>
    <s v="NA"/>
    <n v="2433"/>
    <n v="2433"/>
    <s v="NA"/>
    <s v="NA"/>
    <s v="NA"/>
    <s v="NA"/>
    <s v="NA"/>
    <s v="NA"/>
    <s v="NA"/>
    <s v="NA"/>
    <s v="NA"/>
    <s v="NA"/>
    <n v="1"/>
    <n v="1"/>
    <n v="1"/>
    <m/>
    <m/>
    <m/>
    <m/>
    <m/>
    <m/>
    <m/>
    <m/>
    <m/>
    <m/>
    <n v="3.4372239036265163E-2"/>
    <n v="3.4385785009859983E-2"/>
    <n v="4.1118363567940286E-4"/>
    <n v="4.1152263374485596E-4"/>
    <m/>
    <m/>
    <m/>
  </r>
  <r>
    <x v="1"/>
    <m/>
    <n v="1004"/>
    <n v="102"/>
    <s v="Datta, Filippini"/>
    <n v="2016"/>
    <s v="Analysing the impact of ENERGY STAR rebate_x000a_policies in the US"/>
    <s v="In this paper, we estimate the impact of _x000a_rebate policies in various US states on the sales share_x000a_of ENERGY STAR household appliances. We use_x000a_annual ENERGY STAR sales data for clothes washers,_x000a_dishwashers, refrigerators and air conditioners_x000a_from 2001 to 2006 and the variation in the coverage of_x000a_rebates across US states and over time to identify the_x000a_impact of rebate policies.We use, at first, a differencein-_x000a_differences approach to estimate this impact._x000a_Then, we take into account the possibility of rebate policies being endogenous and use instrumental variables_x000a_approaches in fixed effects panel data regression_x000a_models. Results suggest that rebate policies increase_x000a_the sales share of ENERGY STAR household appliances_x000a_by 3.3 to 6.6 percentage points, and this represents_x000a_an impact of 9 to 18 % on the mean level of the_x000a_sales share of ENERGY STAR household appliances_x000a_in the US between 2001 and 2006. We conclude that_x000a_rebates on ENERGY STAR appliances increase the_x000a_uptake of energy-efficient appliances."/>
    <n v="2"/>
    <s v="2001-2006"/>
    <x v="0"/>
    <n v="689"/>
    <x v="0"/>
    <x v="6"/>
    <x v="1"/>
    <s v="revealed preference"/>
    <s v="pre-recorded (no experiment)"/>
    <s v="residents"/>
    <n v="0"/>
    <s v="no such option"/>
    <n v="0"/>
    <s v="probably no"/>
    <s v="probably no"/>
    <s v="NA"/>
    <n v="0"/>
    <n v="0"/>
    <n v="0"/>
    <n v="1"/>
    <n v="0"/>
    <n v="0"/>
    <n v="0"/>
    <n v="0"/>
    <s v="NA"/>
    <n v="1"/>
    <n v="0"/>
    <n v="1"/>
    <n v="1"/>
    <n v="0"/>
    <n v="0"/>
    <n v="0"/>
    <n v="1"/>
    <n v="0"/>
    <s v="not reported separately for each appliance"/>
    <x v="4"/>
    <s v="share of ENERGY STAR household_x000a_appliance type"/>
    <s v="NA"/>
    <n v="3.3000000000000002E-2"/>
    <s v="increase"/>
    <n v="1.7000000000000001E-2"/>
    <n v="0.05"/>
    <n v="1"/>
    <n v="1.9411764705882353"/>
    <s v="NA"/>
    <m/>
    <s v="NA"/>
    <s v="NA"/>
    <s v="NA"/>
    <s v="NA"/>
    <s v="NA"/>
    <s v="NA"/>
    <s v="NA"/>
    <n v="1128"/>
    <s v="NA"/>
    <s v="NA"/>
    <s v="NA"/>
    <s v="NA"/>
    <s v="NA"/>
    <s v="NA"/>
    <s v="NA"/>
    <s v="NA"/>
    <s v="NA"/>
    <s v="NA"/>
    <n v="1"/>
    <n v="1"/>
    <n v="1"/>
    <m/>
    <m/>
    <m/>
    <m/>
    <m/>
    <m/>
    <m/>
    <m/>
    <m/>
    <m/>
    <e v="#VALUE!"/>
    <e v="#VALUE!"/>
    <e v="#VALUE!"/>
    <e v="#VALUE!"/>
    <m/>
    <m/>
    <m/>
  </r>
  <r>
    <x v="1"/>
    <m/>
    <n v="1005"/>
    <n v="102"/>
    <s v="Datta, Filippini"/>
    <n v="2016"/>
    <s v="Analysing the impact of ENERGY STAR rebate_x000a_policies in the US"/>
    <s v="In this paper, we estimate the impact of _x000a_rebate policies in various US states on the sales share_x000a_of ENERGY STAR household appliances. We use_x000a_annual ENERGY STAR sales data for clothes washers,_x000a_dishwashers, refrigerators and air conditioners_x000a_from 2001 to 2006 and the variation in the coverage of_x000a_rebates across US states and over time to identify the_x000a_impact of rebate policies.We use, at first, a differencein-_x000a_differences approach to estimate this impact._x000a_Then, we take into account the possibility of rebate policies being endogenous and use instrumental variables_x000a_approaches in fixed effects panel data regression_x000a_models. Results suggest that rebate policies increase_x000a_the sales share of ENERGY STAR household appliances_x000a_by 3.3 to 6.6 percentage points, and this represents_x000a_an impact of 9 to 18 % on the mean level of the_x000a_sales share of ENERGY STAR household appliances_x000a_in the US between 2001 and 2006. We conclude that_x000a_rebates on ENERGY STAR appliances increase the_x000a_uptake of energy-efficient appliances."/>
    <n v="2"/>
    <s v="2001-2006"/>
    <x v="0"/>
    <n v="689"/>
    <x v="10"/>
    <x v="6"/>
    <x v="1"/>
    <s v="revealed preference"/>
    <s v="pre-recorded (no experiment)"/>
    <s v="residents"/>
    <n v="0"/>
    <s v="no such option"/>
    <n v="0"/>
    <s v="probably no"/>
    <s v="probably no"/>
    <s v="NA"/>
    <n v="0"/>
    <n v="0"/>
    <n v="0"/>
    <n v="1"/>
    <n v="0"/>
    <n v="0"/>
    <n v="0"/>
    <n v="0"/>
    <s v="NA"/>
    <n v="1"/>
    <n v="0"/>
    <n v="1"/>
    <n v="1"/>
    <n v="0"/>
    <n v="0"/>
    <n v="0"/>
    <n v="1"/>
    <n v="0"/>
    <s v="not reported separately for each appliance"/>
    <x v="4"/>
    <s v="share of ENERGY STAR household_x000a_appliance type"/>
    <s v="NA"/>
    <n v="0.107"/>
    <s v="increase"/>
    <n v="0.124"/>
    <n v="0.1"/>
    <n v="2"/>
    <n v="0.86290322580645162"/>
    <s v="NA"/>
    <m/>
    <s v="NA"/>
    <s v="NA"/>
    <s v="NA"/>
    <s v="NA"/>
    <s v="NA"/>
    <s v="NA"/>
    <s v="NA"/>
    <n v="1104"/>
    <s v="NA"/>
    <s v="NA"/>
    <s v="NA"/>
    <s v="NA"/>
    <s v="NA"/>
    <s v="NA"/>
    <s v="NA"/>
    <s v="NA"/>
    <s v="NA"/>
    <s v="NA"/>
    <n v="1"/>
    <n v="1"/>
    <n v="1"/>
    <m/>
    <m/>
    <m/>
    <m/>
    <m/>
    <m/>
    <m/>
    <m/>
    <m/>
    <m/>
    <e v="#VALUE!"/>
    <e v="#VALUE!"/>
    <e v="#VALUE!"/>
    <e v="#VALUE!"/>
    <m/>
    <m/>
    <m/>
  </r>
  <r>
    <x v="1"/>
    <m/>
    <n v="1006"/>
    <n v="102"/>
    <s v="Datta, Filippini"/>
    <n v="2016"/>
    <s v="Analysing the impact of ENERGY STAR rebate_x000a_policies in the US"/>
    <s v="In this paper, we estimate the impact of _x000a_rebate policies in various US states on the sales share_x000a_of ENERGY STAR household appliances. We use_x000a_annual ENERGY STAR sales data for clothes washers,_x000a_dishwashers, refrigerators and air conditioners_x000a_from 2001 to 2006 and the variation in the coverage of_x000a_rebates across US states and over time to identify the_x000a_impact of rebate policies.We use, at first, a differencein-_x000a_differences approach to estimate this impact._x000a_Then, we take into account the possibility of rebate policies being endogenous and use instrumental variables_x000a_approaches in fixed effects panel data regression_x000a_models. Results suggest that rebate policies increase_x000a_the sales share of ENERGY STAR household appliances_x000a_by 3.3 to 6.6 percentage points, and this represents_x000a_an impact of 9 to 18 % on the mean level of the_x000a_sales share of ENERGY STAR household appliances_x000a_in the US between 2001 and 2006. We conclude that_x000a_rebates on ENERGY STAR appliances increase the_x000a_uptake of energy-efficient appliances."/>
    <n v="2"/>
    <s v="2001-2006"/>
    <x v="0"/>
    <n v="689"/>
    <x v="9"/>
    <x v="6"/>
    <x v="1"/>
    <s v="revealed preference"/>
    <s v="pre-recorded (no experiment)"/>
    <s v="residents"/>
    <n v="0"/>
    <s v="no such option"/>
    <n v="0"/>
    <s v="probably no"/>
    <s v="probably no"/>
    <s v="NA"/>
    <n v="0"/>
    <n v="0"/>
    <n v="0"/>
    <n v="1"/>
    <n v="0"/>
    <n v="0"/>
    <n v="0"/>
    <n v="0"/>
    <s v="NA"/>
    <n v="1"/>
    <n v="0"/>
    <n v="1"/>
    <n v="1"/>
    <n v="0"/>
    <n v="0"/>
    <n v="0"/>
    <n v="1"/>
    <n v="0"/>
    <s v="not reported separately for each appliance"/>
    <x v="4"/>
    <s v="share of ENERGY STAR household_x000a_appliance type"/>
    <s v="NA"/>
    <n v="6.6000000000000003E-2"/>
    <s v="increase"/>
    <n v="3.1E-2"/>
    <n v="0.05"/>
    <n v="1"/>
    <n v="2.1290322580645165"/>
    <s v="NA"/>
    <m/>
    <s v="NA"/>
    <s v="NA"/>
    <s v="NA"/>
    <s v="NA"/>
    <s v="NA"/>
    <s v="NA"/>
    <s v="NA"/>
    <n v="1128"/>
    <s v="NA"/>
    <s v="NA"/>
    <s v="NA"/>
    <s v="NA"/>
    <s v="NA"/>
    <s v="NA"/>
    <s v="NA"/>
    <s v="NA"/>
    <s v="NA"/>
    <s v="NA"/>
    <n v="1"/>
    <n v="1"/>
    <n v="1"/>
    <m/>
    <m/>
    <m/>
    <m/>
    <m/>
    <m/>
    <m/>
    <m/>
    <m/>
    <m/>
    <e v="#VALUE!"/>
    <e v="#VALUE!"/>
    <e v="#VALUE!"/>
    <e v="#VALUE!"/>
    <m/>
    <m/>
    <m/>
  </r>
  <r>
    <x v="0"/>
    <m/>
    <n v="1073"/>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1.181"/>
    <s v="increase"/>
    <n v="0.161"/>
    <n v="0.01"/>
    <n v="1"/>
    <n v="7.3354037267080745"/>
    <s v="NA"/>
    <m/>
    <s v="NA"/>
    <s v="NA"/>
    <s v="NA"/>
    <s v="NA"/>
    <s v="NA"/>
    <s v="NA"/>
    <n v="1200"/>
    <n v="1200"/>
    <s v="NA"/>
    <s v="NA"/>
    <n v="68.653999999999996"/>
    <s v="NA"/>
    <s v="delayed"/>
    <s v="NA"/>
    <s v="NA"/>
    <s v="NA"/>
    <s v="NA"/>
    <s v="NA"/>
    <n v="0"/>
    <n v="0"/>
    <n v="1"/>
    <m/>
    <m/>
    <m/>
    <m/>
    <m/>
    <m/>
    <m/>
    <m/>
    <m/>
    <m/>
    <n v="0.20716122845709467"/>
    <n v="0.21020345181527472"/>
    <n v="8.3240003533893779E-4"/>
    <n v="8.3542188805346695E-4"/>
    <m/>
    <m/>
    <m/>
  </r>
  <r>
    <x v="0"/>
    <m/>
    <n v="1074"/>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1.1559999999999999"/>
    <s v="increase"/>
    <n v="0.16500000000000001"/>
    <n v="0.01"/>
    <n v="1"/>
    <n v="7.006060606060605"/>
    <s v="NA"/>
    <m/>
    <s v="NA"/>
    <s v="NA"/>
    <s v="NA"/>
    <s v="NA"/>
    <s v="NA"/>
    <s v="NA"/>
    <n v="1200"/>
    <n v="1200"/>
    <s v="NA"/>
    <s v="NA"/>
    <n v="68.653999999999996"/>
    <s v="NA"/>
    <s v="delayed"/>
    <s v="NA"/>
    <s v="NA"/>
    <s v="NA"/>
    <s v="NA"/>
    <s v="NA"/>
    <n v="0"/>
    <n v="0"/>
    <n v="1"/>
    <m/>
    <m/>
    <m/>
    <m/>
    <m/>
    <m/>
    <m/>
    <m/>
    <m/>
    <m/>
    <n v="0.19823389455053378"/>
    <n v="0.20089353544961"/>
    <n v="8.3266990381727121E-4"/>
    <n v="8.3542188805346695E-4"/>
    <m/>
    <m/>
    <m/>
  </r>
  <r>
    <x v="0"/>
    <m/>
    <n v="1075"/>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0.23599999999999999"/>
    <s v="increase"/>
    <n v="7.6999999999999999E-2"/>
    <n v="0.01"/>
    <n v="1"/>
    <n v="3.0649350649350646"/>
    <s v="NA"/>
    <m/>
    <s v="NA"/>
    <s v="NA"/>
    <s v="NA"/>
    <s v="NA"/>
    <s v="NA"/>
    <s v="NA"/>
    <n v="1200"/>
    <n v="1200"/>
    <s v="NA"/>
    <s v="NA"/>
    <n v="68.653999999999996"/>
    <s v="NA"/>
    <s v="delayed"/>
    <s v="NA"/>
    <s v="NA"/>
    <s v="NA"/>
    <s v="NA"/>
    <s v="NA"/>
    <n v="0"/>
    <n v="0"/>
    <n v="1"/>
    <m/>
    <m/>
    <m/>
    <m/>
    <m/>
    <m/>
    <m/>
    <m/>
    <m/>
    <m/>
    <n v="8.8132766729768969E-2"/>
    <n v="8.8362023146500421E-2"/>
    <n v="8.3397751252971112E-4"/>
    <n v="8.3542188805346695E-4"/>
    <m/>
    <m/>
    <m/>
  </r>
  <r>
    <x v="0"/>
    <m/>
    <n v="1076"/>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0.39500000000000002"/>
    <s v="increase"/>
    <n v="0.13200000000000001"/>
    <n v="0.01"/>
    <n v="1"/>
    <n v="2.9924242424242422"/>
    <s v="NA"/>
    <m/>
    <s v="NA"/>
    <s v="NA"/>
    <s v="NA"/>
    <s v="NA"/>
    <s v="NA"/>
    <s v="NA"/>
    <n v="1200"/>
    <n v="1200"/>
    <s v="NA"/>
    <s v="NA"/>
    <n v="68.653999999999996"/>
    <s v="NA"/>
    <s v="delayed"/>
    <s v="NA"/>
    <s v="NA"/>
    <s v="NA"/>
    <s v="NA"/>
    <s v="NA"/>
    <n v="0"/>
    <n v="0"/>
    <n v="1"/>
    <m/>
    <m/>
    <m/>
    <m/>
    <m/>
    <m/>
    <m/>
    <m/>
    <m/>
    <m/>
    <n v="8.6063334338985817E-2"/>
    <n v="8.6276771120091189E-2"/>
    <n v="8.3398214479539034E-4"/>
    <n v="8.3542188805346695E-4"/>
    <m/>
    <m/>
    <m/>
  </r>
  <r>
    <x v="0"/>
    <m/>
    <n v="1077"/>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2.6779999999999999"/>
    <s v="increase"/>
    <n v="0.45"/>
    <n v="0.01"/>
    <n v="1"/>
    <n v="5.9511111111111106"/>
    <s v="NA"/>
    <m/>
    <s v="NA"/>
    <s v="NA"/>
    <s v="NA"/>
    <s v="NA"/>
    <s v="NA"/>
    <s v="NA"/>
    <n v="1199"/>
    <n v="1199"/>
    <s v="NA"/>
    <s v="NA"/>
    <n v="34.347999999999999"/>
    <s v="NA"/>
    <s v="delayed"/>
    <s v="NA"/>
    <s v="NA"/>
    <s v="NA"/>
    <s v="NA"/>
    <s v="NA"/>
    <n v="0"/>
    <n v="0"/>
    <n v="1"/>
    <m/>
    <m/>
    <m/>
    <m/>
    <m/>
    <m/>
    <m/>
    <m/>
    <m/>
    <m/>
    <n v="0.16938203115368139"/>
    <n v="0.17103037260946002"/>
    <n v="8.3401031408957341E-4"/>
    <n v="8.3612040133779263E-4"/>
    <m/>
    <m/>
    <m/>
  </r>
  <r>
    <x v="0"/>
    <m/>
    <n v="1078"/>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2.617"/>
    <s v="increase"/>
    <n v="0.45600000000000002"/>
    <n v="0.01"/>
    <n v="1"/>
    <n v="5.7390350877192979"/>
    <s v="NA"/>
    <m/>
    <s v="NA"/>
    <s v="NA"/>
    <s v="NA"/>
    <s v="NA"/>
    <s v="NA"/>
    <s v="NA"/>
    <n v="1199"/>
    <n v="1199"/>
    <s v="NA"/>
    <s v="NA"/>
    <n v="34.347999999999999"/>
    <s v="NA"/>
    <s v="delayed"/>
    <s v="NA"/>
    <s v="NA"/>
    <s v="NA"/>
    <s v="NA"/>
    <s v="NA"/>
    <n v="0"/>
    <n v="0"/>
    <n v="1"/>
    <m/>
    <m/>
    <m/>
    <m/>
    <m/>
    <m/>
    <m/>
    <m/>
    <m/>
    <m/>
    <n v="0.16351014904569258"/>
    <n v="0.16499115897987898"/>
    <n v="8.3410597514365812E-4"/>
    <n v="8.3612040133779263E-4"/>
    <m/>
    <m/>
    <m/>
  </r>
  <r>
    <x v="0"/>
    <m/>
    <n v="1079"/>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1.1240000000000001"/>
    <s v="decrease"/>
    <n v="0.42899999999999999"/>
    <n v="0.05"/>
    <n v="1"/>
    <n v="2.6200466200466201"/>
    <s v="NA"/>
    <m/>
    <s v="NA"/>
    <s v="NA"/>
    <s v="NA"/>
    <s v="NA"/>
    <s v="NA"/>
    <s v="NA"/>
    <n v="1199"/>
    <n v="1199"/>
    <s v="NA"/>
    <s v="NA"/>
    <n v="34.347999999999999"/>
    <s v="NA"/>
    <s v="delayed"/>
    <s v="NA"/>
    <s v="NA"/>
    <s v="NA"/>
    <s v="NA"/>
    <s v="NA"/>
    <n v="0"/>
    <n v="0"/>
    <n v="1"/>
    <m/>
    <m/>
    <m/>
    <m/>
    <m/>
    <m/>
    <m/>
    <m/>
    <m/>
    <m/>
    <n v="7.545008581866168E-2"/>
    <n v="7.5593748794722831E-2"/>
    <n v="8.3469728335796656E-4"/>
    <n v="8.3612040133779263E-4"/>
    <m/>
    <m/>
    <m/>
  </r>
  <r>
    <x v="0"/>
    <m/>
    <n v="1080"/>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0.60399999999999998"/>
    <s v="decrease"/>
    <n v="0.41699999999999998"/>
    <n v="0.1"/>
    <n v="2"/>
    <n v="1.4484412470023982"/>
    <s v="NA"/>
    <m/>
    <s v="NA"/>
    <s v="NA"/>
    <s v="NA"/>
    <s v="NA"/>
    <s v="NA"/>
    <s v="NA"/>
    <n v="1199"/>
    <n v="1199"/>
    <s v="NA"/>
    <s v="NA"/>
    <n v="34.347999999999999"/>
    <s v="NA"/>
    <s v="delayed"/>
    <s v="NA"/>
    <s v="NA"/>
    <s v="NA"/>
    <s v="NA"/>
    <s v="NA"/>
    <n v="0"/>
    <n v="0"/>
    <n v="1"/>
    <m/>
    <m/>
    <m/>
    <m/>
    <m/>
    <m/>
    <m/>
    <m/>
    <m/>
    <m/>
    <n v="4.1793781222559251E-2"/>
    <n v="4.1818140770501222E-2"/>
    <n v="8.3472198818807463E-4"/>
    <n v="8.3612040133779263E-4"/>
    <m/>
    <m/>
    <m/>
  </r>
  <r>
    <x v="0"/>
    <m/>
    <n v="1081"/>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1.171"/>
    <s v="increase"/>
    <n v="0.26900000000000002"/>
    <n v="0.01"/>
    <n v="1"/>
    <n v="4.3531598513011147"/>
    <s v="NA"/>
    <m/>
    <s v="NA"/>
    <s v="NA"/>
    <s v="NA"/>
    <s v="NA"/>
    <s v="NA"/>
    <s v="NA"/>
    <n v="1200"/>
    <n v="1200"/>
    <s v="NA"/>
    <s v="NA"/>
    <n v="49.061999999999998"/>
    <s v="NA"/>
    <s v="delayed"/>
    <s v="NA"/>
    <s v="NA"/>
    <s v="NA"/>
    <s v="NA"/>
    <s v="NA"/>
    <n v="0"/>
    <n v="0"/>
    <n v="1"/>
    <m/>
    <m/>
    <m/>
    <m/>
    <m/>
    <m/>
    <m/>
    <m/>
    <m/>
    <m/>
    <n v="0.12468427062360037"/>
    <n v="0.12533648603448228"/>
    <n v="8.3382253539962601E-4"/>
    <n v="8.3542188805346695E-4"/>
    <m/>
    <m/>
    <m/>
  </r>
  <r>
    <x v="0"/>
    <m/>
    <n v="1082"/>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1.03"/>
    <s v="increase"/>
    <n v="0.27200000000000002"/>
    <n v="0.01"/>
    <n v="1"/>
    <n v="3.7867647058823528"/>
    <s v="NA"/>
    <m/>
    <s v="NA"/>
    <s v="NA"/>
    <s v="NA"/>
    <s v="NA"/>
    <s v="NA"/>
    <s v="NA"/>
    <n v="1200"/>
    <n v="1200"/>
    <s v="NA"/>
    <s v="NA"/>
    <n v="49.061999999999998"/>
    <s v="NA"/>
    <s v="delayed"/>
    <s v="NA"/>
    <s v="NA"/>
    <s v="NA"/>
    <s v="NA"/>
    <s v="NA"/>
    <n v="0"/>
    <n v="0"/>
    <n v="1"/>
    <m/>
    <m/>
    <m/>
    <m/>
    <m/>
    <m/>
    <m/>
    <m/>
    <m/>
    <m/>
    <n v="0.10866714177304562"/>
    <n v="0.10909793182920374"/>
    <n v="8.3391020338338315E-4"/>
    <n v="8.3542188805346695E-4"/>
    <m/>
    <m/>
    <m/>
  </r>
  <r>
    <x v="0"/>
    <m/>
    <n v="1083"/>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1.2E-2"/>
    <s v="increase"/>
    <n v="0.113"/>
    <n v="0.1"/>
    <n v="2"/>
    <n v="0.10619469026548672"/>
    <s v="NA"/>
    <m/>
    <s v="NA"/>
    <s v="NA"/>
    <s v="NA"/>
    <s v="NA"/>
    <s v="NA"/>
    <s v="NA"/>
    <n v="1200"/>
    <n v="1200"/>
    <s v="NA"/>
    <s v="NA"/>
    <n v="49.061999999999998"/>
    <s v="NA"/>
    <s v="delayed"/>
    <s v="NA"/>
    <s v="NA"/>
    <s v="NA"/>
    <s v="NA"/>
    <s v="NA"/>
    <n v="0"/>
    <n v="0"/>
    <n v="1"/>
    <m/>
    <m/>
    <m/>
    <m/>
    <m/>
    <m/>
    <m/>
    <m/>
    <m/>
    <m/>
    <n v="3.0655622458887941E-3"/>
    <n v="3.0655718489923326E-3"/>
    <n v="8.3402835689047757E-4"/>
    <n v="8.3542188805346695E-4"/>
    <m/>
    <m/>
    <m/>
  </r>
  <r>
    <x v="0"/>
    <m/>
    <n v="1084"/>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0.28199999999999997"/>
    <s v="increase"/>
    <n v="0.15"/>
    <n v="0.1"/>
    <n v="1"/>
    <n v="1.88"/>
    <s v="NA"/>
    <m/>
    <s v="NA"/>
    <s v="NA"/>
    <s v="NA"/>
    <s v="NA"/>
    <s v="NA"/>
    <s v="NA"/>
    <n v="1200"/>
    <n v="1200"/>
    <s v="NA"/>
    <s v="NA"/>
    <n v="49.061999999999998"/>
    <s v="NA"/>
    <s v="delayed"/>
    <s v="NA"/>
    <s v="NA"/>
    <s v="NA"/>
    <s v="NA"/>
    <s v="NA"/>
    <n v="0"/>
    <n v="0"/>
    <n v="1"/>
    <m/>
    <m/>
    <m/>
    <m/>
    <m/>
    <m/>
    <m/>
    <m/>
    <m/>
    <m/>
    <n v="5.4191178438811397E-2"/>
    <n v="5.4244319557796482E-2"/>
    <n v="8.3402113595524175E-4"/>
    <n v="8.3542188805346695E-4"/>
    <m/>
    <m/>
    <m/>
  </r>
  <r>
    <x v="3"/>
    <m/>
    <n v="1234"/>
    <n v="310"/>
    <s v="Davis"/>
    <n v="2008"/>
    <s v="Durable goods and residential demand for energy and water: evidence from a field trial"/>
    <s v="This article describes a household production model in which energy-efficient durable goods cost less to operate so households may use them more. The model is estimated using household_x0002_level data from a field trial in which participants received high-efficiency clothes washers free of charge. The estimation strategy exploits this quasi-random replacement of washers to derive precise estimates of the household production technology and a demand function for clothes washing. During the field trial, households increased clothes washing on average by 5.6% after receiving a high-efficiency washer, implying a price elasticity of −.06. The complete model is used to evaluate the cost-effectiveness of recent changes in minimum efficiency standards for clothes washers."/>
    <n v="1"/>
    <n v="1997"/>
    <x v="4"/>
    <n v="535"/>
    <x v="3"/>
    <x v="0"/>
    <x v="1"/>
    <s v="self-reported behavior"/>
    <s v="household"/>
    <s v="residents"/>
    <n v="1"/>
    <s v="opt_in"/>
    <n v="0"/>
    <s v="probably yes"/>
    <s v="probably yes"/>
    <s v="some important controls were not implemented in the analyses, so the effects might be overestimated (see p. 537)"/>
    <n v="0"/>
    <n v="0"/>
    <n v="0"/>
    <n v="0"/>
    <n v="0"/>
    <n v="0"/>
    <n v="0"/>
    <n v="0"/>
    <s v="NA"/>
    <n v="1"/>
    <n v="0"/>
    <n v="0"/>
    <n v="0"/>
    <n v="0"/>
    <n v="0"/>
    <n v="0"/>
    <n v="0"/>
    <n v="0"/>
    <s v="NA"/>
    <x v="1"/>
    <s v="energy use of washing calculated from Table 1"/>
    <s v="NA"/>
    <n v="0.37445148468642925"/>
    <s v="decrease"/>
    <e v="#VALUE!"/>
    <s v="NA"/>
    <s v="NA"/>
    <s v="NA"/>
    <n v="0.45419354838709675"/>
    <m/>
    <n v="7.75"/>
    <n v="95"/>
    <s v="NA"/>
    <n v="4.2300000000000004"/>
    <n v="95"/>
    <s v="NA"/>
    <n v="95"/>
    <n v="18233"/>
    <s v="NA"/>
    <s v="NA"/>
    <s v="NA"/>
    <s v="NA"/>
    <s v="NA"/>
    <s v="NA"/>
    <s v="NA"/>
    <s v="NA"/>
    <s v="NA"/>
    <s v="NA"/>
    <n v="0"/>
    <n v="0"/>
    <n v="0"/>
    <m/>
    <m/>
    <m/>
    <m/>
    <m/>
    <m/>
    <m/>
    <m/>
    <m/>
    <m/>
    <m/>
    <n v="0"/>
    <n v="1.0638297872340425E-2"/>
    <n v="1.0869565217391304E-2"/>
    <e v="#VALUE!"/>
    <m/>
    <m/>
  </r>
  <r>
    <x v="0"/>
    <m/>
    <n v="1292"/>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1"/>
    <n v="0"/>
    <n v="0"/>
    <n v="0"/>
    <n v="0"/>
    <n v="0"/>
    <s v="the effect_x000a_of refrigerator and air conditioner replacement on household electricity consumption"/>
    <x v="1"/>
    <s v="electricity consumption (monthly)"/>
    <s v="NA"/>
    <n v="11.4"/>
    <s v="decrease"/>
    <n v="0.7"/>
    <n v="0.05"/>
    <n v="1"/>
    <n v="16.285714285714288"/>
    <s v="NA"/>
    <m/>
    <s v="NA"/>
    <s v="NA"/>
    <s v="NA"/>
    <s v="NA"/>
    <s v="NA"/>
    <s v="NA"/>
    <n v="957080"/>
    <n v="957080"/>
    <s v="NA"/>
    <s v="NA"/>
    <s v="30 to 170$"/>
    <s v="NA"/>
    <s v="current "/>
    <s v="NA"/>
    <s v="NA"/>
    <s v="NA"/>
    <s v="NA"/>
    <s v="NA"/>
    <n v="1"/>
    <n v="0"/>
    <n v="1"/>
    <m/>
    <m/>
    <m/>
    <m/>
    <m/>
    <m/>
    <m/>
    <m/>
    <m/>
    <m/>
    <n v="1.6644567843645545E-2"/>
    <n v="1.6646105178647452E-2"/>
    <n v="1.0448457475501714E-6"/>
    <n v="1.0448480111840532E-6"/>
    <m/>
    <m/>
    <m/>
  </r>
  <r>
    <x v="0"/>
    <m/>
    <n v="1293"/>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1"/>
    <n v="0"/>
    <n v="0"/>
    <n v="0"/>
    <n v="0"/>
    <n v="0"/>
    <s v="the effect_x000a_of refrigerator and air conditioner replacement on household electricity consumption"/>
    <x v="1"/>
    <s v="electricity consumption (monthly)"/>
    <s v="NA"/>
    <n v="11.9"/>
    <s v="decrease"/>
    <n v="0.75"/>
    <n v="0.05"/>
    <n v="1"/>
    <n v="15.866666666666667"/>
    <s v="NA"/>
    <m/>
    <s v="NA"/>
    <s v="NA"/>
    <s v="NA"/>
    <s v="NA"/>
    <s v="NA"/>
    <s v="NA"/>
    <n v="957080"/>
    <n v="957080"/>
    <s v="NA"/>
    <s v="NA"/>
    <s v="30 to 170$"/>
    <s v="NA"/>
    <s v="current "/>
    <s v="NA"/>
    <s v="NA"/>
    <s v="NA"/>
    <s v="NA"/>
    <s v="NA"/>
    <n v="1"/>
    <n v="0"/>
    <n v="1"/>
    <m/>
    <m/>
    <m/>
    <m/>
    <m/>
    <m/>
    <m/>
    <m/>
    <m/>
    <m/>
    <n v="1.6216400678486488E-2"/>
    <n v="1.6217822387367728E-2"/>
    <n v="1.0448457554931792E-6"/>
    <n v="1.0448480111840532E-6"/>
    <m/>
    <m/>
    <m/>
  </r>
  <r>
    <x v="0"/>
    <m/>
    <n v="1294"/>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0"/>
    <n v="0"/>
    <n v="0"/>
    <n v="0"/>
    <n v="1"/>
    <n v="0"/>
    <s v="the effect_x000a_of refrigerator and air conditioner replacement on household electricity consumption"/>
    <x v="1"/>
    <s v="electricity consumption (monthly)"/>
    <s v="NA"/>
    <n v="1.4"/>
    <s v="increase"/>
    <n v="1.2"/>
    <n v="0.1"/>
    <n v="2"/>
    <n v="1.1666666666666667"/>
    <s v="NA"/>
    <m/>
    <s v="NA"/>
    <s v="NA"/>
    <s v="NA"/>
    <s v="NA"/>
    <s v="NA"/>
    <s v="NA"/>
    <n v="957080"/>
    <n v="957080"/>
    <s v="NA"/>
    <s v="NA"/>
    <s v="30 to 170$"/>
    <s v="NA"/>
    <s v="current "/>
    <s v="NA"/>
    <s v="NA"/>
    <s v="NA"/>
    <s v="NA"/>
    <s v="NA"/>
    <n v="1"/>
    <n v="0"/>
    <n v="1"/>
    <m/>
    <m/>
    <m/>
    <m/>
    <m/>
    <m/>
    <m/>
    <m/>
    <m/>
    <m/>
    <n v="1.1925383671592018E-3"/>
    <n v="1.1925389324815921E-3"/>
    <n v="1.0448458277717697E-6"/>
    <n v="1.0448480111840532E-6"/>
    <m/>
    <m/>
    <m/>
  </r>
  <r>
    <x v="0"/>
    <m/>
    <n v="1295"/>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0"/>
    <n v="0"/>
    <n v="0"/>
    <n v="0"/>
    <n v="1"/>
    <n v="0"/>
    <s v="the effect_x000a_of refrigerator and air conditioner replacement on household electricity consumption"/>
    <x v="1"/>
    <s v="electricity consumption (monthly)"/>
    <s v="NA"/>
    <n v="1.2"/>
    <s v="increase"/>
    <n v="1.3"/>
    <n v="0.1"/>
    <n v="2"/>
    <n v="0.92307692307692302"/>
    <s v="NA"/>
    <m/>
    <s v="NA"/>
    <s v="NA"/>
    <s v="NA"/>
    <s v="NA"/>
    <s v="NA"/>
    <s v="NA"/>
    <n v="957080"/>
    <n v="957080"/>
    <s v="NA"/>
    <s v="NA"/>
    <s v="30 to 170$"/>
    <s v="NA"/>
    <s v="current "/>
    <s v="NA"/>
    <s v="NA"/>
    <s v="NA"/>
    <s v="NA"/>
    <s v="NA"/>
    <n v="1"/>
    <n v="0"/>
    <n v="1"/>
    <m/>
    <m/>
    <m/>
    <m/>
    <m/>
    <m/>
    <m/>
    <m/>
    <m/>
    <m/>
    <n v="9.4354709087100688E-4"/>
    <n v="9.4354737087855463E-4"/>
    <n v="1.0448458277730546E-6"/>
    <n v="1.0448480111840532E-6"/>
    <m/>
    <m/>
    <m/>
  </r>
  <r>
    <x v="0"/>
    <m/>
    <n v="1059"/>
    <n v="110"/>
    <s v="Davis, Metcalf"/>
    <n v="2014"/>
    <s v="DOES BETTER INFORMATION LEAD TO BETTER CHOICES? EVIDENCE FROM_x000a_ENERGY-EFFICIENCY LABELS"/>
    <s v="Information provision is a key element of government energy-efficiency policy, but the information_x000a_that is provided is often too coarse to allow consumers to make efficient decisions. An important example_x000a_is the ubiquitous yellow “EnergyGuide” label, which is required by law to be displayed on all major_x000a_appliances sold in the United States. These labels report energy cost information based on average_x000a_national usage and energy prices. We conduct an online randomized controlled trial to measure the_x000a_potential benefits from providing more accurate information. We find that state-specific labels lead_x000a_to significantly better choices. Consumers invest about the same amount overall in energy-efficiency,_x000a_but the allocation is much better with more investment in high-usage high-price states and less investment_x000a_in low-usage low-price states. The implied aggregate cost savings are larger than any reasonable estimate_x000a_of the cost of implementing state-specific labels."/>
    <n v="2"/>
    <n v="2014"/>
    <x v="0"/>
    <n v="35"/>
    <x v="4"/>
    <x v="2"/>
    <x v="1"/>
    <s v="stated preference"/>
    <s v="household"/>
    <s v="residents"/>
    <n v="1"/>
    <s v="no such option"/>
    <n v="1"/>
    <s v="probably no"/>
    <s v="probably no"/>
    <s v="NA"/>
    <n v="0"/>
    <n v="0"/>
    <n v="1"/>
    <n v="0"/>
    <n v="0"/>
    <n v="0"/>
    <n v="0"/>
    <n v="0"/>
    <s v="comparison of two different labels (one with operation costs based on national-level energy price, the other with OC based on state-level energy price)"/>
    <n v="0"/>
    <n v="0"/>
    <n v="0"/>
    <n v="0"/>
    <n v="0"/>
    <n v="0"/>
    <n v="0"/>
    <n v="1"/>
    <n v="0"/>
    <s v="difference between labels and not absence / presence of a label"/>
    <x v="2"/>
    <s v="purchase price (investment in energy efficiency)"/>
    <s v="NA"/>
    <n v="3.4359999999999999"/>
    <s v="increase"/>
    <n v="4.9960000000000004"/>
    <s v="NA"/>
    <n v="3"/>
    <n v="0.687750200160128"/>
    <s v="NA"/>
    <m/>
    <s v="NA"/>
    <s v="NA"/>
    <s v="NA"/>
    <s v="NA"/>
    <s v="NA"/>
    <s v="NA"/>
    <n v="2440"/>
    <n v="7275"/>
    <s v="NA"/>
    <s v="NA"/>
    <s v="NA"/>
    <s v="NA"/>
    <s v="NA"/>
    <n v="1"/>
    <s v="NA"/>
    <n v="0"/>
    <n v="0"/>
    <s v="numerical"/>
    <n v="1"/>
    <n v="0"/>
    <n v="1"/>
    <m/>
    <m/>
    <m/>
    <m/>
    <m/>
    <m/>
    <m/>
    <m/>
    <m/>
    <m/>
    <n v="1.3921746511164878E-2"/>
    <n v="1.3922646030325031E-2"/>
    <n v="4.1000408463551713E-4"/>
    <n v="4.103405826836274E-4"/>
    <m/>
    <m/>
    <m/>
  </r>
  <r>
    <x v="0"/>
    <n v="6"/>
    <n v="1210"/>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1"/>
    <n v="0"/>
    <n v="0"/>
    <n v="0"/>
    <n v="0"/>
    <n v="0"/>
    <n v="0"/>
    <n v="0"/>
    <n v="0"/>
    <s v="interval outcome measure denoting the kWh/year for a given product type purchased"/>
    <x v="0"/>
    <s v="energy consumption (in kWh/year) of appliance sold"/>
    <s v="NA"/>
    <s v="NA"/>
    <s v="increase"/>
    <n v="1"/>
    <n v="0.1"/>
    <n v="2"/>
    <n v="1.671552762454859"/>
    <n v="0.21"/>
    <m/>
    <s v="NA"/>
    <n v="19"/>
    <s v="NA"/>
    <s v="NA"/>
    <n v="19"/>
    <s v="NA"/>
    <n v="60"/>
    <n v="51591"/>
    <s v="NA"/>
    <s v="NA"/>
    <s v="NA"/>
    <s v="NA"/>
    <s v="NA"/>
    <n v="1"/>
    <n v="185"/>
    <s v="NA"/>
    <s v="NA"/>
    <s v="NA"/>
    <n v="0"/>
    <n v="0"/>
    <n v="0"/>
    <m/>
    <m/>
    <m/>
    <m/>
    <m/>
    <m/>
    <m/>
    <m/>
    <m/>
    <m/>
    <e v="#VALUE!"/>
    <e v="#VALUE!"/>
    <e v="#VALUE!"/>
    <n v="1.7543859649122806E-2"/>
    <e v="#VALUE!"/>
    <n v="58"/>
    <s v="these have only % change reported and no absolute diff of means"/>
  </r>
  <r>
    <x v="0"/>
    <n v="6"/>
    <n v="1211"/>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0"/>
    <n v="1"/>
    <n v="0"/>
    <n v="0"/>
    <n v="0"/>
    <n v="0"/>
    <n v="0"/>
    <n v="0"/>
    <n v="0"/>
    <s v="interval outcome measure denoting the kWh/year for a given product type purchased"/>
    <x v="0"/>
    <s v="energy consumption (in kWh/year) of appliance sold"/>
    <s v="NA"/>
    <s v="NA"/>
    <s v="decrease"/>
    <n v="0.98275932949058287"/>
    <n v="0.06"/>
    <n v="1"/>
    <n v="2.06"/>
    <n v="0.71"/>
    <m/>
    <s v="NA"/>
    <n v="19"/>
    <s v="NA"/>
    <s v="NA"/>
    <n v="19"/>
    <s v="NA"/>
    <n v="13"/>
    <n v="51591"/>
    <s v="NA"/>
    <s v="NA"/>
    <s v="NA"/>
    <s v="NA"/>
    <s v="NA"/>
    <n v="1"/>
    <n v="185"/>
    <s v="NA"/>
    <s v="NA"/>
    <s v="NA"/>
    <n v="0"/>
    <n v="0"/>
    <n v="0"/>
    <m/>
    <m/>
    <m/>
    <m/>
    <m/>
    <m/>
    <m/>
    <m/>
    <m/>
    <m/>
    <e v="#VALUE!"/>
    <e v="#VALUE!"/>
    <e v="#VALUE!"/>
    <n v="0.1"/>
    <e v="#VALUE!"/>
    <n v="11"/>
    <s v="these have only % change reported and no absolute diff of means"/>
  </r>
  <r>
    <x v="0"/>
    <n v="6"/>
    <n v="1212"/>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0"/>
    <n v="1"/>
    <n v="0"/>
    <n v="0"/>
    <n v="0"/>
    <n v="0"/>
    <n v="0"/>
    <n v="0"/>
    <n v="0"/>
    <s v="interval outcome measure denoting the kWh/year for a given product type purchased"/>
    <x v="0"/>
    <s v="energy consumption (in kWh/year) of appliance sold"/>
    <s v="NA"/>
    <s v="NA"/>
    <s v="increase"/>
    <n v="1"/>
    <n v="0.1"/>
    <n v="2"/>
    <n v="1.6938887483837093"/>
    <n v="0.08"/>
    <m/>
    <s v="NA"/>
    <n v="19"/>
    <s v="NA"/>
    <s v="NA"/>
    <n v="19"/>
    <s v="NA"/>
    <n v="34"/>
    <n v="51591"/>
    <s v="NA"/>
    <s v="NA"/>
    <s v="NA"/>
    <s v="NA"/>
    <s v="NA"/>
    <n v="1"/>
    <n v="185"/>
    <s v="NA"/>
    <s v="NA"/>
    <s v="NA"/>
    <n v="0"/>
    <n v="0"/>
    <n v="0"/>
    <m/>
    <m/>
    <m/>
    <m/>
    <m/>
    <m/>
    <m/>
    <m/>
    <m/>
    <m/>
    <e v="#VALUE!"/>
    <e v="#VALUE!"/>
    <e v="#VALUE!"/>
    <n v="3.2258064516129031E-2"/>
    <e v="#VALUE!"/>
    <n v="32"/>
    <s v="these have only % change reported and no absolute diff of means"/>
  </r>
  <r>
    <x v="0"/>
    <n v="6"/>
    <n v="1214"/>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0"/>
    <n v="1"/>
    <n v="0"/>
    <n v="0"/>
    <n v="0"/>
    <n v="0"/>
    <n v="0"/>
    <n v="0"/>
    <n v="0"/>
    <s v="interval outcome measure denoting the kWh/year for a given product type purchased"/>
    <x v="0"/>
    <s v="energy consumption (in kWh/year) of appliance sold"/>
    <s v="NA"/>
    <s v="NA"/>
    <s v="decrease"/>
    <n v="1"/>
    <n v="0.1"/>
    <n v="2"/>
    <n v="1.9431802805153031"/>
    <n v="0.08"/>
    <m/>
    <s v="NA"/>
    <n v="19"/>
    <s v="NA"/>
    <s v="NA"/>
    <n v="19"/>
    <s v="NA"/>
    <n v="8"/>
    <n v="51591"/>
    <s v="NA"/>
    <s v="NA"/>
    <s v="NA"/>
    <s v="NA"/>
    <s v="NA"/>
    <n v="1"/>
    <n v="185"/>
    <s v="NA"/>
    <s v="NA"/>
    <s v="NA"/>
    <n v="0"/>
    <n v="0"/>
    <n v="0"/>
    <m/>
    <m/>
    <m/>
    <m/>
    <m/>
    <m/>
    <m/>
    <m/>
    <m/>
    <m/>
    <e v="#VALUE!"/>
    <e v="#VALUE!"/>
    <e v="#VALUE!"/>
    <n v="0.2"/>
    <e v="#VALUE!"/>
    <n v="6"/>
    <s v="these have only % change reported and no absolute diff of means"/>
  </r>
  <r>
    <x v="0"/>
    <n v="7"/>
    <n v="1103"/>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0"/>
    <n v="1"/>
    <n v="0"/>
    <n v="0"/>
    <n v="0"/>
    <n v="0"/>
    <n v="0"/>
    <s v="additional information - on the label"/>
    <n v="1"/>
    <n v="0"/>
    <n v="0"/>
    <n v="0"/>
    <n v="0"/>
    <n v="0"/>
    <n v="0"/>
    <n v="0"/>
    <n v="0"/>
    <s v="the marginal effects of the explanatory variables for all the appliances on the_x000a_probability of purchasers acquiring an appliance labelled with high energy efficiency"/>
    <x v="0"/>
    <s v="probability of appliance purchase"/>
    <s v="dummy (0/1)"/>
    <n v="3.1600000000000003E-2"/>
    <s v="increase"/>
    <n v="1.66E-2"/>
    <n v="0.1"/>
    <n v="1"/>
    <n v="1.9036144578313254"/>
    <n v="3.1600000000000003E-2"/>
    <n v="0.5078993426803039"/>
    <s v="NA"/>
    <s v="NA"/>
    <s v="NA"/>
    <s v="NA"/>
    <s v="NA"/>
    <s v="NA"/>
    <n v="1350"/>
    <n v="1350"/>
    <s v="NA"/>
    <s v="NA"/>
    <s v="NA"/>
    <s v="NA"/>
    <s v="NA"/>
    <n v="1"/>
    <s v="NA"/>
    <n v="0"/>
    <s v="NA"/>
    <s v="NA"/>
    <n v="0"/>
    <n v="0"/>
    <n v="1"/>
    <m/>
    <m/>
    <m/>
    <m/>
    <m/>
    <m/>
    <m/>
    <m/>
    <m/>
    <m/>
    <n v="5.1740427422851322E-2"/>
    <n v="5.1786672673630553E-2"/>
    <n v="7.4128451269814776E-4"/>
    <n v="7.4239049740163323E-4"/>
    <s v="NA"/>
    <n v="1349"/>
    <s v="NA"/>
  </r>
  <r>
    <x v="0"/>
    <n v="7"/>
    <n v="1104"/>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0"/>
    <n v="0"/>
    <n v="0"/>
    <n v="0"/>
    <n v="0"/>
    <n v="0"/>
    <s v="additional information - on the label"/>
    <n v="1"/>
    <n v="0"/>
    <n v="0"/>
    <n v="0"/>
    <n v="0"/>
    <n v="0"/>
    <n v="0"/>
    <n v="0"/>
    <n v="0"/>
    <s v="the marginal effects of the explanatory variables for all the appliances on the_x000a_probability of purchasers acquiring an appliance labelled with high energy efficiency"/>
    <x v="0"/>
    <s v="probability of appliance purchase"/>
    <s v="dummy (0/1)"/>
    <n v="9.8500000000000004E-2"/>
    <s v="decrease"/>
    <n v="0.13600000000000001"/>
    <n v="0.1"/>
    <n v="2"/>
    <n v="0.72426470588235292"/>
    <n v="9.8500000000000004E-2"/>
    <n v="0.52460510947254324"/>
    <s v="NA"/>
    <s v="NA"/>
    <s v="NA"/>
    <s v="NA"/>
    <s v="NA"/>
    <s v="NA"/>
    <n v="1350"/>
    <n v="1350"/>
    <s v="NA"/>
    <s v="NA"/>
    <s v="NA"/>
    <s v="NA"/>
    <s v="NA"/>
    <n v="0"/>
    <s v="NA"/>
    <n v="1"/>
    <s v="NA"/>
    <s v="NA"/>
    <n v="0"/>
    <n v="0"/>
    <n v="1"/>
    <m/>
    <m/>
    <m/>
    <m/>
    <m/>
    <m/>
    <m/>
    <m/>
    <m/>
    <m/>
    <n v="1.97081599806469E-2"/>
    <n v="1.9710712201246074E-2"/>
    <n v="7.4128973243757566E-4"/>
    <n v="7.4239049740163323E-4"/>
    <s v="NA"/>
    <n v="1349"/>
    <s v="NA"/>
  </r>
  <r>
    <x v="0"/>
    <n v="7"/>
    <n v="1106"/>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0"/>
    <n v="1"/>
    <n v="0"/>
    <n v="0"/>
    <n v="0"/>
    <n v="0"/>
    <n v="0"/>
    <s v="additional information - on the label"/>
    <n v="0"/>
    <n v="0"/>
    <n v="0"/>
    <n v="1"/>
    <n v="0"/>
    <n v="0"/>
    <n v="0"/>
    <n v="0"/>
    <n v="0"/>
    <s v="the marginal effects of the explanatory variables for all the appliances on the_x000a_probability of purchasers acquiring an appliance labelled with high energy efficiency"/>
    <x v="0"/>
    <s v="probability of appliance purchase"/>
    <s v="dummy (0/1)"/>
    <n v="9.98E-2"/>
    <s v="increase"/>
    <n v="0.14899999999999999"/>
    <n v="0.1"/>
    <n v="2"/>
    <n v="0.66979865771812086"/>
    <n v="9.98E-2"/>
    <n v="0.52492931202189808"/>
    <s v="NA"/>
    <s v="NA"/>
    <s v="NA"/>
    <s v="NA"/>
    <s v="NA"/>
    <s v="NA"/>
    <n v="827"/>
    <n v="827"/>
    <s v="NA"/>
    <s v="NA"/>
    <s v="NA"/>
    <s v="NA"/>
    <s v="NA"/>
    <n v="1"/>
    <s v="NA"/>
    <n v="0"/>
    <s v="NA"/>
    <s v="NA"/>
    <n v="0"/>
    <n v="0"/>
    <n v="1"/>
    <m/>
    <m/>
    <m/>
    <m/>
    <m/>
    <m/>
    <m/>
    <m/>
    <m/>
    <m/>
    <n v="2.3284866493189758E-2"/>
    <n v="2.3289076097877604E-2"/>
    <n v="1.2106533968798787E-3"/>
    <n v="1.2135922330097086E-3"/>
    <s v="NA"/>
    <n v="826"/>
    <s v="NA"/>
  </r>
  <r>
    <x v="0"/>
    <n v="7"/>
    <n v="1111"/>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1"/>
    <n v="0"/>
    <n v="0"/>
    <n v="0"/>
    <n v="0"/>
    <n v="0"/>
    <s v="additional information - on the label"/>
    <n v="0"/>
    <n v="0"/>
    <n v="1"/>
    <n v="0"/>
    <n v="0"/>
    <n v="0"/>
    <n v="0"/>
    <n v="0"/>
    <n v="0"/>
    <s v="the marginal effects of the explanatory variables for all the appliances on the_x000a_probability of purchasers acquiring an appliance labelled with high energy efficiency"/>
    <x v="0"/>
    <s v="probability of appliance purchase"/>
    <s v="dummy (0/1)"/>
    <n v="0.21199999999999999"/>
    <s v="increase"/>
    <n v="0.42499999999999999"/>
    <n v="0.1"/>
    <n v="2"/>
    <n v="0.49882352941176472"/>
    <n v="0.21199999999999999"/>
    <n v="0.55280238544469362"/>
    <s v="NA"/>
    <s v="NA"/>
    <s v="NA"/>
    <s v="NA"/>
    <s v="NA"/>
    <s v="NA"/>
    <n v="421"/>
    <n v="421"/>
    <s v="NA"/>
    <s v="NA"/>
    <s v="NA"/>
    <s v="NA"/>
    <s v="NA"/>
    <n v="1"/>
    <s v="NA"/>
    <n v="1"/>
    <s v="NA"/>
    <s v="NA"/>
    <n v="0"/>
    <n v="0"/>
    <n v="1"/>
    <m/>
    <m/>
    <m/>
    <m/>
    <m/>
    <m/>
    <m/>
    <m/>
    <m/>
    <m/>
    <n v="2.4303990103568901E-2"/>
    <n v="2.4308777125756856E-2"/>
    <n v="2.3809515495655199E-3"/>
    <n v="2.3923444976076554E-3"/>
    <s v="NA"/>
    <n v="420"/>
    <s v="NA"/>
  </r>
  <r>
    <x v="0"/>
    <n v="7"/>
    <n v="1110"/>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0"/>
    <n v="0"/>
    <n v="0"/>
    <n v="0"/>
    <n v="0"/>
    <n v="0"/>
    <s v="additional information - on the label"/>
    <n v="0"/>
    <n v="0"/>
    <n v="1"/>
    <n v="0"/>
    <n v="0"/>
    <n v="0"/>
    <n v="0"/>
    <n v="0"/>
    <n v="0"/>
    <s v="the marginal effects of the explanatory variables for all the appliances on the_x000a_probability of purchasers acquiring an appliance labelled with high energy efficiency"/>
    <x v="0"/>
    <s v="probability of appliance purchase"/>
    <s v="dummy (0/1)"/>
    <n v="0.33300000000000002"/>
    <s v="decrease"/>
    <n v="0.85399999999999998"/>
    <n v="0.1"/>
    <n v="2"/>
    <n v="0.38992974238875883"/>
    <n v="0.33300000000000002"/>
    <n v="0.58248914351160219"/>
    <s v="NA"/>
    <s v="NA"/>
    <s v="NA"/>
    <s v="NA"/>
    <s v="NA"/>
    <s v="NA"/>
    <n v="421"/>
    <n v="421"/>
    <s v="NA"/>
    <s v="NA"/>
    <s v="NA"/>
    <s v="NA"/>
    <s v="NA"/>
    <n v="0"/>
    <s v="NA"/>
    <n v="1"/>
    <s v="NA"/>
    <s v="NA"/>
    <n v="0"/>
    <n v="0"/>
    <n v="1"/>
    <m/>
    <m/>
    <m/>
    <m/>
    <m/>
    <m/>
    <m/>
    <m/>
    <m/>
    <m/>
    <n v="1.9000582083692302E-2"/>
    <n v="1.900286912258764E-2"/>
    <n v="2.380952070476821E-3"/>
    <n v="2.3923444976076554E-3"/>
    <s v="NA"/>
    <n v="420"/>
    <s v="NA"/>
  </r>
  <r>
    <x v="0"/>
    <n v="7"/>
    <n v="1108"/>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1"/>
    <n v="0"/>
    <n v="0"/>
    <n v="0"/>
    <n v="0"/>
    <n v="0"/>
    <s v="additional information - on the label"/>
    <n v="0"/>
    <n v="0"/>
    <n v="0"/>
    <n v="1"/>
    <n v="0"/>
    <n v="0"/>
    <n v="0"/>
    <n v="0"/>
    <n v="0"/>
    <s v="the marginal effects of the explanatory variables for all the appliances on the_x000a_probability of purchasers acquiring an appliance labelled with high energy efficiency"/>
    <x v="0"/>
    <s v="probability of appliance purchase"/>
    <s v="dummy (0/1)"/>
    <n v="0.371"/>
    <s v="increase"/>
    <n v="0.20799999999999999"/>
    <n v="0.1"/>
    <n v="1"/>
    <n v="1.7836538461538463"/>
    <n v="0.371"/>
    <n v="0.59170059157021893"/>
    <s v="NA"/>
    <s v="NA"/>
    <s v="NA"/>
    <s v="NA"/>
    <s v="NA"/>
    <s v="NA"/>
    <n v="827"/>
    <n v="827"/>
    <s v="NA"/>
    <s v="NA"/>
    <s v="NA"/>
    <s v="NA"/>
    <s v="NA"/>
    <n v="1"/>
    <s v="NA"/>
    <n v="1"/>
    <s v="NA"/>
    <s v="NA"/>
    <n v="0"/>
    <n v="0"/>
    <n v="1"/>
    <m/>
    <m/>
    <m/>
    <m/>
    <m/>
    <m/>
    <m/>
    <m/>
    <m/>
    <m/>
    <n v="6.1904763633413101E-2"/>
    <n v="6.1984023096366379E-2"/>
    <n v="1.2106358824323096E-3"/>
    <n v="1.2135922330097086E-3"/>
    <s v="NA"/>
    <n v="826"/>
    <s v="NA"/>
  </r>
  <r>
    <x v="0"/>
    <n v="7"/>
    <n v="1107"/>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0"/>
    <n v="0"/>
    <n v="0"/>
    <n v="0"/>
    <n v="0"/>
    <n v="0"/>
    <s v="additional information - on the label"/>
    <n v="0"/>
    <n v="0"/>
    <n v="0"/>
    <n v="1"/>
    <n v="0"/>
    <n v="0"/>
    <n v="0"/>
    <n v="0"/>
    <n v="0"/>
    <s v="the marginal effects of the explanatory variables for all the appliances on the_x000a_probability of purchasers acquiring an appliance labelled with high energy efficiency"/>
    <x v="0"/>
    <s v="probability of appliance purchase"/>
    <s v="dummy (0/1)"/>
    <n v="0.48599999999999999"/>
    <s v="increase"/>
    <n v="0.20399999999999999"/>
    <n v="0.05"/>
    <n v="1"/>
    <n v="2.3823529411764706"/>
    <n v="0.48599999999999999"/>
    <n v="0.61916368289936063"/>
    <s v="NA"/>
    <s v="NA"/>
    <s v="NA"/>
    <s v="NA"/>
    <s v="NA"/>
    <s v="NA"/>
    <n v="827"/>
    <n v="827"/>
    <s v="NA"/>
    <s v="NA"/>
    <s v="NA"/>
    <s v="NA"/>
    <s v="NA"/>
    <n v="0"/>
    <s v="NA"/>
    <n v="1"/>
    <s v="NA"/>
    <s v="NA"/>
    <n v="0"/>
    <n v="0"/>
    <n v="1"/>
    <m/>
    <m/>
    <m/>
    <m/>
    <m/>
    <m/>
    <m/>
    <m/>
    <m/>
    <m/>
    <n v="8.2559714236340495E-2"/>
    <n v="8.2748063723839957E-2"/>
    <n v="1.2105969918599373E-3"/>
    <n v="1.2135922330097086E-3"/>
    <s v="NA"/>
    <n v="826"/>
    <s v="NA"/>
  </r>
  <r>
    <x v="0"/>
    <n v="7"/>
    <n v="1105"/>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1"/>
    <n v="0"/>
    <n v="0"/>
    <n v="0"/>
    <n v="0"/>
    <n v="0"/>
    <s v="additional information - on the label"/>
    <n v="1"/>
    <n v="0"/>
    <n v="0"/>
    <n v="0"/>
    <n v="0"/>
    <n v="0"/>
    <n v="0"/>
    <n v="0"/>
    <n v="0"/>
    <s v="the marginal effects of the explanatory variables for all the appliances on the_x000a_probability of purchasers acquiring an appliance labelled with high energy efficiency"/>
    <x v="0"/>
    <s v="probability of appliance purchase"/>
    <s v="dummy (0/1)"/>
    <n v="0.48899999999999999"/>
    <s v="decrease"/>
    <n v="0.30299999999999999"/>
    <n v="0.1"/>
    <n v="2"/>
    <n v="1.613861386138614"/>
    <n v="0.48899999999999999"/>
    <n v="0.6198708296204114"/>
    <s v="NA"/>
    <s v="NA"/>
    <s v="NA"/>
    <s v="NA"/>
    <s v="NA"/>
    <s v="NA"/>
    <n v="1350"/>
    <n v="1350"/>
    <s v="NA"/>
    <s v="NA"/>
    <s v="NA"/>
    <s v="NA"/>
    <s v="NA"/>
    <n v="1"/>
    <s v="NA"/>
    <n v="1"/>
    <s v="NA"/>
    <s v="NA"/>
    <n v="0"/>
    <n v="0"/>
    <n v="1"/>
    <m/>
    <m/>
    <m/>
    <m/>
    <m/>
    <m/>
    <m/>
    <m/>
    <m/>
    <m/>
    <n v="4.3881433738989228E-2"/>
    <n v="4.3909632065429631E-2"/>
    <n v="7.4128708865891613E-4"/>
    <n v="7.4239049740163323E-4"/>
    <s v="NA"/>
    <n v="1349"/>
    <s v="NA"/>
  </r>
  <r>
    <x v="0"/>
    <n v="7"/>
    <n v="1109"/>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0"/>
    <n v="1"/>
    <n v="0"/>
    <n v="0"/>
    <n v="0"/>
    <n v="0"/>
    <n v="0"/>
    <s v="additional information - on the label"/>
    <n v="0"/>
    <n v="0"/>
    <n v="1"/>
    <n v="0"/>
    <n v="0"/>
    <n v="0"/>
    <n v="0"/>
    <n v="0"/>
    <n v="0"/>
    <s v="the marginal effects of the explanatory variables for all the appliances on the_x000a_probability of purchasers acquiring an appliance labelled with high energy efficiency"/>
    <x v="0"/>
    <s v="probability of appliance purchase"/>
    <s v="dummy (0/1)"/>
    <n v="0.65100000000000002"/>
    <s v="decrease"/>
    <n v="0.57399999999999995"/>
    <n v="0.1"/>
    <n v="2"/>
    <n v="1.1341463414634148"/>
    <n v="0.65100000000000002"/>
    <n v="0.65723577499294228"/>
    <s v="NA"/>
    <s v="NA"/>
    <s v="NA"/>
    <s v="NA"/>
    <s v="NA"/>
    <s v="NA"/>
    <n v="421"/>
    <n v="421"/>
    <s v="NA"/>
    <s v="NA"/>
    <s v="NA"/>
    <s v="NA"/>
    <s v="NA"/>
    <n v="1"/>
    <s v="NA"/>
    <n v="0"/>
    <s v="NA"/>
    <s v="NA"/>
    <n v="0"/>
    <n v="0"/>
    <n v="1"/>
    <m/>
    <m/>
    <m/>
    <m/>
    <m/>
    <m/>
    <m/>
    <m/>
    <m/>
    <m/>
    <n v="5.5190662378218035E-2"/>
    <n v="5.5246802103969622E-2"/>
    <n v="2.3809302000460694E-3"/>
    <n v="2.3923444976076554E-3"/>
    <s v="NA"/>
    <n v="420"/>
    <s v="NA"/>
  </r>
  <r>
    <x v="0"/>
    <n v="8"/>
    <n v="1157"/>
    <n v="136"/>
    <s v="Deutsch"/>
    <n v="2010"/>
    <s v="The effect of life-cycle cost disclosure on consumer behavior: evidence from a field experiment with cooling appliances"/>
    <s v="Theory suggests that providing consumers_x000a_with an estimated life-cycle cost (LCC) may make_x000a_them buy more energy-efficient household appliances_x000a_in cases where energy efficiency is cost effective. This_x000a_article evaluates the link between the provision of_x000a_LCC and consumer behavior by using an online field_x000a_experiment for cooling appliances. Internet users_x000a_arriving at a commercially operating price comparison_x000a_website were randomly assigned to two experimental_x000a_groups, and the groups were exposed to different_x000a_visual stimuli. The control group received regular_x000a_product price information, whereas the treatment_x000a_group was offered additional information about_x000a_estimated operating cost and total LCC. Consumers’_x000a_click behavior was evaluated with multiple regression_x000a_controlling for several product characteristics (n=_x000a_1,969 clicks). We find that LCC disclosure reduces_x000a_the mean specific energy use of chosen cooling_x000a_appliances by 2.5% (p&lt;0.01), making it a potentially_x000a_interesting approach for environmental policy regarding_x000a_the market transformation toward more energy-efficient_x000a_household appliances. However, LCC disclosure also_x000a_decreases the number of clicks from the price comparison_x000a_website to final retailers by about 23% (p&lt;0.01),_x000a_which makes it—in the format chosen here—undesirable_x000a_from a business perspective. Therefore, future research_x000a_should clarify under what (if any) conditions can_x000a_monetary energy cost disclosure be associated with_x000a_more positive effects for price comparison websites."/>
    <n v="2"/>
    <n v="2006"/>
    <x v="0"/>
    <n v="313"/>
    <x v="11"/>
    <x v="2"/>
    <x v="3"/>
    <s v="stated preference"/>
    <s v="online"/>
    <s v="individuals"/>
    <n v="0"/>
    <s v="opt_out"/>
    <n v="1"/>
    <s v="probably no"/>
    <s v="probably no"/>
    <s v="NA"/>
    <n v="0"/>
    <n v="1"/>
    <n v="0"/>
    <n v="0"/>
    <n v="0"/>
    <n v="0"/>
    <n v="0"/>
    <n v="0"/>
    <s v="LCC information disclosed to the treatment group"/>
    <n v="0"/>
    <n v="0"/>
    <n v="0"/>
    <n v="1"/>
    <n v="0"/>
    <n v="0"/>
    <n v="0"/>
    <n v="0"/>
    <n v="0"/>
    <s v="click-throughs (not even stated preference purchase strictly)"/>
    <x v="0"/>
    <s v="Effect of life-cycle_x000a_cost disclosure on the_x000a_overall number of_x000a_click-throughs"/>
    <s v="log scale"/>
    <n v="0.19"/>
    <s v="decrease"/>
    <n v="7.8512396694214878E-2"/>
    <n v="1.4999999999999999E-2"/>
    <n v="3"/>
    <n v="2.42"/>
    <n v="0.20924959765725148"/>
    <n v="0.54735761814308925"/>
    <s v="NA"/>
    <s v="NA"/>
    <s v="NA"/>
    <s v="NA"/>
    <s v="NA"/>
    <s v="NA"/>
    <n v="2910"/>
    <n v="2910"/>
    <s v="NA"/>
    <s v="NA"/>
    <s v="NA"/>
    <s v="NA"/>
    <s v="NA"/>
    <s v="NA"/>
    <s v="NA"/>
    <s v="NA"/>
    <s v="NA"/>
    <s v="NA"/>
    <n v="0"/>
    <n v="0"/>
    <n v="0"/>
    <m/>
    <m/>
    <m/>
    <m/>
    <m/>
    <m/>
    <m/>
    <m/>
    <m/>
    <m/>
    <n v="4.4815918320490998E-2"/>
    <n v="4.4845958286761807E-2"/>
    <n v="3.4375935209197533E-4"/>
    <n v="3.4399724802201581E-4"/>
    <s v="NA"/>
    <n v="2908"/>
    <s v="NA"/>
  </r>
  <r>
    <x v="0"/>
    <n v="8"/>
    <n v="1158"/>
    <n v="136"/>
    <s v="Deutsch"/>
    <n v="2010"/>
    <s v="The effect of life-cycle cost disclosure on consumer behavior: evidence from a field experiment with cooling appliances"/>
    <s v="Theory suggests that providing consumers_x000a_with an estimated life-cycle cost (LCC) may make_x000a_them buy more energy-efficient household appliances_x000a_in cases where energy efficiency is cost effective. This_x000a_article evaluates the link between the provision of_x000a_LCC and consumer behavior by using an online field_x000a_experiment for cooling appliances. Internet users_x000a_arriving at a commercially operating price comparison_x000a_website were randomly assigned to two experimental_x000a_groups, and the groups were exposed to different_x000a_visual stimuli. The control group received regular_x000a_product price information, whereas the treatment_x000a_group was offered additional information about_x000a_estimated operating cost and total LCC. Consumers’_x000a_click behavior was evaluated with multiple regression_x000a_controlling for several product characteristics (n=_x000a_1,969 clicks). We find that LCC disclosure reduces_x000a_the mean specific energy use of chosen cooling_x000a_appliances by 2.5% (p&lt;0.01), making it a potentially_x000a_interesting approach for environmental policy regarding_x000a_the market transformation toward more energy-efficient_x000a_household appliances. However, LCC disclosure also_x000a_decreases the number of clicks from the price comparison_x000a_website to final retailers by about 23% (p&lt;0.01),_x000a_which makes it—in the format chosen here—undesirable_x000a_from a business perspective. Therefore, future research_x000a_should clarify under what (if any) conditions can_x000a_monetary energy cost disclosure be associated with_x000a_more positive effects for price comparison websites."/>
    <n v="2"/>
    <n v="2006"/>
    <x v="0"/>
    <n v="313"/>
    <x v="11"/>
    <x v="2"/>
    <x v="3"/>
    <s v="stated preference"/>
    <s v="online"/>
    <s v="individuals"/>
    <n v="0"/>
    <s v="opt_out"/>
    <n v="1"/>
    <s v="probably no"/>
    <s v="probably no "/>
    <s v="NA"/>
    <n v="0"/>
    <n v="1"/>
    <n v="0"/>
    <n v="0"/>
    <n v="0"/>
    <n v="0"/>
    <n v="0"/>
    <n v="0"/>
    <s v="LCC information disclosed to the treatment group"/>
    <n v="0"/>
    <n v="0"/>
    <n v="0"/>
    <n v="1"/>
    <n v="0"/>
    <n v="0"/>
    <n v="0"/>
    <n v="0"/>
    <n v="0"/>
    <s v="click-throughs (not even stated preference purchase strictly)"/>
    <x v="0"/>
    <s v="Effect of life-cycle_x000a_cost disclosure on the_x000a_overall number of_x000a_click-throughs"/>
    <s v="log scale"/>
    <n v="0.21"/>
    <s v="decrease"/>
    <n v="7.6363636363636356E-2"/>
    <n v="6.0000000000000001E-3"/>
    <n v="3"/>
    <n v="2.75"/>
    <n v="0.23367805995674318"/>
    <n v="0.5523079095743253"/>
    <s v="NA"/>
    <s v="NA"/>
    <s v="NA"/>
    <s v="NA"/>
    <s v="NA"/>
    <s v="NA"/>
    <n v="2910"/>
    <n v="2910"/>
    <s v="NA"/>
    <s v="NA"/>
    <s v="NA"/>
    <s v="NA"/>
    <s v="NA"/>
    <s v="NA"/>
    <s v="NA"/>
    <s v="NA"/>
    <s v="NA"/>
    <s v="NA"/>
    <n v="0"/>
    <n v="0"/>
    <n v="0"/>
    <m/>
    <m/>
    <m/>
    <m/>
    <m/>
    <m/>
    <m/>
    <m/>
    <m/>
    <m/>
    <n v="5.0912287415050349E-2"/>
    <n v="5.0956345207376796E-2"/>
    <n v="3.4375842486513699E-4"/>
    <n v="3.4399724802201581E-4"/>
    <s v="NA"/>
    <n v="2908"/>
    <s v="NA"/>
  </r>
  <r>
    <x v="3"/>
    <n v="9"/>
    <n v="1248"/>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0"/>
    <n v="147"/>
    <x v="12"/>
    <x v="5"/>
    <x v="12"/>
    <s v="self-reported behaviour"/>
    <s v="household"/>
    <s v="residents"/>
    <n v="1"/>
    <s v="opt_in"/>
    <n v="0"/>
    <s v="probably no"/>
    <s v="probably yes"/>
    <s v="unclear N sample size for this specification"/>
    <n v="0"/>
    <n v="0"/>
    <n v="1"/>
    <n v="0"/>
    <n v="0"/>
    <n v="0"/>
    <n v="0"/>
    <n v="0"/>
    <s v="&quot;Recognize&quot; Energy Label"/>
    <n v="0"/>
    <n v="0"/>
    <n v="0"/>
    <n v="0"/>
    <n v="0"/>
    <n v="1"/>
    <n v="0"/>
    <n v="0"/>
    <n v="0"/>
    <s v="investing in energy-efficient appliances; coefficients are marginal effects"/>
    <x v="0"/>
    <s v="investing in energy-efficient appliances"/>
    <s v="dummy (0/1)"/>
    <n v="0.05"/>
    <s v="increase"/>
    <s v="NA"/>
    <n v="0.01"/>
    <n v="1"/>
    <n v="2.5764354463748322"/>
    <n v="5.1271096376024117E-2"/>
    <n v="0.51249739648421033"/>
    <s v="NA"/>
    <s v="NA"/>
    <s v="NA"/>
    <s v="NA"/>
    <s v="NA"/>
    <s v="NA"/>
    <n v="8115"/>
    <n v="8115"/>
    <s v="NA"/>
    <s v="NA"/>
    <s v="NA"/>
    <s v="NA"/>
    <s v="NA"/>
    <s v="NA"/>
    <s v="NA"/>
    <n v="1"/>
    <s v="NA"/>
    <s v="NA"/>
    <n v="0"/>
    <n v="1"/>
    <n v="1"/>
    <m/>
    <m/>
    <m/>
    <m/>
    <m/>
    <m/>
    <m/>
    <m/>
    <m/>
    <m/>
    <n v="2.8588900354369999E-2"/>
    <n v="2.8596692985986098E-2"/>
    <n v="1.2324369377013031E-4"/>
    <n v="1.232741617357002E-4"/>
    <s v="NA"/>
    <n v="8113"/>
    <s v="NA"/>
  </r>
  <r>
    <x v="3"/>
    <n v="9"/>
    <n v="1247"/>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0"/>
    <n v="147"/>
    <x v="12"/>
    <x v="5"/>
    <x v="12"/>
    <s v="self-reported behaviour"/>
    <s v="household"/>
    <s v="residents"/>
    <n v="1"/>
    <s v="opt_in"/>
    <n v="0"/>
    <s v="probably no"/>
    <s v="probably no"/>
    <s v="NA"/>
    <n v="0"/>
    <n v="0"/>
    <n v="1"/>
    <n v="0"/>
    <n v="0"/>
    <n v="0"/>
    <n v="0"/>
    <n v="0"/>
    <s v="&quot;Recognize&quot; Energy Label"/>
    <n v="1"/>
    <n v="0"/>
    <n v="0"/>
    <n v="1"/>
    <n v="0"/>
    <n v="0"/>
    <n v="0"/>
    <n v="0"/>
    <n v="0"/>
    <s v="investing in energy-efficient appliances; coefficients are marginal effects"/>
    <x v="0"/>
    <s v="investing in energy-efficient appliances"/>
    <s v="dummy (0/1)"/>
    <n v="7.4999999999999997E-2"/>
    <s v="increase"/>
    <s v="NA"/>
    <n v="0.01"/>
    <n v="1"/>
    <n v="2.5764354463748322"/>
    <n v="7.788415088463152E-2"/>
    <n v="0.51874121587853528"/>
    <s v="NA"/>
    <s v="NA"/>
    <s v="NA"/>
    <s v="NA"/>
    <s v="NA"/>
    <s v="NA"/>
    <n v="8115"/>
    <n v="8115"/>
    <s v="NA"/>
    <s v="NA"/>
    <s v="NA"/>
    <s v="NA"/>
    <s v="NA"/>
    <s v="NA"/>
    <s v="NA"/>
    <n v="1"/>
    <s v="NA"/>
    <s v="NA"/>
    <n v="0"/>
    <n v="1"/>
    <n v="1"/>
    <m/>
    <m/>
    <m/>
    <m/>
    <m/>
    <m/>
    <m/>
    <m/>
    <m/>
    <m/>
    <n v="2.8588900354369999E-2"/>
    <n v="2.8596692985986098E-2"/>
    <n v="1.2324369377013031E-4"/>
    <n v="1.232741617357002E-4"/>
    <s v="NA"/>
    <n v="8113"/>
    <s v="NA"/>
  </r>
  <r>
    <x v="3"/>
    <n v="9"/>
    <n v="1249"/>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0"/>
    <n v="147"/>
    <x v="12"/>
    <x v="5"/>
    <x v="12"/>
    <s v="self-reported behaviour"/>
    <s v="household"/>
    <s v="residents"/>
    <n v="1"/>
    <s v="opt_in"/>
    <n v="0"/>
    <s v="probably no"/>
    <s v="probably no"/>
    <s v="NA"/>
    <n v="0"/>
    <n v="0"/>
    <n v="1"/>
    <n v="0"/>
    <n v="0"/>
    <n v="0"/>
    <n v="0"/>
    <n v="0"/>
    <s v="&quot;Trust&quot; Energy Label"/>
    <n v="1"/>
    <n v="0"/>
    <n v="0"/>
    <n v="1"/>
    <n v="0"/>
    <n v="0"/>
    <n v="0"/>
    <n v="0"/>
    <n v="0"/>
    <s v="investing in energy-efficient appliances; coefficients are marginal effects"/>
    <x v="0"/>
    <s v="investing in energy-efficient appliances"/>
    <s v="dummy (0/1)"/>
    <n v="8.6999999999999994E-2"/>
    <s v="increase"/>
    <s v="NA"/>
    <n v="0.01"/>
    <n v="1"/>
    <n v="2.5776085962794295"/>
    <n v="9.0896679718277751E-2"/>
    <n v="0.52173629156332213"/>
    <s v="NA"/>
    <s v="NA"/>
    <s v="NA"/>
    <s v="NA"/>
    <s v="NA"/>
    <s v="NA"/>
    <n v="2767"/>
    <n v="2767"/>
    <s v="NA"/>
    <s v="NA"/>
    <s v="NA"/>
    <s v="NA"/>
    <s v="NA"/>
    <s v="NA"/>
    <s v="NA"/>
    <n v="1"/>
    <s v="NA"/>
    <s v="NA"/>
    <n v="0"/>
    <n v="1"/>
    <n v="1"/>
    <m/>
    <m/>
    <m/>
    <m/>
    <m/>
    <m/>
    <m/>
    <m/>
    <m/>
    <m/>
    <n v="4.8943115053431581E-2"/>
    <n v="4.8982251228669553E-2"/>
    <n v="3.6153081834669693E-4"/>
    <n v="3.6179450072358897E-4"/>
    <s v="NA"/>
    <n v="2765"/>
    <s v="NA"/>
  </r>
  <r>
    <x v="3"/>
    <n v="9"/>
    <n v="1231"/>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5"/>
    <n v="145"/>
    <x v="12"/>
    <x v="5"/>
    <x v="12"/>
    <s v="self-reported behaviour"/>
    <s v="household"/>
    <s v="residents"/>
    <n v="1"/>
    <s v="opt_in"/>
    <n v="0"/>
    <s v="probably no"/>
    <s v="probably no"/>
    <s v="NA"/>
    <n v="0"/>
    <n v="0"/>
    <n v="1"/>
    <n v="0"/>
    <n v="0"/>
    <n v="0"/>
    <n v="0"/>
    <n v="0"/>
    <s v="NA"/>
    <n v="0"/>
    <n v="0"/>
    <n v="0"/>
    <n v="0"/>
    <n v="0"/>
    <n v="0"/>
    <n v="0"/>
    <n v="0"/>
    <n v="0"/>
    <s v="Water tank to collect rain water"/>
    <x v="0"/>
    <s v="Water tank to collect rain water"/>
    <s v="dummy (0/1)"/>
    <n v="9.5000000000000001E-2"/>
    <s v="increase"/>
    <s v="NA"/>
    <n v="0.01"/>
    <n v="1"/>
    <n v="2.5767673605962078"/>
    <n v="9.9658855126102841E-2"/>
    <n v="0.52373215412656104"/>
    <s v="NA"/>
    <s v="NA"/>
    <s v="NA"/>
    <s v="NA"/>
    <s v="NA"/>
    <s v="NA"/>
    <n v="5245"/>
    <n v="5245"/>
    <s v="NA"/>
    <s v="NA"/>
    <s v="NA"/>
    <s v="NA"/>
    <s v="NA"/>
    <s v="NA"/>
    <s v="NA"/>
    <n v="1"/>
    <s v="NA"/>
    <s v="NA"/>
    <n v="0"/>
    <n v="1"/>
    <n v="1"/>
    <m/>
    <m/>
    <m/>
    <m/>
    <m/>
    <m/>
    <m/>
    <m/>
    <m/>
    <m/>
    <n v="3.5557215848955014E-2"/>
    <n v="3.5572212407713834E-2"/>
    <n v="1.9069382128292258E-4"/>
    <n v="1.9076688286913393E-4"/>
    <s v="NA"/>
    <n v="5243"/>
    <s v="odd dep_var"/>
  </r>
  <r>
    <x v="3"/>
    <n v="9"/>
    <n v="1230"/>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5"/>
    <n v="145"/>
    <x v="12"/>
    <x v="5"/>
    <x v="12"/>
    <s v="self-reported behaviour"/>
    <s v="household"/>
    <s v="residents"/>
    <n v="1"/>
    <s v="opt_in"/>
    <n v="0"/>
    <s v="probably no"/>
    <s v="probably no"/>
    <s v="NA"/>
    <n v="0"/>
    <n v="0"/>
    <n v="1"/>
    <n v="0"/>
    <n v="0"/>
    <n v="0"/>
    <n v="0"/>
    <n v="0"/>
    <s v="NA"/>
    <n v="0"/>
    <n v="0"/>
    <n v="0"/>
    <n v="0"/>
    <n v="0"/>
    <n v="0"/>
    <n v="0"/>
    <n v="0"/>
    <n v="0"/>
    <s v="Water flow restrictor taps/low flow shower head"/>
    <x v="0"/>
    <s v="Water flow restrictor taps/low flow shower head"/>
    <s v="dummy (0/1)"/>
    <n v="0.18099999999999999"/>
    <s v="increase"/>
    <s v="NA"/>
    <n v="0.01"/>
    <n v="1"/>
    <n v="2.5767673605962078"/>
    <n v="0.19841517929319963"/>
    <n v="0.5451268671091033"/>
    <s v="NA"/>
    <s v="NA"/>
    <s v="NA"/>
    <s v="NA"/>
    <s v="NA"/>
    <s v="NA"/>
    <n v="5245"/>
    <n v="5245"/>
    <s v="NA"/>
    <s v="NA"/>
    <s v="NA"/>
    <s v="NA"/>
    <s v="NA"/>
    <s v="NA"/>
    <s v="NA"/>
    <n v="1"/>
    <s v="NA"/>
    <s v="NA"/>
    <n v="0"/>
    <n v="1"/>
    <n v="1"/>
    <m/>
    <m/>
    <m/>
    <m/>
    <m/>
    <m/>
    <m/>
    <m/>
    <m/>
    <m/>
    <n v="3.5557215848955014E-2"/>
    <n v="3.5572212407713834E-2"/>
    <n v="1.9069382128292258E-4"/>
    <n v="1.9076688286913393E-4"/>
    <s v="NA"/>
    <n v="5243"/>
    <s v="odd dep_var"/>
  </r>
  <r>
    <x v="3"/>
    <n v="9"/>
    <n v="1229"/>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5"/>
    <n v="145"/>
    <x v="12"/>
    <x v="5"/>
    <x v="12"/>
    <s v="self-reported behaviour"/>
    <s v="household"/>
    <s v="residents"/>
    <n v="1"/>
    <s v="opt_in"/>
    <n v="0"/>
    <s v="probably no"/>
    <s v="probably no"/>
    <s v="NA"/>
    <n v="0"/>
    <n v="0"/>
    <n v="1"/>
    <n v="0"/>
    <n v="0"/>
    <n v="0"/>
    <n v="0"/>
    <n v="0"/>
    <s v="NA"/>
    <n v="0"/>
    <n v="0"/>
    <n v="0"/>
    <n v="0"/>
    <n v="0"/>
    <n v="0"/>
    <n v="0"/>
    <n v="0"/>
    <n v="0"/>
    <s v="Low volume or dual flush toilets"/>
    <x v="0"/>
    <s v="Low volume or dual flush toilets"/>
    <s v="dummy (0/1)"/>
    <n v="0.191"/>
    <s v="increase"/>
    <s v="NA"/>
    <n v="0.01"/>
    <n v="1"/>
    <n v="2.5767673605962078"/>
    <n v="0.21045945208129946"/>
    <n v="0.54760536364581069"/>
    <s v="NA"/>
    <s v="NA"/>
    <s v="NA"/>
    <s v="NA"/>
    <s v="NA"/>
    <s v="NA"/>
    <n v="5245"/>
    <n v="5245"/>
    <s v="NA"/>
    <s v="NA"/>
    <s v="NA"/>
    <s v="NA"/>
    <s v="NA"/>
    <s v="NA"/>
    <s v="NA"/>
    <n v="1"/>
    <s v="NA"/>
    <s v="NA"/>
    <n v="0"/>
    <n v="1"/>
    <n v="1"/>
    <m/>
    <m/>
    <m/>
    <m/>
    <m/>
    <m/>
    <m/>
    <m/>
    <m/>
    <m/>
    <n v="3.5557215848955014E-2"/>
    <n v="3.5572212407713834E-2"/>
    <n v="1.9069382128292258E-4"/>
    <n v="1.9076688286913393E-4"/>
    <s v="NA"/>
    <n v="5243"/>
    <s v="odd dep_var"/>
  </r>
  <r>
    <x v="0"/>
    <m/>
    <s v="NA"/>
    <s v="NA"/>
    <s v="Dong, Futawatari"/>
    <n v="2013"/>
    <s v="The study of low-carbon policy influence on consumers' energy efficiency household appliance purchase behavior"/>
    <s v="Sequences of low carbon policies are aimed at reducing greenhouse gases and increasing energy_x000a_efficiency—also in the household sector in China. However, not all the policies are useful to guideconsumers’_x000a_purchase behavior. Consumer’s environmental friendly purchase behavior is affected not only by personal_x000a_influence but also by external environmental forces. While information provision policies may be effective in_x000a_encouraging certain consumers to understand the energy effiency household appliance, but not promote_x000a_purchases; fiscal incentive may be more attractive during pre-purchase period (information collection);_x000a_regulation instrument regards as the most effectivelyinstrument to influence consumers’ energy efficiency_x000a_household appliance purchase behavior, but useless to advance citizen’s environmental awareness. Analysis of a_x000a_survey dataset of Chinese households observes considerable heterogeneity in terms of influence of three policy_x000a_instruments, in line with our conjectures."/>
    <n v="2"/>
    <n v="2012"/>
    <x v="6"/>
    <m/>
    <x v="13"/>
    <x v="4"/>
    <x v="13"/>
    <s v="stated preference"/>
    <s v="household"/>
    <m/>
    <n v="1"/>
    <s v="opt_in"/>
    <n v="1"/>
    <s v="probably no"/>
    <s v="probably no"/>
    <s v="no appliance breakdown, some data dropped from the study halfway through, no uncertainty specifications"/>
    <m/>
    <m/>
    <m/>
    <m/>
    <m/>
    <m/>
    <m/>
    <m/>
    <m/>
    <m/>
    <m/>
    <m/>
    <m/>
    <m/>
    <m/>
    <m/>
    <m/>
    <m/>
    <m/>
    <x v="3"/>
    <m/>
    <m/>
    <m/>
    <m/>
    <m/>
    <m/>
    <m/>
    <m/>
    <m/>
    <m/>
    <m/>
    <m/>
    <m/>
    <m/>
    <m/>
    <m/>
    <m/>
    <m/>
    <m/>
    <m/>
    <m/>
    <m/>
    <m/>
    <m/>
    <m/>
    <m/>
    <m/>
    <m/>
    <n v="0"/>
    <n v="1"/>
    <n v="1"/>
    <m/>
    <m/>
    <m/>
    <m/>
    <m/>
    <m/>
    <m/>
    <m/>
    <m/>
    <m/>
    <m/>
    <m/>
    <m/>
    <m/>
    <m/>
    <m/>
    <m/>
  </r>
  <r>
    <x v="3"/>
    <m/>
    <n v="1241"/>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0.55700000000000005"/>
    <s v="increase"/>
    <e v="#VALUE!"/>
    <n v="0"/>
    <n v="3"/>
    <s v="NA"/>
    <s v="NA"/>
    <m/>
    <s v="NA"/>
    <s v="NA"/>
    <s v="NA"/>
    <s v="NA"/>
    <s v="NA"/>
    <s v="NA"/>
    <n v="1099"/>
    <n v="13188"/>
    <s v="NA"/>
    <s v="NA"/>
    <s v="NA"/>
    <s v="NA"/>
    <s v="NA"/>
    <s v="NA"/>
    <s v="NA"/>
    <n v="1"/>
    <n v="1"/>
    <s v="alphabetical with +"/>
    <n v="0"/>
    <n v="0"/>
    <n v="0"/>
    <m/>
    <m/>
    <m/>
    <m/>
    <m/>
    <m/>
    <m/>
    <m/>
    <m/>
    <m/>
    <e v="#VALUE!"/>
    <e v="#VALUE!"/>
    <e v="#VALUE!"/>
    <n v="9.1240875912408756E-4"/>
    <e v="#VALUE!"/>
    <m/>
    <m/>
  </r>
  <r>
    <x v="3"/>
    <m/>
    <n v="1242"/>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1.58"/>
    <s v="increase"/>
    <e v="#VALUE!"/>
    <n v="0"/>
    <n v="3"/>
    <s v="NA"/>
    <s v="NA"/>
    <m/>
    <s v="NA"/>
    <s v="NA"/>
    <s v="NA"/>
    <s v="NA"/>
    <s v="NA"/>
    <s v="NA"/>
    <n v="1099"/>
    <n v="13188"/>
    <s v="NA"/>
    <s v="NA"/>
    <s v="NA"/>
    <s v="NA"/>
    <s v="NA"/>
    <s v="NA"/>
    <s v="NA"/>
    <n v="1"/>
    <n v="1"/>
    <s v="alphabetical with +"/>
    <n v="0"/>
    <n v="0"/>
    <n v="0"/>
    <m/>
    <m/>
    <m/>
    <m/>
    <m/>
    <m/>
    <m/>
    <m/>
    <m/>
    <m/>
    <e v="#VALUE!"/>
    <e v="#VALUE!"/>
    <e v="#VALUE!"/>
    <n v="9.1240875912408756E-4"/>
    <e v="#VALUE!"/>
    <m/>
    <m/>
  </r>
  <r>
    <x v="3"/>
    <m/>
    <n v="1243"/>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0.17"/>
    <s v="increase"/>
    <e v="#VALUE!"/>
    <n v="0.311"/>
    <n v="3"/>
    <s v="NA"/>
    <s v="NA"/>
    <m/>
    <s v="NA"/>
    <s v="NA"/>
    <s v="NA"/>
    <s v="NA"/>
    <s v="NA"/>
    <s v="NA"/>
    <n v="1099"/>
    <n v="13188"/>
    <s v="NA"/>
    <s v="NA"/>
    <s v="NA"/>
    <s v="NA"/>
    <s v="NA"/>
    <s v="NA"/>
    <s v="NA"/>
    <n v="1"/>
    <n v="1"/>
    <s v="alphabetical with +"/>
    <n v="0"/>
    <n v="0"/>
    <n v="0"/>
    <m/>
    <m/>
    <m/>
    <m/>
    <m/>
    <m/>
    <m/>
    <m/>
    <m/>
    <m/>
    <e v="#VALUE!"/>
    <e v="#VALUE!"/>
    <e v="#VALUE!"/>
    <n v="9.1240875912408756E-4"/>
    <e v="#VALUE!"/>
    <m/>
    <m/>
  </r>
  <r>
    <x v="3"/>
    <m/>
    <n v="1244"/>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1.1140000000000001"/>
    <s v="increase"/>
    <e v="#VALUE!"/>
    <n v="0"/>
    <n v="3"/>
    <s v="NA"/>
    <s v="NA"/>
    <m/>
    <s v="NA"/>
    <s v="NA"/>
    <s v="NA"/>
    <s v="NA"/>
    <s v="NA"/>
    <s v="NA"/>
    <n v="1099"/>
    <n v="13188"/>
    <s v="NA"/>
    <s v="NA"/>
    <s v="NA"/>
    <s v="NA"/>
    <s v="NA"/>
    <s v="NA"/>
    <s v="NA"/>
    <n v="1"/>
    <n v="1"/>
    <s v="alphabetical with +"/>
    <n v="0"/>
    <n v="0"/>
    <n v="0"/>
    <m/>
    <m/>
    <m/>
    <m/>
    <m/>
    <m/>
    <m/>
    <m/>
    <m/>
    <m/>
    <e v="#VALUE!"/>
    <e v="#VALUE!"/>
    <e v="#VALUE!"/>
    <n v="9.1240875912408756E-4"/>
    <e v="#VALUE!"/>
    <m/>
    <m/>
  </r>
  <r>
    <x v="3"/>
    <m/>
    <n v="1245"/>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6.0999999999999999E-2"/>
    <s v="decrease"/>
    <e v="#VALUE!"/>
    <n v="0.71299999999999997"/>
    <n v="3"/>
    <s v="NA"/>
    <s v="NA"/>
    <m/>
    <s v="NA"/>
    <s v="NA"/>
    <s v="NA"/>
    <s v="NA"/>
    <s v="NA"/>
    <s v="NA"/>
    <n v="1099"/>
    <n v="13188"/>
    <s v="NA"/>
    <s v="NA"/>
    <s v="NA"/>
    <s v="NA"/>
    <s v="NA"/>
    <s v="NA"/>
    <s v="NA"/>
    <n v="1"/>
    <n v="1"/>
    <s v="alphabetical with +"/>
    <n v="0"/>
    <n v="0"/>
    <n v="0"/>
    <m/>
    <m/>
    <m/>
    <m/>
    <m/>
    <m/>
    <m/>
    <m/>
    <m/>
    <m/>
    <e v="#VALUE!"/>
    <e v="#VALUE!"/>
    <e v="#VALUE!"/>
    <n v="9.1240875912408756E-4"/>
    <e v="#VALUE!"/>
    <m/>
    <m/>
  </r>
  <r>
    <x v="3"/>
    <m/>
    <n v="1246"/>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2E-3"/>
    <s v="decrease"/>
    <e v="#VALUE!"/>
    <n v="0.99199999999999999"/>
    <n v="3"/>
    <s v="NA"/>
    <s v="NA"/>
    <m/>
    <s v="NA"/>
    <s v="NA"/>
    <s v="NA"/>
    <s v="NA"/>
    <s v="NA"/>
    <s v="NA"/>
    <n v="1099"/>
    <n v="13188"/>
    <s v="NA"/>
    <s v="NA"/>
    <s v="NA"/>
    <s v="NA"/>
    <s v="NA"/>
    <s v="NA"/>
    <s v="NA"/>
    <n v="1"/>
    <n v="1"/>
    <s v="alphabetical with +"/>
    <n v="0"/>
    <n v="0"/>
    <n v="0"/>
    <m/>
    <m/>
    <m/>
    <m/>
    <m/>
    <m/>
    <m/>
    <m/>
    <m/>
    <m/>
    <e v="#VALUE!"/>
    <e v="#VALUE!"/>
    <e v="#VALUE!"/>
    <n v="9.1240875912408756E-4"/>
    <e v="#VALUE!"/>
    <m/>
    <m/>
  </r>
  <r>
    <x v="0"/>
    <n v="10"/>
    <n v="1017"/>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0"/>
    <n v="0"/>
    <n v="0"/>
    <s v="NA"/>
    <n v="0"/>
    <n v="0"/>
    <n v="0"/>
    <n v="0"/>
    <n v="0"/>
    <n v="1"/>
    <n v="0"/>
    <n v="0"/>
    <n v="0"/>
    <s v="NA"/>
    <x v="0"/>
    <s v="CFL uptake"/>
    <s v="dummy (0/1)"/>
    <n v="4.0000000000000001E-3"/>
    <s v="increase"/>
    <n v="0.121"/>
    <n v="0.1"/>
    <n v="2"/>
    <n v="3.3057851239669422E-2"/>
    <n v="4.0080106773419111E-3"/>
    <n v="0.50099999866666878"/>
    <s v="NA"/>
    <n v="71"/>
    <s v="NA"/>
    <s v="NA"/>
    <n v="85"/>
    <s v="NA"/>
    <n v="156"/>
    <n v="156"/>
    <s v="NA"/>
    <s v="NA"/>
    <s v="NA"/>
    <s v="NA"/>
    <s v="NA"/>
    <s v="NA"/>
    <s v="NA"/>
    <s v="NA"/>
    <s v="NA"/>
    <s v="NA"/>
    <n v="1"/>
    <n v="0"/>
    <n v="1"/>
    <m/>
    <m/>
    <m/>
    <m/>
    <m/>
    <m/>
    <m/>
    <m/>
    <m/>
    <m/>
    <n v="2.646737073353082E-3"/>
    <n v="2.6467432537016708E-3"/>
    <n v="6.4516129029092029E-3"/>
    <n v="6.5359477124183009E-3"/>
    <s v="NA"/>
    <n v="154"/>
    <s v="NA"/>
  </r>
  <r>
    <x v="0"/>
    <n v="10"/>
    <n v="1014"/>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0"/>
    <n v="0"/>
    <n v="0"/>
    <s v="NA"/>
    <n v="0"/>
    <n v="0"/>
    <n v="0"/>
    <n v="0"/>
    <n v="0"/>
    <n v="1"/>
    <n v="0"/>
    <n v="0"/>
    <n v="0"/>
    <s v="NA"/>
    <x v="0"/>
    <s v="CFL uptake"/>
    <s v="dummy (0/1)"/>
    <n v="5.0000000000000001E-3"/>
    <s v="decrease"/>
    <n v="0.109"/>
    <n v="0.1"/>
    <n v="2"/>
    <n v="4.5871559633027525E-2"/>
    <n v="5.0125208594009596E-3"/>
    <n v="0.50124999739583986"/>
    <s v="NA"/>
    <n v="71"/>
    <s v="NA"/>
    <s v="NA"/>
    <n v="85"/>
    <s v="NA"/>
    <n v="156"/>
    <n v="156"/>
    <s v="NA"/>
    <s v="NA"/>
    <s v="NA"/>
    <s v="NA"/>
    <s v="NA"/>
    <s v="NA"/>
    <s v="NA"/>
    <s v="NA"/>
    <s v="NA"/>
    <s v="NA"/>
    <n v="0"/>
    <n v="0"/>
    <n v="0"/>
    <m/>
    <m/>
    <m/>
    <m/>
    <m/>
    <m/>
    <m/>
    <m/>
    <m/>
    <m/>
    <n v="3.6726393090550187E-3"/>
    <n v="3.6726558217171222E-3"/>
    <n v="6.4516129020520197E-3"/>
    <n v="6.5359477124183009E-3"/>
    <s v="NA"/>
    <n v="154"/>
    <s v="NA"/>
  </r>
  <r>
    <x v="0"/>
    <n v="10"/>
    <n v="1016"/>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0"/>
    <n v="0"/>
    <n v="0"/>
    <n v="0"/>
    <n v="1"/>
    <n v="0"/>
    <n v="0"/>
    <s v="NA"/>
    <n v="0"/>
    <n v="0"/>
    <n v="0"/>
    <n v="0"/>
    <n v="0"/>
    <n v="1"/>
    <n v="0"/>
    <n v="0"/>
    <n v="0"/>
    <s v="NA"/>
    <x v="0"/>
    <s v="CFL uptake"/>
    <s v="dummy (0/1)"/>
    <n v="0.214"/>
    <s v="increase"/>
    <n v="8.7999999999999995E-2"/>
    <n v="0.05"/>
    <n v="1"/>
    <n v="2.4318181818181821"/>
    <n v="0.23862265479345224"/>
    <n v="0.55329675688810287"/>
    <s v="NA"/>
    <n v="71"/>
    <s v="NA"/>
    <s v="NA"/>
    <n v="84"/>
    <s v="NA"/>
    <n v="155"/>
    <n v="155"/>
    <s v="NA"/>
    <s v="NA"/>
    <s v="NA"/>
    <s v="NA"/>
    <s v="NA"/>
    <s v="NA"/>
    <s v="NA"/>
    <s v="NA"/>
    <s v="NA"/>
    <s v="NA"/>
    <n v="0"/>
    <n v="0"/>
    <n v="0"/>
    <m/>
    <m/>
    <m/>
    <m/>
    <m/>
    <m/>
    <m/>
    <m/>
    <m/>
    <m/>
    <n v="0.19170548423159203"/>
    <n v="0.1941071241446195"/>
    <n v="6.4842883135948935E-3"/>
    <n v="6.5789473684210523E-3"/>
    <s v="NA"/>
    <n v="153"/>
    <s v="NA"/>
  </r>
  <r>
    <x v="0"/>
    <n v="10"/>
    <n v="1019"/>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0"/>
    <n v="0"/>
    <n v="0"/>
    <n v="0"/>
    <n v="1"/>
    <n v="0"/>
    <n v="0"/>
    <s v="NA"/>
    <n v="0"/>
    <n v="0"/>
    <n v="0"/>
    <n v="0"/>
    <n v="0"/>
    <n v="1"/>
    <n v="0"/>
    <n v="0"/>
    <n v="0"/>
    <s v="NA"/>
    <x v="0"/>
    <s v="CFL uptake"/>
    <s v="dummy (0/1)"/>
    <n v="0.22500000000000001"/>
    <s v="increase"/>
    <n v="8.5999999999999993E-2"/>
    <n v="0.01"/>
    <n v="1"/>
    <n v="2.6162790697674421"/>
    <n v="0.25232271619186442"/>
    <n v="0.55601389054461992"/>
    <s v="NA"/>
    <n v="71"/>
    <s v="NA"/>
    <s v="NA"/>
    <n v="84"/>
    <s v="NA"/>
    <n v="155"/>
    <n v="155"/>
    <s v="NA"/>
    <s v="NA"/>
    <s v="NA"/>
    <s v="NA"/>
    <s v="NA"/>
    <s v="NA"/>
    <s v="NA"/>
    <s v="NA"/>
    <s v="NA"/>
    <s v="NA"/>
    <n v="1"/>
    <n v="0"/>
    <n v="1"/>
    <m/>
    <m/>
    <m/>
    <m/>
    <m/>
    <m/>
    <m/>
    <m/>
    <m/>
    <m/>
    <n v="0.2056527568985681"/>
    <n v="0.20862785334941172"/>
    <n v="6.4812046998817896E-3"/>
    <n v="6.5789473684210523E-3"/>
    <s v="NA"/>
    <n v="153"/>
    <s v="NA"/>
  </r>
  <r>
    <x v="0"/>
    <n v="10"/>
    <n v="1015"/>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1"/>
    <n v="0"/>
    <n v="0"/>
    <s v="NA"/>
    <n v="0"/>
    <n v="0"/>
    <n v="0"/>
    <n v="0"/>
    <n v="0"/>
    <n v="1"/>
    <n v="0"/>
    <n v="0"/>
    <n v="0"/>
    <s v="NA"/>
    <x v="0"/>
    <s v="CFL uptake"/>
    <s v="dummy (0/1)"/>
    <n v="0.61699999999999999"/>
    <s v="increase"/>
    <n v="0.121"/>
    <n v="0.01"/>
    <n v="1"/>
    <n v="5.0991735537190079"/>
    <n v="0.85335961453808529"/>
    <n v="0.64953593830061807"/>
    <s v="NA"/>
    <n v="71"/>
    <s v="NA"/>
    <s v="NA"/>
    <n v="77"/>
    <s v="NA"/>
    <n v="148"/>
    <n v="148"/>
    <s v="NA"/>
    <s v="NA"/>
    <s v="NA"/>
    <s v="NA"/>
    <s v="NA"/>
    <s v="NA"/>
    <s v="NA"/>
    <s v="NA"/>
    <s v="NA"/>
    <s v="NA"/>
    <n v="0"/>
    <n v="0"/>
    <n v="0"/>
    <m/>
    <m/>
    <m/>
    <m/>
    <m/>
    <m/>
    <m/>
    <m/>
    <m/>
    <m/>
    <n v="0.38656560447568655"/>
    <n v="0.40775592843557701"/>
    <n v="6.6146665576027192E-3"/>
    <n v="6.8965517241379309E-3"/>
    <s v="NA"/>
    <n v="146"/>
    <s v="NA"/>
  </r>
  <r>
    <x v="0"/>
    <n v="10"/>
    <n v="1018"/>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1"/>
    <n v="0"/>
    <n v="0"/>
    <s v="NA"/>
    <n v="0"/>
    <n v="0"/>
    <n v="0"/>
    <n v="0"/>
    <n v="0"/>
    <n v="1"/>
    <n v="0"/>
    <n v="0"/>
    <n v="0"/>
    <s v="NA"/>
    <x v="0"/>
    <s v="CFL uptake"/>
    <s v="dummy (0/1)"/>
    <n v="0.629"/>
    <s v="increase"/>
    <n v="0.121"/>
    <n v="0.01"/>
    <n v="1"/>
    <n v="5.1983471074380168"/>
    <n v="0.87573390717751165"/>
    <n v="0.65226268066592974"/>
    <s v="NA"/>
    <n v="71"/>
    <s v="NA"/>
    <s v="NA"/>
    <n v="77"/>
    <s v="NA"/>
    <n v="148"/>
    <n v="148"/>
    <s v="NA"/>
    <s v="NA"/>
    <s v="NA"/>
    <s v="NA"/>
    <s v="NA"/>
    <s v="NA"/>
    <s v="NA"/>
    <s v="NA"/>
    <s v="NA"/>
    <s v="NA"/>
    <n v="1"/>
    <n v="0"/>
    <n v="1"/>
    <m/>
    <m/>
    <m/>
    <m/>
    <m/>
    <m/>
    <m/>
    <m/>
    <m/>
    <m/>
    <n v="0.3929324948845429"/>
    <n v="0.41526325821269588"/>
    <n v="6.6004300266440307E-3"/>
    <n v="6.8965517241379309E-3"/>
    <s v="NA"/>
    <n v="146"/>
    <s v="NA"/>
  </r>
  <r>
    <x v="3"/>
    <m/>
    <n v="1232"/>
    <n v="304"/>
    <s v="Galarraga, Gonzalez-Eguino, Markandya"/>
    <n v="2011"/>
    <s v="Willingness to pay and price elasticities of demand for energy-efficient appliances: Combining the hedonic approach and demand systems"/>
    <s v="This article proposes a combined approach for estimating willingness to pay for the attributes represented by energy efficiency labels and providing reliable price elasticities of demand (own and cross) for close substitutes (e.g. those with low energy efficiency and those with higher energy efficiency). This is done by using the results of the hedonic approach together with the Quantity Based Demand System (QBDS) model. The elasticity results obtained with the latter are then compared with those simulated using the Linear Almost Ideal Demand System (LA/AIDS). The methodology is applied to the dishwasher market in Spain: it is found that 15.6% of the final price is actually paid for the energy efficiency attribute. This accounts for about €80 of the average market price. The elasticity results confirm that energy efficient appliances are more price elastic than regular ones."/>
    <n v="2"/>
    <n v="2009"/>
    <x v="0"/>
    <s v="S69"/>
    <x v="4"/>
    <x v="5"/>
    <x v="11"/>
    <s v="revealed preference"/>
    <s v="retailer"/>
    <s v="store visitors"/>
    <n v="0"/>
    <s v="no such option"/>
    <n v="0"/>
    <s v="probably yes"/>
    <s v="probably no"/>
    <s v="Market prices do not reveal much on consumer behavior"/>
    <n v="0"/>
    <n v="0"/>
    <n v="1"/>
    <n v="0"/>
    <n v="0"/>
    <n v="0"/>
    <n v="0"/>
    <n v="0"/>
    <s v="impossible to separate the effect of the label from energy efficiency"/>
    <n v="0"/>
    <n v="0"/>
    <n v="1"/>
    <n v="0"/>
    <n v="0"/>
    <n v="0"/>
    <n v="0"/>
    <n v="0"/>
    <n v="0"/>
    <s v="lprice"/>
    <x v="2"/>
    <s v="estimated price-premium for the most energy-efficient refrigerators"/>
    <s v="log scale"/>
    <n v="0.156"/>
    <s v="increase"/>
    <e v="#VALUE!"/>
    <n v="0.08"/>
    <n v="3"/>
    <s v="NA"/>
    <s v="NA"/>
    <m/>
    <s v="NA"/>
    <s v="NA"/>
    <s v="NA"/>
    <s v="NA"/>
    <s v="NA"/>
    <s v="NA"/>
    <n v="318"/>
    <n v="318"/>
    <s v="NA"/>
    <s v="NA"/>
    <s v="NA"/>
    <s v="NA"/>
    <s v="NA"/>
    <s v="NA"/>
    <s v="NA"/>
    <n v="1"/>
    <s v="NA"/>
    <s v="binary"/>
    <n v="0"/>
    <n v="0"/>
    <n v="0"/>
    <m/>
    <m/>
    <m/>
    <m/>
    <m/>
    <m/>
    <m/>
    <m/>
    <m/>
    <m/>
    <e v="#VALUE!"/>
    <e v="#VALUE!"/>
    <e v="#VALUE!"/>
    <n v="3.1746031746031746E-3"/>
    <e v="#VALUE!"/>
    <m/>
    <m/>
  </r>
  <r>
    <x v="0"/>
    <m/>
    <n v="1013"/>
    <n v="104"/>
    <s v="Galarraga, Heres, Gonzalez-Eguino"/>
    <n v="2011"/>
    <s v="Price premium for high-efficiency refrigerators and calculation of price-elasticities_x000a_for close-substitutes: a methodology using hedonic pricing and demand systems"/>
    <s v="This article uses the hedonic method to estimate the price premium paid for the highest energyefficiency_x000a_label (Aþ) in the refrigerators market of the Basque Autonomous Community (Spain). The_x000a_estimated figure is 8.9% of the final price or about 60 euro, which represents one third of the energy_x000a_savings that a consumer obtains during the lifetime of a refrigerator with the highest energy-efficiency_x000a_label. This figure is then combined with the linear version of the Almost Ideal Demand System (LA/AIDS)_x000a_to obtain own and cross-price elasticities of demand. The method presented here could be useful for_x000a_policy design and analysis. Our results indicate that the demand for refrigerators with the highest_x000a_energy-efficiency label is highly sensitive to price variations."/>
    <n v="2"/>
    <n v="2009"/>
    <x v="0"/>
    <n v="2077"/>
    <x v="4"/>
    <x v="3"/>
    <x v="11"/>
    <s v="revealed preference"/>
    <s v="retailer"/>
    <s v="store visitors"/>
    <n v="0"/>
    <s v="no such option"/>
    <n v="0"/>
    <s v="probably no"/>
    <s v="probably no"/>
    <s v="not in meta regression - ? dynamics rather than demand"/>
    <n v="0"/>
    <n v="0"/>
    <n v="1"/>
    <n v="0"/>
    <n v="0"/>
    <n v="0"/>
    <n v="0"/>
    <n v="0"/>
    <s v="impossible to separate the effect of the label from energy efficiency"/>
    <n v="0"/>
    <n v="0"/>
    <n v="0"/>
    <n v="1"/>
    <n v="0"/>
    <n v="0"/>
    <n v="0"/>
    <n v="0"/>
    <n v="0"/>
    <s v="lprice"/>
    <x v="2"/>
    <s v="estimated price-premium for the most energy-efficient refrigerators"/>
    <s v="log scale"/>
    <n v="8.8999999999999996E-2"/>
    <s v="increase"/>
    <n v="2.1999999999999999E-2"/>
    <n v="0.01"/>
    <n v="1"/>
    <n v="4.0454545454545459"/>
    <s v="NA"/>
    <m/>
    <s v="NA"/>
    <s v="NA"/>
    <s v="NA"/>
    <s v="NA"/>
    <s v="NA"/>
    <s v="NA"/>
    <n v="676"/>
    <n v="676"/>
    <s v="NA"/>
    <s v="NA"/>
    <s v="NA"/>
    <s v="NA"/>
    <s v="NA"/>
    <s v="NA"/>
    <s v="NA"/>
    <s v="NA"/>
    <s v="NA"/>
    <s v="alphabetical with +"/>
    <n v="0"/>
    <n v="0"/>
    <n v="0"/>
    <m/>
    <m/>
    <m/>
    <m/>
    <m/>
    <m/>
    <m/>
    <m/>
    <m/>
    <m/>
    <n v="0.15374448735583945"/>
    <n v="0.15497333468721167"/>
    <n v="1.4806269577269365E-3"/>
    <n v="1.4858841010401188E-3"/>
    <m/>
    <m/>
    <m/>
  </r>
  <r>
    <x v="0"/>
    <m/>
    <s v="NA"/>
    <s v="NA"/>
    <s v="Gana, Hoppe"/>
    <n v="2017"/>
    <s v="Assessment of the Governance System Regarding_x000a_Adoption of Energy Efficient Appliances by_x000a_Households in Nigeria"/>
    <s v="The adoption of energy efficient electrical appliances by households has a great potential_x000a_to reduce electricity consumption in Nigeria. A well-formulated and implemented policy (mix) to_x000a_spur adoption is said to be required to drive this process. This article presents an assessment_x000a_of policies that aim to spur adoption among households, and the related governance system._x000a_The analytical framework used for this analysis is the Governance Assessment Tool (GAT). Data_x000a_collection involved semi-structured interviews, a review of policy documents, and secondary_x000a_quantitative data. The results show that policies in Nigeria had little effect in meeting pre-set_x000a_goals. The governance system was found to be weakly developed due to a lack of policy, the_x000a_overlapping work of different governmental organizations, a lack of appropriate resources, and a_x000a_lack of householders’ involvement in agenda-setting and decision-making processes. Current actions_x000a_mostly depend on local programmes that run via donor aid. They include the free exchange of CFL_x000a_bulbs and metering studies of end user energy consumption. The results add further insight in the_x000a_fields of governance and policy on energy efficiency issues in developing countries. This article also_x000a_provides suggestions for the design of policies that target the adoption of energy efficient electrical_x000a_appliances among households in Nigeria."/>
    <n v="2"/>
    <n v="2009"/>
    <x v="3"/>
    <n v="9"/>
    <x v="3"/>
    <x v="0"/>
    <x v="15"/>
    <s v="revealed preference"/>
    <s v="household"/>
    <m/>
    <m/>
    <m/>
    <m/>
    <m/>
    <m/>
    <m/>
    <n v="0"/>
    <n v="0"/>
    <n v="0"/>
    <n v="0"/>
    <n v="0"/>
    <n v="1"/>
    <n v="0"/>
    <n v="0"/>
    <s v="free exchange for a CFL - full subsidy"/>
    <n v="0"/>
    <n v="0"/>
    <n v="0"/>
    <n v="0"/>
    <n v="0"/>
    <n v="1"/>
    <n v="0"/>
    <n v="0"/>
    <n v="0"/>
    <m/>
    <x v="3"/>
    <m/>
    <m/>
    <m/>
    <m/>
    <m/>
    <m/>
    <m/>
    <m/>
    <m/>
    <m/>
    <m/>
    <m/>
    <m/>
    <m/>
    <m/>
    <m/>
    <m/>
    <m/>
    <m/>
    <m/>
    <m/>
    <m/>
    <m/>
    <m/>
    <m/>
    <m/>
    <m/>
    <m/>
    <n v="0"/>
    <m/>
    <n v="0"/>
    <m/>
    <m/>
    <m/>
    <m/>
    <m/>
    <m/>
    <m/>
    <m/>
    <m/>
    <m/>
    <m/>
    <m/>
    <m/>
    <m/>
    <m/>
    <m/>
    <m/>
  </r>
  <r>
    <x v="0"/>
    <n v="11"/>
    <n v="1026"/>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5"/>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1.7999999999999999E-2"/>
    <s v="increase"/>
    <s v="NA"/>
    <n v="0.05"/>
    <n v="2"/>
    <n v="1.962795497038498"/>
    <n v="1.8162976389793695E-2"/>
    <n v="0.50449987850393641"/>
    <s v="NA"/>
    <s v="NA"/>
    <s v="NA"/>
    <s v="NA"/>
    <n v="40"/>
    <s v="NA"/>
    <n v="841"/>
    <n v="841"/>
    <s v="NA"/>
    <s v="NA"/>
    <n v="235.29"/>
    <s v="from 0,05 to 0,1"/>
    <s v="NA"/>
    <s v="NA"/>
    <s v="NA"/>
    <s v="NA"/>
    <s v="NA"/>
    <s v="NA"/>
    <n v="1"/>
    <n v="1"/>
    <n v="1"/>
    <m/>
    <m/>
    <m/>
    <m/>
    <m/>
    <m/>
    <m/>
    <m/>
    <m/>
    <m/>
    <n v="6.7528109143524445E-2"/>
    <n v="6.7631034648244742E-2"/>
    <n v="1.190451284427091E-3"/>
    <n v="1.1933174224343676E-3"/>
    <s v="NA"/>
    <n v="839"/>
    <s v="NA"/>
  </r>
  <r>
    <x v="0"/>
    <n v="11"/>
    <n v="1030"/>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5.1999999999999998E-2"/>
    <s v="decrease"/>
    <s v="NA"/>
    <n v="0.05"/>
    <n v="2"/>
    <n v="1.962795497038498"/>
    <n v="5.3375742513364743E-2"/>
    <n v="0.51299707145854179"/>
    <s v="NA"/>
    <s v="NA"/>
    <s v="NA"/>
    <s v="NA"/>
    <n v="66"/>
    <s v="NA"/>
    <n v="841"/>
    <n v="841"/>
    <s v="NA"/>
    <s v="NA"/>
    <n v="0"/>
    <n v="0"/>
    <s v="NA"/>
    <s v="NA"/>
    <s v="NA"/>
    <s v="NA"/>
    <s v="NA"/>
    <s v="NA"/>
    <n v="1"/>
    <n v="1"/>
    <n v="1"/>
    <m/>
    <m/>
    <m/>
    <m/>
    <m/>
    <m/>
    <m/>
    <m/>
    <m/>
    <m/>
    <n v="6.7528109143524445E-2"/>
    <n v="6.7631034648244742E-2"/>
    <n v="1.190451284427091E-3"/>
    <n v="1.1933174224343676E-3"/>
    <s v="NA"/>
    <n v="839"/>
    <s v="NA"/>
  </r>
  <r>
    <x v="0"/>
    <n v="11"/>
    <n v="1033"/>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5.2999999999999999E-2"/>
    <s v="increase"/>
    <s v="NA"/>
    <n v="0.05"/>
    <n v="2"/>
    <n v="1.962795497038498"/>
    <n v="5.4429645119355996E-2"/>
    <n v="0.51324689926682643"/>
    <s v="NA"/>
    <s v="NA"/>
    <s v="NA"/>
    <s v="NA"/>
    <n v="60"/>
    <s v="NA"/>
    <n v="841"/>
    <n v="841"/>
    <s v="NA"/>
    <s v="NA"/>
    <n v="0"/>
    <n v="0"/>
    <s v="NA"/>
    <s v="NA"/>
    <s v="NA"/>
    <s v="NA"/>
    <s v="NA"/>
    <s v="NA"/>
    <n v="1"/>
    <n v="1"/>
    <n v="1"/>
    <m/>
    <m/>
    <m/>
    <m/>
    <m/>
    <m/>
    <m/>
    <m/>
    <m/>
    <m/>
    <n v="6.7528109143524445E-2"/>
    <n v="6.7631034648244742E-2"/>
    <n v="1.190451284427091E-3"/>
    <n v="1.1933174224343676E-3"/>
    <s v="NA"/>
    <n v="839"/>
    <s v="NA"/>
  </r>
  <r>
    <x v="0"/>
    <n v="11"/>
    <n v="1020"/>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20499999999999999"/>
    <s v="increase"/>
    <s v="NA"/>
    <n v="0.05"/>
    <n v="2"/>
    <n v="1.962795497038498"/>
    <n v="0.2275250649631777"/>
    <n v="0.55107126930734196"/>
    <s v="NA"/>
    <s v="NA"/>
    <s v="NA"/>
    <s v="NA"/>
    <n v="54"/>
    <s v="NA"/>
    <n v="841"/>
    <n v="841"/>
    <s v="NA"/>
    <s v="NA"/>
    <n v="235.29"/>
    <s v="from 0,05 to 0,1"/>
    <s v="NA"/>
    <s v="NA"/>
    <s v="NA"/>
    <s v="NA"/>
    <s v="NA"/>
    <s v="NA"/>
    <n v="1"/>
    <n v="1"/>
    <n v="1"/>
    <m/>
    <m/>
    <m/>
    <m/>
    <m/>
    <m/>
    <m/>
    <m/>
    <m/>
    <m/>
    <n v="6.7528109143524445E-2"/>
    <n v="6.7631034648244742E-2"/>
    <n v="1.190451284427091E-3"/>
    <n v="1.1933174224343676E-3"/>
    <s v="NA"/>
    <n v="839"/>
    <s v="NA"/>
  </r>
  <r>
    <x v="0"/>
    <n v="11"/>
    <n v="1023"/>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218"/>
    <s v="increase"/>
    <s v="NA"/>
    <n v="0.05"/>
    <n v="2"/>
    <n v="1.962795497038498"/>
    <n v="0.2435870676190619"/>
    <n v="0.55428518267346782"/>
    <s v="NA"/>
    <s v="NA"/>
    <s v="NA"/>
    <s v="NA"/>
    <n v="48"/>
    <s v="NA"/>
    <n v="841"/>
    <n v="841"/>
    <s v="NA"/>
    <s v="NA"/>
    <n v="235.29"/>
    <s v="from 0,05 to 0,1"/>
    <s v="NA"/>
    <s v="NA"/>
    <s v="NA"/>
    <s v="NA"/>
    <s v="NA"/>
    <s v="NA"/>
    <n v="1"/>
    <n v="1"/>
    <n v="1"/>
    <m/>
    <m/>
    <m/>
    <m/>
    <m/>
    <m/>
    <m/>
    <m/>
    <m/>
    <m/>
    <n v="6.7528109143524445E-2"/>
    <n v="6.7631034648244742E-2"/>
    <n v="1.190451284427091E-3"/>
    <n v="1.1933174224343676E-3"/>
    <s v="NA"/>
    <n v="839"/>
    <s v="NA"/>
  </r>
  <r>
    <x v="0"/>
    <n v="11"/>
    <n v="1032"/>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35199999999999998"/>
    <s v="decrease"/>
    <s v="NA"/>
    <n v="0.05"/>
    <n v="2"/>
    <n v="1.962795497038498"/>
    <n v="0.42190852371857734"/>
    <n v="0.58710248954216959"/>
    <s v="NA"/>
    <s v="NA"/>
    <s v="NA"/>
    <s v="NA"/>
    <n v="60"/>
    <s v="NA"/>
    <n v="841"/>
    <n v="841"/>
    <s v="NA"/>
    <s v="NA"/>
    <n v="235.29"/>
    <s v="from 0,05 to 0,1"/>
    <s v="NA"/>
    <s v="NA"/>
    <s v="NA"/>
    <s v="NA"/>
    <s v="NA"/>
    <s v="NA"/>
    <n v="1"/>
    <n v="1"/>
    <n v="1"/>
    <m/>
    <m/>
    <m/>
    <m/>
    <m/>
    <m/>
    <m/>
    <m/>
    <m/>
    <m/>
    <n v="6.7528109143524445E-2"/>
    <n v="6.7631034648244742E-2"/>
    <n v="1.190451284427091E-3"/>
    <n v="1.1933174224343676E-3"/>
    <s v="NA"/>
    <n v="839"/>
    <s v="NA"/>
  </r>
  <r>
    <x v="0"/>
    <n v="11"/>
    <n v="1024"/>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0.46899999999999997"/>
    <s v="increase"/>
    <s v="NA"/>
    <n v="0.05"/>
    <n v="2"/>
    <n v="1.962795497038498"/>
    <n v="0.59839499875464042"/>
    <n v="0.61514704250921037"/>
    <s v="NA"/>
    <s v="NA"/>
    <s v="NA"/>
    <s v="NA"/>
    <n v="48"/>
    <s v="NA"/>
    <n v="841"/>
    <n v="841"/>
    <s v="NA"/>
    <s v="NA"/>
    <n v="0"/>
    <n v="0"/>
    <s v="NA"/>
    <s v="NA"/>
    <s v="NA"/>
    <s v="NA"/>
    <s v="NA"/>
    <s v="NA"/>
    <n v="1"/>
    <n v="1"/>
    <n v="1"/>
    <m/>
    <m/>
    <m/>
    <m/>
    <m/>
    <m/>
    <m/>
    <m/>
    <m/>
    <m/>
    <n v="6.7528109143524445E-2"/>
    <n v="6.7631034648244742E-2"/>
    <n v="1.190451284427091E-3"/>
    <n v="1.1933174224343676E-3"/>
    <s v="NA"/>
    <n v="839"/>
    <s v="NA"/>
  </r>
  <r>
    <x v="0"/>
    <n v="11"/>
    <n v="1029"/>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47199999999999998"/>
    <s v="decrease"/>
    <s v="NA"/>
    <n v="0.05"/>
    <n v="2"/>
    <n v="1.962795497038498"/>
    <n v="0.60319738372657405"/>
    <n v="0.61585702019703836"/>
    <s v="NA"/>
    <s v="NA"/>
    <s v="NA"/>
    <s v="NA"/>
    <n v="66"/>
    <s v="NA"/>
    <n v="841"/>
    <n v="841"/>
    <s v="NA"/>
    <s v="NA"/>
    <n v="235.29"/>
    <s v="from 0,05 to 0,1"/>
    <s v="NA"/>
    <s v="NA"/>
    <s v="NA"/>
    <s v="NA"/>
    <s v="NA"/>
    <s v="NA"/>
    <n v="1"/>
    <n v="1"/>
    <n v="1"/>
    <m/>
    <m/>
    <m/>
    <m/>
    <m/>
    <m/>
    <m/>
    <m/>
    <m/>
    <m/>
    <n v="6.7528109143524445E-2"/>
    <n v="6.7631034648244742E-2"/>
    <n v="1.190451284427091E-3"/>
    <n v="1.1933174224343676E-3"/>
    <s v="NA"/>
    <n v="839"/>
    <s v="NA"/>
  </r>
  <r>
    <x v="0"/>
    <n v="11"/>
    <n v="1021"/>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0.47799999999999998"/>
    <s v="increase"/>
    <s v="NA"/>
    <n v="0.05"/>
    <n v="2"/>
    <n v="1.962795497038498"/>
    <n v="0.61284548338362299"/>
    <n v="0.61727549280679062"/>
    <s v="NA"/>
    <s v="NA"/>
    <s v="NA"/>
    <s v="NA"/>
    <n v="54"/>
    <s v="NA"/>
    <n v="841"/>
    <n v="841"/>
    <s v="NA"/>
    <s v="NA"/>
    <n v="0"/>
    <n v="0"/>
    <s v="NA"/>
    <s v="NA"/>
    <s v="NA"/>
    <s v="NA"/>
    <s v="NA"/>
    <s v="NA"/>
    <n v="1"/>
    <n v="1"/>
    <n v="1"/>
    <m/>
    <m/>
    <m/>
    <m/>
    <m/>
    <m/>
    <m/>
    <m/>
    <m/>
    <m/>
    <n v="6.7528109143524445E-2"/>
    <n v="6.7631034648244742E-2"/>
    <n v="1.190451284427091E-3"/>
    <n v="1.1933174224343676E-3"/>
    <s v="NA"/>
    <n v="839"/>
    <s v="NA"/>
  </r>
  <r>
    <x v="0"/>
    <n v="11"/>
    <n v="1027"/>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5"/>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0.84799999999999998"/>
    <s v="increase"/>
    <s v="NA"/>
    <n v="0.05"/>
    <n v="2"/>
    <n v="1.962795497038498"/>
    <n v="1.3349722343978727"/>
    <n v="0.70014742860953705"/>
    <s v="NA"/>
    <s v="NA"/>
    <s v="NA"/>
    <s v="NA"/>
    <n v="40"/>
    <s v="NA"/>
    <n v="841"/>
    <n v="841"/>
    <s v="NA"/>
    <s v="NA"/>
    <n v="0"/>
    <n v="0"/>
    <s v="NA"/>
    <s v="NA"/>
    <s v="NA"/>
    <s v="NA"/>
    <s v="NA"/>
    <s v="NA"/>
    <n v="1"/>
    <n v="1"/>
    <n v="1"/>
    <m/>
    <m/>
    <m/>
    <m/>
    <m/>
    <m/>
    <m/>
    <m/>
    <m/>
    <m/>
    <n v="6.7528109143524445E-2"/>
    <n v="6.7631034648244742E-2"/>
    <n v="1.190451284427091E-3"/>
    <n v="1.1933174224343676E-3"/>
    <s v="NA"/>
    <n v="839"/>
    <s v="NA"/>
  </r>
  <r>
    <x v="0"/>
    <n v="11"/>
    <n v="1031"/>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028"/>
    <s v="increase"/>
    <s v="NA"/>
    <n v="0.01"/>
    <n v="1"/>
    <n v="2.5817018839793482"/>
    <n v="1.7954693014284624"/>
    <n v="0.73652797043473905"/>
    <s v="NA"/>
    <s v="NA"/>
    <s v="NA"/>
    <s v="NA"/>
    <n v="66"/>
    <s v="NA"/>
    <n v="841"/>
    <n v="841"/>
    <s v="NA"/>
    <s v="NA"/>
    <n v="470.59"/>
    <s v="from 0,04 to 0,07 "/>
    <s v="NA"/>
    <s v="NA"/>
    <s v="NA"/>
    <s v="NA"/>
    <s v="NA"/>
    <s v="NA"/>
    <n v="1"/>
    <n v="1"/>
    <n v="1"/>
    <m/>
    <m/>
    <m/>
    <m/>
    <m/>
    <m/>
    <m/>
    <m/>
    <m/>
    <m/>
    <n v="8.8673513868765694E-2"/>
    <n v="8.890702958732373E-2"/>
    <n v="1.1904018089446793E-3"/>
    <n v="1.1933174224343676E-3"/>
    <s v="NA"/>
    <n v="839"/>
    <s v="NA"/>
  </r>
  <r>
    <x v="0"/>
    <n v="11"/>
    <n v="1034"/>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034"/>
    <s v="increase"/>
    <s v="NA"/>
    <n v="0.01"/>
    <n v="1"/>
    <n v="2.5817018839793482"/>
    <n v="1.8122925364724907"/>
    <n v="0.73769064403297369"/>
    <s v="NA"/>
    <s v="NA"/>
    <s v="NA"/>
    <s v="NA"/>
    <n v="60"/>
    <s v="NA"/>
    <n v="841"/>
    <n v="841"/>
    <s v="NA"/>
    <s v="NA"/>
    <n v="470.59"/>
    <s v="from 0,04 to 0,07 "/>
    <s v="NA"/>
    <s v="NA"/>
    <s v="NA"/>
    <s v="NA"/>
    <s v="NA"/>
    <s v="NA"/>
    <n v="1"/>
    <n v="1"/>
    <n v="1"/>
    <m/>
    <m/>
    <m/>
    <m/>
    <m/>
    <m/>
    <m/>
    <m/>
    <m/>
    <m/>
    <n v="8.8673513868765694E-2"/>
    <n v="8.890702958732373E-2"/>
    <n v="1.1904018089446793E-3"/>
    <n v="1.1933174224343676E-3"/>
    <s v="NA"/>
    <n v="839"/>
    <s v="NA"/>
  </r>
  <r>
    <x v="0"/>
    <n v="11"/>
    <n v="1025"/>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6839999999999999"/>
    <s v="increase"/>
    <s v="NA"/>
    <n v="0.01"/>
    <n v="1"/>
    <n v="2.5817018839793482"/>
    <n v="4.3870611767441066"/>
    <n v="0.84343347083615006"/>
    <s v="NA"/>
    <s v="NA"/>
    <s v="NA"/>
    <s v="NA"/>
    <n v="48"/>
    <s v="NA"/>
    <n v="841"/>
    <n v="841"/>
    <s v="NA"/>
    <s v="NA"/>
    <n v="470.59"/>
    <s v="from 0,04 to 0,07 "/>
    <s v="NA"/>
    <s v="NA"/>
    <s v="NA"/>
    <s v="NA"/>
    <s v="NA"/>
    <s v="NA"/>
    <n v="1"/>
    <n v="1"/>
    <n v="1"/>
    <m/>
    <m/>
    <m/>
    <m/>
    <m/>
    <m/>
    <m/>
    <m/>
    <m/>
    <m/>
    <n v="8.8673513868765694E-2"/>
    <n v="8.890702958732373E-2"/>
    <n v="1.1904018089446793E-3"/>
    <n v="1.1933174224343676E-3"/>
    <s v="NA"/>
    <n v="839"/>
    <s v="NA"/>
  </r>
  <r>
    <x v="0"/>
    <n v="11"/>
    <n v="1022"/>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6879999999999999"/>
    <s v="increase"/>
    <s v="NA"/>
    <n v="0.01"/>
    <n v="1"/>
    <n v="2.5817018839793482"/>
    <n v="4.4086525754599908"/>
    <n v="0.84396095930848247"/>
    <s v="NA"/>
    <s v="NA"/>
    <s v="NA"/>
    <s v="NA"/>
    <n v="54"/>
    <s v="NA"/>
    <n v="841"/>
    <n v="841"/>
    <s v="NA"/>
    <s v="NA"/>
    <n v="470.59"/>
    <s v="from 0,04 to 0,07 "/>
    <s v="NA"/>
    <s v="NA"/>
    <s v="NA"/>
    <s v="NA"/>
    <s v="NA"/>
    <s v="NA"/>
    <n v="1"/>
    <n v="1"/>
    <n v="1"/>
    <m/>
    <m/>
    <m/>
    <m/>
    <m/>
    <m/>
    <m/>
    <m/>
    <m/>
    <m/>
    <n v="8.8673513868765694E-2"/>
    <n v="8.890702958732373E-2"/>
    <n v="1.1904018089446793E-3"/>
    <n v="1.1933174224343676E-3"/>
    <s v="NA"/>
    <n v="839"/>
    <s v="NA"/>
  </r>
  <r>
    <x v="0"/>
    <n v="11"/>
    <n v="1028"/>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5"/>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8759999999999999"/>
    <s v="increase"/>
    <s v="NA"/>
    <n v="0.01"/>
    <n v="1"/>
    <n v="2.5817018839793482"/>
    <n v="5.5273432009470769"/>
    <n v="0.86715100224549591"/>
    <s v="NA"/>
    <s v="NA"/>
    <s v="NA"/>
    <s v="NA"/>
    <n v="40"/>
    <s v="NA"/>
    <n v="841"/>
    <n v="841"/>
    <s v="NA"/>
    <s v="NA"/>
    <n v="470.59"/>
    <s v="from 0,04 to 0,07 "/>
    <s v="NA"/>
    <s v="NA"/>
    <s v="NA"/>
    <s v="NA"/>
    <s v="NA"/>
    <s v="NA"/>
    <n v="1"/>
    <n v="1"/>
    <n v="1"/>
    <m/>
    <m/>
    <m/>
    <m/>
    <m/>
    <m/>
    <m/>
    <m/>
    <m/>
    <m/>
    <n v="8.8673513868765694E-2"/>
    <n v="8.890702958732373E-2"/>
    <n v="1.1904018089446793E-3"/>
    <n v="1.1933174224343676E-3"/>
    <s v="NA"/>
    <n v="839"/>
    <s v="NA"/>
  </r>
  <r>
    <x v="0"/>
    <n v="12"/>
    <n v="1149"/>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0"/>
    <n v="0"/>
    <n v="0"/>
    <n v="0"/>
    <n v="0"/>
    <n v="0"/>
    <n v="0"/>
    <s v="environmental + no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1.33"/>
    <s v="increase"/>
    <s v="NA"/>
    <n v="0.01"/>
    <n v="2"/>
    <n v="2.5840895721013624"/>
    <s v="NA"/>
    <m/>
    <s v="NA"/>
    <s v="NA"/>
    <s v="NA"/>
    <s v="NA"/>
    <s v="NA"/>
    <s v="NA"/>
    <n v="599"/>
    <n v="599"/>
    <s v="NA"/>
    <s v="NA"/>
    <s v="NA"/>
    <s v="NA"/>
    <s v="NA"/>
    <s v="NA"/>
    <s v="NA"/>
    <s v="NA"/>
    <s v="NA"/>
    <s v="NA"/>
    <n v="0"/>
    <n v="0"/>
    <n v="1"/>
    <m/>
    <m/>
    <m/>
    <m/>
    <m/>
    <m/>
    <m/>
    <m/>
    <m/>
    <m/>
    <n v="0.10499940460515129"/>
    <n v="0.10538784580628262"/>
    <n v="1.6720345208693912E-3"/>
    <n v="1.6778523489932886E-3"/>
    <s v="NA"/>
    <n v="597"/>
    <s v="NA"/>
  </r>
  <r>
    <x v="0"/>
    <n v="12"/>
    <n v="1150"/>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0"/>
    <n v="0"/>
    <n v="0"/>
    <n v="0"/>
    <n v="0"/>
    <n v="0"/>
    <n v="0"/>
    <s v="financial + no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2.82"/>
    <s v="increase"/>
    <s v="NA"/>
    <n v="1E-3"/>
    <n v="1"/>
    <n v="3.3068980114241935"/>
    <s v="NA"/>
    <m/>
    <s v="NA"/>
    <s v="NA"/>
    <s v="NA"/>
    <s v="NA"/>
    <s v="NA"/>
    <s v="NA"/>
    <n v="599"/>
    <n v="599"/>
    <s v="NA"/>
    <s v="NA"/>
    <s v="NA"/>
    <s v="NA"/>
    <s v="NA"/>
    <s v="NA"/>
    <s v="NA"/>
    <s v="NA"/>
    <s v="NA"/>
    <s v="NA"/>
    <n v="0"/>
    <n v="0"/>
    <n v="1"/>
    <m/>
    <m/>
    <m/>
    <m/>
    <m/>
    <m/>
    <m/>
    <m/>
    <m/>
    <m/>
    <n v="0.13389945792371422"/>
    <n v="0.13470840884771776"/>
    <n v="1.6716901501424388E-3"/>
    <n v="1.6778523489932886E-3"/>
    <s v="NA"/>
    <n v="597"/>
    <s v="NA"/>
  </r>
  <r>
    <x v="0"/>
    <n v="12"/>
    <n v="1151"/>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1"/>
    <n v="0"/>
    <n v="0"/>
    <n v="0"/>
    <n v="0"/>
    <n v="0"/>
    <n v="0"/>
    <s v="environmental +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3.09"/>
    <s v="increase"/>
    <s v="NA"/>
    <n v="1E-3"/>
    <n v="1"/>
    <n v="3.3068980114241935"/>
    <s v="NA"/>
    <m/>
    <s v="NA"/>
    <s v="NA"/>
    <s v="NA"/>
    <s v="NA"/>
    <s v="NA"/>
    <s v="NA"/>
    <n v="599"/>
    <n v="599"/>
    <s v="NA"/>
    <s v="NA"/>
    <s v="NA"/>
    <s v="NA"/>
    <s v="NA"/>
    <s v="NA"/>
    <s v="NA"/>
    <s v="NA"/>
    <s v="NA"/>
    <s v="NA"/>
    <n v="0"/>
    <n v="0"/>
    <n v="1"/>
    <m/>
    <m/>
    <m/>
    <m/>
    <m/>
    <m/>
    <m/>
    <m/>
    <m/>
    <m/>
    <n v="0.13389945792371422"/>
    <n v="0.13470840884771776"/>
    <n v="1.6716901501424388E-3"/>
    <n v="1.6778523489932886E-3"/>
    <s v="NA"/>
    <n v="597"/>
    <s v="NA"/>
  </r>
  <r>
    <x v="0"/>
    <n v="12"/>
    <n v="1152"/>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1"/>
    <n v="0"/>
    <n v="0"/>
    <n v="0"/>
    <n v="0"/>
    <n v="0"/>
    <n v="0"/>
    <s v="financial +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3.63"/>
    <s v="increase"/>
    <s v="NA"/>
    <n v="1E-3"/>
    <n v="1"/>
    <n v="3.3068980114241935"/>
    <s v="NA"/>
    <m/>
    <s v="NA"/>
    <s v="NA"/>
    <s v="NA"/>
    <s v="NA"/>
    <s v="NA"/>
    <s v="NA"/>
    <n v="599"/>
    <n v="599"/>
    <s v="NA"/>
    <s v="NA"/>
    <s v="NA"/>
    <s v="NA"/>
    <s v="NA"/>
    <s v="NA"/>
    <s v="NA"/>
    <s v="NA"/>
    <s v="NA"/>
    <s v="NA"/>
    <n v="0"/>
    <n v="0"/>
    <n v="1"/>
    <m/>
    <m/>
    <m/>
    <m/>
    <m/>
    <m/>
    <m/>
    <m/>
    <m/>
    <m/>
    <n v="0.13389945792371422"/>
    <n v="0.13470840884771776"/>
    <n v="1.6716901501424388E-3"/>
    <n v="1.6778523489932886E-3"/>
    <s v="NA"/>
    <n v="597"/>
    <s v="NA"/>
  </r>
  <r>
    <x v="2"/>
    <m/>
    <n v="1261"/>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1"/>
    <n v="0"/>
    <n v="0"/>
    <n v="0"/>
    <n v="0"/>
    <n v="0"/>
    <n v="0"/>
    <n v="0"/>
    <n v="0"/>
    <s v="WTP"/>
    <x v="2"/>
    <s v="WTP"/>
    <s v="NA"/>
    <n v="0.66400000000000003"/>
    <s v="decrease"/>
    <s v="NA"/>
    <n v="0.1"/>
    <n v="2"/>
    <s v="NA"/>
    <s v="NA"/>
    <m/>
    <s v="NA"/>
    <s v="NA"/>
    <s v="NA"/>
    <s v="NA"/>
    <s v="NA"/>
    <s v="NA"/>
    <n v="605"/>
    <n v="605"/>
    <s v="NA"/>
    <s v="NA"/>
    <s v="NA"/>
    <s v="NA"/>
    <s v="NA"/>
    <s v="NA"/>
    <s v="NA"/>
    <s v="NA"/>
    <s v="NA"/>
    <s v="NA"/>
    <n v="0"/>
    <n v="1"/>
    <n v="0"/>
    <m/>
    <m/>
    <m/>
    <m/>
    <m/>
    <m/>
    <m/>
    <m/>
    <m/>
    <m/>
    <e v="#VALUE!"/>
    <e v="#VALUE!"/>
    <e v="#VALUE!"/>
    <n v="1.6611295681063123E-3"/>
    <m/>
    <m/>
    <m/>
  </r>
  <r>
    <x v="2"/>
    <m/>
    <n v="1262"/>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0"/>
    <n v="0"/>
    <n v="0"/>
    <n v="0"/>
    <n v="1"/>
    <n v="0"/>
    <s v="WTP"/>
    <x v="2"/>
    <s v="WTP"/>
    <s v="NA"/>
    <n v="6.96"/>
    <s v="increase"/>
    <s v="NA"/>
    <n v="0.05"/>
    <n v="1"/>
    <s v="NA"/>
    <s v="NA"/>
    <m/>
    <s v="NA"/>
    <s v="NA"/>
    <s v="NA"/>
    <s v="NA"/>
    <s v="NA"/>
    <s v="NA"/>
    <n v="605"/>
    <n v="605"/>
    <s v="NA"/>
    <s v="NA"/>
    <s v="NA"/>
    <s v="NA"/>
    <s v="NA"/>
    <s v="NA"/>
    <s v="NA"/>
    <s v="NA"/>
    <s v="NA"/>
    <s v="NA"/>
    <n v="0"/>
    <n v="1"/>
    <n v="0"/>
    <m/>
    <m/>
    <m/>
    <m/>
    <m/>
    <m/>
    <m/>
    <m/>
    <m/>
    <m/>
    <e v="#VALUE!"/>
    <e v="#VALUE!"/>
    <e v="#VALUE!"/>
    <n v="1.6611295681063123E-3"/>
    <m/>
    <m/>
    <m/>
  </r>
  <r>
    <x v="2"/>
    <m/>
    <n v="1263"/>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0"/>
    <n v="0"/>
    <n v="0"/>
    <n v="0"/>
    <n v="0"/>
    <n v="1"/>
    <s v="WTP"/>
    <x v="2"/>
    <s v="WTP"/>
    <s v="NA"/>
    <n v="1.591"/>
    <s v="increase"/>
    <s v="NA"/>
    <n v="0.1"/>
    <n v="2"/>
    <s v="NA"/>
    <s v="NA"/>
    <m/>
    <s v="NA"/>
    <s v="NA"/>
    <s v="NA"/>
    <s v="NA"/>
    <s v="NA"/>
    <s v="NA"/>
    <n v="605"/>
    <n v="605"/>
    <s v="NA"/>
    <s v="NA"/>
    <s v="NA"/>
    <s v="NA"/>
    <s v="NA"/>
    <s v="NA"/>
    <s v="NA"/>
    <s v="NA"/>
    <s v="NA"/>
    <s v="NA"/>
    <n v="0"/>
    <n v="1"/>
    <n v="0"/>
    <m/>
    <m/>
    <m/>
    <m/>
    <m/>
    <m/>
    <m/>
    <m/>
    <m/>
    <m/>
    <e v="#VALUE!"/>
    <e v="#VALUE!"/>
    <e v="#VALUE!"/>
    <n v="1.6611295681063123E-3"/>
    <m/>
    <m/>
    <m/>
  </r>
  <r>
    <x v="2"/>
    <m/>
    <n v="1264"/>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0"/>
    <n v="0"/>
    <n v="1"/>
    <n v="0"/>
    <n v="0"/>
    <n v="0"/>
    <s v="WTP"/>
    <x v="2"/>
    <s v="WTP"/>
    <s v="NA"/>
    <n v="1.585"/>
    <s v="increase"/>
    <s v="NA"/>
    <n v="0.01"/>
    <n v="1"/>
    <s v="NA"/>
    <s v="NA"/>
    <m/>
    <s v="NA"/>
    <s v="NA"/>
    <s v="NA"/>
    <s v="NA"/>
    <s v="NA"/>
    <s v="NA"/>
    <n v="605"/>
    <n v="605"/>
    <s v="NA"/>
    <s v="NA"/>
    <s v="NA"/>
    <s v="NA"/>
    <s v="NA"/>
    <s v="NA"/>
    <s v="NA"/>
    <s v="NA"/>
    <s v="NA"/>
    <s v="NA"/>
    <n v="0"/>
    <n v="1"/>
    <n v="0"/>
    <m/>
    <m/>
    <m/>
    <m/>
    <m/>
    <m/>
    <m/>
    <m/>
    <m/>
    <m/>
    <e v="#VALUE!"/>
    <e v="#VALUE!"/>
    <e v="#VALUE!"/>
    <n v="1.6611295681063123E-3"/>
    <m/>
    <m/>
    <m/>
  </r>
  <r>
    <x v="2"/>
    <m/>
    <n v="1265"/>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1"/>
    <n v="0"/>
    <n v="0"/>
    <n v="0"/>
    <n v="0"/>
    <n v="0"/>
    <s v="WTP"/>
    <x v="2"/>
    <s v="WTP"/>
    <s v="NA"/>
    <n v="1.7"/>
    <s v="decrease"/>
    <s v="NA"/>
    <n v="0.1"/>
    <n v="2"/>
    <s v="NA"/>
    <s v="NA"/>
    <m/>
    <s v="NA"/>
    <s v="NA"/>
    <s v="NA"/>
    <s v="NA"/>
    <s v="NA"/>
    <s v="NA"/>
    <n v="605"/>
    <n v="605"/>
    <s v="NA"/>
    <s v="NA"/>
    <s v="NA"/>
    <s v="NA"/>
    <s v="NA"/>
    <s v="NA"/>
    <s v="NA"/>
    <s v="NA"/>
    <s v="NA"/>
    <s v="NA"/>
    <n v="0"/>
    <n v="1"/>
    <n v="0"/>
    <m/>
    <m/>
    <m/>
    <m/>
    <m/>
    <m/>
    <m/>
    <m/>
    <m/>
    <m/>
    <e v="#VALUE!"/>
    <e v="#VALUE!"/>
    <e v="#VALUE!"/>
    <n v="1.6611295681063123E-3"/>
    <m/>
    <m/>
    <m/>
  </r>
  <r>
    <x v="0"/>
    <m/>
    <s v="NA"/>
    <s v="NA"/>
    <s v="Harrington"/>
    <n v="2017"/>
    <s v="Quantifying energy savings from replacement of old refrigerators"/>
    <s v="energy consumption of refrigerating appliances in the field, the data is very complex and difficult to interpret. Field data _x000a_measured in houses has constantly fluctuating room temperatures and is subject to somewhat random interactions with _x000a_householders through door openings and the placement of food and drinks to be cooled. Another problem with field data is that _x000a_household indoor temperatures are quite seasonal and significant periods of data are required to quantify these effects. _x000a_This paper analyses the results of 21 refrigerator replacements that have occurred in Melbourne, Gippsland (Victoria) and"/>
    <n v="1"/>
    <m/>
    <x v="8"/>
    <s v="check maybe they have aggregate results in supplementary materials?"/>
    <x v="6"/>
    <x v="4"/>
    <x v="5"/>
    <m/>
    <m/>
    <m/>
    <m/>
    <m/>
    <m/>
    <m/>
    <m/>
    <s v="small sample size, no statistical analysis of the results, only descriptive statistics for each household"/>
    <m/>
    <m/>
    <m/>
    <m/>
    <m/>
    <m/>
    <m/>
    <m/>
    <m/>
    <m/>
    <m/>
    <m/>
    <m/>
    <m/>
    <m/>
    <m/>
    <m/>
    <m/>
    <m/>
    <x v="3"/>
    <m/>
    <m/>
    <m/>
    <m/>
    <m/>
    <m/>
    <m/>
    <m/>
    <m/>
    <m/>
    <m/>
    <m/>
    <m/>
    <m/>
    <m/>
    <m/>
    <m/>
    <m/>
    <m/>
    <m/>
    <m/>
    <m/>
    <m/>
    <m/>
    <m/>
    <m/>
    <m/>
    <m/>
    <m/>
    <m/>
    <m/>
    <m/>
    <m/>
    <m/>
    <m/>
    <m/>
    <m/>
    <m/>
    <m/>
    <m/>
    <m/>
    <m/>
    <m/>
    <m/>
    <m/>
    <m/>
    <m/>
    <m/>
  </r>
  <r>
    <x v="0"/>
    <n v="13"/>
    <n v="1121"/>
    <n v="126"/>
    <s v="Heinzle, Wüstenhagen"/>
    <n v="2010"/>
    <s v="Disimproving the European Energy Label's value for consumers? Results from a consumer survey"/>
    <s v="&quot;The European labelling scheme was introduced to counteract the rise in energy consumption by in- creasing consumer awareness on real energy use. Since its introduction in the mid-nineties it has not kept up with the state of the art. After years of technological advancements and better know-how, an update of the scale became necessary because many products now have the highest energy-efficiency class. After months of negotiations, members of the European Parliament and representatives from the European Commission finally reached a consensus with a compromise proposal from the Swedish Presidency. As a basis for classification, the system would continue using letters A to G, but would expand the A categories into a maximum of three tiers (A+, A++, A+++). Environmental and consumer groups criticise this proposal and support the retention of a simple, closed A-G energy label, provided that a dynamic system would be implemented. The purpose of this paper is to provide evidence of the effect of two discussed labelling schemes on consumer decisions regarding televisions. The findings are based on 2,244 observations, where half of the consumers surveyed were exposed to the existing label and the other half received an otherwise identical survey, but using the new categories._x000a_The survey shows that the well-known A-G closed scheme has a greater impact on consumer deci- sions than an A+++ style label. The results clearly show that introducing the new label with its addi- tional categories weakens the effect of the label, resulting in lower awareness of consumers about en- ergy efficiency as an important attribute.&quot;"/>
    <n v="2"/>
    <n v="2009"/>
    <x v="0"/>
    <n v="13"/>
    <x v="5"/>
    <x v="0"/>
    <x v="3"/>
    <s v="stated preference"/>
    <s v="online"/>
    <s v="individuals"/>
    <n v="1"/>
    <s v="opt_out"/>
    <n v="1"/>
    <s v="probably no"/>
    <s v="probably no"/>
    <s v="NA"/>
    <n v="0"/>
    <n v="0"/>
    <n v="1"/>
    <n v="0"/>
    <n v="0"/>
    <n v="0"/>
    <n v="0"/>
    <n v="0"/>
    <s v="Respondents were split up into two different samples, which only differed with regard to the presentation_x000a_format of the label."/>
    <n v="0"/>
    <n v="0"/>
    <n v="0"/>
    <n v="0"/>
    <n v="0"/>
    <n v="0"/>
    <n v="0"/>
    <n v="0"/>
    <n v="1"/>
    <s v="Baysian Hierarchical modeling"/>
    <x v="0"/>
    <s v="the probability of an individual choosing the efficient appliance in a particular choice task"/>
    <s v="log scale"/>
    <n v="2.17"/>
    <s v="increase"/>
    <n v="0.11"/>
    <n v="0.01"/>
    <n v="1"/>
    <n v="19.727272727272727"/>
    <n v="7.7582840407408344"/>
    <n v="0.89752296655590269"/>
    <s v="NA"/>
    <s v="NA"/>
    <s v="NA"/>
    <s v="NA"/>
    <s v="NA"/>
    <s v="NA"/>
    <n v="97"/>
    <n v="1164"/>
    <s v="NA"/>
    <s v="NA"/>
    <s v="NA"/>
    <s v="NA"/>
    <s v="NA"/>
    <n v="0"/>
    <s v="NA"/>
    <n v="0"/>
    <s v="NA"/>
    <s v="alphabetical with +"/>
    <n v="0"/>
    <n v="0"/>
    <n v="1"/>
    <m/>
    <m/>
    <m/>
    <m/>
    <m/>
    <m/>
    <m/>
    <m/>
    <m/>
    <m/>
    <n v="0.89469513235852893"/>
    <n v="1.4449767900329058"/>
    <n v="-3.4995503034195442E-2"/>
    <n v="1.0638297872340425E-2"/>
    <s v="NA"/>
    <n v="96"/>
    <s v="NA"/>
  </r>
  <r>
    <x v="0"/>
    <n v="13"/>
    <n v="1120"/>
    <n v="126"/>
    <s v="Heinzle, Wüstenhagen"/>
    <n v="2010"/>
    <s v="Disimproving the European Energy Label's value for consumers? Results from a consumer survey"/>
    <s v="&quot;The European labelling scheme was introduced to counteract the rise in energy consumption by in- creasing consumer awareness on real energy use. Since its introduction in the mid-nineties it has not kept up with the state of the art. After years of technological advancements and better know-how, an update of the scale became necessary because many products now have the highest energy-efficiency class. After months of negotiations, members of the European Parliament and representatives from the European Commission finally reached a consensus with a compromise proposal from the Swedish Presidency. As a basis for classification, the system would continue using letters A to G, but would expand the A categories into a maximum of three tiers (A+, A++, A+++). Environmental and consumer groups criticise this proposal and support the retention of a simple, closed A-G energy label, provided that a dynamic system would be implemented. The purpose of this paper is to provide evidence of the effect of two discussed labelling schemes on consumer decisions regarding televisions. The findings are based on 2,244 observations, where half of the consumers surveyed were exposed to the existing label and the other half received an otherwise identical survey, but using the new categories._x000a_The survey shows that the well-known A-G closed scheme has a greater impact on consumer deci- sions than an A+++ style label. The results clearly show that introducing the new label with its addi- tional categories weakens the effect of the label, resulting in lower awareness of consumers about en- ergy efficiency as an important attribute.&quot;"/>
    <n v="2"/>
    <n v="2009"/>
    <x v="0"/>
    <n v="13"/>
    <x v="5"/>
    <x v="0"/>
    <x v="3"/>
    <s v="stated preference"/>
    <s v="online"/>
    <s v="individuals"/>
    <n v="1"/>
    <s v="opt_out"/>
    <n v="1"/>
    <s v="probably no"/>
    <s v="probably no"/>
    <s v="NA"/>
    <n v="0"/>
    <n v="0"/>
    <n v="1"/>
    <n v="0"/>
    <n v="0"/>
    <n v="0"/>
    <n v="0"/>
    <n v="0"/>
    <s v="Respondents were split up into two different samples, which only differed with regard to the presentation_x000a_format of the label."/>
    <n v="0"/>
    <n v="0"/>
    <n v="0"/>
    <n v="0"/>
    <n v="0"/>
    <n v="0"/>
    <n v="0"/>
    <n v="0"/>
    <n v="1"/>
    <s v="Baysian Hierarchical modeling"/>
    <x v="0"/>
    <s v="the probability of an individual choosing the efficient appliance in a particular choice task"/>
    <s v="log scale"/>
    <n v="3.18"/>
    <s v="increase"/>
    <n v="0.13"/>
    <n v="0.01"/>
    <n v="1"/>
    <n v="24.461538461538463"/>
    <n v="23.046753552064498"/>
    <n v="0.96007466604718616"/>
    <s v="NA"/>
    <s v="NA"/>
    <s v="NA"/>
    <s v="NA"/>
    <s v="NA"/>
    <s v="NA"/>
    <n v="90"/>
    <n v="1080"/>
    <s v="NA"/>
    <s v="NA"/>
    <s v="NA"/>
    <s v="NA"/>
    <s v="NA"/>
    <n v="0"/>
    <s v="NA"/>
    <n v="0"/>
    <s v="NA"/>
    <s v="alphabetical"/>
    <n v="0"/>
    <n v="0"/>
    <n v="1"/>
    <m/>
    <m/>
    <m/>
    <m/>
    <m/>
    <m/>
    <m/>
    <m/>
    <m/>
    <m/>
    <n v="0.93233886735311322"/>
    <n v="1.6759872465436003"/>
    <n v="-7.7416921417931925E-2"/>
    <n v="1.1494252873563218E-2"/>
    <s v="NA"/>
    <n v="89"/>
    <s v="NA"/>
  </r>
  <r>
    <x v="0"/>
    <n v="13"/>
    <n v="1134"/>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4"/>
    <s v="NA"/>
    <s v="NA"/>
    <e v="#VALUE!"/>
    <n v="0.33700000000000002"/>
    <e v="#NUM!"/>
    <s v="NA"/>
    <s v="NA"/>
    <s v="NA"/>
    <s v="NA"/>
    <s v="NA"/>
    <s v="NA"/>
    <n v="90"/>
    <n v="1080"/>
    <s v="NA"/>
    <s v="NA"/>
    <s v="NA"/>
    <s v="NA"/>
    <s v="NA"/>
    <n v="0"/>
    <s v="NA"/>
    <n v="0"/>
    <s v="NA"/>
    <s v="alphabetical"/>
    <n v="0"/>
    <n v="0"/>
    <n v="0"/>
    <m/>
    <m/>
    <m/>
    <m/>
    <m/>
    <m/>
    <m/>
    <m/>
    <m/>
    <m/>
    <n v="4.2087673934074338E-2"/>
    <n v="4.2112551359627833E-2"/>
    <n v="1.123591971702094E-2"/>
    <n v="1.1494252873563218E-2"/>
    <n v="8.4250000000000005E-2"/>
    <n v="89"/>
    <s v="NA"/>
  </r>
  <r>
    <x v="0"/>
    <n v="13"/>
    <n v="1135"/>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2.1"/>
    <s v="NA"/>
    <s v="NA"/>
    <e v="#VALUE!"/>
    <n v="7.4999999999999997E-2"/>
    <e v="#NUM!"/>
    <s v="NA"/>
    <s v="NA"/>
    <s v="NA"/>
    <s v="NA"/>
    <s v="NA"/>
    <s v="NA"/>
    <n v="97"/>
    <n v="1164"/>
    <s v="NA"/>
    <s v="NA"/>
    <s v="NA"/>
    <s v="NA"/>
    <s v="NA"/>
    <n v="0"/>
    <s v="NA"/>
    <n v="0"/>
    <s v="NA"/>
    <s v="alphabetical with +"/>
    <n v="0"/>
    <n v="0"/>
    <n v="0"/>
    <m/>
    <m/>
    <m/>
    <m/>
    <m/>
    <m/>
    <m/>
    <m/>
    <m/>
    <m/>
    <n v="1.785429641688294E-2"/>
    <n v="1.7856193952969043E-2"/>
    <n v="1.0416665607694988E-2"/>
    <n v="1.0638297872340425E-2"/>
    <n v="3.5714285714285712E-2"/>
    <n v="96"/>
    <s v="NA"/>
  </r>
  <r>
    <x v="0"/>
    <n v="13"/>
    <n v="1136"/>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2.6"/>
    <s v="NA"/>
    <s v="NA"/>
    <e v="#VALUE!"/>
    <n v="0.191"/>
    <e v="#NUM!"/>
    <s v="NA"/>
    <s v="NA"/>
    <s v="NA"/>
    <s v="NA"/>
    <s v="NA"/>
    <s v="NA"/>
    <n v="90"/>
    <n v="1080"/>
    <s v="NA"/>
    <s v="NA"/>
    <s v="NA"/>
    <s v="NA"/>
    <s v="NA"/>
    <n v="0"/>
    <s v="NA"/>
    <n v="0"/>
    <s v="NA"/>
    <s v="alphabetical"/>
    <n v="0"/>
    <n v="0"/>
    <n v="0"/>
    <m/>
    <m/>
    <m/>
    <m/>
    <m/>
    <m/>
    <m/>
    <m/>
    <m/>
    <m/>
    <n v="3.6706016626389615E-2"/>
    <n v="3.6722515025129569E-2"/>
    <n v="1.1235934622825631E-2"/>
    <n v="1.1494252873563218E-2"/>
    <n v="7.3461538461538467E-2"/>
    <n v="89"/>
    <s v="NA"/>
  </r>
  <r>
    <x v="0"/>
    <n v="13"/>
    <n v="1137"/>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3.1"/>
    <s v="NA"/>
    <s v="NA"/>
    <e v="#VALUE!"/>
    <n v="0.214"/>
    <e v="#NUM!"/>
    <s v="NA"/>
    <s v="NA"/>
    <s v="NA"/>
    <s v="NA"/>
    <s v="NA"/>
    <s v="NA"/>
    <n v="97"/>
    <n v="1164"/>
    <s v="NA"/>
    <s v="NA"/>
    <s v="NA"/>
    <s v="NA"/>
    <s v="NA"/>
    <n v="0"/>
    <s v="NA"/>
    <n v="0"/>
    <s v="NA"/>
    <s v="alphabetical with +"/>
    <n v="0"/>
    <n v="0"/>
    <n v="0"/>
    <m/>
    <m/>
    <m/>
    <m/>
    <m/>
    <m/>
    <m/>
    <m/>
    <m/>
    <m/>
    <n v="3.4495586763078345E-2"/>
    <n v="3.4509279163151156E-2"/>
    <n v="1.0416651893543523E-2"/>
    <n v="1.0638297872340425E-2"/>
    <n v="6.9032258064516128E-2"/>
    <n v="96"/>
    <s v="NA"/>
  </r>
  <r>
    <x v="0"/>
    <n v="13"/>
    <n v="1138"/>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2.8"/>
    <s v="NA"/>
    <s v="NA"/>
    <e v="#VALUE!"/>
    <n v="0.16500000000000001"/>
    <e v="#NUM!"/>
    <s v="NA"/>
    <s v="NA"/>
    <s v="NA"/>
    <s v="NA"/>
    <s v="NA"/>
    <s v="NA"/>
    <n v="90"/>
    <n v="1080"/>
    <s v="NA"/>
    <s v="NA"/>
    <s v="NA"/>
    <s v="NA"/>
    <s v="NA"/>
    <n v="0"/>
    <s v="NA"/>
    <n v="0"/>
    <s v="NA"/>
    <s v="alphabetical"/>
    <n v="0"/>
    <n v="0"/>
    <n v="0"/>
    <m/>
    <m/>
    <m/>
    <m/>
    <m/>
    <m/>
    <m/>
    <m/>
    <m/>
    <m/>
    <n v="2.9451504412310325E-2"/>
    <n v="2.946002417111681E-2"/>
    <n v="1.1235946592828075E-2"/>
    <n v="1.1494252873563218E-2"/>
    <n v="5.8928571428571434E-2"/>
    <n v="89"/>
    <s v="NA"/>
  </r>
  <r>
    <x v="0"/>
    <n v="13"/>
    <n v="1139"/>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3.2"/>
    <s v="NA"/>
    <s v="NA"/>
    <e v="#VALUE!"/>
    <n v="0.254"/>
    <e v="#NUM!"/>
    <s v="NA"/>
    <s v="NA"/>
    <s v="NA"/>
    <s v="NA"/>
    <s v="NA"/>
    <s v="NA"/>
    <n v="97"/>
    <n v="1164"/>
    <s v="NA"/>
    <s v="NA"/>
    <s v="NA"/>
    <s v="NA"/>
    <s v="NA"/>
    <n v="0"/>
    <s v="NA"/>
    <n v="0"/>
    <s v="NA"/>
    <s v="alphabetical with +"/>
    <n v="0"/>
    <n v="0"/>
    <n v="0"/>
    <m/>
    <m/>
    <m/>
    <m/>
    <m/>
    <m/>
    <m/>
    <m/>
    <m/>
    <m/>
    <n v="3.9656281030740814E-2"/>
    <n v="3.9677088763029514E-2"/>
    <n v="1.0416640850725469E-2"/>
    <n v="1.0638297872340425E-2"/>
    <n v="7.9375000000000001E-2"/>
    <n v="96"/>
    <s v="NA"/>
  </r>
  <r>
    <x v="0"/>
    <n v="13"/>
    <n v="1140"/>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4.0999999999999996"/>
    <s v="NA"/>
    <s v="NA"/>
    <e v="#VALUE!"/>
    <n v="0.30880000000000002"/>
    <e v="#NUM!"/>
    <s v="NA"/>
    <s v="NA"/>
    <s v="NA"/>
    <s v="NA"/>
    <s v="NA"/>
    <s v="NA"/>
    <n v="90"/>
    <n v="1080"/>
    <s v="NA"/>
    <s v="NA"/>
    <s v="NA"/>
    <s v="NA"/>
    <s v="NA"/>
    <n v="0"/>
    <s v="NA"/>
    <n v="0"/>
    <s v="NA"/>
    <s v="alphabetical"/>
    <n v="0"/>
    <n v="0"/>
    <n v="0"/>
    <m/>
    <m/>
    <m/>
    <m/>
    <m/>
    <m/>
    <m/>
    <m/>
    <m/>
    <m/>
    <n v="3.7631861937430795E-2"/>
    <n v="3.7649641255509014E-2"/>
    <n v="1.1235932479848823E-2"/>
    <n v="1.1494252873563218E-2"/>
    <n v="7.5317073170731719E-2"/>
    <n v="89"/>
    <s v="NA"/>
  </r>
  <r>
    <x v="0"/>
    <n v="13"/>
    <n v="1141"/>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4.3"/>
    <s v="NA"/>
    <s v="NA"/>
    <e v="#VALUE!"/>
    <n v="0.45700000000000002"/>
    <e v="#NUM!"/>
    <s v="NA"/>
    <s v="NA"/>
    <s v="NA"/>
    <s v="NA"/>
    <s v="NA"/>
    <s v="NA"/>
    <n v="97"/>
    <n v="1164"/>
    <s v="NA"/>
    <s v="NA"/>
    <s v="NA"/>
    <s v="NA"/>
    <s v="NA"/>
    <n v="0"/>
    <s v="NA"/>
    <n v="0"/>
    <s v="NA"/>
    <s v="alphabetical with +"/>
    <n v="0"/>
    <n v="0"/>
    <n v="0"/>
    <m/>
    <m/>
    <m/>
    <m/>
    <m/>
    <m/>
    <m/>
    <m/>
    <m/>
    <m/>
    <n v="5.306466542985009E-2"/>
    <n v="5.3114557283637655E-2"/>
    <n v="1.0416583761226261E-2"/>
    <n v="1.0638297872340425E-2"/>
    <n v="0.10627906976744186"/>
    <n v="96"/>
    <s v="NA"/>
  </r>
  <r>
    <x v="0"/>
    <m/>
    <s v="NA"/>
    <s v="NA"/>
    <s v="Hirst, Carney, O'Neal"/>
    <n v="1979"/>
    <s v="Alternative technologies for US residential water heating. Energy savings and economic benefits"/>
    <m/>
    <m/>
    <m/>
    <x v="9"/>
    <m/>
    <x v="6"/>
    <x v="4"/>
    <x v="5"/>
    <m/>
    <m/>
    <m/>
    <m/>
    <m/>
    <m/>
    <m/>
    <m/>
    <m/>
    <m/>
    <m/>
    <m/>
    <m/>
    <m/>
    <m/>
    <m/>
    <m/>
    <m/>
    <m/>
    <m/>
    <m/>
    <m/>
    <m/>
    <m/>
    <m/>
    <m/>
    <m/>
    <m/>
    <x v="3"/>
    <m/>
    <m/>
    <m/>
    <m/>
    <m/>
    <m/>
    <m/>
    <m/>
    <m/>
    <m/>
    <m/>
    <m/>
    <m/>
    <m/>
    <m/>
    <m/>
    <m/>
    <m/>
    <m/>
    <m/>
    <m/>
    <m/>
    <m/>
    <m/>
    <m/>
    <m/>
    <m/>
    <m/>
    <m/>
    <m/>
    <m/>
    <m/>
    <m/>
    <m/>
    <m/>
    <m/>
    <m/>
    <m/>
    <m/>
    <m/>
    <m/>
    <m/>
    <m/>
    <m/>
    <m/>
    <m/>
    <m/>
    <m/>
  </r>
  <r>
    <x v="2"/>
    <m/>
    <n v="1254"/>
    <n v="402"/>
    <s v="Hlakotsa, Lencwe, Ngobeni, Chowdhury"/>
    <n v="2019"/>
    <s v="Energy Efficient Water Heating using Air Source Heat Pumps"/>
    <s v="The objective of the project is to save electricity on water heating by means of measuring, verifying the energy consumption, demand and energy cost savings, as well as emission impacts. Calculations for sizing the heat pumps to match the electricity boilers output were conducted. Measured data was captured in Microsoft excel toolkit to calculate the electricity energy savings. These were achieved through replacement of conventional water heating electrical boilers with heat pumps, which is an energy efficient water heating technology at Ben Eden Ben Avon residential complex. The complex consist of 153 apartments at Benmore Gardens, Parkmore. Therefore, the contribution of these paper is to determine the energy savings and achieve Demand Side Management for Eskom, thus, ensuring clients benefit financially through reduced monthly electricity consumption. Furthermore, strain will be reduced from the electricity utility network system. The project is classified as an Energy Efficiency and the targeted equipment is of a 140 kW and 180 kW element water boilers at the Ben Avon Ben Eden residential buildings basement."/>
    <n v="1"/>
    <s v="NA"/>
    <x v="8"/>
    <n v="6"/>
    <x v="17"/>
    <x v="0"/>
    <x v="18"/>
    <s v="revealed preference"/>
    <s v="household"/>
    <s v="residents"/>
    <n v="1"/>
    <s v="no such option"/>
    <n v="0"/>
    <s v="probably yes"/>
    <s v="probably no"/>
    <s v="conducted in an apartment complex, no random selection"/>
    <n v="0"/>
    <n v="0"/>
    <n v="0"/>
    <n v="0"/>
    <n v="0"/>
    <n v="0"/>
    <n v="0"/>
    <n v="0"/>
    <s v="Replacement of water heaters"/>
    <n v="0"/>
    <n v="0"/>
    <n v="0"/>
    <n v="0"/>
    <n v="0"/>
    <n v="0"/>
    <n v="1"/>
    <n v="0"/>
    <n v="0"/>
    <s v="average savings reported in conclusion"/>
    <x v="1"/>
    <s v="monthly energy savings in kW"/>
    <s v="NA"/>
    <n v="100"/>
    <s v="increase"/>
    <s v="NA"/>
    <s v="NA"/>
    <s v="NA"/>
    <s v="NA"/>
    <s v="NA"/>
    <m/>
    <s v="NA"/>
    <s v="NA"/>
    <s v="NA"/>
    <s v="NA"/>
    <n v="1"/>
    <n v="0"/>
    <n v="1"/>
    <n v="1"/>
    <s v="NA"/>
    <s v="NA"/>
    <s v="NA"/>
    <s v="NA"/>
    <s v="NA"/>
    <s v="NA"/>
    <s v="NA"/>
    <s v="NA"/>
    <s v="NA"/>
    <s v="NA"/>
    <n v="0"/>
    <n v="0"/>
    <n v="0"/>
    <m/>
    <m/>
    <m/>
    <m/>
    <m/>
    <m/>
    <m/>
    <m/>
    <m/>
    <m/>
    <m/>
    <m/>
    <m/>
    <m/>
    <m/>
    <m/>
    <m/>
  </r>
  <r>
    <x v="0"/>
    <m/>
    <n v="1090"/>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0"/>
    <n v="1"/>
    <n v="0"/>
    <n v="0"/>
    <n v="0"/>
    <n v="0"/>
    <n v="0"/>
    <s v="NA"/>
    <x v="4"/>
    <s v="energy star market share"/>
    <s v="log scale"/>
    <n v="0.1"/>
    <s v="increase"/>
    <n v="2.1000000000000001E-2"/>
    <s v="NA"/>
    <n v="3"/>
    <n v="4.7619047619047619"/>
    <s v="NA"/>
    <m/>
    <s v="NA"/>
    <s v="NA"/>
    <s v="NA"/>
    <s v="NA"/>
    <s v="NA"/>
    <s v="NA"/>
    <n v="12450"/>
    <n v="12450"/>
    <s v="NA"/>
    <s v="NA"/>
    <n v="128"/>
    <n v="0.1"/>
    <s v="delayed"/>
    <s v="NA"/>
    <s v="NA"/>
    <s v="NA"/>
    <s v="NA"/>
    <s v="NA"/>
    <n v="0"/>
    <n v="1"/>
    <n v="0"/>
    <m/>
    <m/>
    <m/>
    <m/>
    <m/>
    <m/>
    <m/>
    <m/>
    <m/>
    <m/>
    <n v="4.2638399008658186E-2"/>
    <n v="4.2664266571193814E-2"/>
    <n v="8.0327471019973139E-5"/>
    <n v="8.0340644331967548E-5"/>
    <m/>
    <m/>
    <m/>
  </r>
  <r>
    <x v="0"/>
    <m/>
    <n v="1091"/>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0"/>
    <n v="1"/>
    <n v="0"/>
    <n v="0"/>
    <n v="0"/>
    <n v="0"/>
    <n v="0"/>
    <s v="NA"/>
    <x v="4"/>
    <s v="energy star market share"/>
    <s v="log scale"/>
    <n v="1.2E-2"/>
    <s v="increase"/>
    <n v="6.0000000000000001E-3"/>
    <s v="NA"/>
    <n v="3"/>
    <n v="2"/>
    <s v="NA"/>
    <m/>
    <s v="NA"/>
    <s v="NA"/>
    <s v="NA"/>
    <s v="NA"/>
    <s v="NA"/>
    <s v="NA"/>
    <n v="12450"/>
    <n v="12450"/>
    <s v="NA"/>
    <s v="NA"/>
    <n v="128"/>
    <n v="0.1"/>
    <s v="delayed"/>
    <s v="NA"/>
    <s v="NA"/>
    <s v="NA"/>
    <s v="NA"/>
    <s v="NA"/>
    <n v="0"/>
    <n v="1"/>
    <n v="0"/>
    <m/>
    <m/>
    <m/>
    <m/>
    <m/>
    <m/>
    <m/>
    <m/>
    <m/>
    <m/>
    <n v="1.7921549865299986E-2"/>
    <n v="1.7923468927909639E-2"/>
    <n v="8.0327728877657888E-5"/>
    <n v="8.0340644331967548E-5"/>
    <m/>
    <m/>
    <m/>
  </r>
  <r>
    <x v="0"/>
    <m/>
    <n v="1092"/>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0"/>
    <n v="1"/>
    <n v="0"/>
    <n v="0"/>
    <n v="0"/>
    <n v="0"/>
    <n v="0"/>
    <s v="NA"/>
    <x v="4"/>
    <s v="energy star market share"/>
    <s v="log scale"/>
    <n v="8.5000000000000006E-3"/>
    <s v="decrease"/>
    <n v="5.0000000000000001E-3"/>
    <s v="NA"/>
    <n v="3"/>
    <n v="1.7000000000000002"/>
    <s v="NA"/>
    <m/>
    <s v="NA"/>
    <s v="NA"/>
    <s v="NA"/>
    <s v="NA"/>
    <s v="NA"/>
    <s v="NA"/>
    <n v="12450"/>
    <n v="12450"/>
    <s v="NA"/>
    <s v="NA"/>
    <n v="128"/>
    <n v="0.1"/>
    <s v="delayed"/>
    <s v="NA"/>
    <s v="NA"/>
    <s v="NA"/>
    <s v="NA"/>
    <s v="NA"/>
    <n v="0"/>
    <n v="1"/>
    <n v="0"/>
    <m/>
    <m/>
    <m/>
    <m/>
    <m/>
    <m/>
    <m/>
    <m/>
    <m/>
    <m/>
    <n v="1.5233996288374733E-2"/>
    <n v="1.5235174927247961E-2"/>
    <n v="8.0327732839962263E-5"/>
    <n v="8.0340644331967548E-5"/>
    <m/>
    <m/>
    <m/>
  </r>
  <r>
    <x v="0"/>
    <m/>
    <n v="1093"/>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1"/>
    <n v="0"/>
    <n v="0"/>
    <n v="0"/>
    <n v="0"/>
    <n v="0"/>
    <n v="0"/>
    <n v="0"/>
    <n v="0"/>
    <s v="NA"/>
    <x v="4"/>
    <s v="energy star market share"/>
    <s v="log scale"/>
    <n v="6.7000000000000004E-2"/>
    <s v="increase"/>
    <n v="1.6E-2"/>
    <s v="NA"/>
    <n v="3"/>
    <n v="0.53125"/>
    <s v="NA"/>
    <m/>
    <s v="NA"/>
    <s v="NA"/>
    <s v="NA"/>
    <s v="NA"/>
    <s v="NA"/>
    <s v="NA"/>
    <n v="12100"/>
    <n v="12100"/>
    <s v="NA"/>
    <s v="NA"/>
    <n v="128"/>
    <n v="0.1"/>
    <s v="delayed"/>
    <s v="NA"/>
    <s v="NA"/>
    <s v="NA"/>
    <s v="NA"/>
    <s v="NA"/>
    <n v="0"/>
    <n v="1"/>
    <n v="0"/>
    <m/>
    <m/>
    <m/>
    <m/>
    <m/>
    <m/>
    <m/>
    <m/>
    <m/>
    <m/>
    <n v="4.8294891321417933E-3"/>
    <n v="4.8295266802795347E-3"/>
    <n v="8.2651458753283386E-5"/>
    <n v="8.2665123584359755E-5"/>
    <m/>
    <m/>
    <m/>
  </r>
  <r>
    <x v="0"/>
    <m/>
    <n v="1094"/>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1"/>
    <n v="0"/>
    <n v="0"/>
    <n v="0"/>
    <n v="0"/>
    <n v="0"/>
    <n v="0"/>
    <n v="0"/>
    <n v="0"/>
    <s v="NA"/>
    <x v="4"/>
    <s v="energy star market share"/>
    <s v="log scale"/>
    <n v="9.7000000000000003E-3"/>
    <s v="increase"/>
    <n v="3.0000000000000001E-3"/>
    <s v="NA"/>
    <n v="3"/>
    <n v="1.6666666666666667"/>
    <s v="NA"/>
    <m/>
    <s v="NA"/>
    <s v="NA"/>
    <s v="NA"/>
    <s v="NA"/>
    <s v="NA"/>
    <s v="NA"/>
    <n v="12100"/>
    <n v="12100"/>
    <s v="NA"/>
    <s v="NA"/>
    <n v="128"/>
    <n v="0.1"/>
    <s v="delayed"/>
    <s v="NA"/>
    <s v="NA"/>
    <s v="NA"/>
    <s v="NA"/>
    <s v="NA"/>
    <n v="0"/>
    <n v="1"/>
    <n v="0"/>
    <m/>
    <m/>
    <m/>
    <m/>
    <m/>
    <m/>
    <m/>
    <m/>
    <m/>
    <m/>
    <n v="1.5149776296267388E-2"/>
    <n v="1.5150935493184629E-2"/>
    <n v="8.2651454443045618E-5"/>
    <n v="8.2665123584359755E-5"/>
    <m/>
    <m/>
    <m/>
  </r>
  <r>
    <x v="0"/>
    <m/>
    <n v="1095"/>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1"/>
    <n v="0"/>
    <n v="0"/>
    <n v="0"/>
    <n v="0"/>
    <n v="0"/>
    <n v="0"/>
    <n v="0"/>
    <n v="0"/>
    <s v="NA"/>
    <x v="4"/>
    <s v="energy star market share"/>
    <s v="log scale"/>
    <n v="7.0000000000000001E-3"/>
    <s v="decrease"/>
    <n v="4.0000000000000001E-3"/>
    <s v="NA"/>
    <n v="3"/>
    <n v="1.75"/>
    <s v="NA"/>
    <m/>
    <s v="NA"/>
    <s v="NA"/>
    <s v="NA"/>
    <s v="NA"/>
    <s v="NA"/>
    <s v="NA"/>
    <n v="12100"/>
    <n v="12100"/>
    <s v="NA"/>
    <s v="NA"/>
    <n v="128"/>
    <n v="0.1"/>
    <s v="delayed"/>
    <s v="NA"/>
    <s v="NA"/>
    <s v="NA"/>
    <s v="NA"/>
    <s v="NA"/>
    <n v="0"/>
    <n v="1"/>
    <n v="0"/>
    <m/>
    <m/>
    <m/>
    <m/>
    <m/>
    <m/>
    <m/>
    <m/>
    <m/>
    <m/>
    <n v="1.5907078002301091E-2"/>
    <n v="1.5908419889220204E-2"/>
    <n v="8.2651453504555366E-5"/>
    <n v="8.2665123584359755E-5"/>
    <m/>
    <m/>
    <m/>
  </r>
  <r>
    <x v="0"/>
    <m/>
    <n v="1096"/>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1"/>
    <n v="0"/>
    <n v="0"/>
    <n v="0"/>
    <n v="0"/>
    <n v="0"/>
    <n v="0"/>
    <s v="NA"/>
    <x v="4"/>
    <s v="energy star market share"/>
    <s v="log scale"/>
    <n v="9.6000000000000002E-2"/>
    <s v="increase"/>
    <n v="1.7999999999999999E-2"/>
    <s v="NA"/>
    <n v="3"/>
    <n v="5.3333333333333339"/>
    <s v="NA"/>
    <m/>
    <s v="NA"/>
    <s v="NA"/>
    <s v="NA"/>
    <s v="NA"/>
    <s v="NA"/>
    <s v="NA"/>
    <n v="12600"/>
    <n v="12600"/>
    <s v="NA"/>
    <s v="NA"/>
    <n v="128"/>
    <n v="0.1"/>
    <s v="delayed"/>
    <s v="NA"/>
    <s v="NA"/>
    <s v="NA"/>
    <s v="NA"/>
    <s v="NA"/>
    <n v="0"/>
    <n v="1"/>
    <n v="0"/>
    <m/>
    <m/>
    <m/>
    <m/>
    <m/>
    <m/>
    <m/>
    <m/>
    <m/>
    <m/>
    <n v="4.7459569987691901E-2"/>
    <n v="4.7495251036885983E-2"/>
    <n v="7.9370974789384351E-5"/>
    <n v="7.9383980312772889E-5"/>
    <m/>
    <m/>
    <m/>
  </r>
  <r>
    <x v="0"/>
    <m/>
    <n v="1097"/>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1"/>
    <n v="0"/>
    <n v="0"/>
    <n v="0"/>
    <n v="0"/>
    <n v="0"/>
    <n v="0"/>
    <s v="NA"/>
    <x v="4"/>
    <s v="energy star market share"/>
    <s v="log scale"/>
    <n v="2.1000000000000001E-2"/>
    <s v="decrease"/>
    <n v="7.0000000000000001E-3"/>
    <s v="NA"/>
    <n v="3"/>
    <n v="3"/>
    <s v="NA"/>
    <m/>
    <s v="NA"/>
    <s v="NA"/>
    <s v="NA"/>
    <s v="NA"/>
    <s v="NA"/>
    <s v="NA"/>
    <n v="12600"/>
    <n v="12600"/>
    <s v="NA"/>
    <s v="NA"/>
    <n v="128"/>
    <n v="0.1"/>
    <s v="delayed"/>
    <s v="NA"/>
    <s v="NA"/>
    <s v="NA"/>
    <s v="NA"/>
    <s v="NA"/>
    <n v="0"/>
    <n v="1"/>
    <n v="0"/>
    <m/>
    <m/>
    <m/>
    <m/>
    <m/>
    <m/>
    <m/>
    <m/>
    <m/>
    <m/>
    <n v="2.6716584257263244E-2"/>
    <n v="2.672294353203979E-2"/>
    <n v="7.9371338204520307E-5"/>
    <n v="7.9383980312772889E-5"/>
    <m/>
    <m/>
    <m/>
  </r>
  <r>
    <x v="0"/>
    <m/>
    <n v="1098"/>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1"/>
    <n v="0"/>
    <n v="0"/>
    <n v="0"/>
    <n v="0"/>
    <n v="0"/>
    <n v="0"/>
    <s v="NA"/>
    <x v="4"/>
    <s v="energy star market share"/>
    <s v="log scale"/>
    <n v="2.3999999999999998E-3"/>
    <s v="decrease"/>
    <n v="5.0000000000000001E-3"/>
    <s v="NA"/>
    <n v="3"/>
    <n v="0.47999999999999993"/>
    <s v="NA"/>
    <m/>
    <s v="NA"/>
    <s v="NA"/>
    <s v="NA"/>
    <s v="NA"/>
    <s v="NA"/>
    <s v="NA"/>
    <n v="12600"/>
    <n v="12600"/>
    <s v="NA"/>
    <s v="NA"/>
    <n v="128"/>
    <n v="0.1"/>
    <s v="delayed"/>
    <s v="NA"/>
    <s v="NA"/>
    <s v="NA"/>
    <s v="NA"/>
    <s v="NA"/>
    <n v="0"/>
    <n v="1"/>
    <n v="0"/>
    <m/>
    <m/>
    <m/>
    <m/>
    <m/>
    <m/>
    <m/>
    <m/>
    <m/>
    <m/>
    <n v="4.2761407746332884E-3"/>
    <n v="4.2761668385387485E-3"/>
    <n v="7.9371378654308805E-5"/>
    <n v="7.9383980312772889E-5"/>
    <m/>
    <m/>
    <m/>
  </r>
  <r>
    <x v="0"/>
    <m/>
    <n v="1281"/>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0"/>
    <n v="1"/>
    <n v="0"/>
    <n v="0"/>
    <n v="0"/>
    <n v="0"/>
    <n v="0"/>
    <s v="NA"/>
    <x v="4"/>
    <s v="Behavior intention to change to Energy efficient household appliance"/>
    <s v="log scale"/>
    <n v="2.1000000000000001E-2"/>
    <s v="increase"/>
    <n v="5.0000000000000001E-3"/>
    <s v="NA"/>
    <n v="3"/>
    <n v="4.2"/>
    <n v="2.1000000000000001E-2"/>
    <m/>
    <s v="NA"/>
    <s v="NA"/>
    <s v="NA"/>
    <s v="NA"/>
    <s v="NA"/>
    <s v="NA"/>
    <n v="12450"/>
    <n v="12450"/>
    <s v="NA"/>
    <s v="NA"/>
    <n v="100"/>
    <s v="NA"/>
    <s v="delayed"/>
    <s v="NA"/>
    <s v="NA"/>
    <s v="NA"/>
    <s v="NA"/>
    <s v="NA"/>
    <n v="0"/>
    <n v="1"/>
    <n v="0"/>
    <m/>
    <m/>
    <m/>
    <m/>
    <m/>
    <m/>
    <m/>
    <m/>
    <m/>
    <m/>
    <n v="3.7614661992478114E-2"/>
    <n v="3.7632416929352756E-2"/>
    <n v="8.0327576060803895E-5"/>
    <n v="8.0340644331967548E-5"/>
    <m/>
    <m/>
    <m/>
  </r>
  <r>
    <x v="0"/>
    <m/>
    <n v="1282"/>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0"/>
    <n v="1"/>
    <n v="0"/>
    <n v="0"/>
    <n v="0"/>
    <n v="0"/>
    <n v="0"/>
    <s v="NA"/>
    <x v="4"/>
    <s v="ES market share"/>
    <s v="log scale"/>
    <n v="2.3999999999999998E-3"/>
    <s v="increase"/>
    <n v="2E-3"/>
    <s v="NA"/>
    <n v="3"/>
    <n v="1.2"/>
    <n v="2.3999999999999998E-3"/>
    <m/>
    <s v="NA"/>
    <s v="NA"/>
    <s v="NA"/>
    <s v="NA"/>
    <s v="NA"/>
    <s v="NA"/>
    <n v="12450"/>
    <n v="12450"/>
    <s v="NA"/>
    <s v="NA"/>
    <n v="100"/>
    <s v="NA"/>
    <s v="delayed"/>
    <s v="NA"/>
    <s v="NA"/>
    <s v="NA"/>
    <s v="NA"/>
    <s v="NA"/>
    <n v="0"/>
    <n v="1"/>
    <n v="0"/>
    <m/>
    <m/>
    <m/>
    <m/>
    <m/>
    <m/>
    <m/>
    <m/>
    <m/>
    <m/>
    <n v="1.0754035256628266E-2"/>
    <n v="1.0754449850854842E-2"/>
    <n v="8.0327736093114527E-5"/>
    <n v="8.0340644331967548E-5"/>
    <m/>
    <m/>
    <m/>
  </r>
  <r>
    <x v="0"/>
    <m/>
    <n v="1283"/>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0"/>
    <n v="1"/>
    <n v="0"/>
    <n v="0"/>
    <n v="0"/>
    <n v="0"/>
    <n v="0"/>
    <s v="NA"/>
    <x v="4"/>
    <s v="ES market share"/>
    <s v="log scale"/>
    <n v="3.1E-4"/>
    <s v="decrease"/>
    <n v="1E-3"/>
    <s v="NA"/>
    <n v="3"/>
    <n v="0.31"/>
    <n v="3.1E-4"/>
    <m/>
    <s v="NA"/>
    <s v="NA"/>
    <s v="NA"/>
    <s v="NA"/>
    <s v="NA"/>
    <s v="NA"/>
    <n v="12450"/>
    <n v="12450"/>
    <s v="NA"/>
    <s v="NA"/>
    <n v="100"/>
    <s v="NA"/>
    <s v="delayed"/>
    <s v="NA"/>
    <s v="NA"/>
    <s v="NA"/>
    <s v="NA"/>
    <s v="NA"/>
    <n v="0"/>
    <n v="1"/>
    <n v="0"/>
    <m/>
    <m/>
    <m/>
    <m/>
    <m/>
    <m/>
    <m/>
    <m/>
    <m/>
    <m/>
    <n v="2.7782757101175023E-3"/>
    <n v="2.7782828584835876E-3"/>
    <n v="8.0327737162857996E-5"/>
    <n v="8.0340644331967548E-5"/>
    <m/>
    <m/>
    <m/>
  </r>
  <r>
    <x v="0"/>
    <m/>
    <n v="1284"/>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1"/>
    <n v="0"/>
    <n v="0"/>
    <n v="0"/>
    <n v="0"/>
    <n v="0"/>
    <n v="0"/>
    <n v="0"/>
    <n v="0"/>
    <s v="NA"/>
    <x v="4"/>
    <s v="ES market share"/>
    <s v="log scale"/>
    <n v="2.1000000000000001E-2"/>
    <s v="increase"/>
    <n v="5.0000000000000001E-3"/>
    <s v="NA"/>
    <n v="3"/>
    <n v="4.2"/>
    <n v="2.1000000000000001E-2"/>
    <m/>
    <s v="NA"/>
    <s v="NA"/>
    <s v="NA"/>
    <s v="NA"/>
    <s v="NA"/>
    <s v="NA"/>
    <n v="12100"/>
    <n v="12100"/>
    <s v="NA"/>
    <s v="NA"/>
    <n v="100"/>
    <s v="NA"/>
    <s v="delayed"/>
    <s v="NA"/>
    <s v="NA"/>
    <s v="NA"/>
    <s v="NA"/>
    <s v="NA"/>
    <n v="0"/>
    <n v="1"/>
    <n v="0"/>
    <m/>
    <m/>
    <m/>
    <m/>
    <m/>
    <m/>
    <m/>
    <m/>
    <m/>
    <m/>
    <n v="3.8154016870275712E-2"/>
    <n v="3.8172547027553468E-2"/>
    <n v="8.2651283307154936E-5"/>
    <n v="8.2665123584359755E-5"/>
    <m/>
    <m/>
    <m/>
  </r>
  <r>
    <x v="0"/>
    <m/>
    <n v="1285"/>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1"/>
    <n v="0"/>
    <n v="0"/>
    <n v="0"/>
    <n v="0"/>
    <n v="0"/>
    <n v="0"/>
    <n v="0"/>
    <n v="0"/>
    <s v="NA"/>
    <x v="4"/>
    <s v="ES market share"/>
    <s v="log scale"/>
    <n v="8.7000000000000001E-4"/>
    <s v="increase"/>
    <n v="1E-3"/>
    <s v="NA"/>
    <n v="3"/>
    <n v="0.87"/>
    <n v="8.7000000000000001E-4"/>
    <m/>
    <s v="NA"/>
    <s v="NA"/>
    <s v="NA"/>
    <s v="NA"/>
    <s v="NA"/>
    <s v="NA"/>
    <n v="12100"/>
    <n v="12100"/>
    <s v="NA"/>
    <s v="NA"/>
    <n v="100"/>
    <s v="NA"/>
    <s v="delayed"/>
    <s v="NA"/>
    <s v="NA"/>
    <s v="NA"/>
    <s v="NA"/>
    <s v="NA"/>
    <n v="0"/>
    <n v="1"/>
    <n v="0"/>
    <m/>
    <m/>
    <m/>
    <m/>
    <m/>
    <m/>
    <m/>
    <m/>
    <m/>
    <m/>
    <n v="7.9088435491706417E-3"/>
    <n v="7.9090084542367822E-3"/>
    <n v="8.2651458474848776E-5"/>
    <n v="8.2665123584359755E-5"/>
    <m/>
    <m/>
    <m/>
  </r>
  <r>
    <x v="0"/>
    <m/>
    <n v="1286"/>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1"/>
    <n v="0"/>
    <n v="0"/>
    <n v="0"/>
    <n v="0"/>
    <n v="0"/>
    <n v="0"/>
    <n v="0"/>
    <n v="0"/>
    <s v="NA"/>
    <x v="4"/>
    <s v="ES market share"/>
    <s v="log scale"/>
    <n v="6.3000000000000003E-4"/>
    <s v="decrease"/>
    <n v="1E-3"/>
    <s v="NA"/>
    <n v="3"/>
    <n v="0.63"/>
    <n v="6.3000000000000003E-4"/>
    <m/>
    <s v="NA"/>
    <s v="NA"/>
    <s v="NA"/>
    <s v="NA"/>
    <s v="NA"/>
    <s v="NA"/>
    <n v="12100"/>
    <n v="12100"/>
    <s v="NA"/>
    <s v="NA"/>
    <n v="100"/>
    <s v="NA"/>
    <s v="delayed"/>
    <s v="NA"/>
    <s v="NA"/>
    <s v="NA"/>
    <s v="NA"/>
    <s v="NA"/>
    <n v="0"/>
    <n v="1"/>
    <n v="0"/>
    <m/>
    <m/>
    <m/>
    <m/>
    <m/>
    <m/>
    <m/>
    <m/>
    <m/>
    <m/>
    <n v="5.7271787975774974E-3"/>
    <n v="5.7272414170662115E-3"/>
    <n v="8.2651458709321021E-5"/>
    <n v="8.2665123584359755E-5"/>
    <m/>
    <m/>
    <m/>
  </r>
  <r>
    <x v="0"/>
    <m/>
    <n v="1287"/>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1"/>
    <n v="0"/>
    <n v="0"/>
    <n v="0"/>
    <n v="0"/>
    <n v="0"/>
    <n v="0"/>
    <s v="NA"/>
    <x v="4"/>
    <s v="ES market share"/>
    <s v="log scale"/>
    <n v="7.3000000000000001E-3"/>
    <s v="increase"/>
    <n v="3.0000000000000001E-3"/>
    <s v="NA"/>
    <n v="3"/>
    <n v="2.4333333333333331"/>
    <n v="7.3000000000000001E-3"/>
    <m/>
    <s v="NA"/>
    <s v="NA"/>
    <s v="NA"/>
    <s v="NA"/>
    <s v="NA"/>
    <s v="NA"/>
    <n v="12600"/>
    <n v="12600"/>
    <s v="NA"/>
    <s v="NA"/>
    <n v="100"/>
    <s v="NA"/>
    <s v="delayed"/>
    <s v="NA"/>
    <s v="NA"/>
    <s v="NA"/>
    <s v="NA"/>
    <s v="NA"/>
    <n v="0"/>
    <n v="1"/>
    <n v="0"/>
    <m/>
    <m/>
    <m/>
    <m/>
    <m/>
    <m/>
    <m/>
    <m/>
    <m/>
    <m/>
    <n v="2.1672764551373083E-2"/>
    <n v="2.1676158803532894E-2"/>
    <n v="7.9371361158462602E-5"/>
    <n v="7.9383980312772889E-5"/>
    <m/>
    <m/>
    <m/>
  </r>
  <r>
    <x v="0"/>
    <m/>
    <n v="1288"/>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1"/>
    <n v="0"/>
    <n v="0"/>
    <n v="0"/>
    <n v="0"/>
    <n v="0"/>
    <n v="0"/>
    <s v="NA"/>
    <x v="4"/>
    <s v="ES market share"/>
    <s v="log scale"/>
    <n v="2.5999999999999998E-4"/>
    <s v="decrease"/>
    <n v="1E-3"/>
    <s v="NA"/>
    <n v="3"/>
    <n v="0.25999999999999995"/>
    <n v="2.5999999999999998E-4"/>
    <m/>
    <s v="NA"/>
    <s v="NA"/>
    <s v="NA"/>
    <s v="NA"/>
    <s v="NA"/>
    <s v="NA"/>
    <n v="12600"/>
    <n v="12600"/>
    <s v="NA"/>
    <s v="NA"/>
    <n v="100"/>
    <s v="NA"/>
    <s v="delayed"/>
    <s v="NA"/>
    <s v="NA"/>
    <s v="NA"/>
    <s v="NA"/>
    <s v="NA"/>
    <n v="0"/>
    <n v="1"/>
    <n v="0"/>
    <m/>
    <m/>
    <m/>
    <m/>
    <m/>
    <m/>
    <m/>
    <m/>
    <m/>
    <m/>
    <n v="2.3162578831289918E-3"/>
    <n v="2.3162620254225598E-3"/>
    <n v="7.9371378678563058E-5"/>
    <n v="7.9383980312772889E-5"/>
    <m/>
    <m/>
    <m/>
  </r>
  <r>
    <x v="0"/>
    <m/>
    <n v="1289"/>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1"/>
    <n v="0"/>
    <n v="0"/>
    <n v="0"/>
    <n v="0"/>
    <n v="0"/>
    <n v="0"/>
    <s v="NA"/>
    <x v="4"/>
    <s v="ES market share"/>
    <s v="log scale"/>
    <n v="6.9999999999999999E-4"/>
    <s v="decrease"/>
    <n v="2E-3"/>
    <s v="NA"/>
    <n v="3"/>
    <n v="0.35"/>
    <n v="6.9999999999999999E-4"/>
    <m/>
    <s v="NA"/>
    <s v="NA"/>
    <s v="NA"/>
    <s v="NA"/>
    <s v="NA"/>
    <s v="NA"/>
    <n v="12600"/>
    <n v="12600"/>
    <s v="NA"/>
    <s v="NA"/>
    <n v="100"/>
    <s v="NA"/>
    <s v="delayed"/>
    <s v="NA"/>
    <s v="NA"/>
    <s v="NA"/>
    <s v="NA"/>
    <s v="NA"/>
    <n v="0"/>
    <n v="1"/>
    <n v="0"/>
    <m/>
    <m/>
    <m/>
    <m/>
    <m/>
    <m/>
    <m/>
    <m/>
    <m/>
    <m/>
    <n v="3.1180326652452241E-3"/>
    <n v="3.1180427699413972E-3"/>
    <n v="7.937137867334543E-5"/>
    <n v="7.9383980312772889E-5"/>
    <m/>
    <m/>
    <m/>
  </r>
  <r>
    <x v="0"/>
    <m/>
    <s v="NA"/>
    <s v="NA"/>
    <s v="Ito, Ida, Tanaka"/>
    <n v="2018"/>
    <s v="Moral Suasion and Economic Incentives: Field Experimental Evidence from Energy Demand"/>
    <s v="Firms and governments often use moral suasion and economic incentives to influence intrinsic and extrinsic motivations for economic activities. To investigate persistence of such interventions, we randomly assign households to moral suasion and dynamic pricing that stimulate energy conservation during peak-demand hours. We find significant habituation and dishabituation for moral suasion—the treatment effect diminishes after repeated interventions but can be restored to the original level by a sufficient time interval between interventions. Economic incentives induce larger treatment effects, little habituation, and significant habit formation. Our results suggest moral suasion and economic incentives produce substantially different short-run and long-run policy impacts."/>
    <n v="2"/>
    <s v="2012-2013"/>
    <x v="1"/>
    <m/>
    <x v="6"/>
    <x v="4"/>
    <x v="5"/>
    <m/>
    <m/>
    <m/>
    <m/>
    <s v="opt_out"/>
    <m/>
    <m/>
    <m/>
    <m/>
    <m/>
    <m/>
    <m/>
    <m/>
    <m/>
    <m/>
    <m/>
    <m/>
    <m/>
    <m/>
    <m/>
    <m/>
    <m/>
    <m/>
    <m/>
    <m/>
    <m/>
    <m/>
    <m/>
    <x v="3"/>
    <m/>
    <m/>
    <m/>
    <m/>
    <m/>
    <m/>
    <m/>
    <m/>
    <m/>
    <m/>
    <m/>
    <m/>
    <m/>
    <m/>
    <m/>
    <m/>
    <m/>
    <m/>
    <m/>
    <m/>
    <m/>
    <m/>
    <m/>
    <m/>
    <m/>
    <m/>
    <m/>
    <m/>
    <m/>
    <m/>
    <m/>
    <m/>
    <m/>
    <m/>
    <m/>
    <m/>
    <m/>
    <m/>
    <m/>
    <m/>
    <m/>
    <m/>
    <m/>
    <m/>
    <m/>
    <m/>
    <m/>
    <m/>
  </r>
  <r>
    <x v="0"/>
    <n v="14"/>
    <n v="1118"/>
    <n v="124"/>
    <s v="Jain, Rao, Patwardhan"/>
    <n v="2018"/>
    <s v="Consumer preference for labels in the purchase decisions of air conditioners in India"/>
    <s v="Appliance labels provide consumers with information on energy usage of appliances and mandatory label- ing is an important policy tool for promoting the adoption of efficient appliances. Following global practice, standards and labeling programs have been adopted in India for various appliances since 2006. This paper provides empirical support for this approach, by estimating the value placed by consumers in India on energy labels. The estimates of willingness to pay (WTP) for energy labels and higher efficiency as indicated on labels are obtained using a discrete choice experiment in purchase decisions of air conditioners. A mixed logit model is specified to estimate the parameters for chosen attributes of air conditioners. The results show that consumers place a positive value on the presence of labels. The preference for star rating levels is het- erogeneous in the sample. The WTP for higher star rating is estimated which is a useful input in designing other energy efficiency programs in conjunction with the labeling program. "/>
    <n v="2"/>
    <n v="2015"/>
    <x v="0"/>
    <n v="28"/>
    <x v="5"/>
    <x v="0"/>
    <x v="19"/>
    <s v="stated preference"/>
    <s v="household"/>
    <s v="individuals"/>
    <n v="1"/>
    <s v="opt_out"/>
    <n v="0"/>
    <s v="probably no"/>
    <s v="probably no"/>
    <s v="NA"/>
    <n v="0"/>
    <n v="0"/>
    <n v="1"/>
    <n v="0"/>
    <n v="0"/>
    <n v="0"/>
    <n v="0"/>
    <n v="0"/>
    <s v="base - no label for not efficient"/>
    <n v="0"/>
    <n v="0"/>
    <n v="0"/>
    <n v="0"/>
    <n v="0"/>
    <n v="0"/>
    <n v="0"/>
    <n v="1"/>
    <n v="0"/>
    <s v="3-star rating"/>
    <x v="0"/>
    <s v="choice of a high-efficiency appliance"/>
    <s v="dummy (0/1)"/>
    <n v="0.53"/>
    <s v="increase"/>
    <n v="0.26"/>
    <s v="NA"/>
    <n v="3"/>
    <n v="2.0384615384615383"/>
    <n v="0.6989323086185506"/>
    <n v="0.62948311196739493"/>
    <s v="NA"/>
    <s v="NA"/>
    <s v="NA"/>
    <s v="NA"/>
    <s v="NA"/>
    <s v="NA"/>
    <n v="148"/>
    <n v="1184"/>
    <s v="NA"/>
    <s v="NA"/>
    <s v="NA"/>
    <s v="NA"/>
    <s v="NA"/>
    <n v="0"/>
    <s v="NA"/>
    <n v="0"/>
    <s v="NA"/>
    <s v="numerical"/>
    <n v="0"/>
    <n v="0"/>
    <n v="1"/>
    <m/>
    <m/>
    <m/>
    <m/>
    <m/>
    <m/>
    <m/>
    <m/>
    <m/>
    <m/>
    <n v="0.16525664934411763"/>
    <n v="0.16678616424140319"/>
    <n v="6.7974570051877199E-3"/>
    <n v="6.8965517241379309E-3"/>
    <s v="NA"/>
    <n v="147"/>
    <s v="NA"/>
  </r>
  <r>
    <x v="0"/>
    <n v="14"/>
    <n v="1119"/>
    <n v="124"/>
    <s v="Jain, Rao, Patwardhan"/>
    <n v="2018"/>
    <s v="Consumer preference for labels in the purchase decisions of air conditioners in India"/>
    <s v="Appliance labels provide consumers with information on energy usage of appliances and mandatory label- ing is an important policy tool for promoting the adoption of efficient appliances. Following global practice, standards and labeling programs have been adopted in India for various appliances since 2006. This paper provides empirical support for this approach, by estimating the value placed by consumers in India on energy labels. The estimates of willingness to pay (WTP) for energy labels and higher efficiency as indicated on labels are obtained using a discrete choice experiment in purchase decisions of air conditioners. A mixed logit model is specified to estimate the parameters for chosen attributes of air conditioners. The results show that consumers place a positive value on the presence of labels. The preference for star rating levels is het- erogeneous in the sample. The WTP for higher star rating is estimated which is a useful input in designing other energy efficiency programs in conjunction with the labeling program. "/>
    <n v="2"/>
    <n v="2015"/>
    <x v="0"/>
    <n v="28"/>
    <x v="5"/>
    <x v="0"/>
    <x v="19"/>
    <s v="stated preference"/>
    <s v="household"/>
    <s v="individuals"/>
    <n v="1"/>
    <s v="opt_out"/>
    <n v="0"/>
    <s v="probably no"/>
    <s v="probably no"/>
    <s v="NA"/>
    <n v="0"/>
    <n v="0"/>
    <n v="1"/>
    <n v="0"/>
    <n v="0"/>
    <n v="0"/>
    <n v="0"/>
    <n v="0"/>
    <s v="base - no label for not efficient"/>
    <n v="0"/>
    <n v="0"/>
    <n v="0"/>
    <n v="0"/>
    <n v="0"/>
    <n v="0"/>
    <n v="0"/>
    <n v="1"/>
    <n v="0"/>
    <s v="5-star rating"/>
    <x v="0"/>
    <s v="choice of a high-efficiency appliance"/>
    <s v="dummy (0/1)"/>
    <n v="1.0900000000000001"/>
    <s v="increase"/>
    <n v="0.39"/>
    <s v="NA"/>
    <n v="3"/>
    <n v="2.7948717948717952"/>
    <n v="1.9742740725630656"/>
    <n v="0.74838172160706429"/>
    <s v="NA"/>
    <s v="NA"/>
    <s v="NA"/>
    <s v="NA"/>
    <s v="NA"/>
    <s v="NA"/>
    <n v="148"/>
    <n v="1184"/>
    <s v="NA"/>
    <s v="NA"/>
    <s v="NA"/>
    <s v="NA"/>
    <s v="NA"/>
    <n v="0"/>
    <s v="NA"/>
    <n v="0"/>
    <s v="NA"/>
    <s v="numerical"/>
    <n v="0"/>
    <n v="0"/>
    <n v="1"/>
    <m/>
    <m/>
    <m/>
    <m/>
    <m/>
    <m/>
    <m/>
    <m/>
    <m/>
    <m/>
    <n v="0.22390428433112008"/>
    <n v="0.22776270171385027"/>
    <n v="6.7844142609794983E-3"/>
    <n v="6.8965517241379309E-3"/>
    <s v="NA"/>
    <n v="147"/>
    <s v="NA"/>
  </r>
  <r>
    <x v="0"/>
    <n v="15"/>
    <n v="1154"/>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2"/>
    <x v="14"/>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NA"/>
    <x v="0"/>
    <s v="estimation results for refrigerator choice (highest efficiency grade)"/>
    <s v="dummy (0/1)"/>
    <n v="0.25530000000000003"/>
    <s v="increase"/>
    <s v="NA"/>
    <n v="1.23E-2"/>
    <n v="3"/>
    <n v="2.5125829401851192"/>
    <n v="0.29084881743573221"/>
    <n v="0.56348057873179402"/>
    <s v="NA"/>
    <s v="NA"/>
    <s v="NA"/>
    <s v="NA"/>
    <s v="NA"/>
    <s v="NA"/>
    <n v="500"/>
    <n v="2000"/>
    <s v="NA"/>
    <s v="NA"/>
    <s v="NA"/>
    <s v="NA"/>
    <s v="NA"/>
    <n v="0"/>
    <s v="NA"/>
    <n v="1"/>
    <s v="NA"/>
    <s v="numerical"/>
    <n v="0"/>
    <n v="0"/>
    <n v="1"/>
    <m/>
    <m/>
    <m/>
    <m/>
    <m/>
    <m/>
    <m/>
    <m/>
    <m/>
    <m/>
    <n v="0.11166339711480726"/>
    <n v="0.11213100003996684"/>
    <n v="2.0036912035849494E-3"/>
    <n v="2.012072434607646E-3"/>
    <s v="NA"/>
    <n v="498"/>
    <s v="NA"/>
  </r>
  <r>
    <x v="0"/>
    <n v="15"/>
    <n v="1153"/>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2"/>
    <x v="18"/>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NA"/>
    <x v="0"/>
    <s v="estimation results for refrigerator choice (highest efficiency grade)"/>
    <s v="dummy (0/1)"/>
    <n v="0.30480000000000002"/>
    <s v="increase"/>
    <s v="NA"/>
    <n v="1.6999999999999999E-3"/>
    <n v="3"/>
    <n v="3.1553563075360742"/>
    <n v="0.35635370513631415"/>
    <n v="0.5756154953221887"/>
    <s v="NA"/>
    <s v="NA"/>
    <s v="NA"/>
    <s v="NA"/>
    <s v="NA"/>
    <s v="NA"/>
    <n v="500"/>
    <n v="2000"/>
    <s v="NA"/>
    <s v="NA"/>
    <s v="NA"/>
    <s v="NA"/>
    <s v="NA"/>
    <n v="0"/>
    <s v="NA"/>
    <n v="1"/>
    <s v="NA"/>
    <s v="numerical"/>
    <n v="0"/>
    <n v="0"/>
    <n v="1"/>
    <m/>
    <m/>
    <m/>
    <m/>
    <m/>
    <m/>
    <m/>
    <m/>
    <m/>
    <m/>
    <n v="0.13972751589048554"/>
    <n v="0.14064765530909937"/>
    <n v="2.0032238113323235E-3"/>
    <n v="2.012072434607646E-3"/>
    <s v="NA"/>
    <n v="498"/>
    <s v="NA"/>
  </r>
  <r>
    <x v="0"/>
    <m/>
    <n v="1155"/>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3"/>
    <x v="18"/>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in 10,000 KRW"/>
    <x v="2"/>
    <s v="MWTP estimation results for refrigerator choice (highest efficiency grade)"/>
    <s v="NA"/>
    <n v="15.91"/>
    <s v="increase"/>
    <s v="NA"/>
    <n v="0"/>
    <n v="1"/>
    <s v="NA"/>
    <s v="NA"/>
    <m/>
    <s v="NA"/>
    <s v="NA"/>
    <s v="NA"/>
    <s v="NA"/>
    <s v="NA"/>
    <s v="NA"/>
    <n v="500"/>
    <n v="2000"/>
    <s v="NA"/>
    <s v="NA"/>
    <s v="NA"/>
    <s v="NA"/>
    <s v="NA"/>
    <n v="0"/>
    <s v="NA"/>
    <n v="1"/>
    <s v="NA"/>
    <s v="numerical"/>
    <n v="0"/>
    <n v="0"/>
    <n v="1"/>
    <m/>
    <m/>
    <m/>
    <m/>
    <m/>
    <m/>
    <m/>
    <m/>
    <m/>
    <m/>
    <e v="#VALUE!"/>
    <e v="#VALUE!"/>
    <e v="#VALUE!"/>
    <n v="2.012072434607646E-3"/>
    <m/>
    <m/>
    <m/>
  </r>
  <r>
    <x v="0"/>
    <m/>
    <n v="1156"/>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3"/>
    <x v="14"/>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in 10,000 KRW"/>
    <x v="2"/>
    <s v="MWTP estimation results for refrigerator choice (highest efficiency grade)"/>
    <s v="NA"/>
    <n v="13.19"/>
    <s v="increase"/>
    <s v="NA"/>
    <n v="0.01"/>
    <n v="3"/>
    <s v="NA"/>
    <s v="NA"/>
    <m/>
    <s v="NA"/>
    <s v="NA"/>
    <s v="NA"/>
    <s v="NA"/>
    <s v="NA"/>
    <s v="NA"/>
    <n v="500"/>
    <n v="2000"/>
    <s v="NA"/>
    <s v="NA"/>
    <s v="NA"/>
    <s v="NA"/>
    <s v="NA"/>
    <n v="0"/>
    <s v="NA"/>
    <n v="1"/>
    <s v="NA"/>
    <s v="numerical"/>
    <n v="0"/>
    <n v="0"/>
    <n v="1"/>
    <m/>
    <m/>
    <m/>
    <m/>
    <m/>
    <m/>
    <m/>
    <m/>
    <m/>
    <m/>
    <e v="#VALUE!"/>
    <e v="#VALUE!"/>
    <e v="#VALUE!"/>
    <n v="2.012072434607646E-3"/>
    <m/>
    <m/>
    <m/>
  </r>
  <r>
    <x v="0"/>
    <n v="16"/>
    <n v="1209"/>
    <n v="149"/>
    <s v="Kallbekken, Saelen, Hermansen"/>
    <n v="2013"/>
    <s v="Bridging the Energy Efficiency Gap: A Field Experiment on Lifetime Energy Costs and Household Appliances"/>
    <s v="Providing consumers with information that can lead to more energy-efficient choices can help reduce energy use and greenhouse gas emissions while reducing costs to consumers. A natural field experiment is conducted in collaboration with an electrical retailer to test strategies for influencing sales of household appliances. The experiment involves two product categories, fridge-freezers and tumble driers. Information on lifetime energy cost of appliances is provided through a label and training of sales staff. For fridge- freezers, the authors find no significant effects. For tumble driers, the combined treatment and training treatment reduce average energy use of tumble driers sold by 4.9% and 3.4%, respectively. The effect is strongest initially, over 12% on average for the first 3 months for the combined treatment but declines over time. The effect is significant at the 5% level for the combined treatment while not significant for sales staff training. "/>
    <n v="1"/>
    <n v="2011"/>
    <x v="0"/>
    <n v="11"/>
    <x v="19"/>
    <x v="2"/>
    <x v="21"/>
    <s v="revealed preference"/>
    <s v="retailer"/>
    <s v="store visitors"/>
    <n v="0"/>
    <s v="no such option"/>
    <n v="0"/>
    <s v="probably no"/>
    <s v="probably no"/>
    <s v="NA"/>
    <n v="0"/>
    <n v="0"/>
    <n v="1"/>
    <n v="0"/>
    <n v="0"/>
    <n v="0"/>
    <n v="0"/>
    <n v="0"/>
    <s v="additional label - compared to the EU A+++ label scale"/>
    <n v="0"/>
    <n v="1"/>
    <n v="0"/>
    <n v="0"/>
    <n v="0"/>
    <n v="0"/>
    <n v="0"/>
    <n v="0"/>
    <n v="0"/>
    <s v="NA"/>
    <x v="0"/>
    <s v="average energy use of the appliance sold"/>
    <s v="NA"/>
    <n v="2.3E-2"/>
    <s v="increase"/>
    <s v="NA"/>
    <n v="0.1"/>
    <n v="2"/>
    <n v="1.6449332384326785"/>
    <n v="2.326653954721758E-2"/>
    <n v="0.50574974653424165"/>
    <s v="NA"/>
    <n v="13471"/>
    <s v="NA"/>
    <s v="NA"/>
    <n v="5672"/>
    <s v="NA"/>
    <n v="19143"/>
    <n v="19143"/>
    <s v="NA"/>
    <s v="NA"/>
    <s v="NA"/>
    <s v="NA"/>
    <s v="NA"/>
    <n v="1"/>
    <n v="371.17189999999999"/>
    <n v="0"/>
    <s v="NA"/>
    <s v="alphabetical with +"/>
    <n v="0"/>
    <n v="0"/>
    <n v="0"/>
    <m/>
    <m/>
    <m/>
    <m/>
    <m/>
    <m/>
    <m/>
    <m/>
    <m/>
    <m/>
    <n v="1.1888103724369721E-2"/>
    <n v="1.1888663808582136E-2"/>
    <n v="5.2241144082275201E-5"/>
    <n v="5.2246603970741903E-5"/>
    <s v="NA"/>
    <n v="19141"/>
    <s v="dep_var - energy use of the appliance sold - opposite sign"/>
  </r>
  <r>
    <x v="0"/>
    <m/>
    <s v="NA"/>
    <s v="NA"/>
    <s v="Kusaka, Kojima, Watanabe"/>
    <m/>
    <m/>
    <m/>
    <n v="2"/>
    <m/>
    <x v="10"/>
    <m/>
    <x v="6"/>
    <x v="5"/>
    <x v="5"/>
    <s v="revealed preference"/>
    <m/>
    <m/>
    <n v="0"/>
    <s v="no such option"/>
    <m/>
    <m/>
    <m/>
    <m/>
    <n v="0"/>
    <n v="0"/>
    <n v="1"/>
    <n v="0"/>
    <n v="0"/>
    <n v="0"/>
    <n v="0"/>
    <n v="1"/>
    <s v="here choice architecture refers to the MANDATORY phasing out of low energy effieicncy appliances "/>
    <n v="0"/>
    <n v="0"/>
    <n v="0"/>
    <n v="0"/>
    <n v="0"/>
    <m/>
    <m/>
    <m/>
    <m/>
    <m/>
    <x v="3"/>
    <m/>
    <m/>
    <m/>
    <m/>
    <m/>
    <m/>
    <m/>
    <m/>
    <m/>
    <m/>
    <m/>
    <m/>
    <m/>
    <m/>
    <m/>
    <m/>
    <m/>
    <m/>
    <m/>
    <m/>
    <m/>
    <m/>
    <m/>
    <m/>
    <m/>
    <m/>
    <m/>
    <m/>
    <m/>
    <m/>
    <m/>
    <m/>
    <m/>
    <m/>
    <m/>
    <m/>
    <m/>
    <m/>
    <m/>
    <m/>
    <m/>
    <m/>
    <m/>
    <m/>
    <m/>
    <m/>
    <m/>
    <m/>
  </r>
  <r>
    <x v="4"/>
    <n v="17"/>
    <n v="1217"/>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
    <n v="0"/>
    <n v="0"/>
    <n v="1"/>
    <n v="0"/>
    <n v="0"/>
    <n v="0"/>
    <n v="0"/>
    <n v="0"/>
    <s v="NA"/>
    <n v="1"/>
    <n v="0"/>
    <n v="0"/>
    <n v="0"/>
    <n v="0"/>
    <n v="0"/>
    <n v="0"/>
    <n v="0"/>
    <n v="0"/>
    <s v="NA"/>
    <x v="0"/>
    <s v="y represents the possession of energy-efficient"/>
    <s v="dummy (0/1)"/>
    <n v="0.35299999999999998"/>
    <s v="increase"/>
    <n v="7.0999999999999994E-2"/>
    <n v="0"/>
    <n v="3"/>
    <n v="3.2990742119196153"/>
    <n v="0.42333114343360179"/>
    <n v="0.58734488156533704"/>
    <s v="NA"/>
    <s v="NA"/>
    <s v="NA"/>
    <s v="NA"/>
    <s v="NA"/>
    <s v="NA"/>
    <n v="1143"/>
    <n v="1143"/>
    <s v="NA"/>
    <s v="NA"/>
    <s v="NA"/>
    <s v="NA"/>
    <s v="NA"/>
    <s v="NA"/>
    <s v="NA"/>
    <s v="NA"/>
    <s v="NA"/>
    <s v="NA"/>
    <n v="0"/>
    <n v="0"/>
    <n v="1"/>
    <m/>
    <m/>
    <m/>
    <m/>
    <m/>
    <m/>
    <m/>
    <m/>
    <m/>
    <m/>
    <n v="9.712052690463481E-2"/>
    <n v="9.7427626579518284E-2"/>
    <n v="8.7557784521213747E-4"/>
    <n v="8.7719298245614037E-4"/>
    <s v="NA"/>
    <n v="1141"/>
    <s v="NA"/>
  </r>
  <r>
    <x v="4"/>
    <n v="17"/>
    <n v="1215"/>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
    <n v="0"/>
    <n v="0"/>
    <n v="1"/>
    <n v="0"/>
    <n v="0"/>
    <n v="0"/>
    <n v="0"/>
    <n v="0"/>
    <s v="NA"/>
    <n v="0"/>
    <n v="0"/>
    <n v="0"/>
    <n v="0"/>
    <n v="0"/>
    <n v="0"/>
    <n v="0"/>
    <n v="1"/>
    <n v="0"/>
    <s v="NA"/>
    <x v="0"/>
    <s v="y represents the possession of energy-efficient"/>
    <s v="dummy (0/1)"/>
    <n v="0.39400000000000002"/>
    <s v="increase"/>
    <n v="7.0999999999999994E-2"/>
    <n v="0"/>
    <n v="3"/>
    <n v="3.2990742119196153"/>
    <n v="0.48290054867475307"/>
    <n v="0.59724524587432648"/>
    <s v="NA"/>
    <s v="NA"/>
    <s v="NA"/>
    <s v="NA"/>
    <s v="NA"/>
    <s v="NA"/>
    <n v="1143"/>
    <n v="1143"/>
    <s v="NA"/>
    <s v="NA"/>
    <s v="NA"/>
    <s v="NA"/>
    <s v="NA"/>
    <s v="NA"/>
    <s v="NA"/>
    <s v="NA"/>
    <s v="NA"/>
    <s v="NA"/>
    <n v="0"/>
    <n v="0"/>
    <n v="1"/>
    <m/>
    <m/>
    <m/>
    <m/>
    <m/>
    <m/>
    <m/>
    <m/>
    <m/>
    <m/>
    <n v="9.712052690463481E-2"/>
    <n v="9.7427626579518284E-2"/>
    <n v="8.7557784521213747E-4"/>
    <n v="8.7719298245614037E-4"/>
    <s v="NA"/>
    <n v="1141"/>
    <s v="NA"/>
  </r>
  <r>
    <x v="4"/>
    <n v="17"/>
    <n v="1216"/>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overall a paper with very poor study design (not experimental) and low internal and external validity"/>
    <n v="0"/>
    <n v="0"/>
    <n v="0"/>
    <n v="0"/>
    <n v="0"/>
    <n v="1"/>
    <n v="0"/>
    <n v="0"/>
    <s v="NA"/>
    <n v="0"/>
    <n v="0"/>
    <n v="0"/>
    <n v="0"/>
    <n v="0"/>
    <n v="0"/>
    <n v="0"/>
    <n v="1"/>
    <n v="0"/>
    <s v="NA"/>
    <x v="0"/>
    <s v="y represents the possession of energy-efficient"/>
    <s v="dummy (0/1)"/>
    <n v="0.45500000000000002"/>
    <s v="increase"/>
    <n v="0.22"/>
    <n v="3.7999999999999999E-2"/>
    <n v="3"/>
    <n v="2.0772692016703491"/>
    <n v="0.57617338303399124"/>
    <n v="0.61182736900173718"/>
    <s v="NA"/>
    <s v="NA"/>
    <s v="NA"/>
    <s v="NA"/>
    <s v="NA"/>
    <s v="NA"/>
    <n v="1143"/>
    <n v="1143"/>
    <s v="NA"/>
    <s v="NA"/>
    <s v="NA"/>
    <s v="NA"/>
    <s v="NA"/>
    <s v="NA"/>
    <s v="NA"/>
    <s v="NA"/>
    <s v="NA"/>
    <s v="NA"/>
    <n v="0"/>
    <n v="0"/>
    <n v="1"/>
    <n v="0"/>
    <n v="1"/>
    <m/>
    <m/>
    <m/>
    <m/>
    <m/>
    <m/>
    <m/>
    <m/>
    <n v="6.1326960044274084E-2"/>
    <n v="6.1404017491195166E-2"/>
    <n v="8.7564429394170699E-4"/>
    <n v="8.7719298245614037E-4"/>
    <s v="NA"/>
    <n v="1141"/>
    <s v="NA"/>
  </r>
  <r>
    <x v="4"/>
    <n v="17"/>
    <n v="1218"/>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overall a paper with very poor study design (not experimental) and low internal and external validity"/>
    <n v="0"/>
    <n v="0"/>
    <n v="0"/>
    <n v="0"/>
    <n v="0"/>
    <n v="1"/>
    <n v="0"/>
    <n v="0"/>
    <s v="NA"/>
    <n v="1"/>
    <n v="0"/>
    <n v="0"/>
    <n v="0"/>
    <n v="0"/>
    <n v="0"/>
    <n v="0"/>
    <n v="0"/>
    <n v="0"/>
    <s v="NA"/>
    <x v="0"/>
    <s v="y represents the possession of energy-efficient"/>
    <s v="dummy (0/1)"/>
    <n v="0.64200000000000002"/>
    <s v="increase"/>
    <n v="0.21199999999999999"/>
    <n v="2E-3"/>
    <n v="3"/>
    <n v="3.0973904269614785"/>
    <n v="0.90027763655522586"/>
    <n v="0.65520542330294296"/>
    <s v="NA"/>
    <s v="NA"/>
    <s v="NA"/>
    <s v="NA"/>
    <s v="NA"/>
    <s v="NA"/>
    <n v="1143"/>
    <n v="1143"/>
    <s v="NA"/>
    <s v="NA"/>
    <s v="NA"/>
    <s v="NA"/>
    <s v="NA"/>
    <s v="NA"/>
    <s v="NA"/>
    <s v="NA"/>
    <s v="NA"/>
    <s v="NA"/>
    <n v="0"/>
    <n v="0"/>
    <n v="1"/>
    <n v="0"/>
    <n v="1"/>
    <m/>
    <m/>
    <m/>
    <m/>
    <m/>
    <m/>
    <m/>
    <m/>
    <n v="9.1234229157469829E-2"/>
    <n v="9.1488635914083044E-2"/>
    <n v="8.7559539426075063E-4"/>
    <n v="8.7719298245614037E-4"/>
    <s v="NA"/>
    <n v="1141"/>
    <s v="NA"/>
  </r>
  <r>
    <x v="0"/>
    <m/>
    <n v="1191"/>
    <n v="144"/>
    <s v="Li, Clark, Jensen, Yen"/>
    <n v="2014"/>
    <s v="The Effect of Mail-in Utility Rebates on Willingness-to-Pay for ENERGY STAR® Certified Refrigerators"/>
    <s v="The number and variety of governmental programs designed to promote energy_x000a_efficiency have increased over time. Examples include mandatory minimum efficiency standards,_x000a_subsidies for more energy efficient goods and services, and consumer labels, such_x000a_as the United States Environmental Protection Agency’s ENERGY STAR®. While there_x000a_has been considerable research on the effects of these programs in isolation, there has been_x000a_less of a focus on joint effects or interactions between programs. This study examines how_x000a_the offer of a mail-in rebate influences consumer willingness-to-pay for an ENERGY STARcertified_x000a_refrigerator. Data used for this study were collected from an online survey containing_x000a_a hypothetical choice experiment conducted in the United States in 2009. Results suggest_x000a_that the offer of a rebate induces uncertainty about the quality of ENERGY STAR-certified_x000a_refrigerators and, thus, could actually reduce willingness-to-pay for such refrigerators."/>
    <n v="2"/>
    <n v="2009"/>
    <x v="0"/>
    <n v="13"/>
    <x v="18"/>
    <x v="3"/>
    <x v="1"/>
    <s v="stated preference"/>
    <s v="online"/>
    <s v="individuals"/>
    <n v="1"/>
    <s v="opt_out"/>
    <n v="1"/>
    <s v="probably no"/>
    <s v="probably no"/>
    <s v="NA"/>
    <n v="0"/>
    <n v="0"/>
    <n v="1"/>
    <n v="1"/>
    <n v="0"/>
    <n v="0"/>
    <n v="0"/>
    <n v="0"/>
    <s v="Energy Star label with a rebate"/>
    <n v="0"/>
    <n v="0"/>
    <n v="0"/>
    <n v="1"/>
    <n v="0"/>
    <n v="0"/>
    <n v="0"/>
    <n v="0"/>
    <n v="0"/>
    <s v="NA"/>
    <x v="2"/>
    <s v="Maximum simulated likelihood estimates: ES refrigerator choice"/>
    <s v="log scale"/>
    <n v="2.08"/>
    <s v="increase"/>
    <n v="0.22900000000000001"/>
    <n v="0.01"/>
    <n v="1"/>
    <n v="9.0829694323144103"/>
    <s v="NA"/>
    <m/>
    <s v="NA"/>
    <s v="NA"/>
    <s v="NA"/>
    <s v="NA"/>
    <s v="NA"/>
    <s v="NA"/>
    <n v="355"/>
    <n v="19860"/>
    <s v="NA"/>
    <s v="NA"/>
    <n v="50"/>
    <s v="NA"/>
    <s v="delayed"/>
    <n v="1"/>
    <n v="14"/>
    <n v="1"/>
    <n v="0.2"/>
    <s v="NA"/>
    <n v="0"/>
    <n v="0"/>
    <n v="1"/>
    <m/>
    <m/>
    <m/>
    <m/>
    <m/>
    <m/>
    <m/>
    <m/>
    <m/>
    <m/>
    <n v="0.43424883131426489"/>
    <n v="0.46512108920045175"/>
    <n v="2.6926498047349623E-3"/>
    <n v="2.840909090909091E-3"/>
    <m/>
    <m/>
    <m/>
  </r>
  <r>
    <x v="0"/>
    <m/>
    <n v="1192"/>
    <n v="144"/>
    <s v="Li, Clark, Jensen, Yen"/>
    <n v="2014"/>
    <s v="The Effect of Mail-in Utility Rebates on Willingness-to-Pay for ENERGY STAR® Certified Refrigerators"/>
    <s v="The number and variety of governmental programs designed to promote energy_x000a_efficiency have increased over time. Examples include mandatory minimum efficiency standards,_x000a_subsidies for more energy efficient goods and services, and consumer labels, such_x000a_as the United States Environmental Protection Agency’s ENERGY STAR®. While there_x000a_has been considerable research on the effects of these programs in isolation, there has been_x000a_less of a focus on joint effects or interactions between programs. This study examines how_x000a_the offer of a mail-in rebate influences consumer willingness-to-pay for an ENERGY STARcertified_x000a_refrigerator. Data used for this study were collected from an online survey containing_x000a_a hypothetical choice experiment conducted in the United States in 2009. Results suggest_x000a_that the offer of a rebate induces uncertainty about the quality of ENERGY STAR-certified_x000a_refrigerators and, thus, could actually reduce willingness-to-pay for such refrigerators."/>
    <n v="2"/>
    <n v="2009"/>
    <x v="0"/>
    <n v="13"/>
    <x v="18"/>
    <x v="3"/>
    <x v="1"/>
    <s v="stated preference"/>
    <s v="online"/>
    <s v="individuals"/>
    <n v="1"/>
    <s v="opt_out"/>
    <n v="1"/>
    <s v="probably no"/>
    <s v="probably no"/>
    <s v="NA"/>
    <n v="0"/>
    <n v="0"/>
    <n v="1"/>
    <n v="0"/>
    <n v="0"/>
    <n v="0"/>
    <n v="0"/>
    <n v="0"/>
    <s v="Energy Star label without rebate"/>
    <n v="0"/>
    <n v="0"/>
    <n v="0"/>
    <n v="1"/>
    <n v="0"/>
    <n v="0"/>
    <n v="0"/>
    <n v="0"/>
    <n v="0"/>
    <s v="NA"/>
    <x v="2"/>
    <s v="Maximum simulated likelihood estimates: ES refrigerator choice"/>
    <s v="log scale"/>
    <n v="2.3839999999999999"/>
    <s v="increase"/>
    <n v="0.18"/>
    <n v="0.01"/>
    <n v="1"/>
    <n v="13.244444444444444"/>
    <s v="NA"/>
    <m/>
    <s v="NA"/>
    <s v="NA"/>
    <s v="NA"/>
    <s v="NA"/>
    <s v="NA"/>
    <s v="NA"/>
    <n v="349"/>
    <n v="19452"/>
    <s v="NA"/>
    <s v="NA"/>
    <s v="NA"/>
    <s v="NA"/>
    <s v="NA"/>
    <n v="1"/>
    <n v="14"/>
    <n v="1"/>
    <n v="0.2"/>
    <s v="NA"/>
    <n v="0"/>
    <n v="0"/>
    <n v="1"/>
    <m/>
    <m/>
    <m/>
    <m/>
    <m/>
    <m/>
    <m/>
    <m/>
    <m/>
    <m/>
    <n v="0.57835709203923469"/>
    <n v="0.65999050186206398"/>
    <n v="2.3283435703186023E-3"/>
    <n v="2.8901734104046241E-3"/>
    <m/>
    <m/>
    <m/>
  </r>
  <r>
    <x v="4"/>
    <m/>
    <s v="NA"/>
    <s v="NA"/>
    <s v="Liang, Liu, Qiu, Wang, Xing"/>
    <n v="2020"/>
    <s v="Time-of-Use Electricity Pricing and Residential Low-carbon Energy Technology Adoption"/>
    <s v="This paper provides the first empirical evidence on the correlation between Time-_x000a_Of-Use (TOU) electricity pricing and the adoption of energy efficient appliances_x000a_and solar panels. We use household-level data in Phoenix, Arizona from an appliance_x000a_saturation survey of about 16,000 customers conducted by a major electric_x000a_utility. Our empirical results show that TOU consumers are associated with 27%_x000a_higher likelihood to install solar panels but not more likely to adopt energy-efficient_x000a_air conditioning based on the propensity score matching and coarsened exact_x000a_matching methods. The findings highlight that policy makers could combine TOU_x000a_and solar panels when implementing educational programs or when giving out_x000a_financial incentives to consumers. Our results imply that TOU is associated with_x000a_a similar impact of the incentive offered by $2,070~$10,472 tax credits or rebates_x000a_on solar adoption."/>
    <n v="2"/>
    <n v="2020"/>
    <x v="11"/>
    <m/>
    <x v="6"/>
    <x v="4"/>
    <x v="5"/>
    <m/>
    <m/>
    <m/>
    <m/>
    <s v="NA"/>
    <m/>
    <m/>
    <m/>
    <s v="the intervention is time of use pricing. Not really included in the scope of the study"/>
    <m/>
    <m/>
    <m/>
    <m/>
    <m/>
    <m/>
    <m/>
    <m/>
    <m/>
    <m/>
    <m/>
    <m/>
    <m/>
    <m/>
    <m/>
    <m/>
    <m/>
    <m/>
    <m/>
    <x v="3"/>
    <m/>
    <m/>
    <m/>
    <m/>
    <m/>
    <m/>
    <m/>
    <m/>
    <m/>
    <m/>
    <m/>
    <m/>
    <m/>
    <m/>
    <m/>
    <m/>
    <m/>
    <m/>
    <m/>
    <m/>
    <m/>
    <m/>
    <m/>
    <m/>
    <s v="NA"/>
    <m/>
    <s v="NA"/>
    <m/>
    <m/>
    <m/>
    <m/>
    <m/>
    <m/>
    <m/>
    <m/>
    <m/>
    <m/>
    <m/>
    <m/>
    <m/>
    <m/>
    <m/>
    <m/>
    <m/>
    <m/>
    <m/>
    <m/>
    <m/>
  </r>
  <r>
    <x v="0"/>
    <m/>
    <n v="1035"/>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8000000000000003E-2"/>
    <s v="decrease"/>
    <n v="2.1000000000000001E-2"/>
    <n v="0.01"/>
    <n v="1"/>
    <n v="2.7619047619047619"/>
    <n v="5.9714995710287599E-2"/>
    <m/>
    <s v="NA"/>
    <n v="378"/>
    <s v="NA"/>
    <s v="NA"/>
    <n v="193"/>
    <s v="NA"/>
    <n v="571"/>
    <n v="25685"/>
    <s v="NA"/>
    <s v="NA"/>
    <s v="NA"/>
    <s v="NA"/>
    <s v="NA"/>
    <s v="NA"/>
    <s v="NA"/>
    <s v="NA"/>
    <s v="NA"/>
    <s v="NA"/>
    <n v="1"/>
    <n v="0"/>
    <n v="1"/>
    <m/>
    <m/>
    <m/>
    <m/>
    <m/>
    <m/>
    <m/>
    <m/>
    <m/>
    <m/>
    <n v="0.11481772350402021"/>
    <n v="0.11532630395472614"/>
    <n v="1.754075624280991E-3"/>
    <n v="1.7605633802816902E-3"/>
    <m/>
    <m/>
    <m/>
  </r>
  <r>
    <x v="0"/>
    <m/>
    <n v="1036"/>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3999999999999999E-2"/>
    <s v="decrease"/>
    <n v="2.1000000000000001E-2"/>
    <n v="0.05"/>
    <n v="1"/>
    <n v="2.5714285714285712"/>
    <n v="5.5484602155080109E-2"/>
    <m/>
    <s v="NA"/>
    <n v="378"/>
    <s v="NA"/>
    <s v="NA"/>
    <n v="193"/>
    <s v="NA"/>
    <n v="571"/>
    <n v="25685"/>
    <s v="NA"/>
    <s v="NA"/>
    <s v="NA"/>
    <s v="NA"/>
    <s v="NA"/>
    <s v="NA"/>
    <s v="NA"/>
    <s v="NA"/>
    <s v="NA"/>
    <s v="NA"/>
    <n v="1"/>
    <n v="0"/>
    <n v="1"/>
    <m/>
    <m/>
    <m/>
    <m/>
    <m/>
    <m/>
    <m/>
    <m/>
    <m/>
    <m/>
    <n v="0.10699322282140411"/>
    <n v="0.10740432025194586"/>
    <n v="1.7541525050915158E-3"/>
    <n v="1.7605633802816902E-3"/>
    <m/>
    <m/>
    <m/>
  </r>
  <r>
    <x v="0"/>
    <m/>
    <n v="1037"/>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3999999999999999E-2"/>
    <s v="decrease"/>
    <n v="2.1000000000000001E-2"/>
    <n v="0.01"/>
    <n v="1"/>
    <n v="2.5714285714285712"/>
    <n v="5.5484602155080109E-2"/>
    <m/>
    <s v="NA"/>
    <n v="378"/>
    <s v="NA"/>
    <s v="NA"/>
    <n v="193"/>
    <s v="NA"/>
    <n v="571"/>
    <n v="25685"/>
    <s v="NA"/>
    <s v="NA"/>
    <s v="NA"/>
    <s v="NA"/>
    <s v="NA"/>
    <s v="NA"/>
    <s v="NA"/>
    <s v="NA"/>
    <s v="NA"/>
    <s v="NA"/>
    <n v="1"/>
    <n v="0"/>
    <n v="1"/>
    <m/>
    <m/>
    <m/>
    <m/>
    <m/>
    <m/>
    <m/>
    <m/>
    <m/>
    <m/>
    <n v="0.10699322282140411"/>
    <n v="0.10740432025194586"/>
    <n v="1.7541525050915158E-3"/>
    <n v="1.7605633802816902E-3"/>
    <m/>
    <m/>
    <m/>
  </r>
  <r>
    <x v="0"/>
    <m/>
    <n v="1038"/>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1999999999999998E-2"/>
    <s v="decrease"/>
    <n v="2.1000000000000001E-2"/>
    <n v="0.05"/>
    <n v="1"/>
    <n v="2.4761904761904758"/>
    <n v="5.3375742513364743E-2"/>
    <m/>
    <s v="NA"/>
    <n v="378"/>
    <s v="NA"/>
    <s v="NA"/>
    <n v="193"/>
    <s v="NA"/>
    <n v="571"/>
    <n v="25685"/>
    <s v="NA"/>
    <s v="NA"/>
    <s v="NA"/>
    <s v="NA"/>
    <s v="NA"/>
    <s v="NA"/>
    <s v="NA"/>
    <s v="NA"/>
    <s v="NA"/>
    <s v="NA"/>
    <n v="1"/>
    <n v="0"/>
    <n v="1"/>
    <m/>
    <m/>
    <m/>
    <m/>
    <m/>
    <m/>
    <m/>
    <m/>
    <m/>
    <m/>
    <n v="0.10307341191556092"/>
    <n v="0.10344077825830729"/>
    <n v="1.7541851054656437E-3"/>
    <n v="1.7605633802816902E-3"/>
    <m/>
    <m/>
    <m/>
  </r>
  <r>
    <x v="0"/>
    <m/>
    <n v="1039"/>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6000000000000001E-2"/>
    <s v="decrease"/>
    <n v="2.1000000000000001E-2"/>
    <n v="0.01"/>
    <n v="1"/>
    <n v="2.6666666666666665"/>
    <n v="5.7597683736611227E-2"/>
    <m/>
    <s v="NA"/>
    <n v="378"/>
    <s v="NA"/>
    <s v="NA"/>
    <n v="193"/>
    <s v="NA"/>
    <n v="571"/>
    <n v="24920"/>
    <s v="NA"/>
    <s v="NA"/>
    <s v="NA"/>
    <s v="NA"/>
    <s v="NA"/>
    <s v="NA"/>
    <s v="NA"/>
    <s v="NA"/>
    <s v="NA"/>
    <s v="NA"/>
    <n v="1"/>
    <n v="0"/>
    <n v="1"/>
    <m/>
    <m/>
    <m/>
    <m/>
    <m/>
    <m/>
    <m/>
    <m/>
    <m/>
    <m/>
    <n v="0.1109080511509852"/>
    <n v="0.11136618214120936"/>
    <n v="1.7541161049408759E-3"/>
    <n v="1.7605633802816902E-3"/>
    <m/>
    <m/>
    <m/>
  </r>
  <r>
    <x v="0"/>
    <m/>
    <n v="1040"/>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4.4999999999999998E-2"/>
    <s v="decrease"/>
    <n v="2.1999999999999999E-2"/>
    <n v="0.05"/>
    <n v="1"/>
    <n v="2.0454545454545454"/>
    <n v="4.6027859908716939E-2"/>
    <m/>
    <s v="NA"/>
    <n v="378"/>
    <s v="NA"/>
    <s v="NA"/>
    <n v="193"/>
    <s v="NA"/>
    <n v="571"/>
    <n v="22626"/>
    <s v="NA"/>
    <s v="NA"/>
    <s v="NA"/>
    <s v="NA"/>
    <s v="NA"/>
    <s v="NA"/>
    <s v="NA"/>
    <s v="NA"/>
    <s v="NA"/>
    <s v="NA"/>
    <n v="1"/>
    <n v="0"/>
    <n v="1"/>
    <m/>
    <m/>
    <m/>
    <m/>
    <m/>
    <m/>
    <m/>
    <m/>
    <m/>
    <m/>
    <n v="8.5287714841797826E-2"/>
    <n v="8.5495416206607486E-2"/>
    <n v="1.7542922310596193E-3"/>
    <n v="1.7605633802816902E-3"/>
    <m/>
    <m/>
    <m/>
  </r>
  <r>
    <x v="0"/>
    <m/>
    <n v="1041"/>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7000000000000002E-2"/>
    <s v="decrease"/>
    <n v="2.9000000000000001E-2"/>
    <n v="0.01"/>
    <n v="1"/>
    <n v="1.9655172413793103"/>
    <n v="5.8655810395500163E-2"/>
    <m/>
    <s v="NA"/>
    <n v="378"/>
    <s v="NA"/>
    <s v="NA"/>
    <n v="193"/>
    <s v="NA"/>
    <n v="571"/>
    <n v="25685"/>
    <s v="NA"/>
    <s v="NA"/>
    <s v="NA"/>
    <s v="NA"/>
    <s v="NA"/>
    <s v="NA"/>
    <s v="NA"/>
    <s v="NA"/>
    <s v="NA"/>
    <s v="NA"/>
    <n v="1"/>
    <n v="0"/>
    <n v="1"/>
    <m/>
    <m/>
    <m/>
    <m/>
    <m/>
    <m/>
    <m/>
    <m/>
    <m/>
    <m/>
    <n v="8.1977483380554009E-2"/>
    <n v="8.2161865388990771E-2"/>
    <n v="1.7543060171508703E-3"/>
    <n v="1.7605633802816902E-3"/>
    <m/>
    <m/>
    <m/>
  </r>
  <r>
    <x v="0"/>
    <m/>
    <n v="1042"/>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6.4000000000000001E-2"/>
    <s v="decrease"/>
    <n v="2.1000000000000001E-2"/>
    <n v="0.05"/>
    <n v="1"/>
    <n v="3.0476190476190474"/>
    <n v="6.6092398761505189E-2"/>
    <m/>
    <s v="NA"/>
    <n v="378"/>
    <s v="NA"/>
    <s v="NA"/>
    <n v="193"/>
    <s v="NA"/>
    <n v="571"/>
    <n v="25685"/>
    <s v="NA"/>
    <s v="NA"/>
    <s v="NA"/>
    <s v="NA"/>
    <s v="NA"/>
    <s v="NA"/>
    <s v="NA"/>
    <s v="NA"/>
    <s v="NA"/>
    <s v="NA"/>
    <n v="1"/>
    <n v="0"/>
    <n v="1"/>
    <m/>
    <m/>
    <m/>
    <m/>
    <m/>
    <m/>
    <m/>
    <m/>
    <m/>
    <m/>
    <n v="0.12651408859229724"/>
    <n v="0.12719563288286462"/>
    <n v="1.7539267521528995E-3"/>
    <n v="1.7605633802816902E-3"/>
    <m/>
    <m/>
    <m/>
  </r>
  <r>
    <x v="0"/>
    <m/>
    <n v="1043"/>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6.5000000000000002E-2"/>
    <s v="decrease"/>
    <n v="2.1000000000000001E-2"/>
    <n v="0.01"/>
    <n v="1"/>
    <n v="3.0952380952380953"/>
    <n v="6.7159024384192634E-2"/>
    <m/>
    <s v="NA"/>
    <n v="378"/>
    <s v="NA"/>
    <s v="NA"/>
    <n v="193"/>
    <s v="NA"/>
    <n v="571"/>
    <n v="24920"/>
    <s v="NA"/>
    <s v="NA"/>
    <s v="NA"/>
    <s v="NA"/>
    <s v="NA"/>
    <s v="NA"/>
    <s v="NA"/>
    <s v="NA"/>
    <s v="NA"/>
    <s v="NA"/>
    <n v="1"/>
    <n v="0"/>
    <n v="1"/>
    <m/>
    <m/>
    <m/>
    <m/>
    <m/>
    <m/>
    <m/>
    <m/>
    <m/>
    <m/>
    <n v="0.12845849802371542"/>
    <n v="0.12917216710458213"/>
    <n v="1.7538975364909846E-3"/>
    <n v="1.7605633802816902E-3"/>
    <m/>
    <m/>
    <m/>
  </r>
  <r>
    <x v="0"/>
    <m/>
    <n v="1044"/>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2"/>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7.8E-2"/>
    <s v="decrease"/>
    <n v="2.1999999999999999E-2"/>
    <n v="0.01"/>
    <n v="1"/>
    <n v="3.5454545454545459"/>
    <n v="8.1122658670083059E-2"/>
    <m/>
    <s v="NA"/>
    <n v="378"/>
    <s v="NA"/>
    <s v="NA"/>
    <n v="193"/>
    <s v="NA"/>
    <n v="571"/>
    <n v="20600"/>
    <s v="NA"/>
    <s v="NA"/>
    <s v="NA"/>
    <s v="NA"/>
    <s v="NA"/>
    <s v="NA"/>
    <s v="NA"/>
    <s v="NA"/>
    <s v="NA"/>
    <s v="NA"/>
    <n v="1"/>
    <n v="0"/>
    <n v="1"/>
    <m/>
    <m/>
    <m/>
    <m/>
    <m/>
    <m/>
    <m/>
    <m/>
    <m/>
    <m/>
    <n v="0.14676596375341069"/>
    <n v="0.14783358799274471"/>
    <n v="1.753548015859059E-3"/>
    <n v="1.7605633802816902E-3"/>
    <m/>
    <m/>
    <m/>
  </r>
  <r>
    <x v="0"/>
    <m/>
    <n v="1045"/>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7"/>
    <x v="22"/>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7.8E-2"/>
    <s v="decrease"/>
    <n v="2.1999999999999999E-2"/>
    <n v="0.01"/>
    <n v="1"/>
    <n v="3.5454545454545459"/>
    <n v="8.1122658670083059E-2"/>
    <m/>
    <s v="NA"/>
    <n v="378"/>
    <s v="NA"/>
    <s v="NA"/>
    <n v="193"/>
    <s v="NA"/>
    <n v="571"/>
    <n v="20600"/>
    <s v="NA"/>
    <s v="NA"/>
    <s v="NA"/>
    <s v="NA"/>
    <s v="NA"/>
    <s v="NA"/>
    <s v="NA"/>
    <s v="NA"/>
    <s v="NA"/>
    <s v="NA"/>
    <n v="1"/>
    <n v="0"/>
    <n v="1"/>
    <m/>
    <m/>
    <m/>
    <m/>
    <m/>
    <m/>
    <m/>
    <m/>
    <m/>
    <m/>
    <n v="0.14676596375341069"/>
    <n v="0.14783358799274471"/>
    <n v="1.753548015859059E-3"/>
    <n v="1.7605633802816902E-3"/>
    <m/>
    <m/>
    <m/>
  </r>
  <r>
    <x v="0"/>
    <m/>
    <n v="1046"/>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7"/>
    <x v="22"/>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6.9000000000000006E-2"/>
    <s v="decrease"/>
    <n v="2.5999999999999999E-2"/>
    <n v="0.01"/>
    <n v="1"/>
    <n v="2.6538461538461542"/>
    <n v="7.1436209148346252E-2"/>
    <m/>
    <s v="NA"/>
    <n v="378"/>
    <s v="NA"/>
    <s v="NA"/>
    <n v="193"/>
    <s v="NA"/>
    <n v="571"/>
    <n v="20600"/>
    <s v="NA"/>
    <s v="NA"/>
    <s v="NA"/>
    <s v="NA"/>
    <s v="NA"/>
    <s v="NA"/>
    <s v="NA"/>
    <s v="NA"/>
    <s v="NA"/>
    <s v="NA"/>
    <n v="1"/>
    <n v="0"/>
    <n v="1"/>
    <m/>
    <m/>
    <m/>
    <m/>
    <m/>
    <m/>
    <m/>
    <m/>
    <m/>
    <m/>
    <n v="0.11038135154213211"/>
    <n v="0.11083295461476669"/>
    <n v="1.7541212363579208E-3"/>
    <n v="1.7605633802816902E-3"/>
    <m/>
    <m/>
    <m/>
  </r>
  <r>
    <x v="1"/>
    <n v="18"/>
    <n v="1010"/>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1"/>
    <n v="0"/>
    <n v="0"/>
    <s v="NA"/>
    <n v="0"/>
    <n v="0"/>
    <n v="0"/>
    <n v="0"/>
    <n v="0"/>
    <n v="0"/>
    <n v="1"/>
    <n v="0"/>
    <n v="0"/>
    <s v="aggregated already implemented and planned installations together?"/>
    <x v="0"/>
    <s v="adoption of renewable and energy saving appliances"/>
    <s v="dummy (0/1)"/>
    <n v="0.105"/>
    <s v="increase"/>
    <s v="NA"/>
    <n v="0.1"/>
    <n v="2"/>
    <n v="1.6540291281334114"/>
    <n v="4.2000000000000003E-2"/>
    <n v="0.5262259093720687"/>
    <s v="NA"/>
    <s v="NA"/>
    <s v="NA"/>
    <s v="NA"/>
    <s v="NA"/>
    <s v="NA"/>
    <n v="169"/>
    <n v="169"/>
    <s v="NA"/>
    <s v="NA"/>
    <s v="NA"/>
    <s v="NA"/>
    <s v="current "/>
    <s v="NA"/>
    <s v="NA"/>
    <s v="NA"/>
    <s v="NA"/>
    <s v="NA"/>
    <n v="0"/>
    <n v="0"/>
    <n v="1"/>
    <m/>
    <m/>
    <m/>
    <m/>
    <m/>
    <m/>
    <m/>
    <m/>
    <m/>
    <m/>
    <n v="0.12621550782577576"/>
    <n v="0.12689220699041071"/>
    <n v="5.9508377228610727E-3"/>
    <n v="6.024096385542169E-3"/>
    <s v="NA"/>
    <n v="167"/>
    <s v="NA"/>
  </r>
  <r>
    <x v="1"/>
    <n v="18"/>
    <n v="1009"/>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1"/>
    <n v="0"/>
    <n v="0"/>
    <s v="NA"/>
    <n v="0"/>
    <n v="0"/>
    <n v="0"/>
    <n v="0"/>
    <n v="0"/>
    <n v="0"/>
    <n v="0"/>
    <n v="1"/>
    <n v="0"/>
    <s v="aggregated already implemented and planned installations together?"/>
    <x v="0"/>
    <s v="adoption of renewable and energy saving appliances"/>
    <s v="dummy (0/1)"/>
    <n v="0.42199999999999999"/>
    <s v="increase"/>
    <s v="NA"/>
    <n v="0.01"/>
    <n v="1"/>
    <n v="2.6014087465590463"/>
    <n v="0.16600000000000001"/>
    <n v="0.60396173310922441"/>
    <s v="NA"/>
    <s v="NA"/>
    <s v="NA"/>
    <s v="NA"/>
    <s v="NA"/>
    <s v="NA"/>
    <n v="196"/>
    <n v="196"/>
    <s v="NA"/>
    <s v="NA"/>
    <s v="NA"/>
    <s v="NA"/>
    <s v="current "/>
    <s v="NA"/>
    <s v="NA"/>
    <s v="NA"/>
    <s v="NA"/>
    <s v="NA"/>
    <n v="0"/>
    <n v="0"/>
    <n v="1"/>
    <m/>
    <m/>
    <m/>
    <m/>
    <m/>
    <m/>
    <m/>
    <m/>
    <m/>
    <m/>
    <n v="0.18268782595451913"/>
    <n v="0.18476191295756308"/>
    <n v="5.1222290649031235E-3"/>
    <n v="5.1813471502590676E-3"/>
    <s v="NA"/>
    <n v="194"/>
    <s v="NA"/>
  </r>
  <r>
    <x v="1"/>
    <n v="18"/>
    <n v="1011"/>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0"/>
    <n v="1"/>
    <n v="0"/>
    <s v="NA"/>
    <n v="0"/>
    <n v="0"/>
    <n v="0"/>
    <n v="0"/>
    <n v="0"/>
    <n v="0"/>
    <n v="0"/>
    <n v="1"/>
    <n v="0"/>
    <s v="aggregated already implemented and planned installations together?"/>
    <x v="0"/>
    <s v="adoption of renewable and energy saving appliances"/>
    <s v="dummy (0/1)"/>
    <n v="0.60199999999999998"/>
    <s v="decrease"/>
    <s v="NA"/>
    <n v="0.05"/>
    <n v="1"/>
    <n v="1.9722675325821368"/>
    <n v="0.23599999999999999"/>
    <n v="0.64611374129762467"/>
    <s v="NA"/>
    <s v="NA"/>
    <s v="NA"/>
    <s v="NA"/>
    <s v="NA"/>
    <s v="NA"/>
    <n v="196"/>
    <n v="196"/>
    <s v="NA"/>
    <s v="NA"/>
    <s v="NA"/>
    <s v="NA"/>
    <s v="current "/>
    <s v="NA"/>
    <s v="NA"/>
    <s v="NA"/>
    <s v="NA"/>
    <s v="NA"/>
    <n v="0"/>
    <n v="0"/>
    <n v="1"/>
    <m/>
    <m/>
    <m/>
    <m/>
    <m/>
    <m/>
    <m/>
    <m/>
    <m/>
    <m/>
    <n v="0.13949879819299352"/>
    <n v="0.14041439085865218"/>
    <n v="5.126211648265694E-3"/>
    <n v="5.1813471502590676E-3"/>
    <s v="NA"/>
    <n v="194"/>
    <s v="NA"/>
  </r>
  <r>
    <x v="1"/>
    <n v="18"/>
    <n v="1008"/>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1"/>
    <n v="0"/>
    <n v="0"/>
    <n v="0"/>
    <n v="0"/>
    <n v="0"/>
    <n v="0"/>
    <n v="0"/>
    <s v="NA"/>
    <n v="0"/>
    <n v="0"/>
    <n v="0"/>
    <n v="0"/>
    <n v="0"/>
    <n v="0"/>
    <n v="1"/>
    <n v="0"/>
    <n v="0"/>
    <s v="aggregated already implemented and planned installations together?"/>
    <x v="0"/>
    <s v="adoption of renewable and energy saving appliances"/>
    <s v="dummy (0/1)"/>
    <n v="0.65300000000000002"/>
    <s v="increase"/>
    <s v="NA"/>
    <n v="0.05"/>
    <n v="1"/>
    <n v="1.9742709570280526"/>
    <n v="0.25600000000000001"/>
    <n v="0.6576861870231604"/>
    <s v="NA"/>
    <s v="NA"/>
    <s v="NA"/>
    <s v="NA"/>
    <s v="NA"/>
    <s v="NA"/>
    <n v="169"/>
    <n v="169"/>
    <s v="NA"/>
    <s v="NA"/>
    <s v="NA"/>
    <s v="NA"/>
    <s v="NA"/>
    <s v="NA"/>
    <s v="NA"/>
    <s v="NA"/>
    <s v="NA"/>
    <s v="NA"/>
    <n v="0"/>
    <n v="0"/>
    <n v="1"/>
    <m/>
    <m/>
    <m/>
    <m/>
    <m/>
    <m/>
    <m/>
    <m/>
    <m/>
    <m/>
    <n v="0.15014542072566855"/>
    <n v="0.15128920726322537"/>
    <n v="5.9492626192623162E-3"/>
    <n v="6.024096385542169E-3"/>
    <s v="NA"/>
    <n v="167"/>
    <s v="NA"/>
  </r>
  <r>
    <x v="1"/>
    <n v="18"/>
    <n v="1012"/>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0"/>
    <n v="1"/>
    <n v="0"/>
    <s v="NA"/>
    <n v="0"/>
    <n v="0"/>
    <n v="0"/>
    <n v="0"/>
    <n v="0"/>
    <n v="0"/>
    <n v="1"/>
    <n v="0"/>
    <n v="0"/>
    <s v="aggregated already implemented and planned installations together?"/>
    <x v="0"/>
    <s v="adoption of renewable and energy saving appliances"/>
    <s v="dummy (0/1)"/>
    <n v="0.70499999999999996"/>
    <s v="increase"/>
    <s v="NA"/>
    <n v="0.1"/>
    <n v="1"/>
    <n v="1.6540291281334114"/>
    <n v="0.26200000000000001"/>
    <n v="0.66929540277744604"/>
    <s v="NA"/>
    <s v="NA"/>
    <s v="NA"/>
    <s v="NA"/>
    <s v="NA"/>
    <s v="NA"/>
    <n v="169"/>
    <n v="169"/>
    <s v="NA"/>
    <s v="NA"/>
    <s v="NA"/>
    <s v="NA"/>
    <s v="current "/>
    <s v="NA"/>
    <s v="NA"/>
    <s v="NA"/>
    <s v="NA"/>
    <s v="NA"/>
    <n v="0"/>
    <n v="0"/>
    <n v="1"/>
    <m/>
    <m/>
    <m/>
    <m/>
    <m/>
    <m/>
    <m/>
    <m/>
    <m/>
    <m/>
    <n v="0.12621550782577576"/>
    <n v="0.12689220699041071"/>
    <n v="5.9508377228610727E-3"/>
    <n v="6.024096385542169E-3"/>
    <s v="NA"/>
    <n v="167"/>
    <s v="NA"/>
  </r>
  <r>
    <x v="1"/>
    <n v="18"/>
    <n v="1007"/>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1"/>
    <n v="0"/>
    <n v="0"/>
    <n v="0"/>
    <n v="0"/>
    <n v="0"/>
    <n v="0"/>
    <n v="0"/>
    <s v="NA"/>
    <n v="0"/>
    <n v="0"/>
    <n v="0"/>
    <n v="0"/>
    <n v="0"/>
    <n v="0"/>
    <n v="0"/>
    <n v="1"/>
    <n v="0"/>
    <s v="aggregated already implemented and planned installations together?"/>
    <x v="0"/>
    <s v="adoption of renewable and energy saving appliances "/>
    <s v="dummy (0/1)"/>
    <n v="0.80900000000000005"/>
    <s v="increase"/>
    <s v="NA"/>
    <n v="0.01"/>
    <n v="1"/>
    <n v="2.6014087465590463"/>
    <n v="0.31"/>
    <n v="0.69189636943595911"/>
    <s v="NA"/>
    <s v="NA"/>
    <s v="NA"/>
    <s v="NA"/>
    <s v="NA"/>
    <s v="NA"/>
    <n v="196"/>
    <n v="196"/>
    <s v="NA"/>
    <s v="NA"/>
    <s v="NA"/>
    <s v="NA"/>
    <s v="NA"/>
    <s v="NA"/>
    <s v="NA"/>
    <s v="NA"/>
    <s v="NA"/>
    <s v="NA"/>
    <n v="0"/>
    <n v="0"/>
    <n v="1"/>
    <m/>
    <m/>
    <m/>
    <m/>
    <m/>
    <m/>
    <m/>
    <m/>
    <m/>
    <m/>
    <n v="0.18268782595451913"/>
    <n v="0.18476191295756308"/>
    <n v="5.1222290649031235E-3"/>
    <n v="5.1813471502590676E-3"/>
    <s v="NA"/>
    <n v="194"/>
    <s v="NA"/>
  </r>
  <r>
    <x v="0"/>
    <n v="19"/>
    <n v="1130"/>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0"/>
    <n v="0"/>
    <n v="0"/>
    <n v="0"/>
    <n v="0"/>
    <n v="0"/>
    <n v="0"/>
    <n v="0"/>
    <n v="1"/>
    <s v="NA"/>
    <x v="0"/>
    <s v="choice of a high-efficiency appliance"/>
    <s v="dummy (0/1)"/>
    <n v="4.4999999999999998E-2"/>
    <s v="increase"/>
    <n v="0.27100000000000002"/>
    <s v="NA"/>
    <n v="3"/>
    <n v="0.16605166051660514"/>
    <n v="4.6027859908716939E-2"/>
    <n v="0.51124810194685477"/>
    <s v="NA"/>
    <s v="NA"/>
    <s v="NA"/>
    <s v="NA"/>
    <s v="NA"/>
    <s v="NA"/>
    <n v="504"/>
    <n v="504"/>
    <s v="NA"/>
    <s v="NA"/>
    <s v="NA"/>
    <s v="NA"/>
    <s v="NA"/>
    <n v="0"/>
    <s v="NA"/>
    <n v="0"/>
    <s v="NA"/>
    <s v="other"/>
    <n v="0"/>
    <n v="0"/>
    <n v="1"/>
    <m/>
    <m/>
    <m/>
    <m/>
    <m/>
    <m/>
    <m/>
    <m/>
    <m/>
    <m/>
    <n v="7.3963265165038466E-3"/>
    <n v="7.396461394537558E-3"/>
    <n v="1.9880715646263896E-3"/>
    <n v="1.996007984031936E-3"/>
    <s v="NA"/>
    <n v="502"/>
    <s v="NA"/>
  </r>
  <r>
    <x v="0"/>
    <n v="19"/>
    <n v="1131"/>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1"/>
    <n v="0"/>
    <n v="0"/>
    <n v="0"/>
    <n v="0"/>
    <n v="0"/>
    <n v="0"/>
    <n v="0"/>
    <n v="0"/>
    <s v="NA"/>
    <x v="0"/>
    <s v="choice of a high-efficiency appliance"/>
    <s v="dummy (0/1)"/>
    <n v="0.184"/>
    <s v="increase"/>
    <n v="0.26900000000000002"/>
    <s v="NA"/>
    <n v="3"/>
    <n v="0.68401486988847582"/>
    <n v="0.20201582309630139"/>
    <n v="0.54587065655419365"/>
    <s v="NA"/>
    <s v="NA"/>
    <s v="NA"/>
    <s v="NA"/>
    <s v="NA"/>
    <s v="NA"/>
    <n v="504"/>
    <n v="504"/>
    <s v="NA"/>
    <s v="NA"/>
    <s v="NA"/>
    <s v="NA"/>
    <s v="NA"/>
    <n v="0"/>
    <s v="NA"/>
    <n v="0"/>
    <s v="NA"/>
    <s v="alphabetical"/>
    <n v="0"/>
    <n v="0"/>
    <n v="1"/>
    <m/>
    <m/>
    <m/>
    <m/>
    <m/>
    <m/>
    <m/>
    <m/>
    <m/>
    <m/>
    <n v="3.0454311448901306E-2"/>
    <n v="3.0463731795209874E-2"/>
    <n v="1.988069858337372E-3"/>
    <n v="1.996007984031936E-3"/>
    <s v="NA"/>
    <n v="502"/>
    <s v="NA"/>
  </r>
  <r>
    <x v="0"/>
    <n v="19"/>
    <n v="1129"/>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0"/>
    <n v="0"/>
    <n v="0"/>
    <n v="0"/>
    <n v="0"/>
    <n v="0"/>
    <n v="0"/>
    <n v="0"/>
    <n v="1"/>
    <s v="NA"/>
    <x v="0"/>
    <s v="choice of a high-efficiency appliance"/>
    <s v="dummy (0/1)"/>
    <n v="0.22800000000000001"/>
    <s v="increase"/>
    <n v="0.26900000000000002"/>
    <s v="NA"/>
    <n v="3"/>
    <n v="0.84758364312267653"/>
    <n v="0.25608532543234408"/>
    <n v="0.55675435289294073"/>
    <s v="NA"/>
    <s v="NA"/>
    <s v="NA"/>
    <s v="NA"/>
    <s v="NA"/>
    <s v="NA"/>
    <n v="504"/>
    <n v="504"/>
    <s v="NA"/>
    <s v="NA"/>
    <s v="NA"/>
    <s v="NA"/>
    <s v="NA"/>
    <n v="0"/>
    <s v="NA"/>
    <n v="0"/>
    <s v="NA"/>
    <s v="numerical"/>
    <n v="0"/>
    <n v="0"/>
    <n v="1"/>
    <m/>
    <m/>
    <m/>
    <m/>
    <m/>
    <m/>
    <m/>
    <m/>
    <m/>
    <m/>
    <n v="3.7727497501766814E-2"/>
    <n v="3.7745412792349338E-2"/>
    <n v="1.9880675351566339E-3"/>
    <n v="1.996007984031936E-3"/>
    <s v="NA"/>
    <n v="502"/>
    <s v="NA"/>
  </r>
  <r>
    <x v="0"/>
    <n v="19"/>
    <n v="1132"/>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1"/>
    <n v="0"/>
    <n v="0"/>
    <n v="0"/>
    <n v="0"/>
    <n v="0"/>
    <n v="0"/>
    <n v="0"/>
    <n v="0"/>
    <s v="NA"/>
    <x v="0"/>
    <s v="choice of a high-efficiency appliance"/>
    <s v="dummy (0/1)"/>
    <n v="0.26500000000000001"/>
    <s v="decrease"/>
    <n v="0.27300000000000002"/>
    <s v="NA"/>
    <n v="3"/>
    <n v="0.97069597069597069"/>
    <n v="0.30343097577836886"/>
    <n v="0.56586500289548169"/>
    <s v="NA"/>
    <s v="NA"/>
    <s v="NA"/>
    <s v="NA"/>
    <s v="NA"/>
    <s v="NA"/>
    <n v="504"/>
    <n v="504"/>
    <s v="NA"/>
    <s v="NA"/>
    <s v="NA"/>
    <s v="NA"/>
    <s v="NA"/>
    <n v="0"/>
    <s v="NA"/>
    <n v="0"/>
    <s v="NA"/>
    <s v="numerical"/>
    <n v="0"/>
    <n v="0"/>
    <n v="1"/>
    <m/>
    <m/>
    <m/>
    <m/>
    <m/>
    <m/>
    <m/>
    <m/>
    <m/>
    <m/>
    <n v="4.3197873779519926E-2"/>
    <n v="4.322477379226973E-2"/>
    <n v="1.9880646305212315E-3"/>
    <n v="1.996007984031936E-3"/>
    <s v="NA"/>
    <n v="502"/>
    <s v="NA"/>
  </r>
  <r>
    <x v="0"/>
    <n v="19"/>
    <n v="1133"/>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1"/>
    <n v="0"/>
    <n v="0"/>
    <n v="0"/>
    <n v="0"/>
    <n v="0"/>
    <n v="0"/>
    <n v="0"/>
    <n v="0"/>
    <s v="NA"/>
    <x v="0"/>
    <s v="choice of a high-efficiency appliance"/>
    <s v="dummy (0/1)"/>
    <n v="0.34599999999999997"/>
    <s v="increase"/>
    <n v="0.26800000000000002"/>
    <s v="NA"/>
    <n v="3"/>
    <n v="1.2910447761194028"/>
    <n v="0.41340261581767712"/>
    <n v="0.58564725444237853"/>
    <s v="NA"/>
    <s v="NA"/>
    <s v="NA"/>
    <s v="NA"/>
    <s v="NA"/>
    <s v="NA"/>
    <n v="504"/>
    <n v="504"/>
    <s v="NA"/>
    <s v="NA"/>
    <s v="NA"/>
    <s v="NA"/>
    <s v="NA"/>
    <n v="0"/>
    <s v="NA"/>
    <n v="0"/>
    <s v="NA"/>
    <s v="other"/>
    <n v="0"/>
    <n v="0"/>
    <n v="1"/>
    <m/>
    <m/>
    <m/>
    <m/>
    <m/>
    <m/>
    <m/>
    <m/>
    <m/>
    <m/>
    <n v="5.7412847349308176E-2"/>
    <n v="5.7476054483562668E-2"/>
    <n v="1.9880498745698505E-3"/>
    <n v="1.996007984031936E-3"/>
    <s v="NA"/>
    <n v="502"/>
    <s v="NA"/>
  </r>
  <r>
    <x v="0"/>
    <n v="19"/>
    <n v="1128"/>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0"/>
    <n v="0"/>
    <n v="0"/>
    <n v="0"/>
    <n v="0"/>
    <n v="0"/>
    <n v="0"/>
    <n v="0"/>
    <n v="1"/>
    <s v="NA"/>
    <x v="0"/>
    <s v="choice of a high-efficiency appliance"/>
    <s v="dummy (0/1)"/>
    <n v="0.47499999999999998"/>
    <s v="increase"/>
    <n v="0.26700000000000002"/>
    <n v="0.1"/>
    <n v="1"/>
    <n v="1.7790262172284643"/>
    <n v="0.60801419748578289"/>
    <n v="0.61656650452131923"/>
    <s v="NA"/>
    <s v="NA"/>
    <s v="NA"/>
    <s v="NA"/>
    <s v="NA"/>
    <s v="NA"/>
    <n v="504"/>
    <n v="504"/>
    <s v="NA"/>
    <s v="NA"/>
    <s v="NA"/>
    <s v="NA"/>
    <s v="NA"/>
    <n v="0"/>
    <s v="NA"/>
    <n v="0"/>
    <s v="NA"/>
    <s v="alphabetical"/>
    <n v="0"/>
    <n v="0"/>
    <n v="1"/>
    <m/>
    <m/>
    <m/>
    <m/>
    <m/>
    <m/>
    <m/>
    <m/>
    <m/>
    <m/>
    <n v="7.8996479816553555E-2"/>
    <n v="7.9161422211521337E-2"/>
    <n v="1.9879935001832043E-3"/>
    <n v="1.996007984031936E-3"/>
    <s v="NA"/>
    <n v="502"/>
    <s v="NA"/>
  </r>
  <r>
    <x v="0"/>
    <n v="20"/>
    <n v="1048"/>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6"/>
    <x v="18"/>
    <x v="3"/>
    <x v="13"/>
    <s v="self-reported behaviour"/>
    <s v="household"/>
    <s v="homeowners"/>
    <n v="1"/>
    <s v="opt_in"/>
    <n v="0"/>
    <s v="probably no"/>
    <s v="probably no"/>
    <s v="NA"/>
    <n v="0"/>
    <n v="0"/>
    <n v="0"/>
    <n v="0"/>
    <n v="0"/>
    <n v="1"/>
    <n v="0"/>
    <n v="0"/>
    <s v="NA"/>
    <n v="0"/>
    <n v="0"/>
    <n v="0"/>
    <n v="0"/>
    <n v="0"/>
    <n v="0"/>
    <n v="1"/>
    <n v="0"/>
    <n v="0"/>
    <s v="solar, base elc."/>
    <x v="0"/>
    <s v="water heater usage (electricity, LPG, solar, others)"/>
    <s v="dummy (0/1)"/>
    <n v="0.57299999999999995"/>
    <s v="decrease"/>
    <n v="0.29399999999999998"/>
    <n v="0.1"/>
    <n v="1"/>
    <n v="1.9489795918367347"/>
    <n v="0.77357981775294093"/>
    <n v="0.63945512092377221"/>
    <s v="NA"/>
    <s v="NA"/>
    <s v="NA"/>
    <s v="NA"/>
    <n v="36"/>
    <s v="NA"/>
    <n v="3404"/>
    <n v="3404"/>
    <s v="NA"/>
    <s v="NA"/>
    <s v="NA"/>
    <n v="0.13"/>
    <s v="NA"/>
    <s v="NA"/>
    <s v="NA"/>
    <s v="NA"/>
    <s v="NA"/>
    <s v="NA"/>
    <n v="1"/>
    <n v="1"/>
    <n v="1"/>
    <m/>
    <m/>
    <m/>
    <m/>
    <m/>
    <m/>
    <m/>
    <m/>
    <m/>
    <m/>
    <n v="3.3386457206729767E-2"/>
    <n v="3.339887030924775E-2"/>
    <n v="2.9385799462070103E-4"/>
    <n v="2.9403116730373417E-4"/>
    <s v="NA"/>
    <n v="3402"/>
    <s v="NA"/>
  </r>
  <r>
    <x v="0"/>
    <n v="20"/>
    <n v="1051"/>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7"/>
    <x v="15"/>
    <x v="3"/>
    <x v="13"/>
    <s v="self-reported behaviour"/>
    <s v="household"/>
    <s v="homeowners"/>
    <n v="1"/>
    <s v="opt_in"/>
    <n v="0"/>
    <s v="probably no"/>
    <s v="probably no"/>
    <s v="NA"/>
    <n v="0"/>
    <n v="0"/>
    <n v="0"/>
    <n v="0"/>
    <n v="0"/>
    <n v="1"/>
    <n v="0"/>
    <n v="0"/>
    <s v="NA"/>
    <n v="0"/>
    <n v="0"/>
    <n v="0"/>
    <n v="0"/>
    <n v="0"/>
    <n v="0"/>
    <n v="1"/>
    <n v="0"/>
    <n v="0"/>
    <s v="solar, base elc."/>
    <x v="0"/>
    <s v="water heater usage (electricity, LPG, solar, others)"/>
    <s v="dummy (0/1)"/>
    <n v="0.77300000000000002"/>
    <s v="decrease"/>
    <n v="0.65300000000000002"/>
    <n v="0.1"/>
    <n v="2"/>
    <n v="1.1837672281776417"/>
    <n v="1.1662552812206535"/>
    <n v="0.68416949639812985"/>
    <s v="NA"/>
    <s v="NA"/>
    <s v="NA"/>
    <s v="NA"/>
    <s v="NA"/>
    <s v="NA"/>
    <n v="3404"/>
    <n v="3404"/>
    <s v="NA"/>
    <s v="NA"/>
    <s v="NA"/>
    <n v="0.13"/>
    <s v="NA"/>
    <s v="NA"/>
    <s v="NA"/>
    <s v="NA"/>
    <s v="NA"/>
    <s v="NA"/>
    <n v="1"/>
    <n v="1"/>
    <n v="1"/>
    <m/>
    <m/>
    <m/>
    <m/>
    <m/>
    <m/>
    <m/>
    <m/>
    <m/>
    <m/>
    <n v="2.0285334036980945E-2"/>
    <n v="2.0288117160492912E-2"/>
    <n v="2.9385831048460269E-4"/>
    <n v="2.9403116730373417E-4"/>
    <s v="NA"/>
    <n v="3402"/>
    <s v="NA"/>
  </r>
  <r>
    <x v="0"/>
    <n v="20"/>
    <n v="1049"/>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6"/>
    <x v="18"/>
    <x v="3"/>
    <x v="13"/>
    <s v="self-reported behaviour"/>
    <s v="household"/>
    <s v="homeowners"/>
    <n v="1"/>
    <s v="opt_in"/>
    <n v="0"/>
    <s v="probably no"/>
    <s v="probably no"/>
    <s v="NA"/>
    <n v="0"/>
    <n v="0"/>
    <n v="0"/>
    <n v="0"/>
    <n v="0"/>
    <n v="1"/>
    <n v="0"/>
    <n v="0"/>
    <s v="NA"/>
    <n v="0"/>
    <n v="0"/>
    <n v="0"/>
    <n v="0"/>
    <n v="0"/>
    <n v="0"/>
    <n v="1"/>
    <n v="0"/>
    <n v="0"/>
    <s v="solar, base elc."/>
    <x v="0"/>
    <s v="water heater usage (electricity, LPG, solar, others)"/>
    <s v="dummy (0/1)"/>
    <n v="1.0780000000000001"/>
    <s v="increase"/>
    <n v="0.55600000000000005"/>
    <n v="0.1"/>
    <n v="1"/>
    <n v="1.9388489208633093"/>
    <n v="1.938796077398218"/>
    <n v="0.7461153153527682"/>
    <s v="NA"/>
    <s v="NA"/>
    <s v="NA"/>
    <s v="NA"/>
    <s v="NA"/>
    <s v="NA"/>
    <n v="3404"/>
    <n v="3404"/>
    <s v="NA"/>
    <s v="NA"/>
    <s v="NA"/>
    <n v="0.13"/>
    <s v="NA"/>
    <s v="NA"/>
    <s v="NA"/>
    <s v="NA"/>
    <s v="NA"/>
    <s v="NA"/>
    <n v="1"/>
    <n v="1"/>
    <n v="1"/>
    <m/>
    <m/>
    <m/>
    <m/>
    <m/>
    <m/>
    <m/>
    <m/>
    <m/>
    <m/>
    <n v="3.3213108476623197E-2"/>
    <n v="3.3225329143150836E-2"/>
    <n v="2.9385800216136389E-4"/>
    <n v="2.9403116730373417E-4"/>
    <s v="NA"/>
    <n v="3402"/>
    <s v="NA"/>
  </r>
  <r>
    <x v="0"/>
    <n v="20"/>
    <n v="1052"/>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7"/>
    <x v="15"/>
    <x v="3"/>
    <x v="13"/>
    <s v="self-reported behaviour"/>
    <s v="household"/>
    <s v="homeowners"/>
    <n v="1"/>
    <s v="opt_in"/>
    <n v="0"/>
    <s v="probably no"/>
    <s v="probably no"/>
    <s v="NA"/>
    <n v="0"/>
    <n v="0"/>
    <n v="0"/>
    <n v="0"/>
    <n v="0"/>
    <n v="1"/>
    <n v="0"/>
    <n v="0"/>
    <s v="NA"/>
    <n v="0"/>
    <n v="0"/>
    <n v="0"/>
    <n v="0"/>
    <n v="0"/>
    <n v="0"/>
    <n v="1"/>
    <n v="0"/>
    <n v="0"/>
    <s v="solar, base LPG"/>
    <x v="0"/>
    <s v="water heater usage (electricity, LPG, solar, others)"/>
    <s v="dummy (0/1)"/>
    <n v="1.107"/>
    <s v="increase"/>
    <n v="0.83799999999999997"/>
    <n v="0.1"/>
    <n v="2"/>
    <n v="1.3210023866348448"/>
    <n v="2.0252689602207656"/>
    <n v="0.75156939576401494"/>
    <s v="NA"/>
    <s v="NA"/>
    <s v="NA"/>
    <s v="NA"/>
    <s v="NA"/>
    <s v="NA"/>
    <n v="3404"/>
    <n v="3404"/>
    <s v="NA"/>
    <s v="NA"/>
    <s v="NA"/>
    <n v="0.13"/>
    <s v="NA"/>
    <s v="NA"/>
    <s v="NA"/>
    <s v="NA"/>
    <s v="NA"/>
    <s v="NA"/>
    <n v="1"/>
    <n v="1"/>
    <n v="1"/>
    <m/>
    <m/>
    <m/>
    <m/>
    <m/>
    <m/>
    <m/>
    <m/>
    <m/>
    <m/>
    <n v="2.263588794559478E-2"/>
    <n v="2.2639755219163907E-2"/>
    <n v="2.9385828306898831E-4"/>
    <n v="2.9403116730373417E-4"/>
    <s v="NA"/>
    <n v="3402"/>
    <s v="NA"/>
  </r>
  <r>
    <x v="0"/>
    <n v="20"/>
    <n v="1047"/>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6"/>
    <x v="18"/>
    <x v="3"/>
    <x v="13"/>
    <s v="self-reported behaviour"/>
    <s v="household"/>
    <s v="homeowners"/>
    <n v="1"/>
    <s v="opt_in"/>
    <n v="0"/>
    <s v="probably no"/>
    <s v="probably no"/>
    <s v="NA"/>
    <n v="0"/>
    <n v="0"/>
    <n v="0"/>
    <n v="0"/>
    <n v="0"/>
    <n v="1"/>
    <n v="0"/>
    <n v="0"/>
    <s v="NA"/>
    <n v="0"/>
    <n v="0"/>
    <n v="0"/>
    <n v="0"/>
    <n v="0"/>
    <n v="0"/>
    <n v="1"/>
    <n v="0"/>
    <n v="0"/>
    <s v="LPG, base elec."/>
    <x v="0"/>
    <s v="water heater usage (electricity, LPG, solar, others)"/>
    <s v="dummy (0/1)"/>
    <n v="1.651"/>
    <s v="decrease"/>
    <n v="0.58599999999999997"/>
    <n v="0.01"/>
    <n v="1"/>
    <n v="2.81740614334471"/>
    <n v="4.2121894113649896"/>
    <n v="0.83902615748152587"/>
    <s v="NA"/>
    <s v="NA"/>
    <s v="NA"/>
    <s v="NA"/>
    <n v="36"/>
    <s v="NA"/>
    <n v="3404"/>
    <n v="3404"/>
    <s v="NA"/>
    <s v="NA"/>
    <s v="NA"/>
    <n v="0.13"/>
    <s v="NA"/>
    <s v="NA"/>
    <s v="NA"/>
    <s v="NA"/>
    <s v="NA"/>
    <s v="NA"/>
    <n v="1"/>
    <n v="1"/>
    <n v="1"/>
    <m/>
    <m/>
    <m/>
    <m/>
    <m/>
    <m/>
    <m/>
    <m/>
    <m/>
    <m/>
    <n v="4.823351432140318E-2"/>
    <n v="4.8270971259459908E-2"/>
    <n v="2.9385676482401629E-4"/>
    <n v="2.9403116730373417E-4"/>
    <s v="NA"/>
    <n v="3402"/>
    <s v="NA"/>
  </r>
  <r>
    <x v="0"/>
    <n v="20"/>
    <n v="1050"/>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7"/>
    <x v="15"/>
    <x v="3"/>
    <x v="13"/>
    <s v="self-reported behaviour"/>
    <s v="household"/>
    <s v="homeowners"/>
    <n v="1"/>
    <s v="opt_in"/>
    <n v="0"/>
    <s v="probably no"/>
    <s v="probably no"/>
    <s v="NA"/>
    <n v="0"/>
    <n v="0"/>
    <n v="0"/>
    <n v="0"/>
    <n v="0"/>
    <n v="1"/>
    <n v="0"/>
    <n v="0"/>
    <s v="NA"/>
    <n v="0"/>
    <n v="0"/>
    <n v="0"/>
    <n v="0"/>
    <n v="0"/>
    <n v="0"/>
    <n v="1"/>
    <n v="0"/>
    <n v="0"/>
    <s v="LPG, base elec."/>
    <x v="0"/>
    <s v="water heater usage (electricity, LPG, solar, others)"/>
    <s v="dummy (0/1)"/>
    <n v="1.881"/>
    <s v="decrease"/>
    <n v="1.145"/>
    <n v="0.1"/>
    <n v="2"/>
    <n v="1.6427947598253274"/>
    <n v="5.5600616448982949"/>
    <n v="0.86772594629901956"/>
    <s v="NA"/>
    <s v="NA"/>
    <s v="NA"/>
    <s v="NA"/>
    <s v="NA"/>
    <s v="NA"/>
    <n v="3404"/>
    <n v="3404"/>
    <s v="NA"/>
    <s v="NA"/>
    <s v="NA"/>
    <n v="0.13"/>
    <s v="NA"/>
    <s v="NA"/>
    <s v="NA"/>
    <s v="NA"/>
    <s v="NA"/>
    <s v="NA"/>
    <n v="1"/>
    <n v="1"/>
    <n v="1"/>
    <m/>
    <m/>
    <m/>
    <m/>
    <m/>
    <m/>
    <m/>
    <m/>
    <m/>
    <m/>
    <n v="2.8145984341816754E-2"/>
    <n v="2.8153420259375738E-2"/>
    <n v="2.9385817565716929E-4"/>
    <n v="2.9403116730373417E-4"/>
    <s v="NA"/>
    <n v="3402"/>
    <s v="NA"/>
  </r>
  <r>
    <x v="0"/>
    <m/>
    <s v="NA"/>
    <s v="NA"/>
    <s v="Mahlia, Masjuki, Choudhury, Ghazali"/>
    <n v="2002"/>
    <s v="Economical and environmental impact of room air conditioners energy labels in Malaysia"/>
    <s v="The usage of residential electrical appliances for the last two decades has increased rapidly in Malaysia_x000a_together with the increasing income per capita. Like other developing countries with hot and humid climates,_x000a_Malaysia has been experiencing dramatic growth in the number of use of air conditioners, and the_x000a_usage will be higher in the future. In order to reduce energy consumption in the residential sector, the_x000a_Department of Electricity and Gas Supply considers implementing energy labels for room air conditioners_x000a_sometime in the coming year. This study attempts to calculate the economical and environmental impact of_x000a_implementing this program in Malaysia. The study found the savings has exceeded the investment cost and_x000a_the program has reduced the emissions caused by burning fossil fuel."/>
    <n v="1"/>
    <m/>
    <x v="9"/>
    <m/>
    <x v="6"/>
    <x v="4"/>
    <x v="24"/>
    <m/>
    <m/>
    <m/>
    <m/>
    <m/>
    <m/>
    <m/>
    <m/>
    <m/>
    <m/>
    <m/>
    <m/>
    <m/>
    <m/>
    <m/>
    <m/>
    <m/>
    <m/>
    <m/>
    <m/>
    <m/>
    <m/>
    <m/>
    <m/>
    <m/>
    <m/>
    <m/>
    <m/>
    <x v="3"/>
    <m/>
    <m/>
    <m/>
    <m/>
    <m/>
    <m/>
    <m/>
    <m/>
    <m/>
    <m/>
    <m/>
    <m/>
    <m/>
    <m/>
    <m/>
    <m/>
    <m/>
    <m/>
    <m/>
    <m/>
    <m/>
    <m/>
    <m/>
    <m/>
    <m/>
    <m/>
    <m/>
    <m/>
    <m/>
    <m/>
    <m/>
    <m/>
    <m/>
    <m/>
    <m/>
    <m/>
    <m/>
    <m/>
    <m/>
    <m/>
    <m/>
    <m/>
    <m/>
    <m/>
    <m/>
    <m/>
    <m/>
    <m/>
  </r>
  <r>
    <x v="2"/>
    <m/>
    <n v="1255"/>
    <n v="403"/>
    <s v="Menita, Domingos, Domingues, Alves, Calixto, Garcia, Faria, Miguel "/>
    <n v="2016"/>
    <s v="Measurement and Verification in Energy Efficiency Projects involving Solar Water Heating Systems in Homes of Low-Income Families – Case Studies"/>
    <s v="Solar water heating in homes of low-income families as Energy Efficiency Action enables energetic benefits from points of view of the consumer and the Brazilian electrical system, thereby reducing environmental impacts associated with generation, transmission and distribution of electricity. The purpose of the present study is to evaluate these gains through measurement and verification methodology adapted from the International Performance Measurement and Verification Protocol, from case studies involving Energy Efficiency Projects in the Goiás State, Brazil. Results show that the electricity saved from the replacement of electric showers by solar water heating systems in homes of low-income families has great potential to bring financial benefits to such families, and that the reduction in peak demand obtained from this Energy Efficiency Action is advantageous to the Brazilian electrical system. Contributions concerning the application of the methodology are also obtained through this study."/>
    <n v="1"/>
    <s v="2008, 2010, 2014"/>
    <x v="0"/>
    <n v="588"/>
    <x v="3"/>
    <x v="0"/>
    <x v="25"/>
    <s v="revealed preference"/>
    <s v="household"/>
    <s v="residents"/>
    <n v="1"/>
    <s v="no such option"/>
    <n v="0"/>
    <s v="probably yes"/>
    <s v="probably no"/>
    <s v="three case studies, not necessarily representative"/>
    <n v="0"/>
    <n v="0"/>
    <n v="0"/>
    <n v="0"/>
    <n v="0"/>
    <n v="0"/>
    <n v="0"/>
    <n v="0"/>
    <s v="Replacement of efficient water heaters with solar heaters"/>
    <n v="0"/>
    <n v="0"/>
    <n v="0"/>
    <n v="0"/>
    <n v="0"/>
    <n v="0"/>
    <n v="1"/>
    <n v="0"/>
    <n v="0"/>
    <s v="Average monthly consumption of electricity avoided per house"/>
    <x v="1"/>
    <s v="monthly energy savings in kW"/>
    <s v="NA"/>
    <s v="NA"/>
    <s v="decrease"/>
    <s v="NA"/>
    <s v="NA"/>
    <s v="NA"/>
    <s v="NA"/>
    <s v="NA"/>
    <m/>
    <s v="NA"/>
    <n v="544"/>
    <s v="NA"/>
    <s v="NA"/>
    <n v="544"/>
    <s v="NA"/>
    <n v="544"/>
    <s v="NA"/>
    <n v="7.96"/>
    <s v="NA"/>
    <s v="NA"/>
    <s v="NA"/>
    <s v="NA"/>
    <s v="NA"/>
    <s v="NA"/>
    <s v="NA"/>
    <s v="NA"/>
    <s v="NA"/>
    <n v="0"/>
    <n v="0"/>
    <n v="0"/>
    <m/>
    <m/>
    <m/>
    <m/>
    <m/>
    <m/>
    <m/>
    <m/>
    <m/>
    <m/>
    <m/>
    <m/>
    <m/>
    <m/>
    <m/>
    <m/>
    <m/>
  </r>
  <r>
    <x v="2"/>
    <m/>
    <n v="1256"/>
    <n v="403"/>
    <s v="Menita, Domingos, Domingues, Alves, Calixto, Garcia, Faria, Miguel "/>
    <n v="2016"/>
    <s v="Measurement and Verification in Energy Efficiency Projects involving Solar Water Heating Systems in Homes of Low-Income Families – Case Studies"/>
    <s v="Solar water heating in homes of low-income families as Energy Efficiency Action enables energetic benefits from points of view of the consumer and the Brazilian electrical system, thereby reducing environmental impacts associated with generation, transmission and distribution of electricity. The purpose of the present study is to evaluate these gains through measurement and verification methodology adapted from the International Performance Measurement and Verification Protocol, from case studies involving Energy Efficiency Projects in the Goiás State, Brazil. Results show that the electricity saved from the replacement of electric showers by solar water heating systems in homes of low-income families has great potential to bring financial benefits to such families, and that the reduction in peak demand obtained from this Energy Efficiency Action is advantageous to the Brazilian electrical system. Contributions concerning the application of the methodology are also obtained through this study."/>
    <n v="1"/>
    <s v="2008, 2010, 2014"/>
    <x v="0"/>
    <n v="588"/>
    <x v="3"/>
    <x v="0"/>
    <x v="25"/>
    <s v="revealed preference"/>
    <s v="household"/>
    <s v="residents"/>
    <n v="1"/>
    <s v="no such option"/>
    <n v="0"/>
    <s v="probably yes"/>
    <s v="probably no"/>
    <s v="three case studies, not necessarily representative"/>
    <n v="0"/>
    <n v="0"/>
    <n v="0"/>
    <n v="0"/>
    <n v="0"/>
    <n v="0"/>
    <n v="0"/>
    <n v="0"/>
    <s v="Replacement of efficient water heaters with solar heaters"/>
    <n v="0"/>
    <n v="0"/>
    <n v="0"/>
    <n v="0"/>
    <n v="0"/>
    <n v="0"/>
    <n v="1"/>
    <n v="0"/>
    <n v="0"/>
    <s v="Average monthly consumption of electricity avoided per house"/>
    <x v="1"/>
    <s v="monthly energy savings in kW"/>
    <s v="NA"/>
    <s v="NA"/>
    <s v="decrease"/>
    <s v="NA"/>
    <s v="NA"/>
    <s v="NA"/>
    <s v="NA"/>
    <s v="NA"/>
    <m/>
    <s v="NA"/>
    <n v="478"/>
    <s v="NA"/>
    <s v="NA"/>
    <n v="478"/>
    <s v="NA"/>
    <n v="478"/>
    <s v="NA"/>
    <n v="46.36"/>
    <s v="NA"/>
    <s v="NA"/>
    <s v="NA"/>
    <s v="NA"/>
    <s v="NA"/>
    <s v="NA"/>
    <s v="NA"/>
    <s v="NA"/>
    <s v="NA"/>
    <n v="0"/>
    <n v="0"/>
    <n v="0"/>
    <m/>
    <m/>
    <m/>
    <m/>
    <m/>
    <m/>
    <m/>
    <m/>
    <m/>
    <m/>
    <m/>
    <m/>
    <m/>
    <m/>
    <m/>
    <m/>
    <m/>
  </r>
  <r>
    <x v="2"/>
    <m/>
    <n v="1257"/>
    <n v="403"/>
    <s v="Menita, Domingos, Domingues, Alves, Calixto, Garcia, Faria, Miguel "/>
    <n v="2016"/>
    <s v="Measurement and Verification in Energy Efficiency Projects involving Solar Water Heating Systems in Homes of Low-Income Families – Case Studies"/>
    <s v="Solar water heating in homes of low-income families as Energy Efficiency Action enables energetic benefits from points of view of the consumer and the Brazilian electrical system, thereby reducing environmental impacts associated with generation, transmission and distribution of electricity. The purpose of the present study is to evaluate these gains through measurement and verification methodology adapted from the International Performance Measurement and Verification Protocol, from case studies involving Energy Efficiency Projects in the Goiás State, Brazil. Results show that the electricity saved from the replacement of electric showers by solar water heating systems in homes of low-income families has great potential to bring financial benefits to such families, and that the reduction in peak demand obtained from this Energy Efficiency Action is advantageous to the Brazilian electrical system. Contributions concerning the application of the methodology are also obtained through this study."/>
    <n v="1"/>
    <s v="2008, 2010, 2014"/>
    <x v="0"/>
    <n v="588"/>
    <x v="3"/>
    <x v="0"/>
    <x v="25"/>
    <s v="revealed preference"/>
    <s v="household"/>
    <s v="residents"/>
    <n v="1"/>
    <s v="no such option"/>
    <n v="0"/>
    <s v="probably yes"/>
    <s v="probably no"/>
    <s v="three case studies, not necessarily representative"/>
    <n v="0"/>
    <n v="0"/>
    <n v="0"/>
    <n v="0"/>
    <n v="0"/>
    <n v="0"/>
    <n v="0"/>
    <n v="0"/>
    <s v="Replacement of efficient water heaters with solar heaters"/>
    <n v="0"/>
    <n v="0"/>
    <n v="0"/>
    <n v="0"/>
    <n v="0"/>
    <n v="0"/>
    <n v="1"/>
    <n v="0"/>
    <n v="0"/>
    <s v="Average monthly consumption of electricity avoided per house"/>
    <x v="1"/>
    <s v="monthly energy savings in kW"/>
    <s v="NA"/>
    <s v="NA"/>
    <s v="decrease"/>
    <s v="NA"/>
    <s v="NA"/>
    <s v="NA"/>
    <s v="NA"/>
    <s v="NA"/>
    <m/>
    <s v="NA"/>
    <n v="1081"/>
    <s v="NA"/>
    <s v="NA"/>
    <n v="1081"/>
    <s v="NA"/>
    <n v="1081"/>
    <s v="NA"/>
    <n v="48.18"/>
    <s v="NA"/>
    <s v="NA"/>
    <s v="NA"/>
    <s v="NA"/>
    <s v="NA"/>
    <s v="NA"/>
    <s v="NA"/>
    <s v="NA"/>
    <s v="NA"/>
    <n v="0"/>
    <n v="0"/>
    <n v="0"/>
    <m/>
    <m/>
    <m/>
    <m/>
    <m/>
    <m/>
    <m/>
    <m/>
    <m/>
    <m/>
    <m/>
    <m/>
    <m/>
    <m/>
    <m/>
    <m/>
    <m/>
  </r>
  <r>
    <x v="4"/>
    <m/>
    <s v="NA"/>
    <s v="NA"/>
    <s v="Mills, Schleich"/>
    <n v="2010"/>
    <s v="What’s Driving Energy Efficient Appliance Label Awareness and Purchase Propensity?"/>
    <s v="The EU appliance energy consumption labeling scheme is a key component of efforts to increase the diffusion of energy-efficient household appliances. In this paper, the determinants of consumer knowledge of the energy label for house-hold appliances and the choice of class-A energy-efficient appliances are jointly estimated using data from a large survey of more than 20,000 German house-holds. The results for five major appliances suggest that lack of knowledge of the energy label can generate considerable bias in both estimates of rates of uptake of class-A appliances and in estimates of the underlying determinants of choice of class-A appliance. Simulations of the choice to purchase a class-A appliance, given knowledge of the labeling framework, reveal that residence characteristics and, in several cases, regional electricity prices strongly increase the propensity to purchase a class-A appliance, but socio-economic characteris-tics have surprisingly little impact on appliance energy-class choice."/>
    <n v="2"/>
    <n v="2002"/>
    <x v="1"/>
    <m/>
    <x v="6"/>
    <x v="4"/>
    <x v="5"/>
    <m/>
    <m/>
    <m/>
    <m/>
    <m/>
    <m/>
    <m/>
    <m/>
    <m/>
    <m/>
    <m/>
    <m/>
    <m/>
    <m/>
    <m/>
    <m/>
    <m/>
    <m/>
    <m/>
    <m/>
    <m/>
    <m/>
    <m/>
    <m/>
    <m/>
    <m/>
    <m/>
    <m/>
    <x v="3"/>
    <m/>
    <m/>
    <m/>
    <m/>
    <m/>
    <m/>
    <m/>
    <m/>
    <m/>
    <m/>
    <m/>
    <m/>
    <m/>
    <m/>
    <m/>
    <m/>
    <m/>
    <m/>
    <m/>
    <m/>
    <m/>
    <m/>
    <m/>
    <m/>
    <m/>
    <m/>
    <s v="NA"/>
    <m/>
    <m/>
    <m/>
    <m/>
    <m/>
    <m/>
    <m/>
    <m/>
    <m/>
    <m/>
    <m/>
    <m/>
    <m/>
    <m/>
    <m/>
    <m/>
    <m/>
    <m/>
    <m/>
    <m/>
    <m/>
  </r>
  <r>
    <x v="0"/>
    <m/>
    <n v="1213"/>
    <n v="146"/>
    <s v="Min, Azevedo, Michalek, de Bruin"/>
    <n v="2014"/>
    <s v="Labeling energy cost on light bulbs lowers implicit discount rates"/>
    <s v="Lighting accounts for nearly 20% of overall U.S. electricity consumption and 18% of U.S. residential electricity_x000a_consumption. A transition to alternative energy-efficient technologies could reduce this energy consumption_x000a_considerably. To quantify the influence of factors that drive consumer choices for light bulbs, we conducted a_x000a_choice-based conjoint field experiment with 183 participants. We estimated discrete choice models from the_x000a_data, and found that politically liberal consumers have a stronger preference for compact fluorescent lighting_x000a_technology and for low energy consumption. Greater willingness to pay for lower energy consumption and longer_x000a_lifewas observed in conditions where estimated operating cost information was provided. Providing estimated_x000a_annual cost information to consumers reduced their implicit discount rate by a factor of five, lowering barriers_x000a_to adoption of energy efficient alternativeswith higher up-front costs; however, evenwith cost information provided,_x000a_consumers continued to use implicit discount rates of around 100%, which is larger than that experienced_x000a_for other energy technologies."/>
    <n v="2"/>
    <n v="2014"/>
    <x v="0"/>
    <n v="46"/>
    <x v="0"/>
    <x v="2"/>
    <x v="1"/>
    <s v="stated preference"/>
    <s v="lab"/>
    <s v="individuals"/>
    <n v="1"/>
    <s v="opt_out"/>
    <n v="1"/>
    <s v="probably no"/>
    <s v="probably yes"/>
    <s v="only report IDR without WTP - available upon request"/>
    <n v="0"/>
    <n v="1"/>
    <n v="0"/>
    <n v="0"/>
    <n v="0"/>
    <n v="0"/>
    <n v="0"/>
    <n v="0"/>
    <s v="operating cost information (baseline - no such information)"/>
    <n v="0"/>
    <n v="0"/>
    <n v="0"/>
    <n v="0"/>
    <n v="0"/>
    <n v="1"/>
    <n v="0"/>
    <n v="0"/>
    <n v="0"/>
    <s v="NA"/>
    <x v="2"/>
    <s v="WTP for CFL"/>
    <s v="log scale"/>
    <m/>
    <m/>
    <m/>
    <m/>
    <m/>
    <m/>
    <m/>
    <m/>
    <s v="NA"/>
    <s v="NA"/>
    <s v="NA"/>
    <s v="NA"/>
    <s v="NA"/>
    <s v="NA"/>
    <s v="NA"/>
    <n v="6652"/>
    <s v="NA"/>
    <s v="NA"/>
    <s v="NA"/>
    <s v="NA"/>
    <s v="NA"/>
    <s v="NA"/>
    <s v="NA"/>
    <s v="NA"/>
    <s v="NA"/>
    <s v="NA"/>
    <n v="0"/>
    <n v="1"/>
    <n v="1"/>
    <m/>
    <m/>
    <m/>
    <m/>
    <m/>
    <m/>
    <m/>
    <m/>
    <m/>
    <m/>
    <e v="#VALUE!"/>
    <e v="#VALUE!"/>
    <e v="#VALUE!"/>
    <e v="#VALUE!"/>
    <m/>
    <m/>
    <m/>
  </r>
  <r>
    <x v="0"/>
    <m/>
    <n v="1169"/>
    <n v="140"/>
    <s v="Mizobuchi, Takeuchi"/>
    <n v="2016"/>
    <s v="Replacement or additional purchase: The impact of energy-efficient appliances on household electricity saving under public pressures"/>
    <s v="This study examined the influence of additional and replacement purchases of energy-efficient airconditioners_x000a_on power savings. We used a questionnaire survey and measured electricity use data from_x000a_339 Japanese households, collected from two city areas with different level of government-requested_x000a_electricity-saving rates, namely, Osaka (10%) and Matsuyama (5%). The main findings of our study are as_x000a_follows: (1) Households that purchased energy-efficient air-conditioners saved more electricity than_x000a_those that did not. (2) “Additional-purchase households” showed significant energy savings, whereas_x000a_“replacement households” did not. The rebound effect may negate the energy-saving effects of a new airconditioner._x000a_(3) Altruistic attitude is associated with more active participation in power saving._x000a_(4) Households in Osaka saved more electricity than those in Matsuyama, probably because the government_x000a_call to save electricity was more forceful."/>
    <n v="1"/>
    <s v="2011-2012"/>
    <x v="0"/>
    <n v="143"/>
    <x v="4"/>
    <x v="5"/>
    <x v="16"/>
    <s v="revealed preference"/>
    <s v="online"/>
    <s v="residents"/>
    <n v="0"/>
    <s v="no such option"/>
    <n v="0"/>
    <s v="probably yes"/>
    <s v="probably no"/>
    <s v="government calls for energy savings due to shortage"/>
    <n v="0"/>
    <n v="0"/>
    <n v="0"/>
    <n v="0"/>
    <n v="0"/>
    <n v="0"/>
    <n v="0"/>
    <n v="1"/>
    <s v="Due to the Top Runner Program by the Japanese government, air-conditioner companies must continue to upgrade the energy efficiency of their air-conditioners on a yearly basis."/>
    <n v="0"/>
    <n v="0"/>
    <n v="0"/>
    <n v="0"/>
    <n v="0"/>
    <n v="0"/>
    <n v="0"/>
    <n v="1"/>
    <n v="0"/>
    <s v="after purchase of energy efficient air-conditioner"/>
    <x v="1"/>
    <s v="the logarithmic value of the electricity_x000a_consumption (kWh)"/>
    <s v="log scale"/>
    <n v="3.8109999999999999"/>
    <s v="decrease"/>
    <n v="2.3719999999999999"/>
    <n v="0.1"/>
    <n v="2"/>
    <n v="1.6066610455311974"/>
    <n v="44.19561188793142"/>
    <m/>
    <s v="NA"/>
    <s v="NA"/>
    <s v="NA"/>
    <s v="NA"/>
    <s v="NA"/>
    <s v="NA"/>
    <n v="310"/>
    <n v="310"/>
    <s v="NA"/>
    <s v="NA"/>
    <s v="NA"/>
    <s v="NA"/>
    <s v="NA"/>
    <s v="NA"/>
    <s v="NA"/>
    <s v="NA"/>
    <s v="NA"/>
    <s v="NA"/>
    <n v="1"/>
    <n v="1"/>
    <n v="1"/>
    <m/>
    <m/>
    <m/>
    <m/>
    <m/>
    <m/>
    <m/>
    <m/>
    <m/>
    <m/>
    <n v="9.0874644742587773E-2"/>
    <n v="9.112604528874467E-2"/>
    <n v="3.2360227971281281E-3"/>
    <n v="3.2573289902280132E-3"/>
    <m/>
    <m/>
    <m/>
  </r>
  <r>
    <x v="0"/>
    <m/>
    <n v="1170"/>
    <n v="140"/>
    <s v="Mizobuchi, Takeuchi"/>
    <n v="2016"/>
    <s v="Replacement or additional purchase: The impact of energy-efficient appliances on household electricity saving under public pressures"/>
    <s v="This study examined the influence of additional and replacement purchases of energy-efficient airconditioners_x000a_on power savings. We used a questionnaire survey and measured electricity use data from_x000a_339 Japanese households, collected from two city areas with different level of government-requested_x000a_electricity-saving rates, namely, Osaka (10%) and Matsuyama (5%). The main findings of our study are as_x000a_follows: (1) Households that purchased energy-efficient air-conditioners saved more electricity than_x000a_those that did not. (2) “Additional-purchase households” showed significant energy savings, whereas_x000a_“replacement households” did not. The rebound effect may negate the energy-saving effects of a new airconditioner._x000a_(3) Altruistic attitude is associated with more active participation in power saving._x000a_(4) Households in Osaka saved more electricity than those in Matsuyama, probably because the government_x000a_call to save electricity was more forceful."/>
    <n v="1"/>
    <s v="2011-2012"/>
    <x v="0"/>
    <n v="143"/>
    <x v="4"/>
    <x v="5"/>
    <x v="16"/>
    <s v="revealed preference"/>
    <s v="online"/>
    <s v="residents"/>
    <n v="0"/>
    <s v="no such option"/>
    <n v="0"/>
    <s v="probably yes"/>
    <s v="probably no"/>
    <s v="government calls for energy savings due to shortage"/>
    <n v="0"/>
    <n v="0"/>
    <n v="0"/>
    <n v="0"/>
    <n v="0"/>
    <n v="0"/>
    <n v="0"/>
    <n v="1"/>
    <s v="Due to the Top Runner Program by the Japanese government, air-conditioner companies must continue to upgrade the energy efficiency of their air-conditioners on a yearly basis."/>
    <n v="0"/>
    <n v="0"/>
    <n v="0"/>
    <n v="0"/>
    <n v="0"/>
    <n v="0"/>
    <n v="0"/>
    <n v="1"/>
    <n v="0"/>
    <s v="after replacement"/>
    <x v="1"/>
    <s v="the logarithmic value of the electricity_x000a_consumption (kWh)"/>
    <s v="log scale"/>
    <n v="1.9039999999999999"/>
    <s v="decrease"/>
    <n v="2.82"/>
    <n v="0.1"/>
    <n v="2"/>
    <n v="0.67517730496453898"/>
    <n v="5.7126915785915049"/>
    <m/>
    <s v="NA"/>
    <s v="NA"/>
    <s v="NA"/>
    <s v="NA"/>
    <s v="NA"/>
    <s v="NA"/>
    <n v="310"/>
    <n v="310"/>
    <s v="NA"/>
    <s v="NA"/>
    <s v="NA"/>
    <s v="NA"/>
    <s v="NA"/>
    <s v="NA"/>
    <s v="NA"/>
    <s v="NA"/>
    <s v="NA"/>
    <s v="NA"/>
    <n v="1"/>
    <n v="1"/>
    <n v="1"/>
    <m/>
    <m/>
    <m/>
    <m/>
    <m/>
    <m/>
    <m/>
    <m/>
    <m/>
    <m/>
    <n v="3.8319329539764628E-2"/>
    <n v="3.8338101745567565E-2"/>
    <n v="3.2362389632958908E-3"/>
    <n v="3.2573289902280132E-3"/>
    <m/>
    <m/>
    <m/>
  </r>
  <r>
    <x v="0"/>
    <m/>
    <n v="1171"/>
    <n v="140"/>
    <s v="Mizobuchi, Takeuchi"/>
    <n v="2016"/>
    <s v="Replacement or additional purchase: The impact of energy-efficient appliances on household electricity saving under public pressures"/>
    <s v="This study examined the influence of additional and replacement purchases of energy-efficient airconditioners_x000a_on power savings. We used a questionnaire survey and measured electricity use data from_x000a_339 Japanese households, collected from two city areas with different level of government-requested_x000a_electricity-saving rates, namely, Osaka (10%) and Matsuyama (5%). The main findings of our study are as_x000a_follows: (1) Households that purchased energy-efficient air-conditioners saved more electricity than_x000a_those that did not. (2) “Additional-purchase households” showed significant energy savings, whereas_x000a_“replacement households” did not. The rebound effect may negate the energy-saving effects of a new airconditioner._x000a_(3) Altruistic attitude is associated with more active participation in power saving._x000a_(4) Households in Osaka saved more electricity than those in Matsuyama, probably because the government_x000a_call to save electricity was more forceful."/>
    <n v="1"/>
    <s v="2011-2012"/>
    <x v="0"/>
    <n v="143"/>
    <x v="4"/>
    <x v="5"/>
    <x v="16"/>
    <s v="revealed preference"/>
    <s v="online"/>
    <s v="residents"/>
    <n v="0"/>
    <s v="no such option"/>
    <n v="0"/>
    <s v="probably yes"/>
    <s v="probably no"/>
    <s v="government calls for energy savings due to shortage"/>
    <n v="0"/>
    <n v="0"/>
    <n v="0"/>
    <n v="0"/>
    <n v="0"/>
    <n v="0"/>
    <n v="0"/>
    <n v="1"/>
    <s v="Due to the Top Runner Program by the Japanese government, air-conditioner companies must continue to upgrade the energy efficiency of their air-conditioners on a yearly basis."/>
    <n v="0"/>
    <n v="0"/>
    <n v="0"/>
    <n v="0"/>
    <n v="0"/>
    <n v="0"/>
    <n v="0"/>
    <n v="1"/>
    <n v="0"/>
    <s v="after additional purchase"/>
    <x v="1"/>
    <s v="the logarithmic value of the electricity_x000a_consumption (kWh)"/>
    <s v="log scale"/>
    <n v="6.681"/>
    <s v="decrease"/>
    <n v="3.4260000000000002"/>
    <n v="0.1"/>
    <n v="1"/>
    <n v="1.9500875656742556"/>
    <n v="796.11582942023051"/>
    <m/>
    <s v="NA"/>
    <s v="NA"/>
    <s v="NA"/>
    <s v="NA"/>
    <s v="NA"/>
    <s v="NA"/>
    <n v="310"/>
    <n v="310"/>
    <s v="NA"/>
    <s v="NA"/>
    <s v="NA"/>
    <s v="NA"/>
    <s v="NA"/>
    <s v="NA"/>
    <s v="NA"/>
    <s v="NA"/>
    <s v="NA"/>
    <s v="NA"/>
    <n v="1"/>
    <n v="1"/>
    <n v="1"/>
    <m/>
    <m/>
    <m/>
    <m/>
    <m/>
    <m/>
    <m/>
    <m/>
    <m/>
    <m/>
    <n v="0.11008437401907406"/>
    <n v="0.11053232404190938"/>
    <n v="3.235762897306693E-3"/>
    <n v="3.2573289902280132E-3"/>
    <m/>
    <m/>
    <m/>
  </r>
  <r>
    <x v="3"/>
    <n v="21"/>
    <n v="1270"/>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09"/>
    <s v="increase"/>
    <n v="0.12"/>
    <n v="0.05"/>
    <n v="2"/>
    <n v="1.6474057119344734"/>
    <n v="9.4174283705210415E-2"/>
    <n v="0.52248482479180014"/>
    <s v="NA"/>
    <s v="NA"/>
    <s v="NA"/>
    <s v="NA"/>
    <s v="NA"/>
    <s v="NA"/>
    <n v="600"/>
    <n v="600"/>
    <s v="NA"/>
    <s v="NA"/>
    <s v="NA"/>
    <s v="NA"/>
    <s v="NA"/>
    <s v="NA"/>
    <s v="NA"/>
    <s v="NA"/>
    <s v="NA"/>
    <s v="NA"/>
    <n v="0"/>
    <n v="1"/>
    <n v="1"/>
    <m/>
    <m/>
    <m/>
    <m/>
    <m/>
    <m/>
    <m/>
    <m/>
    <m/>
    <m/>
    <n v="6.7103465160314887E-2"/>
    <n v="6.7204457661064573E-2"/>
    <n v="1.6694150280093312E-3"/>
    <n v="1.6750418760469012E-3"/>
    <s v="NA"/>
    <n v="598"/>
    <s v="NA"/>
  </r>
  <r>
    <x v="3"/>
    <n v="21"/>
    <n v="1271"/>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1"/>
    <s v="increase"/>
    <n v="0.11"/>
    <n v="0.05"/>
    <n v="2"/>
    <n v="1.6474057119344734"/>
    <n v="0.10517091807564771"/>
    <n v="0.52497918747894001"/>
    <s v="NA"/>
    <s v="NA"/>
    <s v="NA"/>
    <s v="NA"/>
    <s v="NA"/>
    <s v="NA"/>
    <n v="600"/>
    <n v="600"/>
    <s v="NA"/>
    <s v="NA"/>
    <s v="NA"/>
    <s v="NA"/>
    <s v="NA"/>
    <s v="NA"/>
    <s v="NA"/>
    <s v="NA"/>
    <s v="NA"/>
    <s v="NA"/>
    <n v="0"/>
    <n v="1"/>
    <n v="1"/>
    <m/>
    <m/>
    <m/>
    <m/>
    <m/>
    <m/>
    <m/>
    <m/>
    <m/>
    <m/>
    <n v="6.7103465160314887E-2"/>
    <n v="6.7204457661064573E-2"/>
    <n v="1.6694150280093312E-3"/>
    <n v="1.6750418760469012E-3"/>
    <s v="NA"/>
    <n v="598"/>
    <s v="NA"/>
  </r>
  <r>
    <x v="3"/>
    <n v="21"/>
    <n v="1252"/>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21"/>
    <s v="increase"/>
    <n v="0.03"/>
    <n v="0.05"/>
    <n v="1"/>
    <n v="1.9639388980555066"/>
    <n v="0.23367805995674318"/>
    <n v="0.5523079095743253"/>
    <s v="NA"/>
    <s v="NA"/>
    <s v="NA"/>
    <s v="NA"/>
    <s v="NA"/>
    <s v="NA"/>
    <n v="600"/>
    <n v="600"/>
    <s v="NA"/>
    <s v="NA"/>
    <s v="NA"/>
    <s v="NA"/>
    <s v="NA"/>
    <s v="NA"/>
    <s v="NA"/>
    <s v="NA"/>
    <s v="NA"/>
    <s v="NA"/>
    <n v="0"/>
    <n v="1"/>
    <n v="1"/>
    <m/>
    <m/>
    <m/>
    <m/>
    <m/>
    <m/>
    <m/>
    <m/>
    <m/>
    <m/>
    <n v="7.9920998150068992E-2"/>
    <n v="8.0091814824645752E-2"/>
    <n v="1.6693803867099848E-3"/>
    <n v="1.6750418760469012E-3"/>
    <s v="NA"/>
    <n v="598"/>
    <s v="NA"/>
  </r>
  <r>
    <x v="3"/>
    <n v="21"/>
    <n v="1253"/>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27"/>
    <s v="increase"/>
    <n v="0.05"/>
    <n v="0.05"/>
    <n v="1"/>
    <n v="1.9639388980555066"/>
    <n v="0.3099644507332473"/>
    <n v="0.56709290496545439"/>
    <s v="NA"/>
    <s v="NA"/>
    <s v="NA"/>
    <s v="NA"/>
    <s v="NA"/>
    <s v="NA"/>
    <n v="600"/>
    <n v="600"/>
    <s v="NA"/>
    <s v="NA"/>
    <s v="NA"/>
    <s v="NA"/>
    <s v="NA"/>
    <s v="NA"/>
    <s v="NA"/>
    <s v="NA"/>
    <s v="NA"/>
    <s v="NA"/>
    <n v="0"/>
    <n v="1"/>
    <n v="1"/>
    <m/>
    <m/>
    <m/>
    <m/>
    <m/>
    <m/>
    <m/>
    <m/>
    <m/>
    <m/>
    <n v="7.9920998150068992E-2"/>
    <n v="8.0091814824645752E-2"/>
    <n v="1.6693803867099848E-3"/>
    <n v="1.6750418760469012E-3"/>
    <s v="NA"/>
    <n v="598"/>
    <s v="NA"/>
  </r>
  <r>
    <x v="3"/>
    <n v="21"/>
    <n v="1273"/>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1"/>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85"/>
    <s v="increase"/>
    <n v="0.11"/>
    <n v="0.05"/>
    <n v="1"/>
    <n v="1.9639388980555066"/>
    <n v="1.3396468519259908"/>
    <n v="0.70056714247397289"/>
    <s v="NA"/>
    <s v="NA"/>
    <s v="NA"/>
    <s v="NA"/>
    <s v="NA"/>
    <s v="NA"/>
    <n v="600"/>
    <n v="600"/>
    <s v="NA"/>
    <s v="NA"/>
    <s v="NA"/>
    <s v="NA"/>
    <s v="NA"/>
    <s v="NA"/>
    <s v="NA"/>
    <s v="NA"/>
    <s v="NA"/>
    <s v="NA"/>
    <n v="0"/>
    <n v="1"/>
    <n v="1"/>
    <m/>
    <m/>
    <m/>
    <m/>
    <m/>
    <m/>
    <m/>
    <m/>
    <m/>
    <m/>
    <n v="7.9920998150068992E-2"/>
    <n v="8.0091814824645752E-2"/>
    <n v="1.6693803867099848E-3"/>
    <n v="1.6750418760469012E-3"/>
    <s v="NA"/>
    <n v="598"/>
    <s v="NA"/>
  </r>
  <r>
    <x v="3"/>
    <n v="21"/>
    <n v="1272"/>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1"/>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87"/>
    <s v="increase"/>
    <n v="0.1"/>
    <n v="0.05"/>
    <n v="1"/>
    <n v="1.9639388980555066"/>
    <n v="1.3869108535242765"/>
    <n v="0.70474569799809106"/>
    <s v="NA"/>
    <s v="NA"/>
    <s v="NA"/>
    <s v="NA"/>
    <s v="NA"/>
    <s v="NA"/>
    <n v="600"/>
    <n v="600"/>
    <s v="NA"/>
    <s v="NA"/>
    <s v="NA"/>
    <s v="NA"/>
    <s v="NA"/>
    <s v="NA"/>
    <s v="NA"/>
    <s v="NA"/>
    <s v="NA"/>
    <s v="NA"/>
    <n v="0"/>
    <n v="1"/>
    <n v="1"/>
    <m/>
    <m/>
    <m/>
    <m/>
    <m/>
    <m/>
    <m/>
    <m/>
    <m/>
    <m/>
    <n v="7.9920998150068992E-2"/>
    <n v="8.0091814824645752E-2"/>
    <n v="1.6693803867099848E-3"/>
    <n v="1.6750418760469012E-3"/>
    <s v="NA"/>
    <n v="598"/>
    <s v="NA"/>
  </r>
  <r>
    <x v="2"/>
    <n v="22"/>
    <n v="1278"/>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3"/>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7.0000000000000001E-3"/>
    <s v="increase"/>
    <s v="NA"/>
    <n v="0.1"/>
    <n v="2"/>
    <n v="1.6458012044463048"/>
    <n v="7.0245572668485856E-3"/>
    <n v="0.50174999285420174"/>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80"/>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0"/>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1.2999999999999999E-2"/>
    <s v="decrease"/>
    <s v="NA"/>
    <n v="0.1"/>
    <n v="2"/>
    <n v="1.6458012044463048"/>
    <n v="1.3084867359809182E-2"/>
    <n v="0.50324995422994023"/>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9"/>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3"/>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1.4E-2"/>
    <s v="decrease"/>
    <s v="NA"/>
    <n v="0.1"/>
    <n v="2"/>
    <n v="1.6458012044463048"/>
    <n v="1.4098458938492264E-2"/>
    <n v="0.50349994283445376"/>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9"/>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11"/>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0.04"/>
    <s v="increase"/>
    <s v="NA"/>
    <n v="0.1"/>
    <n v="1"/>
    <n v="1.6458012044463048"/>
    <n v="4.0810774192388211E-2"/>
    <n v="0.50999866687996553"/>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8"/>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11"/>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4.1000000000000002E-2"/>
    <s v="decrease"/>
    <s v="NA"/>
    <n v="0.1"/>
    <n v="1"/>
    <n v="1.6458012044463048"/>
    <n v="4.1852105545479468E-2"/>
    <n v="0.51024856438715938"/>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1"/>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0"/>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5.8999999999999997E-2"/>
    <s v="increase"/>
    <s v="NA"/>
    <n v="0.1"/>
    <n v="2"/>
    <n v="1.6458012044463048"/>
    <n v="6.0775240740158942E-2"/>
    <n v="0.51474572275973451"/>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5"/>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8"/>
    <x v="25"/>
    <x v="3"/>
    <x v="27"/>
    <s v="stated preference"/>
    <s v="online"/>
    <s v="individuals"/>
    <n v="1"/>
    <s v="NA"/>
    <n v="0"/>
    <s v="probably no"/>
    <s v="probably no"/>
    <s v="NA"/>
    <n v="0"/>
    <n v="0"/>
    <n v="1"/>
    <n v="0"/>
    <n v="0"/>
    <n v="0"/>
    <n v="0"/>
    <n v="0"/>
    <s v="NA"/>
    <n v="0"/>
    <n v="0"/>
    <n v="0"/>
    <n v="0"/>
    <n v="0"/>
    <n v="0"/>
    <n v="0"/>
    <n v="0"/>
    <n v="0"/>
    <s v="attitude on heating equipment use"/>
    <x v="0"/>
    <s v="attitude on heating equipment use - behavior change"/>
    <s v="log scale"/>
    <n v="6.4000000000000001E-2"/>
    <s v="decrease"/>
    <s v="NA"/>
    <n v="0.05"/>
    <n v="1"/>
    <n v="1.9614394515458273"/>
    <n v="6.6092398761505189E-2"/>
    <n v="0.51599454090270203"/>
    <s v="NA"/>
    <s v="NA"/>
    <s v="AN"/>
    <s v="NA"/>
    <s v="NA"/>
    <s v="NA"/>
    <n v="1611"/>
    <n v="1611"/>
    <s v="NA"/>
    <s v="NA"/>
    <s v="NA"/>
    <s v="NA"/>
    <s v="NA"/>
    <s v="NA"/>
    <s v="NA"/>
    <s v="NA"/>
    <s v="NA"/>
    <s v="NA"/>
    <n v="0"/>
    <n v="1"/>
    <n v="1"/>
    <m/>
    <m/>
    <m/>
    <m/>
    <m/>
    <m/>
    <m/>
    <m/>
    <m/>
    <m/>
    <n v="4.8810042166661197E-2"/>
    <n v="4.8848859679970422E-2"/>
    <n v="6.2111447577430079E-4"/>
    <n v="6.2189054726368158E-4"/>
    <s v="NA"/>
    <n v="1609"/>
    <s v="NA"/>
  </r>
  <r>
    <x v="2"/>
    <n v="22"/>
    <n v="1275"/>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8"/>
    <x v="25"/>
    <x v="3"/>
    <x v="27"/>
    <s v="stated preference"/>
    <s v="online"/>
    <s v="individuals"/>
    <n v="1"/>
    <s v="NA"/>
    <n v="0"/>
    <s v="probably no"/>
    <s v="probably no"/>
    <s v="NA"/>
    <n v="0"/>
    <n v="0"/>
    <n v="1"/>
    <n v="0"/>
    <n v="0"/>
    <n v="0"/>
    <n v="0"/>
    <n v="0"/>
    <s v="NA"/>
    <n v="0"/>
    <n v="0"/>
    <n v="0"/>
    <n v="0"/>
    <n v="0"/>
    <n v="0"/>
    <n v="0"/>
    <n v="0"/>
    <n v="0"/>
    <s v="attitude on heating equipment use"/>
    <x v="0"/>
    <s v="attitude on heating equipment use - behavior change"/>
    <s v="log scale"/>
    <n v="6.7000000000000004E-2"/>
    <s v="decrease"/>
    <s v="NA"/>
    <n v="0.05"/>
    <n v="1"/>
    <n v="1.9614394515458273"/>
    <n v="6.9295478174600245E-2"/>
    <n v="0.51674373691565023"/>
    <s v="NA"/>
    <s v="NA"/>
    <s v="AN"/>
    <s v="NA"/>
    <s v="NA"/>
    <s v="NA"/>
    <n v="1611"/>
    <n v="1611"/>
    <s v="NA"/>
    <s v="NA"/>
    <s v="NA"/>
    <s v="NA"/>
    <s v="NA"/>
    <s v="NA"/>
    <s v="NA"/>
    <s v="NA"/>
    <s v="NA"/>
    <s v="NA"/>
    <n v="0"/>
    <n v="1"/>
    <n v="1"/>
    <m/>
    <m/>
    <m/>
    <m/>
    <m/>
    <m/>
    <m/>
    <m/>
    <m/>
    <m/>
    <n v="4.8810042166661197E-2"/>
    <n v="4.8848859679970422E-2"/>
    <n v="6.2111447577430079E-4"/>
    <n v="6.2189054726368158E-4"/>
    <s v="NA"/>
    <n v="1609"/>
    <s v="NA"/>
  </r>
  <r>
    <x v="2"/>
    <n v="22"/>
    <n v="1296"/>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28"/>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7.2999999999999995E-2"/>
    <s v="decrease"/>
    <s v="NA"/>
    <n v="0.1"/>
    <n v="2"/>
    <n v="1.6458012044463048"/>
    <n v="7.5730536914703439E-2"/>
    <n v="0.51824189979573809"/>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7"/>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28"/>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7.2999999999999995E-2"/>
    <s v="increase"/>
    <s v="NA"/>
    <n v="0.1"/>
    <n v="2"/>
    <n v="1.6458012044463048"/>
    <n v="7.5730536914703439E-2"/>
    <n v="0.51824189979573809"/>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7"/>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29"/>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9.9000000000000005E-2"/>
    <s v="increase"/>
    <s v="NA"/>
    <n v="0.05"/>
    <n v="1"/>
    <n v="1.9614394515458273"/>
    <n v="0.10406629955888191"/>
    <n v="0.52472980523016299"/>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6"/>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8"/>
    <x v="25"/>
    <x v="3"/>
    <x v="29"/>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0.161"/>
    <s v="decrease"/>
    <s v="NA"/>
    <n v="0.01"/>
    <n v="1"/>
    <n v="2.5788883732398911"/>
    <n v="0.17468496881387163"/>
    <n v="0.54016328142212455"/>
    <s v="NA"/>
    <s v="NA"/>
    <s v="AN"/>
    <s v="NA"/>
    <s v="NA"/>
    <s v="NA"/>
    <n v="1611"/>
    <n v="1611"/>
    <s v="NA"/>
    <s v="NA"/>
    <s v="NA"/>
    <s v="NA"/>
    <s v="NA"/>
    <s v="NA"/>
    <s v="NA"/>
    <s v="NA"/>
    <s v="NA"/>
    <s v="NA"/>
    <n v="0"/>
    <n v="1"/>
    <n v="1"/>
    <m/>
    <m/>
    <m/>
    <m/>
    <m/>
    <m/>
    <m/>
    <m/>
    <m/>
    <m/>
    <n v="6.411950690189884E-2"/>
    <n v="6.4207596049565968E-2"/>
    <n v="6.2110745592692065E-4"/>
    <n v="6.2189054726368158E-4"/>
    <s v="NA"/>
    <n v="1609"/>
    <s v="NA"/>
  </r>
  <r>
    <x v="0"/>
    <m/>
    <n v="1180"/>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operating cost information (baseline - current EnergyGuide label)"/>
    <n v="0"/>
    <n v="0"/>
    <n v="0"/>
    <n v="0"/>
    <n v="0"/>
    <n v="0"/>
    <n v="1"/>
    <n v="0"/>
    <n v="0"/>
    <s v="individual discount rate"/>
    <x v="2"/>
    <s v="WTP for reduced present value operating cost"/>
    <s v="NA"/>
    <n v="0.7"/>
    <s v="increase"/>
    <n v="9.8591549295774641E-2"/>
    <n v="0.1"/>
    <n v="1"/>
    <n v="7.1"/>
    <s v="NA"/>
    <m/>
    <s v="NA"/>
    <s v="NA"/>
    <s v="NA"/>
    <s v="NA"/>
    <s v="NA"/>
    <s v="NA"/>
    <n v="1184"/>
    <n v="1184"/>
    <s v="NA"/>
    <s v="NA"/>
    <s v="NA"/>
    <s v="NA"/>
    <s v="NA"/>
    <n v="1"/>
    <n v="288"/>
    <n v="0"/>
    <s v="NA"/>
    <s v="NA"/>
    <n v="1"/>
    <n v="0"/>
    <n v="1"/>
    <m/>
    <m/>
    <m/>
    <m/>
    <m/>
    <m/>
    <m/>
    <m/>
    <m/>
    <m/>
    <n v="0.2020824660717096"/>
    <n v="0.20490273447739515"/>
    <n v="8.4381846898462422E-4"/>
    <n v="8.4674005080440302E-4"/>
    <m/>
    <m/>
    <m/>
  </r>
  <r>
    <x v="0"/>
    <m/>
    <n v="1181"/>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operating cost relative to range (baseline - current EnergyGuide label)"/>
    <n v="0"/>
    <n v="0"/>
    <n v="0"/>
    <n v="0"/>
    <n v="0"/>
    <n v="0"/>
    <n v="1"/>
    <n v="0"/>
    <n v="0"/>
    <s v="individual discount rate"/>
    <x v="2"/>
    <s v="WTP for reduced present value operating cost"/>
    <s v="NA"/>
    <n v="0.111"/>
    <s v="increase"/>
    <n v="0.15416666666666667"/>
    <n v="0.1"/>
    <n v="2"/>
    <n v="0.72"/>
    <s v="NA"/>
    <m/>
    <s v="NA"/>
    <s v="NA"/>
    <s v="NA"/>
    <s v="NA"/>
    <s v="NA"/>
    <s v="NA"/>
    <n v="1184"/>
    <n v="1184"/>
    <s v="NA"/>
    <s v="NA"/>
    <s v="NA"/>
    <s v="NA"/>
    <s v="NA"/>
    <n v="1"/>
    <n v="288"/>
    <n v="0"/>
    <s v="NA"/>
    <s v="NA"/>
    <n v="1"/>
    <n v="0"/>
    <n v="1"/>
    <m/>
    <m/>
    <m/>
    <m/>
    <m/>
    <m/>
    <m/>
    <m/>
    <m/>
    <m/>
    <n v="2.0919995692237577E-2"/>
    <n v="2.0923048346211292E-2"/>
    <n v="8.453083756162019E-4"/>
    <n v="8.4674005080440302E-4"/>
    <m/>
    <m/>
    <m/>
  </r>
  <r>
    <x v="0"/>
    <m/>
    <n v="1182"/>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0"/>
    <n v="1"/>
    <n v="0"/>
    <n v="0"/>
    <n v="0"/>
    <n v="0"/>
    <n v="0"/>
    <s v="EnergyGuide image"/>
    <n v="0"/>
    <n v="0"/>
    <n v="0"/>
    <n v="0"/>
    <n v="0"/>
    <n v="0"/>
    <n v="1"/>
    <n v="0"/>
    <n v="0"/>
    <s v="individual discount rate"/>
    <x v="2"/>
    <s v="WTP for reduced present value operating cost"/>
    <s v="NA"/>
    <n v="0.13200000000000001"/>
    <s v="decrease"/>
    <n v="0.11478260869565218"/>
    <n v="0.1"/>
    <n v="2"/>
    <n v="1.1499999999999999"/>
    <s v="NA"/>
    <m/>
    <s v="NA"/>
    <s v="NA"/>
    <s v="NA"/>
    <s v="NA"/>
    <s v="NA"/>
    <s v="NA"/>
    <n v="1184"/>
    <n v="1184"/>
    <s v="NA"/>
    <s v="NA"/>
    <s v="NA"/>
    <s v="NA"/>
    <s v="NA"/>
    <n v="1"/>
    <n v="288"/>
    <n v="0"/>
    <s v="NA"/>
    <s v="NA"/>
    <n v="1"/>
    <n v="0"/>
    <n v="1"/>
    <m/>
    <m/>
    <m/>
    <m/>
    <m/>
    <m/>
    <m/>
    <m/>
    <m/>
    <m/>
    <n v="3.3402546418006968E-2"/>
    <n v="3.341497748312889E-2"/>
    <n v="8.4530748376344727E-4"/>
    <n v="8.4674005080440302E-4"/>
    <m/>
    <m/>
    <m/>
  </r>
  <r>
    <x v="0"/>
    <m/>
    <n v="1183"/>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0"/>
    <n v="1"/>
    <n v="0"/>
    <n v="0"/>
    <n v="0"/>
    <n v="0"/>
    <n v="0"/>
    <s v="Energy Star logo (baseline - current EnergyGuide label)"/>
    <n v="0"/>
    <n v="0"/>
    <n v="0"/>
    <n v="0"/>
    <n v="0"/>
    <n v="0"/>
    <n v="1"/>
    <n v="0"/>
    <n v="0"/>
    <s v="individual discount rate"/>
    <x v="2"/>
    <s v="WTP for reduced present value operating cost"/>
    <s v="NA"/>
    <n v="0.152"/>
    <s v="decrease"/>
    <n v="0.14476190476190476"/>
    <n v="0.1"/>
    <n v="2"/>
    <n v="1.05"/>
    <s v="NA"/>
    <m/>
    <s v="NA"/>
    <s v="NA"/>
    <s v="NA"/>
    <s v="NA"/>
    <s v="NA"/>
    <s v="NA"/>
    <n v="1184"/>
    <n v="1184"/>
    <s v="NA"/>
    <s v="NA"/>
    <s v="NA"/>
    <s v="NA"/>
    <s v="NA"/>
    <n v="1"/>
    <n v="288"/>
    <n v="0"/>
    <s v="NA"/>
    <s v="NA"/>
    <n v="1"/>
    <n v="0"/>
    <n v="1"/>
    <m/>
    <m/>
    <m/>
    <m/>
    <m/>
    <m/>
    <m/>
    <m/>
    <m/>
    <m/>
    <n v="3.050080782390133E-2"/>
    <n v="3.0510271400002755E-2"/>
    <n v="8.453078051298751E-4"/>
    <n v="8.4674005080440302E-4"/>
    <m/>
    <m/>
    <m/>
  </r>
  <r>
    <x v="0"/>
    <m/>
    <n v="1184"/>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physical energy info (baseline - current EnergyGuide label)"/>
    <n v="0"/>
    <n v="0"/>
    <n v="0"/>
    <n v="0"/>
    <n v="0"/>
    <n v="0"/>
    <n v="1"/>
    <n v="0"/>
    <n v="0"/>
    <s v="individual discount rate"/>
    <x v="2"/>
    <s v="WTP for reduced present value operating cost"/>
    <s v="NA"/>
    <n v="0.34"/>
    <s v="increase"/>
    <n v="0.15044247787610621"/>
    <n v="0.1"/>
    <n v="1"/>
    <n v="2.2599999999999998"/>
    <s v="NA"/>
    <m/>
    <s v="NA"/>
    <s v="NA"/>
    <s v="NA"/>
    <s v="NA"/>
    <s v="NA"/>
    <s v="NA"/>
    <n v="1184"/>
    <n v="1184"/>
    <s v="NA"/>
    <s v="NA"/>
    <s v="NA"/>
    <s v="NA"/>
    <s v="NA"/>
    <n v="1"/>
    <n v="288"/>
    <n v="0"/>
    <s v="NA"/>
    <s v="NA"/>
    <n v="1"/>
    <n v="0"/>
    <n v="1"/>
    <m/>
    <m/>
    <m/>
    <m/>
    <m/>
    <m/>
    <m/>
    <m/>
    <m/>
    <m/>
    <n v="6.5538705898597463E-2"/>
    <n v="6.563278509260187E-2"/>
    <n v="8.4529285210817155E-4"/>
    <n v="8.4674005080440302E-4"/>
    <m/>
    <m/>
    <m/>
  </r>
  <r>
    <x v="0"/>
    <m/>
    <n v="1185"/>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CO2 emission info (baseline - current EnergyGuide label)"/>
    <n v="0"/>
    <n v="0"/>
    <n v="0"/>
    <n v="0"/>
    <n v="0"/>
    <n v="0"/>
    <n v="1"/>
    <n v="0"/>
    <n v="0"/>
    <s v="individual discount rate"/>
    <x v="2"/>
    <s v="WTP for reduced present value operating cost"/>
    <s v="NA"/>
    <n v="0.249"/>
    <s v="increase"/>
    <n v="0.13387096774193546"/>
    <n v="0.1"/>
    <n v="1"/>
    <n v="1.86"/>
    <s v="NA"/>
    <m/>
    <s v="NA"/>
    <s v="NA"/>
    <s v="NA"/>
    <s v="NA"/>
    <s v="NA"/>
    <s v="NA"/>
    <n v="1184"/>
    <n v="1184"/>
    <s v="NA"/>
    <s v="NA"/>
    <s v="NA"/>
    <s v="NA"/>
    <s v="NA"/>
    <n v="1"/>
    <n v="288"/>
    <n v="0"/>
    <s v="NA"/>
    <s v="NA"/>
    <n v="1"/>
    <n v="0"/>
    <n v="1"/>
    <m/>
    <m/>
    <m/>
    <m/>
    <m/>
    <m/>
    <m/>
    <m/>
    <m/>
    <m/>
    <n v="5.3976351182136464E-2"/>
    <n v="5.402886207559579E-2"/>
    <n v="8.4530133453125005E-4"/>
    <n v="8.4674005080440302E-4"/>
    <m/>
    <m/>
    <m/>
  </r>
  <r>
    <x v="0"/>
    <m/>
    <n v="1186"/>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relative grade info (baseline - current EnergyGuide label)"/>
    <n v="0"/>
    <n v="0"/>
    <n v="0"/>
    <n v="0"/>
    <n v="0"/>
    <n v="0"/>
    <n v="1"/>
    <n v="0"/>
    <n v="0"/>
    <s v="individual discount rate"/>
    <x v="2"/>
    <s v="WTP for reduced present value operating cost"/>
    <s v="NA"/>
    <n v="0.64200000000000002"/>
    <s v="increase"/>
    <n v="0.19337349397590362"/>
    <n v="0.1"/>
    <n v="1"/>
    <n v="3.32"/>
    <s v="NA"/>
    <m/>
    <s v="NA"/>
    <s v="NA"/>
    <s v="NA"/>
    <s v="NA"/>
    <s v="NA"/>
    <s v="NA"/>
    <n v="1184"/>
    <n v="1184"/>
    <s v="NA"/>
    <s v="NA"/>
    <s v="NA"/>
    <s v="NA"/>
    <s v="NA"/>
    <n v="1"/>
    <n v="288"/>
    <n v="0"/>
    <s v="NA"/>
    <s v="NA"/>
    <n v="1"/>
    <n v="0"/>
    <n v="1"/>
    <m/>
    <m/>
    <m/>
    <m/>
    <m/>
    <m/>
    <m/>
    <m/>
    <m/>
    <m/>
    <n v="9.6039537672003544E-2"/>
    <n v="9.633645915133221E-2"/>
    <n v="8.4523572980515279E-4"/>
    <n v="8.4674005080440302E-4"/>
    <m/>
    <m/>
    <m/>
  </r>
  <r>
    <x v="3"/>
    <n v="23"/>
    <n v="1219"/>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4999999999999999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0"/>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6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1"/>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7000000000000001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2"/>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7999999999999999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3"/>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9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4"/>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decrease"/>
    <s v="NA"/>
    <n v="0.01"/>
    <n v="1"/>
    <n v="2.5765924815279417"/>
    <n v="1E-3"/>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5"/>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decrease"/>
    <s v="NA"/>
    <n v="0.01"/>
    <n v="1"/>
    <n v="2.5765924815279417"/>
    <n v="1E-4"/>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6"/>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5.9999999999999995E-4"/>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7"/>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E-3"/>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8"/>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2E-3"/>
    <e v="#VALUE!"/>
    <s v="NA"/>
    <s v="NA"/>
    <s v="NA"/>
    <s v="NA"/>
    <s v="NA"/>
    <s v="NA"/>
    <n v="6445"/>
    <n v="6445"/>
    <s v="NA"/>
    <s v="NA"/>
    <n v="4000"/>
    <s v="NA"/>
    <s v="NA"/>
    <s v="NA"/>
    <s v="NA"/>
    <s v="NA"/>
    <s v="NA"/>
    <s v="NA"/>
    <n v="1"/>
    <n v="0"/>
    <n v="0"/>
    <m/>
    <m/>
    <m/>
    <m/>
    <m/>
    <m/>
    <m/>
    <m/>
    <m/>
    <m/>
    <n v="3.2078253247327888E-2"/>
    <n v="3.2089263039774128E-2"/>
    <n v="1.5518295153244398E-4"/>
    <n v="1.552312946289972E-4"/>
    <s v="NA"/>
    <n v="6444"/>
    <s v="NA"/>
  </r>
  <r>
    <x v="0"/>
    <m/>
    <s v="NA"/>
    <s v="NA"/>
    <s v="Olsthoorn, Schleich, Gassmann, Faure"/>
    <n v="2017"/>
    <s v="Free riding and rebates for residential energy efficiency upgrades: A multi-country contingent valuation experiment"/>
    <s v="The cost-effectiveness of energy technology upgrade programs critically depends on free riding. This paper assesses_x000a_ex ante the effects of free riding on the cost-effectiveness of a rebate programthat promotes the adoption_x000a_of energy-efficient heating systems, relying on contingent valuation choice experiments carried out through_x000a_identical representative surveys in eight EU Members States. The analysis distinguishes between strong and_x000a_weak free riders: strong free riders already plan to adopt a new heating system in the next five years; weak_x000a_free riders decide to purchase once propositioned with an attractive technology package (and therefore do not_x000a_require a rebate to adopt). The reservation rebates for incentivized adopters (thosewho decide to adopt because_x000a_of a rebate) differ substantially across countries. On average, they amount to approximately 40% of the heating_x000a_system's purchasing price, suggesting generally high opportunity costs for premature upgrades. The reservation_x000a_rebate andweak free-ridership varywith income, risk and time preferences, and environmental identity. At a rebate_x000a_level that corresponds to half the purchase price of the offered heating system, the estimated share of free_x000a_riders exceeded 50% for most countries, with a typically higher share of weak free riders than strong free riders._x000a_Specific rebate cost estimates (in €/tCO2) differ considerably across countries, suggesting that cooperation can_x000a_yield budgetary benefits."/>
    <n v="2"/>
    <n v="2016"/>
    <x v="1"/>
    <m/>
    <x v="6"/>
    <x v="4"/>
    <x v="5"/>
    <m/>
    <m/>
    <m/>
    <m/>
    <m/>
    <m/>
    <m/>
    <m/>
    <m/>
    <m/>
    <m/>
    <m/>
    <m/>
    <m/>
    <m/>
    <m/>
    <m/>
    <m/>
    <m/>
    <m/>
    <m/>
    <m/>
    <m/>
    <m/>
    <m/>
    <m/>
    <m/>
    <m/>
    <x v="3"/>
    <m/>
    <m/>
    <m/>
    <m/>
    <m/>
    <m/>
    <m/>
    <m/>
    <m/>
    <m/>
    <m/>
    <m/>
    <m/>
    <m/>
    <m/>
    <m/>
    <m/>
    <m/>
    <m/>
    <m/>
    <m/>
    <m/>
    <m/>
    <m/>
    <m/>
    <m/>
    <m/>
    <m/>
    <m/>
    <m/>
    <m/>
    <m/>
    <m/>
    <m/>
    <m/>
    <m/>
    <m/>
    <m/>
    <m/>
    <m/>
    <m/>
    <m/>
    <m/>
    <m/>
    <m/>
    <m/>
    <m/>
    <m/>
  </r>
  <r>
    <x v="2"/>
    <m/>
    <n v="1258"/>
    <n v="404"/>
    <s v="Orset"/>
    <n v="2021"/>
    <s v="Is information a good policy instrument to influence the energy behaviour of households?"/>
    <s v="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
    <n v="2"/>
    <n v="2017"/>
    <x v="0"/>
    <n v="11"/>
    <x v="4"/>
    <x v="3"/>
    <x v="29"/>
    <s v="revealed preference"/>
    <s v="online"/>
    <s v="individuals"/>
    <n v="1"/>
    <s v="opt_in"/>
    <n v="1"/>
    <s v="probably yes"/>
    <s v="probably yes"/>
    <s v="Opt in online survey, but with quotas. Was distributed via social meida, so people without an account could not be reached. Seemingly only significant results were reported in table B.5 on page 11. (Message 3 is missing)"/>
    <n v="0"/>
    <n v="1"/>
    <n v="0"/>
    <n v="0"/>
    <n v="0"/>
    <n v="0"/>
    <n v="0"/>
    <n v="0"/>
    <s v="Information treatment received before WTP questionnaire"/>
    <n v="0"/>
    <n v="0"/>
    <n v="0"/>
    <n v="0"/>
    <n v="0"/>
    <n v="0"/>
    <n v="1"/>
    <n v="0"/>
    <n v="0"/>
    <s v="difference in WTPs between choices 𝑖 + 1"/>
    <x v="2"/>
    <s v="WTP difference in €"/>
    <s v="NA"/>
    <n v="25.879000000000001"/>
    <s v="increase"/>
    <n v="15.298"/>
    <n v="0.1"/>
    <n v="1"/>
    <s v="NA"/>
    <s v="NA"/>
    <m/>
    <s v="NA"/>
    <s v="NA"/>
    <s v="NA"/>
    <s v="NA"/>
    <s v="NA"/>
    <s v="NA"/>
    <n v="217"/>
    <n v="868"/>
    <s v="NA"/>
    <s v="NA"/>
    <s v="NA"/>
    <s v="NA"/>
    <s v="NA"/>
    <s v="NA"/>
    <s v="NA"/>
    <s v="NA"/>
    <s v="NA"/>
    <s v="NA"/>
    <n v="0"/>
    <n v="0"/>
    <n v="1"/>
    <m/>
    <m/>
    <m/>
    <m/>
    <m/>
    <m/>
    <m/>
    <m/>
    <m/>
    <m/>
    <e v="#VALUE!"/>
    <e v="#VALUE!"/>
    <e v="#VALUE!"/>
    <n v="4.6728971962616819E-3"/>
    <m/>
    <m/>
    <m/>
  </r>
  <r>
    <x v="2"/>
    <m/>
    <n v="1259"/>
    <n v="404"/>
    <s v="Orset"/>
    <n v="2021"/>
    <s v="Is information a good policy instrument to influence the energy behaviour of households?"/>
    <s v="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
    <n v="2"/>
    <n v="2017"/>
    <x v="0"/>
    <n v="11"/>
    <x v="4"/>
    <x v="3"/>
    <x v="29"/>
    <s v="revealed preference"/>
    <s v="online"/>
    <s v="individuals"/>
    <n v="1"/>
    <s v="opt_in"/>
    <n v="1"/>
    <s v="probably yes"/>
    <s v="probably yes"/>
    <s v="Opt in online survey, but with quotas. Was distributed via social meida, so people without an account could not be reached. Seemingly only significant results were reported in table B.5 on page 11. (Message 3 is missing)"/>
    <n v="0"/>
    <n v="1"/>
    <n v="0"/>
    <n v="0"/>
    <n v="0"/>
    <n v="0"/>
    <n v="0"/>
    <n v="0"/>
    <s v="Information treatment received before WTP questionnaire"/>
    <n v="0"/>
    <n v="0"/>
    <n v="0"/>
    <n v="0"/>
    <n v="0"/>
    <n v="0"/>
    <n v="1"/>
    <n v="0"/>
    <n v="0"/>
    <s v="difference in WTPs between choices 𝑖 + 1"/>
    <x v="2"/>
    <s v="WTP difference in €"/>
    <s v="NA"/>
    <n v="45.747"/>
    <s v="increase"/>
    <n v="18.632000000000001"/>
    <n v="0.05"/>
    <n v="1"/>
    <s v="NA"/>
    <s v="NA"/>
    <m/>
    <s v="NA"/>
    <s v="NA"/>
    <s v="NA"/>
    <s v="NA"/>
    <s v="NA"/>
    <s v="NA"/>
    <n v="217"/>
    <n v="868"/>
    <s v="NA"/>
    <s v="NA"/>
    <s v="NA"/>
    <s v="NA"/>
    <s v="NA"/>
    <s v="NA"/>
    <s v="NA"/>
    <s v="NA"/>
    <s v="NA"/>
    <s v="NA"/>
    <n v="0"/>
    <n v="0"/>
    <n v="1"/>
    <m/>
    <m/>
    <m/>
    <m/>
    <m/>
    <m/>
    <m/>
    <m/>
    <m/>
    <m/>
    <e v="#VALUE!"/>
    <e v="#VALUE!"/>
    <e v="#VALUE!"/>
    <n v="4.6728971962616819E-3"/>
    <m/>
    <m/>
    <m/>
  </r>
  <r>
    <x v="2"/>
    <m/>
    <n v="1260"/>
    <n v="404"/>
    <s v="Orset"/>
    <n v="2021"/>
    <s v="Is information a good policy instrument to influence the energy behaviour of households?"/>
    <s v="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
    <n v="2"/>
    <n v="2017"/>
    <x v="0"/>
    <n v="11"/>
    <x v="4"/>
    <x v="3"/>
    <x v="29"/>
    <s v="revealed preference"/>
    <s v="online"/>
    <s v="individuals"/>
    <n v="1"/>
    <s v="opt_in"/>
    <n v="1"/>
    <s v="probably yes"/>
    <s v="probably yes"/>
    <s v="Opt in online survey, but with quotas. Was distributed via social meida, so people without an account could not be reached. Seemingly only significant results were reported in table B.5 on page 11. (Message 3 is missing)"/>
    <n v="0"/>
    <n v="1"/>
    <n v="0"/>
    <n v="0"/>
    <n v="0"/>
    <n v="0"/>
    <n v="0"/>
    <n v="0"/>
    <s v="Information treatment received before WTP questionnaire"/>
    <n v="0"/>
    <n v="0"/>
    <n v="0"/>
    <n v="0"/>
    <n v="0"/>
    <n v="0"/>
    <n v="1"/>
    <n v="0"/>
    <n v="0"/>
    <s v="difference in WTPs between choices 𝑖 + 1"/>
    <x v="2"/>
    <s v="WTP difference in €"/>
    <s v="NA"/>
    <n v="33.076000000000001"/>
    <s v="increase"/>
    <n v="18.632000000000001"/>
    <n v="0.1"/>
    <n v="1"/>
    <s v="NA"/>
    <s v="NA"/>
    <m/>
    <s v="NA"/>
    <s v="NA"/>
    <s v="NA"/>
    <s v="NA"/>
    <s v="NA"/>
    <s v="NA"/>
    <n v="217"/>
    <n v="868"/>
    <s v="NA"/>
    <s v="NA"/>
    <s v="NA"/>
    <s v="NA"/>
    <s v="NA"/>
    <s v="NA"/>
    <s v="NA"/>
    <s v="NA"/>
    <s v="NA"/>
    <s v="NA"/>
    <n v="0"/>
    <n v="0"/>
    <n v="1"/>
    <m/>
    <m/>
    <m/>
    <m/>
    <m/>
    <m/>
    <m/>
    <m/>
    <m/>
    <m/>
    <e v="#VALUE!"/>
    <e v="#VALUE!"/>
    <e v="#VALUE!"/>
    <n v="4.6728971962616819E-3"/>
    <m/>
    <m/>
    <m/>
  </r>
  <r>
    <x v="0"/>
    <m/>
    <s v="NA"/>
    <s v="NA"/>
    <s v="Raynaud, Osso, Bourges, Duplessis, Adnot"/>
    <n v="2015"/>
    <s v="Evidence of an indirect rebound effect with reveresible heat pumps: having air conditioning but not using it?"/>
    <m/>
    <n v="1"/>
    <m/>
    <x v="1"/>
    <m/>
    <x v="6"/>
    <x v="4"/>
    <x v="5"/>
    <m/>
    <m/>
    <m/>
    <m/>
    <m/>
    <m/>
    <m/>
    <m/>
    <m/>
    <m/>
    <m/>
    <m/>
    <m/>
    <m/>
    <m/>
    <m/>
    <m/>
    <m/>
    <m/>
    <m/>
    <m/>
    <m/>
    <m/>
    <m/>
    <m/>
    <m/>
    <m/>
    <m/>
    <x v="3"/>
    <m/>
    <m/>
    <m/>
    <m/>
    <m/>
    <m/>
    <m/>
    <m/>
    <m/>
    <m/>
    <m/>
    <m/>
    <m/>
    <m/>
    <m/>
    <m/>
    <m/>
    <m/>
    <m/>
    <m/>
    <m/>
    <m/>
    <m/>
    <m/>
    <m/>
    <m/>
    <m/>
    <m/>
    <m/>
    <m/>
    <m/>
    <m/>
    <m/>
    <m/>
    <m/>
    <m/>
    <m/>
    <m/>
    <m/>
    <m/>
    <m/>
    <m/>
    <m/>
    <m/>
    <m/>
    <m/>
    <m/>
    <m/>
  </r>
  <r>
    <x v="0"/>
    <m/>
    <n v="1146"/>
    <n v="131"/>
    <s v="Ren, Tibbs, McLauchlan, Ma, Harrington"/>
    <n v="2021"/>
    <s v="Refrigerator cost trap for low-income households: Developments in measurement and verification of appliance replacements"/>
    <s v="Energy efficiency of domestic refrigerators has markedly improved over recent years. Despite these improvements,_x000a_low-income households in Australia still tend to own older and less energy-efficient refrigerators. Replacement_x000a_of old refrigerators with energy-efficient appliances presents an important opportunity to reduce_x000a_both greenhouse gas emissions and the electricity bills of households for sustainable development. This paper_x000a_presents the measurement and verification of energy savings froma sample of 16 household refrigerator replacements_x000a_under the Appliance Replacement Offer of the NewSouthWales Government, Australia. In-homemonitoring_x000a_and laboratory testing were conducted for both old and new refrigerators. A key challenge for this study was_x000a_to estimate the energy savings of the replacement in each household based on limited in-home monitoring data._x000a_The annual energy savings from the refrigerator replacement in the households were estimated using the artificial_x000a_neural networks (ANN)models for indoor air temperature prediction and the empiricalmodels for the refrigerator_x000a_energy consumption estimation. The experimental and estimation results both showed that most of the_x000a_households achieved substantial energy savings from the replacement. The average annual energy cost savings_x000a_and the average payback period of the refrigerator replacements were 53% and 4.3 years, respectively. It was_x000a_also found that the energy savings could be compromised if the size of the new refrigerator was much larger_x000a_than the old unit or if the efficiency of the old refrigerator was reasonably good."/>
    <n v="1"/>
    <s v="2017-2018"/>
    <x v="8"/>
    <n v="13"/>
    <x v="3"/>
    <x v="0"/>
    <x v="30"/>
    <s v="revealed preference"/>
    <s v="household"/>
    <s v="residents"/>
    <n v="1"/>
    <s v="opt_in"/>
    <n v="0"/>
    <s v="probably yes"/>
    <s v="probably no"/>
    <s v="small sample size, no statistical analysis of the results, only descriptive statistics for each household"/>
    <n v="0"/>
    <n v="0"/>
    <n v="0"/>
    <n v="0"/>
    <n v="0"/>
    <n v="1"/>
    <n v="0"/>
    <n v="0"/>
    <s v="can't disentangle scepific effects for each intervention ? - marketing, subsidy, help with installation"/>
    <n v="0"/>
    <n v="0"/>
    <n v="0"/>
    <n v="1"/>
    <n v="0"/>
    <n v="0"/>
    <n v="0"/>
    <n v="0"/>
    <n v="0"/>
    <s v="NA"/>
    <x v="1"/>
    <s v="annual electricity consumption for refrigeration"/>
    <s v="log scale"/>
    <n v="0.42526773540434409"/>
    <s v="decrease"/>
    <s v="NA"/>
    <s v="NA"/>
    <s v="NA"/>
    <s v="NA"/>
    <n v="0.53"/>
    <m/>
    <s v="NA"/>
    <s v="NA"/>
    <s v="NA"/>
    <s v="NA"/>
    <s v="NA"/>
    <s v="NA"/>
    <n v="14"/>
    <n v="14"/>
    <s v="NA"/>
    <s v="NA"/>
    <s v="NA"/>
    <n v="0.45"/>
    <s v="current "/>
    <s v="NA"/>
    <s v="NA"/>
    <s v="NA"/>
    <s v="NA"/>
    <s v="NA"/>
    <n v="0"/>
    <n v="0"/>
    <n v="0"/>
    <m/>
    <m/>
    <m/>
    <m/>
    <m/>
    <m/>
    <m/>
    <m/>
    <m/>
    <m/>
    <m/>
    <m/>
    <m/>
    <m/>
    <e v="#VALUE!"/>
    <m/>
    <m/>
  </r>
  <r>
    <x v="0"/>
    <n v="24"/>
    <n v="1061"/>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5"/>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1.7500000000000002E-2"/>
    <s v="decrease"/>
    <n v="0.26400000000000001"/>
    <s v="NA"/>
    <n v="3"/>
    <n v="6.6287878787878785E-2"/>
    <n v="1.7654022150761728E-2"/>
    <n v="0.50437488834977351"/>
    <s v="NA"/>
    <s v="NA"/>
    <s v="NA"/>
    <s v="NA"/>
    <s v="NA"/>
    <s v="NA"/>
    <n v="375"/>
    <n v="6081"/>
    <s v="NA"/>
    <s v="NA"/>
    <s v="NA"/>
    <s v="NA"/>
    <s v="NA"/>
    <s v="NA"/>
    <s v="NA"/>
    <s v="NA"/>
    <s v="NA"/>
    <s v="NA"/>
    <n v="0"/>
    <n v="0"/>
    <n v="0"/>
    <m/>
    <m/>
    <m/>
    <m/>
    <m/>
    <m/>
    <m/>
    <m/>
    <m/>
    <m/>
    <n v="3.4230712863917989E-3"/>
    <n v="3.4230846563371624E-3"/>
    <n v="2.673796791076738E-3"/>
    <n v="2.6881720430107529E-3"/>
    <s v="NA"/>
    <n v="373"/>
    <s v="NA"/>
  </r>
  <r>
    <x v="0"/>
    <n v="24"/>
    <n v="1062"/>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14"/>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2.1999999999999999E-2"/>
    <s v="increase"/>
    <n v="0.21199999999999999"/>
    <s v="NA"/>
    <n v="3"/>
    <n v="0.10377358490566037"/>
    <n v="2.2243784470438177E-2"/>
    <n v="0.50549977817740277"/>
    <s v="NA"/>
    <s v="NA"/>
    <s v="NA"/>
    <s v="NA"/>
    <s v="NA"/>
    <s v="NA"/>
    <n v="375"/>
    <n v="6081"/>
    <s v="NA"/>
    <s v="NA"/>
    <s v="NA"/>
    <s v="NA"/>
    <s v="NA"/>
    <s v="NA"/>
    <s v="NA"/>
    <s v="NA"/>
    <s v="NA"/>
    <s v="NA"/>
    <n v="0"/>
    <n v="0"/>
    <n v="0"/>
    <m/>
    <m/>
    <m/>
    <m/>
    <m/>
    <m/>
    <m/>
    <m/>
    <m/>
    <m/>
    <n v="5.3587679376424701E-3"/>
    <n v="5.3588192333564287E-3"/>
    <n v="2.6737967892388691E-3"/>
    <n v="2.6881720430107529E-3"/>
    <s v="NA"/>
    <n v="373"/>
    <s v="NA"/>
  </r>
  <r>
    <x v="0"/>
    <n v="24"/>
    <n v="1064"/>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2"/>
    <x v="14"/>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0.14599999999999999"/>
    <s v="decrease"/>
    <n v="0.188"/>
    <s v="NA"/>
    <n v="3"/>
    <n v="0.77659574468085102"/>
    <n v="0.15719618805079616"/>
    <n v="0.53643530174064413"/>
    <s v="NA"/>
    <s v="NA"/>
    <s v="NA"/>
    <s v="NA"/>
    <s v="NA"/>
    <s v="NA"/>
    <n v="375"/>
    <n v="6081"/>
    <s v="NA"/>
    <s v="NA"/>
    <s v="NA"/>
    <s v="NA"/>
    <s v="NA"/>
    <s v="NA"/>
    <s v="NA"/>
    <s v="NA"/>
    <s v="NA"/>
    <s v="NA"/>
    <n v="0"/>
    <n v="0"/>
    <n v="1"/>
    <m/>
    <m/>
    <m/>
    <m/>
    <m/>
    <m/>
    <m/>
    <m/>
    <m/>
    <m/>
    <n v="4.0071022261504372E-2"/>
    <n v="4.0092490118533643E-2"/>
    <n v="2.6737898829954023E-3"/>
    <n v="2.6881720430107529E-3"/>
    <s v="NA"/>
    <n v="373"/>
    <s v="NA"/>
  </r>
  <r>
    <x v="0"/>
    <n v="24"/>
    <n v="1063"/>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14"/>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0.156"/>
    <s v="increase"/>
    <n v="0.621"/>
    <s v="NA"/>
    <n v="3"/>
    <n v="0.25120772946859904"/>
    <n v="0.16882620308986906"/>
    <n v="0.53892110000546534"/>
    <s v="NA"/>
    <s v="NA"/>
    <s v="NA"/>
    <s v="NA"/>
    <s v="NA"/>
    <s v="NA"/>
    <n v="375"/>
    <n v="6081"/>
    <s v="NA"/>
    <s v="NA"/>
    <s v="NA"/>
    <s v="NA"/>
    <s v="NA"/>
    <s v="NA"/>
    <s v="NA"/>
    <s v="NA"/>
    <s v="NA"/>
    <s v="NA"/>
    <n v="0"/>
    <n v="0"/>
    <n v="0"/>
    <m/>
    <m/>
    <m/>
    <m/>
    <m/>
    <m/>
    <m/>
    <m/>
    <m/>
    <m/>
    <n v="1.2971220010807293E-2"/>
    <n v="1.2971947564531299E-2"/>
    <n v="2.6737967157345667E-3"/>
    <n v="2.6881720430107529E-3"/>
    <s v="NA"/>
    <n v="373"/>
    <s v="NA"/>
  </r>
  <r>
    <x v="0"/>
    <n v="24"/>
    <n v="1067"/>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0.191"/>
    <s v="decrease"/>
    <n v="0.53300000000000003"/>
    <s v="NA"/>
    <n v="3"/>
    <n v="0.35834896810506567"/>
    <n v="0.21045945208129946"/>
    <n v="0.54760536364581069"/>
    <s v="NA"/>
    <s v="NA"/>
    <s v="NA"/>
    <s v="NA"/>
    <s v="NA"/>
    <s v="NA"/>
    <n v="375"/>
    <n v="6081"/>
    <s v="NA"/>
    <s v="NA"/>
    <s v="NA"/>
    <s v="NA"/>
    <s v="NA"/>
    <s v="NA"/>
    <s v="NA"/>
    <s v="NA"/>
    <s v="NA"/>
    <s v="NA"/>
    <n v="0"/>
    <n v="0"/>
    <n v="1"/>
    <m/>
    <m/>
    <m/>
    <m/>
    <m/>
    <m/>
    <m/>
    <m/>
    <m/>
    <m/>
    <n v="1.8501893543383965E-2"/>
    <n v="1.8504005166909823E-2"/>
    <n v="2.6737964779771865E-3"/>
    <n v="2.6881720430107529E-3"/>
    <s v="NA"/>
    <n v="373"/>
    <s v="NA"/>
  </r>
  <r>
    <x v="0"/>
    <n v="24"/>
    <n v="1066"/>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0.19900000000000001"/>
    <s v="increase"/>
    <n v="0.188"/>
    <s v="NA"/>
    <n v="3"/>
    <n v="1.0585106382978724"/>
    <n v="0.22018196589987249"/>
    <n v="0.54958646842503955"/>
    <s v="NA"/>
    <s v="NA"/>
    <s v="NA"/>
    <s v="NA"/>
    <s v="NA"/>
    <s v="NA"/>
    <n v="375"/>
    <n v="6081"/>
    <s v="NA"/>
    <s v="NA"/>
    <s v="NA"/>
    <s v="NA"/>
    <s v="NA"/>
    <s v="NA"/>
    <s v="NA"/>
    <s v="NA"/>
    <s v="NA"/>
    <s v="NA"/>
    <n v="0"/>
    <n v="0"/>
    <n v="1"/>
    <m/>
    <m/>
    <m/>
    <m/>
    <m/>
    <m/>
    <m/>
    <m/>
    <m/>
    <m/>
    <n v="5.4579776966369314E-2"/>
    <n v="5.4634070889081947E-2"/>
    <n v="2.6737729692011378E-3"/>
    <n v="2.6881720430107529E-3"/>
    <s v="NA"/>
    <n v="373"/>
    <s v="NA"/>
  </r>
  <r>
    <x v="0"/>
    <n v="24"/>
    <n v="1060"/>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5"/>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0.22900000000000001"/>
    <s v="increase"/>
    <n v="0.109"/>
    <s v="NA"/>
    <n v="3"/>
    <n v="2.1009174311926606"/>
    <n v="0.2573420390098391"/>
    <n v="0.55700111781082129"/>
    <s v="NA"/>
    <s v="NA"/>
    <s v="NA"/>
    <s v="NA"/>
    <s v="NA"/>
    <s v="NA"/>
    <n v="375"/>
    <n v="6081"/>
    <s v="NA"/>
    <s v="NA"/>
    <s v="NA"/>
    <s v="NA"/>
    <s v="NA"/>
    <s v="NA"/>
    <s v="NA"/>
    <s v="NA"/>
    <s v="NA"/>
    <s v="NA"/>
    <n v="0"/>
    <n v="0"/>
    <n v="0"/>
    <m/>
    <m/>
    <m/>
    <m/>
    <m/>
    <m/>
    <m/>
    <m/>
    <m/>
    <m/>
    <n v="0.1078580072117359"/>
    <n v="0.10827920105368449"/>
    <n v="2.6734292480947645E-3"/>
    <n v="2.6881720430107529E-3"/>
    <s v="NA"/>
    <n v="373"/>
    <s v="NA"/>
  </r>
  <r>
    <x v="0"/>
    <n v="24"/>
    <n v="1065"/>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2"/>
    <x v="14"/>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0.27500000000000002"/>
    <s v="increase"/>
    <n v="0.77100000000000002"/>
    <s v="NA"/>
    <n v="3"/>
    <n v="0.35667963683527887"/>
    <n v="0.31653067486762154"/>
    <n v="0.56831998347824808"/>
    <s v="NA"/>
    <s v="NA"/>
    <s v="NA"/>
    <s v="NA"/>
    <s v="NA"/>
    <s v="NA"/>
    <n v="375"/>
    <n v="6081"/>
    <s v="NA"/>
    <s v="NA"/>
    <s v="NA"/>
    <s v="NA"/>
    <s v="NA"/>
    <s v="NA"/>
    <s v="NA"/>
    <s v="NA"/>
    <s v="NA"/>
    <s v="NA"/>
    <n v="0"/>
    <n v="0"/>
    <n v="1"/>
    <m/>
    <m/>
    <m/>
    <m/>
    <m/>
    <m/>
    <m/>
    <m/>
    <m/>
    <m/>
    <n v="1.8415733701710926E-2"/>
    <n v="1.8417815958123879E-2"/>
    <n v="2.6737964837768528E-3"/>
    <n v="2.6881720430107529E-3"/>
    <s v="NA"/>
    <n v="373"/>
    <s v="NA"/>
  </r>
  <r>
    <x v="0"/>
    <n v="24"/>
    <n v="1069"/>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reveal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3.01"/>
    <s v="decrease"/>
    <n v="2.17"/>
    <s v="NA"/>
    <n v="3"/>
    <n v="1.3870967741935483"/>
    <n v="19.287399925240926"/>
    <n v="0.95302385432171643"/>
    <s v="NA"/>
    <s v="NA"/>
    <s v="NA"/>
    <s v="NA"/>
    <s v="NA"/>
    <s v="NA"/>
    <n v="163"/>
    <n v="163"/>
    <s v="NA"/>
    <s v="NA"/>
    <s v="NA"/>
    <s v="NA"/>
    <s v="NA"/>
    <s v="NA"/>
    <s v="NA"/>
    <s v="NA"/>
    <s v="NA"/>
    <s v="NA"/>
    <n v="0"/>
    <n v="0"/>
    <n v="1"/>
    <m/>
    <m/>
    <m/>
    <m/>
    <m/>
    <m/>
    <m/>
    <m/>
    <m/>
    <m/>
    <n v="0.10801020309415331"/>
    <n v="0.10843319088266559"/>
    <n v="6.1719861429199588E-3"/>
    <n v="6.2500000000000003E-3"/>
    <s v="NA"/>
    <n v="161"/>
    <s v="NA"/>
  </r>
  <r>
    <x v="0"/>
    <n v="24"/>
    <n v="1068"/>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reveal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3.7"/>
    <s v="decrease"/>
    <n v="7.31"/>
    <s v="NA"/>
    <n v="3"/>
    <n v="0.50615595075239406"/>
    <n v="39.447304360067399"/>
    <n v="0.9758729785823308"/>
    <s v="NA"/>
    <s v="NA"/>
    <s v="NA"/>
    <s v="NA"/>
    <s v="NA"/>
    <s v="NA"/>
    <n v="163"/>
    <n v="163"/>
    <s v="NA"/>
    <s v="NA"/>
    <s v="NA"/>
    <s v="NA"/>
    <s v="NA"/>
    <s v="NA"/>
    <s v="NA"/>
    <s v="NA"/>
    <s v="NA"/>
    <s v="NA"/>
    <n v="0"/>
    <n v="0"/>
    <n v="1"/>
    <m/>
    <m/>
    <m/>
    <m/>
    <m/>
    <m/>
    <m/>
    <m/>
    <m/>
    <m/>
    <n v="3.9614074457903617E-2"/>
    <n v="3.9634815781559279E-2"/>
    <n v="6.1728242729301415E-3"/>
    <n v="6.2500000000000003E-3"/>
    <s v="NA"/>
    <n v="161"/>
    <s v="NA"/>
  </r>
  <r>
    <x v="0"/>
    <m/>
    <n v="1163"/>
    <n v="138"/>
    <s v="Ridge"/>
    <n v="1988"/>
    <s v="Energy Conservation for Low-Income Households: The Evaporative Cooler Experience"/>
    <s v="Since November 1983, the Southern California Edison Company (SCE) has been offering_x000a_a free evaporative cooler to low-income customers who alreadypossess an air conditioner._x000a_To qualify for a free cooler, a cooler must first be recommended in an SCEenergy audit as_x000a_being cost-effective. The cooler, which has a much lower k W demand than a typical air_x000a_conditioner, is to be used not as a replacement for one’s air conditioner but rather to_x000a_supplant it during certain parts of the day, thus reducing k Wh consumption. The research_x000a_design used is the nonequivalent control group. The econometric analysis indicates that_x000a_the net reduction due to the installation of a cooler is 2.64 kWh per day."/>
    <n v="1"/>
    <n v="1985"/>
    <x v="0"/>
    <n v="178"/>
    <x v="0"/>
    <x v="2"/>
    <x v="1"/>
    <s v="revealed preference"/>
    <s v="household"/>
    <s v="individuals"/>
    <n v="0"/>
    <s v="opt_in"/>
    <n v="0"/>
    <s v="probably no"/>
    <s v="probably no"/>
    <s v="NA"/>
    <n v="0"/>
    <n v="0"/>
    <n v="0"/>
    <n v="1"/>
    <n v="0"/>
    <n v="0"/>
    <n v="0"/>
    <n v="1"/>
    <s v="offering a free evaporative cooler to low-income customers who already possess an air-conditioner"/>
    <n v="0"/>
    <n v="0"/>
    <n v="0"/>
    <n v="0"/>
    <n v="0"/>
    <n v="0"/>
    <n v="0"/>
    <n v="1"/>
    <n v="0"/>
    <s v="NA"/>
    <x v="1"/>
    <s v="average daily kWh consumption within a given billing period"/>
    <s v="log scale"/>
    <n v="0.01"/>
    <s v="decrease"/>
    <n v="4.3478260869565216E-2"/>
    <n v="0.81640000000000001"/>
    <n v="2"/>
    <n v="0.23"/>
    <n v="1.0050167084167949E-2"/>
    <m/>
    <s v="NA"/>
    <n v="109"/>
    <s v="NA"/>
    <s v="NA"/>
    <n v="406"/>
    <s v="NA"/>
    <n v="515"/>
    <n v="515"/>
    <s v="NA"/>
    <s v="NA"/>
    <s v="NA"/>
    <n v="1"/>
    <s v="current "/>
    <s v="NA"/>
    <s v="NA"/>
    <s v="NA"/>
    <s v="NA"/>
    <s v="NA"/>
    <n v="1"/>
    <n v="1"/>
    <n v="1"/>
    <m/>
    <m/>
    <m/>
    <m/>
    <m/>
    <m/>
    <m/>
    <m/>
    <m/>
    <m/>
    <n v="1.0134490446309997E-2"/>
    <n v="1.0134837431758794E-2"/>
    <n v="1.9455252713028077E-3"/>
    <n v="1.953125E-3"/>
    <m/>
    <m/>
    <m/>
  </r>
  <r>
    <x v="0"/>
    <m/>
    <n v="1164"/>
    <n v="138"/>
    <s v="Ridge"/>
    <n v="1988"/>
    <s v="Energy Conservation for Low-Income Households: The Evaporative Cooler Experience"/>
    <s v="Since November 1983, the Southern California Edison Company (SCE) has been offering_x000a_a free evaporative cooler to low-income customers who alreadypossess an air conditioner._x000a_To qualify for a free cooler, a cooler must first be recommended in an SCEenergy audit as_x000a_being cost-effective. The cooler, which has a much lower k W demand than a typical air_x000a_conditioner, is to be used not as a replacement for one’s air conditioner but rather to_x000a_supplant it during certain parts of the day, thus reducing k Wh consumption. The research_x000a_design used is the nonequivalent control group. The econometric analysis indicates that_x000a_the net reduction due to the installation of a cooler is 2.64 kWh per day."/>
    <n v="1"/>
    <n v="1985"/>
    <x v="0"/>
    <n v="178"/>
    <x v="0"/>
    <x v="2"/>
    <x v="1"/>
    <s v="revealed preference"/>
    <s v="household"/>
    <s v="individuals"/>
    <n v="0"/>
    <s v="opt_in"/>
    <n v="0"/>
    <s v="probably no"/>
    <s v="probably no"/>
    <s v="NA"/>
    <n v="0"/>
    <n v="0"/>
    <n v="0"/>
    <n v="1"/>
    <n v="0"/>
    <n v="0"/>
    <n v="0"/>
    <n v="1"/>
    <s v="offering a free evaporative cooler to low-income customers who already possess an air-conditioner"/>
    <n v="0"/>
    <n v="0"/>
    <n v="0"/>
    <n v="0"/>
    <n v="0"/>
    <n v="0"/>
    <n v="0"/>
    <n v="1"/>
    <n v="0"/>
    <s v="interaction with LN(cooling deegree days)"/>
    <x v="1"/>
    <s v="average daily kWh consumption within a given billing period"/>
    <s v="log scale"/>
    <n v="0.12"/>
    <s v="decrease"/>
    <n v="2.4844720496894408E-2"/>
    <n v="1E-4"/>
    <n v="3"/>
    <n v="4.83"/>
    <n v="0.12749685157937574"/>
    <m/>
    <s v="NA"/>
    <n v="109"/>
    <s v="NA"/>
    <s v="NA"/>
    <n v="406"/>
    <s v="NA"/>
    <n v="515"/>
    <n v="515"/>
    <s v="NA"/>
    <s v="NA"/>
    <s v="NA"/>
    <n v="1"/>
    <s v="current "/>
    <s v="NA"/>
    <s v="NA"/>
    <s v="NA"/>
    <s v="NA"/>
    <s v="NA"/>
    <n v="1"/>
    <n v="1"/>
    <n v="1"/>
    <m/>
    <m/>
    <m/>
    <m/>
    <m/>
    <m/>
    <m/>
    <m/>
    <m/>
    <m/>
    <n v="0.20817246417215696"/>
    <n v="0.21126026317506777"/>
    <n v="1.9416499666781906E-3"/>
    <n v="1.953125E-3"/>
    <m/>
    <m/>
    <m/>
  </r>
  <r>
    <x v="0"/>
    <n v="25"/>
    <n v="1102"/>
    <n v="119"/>
    <s v="Sammer, Wuestenhagen"/>
    <n v="2006"/>
    <s v="The influence of eco-labelling on consumer behaviour – results of a discrete choice analysis for washing machines"/>
    <s v="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 "/>
    <n v="2"/>
    <n v="2005"/>
    <x v="0"/>
    <n v="193"/>
    <x v="5"/>
    <x v="0"/>
    <x v="31"/>
    <s v="revealed preference"/>
    <s v="retailer"/>
    <s v="store visitors"/>
    <n v="1"/>
    <s v="no such option"/>
    <n v="0"/>
    <s v="probably yes"/>
    <s v="probably yes"/>
    <s v="Study chooses surveyors who are already at supermarket and only 6 supermarkets most of which are in suburban areas"/>
    <n v="0"/>
    <n v="0"/>
    <n v="1"/>
    <n v="0"/>
    <n v="0"/>
    <n v="0"/>
    <n v="0"/>
    <n v="0"/>
    <s v="NA"/>
    <n v="1"/>
    <n v="0"/>
    <n v="0"/>
    <n v="0"/>
    <n v="0"/>
    <n v="0"/>
    <n v="0"/>
    <n v="0"/>
    <n v="0"/>
    <s v="importance of the label in choice of energy efficient appliance - energy efficiency rating B"/>
    <x v="0"/>
    <s v="probability of choice of energy efficient appliance"/>
    <s v="log scale"/>
    <n v="0.24340000000000001"/>
    <s v="increase"/>
    <n v="8.2799999999999999E-2"/>
    <n v="0.01"/>
    <n v="1"/>
    <n v="2.9396135265700485"/>
    <n v="0.27557875358719897"/>
    <n v="0.56055135493614083"/>
    <s v="NA"/>
    <s v="NA"/>
    <s v="NA"/>
    <s v="NA"/>
    <s v="NA"/>
    <s v="NA"/>
    <n v="151"/>
    <n v="151"/>
    <s v="NA"/>
    <s v="NA"/>
    <s v="NA"/>
    <s v="NA"/>
    <s v="NA"/>
    <s v="NA"/>
    <s v="NA"/>
    <s v="NA"/>
    <s v="NA"/>
    <s v="alphabetical"/>
    <n v="0"/>
    <n v="0"/>
    <n v="0"/>
    <m/>
    <m/>
    <m/>
    <m/>
    <m/>
    <m/>
    <m/>
    <m/>
    <m/>
    <m/>
    <n v="0.23265777562024986"/>
    <n v="0.23699751145474932"/>
    <n v="6.6456345063166536E-3"/>
    <n v="6.7567567567567571E-3"/>
    <s v="NA"/>
    <n v="150"/>
    <s v="NA"/>
  </r>
  <r>
    <x v="0"/>
    <n v="25"/>
    <n v="1101"/>
    <n v="119"/>
    <s v="Sammer, Wuestenhagen"/>
    <n v="2006"/>
    <s v="The influence of eco-labelling on consumer behaviour – results of a discrete choice analysis for washing machines"/>
    <s v="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 "/>
    <n v="2"/>
    <n v="2005"/>
    <x v="0"/>
    <n v="193"/>
    <x v="5"/>
    <x v="0"/>
    <x v="31"/>
    <s v="revealed preference"/>
    <s v="retailer"/>
    <s v="store visitors"/>
    <n v="1"/>
    <s v="no such option"/>
    <n v="0"/>
    <s v="probably yes"/>
    <s v="probably yes"/>
    <s v="Study chooses surveyors who are already at supermarket and only 6 supermarkets most of which are in suburban areas"/>
    <n v="0"/>
    <n v="0"/>
    <n v="1"/>
    <n v="0"/>
    <n v="0"/>
    <n v="0"/>
    <n v="0"/>
    <n v="0"/>
    <s v="NA"/>
    <n v="1"/>
    <n v="0"/>
    <n v="0"/>
    <n v="0"/>
    <n v="0"/>
    <n v="0"/>
    <n v="0"/>
    <n v="0"/>
    <n v="0"/>
    <s v="importance of the label in choice of energy efficient appliance - energy efficiency rating A"/>
    <x v="0"/>
    <s v="probability of choice of energy efficient appliance"/>
    <s v="log scale"/>
    <n v="0.4874"/>
    <s v="increase"/>
    <n v="9.1800000000000007E-2"/>
    <n v="0.01"/>
    <n v="1"/>
    <n v="5.3093681917211324"/>
    <n v="0.62807771023382664"/>
    <n v="0.61949374780434951"/>
    <s v="NA"/>
    <s v="NA"/>
    <s v="NA"/>
    <s v="NA"/>
    <s v="NA"/>
    <s v="NA"/>
    <n v="151"/>
    <n v="151"/>
    <s v="NA"/>
    <s v="NA"/>
    <s v="NA"/>
    <s v="NA"/>
    <s v="NA"/>
    <s v="NA"/>
    <s v="NA"/>
    <s v="NA"/>
    <s v="NA"/>
    <s v="alphabetical"/>
    <n v="0"/>
    <n v="0"/>
    <n v="0"/>
    <m/>
    <m/>
    <m/>
    <m/>
    <m/>
    <m/>
    <m/>
    <m/>
    <m/>
    <m/>
    <n v="0.39663103881354556"/>
    <n v="0.41964466459073052"/>
    <n v="6.4599214053169289E-3"/>
    <n v="6.7567567567567571E-3"/>
    <s v="NA"/>
    <n v="150"/>
    <s v="NA"/>
  </r>
  <r>
    <x v="4"/>
    <m/>
    <n v="1197"/>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6500000000000001"/>
    <s v="increase"/>
    <n v="1.4E-2"/>
    <n v="0.05"/>
    <n v="1"/>
    <n v="11.785714285714286"/>
    <s v="NA"/>
    <m/>
    <s v="NA"/>
    <s v="NA"/>
    <s v="NA"/>
    <s v="NA"/>
    <s v="NA"/>
    <s v="NA"/>
    <n v="1143"/>
    <n v="1143"/>
    <s v="NA"/>
    <s v="NA"/>
    <s v="NA"/>
    <s v="NA"/>
    <s v="NA"/>
    <n v="0"/>
    <s v="NA"/>
    <n v="0"/>
    <s v="NA"/>
    <s v="alphabetical with +"/>
    <n v="0"/>
    <n v="0"/>
    <n v="0"/>
    <m/>
    <m/>
    <m/>
    <m/>
    <m/>
    <m/>
    <m/>
    <m/>
    <m/>
    <m/>
    <n v="0.32917611569084376"/>
    <n v="0.34190396617995006"/>
    <n v="8.6369070253296037E-4"/>
    <n v="8.7719298245614037E-4"/>
    <m/>
    <m/>
    <m/>
  </r>
  <r>
    <x v="4"/>
    <m/>
    <n v="1198"/>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11"/>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38400000000000001"/>
    <s v="increase"/>
    <n v="4.0000000000000002E-4"/>
    <n v="0.01"/>
    <n v="1"/>
    <n v="960"/>
    <s v="NA"/>
    <m/>
    <s v="NA"/>
    <s v="NA"/>
    <s v="NA"/>
    <s v="NA"/>
    <s v="NA"/>
    <s v="NA"/>
    <n v="1143"/>
    <n v="1143"/>
    <s v="NA"/>
    <s v="NA"/>
    <s v="NA"/>
    <s v="NA"/>
    <s v="NA"/>
    <n v="0"/>
    <s v="NA"/>
    <n v="0"/>
    <s v="NA"/>
    <s v="alphabetical with +"/>
    <n v="0"/>
    <n v="0"/>
    <n v="0"/>
    <m/>
    <m/>
    <m/>
    <m/>
    <m/>
    <m/>
    <m/>
    <m/>
    <m/>
    <m/>
    <n v="0.99938045903497763"/>
    <n v="4.0396845476129251"/>
    <n v="-0.23232174563184291"/>
    <n v="8.7719298245614037E-4"/>
    <m/>
    <m/>
    <m/>
  </r>
  <r>
    <x v="4"/>
    <m/>
    <n v="1199"/>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29"/>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88"/>
    <s v="increase"/>
    <n v="6.0000000000000001E-3"/>
    <n v="0.01"/>
    <n v="1"/>
    <n v="31.333333333333332"/>
    <s v="NA"/>
    <m/>
    <s v="NA"/>
    <s v="NA"/>
    <s v="NA"/>
    <s v="NA"/>
    <s v="NA"/>
    <s v="NA"/>
    <n v="1143"/>
    <n v="1143"/>
    <s v="NA"/>
    <s v="NA"/>
    <s v="NA"/>
    <s v="NA"/>
    <s v="NA"/>
    <n v="0"/>
    <s v="NA"/>
    <n v="0"/>
    <s v="NA"/>
    <s v="alphabetical with +"/>
    <n v="0"/>
    <n v="0"/>
    <n v="0"/>
    <m/>
    <m/>
    <m/>
    <m/>
    <m/>
    <m/>
    <m/>
    <m/>
    <m/>
    <m/>
    <n v="0.6797509779625166"/>
    <n v="0.8286509734911085"/>
    <n v="4.6277994673218209E-4"/>
    <n v="8.7719298245614037E-4"/>
    <m/>
    <m/>
    <m/>
  </r>
  <r>
    <x v="4"/>
    <m/>
    <n v="1200"/>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0"/>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7799999999999999"/>
    <s v="increase"/>
    <n v="4.0000000000000002E-4"/>
    <n v="0.01"/>
    <n v="1"/>
    <n v="444.99999999999994"/>
    <s v="NA"/>
    <m/>
    <s v="NA"/>
    <s v="NA"/>
    <s v="NA"/>
    <s v="NA"/>
    <s v="NA"/>
    <s v="NA"/>
    <n v="1143"/>
    <n v="1143"/>
    <s v="NA"/>
    <s v="NA"/>
    <s v="NA"/>
    <s v="NA"/>
    <s v="NA"/>
    <n v="0"/>
    <s v="NA"/>
    <n v="0"/>
    <s v="NA"/>
    <s v="alphabetical with +"/>
    <n v="0"/>
    <n v="0"/>
    <n v="0"/>
    <m/>
    <m/>
    <m/>
    <m/>
    <m/>
    <m/>
    <m/>
    <m/>
    <m/>
    <m/>
    <n v="0.9971264344531976"/>
    <n v="3.2719555170560017"/>
    <n v="-9.9484991759079461E-2"/>
    <n v="8.7719298245614037E-4"/>
    <m/>
    <m/>
    <m/>
  </r>
  <r>
    <x v="4"/>
    <m/>
    <n v="1201"/>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2"/>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22500000000000001"/>
    <s v="increase"/>
    <n v="4.0000000000000002E-4"/>
    <n v="0.01"/>
    <n v="1"/>
    <n v="562.5"/>
    <s v="NA"/>
    <m/>
    <s v="NA"/>
    <s v="NA"/>
    <s v="NA"/>
    <s v="NA"/>
    <s v="NA"/>
    <s v="NA"/>
    <n v="1143"/>
    <n v="1143"/>
    <s v="NA"/>
    <s v="NA"/>
    <s v="NA"/>
    <s v="NA"/>
    <s v="NA"/>
    <n v="0"/>
    <s v="NA"/>
    <n v="0"/>
    <s v="NA"/>
    <s v="alphabetical with +"/>
    <n v="0"/>
    <n v="0"/>
    <n v="0"/>
    <m/>
    <m/>
    <m/>
    <m/>
    <m/>
    <m/>
    <m/>
    <m/>
    <m/>
    <m/>
    <n v="0.99819865675054298"/>
    <n v="3.5057343728871753"/>
    <n v="-0.13139086207881251"/>
    <n v="8.7719298245614037E-4"/>
    <m/>
    <m/>
    <m/>
  </r>
  <r>
    <x v="4"/>
    <m/>
    <n v="1202"/>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3"/>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217"/>
    <s v="increase"/>
    <n v="1.0999999999999999E-2"/>
    <n v="0.05"/>
    <n v="1"/>
    <n v="19.727272727272727"/>
    <s v="NA"/>
    <m/>
    <s v="NA"/>
    <s v="NA"/>
    <s v="NA"/>
    <s v="NA"/>
    <s v="NA"/>
    <s v="NA"/>
    <n v="1143"/>
    <n v="1143"/>
    <s v="NA"/>
    <s v="NA"/>
    <s v="NA"/>
    <s v="NA"/>
    <s v="NA"/>
    <n v="0"/>
    <s v="NA"/>
    <n v="0"/>
    <s v="NA"/>
    <s v="alphabetical with +"/>
    <n v="0"/>
    <n v="0"/>
    <n v="0"/>
    <m/>
    <m/>
    <m/>
    <m/>
    <m/>
    <m/>
    <m/>
    <m/>
    <m/>
    <m/>
    <n v="0.50398108716659962"/>
    <n v="0.55462843634902004"/>
    <n v="7.9279722006820284E-4"/>
    <n v="8.7719298245614037E-4"/>
    <m/>
    <m/>
    <m/>
  </r>
  <r>
    <x v="4"/>
    <m/>
    <n v="1203"/>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4"/>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32900000000000001"/>
    <s v="increase"/>
    <n v="1E-3"/>
    <n v="0.01"/>
    <n v="1"/>
    <n v="329"/>
    <s v="NA"/>
    <m/>
    <s v="NA"/>
    <s v="NA"/>
    <s v="NA"/>
    <s v="NA"/>
    <s v="NA"/>
    <s v="NA"/>
    <n v="1143"/>
    <n v="1143"/>
    <s v="NA"/>
    <s v="NA"/>
    <s v="NA"/>
    <s v="NA"/>
    <s v="NA"/>
    <n v="0"/>
    <s v="NA"/>
    <n v="0"/>
    <s v="NA"/>
    <s v="alphabetical with +"/>
    <n v="0"/>
    <n v="0"/>
    <n v="0"/>
    <m/>
    <m/>
    <m/>
    <m/>
    <m/>
    <m/>
    <m/>
    <m/>
    <m/>
    <m/>
    <n v="0.99476156646916469"/>
    <n v="2.9711286487420243"/>
    <n v="-6.736131167647591E-2"/>
    <n v="8.7719298245614037E-4"/>
    <m/>
    <m/>
    <m/>
  </r>
  <r>
    <x v="4"/>
    <m/>
    <n v="1204"/>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10"/>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52"/>
    <s v="increase"/>
    <n v="0.107"/>
    <n v="0.1"/>
    <n v="2"/>
    <n v="1.4205607476635513"/>
    <s v="NA"/>
    <m/>
    <s v="NA"/>
    <s v="NA"/>
    <s v="NA"/>
    <s v="NA"/>
    <s v="NA"/>
    <s v="NA"/>
    <n v="1143"/>
    <n v="1143"/>
    <s v="NA"/>
    <s v="NA"/>
    <s v="NA"/>
    <s v="NA"/>
    <s v="NA"/>
    <n v="0"/>
    <s v="NA"/>
    <n v="0"/>
    <s v="NA"/>
    <s v="alphabetical with +"/>
    <n v="0"/>
    <n v="0"/>
    <n v="0"/>
    <m/>
    <m/>
    <m/>
    <m/>
    <m/>
    <m/>
    <m/>
    <m/>
    <m/>
    <m/>
    <n v="4.1981084605393931E-2"/>
    <n v="4.2005773365978882E-2"/>
    <n v="8.7565401628082187E-4"/>
    <n v="8.7719298245614037E-4"/>
    <m/>
    <m/>
    <m/>
  </r>
  <r>
    <x v="3"/>
    <m/>
    <n v="1233"/>
    <n v="309"/>
    <s v="Schultz, Colehour, Vohr, Bonn, Bullock, Sadler"/>
    <n v="2015"/>
    <s v="Using Social Marketing to Spur Residential Adoption of ENERGY STAR®-Certified LED Lighting"/>
    <s v="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
    <n v="1"/>
    <s v="2013-2014"/>
    <x v="13"/>
    <s v="73-74"/>
    <x v="3"/>
    <x v="2"/>
    <x v="1"/>
    <s v="revealed preference"/>
    <s v="household"/>
    <s v="residents"/>
    <n v="1"/>
    <s v="opt_in"/>
    <n v="0"/>
    <s v="probably yes"/>
    <s v="probably no"/>
    <s v="study under contract with Energy Star"/>
    <n v="0"/>
    <n v="1"/>
    <n v="1"/>
    <n v="1"/>
    <n v="0"/>
    <n v="0"/>
    <n v="0"/>
    <n v="0"/>
    <s v="NA"/>
    <n v="0"/>
    <n v="0"/>
    <n v="0"/>
    <n v="0"/>
    <n v="0"/>
    <n v="1"/>
    <n v="0"/>
    <n v="0"/>
    <n v="0"/>
    <s v="NA"/>
    <x v="1"/>
    <s v="the average daily energy consumption (kWh)"/>
    <s v="NA"/>
    <n v="5.4961558073974334E-2"/>
    <s v="decrease"/>
    <e v="#VALUE!"/>
    <s v="NA"/>
    <s v="NA"/>
    <s v="NA"/>
    <n v="5.6500000000000002E-2"/>
    <m/>
    <n v="18.86"/>
    <n v="6176"/>
    <s v="NA"/>
    <n v="17.84"/>
    <n v="54"/>
    <s v="NA"/>
    <n v="6230"/>
    <n v="6230"/>
    <s v="NA"/>
    <s v="NA"/>
    <s v="NA"/>
    <s v="NA"/>
    <s v="NA"/>
    <s v="NA"/>
    <s v="NA"/>
    <s v="NA"/>
    <s v="NA"/>
    <s v="NA"/>
    <n v="1"/>
    <n v="0"/>
    <n v="0"/>
    <m/>
    <m/>
    <m/>
    <m/>
    <m/>
    <m/>
    <m/>
    <m/>
    <m/>
    <m/>
    <m/>
    <m/>
    <m/>
    <m/>
    <e v="#VALUE!"/>
    <m/>
    <m/>
  </r>
  <r>
    <x v="3"/>
    <n v="26"/>
    <n v="1250"/>
    <n v="303"/>
    <s v="Schultz, Colehour, Vohr, Bonn, Bullock, Sadler"/>
    <n v="2015"/>
    <s v="Using Social Marketing to Spur Residential Adoption of ENERGY STAR®-Certified LED Lighting"/>
    <s v="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
    <n v="2"/>
    <n v="2013"/>
    <x v="0"/>
    <n v="67"/>
    <x v="3"/>
    <x v="0"/>
    <x v="1"/>
    <s v="revealed preference"/>
    <s v="retailer"/>
    <s v="store visitors"/>
    <n v="0"/>
    <s v="opt_in"/>
    <n v="0"/>
    <s v="probably yes"/>
    <s v="probably yes"/>
    <s v="study under contract with Energy Star, at least one number (896%) was reported incorrectly, which was spotted while coding"/>
    <n v="0"/>
    <n v="1"/>
    <n v="1"/>
    <n v="1"/>
    <n v="0"/>
    <n v="0"/>
    <n v="0"/>
    <n v="0"/>
    <s v="NA"/>
    <n v="0"/>
    <n v="0"/>
    <n v="0"/>
    <n v="0"/>
    <n v="0"/>
    <n v="1"/>
    <n v="0"/>
    <n v="0"/>
    <n v="0"/>
    <s v="LED bulbs sold"/>
    <x v="0"/>
    <s v="LED bulbs sold"/>
    <s v="NA"/>
    <s v="NA"/>
    <s v="increase"/>
    <s v="NA"/>
    <s v="NA"/>
    <s v="N A"/>
    <s v="NA"/>
    <n v="7.9603753910323256"/>
    <m/>
    <n v="959"/>
    <n v="3"/>
    <s v="NA"/>
    <n v="8593"/>
    <n v="3"/>
    <s v="NA"/>
    <n v="6"/>
    <s v="NA"/>
    <n v="7634"/>
    <s v="NA"/>
    <s v="NA"/>
    <s v="NA"/>
    <s v="NA"/>
    <s v="NA"/>
    <s v="NA"/>
    <n v="1"/>
    <s v="NA"/>
    <s v="NA"/>
    <n v="0"/>
    <n v="0"/>
    <n v="0"/>
    <m/>
    <m/>
    <m/>
    <m/>
    <m/>
    <m/>
    <m/>
    <m/>
    <m/>
    <m/>
    <e v="#VALUE!"/>
    <e v="#VALUE!"/>
    <e v="#VALUE!"/>
    <n v="0.33333333333333331"/>
    <e v="#VALUE!"/>
    <n v="4"/>
    <s v="not enough data"/>
  </r>
  <r>
    <x v="3"/>
    <n v="26"/>
    <n v="1251"/>
    <n v="303"/>
    <s v="Schultz, Colehour, Vohr, Bonn, Bullock, Sadler"/>
    <n v="2015"/>
    <s v="Using Social Marketing to Spur Residential Adoption of ENERGY STAR®-Certified LED Lighting"/>
    <s v="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
    <n v="2"/>
    <n v="2013"/>
    <x v="0"/>
    <n v="67"/>
    <x v="3"/>
    <x v="2"/>
    <x v="1"/>
    <s v="revealed preference"/>
    <s v="retailer"/>
    <s v="store visitors"/>
    <n v="0"/>
    <s v="opt_in"/>
    <n v="0"/>
    <s v="probably yes"/>
    <s v="probably yes"/>
    <s v="study under contract with Energy Star, at least one number (896%) was reported incorrectly, which was spotted while coding"/>
    <n v="0"/>
    <n v="1"/>
    <n v="1"/>
    <n v="1"/>
    <n v="0"/>
    <n v="0"/>
    <n v="0"/>
    <n v="0"/>
    <s v="NA"/>
    <n v="0"/>
    <n v="0"/>
    <n v="0"/>
    <n v="0"/>
    <n v="0"/>
    <n v="1"/>
    <n v="0"/>
    <n v="0"/>
    <n v="0"/>
    <s v="LED bulbs sold"/>
    <x v="0"/>
    <s v="LED bulbs sold"/>
    <s v="NA"/>
    <s v="NA"/>
    <s v="increase"/>
    <n v="1"/>
    <n v="0.02"/>
    <n v="1"/>
    <n v="3.7469473879791968"/>
    <n v="34.655601659751035"/>
    <m/>
    <n v="241"/>
    <n v="3"/>
    <s v="NA"/>
    <n v="8593"/>
    <n v="3"/>
    <s v="NA"/>
    <n v="6"/>
    <s v="NA"/>
    <n v="8352"/>
    <s v="NA"/>
    <s v="NA"/>
    <s v="NA"/>
    <s v="NA"/>
    <s v="NA"/>
    <s v="NA"/>
    <n v="1"/>
    <s v="NA"/>
    <s v="NA"/>
    <n v="0"/>
    <n v="0"/>
    <n v="0"/>
    <m/>
    <m/>
    <m/>
    <m/>
    <m/>
    <m/>
    <m/>
    <m/>
    <m/>
    <m/>
    <n v="0.99999997132859308"/>
    <n v="9.0302563258721591"/>
    <n v="-1329.7346701207366"/>
    <n v="0.33333333333333331"/>
    <n v="8352"/>
    <n v="4"/>
    <s v="outlier"/>
  </r>
  <r>
    <x v="0"/>
    <m/>
    <n v="1187"/>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69"/>
    <x v="26"/>
    <x v="3"/>
    <x v="13"/>
    <s v="stated preference"/>
    <s v="retailer"/>
    <s v="individuals"/>
    <n v="1"/>
    <s v="opt_out"/>
    <n v="1"/>
    <s v="probably no"/>
    <s v="probably no"/>
    <s v="effect of label or energy efficiency?"/>
    <n v="0"/>
    <n v="0"/>
    <n v="1"/>
    <n v="0"/>
    <n v="0"/>
    <n v="0"/>
    <n v="0"/>
    <n v="0"/>
    <s v="China Energy Efficiency Label"/>
    <n v="0"/>
    <n v="0"/>
    <n v="0"/>
    <n v="0"/>
    <n v="0"/>
    <n v="0"/>
    <n v="0"/>
    <n v="1"/>
    <n v="0"/>
    <s v="NA"/>
    <x v="2"/>
    <s v="WTP for highest energy rank"/>
    <s v="NA"/>
    <n v="0.49590000000000001"/>
    <s v="increase"/>
    <s v="NA"/>
    <n v="0.1"/>
    <n v="1"/>
    <s v="NA"/>
    <s v="NA"/>
    <m/>
    <s v="NA"/>
    <s v="NA"/>
    <s v="NA"/>
    <s v="NA"/>
    <s v="NA"/>
    <s v="NA"/>
    <n v="600"/>
    <n v="3600"/>
    <s v="NA"/>
    <s v="NA"/>
    <s v="NA"/>
    <s v="NA"/>
    <s v="NA"/>
    <m/>
    <m/>
    <m/>
    <m/>
    <m/>
    <n v="0"/>
    <n v="1"/>
    <n v="1"/>
    <m/>
    <m/>
    <m/>
    <m/>
    <m/>
    <m/>
    <m/>
    <m/>
    <m/>
    <m/>
    <e v="#VALUE!"/>
    <e v="#VALUE!"/>
    <e v="#VALUE!"/>
    <n v="1.6750418760469012E-3"/>
    <m/>
    <m/>
    <m/>
  </r>
  <r>
    <x v="0"/>
    <m/>
    <n v="1188"/>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70"/>
    <x v="26"/>
    <x v="3"/>
    <x v="13"/>
    <s v="stated preference"/>
    <s v="retailer"/>
    <s v="individuals"/>
    <n v="1"/>
    <s v="opt_out"/>
    <n v="1"/>
    <s v="probably no"/>
    <s v="probably no"/>
    <s v="effect of label or energy efficiency?"/>
    <n v="0"/>
    <n v="0"/>
    <n v="1"/>
    <n v="0"/>
    <n v="0"/>
    <n v="0"/>
    <n v="0"/>
    <n v="0"/>
    <s v="China Energy Efficiency Label"/>
    <n v="0"/>
    <n v="0"/>
    <n v="0"/>
    <n v="1"/>
    <n v="0"/>
    <n v="0"/>
    <n v="0"/>
    <n v="0"/>
    <n v="0"/>
    <s v="NA"/>
    <x v="2"/>
    <s v="WTP for highest energy rank"/>
    <s v="NA"/>
    <n v="0.17399999999999999"/>
    <s v="increase"/>
    <s v="NA"/>
    <n v="0.1"/>
    <n v="1"/>
    <s v="NA"/>
    <s v="NA"/>
    <m/>
    <s v="NA"/>
    <s v="NA"/>
    <s v="NA"/>
    <s v="NA"/>
    <s v="NA"/>
    <s v="NA"/>
    <n v="600"/>
    <n v="3600"/>
    <s v="NA"/>
    <s v="NA"/>
    <s v="NA"/>
    <s v="NA"/>
    <s v="NA"/>
    <m/>
    <m/>
    <m/>
    <m/>
    <m/>
    <n v="0"/>
    <n v="1"/>
    <n v="1"/>
    <m/>
    <m/>
    <m/>
    <m/>
    <m/>
    <m/>
    <m/>
    <m/>
    <m/>
    <m/>
    <e v="#VALUE!"/>
    <e v="#VALUE!"/>
    <e v="#VALUE!"/>
    <n v="1.6750418760469012E-3"/>
    <m/>
    <m/>
    <m/>
  </r>
  <r>
    <x v="0"/>
    <m/>
    <n v="1189"/>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70"/>
    <x v="26"/>
    <x v="3"/>
    <x v="13"/>
    <s v="stated preference"/>
    <s v="online"/>
    <s v="individuals"/>
    <n v="1"/>
    <s v="opt_out"/>
    <n v="1"/>
    <s v="probably no"/>
    <s v="probably no"/>
    <s v="effect of label or energy efficiency?"/>
    <n v="0"/>
    <n v="0"/>
    <n v="1"/>
    <n v="0"/>
    <n v="0"/>
    <n v="0"/>
    <n v="0"/>
    <n v="0"/>
    <s v="China Energy Efficiency Label"/>
    <n v="0"/>
    <n v="0"/>
    <n v="0"/>
    <n v="0"/>
    <n v="0"/>
    <n v="0"/>
    <n v="0"/>
    <n v="1"/>
    <n v="0"/>
    <s v="NA"/>
    <x v="2"/>
    <s v="WTP for highest energy rank"/>
    <s v="NA"/>
    <n v="3.0964"/>
    <s v="increase"/>
    <s v="NA"/>
    <n v="0.1"/>
    <n v="1"/>
    <s v="NA"/>
    <s v="NA"/>
    <m/>
    <s v="NA"/>
    <s v="NA"/>
    <s v="NA"/>
    <s v="NA"/>
    <s v="NA"/>
    <s v="NA"/>
    <n v="600"/>
    <n v="3600"/>
    <s v="NA"/>
    <s v="NA"/>
    <s v="NA"/>
    <s v="NA"/>
    <s v="NA"/>
    <m/>
    <m/>
    <m/>
    <m/>
    <m/>
    <n v="0"/>
    <n v="1"/>
    <n v="1"/>
    <m/>
    <m/>
    <m/>
    <m/>
    <m/>
    <m/>
    <m/>
    <m/>
    <m/>
    <m/>
    <e v="#VALUE!"/>
    <e v="#VALUE!"/>
    <e v="#VALUE!"/>
    <n v="1.6750418760469012E-3"/>
    <m/>
    <m/>
    <m/>
  </r>
  <r>
    <x v="0"/>
    <m/>
    <n v="1190"/>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71"/>
    <x v="26"/>
    <x v="3"/>
    <x v="13"/>
    <s v="stated preference"/>
    <s v="online"/>
    <s v="individuals"/>
    <n v="1"/>
    <s v="opt_out"/>
    <n v="1"/>
    <s v="probably no"/>
    <s v="probably no"/>
    <s v="effect of label or energy efficiency?"/>
    <n v="0"/>
    <n v="0"/>
    <n v="1"/>
    <n v="0"/>
    <n v="0"/>
    <n v="0"/>
    <n v="0"/>
    <n v="0"/>
    <s v="China Energy Efficiency Label"/>
    <n v="0"/>
    <n v="0"/>
    <n v="0"/>
    <n v="1"/>
    <n v="0"/>
    <n v="0"/>
    <n v="0"/>
    <n v="0"/>
    <n v="0"/>
    <s v="NA"/>
    <x v="2"/>
    <s v="WTP for highest energy rank"/>
    <s v="NA"/>
    <n v="3.5619999999999998"/>
    <s v="increase"/>
    <s v="NA"/>
    <n v="0.05"/>
    <n v="1"/>
    <s v="NA"/>
    <s v="NA"/>
    <m/>
    <s v="NA"/>
    <s v="NA"/>
    <s v="NA"/>
    <s v="NA"/>
    <s v="NA"/>
    <s v="NA"/>
    <n v="600"/>
    <n v="3600"/>
    <s v="NA"/>
    <s v="NA"/>
    <s v="NA"/>
    <s v="NA"/>
    <s v="NA"/>
    <m/>
    <m/>
    <m/>
    <m/>
    <m/>
    <n v="0"/>
    <n v="1"/>
    <n v="1"/>
    <m/>
    <m/>
    <m/>
    <m/>
    <m/>
    <m/>
    <m/>
    <m/>
    <m/>
    <m/>
    <e v="#VALUE!"/>
    <e v="#VALUE!"/>
    <e v="#VALUE!"/>
    <n v="1.6750418760469012E-3"/>
    <m/>
    <m/>
    <m/>
  </r>
  <r>
    <x v="0"/>
    <m/>
    <n v="1122"/>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0"/>
    <n v="0"/>
    <n v="0"/>
    <n v="0"/>
    <n v="0"/>
    <n v="0"/>
    <s v="mixed interventions"/>
    <n v="0"/>
    <n v="0"/>
    <n v="0"/>
    <n v="1"/>
    <n v="0"/>
    <n v="0"/>
    <n v="0"/>
    <n v="0"/>
    <n v="0"/>
    <s v="NA"/>
    <x v="2"/>
    <s v="marginal WTP for energy efficiency improvement"/>
    <s v="NA"/>
    <n v="0.1305"/>
    <s v="increase"/>
    <s v="NA"/>
    <n v="0.05"/>
    <n v="1"/>
    <n v="2.0280999999999998"/>
    <s v="NA"/>
    <m/>
    <s v="NA"/>
    <s v="NA"/>
    <s v="NA"/>
    <s v="NA"/>
    <s v="NA"/>
    <s v="NA"/>
    <n v="36"/>
    <n v="8928"/>
    <s v="NA"/>
    <s v="NA"/>
    <s v="NA"/>
    <s v="NA"/>
    <s v="NA"/>
    <s v="NA"/>
    <s v="NA"/>
    <s v="NA"/>
    <s v="NA"/>
    <s v="NA"/>
    <n v="0"/>
    <n v="0"/>
    <n v="0"/>
    <m/>
    <m/>
    <m/>
    <m/>
    <m/>
    <m/>
    <m/>
    <m/>
    <m/>
    <m/>
    <n v="0.32021801928313393"/>
    <n v="0.33189001894838011"/>
    <n v="2.822476458784471E-2"/>
    <n v="3.0303030303030304E-2"/>
    <m/>
    <m/>
    <m/>
  </r>
  <r>
    <x v="0"/>
    <m/>
    <n v="1123"/>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0"/>
    <n v="1"/>
    <n v="0"/>
    <n v="0"/>
    <n v="0"/>
    <n v="0"/>
    <n v="0"/>
    <s v="mixed interventions"/>
    <n v="0"/>
    <n v="0"/>
    <n v="0"/>
    <n v="1"/>
    <n v="0"/>
    <n v="0"/>
    <n v="0"/>
    <n v="0"/>
    <n v="0"/>
    <s v="NA"/>
    <x v="2"/>
    <s v="marginal WTP for energy efficiency improvement"/>
    <s v="NA"/>
    <n v="0.28129999999999999"/>
    <s v="increase"/>
    <s v="NA"/>
    <n v="0.05"/>
    <n v="1"/>
    <n v="2.0280999999999998"/>
    <s v="NA"/>
    <m/>
    <s v="NA"/>
    <s v="NA"/>
    <s v="NA"/>
    <s v="NA"/>
    <s v="NA"/>
    <s v="NA"/>
    <n v="36"/>
    <n v="8928"/>
    <s v="NA"/>
    <s v="NA"/>
    <s v="NA"/>
    <s v="NA"/>
    <s v="NA"/>
    <s v="NA"/>
    <s v="NA"/>
    <s v="NA"/>
    <s v="NA"/>
    <s v="NA"/>
    <n v="0"/>
    <n v="0"/>
    <n v="0"/>
    <m/>
    <m/>
    <m/>
    <m/>
    <m/>
    <m/>
    <m/>
    <m/>
    <m/>
    <m/>
    <n v="0.32021801928313393"/>
    <n v="0.33189001894838011"/>
    <n v="2.822476458784471E-2"/>
    <n v="3.0303030303030304E-2"/>
    <m/>
    <m/>
    <m/>
  </r>
  <r>
    <x v="0"/>
    <m/>
    <n v="1124"/>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0.49790000000000001"/>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m/>
    <n v="1125"/>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1.0802"/>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m/>
    <n v="1126"/>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0.60389999999999999"/>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m/>
    <n v="1127"/>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1.1668000000000001"/>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n v="27"/>
    <n v="1193"/>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0"/>
    <n v="0"/>
    <n v="1"/>
    <n v="0"/>
    <n v="0"/>
    <n v="0"/>
    <n v="0"/>
    <n v="0"/>
    <s v="NA"/>
    <x v="0"/>
    <s v="mean expected annual electricity consumption of appliances purchased"/>
    <s v="NA"/>
    <s v="NA"/>
    <s v="decrease"/>
    <n v="2.4"/>
    <n v="0.1"/>
    <n v="2"/>
    <n v="1.6512273926074998"/>
    <n v="0"/>
    <m/>
    <n v="199.5"/>
    <n v="100"/>
    <n v="2.1"/>
    <n v="199.5"/>
    <n v="141"/>
    <n v="1.4"/>
    <n v="241"/>
    <n v="241"/>
    <n v="0"/>
    <s v="NA"/>
    <s v="NA"/>
    <s v="NA"/>
    <s v="NA"/>
    <n v="0"/>
    <s v="NA"/>
    <n v="0"/>
    <s v="NA"/>
    <s v="alphabetical with +"/>
    <n v="0"/>
    <n v="0"/>
    <n v="0"/>
    <m/>
    <m/>
    <m/>
    <m/>
    <m/>
    <m/>
    <m/>
    <m/>
    <m/>
    <m/>
    <n v="0"/>
    <n v="0"/>
    <n v="4.1666666666666666E-3"/>
    <n v="4.2016806722689074E-3"/>
    <n v="0"/>
    <n v="240"/>
    <s v="NA"/>
  </r>
  <r>
    <x v="0"/>
    <n v="27"/>
    <n v="1194"/>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0"/>
    <n v="0"/>
    <n v="1"/>
    <n v="0"/>
    <n v="0"/>
    <n v="0"/>
    <n v="0"/>
    <n v="0"/>
    <s v="NA"/>
    <x v="0"/>
    <s v="mean expected annual electricity consumption of appliances purchased"/>
    <s v="NA"/>
    <s v="NA"/>
    <s v="increase"/>
    <n v="2.8"/>
    <n v="0.1"/>
    <n v="2"/>
    <n v="1.6521770093863108"/>
    <n v="3.0075187969924528E-3"/>
    <m/>
    <n v="199.5"/>
    <n v="100"/>
    <n v="2.1"/>
    <n v="200.1"/>
    <n v="110"/>
    <n v="1.9"/>
    <n v="210"/>
    <n v="210"/>
    <n v="0.59999999999999432"/>
    <s v="NA"/>
    <s v="NA"/>
    <s v="NA"/>
    <s v="NA"/>
    <n v="0"/>
    <s v="NA"/>
    <n v="0"/>
    <s v="NA"/>
    <s v="alphabetical with +"/>
    <n v="0"/>
    <n v="0"/>
    <n v="0"/>
    <m/>
    <m/>
    <m/>
    <m/>
    <m/>
    <m/>
    <m/>
    <m/>
    <m/>
    <m/>
    <n v="0.10653312363426425"/>
    <n v="0.10693891620630497"/>
    <n v="4.7840632510233495E-3"/>
    <n v="4.830917874396135E-3"/>
    <n v="0.21428571428571228"/>
    <n v="209"/>
    <s v="NA"/>
  </r>
  <r>
    <x v="0"/>
    <n v="27"/>
    <n v="1195"/>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1"/>
    <n v="0"/>
    <n v="0"/>
    <n v="0"/>
    <n v="0"/>
    <n v="0"/>
    <n v="0"/>
    <n v="0"/>
    <s v="NA"/>
    <x v="0"/>
    <s v="mean expected annual electricity consumption of appliances purchased"/>
    <s v="NA"/>
    <s v="NA"/>
    <s v="decrease"/>
    <n v="9.5"/>
    <n v="0.05"/>
    <n v="1"/>
    <n v="1.9776"/>
    <n v="8.0264791063301519E-2"/>
    <m/>
    <n v="241.7"/>
    <n v="66"/>
    <n v="7.5"/>
    <n v="222.3"/>
    <n v="70"/>
    <n v="5.8"/>
    <n v="136"/>
    <n v="136"/>
    <n v="19.399999999999977"/>
    <s v="NA"/>
    <s v="NA"/>
    <s v="NA"/>
    <s v="NA"/>
    <n v="0"/>
    <s v="NA"/>
    <n v="0"/>
    <s v="NA"/>
    <s v="alphabetical with +"/>
    <n v="0"/>
    <n v="0"/>
    <n v="0"/>
    <m/>
    <m/>
    <m/>
    <m/>
    <m/>
    <m/>
    <m/>
    <m/>
    <m/>
    <m/>
    <n v="0.71443371736545624"/>
    <n v="0.89618197281213685"/>
    <n v="2.6293534933306177E-3"/>
    <n v="7.5187969924812026E-3"/>
    <n v="2.0421052631578922"/>
    <n v="135"/>
    <s v="NA"/>
  </r>
  <r>
    <x v="0"/>
    <n v="27"/>
    <n v="1196"/>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1"/>
    <n v="0"/>
    <n v="0"/>
    <n v="0"/>
    <n v="0"/>
    <n v="0"/>
    <n v="0"/>
    <n v="0"/>
    <s v="NA"/>
    <x v="0"/>
    <s v="mean expected annual electricity consumption of appliances purchased"/>
    <s v="NA"/>
    <s v="NA"/>
    <s v="decrease"/>
    <n v="9.9"/>
    <n v="0.05"/>
    <n v="1"/>
    <n v="1.9776"/>
    <n v="9.6400496483243628E-2"/>
    <m/>
    <n v="241.7"/>
    <n v="66"/>
    <n v="7.5"/>
    <n v="218.4"/>
    <n v="58"/>
    <n v="6.2"/>
    <n v="124"/>
    <n v="124"/>
    <n v="23.299999999999983"/>
    <s v="NA"/>
    <s v="NA"/>
    <s v="NA"/>
    <s v="NA"/>
    <n v="0"/>
    <s v="NA"/>
    <n v="0"/>
    <s v="NA"/>
    <s v="alphabetical with +"/>
    <n v="0"/>
    <n v="0"/>
    <n v="0"/>
    <m/>
    <m/>
    <m/>
    <m/>
    <m/>
    <m/>
    <m/>
    <m/>
    <m/>
    <m/>
    <n v="0.76202000564235584"/>
    <n v="1.0010147737770376"/>
    <n v="-3.305103970764036E-5"/>
    <n v="8.2644628099173556E-3"/>
    <n v="2.3535353535353516"/>
    <n v="123"/>
    <s v="NA"/>
  </r>
  <r>
    <x v="0"/>
    <m/>
    <n v="1142"/>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7"/>
    <x v="4"/>
    <x v="5"/>
    <x v="1"/>
    <s v="revealed preference"/>
    <s v="pre-recorded (no experiment)"/>
    <s v="homeowners"/>
    <n v="0"/>
    <s v="no such option"/>
    <n v="0"/>
    <s v="probably no"/>
    <s v="probably no"/>
    <s v="NA"/>
    <n v="0"/>
    <n v="0"/>
    <n v="0"/>
    <n v="0"/>
    <n v="0"/>
    <n v="0"/>
    <n v="0"/>
    <n v="1"/>
    <s v="effect of energy efficiency in itself rather than label"/>
    <n v="0"/>
    <n v="0"/>
    <n v="1"/>
    <n v="0"/>
    <n v="0"/>
    <n v="0"/>
    <n v="0"/>
    <n v="0"/>
    <n v="0"/>
    <s v="for owners of ES dishwasher"/>
    <x v="1"/>
    <s v="annual electricity consumption, excluding space heating and cooling,_x000a_water heating and refrigeration."/>
    <s v="NA"/>
    <n v="405.995"/>
    <s v="decrease"/>
    <n v="222.90799999999999"/>
    <n v="0.05"/>
    <n v="1"/>
    <n v="1.8213567929369965"/>
    <s v="NA"/>
    <m/>
    <s v="NA"/>
    <s v="NA"/>
    <s v="NA"/>
    <s v="NA"/>
    <s v="NA"/>
    <s v="NA"/>
    <n v="1761"/>
    <n v="1761"/>
    <s v="NA"/>
    <s v="NA"/>
    <s v="NA"/>
    <s v="NA"/>
    <s v="NA"/>
    <s v="NA"/>
    <s v="NA"/>
    <s v="NA"/>
    <s v="NA"/>
    <s v="NA"/>
    <n v="1"/>
    <n v="0"/>
    <n v="1"/>
    <m/>
    <m/>
    <m/>
    <m/>
    <m/>
    <m/>
    <m/>
    <m/>
    <m/>
    <m/>
    <n v="4.336173775143707E-2"/>
    <n v="4.3388945280999909E-2"/>
    <n v="5.6817980444038869E-4"/>
    <n v="5.6882821387940839E-4"/>
    <m/>
    <m/>
    <m/>
  </r>
  <r>
    <x v="0"/>
    <m/>
    <n v="1143"/>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7"/>
    <x v="10"/>
    <x v="5"/>
    <x v="1"/>
    <s v="revealed preference"/>
    <s v="pre-recorded (no experiment)"/>
    <s v="homeowners"/>
    <n v="0"/>
    <s v="no such option"/>
    <n v="0"/>
    <s v="probably no"/>
    <s v="probably no"/>
    <s v="NA"/>
    <n v="0"/>
    <n v="0"/>
    <n v="0"/>
    <n v="0"/>
    <n v="0"/>
    <n v="0"/>
    <n v="0"/>
    <n v="1"/>
    <s v="effect of energy efficiency in itself rather than label"/>
    <n v="0"/>
    <n v="0"/>
    <n v="1"/>
    <n v="0"/>
    <n v="0"/>
    <n v="0"/>
    <n v="0"/>
    <n v="0"/>
    <n v="0"/>
    <s v="for owners of ES dishwasher"/>
    <x v="1"/>
    <s v="annual electricity consumption, excluding space heating and cooling,_x000a_water heating and refrigeration."/>
    <s v="NA"/>
    <n v="3586.4569999999999"/>
    <s v="decrease"/>
    <n v="2082.6759999999999"/>
    <n v="0.05"/>
    <n v="1"/>
    <n v="1.7220426989123607"/>
    <s v="NA"/>
    <m/>
    <s v="NA"/>
    <s v="NA"/>
    <s v="NA"/>
    <s v="NA"/>
    <s v="NA"/>
    <s v="NA"/>
    <n v="1761"/>
    <n v="1761"/>
    <s v="NA"/>
    <s v="NA"/>
    <s v="NA"/>
    <s v="NA"/>
    <s v="NA"/>
    <s v="NA"/>
    <s v="NA"/>
    <s v="NA"/>
    <s v="NA"/>
    <s v="NA"/>
    <n v="1"/>
    <n v="0"/>
    <n v="1"/>
    <m/>
    <m/>
    <m/>
    <m/>
    <m/>
    <m/>
    <m/>
    <m/>
    <m/>
    <m/>
    <n v="4.1001418393220745E-2"/>
    <n v="4.1024417647402674E-2"/>
    <n v="5.6818020880763031E-4"/>
    <n v="5.6882821387940839E-4"/>
    <m/>
    <m/>
    <m/>
  </r>
  <r>
    <x v="0"/>
    <m/>
    <n v="1144"/>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8"/>
    <x v="4"/>
    <x v="5"/>
    <x v="1"/>
    <s v="revealed preference"/>
    <s v="pre-recorded (no experiment)"/>
    <s v="homeowners"/>
    <n v="0"/>
    <s v="no such option"/>
    <n v="0"/>
    <s v="probably no"/>
    <s v="probably no"/>
    <s v="NA"/>
    <n v="0"/>
    <n v="0"/>
    <n v="0"/>
    <n v="0"/>
    <n v="0"/>
    <n v="0"/>
    <n v="0"/>
    <n v="1"/>
    <s v="effect of energy efficiency in itself rather than label"/>
    <n v="0"/>
    <n v="0"/>
    <n v="0"/>
    <n v="0"/>
    <n v="0"/>
    <n v="0"/>
    <n v="0"/>
    <n v="1"/>
    <n v="0"/>
    <s v="for owners of ES AC"/>
    <x v="1"/>
    <s v="annual electricity consumption, excluding space heating and cooling,_x000a_water heating and refrigeration."/>
    <s v="NA"/>
    <n v="212.39500000000001"/>
    <s v="increase"/>
    <n v="92.537000000000006"/>
    <n v="0.05"/>
    <n v="1"/>
    <n v="2.2952440645363477"/>
    <s v="NA"/>
    <m/>
    <s v="NA"/>
    <s v="NA"/>
    <s v="NA"/>
    <s v="NA"/>
    <s v="NA"/>
    <s v="NA"/>
    <n v="907"/>
    <n v="907"/>
    <s v="NA"/>
    <s v="NA"/>
    <s v="NA"/>
    <s v="NA"/>
    <s v="NA"/>
    <s v="NA"/>
    <s v="NA"/>
    <s v="NA"/>
    <s v="NA"/>
    <s v="NA"/>
    <n v="1"/>
    <n v="0"/>
    <n v="1"/>
    <m/>
    <m/>
    <m/>
    <m/>
    <m/>
    <m/>
    <m/>
    <m/>
    <m/>
    <m/>
    <n v="7.5991955053229768E-2"/>
    <n v="7.6138742860659789E-2"/>
    <n v="1.1037156661555521E-3"/>
    <n v="1.1061946902654867E-3"/>
    <m/>
    <m/>
    <m/>
  </r>
  <r>
    <x v="0"/>
    <m/>
    <n v="1145"/>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8"/>
    <x v="10"/>
    <x v="5"/>
    <x v="1"/>
    <s v="revealed preference"/>
    <s v="pre-recorded (no experiment)"/>
    <s v="homeowners"/>
    <n v="0"/>
    <s v="no such option"/>
    <n v="0"/>
    <s v="probably no"/>
    <s v="probably no"/>
    <s v="NA"/>
    <n v="0"/>
    <n v="0"/>
    <n v="0"/>
    <n v="0"/>
    <n v="0"/>
    <n v="0"/>
    <n v="0"/>
    <n v="1"/>
    <s v="effect of energy efficiency in itself rather than label"/>
    <n v="0"/>
    <n v="0"/>
    <n v="0"/>
    <n v="0"/>
    <n v="0"/>
    <n v="0"/>
    <n v="0"/>
    <n v="1"/>
    <n v="0"/>
    <s v="for owners of ES AC "/>
    <x v="1"/>
    <s v="annual electricity consumption, excluding space heating and cooling,_x000a_water heating and refrigeration."/>
    <s v="NA"/>
    <n v="301.86700000000002"/>
    <s v="increase"/>
    <n v="652.24300000000005"/>
    <n v="0.05"/>
    <n v="2"/>
    <n v="0.4628137059347513"/>
    <s v="NA"/>
    <m/>
    <s v="NA"/>
    <s v="NA"/>
    <s v="NA"/>
    <s v="NA"/>
    <s v="NA"/>
    <s v="NA"/>
    <n v="907"/>
    <n v="907"/>
    <s v="NA"/>
    <s v="NA"/>
    <s v="NA"/>
    <s v="NA"/>
    <s v="NA"/>
    <s v="NA"/>
    <s v="NA"/>
    <s v="NA"/>
    <s v="NA"/>
    <s v="NA"/>
    <n v="1"/>
    <n v="0"/>
    <n v="1"/>
    <m/>
    <m/>
    <m/>
    <m/>
    <m/>
    <m/>
    <m/>
    <m/>
    <m/>
    <m/>
    <n v="1.5365662610743538E-2"/>
    <n v="1.5366872078105973E-2"/>
    <n v="1.1037526978339323E-3"/>
    <n v="1.1061946902654867E-3"/>
    <m/>
    <m/>
    <m/>
  </r>
  <r>
    <x v="0"/>
    <n v="28"/>
    <n v="1116"/>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revealed preference"/>
    <s v="household"/>
    <s v="individuals"/>
    <n v="0"/>
    <s v="no such option"/>
    <n v="0"/>
    <s v="probably no"/>
    <s v="probably no"/>
    <s v="NA"/>
    <n v="0"/>
    <n v="0"/>
    <n v="0"/>
    <n v="1"/>
    <n v="0"/>
    <n v="0"/>
    <n v="0"/>
    <n v="0"/>
    <s v="NA"/>
    <n v="0"/>
    <n v="0"/>
    <n v="0"/>
    <n v="1"/>
    <n v="0"/>
    <n v="0"/>
    <n v="0"/>
    <n v="0"/>
    <n v="0"/>
    <s v="NA"/>
    <x v="0"/>
    <s v="choice of a high-efficiency appliance"/>
    <s v="dummy (0/1)"/>
    <n v="0.46400000000000002"/>
    <s v="decrease"/>
    <n v="0.27294117647058824"/>
    <s v="NA"/>
    <n v="3"/>
    <n v="1.7"/>
    <n v="0.59042297044003922"/>
    <n v="0.61396265729139654"/>
    <s v="NA"/>
    <s v="NA"/>
    <s v="NA"/>
    <s v="NA"/>
    <s v="NA"/>
    <s v="NA"/>
    <n v="163"/>
    <n v="163"/>
    <s v="NA"/>
    <s v="NA"/>
    <s v="NA"/>
    <s v="NA"/>
    <s v="current "/>
    <n v="0"/>
    <s v="NA"/>
    <n v="0"/>
    <s v="NA"/>
    <s v="NA"/>
    <n v="0"/>
    <n v="0"/>
    <n v="1"/>
    <m/>
    <m/>
    <m/>
    <m/>
    <m/>
    <m/>
    <m/>
    <m/>
    <m/>
    <m/>
    <n v="0.13198932802100058"/>
    <n v="0.13276391084197656"/>
    <n v="6.1709216981397832E-3"/>
    <n v="6.2500000000000003E-3"/>
    <s v="NA"/>
    <n v="161"/>
    <s v="NA"/>
  </r>
  <r>
    <x v="0"/>
    <n v="28"/>
    <n v="1117"/>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revealed preference"/>
    <s v="household"/>
    <s v="individuals"/>
    <n v="0"/>
    <s v="no such option"/>
    <n v="0"/>
    <s v="probably no"/>
    <s v="probably no"/>
    <s v="NA"/>
    <n v="0"/>
    <n v="0"/>
    <n v="0"/>
    <n v="1"/>
    <n v="0"/>
    <n v="0"/>
    <n v="0"/>
    <n v="0"/>
    <s v="NA"/>
    <n v="0"/>
    <n v="0"/>
    <n v="0"/>
    <n v="0"/>
    <n v="0"/>
    <n v="0"/>
    <n v="0"/>
    <n v="1"/>
    <n v="0"/>
    <s v="NA"/>
    <x v="0"/>
    <s v="choice of a high-efficiency appliance"/>
    <s v="dummy (0/1)"/>
    <n v="0.72899999999999998"/>
    <s v="decrease"/>
    <n v="0.38368421052631579"/>
    <s v="NA"/>
    <n v="3"/>
    <n v="1.9"/>
    <n v="1.0730065642609921"/>
    <n v="0.67458579111740891"/>
    <s v="NA"/>
    <s v="NA"/>
    <s v="NA"/>
    <s v="NA"/>
    <s v="NA"/>
    <s v="NA"/>
    <n v="68"/>
    <n v="68"/>
    <s v="NA"/>
    <s v="NA"/>
    <s v="NA"/>
    <s v="NA"/>
    <s v="current "/>
    <n v="0"/>
    <s v="NA"/>
    <n v="0"/>
    <s v="NA"/>
    <s v="NA"/>
    <n v="0"/>
    <n v="0"/>
    <n v="1"/>
    <m/>
    <m/>
    <m/>
    <m/>
    <m/>
    <m/>
    <m/>
    <m/>
    <m/>
    <m/>
    <n v="0.22452606449532778"/>
    <n v="0.22841739493205201"/>
    <n v="1.4884743595396476E-2"/>
    <n v="1.5384615384615385E-2"/>
    <s v="NA"/>
    <n v="66"/>
    <s v="NA"/>
  </r>
  <r>
    <x v="0"/>
    <n v="28"/>
    <n v="1115"/>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stated preference"/>
    <s v="household"/>
    <s v="individuals"/>
    <n v="1"/>
    <s v="no such option"/>
    <n v="0"/>
    <s v="probably no"/>
    <s v="probably no"/>
    <s v="NA"/>
    <n v="0"/>
    <n v="0"/>
    <n v="0"/>
    <n v="1"/>
    <n v="0"/>
    <n v="0"/>
    <n v="0"/>
    <n v="0"/>
    <s v="NA"/>
    <n v="0"/>
    <n v="0"/>
    <n v="0"/>
    <n v="0"/>
    <n v="0"/>
    <n v="0"/>
    <n v="0"/>
    <n v="1"/>
    <n v="0"/>
    <s v="NA"/>
    <x v="0"/>
    <s v="choice of a high-efficiency appliance"/>
    <s v="dummy (0/1)"/>
    <n v="1.05"/>
    <s v="increase"/>
    <n v="0.16666666666666669"/>
    <s v="NA"/>
    <n v="3"/>
    <n v="6.3"/>
    <n v="1.8576511180631639"/>
    <n v="0.740774899182154"/>
    <s v="NA"/>
    <s v="NA"/>
    <s v="NA"/>
    <s v="NA"/>
    <s v="NA"/>
    <s v="NA"/>
    <n v="188"/>
    <n v="188"/>
    <s v="NA"/>
    <s v="NA"/>
    <s v="NA"/>
    <s v="NA"/>
    <s v="current "/>
    <n v="0"/>
    <s v="NA"/>
    <n v="0"/>
    <s v="NA"/>
    <s v="NA"/>
    <n v="0"/>
    <n v="0"/>
    <n v="1"/>
    <m/>
    <m/>
    <m/>
    <m/>
    <m/>
    <m/>
    <m/>
    <m/>
    <m/>
    <m/>
    <n v="0.41751162367646544"/>
    <n v="0.44467450263070185"/>
    <n v="5.1385064509683826E-3"/>
    <n v="5.4054054054054057E-3"/>
    <s v="NA"/>
    <n v="186"/>
    <s v="NA"/>
  </r>
  <r>
    <x v="0"/>
    <n v="28"/>
    <n v="1114"/>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stated preference"/>
    <s v="household"/>
    <s v="individuals"/>
    <n v="1"/>
    <s v="no such option"/>
    <n v="0"/>
    <s v="probably no"/>
    <s v="probably no"/>
    <s v="NA"/>
    <n v="0"/>
    <n v="0"/>
    <n v="0"/>
    <n v="1"/>
    <n v="0"/>
    <n v="0"/>
    <n v="0"/>
    <n v="0"/>
    <s v="NA"/>
    <n v="0"/>
    <n v="0"/>
    <n v="0"/>
    <n v="1"/>
    <n v="0"/>
    <n v="0"/>
    <n v="0"/>
    <n v="0"/>
    <n v="0"/>
    <s v="NA"/>
    <x v="0"/>
    <s v="choice of a high-efficiency appliance"/>
    <s v="dummy (0/1)"/>
    <n v="1.68"/>
    <s v="increase"/>
    <n v="6.4864864864864868E-2"/>
    <s v="NA"/>
    <n v="3"/>
    <n v="25.9"/>
    <n v="4.3655559711219745"/>
    <n v="0.84290453111454722"/>
    <s v="NA"/>
    <s v="NA"/>
    <s v="NA"/>
    <s v="NA"/>
    <s v="NA"/>
    <s v="NA"/>
    <n v="400"/>
    <n v="400"/>
    <s v="NA"/>
    <s v="NA"/>
    <s v="NA"/>
    <s v="NA"/>
    <s v="current "/>
    <n v="0"/>
    <s v="NA"/>
    <n v="0"/>
    <s v="NA"/>
    <s v="NA"/>
    <n v="0"/>
    <n v="0"/>
    <n v="1"/>
    <m/>
    <m/>
    <m/>
    <m/>
    <m/>
    <m/>
    <m/>
    <m/>
    <m/>
    <m/>
    <n v="0.79148657877430995"/>
    <n v="1.0753988177746068"/>
    <n v="-8.4574447130334037E-4"/>
    <n v="2.5188916876574307E-3"/>
    <s v="NA"/>
    <n v="398"/>
    <s v="NA"/>
  </r>
  <r>
    <x v="4"/>
    <m/>
    <n v="1205"/>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0.27960000000000002"/>
    <s v="decrease"/>
    <n v="6.9599999999999995E-2"/>
    <n v="1E-3"/>
    <n v="1"/>
    <n v="4.0172413793103452"/>
    <s v="NA"/>
    <m/>
    <s v="NA"/>
    <s v="NA"/>
    <s v="NA"/>
    <s v="NA"/>
    <s v="NA"/>
    <s v="NA"/>
    <n v="1301"/>
    <n v="1301"/>
    <s v="NA"/>
    <s v="NA"/>
    <s v="NA"/>
    <s v="NA"/>
    <s v="NA"/>
    <n v="0"/>
    <s v="NA"/>
    <n v="0"/>
    <s v="NA"/>
    <s v="numerical"/>
    <n v="0"/>
    <n v="0"/>
    <n v="0"/>
    <m/>
    <m/>
    <m/>
    <m/>
    <m/>
    <m/>
    <m/>
    <m/>
    <m/>
    <m/>
    <n v="0.11069098448260768"/>
    <n v="0.11114641752432197"/>
    <n v="7.6911337722476367E-4"/>
    <n v="7.7041602465331282E-4"/>
    <m/>
    <m/>
    <m/>
  </r>
  <r>
    <x v="4"/>
    <m/>
    <n v="1206"/>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4.5100000000000001E-2"/>
    <s v="decrease"/>
    <n v="0.1074"/>
    <n v="0.1"/>
    <n v="2"/>
    <n v="0.41992551210428308"/>
    <s v="NA"/>
    <m/>
    <s v="NA"/>
    <s v="NA"/>
    <s v="NA"/>
    <s v="NA"/>
    <s v="NA"/>
    <s v="NA"/>
    <n v="1002"/>
    <n v="1002"/>
    <s v="NA"/>
    <s v="NA"/>
    <s v="NA"/>
    <s v="NA"/>
    <s v="NA"/>
    <n v="0"/>
    <s v="NA"/>
    <n v="0"/>
    <s v="NA"/>
    <s v="numerical"/>
    <n v="0"/>
    <n v="0"/>
    <n v="0"/>
    <m/>
    <m/>
    <m/>
    <m/>
    <m/>
    <m/>
    <m/>
    <m/>
    <m/>
    <m/>
    <n v="1.3264784180382344E-2"/>
    <n v="1.326556226201467E-2"/>
    <n v="9.9900096806468473E-4"/>
    <n v="1.001001001001001E-3"/>
    <m/>
    <m/>
    <m/>
  </r>
  <r>
    <x v="4"/>
    <m/>
    <n v="1207"/>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0.33500000000000002"/>
    <s v="increase"/>
    <n v="0.14960000000000001"/>
    <n v="0.05"/>
    <n v="1"/>
    <n v="2.2393048128342246"/>
    <s v="NA"/>
    <m/>
    <s v="NA"/>
    <s v="NA"/>
    <s v="NA"/>
    <s v="NA"/>
    <s v="NA"/>
    <s v="NA"/>
    <n v="326"/>
    <n v="326"/>
    <s v="NA"/>
    <s v="NA"/>
    <s v="NA"/>
    <s v="NA"/>
    <s v="NA"/>
    <n v="0"/>
    <s v="NA"/>
    <n v="0"/>
    <s v="NA"/>
    <s v="numerical"/>
    <n v="0"/>
    <n v="0"/>
    <n v="0"/>
    <m/>
    <m/>
    <m/>
    <m/>
    <m/>
    <m/>
    <m/>
    <m/>
    <m/>
    <m/>
    <n v="0.12308063083097449"/>
    <n v="0.12370785144137753"/>
    <n v="3.0762024579447773E-3"/>
    <n v="3.0959752321981426E-3"/>
    <m/>
    <m/>
    <m/>
  </r>
  <r>
    <x v="4"/>
    <m/>
    <n v="1208"/>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0.4017"/>
    <s v="decrease"/>
    <n v="0.35070000000000001"/>
    <n v="0.1"/>
    <n v="2"/>
    <n v="1.1454234388366125"/>
    <s v="NA"/>
    <m/>
    <s v="NA"/>
    <s v="NA"/>
    <s v="NA"/>
    <s v="NA"/>
    <s v="NA"/>
    <s v="NA"/>
    <n v="208"/>
    <n v="208"/>
    <s v="NA"/>
    <s v="NA"/>
    <s v="NA"/>
    <s v="NA"/>
    <s v="NA"/>
    <n v="0"/>
    <s v="NA"/>
    <n v="0"/>
    <s v="NA"/>
    <s v="numerical"/>
    <n v="0"/>
    <n v="0"/>
    <n v="0"/>
    <m/>
    <m/>
    <m/>
    <m/>
    <m/>
    <m/>
    <m/>
    <m/>
    <m/>
    <m/>
    <n v="7.9171524466324972E-2"/>
    <n v="7.9337568530044145E-2"/>
    <n v="4.8307264729563464E-3"/>
    <n v="4.8780487804878049E-3"/>
    <m/>
    <m/>
    <m/>
  </r>
  <r>
    <x v="0"/>
    <m/>
    <n v="1099"/>
    <n v="118"/>
    <s v="Ward, Clark, Jensen, Yen, Russell"/>
    <n v="2011"/>
    <s v="Factors influencing willingness-to-pay for the ENERGY STAR (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 motivated by both private (energy cost savings) and public (environmental) benefits. "/>
    <n v="2"/>
    <n v="2009"/>
    <x v="0"/>
    <n v="1454"/>
    <x v="5"/>
    <x v="0"/>
    <x v="1"/>
    <s v="stated preference"/>
    <s v="online"/>
    <s v="individuals"/>
    <n v="1"/>
    <s v="no such option"/>
    <n v="0"/>
    <s v="probably no"/>
    <s v="probably no"/>
    <s v="NA"/>
    <n v="0"/>
    <n v="0"/>
    <n v="1"/>
    <n v="0"/>
    <n v="0"/>
    <n v="0"/>
    <n v="0"/>
    <n v="0"/>
    <s v="NA"/>
    <n v="0"/>
    <n v="0"/>
    <n v="0"/>
    <n v="1"/>
    <n v="0"/>
    <n v="0"/>
    <n v="0"/>
    <n v="0"/>
    <n v="0"/>
    <s v="NA"/>
    <x v="2"/>
    <s v="WTP for Energy Star labelled refrigerator"/>
    <s v="NA"/>
    <n v="1.0760000000000001"/>
    <s v="increase"/>
    <n v="5.3746253746253754E-2"/>
    <s v="NA"/>
    <n v="3"/>
    <n v="20.02"/>
    <s v="NA"/>
    <m/>
    <s v="NA"/>
    <s v="NA"/>
    <s v="NA"/>
    <s v="NA"/>
    <s v="NA"/>
    <s v="NA"/>
    <n v="1395"/>
    <n v="1395"/>
    <s v="NA"/>
    <s v="NA"/>
    <s v="NA"/>
    <s v="NA"/>
    <s v="NA"/>
    <s v="NA"/>
    <s v="NA"/>
    <s v="NA"/>
    <s v="NA"/>
    <s v="NA"/>
    <n v="0"/>
    <n v="1"/>
    <n v="1"/>
    <m/>
    <m/>
    <m/>
    <m/>
    <m/>
    <m/>
    <m/>
    <m/>
    <m/>
    <m/>
    <n v="0.47242735990047685"/>
    <n v="0.51319051047617226"/>
    <n v="6.6760340037102519E-4"/>
    <n v="7.1839080459770114E-4"/>
    <m/>
    <m/>
    <m/>
  </r>
  <r>
    <x v="0"/>
    <m/>
    <n v="1100"/>
    <n v="118"/>
    <s v="Ward, Clark, Jensen, Yen, Russell"/>
    <n v="2011"/>
    <s v="Factors influencing willingness-to-pay for the ENERGY STAR (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 motivated by both private (energy cost savings) and public (environmental) benefits. "/>
    <n v="2"/>
    <n v="2009"/>
    <x v="0"/>
    <n v="1454"/>
    <x v="5"/>
    <x v="0"/>
    <x v="1"/>
    <s v="stated preference"/>
    <s v="online"/>
    <s v="individuals"/>
    <n v="1"/>
    <s v="no such option"/>
    <n v="0"/>
    <s v="probably no"/>
    <s v="probably no"/>
    <s v="NA"/>
    <n v="0"/>
    <n v="0"/>
    <n v="1"/>
    <n v="0"/>
    <n v="0"/>
    <n v="0"/>
    <n v="0"/>
    <n v="0"/>
    <s v="NA"/>
    <n v="0"/>
    <n v="0"/>
    <n v="0"/>
    <n v="1"/>
    <n v="0"/>
    <n v="0"/>
    <n v="0"/>
    <n v="0"/>
    <n v="0"/>
    <s v="NA"/>
    <x v="2"/>
    <s v="WTP for Energy Star labelled refrigerator"/>
    <s v="NA"/>
    <n v="2.1459999999999999"/>
    <s v="increase"/>
    <n v="0.18628472222222223"/>
    <s v="NA"/>
    <n v="3"/>
    <n v="11.52"/>
    <s v="NA"/>
    <m/>
    <s v="NA"/>
    <s v="NA"/>
    <s v="NA"/>
    <s v="NA"/>
    <s v="NA"/>
    <s v="NA"/>
    <n v="1395"/>
    <n v="1395"/>
    <s v="NA"/>
    <s v="NA"/>
    <s v="NA"/>
    <s v="NA"/>
    <s v="NA"/>
    <s v="NA"/>
    <s v="NA"/>
    <s v="NA"/>
    <s v="NA"/>
    <s v="NA"/>
    <n v="0"/>
    <n v="1"/>
    <n v="1"/>
    <m/>
    <m/>
    <m/>
    <m/>
    <m/>
    <m/>
    <m/>
    <m/>
    <m/>
    <m/>
    <n v="0.29473516954008327"/>
    <n v="0.3037440363085756"/>
    <n v="7.1125395357683058E-4"/>
    <n v="7.1839080459770114E-4"/>
    <m/>
    <m/>
    <m/>
  </r>
  <r>
    <x v="3"/>
    <m/>
    <n v="1235"/>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7"/>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258.70999999999998"/>
    <s v="increase"/>
    <e v="#VALUE!"/>
    <n v="0.01"/>
    <n v="1"/>
    <s v="NA"/>
    <s v="NA"/>
    <m/>
    <s v="NA"/>
    <s v="NA"/>
    <s v="NA"/>
    <s v="NA"/>
    <s v="NA"/>
    <s v="NA"/>
    <n v="1395"/>
    <n v="19860"/>
    <s v="NA"/>
    <s v="NA"/>
    <s v="NA"/>
    <s v="NA"/>
    <s v="NA"/>
    <s v="NA"/>
    <s v="NA"/>
    <n v="1"/>
    <s v="NA"/>
    <s v="NA"/>
    <n v="0"/>
    <n v="0"/>
    <n v="0"/>
    <m/>
    <m/>
    <m/>
    <m/>
    <m/>
    <m/>
    <m/>
    <m/>
    <m/>
    <m/>
    <e v="#VALUE!"/>
    <e v="#VALUE!"/>
    <e v="#VALUE!"/>
    <n v="7.1839080459770114E-4"/>
    <e v="#VALUE!"/>
    <m/>
    <m/>
  </r>
  <r>
    <x v="3"/>
    <m/>
    <n v="1236"/>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7"/>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249.82"/>
    <s v="increase"/>
    <e v="#VALUE!"/>
    <n v="0.01"/>
    <n v="1"/>
    <s v="NA"/>
    <s v="NA"/>
    <m/>
    <s v="NA"/>
    <s v="NA"/>
    <s v="NA"/>
    <s v="NA"/>
    <s v="NA"/>
    <s v="NA"/>
    <n v="1395"/>
    <n v="19860"/>
    <s v="NA"/>
    <s v="NA"/>
    <s v="NA"/>
    <s v="NA"/>
    <s v="NA"/>
    <s v="NA"/>
    <s v="NA"/>
    <n v="1"/>
    <s v="NA"/>
    <s v="NA"/>
    <n v="1"/>
    <n v="1"/>
    <n v="1"/>
    <m/>
    <m/>
    <m/>
    <m/>
    <m/>
    <m/>
    <m/>
    <m/>
    <m/>
    <m/>
    <e v="#VALUE!"/>
    <e v="#VALUE!"/>
    <e v="#VALUE!"/>
    <n v="7.1839080459770114E-4"/>
    <e v="#VALUE!"/>
    <m/>
    <m/>
  </r>
  <r>
    <x v="3"/>
    <m/>
    <n v="1237"/>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6"/>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275.45"/>
    <s v="increase"/>
    <e v="#VALUE!"/>
    <n v="0.01"/>
    <n v="1"/>
    <s v="NA"/>
    <s v="NA"/>
    <m/>
    <s v="NA"/>
    <s v="NA"/>
    <s v="NA"/>
    <s v="NA"/>
    <s v="NA"/>
    <s v="NA"/>
    <n v="1395"/>
    <n v="19860"/>
    <s v="NA"/>
    <s v="NA"/>
    <s v="NA"/>
    <s v="NA"/>
    <s v="NA"/>
    <s v="NA"/>
    <s v="NA"/>
    <n v="1"/>
    <s v="NA"/>
    <s v="NA"/>
    <n v="0"/>
    <n v="0"/>
    <n v="0"/>
    <m/>
    <m/>
    <m/>
    <m/>
    <m/>
    <m/>
    <m/>
    <m/>
    <m/>
    <m/>
    <e v="#VALUE!"/>
    <e v="#VALUE!"/>
    <e v="#VALUE!"/>
    <n v="7.1839080459770114E-4"/>
    <e v="#VALUE!"/>
    <m/>
    <m/>
  </r>
  <r>
    <x v="3"/>
    <m/>
    <n v="1238"/>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6"/>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349.3"/>
    <s v="increase"/>
    <e v="#VALUE!"/>
    <n v="0.05"/>
    <n v="1"/>
    <s v="NA"/>
    <s v="NA"/>
    <m/>
    <s v="NA"/>
    <s v="NA"/>
    <s v="NA"/>
    <s v="NA"/>
    <s v="NA"/>
    <s v="NA"/>
    <n v="1395"/>
    <n v="19860"/>
    <s v="NA"/>
    <s v="NA"/>
    <s v="NA"/>
    <s v="NA"/>
    <s v="NA"/>
    <s v="NA"/>
    <s v="NA"/>
    <n v="1"/>
    <s v="NA"/>
    <s v="NA"/>
    <n v="1"/>
    <n v="1"/>
    <n v="1"/>
    <m/>
    <m/>
    <m/>
    <m/>
    <m/>
    <m/>
    <m/>
    <m/>
    <m/>
    <m/>
    <e v="#VALUE!"/>
    <e v="#VALUE!"/>
    <e v="#VALUE!"/>
    <n v="7.1839080459770114E-4"/>
    <e v="#VALUE!"/>
    <m/>
    <m/>
  </r>
  <r>
    <x v="3"/>
    <m/>
    <n v="1239"/>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7"/>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Coefficient from conditional logit model"/>
    <s v="NA"/>
    <n v="1.0760000000000001"/>
    <s v="increase"/>
    <e v="#VALUE!"/>
    <s v="NA"/>
    <s v="NA"/>
    <n v="20.02"/>
    <s v="NA"/>
    <m/>
    <s v="NA"/>
    <s v="NA"/>
    <s v="NA"/>
    <s v="NA"/>
    <s v="NA"/>
    <s v="NA"/>
    <n v="1395"/>
    <n v="19860"/>
    <s v="NA"/>
    <s v="NA"/>
    <s v="NA"/>
    <s v="NA"/>
    <s v="NA"/>
    <s v="NA"/>
    <s v="NA"/>
    <n v="1"/>
    <s v="NA"/>
    <s v="NA"/>
    <n v="0"/>
    <n v="0"/>
    <n v="0"/>
    <m/>
    <m/>
    <m/>
    <m/>
    <m/>
    <m/>
    <m/>
    <m/>
    <m/>
    <m/>
    <n v="0.47242735990047685"/>
    <n v="0.51319051047617226"/>
    <n v="6.6760340037102519E-4"/>
    <n v="7.1839080459770114E-4"/>
    <e v="#VALUE!"/>
    <m/>
    <m/>
  </r>
  <r>
    <x v="3"/>
    <m/>
    <n v="1240"/>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6"/>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Coefficient from conditional random parameter logit model"/>
    <s v="NA"/>
    <n v="2.1459999999999999"/>
    <s v="increase"/>
    <e v="#VALUE!"/>
    <s v="NA"/>
    <s v="NA"/>
    <n v="11.52"/>
    <s v="NA"/>
    <m/>
    <s v="NA"/>
    <s v="NA"/>
    <s v="NA"/>
    <s v="NA"/>
    <s v="NA"/>
    <s v="NA"/>
    <n v="1395"/>
    <n v="19860"/>
    <s v="NA"/>
    <s v="NA"/>
    <s v="NA"/>
    <s v="NA"/>
    <s v="NA"/>
    <s v="NA"/>
    <s v="NA"/>
    <n v="1"/>
    <s v="NA"/>
    <s v="NA"/>
    <n v="0"/>
    <n v="0"/>
    <n v="0"/>
    <m/>
    <m/>
    <m/>
    <m/>
    <m/>
    <m/>
    <m/>
    <m/>
    <m/>
    <m/>
    <n v="0.29473516954008327"/>
    <n v="0.3037440363085756"/>
    <n v="7.1125395357683058E-4"/>
    <n v="7.1839080459770114E-4"/>
    <e v="#VALUE!"/>
    <m/>
    <m/>
  </r>
  <r>
    <x v="0"/>
    <n v="29"/>
    <n v="1057"/>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solar/heat pump"/>
    <s v="log scale"/>
    <n v="0.16"/>
    <s v="increase"/>
    <n v="0.06"/>
    <n v="0.05"/>
    <n v="1"/>
    <n v="2.666666666666667"/>
    <n v="0.16"/>
    <n v="0.53991488455556569"/>
    <s v="NA"/>
    <s v="NA"/>
    <s v="NA"/>
    <s v="NA"/>
    <n v="408"/>
    <s v="NA"/>
    <n v="408"/>
    <n v="408"/>
    <s v="NA"/>
    <s v="NA"/>
    <n v="1000"/>
    <s v="from 0,15 to 0,29"/>
    <s v="NA"/>
    <s v="NA"/>
    <s v="NA"/>
    <s v="NA"/>
    <s v="NA"/>
    <s v="NA"/>
    <n v="1"/>
    <n v="0"/>
    <n v="1"/>
    <m/>
    <m/>
    <m/>
    <m/>
    <m/>
    <m/>
    <m/>
    <m/>
    <m/>
    <m/>
    <n v="0.13088399820073771"/>
    <n v="0.13163914998451526"/>
    <n v="2.456264644741489E-3"/>
    <n v="2.4691358024691358E-3"/>
    <s v="NA"/>
    <n v="406"/>
    <s v="NA"/>
  </r>
  <r>
    <x v="0"/>
    <n v="29"/>
    <n v="1054"/>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solar/heat pump"/>
    <s v="log scale"/>
    <n v="0.19"/>
    <s v="increase"/>
    <n v="0.06"/>
    <n v="0.05"/>
    <n v="1"/>
    <n v="3.166666666666667"/>
    <n v="0.19"/>
    <n v="0.54735761814308925"/>
    <s v="NA"/>
    <s v="NA"/>
    <s v="NA"/>
    <s v="NA"/>
    <n v="408"/>
    <s v="NA"/>
    <n v="408"/>
    <n v="408"/>
    <s v="NA"/>
    <s v="NA"/>
    <n v="1000"/>
    <s v="from 0,15 to 0,29"/>
    <s v="NA"/>
    <s v="NA"/>
    <s v="NA"/>
    <s v="NA"/>
    <s v="NA"/>
    <s v="NA"/>
    <n v="0"/>
    <n v="0"/>
    <n v="0"/>
    <m/>
    <m/>
    <m/>
    <m/>
    <m/>
    <m/>
    <m/>
    <m/>
    <m/>
    <m/>
    <n v="0.15488158338148386"/>
    <n v="0.15613816847007514"/>
    <n v="2.4555421575795317E-3"/>
    <n v="2.4691358024691358E-3"/>
    <s v="NA"/>
    <n v="406"/>
    <s v="NA"/>
  </r>
  <r>
    <x v="0"/>
    <n v="29"/>
    <n v="1056"/>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gas"/>
    <s v="log scale"/>
    <n v="0.25"/>
    <s v="decrease"/>
    <n v="0.13"/>
    <n v="0.1"/>
    <n v="1"/>
    <n v="1.9230769230769229"/>
    <n v="0.25"/>
    <n v="0.56217650088579807"/>
    <s v="NA"/>
    <s v="NA"/>
    <s v="NA"/>
    <s v="NA"/>
    <n v="408"/>
    <s v="NA"/>
    <n v="408"/>
    <n v="408"/>
    <s v="NA"/>
    <s v="NA"/>
    <n v="300"/>
    <s v="from 0,12 to 0,2"/>
    <s v="NA"/>
    <s v="NA"/>
    <s v="NA"/>
    <s v="NA"/>
    <s v="NA"/>
    <s v="NA"/>
    <n v="1"/>
    <n v="0"/>
    <n v="1"/>
    <m/>
    <m/>
    <m/>
    <m/>
    <m/>
    <m/>
    <m/>
    <m/>
    <m/>
    <m/>
    <n v="9.4777916885651653E-2"/>
    <n v="9.5063248374700635E-2"/>
    <n v="2.4568017991350942E-3"/>
    <n v="2.4691358024691358E-3"/>
    <s v="NA"/>
    <n v="406"/>
    <s v="NA"/>
  </r>
  <r>
    <x v="0"/>
    <n v="29"/>
    <n v="1053"/>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gas"/>
    <s v="log scale"/>
    <n v="0.27"/>
    <s v="decrease"/>
    <n v="0.11"/>
    <n v="0.05"/>
    <n v="1"/>
    <n v="2.4545454545454546"/>
    <n v="0.27"/>
    <n v="0.56709290496545439"/>
    <s v="NA"/>
    <s v="NA"/>
    <s v="NA"/>
    <s v="NA"/>
    <n v="408"/>
    <s v="NA"/>
    <n v="408"/>
    <n v="408"/>
    <s v="NA"/>
    <s v="NA"/>
    <n v="300"/>
    <s v="from 0,12 to 0,2"/>
    <s v="NA"/>
    <s v="NA"/>
    <s v="NA"/>
    <s v="NA"/>
    <s v="NA"/>
    <s v="NA"/>
    <n v="0"/>
    <n v="0"/>
    <n v="0"/>
    <m/>
    <m/>
    <m/>
    <m/>
    <m/>
    <m/>
    <m/>
    <m/>
    <m/>
    <m/>
    <n v="0.12063071568651137"/>
    <n v="0.12122100832937013"/>
    <n v="2.4564719181916828E-3"/>
    <n v="2.4691358024691358E-3"/>
    <s v="NA"/>
    <n v="406"/>
    <s v="NA"/>
  </r>
  <r>
    <x v="0"/>
    <n v="29"/>
    <n v="1058"/>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out gas access"/>
    <x v="0"/>
    <s v="probability of switching from electric to solar/heat pump"/>
    <s v="log scale"/>
    <n v="0.41"/>
    <s v="increase"/>
    <n v="0.08"/>
    <n v="0.05"/>
    <n v="1"/>
    <n v="5.125"/>
    <n v="0.41"/>
    <n v="0.60108787884836967"/>
    <s v="NA"/>
    <s v="NA"/>
    <s v="NA"/>
    <s v="NA"/>
    <n v="504"/>
    <s v="NA"/>
    <n v="504"/>
    <n v="504"/>
    <s v="NA"/>
    <s v="NA"/>
    <n v="1000"/>
    <s v="from 0,15 to 0,29"/>
    <s v="NA"/>
    <s v="NA"/>
    <s v="NA"/>
    <s v="NA"/>
    <s v="NA"/>
    <s v="NA"/>
    <n v="1"/>
    <n v="0"/>
    <n v="1"/>
    <m/>
    <m/>
    <m/>
    <m/>
    <m/>
    <m/>
    <m/>
    <m/>
    <m/>
    <m/>
    <n v="0.22256001017320373"/>
    <n v="0.22634792532420528"/>
    <n v="1.9828531619001622E-3"/>
    <n v="1.996007984031936E-3"/>
    <s v="NA"/>
    <n v="502"/>
    <s v="NA"/>
  </r>
  <r>
    <x v="0"/>
    <n v="29"/>
    <n v="1055"/>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out gas access"/>
    <x v="0"/>
    <s v="probability of switching from electric to solar/heat pump"/>
    <s v="log scale"/>
    <n v="0.43"/>
    <s v="increase"/>
    <n v="0.06"/>
    <n v="0.05"/>
    <n v="1"/>
    <n v="7.166666666666667"/>
    <n v="0.43"/>
    <n v="0.6058736684317606"/>
    <s v="NA"/>
    <s v="NA"/>
    <s v="NA"/>
    <s v="NA"/>
    <n v="504"/>
    <s v="NA"/>
    <n v="504"/>
    <n v="504"/>
    <s v="NA"/>
    <s v="NA"/>
    <n v="1000"/>
    <s v="from 0,15 to 0,29"/>
    <s v="NA"/>
    <s v="NA"/>
    <s v="NA"/>
    <s v="NA"/>
    <s v="NA"/>
    <s v="NA"/>
    <n v="0"/>
    <n v="0"/>
    <n v="0"/>
    <m/>
    <m/>
    <m/>
    <m/>
    <m/>
    <m/>
    <m/>
    <m/>
    <m/>
    <m/>
    <n v="0.30410913966714348"/>
    <n v="0.31404129843807849"/>
    <n v="1.96873501693395E-3"/>
    <n v="1.996007984031936E-3"/>
    <s v="NA"/>
    <n v="502"/>
    <s v="NA"/>
  </r>
  <r>
    <x v="0"/>
    <m/>
    <s v="NA"/>
    <s v="NA"/>
    <s v="Webber, Brown, Koomey"/>
    <n v="2000"/>
    <s v="Savings estimates for the ENERGY STAR (R) voluntary labeling program"/>
    <s v="ENERGY STARt is a voluntary labeling program designed to identify and promote energy-e$cient products. Operated jointly by the_x000a_Environmental Protection Agency (EPA) and the US Department of Energy (DOE), ENERGY STAR labels exist for more than 20_x000a_products, spanning o$ce equipment, residential heating and cooling equipment, new homes, commercial and residential lighting,_x000a_home electronics, and major appliances. We present estimates of the energy, dollar and carbon savings already achieved by the_x000a_program and provide savings forecasts for several market penetration scenarios for the period 2001}2010._x000a_The target market penetration forecast represents our best estimate of future ENERGY STAR savings. It is based on realistic market_x000a_penetration goals for each of the products. We also provide a forecast under the assumption of 100% market penetration; that is, we_x000a_assume that all purchasers buy ENERGY STAR-compliant products instead of standard e$ciency products throughout the analysis_x000a_period. Finally, we assess the sensitivity of our target penetration case forecasts to greater or lesser marketing success by EPA and_x000a_DOE, lower-than-expected future energy prices, and higher or lower rates of carbon emissions by electricity generators."/>
    <m/>
    <m/>
    <x v="9"/>
    <m/>
    <x v="6"/>
    <x v="4"/>
    <x v="5"/>
    <m/>
    <m/>
    <m/>
    <m/>
    <m/>
    <m/>
    <m/>
    <m/>
    <m/>
    <m/>
    <m/>
    <m/>
    <m/>
    <m/>
    <m/>
    <m/>
    <m/>
    <m/>
    <m/>
    <m/>
    <m/>
    <m/>
    <m/>
    <m/>
    <m/>
    <m/>
    <m/>
    <m/>
    <x v="3"/>
    <m/>
    <m/>
    <m/>
    <m/>
    <m/>
    <m/>
    <m/>
    <m/>
    <m/>
    <m/>
    <m/>
    <m/>
    <m/>
    <m/>
    <m/>
    <m/>
    <m/>
    <m/>
    <m/>
    <m/>
    <m/>
    <m/>
    <m/>
    <m/>
    <m/>
    <m/>
    <m/>
    <m/>
    <m/>
    <m/>
    <m/>
    <m/>
    <m/>
    <m/>
    <m/>
    <m/>
    <m/>
    <m/>
    <m/>
    <m/>
    <m/>
    <m/>
    <m/>
    <m/>
    <m/>
    <m/>
    <m/>
    <m/>
  </r>
  <r>
    <x v="0"/>
    <n v="30"/>
    <n v="1147"/>
    <n v="132"/>
    <s v="Zha, Yang, Wang, Zhou"/>
    <n v="2020"/>
    <s v="Appliance energy labels and consumer heterogeneity: A latent class approach based on a discrete choice experiment in China"/>
    <s v="Given the growing concerns about environmental protection, a focus on energy label behavior is of particular public interest, as labels can communicate to consumers the sustainability of products. Based on a discrete choice experiment, we measure consumers' awareness and attitudes regarding refrigerators and washing machines. A mixed logit model is specified to quantify the attributes consumers look for when choosing the two electrical ap- pliances. In the latent class model, four classes are observed. The results of the study reveal that the energy label program in China is effective. However, consumers do not always choose the energy efficient appliances, and their failure to do so is often related to an energy efficiency gap. Interestingly, both the largest groups for the re- frigerator (33.17%) and washing machine (36.6%) tend to prefer the two electrical appliances with the lowest price. Both are foreign brands, with low energy label and larger overall capacity. Consumers are also willing to pay more for an improved energy grade label on the refrigerator (731.16 yuan) than on the washing machine (424.76 yuan). Suggestions regarding how to increase the probability of consumers choosing energy efficient ap- pliances are also given in this paper."/>
    <n v="2"/>
    <n v="2017"/>
    <x v="0"/>
    <n v="5"/>
    <x v="14"/>
    <x v="3"/>
    <x v="13"/>
    <s v="stated preference"/>
    <s v="retailer"/>
    <s v="individuals"/>
    <n v="1"/>
    <s v="opt_out"/>
    <n v="1"/>
    <s v="probably no"/>
    <s v="probably no"/>
    <s v="NA"/>
    <n v="0"/>
    <n v="0"/>
    <n v="1"/>
    <n v="0"/>
    <n v="0"/>
    <n v="0"/>
    <n v="0"/>
    <n v="0"/>
    <s v="effect of energy efficiency in itself rather than label (China Energy Label program)"/>
    <n v="0"/>
    <n v="0"/>
    <n v="0"/>
    <n v="1"/>
    <n v="0"/>
    <n v="0"/>
    <n v="0"/>
    <n v="0"/>
    <n v="0"/>
    <s v="NA"/>
    <x v="0"/>
    <s v="probability of a consumer choosing an energy-efficient appliance"/>
    <s v="log scale"/>
    <n v="0.34670000000000001"/>
    <s v="increase"/>
    <n v="4.1000000000000002E-2"/>
    <n v="0.01"/>
    <n v="1"/>
    <n v="8.4560975609756088"/>
    <n v="0.41439234401320402"/>
    <n v="0.58581710943557763"/>
    <s v="NA"/>
    <s v="NA"/>
    <s v="NA"/>
    <s v="NA"/>
    <s v="NA"/>
    <s v="NA"/>
    <n v="325"/>
    <n v="5200"/>
    <s v="NA"/>
    <s v="NA"/>
    <s v="NA"/>
    <s v="NA"/>
    <s v="NA"/>
    <s v="NA"/>
    <s v="NA"/>
    <s v="NA"/>
    <s v="NA"/>
    <s v="NA"/>
    <n v="0"/>
    <n v="1"/>
    <n v="1"/>
    <m/>
    <m/>
    <m/>
    <m/>
    <m/>
    <m/>
    <m/>
    <m/>
    <m/>
    <m/>
    <n v="0.42466388635349994"/>
    <n v="0.45336839008312346"/>
    <n v="2.9560250538296882E-3"/>
    <n v="3.105590062111801E-3"/>
    <s v="NA"/>
    <n v="323"/>
    <s v="NA"/>
  </r>
  <r>
    <x v="0"/>
    <n v="30"/>
    <n v="1148"/>
    <n v="132"/>
    <s v="Zha, Yang, Wang, Zhou"/>
    <n v="2020"/>
    <s v="Appliance energy labels and consumer heterogeneity: A latent class approach based on a discrete choice experiment in China"/>
    <s v="Given the growing concerns about environmental protection, a focus on energy label behavior is of particular public interest, as labels can communicate to consumers the sustainability of products. Based on a discrete choice experiment, we measure consumers' awareness and attitudes regarding refrigerators and washing machines. A mixed logit model is specified to quantify the attributes consumers look for when choosing the two electrical ap- pliances. In the latent class model, four classes are observed. The results of the study reveal that the energy label program in China is effective. However, consumers do not always choose the energy efficient appliances, and their failure to do so is often related to an energy efficiency gap. Interestingly, both the largest groups for the re- frigerator (33.17%) and washing machine (36.6%) tend to prefer the two electrical appliances with the lowest price. Both are foreign brands, with low energy label and larger overall capacity. Consumers are also willing to pay more for an improved energy grade label on the refrigerator (731.16 yuan) than on the washing machine (424.76 yuan). Suggestions regarding how to increase the probability of consumers choosing energy efficient ap- pliances are also given in this paper."/>
    <n v="2"/>
    <n v="2017"/>
    <x v="0"/>
    <n v="5"/>
    <x v="14"/>
    <x v="3"/>
    <x v="13"/>
    <s v="stated preference"/>
    <s v="retailer"/>
    <s v="individuals"/>
    <n v="1"/>
    <s v="opt_out"/>
    <n v="1"/>
    <s v="probably no"/>
    <s v="probably no"/>
    <s v="NA"/>
    <n v="0"/>
    <n v="0"/>
    <n v="1"/>
    <n v="0"/>
    <n v="0"/>
    <n v="0"/>
    <n v="0"/>
    <n v="0"/>
    <s v="effect of energy efficiency in itself rather than label (China Energy Label program)"/>
    <n v="1"/>
    <n v="0"/>
    <n v="0"/>
    <n v="0"/>
    <n v="0"/>
    <n v="0"/>
    <n v="0"/>
    <n v="0"/>
    <n v="0"/>
    <s v="NA"/>
    <x v="0"/>
    <s v="probability of a consumer choosing an energy-efficient appliance"/>
    <s v="log scale"/>
    <n v="0.35460000000000003"/>
    <s v="increase"/>
    <n v="4.02E-2"/>
    <n v="0.01"/>
    <n v="1"/>
    <n v="8.8208955223880601"/>
    <n v="0.42561029609900869"/>
    <n v="0.58773262069003773"/>
    <s v="NA"/>
    <s v="NA"/>
    <s v="NA"/>
    <s v="NA"/>
    <s v="NA"/>
    <s v="NA"/>
    <n v="325"/>
    <n v="5200"/>
    <s v="NA"/>
    <s v="NA"/>
    <s v="NA"/>
    <s v="NA"/>
    <s v="NA"/>
    <s v="NA"/>
    <s v="NA"/>
    <s v="NA"/>
    <s v="NA"/>
    <s v="NA"/>
    <n v="0"/>
    <n v="1"/>
    <n v="1"/>
    <m/>
    <m/>
    <m/>
    <m/>
    <m/>
    <m/>
    <m/>
    <m/>
    <m/>
    <m/>
    <n v="0.43950470421982007"/>
    <n v="0.47161676421139942"/>
    <n v="2.9337292848981796E-3"/>
    <n v="3.105590062111801E-3"/>
    <s v="NA"/>
    <n v="323"/>
    <s v="NA"/>
  </r>
  <r>
    <x v="0"/>
    <m/>
    <n v="1172"/>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9.5000000000000001E-2"/>
    <s v="decrease"/>
    <s v="NA"/>
    <n v="0.05"/>
    <n v="1"/>
    <s v="NA"/>
    <s v="NA"/>
    <m/>
    <s v="NA"/>
    <s v="NA"/>
    <s v="NA"/>
    <s v="NA"/>
    <s v="NA"/>
    <s v="NA"/>
    <s v="NA"/>
    <m/>
    <s v="NA"/>
    <s v="NA"/>
    <s v="NA"/>
    <s v="NA"/>
    <s v="NA"/>
    <s v="NA"/>
    <s v="NA"/>
    <n v="0"/>
    <s v="NA"/>
    <s v="numerical"/>
    <n v="0"/>
    <n v="0"/>
    <n v="1"/>
    <m/>
    <m/>
    <m/>
    <m/>
    <m/>
    <m/>
    <m/>
    <m/>
    <m/>
    <m/>
    <e v="#VALUE!"/>
    <e v="#VALUE!"/>
    <e v="#VALUE!"/>
    <e v="#VALUE!"/>
    <m/>
    <m/>
    <m/>
  </r>
  <r>
    <x v="0"/>
    <m/>
    <n v="1173"/>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8.3000000000000004E-2"/>
    <s v="decrease"/>
    <s v="NA"/>
    <n v="0.1"/>
    <n v="1"/>
    <s v="NA"/>
    <s v="NA"/>
    <m/>
    <s v="NA"/>
    <s v="NA"/>
    <s v="NA"/>
    <s v="NA"/>
    <s v="NA"/>
    <s v="NA"/>
    <s v="NA"/>
    <m/>
    <s v="NA"/>
    <s v="NA"/>
    <s v="NA"/>
    <s v="NA"/>
    <s v="NA"/>
    <s v="NA"/>
    <s v="NA"/>
    <n v="0"/>
    <s v="NA"/>
    <s v="numerical"/>
    <n v="0"/>
    <n v="0"/>
    <n v="1"/>
    <m/>
    <m/>
    <m/>
    <m/>
    <m/>
    <m/>
    <m/>
    <m/>
    <m/>
    <m/>
    <e v="#VALUE!"/>
    <e v="#VALUE!"/>
    <e v="#VALUE!"/>
    <e v="#VALUE!"/>
    <m/>
    <m/>
    <m/>
  </r>
  <r>
    <x v="0"/>
    <m/>
    <n v="1174"/>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4"/>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0.13300000000000001"/>
    <s v="decrease"/>
    <s v="NA"/>
    <n v="0.1"/>
    <n v="1"/>
    <s v="NA"/>
    <s v="NA"/>
    <m/>
    <s v="NA"/>
    <s v="NA"/>
    <s v="NA"/>
    <s v="NA"/>
    <s v="NA"/>
    <s v="NA"/>
    <s v="NA"/>
    <m/>
    <s v="NA"/>
    <s v="NA"/>
    <s v="NA"/>
    <s v="NA"/>
    <s v="NA"/>
    <s v="NA"/>
    <s v="NA"/>
    <n v="0"/>
    <s v="NA"/>
    <s v="numerical"/>
    <n v="0"/>
    <n v="0"/>
    <n v="1"/>
    <m/>
    <m/>
    <m/>
    <m/>
    <m/>
    <m/>
    <m/>
    <m/>
    <m/>
    <m/>
    <e v="#VALUE!"/>
    <e v="#VALUE!"/>
    <e v="#VALUE!"/>
    <e v="#VALUE!"/>
    <m/>
    <m/>
    <m/>
  </r>
  <r>
    <x v="0"/>
    <m/>
    <n v="1175"/>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4"/>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9.5000000000000001E-2"/>
    <s v="decrease"/>
    <s v="NA"/>
    <n v="0.1"/>
    <n v="2"/>
    <s v="NA"/>
    <s v="NA"/>
    <m/>
    <s v="NA"/>
    <s v="NA"/>
    <s v="NA"/>
    <s v="NA"/>
    <s v="NA"/>
    <s v="NA"/>
    <s v="NA"/>
    <m/>
    <s v="NA"/>
    <s v="NA"/>
    <s v="NA"/>
    <s v="NA"/>
    <s v="NA"/>
    <s v="NA"/>
    <s v="NA"/>
    <n v="0"/>
    <s v="NA"/>
    <s v="numerical"/>
    <n v="0"/>
    <n v="0"/>
    <n v="1"/>
    <m/>
    <m/>
    <m/>
    <m/>
    <m/>
    <m/>
    <m/>
    <m/>
    <m/>
    <m/>
    <e v="#VALUE!"/>
    <e v="#VALUE!"/>
    <e v="#VALUE!"/>
    <e v="#VALUE!"/>
    <m/>
    <m/>
    <m/>
  </r>
  <r>
    <x v="0"/>
    <m/>
    <n v="1176"/>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14000000000000001"/>
    <s v="increase"/>
    <s v="NA"/>
    <n v="0.01"/>
    <n v="1"/>
    <s v="NA"/>
    <s v="NA"/>
    <m/>
    <s v="NA"/>
    <s v="NA"/>
    <s v="NA"/>
    <s v="NA"/>
    <s v="NA"/>
    <s v="NA"/>
    <s v="NA"/>
    <m/>
    <s v="NA"/>
    <s v="NA"/>
    <s v="NA"/>
    <s v="NA"/>
    <s v="NA"/>
    <s v="NA"/>
    <s v="NA"/>
    <n v="1"/>
    <s v="NA"/>
    <s v="numerical"/>
    <n v="0"/>
    <n v="0"/>
    <n v="1"/>
    <m/>
    <m/>
    <m/>
    <m/>
    <m/>
    <m/>
    <m/>
    <m/>
    <m/>
    <m/>
    <e v="#VALUE!"/>
    <e v="#VALUE!"/>
    <e v="#VALUE!"/>
    <e v="#VALUE!"/>
    <m/>
    <m/>
    <m/>
  </r>
  <r>
    <x v="0"/>
    <m/>
    <n v="1177"/>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14299999999999999"/>
    <s v="increase"/>
    <s v="NA"/>
    <n v="0.01"/>
    <n v="1"/>
    <s v="NA"/>
    <s v="NA"/>
    <m/>
    <s v="NA"/>
    <s v="NA"/>
    <s v="NA"/>
    <s v="NA"/>
    <s v="NA"/>
    <s v="NA"/>
    <s v="NA"/>
    <m/>
    <s v="NA"/>
    <s v="NA"/>
    <s v="NA"/>
    <s v="NA"/>
    <s v="NA"/>
    <s v="NA"/>
    <s v="NA"/>
    <n v="1"/>
    <s v="NA"/>
    <s v="numerical"/>
    <n v="0"/>
    <n v="0"/>
    <n v="1"/>
    <m/>
    <m/>
    <m/>
    <m/>
    <m/>
    <m/>
    <m/>
    <m/>
    <m/>
    <m/>
    <e v="#VALUE!"/>
    <e v="#VALUE!"/>
    <e v="#VALUE!"/>
    <e v="#VALUE!"/>
    <m/>
    <m/>
    <m/>
  </r>
  <r>
    <x v="0"/>
    <m/>
    <n v="1178"/>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4"/>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22"/>
    <s v="increase"/>
    <s v="NA"/>
    <n v="0.01"/>
    <n v="1"/>
    <s v="NA"/>
    <s v="NA"/>
    <m/>
    <s v="NA"/>
    <s v="NA"/>
    <s v="NA"/>
    <s v="NA"/>
    <s v="NA"/>
    <s v="NA"/>
    <s v="NA"/>
    <m/>
    <s v="NA"/>
    <s v="NA"/>
    <s v="NA"/>
    <s v="NA"/>
    <s v="NA"/>
    <s v="NA"/>
    <s v="NA"/>
    <n v="1"/>
    <s v="NA"/>
    <s v="numerical"/>
    <n v="0"/>
    <n v="0"/>
    <n v="1"/>
    <m/>
    <m/>
    <m/>
    <m/>
    <m/>
    <m/>
    <m/>
    <m/>
    <m/>
    <m/>
    <e v="#VALUE!"/>
    <e v="#VALUE!"/>
    <e v="#VALUE!"/>
    <e v="#VALUE!"/>
    <m/>
    <m/>
    <m/>
  </r>
  <r>
    <x v="0"/>
    <m/>
    <n v="1179"/>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1"/>
    <x v="0"/>
    <n v="17"/>
    <x v="14"/>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159"/>
    <s v="increase"/>
    <s v="NA"/>
    <n v="0.05"/>
    <n v="1"/>
    <s v="NA"/>
    <s v="NA"/>
    <m/>
    <s v="NA"/>
    <s v="NA"/>
    <s v="NA"/>
    <s v="NA"/>
    <s v="NA"/>
    <s v="NA"/>
    <s v="NA"/>
    <m/>
    <s v="NA"/>
    <s v="NA"/>
    <s v="NA"/>
    <s v="NA"/>
    <s v="NA"/>
    <s v="NA"/>
    <s v="NA"/>
    <n v="1"/>
    <s v="NA"/>
    <s v="numerical"/>
    <n v="0"/>
    <n v="0"/>
    <n v="1"/>
    <m/>
    <m/>
    <m/>
    <m/>
    <m/>
    <m/>
    <m/>
    <m/>
    <m/>
    <m/>
    <e v="#VALUE!"/>
    <e v="#VALUE!"/>
    <e v="#VALUE!"/>
    <e v="#VALUE!"/>
    <m/>
    <m/>
    <m/>
  </r>
  <r>
    <x v="3"/>
    <m/>
    <n v="3049"/>
    <n v="313"/>
    <s v="Yao, Liu, Yan"/>
    <n v="2014"/>
    <s v="A quantile approach to assess the effectiveness of the subsidy policy for energy-efficient home appliances: Evidence from Rizhao, China"/>
    <s v="A one-year subsidy program for energy-efficient home appliances has been implemented in China. We construct a dataset consisting of participant and non-participant households in both urban and rural areas of Rizhao city. By applying a quantile regression and counterfactual analysis, this study disentangles the impact of this subsidy program and inherent household attributes on per capita residential electricity consumption. First, contrary to the mean regression, the elasticity of electricity consumption to household׳s income, age, education and energy-saving awareness, varies markedly across the electricity consumption distribution and shows discrepancy between urban and rural areas. Second, while inherent household attributes are identified as a primary determinant to the changes in residential electricity consumption, the effect induced by the subsidy incentive is more significant at the middle of the electricity consumption distribution than at the tails. Third, there are significant rebound effects that lead to overall increase in household electricity consumption. Our results suggest that the disparity between urban and rural regions and targeted consumer behavior changes should be taken into account to ensure the effectiveness of a future energy-efficient subsidy program."/>
    <n v="1"/>
    <n v="2013"/>
    <x v="14"/>
    <n v="514"/>
    <x v="4"/>
    <x v="5"/>
    <x v="13"/>
    <s v="revealed preference"/>
    <s v="household"/>
    <s v="residents"/>
    <n v="1"/>
    <s v="NA"/>
    <n v="0"/>
    <s v="probably no"/>
    <s v="probably yes"/>
    <s v="Significance stars and t-values do not match"/>
    <n v="0"/>
    <n v="0"/>
    <n v="0"/>
    <n v="1"/>
    <n v="0"/>
    <n v="0"/>
    <n v="0"/>
    <n v="0"/>
    <s v="NA"/>
    <n v="1"/>
    <n v="0"/>
    <n v="0"/>
    <n v="1"/>
    <n v="0"/>
    <n v="0"/>
    <n v="1"/>
    <n v="1"/>
    <n v="1"/>
    <s v="NA"/>
    <x v="1"/>
    <s v="kWh"/>
    <s v="NA"/>
    <n v="0.154"/>
    <s v="decrease"/>
    <s v="NA"/>
    <n v="0.05"/>
    <n v="1"/>
    <s v="NA"/>
    <s v="NA"/>
    <m/>
    <s v="NA"/>
    <s v="NA"/>
    <s v="AN"/>
    <s v="NA"/>
    <s v="NA"/>
    <s v="NA"/>
    <n v="400"/>
    <n v="400"/>
    <s v="NA"/>
    <s v="NA"/>
    <s v="16-64 USD"/>
    <s v="NA"/>
    <s v="NA"/>
    <s v="NA"/>
    <s v="NA"/>
    <s v="NA"/>
    <s v="NA"/>
    <s v="NA"/>
    <n v="0"/>
    <n v="1"/>
    <n v="1"/>
    <m/>
    <m/>
    <m/>
    <m/>
    <m/>
    <m/>
    <m/>
    <m/>
    <m/>
    <m/>
    <e v="#VALUE!"/>
    <e v="#VALUE!"/>
    <e v="#VALUE!"/>
    <n v="2.5188916876574307E-3"/>
    <m/>
    <m/>
    <m/>
  </r>
  <r>
    <x v="3"/>
    <m/>
    <n v="3050"/>
    <n v="313"/>
    <s v="Yao, Liu, Yan"/>
    <n v="2014"/>
    <s v="A quantile approach to assess the effectiveness of the subsidy policy for energy-efficient home appliances: Evidence from Rizhao, China"/>
    <s v="A one-year subsidy program for energy-efficient home appliances has been implemented in China. We construct a dataset consisting of participant and non-participant households in both urban and rural areas of Rizhao city. By applying a quantile regression and counterfactual analysis, this study disentangles the impact of this subsidy program and inherent household attributes on per capita residential electricity consumption. First, contrary to the mean regression, the elasticity of electricity consumption to household׳s income, age, education and energy-saving awareness, varies markedly across the electricity consumption distribution and shows discrepancy between urban and rural areas. Second, while inherent household attributes are identified as a primary determinant to the changes in residential electricity consumption, the effect induced by the subsidy incentive is more significant at the middle of the electricity consumption distribution than at the tails. Third, there are significant rebound effects that lead to overall increase in household electricity consumption. Our results suggest that the disparity between urban and rural regions and targeted consumer behavior changes should be taken into account to ensure the effectiveness of a future energy-efficient subsidy program."/>
    <n v="1"/>
    <n v="2013"/>
    <x v="14"/>
    <n v="514"/>
    <x v="4"/>
    <x v="5"/>
    <x v="13"/>
    <s v="revealed preference"/>
    <s v="household"/>
    <s v="residents"/>
    <n v="1"/>
    <s v="NA"/>
    <n v="0"/>
    <s v="probably no"/>
    <s v="probably yes"/>
    <s v="Significance stars and t-values do not match"/>
    <n v="0"/>
    <n v="0"/>
    <n v="0"/>
    <n v="1"/>
    <n v="0"/>
    <n v="0"/>
    <n v="0"/>
    <n v="0"/>
    <s v="NA"/>
    <n v="1"/>
    <n v="0"/>
    <n v="0"/>
    <n v="1"/>
    <n v="0"/>
    <n v="0"/>
    <n v="1"/>
    <n v="1"/>
    <n v="1"/>
    <s v="NA"/>
    <x v="1"/>
    <s v="kWh"/>
    <s v="NA"/>
    <n v="0.28299999999999997"/>
    <s v="increase"/>
    <s v="NA"/>
    <n v="0.01"/>
    <n v="1"/>
    <s v="NA"/>
    <s v="NA"/>
    <m/>
    <s v="NA"/>
    <s v="NA"/>
    <s v="AN"/>
    <s v="NA"/>
    <s v="NA"/>
    <s v="NA"/>
    <n v="400"/>
    <n v="400"/>
    <s v="NA"/>
    <s v="NA"/>
    <s v="16-64 USD"/>
    <s v="NA"/>
    <s v="NA"/>
    <s v="NA"/>
    <s v="NA"/>
    <s v="NA"/>
    <s v="NA"/>
    <s v="NA"/>
    <n v="0"/>
    <n v="1"/>
    <n v="1"/>
    <m/>
    <m/>
    <m/>
    <m/>
    <m/>
    <m/>
    <m/>
    <m/>
    <m/>
    <m/>
    <e v="#VALUE!"/>
    <e v="#VALUE!"/>
    <e v="#VALUE!"/>
    <n v="2.5188916876574307E-3"/>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95B189-0291-5F4C-AF42-581998D9F62B}"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J18" firstHeaderRow="0" firstDataRow="1" firstDataCol="1" rowPageCount="2" colPageCount="1"/>
  <pivotFields count="92">
    <pivotField showAll="0"/>
    <pivotField showAll="0"/>
    <pivotField dataField="1" showAll="0"/>
    <pivotField dataField="1" showAll="0"/>
    <pivotField showAll="0"/>
    <pivotField dataField="1" showAll="0"/>
    <pivotField showAll="0"/>
    <pivotField showAll="0"/>
    <pivotField showAll="0"/>
    <pivotField showAll="0"/>
    <pivotField axis="axisPage" dataField="1" multipleItemSelectionAllowed="1" showAll="0">
      <items count="17">
        <item h="1" x="8"/>
        <item h="1" x="1"/>
        <item h="1" x="11"/>
        <item x="0"/>
        <item h="1" x="10"/>
        <item h="1" x="4"/>
        <item h="1" x="13"/>
        <item h="1" x="5"/>
        <item h="1" x="6"/>
        <item h="1" x="2"/>
        <item h="1" x="9"/>
        <item h="1" x="14"/>
        <item h="1" x="7"/>
        <item h="1" x="12"/>
        <item h="1" x="3"/>
        <item h="1" x="15"/>
        <item t="default"/>
      </items>
    </pivotField>
    <pivotField showAll="0"/>
    <pivotField axis="axisRow" dataField="1" showAll="0">
      <items count="29">
        <item x="10"/>
        <item x="13"/>
        <item x="22"/>
        <item x="27"/>
        <item x="17"/>
        <item x="3"/>
        <item x="2"/>
        <item x="9"/>
        <item x="0"/>
        <item x="5"/>
        <item x="14"/>
        <item x="18"/>
        <item x="8"/>
        <item x="11"/>
        <item x="15"/>
        <item x="4"/>
        <item x="20"/>
        <item x="21"/>
        <item x="23"/>
        <item x="24"/>
        <item x="12"/>
        <item x="26"/>
        <item x="25"/>
        <item x="19"/>
        <item x="16"/>
        <item x="7"/>
        <item x="1"/>
        <item x="6"/>
        <item t="default"/>
      </items>
    </pivotField>
    <pivotField dataField="1" showAll="0">
      <items count="9">
        <item x="7"/>
        <item x="2"/>
        <item x="5"/>
        <item x="6"/>
        <item x="1"/>
        <item x="0"/>
        <item x="3"/>
        <item x="4"/>
        <item t="default"/>
      </items>
    </pivotField>
    <pivotField dataField="1" showAll="0">
      <items count="37">
        <item x="30"/>
        <item x="12"/>
        <item x="25"/>
        <item x="2"/>
        <item x="13"/>
        <item x="6"/>
        <item x="29"/>
        <item x="27"/>
        <item x="23"/>
        <item x="3"/>
        <item x="4"/>
        <item x="35"/>
        <item x="19"/>
        <item x="26"/>
        <item x="7"/>
        <item x="0"/>
        <item x="16"/>
        <item x="14"/>
        <item x="17"/>
        <item x="24"/>
        <item x="9"/>
        <item x="15"/>
        <item x="21"/>
        <item x="8"/>
        <item x="32"/>
        <item x="28"/>
        <item x="33"/>
        <item x="22"/>
        <item x="18"/>
        <item x="20"/>
        <item x="11"/>
        <item x="34"/>
        <item x="31"/>
        <item x="10"/>
        <item x="1"/>
        <item x="5"/>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axis="axisPage" dataField="1" multipleItemSelectionAllowed="1" showAll="0">
      <items count="6">
        <item h="1" x="1"/>
        <item h="1" x="4"/>
        <item x="0"/>
        <item h="1" x="2"/>
        <item h="1" x="3"/>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dataField="1" showAll="0"/>
    <pivotField showAll="0"/>
    <pivotField dataField="1" showAll="0"/>
    <pivotField showAll="0"/>
    <pivotField dataField="1" showAll="0"/>
    <pivotField dataField="1" showAll="0"/>
    <pivotField dataField="1" showAll="0"/>
    <pivotField dataField="1" showAll="0"/>
    <pivotField showAll="0"/>
    <pivotField dataField="1"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s>
  <rowFields count="1">
    <field x="12"/>
  </rowFields>
  <rowItems count="14">
    <i>
      <x v="1"/>
    </i>
    <i>
      <x v="5"/>
    </i>
    <i>
      <x v="6"/>
    </i>
    <i>
      <x v="8"/>
    </i>
    <i>
      <x v="9"/>
    </i>
    <i>
      <x v="10"/>
    </i>
    <i>
      <x v="11"/>
    </i>
    <i>
      <x v="13"/>
    </i>
    <i>
      <x v="14"/>
    </i>
    <i>
      <x v="18"/>
    </i>
    <i>
      <x v="20"/>
    </i>
    <i>
      <x v="22"/>
    </i>
    <i>
      <x v="23"/>
    </i>
    <i t="grand">
      <x/>
    </i>
  </rowItems>
  <colFields count="1">
    <field x="-2"/>
  </colFields>
  <colItems count="6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colItems>
  <pageFields count="2">
    <pageField fld="10" hier="-1"/>
    <pageField fld="43" hier="-1"/>
  </pageFields>
  <dataFields count="61">
    <dataField name="Count of sr_no" fld="2" subtotal="count" baseField="0" baseItem="0"/>
    <dataField name="Average of r_effect_size_sample2" fld="85" subtotal="average" baseField="0" baseItem="0"/>
    <dataField name="Average of r_variance2" fld="87" subtotal="average" baseField="0" baseItem="0"/>
    <dataField name="Average of z_value2" fld="86" subtotal="average" baseField="0" baseItem="0"/>
    <dataField name="Average of z_variance2" fld="88" subtotal="average" baseField="0" baseItem="0"/>
    <dataField name="Average of d_value2" fld="89" subtotal="average" baseField="0" baseItem="0"/>
    <dataField name="Count of study_ID" fld="3" subtotal="count" baseField="0" baseItem="0"/>
    <dataField name="Count of year_publication" fld="5" subtotal="count" baseField="0" baseItem="0"/>
    <dataField name="Count of exclusion_reason" fld="10" subtotal="count" baseField="0" baseItem="0"/>
    <dataField name="Count of statistical_technique" fld="12" subtotal="count" baseField="0" baseItem="0"/>
    <dataField name="Count of study_design" fld="13" subtotal="count" baseField="0" baseItem="0"/>
    <dataField name="Count of country" fld="14" subtotal="count" baseField="0" baseItem="0"/>
    <dataField name="Count of incentive_follow_through" fld="15" subtotal="count" baseField="0" baseItem="0"/>
    <dataField name="Count of experimental_setting" fld="16" subtotal="count" baseField="0" baseItem="0"/>
    <dataField name="Count of participant_type" fld="17" subtotal="count" baseField="0" baseItem="0"/>
    <dataField name="Count of aware_of_study" fld="18" subtotal="count" baseField="0" baseItem="0"/>
    <dataField name="Count of opt_in" fld="19" subtotal="count" baseField="0" baseItem="0"/>
    <dataField name="Count of randomisation_dummy" fld="20" subtotal="count" baseField="0" baseItem="0"/>
    <dataField name="Count of outOfSampleBias" fld="21" subtotal="count" baseField="0" baseItem="0"/>
    <dataField name="Count of reportingBiases" fld="22" subtotal="count" baseField="0" baseItem="0"/>
    <dataField name="Sum of feedback" fld="24" baseField="0" baseItem="0"/>
    <dataField name="Sum of information" fld="25" baseField="0" baseItem="0"/>
    <dataField name="Sum of label" fld="26" baseField="0" baseItem="0"/>
    <dataField name="Sum of rebate" fld="27" baseField="0" baseItem="0"/>
    <dataField name="Sum of tax_credit" fld="28" baseField="0" baseItem="0"/>
    <dataField name="Sum of subsidy" fld="29" baseField="0" baseItem="0"/>
    <dataField name="Sum of loan" fld="30" baseField="0" baseItem="0"/>
    <dataField name="Sum of choice_architecture" fld="31" baseField="0" baseItem="0"/>
    <dataField name="Sum of clothes_dryer" fld="34" baseField="0" baseItem="0"/>
    <dataField name="Sum of washing_machine" fld="33" baseField="0" baseItem="0"/>
    <dataField name="Sum of diswasher" fld="35" baseField="0" baseItem="0"/>
    <dataField name="Sum of refrigerator" fld="36" baseField="0" baseItem="0"/>
    <dataField name="Sum of heat_pump" fld="37" baseField="0" baseItem="0"/>
    <dataField name="Sum of lighting" fld="38" baseField="0" baseItem="0"/>
    <dataField name="Sum of water_heater" fld="39" baseField="0" baseItem="0"/>
    <dataField name="Sum of ac" fld="40" baseField="0" baseItem="0"/>
    <dataField name="Sum of tv" fld="41" baseField="0" baseItem="0"/>
    <dataField name="Count of dep_variable_purchase_category" fld="43" subtotal="count" baseField="0" baseItem="0"/>
    <dataField name="Count of dep_var_transformation" fld="45" subtotal="count" baseField="0" baseItem="0"/>
    <dataField name="Count of coefficient " fld="46" subtotal="count" baseField="0" baseItem="0"/>
    <dataField name="Count of effect_direction" fld="47" subtotal="count" baseField="0" baseItem="0"/>
    <dataField name="Count of coefficient_se" fld="48" subtotal="count" baseField="0" baseItem="0"/>
    <dataField name="Count of p_value" fld="49" subtotal="count" baseField="0" baseItem="0"/>
    <dataField name="Count of significance_bound" fld="50" subtotal="count" baseField="0" baseItem="0"/>
    <dataField name="Count of t_stat" fld="51" subtotal="count" baseField="0" baseItem="0"/>
    <dataField name="Count of percent_change" fld="52" subtotal="count" baseField="0" baseItem="0"/>
    <dataField name="Count of percent_change(binary predictor)" fld="53" subtotal="count" baseField="0" baseItem="0"/>
    <dataField name="Count of total_sample_size" fld="60" subtotal="count" baseField="0" baseItem="0"/>
    <dataField name="Count of diff_mean" fld="62" subtotal="count" baseField="0" baseItem="0"/>
    <dataField name="Count of monetary_incentive_size" fld="64" subtotal="count" baseField="0" baseItem="0"/>
    <dataField name="Count of monetary_incentive_relative" fld="65" subtotal="count" baseField="0" baseItem="0"/>
    <dataField name="Count of monetary_incentive_timeframe" fld="66" subtotal="count" baseField="0" baseItem="0"/>
    <dataField name="Count of label_monetary" fld="67" subtotal="count" baseField="0" baseItem="0"/>
    <dataField name="Count of label_consumption" fld="69" subtotal="count" baseField="0" baseItem="0"/>
    <dataField name="Count of label_scale" fld="71" subtotal="count" baseField="0" baseItem="0"/>
    <dataField name="Sum of controls energy prices" fld="72" baseField="0" baseItem="0"/>
    <dataField name="Sum of controls environmental attitudes" fld="73" baseField="0" baseItem="0"/>
    <dataField name="Sum of controls demographics" fld="74" baseField="0" baseItem="0"/>
    <dataField name="Average of df" fld="90" subtotal="average" baseField="0" baseItem="0"/>
    <dataField name="Count of study_design2" fld="13" subtotal="count" baseField="0" baseItem="0"/>
    <dataField name="Count of country2"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Q1" dT="2022-03-11T12:27:31.40" personId="{30BB1996-8EFC-476E-8528-976729F6D7F5}" id="{73C2226C-6106-4DC2-88CF-9C0A06F48311}">
    <text>is this supposed to capture mean difference between control and treatment or ?</text>
  </threadedComment>
  <threadedComment ref="AZ1" dT="2022-03-16T09:52:50.19" personId="{30BB1996-8EFC-476E-8528-976729F6D7F5}" id="{CEE78422-255C-40DC-AFED-5AA185CC03E1}" done="1">
    <text>daily kWh</text>
  </threadedComment>
  <threadedComment ref="AQ22" dT="2022-04-15T14:32:51.71" personId="{30BB1996-8EFC-476E-8528-976729F6D7F5}" id="{C7CEED71-5EFE-4791-84D8-7010C40A69F0}">
    <text>in kWh</text>
  </threadedComment>
</ThreadedComments>
</file>

<file path=xl/threadedComments/threadedComment2.xml><?xml version="1.0" encoding="utf-8"?>
<ThreadedComments xmlns="http://schemas.microsoft.com/office/spreadsheetml/2018/threadedcomments" xmlns:x="http://schemas.openxmlformats.org/spreadsheetml/2006/main">
  <threadedComment ref="AA1" dT="2022-11-21T17:36:05.27" personId="{07E012BB-865F-6142-9A86-EDCC0A8503F7}" id="{1DD52412-77C6-1E43-B8CC-07AD562D2C6E}">
    <text>check label studies from srmt for label type</text>
  </threadedComment>
</ThreadedComments>
</file>

<file path=xl/threadedComments/threadedComment3.xml><?xml version="1.0" encoding="utf-8"?>
<ThreadedComments xmlns="http://schemas.microsoft.com/office/spreadsheetml/2018/threadedcomments" xmlns:x="http://schemas.openxmlformats.org/spreadsheetml/2006/main">
  <threadedComment ref="D6" dT="2022-12-21T13:31:39.91" personId="{07E012BB-865F-6142-9A86-EDCC0A8503F7}" id="{CF36070F-7893-4948-8AB8-1CADF6EBBFD9}">
    <text>a bit confused as of where it’s correlation and where - quasi-experimental</text>
  </threadedComment>
  <threadedComment ref="D6" dT="2022-12-21T13:34:50.65" personId="{07E012BB-865F-6142-9A86-EDCC0A8503F7}" id="{21819F94-1C20-934A-90F0-3C08AE6D69A6}" parentId="{CF36070F-7893-4948-8AB8-1CADF6EBBFD9}">
    <text>the way i reassessed this was - market statistics - correlation, whereas hypothetical choice - quasi-experimental</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53"/>
  <sheetViews>
    <sheetView zoomScale="75" workbookViewId="0">
      <pane xSplit="1" ySplit="1" topLeftCell="B29" activePane="bottomRight" state="frozen"/>
      <selection pane="topRight" activeCell="B1" sqref="B1"/>
      <selection pane="bottomLeft" activeCell="A2" sqref="A2"/>
      <selection pane="bottomRight" activeCell="A43" sqref="A43:XFD51"/>
    </sheetView>
  </sheetViews>
  <sheetFormatPr baseColWidth="10" defaultColWidth="11" defaultRowHeight="16"/>
  <cols>
    <col min="4" max="4" width="20.6640625" customWidth="1"/>
    <col min="5" max="5" width="14.1640625" customWidth="1"/>
    <col min="7" max="7" width="16.1640625" customWidth="1"/>
    <col min="8" max="8" width="16.6640625" customWidth="1"/>
    <col min="10" max="10" width="18.1640625" bestFit="1" customWidth="1"/>
    <col min="11" max="11" width="12" hidden="1" customWidth="1"/>
    <col min="12" max="17" width="0" hidden="1" customWidth="1"/>
    <col min="18" max="18" width="16" hidden="1" customWidth="1"/>
    <col min="19" max="22" width="0" hidden="1" customWidth="1"/>
    <col min="23" max="24" width="12.1640625" hidden="1" customWidth="1"/>
    <col min="25" max="25" width="0" hidden="1" customWidth="1"/>
    <col min="26" max="26" width="0" style="12" hidden="1" customWidth="1"/>
    <col min="27" max="27" width="18.6640625" hidden="1" customWidth="1"/>
    <col min="28" max="28" width="14.1640625" style="7" bestFit="1" customWidth="1"/>
    <col min="29" max="29" width="14.6640625" style="7" customWidth="1"/>
    <col min="30" max="30" width="13.6640625" customWidth="1"/>
    <col min="31" max="31" width="14.6640625" customWidth="1"/>
    <col min="32" max="32" width="13.6640625" hidden="1" customWidth="1"/>
    <col min="33" max="33" width="19.1640625" hidden="1" customWidth="1"/>
    <col min="34" max="34" width="10.6640625" hidden="1" customWidth="1"/>
    <col min="35" max="35" width="13.1640625" hidden="1" customWidth="1"/>
    <col min="36" max="36" width="22.1640625" hidden="1" customWidth="1"/>
    <col min="37" max="37" width="10.6640625" hidden="1" customWidth="1"/>
    <col min="38" max="38" width="18.1640625" customWidth="1"/>
    <col min="39" max="39" width="14.1640625" customWidth="1"/>
    <col min="40" max="40" width="9.6640625" customWidth="1"/>
    <col min="41" max="41" width="19.1640625" customWidth="1"/>
    <col min="42" max="42" width="12.1640625" customWidth="1"/>
    <col min="44" max="45" width="0" hidden="1" customWidth="1"/>
    <col min="46" max="47" width="13.1640625" hidden="1" customWidth="1"/>
    <col min="48" max="51" width="0" hidden="1" customWidth="1"/>
    <col min="52" max="52" width="13.6640625" style="17" hidden="1" customWidth="1"/>
    <col min="53" max="53" width="26.5" hidden="1" customWidth="1"/>
    <col min="54" max="54" width="20.6640625" hidden="1" customWidth="1"/>
    <col min="55" max="55" width="0" hidden="1" customWidth="1"/>
    <col min="56" max="56" width="17.6640625" hidden="1" customWidth="1"/>
    <col min="57" max="57" width="16.1640625" hidden="1" customWidth="1"/>
    <col min="58" max="58" width="15.1640625" hidden="1" customWidth="1"/>
    <col min="59" max="59" width="20.6640625" hidden="1" customWidth="1"/>
    <col min="60" max="60" width="24.6640625" hidden="1" customWidth="1"/>
    <col min="61" max="61" width="19.6640625" style="30" bestFit="1" customWidth="1"/>
    <col min="62" max="62" width="24.1640625" style="30" bestFit="1" customWidth="1"/>
    <col min="63" max="65" width="11" style="30"/>
    <col min="67" max="67" width="25.1640625" bestFit="1" customWidth="1"/>
  </cols>
  <sheetData>
    <row r="1" spans="1:68" ht="48">
      <c r="A1" s="2" t="s">
        <v>0</v>
      </c>
      <c r="B1" s="2" t="s">
        <v>1</v>
      </c>
      <c r="C1" s="2" t="s">
        <v>2</v>
      </c>
      <c r="D1" s="3" t="s">
        <v>3</v>
      </c>
      <c r="E1" s="2" t="s">
        <v>4</v>
      </c>
      <c r="F1" s="2" t="s">
        <v>5</v>
      </c>
      <c r="G1" s="5" t="s">
        <v>6</v>
      </c>
      <c r="H1" s="2" t="s">
        <v>7</v>
      </c>
      <c r="I1" s="2" t="s">
        <v>8</v>
      </c>
      <c r="J1" s="2" t="s">
        <v>9</v>
      </c>
      <c r="K1" s="2" t="s">
        <v>10</v>
      </c>
      <c r="L1" s="6" t="s">
        <v>11</v>
      </c>
      <c r="M1" s="4" t="s">
        <v>12</v>
      </c>
      <c r="N1" s="2" t="s">
        <v>13</v>
      </c>
      <c r="O1" s="2" t="s">
        <v>14</v>
      </c>
      <c r="P1" s="2" t="s">
        <v>15</v>
      </c>
      <c r="Q1" s="2" t="s">
        <v>16</v>
      </c>
      <c r="R1" s="4" t="s">
        <v>17</v>
      </c>
      <c r="S1" s="2" t="s">
        <v>18</v>
      </c>
      <c r="T1" s="2" t="s">
        <v>19</v>
      </c>
      <c r="U1" s="2" t="s">
        <v>20</v>
      </c>
      <c r="V1" s="2" t="s">
        <v>21</v>
      </c>
      <c r="W1" s="2" t="s">
        <v>22</v>
      </c>
      <c r="X1" s="2" t="s">
        <v>23</v>
      </c>
      <c r="Y1" s="2" t="s">
        <v>24</v>
      </c>
      <c r="Z1" s="13" t="s">
        <v>25</v>
      </c>
      <c r="AA1" s="5" t="s">
        <v>26</v>
      </c>
      <c r="AB1" s="2" t="s">
        <v>27</v>
      </c>
      <c r="AC1" s="2" t="s">
        <v>28</v>
      </c>
      <c r="AD1" s="3" t="s">
        <v>29</v>
      </c>
      <c r="AE1" s="1" t="s">
        <v>30</v>
      </c>
      <c r="AF1" s="1" t="s">
        <v>31</v>
      </c>
      <c r="AG1" s="1" t="s">
        <v>32</v>
      </c>
      <c r="AH1" s="1" t="s">
        <v>33</v>
      </c>
      <c r="AI1" s="1" t="s">
        <v>34</v>
      </c>
      <c r="AJ1" s="1" t="s">
        <v>35</v>
      </c>
      <c r="AK1" s="1" t="s">
        <v>36</v>
      </c>
      <c r="AL1" s="1" t="s">
        <v>37</v>
      </c>
      <c r="AM1" s="1" t="s">
        <v>38</v>
      </c>
      <c r="AN1" s="3" t="s">
        <v>39</v>
      </c>
      <c r="AO1" s="1" t="s">
        <v>40</v>
      </c>
      <c r="AP1" s="23" t="s">
        <v>41</v>
      </c>
      <c r="AQ1" s="1" t="s">
        <v>42</v>
      </c>
      <c r="AR1" s="1" t="s">
        <v>43</v>
      </c>
      <c r="AS1" s="1" t="s">
        <v>44</v>
      </c>
      <c r="AT1" s="1" t="s">
        <v>45</v>
      </c>
      <c r="AU1" s="1" t="s">
        <v>46</v>
      </c>
      <c r="AV1" s="1" t="s">
        <v>47</v>
      </c>
      <c r="AW1" s="1" t="s">
        <v>48</v>
      </c>
      <c r="AX1" s="1" t="s">
        <v>49</v>
      </c>
      <c r="AY1" s="1" t="s">
        <v>50</v>
      </c>
      <c r="AZ1" s="24" t="s">
        <v>51</v>
      </c>
      <c r="BA1" s="1" t="s">
        <v>52</v>
      </c>
      <c r="BB1" s="1" t="s">
        <v>53</v>
      </c>
      <c r="BC1" s="1" t="s">
        <v>54</v>
      </c>
      <c r="BD1" s="8" t="s">
        <v>55</v>
      </c>
      <c r="BE1" s="8" t="s">
        <v>56</v>
      </c>
      <c r="BF1" s="8" t="s">
        <v>57</v>
      </c>
      <c r="BG1" s="1" t="s">
        <v>58</v>
      </c>
      <c r="BH1" s="9" t="s">
        <v>59</v>
      </c>
      <c r="BI1" s="28" t="s">
        <v>60</v>
      </c>
      <c r="BJ1" s="28" t="s">
        <v>61</v>
      </c>
      <c r="BK1" s="29" t="s">
        <v>62</v>
      </c>
      <c r="BL1" s="30" t="s">
        <v>63</v>
      </c>
      <c r="BM1" s="30" t="s">
        <v>64</v>
      </c>
      <c r="BN1" t="s">
        <v>65</v>
      </c>
      <c r="BO1" t="s">
        <v>66</v>
      </c>
      <c r="BP1" t="s">
        <v>67</v>
      </c>
    </row>
    <row r="2" spans="1:68" hidden="1">
      <c r="A2" s="32" t="s">
        <v>68</v>
      </c>
      <c r="B2" s="32">
        <f>1</f>
        <v>1</v>
      </c>
      <c r="C2" s="32">
        <v>1000</v>
      </c>
      <c r="D2" s="32" t="s">
        <v>69</v>
      </c>
      <c r="E2" s="11" t="s">
        <v>70</v>
      </c>
      <c r="F2" s="18" t="s">
        <v>71</v>
      </c>
      <c r="G2" s="32" t="s">
        <v>72</v>
      </c>
      <c r="H2" s="32" t="s">
        <v>73</v>
      </c>
      <c r="I2" s="32" t="s">
        <v>74</v>
      </c>
      <c r="J2" s="32" t="s">
        <v>75</v>
      </c>
      <c r="K2" s="32" t="s">
        <v>76</v>
      </c>
      <c r="L2" s="32">
        <v>1</v>
      </c>
      <c r="M2" s="32">
        <v>0</v>
      </c>
      <c r="N2" s="32">
        <v>0</v>
      </c>
      <c r="O2" s="32">
        <v>1</v>
      </c>
      <c r="P2" s="32">
        <v>0</v>
      </c>
      <c r="Q2" s="32">
        <v>0</v>
      </c>
      <c r="R2" s="32">
        <v>0</v>
      </c>
      <c r="S2" s="32">
        <v>0</v>
      </c>
      <c r="T2" s="32">
        <v>0</v>
      </c>
      <c r="U2" s="32">
        <v>1</v>
      </c>
      <c r="V2" s="32">
        <v>0</v>
      </c>
      <c r="W2" s="32">
        <v>0</v>
      </c>
      <c r="X2" s="32">
        <v>0</v>
      </c>
      <c r="Y2" s="32">
        <v>0</v>
      </c>
      <c r="Z2" s="32" t="s">
        <v>77</v>
      </c>
      <c r="AA2" s="32" t="s">
        <v>78</v>
      </c>
      <c r="AB2" s="7" t="s">
        <v>79</v>
      </c>
      <c r="AC2" s="7" t="s">
        <v>80</v>
      </c>
      <c r="AD2">
        <v>2.7789999999999999</v>
      </c>
      <c r="AE2" s="35">
        <v>5.3310000000000004</v>
      </c>
      <c r="AF2" t="s">
        <v>73</v>
      </c>
      <c r="AG2">
        <v>986</v>
      </c>
      <c r="AH2" t="s">
        <v>73</v>
      </c>
      <c r="AI2" t="s">
        <v>73</v>
      </c>
      <c r="AJ2">
        <v>118</v>
      </c>
      <c r="AK2" t="s">
        <v>73</v>
      </c>
      <c r="AL2">
        <v>1102</v>
      </c>
      <c r="AM2">
        <v>490994</v>
      </c>
      <c r="AN2">
        <v>0.1</v>
      </c>
      <c r="AO2">
        <v>3</v>
      </c>
      <c r="AP2">
        <f t="shared" ref="AP2:AP9" si="0">AE2/AD2</f>
        <v>1.9183159409859665</v>
      </c>
      <c r="AQ2" t="s">
        <v>73</v>
      </c>
      <c r="AR2" t="s">
        <v>73</v>
      </c>
      <c r="AS2">
        <v>1</v>
      </c>
      <c r="AT2">
        <v>1</v>
      </c>
      <c r="AU2">
        <v>1</v>
      </c>
      <c r="AV2">
        <v>1</v>
      </c>
      <c r="AW2">
        <v>0</v>
      </c>
      <c r="AX2">
        <v>1</v>
      </c>
      <c r="AY2" t="s">
        <v>81</v>
      </c>
      <c r="AZ2">
        <v>8.4290000000000003</v>
      </c>
      <c r="BA2" s="36" t="s">
        <v>82</v>
      </c>
      <c r="BB2">
        <v>1</v>
      </c>
      <c r="BC2">
        <v>1</v>
      </c>
      <c r="BD2" t="s">
        <v>83</v>
      </c>
      <c r="BE2" t="s">
        <v>83</v>
      </c>
      <c r="BF2" t="s">
        <v>73</v>
      </c>
      <c r="BG2">
        <f t="shared" ref="BG2:BG8" si="1" xml:space="preserve"> 8 * 4.345</f>
        <v>34.76</v>
      </c>
      <c r="BH2" s="16">
        <f t="shared" ref="BH2:BH9" si="2">100 / 7</f>
        <v>14.285714285714286</v>
      </c>
      <c r="BI2" s="30">
        <f>BN2/(((BN2^2)+4)^1/2)</f>
        <v>4.5505228789443943E-3</v>
      </c>
      <c r="BJ2" s="30">
        <f>BN2/(((BN2^2)+4)^1/2)</f>
        <v>4.5505228789443943E-3</v>
      </c>
      <c r="BK2" s="30">
        <f>0.5*LN((1+BJ2)/(1-BJ2))</f>
        <v>4.5505542889525165E-3</v>
      </c>
      <c r="BL2" s="30">
        <f>((1-(BK2^2)^2)/(AL2-1))</f>
        <v>9.0826521305285878E-4</v>
      </c>
      <c r="BM2" s="30">
        <f>1/(AL2-3)</f>
        <v>9.099181073703367E-4</v>
      </c>
      <c r="BN2">
        <f>AP2*(((AG2+AJ2)/(AG2*AJ2))^1/2)</f>
        <v>9.1012342234009485E-3</v>
      </c>
      <c r="BO2" t="s">
        <v>84</v>
      </c>
    </row>
    <row r="3" spans="1:68" hidden="1">
      <c r="A3" s="32" t="s">
        <v>68</v>
      </c>
      <c r="B3" s="32">
        <f t="shared" ref="B3:B9" si="3">B2+1</f>
        <v>2</v>
      </c>
      <c r="C3" s="32">
        <v>1000</v>
      </c>
      <c r="D3" s="32" t="s">
        <v>69</v>
      </c>
      <c r="E3" s="18" t="s">
        <v>70</v>
      </c>
      <c r="F3" s="18" t="s">
        <v>71</v>
      </c>
      <c r="G3" s="32" t="s">
        <v>72</v>
      </c>
      <c r="H3" s="32" t="s">
        <v>73</v>
      </c>
      <c r="I3" s="32" t="s">
        <v>74</v>
      </c>
      <c r="J3" s="32" t="s">
        <v>75</v>
      </c>
      <c r="K3" s="32" t="s">
        <v>76</v>
      </c>
      <c r="L3" s="32">
        <v>1</v>
      </c>
      <c r="M3" s="32">
        <v>0</v>
      </c>
      <c r="N3" s="32">
        <v>0</v>
      </c>
      <c r="O3" s="32">
        <v>1</v>
      </c>
      <c r="P3" s="32">
        <v>0</v>
      </c>
      <c r="Q3" s="32">
        <v>0</v>
      </c>
      <c r="R3" s="32">
        <v>0</v>
      </c>
      <c r="S3" s="32">
        <v>0</v>
      </c>
      <c r="T3" s="32">
        <v>0</v>
      </c>
      <c r="U3" s="32">
        <v>1</v>
      </c>
      <c r="V3" s="32">
        <v>0</v>
      </c>
      <c r="W3" s="32">
        <v>0</v>
      </c>
      <c r="X3" s="32">
        <v>0</v>
      </c>
      <c r="Y3" s="32">
        <v>0</v>
      </c>
      <c r="Z3" s="32" t="s">
        <v>85</v>
      </c>
      <c r="AA3" s="32" t="s">
        <v>78</v>
      </c>
      <c r="AB3" s="7" t="s">
        <v>79</v>
      </c>
      <c r="AC3" s="7" t="s">
        <v>86</v>
      </c>
      <c r="AD3">
        <v>2.5539999999999998</v>
      </c>
      <c r="AE3">
        <v>2.5670000000000002</v>
      </c>
      <c r="AF3" t="s">
        <v>73</v>
      </c>
      <c r="AG3">
        <v>986</v>
      </c>
      <c r="AH3" t="s">
        <v>73</v>
      </c>
      <c r="AI3" t="s">
        <v>73</v>
      </c>
      <c r="AJ3">
        <v>118</v>
      </c>
      <c r="AK3" t="s">
        <v>73</v>
      </c>
      <c r="AL3">
        <v>1102</v>
      </c>
      <c r="AM3">
        <v>490994</v>
      </c>
      <c r="AN3">
        <v>0.1</v>
      </c>
      <c r="AO3">
        <v>1</v>
      </c>
      <c r="AP3">
        <f t="shared" si="0"/>
        <v>1.0050900548159751</v>
      </c>
      <c r="AQ3" t="s">
        <v>73</v>
      </c>
      <c r="AR3" t="s">
        <v>73</v>
      </c>
      <c r="AS3">
        <v>1</v>
      </c>
      <c r="AT3">
        <v>1</v>
      </c>
      <c r="AU3">
        <v>1</v>
      </c>
      <c r="AV3">
        <v>1</v>
      </c>
      <c r="AW3">
        <v>0</v>
      </c>
      <c r="AX3">
        <v>1</v>
      </c>
      <c r="AY3" t="s">
        <v>81</v>
      </c>
      <c r="AZ3">
        <v>8.4290000000000003</v>
      </c>
      <c r="BA3" s="36" t="s">
        <v>82</v>
      </c>
      <c r="BB3">
        <v>1</v>
      </c>
      <c r="BC3">
        <v>1</v>
      </c>
      <c r="BD3" t="s">
        <v>83</v>
      </c>
      <c r="BE3" t="s">
        <v>83</v>
      </c>
      <c r="BF3" t="s">
        <v>73</v>
      </c>
      <c r="BG3">
        <f t="shared" si="1"/>
        <v>34.76</v>
      </c>
      <c r="BH3" s="16">
        <f t="shared" si="2"/>
        <v>14.285714285714286</v>
      </c>
      <c r="BI3" s="30">
        <f t="shared" ref="BI3:BI9" si="4">BN3/(((BN3^2)+4)^1/2)</f>
        <v>2.3842548059692906E-3</v>
      </c>
      <c r="BJ3" s="30">
        <f>-BN3/(((BN3^2)+4)^1/2)</f>
        <v>-2.3842548059692906E-3</v>
      </c>
      <c r="BK3" s="30">
        <f>0.5*LN((1+BJ3)/(1-BJ3))</f>
        <v>-2.3842593238860717E-3</v>
      </c>
      <c r="BL3" s="30">
        <f t="shared" ref="BL3:BL9" si="5">((1-(BK3^2)^2)/(AL3-1))</f>
        <v>9.0826521341297393E-4</v>
      </c>
      <c r="BM3" s="30">
        <f t="shared" ref="BM3:BM9" si="6">1/(AL3-3)</f>
        <v>9.099181073703367E-4</v>
      </c>
      <c r="BN3">
        <f t="shared" ref="BN3:BN9" si="7">AP3*(((AG3+AJ3)/(AG3*AJ3))^1/2)</f>
        <v>4.7685367196549861E-3</v>
      </c>
      <c r="BO3" t="s">
        <v>87</v>
      </c>
    </row>
    <row r="4" spans="1:68" hidden="1">
      <c r="A4" s="32" t="s">
        <v>68</v>
      </c>
      <c r="B4" s="32">
        <f t="shared" si="3"/>
        <v>3</v>
      </c>
      <c r="C4" s="32">
        <v>1000</v>
      </c>
      <c r="D4" s="32" t="s">
        <v>69</v>
      </c>
      <c r="E4" s="18" t="s">
        <v>70</v>
      </c>
      <c r="F4" s="18" t="s">
        <v>71</v>
      </c>
      <c r="G4" s="32" t="s">
        <v>72</v>
      </c>
      <c r="H4" s="32" t="s">
        <v>73</v>
      </c>
      <c r="I4" s="32" t="s">
        <v>74</v>
      </c>
      <c r="J4" s="32" t="s">
        <v>75</v>
      </c>
      <c r="K4" s="32" t="s">
        <v>76</v>
      </c>
      <c r="L4" s="32">
        <v>1</v>
      </c>
      <c r="M4" s="32">
        <v>0</v>
      </c>
      <c r="N4" s="32">
        <v>0</v>
      </c>
      <c r="O4" s="32">
        <v>1</v>
      </c>
      <c r="P4" s="32">
        <v>0</v>
      </c>
      <c r="Q4" s="32">
        <v>0</v>
      </c>
      <c r="R4" s="32">
        <v>0</v>
      </c>
      <c r="S4" s="32">
        <v>0</v>
      </c>
      <c r="T4" s="32">
        <v>0</v>
      </c>
      <c r="U4" s="32">
        <v>0</v>
      </c>
      <c r="V4" s="32">
        <v>1</v>
      </c>
      <c r="W4" s="32">
        <v>0</v>
      </c>
      <c r="X4" s="32">
        <v>0</v>
      </c>
      <c r="Y4" s="32">
        <v>0</v>
      </c>
      <c r="Z4" s="32" t="s">
        <v>88</v>
      </c>
      <c r="AA4" s="32" t="s">
        <v>78</v>
      </c>
      <c r="AB4" s="7" t="s">
        <v>79</v>
      </c>
      <c r="AC4" s="7" t="s">
        <v>86</v>
      </c>
      <c r="AD4">
        <v>4.274</v>
      </c>
      <c r="AE4">
        <v>11.46</v>
      </c>
      <c r="AF4" t="s">
        <v>73</v>
      </c>
      <c r="AG4">
        <v>986</v>
      </c>
      <c r="AH4" t="s">
        <v>73</v>
      </c>
      <c r="AI4" t="s">
        <v>73</v>
      </c>
      <c r="AJ4">
        <v>118</v>
      </c>
      <c r="AK4" t="s">
        <v>73</v>
      </c>
      <c r="AL4">
        <v>1102</v>
      </c>
      <c r="AM4">
        <v>490994</v>
      </c>
      <c r="AN4">
        <v>0.01</v>
      </c>
      <c r="AO4">
        <v>3</v>
      </c>
      <c r="AP4">
        <f t="shared" si="0"/>
        <v>2.6813289658399628</v>
      </c>
      <c r="AQ4" t="s">
        <v>73</v>
      </c>
      <c r="AR4" t="s">
        <v>73</v>
      </c>
      <c r="AS4">
        <v>1</v>
      </c>
      <c r="AT4">
        <v>1</v>
      </c>
      <c r="AU4">
        <v>1</v>
      </c>
      <c r="AV4">
        <v>1</v>
      </c>
      <c r="AW4">
        <v>0</v>
      </c>
      <c r="AX4">
        <v>1</v>
      </c>
      <c r="AY4" t="s">
        <v>81</v>
      </c>
      <c r="AZ4">
        <v>8.4290000000000003</v>
      </c>
      <c r="BA4" s="36" t="s">
        <v>82</v>
      </c>
      <c r="BB4">
        <v>1</v>
      </c>
      <c r="BC4">
        <v>1</v>
      </c>
      <c r="BD4" t="s">
        <v>83</v>
      </c>
      <c r="BE4" t="s">
        <v>83</v>
      </c>
      <c r="BF4" t="s">
        <v>73</v>
      </c>
      <c r="BG4">
        <f t="shared" si="1"/>
        <v>34.76</v>
      </c>
      <c r="BH4" s="16">
        <f t="shared" si="2"/>
        <v>14.285714285714286</v>
      </c>
      <c r="BI4" s="30">
        <f t="shared" si="4"/>
        <v>6.3603745250294498E-3</v>
      </c>
      <c r="BJ4" s="30">
        <f>-BN4/(((BN4^2)+4)^1/2)</f>
        <v>-6.3603745250294498E-3</v>
      </c>
      <c r="BK4" s="30">
        <f t="shared" ref="BK4:BK9" si="8">0.5*LN((1+BJ4)/(1-BJ4))</f>
        <v>-6.360460295413573E-3</v>
      </c>
      <c r="BL4" s="30">
        <f t="shared" si="5"/>
        <v>9.0826521195581846E-4</v>
      </c>
      <c r="BM4" s="30">
        <f t="shared" si="6"/>
        <v>9.099181073703367E-4</v>
      </c>
      <c r="BN4">
        <f t="shared" si="7"/>
        <v>1.2721263701513214E-2</v>
      </c>
      <c r="BO4" t="s">
        <v>84</v>
      </c>
    </row>
    <row r="5" spans="1:68" hidden="1">
      <c r="A5" s="32" t="s">
        <v>68</v>
      </c>
      <c r="B5" s="32">
        <f t="shared" si="3"/>
        <v>4</v>
      </c>
      <c r="C5" s="32">
        <v>1000</v>
      </c>
      <c r="D5" s="32" t="s">
        <v>69</v>
      </c>
      <c r="E5" s="18" t="s">
        <v>70</v>
      </c>
      <c r="F5" s="18" t="s">
        <v>71</v>
      </c>
      <c r="G5" s="32" t="s">
        <v>72</v>
      </c>
      <c r="H5" s="32" t="s">
        <v>73</v>
      </c>
      <c r="I5" s="32" t="s">
        <v>74</v>
      </c>
      <c r="J5" s="32" t="s">
        <v>75</v>
      </c>
      <c r="K5" s="32" t="s">
        <v>76</v>
      </c>
      <c r="L5" s="32">
        <v>1</v>
      </c>
      <c r="M5" s="32">
        <v>0</v>
      </c>
      <c r="N5" s="32">
        <v>0</v>
      </c>
      <c r="O5" s="32">
        <v>1</v>
      </c>
      <c r="P5" s="32">
        <v>0</v>
      </c>
      <c r="Q5" s="32">
        <v>0</v>
      </c>
      <c r="R5" s="32">
        <v>0</v>
      </c>
      <c r="S5" s="32">
        <v>0</v>
      </c>
      <c r="T5" s="32">
        <v>0</v>
      </c>
      <c r="U5" s="32">
        <v>0</v>
      </c>
      <c r="V5" s="32">
        <v>1</v>
      </c>
      <c r="W5" s="32">
        <v>0</v>
      </c>
      <c r="X5" s="32">
        <v>0</v>
      </c>
      <c r="Y5" s="32">
        <v>0</v>
      </c>
      <c r="Z5" s="32" t="s">
        <v>89</v>
      </c>
      <c r="AA5" s="32" t="s">
        <v>78</v>
      </c>
      <c r="AB5" s="7" t="s">
        <v>79</v>
      </c>
      <c r="AC5" s="7" t="s">
        <v>86</v>
      </c>
      <c r="AD5">
        <v>2.3239999999999998</v>
      </c>
      <c r="AE5">
        <v>9.0109999999999992</v>
      </c>
      <c r="AF5" t="s">
        <v>73</v>
      </c>
      <c r="AG5">
        <v>986</v>
      </c>
      <c r="AH5" t="s">
        <v>73</v>
      </c>
      <c r="AI5" t="s">
        <v>73</v>
      </c>
      <c r="AJ5">
        <v>118</v>
      </c>
      <c r="AK5" t="s">
        <v>73</v>
      </c>
      <c r="AL5">
        <v>1102</v>
      </c>
      <c r="AM5">
        <v>490994</v>
      </c>
      <c r="AN5">
        <v>0.01</v>
      </c>
      <c r="AO5">
        <v>3</v>
      </c>
      <c r="AP5">
        <f t="shared" si="0"/>
        <v>3.8773666092943202</v>
      </c>
      <c r="AQ5" t="s">
        <v>73</v>
      </c>
      <c r="AR5" t="s">
        <v>73</v>
      </c>
      <c r="AS5">
        <v>1</v>
      </c>
      <c r="AT5">
        <v>1</v>
      </c>
      <c r="AU5">
        <v>1</v>
      </c>
      <c r="AV5">
        <v>1</v>
      </c>
      <c r="AW5">
        <v>0</v>
      </c>
      <c r="AX5">
        <v>1</v>
      </c>
      <c r="AY5" t="s">
        <v>81</v>
      </c>
      <c r="AZ5">
        <v>8.4290000000000003</v>
      </c>
      <c r="BA5" s="36" t="s">
        <v>82</v>
      </c>
      <c r="BB5">
        <v>1</v>
      </c>
      <c r="BC5">
        <v>1</v>
      </c>
      <c r="BD5" t="s">
        <v>83</v>
      </c>
      <c r="BE5" t="s">
        <v>83</v>
      </c>
      <c r="BF5" t="s">
        <v>73</v>
      </c>
      <c r="BG5">
        <f t="shared" si="1"/>
        <v>34.76</v>
      </c>
      <c r="BH5" s="16">
        <f t="shared" si="2"/>
        <v>14.285714285714286</v>
      </c>
      <c r="BI5" s="30">
        <f t="shared" si="4"/>
        <v>9.1970868093620775E-3</v>
      </c>
      <c r="BJ5" s="30">
        <f>-BN5/(((BN5^2)+4)^1/2)</f>
        <v>-9.1970868093620775E-3</v>
      </c>
      <c r="BK5" s="30">
        <f t="shared" si="8"/>
        <v>-9.1973461386959127E-3</v>
      </c>
      <c r="BL5" s="30">
        <f t="shared" si="5"/>
        <v>9.0826520694308171E-4</v>
      </c>
      <c r="BM5" s="30">
        <f t="shared" si="6"/>
        <v>9.099181073703367E-4</v>
      </c>
      <c r="BN5">
        <f t="shared" si="7"/>
        <v>1.8395729779028987E-2</v>
      </c>
      <c r="BO5" t="s">
        <v>84</v>
      </c>
    </row>
    <row r="6" spans="1:68" hidden="1">
      <c r="A6" s="32" t="s">
        <v>68</v>
      </c>
      <c r="B6" s="32">
        <f t="shared" si="3"/>
        <v>5</v>
      </c>
      <c r="C6" s="32">
        <v>1000</v>
      </c>
      <c r="D6" s="32" t="s">
        <v>69</v>
      </c>
      <c r="E6" s="18" t="s">
        <v>70</v>
      </c>
      <c r="F6" s="18" t="s">
        <v>71</v>
      </c>
      <c r="G6" s="32" t="s">
        <v>72</v>
      </c>
      <c r="H6" s="32" t="s">
        <v>73</v>
      </c>
      <c r="I6" s="32" t="s">
        <v>74</v>
      </c>
      <c r="J6" s="32" t="s">
        <v>75</v>
      </c>
      <c r="K6" s="32" t="s">
        <v>76</v>
      </c>
      <c r="L6" s="32">
        <v>1</v>
      </c>
      <c r="M6" s="32">
        <v>0</v>
      </c>
      <c r="N6" s="32">
        <v>0</v>
      </c>
      <c r="O6" s="32">
        <v>1</v>
      </c>
      <c r="P6" s="32">
        <v>0</v>
      </c>
      <c r="Q6" s="32">
        <v>0</v>
      </c>
      <c r="R6" s="32">
        <v>0</v>
      </c>
      <c r="S6" s="32">
        <v>0</v>
      </c>
      <c r="T6" s="32">
        <v>1</v>
      </c>
      <c r="U6" s="32">
        <v>0</v>
      </c>
      <c r="V6" s="32">
        <v>0</v>
      </c>
      <c r="W6" s="32">
        <v>0</v>
      </c>
      <c r="X6" s="32">
        <v>0</v>
      </c>
      <c r="Y6" s="32">
        <v>0</v>
      </c>
      <c r="Z6" s="32" t="s">
        <v>88</v>
      </c>
      <c r="AA6" s="32" t="s">
        <v>78</v>
      </c>
      <c r="AB6" s="7" t="s">
        <v>79</v>
      </c>
      <c r="AC6" s="7" t="s">
        <v>80</v>
      </c>
      <c r="AD6">
        <v>2.153</v>
      </c>
      <c r="AE6">
        <v>8.8439999999999994</v>
      </c>
      <c r="AF6" t="s">
        <v>73</v>
      </c>
      <c r="AG6">
        <v>986</v>
      </c>
      <c r="AH6" t="s">
        <v>73</v>
      </c>
      <c r="AI6" t="s">
        <v>73</v>
      </c>
      <c r="AJ6">
        <v>118</v>
      </c>
      <c r="AK6" t="s">
        <v>73</v>
      </c>
      <c r="AL6">
        <v>1102</v>
      </c>
      <c r="AM6">
        <v>490994</v>
      </c>
      <c r="AN6">
        <v>0.01</v>
      </c>
      <c r="AO6">
        <v>3</v>
      </c>
      <c r="AP6">
        <f t="shared" si="0"/>
        <v>4.1077566186716208</v>
      </c>
      <c r="AQ6" t="s">
        <v>73</v>
      </c>
      <c r="AR6" t="s">
        <v>73</v>
      </c>
      <c r="AS6">
        <v>1</v>
      </c>
      <c r="AT6">
        <v>1</v>
      </c>
      <c r="AU6">
        <v>1</v>
      </c>
      <c r="AV6">
        <v>1</v>
      </c>
      <c r="AW6">
        <v>0</v>
      </c>
      <c r="AX6">
        <v>1</v>
      </c>
      <c r="AY6" t="s">
        <v>81</v>
      </c>
      <c r="AZ6">
        <v>8.4290000000000003</v>
      </c>
      <c r="BA6" s="36" t="s">
        <v>82</v>
      </c>
      <c r="BB6">
        <v>1</v>
      </c>
      <c r="BC6">
        <v>1</v>
      </c>
      <c r="BD6" t="s">
        <v>83</v>
      </c>
      <c r="BE6" t="s">
        <v>83</v>
      </c>
      <c r="BF6" t="s">
        <v>73</v>
      </c>
      <c r="BG6">
        <f xml:space="preserve"> 8 * 4.345</f>
        <v>34.76</v>
      </c>
      <c r="BH6" s="16">
        <f t="shared" si="2"/>
        <v>14.285714285714286</v>
      </c>
      <c r="BI6" s="30">
        <f t="shared" si="4"/>
        <v>9.7434694590755513E-3</v>
      </c>
      <c r="BJ6" s="30">
        <f>BN6/(((BN6^2)+4)^1/2)</f>
        <v>9.7434694590755513E-3</v>
      </c>
      <c r="BK6" s="30">
        <f t="shared" si="8"/>
        <v>9.7437778093708034E-3</v>
      </c>
      <c r="BL6" s="30">
        <f t="shared" si="5"/>
        <v>9.0826520525537455E-4</v>
      </c>
      <c r="BM6" s="30">
        <f t="shared" si="6"/>
        <v>9.099181073703367E-4</v>
      </c>
      <c r="BN6">
        <f t="shared" si="7"/>
        <v>1.9488789265881105E-2</v>
      </c>
      <c r="BO6" t="s">
        <v>84</v>
      </c>
    </row>
    <row r="7" spans="1:68" hidden="1">
      <c r="A7" s="32" t="s">
        <v>68</v>
      </c>
      <c r="B7" s="32">
        <f t="shared" si="3"/>
        <v>6</v>
      </c>
      <c r="C7" s="32">
        <v>1000</v>
      </c>
      <c r="D7" s="32" t="s">
        <v>69</v>
      </c>
      <c r="E7" s="18" t="s">
        <v>70</v>
      </c>
      <c r="F7" s="18" t="s">
        <v>71</v>
      </c>
      <c r="G7" s="32" t="s">
        <v>72</v>
      </c>
      <c r="H7" s="32" t="s">
        <v>73</v>
      </c>
      <c r="I7" s="32" t="s">
        <v>74</v>
      </c>
      <c r="J7" s="32" t="s">
        <v>75</v>
      </c>
      <c r="K7" s="32" t="s">
        <v>76</v>
      </c>
      <c r="L7" s="32">
        <v>1</v>
      </c>
      <c r="M7" s="32">
        <v>0</v>
      </c>
      <c r="N7" s="32">
        <v>0</v>
      </c>
      <c r="O7" s="32">
        <v>1</v>
      </c>
      <c r="P7" s="32">
        <v>0</v>
      </c>
      <c r="Q7" s="32">
        <v>0</v>
      </c>
      <c r="R7" s="32">
        <v>0</v>
      </c>
      <c r="S7" s="32">
        <v>0</v>
      </c>
      <c r="T7" s="32">
        <v>1</v>
      </c>
      <c r="U7" s="32">
        <v>0</v>
      </c>
      <c r="V7" s="32">
        <v>0</v>
      </c>
      <c r="W7" s="32">
        <v>0</v>
      </c>
      <c r="X7" s="32">
        <v>0</v>
      </c>
      <c r="Y7" s="32">
        <v>0</v>
      </c>
      <c r="Z7" s="32" t="s">
        <v>89</v>
      </c>
      <c r="AA7" s="32" t="s">
        <v>78</v>
      </c>
      <c r="AB7" s="7" t="s">
        <v>79</v>
      </c>
      <c r="AC7" s="7" t="s">
        <v>80</v>
      </c>
      <c r="AD7">
        <v>1.9810000000000001</v>
      </c>
      <c r="AE7">
        <v>8.673</v>
      </c>
      <c r="AF7" t="s">
        <v>73</v>
      </c>
      <c r="AG7">
        <v>986</v>
      </c>
      <c r="AH7" t="s">
        <v>73</v>
      </c>
      <c r="AI7" t="s">
        <v>73</v>
      </c>
      <c r="AJ7">
        <v>118</v>
      </c>
      <c r="AK7" t="s">
        <v>73</v>
      </c>
      <c r="AL7">
        <v>1102</v>
      </c>
      <c r="AM7">
        <v>490994</v>
      </c>
      <c r="AN7">
        <v>0.01</v>
      </c>
      <c r="AO7">
        <v>3</v>
      </c>
      <c r="AP7">
        <f t="shared" si="0"/>
        <v>4.3780918727915195</v>
      </c>
      <c r="AQ7" t="s">
        <v>73</v>
      </c>
      <c r="AR7" t="s">
        <v>73</v>
      </c>
      <c r="AS7">
        <v>1</v>
      </c>
      <c r="AT7">
        <v>1</v>
      </c>
      <c r="AU7">
        <v>1</v>
      </c>
      <c r="AV7">
        <v>1</v>
      </c>
      <c r="AW7">
        <v>0</v>
      </c>
      <c r="AX7">
        <v>1</v>
      </c>
      <c r="AY7" t="s">
        <v>81</v>
      </c>
      <c r="AZ7">
        <v>8.4290000000000003</v>
      </c>
      <c r="BA7" s="36" t="s">
        <v>82</v>
      </c>
      <c r="BB7">
        <v>1</v>
      </c>
      <c r="BC7">
        <v>1</v>
      </c>
      <c r="BD7" t="s">
        <v>83</v>
      </c>
      <c r="BE7" t="s">
        <v>83</v>
      </c>
      <c r="BF7" t="s">
        <v>73</v>
      </c>
      <c r="BG7">
        <f t="shared" si="1"/>
        <v>34.76</v>
      </c>
      <c r="BH7" s="16">
        <f t="shared" si="2"/>
        <v>14.285714285714286</v>
      </c>
      <c r="BI7" s="30">
        <f t="shared" si="4"/>
        <v>1.0384562133079813E-2</v>
      </c>
      <c r="BJ7" s="30">
        <f>BN7/(((BN7^2)+4)^1/2)</f>
        <v>1.0384562133079813E-2</v>
      </c>
      <c r="BK7" s="30">
        <f t="shared" si="8"/>
        <v>1.0384935444618987E-2</v>
      </c>
      <c r="BL7" s="30">
        <f t="shared" si="5"/>
        <v>9.0826520287833751E-4</v>
      </c>
      <c r="BM7" s="30">
        <f t="shared" si="6"/>
        <v>9.099181073703367E-4</v>
      </c>
      <c r="BN7">
        <f t="shared" si="7"/>
        <v>2.0771364473655917E-2</v>
      </c>
      <c r="BO7" t="s">
        <v>84</v>
      </c>
    </row>
    <row r="8" spans="1:68" hidden="1">
      <c r="A8" s="32" t="s">
        <v>68</v>
      </c>
      <c r="B8" s="32">
        <f t="shared" si="3"/>
        <v>7</v>
      </c>
      <c r="C8" s="32">
        <v>1000</v>
      </c>
      <c r="D8" s="32" t="s">
        <v>69</v>
      </c>
      <c r="E8" s="18" t="s">
        <v>70</v>
      </c>
      <c r="F8" s="18" t="s">
        <v>71</v>
      </c>
      <c r="G8" s="32" t="s">
        <v>72</v>
      </c>
      <c r="H8" s="32" t="s">
        <v>73</v>
      </c>
      <c r="I8" s="32" t="s">
        <v>74</v>
      </c>
      <c r="J8" s="32" t="s">
        <v>75</v>
      </c>
      <c r="K8" s="32" t="s">
        <v>76</v>
      </c>
      <c r="L8" s="32">
        <v>1</v>
      </c>
      <c r="M8" s="32">
        <v>0</v>
      </c>
      <c r="N8" s="32">
        <v>0</v>
      </c>
      <c r="O8" s="32">
        <v>1</v>
      </c>
      <c r="P8" s="32">
        <v>0</v>
      </c>
      <c r="Q8" s="32">
        <v>0</v>
      </c>
      <c r="R8" s="32">
        <v>0</v>
      </c>
      <c r="S8" s="32">
        <v>1</v>
      </c>
      <c r="T8" s="32">
        <v>0</v>
      </c>
      <c r="U8" s="32">
        <v>0</v>
      </c>
      <c r="V8" s="32">
        <v>0</v>
      </c>
      <c r="W8" s="32">
        <v>0</v>
      </c>
      <c r="X8" s="32">
        <v>0</v>
      </c>
      <c r="Y8" s="32">
        <v>0</v>
      </c>
      <c r="Z8" s="32" t="s">
        <v>88</v>
      </c>
      <c r="AA8" s="32" t="s">
        <v>78</v>
      </c>
      <c r="AB8" s="7" t="s">
        <v>79</v>
      </c>
      <c r="AC8" s="7" t="s">
        <v>80</v>
      </c>
      <c r="AD8">
        <v>3.9180000000000001</v>
      </c>
      <c r="AE8">
        <v>3.26</v>
      </c>
      <c r="AF8" t="s">
        <v>73</v>
      </c>
      <c r="AG8">
        <v>986</v>
      </c>
      <c r="AH8" t="s">
        <v>73</v>
      </c>
      <c r="AI8" t="s">
        <v>73</v>
      </c>
      <c r="AJ8">
        <v>118</v>
      </c>
      <c r="AK8" t="s">
        <v>73</v>
      </c>
      <c r="AL8">
        <v>1102</v>
      </c>
      <c r="AM8">
        <v>490994</v>
      </c>
      <c r="AN8">
        <v>0.1</v>
      </c>
      <c r="AO8">
        <v>1</v>
      </c>
      <c r="AP8">
        <f t="shared" si="0"/>
        <v>0.83205717202654406</v>
      </c>
      <c r="AQ8" t="s">
        <v>73</v>
      </c>
      <c r="AR8" t="s">
        <v>73</v>
      </c>
      <c r="AS8">
        <v>1</v>
      </c>
      <c r="AT8">
        <v>1</v>
      </c>
      <c r="AU8">
        <v>1</v>
      </c>
      <c r="AV8">
        <v>1</v>
      </c>
      <c r="AW8">
        <v>0</v>
      </c>
      <c r="AX8">
        <v>1</v>
      </c>
      <c r="AY8" t="s">
        <v>81</v>
      </c>
      <c r="AZ8">
        <v>8.4290000000000003</v>
      </c>
      <c r="BA8" s="36" t="s">
        <v>82</v>
      </c>
      <c r="BB8">
        <v>1</v>
      </c>
      <c r="BC8">
        <v>1</v>
      </c>
      <c r="BD8" t="s">
        <v>83</v>
      </c>
      <c r="BE8" t="s">
        <v>83</v>
      </c>
      <c r="BF8" t="s">
        <v>73</v>
      </c>
      <c r="BG8">
        <f t="shared" si="1"/>
        <v>34.76</v>
      </c>
      <c r="BH8" s="16">
        <f t="shared" si="2"/>
        <v>14.285714285714286</v>
      </c>
      <c r="BI8" s="30">
        <f t="shared" si="4"/>
        <v>1.9737931447071306E-3</v>
      </c>
      <c r="BJ8" s="30">
        <f>BN8/(((BN8^2)+4)^1/2)</f>
        <v>1.9737931447071306E-3</v>
      </c>
      <c r="BK8" s="30">
        <f t="shared" si="8"/>
        <v>1.9737957079199297E-3</v>
      </c>
      <c r="BL8" s="30">
        <f t="shared" si="5"/>
        <v>9.0826521342853971E-4</v>
      </c>
      <c r="BM8" s="30">
        <f t="shared" si="6"/>
        <v>9.099181073703367E-4</v>
      </c>
      <c r="BN8">
        <f t="shared" si="7"/>
        <v>3.9476016687751596E-3</v>
      </c>
      <c r="BO8" t="s">
        <v>87</v>
      </c>
    </row>
    <row r="9" spans="1:68" hidden="1">
      <c r="A9" s="32" t="s">
        <v>68</v>
      </c>
      <c r="B9" s="32">
        <f t="shared" si="3"/>
        <v>8</v>
      </c>
      <c r="C9" s="32">
        <v>1000</v>
      </c>
      <c r="D9" s="32" t="s">
        <v>69</v>
      </c>
      <c r="E9" s="18" t="s">
        <v>70</v>
      </c>
      <c r="F9" s="18" t="s">
        <v>71</v>
      </c>
      <c r="G9" s="32" t="s">
        <v>72</v>
      </c>
      <c r="H9" s="32" t="s">
        <v>73</v>
      </c>
      <c r="I9" s="32" t="s">
        <v>74</v>
      </c>
      <c r="J9" s="32" t="s">
        <v>75</v>
      </c>
      <c r="K9" s="32" t="s">
        <v>76</v>
      </c>
      <c r="L9" s="32">
        <v>1</v>
      </c>
      <c r="M9" s="32">
        <v>0</v>
      </c>
      <c r="N9" s="32">
        <v>0</v>
      </c>
      <c r="O9" s="32">
        <v>1</v>
      </c>
      <c r="P9" s="32">
        <v>0</v>
      </c>
      <c r="Q9" s="32">
        <v>0</v>
      </c>
      <c r="R9" s="32">
        <v>0</v>
      </c>
      <c r="S9" s="32">
        <v>1</v>
      </c>
      <c r="T9" s="32">
        <v>0</v>
      </c>
      <c r="U9" s="32">
        <v>0</v>
      </c>
      <c r="V9" s="32">
        <v>0</v>
      </c>
      <c r="W9" s="32">
        <v>0</v>
      </c>
      <c r="X9" s="32">
        <v>0</v>
      </c>
      <c r="Y9" s="32">
        <v>0</v>
      </c>
      <c r="Z9" s="32" t="s">
        <v>89</v>
      </c>
      <c r="AA9" s="32" t="s">
        <v>78</v>
      </c>
      <c r="AB9" s="7" t="s">
        <v>79</v>
      </c>
      <c r="AC9" s="7" t="s">
        <v>86</v>
      </c>
      <c r="AD9">
        <v>2.4710000000000001</v>
      </c>
      <c r="AE9">
        <v>3.79</v>
      </c>
      <c r="AF9" t="s">
        <v>73</v>
      </c>
      <c r="AG9">
        <v>986</v>
      </c>
      <c r="AH9" t="s">
        <v>73</v>
      </c>
      <c r="AI9" t="s">
        <v>73</v>
      </c>
      <c r="AJ9">
        <v>118</v>
      </c>
      <c r="AK9" t="s">
        <v>73</v>
      </c>
      <c r="AL9">
        <v>1102</v>
      </c>
      <c r="AM9">
        <v>490994</v>
      </c>
      <c r="AN9">
        <v>0.1</v>
      </c>
      <c r="AO9">
        <v>1</v>
      </c>
      <c r="AP9">
        <f t="shared" si="0"/>
        <v>1.5337919870497774</v>
      </c>
      <c r="AQ9" t="s">
        <v>73</v>
      </c>
      <c r="AR9" t="s">
        <v>73</v>
      </c>
      <c r="AS9">
        <v>1</v>
      </c>
      <c r="AT9">
        <v>1</v>
      </c>
      <c r="AU9">
        <v>1</v>
      </c>
      <c r="AV9">
        <v>1</v>
      </c>
      <c r="AW9">
        <v>0</v>
      </c>
      <c r="AX9">
        <v>1</v>
      </c>
      <c r="AY9" t="s">
        <v>81</v>
      </c>
      <c r="AZ9">
        <v>8.4290000000000003</v>
      </c>
      <c r="BA9" s="36" t="s">
        <v>82</v>
      </c>
      <c r="BB9">
        <v>1</v>
      </c>
      <c r="BC9">
        <v>1</v>
      </c>
      <c r="BD9" t="s">
        <v>83</v>
      </c>
      <c r="BE9" t="s">
        <v>83</v>
      </c>
      <c r="BF9" t="s">
        <v>73</v>
      </c>
      <c r="BG9">
        <f xml:space="preserve"> 8 * 4.345</f>
        <v>34.76</v>
      </c>
      <c r="BH9" s="16">
        <f t="shared" si="2"/>
        <v>14.285714285714286</v>
      </c>
      <c r="BI9" s="30">
        <f t="shared" si="4"/>
        <v>3.6384036198495772E-3</v>
      </c>
      <c r="BJ9" s="30">
        <f>-BN9/(((BN9^2)+4)^1/2)</f>
        <v>-3.6384036198495772E-3</v>
      </c>
      <c r="BK9" s="30">
        <f t="shared" si="8"/>
        <v>-3.6384196750163253E-3</v>
      </c>
      <c r="BL9" s="30">
        <f t="shared" si="5"/>
        <v>9.0826521328315416E-4</v>
      </c>
      <c r="BM9" s="30">
        <f t="shared" si="6"/>
        <v>9.099181073703367E-4</v>
      </c>
      <c r="BN9">
        <f t="shared" si="7"/>
        <v>7.276903572484934E-3</v>
      </c>
      <c r="BO9" t="s">
        <v>87</v>
      </c>
    </row>
    <row r="10" spans="1:68" hidden="1">
      <c r="A10" t="s">
        <v>68</v>
      </c>
      <c r="B10">
        <v>9</v>
      </c>
      <c r="C10">
        <v>1001</v>
      </c>
      <c r="D10" t="s">
        <v>90</v>
      </c>
      <c r="E10" t="s">
        <v>91</v>
      </c>
      <c r="F10" t="s">
        <v>92</v>
      </c>
      <c r="G10">
        <v>2016</v>
      </c>
      <c r="H10" t="s">
        <v>73</v>
      </c>
      <c r="I10">
        <v>16</v>
      </c>
      <c r="J10" t="s">
        <v>93</v>
      </c>
      <c r="K10" t="s">
        <v>94</v>
      </c>
      <c r="L10">
        <v>1</v>
      </c>
      <c r="M10">
        <v>1</v>
      </c>
      <c r="N10">
        <v>0</v>
      </c>
      <c r="O10">
        <v>0</v>
      </c>
      <c r="P10">
        <v>0</v>
      </c>
      <c r="Q10">
        <v>0</v>
      </c>
      <c r="R10">
        <v>0</v>
      </c>
      <c r="S10">
        <v>0</v>
      </c>
      <c r="T10">
        <v>0</v>
      </c>
      <c r="U10">
        <v>0</v>
      </c>
      <c r="V10">
        <v>0</v>
      </c>
      <c r="W10">
        <v>0</v>
      </c>
      <c r="X10">
        <v>1</v>
      </c>
      <c r="Y10">
        <v>0</v>
      </c>
      <c r="Z10" s="12" t="s">
        <v>95</v>
      </c>
      <c r="AA10" t="s">
        <v>78</v>
      </c>
      <c r="AB10" s="16">
        <v>0.55000000000000004</v>
      </c>
      <c r="AC10" s="7" t="s">
        <v>86</v>
      </c>
      <c r="AD10" s="17">
        <v>0.21199999999999999</v>
      </c>
      <c r="AE10" t="s">
        <v>73</v>
      </c>
      <c r="AF10">
        <f>(2.52+2.46)/2</f>
        <v>2.4900000000000002</v>
      </c>
      <c r="AG10">
        <v>37</v>
      </c>
      <c r="AH10" s="17">
        <v>2.4500000000000002</v>
      </c>
      <c r="AI10" t="s">
        <v>73</v>
      </c>
      <c r="AJ10">
        <v>76</v>
      </c>
      <c r="AK10" t="s">
        <v>73</v>
      </c>
      <c r="AL10">
        <v>389</v>
      </c>
      <c r="AM10">
        <v>389</v>
      </c>
      <c r="AN10">
        <v>0.05</v>
      </c>
      <c r="AO10">
        <v>3</v>
      </c>
      <c r="AP10">
        <f>AB10/AD10</f>
        <v>2.5943396226415096</v>
      </c>
      <c r="AQ10" t="s">
        <v>73</v>
      </c>
      <c r="AR10" s="17">
        <v>0.16800000000000001</v>
      </c>
      <c r="AS10">
        <v>1</v>
      </c>
      <c r="AT10">
        <v>0</v>
      </c>
      <c r="AU10">
        <v>1</v>
      </c>
      <c r="AV10">
        <v>1</v>
      </c>
      <c r="AW10">
        <v>1</v>
      </c>
      <c r="AX10">
        <v>0</v>
      </c>
      <c r="AY10" t="s">
        <v>96</v>
      </c>
      <c r="AZ10" s="17">
        <v>2.31</v>
      </c>
      <c r="BA10" t="s">
        <v>73</v>
      </c>
      <c r="BB10">
        <v>1</v>
      </c>
      <c r="BC10">
        <v>1</v>
      </c>
      <c r="BD10" t="s">
        <v>83</v>
      </c>
      <c r="BE10" t="s">
        <v>83</v>
      </c>
      <c r="BF10" t="s">
        <v>73</v>
      </c>
      <c r="BG10">
        <v>14</v>
      </c>
      <c r="BH10">
        <v>7</v>
      </c>
      <c r="BI10" s="30">
        <f>(((AP10^2)/(AP10^2+AL10))^1/2)</f>
        <v>8.5040152445929103E-3</v>
      </c>
      <c r="BJ10" s="30">
        <f>-(((AP10^2)/(AP10^2+AM10))^1/2)</f>
        <v>-8.5040152445929103E-3</v>
      </c>
      <c r="BK10" s="30">
        <f>0.5*LN((1+BJ10)/(1-BJ10))</f>
        <v>-8.5042202520602649E-3</v>
      </c>
      <c r="BL10" s="30">
        <f>((1-(BK10^2)^2)/(AL10-1))</f>
        <v>2.5773195741483576E-3</v>
      </c>
      <c r="BM10" s="30">
        <f>1/(AL10-3)</f>
        <v>2.5906735751295338E-3</v>
      </c>
      <c r="BO10" t="s">
        <v>84</v>
      </c>
    </row>
    <row r="11" spans="1:68" hidden="1">
      <c r="A11" t="s">
        <v>68</v>
      </c>
      <c r="B11">
        <f>B10+1</f>
        <v>10</v>
      </c>
      <c r="C11">
        <v>1001</v>
      </c>
      <c r="D11" t="s">
        <v>90</v>
      </c>
      <c r="E11" t="s">
        <v>91</v>
      </c>
      <c r="F11" t="s">
        <v>92</v>
      </c>
      <c r="G11">
        <v>2016</v>
      </c>
      <c r="H11" t="s">
        <v>73</v>
      </c>
      <c r="I11">
        <v>16</v>
      </c>
      <c r="J11" t="s">
        <v>93</v>
      </c>
      <c r="K11" t="s">
        <v>94</v>
      </c>
      <c r="L11">
        <v>1</v>
      </c>
      <c r="M11">
        <v>1</v>
      </c>
      <c r="N11">
        <v>0</v>
      </c>
      <c r="O11">
        <v>0</v>
      </c>
      <c r="P11">
        <v>0</v>
      </c>
      <c r="Q11">
        <v>0</v>
      </c>
      <c r="R11">
        <v>0</v>
      </c>
      <c r="S11">
        <v>0</v>
      </c>
      <c r="T11">
        <v>0</v>
      </c>
      <c r="U11">
        <v>0</v>
      </c>
      <c r="V11">
        <v>0</v>
      </c>
      <c r="W11">
        <v>0</v>
      </c>
      <c r="X11">
        <v>1</v>
      </c>
      <c r="Y11">
        <v>0</v>
      </c>
      <c r="Z11" s="12" t="s">
        <v>97</v>
      </c>
      <c r="AA11" t="s">
        <v>78</v>
      </c>
      <c r="AB11" s="16">
        <v>0.17</v>
      </c>
      <c r="AC11" s="7" t="s">
        <v>86</v>
      </c>
      <c r="AD11" s="17">
        <v>0.183</v>
      </c>
      <c r="AE11" t="s">
        <v>73</v>
      </c>
      <c r="AF11">
        <f>(2.52+2.46)/2</f>
        <v>2.4900000000000002</v>
      </c>
      <c r="AG11">
        <v>37</v>
      </c>
      <c r="AH11" s="17">
        <v>2.4500000000000002</v>
      </c>
      <c r="AI11" t="s">
        <v>73</v>
      </c>
      <c r="AJ11">
        <v>138</v>
      </c>
      <c r="AK11" t="s">
        <v>73</v>
      </c>
      <c r="AL11">
        <v>389</v>
      </c>
      <c r="AM11">
        <v>389</v>
      </c>
      <c r="AN11">
        <v>0.1</v>
      </c>
      <c r="AO11" s="17">
        <v>1</v>
      </c>
      <c r="AP11">
        <f>AB11/AD11</f>
        <v>0.92896174863387981</v>
      </c>
      <c r="AQ11" t="s">
        <v>73</v>
      </c>
      <c r="AR11" s="17">
        <v>0.16800000000000001</v>
      </c>
      <c r="AS11">
        <v>1</v>
      </c>
      <c r="AT11">
        <v>0</v>
      </c>
      <c r="AU11">
        <v>1</v>
      </c>
      <c r="AV11">
        <v>1</v>
      </c>
      <c r="AW11">
        <v>1</v>
      </c>
      <c r="AX11">
        <v>0</v>
      </c>
      <c r="AY11" t="s">
        <v>96</v>
      </c>
      <c r="AZ11" s="17">
        <v>2.31</v>
      </c>
      <c r="BA11" t="s">
        <v>73</v>
      </c>
      <c r="BB11">
        <v>1</v>
      </c>
      <c r="BC11">
        <v>1</v>
      </c>
      <c r="BD11" t="s">
        <v>83</v>
      </c>
      <c r="BE11" t="s">
        <v>83</v>
      </c>
      <c r="BF11" t="s">
        <v>73</v>
      </c>
      <c r="BG11">
        <v>14</v>
      </c>
      <c r="BH11">
        <v>7</v>
      </c>
      <c r="BI11" s="30">
        <f>(((AP11^2)/(AP11^2+AL11))^1/2)</f>
        <v>1.1067605761313026E-3</v>
      </c>
      <c r="BJ11" s="30">
        <f>-(((AP11^2)/(AP11^2+AM11))^1/2)</f>
        <v>-1.1067605761313026E-3</v>
      </c>
      <c r="BK11" s="30">
        <f t="shared" ref="BK11:BK42" si="9">0.5*LN((1+BJ11)/(1-BJ11))</f>
        <v>-1.1067610280289801E-3</v>
      </c>
      <c r="BL11" s="30">
        <f t="shared" ref="BL11:BL40" si="10">((1-(BK11^2)^2)/(AL11-1))</f>
        <v>2.5773195876249988E-3</v>
      </c>
      <c r="BM11" s="30">
        <f t="shared" ref="BM11:BM40" si="11">1/(AL11-3)</f>
        <v>2.5906735751295338E-3</v>
      </c>
      <c r="BO11" t="s">
        <v>87</v>
      </c>
    </row>
    <row r="12" spans="1:68" hidden="1">
      <c r="A12" t="s">
        <v>68</v>
      </c>
      <c r="B12">
        <f>B11+1</f>
        <v>11</v>
      </c>
      <c r="C12">
        <v>1001</v>
      </c>
      <c r="D12" t="s">
        <v>90</v>
      </c>
      <c r="E12" t="s">
        <v>91</v>
      </c>
      <c r="F12" t="s">
        <v>92</v>
      </c>
      <c r="G12">
        <v>2016</v>
      </c>
      <c r="H12" t="s">
        <v>73</v>
      </c>
      <c r="I12">
        <v>16</v>
      </c>
      <c r="J12" t="s">
        <v>93</v>
      </c>
      <c r="K12" t="s">
        <v>94</v>
      </c>
      <c r="L12">
        <v>1</v>
      </c>
      <c r="M12">
        <v>1</v>
      </c>
      <c r="N12">
        <v>0</v>
      </c>
      <c r="O12">
        <v>0</v>
      </c>
      <c r="P12">
        <v>0</v>
      </c>
      <c r="Q12">
        <v>0</v>
      </c>
      <c r="R12">
        <v>0</v>
      </c>
      <c r="S12">
        <v>0</v>
      </c>
      <c r="T12">
        <v>0</v>
      </c>
      <c r="U12">
        <v>0</v>
      </c>
      <c r="V12">
        <v>0</v>
      </c>
      <c r="W12">
        <v>0</v>
      </c>
      <c r="X12">
        <v>1</v>
      </c>
      <c r="Y12">
        <v>0</v>
      </c>
      <c r="Z12" s="12" t="s">
        <v>98</v>
      </c>
      <c r="AA12" t="s">
        <v>78</v>
      </c>
      <c r="AB12">
        <v>0.41899999999999998</v>
      </c>
      <c r="AC12" s="7" t="s">
        <v>86</v>
      </c>
      <c r="AD12" s="17">
        <v>0.215</v>
      </c>
      <c r="AE12" t="s">
        <v>73</v>
      </c>
      <c r="AF12">
        <f>(2.52+2.46)/2</f>
        <v>2.4900000000000002</v>
      </c>
      <c r="AG12">
        <v>37</v>
      </c>
      <c r="AH12" s="17">
        <v>2.4500000000000002</v>
      </c>
      <c r="AI12" t="s">
        <v>73</v>
      </c>
      <c r="AJ12">
        <v>138</v>
      </c>
      <c r="AK12" t="s">
        <v>73</v>
      </c>
      <c r="AL12">
        <v>389</v>
      </c>
      <c r="AM12">
        <v>389</v>
      </c>
      <c r="AN12">
        <v>0.1</v>
      </c>
      <c r="AO12">
        <v>3</v>
      </c>
      <c r="AP12">
        <f>AB12/AD12</f>
        <v>1.9488372093023256</v>
      </c>
      <c r="AQ12" t="s">
        <v>73</v>
      </c>
      <c r="AR12" s="17">
        <v>0.16800000000000001</v>
      </c>
      <c r="AS12">
        <v>1</v>
      </c>
      <c r="AT12">
        <v>0</v>
      </c>
      <c r="AU12">
        <v>1</v>
      </c>
      <c r="AV12">
        <v>1</v>
      </c>
      <c r="AW12">
        <v>1</v>
      </c>
      <c r="AX12">
        <v>0</v>
      </c>
      <c r="AY12" t="s">
        <v>96</v>
      </c>
      <c r="AZ12" s="17">
        <v>2.31</v>
      </c>
      <c r="BA12" t="s">
        <v>73</v>
      </c>
      <c r="BB12">
        <v>1</v>
      </c>
      <c r="BC12">
        <v>1</v>
      </c>
      <c r="BD12" t="s">
        <v>83</v>
      </c>
      <c r="BE12" t="s">
        <v>83</v>
      </c>
      <c r="BF12" t="s">
        <v>73</v>
      </c>
      <c r="BG12">
        <v>14</v>
      </c>
      <c r="BH12">
        <v>7</v>
      </c>
      <c r="BI12" s="30">
        <f>(((AP12^2)/(AP12^2+AL12))^1/2)</f>
        <v>4.8345037303893371E-3</v>
      </c>
      <c r="BJ12" s="30">
        <f>- (((AP12^2)/(AP12^2+AM12))^1/2)</f>
        <v>-4.8345037303893371E-3</v>
      </c>
      <c r="BK12" s="30">
        <f t="shared" si="9"/>
        <v>-4.8345413956116306E-3</v>
      </c>
      <c r="BL12" s="30">
        <f t="shared" si="10"/>
        <v>2.5773195862209088E-3</v>
      </c>
      <c r="BM12" s="30">
        <f t="shared" si="11"/>
        <v>2.5906735751295338E-3</v>
      </c>
      <c r="BO12" t="s">
        <v>84</v>
      </c>
    </row>
    <row r="13" spans="1:68" hidden="1">
      <c r="A13" t="s">
        <v>68</v>
      </c>
      <c r="B13">
        <v>12</v>
      </c>
      <c r="C13">
        <v>1002</v>
      </c>
      <c r="D13" t="s">
        <v>99</v>
      </c>
      <c r="E13" t="s">
        <v>100</v>
      </c>
      <c r="F13" t="s">
        <v>101</v>
      </c>
      <c r="G13" t="s">
        <v>102</v>
      </c>
      <c r="H13" t="s">
        <v>73</v>
      </c>
      <c r="I13">
        <v>37</v>
      </c>
      <c r="J13" t="s">
        <v>93</v>
      </c>
      <c r="K13" t="s">
        <v>76</v>
      </c>
      <c r="L13">
        <v>1</v>
      </c>
      <c r="M13">
        <v>1</v>
      </c>
      <c r="N13">
        <v>0</v>
      </c>
      <c r="O13">
        <v>0</v>
      </c>
      <c r="P13">
        <v>0</v>
      </c>
      <c r="Q13">
        <v>0</v>
      </c>
      <c r="R13">
        <v>0</v>
      </c>
      <c r="S13">
        <v>0</v>
      </c>
      <c r="T13">
        <v>0</v>
      </c>
      <c r="U13">
        <v>0</v>
      </c>
      <c r="V13">
        <v>1</v>
      </c>
      <c r="W13">
        <v>0</v>
      </c>
      <c r="X13">
        <v>0</v>
      </c>
      <c r="Y13">
        <v>0</v>
      </c>
      <c r="Z13" t="s">
        <v>103</v>
      </c>
      <c r="AA13" t="s">
        <v>78</v>
      </c>
      <c r="AB13" t="s">
        <v>73</v>
      </c>
      <c r="AC13" s="7" t="s">
        <v>86</v>
      </c>
      <c r="AD13" t="s">
        <v>73</v>
      </c>
      <c r="AE13">
        <v>20</v>
      </c>
      <c r="AF13" t="s">
        <v>73</v>
      </c>
      <c r="AG13" t="s">
        <v>73</v>
      </c>
      <c r="AH13" t="s">
        <v>73</v>
      </c>
      <c r="AI13" t="s">
        <v>73</v>
      </c>
      <c r="AJ13" t="s">
        <v>73</v>
      </c>
      <c r="AK13" t="s">
        <v>73</v>
      </c>
      <c r="AL13">
        <v>102</v>
      </c>
      <c r="AM13">
        <f>7120+1879</f>
        <v>8999</v>
      </c>
      <c r="AN13">
        <v>0.1</v>
      </c>
      <c r="AO13">
        <v>2</v>
      </c>
      <c r="AP13">
        <v>1.6598999999999999</v>
      </c>
      <c r="AQ13" t="s">
        <v>73</v>
      </c>
      <c r="AR13" t="s">
        <v>73</v>
      </c>
      <c r="AS13">
        <v>1</v>
      </c>
      <c r="AT13">
        <v>1</v>
      </c>
      <c r="AU13">
        <v>1</v>
      </c>
      <c r="AV13">
        <v>1</v>
      </c>
      <c r="AW13">
        <v>0</v>
      </c>
      <c r="AX13">
        <v>1</v>
      </c>
      <c r="AY13" t="s">
        <v>81</v>
      </c>
      <c r="AZ13">
        <v>0.28837000000000002</v>
      </c>
      <c r="BA13" t="s">
        <v>73</v>
      </c>
      <c r="BB13">
        <v>1</v>
      </c>
      <c r="BC13">
        <v>1</v>
      </c>
      <c r="BD13" t="s">
        <v>83</v>
      </c>
      <c r="BE13" t="s">
        <v>83</v>
      </c>
      <c r="BF13" t="s">
        <v>73</v>
      </c>
      <c r="BG13" s="31">
        <v>52.143000000000001</v>
      </c>
      <c r="BH13">
        <v>5</v>
      </c>
      <c r="BI13" s="30">
        <f>(((AP13^2)/(AP13^2+AL13))^1/2)</f>
        <v>1.3150975900023379E-2</v>
      </c>
      <c r="BJ13" s="30">
        <f>- (((AP13^2)/(AP13^2+AM13))^1/2)</f>
        <v>-1.5304059752610345E-4</v>
      </c>
      <c r="BK13" s="30">
        <f t="shared" si="9"/>
        <v>-1.5304059872088668E-4</v>
      </c>
      <c r="BL13" s="30">
        <f t="shared" si="10"/>
        <v>9.9009900990098959E-3</v>
      </c>
      <c r="BM13" s="30">
        <f t="shared" si="11"/>
        <v>1.0101010101010102E-2</v>
      </c>
    </row>
    <row r="14" spans="1:68" hidden="1">
      <c r="A14" t="s">
        <v>68</v>
      </c>
      <c r="B14">
        <v>13</v>
      </c>
      <c r="C14">
        <v>1002</v>
      </c>
      <c r="D14" t="s">
        <v>99</v>
      </c>
      <c r="E14" t="s">
        <v>100</v>
      </c>
      <c r="F14" t="s">
        <v>101</v>
      </c>
      <c r="G14" t="s">
        <v>102</v>
      </c>
      <c r="H14" t="s">
        <v>73</v>
      </c>
      <c r="I14">
        <v>37</v>
      </c>
      <c r="J14" t="s">
        <v>93</v>
      </c>
      <c r="K14" t="s">
        <v>76</v>
      </c>
      <c r="L14">
        <v>1</v>
      </c>
      <c r="M14">
        <v>1</v>
      </c>
      <c r="N14">
        <v>0</v>
      </c>
      <c r="O14">
        <v>0</v>
      </c>
      <c r="P14">
        <v>0</v>
      </c>
      <c r="Q14">
        <v>0</v>
      </c>
      <c r="R14">
        <v>0</v>
      </c>
      <c r="S14">
        <v>0</v>
      </c>
      <c r="T14">
        <v>0</v>
      </c>
      <c r="U14">
        <v>0</v>
      </c>
      <c r="V14">
        <v>1</v>
      </c>
      <c r="W14">
        <v>0</v>
      </c>
      <c r="X14">
        <v>0</v>
      </c>
      <c r="Y14">
        <v>0</v>
      </c>
      <c r="Z14" t="s">
        <v>104</v>
      </c>
      <c r="AA14" t="s">
        <v>78</v>
      </c>
      <c r="AB14" t="s">
        <v>73</v>
      </c>
      <c r="AC14" s="7" t="s">
        <v>86</v>
      </c>
      <c r="AD14" t="s">
        <v>73</v>
      </c>
      <c r="AE14">
        <v>5</v>
      </c>
      <c r="AF14" t="s">
        <v>73</v>
      </c>
      <c r="AG14" t="s">
        <v>73</v>
      </c>
      <c r="AH14" t="s">
        <v>73</v>
      </c>
      <c r="AI14" t="s">
        <v>73</v>
      </c>
      <c r="AJ14" t="s">
        <v>73</v>
      </c>
      <c r="AK14" t="s">
        <v>73</v>
      </c>
      <c r="AL14">
        <v>102</v>
      </c>
      <c r="AM14">
        <f>7120+1879</f>
        <v>8999</v>
      </c>
      <c r="AN14">
        <v>0.1</v>
      </c>
      <c r="AO14">
        <v>1</v>
      </c>
      <c r="AP14" t="s">
        <v>73</v>
      </c>
      <c r="AQ14" t="s">
        <v>73</v>
      </c>
      <c r="AR14" t="s">
        <v>73</v>
      </c>
      <c r="AS14">
        <v>1</v>
      </c>
      <c r="AT14">
        <v>1</v>
      </c>
      <c r="AU14">
        <v>1</v>
      </c>
      <c r="AV14">
        <v>1</v>
      </c>
      <c r="AW14">
        <v>0</v>
      </c>
      <c r="AX14">
        <v>1</v>
      </c>
      <c r="AY14" t="s">
        <v>81</v>
      </c>
      <c r="AZ14">
        <v>0.28837000000000002</v>
      </c>
      <c r="BA14" t="s">
        <v>73</v>
      </c>
      <c r="BB14">
        <v>1</v>
      </c>
      <c r="BC14">
        <v>1</v>
      </c>
      <c r="BD14" t="s">
        <v>83</v>
      </c>
      <c r="BE14" t="s">
        <v>83</v>
      </c>
      <c r="BF14" t="s">
        <v>73</v>
      </c>
      <c r="BG14" s="31">
        <v>52.143000000000001</v>
      </c>
      <c r="BH14">
        <v>12</v>
      </c>
      <c r="BI14" s="30">
        <v>0</v>
      </c>
      <c r="BJ14" s="30">
        <v>0</v>
      </c>
      <c r="BK14" s="30">
        <f t="shared" si="9"/>
        <v>0</v>
      </c>
      <c r="BL14" s="30">
        <f t="shared" si="10"/>
        <v>9.9009900990099011E-3</v>
      </c>
      <c r="BM14" s="30">
        <f t="shared" si="11"/>
        <v>1.0101010101010102E-2</v>
      </c>
    </row>
    <row r="15" spans="1:68" hidden="1">
      <c r="A15" t="s">
        <v>68</v>
      </c>
      <c r="B15">
        <f>B14+1</f>
        <v>14</v>
      </c>
      <c r="C15">
        <v>1002</v>
      </c>
      <c r="D15" t="s">
        <v>99</v>
      </c>
      <c r="E15" t="s">
        <v>100</v>
      </c>
      <c r="F15" t="s">
        <v>101</v>
      </c>
      <c r="G15" t="s">
        <v>102</v>
      </c>
      <c r="H15" t="s">
        <v>73</v>
      </c>
      <c r="I15">
        <v>37</v>
      </c>
      <c r="J15" t="s">
        <v>93</v>
      </c>
      <c r="K15" t="s">
        <v>76</v>
      </c>
      <c r="L15">
        <v>1</v>
      </c>
      <c r="M15">
        <v>1</v>
      </c>
      <c r="N15">
        <v>0</v>
      </c>
      <c r="O15">
        <v>0</v>
      </c>
      <c r="P15">
        <v>0</v>
      </c>
      <c r="Q15">
        <v>0</v>
      </c>
      <c r="R15">
        <v>0</v>
      </c>
      <c r="S15">
        <v>0</v>
      </c>
      <c r="T15">
        <v>0</v>
      </c>
      <c r="U15">
        <v>1</v>
      </c>
      <c r="V15">
        <v>0</v>
      </c>
      <c r="W15">
        <v>0</v>
      </c>
      <c r="X15">
        <v>0</v>
      </c>
      <c r="Y15">
        <v>0</v>
      </c>
      <c r="Z15" t="s">
        <v>103</v>
      </c>
      <c r="AA15" t="s">
        <v>78</v>
      </c>
      <c r="AB15" t="s">
        <v>73</v>
      </c>
      <c r="AC15" s="7" t="s">
        <v>86</v>
      </c>
      <c r="AD15" t="s">
        <v>73</v>
      </c>
      <c r="AE15" t="s">
        <v>73</v>
      </c>
      <c r="AF15" t="s">
        <v>73</v>
      </c>
      <c r="AG15" t="s">
        <v>73</v>
      </c>
      <c r="AH15" t="s">
        <v>73</v>
      </c>
      <c r="AI15" t="s">
        <v>73</v>
      </c>
      <c r="AJ15" t="s">
        <v>73</v>
      </c>
      <c r="AK15" t="s">
        <v>73</v>
      </c>
      <c r="AL15">
        <v>102</v>
      </c>
      <c r="AM15">
        <f>7120+1879</f>
        <v>8999</v>
      </c>
      <c r="AN15">
        <v>0.1</v>
      </c>
      <c r="AO15">
        <v>1</v>
      </c>
      <c r="AP15" t="s">
        <v>73</v>
      </c>
      <c r="AQ15" t="s">
        <v>73</v>
      </c>
      <c r="AR15" t="s">
        <v>73</v>
      </c>
      <c r="AS15">
        <v>1</v>
      </c>
      <c r="AT15">
        <v>1</v>
      </c>
      <c r="AU15">
        <v>1</v>
      </c>
      <c r="AV15">
        <v>1</v>
      </c>
      <c r="AW15">
        <v>0</v>
      </c>
      <c r="AX15">
        <v>1</v>
      </c>
      <c r="AY15" t="s">
        <v>81</v>
      </c>
      <c r="AZ15">
        <v>4.43337</v>
      </c>
      <c r="BA15" t="s">
        <v>73</v>
      </c>
      <c r="BB15">
        <v>1</v>
      </c>
      <c r="BC15">
        <v>1</v>
      </c>
      <c r="BD15" t="s">
        <v>83</v>
      </c>
      <c r="BE15" t="s">
        <v>83</v>
      </c>
      <c r="BF15" t="s">
        <v>73</v>
      </c>
      <c r="BG15" s="31">
        <v>52.143000000000001</v>
      </c>
      <c r="BH15">
        <v>5</v>
      </c>
      <c r="BI15" s="30">
        <v>0</v>
      </c>
      <c r="BJ15" s="30">
        <v>0</v>
      </c>
      <c r="BK15" s="30">
        <f t="shared" si="9"/>
        <v>0</v>
      </c>
      <c r="BL15" s="30">
        <f t="shared" si="10"/>
        <v>9.9009900990099011E-3</v>
      </c>
      <c r="BM15" s="30">
        <f t="shared" si="11"/>
        <v>1.0101010101010102E-2</v>
      </c>
    </row>
    <row r="16" spans="1:68" hidden="1">
      <c r="A16" t="s">
        <v>68</v>
      </c>
      <c r="B16">
        <f>B15+1</f>
        <v>15</v>
      </c>
      <c r="C16">
        <v>1002</v>
      </c>
      <c r="D16" t="s">
        <v>99</v>
      </c>
      <c r="E16" t="s">
        <v>100</v>
      </c>
      <c r="F16" t="s">
        <v>101</v>
      </c>
      <c r="G16" t="s">
        <v>102</v>
      </c>
      <c r="H16" t="s">
        <v>73</v>
      </c>
      <c r="I16">
        <v>37</v>
      </c>
      <c r="J16" t="s">
        <v>93</v>
      </c>
      <c r="K16" t="s">
        <v>76</v>
      </c>
      <c r="L16">
        <v>1</v>
      </c>
      <c r="M16">
        <v>1</v>
      </c>
      <c r="N16">
        <v>0</v>
      </c>
      <c r="O16">
        <v>0</v>
      </c>
      <c r="P16">
        <v>0</v>
      </c>
      <c r="Q16">
        <v>0</v>
      </c>
      <c r="R16">
        <v>0</v>
      </c>
      <c r="S16">
        <v>0</v>
      </c>
      <c r="T16">
        <v>0</v>
      </c>
      <c r="U16">
        <v>1</v>
      </c>
      <c r="V16">
        <v>0</v>
      </c>
      <c r="W16">
        <v>0</v>
      </c>
      <c r="X16">
        <v>0</v>
      </c>
      <c r="Y16">
        <v>0</v>
      </c>
      <c r="Z16" t="s">
        <v>104</v>
      </c>
      <c r="AA16" t="s">
        <v>78</v>
      </c>
      <c r="AB16" t="s">
        <v>73</v>
      </c>
      <c r="AC16" s="7" t="s">
        <v>86</v>
      </c>
      <c r="AD16" t="s">
        <v>73</v>
      </c>
      <c r="AE16">
        <v>25</v>
      </c>
      <c r="AF16" t="s">
        <v>73</v>
      </c>
      <c r="AG16" t="s">
        <v>73</v>
      </c>
      <c r="AH16" t="s">
        <v>73</v>
      </c>
      <c r="AI16" t="s">
        <v>73</v>
      </c>
      <c r="AJ16" t="s">
        <v>73</v>
      </c>
      <c r="AK16" t="s">
        <v>73</v>
      </c>
      <c r="AL16">
        <v>102</v>
      </c>
      <c r="AM16">
        <f>7120+1879</f>
        <v>8999</v>
      </c>
      <c r="AN16">
        <v>0.05</v>
      </c>
      <c r="AO16">
        <v>2</v>
      </c>
      <c r="AP16">
        <v>1.9835</v>
      </c>
      <c r="AQ16" t="s">
        <v>73</v>
      </c>
      <c r="AR16" t="s">
        <v>73</v>
      </c>
      <c r="AS16">
        <v>1</v>
      </c>
      <c r="AT16">
        <v>1</v>
      </c>
      <c r="AU16">
        <v>1</v>
      </c>
      <c r="AV16">
        <v>1</v>
      </c>
      <c r="AW16">
        <v>0</v>
      </c>
      <c r="AX16">
        <v>1</v>
      </c>
      <c r="AY16" t="s">
        <v>81</v>
      </c>
      <c r="AZ16">
        <v>4.43337</v>
      </c>
      <c r="BA16" t="s">
        <v>73</v>
      </c>
      <c r="BB16">
        <v>1</v>
      </c>
      <c r="BC16">
        <v>1</v>
      </c>
      <c r="BD16" t="s">
        <v>83</v>
      </c>
      <c r="BE16" t="s">
        <v>83</v>
      </c>
      <c r="BF16" t="s">
        <v>73</v>
      </c>
      <c r="BG16" s="31">
        <v>52.143000000000001</v>
      </c>
      <c r="BH16">
        <v>12</v>
      </c>
      <c r="BI16" s="30">
        <f>(((AP16^2)/(AP16^2+AL16))^1/2)</f>
        <v>1.8569402358829156E-2</v>
      </c>
      <c r="BJ16" s="30">
        <f>- (((AP16^2)/(AP16^2+AM16))^1/2)</f>
        <v>-2.1849944312748784E-4</v>
      </c>
      <c r="BK16" s="30">
        <f t="shared" si="9"/>
        <v>-2.1849944660474072E-4</v>
      </c>
      <c r="BL16" s="30">
        <f t="shared" si="10"/>
        <v>9.9009900990098786E-3</v>
      </c>
      <c r="BM16" s="30">
        <f t="shared" si="11"/>
        <v>1.0101010101010102E-2</v>
      </c>
    </row>
    <row r="17" spans="1:67" hidden="1">
      <c r="A17" t="s">
        <v>68</v>
      </c>
      <c r="B17">
        <v>16</v>
      </c>
      <c r="C17">
        <v>1003</v>
      </c>
      <c r="D17" t="s">
        <v>105</v>
      </c>
      <c r="E17" t="s">
        <v>106</v>
      </c>
      <c r="F17" t="s">
        <v>73</v>
      </c>
      <c r="G17">
        <v>1978</v>
      </c>
      <c r="H17" t="s">
        <v>73</v>
      </c>
      <c r="I17">
        <v>414</v>
      </c>
      <c r="J17" t="s">
        <v>107</v>
      </c>
      <c r="K17" t="s">
        <v>76</v>
      </c>
      <c r="L17">
        <v>1</v>
      </c>
      <c r="M17">
        <v>1</v>
      </c>
      <c r="N17">
        <v>0</v>
      </c>
      <c r="O17">
        <v>1</v>
      </c>
      <c r="P17">
        <v>0</v>
      </c>
      <c r="Q17">
        <v>0</v>
      </c>
      <c r="R17">
        <v>0</v>
      </c>
      <c r="S17">
        <v>0</v>
      </c>
      <c r="T17">
        <v>0</v>
      </c>
      <c r="U17">
        <v>0</v>
      </c>
      <c r="V17">
        <v>0</v>
      </c>
      <c r="W17">
        <v>0</v>
      </c>
      <c r="X17">
        <v>1</v>
      </c>
      <c r="Y17">
        <v>0</v>
      </c>
      <c r="Z17" t="s">
        <v>73</v>
      </c>
      <c r="AA17" t="s">
        <v>108</v>
      </c>
      <c r="AB17" t="s">
        <v>73</v>
      </c>
      <c r="AC17" s="7" t="s">
        <v>86</v>
      </c>
      <c r="AD17" t="s">
        <v>73</v>
      </c>
      <c r="AE17" t="s">
        <v>73</v>
      </c>
      <c r="AF17">
        <v>22.76</v>
      </c>
      <c r="AG17" t="s">
        <v>73</v>
      </c>
      <c r="AH17">
        <v>6.02</v>
      </c>
      <c r="AI17">
        <v>18.3</v>
      </c>
      <c r="AJ17" t="s">
        <v>73</v>
      </c>
      <c r="AK17">
        <v>2.96</v>
      </c>
      <c r="AL17">
        <v>40</v>
      </c>
      <c r="AM17">
        <f>3*4*AL17</f>
        <v>480</v>
      </c>
      <c r="AN17">
        <v>0.1</v>
      </c>
      <c r="AO17">
        <v>1</v>
      </c>
      <c r="AP17" t="s">
        <v>73</v>
      </c>
      <c r="AQ17">
        <f>AF17-AI17</f>
        <v>4.4600000000000009</v>
      </c>
      <c r="AR17" t="s">
        <v>73</v>
      </c>
      <c r="AS17">
        <v>1</v>
      </c>
      <c r="AT17">
        <v>0</v>
      </c>
      <c r="AU17">
        <v>0</v>
      </c>
      <c r="AV17">
        <v>1</v>
      </c>
      <c r="AW17">
        <v>0</v>
      </c>
      <c r="AX17">
        <v>1</v>
      </c>
      <c r="AY17" t="s">
        <v>81</v>
      </c>
      <c r="AZ17" s="32" t="s">
        <v>73</v>
      </c>
      <c r="BA17" t="s">
        <v>73</v>
      </c>
      <c r="BB17">
        <v>1</v>
      </c>
      <c r="BC17">
        <v>1</v>
      </c>
      <c r="BD17" t="s">
        <v>83</v>
      </c>
      <c r="BE17" t="s">
        <v>83</v>
      </c>
      <c r="BF17" t="s">
        <v>73</v>
      </c>
      <c r="BG17" t="s">
        <v>79</v>
      </c>
      <c r="BH17">
        <v>4</v>
      </c>
      <c r="BI17" s="30">
        <v>0</v>
      </c>
      <c r="BJ17" s="30">
        <v>0</v>
      </c>
      <c r="BK17" s="30">
        <f t="shared" si="9"/>
        <v>0</v>
      </c>
      <c r="BL17" s="30">
        <f t="shared" si="10"/>
        <v>2.564102564102564E-2</v>
      </c>
      <c r="BM17" s="30">
        <f t="shared" si="11"/>
        <v>2.7027027027027029E-2</v>
      </c>
    </row>
    <row r="18" spans="1:67" hidden="1">
      <c r="A18" t="s">
        <v>68</v>
      </c>
      <c r="B18">
        <f>B17+1</f>
        <v>17</v>
      </c>
      <c r="C18">
        <v>1003</v>
      </c>
      <c r="D18" t="s">
        <v>105</v>
      </c>
      <c r="E18" t="s">
        <v>106</v>
      </c>
      <c r="F18" t="s">
        <v>73</v>
      </c>
      <c r="G18">
        <v>1978</v>
      </c>
      <c r="H18" t="s">
        <v>73</v>
      </c>
      <c r="I18">
        <v>414</v>
      </c>
      <c r="J18" t="s">
        <v>107</v>
      </c>
      <c r="K18" t="s">
        <v>76</v>
      </c>
      <c r="L18">
        <v>1</v>
      </c>
      <c r="M18">
        <v>1</v>
      </c>
      <c r="N18">
        <v>0</v>
      </c>
      <c r="O18">
        <v>0</v>
      </c>
      <c r="P18">
        <v>0</v>
      </c>
      <c r="Q18">
        <v>0</v>
      </c>
      <c r="R18">
        <v>0</v>
      </c>
      <c r="S18">
        <v>0</v>
      </c>
      <c r="T18">
        <v>0</v>
      </c>
      <c r="U18">
        <v>0</v>
      </c>
      <c r="V18">
        <v>0</v>
      </c>
      <c r="W18">
        <v>0</v>
      </c>
      <c r="X18">
        <v>1</v>
      </c>
      <c r="Y18">
        <v>0</v>
      </c>
      <c r="Z18" t="s">
        <v>73</v>
      </c>
      <c r="AA18" t="s">
        <v>108</v>
      </c>
      <c r="AB18" t="s">
        <v>73</v>
      </c>
      <c r="AC18" s="7" t="s">
        <v>86</v>
      </c>
      <c r="AD18" t="s">
        <v>73</v>
      </c>
      <c r="AE18" t="s">
        <v>73</v>
      </c>
      <c r="AF18">
        <v>22.76</v>
      </c>
      <c r="AG18" t="s">
        <v>73</v>
      </c>
      <c r="AH18">
        <v>6.02</v>
      </c>
      <c r="AI18">
        <v>20.61</v>
      </c>
      <c r="AJ18" t="s">
        <v>73</v>
      </c>
      <c r="AK18">
        <v>5.69</v>
      </c>
      <c r="AL18">
        <v>40</v>
      </c>
      <c r="AM18">
        <f>3*4*AL18</f>
        <v>480</v>
      </c>
      <c r="AN18">
        <v>0.1</v>
      </c>
      <c r="AO18">
        <v>1</v>
      </c>
      <c r="AP18" t="s">
        <v>73</v>
      </c>
      <c r="AQ18">
        <f>AF18-AI18</f>
        <v>2.1500000000000021</v>
      </c>
      <c r="AR18" t="s">
        <v>73</v>
      </c>
      <c r="AS18">
        <v>1</v>
      </c>
      <c r="AT18">
        <v>0</v>
      </c>
      <c r="AU18">
        <v>0</v>
      </c>
      <c r="AV18">
        <v>1</v>
      </c>
      <c r="AW18">
        <v>0</v>
      </c>
      <c r="AX18">
        <v>1</v>
      </c>
      <c r="AY18" t="s">
        <v>81</v>
      </c>
      <c r="AZ18" s="32" t="s">
        <v>73</v>
      </c>
      <c r="BA18" t="s">
        <v>73</v>
      </c>
      <c r="BB18">
        <v>1</v>
      </c>
      <c r="BC18">
        <v>1</v>
      </c>
      <c r="BD18" t="s">
        <v>83</v>
      </c>
      <c r="BE18" t="s">
        <v>83</v>
      </c>
      <c r="BF18" t="s">
        <v>73</v>
      </c>
      <c r="BG18" t="s">
        <v>79</v>
      </c>
      <c r="BH18">
        <v>4</v>
      </c>
      <c r="BI18" s="30">
        <v>0</v>
      </c>
      <c r="BJ18" s="30">
        <v>0</v>
      </c>
      <c r="BK18" s="30">
        <f t="shared" si="9"/>
        <v>0</v>
      </c>
      <c r="BL18" s="30">
        <f t="shared" si="10"/>
        <v>2.564102564102564E-2</v>
      </c>
      <c r="BM18" s="30">
        <f t="shared" si="11"/>
        <v>2.7027027027027029E-2</v>
      </c>
    </row>
    <row r="19" spans="1:67" hidden="1">
      <c r="A19" t="s">
        <v>68</v>
      </c>
      <c r="B19">
        <f>B18+1</f>
        <v>18</v>
      </c>
      <c r="C19">
        <v>1003</v>
      </c>
      <c r="D19" t="s">
        <v>105</v>
      </c>
      <c r="E19" t="s">
        <v>106</v>
      </c>
      <c r="F19" t="s">
        <v>73</v>
      </c>
      <c r="G19">
        <v>1978</v>
      </c>
      <c r="H19" t="s">
        <v>73</v>
      </c>
      <c r="I19">
        <v>414</v>
      </c>
      <c r="J19" t="s">
        <v>107</v>
      </c>
      <c r="K19" t="s">
        <v>76</v>
      </c>
      <c r="L19">
        <v>1</v>
      </c>
      <c r="M19">
        <v>0</v>
      </c>
      <c r="N19">
        <v>0</v>
      </c>
      <c r="O19">
        <v>1</v>
      </c>
      <c r="P19">
        <v>0</v>
      </c>
      <c r="Q19">
        <v>0</v>
      </c>
      <c r="R19">
        <v>0</v>
      </c>
      <c r="S19">
        <v>0</v>
      </c>
      <c r="T19">
        <v>0</v>
      </c>
      <c r="U19">
        <v>0</v>
      </c>
      <c r="V19">
        <v>0</v>
      </c>
      <c r="W19">
        <v>0</v>
      </c>
      <c r="X19">
        <v>1</v>
      </c>
      <c r="Y19">
        <v>0</v>
      </c>
      <c r="Z19" t="s">
        <v>73</v>
      </c>
      <c r="AA19" t="s">
        <v>108</v>
      </c>
      <c r="AB19" t="s">
        <v>73</v>
      </c>
      <c r="AC19" s="7" t="s">
        <v>86</v>
      </c>
      <c r="AD19" t="s">
        <v>73</v>
      </c>
      <c r="AE19" t="s">
        <v>73</v>
      </c>
      <c r="AF19">
        <v>22.76</v>
      </c>
      <c r="AG19" t="s">
        <v>73</v>
      </c>
      <c r="AH19">
        <v>6.02</v>
      </c>
      <c r="AI19">
        <v>18.239999999999998</v>
      </c>
      <c r="AJ19" t="s">
        <v>73</v>
      </c>
      <c r="AK19">
        <v>4.5</v>
      </c>
      <c r="AL19">
        <v>40</v>
      </c>
      <c r="AM19">
        <f>3*4*AL19</f>
        <v>480</v>
      </c>
      <c r="AN19">
        <v>0.1</v>
      </c>
      <c r="AO19">
        <v>1</v>
      </c>
      <c r="AP19" t="s">
        <v>73</v>
      </c>
      <c r="AQ19">
        <f>AF19-AI19</f>
        <v>4.5200000000000031</v>
      </c>
      <c r="AR19" t="s">
        <v>73</v>
      </c>
      <c r="AS19">
        <v>1</v>
      </c>
      <c r="AT19">
        <v>0</v>
      </c>
      <c r="AU19">
        <v>0</v>
      </c>
      <c r="AV19">
        <v>1</v>
      </c>
      <c r="AW19">
        <v>0</v>
      </c>
      <c r="AX19">
        <v>1</v>
      </c>
      <c r="AY19" t="s">
        <v>81</v>
      </c>
      <c r="AZ19" s="32" t="s">
        <v>73</v>
      </c>
      <c r="BA19" t="s">
        <v>73</v>
      </c>
      <c r="BB19">
        <v>1</v>
      </c>
      <c r="BC19">
        <v>1</v>
      </c>
      <c r="BD19" t="s">
        <v>83</v>
      </c>
      <c r="BE19" t="s">
        <v>83</v>
      </c>
      <c r="BF19" t="s">
        <v>73</v>
      </c>
      <c r="BG19" t="s">
        <v>79</v>
      </c>
      <c r="BH19">
        <v>4</v>
      </c>
      <c r="BI19" s="30">
        <v>0</v>
      </c>
      <c r="BJ19" s="30">
        <v>0</v>
      </c>
      <c r="BK19" s="30">
        <f t="shared" si="9"/>
        <v>0</v>
      </c>
      <c r="BL19" s="30">
        <f t="shared" si="10"/>
        <v>2.564102564102564E-2</v>
      </c>
      <c r="BM19" s="30">
        <f t="shared" si="11"/>
        <v>2.7027027027027029E-2</v>
      </c>
    </row>
    <row r="20" spans="1:67" s="32" customFormat="1" hidden="1">
      <c r="A20" s="32" t="s">
        <v>68</v>
      </c>
      <c r="B20" s="32">
        <v>19</v>
      </c>
      <c r="C20" s="32">
        <v>1004</v>
      </c>
      <c r="D20" s="32" t="s">
        <v>109</v>
      </c>
      <c r="E20" s="32" t="s">
        <v>110</v>
      </c>
      <c r="F20" s="32" t="s">
        <v>111</v>
      </c>
      <c r="G20" s="32">
        <v>2011</v>
      </c>
      <c r="H20" s="32" t="s">
        <v>73</v>
      </c>
      <c r="I20" s="32">
        <v>647</v>
      </c>
      <c r="J20" s="32" t="s">
        <v>107</v>
      </c>
      <c r="K20" s="32" t="s">
        <v>112</v>
      </c>
      <c r="L20" s="32">
        <v>1</v>
      </c>
      <c r="M20">
        <v>0</v>
      </c>
      <c r="N20">
        <v>0</v>
      </c>
      <c r="O20" s="32">
        <v>1</v>
      </c>
      <c r="P20">
        <v>0</v>
      </c>
      <c r="Q20">
        <v>0</v>
      </c>
      <c r="R20">
        <v>0</v>
      </c>
      <c r="S20">
        <v>0</v>
      </c>
      <c r="T20">
        <v>0</v>
      </c>
      <c r="U20">
        <v>0</v>
      </c>
      <c r="V20">
        <v>0</v>
      </c>
      <c r="W20">
        <v>0</v>
      </c>
      <c r="X20">
        <v>1</v>
      </c>
      <c r="Y20">
        <v>0</v>
      </c>
      <c r="Z20" s="32" t="s">
        <v>73</v>
      </c>
      <c r="AA20" t="s">
        <v>113</v>
      </c>
      <c r="AB20" s="33" t="s">
        <v>73</v>
      </c>
      <c r="AC20" s="33" t="s">
        <v>86</v>
      </c>
      <c r="AD20" t="s">
        <v>73</v>
      </c>
      <c r="AE20" s="32">
        <v>5.6</v>
      </c>
      <c r="AF20" s="32" t="s">
        <v>73</v>
      </c>
      <c r="AG20" s="32" t="s">
        <v>73</v>
      </c>
      <c r="AH20" s="32" t="s">
        <v>73</v>
      </c>
      <c r="AI20" s="32" t="s">
        <v>73</v>
      </c>
      <c r="AJ20" s="32">
        <v>88</v>
      </c>
      <c r="AK20" s="32" t="s">
        <v>73</v>
      </c>
      <c r="AL20" s="32">
        <v>88</v>
      </c>
      <c r="AM20" s="32">
        <f>168*13</f>
        <v>2184</v>
      </c>
      <c r="AN20" s="32">
        <v>0.01</v>
      </c>
      <c r="AO20" s="32">
        <v>2</v>
      </c>
      <c r="AP20" s="32">
        <v>2.6328999999999998</v>
      </c>
      <c r="AQ20" s="32">
        <v>7.0000000000000007E-2</v>
      </c>
      <c r="AR20" s="32" t="s">
        <v>73</v>
      </c>
      <c r="AS20" s="32">
        <v>1</v>
      </c>
      <c r="AT20">
        <v>0</v>
      </c>
      <c r="AU20">
        <v>0</v>
      </c>
      <c r="AV20">
        <v>0</v>
      </c>
      <c r="AW20">
        <v>0</v>
      </c>
      <c r="AX20">
        <v>1</v>
      </c>
      <c r="AY20" s="32" t="s">
        <v>81</v>
      </c>
      <c r="AZ20" s="32" t="s">
        <v>73</v>
      </c>
      <c r="BA20" t="s">
        <v>73</v>
      </c>
      <c r="BB20">
        <v>1</v>
      </c>
      <c r="BC20">
        <v>1</v>
      </c>
      <c r="BD20" t="s">
        <v>83</v>
      </c>
      <c r="BE20" t="s">
        <v>83</v>
      </c>
      <c r="BF20" t="s">
        <v>73</v>
      </c>
      <c r="BG20" s="19">
        <f t="shared" ref="BG20:BH22" si="12" xml:space="preserve"> 3 * 4.345</f>
        <v>13.035</v>
      </c>
      <c r="BH20" s="19">
        <f t="shared" si="12"/>
        <v>13.035</v>
      </c>
      <c r="BI20" s="30">
        <f>(((AP20^2)/(AP20^2+AL20))^1/2)</f>
        <v>3.6511137184787101E-2</v>
      </c>
      <c r="BJ20" s="30">
        <f>- (((AP20^2)/(AP20^2+AM20))^1/2)</f>
        <v>-1.5820121062933097E-3</v>
      </c>
      <c r="BK20" s="30">
        <f t="shared" si="9"/>
        <v>-1.5820134260953714E-3</v>
      </c>
      <c r="BL20" s="30">
        <f t="shared" si="10"/>
        <v>1.149425287349122E-2</v>
      </c>
      <c r="BM20" s="30">
        <f t="shared" si="11"/>
        <v>1.1764705882352941E-2</v>
      </c>
    </row>
    <row r="21" spans="1:67" s="32" customFormat="1" hidden="1">
      <c r="A21" s="32" t="s">
        <v>68</v>
      </c>
      <c r="B21" s="32">
        <v>20</v>
      </c>
      <c r="C21" s="32">
        <v>1004</v>
      </c>
      <c r="D21" s="32" t="s">
        <v>109</v>
      </c>
      <c r="E21" s="32" t="s">
        <v>110</v>
      </c>
      <c r="F21" s="32" t="s">
        <v>111</v>
      </c>
      <c r="G21" s="32">
        <v>2011</v>
      </c>
      <c r="H21" s="32" t="s">
        <v>73</v>
      </c>
      <c r="I21" s="32">
        <v>647</v>
      </c>
      <c r="J21" s="32" t="s">
        <v>107</v>
      </c>
      <c r="K21" s="32" t="s">
        <v>112</v>
      </c>
      <c r="L21" s="32">
        <v>1</v>
      </c>
      <c r="M21">
        <v>0</v>
      </c>
      <c r="N21">
        <v>0</v>
      </c>
      <c r="O21" s="32">
        <v>1</v>
      </c>
      <c r="P21">
        <v>0</v>
      </c>
      <c r="Q21">
        <v>0</v>
      </c>
      <c r="R21">
        <v>0</v>
      </c>
      <c r="S21">
        <v>0</v>
      </c>
      <c r="T21">
        <v>0</v>
      </c>
      <c r="U21">
        <v>0</v>
      </c>
      <c r="V21">
        <v>0</v>
      </c>
      <c r="W21">
        <v>0</v>
      </c>
      <c r="X21">
        <v>1</v>
      </c>
      <c r="Y21">
        <v>0</v>
      </c>
      <c r="Z21" s="32" t="s">
        <v>73</v>
      </c>
      <c r="AA21" t="s">
        <v>114</v>
      </c>
      <c r="AB21" s="33" t="s">
        <v>73</v>
      </c>
      <c r="AC21" s="33" t="s">
        <v>86</v>
      </c>
      <c r="AD21" t="s">
        <v>73</v>
      </c>
      <c r="AE21" s="32">
        <v>17</v>
      </c>
      <c r="AF21" s="32" t="s">
        <v>73</v>
      </c>
      <c r="AG21" s="32" t="s">
        <v>73</v>
      </c>
      <c r="AH21" s="32" t="s">
        <v>73</v>
      </c>
      <c r="AI21" s="32" t="s">
        <v>73</v>
      </c>
      <c r="AJ21" s="32">
        <v>88</v>
      </c>
      <c r="AK21" s="32" t="s">
        <v>73</v>
      </c>
      <c r="AL21" s="32">
        <v>88</v>
      </c>
      <c r="AM21" s="32">
        <f>168*13</f>
        <v>2184</v>
      </c>
      <c r="AN21" s="32">
        <v>0.01</v>
      </c>
      <c r="AO21" s="32">
        <v>2</v>
      </c>
      <c r="AP21" s="32">
        <v>2.6328999999999998</v>
      </c>
      <c r="AQ21" s="32">
        <v>0.45</v>
      </c>
      <c r="AR21" s="32" t="s">
        <v>73</v>
      </c>
      <c r="AS21" s="32">
        <v>1</v>
      </c>
      <c r="AT21">
        <v>0</v>
      </c>
      <c r="AU21">
        <v>0</v>
      </c>
      <c r="AV21">
        <v>0</v>
      </c>
      <c r="AW21">
        <v>0</v>
      </c>
      <c r="AX21">
        <v>1</v>
      </c>
      <c r="AY21" s="32" t="s">
        <v>81</v>
      </c>
      <c r="AZ21" s="32" t="s">
        <v>73</v>
      </c>
      <c r="BA21" t="s">
        <v>73</v>
      </c>
      <c r="BB21">
        <v>1</v>
      </c>
      <c r="BC21">
        <v>1</v>
      </c>
      <c r="BD21" t="s">
        <v>83</v>
      </c>
      <c r="BE21" t="s">
        <v>83</v>
      </c>
      <c r="BF21" t="s">
        <v>73</v>
      </c>
      <c r="BG21" s="19">
        <f t="shared" si="12"/>
        <v>13.035</v>
      </c>
      <c r="BH21" s="19">
        <f t="shared" si="12"/>
        <v>13.035</v>
      </c>
      <c r="BI21" s="30">
        <f>(((AP21^2)/(AP21^2+AL21))^1/2)</f>
        <v>3.6511137184787101E-2</v>
      </c>
      <c r="BJ21" s="30">
        <f>- (((AP21^2)/(AP21^2+AM21))^1/2)</f>
        <v>-1.5820121062933097E-3</v>
      </c>
      <c r="BK21" s="30">
        <f t="shared" si="9"/>
        <v>-1.5820134260953714E-3</v>
      </c>
      <c r="BL21" s="30">
        <f t="shared" si="10"/>
        <v>1.149425287349122E-2</v>
      </c>
      <c r="BM21" s="30">
        <f t="shared" si="11"/>
        <v>1.1764705882352941E-2</v>
      </c>
    </row>
    <row r="22" spans="1:67" s="32" customFormat="1" hidden="1">
      <c r="A22" s="32" t="s">
        <v>68</v>
      </c>
      <c r="B22" s="32">
        <v>21</v>
      </c>
      <c r="C22" s="32">
        <v>1004</v>
      </c>
      <c r="D22" s="32" t="s">
        <v>109</v>
      </c>
      <c r="E22" s="32" t="s">
        <v>110</v>
      </c>
      <c r="F22" s="32" t="s">
        <v>111</v>
      </c>
      <c r="G22" s="32">
        <v>2011</v>
      </c>
      <c r="H22" s="32" t="s">
        <v>73</v>
      </c>
      <c r="I22" s="32">
        <v>647</v>
      </c>
      <c r="J22" s="32" t="s">
        <v>107</v>
      </c>
      <c r="K22" s="32" t="s">
        <v>112</v>
      </c>
      <c r="L22" s="32">
        <v>1</v>
      </c>
      <c r="M22">
        <v>0</v>
      </c>
      <c r="N22">
        <v>0</v>
      </c>
      <c r="O22" s="32">
        <v>1</v>
      </c>
      <c r="P22">
        <v>0</v>
      </c>
      <c r="Q22">
        <v>0</v>
      </c>
      <c r="R22">
        <v>0</v>
      </c>
      <c r="S22">
        <v>0</v>
      </c>
      <c r="T22">
        <v>0</v>
      </c>
      <c r="U22">
        <v>0</v>
      </c>
      <c r="V22">
        <v>0</v>
      </c>
      <c r="W22">
        <v>0</v>
      </c>
      <c r="X22">
        <v>1</v>
      </c>
      <c r="Y22">
        <v>0</v>
      </c>
      <c r="Z22" s="32" t="s">
        <v>73</v>
      </c>
      <c r="AA22" t="s">
        <v>115</v>
      </c>
      <c r="AB22" s="33" t="s">
        <v>73</v>
      </c>
      <c r="AC22" s="33" t="s">
        <v>86</v>
      </c>
      <c r="AD22" t="s">
        <v>73</v>
      </c>
      <c r="AE22" s="32">
        <v>38</v>
      </c>
      <c r="AF22" s="32" t="s">
        <v>73</v>
      </c>
      <c r="AG22" s="32" t="s">
        <v>73</v>
      </c>
      <c r="AH22" s="32" t="s">
        <v>73</v>
      </c>
      <c r="AI22" s="32" t="s">
        <v>73</v>
      </c>
      <c r="AJ22" s="32">
        <v>88</v>
      </c>
      <c r="AK22" s="32" t="s">
        <v>73</v>
      </c>
      <c r="AL22" s="32">
        <v>88</v>
      </c>
      <c r="AM22" s="32">
        <f>168*13</f>
        <v>2184</v>
      </c>
      <c r="AN22" s="32">
        <v>0.01</v>
      </c>
      <c r="AO22" s="32">
        <v>2</v>
      </c>
      <c r="AP22" s="32">
        <v>2.6328999999999998</v>
      </c>
      <c r="AQ22" s="32">
        <v>0.98</v>
      </c>
      <c r="AR22" s="32" t="s">
        <v>73</v>
      </c>
      <c r="AS22" s="32">
        <v>1</v>
      </c>
      <c r="AT22">
        <v>0</v>
      </c>
      <c r="AU22">
        <v>0</v>
      </c>
      <c r="AV22">
        <v>0</v>
      </c>
      <c r="AW22">
        <v>0</v>
      </c>
      <c r="AX22">
        <v>1</v>
      </c>
      <c r="AY22" s="32" t="s">
        <v>81</v>
      </c>
      <c r="AZ22" s="32" t="s">
        <v>73</v>
      </c>
      <c r="BA22" t="s">
        <v>73</v>
      </c>
      <c r="BB22">
        <v>1</v>
      </c>
      <c r="BC22">
        <v>1</v>
      </c>
      <c r="BD22" t="s">
        <v>83</v>
      </c>
      <c r="BE22" t="s">
        <v>83</v>
      </c>
      <c r="BF22" t="s">
        <v>73</v>
      </c>
      <c r="BG22" s="19">
        <f t="shared" si="12"/>
        <v>13.035</v>
      </c>
      <c r="BH22" s="19">
        <f t="shared" si="12"/>
        <v>13.035</v>
      </c>
      <c r="BI22" s="30">
        <f>(((AP22^2)/(AP22^2+AL22))^1/2)</f>
        <v>3.6511137184787101E-2</v>
      </c>
      <c r="BJ22" s="30">
        <f>- (((AP22^2)/(AP22^2+AM22))^1/2)</f>
        <v>-1.5820121062933097E-3</v>
      </c>
      <c r="BK22" s="30">
        <f t="shared" si="9"/>
        <v>-1.5820134260953714E-3</v>
      </c>
      <c r="BL22" s="30">
        <f t="shared" si="10"/>
        <v>1.149425287349122E-2</v>
      </c>
      <c r="BM22" s="30">
        <f t="shared" si="11"/>
        <v>1.1764705882352941E-2</v>
      </c>
    </row>
    <row r="23" spans="1:67" hidden="1">
      <c r="A23" t="s">
        <v>68</v>
      </c>
      <c r="B23">
        <v>22</v>
      </c>
      <c r="C23">
        <v>1005</v>
      </c>
      <c r="D23" t="s">
        <v>116</v>
      </c>
      <c r="E23" t="s">
        <v>117</v>
      </c>
      <c r="F23" t="s">
        <v>118</v>
      </c>
      <c r="G23" t="s">
        <v>119</v>
      </c>
      <c r="H23" t="s">
        <v>73</v>
      </c>
      <c r="J23" t="s">
        <v>120</v>
      </c>
      <c r="K23" t="s">
        <v>76</v>
      </c>
      <c r="L23">
        <v>1</v>
      </c>
      <c r="M23">
        <v>0</v>
      </c>
      <c r="N23">
        <v>0</v>
      </c>
      <c r="O23">
        <v>1</v>
      </c>
      <c r="P23">
        <v>0</v>
      </c>
      <c r="Q23">
        <v>0</v>
      </c>
      <c r="R23">
        <v>0</v>
      </c>
      <c r="S23">
        <v>0</v>
      </c>
      <c r="T23">
        <v>0</v>
      </c>
      <c r="U23">
        <v>0</v>
      </c>
      <c r="V23">
        <v>0</v>
      </c>
      <c r="W23">
        <v>0</v>
      </c>
      <c r="X23">
        <v>1</v>
      </c>
      <c r="Y23">
        <v>0</v>
      </c>
      <c r="Z23" t="s">
        <v>121</v>
      </c>
      <c r="AA23" t="s">
        <v>122</v>
      </c>
      <c r="AB23" s="7">
        <v>0</v>
      </c>
      <c r="AC23" s="7" t="s">
        <v>86</v>
      </c>
      <c r="AD23">
        <v>0.06</v>
      </c>
      <c r="AE23" t="s">
        <v>73</v>
      </c>
      <c r="AF23" t="s">
        <v>73</v>
      </c>
      <c r="AG23">
        <v>153</v>
      </c>
      <c r="AI23" s="32" t="s">
        <v>73</v>
      </c>
      <c r="AJ23">
        <v>154</v>
      </c>
      <c r="AK23" t="s">
        <v>73</v>
      </c>
      <c r="AL23">
        <v>691</v>
      </c>
      <c r="AM23">
        <v>691</v>
      </c>
      <c r="AN23" t="s">
        <v>123</v>
      </c>
      <c r="AO23">
        <v>3</v>
      </c>
      <c r="AP23">
        <f t="shared" ref="AP23:AP28" si="13">AB23/AD23</f>
        <v>0</v>
      </c>
      <c r="AQ23" t="s">
        <v>73</v>
      </c>
      <c r="AR23" t="s">
        <v>73</v>
      </c>
      <c r="AS23">
        <v>1</v>
      </c>
      <c r="AT23">
        <v>0</v>
      </c>
      <c r="AU23">
        <v>1</v>
      </c>
      <c r="AV23">
        <v>1</v>
      </c>
      <c r="AW23">
        <v>1</v>
      </c>
      <c r="AX23">
        <v>0</v>
      </c>
      <c r="AY23" t="s">
        <v>124</v>
      </c>
      <c r="AZ23">
        <v>16.23</v>
      </c>
      <c r="BA23" t="s">
        <v>73</v>
      </c>
      <c r="BB23">
        <v>1</v>
      </c>
      <c r="BC23">
        <v>1</v>
      </c>
      <c r="BD23" t="s">
        <v>83</v>
      </c>
      <c r="BE23" t="s">
        <v>83</v>
      </c>
      <c r="BF23" t="s">
        <v>73</v>
      </c>
      <c r="BG23" t="s">
        <v>79</v>
      </c>
      <c r="BH23" t="s">
        <v>79</v>
      </c>
      <c r="BI23" s="30">
        <f>(((AP23^2)/(AP23^2+AL23))^1/2)</f>
        <v>0</v>
      </c>
      <c r="BJ23" s="30">
        <f>- (((AP23^2)/(AP23^2+AM23))^1/2)</f>
        <v>0</v>
      </c>
      <c r="BK23" s="30">
        <f t="shared" si="9"/>
        <v>0</v>
      </c>
      <c r="BL23" s="30">
        <f t="shared" si="10"/>
        <v>1.4492753623188406E-3</v>
      </c>
      <c r="BM23" s="30">
        <f t="shared" si="11"/>
        <v>1.4534883720930232E-3</v>
      </c>
      <c r="BO23" t="s">
        <v>87</v>
      </c>
    </row>
    <row r="24" spans="1:67" hidden="1">
      <c r="A24" t="s">
        <v>68</v>
      </c>
      <c r="B24">
        <v>23</v>
      </c>
      <c r="C24">
        <v>1005</v>
      </c>
      <c r="D24" t="s">
        <v>116</v>
      </c>
      <c r="E24" t="s">
        <v>117</v>
      </c>
      <c r="F24" t="s">
        <v>118</v>
      </c>
      <c r="G24" t="s">
        <v>119</v>
      </c>
      <c r="H24" t="s">
        <v>73</v>
      </c>
      <c r="J24" t="s">
        <v>120</v>
      </c>
      <c r="K24" t="s">
        <v>76</v>
      </c>
      <c r="L24">
        <v>1</v>
      </c>
      <c r="M24">
        <v>0</v>
      </c>
      <c r="N24">
        <v>0</v>
      </c>
      <c r="O24">
        <v>1</v>
      </c>
      <c r="P24">
        <v>0</v>
      </c>
      <c r="Q24">
        <v>0</v>
      </c>
      <c r="R24">
        <v>0</v>
      </c>
      <c r="S24">
        <v>0</v>
      </c>
      <c r="T24">
        <v>0</v>
      </c>
      <c r="U24">
        <v>1</v>
      </c>
      <c r="V24">
        <v>0</v>
      </c>
      <c r="W24">
        <v>0</v>
      </c>
      <c r="X24">
        <v>0</v>
      </c>
      <c r="Y24">
        <v>0</v>
      </c>
      <c r="Z24" t="s">
        <v>121</v>
      </c>
      <c r="AA24" t="s">
        <v>122</v>
      </c>
      <c r="AB24" s="7">
        <v>0.08</v>
      </c>
      <c r="AC24" s="7" t="s">
        <v>80</v>
      </c>
      <c r="AD24">
        <v>0.06</v>
      </c>
      <c r="AE24" t="s">
        <v>73</v>
      </c>
      <c r="AF24" t="s">
        <v>73</v>
      </c>
      <c r="AG24">
        <v>153</v>
      </c>
      <c r="AI24" t="s">
        <v>73</v>
      </c>
      <c r="AJ24">
        <v>154</v>
      </c>
      <c r="AK24" t="s">
        <v>73</v>
      </c>
      <c r="AL24">
        <v>691</v>
      </c>
      <c r="AM24">
        <v>691</v>
      </c>
      <c r="AN24" t="s">
        <v>123</v>
      </c>
      <c r="AO24">
        <v>3</v>
      </c>
      <c r="AP24">
        <f t="shared" si="13"/>
        <v>1.3333333333333335</v>
      </c>
      <c r="AQ24" t="s">
        <v>73</v>
      </c>
      <c r="AR24" t="s">
        <v>73</v>
      </c>
      <c r="AS24">
        <v>1</v>
      </c>
      <c r="AT24">
        <v>0</v>
      </c>
      <c r="AU24">
        <v>1</v>
      </c>
      <c r="AV24">
        <v>1</v>
      </c>
      <c r="AW24">
        <v>1</v>
      </c>
      <c r="AX24">
        <v>0</v>
      </c>
      <c r="AY24" t="s">
        <v>124</v>
      </c>
      <c r="AZ24">
        <v>16.23</v>
      </c>
      <c r="BA24" t="s">
        <v>73</v>
      </c>
      <c r="BB24">
        <v>1</v>
      </c>
      <c r="BC24">
        <v>1</v>
      </c>
      <c r="BD24" t="s">
        <v>83</v>
      </c>
      <c r="BE24" t="s">
        <v>83</v>
      </c>
      <c r="BF24" t="s">
        <v>73</v>
      </c>
      <c r="BG24" t="s">
        <v>79</v>
      </c>
      <c r="BH24" t="s">
        <v>79</v>
      </c>
      <c r="BI24" s="30">
        <f t="shared" ref="BI24:BI32" si="14">(((AP24^2)/(AP24^2+AL24))^1/2)</f>
        <v>1.2830793905372897E-3</v>
      </c>
      <c r="BJ24" s="30">
        <f t="shared" ref="BJ24:BJ32" si="15">(((AP24^2)/(AP24^2+AM24))^1/2)</f>
        <v>1.2830793905372897E-3</v>
      </c>
      <c r="BK24" s="30">
        <f t="shared" si="9"/>
        <v>1.283080094646139E-3</v>
      </c>
      <c r="BL24" s="30">
        <f t="shared" si="10"/>
        <v>1.4492753623149127E-3</v>
      </c>
      <c r="BM24" s="30">
        <f t="shared" si="11"/>
        <v>1.4534883720930232E-3</v>
      </c>
      <c r="BO24" t="s">
        <v>87</v>
      </c>
    </row>
    <row r="25" spans="1:67" hidden="1">
      <c r="A25" t="s">
        <v>68</v>
      </c>
      <c r="B25">
        <v>24</v>
      </c>
      <c r="C25">
        <v>1005</v>
      </c>
      <c r="D25" t="s">
        <v>116</v>
      </c>
      <c r="E25" t="s">
        <v>117</v>
      </c>
      <c r="F25" t="s">
        <v>118</v>
      </c>
      <c r="G25" t="s">
        <v>119</v>
      </c>
      <c r="H25" t="s">
        <v>73</v>
      </c>
      <c r="J25" t="s">
        <v>120</v>
      </c>
      <c r="K25" t="s">
        <v>76</v>
      </c>
      <c r="L25">
        <v>1</v>
      </c>
      <c r="M25">
        <v>0</v>
      </c>
      <c r="N25">
        <v>0</v>
      </c>
      <c r="O25">
        <v>1</v>
      </c>
      <c r="P25">
        <v>0</v>
      </c>
      <c r="Q25">
        <v>0</v>
      </c>
      <c r="R25">
        <v>0</v>
      </c>
      <c r="S25">
        <v>1</v>
      </c>
      <c r="T25">
        <v>0</v>
      </c>
      <c r="U25">
        <v>0</v>
      </c>
      <c r="V25">
        <v>0</v>
      </c>
      <c r="W25">
        <v>0</v>
      </c>
      <c r="X25">
        <v>0</v>
      </c>
      <c r="Y25">
        <v>0</v>
      </c>
      <c r="Z25" t="s">
        <v>121</v>
      </c>
      <c r="AA25" t="s">
        <v>122</v>
      </c>
      <c r="AB25" s="7">
        <v>0.03</v>
      </c>
      <c r="AC25" s="7" t="s">
        <v>86</v>
      </c>
      <c r="AD25">
        <v>0.03</v>
      </c>
      <c r="AE25" t="s">
        <v>73</v>
      </c>
      <c r="AF25" t="s">
        <v>73</v>
      </c>
      <c r="AG25">
        <v>153</v>
      </c>
      <c r="AI25" t="s">
        <v>73</v>
      </c>
      <c r="AJ25">
        <v>154</v>
      </c>
      <c r="AK25" t="s">
        <v>73</v>
      </c>
      <c r="AL25">
        <v>691</v>
      </c>
      <c r="AM25">
        <v>691</v>
      </c>
      <c r="AN25" t="s">
        <v>123</v>
      </c>
      <c r="AO25">
        <v>3</v>
      </c>
      <c r="AP25">
        <f t="shared" si="13"/>
        <v>1</v>
      </c>
      <c r="AQ25" t="s">
        <v>73</v>
      </c>
      <c r="AR25" t="s">
        <v>73</v>
      </c>
      <c r="AS25">
        <v>1</v>
      </c>
      <c r="AT25">
        <v>0</v>
      </c>
      <c r="AU25">
        <v>1</v>
      </c>
      <c r="AV25">
        <v>1</v>
      </c>
      <c r="AW25">
        <v>1</v>
      </c>
      <c r="AX25">
        <v>0</v>
      </c>
      <c r="AY25" t="s">
        <v>124</v>
      </c>
      <c r="AZ25">
        <v>16.23</v>
      </c>
      <c r="BA25" t="s">
        <v>73</v>
      </c>
      <c r="BB25">
        <v>1</v>
      </c>
      <c r="BC25">
        <v>1</v>
      </c>
      <c r="BD25" t="s">
        <v>83</v>
      </c>
      <c r="BE25" t="s">
        <v>83</v>
      </c>
      <c r="BF25" t="s">
        <v>73</v>
      </c>
      <c r="BG25" t="s">
        <v>79</v>
      </c>
      <c r="BH25" t="s">
        <v>79</v>
      </c>
      <c r="BI25" s="30">
        <f t="shared" si="14"/>
        <v>7.2254335260115603E-4</v>
      </c>
      <c r="BJ25" s="30">
        <f>- (((AP25^2)/(AP25^2+AM25))^1/2)</f>
        <v>-7.2254335260115603E-4</v>
      </c>
      <c r="BK25" s="30">
        <f t="shared" si="9"/>
        <v>-7.2254347834034267E-4</v>
      </c>
      <c r="BL25" s="30">
        <f t="shared" si="10"/>
        <v>1.4492753623184455E-3</v>
      </c>
      <c r="BM25" s="30">
        <f t="shared" si="11"/>
        <v>1.4534883720930232E-3</v>
      </c>
      <c r="BO25" t="s">
        <v>87</v>
      </c>
    </row>
    <row r="26" spans="1:67" hidden="1">
      <c r="A26" t="s">
        <v>68</v>
      </c>
      <c r="B26">
        <v>25</v>
      </c>
      <c r="C26">
        <v>1005</v>
      </c>
      <c r="D26" t="s">
        <v>116</v>
      </c>
      <c r="E26" t="s">
        <v>117</v>
      </c>
      <c r="F26" t="s">
        <v>118</v>
      </c>
      <c r="G26" t="s">
        <v>119</v>
      </c>
      <c r="H26" t="s">
        <v>73</v>
      </c>
      <c r="J26" t="s">
        <v>120</v>
      </c>
      <c r="K26" t="s">
        <v>76</v>
      </c>
      <c r="L26">
        <v>1</v>
      </c>
      <c r="M26">
        <v>0</v>
      </c>
      <c r="N26">
        <v>0</v>
      </c>
      <c r="O26">
        <v>1</v>
      </c>
      <c r="P26">
        <v>0</v>
      </c>
      <c r="Q26">
        <v>0</v>
      </c>
      <c r="R26">
        <v>0</v>
      </c>
      <c r="S26">
        <v>0</v>
      </c>
      <c r="T26">
        <v>0</v>
      </c>
      <c r="U26">
        <v>0</v>
      </c>
      <c r="V26">
        <v>0</v>
      </c>
      <c r="W26">
        <v>0</v>
      </c>
      <c r="X26">
        <v>1</v>
      </c>
      <c r="Y26">
        <v>0</v>
      </c>
      <c r="Z26" t="s">
        <v>125</v>
      </c>
      <c r="AA26" t="s">
        <v>122</v>
      </c>
      <c r="AB26" s="7">
        <v>0.13</v>
      </c>
      <c r="AC26" s="7" t="s">
        <v>80</v>
      </c>
      <c r="AD26">
        <v>0.05</v>
      </c>
      <c r="AE26" t="s">
        <v>73</v>
      </c>
      <c r="AF26" t="s">
        <v>73</v>
      </c>
      <c r="AG26">
        <v>153</v>
      </c>
      <c r="AI26" t="s">
        <v>73</v>
      </c>
      <c r="AJ26">
        <v>384</v>
      </c>
      <c r="AK26" t="s">
        <v>73</v>
      </c>
      <c r="AL26">
        <v>691</v>
      </c>
      <c r="AM26">
        <v>691</v>
      </c>
      <c r="AN26" t="s">
        <v>123</v>
      </c>
      <c r="AO26">
        <v>3</v>
      </c>
      <c r="AP26">
        <f t="shared" si="13"/>
        <v>2.6</v>
      </c>
      <c r="AQ26" t="s">
        <v>73</v>
      </c>
      <c r="AR26" t="s">
        <v>73</v>
      </c>
      <c r="AS26">
        <v>1</v>
      </c>
      <c r="AT26">
        <v>0</v>
      </c>
      <c r="AU26">
        <v>1</v>
      </c>
      <c r="AV26">
        <v>1</v>
      </c>
      <c r="AW26">
        <v>1</v>
      </c>
      <c r="AX26">
        <v>0</v>
      </c>
      <c r="AY26" t="s">
        <v>124</v>
      </c>
      <c r="AZ26">
        <v>16.23</v>
      </c>
      <c r="BA26" t="s">
        <v>73</v>
      </c>
      <c r="BB26">
        <v>1</v>
      </c>
      <c r="BC26">
        <v>1</v>
      </c>
      <c r="BD26" t="s">
        <v>83</v>
      </c>
      <c r="BE26" t="s">
        <v>83</v>
      </c>
      <c r="BF26" t="s">
        <v>73</v>
      </c>
      <c r="BG26" t="s">
        <v>79</v>
      </c>
      <c r="BH26" t="s">
        <v>79</v>
      </c>
      <c r="BI26" s="30">
        <f t="shared" si="14"/>
        <v>4.8440724604448529E-3</v>
      </c>
      <c r="BJ26" s="30">
        <f t="shared" si="15"/>
        <v>4.8440724604448529E-3</v>
      </c>
      <c r="BK26" s="30">
        <f t="shared" si="9"/>
        <v>4.8441103497597737E-3</v>
      </c>
      <c r="BL26" s="30">
        <f t="shared" si="10"/>
        <v>1.4492753615208331E-3</v>
      </c>
      <c r="BM26" s="30">
        <f t="shared" si="11"/>
        <v>1.4534883720930232E-3</v>
      </c>
      <c r="BO26" t="s">
        <v>84</v>
      </c>
    </row>
    <row r="27" spans="1:67" hidden="1">
      <c r="A27" t="s">
        <v>68</v>
      </c>
      <c r="B27">
        <v>26</v>
      </c>
      <c r="C27">
        <v>1005</v>
      </c>
      <c r="D27" t="s">
        <v>116</v>
      </c>
      <c r="E27" t="s">
        <v>117</v>
      </c>
      <c r="F27" t="s">
        <v>118</v>
      </c>
      <c r="G27" t="s">
        <v>119</v>
      </c>
      <c r="H27" t="s">
        <v>73</v>
      </c>
      <c r="J27" t="s">
        <v>120</v>
      </c>
      <c r="K27" t="s">
        <v>76</v>
      </c>
      <c r="L27">
        <v>1</v>
      </c>
      <c r="M27">
        <v>0</v>
      </c>
      <c r="N27">
        <v>0</v>
      </c>
      <c r="O27">
        <v>1</v>
      </c>
      <c r="P27">
        <v>0</v>
      </c>
      <c r="Q27">
        <v>0</v>
      </c>
      <c r="R27">
        <v>0</v>
      </c>
      <c r="S27">
        <v>0</v>
      </c>
      <c r="T27">
        <v>0</v>
      </c>
      <c r="U27">
        <v>1</v>
      </c>
      <c r="V27">
        <v>0</v>
      </c>
      <c r="W27">
        <v>0</v>
      </c>
      <c r="X27">
        <v>0</v>
      </c>
      <c r="Y27">
        <v>0</v>
      </c>
      <c r="Z27" t="s">
        <v>125</v>
      </c>
      <c r="AA27" t="s">
        <v>122</v>
      </c>
      <c r="AB27" s="7">
        <v>0.15</v>
      </c>
      <c r="AC27" s="7" t="s">
        <v>80</v>
      </c>
      <c r="AD27">
        <v>0.05</v>
      </c>
      <c r="AE27" t="s">
        <v>73</v>
      </c>
      <c r="AF27" t="s">
        <v>73</v>
      </c>
      <c r="AG27">
        <v>153</v>
      </c>
      <c r="AI27" t="s">
        <v>73</v>
      </c>
      <c r="AJ27">
        <v>384</v>
      </c>
      <c r="AK27" t="s">
        <v>73</v>
      </c>
      <c r="AL27">
        <v>691</v>
      </c>
      <c r="AM27">
        <v>691</v>
      </c>
      <c r="AN27" t="s">
        <v>123</v>
      </c>
      <c r="AO27">
        <v>3</v>
      </c>
      <c r="AP27">
        <f t="shared" si="13"/>
        <v>2.9999999999999996</v>
      </c>
      <c r="AQ27" t="s">
        <v>73</v>
      </c>
      <c r="AR27" t="s">
        <v>73</v>
      </c>
      <c r="AS27">
        <v>1</v>
      </c>
      <c r="AT27">
        <v>0</v>
      </c>
      <c r="AU27">
        <v>1</v>
      </c>
      <c r="AV27">
        <v>1</v>
      </c>
      <c r="AW27">
        <v>1</v>
      </c>
      <c r="AX27">
        <v>0</v>
      </c>
      <c r="AY27" t="s">
        <v>124</v>
      </c>
      <c r="AZ27">
        <v>16.23</v>
      </c>
      <c r="BA27" t="s">
        <v>73</v>
      </c>
      <c r="BB27">
        <v>1</v>
      </c>
      <c r="BC27">
        <v>1</v>
      </c>
      <c r="BD27" t="s">
        <v>83</v>
      </c>
      <c r="BE27" t="s">
        <v>83</v>
      </c>
      <c r="BF27" t="s">
        <v>73</v>
      </c>
      <c r="BG27" t="s">
        <v>79</v>
      </c>
      <c r="BH27" t="s">
        <v>79</v>
      </c>
      <c r="BI27" s="30">
        <f t="shared" si="14"/>
        <v>6.4285714285714259E-3</v>
      </c>
      <c r="BJ27" s="30">
        <f t="shared" si="15"/>
        <v>6.4285714285714259E-3</v>
      </c>
      <c r="BK27" s="30">
        <f t="shared" si="9"/>
        <v>6.4286599876186967E-3</v>
      </c>
      <c r="BL27" s="30">
        <f t="shared" si="10"/>
        <v>1.4492753598435127E-3</v>
      </c>
      <c r="BM27" s="30">
        <f t="shared" si="11"/>
        <v>1.4534883720930232E-3</v>
      </c>
      <c r="BO27" t="s">
        <v>84</v>
      </c>
    </row>
    <row r="28" spans="1:67" hidden="1">
      <c r="A28" t="s">
        <v>68</v>
      </c>
      <c r="B28">
        <v>27</v>
      </c>
      <c r="C28">
        <v>1005</v>
      </c>
      <c r="D28" t="s">
        <v>116</v>
      </c>
      <c r="E28" t="s">
        <v>117</v>
      </c>
      <c r="F28" t="s">
        <v>118</v>
      </c>
      <c r="G28" t="s">
        <v>119</v>
      </c>
      <c r="H28" t="s">
        <v>73</v>
      </c>
      <c r="J28" t="s">
        <v>120</v>
      </c>
      <c r="K28" t="s">
        <v>76</v>
      </c>
      <c r="L28">
        <v>1</v>
      </c>
      <c r="M28">
        <v>0</v>
      </c>
      <c r="N28">
        <v>0</v>
      </c>
      <c r="O28">
        <v>1</v>
      </c>
      <c r="P28">
        <v>0</v>
      </c>
      <c r="Q28">
        <v>0</v>
      </c>
      <c r="R28">
        <v>0</v>
      </c>
      <c r="S28">
        <v>1</v>
      </c>
      <c r="T28">
        <v>0</v>
      </c>
      <c r="U28">
        <v>0</v>
      </c>
      <c r="V28">
        <v>0</v>
      </c>
      <c r="W28">
        <v>0</v>
      </c>
      <c r="X28">
        <v>0</v>
      </c>
      <c r="Y28">
        <v>0</v>
      </c>
      <c r="Z28" t="s">
        <v>125</v>
      </c>
      <c r="AA28" t="s">
        <v>122</v>
      </c>
      <c r="AB28" s="7">
        <v>0.08</v>
      </c>
      <c r="AC28" s="7" t="s">
        <v>80</v>
      </c>
      <c r="AD28">
        <v>0.03</v>
      </c>
      <c r="AE28" t="s">
        <v>73</v>
      </c>
      <c r="AF28" t="s">
        <v>73</v>
      </c>
      <c r="AG28">
        <v>153</v>
      </c>
      <c r="AI28" t="s">
        <v>73</v>
      </c>
      <c r="AJ28">
        <v>384</v>
      </c>
      <c r="AK28" t="s">
        <v>73</v>
      </c>
      <c r="AL28">
        <v>691</v>
      </c>
      <c r="AM28">
        <v>691</v>
      </c>
      <c r="AN28" t="s">
        <v>123</v>
      </c>
      <c r="AO28">
        <v>3</v>
      </c>
      <c r="AP28">
        <f t="shared" si="13"/>
        <v>2.666666666666667</v>
      </c>
      <c r="AQ28" t="s">
        <v>73</v>
      </c>
      <c r="AR28" t="s">
        <v>73</v>
      </c>
      <c r="AS28">
        <v>1</v>
      </c>
      <c r="AT28">
        <v>0</v>
      </c>
      <c r="AU28">
        <v>1</v>
      </c>
      <c r="AV28">
        <v>1</v>
      </c>
      <c r="AW28">
        <v>1</v>
      </c>
      <c r="AX28">
        <v>0</v>
      </c>
      <c r="AY28" t="s">
        <v>124</v>
      </c>
      <c r="AZ28">
        <v>16.23</v>
      </c>
      <c r="BA28" t="s">
        <v>73</v>
      </c>
      <c r="BB28">
        <v>1</v>
      </c>
      <c r="BC28">
        <v>1</v>
      </c>
      <c r="BD28" t="s">
        <v>83</v>
      </c>
      <c r="BE28" t="s">
        <v>83</v>
      </c>
      <c r="BF28" t="s">
        <v>73</v>
      </c>
      <c r="BG28" t="s">
        <v>79</v>
      </c>
      <c r="BH28" t="s">
        <v>79</v>
      </c>
      <c r="BI28" s="30">
        <f t="shared" si="14"/>
        <v>5.0931083877128773E-3</v>
      </c>
      <c r="BJ28" s="30">
        <f t="shared" si="15"/>
        <v>5.0931083877128773E-3</v>
      </c>
      <c r="BK28" s="30">
        <f t="shared" si="9"/>
        <v>5.0931524263895488E-3</v>
      </c>
      <c r="BL28" s="30">
        <f t="shared" si="10"/>
        <v>1.4492753613436318E-3</v>
      </c>
      <c r="BM28" s="30">
        <f t="shared" si="11"/>
        <v>1.4534883720930232E-3</v>
      </c>
      <c r="BO28" t="s">
        <v>84</v>
      </c>
    </row>
    <row r="29" spans="1:67" s="41" customFormat="1">
      <c r="A29" s="41" t="s">
        <v>68</v>
      </c>
      <c r="B29" s="41">
        <v>28</v>
      </c>
      <c r="C29" s="41">
        <v>1006</v>
      </c>
      <c r="D29" s="41" t="s">
        <v>126</v>
      </c>
      <c r="E29" s="45" t="s">
        <v>127</v>
      </c>
      <c r="F29" s="41" t="s">
        <v>128</v>
      </c>
      <c r="G29" s="41" t="s">
        <v>129</v>
      </c>
      <c r="H29" s="41" t="s">
        <v>73</v>
      </c>
      <c r="I29" s="41">
        <v>222</v>
      </c>
      <c r="J29" s="41" t="s">
        <v>120</v>
      </c>
      <c r="K29" s="41" t="s">
        <v>94</v>
      </c>
      <c r="L29" s="41">
        <v>1</v>
      </c>
      <c r="M29" s="41">
        <v>0</v>
      </c>
      <c r="N29" s="41">
        <v>1</v>
      </c>
      <c r="O29" s="41">
        <v>0</v>
      </c>
      <c r="P29" s="41">
        <v>0</v>
      </c>
      <c r="Q29" s="41">
        <v>0</v>
      </c>
      <c r="R29" s="41">
        <v>0</v>
      </c>
      <c r="S29" s="41">
        <v>0</v>
      </c>
      <c r="T29" s="41">
        <v>1</v>
      </c>
      <c r="U29" s="41">
        <v>0</v>
      </c>
      <c r="V29" s="41">
        <v>0</v>
      </c>
      <c r="W29" s="41">
        <v>0</v>
      </c>
      <c r="X29" s="41">
        <v>0</v>
      </c>
      <c r="Y29" s="41">
        <v>0</v>
      </c>
      <c r="Z29" s="41" t="s">
        <v>73</v>
      </c>
      <c r="AA29" s="41" t="s">
        <v>130</v>
      </c>
      <c r="AB29" s="48">
        <v>11.4</v>
      </c>
      <c r="AC29" s="48" t="s">
        <v>86</v>
      </c>
      <c r="AD29" s="41">
        <v>0.7</v>
      </c>
      <c r="AE29" s="41" t="s">
        <v>73</v>
      </c>
      <c r="AF29" s="41" t="s">
        <v>73</v>
      </c>
      <c r="AG29" s="41" t="s">
        <v>73</v>
      </c>
      <c r="AH29" s="41" t="s">
        <v>73</v>
      </c>
      <c r="AI29" s="41" t="s">
        <v>73</v>
      </c>
      <c r="AJ29" s="41" t="s">
        <v>73</v>
      </c>
      <c r="AK29" s="41" t="s">
        <v>73</v>
      </c>
      <c r="AL29" s="41">
        <v>957080</v>
      </c>
      <c r="AM29" s="41">
        <v>957080</v>
      </c>
      <c r="AN29" s="41">
        <v>0.05</v>
      </c>
      <c r="AO29" s="41">
        <v>3</v>
      </c>
      <c r="AP29" s="41">
        <f>AB29/AD29</f>
        <v>16.285714285714288</v>
      </c>
      <c r="AQ29" s="41" t="s">
        <v>73</v>
      </c>
      <c r="AR29" s="41" t="s">
        <v>73</v>
      </c>
      <c r="AS29" s="41">
        <v>1</v>
      </c>
      <c r="AT29" s="41">
        <v>0</v>
      </c>
      <c r="AU29" s="41">
        <v>1</v>
      </c>
      <c r="AV29" s="41">
        <v>1</v>
      </c>
      <c r="AW29" s="41">
        <v>1</v>
      </c>
      <c r="AX29" s="41">
        <v>1</v>
      </c>
      <c r="AY29" s="41" t="s">
        <v>131</v>
      </c>
      <c r="AZ29" s="40">
        <f>395/30.417</f>
        <v>12.986159055791168</v>
      </c>
      <c r="BA29" s="41" t="s">
        <v>73</v>
      </c>
      <c r="BB29" s="41">
        <v>0</v>
      </c>
      <c r="BC29" s="41">
        <v>1</v>
      </c>
      <c r="BD29" s="41" t="s">
        <v>83</v>
      </c>
      <c r="BE29" s="41" t="s">
        <v>83</v>
      </c>
      <c r="BF29" s="41" t="s">
        <v>73</v>
      </c>
      <c r="BG29" s="52">
        <f xml:space="preserve"> 23 * 4.345</f>
        <v>99.934999999999988</v>
      </c>
      <c r="BH29" s="41">
        <v>0</v>
      </c>
      <c r="BI29" s="51">
        <f t="shared" si="14"/>
        <v>1.3852081935085967E-4</v>
      </c>
      <c r="BJ29" s="51">
        <f>- (((AP29^2)/(AP29^2+AM29))^1/2)</f>
        <v>-1.3852081935085967E-4</v>
      </c>
      <c r="BK29" s="51">
        <f t="shared" si="9"/>
        <v>-1.3852082023689679E-4</v>
      </c>
      <c r="BL29" s="51">
        <f t="shared" si="10"/>
        <v>1.0448458277738824E-6</v>
      </c>
      <c r="BM29" s="51">
        <f t="shared" si="11"/>
        <v>1.0448480111840532E-6</v>
      </c>
      <c r="BO29" s="41" t="s">
        <v>84</v>
      </c>
    </row>
    <row r="30" spans="1:67" s="41" customFormat="1">
      <c r="A30" s="41" t="s">
        <v>68</v>
      </c>
      <c r="B30" s="41">
        <f>B29+1</f>
        <v>29</v>
      </c>
      <c r="C30" s="41">
        <v>1006</v>
      </c>
      <c r="D30" s="41" t="s">
        <v>126</v>
      </c>
      <c r="E30" s="45" t="s">
        <v>127</v>
      </c>
      <c r="F30" s="41" t="s">
        <v>128</v>
      </c>
      <c r="G30" s="41" t="s">
        <v>129</v>
      </c>
      <c r="H30" s="41" t="s">
        <v>73</v>
      </c>
      <c r="I30" s="41">
        <v>222</v>
      </c>
      <c r="J30" s="41" t="s">
        <v>120</v>
      </c>
      <c r="K30" s="41" t="s">
        <v>94</v>
      </c>
      <c r="L30" s="41">
        <v>1</v>
      </c>
      <c r="M30" s="41">
        <v>0</v>
      </c>
      <c r="N30" s="41">
        <v>1</v>
      </c>
      <c r="O30" s="41">
        <v>0</v>
      </c>
      <c r="P30" s="41">
        <v>0</v>
      </c>
      <c r="Q30" s="41">
        <v>0</v>
      </c>
      <c r="R30" s="41">
        <v>0</v>
      </c>
      <c r="S30" s="41">
        <v>0</v>
      </c>
      <c r="T30" s="41">
        <v>1</v>
      </c>
      <c r="U30" s="41">
        <v>0</v>
      </c>
      <c r="V30" s="41">
        <v>0</v>
      </c>
      <c r="W30" s="41">
        <v>0</v>
      </c>
      <c r="X30" s="41">
        <v>0</v>
      </c>
      <c r="Y30" s="41">
        <v>0</v>
      </c>
      <c r="Z30" s="41" t="s">
        <v>73</v>
      </c>
      <c r="AA30" s="41" t="s">
        <v>130</v>
      </c>
      <c r="AB30" s="48">
        <v>11.9</v>
      </c>
      <c r="AC30" s="48" t="s">
        <v>86</v>
      </c>
      <c r="AD30" s="41">
        <v>0.75</v>
      </c>
      <c r="AE30" s="41" t="s">
        <v>73</v>
      </c>
      <c r="AF30" s="41" t="s">
        <v>73</v>
      </c>
      <c r="AG30" s="41" t="s">
        <v>73</v>
      </c>
      <c r="AH30" s="41" t="s">
        <v>73</v>
      </c>
      <c r="AI30" s="41" t="s">
        <v>73</v>
      </c>
      <c r="AJ30" s="41" t="s">
        <v>73</v>
      </c>
      <c r="AK30" s="41" t="s">
        <v>73</v>
      </c>
      <c r="AL30" s="41">
        <v>957080</v>
      </c>
      <c r="AM30" s="41">
        <v>957080</v>
      </c>
      <c r="AN30" s="41">
        <v>0.05</v>
      </c>
      <c r="AO30" s="41">
        <v>3</v>
      </c>
      <c r="AP30" s="41">
        <f>AB30/AD30</f>
        <v>15.866666666666667</v>
      </c>
      <c r="AQ30" s="41" t="s">
        <v>73</v>
      </c>
      <c r="AR30" s="41" t="s">
        <v>73</v>
      </c>
      <c r="AS30" s="41">
        <v>1</v>
      </c>
      <c r="AT30" s="41">
        <v>0</v>
      </c>
      <c r="AU30" s="41">
        <v>1</v>
      </c>
      <c r="AV30" s="41">
        <v>1</v>
      </c>
      <c r="AW30" s="41">
        <v>1</v>
      </c>
      <c r="AX30" s="41">
        <v>1</v>
      </c>
      <c r="AY30" s="41" t="s">
        <v>131</v>
      </c>
      <c r="AZ30" s="40">
        <f>395/30.417</f>
        <v>12.986159055791168</v>
      </c>
      <c r="BA30" s="41" t="s">
        <v>73</v>
      </c>
      <c r="BB30" s="41">
        <v>0</v>
      </c>
      <c r="BC30" s="41">
        <v>1</v>
      </c>
      <c r="BD30" s="41" t="s">
        <v>83</v>
      </c>
      <c r="BE30" s="41" t="s">
        <v>83</v>
      </c>
      <c r="BF30" s="41" t="s">
        <v>73</v>
      </c>
      <c r="BG30" s="52">
        <f xml:space="preserve"> 23 * 4.345</f>
        <v>99.934999999999988</v>
      </c>
      <c r="BH30" s="41">
        <v>0</v>
      </c>
      <c r="BI30" s="51">
        <f t="shared" si="14"/>
        <v>1.3148582548260852E-4</v>
      </c>
      <c r="BJ30" s="51">
        <f>- (((AP30^2)/(AP30^2+AM30))^1/2)</f>
        <v>-1.3148582548260852E-4</v>
      </c>
      <c r="BK30" s="51">
        <f t="shared" si="9"/>
        <v>-1.3148582624031952E-4</v>
      </c>
      <c r="BL30" s="51">
        <f t="shared" si="10"/>
        <v>1.0448458277738824E-6</v>
      </c>
      <c r="BM30" s="51">
        <f t="shared" si="11"/>
        <v>1.0448480111840532E-6</v>
      </c>
      <c r="BO30" s="41" t="s">
        <v>84</v>
      </c>
    </row>
    <row r="31" spans="1:67" s="41" customFormat="1">
      <c r="A31" s="41" t="s">
        <v>68</v>
      </c>
      <c r="B31" s="41">
        <f>B30+1</f>
        <v>30</v>
      </c>
      <c r="C31" s="41">
        <v>1006</v>
      </c>
      <c r="D31" s="41" t="s">
        <v>126</v>
      </c>
      <c r="E31" s="45" t="s">
        <v>127</v>
      </c>
      <c r="F31" s="41" t="s">
        <v>128</v>
      </c>
      <c r="G31" s="41" t="s">
        <v>129</v>
      </c>
      <c r="H31" s="41" t="s">
        <v>73</v>
      </c>
      <c r="I31" s="41">
        <v>222</v>
      </c>
      <c r="J31" s="41" t="s">
        <v>120</v>
      </c>
      <c r="K31" s="41" t="s">
        <v>94</v>
      </c>
      <c r="L31" s="41">
        <v>1</v>
      </c>
      <c r="M31" s="41">
        <v>0</v>
      </c>
      <c r="N31" s="41">
        <v>1</v>
      </c>
      <c r="O31" s="41">
        <v>0</v>
      </c>
      <c r="P31" s="41">
        <v>0</v>
      </c>
      <c r="Q31" s="41">
        <v>0</v>
      </c>
      <c r="R31" s="41">
        <v>0</v>
      </c>
      <c r="S31" s="41">
        <v>0</v>
      </c>
      <c r="T31" s="41">
        <v>0</v>
      </c>
      <c r="U31" s="41">
        <v>0</v>
      </c>
      <c r="V31" s="41">
        <v>0</v>
      </c>
      <c r="W31" s="41">
        <v>0</v>
      </c>
      <c r="X31" s="41">
        <v>1</v>
      </c>
      <c r="Y31" s="41">
        <v>0</v>
      </c>
      <c r="Z31" s="41" t="s">
        <v>73</v>
      </c>
      <c r="AA31" s="41" t="s">
        <v>130</v>
      </c>
      <c r="AB31" s="48">
        <v>1.4</v>
      </c>
      <c r="AC31" s="48" t="s">
        <v>80</v>
      </c>
      <c r="AD31" s="41">
        <v>1.2</v>
      </c>
      <c r="AE31" s="41" t="s">
        <v>73</v>
      </c>
      <c r="AF31" s="41" t="s">
        <v>73</v>
      </c>
      <c r="AG31" s="41" t="s">
        <v>73</v>
      </c>
      <c r="AH31" s="41" t="s">
        <v>73</v>
      </c>
      <c r="AI31" s="41" t="s">
        <v>73</v>
      </c>
      <c r="AJ31" s="41" t="s">
        <v>73</v>
      </c>
      <c r="AK31" s="41" t="s">
        <v>73</v>
      </c>
      <c r="AL31" s="41">
        <v>957080</v>
      </c>
      <c r="AM31" s="41">
        <v>957080</v>
      </c>
      <c r="AN31" s="41">
        <v>0.1</v>
      </c>
      <c r="AO31" s="41">
        <v>3</v>
      </c>
      <c r="AP31" s="41">
        <f>AB31/AD31</f>
        <v>1.1666666666666667</v>
      </c>
      <c r="AQ31" s="41" t="s">
        <v>73</v>
      </c>
      <c r="AR31" s="41" t="s">
        <v>73</v>
      </c>
      <c r="AS31" s="41">
        <v>1</v>
      </c>
      <c r="AT31" s="41">
        <v>0</v>
      </c>
      <c r="AU31" s="41">
        <v>1</v>
      </c>
      <c r="AV31" s="41">
        <v>1</v>
      </c>
      <c r="AW31" s="41">
        <v>1</v>
      </c>
      <c r="AX31" s="41">
        <v>1</v>
      </c>
      <c r="AY31" s="41" t="s">
        <v>131</v>
      </c>
      <c r="AZ31" s="41">
        <f>153/30.417</f>
        <v>5.030081862116579</v>
      </c>
      <c r="BA31" s="41" t="s">
        <v>73</v>
      </c>
      <c r="BB31" s="41">
        <v>0</v>
      </c>
      <c r="BC31" s="41">
        <v>1</v>
      </c>
      <c r="BD31" s="41" t="s">
        <v>83</v>
      </c>
      <c r="BE31" s="41" t="s">
        <v>83</v>
      </c>
      <c r="BF31" s="41" t="s">
        <v>73</v>
      </c>
      <c r="BG31" s="52">
        <f xml:space="preserve"> 23 * 4.345</f>
        <v>99.934999999999988</v>
      </c>
      <c r="BH31" s="41">
        <v>0</v>
      </c>
      <c r="BI31" s="51">
        <f t="shared" si="14"/>
        <v>7.1107387857336768E-7</v>
      </c>
      <c r="BJ31" s="51">
        <f t="shared" si="15"/>
        <v>7.1107387857336768E-7</v>
      </c>
      <c r="BK31" s="51">
        <f t="shared" si="9"/>
        <v>7.1107387863679901E-7</v>
      </c>
      <c r="BL31" s="51">
        <f t="shared" si="10"/>
        <v>1.0448458277738828E-6</v>
      </c>
      <c r="BM31" s="51">
        <f t="shared" si="11"/>
        <v>1.0448480111840532E-6</v>
      </c>
      <c r="BO31" s="41" t="s">
        <v>87</v>
      </c>
    </row>
    <row r="32" spans="1:67" s="41" customFormat="1">
      <c r="A32" s="41" t="s">
        <v>68</v>
      </c>
      <c r="B32" s="41">
        <v>31</v>
      </c>
      <c r="C32" s="41">
        <v>1006</v>
      </c>
      <c r="D32" s="41" t="s">
        <v>126</v>
      </c>
      <c r="E32" s="45" t="s">
        <v>127</v>
      </c>
      <c r="F32" s="41" t="s">
        <v>128</v>
      </c>
      <c r="G32" s="41" t="s">
        <v>129</v>
      </c>
      <c r="H32" s="41" t="s">
        <v>73</v>
      </c>
      <c r="I32" s="41">
        <v>222</v>
      </c>
      <c r="J32" s="41" t="s">
        <v>120</v>
      </c>
      <c r="K32" s="41" t="s">
        <v>94</v>
      </c>
      <c r="L32" s="41">
        <v>1</v>
      </c>
      <c r="M32" s="41">
        <v>0</v>
      </c>
      <c r="N32" s="41">
        <v>1</v>
      </c>
      <c r="O32" s="41">
        <v>0</v>
      </c>
      <c r="P32" s="41">
        <v>0</v>
      </c>
      <c r="Q32" s="41">
        <v>0</v>
      </c>
      <c r="R32" s="41">
        <v>0</v>
      </c>
      <c r="S32" s="41">
        <v>0</v>
      </c>
      <c r="T32" s="41">
        <v>0</v>
      </c>
      <c r="U32" s="41">
        <v>0</v>
      </c>
      <c r="V32" s="41">
        <v>0</v>
      </c>
      <c r="W32" s="41">
        <v>0</v>
      </c>
      <c r="X32" s="41">
        <v>1</v>
      </c>
      <c r="Y32" s="41">
        <v>0</v>
      </c>
      <c r="Z32" s="41" t="s">
        <v>73</v>
      </c>
      <c r="AA32" s="41" t="s">
        <v>130</v>
      </c>
      <c r="AB32" s="48">
        <v>1.2</v>
      </c>
      <c r="AC32" s="48" t="s">
        <v>80</v>
      </c>
      <c r="AD32" s="41">
        <v>1.3</v>
      </c>
      <c r="AE32" s="41" t="s">
        <v>73</v>
      </c>
      <c r="AF32" s="41" t="s">
        <v>73</v>
      </c>
      <c r="AG32" s="41" t="s">
        <v>73</v>
      </c>
      <c r="AH32" s="41" t="s">
        <v>73</v>
      </c>
      <c r="AI32" s="41" t="s">
        <v>73</v>
      </c>
      <c r="AJ32" s="41" t="s">
        <v>73</v>
      </c>
      <c r="AK32" s="41" t="s">
        <v>73</v>
      </c>
      <c r="AL32" s="41">
        <v>957080</v>
      </c>
      <c r="AM32" s="41">
        <v>957080</v>
      </c>
      <c r="AN32" s="41">
        <v>0.1</v>
      </c>
      <c r="AO32" s="41">
        <v>3</v>
      </c>
      <c r="AP32" s="41">
        <f>AB32/AD32</f>
        <v>0.92307692307692302</v>
      </c>
      <c r="AQ32" s="41" t="s">
        <v>73</v>
      </c>
      <c r="AR32" s="41" t="s">
        <v>73</v>
      </c>
      <c r="AS32" s="41">
        <v>1</v>
      </c>
      <c r="AT32" s="41">
        <v>0</v>
      </c>
      <c r="AU32" s="41">
        <v>1</v>
      </c>
      <c r="AV32" s="41">
        <v>1</v>
      </c>
      <c r="AW32" s="41">
        <v>1</v>
      </c>
      <c r="AX32" s="41">
        <v>1</v>
      </c>
      <c r="AY32" s="41" t="s">
        <v>131</v>
      </c>
      <c r="AZ32" s="41">
        <f>153/30.417</f>
        <v>5.030081862116579</v>
      </c>
      <c r="BA32" s="41" t="s">
        <v>73</v>
      </c>
      <c r="BB32" s="41">
        <v>0</v>
      </c>
      <c r="BC32" s="41">
        <v>1</v>
      </c>
      <c r="BD32" s="41" t="s">
        <v>83</v>
      </c>
      <c r="BE32" s="41" t="s">
        <v>83</v>
      </c>
      <c r="BF32" s="41" t="s">
        <v>73</v>
      </c>
      <c r="BG32" s="52">
        <f xml:space="preserve"> 23 * 4.345</f>
        <v>99.934999999999988</v>
      </c>
      <c r="BH32" s="41">
        <v>0</v>
      </c>
      <c r="BI32" s="51">
        <f t="shared" si="14"/>
        <v>4.4514055634557005E-7</v>
      </c>
      <c r="BJ32" s="51">
        <f t="shared" si="15"/>
        <v>4.4514055634557005E-7</v>
      </c>
      <c r="BK32" s="51">
        <f t="shared" si="9"/>
        <v>4.4514055632903819E-7</v>
      </c>
      <c r="BL32" s="51">
        <f t="shared" si="10"/>
        <v>1.0448458277738828E-6</v>
      </c>
      <c r="BM32" s="51">
        <f t="shared" si="11"/>
        <v>1.0448480111840532E-6</v>
      </c>
      <c r="BO32" s="41" t="s">
        <v>87</v>
      </c>
    </row>
    <row r="33" spans="1:66" hidden="1">
      <c r="A33" t="s">
        <v>68</v>
      </c>
      <c r="B33">
        <v>32</v>
      </c>
      <c r="C33">
        <v>1007</v>
      </c>
      <c r="D33" t="s">
        <v>132</v>
      </c>
      <c r="E33" t="s">
        <v>133</v>
      </c>
      <c r="F33" t="s">
        <v>134</v>
      </c>
      <c r="G33" t="s">
        <v>135</v>
      </c>
      <c r="H33" s="32" t="s">
        <v>73</v>
      </c>
      <c r="I33">
        <v>25</v>
      </c>
      <c r="J33" t="s">
        <v>107</v>
      </c>
      <c r="K33" t="s">
        <v>76</v>
      </c>
      <c r="L33">
        <v>1</v>
      </c>
      <c r="M33">
        <v>0</v>
      </c>
      <c r="N33">
        <v>0</v>
      </c>
      <c r="O33">
        <v>0</v>
      </c>
      <c r="P33">
        <v>1</v>
      </c>
      <c r="Q33">
        <v>0</v>
      </c>
      <c r="R33">
        <v>1</v>
      </c>
      <c r="S33">
        <v>0</v>
      </c>
      <c r="T33">
        <v>0</v>
      </c>
      <c r="U33">
        <v>0</v>
      </c>
      <c r="V33">
        <v>0</v>
      </c>
      <c r="W33">
        <v>0</v>
      </c>
      <c r="X33">
        <v>0</v>
      </c>
      <c r="Y33">
        <v>0</v>
      </c>
      <c r="Z33" t="s">
        <v>136</v>
      </c>
      <c r="AA33" s="34" t="s">
        <v>137</v>
      </c>
      <c r="AB33" s="7" t="s">
        <v>73</v>
      </c>
      <c r="AC33" s="7" t="s">
        <v>80</v>
      </c>
      <c r="AD33" t="s">
        <v>73</v>
      </c>
      <c r="AE33">
        <v>0.21</v>
      </c>
      <c r="AF33" t="s">
        <v>73</v>
      </c>
      <c r="AG33">
        <v>19</v>
      </c>
      <c r="AH33" t="s">
        <v>73</v>
      </c>
      <c r="AI33" t="s">
        <v>73</v>
      </c>
      <c r="AJ33">
        <v>19</v>
      </c>
      <c r="AK33" t="s">
        <v>73</v>
      </c>
      <c r="AL33">
        <v>60</v>
      </c>
      <c r="AM33">
        <v>51591</v>
      </c>
      <c r="AN33">
        <v>0.1</v>
      </c>
      <c r="AO33">
        <v>1</v>
      </c>
      <c r="AP33" t="s">
        <v>73</v>
      </c>
      <c r="AR33" t="s">
        <v>73</v>
      </c>
      <c r="AS33">
        <v>0</v>
      </c>
      <c r="AT33">
        <v>0</v>
      </c>
      <c r="AU33">
        <v>0</v>
      </c>
      <c r="AV33">
        <v>0</v>
      </c>
      <c r="AW33">
        <v>1</v>
      </c>
      <c r="AX33">
        <v>0</v>
      </c>
      <c r="AY33" t="s">
        <v>138</v>
      </c>
      <c r="AZ33" t="s">
        <v>73</v>
      </c>
      <c r="BA33" t="s">
        <v>73</v>
      </c>
      <c r="BB33">
        <v>1</v>
      </c>
      <c r="BC33">
        <v>1</v>
      </c>
      <c r="BD33" t="s">
        <v>139</v>
      </c>
      <c r="BE33" t="s">
        <v>83</v>
      </c>
      <c r="BF33" t="s">
        <v>140</v>
      </c>
      <c r="BG33">
        <f>6*4.345</f>
        <v>26.07</v>
      </c>
      <c r="BH33">
        <v>0</v>
      </c>
      <c r="BI33" s="30">
        <v>0</v>
      </c>
      <c r="BJ33" s="30">
        <v>0</v>
      </c>
      <c r="BK33" s="30">
        <f t="shared" si="9"/>
        <v>0</v>
      </c>
      <c r="BL33" s="30">
        <f t="shared" si="10"/>
        <v>1.6949152542372881E-2</v>
      </c>
      <c r="BM33" s="30">
        <f t="shared" si="11"/>
        <v>1.7543859649122806E-2</v>
      </c>
    </row>
    <row r="34" spans="1:66" hidden="1">
      <c r="A34" t="s">
        <v>68</v>
      </c>
      <c r="B34">
        <v>33</v>
      </c>
      <c r="C34">
        <v>1007</v>
      </c>
      <c r="D34" t="s">
        <v>132</v>
      </c>
      <c r="E34" t="s">
        <v>133</v>
      </c>
      <c r="F34" t="s">
        <v>134</v>
      </c>
      <c r="G34" t="s">
        <v>135</v>
      </c>
      <c r="H34" s="32" t="s">
        <v>73</v>
      </c>
      <c r="I34">
        <v>25</v>
      </c>
      <c r="J34" t="s">
        <v>107</v>
      </c>
      <c r="K34" t="s">
        <v>76</v>
      </c>
      <c r="L34">
        <v>1</v>
      </c>
      <c r="M34">
        <v>0</v>
      </c>
      <c r="N34">
        <v>0</v>
      </c>
      <c r="O34">
        <v>0</v>
      </c>
      <c r="P34">
        <v>1</v>
      </c>
      <c r="Q34">
        <v>0</v>
      </c>
      <c r="R34">
        <v>1</v>
      </c>
      <c r="S34">
        <v>0</v>
      </c>
      <c r="T34">
        <v>0</v>
      </c>
      <c r="U34">
        <v>0</v>
      </c>
      <c r="V34">
        <v>0</v>
      </c>
      <c r="W34">
        <v>0</v>
      </c>
      <c r="X34">
        <v>0</v>
      </c>
      <c r="Y34">
        <v>0</v>
      </c>
      <c r="Z34" t="s">
        <v>141</v>
      </c>
      <c r="AA34" s="34" t="s">
        <v>137</v>
      </c>
      <c r="AB34" s="7" t="s">
        <v>73</v>
      </c>
      <c r="AC34" s="7" t="s">
        <v>86</v>
      </c>
      <c r="AD34" t="s">
        <v>73</v>
      </c>
      <c r="AE34">
        <v>0.71</v>
      </c>
      <c r="AF34" t="s">
        <v>73</v>
      </c>
      <c r="AG34">
        <v>19</v>
      </c>
      <c r="AH34" t="s">
        <v>73</v>
      </c>
      <c r="AI34" t="s">
        <v>73</v>
      </c>
      <c r="AJ34">
        <v>19</v>
      </c>
      <c r="AK34" t="s">
        <v>73</v>
      </c>
      <c r="AL34">
        <v>13</v>
      </c>
      <c r="AM34">
        <v>51591</v>
      </c>
      <c r="AN34">
        <v>0.06</v>
      </c>
      <c r="AO34">
        <v>2</v>
      </c>
      <c r="AP34">
        <v>2.06</v>
      </c>
      <c r="AR34" t="s">
        <v>73</v>
      </c>
      <c r="AS34">
        <v>0</v>
      </c>
      <c r="AT34">
        <v>0</v>
      </c>
      <c r="AU34">
        <v>0</v>
      </c>
      <c r="AV34">
        <v>0</v>
      </c>
      <c r="AW34">
        <v>1</v>
      </c>
      <c r="AX34">
        <v>0</v>
      </c>
      <c r="AY34" t="s">
        <v>138</v>
      </c>
      <c r="AZ34" t="s">
        <v>73</v>
      </c>
      <c r="BA34" t="s">
        <v>73</v>
      </c>
      <c r="BB34">
        <v>1</v>
      </c>
      <c r="BC34">
        <v>1</v>
      </c>
      <c r="BD34" t="s">
        <v>139</v>
      </c>
      <c r="BE34" t="s">
        <v>83</v>
      </c>
      <c r="BF34" t="s">
        <v>140</v>
      </c>
      <c r="BG34">
        <f>6*4.345</f>
        <v>26.07</v>
      </c>
      <c r="BH34">
        <v>0</v>
      </c>
      <c r="BI34" s="30">
        <f>(((AP34^2)/(AP34^2+AL34))^1/2)</f>
        <v>0.12304855134658654</v>
      </c>
      <c r="BJ34" s="30">
        <f>- (((AP34^2)/(AP34^2+AM34))^1/2)</f>
        <v>-4.1123945773947269E-5</v>
      </c>
      <c r="BK34" s="30">
        <f t="shared" si="9"/>
        <v>-4.1123945797180848E-5</v>
      </c>
      <c r="BL34" s="30">
        <f t="shared" si="10"/>
        <v>8.3333333333333329E-2</v>
      </c>
      <c r="BM34" s="30">
        <f t="shared" si="11"/>
        <v>0.1</v>
      </c>
    </row>
    <row r="35" spans="1:66" hidden="1">
      <c r="A35" t="s">
        <v>68</v>
      </c>
      <c r="B35">
        <v>34</v>
      </c>
      <c r="C35">
        <v>1007</v>
      </c>
      <c r="D35" t="s">
        <v>132</v>
      </c>
      <c r="E35" t="s">
        <v>133</v>
      </c>
      <c r="F35" t="s">
        <v>134</v>
      </c>
      <c r="G35" t="s">
        <v>135</v>
      </c>
      <c r="H35" s="32" t="s">
        <v>73</v>
      </c>
      <c r="I35">
        <v>25</v>
      </c>
      <c r="J35" t="s">
        <v>107</v>
      </c>
      <c r="K35" t="s">
        <v>76</v>
      </c>
      <c r="L35">
        <v>1</v>
      </c>
      <c r="M35">
        <v>0</v>
      </c>
      <c r="N35">
        <v>0</v>
      </c>
      <c r="O35">
        <v>0</v>
      </c>
      <c r="P35">
        <v>1</v>
      </c>
      <c r="Q35">
        <v>0</v>
      </c>
      <c r="R35">
        <v>1</v>
      </c>
      <c r="S35">
        <v>0</v>
      </c>
      <c r="T35">
        <v>0</v>
      </c>
      <c r="U35">
        <v>0</v>
      </c>
      <c r="V35">
        <v>0</v>
      </c>
      <c r="W35">
        <v>0</v>
      </c>
      <c r="X35">
        <v>0</v>
      </c>
      <c r="Y35">
        <v>0</v>
      </c>
      <c r="Z35" t="s">
        <v>142</v>
      </c>
      <c r="AA35" s="34" t="s">
        <v>137</v>
      </c>
      <c r="AB35" s="7" t="s">
        <v>73</v>
      </c>
      <c r="AC35" s="7" t="s">
        <v>80</v>
      </c>
      <c r="AD35" t="s">
        <v>73</v>
      </c>
      <c r="AE35">
        <v>0.08</v>
      </c>
      <c r="AF35" t="s">
        <v>73</v>
      </c>
      <c r="AG35">
        <v>19</v>
      </c>
      <c r="AH35" t="s">
        <v>73</v>
      </c>
      <c r="AI35" t="s">
        <v>73</v>
      </c>
      <c r="AJ35">
        <v>19</v>
      </c>
      <c r="AK35" t="s">
        <v>73</v>
      </c>
      <c r="AL35">
        <v>34</v>
      </c>
      <c r="AM35">
        <v>51591</v>
      </c>
      <c r="AN35">
        <v>0.1</v>
      </c>
      <c r="AO35">
        <v>1</v>
      </c>
      <c r="AP35" t="s">
        <v>73</v>
      </c>
      <c r="AR35" t="s">
        <v>73</v>
      </c>
      <c r="AS35">
        <v>0</v>
      </c>
      <c r="AT35">
        <v>0</v>
      </c>
      <c r="AU35">
        <v>0</v>
      </c>
      <c r="AV35">
        <v>0</v>
      </c>
      <c r="AW35">
        <v>1</v>
      </c>
      <c r="AX35">
        <v>0</v>
      </c>
      <c r="AY35" t="s">
        <v>138</v>
      </c>
      <c r="AZ35" t="s">
        <v>73</v>
      </c>
      <c r="BA35" t="s">
        <v>73</v>
      </c>
      <c r="BB35">
        <v>1</v>
      </c>
      <c r="BC35">
        <v>1</v>
      </c>
      <c r="BD35" t="s">
        <v>139</v>
      </c>
      <c r="BE35" t="s">
        <v>83</v>
      </c>
      <c r="BF35" t="s">
        <v>140</v>
      </c>
      <c r="BG35">
        <f>6*4.345</f>
        <v>26.07</v>
      </c>
      <c r="BH35">
        <v>0</v>
      </c>
      <c r="BI35" s="30">
        <v>0</v>
      </c>
      <c r="BJ35" s="30">
        <v>0</v>
      </c>
      <c r="BK35" s="30">
        <f t="shared" si="9"/>
        <v>0</v>
      </c>
      <c r="BL35" s="30">
        <f t="shared" si="10"/>
        <v>3.0303030303030304E-2</v>
      </c>
      <c r="BM35" s="30">
        <f t="shared" si="11"/>
        <v>3.2258064516129031E-2</v>
      </c>
    </row>
    <row r="36" spans="1:66" hidden="1">
      <c r="A36" t="s">
        <v>68</v>
      </c>
      <c r="B36">
        <v>35</v>
      </c>
      <c r="C36">
        <v>1007</v>
      </c>
      <c r="D36" t="s">
        <v>132</v>
      </c>
      <c r="E36" t="s">
        <v>133</v>
      </c>
      <c r="F36" t="s">
        <v>134</v>
      </c>
      <c r="G36" t="s">
        <v>135</v>
      </c>
      <c r="H36" s="32" t="s">
        <v>73</v>
      </c>
      <c r="I36">
        <v>25</v>
      </c>
      <c r="J36" t="s">
        <v>107</v>
      </c>
      <c r="K36" t="s">
        <v>76</v>
      </c>
      <c r="L36">
        <v>1</v>
      </c>
      <c r="M36">
        <v>0</v>
      </c>
      <c r="N36">
        <v>0</v>
      </c>
      <c r="O36">
        <v>0</v>
      </c>
      <c r="P36">
        <v>1</v>
      </c>
      <c r="Q36">
        <v>0</v>
      </c>
      <c r="R36">
        <v>1</v>
      </c>
      <c r="S36">
        <v>0</v>
      </c>
      <c r="T36">
        <v>0</v>
      </c>
      <c r="U36">
        <v>0</v>
      </c>
      <c r="V36">
        <v>0</v>
      </c>
      <c r="W36">
        <v>0</v>
      </c>
      <c r="X36">
        <v>0</v>
      </c>
      <c r="Y36">
        <v>0</v>
      </c>
      <c r="Z36" t="s">
        <v>143</v>
      </c>
      <c r="AA36" s="34" t="s">
        <v>137</v>
      </c>
      <c r="AB36" s="7" t="s">
        <v>73</v>
      </c>
      <c r="AC36" s="7" t="s">
        <v>86</v>
      </c>
      <c r="AD36" t="s">
        <v>73</v>
      </c>
      <c r="AE36">
        <v>0.08</v>
      </c>
      <c r="AF36" t="s">
        <v>73</v>
      </c>
      <c r="AG36">
        <v>19</v>
      </c>
      <c r="AH36" t="s">
        <v>73</v>
      </c>
      <c r="AI36" t="s">
        <v>73</v>
      </c>
      <c r="AJ36">
        <v>19</v>
      </c>
      <c r="AK36" t="s">
        <v>73</v>
      </c>
      <c r="AL36">
        <v>8</v>
      </c>
      <c r="AM36">
        <v>51591</v>
      </c>
      <c r="AN36">
        <v>0.1</v>
      </c>
      <c r="AO36">
        <v>1</v>
      </c>
      <c r="AP36" t="s">
        <v>73</v>
      </c>
      <c r="AR36" t="s">
        <v>73</v>
      </c>
      <c r="AS36">
        <v>0</v>
      </c>
      <c r="AT36">
        <v>0</v>
      </c>
      <c r="AU36">
        <v>0</v>
      </c>
      <c r="AV36">
        <v>0</v>
      </c>
      <c r="AW36">
        <v>1</v>
      </c>
      <c r="AX36">
        <v>0</v>
      </c>
      <c r="AY36" t="s">
        <v>138</v>
      </c>
      <c r="AZ36" t="s">
        <v>73</v>
      </c>
      <c r="BA36" t="s">
        <v>73</v>
      </c>
      <c r="BB36">
        <v>1</v>
      </c>
      <c r="BC36">
        <v>1</v>
      </c>
      <c r="BD36" t="s">
        <v>139</v>
      </c>
      <c r="BE36" t="s">
        <v>83</v>
      </c>
      <c r="BF36" t="s">
        <v>140</v>
      </c>
      <c r="BG36">
        <f>6*4.345</f>
        <v>26.07</v>
      </c>
      <c r="BH36">
        <v>0</v>
      </c>
      <c r="BI36" s="30">
        <v>0</v>
      </c>
      <c r="BJ36" s="30">
        <v>0</v>
      </c>
      <c r="BK36" s="30">
        <f t="shared" si="9"/>
        <v>0</v>
      </c>
      <c r="BL36" s="30">
        <f t="shared" si="10"/>
        <v>0.14285714285714285</v>
      </c>
      <c r="BM36" s="30">
        <f t="shared" si="11"/>
        <v>0.2</v>
      </c>
    </row>
    <row r="37" spans="1:66" s="41" customFormat="1">
      <c r="A37" s="41" t="s">
        <v>68</v>
      </c>
      <c r="B37" s="41">
        <v>36</v>
      </c>
      <c r="C37" s="41">
        <v>1008</v>
      </c>
      <c r="D37" s="41" t="s">
        <v>144</v>
      </c>
      <c r="E37" s="41" t="s">
        <v>145</v>
      </c>
      <c r="F37" s="41" t="s">
        <v>146</v>
      </c>
      <c r="G37" s="41">
        <v>2006</v>
      </c>
      <c r="H37" s="50" t="s">
        <v>73</v>
      </c>
      <c r="I37" s="41">
        <v>112</v>
      </c>
      <c r="J37" s="41" t="s">
        <v>93</v>
      </c>
      <c r="K37" s="41" t="s">
        <v>76</v>
      </c>
      <c r="L37" s="41">
        <v>1</v>
      </c>
      <c r="M37" s="41">
        <v>0</v>
      </c>
      <c r="N37" s="41">
        <v>0</v>
      </c>
      <c r="O37" s="41">
        <v>0</v>
      </c>
      <c r="P37" s="41">
        <v>1</v>
      </c>
      <c r="Q37" s="41">
        <v>0</v>
      </c>
      <c r="R37" s="41">
        <v>1</v>
      </c>
      <c r="S37" s="41">
        <v>0</v>
      </c>
      <c r="T37" s="41">
        <v>0</v>
      </c>
      <c r="U37" s="41">
        <v>0</v>
      </c>
      <c r="V37" s="41">
        <v>0</v>
      </c>
      <c r="W37" s="41">
        <v>0</v>
      </c>
      <c r="X37" s="41">
        <v>0</v>
      </c>
      <c r="Y37" s="41">
        <v>0</v>
      </c>
      <c r="Z37" s="41" t="s">
        <v>73</v>
      </c>
      <c r="AA37" s="41" t="s">
        <v>147</v>
      </c>
      <c r="AB37" s="49">
        <v>8.3000000000000001E-3</v>
      </c>
      <c r="AC37" s="48" t="s">
        <v>86</v>
      </c>
      <c r="AD37" s="41">
        <v>2.5999999999999999E-3</v>
      </c>
      <c r="AE37" s="41">
        <v>0.08</v>
      </c>
      <c r="AF37" s="41">
        <v>0.97499999999999998</v>
      </c>
      <c r="AG37" s="41">
        <v>1040</v>
      </c>
      <c r="AH37" s="41">
        <v>0.11799999999999999</v>
      </c>
      <c r="AI37" s="41">
        <v>0.96899999999999997</v>
      </c>
      <c r="AJ37" s="41">
        <v>1025</v>
      </c>
      <c r="AK37" s="41">
        <v>0.115</v>
      </c>
      <c r="AL37" s="41">
        <v>2065</v>
      </c>
      <c r="AM37" s="41">
        <v>2065</v>
      </c>
      <c r="AN37" s="41">
        <v>1E-3</v>
      </c>
      <c r="AO37" s="41">
        <v>3</v>
      </c>
      <c r="AP37" s="41">
        <f>AB37/AD37</f>
        <v>3.1923076923076925</v>
      </c>
      <c r="AR37" s="41" t="s">
        <v>73</v>
      </c>
      <c r="AS37" s="41">
        <v>0</v>
      </c>
      <c r="AT37" s="41">
        <v>0</v>
      </c>
      <c r="AU37" s="41">
        <v>0</v>
      </c>
      <c r="AV37" s="41">
        <v>0</v>
      </c>
      <c r="AW37" s="41">
        <v>0</v>
      </c>
      <c r="AX37" s="41">
        <v>0</v>
      </c>
      <c r="AY37" s="41" t="s">
        <v>148</v>
      </c>
      <c r="AZ37" s="41">
        <v>0.97499999999999998</v>
      </c>
      <c r="BA37" s="41" t="s">
        <v>149</v>
      </c>
      <c r="BB37" s="41">
        <v>1</v>
      </c>
      <c r="BC37" s="41">
        <v>0</v>
      </c>
      <c r="BD37" s="41" t="s">
        <v>139</v>
      </c>
      <c r="BE37" s="41" t="s">
        <v>83</v>
      </c>
      <c r="BF37" s="41" t="s">
        <v>150</v>
      </c>
      <c r="BG37" s="41">
        <v>0</v>
      </c>
      <c r="BH37" s="41">
        <v>0</v>
      </c>
      <c r="BI37" s="51">
        <f>(((AP37^2)/(AP37^2+AL37))^1/2)</f>
        <v>2.4553954901131926E-3</v>
      </c>
      <c r="BJ37" s="51">
        <f>- (((AP37^2)/(AP37^2+AM37))^1/2)</f>
        <v>-2.4553954901131926E-3</v>
      </c>
      <c r="BK37" s="51">
        <f t="shared" si="9"/>
        <v>-2.4554004246305243E-3</v>
      </c>
      <c r="BL37" s="51">
        <f t="shared" si="10"/>
        <v>4.8449612401339694E-4</v>
      </c>
      <c r="BM37" s="51">
        <f t="shared" si="11"/>
        <v>4.8496605237633366E-4</v>
      </c>
    </row>
    <row r="38" spans="1:66" hidden="1">
      <c r="A38" s="10" t="s">
        <v>151</v>
      </c>
      <c r="B38" s="17">
        <f>B37+1</f>
        <v>37</v>
      </c>
      <c r="C38" s="11">
        <v>1009</v>
      </c>
      <c r="D38" s="10" t="s">
        <v>152</v>
      </c>
      <c r="E38" s="22" t="s">
        <v>153</v>
      </c>
      <c r="F38" s="22" t="s">
        <v>154</v>
      </c>
      <c r="G38">
        <v>2005</v>
      </c>
      <c r="H38" t="s">
        <v>73</v>
      </c>
      <c r="I38">
        <v>193</v>
      </c>
      <c r="J38" t="s">
        <v>155</v>
      </c>
      <c r="K38" t="s">
        <v>112</v>
      </c>
      <c r="L38">
        <v>2</v>
      </c>
      <c r="M38">
        <v>0</v>
      </c>
      <c r="N38">
        <v>0</v>
      </c>
      <c r="O38">
        <v>0</v>
      </c>
      <c r="P38">
        <v>1</v>
      </c>
      <c r="Q38">
        <v>0</v>
      </c>
      <c r="R38">
        <v>0</v>
      </c>
      <c r="S38">
        <v>0</v>
      </c>
      <c r="T38">
        <v>0</v>
      </c>
      <c r="U38">
        <v>0</v>
      </c>
      <c r="V38">
        <v>0</v>
      </c>
      <c r="W38">
        <v>0</v>
      </c>
      <c r="X38">
        <v>0</v>
      </c>
      <c r="Y38">
        <v>0</v>
      </c>
      <c r="Z38" t="s">
        <v>73</v>
      </c>
      <c r="AA38" t="s">
        <v>78</v>
      </c>
      <c r="AB38" s="21">
        <v>0.26479999999999998</v>
      </c>
      <c r="AC38" s="7" t="s">
        <v>86</v>
      </c>
      <c r="AD38">
        <v>0.19700000000000001</v>
      </c>
      <c r="AE38" t="s">
        <v>73</v>
      </c>
      <c r="AF38" t="s">
        <v>73</v>
      </c>
      <c r="AG38" t="s">
        <v>73</v>
      </c>
      <c r="AH38" t="s">
        <v>73</v>
      </c>
      <c r="AI38" t="s">
        <v>73</v>
      </c>
      <c r="AJ38" t="s">
        <v>73</v>
      </c>
      <c r="AK38" t="s">
        <v>73</v>
      </c>
      <c r="AL38" s="27">
        <v>151</v>
      </c>
      <c r="AM38" s="27">
        <v>151</v>
      </c>
      <c r="AN38">
        <v>0.2</v>
      </c>
      <c r="AO38">
        <v>2</v>
      </c>
      <c r="AP38">
        <f>AB38/AD38</f>
        <v>1.3441624365482232</v>
      </c>
      <c r="AQ38" t="s">
        <v>73</v>
      </c>
      <c r="AR38" t="s">
        <v>73</v>
      </c>
      <c r="AS38">
        <v>0</v>
      </c>
      <c r="AT38">
        <v>0</v>
      </c>
      <c r="AU38">
        <v>0</v>
      </c>
      <c r="AV38">
        <v>0</v>
      </c>
      <c r="AW38">
        <v>0</v>
      </c>
      <c r="AX38">
        <v>0</v>
      </c>
      <c r="AY38" t="s">
        <v>156</v>
      </c>
      <c r="AZ38" s="14" t="s">
        <v>73</v>
      </c>
      <c r="BA38" s="17" t="s">
        <v>73</v>
      </c>
      <c r="BB38">
        <v>0</v>
      </c>
      <c r="BC38" t="s">
        <v>73</v>
      </c>
      <c r="BD38" s="18" t="s">
        <v>139</v>
      </c>
      <c r="BE38" s="18" t="s">
        <v>139</v>
      </c>
      <c r="BF38" t="s">
        <v>157</v>
      </c>
      <c r="BG38" t="s">
        <v>73</v>
      </c>
      <c r="BH38" t="s">
        <v>73</v>
      </c>
      <c r="BI38" s="30">
        <f>(((AP38^2)/(AP38^2+AL38))^1/2)</f>
        <v>5.9119521485370341E-3</v>
      </c>
      <c r="BJ38" s="30">
        <f>- (((AP38^2)/(AP38^2+AM38))^1/2)</f>
        <v>-5.9119521485370341E-3</v>
      </c>
      <c r="BK38" s="30">
        <f t="shared" si="9"/>
        <v>-5.9120210265458696E-3</v>
      </c>
      <c r="BL38" s="30">
        <f t="shared" si="10"/>
        <v>6.6666666585223884E-3</v>
      </c>
      <c r="BM38" s="30">
        <f t="shared" si="11"/>
        <v>6.7567567567567571E-3</v>
      </c>
    </row>
    <row r="39" spans="1:66" s="41" customFormat="1" ht="17">
      <c r="A39" s="45" t="s">
        <v>68</v>
      </c>
      <c r="B39" s="41">
        <f>B38+1</f>
        <v>38</v>
      </c>
      <c r="C39" s="54">
        <v>1010</v>
      </c>
      <c r="D39" s="55" t="s">
        <v>158</v>
      </c>
      <c r="E39" s="55" t="s">
        <v>159</v>
      </c>
      <c r="F39" s="55" t="s">
        <v>160</v>
      </c>
      <c r="G39" s="55">
        <v>2015</v>
      </c>
      <c r="H39" s="41" t="s">
        <v>73</v>
      </c>
      <c r="I39" s="41">
        <v>122</v>
      </c>
      <c r="J39" s="41" t="s">
        <v>107</v>
      </c>
      <c r="K39" s="41" t="s">
        <v>112</v>
      </c>
      <c r="L39" s="41">
        <v>2</v>
      </c>
      <c r="M39" s="41">
        <v>0</v>
      </c>
      <c r="N39" s="41">
        <v>0</v>
      </c>
      <c r="O39" s="41">
        <v>0</v>
      </c>
      <c r="P39" s="41">
        <v>1</v>
      </c>
      <c r="Q39" s="41">
        <v>0</v>
      </c>
      <c r="R39" s="41">
        <v>0</v>
      </c>
      <c r="S39" s="41">
        <v>0</v>
      </c>
      <c r="T39" s="41">
        <v>1</v>
      </c>
      <c r="U39" s="41">
        <v>0</v>
      </c>
      <c r="V39" s="41">
        <v>0</v>
      </c>
      <c r="W39" s="41">
        <v>0</v>
      </c>
      <c r="X39" s="41">
        <v>0</v>
      </c>
      <c r="Y39" s="41">
        <v>0</v>
      </c>
      <c r="Z39" s="41" t="s">
        <v>161</v>
      </c>
      <c r="AA39" s="41" t="s">
        <v>162</v>
      </c>
      <c r="AB39" s="48" t="s">
        <v>73</v>
      </c>
      <c r="AC39" s="48" t="s">
        <v>86</v>
      </c>
      <c r="AD39" s="41">
        <v>2.4</v>
      </c>
      <c r="AE39" s="48" t="s">
        <v>73</v>
      </c>
      <c r="AF39" s="41">
        <v>199.5</v>
      </c>
      <c r="AG39" s="41">
        <v>100</v>
      </c>
      <c r="AH39" s="41">
        <v>2.1</v>
      </c>
      <c r="AI39" s="41">
        <v>199.5</v>
      </c>
      <c r="AJ39" s="41">
        <v>141</v>
      </c>
      <c r="AK39" s="41">
        <v>1.4</v>
      </c>
      <c r="AL39" s="41">
        <f>AG39+AJ39</f>
        <v>241</v>
      </c>
      <c r="AM39" s="56">
        <v>241</v>
      </c>
      <c r="AN39" s="41">
        <v>0.1</v>
      </c>
      <c r="AO39" s="41">
        <v>1</v>
      </c>
      <c r="AP39" s="41">
        <v>0</v>
      </c>
      <c r="AQ39" s="41">
        <f>ABS(AF39-AI39)</f>
        <v>0</v>
      </c>
      <c r="AR39" s="41">
        <v>0</v>
      </c>
      <c r="AS39" s="41">
        <v>0</v>
      </c>
      <c r="AT39" s="41">
        <v>0</v>
      </c>
      <c r="AU39" s="41">
        <v>0</v>
      </c>
      <c r="AV39" s="41">
        <v>0</v>
      </c>
      <c r="AW39" s="41">
        <v>1</v>
      </c>
      <c r="AX39" s="41">
        <v>0</v>
      </c>
      <c r="AY39" s="41" t="s">
        <v>156</v>
      </c>
      <c r="AZ39" s="41" t="s">
        <v>73</v>
      </c>
      <c r="BA39" s="41" t="s">
        <v>73</v>
      </c>
      <c r="BB39" s="41">
        <v>0</v>
      </c>
      <c r="BC39" s="41">
        <v>0</v>
      </c>
      <c r="BD39" s="43" t="s">
        <v>139</v>
      </c>
      <c r="BE39" s="43" t="s">
        <v>139</v>
      </c>
      <c r="BF39" s="41" t="s">
        <v>163</v>
      </c>
      <c r="BG39" s="41">
        <f xml:space="preserve"> 9 * 4.345</f>
        <v>39.104999999999997</v>
      </c>
      <c r="BH39" s="41">
        <v>12</v>
      </c>
      <c r="BI39" s="51">
        <v>0</v>
      </c>
      <c r="BJ39" s="51">
        <v>0</v>
      </c>
      <c r="BK39" s="51">
        <f t="shared" si="9"/>
        <v>0</v>
      </c>
      <c r="BL39" s="51">
        <f t="shared" si="10"/>
        <v>4.1666666666666666E-3</v>
      </c>
      <c r="BM39" s="51">
        <f t="shared" si="11"/>
        <v>4.2016806722689074E-3</v>
      </c>
      <c r="BN39" s="43"/>
    </row>
    <row r="40" spans="1:66" s="41" customFormat="1" ht="17">
      <c r="A40" s="45" t="s">
        <v>68</v>
      </c>
      <c r="B40" s="41">
        <f>B39+1</f>
        <v>39</v>
      </c>
      <c r="C40" s="54">
        <v>1010</v>
      </c>
      <c r="D40" s="55" t="s">
        <v>158</v>
      </c>
      <c r="E40" s="55" t="s">
        <v>159</v>
      </c>
      <c r="F40" s="55" t="s">
        <v>160</v>
      </c>
      <c r="G40" s="55">
        <v>2015</v>
      </c>
      <c r="H40" s="41" t="s">
        <v>73</v>
      </c>
      <c r="I40" s="41">
        <v>122</v>
      </c>
      <c r="J40" s="41" t="s">
        <v>107</v>
      </c>
      <c r="K40" s="41" t="s">
        <v>112</v>
      </c>
      <c r="L40" s="41">
        <v>2</v>
      </c>
      <c r="M40" s="41">
        <v>0</v>
      </c>
      <c r="N40" s="41">
        <v>0</v>
      </c>
      <c r="O40" s="41">
        <v>0</v>
      </c>
      <c r="P40" s="41">
        <v>1</v>
      </c>
      <c r="Q40" s="41">
        <v>0</v>
      </c>
      <c r="R40" s="41">
        <v>0</v>
      </c>
      <c r="S40" s="41">
        <v>0</v>
      </c>
      <c r="T40" s="41">
        <v>1</v>
      </c>
      <c r="U40" s="41">
        <v>0</v>
      </c>
      <c r="V40" s="41">
        <v>0</v>
      </c>
      <c r="W40" s="41">
        <v>0</v>
      </c>
      <c r="X40" s="41">
        <v>0</v>
      </c>
      <c r="Y40" s="41">
        <v>0</v>
      </c>
      <c r="Z40" s="41" t="s">
        <v>161</v>
      </c>
      <c r="AA40" s="41" t="s">
        <v>162</v>
      </c>
      <c r="AB40" s="48" t="s">
        <v>73</v>
      </c>
      <c r="AC40" s="48" t="s">
        <v>80</v>
      </c>
      <c r="AD40" s="41">
        <v>2.8</v>
      </c>
      <c r="AE40" s="48" t="s">
        <v>73</v>
      </c>
      <c r="AF40" s="41">
        <v>199.5</v>
      </c>
      <c r="AG40" s="41">
        <v>100</v>
      </c>
      <c r="AH40" s="41">
        <v>2.1</v>
      </c>
      <c r="AI40" s="41">
        <v>200.1</v>
      </c>
      <c r="AJ40" s="41">
        <v>110</v>
      </c>
      <c r="AK40" s="41">
        <v>1.9</v>
      </c>
      <c r="AL40" s="41">
        <f>AG40+AJ40</f>
        <v>210</v>
      </c>
      <c r="AM40" s="41">
        <v>210</v>
      </c>
      <c r="AN40" s="41">
        <v>0.1</v>
      </c>
      <c r="AO40" s="41">
        <v>1</v>
      </c>
      <c r="AP40" s="41">
        <v>0</v>
      </c>
      <c r="AQ40" s="41">
        <f>ABS(AF40-AI40)</f>
        <v>0.59999999999999432</v>
      </c>
      <c r="AR40" s="41">
        <v>0</v>
      </c>
      <c r="AS40" s="41">
        <v>0</v>
      </c>
      <c r="AT40" s="41">
        <v>0</v>
      </c>
      <c r="AU40" s="41">
        <v>0</v>
      </c>
      <c r="AV40" s="41">
        <v>0</v>
      </c>
      <c r="AW40" s="41">
        <v>1</v>
      </c>
      <c r="AX40" s="41">
        <v>0</v>
      </c>
      <c r="AY40" s="41" t="s">
        <v>156</v>
      </c>
      <c r="AZ40" s="41" t="s">
        <v>73</v>
      </c>
      <c r="BA40" s="41" t="s">
        <v>73</v>
      </c>
      <c r="BB40" s="41">
        <v>0</v>
      </c>
      <c r="BC40" s="41">
        <v>0</v>
      </c>
      <c r="BD40" s="43" t="s">
        <v>139</v>
      </c>
      <c r="BE40" s="43" t="s">
        <v>139</v>
      </c>
      <c r="BF40" s="41" t="s">
        <v>163</v>
      </c>
      <c r="BG40" s="41">
        <f xml:space="preserve"> 9 * 4.345</f>
        <v>39.104999999999997</v>
      </c>
      <c r="BH40" s="41">
        <v>12</v>
      </c>
      <c r="BI40" s="51">
        <v>0</v>
      </c>
      <c r="BJ40" s="51">
        <v>0</v>
      </c>
      <c r="BK40" s="51">
        <f t="shared" si="9"/>
        <v>0</v>
      </c>
      <c r="BL40" s="51">
        <f t="shared" si="10"/>
        <v>4.7846889952153108E-3</v>
      </c>
      <c r="BM40" s="51">
        <f t="shared" si="11"/>
        <v>4.830917874396135E-3</v>
      </c>
      <c r="BN40" s="43"/>
    </row>
    <row r="41" spans="1:66" s="41" customFormat="1" ht="17">
      <c r="A41" s="45" t="s">
        <v>68</v>
      </c>
      <c r="B41" s="41">
        <v>40</v>
      </c>
      <c r="C41" s="54">
        <v>1010</v>
      </c>
      <c r="D41" s="55" t="s">
        <v>158</v>
      </c>
      <c r="E41" s="55" t="s">
        <v>159</v>
      </c>
      <c r="F41" s="55" t="s">
        <v>160</v>
      </c>
      <c r="G41" s="55">
        <v>2015</v>
      </c>
      <c r="H41" s="41" t="s">
        <v>73</v>
      </c>
      <c r="I41" s="41">
        <v>122</v>
      </c>
      <c r="J41" s="41" t="s">
        <v>107</v>
      </c>
      <c r="K41" s="41" t="s">
        <v>112</v>
      </c>
      <c r="L41" s="41">
        <v>2</v>
      </c>
      <c r="M41" s="41">
        <v>0</v>
      </c>
      <c r="N41" s="41">
        <v>0</v>
      </c>
      <c r="O41" s="41">
        <v>0</v>
      </c>
      <c r="P41" s="41">
        <v>1</v>
      </c>
      <c r="Q41" s="41">
        <v>0</v>
      </c>
      <c r="R41" s="41">
        <v>0</v>
      </c>
      <c r="S41" s="41">
        <v>0</v>
      </c>
      <c r="T41" s="41">
        <v>1</v>
      </c>
      <c r="U41" s="41">
        <v>0</v>
      </c>
      <c r="V41" s="41">
        <v>0</v>
      </c>
      <c r="W41" s="41">
        <v>0</v>
      </c>
      <c r="X41" s="41">
        <v>0</v>
      </c>
      <c r="Y41" s="41">
        <v>0</v>
      </c>
      <c r="Z41" s="41" t="s">
        <v>164</v>
      </c>
      <c r="AA41" s="41" t="s">
        <v>162</v>
      </c>
      <c r="AB41" s="48" t="s">
        <v>73</v>
      </c>
      <c r="AC41" s="48" t="s">
        <v>86</v>
      </c>
      <c r="AD41" s="41">
        <v>9.5</v>
      </c>
      <c r="AE41" s="48" t="s">
        <v>73</v>
      </c>
      <c r="AF41" s="41">
        <v>241.7</v>
      </c>
      <c r="AG41" s="41">
        <v>66</v>
      </c>
      <c r="AH41" s="41">
        <v>7.5</v>
      </c>
      <c r="AI41" s="41">
        <v>222.3</v>
      </c>
      <c r="AJ41" s="41">
        <v>70</v>
      </c>
      <c r="AK41" s="41">
        <v>5.8</v>
      </c>
      <c r="AL41" s="41">
        <f>AG41+AJ41</f>
        <v>136</v>
      </c>
      <c r="AM41" s="41">
        <v>136</v>
      </c>
      <c r="AN41" s="41">
        <v>0.05</v>
      </c>
      <c r="AO41" s="41">
        <v>2</v>
      </c>
      <c r="AP41" s="41">
        <v>1.9776</v>
      </c>
      <c r="AQ41" s="41">
        <f>ABS(AF41-AI41)</f>
        <v>19.399999999999977</v>
      </c>
      <c r="AR41" s="41">
        <v>0</v>
      </c>
      <c r="AS41" s="41">
        <v>0</v>
      </c>
      <c r="AT41" s="41">
        <v>0</v>
      </c>
      <c r="AU41" s="41">
        <v>0</v>
      </c>
      <c r="AV41" s="41">
        <v>0</v>
      </c>
      <c r="AW41" s="41">
        <v>1</v>
      </c>
      <c r="AX41" s="41">
        <v>0</v>
      </c>
      <c r="AY41" s="41" t="s">
        <v>156</v>
      </c>
      <c r="AZ41" s="41" t="s">
        <v>73</v>
      </c>
      <c r="BA41" s="41" t="s">
        <v>73</v>
      </c>
      <c r="BB41" s="41">
        <v>0</v>
      </c>
      <c r="BC41" s="41">
        <v>0</v>
      </c>
      <c r="BD41" s="43" t="s">
        <v>139</v>
      </c>
      <c r="BE41" s="43" t="s">
        <v>139</v>
      </c>
      <c r="BF41" s="41" t="s">
        <v>163</v>
      </c>
      <c r="BG41" s="41">
        <f xml:space="preserve"> 9 * 4.345</f>
        <v>39.104999999999997</v>
      </c>
      <c r="BH41" s="41">
        <v>12</v>
      </c>
      <c r="BI41" s="51">
        <f>BN41/(((BN41^2)+4)^1/2)</f>
        <v>0.49989150482803513</v>
      </c>
      <c r="BJ41" s="51">
        <f>- BN41/(((BN41^2)+4)^1/2)</f>
        <v>-0.49989150482803513</v>
      </c>
      <c r="BK41" s="51">
        <f t="shared" si="9"/>
        <v>-0.54916149456629371</v>
      </c>
      <c r="BL41" s="51">
        <f>((1-(BK41^2)^2)/(AL41-1))</f>
        <v>6.7337074114949304E-3</v>
      </c>
      <c r="BM41" s="51">
        <f>1/(AL41-3)</f>
        <v>7.5187969924812026E-3</v>
      </c>
      <c r="BN41" s="43">
        <f>(AF41-AI41)/AD41</f>
        <v>2.0421052631578922</v>
      </c>
    </row>
    <row r="42" spans="1:66" s="41" customFormat="1" ht="17">
      <c r="A42" s="45" t="s">
        <v>68</v>
      </c>
      <c r="B42" s="41">
        <f>B41+1</f>
        <v>41</v>
      </c>
      <c r="C42" s="54">
        <v>1010</v>
      </c>
      <c r="D42" s="55" t="s">
        <v>158</v>
      </c>
      <c r="E42" s="55" t="s">
        <v>159</v>
      </c>
      <c r="F42" s="55" t="s">
        <v>160</v>
      </c>
      <c r="G42" s="55">
        <v>2015</v>
      </c>
      <c r="H42" s="41" t="s">
        <v>73</v>
      </c>
      <c r="I42" s="41">
        <v>122</v>
      </c>
      <c r="J42" s="41" t="s">
        <v>107</v>
      </c>
      <c r="K42" s="41" t="s">
        <v>112</v>
      </c>
      <c r="L42" s="41">
        <v>2</v>
      </c>
      <c r="M42" s="41">
        <v>0</v>
      </c>
      <c r="N42" s="41">
        <v>0</v>
      </c>
      <c r="O42" s="41">
        <v>0</v>
      </c>
      <c r="P42" s="41">
        <v>1</v>
      </c>
      <c r="Q42" s="41">
        <v>0</v>
      </c>
      <c r="R42" s="41">
        <v>0</v>
      </c>
      <c r="S42" s="41">
        <v>0</v>
      </c>
      <c r="T42" s="41">
        <v>1</v>
      </c>
      <c r="U42" s="41">
        <v>0</v>
      </c>
      <c r="V42" s="41">
        <v>0</v>
      </c>
      <c r="W42" s="41">
        <v>0</v>
      </c>
      <c r="X42" s="41">
        <v>0</v>
      </c>
      <c r="Y42" s="41">
        <v>0</v>
      </c>
      <c r="Z42" s="41" t="s">
        <v>164</v>
      </c>
      <c r="AA42" s="41" t="s">
        <v>162</v>
      </c>
      <c r="AB42" s="48" t="s">
        <v>73</v>
      </c>
      <c r="AC42" s="48" t="s">
        <v>86</v>
      </c>
      <c r="AD42" s="41">
        <v>9.9</v>
      </c>
      <c r="AE42" s="48" t="s">
        <v>73</v>
      </c>
      <c r="AF42" s="41">
        <v>241.7</v>
      </c>
      <c r="AG42" s="41">
        <v>66</v>
      </c>
      <c r="AH42" s="41">
        <v>7.5</v>
      </c>
      <c r="AI42" s="41">
        <v>218.4</v>
      </c>
      <c r="AJ42" s="41">
        <v>58</v>
      </c>
      <c r="AK42" s="41">
        <v>6.2</v>
      </c>
      <c r="AL42" s="41">
        <f>AG42+AJ42</f>
        <v>124</v>
      </c>
      <c r="AM42" s="41">
        <v>124</v>
      </c>
      <c r="AN42" s="41">
        <v>0.05</v>
      </c>
      <c r="AO42" s="41">
        <v>2</v>
      </c>
      <c r="AP42" s="41">
        <v>1.9776</v>
      </c>
      <c r="AQ42" s="41">
        <f>ABS(AF42-AI42)</f>
        <v>23.299999999999983</v>
      </c>
      <c r="AR42" s="41">
        <v>0</v>
      </c>
      <c r="AS42" s="41">
        <v>0</v>
      </c>
      <c r="AT42" s="41">
        <v>0</v>
      </c>
      <c r="AU42" s="41">
        <v>0</v>
      </c>
      <c r="AV42" s="41">
        <v>0</v>
      </c>
      <c r="AW42" s="41">
        <v>1</v>
      </c>
      <c r="AX42" s="41">
        <v>0</v>
      </c>
      <c r="AY42" s="41" t="s">
        <v>156</v>
      </c>
      <c r="AZ42" s="41" t="s">
        <v>73</v>
      </c>
      <c r="BA42" s="41" t="s">
        <v>73</v>
      </c>
      <c r="BB42" s="41">
        <v>0</v>
      </c>
      <c r="BC42" s="41">
        <v>0</v>
      </c>
      <c r="BD42" s="43" t="s">
        <v>139</v>
      </c>
      <c r="BE42" s="43" t="s">
        <v>139</v>
      </c>
      <c r="BF42" s="41" t="s">
        <v>163</v>
      </c>
      <c r="BG42" s="41">
        <f xml:space="preserve"> 9 * 4.345</f>
        <v>39.104999999999997</v>
      </c>
      <c r="BH42" s="41">
        <v>12</v>
      </c>
      <c r="BI42" s="51">
        <f>BN42/(((BN42^2)+4)^1/2)</f>
        <v>0.49344870738985813</v>
      </c>
      <c r="BJ42" s="51">
        <f>- BN42/(((BN42^2)+4)^1/2)</f>
        <v>-0.49344870738985813</v>
      </c>
      <c r="BK42" s="51">
        <f t="shared" si="9"/>
        <v>-0.54060885294058814</v>
      </c>
      <c r="BL42" s="51">
        <f>((1-(BK42^2)^2)/(AL42-1))</f>
        <v>7.4356528557280258E-3</v>
      </c>
      <c r="BM42" s="51">
        <f>1/(AL42-3)</f>
        <v>8.2644628099173556E-3</v>
      </c>
      <c r="BN42" s="43">
        <f>(AF42-AI42)/AD42</f>
        <v>2.3535353535353516</v>
      </c>
    </row>
    <row r="43" spans="1:66" hidden="1">
      <c r="A43" t="s">
        <v>151</v>
      </c>
      <c r="B43" s="17">
        <f>B42+1</f>
        <v>42</v>
      </c>
      <c r="C43" s="15">
        <v>1011</v>
      </c>
      <c r="D43" t="s">
        <v>165</v>
      </c>
      <c r="E43" t="s">
        <v>166</v>
      </c>
      <c r="F43" s="10" t="s">
        <v>167</v>
      </c>
      <c r="G43" s="10">
        <v>2009</v>
      </c>
      <c r="H43" s="10" t="s">
        <v>73</v>
      </c>
      <c r="I43">
        <v>40</v>
      </c>
      <c r="J43" t="s">
        <v>120</v>
      </c>
      <c r="K43" t="s">
        <v>94</v>
      </c>
      <c r="L43" s="17">
        <v>1</v>
      </c>
      <c r="M43">
        <v>0</v>
      </c>
      <c r="N43">
        <v>1</v>
      </c>
      <c r="O43">
        <v>0</v>
      </c>
      <c r="P43">
        <v>0</v>
      </c>
      <c r="Q43">
        <v>0</v>
      </c>
      <c r="R43">
        <v>0</v>
      </c>
      <c r="S43">
        <v>0</v>
      </c>
      <c r="T43">
        <v>1</v>
      </c>
      <c r="U43">
        <v>0</v>
      </c>
      <c r="V43">
        <v>0</v>
      </c>
      <c r="W43">
        <v>0</v>
      </c>
      <c r="X43">
        <v>0</v>
      </c>
      <c r="Y43">
        <v>0</v>
      </c>
      <c r="Z43" s="17" t="s">
        <v>168</v>
      </c>
      <c r="AA43" s="17" t="s">
        <v>78</v>
      </c>
      <c r="AB43" s="25">
        <v>3.5000000000000001E-3</v>
      </c>
      <c r="AC43" s="7" t="s">
        <v>86</v>
      </c>
      <c r="AD43" s="17">
        <v>1E-3</v>
      </c>
      <c r="AE43" s="20" t="s">
        <v>73</v>
      </c>
      <c r="AF43" t="s">
        <v>73</v>
      </c>
      <c r="AG43" t="s">
        <v>73</v>
      </c>
      <c r="AH43" t="s">
        <v>73</v>
      </c>
      <c r="AI43" t="s">
        <v>73</v>
      </c>
      <c r="AJ43" t="s">
        <v>73</v>
      </c>
      <c r="AK43" t="s">
        <v>73</v>
      </c>
      <c r="AL43">
        <v>12450</v>
      </c>
      <c r="AM43">
        <v>12450</v>
      </c>
      <c r="AN43" t="s">
        <v>73</v>
      </c>
      <c r="AO43" s="17">
        <v>3</v>
      </c>
      <c r="AP43">
        <f t="shared" ref="AP43:AP51" si="16">AB43/AD43</f>
        <v>3.5</v>
      </c>
      <c r="AQ43" t="s">
        <v>73</v>
      </c>
      <c r="AR43" t="s">
        <v>73</v>
      </c>
      <c r="AS43">
        <v>0</v>
      </c>
      <c r="AT43">
        <v>1</v>
      </c>
      <c r="AU43">
        <v>0</v>
      </c>
      <c r="AV43">
        <v>0</v>
      </c>
      <c r="AW43">
        <v>0</v>
      </c>
      <c r="AX43">
        <v>0</v>
      </c>
      <c r="AY43" t="s">
        <v>81</v>
      </c>
      <c r="AZ43" s="17" t="s">
        <v>73</v>
      </c>
      <c r="BA43" s="17" t="s">
        <v>73</v>
      </c>
      <c r="BB43" s="17">
        <v>0</v>
      </c>
      <c r="BC43" s="17">
        <v>0</v>
      </c>
      <c r="BD43" s="18" t="s">
        <v>83</v>
      </c>
      <c r="BE43" s="18" t="s">
        <v>83</v>
      </c>
      <c r="BF43" t="s">
        <v>73</v>
      </c>
      <c r="BI43" s="30">
        <f>(((AP43^2)/(AP43^2+AL43))^1/2)</f>
        <v>4.9148428253325042E-4</v>
      </c>
      <c r="BJ43" s="30">
        <f>- (((AP43^2)/(AP43^2+AM43))^1/2)</f>
        <v>-4.9148428253325042E-4</v>
      </c>
      <c r="BK43" s="30">
        <f t="shared" ref="BK43:BK53" si="17">0.5*LN((1+BJ43)/(1-BJ43))</f>
        <v>-4.9148432210700159E-4</v>
      </c>
      <c r="BL43" s="30">
        <f t="shared" ref="BL43:BL53" si="18">((1-(BK43^2)^2)/(AL43-1))</f>
        <v>8.0327737167639301E-5</v>
      </c>
      <c r="BM43" s="30">
        <f t="shared" ref="BM43:BM53" si="19">1/(AL43-3)</f>
        <v>8.0340644331967548E-5</v>
      </c>
    </row>
    <row r="44" spans="1:66" hidden="1">
      <c r="A44" t="s">
        <v>151</v>
      </c>
      <c r="B44" s="17">
        <f>B43+1</f>
        <v>43</v>
      </c>
      <c r="C44" s="15">
        <v>1011</v>
      </c>
      <c r="D44" t="s">
        <v>165</v>
      </c>
      <c r="E44" t="s">
        <v>166</v>
      </c>
      <c r="F44" s="10" t="s">
        <v>167</v>
      </c>
      <c r="G44" s="10">
        <v>2009</v>
      </c>
      <c r="H44" s="10" t="s">
        <v>73</v>
      </c>
      <c r="I44">
        <v>40</v>
      </c>
      <c r="J44" t="s">
        <v>120</v>
      </c>
      <c r="K44" t="s">
        <v>94</v>
      </c>
      <c r="L44" s="17">
        <v>1</v>
      </c>
      <c r="M44">
        <v>0</v>
      </c>
      <c r="N44">
        <v>1</v>
      </c>
      <c r="O44">
        <v>0</v>
      </c>
      <c r="P44">
        <v>0</v>
      </c>
      <c r="Q44">
        <v>0</v>
      </c>
      <c r="R44">
        <v>0</v>
      </c>
      <c r="S44">
        <v>0</v>
      </c>
      <c r="T44">
        <v>1</v>
      </c>
      <c r="U44">
        <v>0</v>
      </c>
      <c r="V44">
        <v>0</v>
      </c>
      <c r="W44">
        <v>0</v>
      </c>
      <c r="X44">
        <v>0</v>
      </c>
      <c r="Y44">
        <v>0</v>
      </c>
      <c r="Z44" s="17" t="s">
        <v>168</v>
      </c>
      <c r="AA44" s="17" t="s">
        <v>78</v>
      </c>
      <c r="AB44" s="25">
        <v>1.8000000000000001E-4</v>
      </c>
      <c r="AC44" s="7" t="s">
        <v>86</v>
      </c>
      <c r="AD44" s="17">
        <v>2.9999999999999997E-4</v>
      </c>
      <c r="AE44" s="20" t="s">
        <v>73</v>
      </c>
      <c r="AF44" t="s">
        <v>73</v>
      </c>
      <c r="AG44" t="s">
        <v>73</v>
      </c>
      <c r="AH44" t="s">
        <v>73</v>
      </c>
      <c r="AI44" t="s">
        <v>73</v>
      </c>
      <c r="AJ44" t="s">
        <v>73</v>
      </c>
      <c r="AK44" t="s">
        <v>73</v>
      </c>
      <c r="AL44">
        <v>12450</v>
      </c>
      <c r="AM44">
        <v>12450</v>
      </c>
      <c r="AN44" t="s">
        <v>73</v>
      </c>
      <c r="AO44" s="17">
        <v>3</v>
      </c>
      <c r="AP44">
        <f t="shared" si="16"/>
        <v>0.60000000000000009</v>
      </c>
      <c r="AQ44" t="s">
        <v>73</v>
      </c>
      <c r="AR44" t="s">
        <v>73</v>
      </c>
      <c r="AS44">
        <v>0</v>
      </c>
      <c r="AT44">
        <v>1</v>
      </c>
      <c r="AU44">
        <v>0</v>
      </c>
      <c r="AV44">
        <v>0</v>
      </c>
      <c r="AW44">
        <v>0</v>
      </c>
      <c r="AX44">
        <v>0</v>
      </c>
      <c r="AY44" t="s">
        <v>81</v>
      </c>
      <c r="AZ44" s="17" t="s">
        <v>73</v>
      </c>
      <c r="BA44" s="17" t="s">
        <v>73</v>
      </c>
      <c r="BB44" s="17">
        <v>0</v>
      </c>
      <c r="BC44" s="17">
        <v>0</v>
      </c>
      <c r="BD44" s="18" t="s">
        <v>83</v>
      </c>
      <c r="BE44" s="18" t="s">
        <v>83</v>
      </c>
      <c r="BF44" t="s">
        <v>73</v>
      </c>
      <c r="BI44" s="30">
        <f t="shared" ref="BI44:BI51" si="20">(((AP44^2)/(AP44^2+AL44))^1/2)</f>
        <v>1.4457413279616015E-5</v>
      </c>
      <c r="BJ44" s="30">
        <f>- (((AP44^2)/(AP44^2+AM44))^1/2)</f>
        <v>-1.4457413279616015E-5</v>
      </c>
      <c r="BK44" s="30">
        <f t="shared" si="17"/>
        <v>-1.4457413280689465E-5</v>
      </c>
      <c r="BL44" s="30">
        <f t="shared" si="18"/>
        <v>8.032773716764399E-5</v>
      </c>
      <c r="BM44" s="30">
        <f t="shared" si="19"/>
        <v>8.0340644331967548E-5</v>
      </c>
    </row>
    <row r="45" spans="1:66" hidden="1">
      <c r="A45" t="s">
        <v>151</v>
      </c>
      <c r="B45" s="17">
        <v>44</v>
      </c>
      <c r="C45" s="15">
        <v>1011</v>
      </c>
      <c r="D45" t="s">
        <v>165</v>
      </c>
      <c r="E45" t="s">
        <v>166</v>
      </c>
      <c r="F45" s="10" t="s">
        <v>167</v>
      </c>
      <c r="G45" s="10">
        <v>2009</v>
      </c>
      <c r="H45" s="10" t="s">
        <v>73</v>
      </c>
      <c r="I45">
        <v>40</v>
      </c>
      <c r="J45" t="s">
        <v>120</v>
      </c>
      <c r="K45" t="s">
        <v>94</v>
      </c>
      <c r="L45" s="17">
        <v>1</v>
      </c>
      <c r="M45">
        <v>0</v>
      </c>
      <c r="N45">
        <v>1</v>
      </c>
      <c r="O45">
        <v>0</v>
      </c>
      <c r="P45">
        <v>0</v>
      </c>
      <c r="Q45">
        <v>0</v>
      </c>
      <c r="R45">
        <v>0</v>
      </c>
      <c r="S45">
        <v>0</v>
      </c>
      <c r="T45">
        <v>1</v>
      </c>
      <c r="U45">
        <v>0</v>
      </c>
      <c r="V45">
        <v>0</v>
      </c>
      <c r="W45">
        <v>0</v>
      </c>
      <c r="X45">
        <v>0</v>
      </c>
      <c r="Y45">
        <v>0</v>
      </c>
      <c r="Z45" s="17" t="s">
        <v>168</v>
      </c>
      <c r="AA45" s="17" t="s">
        <v>78</v>
      </c>
      <c r="AB45" s="25">
        <v>1.2999999999999999E-4</v>
      </c>
      <c r="AC45" s="7" t="s">
        <v>80</v>
      </c>
      <c r="AD45" s="17">
        <v>5.0000000000000001E-4</v>
      </c>
      <c r="AE45" s="20" t="s">
        <v>73</v>
      </c>
      <c r="AF45" t="s">
        <v>73</v>
      </c>
      <c r="AG45" t="s">
        <v>73</v>
      </c>
      <c r="AH45" t="s">
        <v>73</v>
      </c>
      <c r="AI45" t="s">
        <v>73</v>
      </c>
      <c r="AJ45" t="s">
        <v>73</v>
      </c>
      <c r="AK45" t="s">
        <v>73</v>
      </c>
      <c r="AL45">
        <v>12450</v>
      </c>
      <c r="AM45">
        <v>12450</v>
      </c>
      <c r="AN45" t="s">
        <v>73</v>
      </c>
      <c r="AO45" s="17">
        <v>3</v>
      </c>
      <c r="AP45">
        <f t="shared" si="16"/>
        <v>0.25999999999999995</v>
      </c>
      <c r="AQ45" t="s">
        <v>73</v>
      </c>
      <c r="AR45" t="s">
        <v>73</v>
      </c>
      <c r="AS45">
        <v>0</v>
      </c>
      <c r="AT45">
        <v>1</v>
      </c>
      <c r="AU45">
        <v>0</v>
      </c>
      <c r="AV45">
        <v>0</v>
      </c>
      <c r="AW45">
        <v>0</v>
      </c>
      <c r="AX45">
        <v>0</v>
      </c>
      <c r="AY45" t="s">
        <v>81</v>
      </c>
      <c r="AZ45" s="17" t="s">
        <v>73</v>
      </c>
      <c r="BA45" s="17" t="s">
        <v>73</v>
      </c>
      <c r="BB45" s="17">
        <v>0</v>
      </c>
      <c r="BC45" s="17">
        <v>0</v>
      </c>
      <c r="BD45" s="18" t="s">
        <v>83</v>
      </c>
      <c r="BE45" s="18" t="s">
        <v>83</v>
      </c>
      <c r="BF45" t="s">
        <v>73</v>
      </c>
      <c r="BI45" s="30">
        <f t="shared" si="20"/>
        <v>2.7148446969075083E-6</v>
      </c>
      <c r="BJ45" s="30">
        <f>(((AP45^2)/(AP45^2+AM45))^1/2)</f>
        <v>2.7148446969075083E-6</v>
      </c>
      <c r="BK45" s="30">
        <f t="shared" si="17"/>
        <v>2.7148446968697823E-6</v>
      </c>
      <c r="BL45" s="30">
        <f t="shared" si="18"/>
        <v>8.032773716764399E-5</v>
      </c>
      <c r="BM45" s="30">
        <f t="shared" si="19"/>
        <v>8.0340644331967548E-5</v>
      </c>
    </row>
    <row r="46" spans="1:66" hidden="1">
      <c r="A46" t="s">
        <v>151</v>
      </c>
      <c r="B46" s="17">
        <f>B45+1</f>
        <v>45</v>
      </c>
      <c r="C46" s="15">
        <v>1011</v>
      </c>
      <c r="D46" t="s">
        <v>165</v>
      </c>
      <c r="E46" t="s">
        <v>166</v>
      </c>
      <c r="F46" s="10" t="s">
        <v>167</v>
      </c>
      <c r="G46" s="10">
        <v>2009</v>
      </c>
      <c r="H46" s="10" t="s">
        <v>73</v>
      </c>
      <c r="I46">
        <v>40</v>
      </c>
      <c r="J46" t="s">
        <v>120</v>
      </c>
      <c r="K46" t="s">
        <v>94</v>
      </c>
      <c r="L46" s="17">
        <v>1</v>
      </c>
      <c r="M46">
        <v>0</v>
      </c>
      <c r="N46">
        <v>1</v>
      </c>
      <c r="O46">
        <v>0</v>
      </c>
      <c r="P46">
        <v>0</v>
      </c>
      <c r="Q46">
        <v>0</v>
      </c>
      <c r="R46">
        <v>1</v>
      </c>
      <c r="S46">
        <v>0</v>
      </c>
      <c r="T46">
        <v>0</v>
      </c>
      <c r="U46">
        <v>0</v>
      </c>
      <c r="V46">
        <v>0</v>
      </c>
      <c r="W46">
        <v>0</v>
      </c>
      <c r="X46">
        <v>0</v>
      </c>
      <c r="Y46">
        <v>0</v>
      </c>
      <c r="Z46" s="17" t="s">
        <v>168</v>
      </c>
      <c r="AA46" s="17" t="s">
        <v>78</v>
      </c>
      <c r="AB46" s="25">
        <v>1.7000000000000001E-2</v>
      </c>
      <c r="AC46" s="7" t="s">
        <v>86</v>
      </c>
      <c r="AD46" s="17">
        <v>4.0000000000000001E-3</v>
      </c>
      <c r="AE46" s="20" t="s">
        <v>73</v>
      </c>
      <c r="AF46" t="s">
        <v>73</v>
      </c>
      <c r="AG46" t="s">
        <v>73</v>
      </c>
      <c r="AH46" t="s">
        <v>73</v>
      </c>
      <c r="AI46" t="s">
        <v>73</v>
      </c>
      <c r="AJ46" t="s">
        <v>73</v>
      </c>
      <c r="AK46" t="s">
        <v>73</v>
      </c>
      <c r="AL46">
        <v>12100</v>
      </c>
      <c r="AM46">
        <v>12100</v>
      </c>
      <c r="AN46" t="s">
        <v>73</v>
      </c>
      <c r="AO46" s="17">
        <v>3</v>
      </c>
      <c r="AP46">
        <f t="shared" si="16"/>
        <v>4.25</v>
      </c>
      <c r="AQ46" t="s">
        <v>73</v>
      </c>
      <c r="AR46" t="s">
        <v>73</v>
      </c>
      <c r="AS46">
        <v>0</v>
      </c>
      <c r="AT46">
        <v>1</v>
      </c>
      <c r="AU46">
        <v>0</v>
      </c>
      <c r="AV46">
        <v>0</v>
      </c>
      <c r="AW46">
        <v>0</v>
      </c>
      <c r="AX46">
        <v>0</v>
      </c>
      <c r="AY46" t="s">
        <v>81</v>
      </c>
      <c r="AZ46" s="17" t="s">
        <v>73</v>
      </c>
      <c r="BA46" s="17" t="s">
        <v>73</v>
      </c>
      <c r="BB46" s="17">
        <v>0</v>
      </c>
      <c r="BC46" s="17">
        <v>0</v>
      </c>
      <c r="BD46" s="18" t="s">
        <v>83</v>
      </c>
      <c r="BE46" s="18" t="s">
        <v>83</v>
      </c>
      <c r="BF46" t="s">
        <v>73</v>
      </c>
      <c r="BI46" s="30">
        <f t="shared" si="20"/>
        <v>7.4527177921388009E-4</v>
      </c>
      <c r="BJ46" s="30">
        <f>- (((AP46^2)/(AP46^2+AM46))^1/2)</f>
        <v>-7.4527177921388009E-4</v>
      </c>
      <c r="BK46" s="30">
        <f t="shared" si="17"/>
        <v>-7.4527191719599845E-4</v>
      </c>
      <c r="BL46" s="30">
        <f t="shared" si="18"/>
        <v>8.2651458798222292E-5</v>
      </c>
      <c r="BM46" s="30">
        <f t="shared" si="19"/>
        <v>8.2665123584359755E-5</v>
      </c>
    </row>
    <row r="47" spans="1:66" hidden="1">
      <c r="A47" t="s">
        <v>151</v>
      </c>
      <c r="B47" s="17">
        <f>B46+1</f>
        <v>46</v>
      </c>
      <c r="C47" s="15">
        <v>1011</v>
      </c>
      <c r="D47" t="s">
        <v>165</v>
      </c>
      <c r="E47" t="s">
        <v>166</v>
      </c>
      <c r="F47" s="10" t="s">
        <v>167</v>
      </c>
      <c r="G47" s="10">
        <v>2009</v>
      </c>
      <c r="H47" s="10" t="s">
        <v>73</v>
      </c>
      <c r="I47">
        <v>40</v>
      </c>
      <c r="J47" t="s">
        <v>120</v>
      </c>
      <c r="K47" t="s">
        <v>94</v>
      </c>
      <c r="L47" s="17">
        <v>1</v>
      </c>
      <c r="M47">
        <v>0</v>
      </c>
      <c r="N47">
        <v>1</v>
      </c>
      <c r="O47">
        <v>0</v>
      </c>
      <c r="P47">
        <v>0</v>
      </c>
      <c r="Q47">
        <v>0</v>
      </c>
      <c r="R47">
        <v>1</v>
      </c>
      <c r="S47">
        <v>0</v>
      </c>
      <c r="T47">
        <v>0</v>
      </c>
      <c r="U47">
        <v>0</v>
      </c>
      <c r="V47">
        <v>0</v>
      </c>
      <c r="W47">
        <v>0</v>
      </c>
      <c r="X47">
        <v>0</v>
      </c>
      <c r="Y47">
        <v>0</v>
      </c>
      <c r="Z47" s="17" t="s">
        <v>168</v>
      </c>
      <c r="AA47" s="17" t="s">
        <v>78</v>
      </c>
      <c r="AB47" s="25">
        <v>1.6999999999999999E-3</v>
      </c>
      <c r="AC47" s="7" t="s">
        <v>86</v>
      </c>
      <c r="AD47" s="17">
        <v>1E-3</v>
      </c>
      <c r="AE47" s="20" t="s">
        <v>73</v>
      </c>
      <c r="AF47" t="s">
        <v>73</v>
      </c>
      <c r="AG47" t="s">
        <v>73</v>
      </c>
      <c r="AH47" t="s">
        <v>73</v>
      </c>
      <c r="AI47" t="s">
        <v>73</v>
      </c>
      <c r="AJ47" t="s">
        <v>73</v>
      </c>
      <c r="AK47" t="s">
        <v>73</v>
      </c>
      <c r="AL47">
        <v>12100</v>
      </c>
      <c r="AM47">
        <v>12100</v>
      </c>
      <c r="AN47" t="s">
        <v>73</v>
      </c>
      <c r="AO47" s="17">
        <v>3</v>
      </c>
      <c r="AP47">
        <f t="shared" si="16"/>
        <v>1.7</v>
      </c>
      <c r="AQ47" t="s">
        <v>73</v>
      </c>
      <c r="AR47" t="s">
        <v>73</v>
      </c>
      <c r="AS47">
        <v>0</v>
      </c>
      <c r="AT47">
        <v>1</v>
      </c>
      <c r="AU47">
        <v>0</v>
      </c>
      <c r="AV47">
        <v>0</v>
      </c>
      <c r="AW47">
        <v>0</v>
      </c>
      <c r="AX47">
        <v>0</v>
      </c>
      <c r="AY47" t="s">
        <v>81</v>
      </c>
      <c r="AZ47" s="17" t="s">
        <v>73</v>
      </c>
      <c r="BA47" s="17" t="s">
        <v>73</v>
      </c>
      <c r="BB47" s="17">
        <v>0</v>
      </c>
      <c r="BC47" s="17">
        <v>0</v>
      </c>
      <c r="BD47" s="18" t="s">
        <v>83</v>
      </c>
      <c r="BE47" s="18" t="s">
        <v>83</v>
      </c>
      <c r="BF47" t="s">
        <v>73</v>
      </c>
      <c r="BI47" s="30">
        <f t="shared" si="20"/>
        <v>1.1939297143079049E-4</v>
      </c>
      <c r="BJ47" s="30">
        <f>-(((AP47^2)/(AP47^2+AM47))^1/2)</f>
        <v>-1.1939297143079049E-4</v>
      </c>
      <c r="BK47" s="30">
        <f t="shared" si="17"/>
        <v>-1.1939297199808206E-4</v>
      </c>
      <c r="BL47" s="30">
        <f t="shared" si="18"/>
        <v>8.2651458798247771E-5</v>
      </c>
      <c r="BM47" s="30">
        <f t="shared" si="19"/>
        <v>8.2665123584359755E-5</v>
      </c>
    </row>
    <row r="48" spans="1:66" hidden="1">
      <c r="A48" t="s">
        <v>151</v>
      </c>
      <c r="B48" s="17">
        <f>B47+1</f>
        <v>47</v>
      </c>
      <c r="C48" s="15">
        <v>1011</v>
      </c>
      <c r="D48" t="s">
        <v>165</v>
      </c>
      <c r="E48" t="s">
        <v>166</v>
      </c>
      <c r="F48" s="10" t="s">
        <v>167</v>
      </c>
      <c r="G48" s="10">
        <v>2009</v>
      </c>
      <c r="H48" s="10" t="s">
        <v>73</v>
      </c>
      <c r="I48">
        <v>40</v>
      </c>
      <c r="J48" t="s">
        <v>120</v>
      </c>
      <c r="K48" t="s">
        <v>94</v>
      </c>
      <c r="L48" s="17">
        <v>1</v>
      </c>
      <c r="M48">
        <v>0</v>
      </c>
      <c r="N48">
        <v>1</v>
      </c>
      <c r="O48">
        <v>0</v>
      </c>
      <c r="P48">
        <v>0</v>
      </c>
      <c r="Q48">
        <v>0</v>
      </c>
      <c r="R48">
        <v>1</v>
      </c>
      <c r="S48">
        <v>0</v>
      </c>
      <c r="T48">
        <v>0</v>
      </c>
      <c r="U48">
        <v>0</v>
      </c>
      <c r="V48">
        <v>0</v>
      </c>
      <c r="W48">
        <v>0</v>
      </c>
      <c r="X48">
        <v>0</v>
      </c>
      <c r="Y48">
        <v>0</v>
      </c>
      <c r="Z48" s="17" t="s">
        <v>168</v>
      </c>
      <c r="AA48" s="17" t="s">
        <v>78</v>
      </c>
      <c r="AB48" s="25">
        <v>2.9E-4</v>
      </c>
      <c r="AC48" s="7" t="s">
        <v>86</v>
      </c>
      <c r="AD48" s="17">
        <v>1E-3</v>
      </c>
      <c r="AE48" s="20" t="s">
        <v>73</v>
      </c>
      <c r="AF48" t="s">
        <v>73</v>
      </c>
      <c r="AG48" t="s">
        <v>73</v>
      </c>
      <c r="AH48" t="s">
        <v>73</v>
      </c>
      <c r="AI48" t="s">
        <v>73</v>
      </c>
      <c r="AJ48" t="s">
        <v>73</v>
      </c>
      <c r="AK48" t="s">
        <v>73</v>
      </c>
      <c r="AL48">
        <v>12100</v>
      </c>
      <c r="AM48">
        <v>12100</v>
      </c>
      <c r="AN48" t="s">
        <v>73</v>
      </c>
      <c r="AO48" s="17">
        <v>3</v>
      </c>
      <c r="AP48">
        <f t="shared" si="16"/>
        <v>0.28999999999999998</v>
      </c>
      <c r="AQ48" t="s">
        <v>73</v>
      </c>
      <c r="AR48" t="s">
        <v>73</v>
      </c>
      <c r="AS48">
        <v>0</v>
      </c>
      <c r="AT48">
        <v>1</v>
      </c>
      <c r="AU48">
        <v>0</v>
      </c>
      <c r="AV48">
        <v>0</v>
      </c>
      <c r="AW48">
        <v>0</v>
      </c>
      <c r="AX48">
        <v>0</v>
      </c>
      <c r="AY48" t="s">
        <v>81</v>
      </c>
      <c r="AZ48" s="17" t="s">
        <v>73</v>
      </c>
      <c r="BA48" s="17" t="s">
        <v>73</v>
      </c>
      <c r="BB48" s="17">
        <v>0</v>
      </c>
      <c r="BC48" s="17">
        <v>0</v>
      </c>
      <c r="BD48" s="18" t="s">
        <v>83</v>
      </c>
      <c r="BE48" s="18" t="s">
        <v>83</v>
      </c>
      <c r="BF48" t="s">
        <v>73</v>
      </c>
      <c r="BI48" s="30">
        <f t="shared" si="20"/>
        <v>3.4751824576161415E-6</v>
      </c>
      <c r="BJ48" s="30">
        <f>- (((AP48^2)/(AP48^2+AM48))^1/2)</f>
        <v>-3.4751824576161415E-6</v>
      </c>
      <c r="BK48" s="30">
        <f t="shared" si="17"/>
        <v>-3.4751824576052122E-6</v>
      </c>
      <c r="BL48" s="30">
        <f t="shared" si="18"/>
        <v>8.2651458798247785E-5</v>
      </c>
      <c r="BM48" s="30">
        <f t="shared" si="19"/>
        <v>8.2665123584359755E-5</v>
      </c>
    </row>
    <row r="49" spans="1:65" hidden="1">
      <c r="A49" t="s">
        <v>151</v>
      </c>
      <c r="B49" s="17">
        <v>48</v>
      </c>
      <c r="C49" s="15">
        <v>1011</v>
      </c>
      <c r="D49" t="s">
        <v>165</v>
      </c>
      <c r="E49" t="s">
        <v>166</v>
      </c>
      <c r="F49" s="10" t="s">
        <v>167</v>
      </c>
      <c r="G49" s="10">
        <v>2009</v>
      </c>
      <c r="H49" s="10" t="s">
        <v>73</v>
      </c>
      <c r="I49">
        <v>40</v>
      </c>
      <c r="J49" t="s">
        <v>120</v>
      </c>
      <c r="K49" t="s">
        <v>94</v>
      </c>
      <c r="L49" s="17">
        <v>1</v>
      </c>
      <c r="M49">
        <v>0</v>
      </c>
      <c r="N49">
        <v>1</v>
      </c>
      <c r="O49">
        <v>0</v>
      </c>
      <c r="P49">
        <v>0</v>
      </c>
      <c r="Q49">
        <v>0</v>
      </c>
      <c r="R49">
        <v>0</v>
      </c>
      <c r="S49">
        <v>1</v>
      </c>
      <c r="T49">
        <v>0</v>
      </c>
      <c r="U49">
        <v>0</v>
      </c>
      <c r="V49">
        <v>0</v>
      </c>
      <c r="W49">
        <v>0</v>
      </c>
      <c r="X49">
        <v>0</v>
      </c>
      <c r="Y49">
        <v>0</v>
      </c>
      <c r="Z49" s="17" t="s">
        <v>168</v>
      </c>
      <c r="AA49" s="17" t="s">
        <v>78</v>
      </c>
      <c r="AB49" s="25">
        <v>5.5999999999999995E-4</v>
      </c>
      <c r="AC49" s="7" t="s">
        <v>86</v>
      </c>
      <c r="AD49" s="17">
        <v>0</v>
      </c>
      <c r="AE49" s="20" t="s">
        <v>73</v>
      </c>
      <c r="AF49" t="s">
        <v>73</v>
      </c>
      <c r="AG49" t="s">
        <v>73</v>
      </c>
      <c r="AH49" t="s">
        <v>73</v>
      </c>
      <c r="AI49" t="s">
        <v>73</v>
      </c>
      <c r="AJ49" t="s">
        <v>73</v>
      </c>
      <c r="AK49" t="s">
        <v>73</v>
      </c>
      <c r="AL49">
        <v>12600</v>
      </c>
      <c r="AM49">
        <v>12600</v>
      </c>
      <c r="AN49" t="s">
        <v>73</v>
      </c>
      <c r="AO49" s="17">
        <v>3</v>
      </c>
      <c r="AP49" t="e">
        <f>AB49/AD49</f>
        <v>#DIV/0!</v>
      </c>
      <c r="AQ49" t="s">
        <v>73</v>
      </c>
      <c r="AR49" t="s">
        <v>73</v>
      </c>
      <c r="AS49">
        <v>0</v>
      </c>
      <c r="AT49">
        <v>1</v>
      </c>
      <c r="AU49">
        <v>0</v>
      </c>
      <c r="AV49">
        <v>0</v>
      </c>
      <c r="AW49">
        <v>0</v>
      </c>
      <c r="AX49">
        <v>0</v>
      </c>
      <c r="AY49" t="s">
        <v>81</v>
      </c>
      <c r="AZ49" s="17" t="s">
        <v>73</v>
      </c>
      <c r="BA49" s="17" t="s">
        <v>73</v>
      </c>
      <c r="BB49" s="17">
        <v>0</v>
      </c>
      <c r="BC49" s="17">
        <v>0</v>
      </c>
      <c r="BD49" s="18" t="s">
        <v>83</v>
      </c>
      <c r="BE49" s="18" t="s">
        <v>83</v>
      </c>
      <c r="BF49" t="s">
        <v>73</v>
      </c>
      <c r="BI49" s="30">
        <v>0</v>
      </c>
      <c r="BJ49" s="30">
        <v>0</v>
      </c>
      <c r="BK49" s="30">
        <f t="shared" si="17"/>
        <v>0</v>
      </c>
      <c r="BL49" s="30">
        <f t="shared" si="18"/>
        <v>7.9371378680847689E-5</v>
      </c>
      <c r="BM49" s="30">
        <f t="shared" si="19"/>
        <v>7.9383980312772889E-5</v>
      </c>
    </row>
    <row r="50" spans="1:65" hidden="1">
      <c r="A50" t="s">
        <v>151</v>
      </c>
      <c r="B50" s="17">
        <f>B49+1</f>
        <v>49</v>
      </c>
      <c r="C50" s="15">
        <v>1011</v>
      </c>
      <c r="D50" t="s">
        <v>165</v>
      </c>
      <c r="E50" t="s">
        <v>166</v>
      </c>
      <c r="F50" s="10" t="s">
        <v>167</v>
      </c>
      <c r="G50" s="10">
        <v>2009</v>
      </c>
      <c r="H50" s="10" t="s">
        <v>73</v>
      </c>
      <c r="I50">
        <v>40</v>
      </c>
      <c r="J50" t="s">
        <v>120</v>
      </c>
      <c r="K50" t="s">
        <v>94</v>
      </c>
      <c r="L50" s="17">
        <v>1</v>
      </c>
      <c r="M50">
        <v>0</v>
      </c>
      <c r="N50">
        <v>1</v>
      </c>
      <c r="O50">
        <v>0</v>
      </c>
      <c r="P50">
        <v>0</v>
      </c>
      <c r="Q50">
        <v>0</v>
      </c>
      <c r="R50">
        <v>0</v>
      </c>
      <c r="S50">
        <v>1</v>
      </c>
      <c r="T50">
        <v>0</v>
      </c>
      <c r="U50">
        <v>0</v>
      </c>
      <c r="V50">
        <v>0</v>
      </c>
      <c r="W50">
        <v>0</v>
      </c>
      <c r="X50">
        <v>0</v>
      </c>
      <c r="Y50">
        <v>0</v>
      </c>
      <c r="Z50" s="17" t="s">
        <v>168</v>
      </c>
      <c r="AA50" s="17" t="s">
        <v>78</v>
      </c>
      <c r="AB50" s="25">
        <v>1.4999999999999999E-4</v>
      </c>
      <c r="AC50" s="7" t="s">
        <v>86</v>
      </c>
      <c r="AD50" s="17">
        <v>2.9999999999999997E-4</v>
      </c>
      <c r="AE50" s="20" t="s">
        <v>73</v>
      </c>
      <c r="AF50" t="s">
        <v>73</v>
      </c>
      <c r="AG50" t="s">
        <v>73</v>
      </c>
      <c r="AH50" t="s">
        <v>73</v>
      </c>
      <c r="AI50" t="s">
        <v>73</v>
      </c>
      <c r="AJ50" t="s">
        <v>73</v>
      </c>
      <c r="AK50" t="s">
        <v>73</v>
      </c>
      <c r="AL50">
        <v>12600</v>
      </c>
      <c r="AM50">
        <v>12600</v>
      </c>
      <c r="AN50" t="s">
        <v>73</v>
      </c>
      <c r="AO50" s="17">
        <v>3</v>
      </c>
      <c r="AP50">
        <f t="shared" si="16"/>
        <v>0.5</v>
      </c>
      <c r="AQ50" t="s">
        <v>73</v>
      </c>
      <c r="AR50" t="s">
        <v>73</v>
      </c>
      <c r="AS50">
        <v>0</v>
      </c>
      <c r="AT50">
        <v>1</v>
      </c>
      <c r="AU50">
        <v>0</v>
      </c>
      <c r="AV50">
        <v>0</v>
      </c>
      <c r="AW50">
        <v>0</v>
      </c>
      <c r="AX50">
        <v>0</v>
      </c>
      <c r="AY50" t="s">
        <v>81</v>
      </c>
      <c r="AZ50" s="17" t="s">
        <v>73</v>
      </c>
      <c r="BA50" s="17" t="s">
        <v>73</v>
      </c>
      <c r="BB50" s="17">
        <v>0</v>
      </c>
      <c r="BC50" s="17">
        <v>0</v>
      </c>
      <c r="BD50" s="18" t="s">
        <v>83</v>
      </c>
      <c r="BE50" s="18" t="s">
        <v>83</v>
      </c>
      <c r="BF50" t="s">
        <v>73</v>
      </c>
      <c r="BI50" s="30">
        <f t="shared" si="20"/>
        <v>9.9204380865459011E-6</v>
      </c>
      <c r="BJ50" s="30">
        <f>- (((AP50^2)/(AP50^2+AM50))^1/2)</f>
        <v>-9.9204380865459011E-6</v>
      </c>
      <c r="BK50" s="30">
        <f t="shared" si="17"/>
        <v>-9.9204380868943857E-6</v>
      </c>
      <c r="BL50" s="30">
        <f t="shared" si="18"/>
        <v>7.9371378680847689E-5</v>
      </c>
      <c r="BM50" s="30">
        <f t="shared" si="19"/>
        <v>7.9383980312772889E-5</v>
      </c>
    </row>
    <row r="51" spans="1:65" hidden="1">
      <c r="A51" t="s">
        <v>151</v>
      </c>
      <c r="B51" s="17">
        <f>B50+1</f>
        <v>50</v>
      </c>
      <c r="C51" s="15">
        <v>1011</v>
      </c>
      <c r="D51" t="s">
        <v>165</v>
      </c>
      <c r="E51" t="s">
        <v>166</v>
      </c>
      <c r="F51" s="10" t="s">
        <v>167</v>
      </c>
      <c r="G51" s="10">
        <v>2009</v>
      </c>
      <c r="H51" s="10" t="s">
        <v>73</v>
      </c>
      <c r="I51">
        <v>40</v>
      </c>
      <c r="J51" t="s">
        <v>120</v>
      </c>
      <c r="K51" t="s">
        <v>94</v>
      </c>
      <c r="L51" s="17">
        <v>1</v>
      </c>
      <c r="M51">
        <v>0</v>
      </c>
      <c r="N51">
        <v>1</v>
      </c>
      <c r="O51">
        <v>0</v>
      </c>
      <c r="P51">
        <v>0</v>
      </c>
      <c r="Q51">
        <v>0</v>
      </c>
      <c r="R51">
        <v>0</v>
      </c>
      <c r="S51">
        <v>1</v>
      </c>
      <c r="T51">
        <v>0</v>
      </c>
      <c r="U51">
        <v>0</v>
      </c>
      <c r="V51">
        <v>0</v>
      </c>
      <c r="W51">
        <v>0</v>
      </c>
      <c r="X51">
        <v>0</v>
      </c>
      <c r="Y51">
        <v>0</v>
      </c>
      <c r="Z51" s="17" t="s">
        <v>168</v>
      </c>
      <c r="AA51" s="17" t="s">
        <v>78</v>
      </c>
      <c r="AB51" s="25">
        <v>1.3999999999999999E-4</v>
      </c>
      <c r="AC51" s="7" t="s">
        <v>86</v>
      </c>
      <c r="AD51" s="17">
        <v>2.9999999999999997E-4</v>
      </c>
      <c r="AE51" s="20" t="s">
        <v>73</v>
      </c>
      <c r="AF51" t="s">
        <v>73</v>
      </c>
      <c r="AG51" t="s">
        <v>73</v>
      </c>
      <c r="AH51" t="s">
        <v>73</v>
      </c>
      <c r="AI51" t="s">
        <v>73</v>
      </c>
      <c r="AJ51" t="s">
        <v>73</v>
      </c>
      <c r="AK51" t="s">
        <v>73</v>
      </c>
      <c r="AL51">
        <v>12600</v>
      </c>
      <c r="AM51">
        <v>12600</v>
      </c>
      <c r="AN51" t="s">
        <v>73</v>
      </c>
      <c r="AO51" s="17">
        <v>3</v>
      </c>
      <c r="AP51">
        <f t="shared" si="16"/>
        <v>0.46666666666666667</v>
      </c>
      <c r="AQ51" t="s">
        <v>73</v>
      </c>
      <c r="AR51" t="s">
        <v>73</v>
      </c>
      <c r="AS51">
        <v>0</v>
      </c>
      <c r="AT51">
        <v>1</v>
      </c>
      <c r="AU51">
        <v>0</v>
      </c>
      <c r="AV51">
        <v>0</v>
      </c>
      <c r="AW51">
        <v>0</v>
      </c>
      <c r="AX51">
        <v>0</v>
      </c>
      <c r="AY51" t="s">
        <v>81</v>
      </c>
      <c r="AZ51" s="17" t="s">
        <v>73</v>
      </c>
      <c r="BA51" s="17" t="s">
        <v>73</v>
      </c>
      <c r="BB51" s="17">
        <v>0</v>
      </c>
      <c r="BC51" s="17">
        <v>0</v>
      </c>
      <c r="BD51" s="18" t="s">
        <v>83</v>
      </c>
      <c r="BE51" s="18" t="s">
        <v>83</v>
      </c>
      <c r="BF51" t="s">
        <v>73</v>
      </c>
      <c r="BI51" s="30">
        <f t="shared" si="20"/>
        <v>8.6418259437491216E-6</v>
      </c>
      <c r="BJ51" s="30">
        <f>- (((AP51^2)/(AP51^2+AM51))^1/2)</f>
        <v>-8.6418259437491216E-6</v>
      </c>
      <c r="BK51" s="30">
        <f t="shared" si="17"/>
        <v>-8.6418259439751236E-6</v>
      </c>
      <c r="BL51" s="30">
        <f t="shared" si="18"/>
        <v>7.9371378680847689E-5</v>
      </c>
      <c r="BM51" s="30">
        <f t="shared" si="19"/>
        <v>7.9383980312772889E-5</v>
      </c>
    </row>
    <row r="52" spans="1:65" s="41" customFormat="1">
      <c r="A52" s="41" t="s">
        <v>68</v>
      </c>
      <c r="B52" s="41">
        <f>B51+1</f>
        <v>51</v>
      </c>
      <c r="C52" s="41">
        <v>1012</v>
      </c>
      <c r="D52" s="41" t="s">
        <v>169</v>
      </c>
      <c r="E52" s="41" t="s">
        <v>170</v>
      </c>
      <c r="F52" s="41" t="s">
        <v>171</v>
      </c>
      <c r="G52" s="41">
        <v>2010</v>
      </c>
      <c r="H52" s="41" t="s">
        <v>73</v>
      </c>
      <c r="I52" s="41">
        <v>11</v>
      </c>
      <c r="J52" s="41" t="s">
        <v>172</v>
      </c>
      <c r="K52" s="41" t="s">
        <v>76</v>
      </c>
      <c r="L52" s="41">
        <v>1</v>
      </c>
      <c r="M52" s="41">
        <v>0</v>
      </c>
      <c r="N52" s="41">
        <v>0</v>
      </c>
      <c r="O52" s="41">
        <v>0</v>
      </c>
      <c r="P52" s="41">
        <v>1</v>
      </c>
      <c r="Q52" s="41">
        <v>0</v>
      </c>
      <c r="R52" s="41">
        <v>1</v>
      </c>
      <c r="S52" s="41">
        <v>0</v>
      </c>
      <c r="T52" s="41">
        <v>0</v>
      </c>
      <c r="U52" s="41">
        <v>0</v>
      </c>
      <c r="V52" s="41">
        <v>0</v>
      </c>
      <c r="W52" s="41">
        <v>0</v>
      </c>
      <c r="X52" s="41">
        <v>0</v>
      </c>
      <c r="Y52" s="41">
        <v>0</v>
      </c>
      <c r="Z52" s="41" t="s">
        <v>164</v>
      </c>
      <c r="AA52" s="41" t="s">
        <v>173</v>
      </c>
      <c r="AB52" s="53">
        <v>2.3E-2</v>
      </c>
      <c r="AC52" s="48" t="s">
        <v>80</v>
      </c>
      <c r="AD52" s="41" t="s">
        <v>73</v>
      </c>
      <c r="AE52" s="41" t="s">
        <v>73</v>
      </c>
      <c r="AF52" s="41" t="s">
        <v>73</v>
      </c>
      <c r="AG52" s="41">
        <v>13471</v>
      </c>
      <c r="AH52" s="41" t="s">
        <v>73</v>
      </c>
      <c r="AI52" s="41" t="s">
        <v>73</v>
      </c>
      <c r="AJ52" s="41">
        <v>5672</v>
      </c>
      <c r="AK52" s="41" t="s">
        <v>73</v>
      </c>
      <c r="AL52" s="41">
        <f>AG52+AJ52</f>
        <v>19143</v>
      </c>
      <c r="AM52" s="41">
        <v>19143</v>
      </c>
      <c r="AN52" s="41">
        <v>0.1</v>
      </c>
      <c r="AO52" s="41">
        <v>1</v>
      </c>
      <c r="AP52" s="41" t="s">
        <v>73</v>
      </c>
      <c r="AQ52" s="41" t="s">
        <v>73</v>
      </c>
      <c r="AR52" s="41" t="s">
        <v>73</v>
      </c>
      <c r="AS52" s="41">
        <v>0</v>
      </c>
      <c r="AT52" s="41">
        <v>0</v>
      </c>
      <c r="AU52" s="41">
        <v>0</v>
      </c>
      <c r="AV52" s="41">
        <v>0</v>
      </c>
      <c r="AW52" s="41">
        <v>0</v>
      </c>
      <c r="AX52" s="41">
        <v>0</v>
      </c>
      <c r="AY52" s="41" t="s">
        <v>174</v>
      </c>
      <c r="AZ52" s="41" t="s">
        <v>73</v>
      </c>
      <c r="BA52" s="41" t="s">
        <v>73</v>
      </c>
      <c r="BB52" s="41">
        <v>0</v>
      </c>
      <c r="BC52" s="41">
        <v>0</v>
      </c>
      <c r="BD52" s="43" t="s">
        <v>83</v>
      </c>
      <c r="BE52" s="43" t="s">
        <v>83</v>
      </c>
      <c r="BF52" s="41" t="s">
        <v>73</v>
      </c>
      <c r="BG52" s="41">
        <f>5*4.345</f>
        <v>21.724999999999998</v>
      </c>
      <c r="BH52" s="41">
        <v>0</v>
      </c>
      <c r="BI52" s="51">
        <v>0</v>
      </c>
      <c r="BJ52" s="51">
        <v>0</v>
      </c>
      <c r="BK52" s="51">
        <f t="shared" si="17"/>
        <v>0</v>
      </c>
      <c r="BL52" s="51">
        <f t="shared" si="18"/>
        <v>5.2241145125901161E-5</v>
      </c>
      <c r="BM52" s="51">
        <f t="shared" si="19"/>
        <v>5.2246603970741903E-5</v>
      </c>
    </row>
    <row r="53" spans="1:65" s="41" customFormat="1">
      <c r="A53" s="41" t="s">
        <v>68</v>
      </c>
      <c r="B53" s="41">
        <v>52</v>
      </c>
      <c r="C53" s="41">
        <v>1013</v>
      </c>
      <c r="D53" s="41" t="s">
        <v>175</v>
      </c>
      <c r="E53" s="41" t="s">
        <v>176</v>
      </c>
      <c r="F53" s="41" t="s">
        <v>177</v>
      </c>
      <c r="G53" s="41">
        <v>2011</v>
      </c>
      <c r="H53" s="41" t="s">
        <v>73</v>
      </c>
      <c r="I53" s="41">
        <v>280</v>
      </c>
      <c r="J53" s="41" t="s">
        <v>93</v>
      </c>
      <c r="K53" s="41" t="s">
        <v>94</v>
      </c>
      <c r="L53" s="41">
        <v>1</v>
      </c>
      <c r="M53" s="41">
        <v>0</v>
      </c>
      <c r="N53" s="41">
        <v>1</v>
      </c>
      <c r="O53" s="41">
        <v>0</v>
      </c>
      <c r="P53" s="41">
        <v>0</v>
      </c>
      <c r="Q53" s="41">
        <v>0</v>
      </c>
      <c r="R53" s="41">
        <v>0</v>
      </c>
      <c r="S53" s="41">
        <v>0</v>
      </c>
      <c r="T53" s="41">
        <v>0</v>
      </c>
      <c r="U53" s="41">
        <v>1</v>
      </c>
      <c r="V53" s="41">
        <v>0</v>
      </c>
      <c r="W53" s="41">
        <v>0</v>
      </c>
      <c r="X53" s="41">
        <v>0</v>
      </c>
      <c r="Y53" s="41">
        <v>0</v>
      </c>
      <c r="Z53" s="41" t="s">
        <v>73</v>
      </c>
      <c r="AA53" s="41" t="s">
        <v>178</v>
      </c>
      <c r="AB53" s="49">
        <v>3.5900000000000001E-2</v>
      </c>
      <c r="AC53" s="48" t="s">
        <v>86</v>
      </c>
      <c r="AD53" s="41" t="s">
        <v>73</v>
      </c>
      <c r="AE53" s="41">
        <v>8</v>
      </c>
      <c r="AF53" s="41" t="s">
        <v>73</v>
      </c>
      <c r="AG53" s="41" t="s">
        <v>73</v>
      </c>
      <c r="AH53" s="41" t="s">
        <v>73</v>
      </c>
      <c r="AI53" s="41" t="s">
        <v>73</v>
      </c>
      <c r="AJ53" s="41" t="s">
        <v>73</v>
      </c>
      <c r="AK53" s="41" t="s">
        <v>73</v>
      </c>
      <c r="AL53" s="41">
        <v>1153</v>
      </c>
      <c r="AM53" s="41">
        <v>13923</v>
      </c>
      <c r="AN53" s="41" t="s">
        <v>73</v>
      </c>
      <c r="AO53" s="41">
        <v>3</v>
      </c>
      <c r="AP53" s="41">
        <v>1.01</v>
      </c>
      <c r="AQ53" s="41" t="s">
        <v>73</v>
      </c>
      <c r="AR53" s="41" t="s">
        <v>73</v>
      </c>
      <c r="AS53" s="41">
        <v>1</v>
      </c>
      <c r="AT53" s="41">
        <v>1</v>
      </c>
      <c r="AU53" s="41">
        <v>1</v>
      </c>
      <c r="AV53" s="41">
        <v>1</v>
      </c>
      <c r="AW53" s="41">
        <v>1</v>
      </c>
      <c r="AX53" s="41">
        <v>1</v>
      </c>
      <c r="AY53" s="41" t="s">
        <v>81</v>
      </c>
      <c r="AZ53" s="40">
        <v>1775.53</v>
      </c>
      <c r="BA53" s="41" t="s">
        <v>179</v>
      </c>
      <c r="BB53" s="41">
        <v>0</v>
      </c>
      <c r="BC53" s="41">
        <v>1</v>
      </c>
      <c r="BD53" s="43" t="s">
        <v>139</v>
      </c>
      <c r="BE53" s="43" t="s">
        <v>83</v>
      </c>
      <c r="BF53" s="41" t="s">
        <v>180</v>
      </c>
      <c r="BG53" s="41">
        <f>5*52.179</f>
        <v>260.89499999999998</v>
      </c>
      <c r="BH53" s="41">
        <v>0</v>
      </c>
      <c r="BI53" s="51">
        <f>(((AP53^2)/(AP53^2+AL53))^1/2)</f>
        <v>4.4197670387196897E-4</v>
      </c>
      <c r="BJ53" s="51">
        <f>- (((AP53^2)/(AP53^2+AM53))^1/2)</f>
        <v>-3.663094396136357E-5</v>
      </c>
      <c r="BK53" s="51">
        <f t="shared" si="17"/>
        <v>-3.6630943977768261E-5</v>
      </c>
      <c r="BL53" s="51">
        <f t="shared" si="18"/>
        <v>8.6805555555555551E-4</v>
      </c>
      <c r="BM53" s="51">
        <f t="shared" si="19"/>
        <v>8.6956521739130438E-4</v>
      </c>
    </row>
  </sheetData>
  <dataConsolidate/>
  <dataValidations count="10">
    <dataValidation type="whole" errorStyle="warning" allowBlank="1" showInputMessage="1" showErrorMessage="1" errorTitle="Error" error="Please fill in either 1 or 0_x000a_If the Study is:_x000a_Usage - 1_x000a_Purchase - 0" promptTitle="If Study = Usage/Purchase" prompt="If the Study is:_x000a_Usage - 1_x000a_Purchase - 2" sqref="M11:M12 N29:N32 M14:M16 L1:L1048576" xr:uid="{00000000-0002-0000-0000-000000000000}">
      <formula1>0</formula1>
      <formula2>2</formula2>
    </dataValidation>
    <dataValidation type="whole" allowBlank="1" showInputMessage="1" showErrorMessage="1" prompt="Yes - 1_x000a_No - 0_x000a_" sqref="R1:W1 R2:Y9 X10:X12 BB43:BB52 BC29:BC32 S23:Y28 BB39:BC42 BC43:BC51 BC17:BC22 BB54:BB1048576 BB13:BC16 R33:Y1048576 BB17:BB38 BB1:BB12" xr:uid="{00000000-0002-0000-0000-000001000000}">
      <formula1>0</formula1>
      <formula2>1</formula2>
    </dataValidation>
    <dataValidation type="whole" allowBlank="1" showInputMessage="1" showErrorMessage="1" errorTitle="int" error="Choose 1 or 0" promptTitle="Intervention" prompt="Yes - 1_x000a_No - 0" sqref="M1:Q9 M10 Y10:Y12 N10:W12 O29:Y32 P23:R28 N17:O28 P17:Y22 M13 N13:Y16 M17:M32 M33:Q1048576" xr:uid="{00000000-0002-0000-0000-000002000000}">
      <formula1>0</formula1>
      <formula2>1</formula2>
    </dataValidation>
    <dataValidation type="whole" allowBlank="1" showInputMessage="1" showErrorMessage="1" prompt="1- lower bound_x000a_2 - upper bound_x000a_3- actual" sqref="AO54:AO1048576 AO43:AO52 AO1:AO38" xr:uid="{00000000-0002-0000-0000-000003000000}">
      <formula1>0</formula1>
      <formula2>3</formula2>
    </dataValidation>
    <dataValidation allowBlank="1" showInputMessage="1" showErrorMessage="1" prompt="Yes - 1_x000a_No - 0_x000a_" sqref="X1" xr:uid="{00000000-0002-0000-0000-000004000000}"/>
    <dataValidation allowBlank="1" showInputMessage="1" showErrorMessage="1" sqref="BA53 AR53" xr:uid="{00000000-0002-0000-0000-000005000000}"/>
    <dataValidation type="list" allowBlank="1" showInputMessage="1" showErrorMessage="1" sqref="J23:J37 J1:J12" xr:uid="{00000000-0002-0000-0000-000006000000}">
      <formula1>$F$2:$F$9</formula1>
    </dataValidation>
    <dataValidation type="list" allowBlank="1" showInputMessage="1" showErrorMessage="1" sqref="K23:K37 K1:K12" xr:uid="{00000000-0002-0000-0000-000007000000}">
      <formula1>$D$2:$D$6</formula1>
    </dataValidation>
    <dataValidation type="list" allowBlank="1" showInputMessage="1" showErrorMessage="1" sqref="K43:K51" xr:uid="{00000000-0002-0000-0000-000008000000}">
      <formula1>$D$2:$D$7</formula1>
    </dataValidation>
    <dataValidation type="list" allowBlank="1" showInputMessage="1" showErrorMessage="1" sqref="J43:J51" xr:uid="{00000000-0002-0000-0000-000009000000}">
      <formula1>$F$2:$F$10</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prompt="Option to Opt/in - 1_x000a_No Option to Opt/in - 0_x000a_NA_x000a__x000a_" xr:uid="{00000000-0002-0000-0000-00000A000000}">
          <x14:formula1>
            <xm:f>'Lists for variables'!$B$2:$B$4</xm:f>
          </x14:formula1>
          <xm:sqref>BC23:BC28 BC54:BC1048576 BC33:BC38 BC1:BC12</xm:sqref>
        </x14:dataValidation>
        <x14:dataValidation type="list" allowBlank="1" showInputMessage="1" showErrorMessage="1" xr:uid="{00000000-0002-0000-0000-00000B000000}">
          <x14:formula1>
            <xm:f>'Lists for variables'!$F$2:$F$9</xm:f>
          </x14:formula1>
          <xm:sqref>J54:J1048576</xm:sqref>
        </x14:dataValidation>
        <x14:dataValidation type="list" allowBlank="1" showInputMessage="1" showErrorMessage="1" xr:uid="{00000000-0002-0000-0000-00000C000000}">
          <x14:formula1>
            <xm:f>'Lists for variables'!$A$2:$A$4</xm:f>
          </x14:formula1>
          <xm:sqref>AS43:AX51 AS54:AX1048576 AS23:AX38 AS2:AX12</xm:sqref>
        </x14:dataValidation>
        <x14:dataValidation type="list" allowBlank="1" showInputMessage="1" showErrorMessage="1" xr:uid="{00000000-0002-0000-0000-00000D000000}">
          <x14:formula1>
            <xm:f>'Lists for variables'!$F$2:$F$10</xm:f>
          </x14:formula1>
          <xm:sqref>J38</xm:sqref>
        </x14:dataValidation>
        <x14:dataValidation type="list" allowBlank="1" showInputMessage="1" showErrorMessage="1" xr:uid="{00000000-0002-0000-0000-00000E000000}">
          <x14:formula1>
            <xm:f>'Lists for variables'!$E$2:$E$4</xm:f>
          </x14:formula1>
          <xm:sqref>AO43:AO51</xm:sqref>
        </x14:dataValidation>
        <x14:dataValidation type="list" allowBlank="1" showInputMessage="1" showErrorMessage="1" xr:uid="{00000000-0002-0000-0000-00000F000000}">
          <x14:formula1>
            <xm:f>'Lists for variables'!$D$2:$D$6</xm:f>
          </x14:formula1>
          <xm:sqref>K54:K1048576</xm:sqref>
        </x14:dataValidation>
        <x14:dataValidation type="list" allowBlank="1" showInputMessage="1" showErrorMessage="1" xr:uid="{00000000-0002-0000-0000-000010000000}">
          <x14:formula1>
            <xm:f>'Lists for variables'!$D$2:$D$7</xm:f>
          </x14:formula1>
          <xm:sqref>K38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EE61"/>
  <sheetViews>
    <sheetView tabSelected="1" zoomScale="75" zoomScaleNormal="93" workbookViewId="0">
      <pane xSplit="1" ySplit="1" topLeftCell="B16" activePane="bottomRight" state="frozen"/>
      <selection pane="topRight" activeCell="B1" sqref="B1"/>
      <selection pane="bottomLeft" activeCell="A2" sqref="A2"/>
      <selection pane="bottomRight" activeCell="A48" sqref="A48:XFD275"/>
    </sheetView>
  </sheetViews>
  <sheetFormatPr baseColWidth="10" defaultColWidth="11" defaultRowHeight="15.75" customHeight="1"/>
  <cols>
    <col min="5" max="5" width="24.6640625" customWidth="1"/>
    <col min="6" max="6" width="17.6640625" customWidth="1"/>
    <col min="7" max="7" width="14.1640625" customWidth="1"/>
    <col min="8" max="8" width="16.5" customWidth="1"/>
    <col min="9" max="9" width="11" customWidth="1"/>
    <col min="10" max="10" width="16.1640625" customWidth="1"/>
    <col min="11" max="11" width="15.1640625" bestFit="1" customWidth="1"/>
    <col min="13" max="13" width="20.6640625" bestFit="1" customWidth="1"/>
    <col min="14" max="14" width="13.1640625" customWidth="1"/>
    <col min="15" max="15" width="11" customWidth="1"/>
    <col min="16" max="16" width="14.6640625" customWidth="1"/>
    <col min="17" max="17" width="13.1640625" customWidth="1"/>
    <col min="18" max="18" width="15" customWidth="1"/>
    <col min="19" max="19" width="14.1640625" customWidth="1"/>
    <col min="20" max="20" width="11" customWidth="1"/>
    <col min="21" max="21" width="21.1640625" customWidth="1"/>
    <col min="22" max="22" width="16" customWidth="1"/>
    <col min="23" max="23" width="14.6640625" customWidth="1"/>
    <col min="24" max="24" width="12.5" customWidth="1"/>
    <col min="25" max="33" width="11" customWidth="1"/>
    <col min="34" max="35" width="16" customWidth="1"/>
    <col min="36" max="39" width="11" customWidth="1"/>
    <col min="40" max="41" width="12.1640625" customWidth="1"/>
    <col min="42" max="42" width="11" customWidth="1"/>
    <col min="43" max="43" width="27.6640625" customWidth="1"/>
    <col min="44" max="44" width="41.1640625" bestFit="1" customWidth="1"/>
    <col min="45" max="45" width="54.6640625" customWidth="1"/>
    <col min="46" max="46" width="21" customWidth="1"/>
    <col min="47" max="47" width="26.6640625" style="7" customWidth="1"/>
    <col min="48" max="48" width="14.1640625" style="7" customWidth="1"/>
    <col min="49" max="49" width="13.1640625" customWidth="1"/>
    <col min="50" max="50" width="9.6640625" customWidth="1"/>
    <col min="51" max="51" width="17" customWidth="1"/>
    <col min="52" max="52" width="9"/>
    <col min="53" max="54" width="14.1640625" customWidth="1"/>
    <col min="55" max="55" width="13.6640625" customWidth="1"/>
    <col min="56" max="56" width="12.6640625" customWidth="1"/>
    <col min="57" max="57" width="10.6640625" customWidth="1"/>
    <col min="58" max="58" width="13" customWidth="1"/>
    <col min="59" max="60" width="10.6640625" customWidth="1"/>
    <col min="61" max="62" width="11.1640625" customWidth="1"/>
    <col min="63" max="64" width="11" customWidth="1"/>
    <col min="65" max="65" width="12.6640625" customWidth="1"/>
    <col min="66" max="66" width="18.1640625" customWidth="1"/>
    <col min="67" max="67" width="22.1640625" customWidth="1"/>
    <col min="68" max="68" width="15.1640625" customWidth="1"/>
    <col min="69" max="69" width="18" customWidth="1"/>
    <col min="70" max="70" width="17.1640625" customWidth="1"/>
    <col min="71" max="71" width="21.1640625" customWidth="1"/>
    <col min="72" max="72" width="10.1640625" customWidth="1"/>
    <col min="73" max="73" width="13" customWidth="1"/>
    <col min="74" max="74" width="14" customWidth="1"/>
    <col min="75" max="75" width="13.1640625" customWidth="1"/>
    <col min="82" max="82" width="24" customWidth="1"/>
  </cols>
  <sheetData>
    <row r="1" spans="1:82" ht="17" customHeight="1">
      <c r="A1" s="58" t="s">
        <v>181</v>
      </c>
      <c r="B1" s="58" t="s">
        <v>182</v>
      </c>
      <c r="C1" s="58" t="s">
        <v>1</v>
      </c>
      <c r="D1" s="58" t="s">
        <v>2</v>
      </c>
      <c r="E1" s="59" t="s">
        <v>183</v>
      </c>
      <c r="F1" s="60" t="s">
        <v>184</v>
      </c>
      <c r="G1" s="61" t="s">
        <v>4</v>
      </c>
      <c r="H1" s="62" t="s">
        <v>5</v>
      </c>
      <c r="I1" s="63" t="s">
        <v>11</v>
      </c>
      <c r="J1" s="63" t="s">
        <v>6</v>
      </c>
      <c r="K1" s="63" t="s">
        <v>7</v>
      </c>
      <c r="L1" s="63" t="s">
        <v>8</v>
      </c>
      <c r="M1" s="63" t="s">
        <v>9</v>
      </c>
      <c r="N1" s="63" t="s">
        <v>10</v>
      </c>
      <c r="O1" s="64" t="s">
        <v>50</v>
      </c>
      <c r="P1" s="65" t="s">
        <v>185</v>
      </c>
      <c r="Q1" s="66" t="s">
        <v>186</v>
      </c>
      <c r="R1" s="66" t="s">
        <v>187</v>
      </c>
      <c r="S1" s="66" t="s">
        <v>188</v>
      </c>
      <c r="T1" s="67" t="s">
        <v>189</v>
      </c>
      <c r="U1" s="66" t="s">
        <v>53</v>
      </c>
      <c r="V1" s="68" t="s">
        <v>55</v>
      </c>
      <c r="W1" s="69" t="s">
        <v>56</v>
      </c>
      <c r="X1" s="70" t="s">
        <v>190</v>
      </c>
      <c r="Y1" s="71" t="s">
        <v>12</v>
      </c>
      <c r="Z1" s="72" t="s">
        <v>14</v>
      </c>
      <c r="AA1" s="72" t="s">
        <v>15</v>
      </c>
      <c r="AB1" s="72" t="s">
        <v>13</v>
      </c>
      <c r="AC1" s="72" t="s">
        <v>16</v>
      </c>
      <c r="AD1" s="72" t="s">
        <v>191</v>
      </c>
      <c r="AE1" s="72" t="s">
        <v>192</v>
      </c>
      <c r="AF1" s="72" t="s">
        <v>193</v>
      </c>
      <c r="AG1" s="72" t="s">
        <v>194</v>
      </c>
      <c r="AH1" s="73" t="s">
        <v>17</v>
      </c>
      <c r="AI1" s="74" t="s">
        <v>195</v>
      </c>
      <c r="AJ1" s="74" t="s">
        <v>18</v>
      </c>
      <c r="AK1" s="74" t="s">
        <v>19</v>
      </c>
      <c r="AL1" s="74" t="s">
        <v>20</v>
      </c>
      <c r="AM1" s="74" t="s">
        <v>21</v>
      </c>
      <c r="AN1" s="74" t="s">
        <v>22</v>
      </c>
      <c r="AO1" s="74" t="s">
        <v>196</v>
      </c>
      <c r="AP1" s="74" t="s">
        <v>24</v>
      </c>
      <c r="AQ1" s="75" t="s">
        <v>197</v>
      </c>
      <c r="AR1" s="58" t="s">
        <v>198</v>
      </c>
      <c r="AS1" s="58" t="s">
        <v>199</v>
      </c>
      <c r="AT1" s="58" t="s">
        <v>200</v>
      </c>
      <c r="AU1" s="58" t="s">
        <v>27</v>
      </c>
      <c r="AV1" s="58" t="s">
        <v>28</v>
      </c>
      <c r="AW1" s="59" t="s">
        <v>29</v>
      </c>
      <c r="AX1" s="76" t="s">
        <v>39</v>
      </c>
      <c r="AY1" s="77" t="s">
        <v>40</v>
      </c>
      <c r="AZ1" s="77" t="s">
        <v>201</v>
      </c>
      <c r="BA1" s="78" t="s">
        <v>202</v>
      </c>
      <c r="BB1" s="79" t="s">
        <v>203</v>
      </c>
      <c r="BC1" s="80" t="s">
        <v>31</v>
      </c>
      <c r="BD1" s="81" t="s">
        <v>32</v>
      </c>
      <c r="BE1" s="81" t="s">
        <v>33</v>
      </c>
      <c r="BF1" s="81" t="s">
        <v>34</v>
      </c>
      <c r="BG1" s="81" t="s">
        <v>35</v>
      </c>
      <c r="BH1" s="81" t="s">
        <v>36</v>
      </c>
      <c r="BI1" s="81" t="s">
        <v>37</v>
      </c>
      <c r="BJ1" s="81" t="s">
        <v>38</v>
      </c>
      <c r="BK1" s="81" t="s">
        <v>42</v>
      </c>
      <c r="BL1" s="82" t="s">
        <v>43</v>
      </c>
      <c r="BM1" s="83" t="s">
        <v>204</v>
      </c>
      <c r="BN1" s="84" t="s">
        <v>205</v>
      </c>
      <c r="BO1" s="85" t="s">
        <v>206</v>
      </c>
      <c r="BP1" s="86" t="s">
        <v>207</v>
      </c>
      <c r="BQ1" s="87" t="s">
        <v>208</v>
      </c>
      <c r="BR1" s="87" t="s">
        <v>209</v>
      </c>
      <c r="BS1" s="87" t="s">
        <v>210</v>
      </c>
      <c r="BT1" s="85" t="s">
        <v>211</v>
      </c>
      <c r="BU1" s="88" t="s">
        <v>212</v>
      </c>
      <c r="BV1" s="89" t="s">
        <v>213</v>
      </c>
      <c r="BW1" s="90" t="s">
        <v>214</v>
      </c>
      <c r="BX1" s="28" t="s">
        <v>60</v>
      </c>
      <c r="BY1" s="91" t="s">
        <v>62</v>
      </c>
      <c r="BZ1" s="92" t="s">
        <v>63</v>
      </c>
      <c r="CA1" s="92" t="s">
        <v>64</v>
      </c>
      <c r="CB1" t="s">
        <v>65</v>
      </c>
      <c r="CC1" t="s">
        <v>215</v>
      </c>
      <c r="CD1" t="s">
        <v>528</v>
      </c>
    </row>
    <row r="2" spans="1:82" ht="18" customHeight="1">
      <c r="A2" t="s">
        <v>68</v>
      </c>
      <c r="C2" s="11">
        <v>1113</v>
      </c>
      <c r="D2">
        <v>122</v>
      </c>
      <c r="E2" t="s">
        <v>344</v>
      </c>
      <c r="F2">
        <v>2016</v>
      </c>
      <c r="G2" t="s">
        <v>345</v>
      </c>
      <c r="H2" s="17" t="s">
        <v>346</v>
      </c>
      <c r="I2">
        <v>2</v>
      </c>
      <c r="J2">
        <v>2013</v>
      </c>
      <c r="K2" t="s">
        <v>73</v>
      </c>
      <c r="L2">
        <v>33</v>
      </c>
      <c r="M2" t="s">
        <v>347</v>
      </c>
      <c r="N2" t="s">
        <v>318</v>
      </c>
      <c r="O2" t="s">
        <v>348</v>
      </c>
      <c r="P2" t="s">
        <v>219</v>
      </c>
      <c r="Q2" t="s">
        <v>257</v>
      </c>
      <c r="R2" t="s">
        <v>258</v>
      </c>
      <c r="S2">
        <v>0</v>
      </c>
      <c r="T2" t="s">
        <v>221</v>
      </c>
      <c r="U2">
        <v>0</v>
      </c>
      <c r="V2" t="s">
        <v>222</v>
      </c>
      <c r="W2" t="s">
        <v>222</v>
      </c>
      <c r="X2" t="s">
        <v>73</v>
      </c>
      <c r="Y2">
        <v>0</v>
      </c>
      <c r="Z2">
        <v>0</v>
      </c>
      <c r="AA2">
        <v>1</v>
      </c>
      <c r="AB2">
        <v>0</v>
      </c>
      <c r="AC2">
        <v>0</v>
      </c>
      <c r="AD2">
        <v>0</v>
      </c>
      <c r="AE2">
        <v>0</v>
      </c>
      <c r="AF2">
        <v>0</v>
      </c>
      <c r="AG2" t="s">
        <v>297</v>
      </c>
      <c r="AH2">
        <v>0</v>
      </c>
      <c r="AI2">
        <v>1</v>
      </c>
      <c r="AJ2">
        <v>0</v>
      </c>
      <c r="AK2">
        <v>0</v>
      </c>
      <c r="AL2">
        <v>0</v>
      </c>
      <c r="AM2">
        <v>0</v>
      </c>
      <c r="AN2">
        <v>0</v>
      </c>
      <c r="AO2">
        <v>0</v>
      </c>
      <c r="AP2">
        <v>0</v>
      </c>
      <c r="AQ2" t="s">
        <v>73</v>
      </c>
      <c r="AR2" t="s">
        <v>239</v>
      </c>
      <c r="AS2" t="s">
        <v>349</v>
      </c>
      <c r="AT2" t="s">
        <v>255</v>
      </c>
      <c r="AU2" s="106">
        <v>1.24</v>
      </c>
      <c r="AV2" s="20" t="s">
        <v>80</v>
      </c>
      <c r="AW2" s="17">
        <v>0.53400000000000003</v>
      </c>
      <c r="AX2" s="41" t="s">
        <v>73</v>
      </c>
      <c r="AY2" s="41">
        <v>3</v>
      </c>
      <c r="AZ2" s="107">
        <f>AU2/AW2</f>
        <v>2.3220973782771535</v>
      </c>
      <c r="BA2" s="17" t="s">
        <v>73</v>
      </c>
      <c r="BB2" s="17"/>
      <c r="BC2" s="17" t="s">
        <v>73</v>
      </c>
      <c r="BD2" s="17" t="s">
        <v>73</v>
      </c>
      <c r="BE2" s="17" t="s">
        <v>73</v>
      </c>
      <c r="BF2" s="17" t="s">
        <v>73</v>
      </c>
      <c r="BG2" s="17" t="s">
        <v>73</v>
      </c>
      <c r="BH2" s="17" t="s">
        <v>73</v>
      </c>
      <c r="BI2">
        <v>1620</v>
      </c>
      <c r="BJ2">
        <v>1620</v>
      </c>
      <c r="BK2" s="17" t="s">
        <v>73</v>
      </c>
      <c r="BL2" s="17" t="s">
        <v>73</v>
      </c>
      <c r="BM2" s="17" t="s">
        <v>73</v>
      </c>
      <c r="BN2" s="17" t="s">
        <v>73</v>
      </c>
      <c r="BO2" s="17" t="s">
        <v>73</v>
      </c>
      <c r="BP2">
        <v>1</v>
      </c>
      <c r="BQ2" s="17">
        <v>486</v>
      </c>
      <c r="BR2">
        <v>1</v>
      </c>
      <c r="BS2">
        <v>2560</v>
      </c>
      <c r="BT2" t="s">
        <v>290</v>
      </c>
      <c r="BU2">
        <v>0</v>
      </c>
      <c r="BV2">
        <v>0</v>
      </c>
      <c r="BW2">
        <v>1</v>
      </c>
      <c r="BX2" s="104">
        <f>((AZ2^2)/(AZ2^2+BI2))^(1/2)</f>
        <v>5.759719729770886E-2</v>
      </c>
      <c r="BY2" s="30">
        <f>0.5*LN((1+BX2)/(1-BX2))</f>
        <v>5.766101606856705E-2</v>
      </c>
      <c r="BZ2" s="30">
        <f>((1-(BY2^2)^2)/(BI2-1))</f>
        <v>6.1765839762384779E-4</v>
      </c>
      <c r="CA2" s="30">
        <f>1/(BI2-3)</f>
        <v>6.1842918985776133E-4</v>
      </c>
    </row>
    <row r="3" spans="1:82" ht="18" customHeight="1">
      <c r="A3" s="11" t="s">
        <v>216</v>
      </c>
      <c r="B3" s="11"/>
      <c r="C3" s="11">
        <v>1004</v>
      </c>
      <c r="D3" s="11">
        <v>102</v>
      </c>
      <c r="E3" s="11" t="s">
        <v>232</v>
      </c>
      <c r="F3" s="11">
        <v>2016</v>
      </c>
      <c r="G3" t="s">
        <v>233</v>
      </c>
      <c r="H3" s="10" t="s">
        <v>234</v>
      </c>
      <c r="I3" s="18">
        <v>2</v>
      </c>
      <c r="J3" s="11" t="s">
        <v>235</v>
      </c>
      <c r="K3" s="11" t="s">
        <v>73</v>
      </c>
      <c r="L3" s="18">
        <v>689</v>
      </c>
      <c r="M3" s="18" t="s">
        <v>93</v>
      </c>
      <c r="N3" s="10" t="s">
        <v>94</v>
      </c>
      <c r="O3" s="18" t="s">
        <v>81</v>
      </c>
      <c r="P3" s="11" t="s">
        <v>219</v>
      </c>
      <c r="Q3" t="s">
        <v>236</v>
      </c>
      <c r="R3" s="18" t="s">
        <v>237</v>
      </c>
      <c r="S3" s="18">
        <v>0</v>
      </c>
      <c r="T3" s="11" t="s">
        <v>221</v>
      </c>
      <c r="U3" s="18">
        <v>0</v>
      </c>
      <c r="V3" s="11" t="s">
        <v>222</v>
      </c>
      <c r="W3" s="11" t="s">
        <v>222</v>
      </c>
      <c r="X3" s="18" t="s">
        <v>73</v>
      </c>
      <c r="Y3" s="18">
        <v>0</v>
      </c>
      <c r="Z3" s="18">
        <v>0</v>
      </c>
      <c r="AA3" s="18">
        <v>0</v>
      </c>
      <c r="AB3" s="18">
        <v>1</v>
      </c>
      <c r="AC3" s="18">
        <v>0</v>
      </c>
      <c r="AD3" s="11">
        <v>0</v>
      </c>
      <c r="AE3" s="11">
        <v>0</v>
      </c>
      <c r="AF3" s="11">
        <v>0</v>
      </c>
      <c r="AG3" s="18" t="s">
        <v>73</v>
      </c>
      <c r="AH3" s="18">
        <v>1</v>
      </c>
      <c r="AI3" s="18">
        <v>0</v>
      </c>
      <c r="AJ3" s="18">
        <v>1</v>
      </c>
      <c r="AK3" s="18">
        <v>1</v>
      </c>
      <c r="AL3" s="18">
        <v>0</v>
      </c>
      <c r="AM3" s="18">
        <v>0</v>
      </c>
      <c r="AN3" s="18">
        <v>0</v>
      </c>
      <c r="AO3" s="18">
        <v>1</v>
      </c>
      <c r="AP3" s="18">
        <v>0</v>
      </c>
      <c r="AQ3" s="18" t="s">
        <v>238</v>
      </c>
      <c r="AR3" s="10" t="s">
        <v>239</v>
      </c>
      <c r="AS3" s="10" t="s">
        <v>240</v>
      </c>
      <c r="AT3" s="11" t="s">
        <v>73</v>
      </c>
      <c r="AU3" s="108">
        <v>3.3000000000000002E-2</v>
      </c>
      <c r="AV3" s="109" t="s">
        <v>80</v>
      </c>
      <c r="AW3" s="18">
        <v>1.7000000000000001E-2</v>
      </c>
      <c r="AX3" s="18">
        <v>0.05</v>
      </c>
      <c r="AY3" s="18">
        <v>1</v>
      </c>
      <c r="AZ3" s="18">
        <f>AU3/AW3</f>
        <v>1.9411764705882353</v>
      </c>
      <c r="BA3" s="11" t="s">
        <v>73</v>
      </c>
      <c r="BB3" s="11"/>
      <c r="BC3" s="11" t="s">
        <v>73</v>
      </c>
      <c r="BD3" s="11" t="s">
        <v>73</v>
      </c>
      <c r="BE3" s="11" t="s">
        <v>73</v>
      </c>
      <c r="BF3" s="11" t="s">
        <v>73</v>
      </c>
      <c r="BG3" s="11" t="s">
        <v>73</v>
      </c>
      <c r="BH3" s="11" t="s">
        <v>73</v>
      </c>
      <c r="BI3" s="99">
        <v>1128</v>
      </c>
      <c r="BJ3" s="99">
        <v>1128</v>
      </c>
      <c r="BK3" s="11" t="s">
        <v>73</v>
      </c>
      <c r="BL3" s="11" t="s">
        <v>73</v>
      </c>
      <c r="BM3" s="11" t="s">
        <v>73</v>
      </c>
      <c r="BN3" s="11" t="s">
        <v>73</v>
      </c>
      <c r="BO3" s="11" t="s">
        <v>73</v>
      </c>
      <c r="BP3" s="11" t="s">
        <v>73</v>
      </c>
      <c r="BQ3" s="11" t="s">
        <v>73</v>
      </c>
      <c r="BR3" s="11" t="s">
        <v>73</v>
      </c>
      <c r="BS3" s="11" t="s">
        <v>73</v>
      </c>
      <c r="BT3" s="11" t="s">
        <v>73</v>
      </c>
      <c r="BU3" s="18">
        <v>1</v>
      </c>
      <c r="BV3" s="18">
        <v>1</v>
      </c>
      <c r="BW3" s="18">
        <v>1</v>
      </c>
      <c r="BX3" s="104">
        <f>((AZ3^2)/(AZ3^2+BJ3))^(1/2)</f>
        <v>5.7701390824540712E-2</v>
      </c>
      <c r="BY3" s="30">
        <f>0.5*LN((1+BX3)/(1-BX3))</f>
        <v>5.7765557031227328E-2</v>
      </c>
      <c r="BZ3" s="30">
        <f>((1-(BY3^2)^2)/(BJ3-1))</f>
        <v>8.8730156643136563E-4</v>
      </c>
      <c r="CA3" s="30">
        <f>1/(BJ3-3)</f>
        <v>8.8888888888888893E-4</v>
      </c>
    </row>
    <row r="4" spans="1:82" ht="18" customHeight="1">
      <c r="A4" s="11" t="s">
        <v>216</v>
      </c>
      <c r="B4" s="11"/>
      <c r="C4" s="11">
        <v>1005</v>
      </c>
      <c r="D4" s="11">
        <v>102</v>
      </c>
      <c r="E4" s="11" t="s">
        <v>232</v>
      </c>
      <c r="F4" s="11">
        <v>2016</v>
      </c>
      <c r="G4" t="s">
        <v>233</v>
      </c>
      <c r="H4" s="10" t="s">
        <v>234</v>
      </c>
      <c r="I4" s="18">
        <v>2</v>
      </c>
      <c r="J4" s="11" t="s">
        <v>235</v>
      </c>
      <c r="K4" s="11" t="s">
        <v>73</v>
      </c>
      <c r="L4" s="18">
        <v>689</v>
      </c>
      <c r="M4" s="18" t="s">
        <v>241</v>
      </c>
      <c r="N4" s="10" t="s">
        <v>94</v>
      </c>
      <c r="O4" s="18" t="s">
        <v>81</v>
      </c>
      <c r="P4" s="11" t="s">
        <v>219</v>
      </c>
      <c r="Q4" t="s">
        <v>236</v>
      </c>
      <c r="R4" s="18" t="s">
        <v>237</v>
      </c>
      <c r="S4" s="18">
        <v>0</v>
      </c>
      <c r="T4" s="11" t="s">
        <v>221</v>
      </c>
      <c r="U4" s="18">
        <v>0</v>
      </c>
      <c r="V4" s="11" t="s">
        <v>222</v>
      </c>
      <c r="W4" s="11" t="s">
        <v>222</v>
      </c>
      <c r="X4" s="18" t="s">
        <v>73</v>
      </c>
      <c r="Y4" s="18">
        <v>0</v>
      </c>
      <c r="Z4" s="18">
        <v>0</v>
      </c>
      <c r="AA4" s="18">
        <v>0</v>
      </c>
      <c r="AB4" s="18">
        <v>1</v>
      </c>
      <c r="AC4" s="18">
        <v>0</v>
      </c>
      <c r="AD4" s="11">
        <v>0</v>
      </c>
      <c r="AE4" s="11">
        <v>0</v>
      </c>
      <c r="AF4" s="11">
        <v>0</v>
      </c>
      <c r="AG4" s="18" t="s">
        <v>73</v>
      </c>
      <c r="AH4" s="18">
        <v>1</v>
      </c>
      <c r="AI4" s="18">
        <v>0</v>
      </c>
      <c r="AJ4" s="18">
        <v>1</v>
      </c>
      <c r="AK4" s="18">
        <v>1</v>
      </c>
      <c r="AL4" s="18">
        <v>0</v>
      </c>
      <c r="AM4" s="18">
        <v>0</v>
      </c>
      <c r="AN4" s="18">
        <v>0</v>
      </c>
      <c r="AO4" s="18">
        <v>1</v>
      </c>
      <c r="AP4" s="18">
        <v>0</v>
      </c>
      <c r="AQ4" s="18" t="s">
        <v>238</v>
      </c>
      <c r="AR4" s="10" t="s">
        <v>239</v>
      </c>
      <c r="AS4" s="10" t="s">
        <v>240</v>
      </c>
      <c r="AT4" s="11" t="s">
        <v>73</v>
      </c>
      <c r="AU4" s="108">
        <v>0.107</v>
      </c>
      <c r="AV4" s="109" t="s">
        <v>80</v>
      </c>
      <c r="AW4" s="18">
        <v>0.124</v>
      </c>
      <c r="AX4" s="18">
        <v>0.1</v>
      </c>
      <c r="AY4" s="18">
        <v>2</v>
      </c>
      <c r="AZ4" s="18">
        <f>AU4/AW4</f>
        <v>0.86290322580645162</v>
      </c>
      <c r="BA4" s="11" t="s">
        <v>73</v>
      </c>
      <c r="BB4" s="11"/>
      <c r="BC4" s="11" t="s">
        <v>73</v>
      </c>
      <c r="BD4" s="11" t="s">
        <v>73</v>
      </c>
      <c r="BE4" s="11" t="s">
        <v>73</v>
      </c>
      <c r="BF4" s="11" t="s">
        <v>73</v>
      </c>
      <c r="BG4" s="11" t="s">
        <v>73</v>
      </c>
      <c r="BH4" s="11" t="s">
        <v>73</v>
      </c>
      <c r="BI4" s="99">
        <v>1104</v>
      </c>
      <c r="BJ4" s="99">
        <v>1104</v>
      </c>
      <c r="BK4" s="11" t="s">
        <v>73</v>
      </c>
      <c r="BL4" s="11" t="s">
        <v>73</v>
      </c>
      <c r="BM4" s="11" t="s">
        <v>73</v>
      </c>
      <c r="BN4" s="11" t="s">
        <v>73</v>
      </c>
      <c r="BO4" s="11" t="s">
        <v>73</v>
      </c>
      <c r="BP4" s="11" t="s">
        <v>73</v>
      </c>
      <c r="BQ4" s="11" t="s">
        <v>73</v>
      </c>
      <c r="BR4" s="11" t="s">
        <v>73</v>
      </c>
      <c r="BS4" s="11" t="s">
        <v>73</v>
      </c>
      <c r="BT4" s="11" t="s">
        <v>73</v>
      </c>
      <c r="BU4" s="18">
        <v>1</v>
      </c>
      <c r="BV4" s="18">
        <v>1</v>
      </c>
      <c r="BW4" s="18">
        <v>1</v>
      </c>
      <c r="BX4" s="104">
        <f>((AZ4^2)/(AZ4^2+BJ4))^(1/2)</f>
        <v>2.5961581715718191E-2</v>
      </c>
      <c r="BY4" s="30">
        <f>0.5*LN((1+BX4)/(1-BX4))</f>
        <v>2.5967416809887796E-2</v>
      </c>
      <c r="BZ4" s="30">
        <f>((1-(BY4^2)^2)/(BJ4-1))</f>
        <v>9.0661790146004178E-4</v>
      </c>
      <c r="CA4" s="30">
        <f>1/(BJ4-3)</f>
        <v>9.0826521344232513E-4</v>
      </c>
    </row>
    <row r="5" spans="1:82" ht="18" customHeight="1">
      <c r="A5" s="11" t="s">
        <v>216</v>
      </c>
      <c r="B5" s="11"/>
      <c r="C5" s="11">
        <v>1006</v>
      </c>
      <c r="D5" s="11">
        <v>102</v>
      </c>
      <c r="E5" s="11" t="s">
        <v>232</v>
      </c>
      <c r="F5" s="11">
        <v>2016</v>
      </c>
      <c r="G5" t="s">
        <v>233</v>
      </c>
      <c r="H5" s="10" t="s">
        <v>234</v>
      </c>
      <c r="I5" s="18">
        <v>2</v>
      </c>
      <c r="J5" s="11" t="s">
        <v>235</v>
      </c>
      <c r="K5" s="11" t="s">
        <v>73</v>
      </c>
      <c r="L5" s="18">
        <v>689</v>
      </c>
      <c r="M5" s="18" t="s">
        <v>242</v>
      </c>
      <c r="N5" s="10" t="s">
        <v>94</v>
      </c>
      <c r="O5" s="18" t="s">
        <v>81</v>
      </c>
      <c r="P5" s="11" t="s">
        <v>219</v>
      </c>
      <c r="Q5" t="s">
        <v>236</v>
      </c>
      <c r="R5" s="18" t="s">
        <v>237</v>
      </c>
      <c r="S5" s="18">
        <v>0</v>
      </c>
      <c r="T5" s="11" t="s">
        <v>221</v>
      </c>
      <c r="U5" s="18">
        <v>0</v>
      </c>
      <c r="V5" s="11" t="s">
        <v>222</v>
      </c>
      <c r="W5" s="11" t="s">
        <v>222</v>
      </c>
      <c r="X5" s="18" t="s">
        <v>73</v>
      </c>
      <c r="Y5" s="18">
        <v>0</v>
      </c>
      <c r="Z5" s="18">
        <v>0</v>
      </c>
      <c r="AA5" s="18">
        <v>0</v>
      </c>
      <c r="AB5" s="18">
        <v>1</v>
      </c>
      <c r="AC5" s="18">
        <v>0</v>
      </c>
      <c r="AD5" s="11">
        <v>0</v>
      </c>
      <c r="AE5" s="11">
        <v>0</v>
      </c>
      <c r="AF5" s="11">
        <v>0</v>
      </c>
      <c r="AG5" s="18" t="s">
        <v>73</v>
      </c>
      <c r="AH5" s="18">
        <v>1</v>
      </c>
      <c r="AI5" s="18">
        <v>0</v>
      </c>
      <c r="AJ5" s="18">
        <v>1</v>
      </c>
      <c r="AK5" s="18">
        <v>1</v>
      </c>
      <c r="AL5" s="18">
        <v>0</v>
      </c>
      <c r="AM5" s="18">
        <v>0</v>
      </c>
      <c r="AN5" s="18">
        <v>0</v>
      </c>
      <c r="AO5" s="18">
        <v>1</v>
      </c>
      <c r="AP5" s="18">
        <v>0</v>
      </c>
      <c r="AQ5" s="18" t="s">
        <v>238</v>
      </c>
      <c r="AR5" s="10" t="s">
        <v>239</v>
      </c>
      <c r="AS5" s="10" t="s">
        <v>240</v>
      </c>
      <c r="AT5" s="11" t="s">
        <v>73</v>
      </c>
      <c r="AU5" s="108">
        <v>6.6000000000000003E-2</v>
      </c>
      <c r="AV5" s="109" t="s">
        <v>80</v>
      </c>
      <c r="AW5" s="18">
        <v>3.1E-2</v>
      </c>
      <c r="AX5" s="18">
        <v>0.05</v>
      </c>
      <c r="AY5" s="18">
        <v>1</v>
      </c>
      <c r="AZ5" s="18">
        <f>AU5/AW5</f>
        <v>2.1290322580645165</v>
      </c>
      <c r="BA5" s="11" t="s">
        <v>73</v>
      </c>
      <c r="BB5" s="11"/>
      <c r="BC5" s="11" t="s">
        <v>73</v>
      </c>
      <c r="BD5" s="11" t="s">
        <v>73</v>
      </c>
      <c r="BE5" s="11" t="s">
        <v>73</v>
      </c>
      <c r="BF5" s="11" t="s">
        <v>73</v>
      </c>
      <c r="BG5" s="11" t="s">
        <v>73</v>
      </c>
      <c r="BH5" s="11" t="s">
        <v>73</v>
      </c>
      <c r="BI5" s="99">
        <v>1128</v>
      </c>
      <c r="BJ5" s="99">
        <v>1128</v>
      </c>
      <c r="BK5" s="11" t="s">
        <v>73</v>
      </c>
      <c r="BL5" s="11" t="s">
        <v>73</v>
      </c>
      <c r="BM5" s="11" t="s">
        <v>73</v>
      </c>
      <c r="BN5" s="11" t="s">
        <v>73</v>
      </c>
      <c r="BO5" s="11" t="s">
        <v>73</v>
      </c>
      <c r="BP5" s="11" t="s">
        <v>73</v>
      </c>
      <c r="BQ5" s="11" t="s">
        <v>73</v>
      </c>
      <c r="BR5" s="11" t="s">
        <v>73</v>
      </c>
      <c r="BS5" s="11" t="s">
        <v>73</v>
      </c>
      <c r="BT5" s="11" t="s">
        <v>73</v>
      </c>
      <c r="BU5" s="18">
        <v>1</v>
      </c>
      <c r="BV5" s="18">
        <v>1</v>
      </c>
      <c r="BW5" s="18">
        <v>1</v>
      </c>
      <c r="BX5" s="104">
        <f>((AZ5^2)/(AZ5^2+BJ5))^(1/2)</f>
        <v>6.3264029695226501E-2</v>
      </c>
      <c r="BY5" s="30">
        <f>0.5*LN((1+BX5)/(1-BX5))</f>
        <v>6.3348634289863148E-2</v>
      </c>
      <c r="BZ5" s="30">
        <f>((1-(BY5^2)^2)/(BJ5-1))</f>
        <v>8.8729715655189016E-4</v>
      </c>
      <c r="CA5" s="30">
        <f>1/(BJ5-3)</f>
        <v>8.8888888888888893E-4</v>
      </c>
    </row>
    <row r="6" spans="1:82" ht="18" customHeight="1">
      <c r="A6" s="11" t="s">
        <v>68</v>
      </c>
      <c r="B6" s="11"/>
      <c r="C6" s="11">
        <v>1073</v>
      </c>
      <c r="D6">
        <v>114</v>
      </c>
      <c r="E6" t="s">
        <v>326</v>
      </c>
      <c r="F6" s="11">
        <v>2014</v>
      </c>
      <c r="G6" t="s">
        <v>327</v>
      </c>
      <c r="H6" s="97" t="s">
        <v>328</v>
      </c>
      <c r="I6">
        <v>2</v>
      </c>
      <c r="J6" t="s">
        <v>235</v>
      </c>
      <c r="K6" s="10" t="s">
        <v>73</v>
      </c>
      <c r="L6">
        <v>489</v>
      </c>
      <c r="M6" t="s">
        <v>155</v>
      </c>
      <c r="N6" t="s">
        <v>112</v>
      </c>
      <c r="O6" t="s">
        <v>81</v>
      </c>
      <c r="P6" s="18" t="s">
        <v>219</v>
      </c>
      <c r="Q6" t="s">
        <v>236</v>
      </c>
      <c r="R6" t="s">
        <v>237</v>
      </c>
      <c r="S6">
        <v>0</v>
      </c>
      <c r="T6" t="s">
        <v>189</v>
      </c>
      <c r="U6">
        <v>0</v>
      </c>
      <c r="V6" s="18" t="s">
        <v>222</v>
      </c>
      <c r="W6" s="18" t="s">
        <v>222</v>
      </c>
      <c r="X6" s="18" t="s">
        <v>73</v>
      </c>
      <c r="Y6">
        <v>0</v>
      </c>
      <c r="Z6">
        <v>0</v>
      </c>
      <c r="AA6">
        <v>0</v>
      </c>
      <c r="AB6">
        <v>1</v>
      </c>
      <c r="AC6">
        <v>0</v>
      </c>
      <c r="AD6">
        <v>0</v>
      </c>
      <c r="AE6">
        <v>0</v>
      </c>
      <c r="AF6">
        <v>0</v>
      </c>
      <c r="AG6" t="s">
        <v>73</v>
      </c>
      <c r="AH6">
        <v>1</v>
      </c>
      <c r="AI6">
        <v>0</v>
      </c>
      <c r="AJ6">
        <v>0</v>
      </c>
      <c r="AK6">
        <v>0</v>
      </c>
      <c r="AL6">
        <v>0</v>
      </c>
      <c r="AM6">
        <v>0</v>
      </c>
      <c r="AN6" s="32">
        <v>0</v>
      </c>
      <c r="AO6">
        <v>0</v>
      </c>
      <c r="AP6">
        <v>0</v>
      </c>
      <c r="AQ6" t="s">
        <v>73</v>
      </c>
      <c r="AR6" t="s">
        <v>239</v>
      </c>
      <c r="AS6" s="100" t="s">
        <v>329</v>
      </c>
      <c r="AT6" t="s">
        <v>255</v>
      </c>
      <c r="AU6" s="101">
        <v>1.181</v>
      </c>
      <c r="AV6" s="100" t="s">
        <v>80</v>
      </c>
      <c r="AW6" s="97">
        <v>0.161</v>
      </c>
      <c r="AX6" s="97">
        <v>0.01</v>
      </c>
      <c r="AY6" s="97">
        <v>1</v>
      </c>
      <c r="AZ6" s="97">
        <f>AU6/AW6</f>
        <v>7.3354037267080745</v>
      </c>
      <c r="BA6" s="18" t="s">
        <v>73</v>
      </c>
      <c r="BB6" s="18"/>
      <c r="BC6" s="18" t="s">
        <v>73</v>
      </c>
      <c r="BD6" s="18" t="s">
        <v>73</v>
      </c>
      <c r="BE6" s="18" t="s">
        <v>73</v>
      </c>
      <c r="BF6" s="18" t="s">
        <v>73</v>
      </c>
      <c r="BG6" s="18" t="s">
        <v>73</v>
      </c>
      <c r="BH6" s="18" t="s">
        <v>73</v>
      </c>
      <c r="BI6">
        <v>1200</v>
      </c>
      <c r="BJ6">
        <v>1200</v>
      </c>
      <c r="BK6" s="18" t="s">
        <v>73</v>
      </c>
      <c r="BL6" s="18" t="s">
        <v>73</v>
      </c>
      <c r="BM6">
        <v>68.653999999999996</v>
      </c>
      <c r="BN6" t="s">
        <v>73</v>
      </c>
      <c r="BO6" s="18" t="s">
        <v>230</v>
      </c>
      <c r="BP6" s="18" t="s">
        <v>73</v>
      </c>
      <c r="BQ6" s="18" t="s">
        <v>73</v>
      </c>
      <c r="BR6" s="18" t="s">
        <v>73</v>
      </c>
      <c r="BS6" s="18" t="s">
        <v>73</v>
      </c>
      <c r="BT6" s="18" t="s">
        <v>73</v>
      </c>
      <c r="BU6">
        <v>0</v>
      </c>
      <c r="BV6">
        <v>0</v>
      </c>
      <c r="BW6">
        <v>1</v>
      </c>
      <c r="BX6" s="104">
        <f>((AZ6^2)/(AZ6^2+BI6))^(1/2)</f>
        <v>0.20716122845709467</v>
      </c>
      <c r="BY6" s="30">
        <f>0.5*LN((1+BX6)/(1-BX6))</f>
        <v>0.21020345181527472</v>
      </c>
      <c r="BZ6" s="30">
        <f>((1-(BY6^2)^2)/(BI6-1))</f>
        <v>8.3240003533893779E-4</v>
      </c>
      <c r="CA6" s="30">
        <f>1/(BI6-3)</f>
        <v>8.3542188805346695E-4</v>
      </c>
    </row>
    <row r="7" spans="1:82" ht="16">
      <c r="A7" s="11" t="s">
        <v>68</v>
      </c>
      <c r="B7" s="11"/>
      <c r="C7" s="11">
        <v>1074</v>
      </c>
      <c r="D7">
        <v>114</v>
      </c>
      <c r="E7" t="s">
        <v>326</v>
      </c>
      <c r="F7" s="11">
        <v>2014</v>
      </c>
      <c r="G7" t="s">
        <v>327</v>
      </c>
      <c r="H7" s="97" t="s">
        <v>328</v>
      </c>
      <c r="I7">
        <v>2</v>
      </c>
      <c r="J7" t="s">
        <v>235</v>
      </c>
      <c r="K7" s="10" t="s">
        <v>73</v>
      </c>
      <c r="L7">
        <v>489</v>
      </c>
      <c r="M7" t="s">
        <v>155</v>
      </c>
      <c r="N7" t="s">
        <v>112</v>
      </c>
      <c r="O7" t="s">
        <v>81</v>
      </c>
      <c r="P7" s="18" t="s">
        <v>219</v>
      </c>
      <c r="Q7" t="s">
        <v>236</v>
      </c>
      <c r="R7" t="s">
        <v>237</v>
      </c>
      <c r="S7">
        <v>0</v>
      </c>
      <c r="T7" t="s">
        <v>189</v>
      </c>
      <c r="U7">
        <v>0</v>
      </c>
      <c r="V7" s="18" t="s">
        <v>222</v>
      </c>
      <c r="W7" s="18" t="s">
        <v>222</v>
      </c>
      <c r="X7" s="18" t="s">
        <v>73</v>
      </c>
      <c r="Y7">
        <v>0</v>
      </c>
      <c r="Z7">
        <v>0</v>
      </c>
      <c r="AA7">
        <v>0</v>
      </c>
      <c r="AB7">
        <v>1</v>
      </c>
      <c r="AC7">
        <v>0</v>
      </c>
      <c r="AD7">
        <v>0</v>
      </c>
      <c r="AE7">
        <v>0</v>
      </c>
      <c r="AF7">
        <v>0</v>
      </c>
      <c r="AG7" t="s">
        <v>73</v>
      </c>
      <c r="AH7">
        <v>1</v>
      </c>
      <c r="AI7">
        <v>0</v>
      </c>
      <c r="AJ7">
        <v>0</v>
      </c>
      <c r="AK7">
        <v>0</v>
      </c>
      <c r="AL7">
        <v>0</v>
      </c>
      <c r="AM7">
        <v>0</v>
      </c>
      <c r="AN7" s="32">
        <v>0</v>
      </c>
      <c r="AO7">
        <v>0</v>
      </c>
      <c r="AP7">
        <v>0</v>
      </c>
      <c r="AQ7" t="s">
        <v>73</v>
      </c>
      <c r="AR7" t="s">
        <v>239</v>
      </c>
      <c r="AS7" s="100" t="s">
        <v>329</v>
      </c>
      <c r="AT7" t="s">
        <v>255</v>
      </c>
      <c r="AU7" s="101">
        <v>1.1559999999999999</v>
      </c>
      <c r="AV7" s="100" t="s">
        <v>80</v>
      </c>
      <c r="AW7" s="97">
        <v>0.16500000000000001</v>
      </c>
      <c r="AX7" s="97">
        <v>0.01</v>
      </c>
      <c r="AY7" s="97">
        <v>1</v>
      </c>
      <c r="AZ7" s="97">
        <f>AU7/AW7</f>
        <v>7.006060606060605</v>
      </c>
      <c r="BA7" s="18" t="s">
        <v>73</v>
      </c>
      <c r="BB7" s="18"/>
      <c r="BC7" s="18" t="s">
        <v>73</v>
      </c>
      <c r="BD7" s="18" t="s">
        <v>73</v>
      </c>
      <c r="BE7" s="18" t="s">
        <v>73</v>
      </c>
      <c r="BF7" s="18" t="s">
        <v>73</v>
      </c>
      <c r="BG7" s="18" t="s">
        <v>73</v>
      </c>
      <c r="BH7" s="18" t="s">
        <v>73</v>
      </c>
      <c r="BI7">
        <v>1200</v>
      </c>
      <c r="BJ7">
        <v>1200</v>
      </c>
      <c r="BK7" s="18" t="s">
        <v>73</v>
      </c>
      <c r="BL7" s="18" t="s">
        <v>73</v>
      </c>
      <c r="BM7">
        <v>68.653999999999996</v>
      </c>
      <c r="BN7" t="s">
        <v>73</v>
      </c>
      <c r="BO7" s="18" t="s">
        <v>230</v>
      </c>
      <c r="BP7" s="18" t="s">
        <v>73</v>
      </c>
      <c r="BQ7" s="18" t="s">
        <v>73</v>
      </c>
      <c r="BR7" s="18" t="s">
        <v>73</v>
      </c>
      <c r="BS7" s="18" t="s">
        <v>73</v>
      </c>
      <c r="BT7" s="18" t="s">
        <v>73</v>
      </c>
      <c r="BU7">
        <v>0</v>
      </c>
      <c r="BV7">
        <v>0</v>
      </c>
      <c r="BW7">
        <v>1</v>
      </c>
      <c r="BX7" s="104">
        <f>((AZ7^2)/(AZ7^2+BI7))^(1/2)</f>
        <v>0.19823389455053378</v>
      </c>
      <c r="BY7" s="30">
        <f>0.5*LN((1+BX7)/(1-BX7))</f>
        <v>0.20089353544961</v>
      </c>
      <c r="BZ7" s="30">
        <f>((1-(BY7^2)^2)/(BI7-1))</f>
        <v>8.3266990381727121E-4</v>
      </c>
      <c r="CA7" s="30">
        <f>1/(BI7-3)</f>
        <v>8.3542188805346695E-4</v>
      </c>
    </row>
    <row r="8" spans="1:82" ht="16">
      <c r="A8" s="11" t="s">
        <v>68</v>
      </c>
      <c r="B8" s="11"/>
      <c r="C8" s="11">
        <v>1075</v>
      </c>
      <c r="D8">
        <v>114</v>
      </c>
      <c r="E8" t="s">
        <v>326</v>
      </c>
      <c r="F8" s="11">
        <v>2014</v>
      </c>
      <c r="G8" t="s">
        <v>327</v>
      </c>
      <c r="H8" s="97" t="s">
        <v>328</v>
      </c>
      <c r="I8">
        <v>2</v>
      </c>
      <c r="J8" t="s">
        <v>235</v>
      </c>
      <c r="K8" s="10" t="s">
        <v>73</v>
      </c>
      <c r="L8">
        <v>489</v>
      </c>
      <c r="M8" t="s">
        <v>155</v>
      </c>
      <c r="N8" t="s">
        <v>112</v>
      </c>
      <c r="O8" t="s">
        <v>81</v>
      </c>
      <c r="P8" s="18" t="s">
        <v>219</v>
      </c>
      <c r="Q8" t="s">
        <v>236</v>
      </c>
      <c r="R8" t="s">
        <v>237</v>
      </c>
      <c r="S8">
        <v>0</v>
      </c>
      <c r="T8" t="s">
        <v>189</v>
      </c>
      <c r="U8">
        <v>0</v>
      </c>
      <c r="V8" s="18" t="s">
        <v>222</v>
      </c>
      <c r="W8" s="18" t="s">
        <v>222</v>
      </c>
      <c r="X8" s="18" t="s">
        <v>73</v>
      </c>
      <c r="Y8">
        <v>0</v>
      </c>
      <c r="Z8">
        <v>0</v>
      </c>
      <c r="AA8">
        <v>0</v>
      </c>
      <c r="AB8">
        <v>1</v>
      </c>
      <c r="AC8">
        <v>0</v>
      </c>
      <c r="AD8">
        <v>0</v>
      </c>
      <c r="AE8">
        <v>0</v>
      </c>
      <c r="AF8">
        <v>0</v>
      </c>
      <c r="AG8" t="s">
        <v>73</v>
      </c>
      <c r="AH8">
        <v>1</v>
      </c>
      <c r="AI8">
        <v>0</v>
      </c>
      <c r="AJ8">
        <v>0</v>
      </c>
      <c r="AK8">
        <v>0</v>
      </c>
      <c r="AL8">
        <v>0</v>
      </c>
      <c r="AM8">
        <v>0</v>
      </c>
      <c r="AN8" s="32">
        <v>0</v>
      </c>
      <c r="AO8">
        <v>0</v>
      </c>
      <c r="AP8">
        <v>0</v>
      </c>
      <c r="AQ8" t="s">
        <v>73</v>
      </c>
      <c r="AR8" t="s">
        <v>239</v>
      </c>
      <c r="AS8" s="100" t="s">
        <v>329</v>
      </c>
      <c r="AT8" t="s">
        <v>255</v>
      </c>
      <c r="AU8" s="101">
        <v>0.23599999999999999</v>
      </c>
      <c r="AV8" s="100" t="s">
        <v>80</v>
      </c>
      <c r="AW8" s="97">
        <v>7.6999999999999999E-2</v>
      </c>
      <c r="AX8" s="97">
        <v>0.01</v>
      </c>
      <c r="AY8" s="97">
        <v>1</v>
      </c>
      <c r="AZ8" s="97">
        <f>AU8/AW8</f>
        <v>3.0649350649350646</v>
      </c>
      <c r="BA8" s="18" t="s">
        <v>73</v>
      </c>
      <c r="BB8" s="18"/>
      <c r="BC8" s="18" t="s">
        <v>73</v>
      </c>
      <c r="BD8" s="18" t="s">
        <v>73</v>
      </c>
      <c r="BE8" s="18" t="s">
        <v>73</v>
      </c>
      <c r="BF8" s="18" t="s">
        <v>73</v>
      </c>
      <c r="BG8" s="18" t="s">
        <v>73</v>
      </c>
      <c r="BH8" s="18" t="s">
        <v>73</v>
      </c>
      <c r="BI8">
        <v>1200</v>
      </c>
      <c r="BJ8">
        <v>1200</v>
      </c>
      <c r="BK8" s="18" t="s">
        <v>73</v>
      </c>
      <c r="BL8" s="18" t="s">
        <v>73</v>
      </c>
      <c r="BM8">
        <v>68.653999999999996</v>
      </c>
      <c r="BN8" t="s">
        <v>73</v>
      </c>
      <c r="BO8" s="18" t="s">
        <v>230</v>
      </c>
      <c r="BP8" s="18" t="s">
        <v>73</v>
      </c>
      <c r="BQ8" s="18" t="s">
        <v>73</v>
      </c>
      <c r="BR8" s="18" t="s">
        <v>73</v>
      </c>
      <c r="BS8" s="18" t="s">
        <v>73</v>
      </c>
      <c r="BT8" s="18" t="s">
        <v>73</v>
      </c>
      <c r="BU8">
        <v>0</v>
      </c>
      <c r="BV8">
        <v>0</v>
      </c>
      <c r="BW8">
        <v>1</v>
      </c>
      <c r="BX8" s="104">
        <f>((AZ8^2)/(AZ8^2+BI8))^(1/2)</f>
        <v>8.8132766729768969E-2</v>
      </c>
      <c r="BY8" s="30">
        <f>0.5*LN((1+BX8)/(1-BX8))</f>
        <v>8.8362023146500421E-2</v>
      </c>
      <c r="BZ8" s="30">
        <f>((1-(BY8^2)^2)/(BI8-1))</f>
        <v>8.3397751252971112E-4</v>
      </c>
      <c r="CA8" s="30">
        <f>1/(BI8-3)</f>
        <v>8.3542188805346695E-4</v>
      </c>
    </row>
    <row r="9" spans="1:82" ht="16">
      <c r="A9" s="11" t="s">
        <v>68</v>
      </c>
      <c r="B9" s="11"/>
      <c r="C9" s="11">
        <v>1076</v>
      </c>
      <c r="D9">
        <v>114</v>
      </c>
      <c r="E9" t="s">
        <v>326</v>
      </c>
      <c r="F9" s="11">
        <v>2014</v>
      </c>
      <c r="G9" t="s">
        <v>327</v>
      </c>
      <c r="H9" s="97" t="s">
        <v>328</v>
      </c>
      <c r="I9">
        <v>2</v>
      </c>
      <c r="J9" t="s">
        <v>235</v>
      </c>
      <c r="K9" s="10" t="s">
        <v>73</v>
      </c>
      <c r="L9">
        <v>489</v>
      </c>
      <c r="M9" t="s">
        <v>155</v>
      </c>
      <c r="N9" t="s">
        <v>112</v>
      </c>
      <c r="O9" t="s">
        <v>81</v>
      </c>
      <c r="P9" s="18" t="s">
        <v>219</v>
      </c>
      <c r="Q9" t="s">
        <v>236</v>
      </c>
      <c r="R9" t="s">
        <v>237</v>
      </c>
      <c r="S9">
        <v>0</v>
      </c>
      <c r="T9" t="s">
        <v>189</v>
      </c>
      <c r="U9">
        <v>0</v>
      </c>
      <c r="V9" s="18" t="s">
        <v>222</v>
      </c>
      <c r="W9" s="18" t="s">
        <v>222</v>
      </c>
      <c r="X9" s="18" t="s">
        <v>73</v>
      </c>
      <c r="Y9">
        <v>0</v>
      </c>
      <c r="Z9">
        <v>0</v>
      </c>
      <c r="AA9">
        <v>0</v>
      </c>
      <c r="AB9">
        <v>1</v>
      </c>
      <c r="AC9">
        <v>0</v>
      </c>
      <c r="AD9">
        <v>0</v>
      </c>
      <c r="AE9">
        <v>0</v>
      </c>
      <c r="AF9">
        <v>0</v>
      </c>
      <c r="AG9" t="s">
        <v>73</v>
      </c>
      <c r="AH9">
        <v>1</v>
      </c>
      <c r="AI9">
        <v>0</v>
      </c>
      <c r="AJ9">
        <v>0</v>
      </c>
      <c r="AK9">
        <v>0</v>
      </c>
      <c r="AL9">
        <v>0</v>
      </c>
      <c r="AM9">
        <v>0</v>
      </c>
      <c r="AN9" s="32">
        <v>0</v>
      </c>
      <c r="AO9">
        <v>0</v>
      </c>
      <c r="AP9">
        <v>0</v>
      </c>
      <c r="AQ9" t="s">
        <v>73</v>
      </c>
      <c r="AR9" t="s">
        <v>239</v>
      </c>
      <c r="AS9" s="100" t="s">
        <v>329</v>
      </c>
      <c r="AT9" t="s">
        <v>255</v>
      </c>
      <c r="AU9" s="101">
        <v>0.39500000000000002</v>
      </c>
      <c r="AV9" s="100" t="s">
        <v>80</v>
      </c>
      <c r="AW9" s="97">
        <v>0.13200000000000001</v>
      </c>
      <c r="AX9" s="97">
        <v>0.01</v>
      </c>
      <c r="AY9" s="97">
        <v>1</v>
      </c>
      <c r="AZ9" s="97">
        <f>AU9/AW9</f>
        <v>2.9924242424242422</v>
      </c>
      <c r="BA9" s="18" t="s">
        <v>73</v>
      </c>
      <c r="BB9" s="18"/>
      <c r="BC9" s="18" t="s">
        <v>73</v>
      </c>
      <c r="BD9" s="18" t="s">
        <v>73</v>
      </c>
      <c r="BE9" s="18" t="s">
        <v>73</v>
      </c>
      <c r="BF9" s="18" t="s">
        <v>73</v>
      </c>
      <c r="BG9" s="18" t="s">
        <v>73</v>
      </c>
      <c r="BH9" s="18" t="s">
        <v>73</v>
      </c>
      <c r="BI9">
        <v>1200</v>
      </c>
      <c r="BJ9">
        <v>1200</v>
      </c>
      <c r="BK9" s="18" t="s">
        <v>73</v>
      </c>
      <c r="BL9" s="18" t="s">
        <v>73</v>
      </c>
      <c r="BM9">
        <v>68.653999999999996</v>
      </c>
      <c r="BN9" t="s">
        <v>73</v>
      </c>
      <c r="BO9" s="18" t="s">
        <v>230</v>
      </c>
      <c r="BP9" s="18" t="s">
        <v>73</v>
      </c>
      <c r="BQ9" s="18" t="s">
        <v>73</v>
      </c>
      <c r="BR9" s="18" t="s">
        <v>73</v>
      </c>
      <c r="BS9" s="18" t="s">
        <v>73</v>
      </c>
      <c r="BT9" s="18" t="s">
        <v>73</v>
      </c>
      <c r="BU9">
        <v>0</v>
      </c>
      <c r="BV9">
        <v>0</v>
      </c>
      <c r="BW9">
        <v>1</v>
      </c>
      <c r="BX9" s="104">
        <f>((AZ9^2)/(AZ9^2+BI9))^(1/2)</f>
        <v>8.6063334338985817E-2</v>
      </c>
      <c r="BY9" s="30">
        <f>0.5*LN((1+BX9)/(1-BX9))</f>
        <v>8.6276771120091189E-2</v>
      </c>
      <c r="BZ9" s="30">
        <f>((1-(BY9^2)^2)/(BI9-1))</f>
        <v>8.3398214479539034E-4</v>
      </c>
      <c r="CA9" s="30">
        <f>1/(BI9-3)</f>
        <v>8.3542188805346695E-4</v>
      </c>
    </row>
    <row r="10" spans="1:82" ht="16">
      <c r="A10" s="11" t="s">
        <v>68</v>
      </c>
      <c r="B10" s="11"/>
      <c r="C10" s="11">
        <v>1077</v>
      </c>
      <c r="D10">
        <v>114</v>
      </c>
      <c r="E10" t="s">
        <v>326</v>
      </c>
      <c r="F10" s="11">
        <v>2014</v>
      </c>
      <c r="G10" t="s">
        <v>327</v>
      </c>
      <c r="H10" s="97" t="s">
        <v>328</v>
      </c>
      <c r="I10">
        <v>2</v>
      </c>
      <c r="J10" t="s">
        <v>235</v>
      </c>
      <c r="K10" s="10" t="s">
        <v>73</v>
      </c>
      <c r="L10">
        <v>489</v>
      </c>
      <c r="M10" t="s">
        <v>155</v>
      </c>
      <c r="N10" t="s">
        <v>112</v>
      </c>
      <c r="O10" t="s">
        <v>81</v>
      </c>
      <c r="P10" s="18" t="s">
        <v>219</v>
      </c>
      <c r="Q10" t="s">
        <v>236</v>
      </c>
      <c r="R10" t="s">
        <v>237</v>
      </c>
      <c r="S10">
        <v>0</v>
      </c>
      <c r="T10" t="s">
        <v>189</v>
      </c>
      <c r="U10">
        <v>0</v>
      </c>
      <c r="V10" s="18" t="s">
        <v>222</v>
      </c>
      <c r="W10" s="18" t="s">
        <v>222</v>
      </c>
      <c r="X10" s="18" t="s">
        <v>73</v>
      </c>
      <c r="Y10">
        <v>0</v>
      </c>
      <c r="Z10">
        <v>0</v>
      </c>
      <c r="AA10">
        <v>0</v>
      </c>
      <c r="AB10">
        <v>1</v>
      </c>
      <c r="AC10">
        <v>0</v>
      </c>
      <c r="AD10">
        <v>0</v>
      </c>
      <c r="AE10">
        <v>0</v>
      </c>
      <c r="AF10">
        <v>0</v>
      </c>
      <c r="AG10" t="s">
        <v>73</v>
      </c>
      <c r="AH10">
        <v>0</v>
      </c>
      <c r="AI10">
        <v>0</v>
      </c>
      <c r="AJ10">
        <v>1</v>
      </c>
      <c r="AK10">
        <v>0</v>
      </c>
      <c r="AL10">
        <v>0</v>
      </c>
      <c r="AM10">
        <v>0</v>
      </c>
      <c r="AN10" s="32">
        <v>0</v>
      </c>
      <c r="AO10">
        <v>0</v>
      </c>
      <c r="AP10">
        <v>0</v>
      </c>
      <c r="AQ10" t="s">
        <v>73</v>
      </c>
      <c r="AR10" t="s">
        <v>239</v>
      </c>
      <c r="AS10" s="100" t="s">
        <v>329</v>
      </c>
      <c r="AT10" t="s">
        <v>255</v>
      </c>
      <c r="AU10" s="101">
        <v>2.6779999999999999</v>
      </c>
      <c r="AV10" s="102" t="s">
        <v>80</v>
      </c>
      <c r="AW10" s="97">
        <v>0.45</v>
      </c>
      <c r="AX10" s="97">
        <v>0.01</v>
      </c>
      <c r="AY10" s="97">
        <v>1</v>
      </c>
      <c r="AZ10" s="97">
        <f>AU10/AW10</f>
        <v>5.9511111111111106</v>
      </c>
      <c r="BA10" s="18" t="s">
        <v>73</v>
      </c>
      <c r="BB10" s="18"/>
      <c r="BC10" s="18" t="s">
        <v>73</v>
      </c>
      <c r="BD10" s="18" t="s">
        <v>73</v>
      </c>
      <c r="BE10" s="18" t="s">
        <v>73</v>
      </c>
      <c r="BF10" s="18" t="s">
        <v>73</v>
      </c>
      <c r="BG10" s="18" t="s">
        <v>73</v>
      </c>
      <c r="BH10" s="18" t="s">
        <v>73</v>
      </c>
      <c r="BI10">
        <v>1199</v>
      </c>
      <c r="BJ10">
        <v>1199</v>
      </c>
      <c r="BK10" s="18" t="s">
        <v>73</v>
      </c>
      <c r="BL10" s="18" t="s">
        <v>73</v>
      </c>
      <c r="BM10">
        <v>34.347999999999999</v>
      </c>
      <c r="BN10" t="s">
        <v>73</v>
      </c>
      <c r="BO10" s="18" t="s">
        <v>230</v>
      </c>
      <c r="BP10" s="18" t="s">
        <v>73</v>
      </c>
      <c r="BQ10" s="18" t="s">
        <v>73</v>
      </c>
      <c r="BR10" s="18" t="s">
        <v>73</v>
      </c>
      <c r="BS10" s="18" t="s">
        <v>73</v>
      </c>
      <c r="BT10" s="18" t="s">
        <v>73</v>
      </c>
      <c r="BU10">
        <v>0</v>
      </c>
      <c r="BV10">
        <v>0</v>
      </c>
      <c r="BW10">
        <v>1</v>
      </c>
      <c r="BX10" s="104">
        <f>((AZ10^2)/(AZ10^2+BI10))^(1/2)</f>
        <v>0.16938203115368139</v>
      </c>
      <c r="BY10" s="30">
        <f>0.5*LN((1+BX10)/(1-BX10))</f>
        <v>0.17103037260946002</v>
      </c>
      <c r="BZ10" s="30">
        <f>((1-(BY10^2)^2)/(BI10-1))</f>
        <v>8.3401031408957341E-4</v>
      </c>
      <c r="CA10" s="30">
        <f>1/(BI10-3)</f>
        <v>8.3612040133779263E-4</v>
      </c>
    </row>
    <row r="11" spans="1:82" ht="16">
      <c r="A11" s="11" t="s">
        <v>68</v>
      </c>
      <c r="B11" s="11"/>
      <c r="C11" s="11">
        <v>1078</v>
      </c>
      <c r="D11">
        <v>114</v>
      </c>
      <c r="E11" t="s">
        <v>326</v>
      </c>
      <c r="F11" s="11">
        <v>2014</v>
      </c>
      <c r="G11" t="s">
        <v>327</v>
      </c>
      <c r="H11" s="97" t="s">
        <v>328</v>
      </c>
      <c r="I11">
        <v>2</v>
      </c>
      <c r="J11" t="s">
        <v>235</v>
      </c>
      <c r="K11" s="10" t="s">
        <v>73</v>
      </c>
      <c r="L11">
        <v>489</v>
      </c>
      <c r="M11" t="s">
        <v>155</v>
      </c>
      <c r="N11" t="s">
        <v>112</v>
      </c>
      <c r="O11" t="s">
        <v>81</v>
      </c>
      <c r="P11" s="18" t="s">
        <v>219</v>
      </c>
      <c r="Q11" t="s">
        <v>236</v>
      </c>
      <c r="R11" t="s">
        <v>237</v>
      </c>
      <c r="S11">
        <v>0</v>
      </c>
      <c r="T11" t="s">
        <v>189</v>
      </c>
      <c r="U11">
        <v>0</v>
      </c>
      <c r="V11" s="18" t="s">
        <v>222</v>
      </c>
      <c r="W11" s="18" t="s">
        <v>222</v>
      </c>
      <c r="X11" s="18" t="s">
        <v>73</v>
      </c>
      <c r="Y11">
        <v>0</v>
      </c>
      <c r="Z11">
        <v>0</v>
      </c>
      <c r="AA11">
        <v>0</v>
      </c>
      <c r="AB11">
        <v>1</v>
      </c>
      <c r="AC11">
        <v>0</v>
      </c>
      <c r="AD11">
        <v>0</v>
      </c>
      <c r="AE11">
        <v>0</v>
      </c>
      <c r="AF11">
        <v>0</v>
      </c>
      <c r="AG11" t="s">
        <v>73</v>
      </c>
      <c r="AH11">
        <v>0</v>
      </c>
      <c r="AI11">
        <v>0</v>
      </c>
      <c r="AJ11">
        <v>1</v>
      </c>
      <c r="AK11">
        <v>0</v>
      </c>
      <c r="AL11">
        <v>0</v>
      </c>
      <c r="AM11">
        <v>0</v>
      </c>
      <c r="AN11" s="32">
        <v>0</v>
      </c>
      <c r="AO11">
        <v>0</v>
      </c>
      <c r="AP11">
        <v>0</v>
      </c>
      <c r="AQ11" t="s">
        <v>73</v>
      </c>
      <c r="AR11" t="s">
        <v>239</v>
      </c>
      <c r="AS11" s="100" t="s">
        <v>329</v>
      </c>
      <c r="AT11" t="s">
        <v>255</v>
      </c>
      <c r="AU11" s="101">
        <v>2.617</v>
      </c>
      <c r="AV11" s="102" t="s">
        <v>80</v>
      </c>
      <c r="AW11" s="97">
        <v>0.45600000000000002</v>
      </c>
      <c r="AX11" s="97">
        <v>0.01</v>
      </c>
      <c r="AY11" s="97">
        <v>1</v>
      </c>
      <c r="AZ11" s="97">
        <f>AU11/AW11</f>
        <v>5.7390350877192979</v>
      </c>
      <c r="BA11" s="18" t="s">
        <v>73</v>
      </c>
      <c r="BB11" s="18"/>
      <c r="BC11" s="18" t="s">
        <v>73</v>
      </c>
      <c r="BD11" s="18" t="s">
        <v>73</v>
      </c>
      <c r="BE11" s="18" t="s">
        <v>73</v>
      </c>
      <c r="BF11" s="18" t="s">
        <v>73</v>
      </c>
      <c r="BG11" s="18" t="s">
        <v>73</v>
      </c>
      <c r="BH11" s="18" t="s">
        <v>73</v>
      </c>
      <c r="BI11">
        <v>1199</v>
      </c>
      <c r="BJ11">
        <v>1199</v>
      </c>
      <c r="BK11" s="18" t="s">
        <v>73</v>
      </c>
      <c r="BL11" s="18" t="s">
        <v>73</v>
      </c>
      <c r="BM11">
        <v>34.347999999999999</v>
      </c>
      <c r="BN11" t="s">
        <v>73</v>
      </c>
      <c r="BO11" s="18" t="s">
        <v>230</v>
      </c>
      <c r="BP11" s="18" t="s">
        <v>73</v>
      </c>
      <c r="BQ11" s="18" t="s">
        <v>73</v>
      </c>
      <c r="BR11" s="18" t="s">
        <v>73</v>
      </c>
      <c r="BS11" s="18" t="s">
        <v>73</v>
      </c>
      <c r="BT11" s="18" t="s">
        <v>73</v>
      </c>
      <c r="BU11">
        <v>0</v>
      </c>
      <c r="BV11">
        <v>0</v>
      </c>
      <c r="BW11">
        <v>1</v>
      </c>
      <c r="BX11" s="104">
        <f>((AZ11^2)/(AZ11^2+BI11))^(1/2)</f>
        <v>0.16351014904569258</v>
      </c>
      <c r="BY11" s="30">
        <f>0.5*LN((1+BX11)/(1-BX11))</f>
        <v>0.16499115897987898</v>
      </c>
      <c r="BZ11" s="30">
        <f>((1-(BY11^2)^2)/(BI11-1))</f>
        <v>8.3410597514365812E-4</v>
      </c>
      <c r="CA11" s="30">
        <f>1/(BI11-3)</f>
        <v>8.3612040133779263E-4</v>
      </c>
    </row>
    <row r="12" spans="1:82" ht="16">
      <c r="A12" s="11" t="s">
        <v>68</v>
      </c>
      <c r="B12" s="11"/>
      <c r="C12" s="11">
        <v>1079</v>
      </c>
      <c r="D12">
        <v>114</v>
      </c>
      <c r="E12" t="s">
        <v>326</v>
      </c>
      <c r="F12" s="11">
        <v>2014</v>
      </c>
      <c r="G12" t="s">
        <v>327</v>
      </c>
      <c r="H12" s="97" t="s">
        <v>328</v>
      </c>
      <c r="I12">
        <v>2</v>
      </c>
      <c r="J12" t="s">
        <v>235</v>
      </c>
      <c r="K12" s="10" t="s">
        <v>73</v>
      </c>
      <c r="L12">
        <v>489</v>
      </c>
      <c r="M12" t="s">
        <v>155</v>
      </c>
      <c r="N12" t="s">
        <v>112</v>
      </c>
      <c r="O12" t="s">
        <v>81</v>
      </c>
      <c r="P12" s="18" t="s">
        <v>219</v>
      </c>
      <c r="Q12" t="s">
        <v>236</v>
      </c>
      <c r="R12" t="s">
        <v>237</v>
      </c>
      <c r="S12">
        <v>0</v>
      </c>
      <c r="T12" t="s">
        <v>189</v>
      </c>
      <c r="U12">
        <v>0</v>
      </c>
      <c r="V12" s="18" t="s">
        <v>222</v>
      </c>
      <c r="W12" s="18" t="s">
        <v>222</v>
      </c>
      <c r="X12" s="18" t="s">
        <v>73</v>
      </c>
      <c r="Y12">
        <v>0</v>
      </c>
      <c r="Z12">
        <v>0</v>
      </c>
      <c r="AA12">
        <v>0</v>
      </c>
      <c r="AB12">
        <v>1</v>
      </c>
      <c r="AC12">
        <v>0</v>
      </c>
      <c r="AD12">
        <v>0</v>
      </c>
      <c r="AE12">
        <v>0</v>
      </c>
      <c r="AF12">
        <v>0</v>
      </c>
      <c r="AG12" t="s">
        <v>73</v>
      </c>
      <c r="AH12">
        <v>0</v>
      </c>
      <c r="AI12">
        <v>0</v>
      </c>
      <c r="AJ12">
        <v>1</v>
      </c>
      <c r="AK12">
        <v>0</v>
      </c>
      <c r="AL12">
        <v>0</v>
      </c>
      <c r="AM12">
        <v>0</v>
      </c>
      <c r="AN12" s="32">
        <v>0</v>
      </c>
      <c r="AO12">
        <v>0</v>
      </c>
      <c r="AP12">
        <v>0</v>
      </c>
      <c r="AQ12" t="s">
        <v>73</v>
      </c>
      <c r="AR12" t="s">
        <v>239</v>
      </c>
      <c r="AS12" s="100" t="s">
        <v>329</v>
      </c>
      <c r="AT12" t="s">
        <v>255</v>
      </c>
      <c r="AU12" s="101">
        <v>1.1240000000000001</v>
      </c>
      <c r="AV12" s="102" t="s">
        <v>86</v>
      </c>
      <c r="AW12" s="97">
        <v>0.42899999999999999</v>
      </c>
      <c r="AX12" s="97">
        <v>0.05</v>
      </c>
      <c r="AY12" s="97">
        <v>1</v>
      </c>
      <c r="AZ12" s="97">
        <f>AU12/AW12</f>
        <v>2.6200466200466201</v>
      </c>
      <c r="BA12" s="18" t="s">
        <v>73</v>
      </c>
      <c r="BB12" s="18"/>
      <c r="BC12" s="18" t="s">
        <v>73</v>
      </c>
      <c r="BD12" s="18" t="s">
        <v>73</v>
      </c>
      <c r="BE12" s="18" t="s">
        <v>73</v>
      </c>
      <c r="BF12" s="18" t="s">
        <v>73</v>
      </c>
      <c r="BG12" s="18" t="s">
        <v>73</v>
      </c>
      <c r="BH12" s="18" t="s">
        <v>73</v>
      </c>
      <c r="BI12">
        <v>1199</v>
      </c>
      <c r="BJ12">
        <v>1199</v>
      </c>
      <c r="BK12" s="18" t="s">
        <v>73</v>
      </c>
      <c r="BL12" s="18" t="s">
        <v>73</v>
      </c>
      <c r="BM12">
        <v>34.347999999999999</v>
      </c>
      <c r="BN12" t="s">
        <v>73</v>
      </c>
      <c r="BO12" s="18" t="s">
        <v>230</v>
      </c>
      <c r="BP12" s="18" t="s">
        <v>73</v>
      </c>
      <c r="BQ12" s="18" t="s">
        <v>73</v>
      </c>
      <c r="BR12" s="18" t="s">
        <v>73</v>
      </c>
      <c r="BS12" s="18" t="s">
        <v>73</v>
      </c>
      <c r="BT12" s="18" t="s">
        <v>73</v>
      </c>
      <c r="BU12">
        <v>0</v>
      </c>
      <c r="BV12">
        <v>0</v>
      </c>
      <c r="BW12">
        <v>1</v>
      </c>
      <c r="BX12" s="104">
        <f>((AZ12^2)/(AZ12^2+BI12))^(1/2)</f>
        <v>7.545008581866168E-2</v>
      </c>
      <c r="BY12" s="30">
        <f>0.5*LN((1+BX12)/(1-BX12))</f>
        <v>7.5593748794722831E-2</v>
      </c>
      <c r="BZ12" s="30">
        <f>((1-(BY12^2)^2)/(BI12-1))</f>
        <v>8.3469728335796656E-4</v>
      </c>
      <c r="CA12" s="30">
        <f>1/(BI12-3)</f>
        <v>8.3612040133779263E-4</v>
      </c>
    </row>
    <row r="13" spans="1:82" s="105" customFormat="1" ht="16">
      <c r="A13" s="11" t="s">
        <v>68</v>
      </c>
      <c r="B13" s="11"/>
      <c r="C13" s="11">
        <v>1080</v>
      </c>
      <c r="D13">
        <v>114</v>
      </c>
      <c r="E13" t="s">
        <v>326</v>
      </c>
      <c r="F13" s="11">
        <v>2014</v>
      </c>
      <c r="G13" t="s">
        <v>327</v>
      </c>
      <c r="H13" s="97" t="s">
        <v>328</v>
      </c>
      <c r="I13">
        <v>2</v>
      </c>
      <c r="J13" t="s">
        <v>235</v>
      </c>
      <c r="K13" s="10" t="s">
        <v>73</v>
      </c>
      <c r="L13">
        <v>489</v>
      </c>
      <c r="M13" t="s">
        <v>155</v>
      </c>
      <c r="N13" t="s">
        <v>112</v>
      </c>
      <c r="O13" t="s">
        <v>81</v>
      </c>
      <c r="P13" s="18" t="s">
        <v>219</v>
      </c>
      <c r="Q13" t="s">
        <v>236</v>
      </c>
      <c r="R13" t="s">
        <v>237</v>
      </c>
      <c r="S13">
        <v>0</v>
      </c>
      <c r="T13" t="s">
        <v>189</v>
      </c>
      <c r="U13">
        <v>0</v>
      </c>
      <c r="V13" s="18" t="s">
        <v>222</v>
      </c>
      <c r="W13" s="18" t="s">
        <v>222</v>
      </c>
      <c r="X13" s="18" t="s">
        <v>73</v>
      </c>
      <c r="Y13">
        <v>0</v>
      </c>
      <c r="Z13">
        <v>0</v>
      </c>
      <c r="AA13">
        <v>0</v>
      </c>
      <c r="AB13">
        <v>1</v>
      </c>
      <c r="AC13">
        <v>0</v>
      </c>
      <c r="AD13">
        <v>0</v>
      </c>
      <c r="AE13">
        <v>0</v>
      </c>
      <c r="AF13">
        <v>0</v>
      </c>
      <c r="AG13" t="s">
        <v>73</v>
      </c>
      <c r="AH13">
        <v>0</v>
      </c>
      <c r="AI13">
        <v>0</v>
      </c>
      <c r="AJ13">
        <v>1</v>
      </c>
      <c r="AK13">
        <v>0</v>
      </c>
      <c r="AL13">
        <v>0</v>
      </c>
      <c r="AM13">
        <v>0</v>
      </c>
      <c r="AN13" s="32">
        <v>0</v>
      </c>
      <c r="AO13">
        <v>0</v>
      </c>
      <c r="AP13">
        <v>0</v>
      </c>
      <c r="AQ13" t="s">
        <v>73</v>
      </c>
      <c r="AR13" t="s">
        <v>239</v>
      </c>
      <c r="AS13" s="100" t="s">
        <v>329</v>
      </c>
      <c r="AT13" t="s">
        <v>255</v>
      </c>
      <c r="AU13" s="101">
        <v>0.60399999999999998</v>
      </c>
      <c r="AV13" s="102" t="s">
        <v>86</v>
      </c>
      <c r="AW13" s="97">
        <v>0.41699999999999998</v>
      </c>
      <c r="AX13" s="97">
        <v>0.1</v>
      </c>
      <c r="AY13" s="97">
        <v>2</v>
      </c>
      <c r="AZ13" s="97">
        <f>AU13/AW13</f>
        <v>1.4484412470023982</v>
      </c>
      <c r="BA13" s="18" t="s">
        <v>73</v>
      </c>
      <c r="BB13" s="18"/>
      <c r="BC13" s="18" t="s">
        <v>73</v>
      </c>
      <c r="BD13" s="18" t="s">
        <v>73</v>
      </c>
      <c r="BE13" s="18" t="s">
        <v>73</v>
      </c>
      <c r="BF13" s="18" t="s">
        <v>73</v>
      </c>
      <c r="BG13" s="18" t="s">
        <v>73</v>
      </c>
      <c r="BH13" s="18" t="s">
        <v>73</v>
      </c>
      <c r="BI13">
        <v>1199</v>
      </c>
      <c r="BJ13">
        <v>1199</v>
      </c>
      <c r="BK13" s="18" t="s">
        <v>73</v>
      </c>
      <c r="BL13" s="18" t="s">
        <v>73</v>
      </c>
      <c r="BM13">
        <v>34.347999999999999</v>
      </c>
      <c r="BN13" t="s">
        <v>73</v>
      </c>
      <c r="BO13" s="18" t="s">
        <v>230</v>
      </c>
      <c r="BP13" s="18" t="s">
        <v>73</v>
      </c>
      <c r="BQ13" s="18" t="s">
        <v>73</v>
      </c>
      <c r="BR13" s="18" t="s">
        <v>73</v>
      </c>
      <c r="BS13" s="18" t="s">
        <v>73</v>
      </c>
      <c r="BT13" s="18" t="s">
        <v>73</v>
      </c>
      <c r="BU13">
        <v>0</v>
      </c>
      <c r="BV13">
        <v>0</v>
      </c>
      <c r="BW13">
        <v>1</v>
      </c>
      <c r="BX13" s="104">
        <f>((AZ13^2)/(AZ13^2+BI13))^(1/2)</f>
        <v>4.1793781222559251E-2</v>
      </c>
      <c r="BY13" s="30">
        <f>0.5*LN((1+BX13)/(1-BX13))</f>
        <v>4.1818140770501222E-2</v>
      </c>
      <c r="BZ13" s="30">
        <f>((1-(BY13^2)^2)/(BI13-1))</f>
        <v>8.3472198818807463E-4</v>
      </c>
      <c r="CA13" s="30">
        <f>1/(BI13-3)</f>
        <v>8.3612040133779263E-4</v>
      </c>
      <c r="CB13"/>
      <c r="CC13"/>
      <c r="CD13"/>
    </row>
    <row r="14" spans="1:82" ht="15.75" customHeight="1">
      <c r="A14" s="11" t="s">
        <v>68</v>
      </c>
      <c r="B14" s="11"/>
      <c r="C14" s="11">
        <v>1081</v>
      </c>
      <c r="D14">
        <v>114</v>
      </c>
      <c r="E14" t="s">
        <v>326</v>
      </c>
      <c r="F14" s="11">
        <v>2014</v>
      </c>
      <c r="G14" t="s">
        <v>327</v>
      </c>
      <c r="H14" s="97" t="s">
        <v>328</v>
      </c>
      <c r="I14">
        <v>2</v>
      </c>
      <c r="J14" t="s">
        <v>235</v>
      </c>
      <c r="K14" s="10" t="s">
        <v>73</v>
      </c>
      <c r="L14">
        <v>489</v>
      </c>
      <c r="M14" t="s">
        <v>155</v>
      </c>
      <c r="N14" t="s">
        <v>112</v>
      </c>
      <c r="O14" t="s">
        <v>81</v>
      </c>
      <c r="P14" s="18" t="s">
        <v>219</v>
      </c>
      <c r="Q14" t="s">
        <v>236</v>
      </c>
      <c r="R14" t="s">
        <v>237</v>
      </c>
      <c r="S14">
        <v>0</v>
      </c>
      <c r="T14" t="s">
        <v>189</v>
      </c>
      <c r="U14">
        <v>0</v>
      </c>
      <c r="V14" s="18" t="s">
        <v>222</v>
      </c>
      <c r="W14" s="18" t="s">
        <v>222</v>
      </c>
      <c r="X14" s="18" t="s">
        <v>73</v>
      </c>
      <c r="Y14">
        <v>0</v>
      </c>
      <c r="Z14">
        <v>0</v>
      </c>
      <c r="AA14">
        <v>0</v>
      </c>
      <c r="AB14">
        <v>1</v>
      </c>
      <c r="AC14">
        <v>0</v>
      </c>
      <c r="AD14">
        <v>0</v>
      </c>
      <c r="AE14">
        <v>0</v>
      </c>
      <c r="AF14">
        <v>0</v>
      </c>
      <c r="AG14" t="s">
        <v>73</v>
      </c>
      <c r="AH14">
        <v>0</v>
      </c>
      <c r="AI14">
        <v>0</v>
      </c>
      <c r="AJ14">
        <v>0</v>
      </c>
      <c r="AK14">
        <v>1</v>
      </c>
      <c r="AL14">
        <v>0</v>
      </c>
      <c r="AM14">
        <v>0</v>
      </c>
      <c r="AN14" s="32">
        <v>0</v>
      </c>
      <c r="AO14">
        <v>0</v>
      </c>
      <c r="AP14">
        <v>0</v>
      </c>
      <c r="AQ14" t="s">
        <v>73</v>
      </c>
      <c r="AR14" t="s">
        <v>239</v>
      </c>
      <c r="AS14" s="100" t="s">
        <v>329</v>
      </c>
      <c r="AT14" t="s">
        <v>255</v>
      </c>
      <c r="AU14" s="101">
        <v>1.171</v>
      </c>
      <c r="AV14" s="100" t="s">
        <v>80</v>
      </c>
      <c r="AW14" s="97">
        <v>0.26900000000000002</v>
      </c>
      <c r="AX14" s="97">
        <v>0.01</v>
      </c>
      <c r="AY14" s="97">
        <v>1</v>
      </c>
      <c r="AZ14" s="97">
        <f>AU14/AW14</f>
        <v>4.3531598513011147</v>
      </c>
      <c r="BA14" s="18" t="s">
        <v>73</v>
      </c>
      <c r="BB14" s="18"/>
      <c r="BC14" s="18" t="s">
        <v>73</v>
      </c>
      <c r="BD14" s="18" t="s">
        <v>73</v>
      </c>
      <c r="BE14" s="18" t="s">
        <v>73</v>
      </c>
      <c r="BF14" s="18" t="s">
        <v>73</v>
      </c>
      <c r="BG14" s="18" t="s">
        <v>73</v>
      </c>
      <c r="BH14" s="18" t="s">
        <v>73</v>
      </c>
      <c r="BI14">
        <v>1200</v>
      </c>
      <c r="BJ14">
        <v>1200</v>
      </c>
      <c r="BK14" s="18" t="s">
        <v>73</v>
      </c>
      <c r="BL14" s="18" t="s">
        <v>73</v>
      </c>
      <c r="BM14">
        <v>49.061999999999998</v>
      </c>
      <c r="BN14" t="s">
        <v>73</v>
      </c>
      <c r="BO14" s="18" t="s">
        <v>230</v>
      </c>
      <c r="BP14" s="18" t="s">
        <v>73</v>
      </c>
      <c r="BQ14" s="18" t="s">
        <v>73</v>
      </c>
      <c r="BR14" s="18" t="s">
        <v>73</v>
      </c>
      <c r="BS14" s="18" t="s">
        <v>73</v>
      </c>
      <c r="BT14" s="18" t="s">
        <v>73</v>
      </c>
      <c r="BU14">
        <v>0</v>
      </c>
      <c r="BV14">
        <v>0</v>
      </c>
      <c r="BW14">
        <v>1</v>
      </c>
      <c r="BX14" s="104">
        <f>((AZ14^2)/(AZ14^2+BI14))^(1/2)</f>
        <v>0.12468427062360037</v>
      </c>
      <c r="BY14" s="30">
        <f>0.5*LN((1+BX14)/(1-BX14))</f>
        <v>0.12533648603448228</v>
      </c>
      <c r="BZ14" s="30">
        <f>((1-(BY14^2)^2)/(BI14-1))</f>
        <v>8.3382253539962601E-4</v>
      </c>
      <c r="CA14" s="30">
        <f>1/(BI14-3)</f>
        <v>8.3542188805346695E-4</v>
      </c>
    </row>
    <row r="15" spans="1:82" ht="15.75" customHeight="1">
      <c r="A15" s="11" t="s">
        <v>68</v>
      </c>
      <c r="B15" s="11"/>
      <c r="C15" s="11">
        <v>1082</v>
      </c>
      <c r="D15">
        <v>114</v>
      </c>
      <c r="E15" t="s">
        <v>326</v>
      </c>
      <c r="F15" s="11">
        <v>2014</v>
      </c>
      <c r="G15" t="s">
        <v>327</v>
      </c>
      <c r="H15" s="97" t="s">
        <v>328</v>
      </c>
      <c r="I15">
        <v>2</v>
      </c>
      <c r="J15" t="s">
        <v>235</v>
      </c>
      <c r="K15" s="10" t="s">
        <v>73</v>
      </c>
      <c r="L15">
        <v>489</v>
      </c>
      <c r="M15" t="s">
        <v>155</v>
      </c>
      <c r="N15" t="s">
        <v>112</v>
      </c>
      <c r="O15" t="s">
        <v>81</v>
      </c>
      <c r="P15" s="18" t="s">
        <v>219</v>
      </c>
      <c r="Q15" t="s">
        <v>236</v>
      </c>
      <c r="R15" t="s">
        <v>237</v>
      </c>
      <c r="S15">
        <v>0</v>
      </c>
      <c r="T15" t="s">
        <v>189</v>
      </c>
      <c r="U15">
        <v>0</v>
      </c>
      <c r="V15" s="18" t="s">
        <v>222</v>
      </c>
      <c r="W15" s="18" t="s">
        <v>222</v>
      </c>
      <c r="X15" s="18" t="s">
        <v>73</v>
      </c>
      <c r="Y15">
        <v>0</v>
      </c>
      <c r="Z15">
        <v>0</v>
      </c>
      <c r="AA15">
        <v>0</v>
      </c>
      <c r="AB15">
        <v>1</v>
      </c>
      <c r="AC15">
        <v>0</v>
      </c>
      <c r="AD15">
        <v>0</v>
      </c>
      <c r="AE15">
        <v>0</v>
      </c>
      <c r="AF15">
        <v>0</v>
      </c>
      <c r="AG15" t="s">
        <v>73</v>
      </c>
      <c r="AH15">
        <v>0</v>
      </c>
      <c r="AI15">
        <v>0</v>
      </c>
      <c r="AJ15">
        <v>0</v>
      </c>
      <c r="AK15">
        <v>1</v>
      </c>
      <c r="AL15">
        <v>0</v>
      </c>
      <c r="AM15">
        <v>0</v>
      </c>
      <c r="AN15" s="32">
        <v>0</v>
      </c>
      <c r="AO15">
        <v>0</v>
      </c>
      <c r="AP15">
        <v>0</v>
      </c>
      <c r="AQ15" t="s">
        <v>73</v>
      </c>
      <c r="AR15" t="s">
        <v>239</v>
      </c>
      <c r="AS15" s="100" t="s">
        <v>329</v>
      </c>
      <c r="AT15" t="s">
        <v>255</v>
      </c>
      <c r="AU15" s="101">
        <v>1.03</v>
      </c>
      <c r="AV15" s="100" t="s">
        <v>80</v>
      </c>
      <c r="AW15" s="97">
        <v>0.27200000000000002</v>
      </c>
      <c r="AX15" s="97">
        <v>0.01</v>
      </c>
      <c r="AY15" s="97">
        <v>1</v>
      </c>
      <c r="AZ15" s="97">
        <f>AU15/AW15</f>
        <v>3.7867647058823528</v>
      </c>
      <c r="BA15" s="18" t="s">
        <v>73</v>
      </c>
      <c r="BB15" s="18"/>
      <c r="BC15" s="18" t="s">
        <v>73</v>
      </c>
      <c r="BD15" s="18" t="s">
        <v>73</v>
      </c>
      <c r="BE15" s="18" t="s">
        <v>73</v>
      </c>
      <c r="BF15" s="18" t="s">
        <v>73</v>
      </c>
      <c r="BG15" s="18" t="s">
        <v>73</v>
      </c>
      <c r="BH15" s="18" t="s">
        <v>73</v>
      </c>
      <c r="BI15">
        <v>1200</v>
      </c>
      <c r="BJ15">
        <v>1200</v>
      </c>
      <c r="BK15" s="18" t="s">
        <v>73</v>
      </c>
      <c r="BL15" s="18" t="s">
        <v>73</v>
      </c>
      <c r="BM15">
        <v>49.061999999999998</v>
      </c>
      <c r="BN15" t="s">
        <v>73</v>
      </c>
      <c r="BO15" s="18" t="s">
        <v>230</v>
      </c>
      <c r="BP15" s="18" t="s">
        <v>73</v>
      </c>
      <c r="BQ15" s="18" t="s">
        <v>73</v>
      </c>
      <c r="BR15" s="18" t="s">
        <v>73</v>
      </c>
      <c r="BS15" s="18" t="s">
        <v>73</v>
      </c>
      <c r="BT15" s="18" t="s">
        <v>73</v>
      </c>
      <c r="BU15">
        <v>0</v>
      </c>
      <c r="BV15">
        <v>0</v>
      </c>
      <c r="BW15">
        <v>1</v>
      </c>
      <c r="BX15" s="104">
        <f>((AZ15^2)/(AZ15^2+BI15))^(1/2)</f>
        <v>0.10866714177304562</v>
      </c>
      <c r="BY15" s="30">
        <f>0.5*LN((1+BX15)/(1-BX15))</f>
        <v>0.10909793182920374</v>
      </c>
      <c r="BZ15" s="30">
        <f>((1-(BY15^2)^2)/(BI15-1))</f>
        <v>8.3391020338338315E-4</v>
      </c>
      <c r="CA15" s="30">
        <f>1/(BI15-3)</f>
        <v>8.3542188805346695E-4</v>
      </c>
    </row>
    <row r="16" spans="1:82" ht="15.75" customHeight="1">
      <c r="A16" s="11" t="s">
        <v>68</v>
      </c>
      <c r="B16" s="11"/>
      <c r="C16" s="11">
        <v>1083</v>
      </c>
      <c r="D16">
        <v>114</v>
      </c>
      <c r="E16" t="s">
        <v>326</v>
      </c>
      <c r="F16" s="11">
        <v>2014</v>
      </c>
      <c r="G16" t="s">
        <v>327</v>
      </c>
      <c r="H16" s="97" t="s">
        <v>328</v>
      </c>
      <c r="I16">
        <v>2</v>
      </c>
      <c r="J16" t="s">
        <v>235</v>
      </c>
      <c r="K16" s="10" t="s">
        <v>73</v>
      </c>
      <c r="L16">
        <v>489</v>
      </c>
      <c r="M16" t="s">
        <v>155</v>
      </c>
      <c r="N16" t="s">
        <v>112</v>
      </c>
      <c r="O16" t="s">
        <v>81</v>
      </c>
      <c r="P16" s="18" t="s">
        <v>219</v>
      </c>
      <c r="Q16" t="s">
        <v>236</v>
      </c>
      <c r="R16" t="s">
        <v>237</v>
      </c>
      <c r="S16">
        <v>0</v>
      </c>
      <c r="T16" t="s">
        <v>189</v>
      </c>
      <c r="U16">
        <v>0</v>
      </c>
      <c r="V16" s="18" t="s">
        <v>222</v>
      </c>
      <c r="W16" s="18" t="s">
        <v>222</v>
      </c>
      <c r="X16" s="18" t="s">
        <v>73</v>
      </c>
      <c r="Y16">
        <v>0</v>
      </c>
      <c r="Z16">
        <v>0</v>
      </c>
      <c r="AA16">
        <v>0</v>
      </c>
      <c r="AB16">
        <v>1</v>
      </c>
      <c r="AC16">
        <v>0</v>
      </c>
      <c r="AD16">
        <v>0</v>
      </c>
      <c r="AE16">
        <v>0</v>
      </c>
      <c r="AF16">
        <v>0</v>
      </c>
      <c r="AG16" t="s">
        <v>73</v>
      </c>
      <c r="AH16">
        <v>0</v>
      </c>
      <c r="AI16">
        <v>0</v>
      </c>
      <c r="AJ16">
        <v>0</v>
      </c>
      <c r="AK16">
        <v>1</v>
      </c>
      <c r="AL16">
        <v>0</v>
      </c>
      <c r="AM16">
        <v>0</v>
      </c>
      <c r="AN16" s="32">
        <v>0</v>
      </c>
      <c r="AO16">
        <v>0</v>
      </c>
      <c r="AP16">
        <v>0</v>
      </c>
      <c r="AQ16" t="s">
        <v>73</v>
      </c>
      <c r="AR16" t="s">
        <v>239</v>
      </c>
      <c r="AS16" s="100" t="s">
        <v>329</v>
      </c>
      <c r="AT16" t="s">
        <v>255</v>
      </c>
      <c r="AU16" s="101">
        <v>1.2E-2</v>
      </c>
      <c r="AV16" s="100" t="s">
        <v>80</v>
      </c>
      <c r="AW16" s="97">
        <v>0.113</v>
      </c>
      <c r="AX16" s="97">
        <v>0.1</v>
      </c>
      <c r="AY16" s="97">
        <v>2</v>
      </c>
      <c r="AZ16" s="97">
        <f>AU16/AW16</f>
        <v>0.10619469026548672</v>
      </c>
      <c r="BA16" s="18" t="s">
        <v>73</v>
      </c>
      <c r="BB16" s="18"/>
      <c r="BC16" s="18" t="s">
        <v>73</v>
      </c>
      <c r="BD16" s="18" t="s">
        <v>73</v>
      </c>
      <c r="BE16" s="18" t="s">
        <v>73</v>
      </c>
      <c r="BF16" s="18" t="s">
        <v>73</v>
      </c>
      <c r="BG16" s="18" t="s">
        <v>73</v>
      </c>
      <c r="BH16" s="18" t="s">
        <v>73</v>
      </c>
      <c r="BI16">
        <v>1200</v>
      </c>
      <c r="BJ16">
        <v>1200</v>
      </c>
      <c r="BK16" s="18" t="s">
        <v>73</v>
      </c>
      <c r="BL16" s="18" t="s">
        <v>73</v>
      </c>
      <c r="BM16">
        <v>49.061999999999998</v>
      </c>
      <c r="BN16" t="s">
        <v>73</v>
      </c>
      <c r="BO16" s="18" t="s">
        <v>230</v>
      </c>
      <c r="BP16" s="18" t="s">
        <v>73</v>
      </c>
      <c r="BQ16" s="18" t="s">
        <v>73</v>
      </c>
      <c r="BR16" s="18" t="s">
        <v>73</v>
      </c>
      <c r="BS16" s="18" t="s">
        <v>73</v>
      </c>
      <c r="BT16" s="18" t="s">
        <v>73</v>
      </c>
      <c r="BU16">
        <v>0</v>
      </c>
      <c r="BV16">
        <v>0</v>
      </c>
      <c r="BW16">
        <v>1</v>
      </c>
      <c r="BX16" s="104">
        <f>((AZ16^2)/(AZ16^2+BI16))^(1/2)</f>
        <v>3.0655622458887941E-3</v>
      </c>
      <c r="BY16" s="30">
        <f>0.5*LN((1+BX16)/(1-BX16))</f>
        <v>3.0655718489923326E-3</v>
      </c>
      <c r="BZ16" s="30">
        <f>((1-(BY16^2)^2)/(BI16-1))</f>
        <v>8.3402835689047757E-4</v>
      </c>
      <c r="CA16" s="30">
        <f>1/(BI16-3)</f>
        <v>8.3542188805346695E-4</v>
      </c>
    </row>
    <row r="17" spans="1:82" ht="15.75" customHeight="1">
      <c r="A17" s="11" t="s">
        <v>68</v>
      </c>
      <c r="B17" s="11"/>
      <c r="C17" s="11">
        <v>1084</v>
      </c>
      <c r="D17">
        <v>114</v>
      </c>
      <c r="E17" t="s">
        <v>326</v>
      </c>
      <c r="F17" s="11">
        <v>2014</v>
      </c>
      <c r="G17" t="s">
        <v>327</v>
      </c>
      <c r="H17" s="97" t="s">
        <v>328</v>
      </c>
      <c r="I17">
        <v>2</v>
      </c>
      <c r="J17" t="s">
        <v>235</v>
      </c>
      <c r="K17" s="10" t="s">
        <v>73</v>
      </c>
      <c r="L17">
        <v>489</v>
      </c>
      <c r="M17" t="s">
        <v>155</v>
      </c>
      <c r="N17" t="s">
        <v>112</v>
      </c>
      <c r="O17" t="s">
        <v>81</v>
      </c>
      <c r="P17" s="18" t="s">
        <v>219</v>
      </c>
      <c r="Q17" t="s">
        <v>236</v>
      </c>
      <c r="R17" t="s">
        <v>237</v>
      </c>
      <c r="S17">
        <v>0</v>
      </c>
      <c r="T17" t="s">
        <v>189</v>
      </c>
      <c r="U17">
        <v>0</v>
      </c>
      <c r="V17" s="18" t="s">
        <v>222</v>
      </c>
      <c r="W17" s="18" t="s">
        <v>222</v>
      </c>
      <c r="X17" s="18" t="s">
        <v>73</v>
      </c>
      <c r="Y17">
        <v>0</v>
      </c>
      <c r="Z17">
        <v>0</v>
      </c>
      <c r="AA17">
        <v>0</v>
      </c>
      <c r="AB17">
        <v>1</v>
      </c>
      <c r="AC17">
        <v>0</v>
      </c>
      <c r="AD17">
        <v>0</v>
      </c>
      <c r="AE17">
        <v>0</v>
      </c>
      <c r="AF17">
        <v>0</v>
      </c>
      <c r="AG17" t="s">
        <v>73</v>
      </c>
      <c r="AH17">
        <v>0</v>
      </c>
      <c r="AI17">
        <v>0</v>
      </c>
      <c r="AJ17">
        <v>0</v>
      </c>
      <c r="AK17">
        <v>1</v>
      </c>
      <c r="AL17">
        <v>0</v>
      </c>
      <c r="AM17">
        <v>0</v>
      </c>
      <c r="AN17" s="32">
        <v>0</v>
      </c>
      <c r="AO17">
        <v>0</v>
      </c>
      <c r="AP17">
        <v>0</v>
      </c>
      <c r="AQ17" t="s">
        <v>73</v>
      </c>
      <c r="AR17" t="s">
        <v>239</v>
      </c>
      <c r="AS17" s="100" t="s">
        <v>329</v>
      </c>
      <c r="AT17" t="s">
        <v>255</v>
      </c>
      <c r="AU17" s="101">
        <v>0.28199999999999997</v>
      </c>
      <c r="AV17" s="100" t="s">
        <v>80</v>
      </c>
      <c r="AW17" s="97">
        <v>0.15</v>
      </c>
      <c r="AX17" s="97">
        <v>0.1</v>
      </c>
      <c r="AY17" s="97">
        <v>1</v>
      </c>
      <c r="AZ17" s="97">
        <f>AU17/AW17</f>
        <v>1.88</v>
      </c>
      <c r="BA17" s="18" t="s">
        <v>73</v>
      </c>
      <c r="BB17" s="18"/>
      <c r="BC17" s="18" t="s">
        <v>73</v>
      </c>
      <c r="BD17" s="18" t="s">
        <v>73</v>
      </c>
      <c r="BE17" s="18" t="s">
        <v>73</v>
      </c>
      <c r="BF17" s="18" t="s">
        <v>73</v>
      </c>
      <c r="BG17" s="18" t="s">
        <v>73</v>
      </c>
      <c r="BH17" s="18" t="s">
        <v>73</v>
      </c>
      <c r="BI17">
        <v>1200</v>
      </c>
      <c r="BJ17">
        <v>1200</v>
      </c>
      <c r="BK17" s="18" t="s">
        <v>73</v>
      </c>
      <c r="BL17" s="18" t="s">
        <v>73</v>
      </c>
      <c r="BM17">
        <v>49.061999999999998</v>
      </c>
      <c r="BN17" t="s">
        <v>73</v>
      </c>
      <c r="BO17" s="18" t="s">
        <v>230</v>
      </c>
      <c r="BP17" s="18" t="s">
        <v>73</v>
      </c>
      <c r="BQ17" s="18" t="s">
        <v>73</v>
      </c>
      <c r="BR17" s="18" t="s">
        <v>73</v>
      </c>
      <c r="BS17" s="18" t="s">
        <v>73</v>
      </c>
      <c r="BT17" s="18" t="s">
        <v>73</v>
      </c>
      <c r="BU17">
        <v>0</v>
      </c>
      <c r="BV17">
        <v>0</v>
      </c>
      <c r="BW17">
        <v>1</v>
      </c>
      <c r="BX17" s="104">
        <f>((AZ17^2)/(AZ17^2+BI17))^(1/2)</f>
        <v>5.4191178438811397E-2</v>
      </c>
      <c r="BY17" s="30">
        <f>0.5*LN((1+BX17)/(1-BX17))</f>
        <v>5.4244319557796482E-2</v>
      </c>
      <c r="BZ17" s="30">
        <f>((1-(BY17^2)^2)/(BI17-1))</f>
        <v>8.3402113595524175E-4</v>
      </c>
      <c r="CA17" s="30">
        <f>1/(BI17-3)</f>
        <v>8.3542188805346695E-4</v>
      </c>
    </row>
    <row r="18" spans="1:82" ht="15.75" customHeight="1">
      <c r="A18" t="s">
        <v>68</v>
      </c>
      <c r="C18">
        <v>1090</v>
      </c>
      <c r="D18">
        <v>117</v>
      </c>
      <c r="E18" t="s">
        <v>330</v>
      </c>
      <c r="F18">
        <v>2014</v>
      </c>
      <c r="G18" t="s">
        <v>331</v>
      </c>
      <c r="H18" t="s">
        <v>332</v>
      </c>
      <c r="I18">
        <v>2</v>
      </c>
      <c r="J18">
        <v>2009</v>
      </c>
      <c r="K18" t="s">
        <v>73</v>
      </c>
      <c r="L18">
        <v>40</v>
      </c>
      <c r="M18" t="s">
        <v>120</v>
      </c>
      <c r="N18" t="s">
        <v>318</v>
      </c>
      <c r="O18" t="s">
        <v>81</v>
      </c>
      <c r="P18" t="s">
        <v>219</v>
      </c>
      <c r="Q18" t="s">
        <v>236</v>
      </c>
      <c r="R18" t="s">
        <v>253</v>
      </c>
      <c r="S18">
        <v>0</v>
      </c>
      <c r="T18" t="s">
        <v>189</v>
      </c>
      <c r="U18">
        <v>0</v>
      </c>
      <c r="V18" t="s">
        <v>222</v>
      </c>
      <c r="W18" t="s">
        <v>222</v>
      </c>
      <c r="X18" t="s">
        <v>73</v>
      </c>
      <c r="Y18">
        <v>0</v>
      </c>
      <c r="Z18">
        <v>0</v>
      </c>
      <c r="AA18">
        <v>0</v>
      </c>
      <c r="AB18">
        <v>1</v>
      </c>
      <c r="AC18">
        <v>0</v>
      </c>
      <c r="AD18">
        <v>0</v>
      </c>
      <c r="AE18">
        <v>0</v>
      </c>
      <c r="AF18">
        <v>0</v>
      </c>
      <c r="AG18" t="s">
        <v>73</v>
      </c>
      <c r="AH18">
        <v>0</v>
      </c>
      <c r="AI18">
        <v>0</v>
      </c>
      <c r="AJ18">
        <v>0</v>
      </c>
      <c r="AK18">
        <v>1</v>
      </c>
      <c r="AL18">
        <v>0</v>
      </c>
      <c r="AM18">
        <v>0</v>
      </c>
      <c r="AN18">
        <v>0</v>
      </c>
      <c r="AO18">
        <v>0</v>
      </c>
      <c r="AP18">
        <v>0</v>
      </c>
      <c r="AQ18" t="s">
        <v>73</v>
      </c>
      <c r="AR18" t="s">
        <v>239</v>
      </c>
      <c r="AS18" t="s">
        <v>333</v>
      </c>
      <c r="AT18" t="s">
        <v>255</v>
      </c>
      <c r="AU18" s="21">
        <v>0.1</v>
      </c>
      <c r="AV18" s="7" t="s">
        <v>80</v>
      </c>
      <c r="AW18">
        <v>2.1000000000000001E-2</v>
      </c>
      <c r="AX18" s="41" t="s">
        <v>73</v>
      </c>
      <c r="AY18" s="41">
        <v>3</v>
      </c>
      <c r="AZ18">
        <f>AU18/AW18</f>
        <v>4.7619047619047619</v>
      </c>
      <c r="BA18" t="s">
        <v>73</v>
      </c>
      <c r="BC18" t="s">
        <v>73</v>
      </c>
      <c r="BD18" t="s">
        <v>73</v>
      </c>
      <c r="BE18" t="s">
        <v>73</v>
      </c>
      <c r="BF18" t="s">
        <v>73</v>
      </c>
      <c r="BG18" t="s">
        <v>73</v>
      </c>
      <c r="BH18" t="s">
        <v>73</v>
      </c>
      <c r="BI18">
        <v>12450</v>
      </c>
      <c r="BJ18">
        <v>12450</v>
      </c>
      <c r="BK18" t="s">
        <v>73</v>
      </c>
      <c r="BL18" t="s">
        <v>73</v>
      </c>
      <c r="BM18">
        <v>128</v>
      </c>
      <c r="BN18">
        <v>0.1</v>
      </c>
      <c r="BO18" t="s">
        <v>230</v>
      </c>
      <c r="BP18" t="s">
        <v>73</v>
      </c>
      <c r="BQ18" t="s">
        <v>73</v>
      </c>
      <c r="BR18" t="s">
        <v>73</v>
      </c>
      <c r="BS18" t="s">
        <v>73</v>
      </c>
      <c r="BT18" t="s">
        <v>73</v>
      </c>
      <c r="BU18">
        <v>0</v>
      </c>
      <c r="BV18">
        <v>1</v>
      </c>
      <c r="BW18">
        <v>0</v>
      </c>
      <c r="BX18" s="30">
        <f>((AZ18^2)/(AZ18^2+BI18))^(1/2)</f>
        <v>4.2638399008658186E-2</v>
      </c>
      <c r="BY18" s="30">
        <f>0.5*LN((1+BX18)/(1-BX18))</f>
        <v>4.2664266571193814E-2</v>
      </c>
      <c r="BZ18" s="30">
        <f>((1-(BY18^2)^2)/(BI18-1))</f>
        <v>8.0327471019973139E-5</v>
      </c>
      <c r="CA18" s="30">
        <f>1/(BI18-3)</f>
        <v>8.0340644331967548E-5</v>
      </c>
    </row>
    <row r="19" spans="1:82" ht="15.75" customHeight="1">
      <c r="A19" t="s">
        <v>68</v>
      </c>
      <c r="C19">
        <v>1091</v>
      </c>
      <c r="D19">
        <v>117</v>
      </c>
      <c r="E19" t="s">
        <v>330</v>
      </c>
      <c r="F19">
        <v>2014</v>
      </c>
      <c r="G19" t="s">
        <v>331</v>
      </c>
      <c r="H19" t="s">
        <v>332</v>
      </c>
      <c r="I19">
        <v>2</v>
      </c>
      <c r="J19">
        <v>2009</v>
      </c>
      <c r="K19" t="s">
        <v>73</v>
      </c>
      <c r="L19">
        <v>40</v>
      </c>
      <c r="M19" t="s">
        <v>120</v>
      </c>
      <c r="N19" t="s">
        <v>318</v>
      </c>
      <c r="O19" t="s">
        <v>81</v>
      </c>
      <c r="P19" t="s">
        <v>219</v>
      </c>
      <c r="Q19" t="s">
        <v>236</v>
      </c>
      <c r="R19" t="s">
        <v>253</v>
      </c>
      <c r="S19">
        <v>0</v>
      </c>
      <c r="T19" t="s">
        <v>189</v>
      </c>
      <c r="U19">
        <v>0</v>
      </c>
      <c r="V19" t="s">
        <v>222</v>
      </c>
      <c r="W19" t="s">
        <v>222</v>
      </c>
      <c r="X19" t="s">
        <v>73</v>
      </c>
      <c r="Y19">
        <v>0</v>
      </c>
      <c r="Z19">
        <v>0</v>
      </c>
      <c r="AA19">
        <v>0</v>
      </c>
      <c r="AB19">
        <v>1</v>
      </c>
      <c r="AC19">
        <v>0</v>
      </c>
      <c r="AD19">
        <v>0</v>
      </c>
      <c r="AE19">
        <v>0</v>
      </c>
      <c r="AF19">
        <v>0</v>
      </c>
      <c r="AG19" t="s">
        <v>73</v>
      </c>
      <c r="AH19">
        <v>0</v>
      </c>
      <c r="AI19">
        <v>0</v>
      </c>
      <c r="AJ19">
        <v>0</v>
      </c>
      <c r="AK19">
        <v>1</v>
      </c>
      <c r="AL19">
        <v>0</v>
      </c>
      <c r="AM19">
        <v>0</v>
      </c>
      <c r="AN19">
        <v>0</v>
      </c>
      <c r="AO19">
        <v>0</v>
      </c>
      <c r="AP19">
        <v>0</v>
      </c>
      <c r="AQ19" t="s">
        <v>73</v>
      </c>
      <c r="AR19" t="s">
        <v>239</v>
      </c>
      <c r="AS19" t="s">
        <v>333</v>
      </c>
      <c r="AT19" t="s">
        <v>255</v>
      </c>
      <c r="AU19" s="21">
        <v>1.2E-2</v>
      </c>
      <c r="AV19" s="7" t="s">
        <v>80</v>
      </c>
      <c r="AW19" s="25">
        <v>6.0000000000000001E-3</v>
      </c>
      <c r="AX19" s="41" t="s">
        <v>73</v>
      </c>
      <c r="AY19" s="41">
        <v>3</v>
      </c>
      <c r="AZ19">
        <f>AU19/AW19</f>
        <v>2</v>
      </c>
      <c r="BA19" t="s">
        <v>73</v>
      </c>
      <c r="BC19" t="s">
        <v>73</v>
      </c>
      <c r="BD19" t="s">
        <v>73</v>
      </c>
      <c r="BE19" t="s">
        <v>73</v>
      </c>
      <c r="BF19" t="s">
        <v>73</v>
      </c>
      <c r="BG19" t="s">
        <v>73</v>
      </c>
      <c r="BH19" t="s">
        <v>73</v>
      </c>
      <c r="BI19">
        <v>12450</v>
      </c>
      <c r="BJ19">
        <v>12450</v>
      </c>
      <c r="BK19" t="s">
        <v>73</v>
      </c>
      <c r="BL19" t="s">
        <v>73</v>
      </c>
      <c r="BM19">
        <v>128</v>
      </c>
      <c r="BN19">
        <v>0.1</v>
      </c>
      <c r="BO19" t="s">
        <v>230</v>
      </c>
      <c r="BP19" t="s">
        <v>73</v>
      </c>
      <c r="BQ19" t="s">
        <v>73</v>
      </c>
      <c r="BR19" t="s">
        <v>73</v>
      </c>
      <c r="BS19" t="s">
        <v>73</v>
      </c>
      <c r="BT19" t="s">
        <v>73</v>
      </c>
      <c r="BU19">
        <v>0</v>
      </c>
      <c r="BV19">
        <v>1</v>
      </c>
      <c r="BW19">
        <v>0</v>
      </c>
      <c r="BX19" s="30">
        <f>((AZ19^2)/(AZ19^2+BI19))^(1/2)</f>
        <v>1.7921549865299986E-2</v>
      </c>
      <c r="BY19" s="30">
        <f>0.5*LN((1+BX19)/(1-BX19))</f>
        <v>1.7923468927909639E-2</v>
      </c>
      <c r="BZ19" s="30">
        <f>((1-(BY19^2)^2)/(BI19-1))</f>
        <v>8.0327728877657888E-5</v>
      </c>
      <c r="CA19" s="30">
        <f>1/(BI19-3)</f>
        <v>8.0340644331967548E-5</v>
      </c>
    </row>
    <row r="20" spans="1:82" s="105" customFormat="1" ht="16">
      <c r="A20" t="s">
        <v>68</v>
      </c>
      <c r="B20"/>
      <c r="C20">
        <v>1092</v>
      </c>
      <c r="D20">
        <v>117</v>
      </c>
      <c r="E20" t="s">
        <v>330</v>
      </c>
      <c r="F20">
        <v>2014</v>
      </c>
      <c r="G20" t="s">
        <v>331</v>
      </c>
      <c r="H20" t="s">
        <v>332</v>
      </c>
      <c r="I20">
        <v>2</v>
      </c>
      <c r="J20">
        <v>2009</v>
      </c>
      <c r="K20" t="s">
        <v>73</v>
      </c>
      <c r="L20">
        <v>40</v>
      </c>
      <c r="M20" t="s">
        <v>120</v>
      </c>
      <c r="N20" t="s">
        <v>318</v>
      </c>
      <c r="O20" t="s">
        <v>81</v>
      </c>
      <c r="P20" t="s">
        <v>219</v>
      </c>
      <c r="Q20" t="s">
        <v>236</v>
      </c>
      <c r="R20" t="s">
        <v>253</v>
      </c>
      <c r="S20">
        <v>0</v>
      </c>
      <c r="T20" t="s">
        <v>189</v>
      </c>
      <c r="U20">
        <v>0</v>
      </c>
      <c r="V20" t="s">
        <v>222</v>
      </c>
      <c r="W20" t="s">
        <v>222</v>
      </c>
      <c r="X20" t="s">
        <v>73</v>
      </c>
      <c r="Y20">
        <v>0</v>
      </c>
      <c r="Z20">
        <v>0</v>
      </c>
      <c r="AA20">
        <v>0</v>
      </c>
      <c r="AB20">
        <v>1</v>
      </c>
      <c r="AC20">
        <v>0</v>
      </c>
      <c r="AD20">
        <v>0</v>
      </c>
      <c r="AE20">
        <v>0</v>
      </c>
      <c r="AF20">
        <v>0</v>
      </c>
      <c r="AG20" t="s">
        <v>73</v>
      </c>
      <c r="AH20">
        <v>0</v>
      </c>
      <c r="AI20">
        <v>0</v>
      </c>
      <c r="AJ20">
        <v>0</v>
      </c>
      <c r="AK20">
        <v>1</v>
      </c>
      <c r="AL20">
        <v>0</v>
      </c>
      <c r="AM20">
        <v>0</v>
      </c>
      <c r="AN20">
        <v>0</v>
      </c>
      <c r="AO20">
        <v>0</v>
      </c>
      <c r="AP20">
        <v>0</v>
      </c>
      <c r="AQ20" t="s">
        <v>73</v>
      </c>
      <c r="AR20" t="s">
        <v>239</v>
      </c>
      <c r="AS20" t="s">
        <v>333</v>
      </c>
      <c r="AT20" t="s">
        <v>255</v>
      </c>
      <c r="AU20" s="25">
        <v>8.5000000000000006E-3</v>
      </c>
      <c r="AV20" s="7" t="s">
        <v>86</v>
      </c>
      <c r="AW20" s="25">
        <v>5.0000000000000001E-3</v>
      </c>
      <c r="AX20" s="41" t="s">
        <v>73</v>
      </c>
      <c r="AY20" s="41">
        <v>3</v>
      </c>
      <c r="AZ20">
        <f>AU20/AW20</f>
        <v>1.7000000000000002</v>
      </c>
      <c r="BA20" t="s">
        <v>73</v>
      </c>
      <c r="BB20"/>
      <c r="BC20" t="s">
        <v>73</v>
      </c>
      <c r="BD20" t="s">
        <v>73</v>
      </c>
      <c r="BE20" t="s">
        <v>73</v>
      </c>
      <c r="BF20" t="s">
        <v>73</v>
      </c>
      <c r="BG20" t="s">
        <v>73</v>
      </c>
      <c r="BH20" t="s">
        <v>73</v>
      </c>
      <c r="BI20">
        <v>12450</v>
      </c>
      <c r="BJ20">
        <v>12450</v>
      </c>
      <c r="BK20" t="s">
        <v>73</v>
      </c>
      <c r="BL20" t="s">
        <v>73</v>
      </c>
      <c r="BM20">
        <v>128</v>
      </c>
      <c r="BN20">
        <v>0.1</v>
      </c>
      <c r="BO20" t="s">
        <v>230</v>
      </c>
      <c r="BP20" t="s">
        <v>73</v>
      </c>
      <c r="BQ20" t="s">
        <v>73</v>
      </c>
      <c r="BR20" t="s">
        <v>73</v>
      </c>
      <c r="BS20" t="s">
        <v>73</v>
      </c>
      <c r="BT20" t="s">
        <v>73</v>
      </c>
      <c r="BU20">
        <v>0</v>
      </c>
      <c r="BV20">
        <v>1</v>
      </c>
      <c r="BW20">
        <v>0</v>
      </c>
      <c r="BX20" s="30">
        <f>((AZ20^2)/(AZ20^2+BI20))^(1/2)</f>
        <v>1.5233996288374733E-2</v>
      </c>
      <c r="BY20" s="30">
        <f>0.5*LN((1+BX20)/(1-BX20))</f>
        <v>1.5235174927247961E-2</v>
      </c>
      <c r="BZ20" s="30">
        <f>((1-(BY20^2)^2)/(BI20-1))</f>
        <v>8.0327732839962263E-5</v>
      </c>
      <c r="CA20" s="30">
        <f>1/(BI20-3)</f>
        <v>8.0340644331967548E-5</v>
      </c>
      <c r="CB20"/>
      <c r="CC20"/>
      <c r="CD20"/>
    </row>
    <row r="21" spans="1:82" s="105" customFormat="1" ht="16">
      <c r="A21" t="s">
        <v>68</v>
      </c>
      <c r="B21"/>
      <c r="C21">
        <v>1093</v>
      </c>
      <c r="D21">
        <v>117</v>
      </c>
      <c r="E21" t="s">
        <v>330</v>
      </c>
      <c r="F21">
        <v>2014</v>
      </c>
      <c r="G21" t="s">
        <v>331</v>
      </c>
      <c r="H21" t="s">
        <v>332</v>
      </c>
      <c r="I21">
        <v>2</v>
      </c>
      <c r="J21">
        <v>2009</v>
      </c>
      <c r="K21" t="s">
        <v>73</v>
      </c>
      <c r="L21">
        <v>40</v>
      </c>
      <c r="M21" t="s">
        <v>120</v>
      </c>
      <c r="N21" t="s">
        <v>318</v>
      </c>
      <c r="O21" t="s">
        <v>81</v>
      </c>
      <c r="P21" t="s">
        <v>219</v>
      </c>
      <c r="Q21" t="s">
        <v>236</v>
      </c>
      <c r="R21" t="s">
        <v>253</v>
      </c>
      <c r="S21">
        <v>0</v>
      </c>
      <c r="T21" t="s">
        <v>189</v>
      </c>
      <c r="U21">
        <v>0</v>
      </c>
      <c r="V21" t="s">
        <v>222</v>
      </c>
      <c r="W21" t="s">
        <v>222</v>
      </c>
      <c r="X21" t="s">
        <v>73</v>
      </c>
      <c r="Y21">
        <v>0</v>
      </c>
      <c r="Z21">
        <v>0</v>
      </c>
      <c r="AA21">
        <v>0</v>
      </c>
      <c r="AB21">
        <v>1</v>
      </c>
      <c r="AC21">
        <v>0</v>
      </c>
      <c r="AD21">
        <v>0</v>
      </c>
      <c r="AE21">
        <v>0</v>
      </c>
      <c r="AF21">
        <v>0</v>
      </c>
      <c r="AG21" t="s">
        <v>73</v>
      </c>
      <c r="AH21">
        <v>1</v>
      </c>
      <c r="AI21">
        <v>0</v>
      </c>
      <c r="AJ21">
        <v>0</v>
      </c>
      <c r="AK21">
        <v>0</v>
      </c>
      <c r="AL21">
        <v>0</v>
      </c>
      <c r="AM21">
        <v>0</v>
      </c>
      <c r="AN21">
        <v>0</v>
      </c>
      <c r="AO21">
        <v>0</v>
      </c>
      <c r="AP21">
        <v>0</v>
      </c>
      <c r="AQ21" t="s">
        <v>73</v>
      </c>
      <c r="AR21" t="s">
        <v>239</v>
      </c>
      <c r="AS21" t="s">
        <v>333</v>
      </c>
      <c r="AT21" t="s">
        <v>255</v>
      </c>
      <c r="AU21" s="21">
        <v>6.7000000000000004E-2</v>
      </c>
      <c r="AV21" s="7" t="s">
        <v>80</v>
      </c>
      <c r="AW21">
        <v>1.6E-2</v>
      </c>
      <c r="AX21" s="41" t="s">
        <v>73</v>
      </c>
      <c r="AY21" s="41">
        <v>3</v>
      </c>
      <c r="AZ21">
        <f>AU20/AW21</f>
        <v>0.53125</v>
      </c>
      <c r="BA21" t="s">
        <v>73</v>
      </c>
      <c r="BB21"/>
      <c r="BC21" t="s">
        <v>73</v>
      </c>
      <c r="BD21" t="s">
        <v>73</v>
      </c>
      <c r="BE21" t="s">
        <v>73</v>
      </c>
      <c r="BF21" t="s">
        <v>73</v>
      </c>
      <c r="BG21" t="s">
        <v>73</v>
      </c>
      <c r="BH21" t="s">
        <v>73</v>
      </c>
      <c r="BI21">
        <v>12100</v>
      </c>
      <c r="BJ21">
        <v>12100</v>
      </c>
      <c r="BK21" t="s">
        <v>73</v>
      </c>
      <c r="BL21" t="s">
        <v>73</v>
      </c>
      <c r="BM21">
        <v>128</v>
      </c>
      <c r="BN21">
        <v>0.1</v>
      </c>
      <c r="BO21" t="s">
        <v>230</v>
      </c>
      <c r="BP21" t="s">
        <v>73</v>
      </c>
      <c r="BQ21" t="s">
        <v>73</v>
      </c>
      <c r="BR21" t="s">
        <v>73</v>
      </c>
      <c r="BS21" t="s">
        <v>73</v>
      </c>
      <c r="BT21" t="s">
        <v>73</v>
      </c>
      <c r="BU21">
        <v>0</v>
      </c>
      <c r="BV21">
        <v>1</v>
      </c>
      <c r="BW21">
        <v>0</v>
      </c>
      <c r="BX21" s="30">
        <f>((AZ21^2)/(AZ21^2+BI21))^(1/2)</f>
        <v>4.8294891321417933E-3</v>
      </c>
      <c r="BY21" s="30">
        <f>0.5*LN((1+BX21)/(1-BX21))</f>
        <v>4.8295266802795347E-3</v>
      </c>
      <c r="BZ21" s="30">
        <f>((1-(BY21^2)^2)/(BI21-1))</f>
        <v>8.2651458753283386E-5</v>
      </c>
      <c r="CA21" s="30">
        <f>1/(BI21-3)</f>
        <v>8.2665123584359755E-5</v>
      </c>
      <c r="CB21"/>
      <c r="CC21"/>
      <c r="CD21"/>
    </row>
    <row r="22" spans="1:82" s="103" customFormat="1" ht="17" customHeight="1">
      <c r="A22" t="s">
        <v>68</v>
      </c>
      <c r="B22"/>
      <c r="C22">
        <v>1094</v>
      </c>
      <c r="D22">
        <v>117</v>
      </c>
      <c r="E22" t="s">
        <v>330</v>
      </c>
      <c r="F22">
        <v>2014</v>
      </c>
      <c r="G22" t="s">
        <v>331</v>
      </c>
      <c r="H22" t="s">
        <v>332</v>
      </c>
      <c r="I22">
        <v>2</v>
      </c>
      <c r="J22">
        <v>2009</v>
      </c>
      <c r="K22" t="s">
        <v>73</v>
      </c>
      <c r="L22">
        <v>40</v>
      </c>
      <c r="M22" t="s">
        <v>120</v>
      </c>
      <c r="N22" t="s">
        <v>318</v>
      </c>
      <c r="O22" t="s">
        <v>81</v>
      </c>
      <c r="P22" t="s">
        <v>219</v>
      </c>
      <c r="Q22" t="s">
        <v>236</v>
      </c>
      <c r="R22" t="s">
        <v>253</v>
      </c>
      <c r="S22">
        <v>0</v>
      </c>
      <c r="T22" t="s">
        <v>189</v>
      </c>
      <c r="U22">
        <v>0</v>
      </c>
      <c r="V22" t="s">
        <v>222</v>
      </c>
      <c r="W22" t="s">
        <v>222</v>
      </c>
      <c r="X22" t="s">
        <v>73</v>
      </c>
      <c r="Y22">
        <v>0</v>
      </c>
      <c r="Z22">
        <v>0</v>
      </c>
      <c r="AA22">
        <v>0</v>
      </c>
      <c r="AB22">
        <v>1</v>
      </c>
      <c r="AC22">
        <v>0</v>
      </c>
      <c r="AD22">
        <v>0</v>
      </c>
      <c r="AE22">
        <v>0</v>
      </c>
      <c r="AF22">
        <v>0</v>
      </c>
      <c r="AG22" t="s">
        <v>73</v>
      </c>
      <c r="AH22">
        <v>1</v>
      </c>
      <c r="AI22">
        <v>0</v>
      </c>
      <c r="AJ22">
        <v>0</v>
      </c>
      <c r="AK22">
        <v>0</v>
      </c>
      <c r="AL22">
        <v>0</v>
      </c>
      <c r="AM22">
        <v>0</v>
      </c>
      <c r="AN22">
        <v>0</v>
      </c>
      <c r="AO22">
        <v>0</v>
      </c>
      <c r="AP22">
        <v>0</v>
      </c>
      <c r="AQ22" t="s">
        <v>73</v>
      </c>
      <c r="AR22" t="s">
        <v>239</v>
      </c>
      <c r="AS22" t="s">
        <v>333</v>
      </c>
      <c r="AT22" t="s">
        <v>255</v>
      </c>
      <c r="AU22" s="21">
        <v>9.7000000000000003E-3</v>
      </c>
      <c r="AV22" s="7" t="s">
        <v>80</v>
      </c>
      <c r="AW22">
        <v>3.0000000000000001E-3</v>
      </c>
      <c r="AX22" s="41" t="s">
        <v>73</v>
      </c>
      <c r="AY22" s="41">
        <v>3</v>
      </c>
      <c r="AZ22">
        <f>AW20/AW22</f>
        <v>1.6666666666666667</v>
      </c>
      <c r="BA22" t="s">
        <v>73</v>
      </c>
      <c r="BB22"/>
      <c r="BC22" t="s">
        <v>73</v>
      </c>
      <c r="BD22" t="s">
        <v>73</v>
      </c>
      <c r="BE22" t="s">
        <v>73</v>
      </c>
      <c r="BF22" t="s">
        <v>73</v>
      </c>
      <c r="BG22" t="s">
        <v>73</v>
      </c>
      <c r="BH22" t="s">
        <v>73</v>
      </c>
      <c r="BI22">
        <v>12100</v>
      </c>
      <c r="BJ22">
        <v>12100</v>
      </c>
      <c r="BK22" t="s">
        <v>73</v>
      </c>
      <c r="BL22" t="s">
        <v>73</v>
      </c>
      <c r="BM22">
        <v>128</v>
      </c>
      <c r="BN22">
        <v>0.1</v>
      </c>
      <c r="BO22" t="s">
        <v>230</v>
      </c>
      <c r="BP22" t="s">
        <v>73</v>
      </c>
      <c r="BQ22" t="s">
        <v>73</v>
      </c>
      <c r="BR22" t="s">
        <v>73</v>
      </c>
      <c r="BS22" t="s">
        <v>73</v>
      </c>
      <c r="BT22" t="s">
        <v>73</v>
      </c>
      <c r="BU22">
        <v>0</v>
      </c>
      <c r="BV22">
        <v>1</v>
      </c>
      <c r="BW22">
        <v>0</v>
      </c>
      <c r="BX22" s="30">
        <f>((AZ22^2)/(AZ22^2+BI22))^(1/2)</f>
        <v>1.5149776296267388E-2</v>
      </c>
      <c r="BY22" s="30">
        <f>0.5*LN((1+BX22)/(1-BX22))</f>
        <v>1.5150935493184629E-2</v>
      </c>
      <c r="BZ22" s="30">
        <f>((1-(BY22^2)^2)/(BI22-1))</f>
        <v>8.2651454443045618E-5</v>
      </c>
      <c r="CA22" s="30">
        <f>1/(BI22-3)</f>
        <v>8.2665123584359755E-5</v>
      </c>
      <c r="CB22"/>
      <c r="CC22"/>
      <c r="CD22"/>
    </row>
    <row r="23" spans="1:82" ht="16">
      <c r="A23" t="s">
        <v>68</v>
      </c>
      <c r="C23">
        <v>1095</v>
      </c>
      <c r="D23">
        <v>117</v>
      </c>
      <c r="E23" t="s">
        <v>330</v>
      </c>
      <c r="F23">
        <v>2014</v>
      </c>
      <c r="G23" t="s">
        <v>331</v>
      </c>
      <c r="H23" t="s">
        <v>332</v>
      </c>
      <c r="I23">
        <v>2</v>
      </c>
      <c r="J23">
        <v>2009</v>
      </c>
      <c r="K23" t="s">
        <v>73</v>
      </c>
      <c r="L23">
        <v>40</v>
      </c>
      <c r="M23" t="s">
        <v>120</v>
      </c>
      <c r="N23" t="s">
        <v>318</v>
      </c>
      <c r="O23" t="s">
        <v>81</v>
      </c>
      <c r="P23" t="s">
        <v>219</v>
      </c>
      <c r="Q23" t="s">
        <v>236</v>
      </c>
      <c r="R23" t="s">
        <v>253</v>
      </c>
      <c r="S23">
        <v>0</v>
      </c>
      <c r="T23" t="s">
        <v>189</v>
      </c>
      <c r="U23">
        <v>0</v>
      </c>
      <c r="V23" t="s">
        <v>222</v>
      </c>
      <c r="W23" t="s">
        <v>222</v>
      </c>
      <c r="X23" t="s">
        <v>73</v>
      </c>
      <c r="Y23">
        <v>0</v>
      </c>
      <c r="Z23">
        <v>0</v>
      </c>
      <c r="AA23">
        <v>0</v>
      </c>
      <c r="AB23">
        <v>1</v>
      </c>
      <c r="AC23">
        <v>0</v>
      </c>
      <c r="AD23">
        <v>0</v>
      </c>
      <c r="AE23">
        <v>0</v>
      </c>
      <c r="AF23">
        <v>0</v>
      </c>
      <c r="AG23" t="s">
        <v>73</v>
      </c>
      <c r="AH23">
        <v>1</v>
      </c>
      <c r="AI23">
        <v>0</v>
      </c>
      <c r="AJ23">
        <v>0</v>
      </c>
      <c r="AK23">
        <v>0</v>
      </c>
      <c r="AL23">
        <v>0</v>
      </c>
      <c r="AM23">
        <v>0</v>
      </c>
      <c r="AN23">
        <v>0</v>
      </c>
      <c r="AO23">
        <v>0</v>
      </c>
      <c r="AP23">
        <v>0</v>
      </c>
      <c r="AQ23" t="s">
        <v>73</v>
      </c>
      <c r="AR23" t="s">
        <v>239</v>
      </c>
      <c r="AS23" t="s">
        <v>333</v>
      </c>
      <c r="AT23" t="s">
        <v>255</v>
      </c>
      <c r="AU23" s="25">
        <v>7.0000000000000001E-3</v>
      </c>
      <c r="AV23" s="7" t="s">
        <v>86</v>
      </c>
      <c r="AW23">
        <v>4.0000000000000001E-3</v>
      </c>
      <c r="AX23" s="41" t="s">
        <v>73</v>
      </c>
      <c r="AY23" s="41">
        <v>3</v>
      </c>
      <c r="AZ23">
        <f>AU23/AW23</f>
        <v>1.75</v>
      </c>
      <c r="BA23" t="s">
        <v>73</v>
      </c>
      <c r="BC23" t="s">
        <v>73</v>
      </c>
      <c r="BD23" t="s">
        <v>73</v>
      </c>
      <c r="BE23" t="s">
        <v>73</v>
      </c>
      <c r="BF23" t="s">
        <v>73</v>
      </c>
      <c r="BG23" t="s">
        <v>73</v>
      </c>
      <c r="BH23" t="s">
        <v>73</v>
      </c>
      <c r="BI23">
        <v>12100</v>
      </c>
      <c r="BJ23">
        <v>12100</v>
      </c>
      <c r="BK23" t="s">
        <v>73</v>
      </c>
      <c r="BL23" t="s">
        <v>73</v>
      </c>
      <c r="BM23">
        <v>128</v>
      </c>
      <c r="BN23">
        <v>0.1</v>
      </c>
      <c r="BO23" t="s">
        <v>230</v>
      </c>
      <c r="BP23" t="s">
        <v>73</v>
      </c>
      <c r="BQ23" t="s">
        <v>73</v>
      </c>
      <c r="BR23" t="s">
        <v>73</v>
      </c>
      <c r="BS23" t="s">
        <v>73</v>
      </c>
      <c r="BT23" t="s">
        <v>73</v>
      </c>
      <c r="BU23">
        <v>0</v>
      </c>
      <c r="BV23">
        <v>1</v>
      </c>
      <c r="BW23">
        <v>0</v>
      </c>
      <c r="BX23" s="30">
        <f>((AZ23^2)/(AZ23^2+BI23))^(1/2)</f>
        <v>1.5907078002301091E-2</v>
      </c>
      <c r="BY23" s="30">
        <f>0.5*LN((1+BX23)/(1-BX23))</f>
        <v>1.5908419889220204E-2</v>
      </c>
      <c r="BZ23" s="30">
        <f>((1-(BY23^2)^2)/(BI23-1))</f>
        <v>8.2651453504555366E-5</v>
      </c>
      <c r="CA23" s="30">
        <f>1/(BI23-3)</f>
        <v>8.2665123584359755E-5</v>
      </c>
    </row>
    <row r="24" spans="1:82" ht="16">
      <c r="A24" t="s">
        <v>68</v>
      </c>
      <c r="C24">
        <v>1096</v>
      </c>
      <c r="D24">
        <v>117</v>
      </c>
      <c r="E24" t="s">
        <v>330</v>
      </c>
      <c r="F24">
        <v>2014</v>
      </c>
      <c r="G24" t="s">
        <v>331</v>
      </c>
      <c r="H24" t="s">
        <v>332</v>
      </c>
      <c r="I24">
        <v>2</v>
      </c>
      <c r="J24">
        <v>2009</v>
      </c>
      <c r="K24" t="s">
        <v>73</v>
      </c>
      <c r="L24">
        <v>40</v>
      </c>
      <c r="M24" t="s">
        <v>120</v>
      </c>
      <c r="N24" t="s">
        <v>318</v>
      </c>
      <c r="O24" t="s">
        <v>81</v>
      </c>
      <c r="P24" t="s">
        <v>219</v>
      </c>
      <c r="Q24" t="s">
        <v>236</v>
      </c>
      <c r="R24" t="s">
        <v>253</v>
      </c>
      <c r="S24">
        <v>0</v>
      </c>
      <c r="T24" t="s">
        <v>189</v>
      </c>
      <c r="U24">
        <v>0</v>
      </c>
      <c r="V24" t="s">
        <v>222</v>
      </c>
      <c r="W24" t="s">
        <v>222</v>
      </c>
      <c r="X24" t="s">
        <v>73</v>
      </c>
      <c r="Y24">
        <v>0</v>
      </c>
      <c r="Z24">
        <v>0</v>
      </c>
      <c r="AA24">
        <v>0</v>
      </c>
      <c r="AB24">
        <v>1</v>
      </c>
      <c r="AC24">
        <v>0</v>
      </c>
      <c r="AD24">
        <v>0</v>
      </c>
      <c r="AE24">
        <v>0</v>
      </c>
      <c r="AF24">
        <v>0</v>
      </c>
      <c r="AG24" t="s">
        <v>73</v>
      </c>
      <c r="AH24">
        <v>0</v>
      </c>
      <c r="AI24">
        <v>0</v>
      </c>
      <c r="AJ24">
        <v>1</v>
      </c>
      <c r="AK24">
        <v>0</v>
      </c>
      <c r="AL24">
        <v>0</v>
      </c>
      <c r="AM24">
        <v>0</v>
      </c>
      <c r="AN24">
        <v>0</v>
      </c>
      <c r="AO24">
        <v>0</v>
      </c>
      <c r="AP24">
        <v>0</v>
      </c>
      <c r="AQ24" t="s">
        <v>73</v>
      </c>
      <c r="AR24" t="s">
        <v>239</v>
      </c>
      <c r="AS24" t="s">
        <v>333</v>
      </c>
      <c r="AT24" t="s">
        <v>255</v>
      </c>
      <c r="AU24" s="25">
        <v>9.6000000000000002E-2</v>
      </c>
      <c r="AV24" s="7" t="s">
        <v>80</v>
      </c>
      <c r="AW24">
        <v>1.7999999999999999E-2</v>
      </c>
      <c r="AX24" s="41" t="s">
        <v>73</v>
      </c>
      <c r="AY24" s="41">
        <v>3</v>
      </c>
      <c r="AZ24">
        <f>AU24/AW24</f>
        <v>5.3333333333333339</v>
      </c>
      <c r="BA24" t="s">
        <v>73</v>
      </c>
      <c r="BC24" t="s">
        <v>73</v>
      </c>
      <c r="BD24" t="s">
        <v>73</v>
      </c>
      <c r="BE24" t="s">
        <v>73</v>
      </c>
      <c r="BF24" t="s">
        <v>73</v>
      </c>
      <c r="BG24" t="s">
        <v>73</v>
      </c>
      <c r="BH24" t="s">
        <v>73</v>
      </c>
      <c r="BI24">
        <v>12600</v>
      </c>
      <c r="BJ24">
        <v>12600</v>
      </c>
      <c r="BK24" t="s">
        <v>73</v>
      </c>
      <c r="BL24" t="s">
        <v>73</v>
      </c>
      <c r="BM24">
        <v>128</v>
      </c>
      <c r="BN24">
        <v>0.1</v>
      </c>
      <c r="BO24" t="s">
        <v>230</v>
      </c>
      <c r="BP24" t="s">
        <v>73</v>
      </c>
      <c r="BQ24" t="s">
        <v>73</v>
      </c>
      <c r="BR24" t="s">
        <v>73</v>
      </c>
      <c r="BS24" t="s">
        <v>73</v>
      </c>
      <c r="BT24" t="s">
        <v>73</v>
      </c>
      <c r="BU24">
        <v>0</v>
      </c>
      <c r="BV24">
        <v>1</v>
      </c>
      <c r="BW24">
        <v>0</v>
      </c>
      <c r="BX24" s="30">
        <f>((AZ24^2)/(AZ24^2+BI24))^(1/2)</f>
        <v>4.7459569987691901E-2</v>
      </c>
      <c r="BY24" s="30">
        <f>0.5*LN((1+BX24)/(1-BX24))</f>
        <v>4.7495251036885983E-2</v>
      </c>
      <c r="BZ24" s="30">
        <f>((1-(BY24^2)^2)/(BI24-1))</f>
        <v>7.9370974789384351E-5</v>
      </c>
      <c r="CA24" s="30">
        <f>1/(BI24-3)</f>
        <v>7.9383980312772889E-5</v>
      </c>
    </row>
    <row r="25" spans="1:82" ht="16">
      <c r="A25" t="s">
        <v>68</v>
      </c>
      <c r="C25">
        <v>1097</v>
      </c>
      <c r="D25">
        <v>117</v>
      </c>
      <c r="E25" t="s">
        <v>330</v>
      </c>
      <c r="F25">
        <v>2014</v>
      </c>
      <c r="G25" t="s">
        <v>331</v>
      </c>
      <c r="H25" t="s">
        <v>332</v>
      </c>
      <c r="I25">
        <v>2</v>
      </c>
      <c r="J25">
        <v>2009</v>
      </c>
      <c r="K25" t="s">
        <v>73</v>
      </c>
      <c r="L25">
        <v>40</v>
      </c>
      <c r="M25" t="s">
        <v>120</v>
      </c>
      <c r="N25" t="s">
        <v>318</v>
      </c>
      <c r="O25" t="s">
        <v>81</v>
      </c>
      <c r="P25" t="s">
        <v>219</v>
      </c>
      <c r="Q25" t="s">
        <v>236</v>
      </c>
      <c r="R25" t="s">
        <v>253</v>
      </c>
      <c r="S25">
        <v>0</v>
      </c>
      <c r="T25" t="s">
        <v>189</v>
      </c>
      <c r="U25">
        <v>0</v>
      </c>
      <c r="V25" t="s">
        <v>222</v>
      </c>
      <c r="W25" t="s">
        <v>222</v>
      </c>
      <c r="X25" t="s">
        <v>73</v>
      </c>
      <c r="Y25">
        <v>0</v>
      </c>
      <c r="Z25">
        <v>0</v>
      </c>
      <c r="AA25">
        <v>0</v>
      </c>
      <c r="AB25">
        <v>1</v>
      </c>
      <c r="AC25">
        <v>0</v>
      </c>
      <c r="AD25">
        <v>0</v>
      </c>
      <c r="AE25">
        <v>0</v>
      </c>
      <c r="AF25">
        <v>0</v>
      </c>
      <c r="AG25" t="s">
        <v>73</v>
      </c>
      <c r="AH25">
        <v>0</v>
      </c>
      <c r="AI25">
        <v>0</v>
      </c>
      <c r="AJ25">
        <v>1</v>
      </c>
      <c r="AK25">
        <v>0</v>
      </c>
      <c r="AL25">
        <v>0</v>
      </c>
      <c r="AM25">
        <v>0</v>
      </c>
      <c r="AN25">
        <v>0</v>
      </c>
      <c r="AO25">
        <v>0</v>
      </c>
      <c r="AP25">
        <v>0</v>
      </c>
      <c r="AQ25" t="s">
        <v>73</v>
      </c>
      <c r="AR25" t="s">
        <v>239</v>
      </c>
      <c r="AS25" t="s">
        <v>333</v>
      </c>
      <c r="AT25" t="s">
        <v>255</v>
      </c>
      <c r="AU25" s="25">
        <v>2.1000000000000001E-2</v>
      </c>
      <c r="AV25" s="7" t="s">
        <v>86</v>
      </c>
      <c r="AW25">
        <v>7.0000000000000001E-3</v>
      </c>
      <c r="AX25" s="41" t="s">
        <v>73</v>
      </c>
      <c r="AY25" s="41">
        <v>3</v>
      </c>
      <c r="AZ25">
        <f>AU25/AW25</f>
        <v>3</v>
      </c>
      <c r="BA25" t="s">
        <v>73</v>
      </c>
      <c r="BC25" t="s">
        <v>73</v>
      </c>
      <c r="BD25" t="s">
        <v>73</v>
      </c>
      <c r="BE25" t="s">
        <v>73</v>
      </c>
      <c r="BF25" t="s">
        <v>73</v>
      </c>
      <c r="BG25" t="s">
        <v>73</v>
      </c>
      <c r="BH25" t="s">
        <v>73</v>
      </c>
      <c r="BI25">
        <v>12600</v>
      </c>
      <c r="BJ25">
        <v>12600</v>
      </c>
      <c r="BK25" t="s">
        <v>73</v>
      </c>
      <c r="BL25" t="s">
        <v>73</v>
      </c>
      <c r="BM25">
        <v>128</v>
      </c>
      <c r="BN25">
        <v>0.1</v>
      </c>
      <c r="BO25" t="s">
        <v>230</v>
      </c>
      <c r="BP25" t="s">
        <v>73</v>
      </c>
      <c r="BQ25" t="s">
        <v>73</v>
      </c>
      <c r="BR25" t="s">
        <v>73</v>
      </c>
      <c r="BS25" t="s">
        <v>73</v>
      </c>
      <c r="BT25" t="s">
        <v>73</v>
      </c>
      <c r="BU25">
        <v>0</v>
      </c>
      <c r="BV25">
        <v>1</v>
      </c>
      <c r="BW25">
        <v>0</v>
      </c>
      <c r="BX25" s="30">
        <f>((AZ25^2)/(AZ25^2+BI25))^(1/2)</f>
        <v>2.6716584257263244E-2</v>
      </c>
      <c r="BY25" s="30">
        <f>0.5*LN((1+BX25)/(1-BX25))</f>
        <v>2.672294353203979E-2</v>
      </c>
      <c r="BZ25" s="30">
        <f>((1-(BY25^2)^2)/(BI25-1))</f>
        <v>7.9371338204520307E-5</v>
      </c>
      <c r="CA25" s="30">
        <f>1/(BI25-3)</f>
        <v>7.9383980312772889E-5</v>
      </c>
    </row>
    <row r="26" spans="1:82" ht="16">
      <c r="A26" t="s">
        <v>68</v>
      </c>
      <c r="C26">
        <v>1098</v>
      </c>
      <c r="D26">
        <v>117</v>
      </c>
      <c r="E26" t="s">
        <v>330</v>
      </c>
      <c r="F26">
        <v>2014</v>
      </c>
      <c r="G26" t="s">
        <v>331</v>
      </c>
      <c r="H26" t="s">
        <v>332</v>
      </c>
      <c r="I26">
        <v>2</v>
      </c>
      <c r="J26">
        <v>2009</v>
      </c>
      <c r="K26" t="s">
        <v>73</v>
      </c>
      <c r="L26">
        <v>40</v>
      </c>
      <c r="M26" t="s">
        <v>120</v>
      </c>
      <c r="N26" t="s">
        <v>318</v>
      </c>
      <c r="O26" t="s">
        <v>81</v>
      </c>
      <c r="P26" t="s">
        <v>219</v>
      </c>
      <c r="Q26" t="s">
        <v>236</v>
      </c>
      <c r="R26" t="s">
        <v>253</v>
      </c>
      <c r="S26">
        <v>0</v>
      </c>
      <c r="T26" t="s">
        <v>189</v>
      </c>
      <c r="U26">
        <v>0</v>
      </c>
      <c r="V26" t="s">
        <v>222</v>
      </c>
      <c r="W26" t="s">
        <v>222</v>
      </c>
      <c r="X26" t="s">
        <v>73</v>
      </c>
      <c r="Y26">
        <v>0</v>
      </c>
      <c r="Z26">
        <v>0</v>
      </c>
      <c r="AA26">
        <v>0</v>
      </c>
      <c r="AB26">
        <v>1</v>
      </c>
      <c r="AC26">
        <v>0</v>
      </c>
      <c r="AD26">
        <v>0</v>
      </c>
      <c r="AE26">
        <v>0</v>
      </c>
      <c r="AF26">
        <v>0</v>
      </c>
      <c r="AG26" t="s">
        <v>73</v>
      </c>
      <c r="AH26">
        <v>0</v>
      </c>
      <c r="AI26">
        <v>0</v>
      </c>
      <c r="AJ26">
        <v>1</v>
      </c>
      <c r="AK26">
        <v>0</v>
      </c>
      <c r="AL26">
        <v>0</v>
      </c>
      <c r="AM26">
        <v>0</v>
      </c>
      <c r="AN26">
        <v>0</v>
      </c>
      <c r="AO26">
        <v>0</v>
      </c>
      <c r="AP26">
        <v>0</v>
      </c>
      <c r="AQ26" t="s">
        <v>73</v>
      </c>
      <c r="AR26" t="s">
        <v>239</v>
      </c>
      <c r="AS26" t="s">
        <v>333</v>
      </c>
      <c r="AT26" t="s">
        <v>255</v>
      </c>
      <c r="AU26" s="25">
        <v>2.3999999999999998E-3</v>
      </c>
      <c r="AV26" s="7" t="s">
        <v>86</v>
      </c>
      <c r="AW26">
        <v>5.0000000000000001E-3</v>
      </c>
      <c r="AX26" s="41" t="s">
        <v>73</v>
      </c>
      <c r="AY26" s="41">
        <v>3</v>
      </c>
      <c r="AZ26">
        <f>AU26/AW26</f>
        <v>0.47999999999999993</v>
      </c>
      <c r="BA26" t="s">
        <v>73</v>
      </c>
      <c r="BC26" t="s">
        <v>73</v>
      </c>
      <c r="BD26" t="s">
        <v>73</v>
      </c>
      <c r="BE26" t="s">
        <v>73</v>
      </c>
      <c r="BF26" t="s">
        <v>73</v>
      </c>
      <c r="BG26" t="s">
        <v>73</v>
      </c>
      <c r="BH26" t="s">
        <v>73</v>
      </c>
      <c r="BI26">
        <v>12600</v>
      </c>
      <c r="BJ26">
        <v>12600</v>
      </c>
      <c r="BK26" t="s">
        <v>73</v>
      </c>
      <c r="BL26" t="s">
        <v>73</v>
      </c>
      <c r="BM26">
        <v>128</v>
      </c>
      <c r="BN26">
        <v>0.1</v>
      </c>
      <c r="BO26" t="s">
        <v>230</v>
      </c>
      <c r="BP26" t="s">
        <v>73</v>
      </c>
      <c r="BQ26" t="s">
        <v>73</v>
      </c>
      <c r="BR26" t="s">
        <v>73</v>
      </c>
      <c r="BS26" t="s">
        <v>73</v>
      </c>
      <c r="BT26" t="s">
        <v>73</v>
      </c>
      <c r="BU26">
        <v>0</v>
      </c>
      <c r="BV26">
        <v>1</v>
      </c>
      <c r="BW26">
        <v>0</v>
      </c>
      <c r="BX26" s="30">
        <f>((AZ26^2)/(AZ26^2+BI26))^(1/2)</f>
        <v>4.2761407746332884E-3</v>
      </c>
      <c r="BY26" s="30">
        <f>0.5*LN((1+BX26)/(1-BX26))</f>
        <v>4.2761668385387485E-3</v>
      </c>
      <c r="BZ26" s="30">
        <f>((1-(BY26^2)^2)/(BI26-1))</f>
        <v>7.9371378654308805E-5</v>
      </c>
      <c r="CA26" s="30">
        <f>1/(BI26-3)</f>
        <v>7.9383980312772889E-5</v>
      </c>
    </row>
    <row r="27" spans="1:82" ht="16">
      <c r="A27" t="s">
        <v>68</v>
      </c>
      <c r="C27" s="93">
        <v>1281</v>
      </c>
      <c r="D27">
        <v>147</v>
      </c>
      <c r="E27" t="s">
        <v>330</v>
      </c>
      <c r="F27">
        <v>2017</v>
      </c>
      <c r="G27" t="s">
        <v>166</v>
      </c>
      <c r="H27" s="10" t="s">
        <v>167</v>
      </c>
      <c r="I27">
        <v>1</v>
      </c>
      <c r="J27">
        <v>2009</v>
      </c>
      <c r="K27" t="s">
        <v>73</v>
      </c>
      <c r="L27">
        <v>40</v>
      </c>
      <c r="M27" t="s">
        <v>120</v>
      </c>
      <c r="N27" t="s">
        <v>318</v>
      </c>
      <c r="O27" t="s">
        <v>81</v>
      </c>
      <c r="P27" t="s">
        <v>219</v>
      </c>
      <c r="Q27" t="s">
        <v>236</v>
      </c>
      <c r="R27" t="s">
        <v>253</v>
      </c>
      <c r="S27">
        <v>0</v>
      </c>
      <c r="T27" t="s">
        <v>189</v>
      </c>
      <c r="U27">
        <v>0</v>
      </c>
      <c r="V27" t="s">
        <v>222</v>
      </c>
      <c r="W27" t="s">
        <v>222</v>
      </c>
      <c r="X27" t="s">
        <v>73</v>
      </c>
      <c r="Y27">
        <v>0</v>
      </c>
      <c r="Z27">
        <v>0</v>
      </c>
      <c r="AA27">
        <v>0</v>
      </c>
      <c r="AB27">
        <v>1</v>
      </c>
      <c r="AC27">
        <v>0</v>
      </c>
      <c r="AD27">
        <v>0</v>
      </c>
      <c r="AE27">
        <v>0</v>
      </c>
      <c r="AF27">
        <v>0</v>
      </c>
      <c r="AG27" t="s">
        <v>73</v>
      </c>
      <c r="AH27">
        <v>0</v>
      </c>
      <c r="AI27">
        <v>0</v>
      </c>
      <c r="AJ27">
        <v>0</v>
      </c>
      <c r="AK27">
        <v>1</v>
      </c>
      <c r="AL27">
        <v>0</v>
      </c>
      <c r="AM27">
        <v>0</v>
      </c>
      <c r="AN27">
        <v>0</v>
      </c>
      <c r="AO27">
        <v>0</v>
      </c>
      <c r="AP27" s="10">
        <v>0</v>
      </c>
      <c r="AQ27" t="s">
        <v>73</v>
      </c>
      <c r="AR27" t="s">
        <v>239</v>
      </c>
      <c r="AS27" s="103" t="s">
        <v>254</v>
      </c>
      <c r="AT27" t="s">
        <v>255</v>
      </c>
      <c r="AU27" s="25">
        <v>2.1000000000000001E-2</v>
      </c>
      <c r="AV27" s="7" t="s">
        <v>80</v>
      </c>
      <c r="AW27">
        <v>5.0000000000000001E-3</v>
      </c>
      <c r="AX27" s="41" t="s">
        <v>73</v>
      </c>
      <c r="AY27">
        <v>3</v>
      </c>
      <c r="AZ27">
        <f>AU27/AW27</f>
        <v>4.2</v>
      </c>
      <c r="BA27" s="112">
        <f>AU27</f>
        <v>2.1000000000000001E-2</v>
      </c>
      <c r="BB27" s="112"/>
      <c r="BC27" t="s">
        <v>73</v>
      </c>
      <c r="BD27" t="s">
        <v>73</v>
      </c>
      <c r="BE27" t="s">
        <v>73</v>
      </c>
      <c r="BF27" t="s">
        <v>73</v>
      </c>
      <c r="BG27" t="s">
        <v>73</v>
      </c>
      <c r="BH27" t="s">
        <v>73</v>
      </c>
      <c r="BI27">
        <v>12450</v>
      </c>
      <c r="BJ27">
        <v>12450</v>
      </c>
      <c r="BK27" t="s">
        <v>73</v>
      </c>
      <c r="BL27" t="s">
        <v>73</v>
      </c>
      <c r="BM27">
        <v>100</v>
      </c>
      <c r="BN27" t="s">
        <v>73</v>
      </c>
      <c r="BO27" t="s">
        <v>230</v>
      </c>
      <c r="BP27" t="s">
        <v>73</v>
      </c>
      <c r="BQ27" t="s">
        <v>73</v>
      </c>
      <c r="BR27" t="s">
        <v>73</v>
      </c>
      <c r="BS27" t="s">
        <v>73</v>
      </c>
      <c r="BT27" t="s">
        <v>73</v>
      </c>
      <c r="BU27">
        <v>0</v>
      </c>
      <c r="BV27">
        <v>1</v>
      </c>
      <c r="BW27">
        <v>0</v>
      </c>
      <c r="BX27" s="30">
        <f>((AZ27^2)/(AZ27^2+BI27))^(1/2)</f>
        <v>3.7614661992478114E-2</v>
      </c>
      <c r="BY27" s="30">
        <f>0.5*LN((1+BX27)/(1-BX27))</f>
        <v>3.7632416929352756E-2</v>
      </c>
      <c r="BZ27" s="30">
        <f>((1-(BY27^2)^2)/(BI27-1))</f>
        <v>8.0327576060803895E-5</v>
      </c>
      <c r="CA27" s="30">
        <f>1/(BI27-3)</f>
        <v>8.0340644331967548E-5</v>
      </c>
    </row>
    <row r="28" spans="1:82" ht="16">
      <c r="A28" t="s">
        <v>68</v>
      </c>
      <c r="C28" s="93">
        <v>1282</v>
      </c>
      <c r="D28">
        <v>147</v>
      </c>
      <c r="E28" t="s">
        <v>330</v>
      </c>
      <c r="F28">
        <v>2017</v>
      </c>
      <c r="G28" t="s">
        <v>166</v>
      </c>
      <c r="H28" s="10" t="s">
        <v>167</v>
      </c>
      <c r="I28">
        <v>1</v>
      </c>
      <c r="J28">
        <v>2009</v>
      </c>
      <c r="K28" t="s">
        <v>73</v>
      </c>
      <c r="L28">
        <v>40</v>
      </c>
      <c r="M28" t="s">
        <v>120</v>
      </c>
      <c r="N28" t="s">
        <v>318</v>
      </c>
      <c r="O28" t="s">
        <v>81</v>
      </c>
      <c r="P28" t="s">
        <v>219</v>
      </c>
      <c r="Q28" t="s">
        <v>236</v>
      </c>
      <c r="R28" t="s">
        <v>253</v>
      </c>
      <c r="S28">
        <v>0</v>
      </c>
      <c r="T28" t="s">
        <v>189</v>
      </c>
      <c r="U28">
        <v>0</v>
      </c>
      <c r="V28" t="s">
        <v>222</v>
      </c>
      <c r="W28" t="s">
        <v>222</v>
      </c>
      <c r="X28" t="s">
        <v>73</v>
      </c>
      <c r="Y28">
        <v>0</v>
      </c>
      <c r="Z28">
        <v>0</v>
      </c>
      <c r="AA28">
        <v>0</v>
      </c>
      <c r="AB28">
        <v>1</v>
      </c>
      <c r="AC28">
        <v>0</v>
      </c>
      <c r="AD28">
        <v>0</v>
      </c>
      <c r="AE28">
        <v>0</v>
      </c>
      <c r="AF28">
        <v>0</v>
      </c>
      <c r="AG28" t="s">
        <v>73</v>
      </c>
      <c r="AH28">
        <v>0</v>
      </c>
      <c r="AI28">
        <v>0</v>
      </c>
      <c r="AJ28">
        <v>0</v>
      </c>
      <c r="AK28">
        <v>1</v>
      </c>
      <c r="AL28">
        <v>0</v>
      </c>
      <c r="AM28">
        <v>0</v>
      </c>
      <c r="AN28">
        <v>0</v>
      </c>
      <c r="AO28">
        <v>0</v>
      </c>
      <c r="AP28" s="10">
        <v>0</v>
      </c>
      <c r="AQ28" t="s">
        <v>73</v>
      </c>
      <c r="AR28" t="s">
        <v>239</v>
      </c>
      <c r="AS28" t="s">
        <v>455</v>
      </c>
      <c r="AT28" t="s">
        <v>255</v>
      </c>
      <c r="AU28" s="25">
        <v>2.3999999999999998E-3</v>
      </c>
      <c r="AV28" s="7" t="s">
        <v>80</v>
      </c>
      <c r="AW28">
        <v>2E-3</v>
      </c>
      <c r="AX28" s="41" t="s">
        <v>73</v>
      </c>
      <c r="AY28">
        <v>3</v>
      </c>
      <c r="AZ28">
        <f>AU28/AW28</f>
        <v>1.2</v>
      </c>
      <c r="BA28" s="112">
        <f>AU28</f>
        <v>2.3999999999999998E-3</v>
      </c>
      <c r="BB28" s="112"/>
      <c r="BC28" t="s">
        <v>73</v>
      </c>
      <c r="BD28" t="s">
        <v>73</v>
      </c>
      <c r="BE28" t="s">
        <v>73</v>
      </c>
      <c r="BF28" t="s">
        <v>73</v>
      </c>
      <c r="BG28" t="s">
        <v>73</v>
      </c>
      <c r="BH28" t="s">
        <v>73</v>
      </c>
      <c r="BI28">
        <v>12450</v>
      </c>
      <c r="BJ28">
        <v>12450</v>
      </c>
      <c r="BK28" t="s">
        <v>73</v>
      </c>
      <c r="BL28" t="s">
        <v>73</v>
      </c>
      <c r="BM28">
        <v>100</v>
      </c>
      <c r="BN28" t="s">
        <v>73</v>
      </c>
      <c r="BO28" t="s">
        <v>230</v>
      </c>
      <c r="BP28" t="s">
        <v>73</v>
      </c>
      <c r="BQ28" t="s">
        <v>73</v>
      </c>
      <c r="BR28" t="s">
        <v>73</v>
      </c>
      <c r="BS28" t="s">
        <v>73</v>
      </c>
      <c r="BT28" t="s">
        <v>73</v>
      </c>
      <c r="BU28">
        <v>0</v>
      </c>
      <c r="BV28">
        <v>1</v>
      </c>
      <c r="BW28">
        <v>0</v>
      </c>
      <c r="BX28" s="30">
        <f>((AZ28^2)/(AZ28^2+BI28))^(1/2)</f>
        <v>1.0754035256628266E-2</v>
      </c>
      <c r="BY28" s="30">
        <f>0.5*LN((1+BX28)/(1-BX28))</f>
        <v>1.0754449850854842E-2</v>
      </c>
      <c r="BZ28" s="30">
        <f>((1-(BY28^2)^2)/(BI28-1))</f>
        <v>8.0327736093114527E-5</v>
      </c>
      <c r="CA28" s="30">
        <f>1/(BI28-3)</f>
        <v>8.0340644331967548E-5</v>
      </c>
    </row>
    <row r="29" spans="1:82" ht="16">
      <c r="A29" t="s">
        <v>68</v>
      </c>
      <c r="C29" s="93">
        <v>1283</v>
      </c>
      <c r="D29">
        <v>147</v>
      </c>
      <c r="E29" t="s">
        <v>330</v>
      </c>
      <c r="F29">
        <v>2017</v>
      </c>
      <c r="G29" t="s">
        <v>166</v>
      </c>
      <c r="H29" s="10" t="s">
        <v>167</v>
      </c>
      <c r="I29">
        <v>1</v>
      </c>
      <c r="J29">
        <v>2009</v>
      </c>
      <c r="K29" t="s">
        <v>73</v>
      </c>
      <c r="L29">
        <v>40</v>
      </c>
      <c r="M29" t="s">
        <v>120</v>
      </c>
      <c r="N29" t="s">
        <v>318</v>
      </c>
      <c r="O29" t="s">
        <v>81</v>
      </c>
      <c r="P29" t="s">
        <v>219</v>
      </c>
      <c r="Q29" t="s">
        <v>236</v>
      </c>
      <c r="R29" t="s">
        <v>253</v>
      </c>
      <c r="S29">
        <v>0</v>
      </c>
      <c r="T29" t="s">
        <v>189</v>
      </c>
      <c r="U29">
        <v>0</v>
      </c>
      <c r="V29" t="s">
        <v>222</v>
      </c>
      <c r="W29" t="s">
        <v>222</v>
      </c>
      <c r="X29" t="s">
        <v>73</v>
      </c>
      <c r="Y29">
        <v>0</v>
      </c>
      <c r="Z29">
        <v>0</v>
      </c>
      <c r="AA29">
        <v>0</v>
      </c>
      <c r="AB29">
        <v>1</v>
      </c>
      <c r="AC29">
        <v>0</v>
      </c>
      <c r="AD29">
        <v>0</v>
      </c>
      <c r="AE29">
        <v>0</v>
      </c>
      <c r="AF29">
        <v>0</v>
      </c>
      <c r="AG29" t="s">
        <v>73</v>
      </c>
      <c r="AH29">
        <v>0</v>
      </c>
      <c r="AI29">
        <v>0</v>
      </c>
      <c r="AJ29">
        <v>0</v>
      </c>
      <c r="AK29">
        <v>1</v>
      </c>
      <c r="AL29">
        <v>0</v>
      </c>
      <c r="AM29">
        <v>0</v>
      </c>
      <c r="AN29">
        <v>0</v>
      </c>
      <c r="AO29">
        <v>0</v>
      </c>
      <c r="AP29" s="10">
        <v>0</v>
      </c>
      <c r="AQ29" t="s">
        <v>73</v>
      </c>
      <c r="AR29" t="s">
        <v>239</v>
      </c>
      <c r="AS29" t="s">
        <v>455</v>
      </c>
      <c r="AT29" t="s">
        <v>255</v>
      </c>
      <c r="AU29" s="25">
        <v>3.1E-4</v>
      </c>
      <c r="AV29" s="7" t="s">
        <v>86</v>
      </c>
      <c r="AW29">
        <v>1E-3</v>
      </c>
      <c r="AX29" s="41" t="s">
        <v>73</v>
      </c>
      <c r="AY29">
        <v>3</v>
      </c>
      <c r="AZ29">
        <f>AU29/AW29</f>
        <v>0.31</v>
      </c>
      <c r="BA29" s="112">
        <f>AU29</f>
        <v>3.1E-4</v>
      </c>
      <c r="BB29" s="112"/>
      <c r="BC29" t="s">
        <v>73</v>
      </c>
      <c r="BD29" t="s">
        <v>73</v>
      </c>
      <c r="BE29" t="s">
        <v>73</v>
      </c>
      <c r="BF29" t="s">
        <v>73</v>
      </c>
      <c r="BG29" t="s">
        <v>73</v>
      </c>
      <c r="BH29" t="s">
        <v>73</v>
      </c>
      <c r="BI29">
        <v>12450</v>
      </c>
      <c r="BJ29">
        <v>12450</v>
      </c>
      <c r="BK29" t="s">
        <v>73</v>
      </c>
      <c r="BL29" t="s">
        <v>73</v>
      </c>
      <c r="BM29">
        <v>100</v>
      </c>
      <c r="BN29" t="s">
        <v>73</v>
      </c>
      <c r="BO29" t="s">
        <v>230</v>
      </c>
      <c r="BP29" t="s">
        <v>73</v>
      </c>
      <c r="BQ29" t="s">
        <v>73</v>
      </c>
      <c r="BR29" t="s">
        <v>73</v>
      </c>
      <c r="BS29" t="s">
        <v>73</v>
      </c>
      <c r="BT29" t="s">
        <v>73</v>
      </c>
      <c r="BU29">
        <v>0</v>
      </c>
      <c r="BV29">
        <v>1</v>
      </c>
      <c r="BW29">
        <v>0</v>
      </c>
      <c r="BX29" s="30">
        <f>((AZ29^2)/(AZ29^2+BI29))^(1/2)</f>
        <v>2.7782757101175023E-3</v>
      </c>
      <c r="BY29" s="30">
        <f>0.5*LN((1+BX29)/(1-BX29))</f>
        <v>2.7782828584835876E-3</v>
      </c>
      <c r="BZ29" s="30">
        <f>((1-(BY29^2)^2)/(BI29-1))</f>
        <v>8.0327737162857996E-5</v>
      </c>
      <c r="CA29" s="30">
        <f>1/(BI29-3)</f>
        <v>8.0340644331967548E-5</v>
      </c>
    </row>
    <row r="30" spans="1:82" ht="16">
      <c r="A30" t="s">
        <v>68</v>
      </c>
      <c r="C30" s="93">
        <v>1284</v>
      </c>
      <c r="D30">
        <v>147</v>
      </c>
      <c r="E30" t="s">
        <v>330</v>
      </c>
      <c r="F30">
        <v>2017</v>
      </c>
      <c r="G30" t="s">
        <v>166</v>
      </c>
      <c r="H30" s="10" t="s">
        <v>167</v>
      </c>
      <c r="I30">
        <v>1</v>
      </c>
      <c r="J30">
        <v>2009</v>
      </c>
      <c r="K30" t="s">
        <v>73</v>
      </c>
      <c r="L30">
        <v>40</v>
      </c>
      <c r="M30" t="s">
        <v>120</v>
      </c>
      <c r="N30" t="s">
        <v>318</v>
      </c>
      <c r="O30" t="s">
        <v>81</v>
      </c>
      <c r="P30" t="s">
        <v>219</v>
      </c>
      <c r="Q30" t="s">
        <v>236</v>
      </c>
      <c r="R30" t="s">
        <v>253</v>
      </c>
      <c r="S30">
        <v>0</v>
      </c>
      <c r="T30" t="s">
        <v>189</v>
      </c>
      <c r="U30">
        <v>0</v>
      </c>
      <c r="V30" t="s">
        <v>222</v>
      </c>
      <c r="W30" t="s">
        <v>222</v>
      </c>
      <c r="X30" t="s">
        <v>73</v>
      </c>
      <c r="Y30">
        <v>0</v>
      </c>
      <c r="Z30">
        <v>0</v>
      </c>
      <c r="AA30">
        <v>0</v>
      </c>
      <c r="AB30">
        <v>1</v>
      </c>
      <c r="AC30">
        <v>0</v>
      </c>
      <c r="AD30">
        <v>0</v>
      </c>
      <c r="AE30">
        <v>0</v>
      </c>
      <c r="AF30">
        <v>0</v>
      </c>
      <c r="AG30" t="s">
        <v>73</v>
      </c>
      <c r="AH30">
        <v>1</v>
      </c>
      <c r="AI30">
        <v>0</v>
      </c>
      <c r="AJ30">
        <v>0</v>
      </c>
      <c r="AK30">
        <v>0</v>
      </c>
      <c r="AL30">
        <v>0</v>
      </c>
      <c r="AM30">
        <v>0</v>
      </c>
      <c r="AN30">
        <v>0</v>
      </c>
      <c r="AO30">
        <v>0</v>
      </c>
      <c r="AP30" s="10">
        <v>0</v>
      </c>
      <c r="AQ30" t="s">
        <v>73</v>
      </c>
      <c r="AR30" t="s">
        <v>239</v>
      </c>
      <c r="AS30" t="s">
        <v>455</v>
      </c>
      <c r="AT30" t="s">
        <v>255</v>
      </c>
      <c r="AU30" s="25">
        <v>2.1000000000000001E-2</v>
      </c>
      <c r="AV30" s="7" t="s">
        <v>80</v>
      </c>
      <c r="AW30">
        <v>5.0000000000000001E-3</v>
      </c>
      <c r="AX30" s="41" t="s">
        <v>73</v>
      </c>
      <c r="AY30">
        <v>3</v>
      </c>
      <c r="AZ30">
        <f>AU30/AW30</f>
        <v>4.2</v>
      </c>
      <c r="BA30" s="112">
        <f>AU30</f>
        <v>2.1000000000000001E-2</v>
      </c>
      <c r="BB30" s="112"/>
      <c r="BC30" t="s">
        <v>73</v>
      </c>
      <c r="BD30" t="s">
        <v>73</v>
      </c>
      <c r="BE30" t="s">
        <v>73</v>
      </c>
      <c r="BF30" t="s">
        <v>73</v>
      </c>
      <c r="BG30" t="s">
        <v>73</v>
      </c>
      <c r="BH30" t="s">
        <v>73</v>
      </c>
      <c r="BI30">
        <v>12100</v>
      </c>
      <c r="BJ30">
        <v>12100</v>
      </c>
      <c r="BK30" t="s">
        <v>73</v>
      </c>
      <c r="BL30" t="s">
        <v>73</v>
      </c>
      <c r="BM30">
        <v>100</v>
      </c>
      <c r="BN30" t="s">
        <v>73</v>
      </c>
      <c r="BO30" t="s">
        <v>230</v>
      </c>
      <c r="BP30" t="s">
        <v>73</v>
      </c>
      <c r="BQ30" t="s">
        <v>73</v>
      </c>
      <c r="BR30" t="s">
        <v>73</v>
      </c>
      <c r="BS30" t="s">
        <v>73</v>
      </c>
      <c r="BT30" t="s">
        <v>73</v>
      </c>
      <c r="BU30">
        <v>0</v>
      </c>
      <c r="BV30">
        <v>1</v>
      </c>
      <c r="BW30">
        <v>0</v>
      </c>
      <c r="BX30" s="30">
        <f>((AZ30^2)/(AZ30^2+BI30))^(1/2)</f>
        <v>3.8154016870275712E-2</v>
      </c>
      <c r="BY30" s="30">
        <f>0.5*LN((1+BX30)/(1-BX30))</f>
        <v>3.8172547027553468E-2</v>
      </c>
      <c r="BZ30" s="30">
        <f>((1-(BY30^2)^2)/(BI30-1))</f>
        <v>8.2651283307154936E-5</v>
      </c>
      <c r="CA30" s="30">
        <f>1/(BI30-3)</f>
        <v>8.2665123584359755E-5</v>
      </c>
    </row>
    <row r="31" spans="1:82" ht="16">
      <c r="A31" t="s">
        <v>68</v>
      </c>
      <c r="C31" s="93">
        <v>1285</v>
      </c>
      <c r="D31">
        <v>147</v>
      </c>
      <c r="E31" t="s">
        <v>330</v>
      </c>
      <c r="F31">
        <v>2017</v>
      </c>
      <c r="G31" t="s">
        <v>166</v>
      </c>
      <c r="H31" s="10" t="s">
        <v>167</v>
      </c>
      <c r="I31">
        <v>1</v>
      </c>
      <c r="J31">
        <v>2009</v>
      </c>
      <c r="K31" t="s">
        <v>73</v>
      </c>
      <c r="L31">
        <v>40</v>
      </c>
      <c r="M31" t="s">
        <v>120</v>
      </c>
      <c r="N31" t="s">
        <v>318</v>
      </c>
      <c r="O31" t="s">
        <v>81</v>
      </c>
      <c r="P31" t="s">
        <v>219</v>
      </c>
      <c r="Q31" t="s">
        <v>236</v>
      </c>
      <c r="R31" t="s">
        <v>253</v>
      </c>
      <c r="S31">
        <v>0</v>
      </c>
      <c r="T31" t="s">
        <v>189</v>
      </c>
      <c r="U31">
        <v>0</v>
      </c>
      <c r="V31" t="s">
        <v>222</v>
      </c>
      <c r="W31" t="s">
        <v>222</v>
      </c>
      <c r="X31" t="s">
        <v>73</v>
      </c>
      <c r="Y31">
        <v>0</v>
      </c>
      <c r="Z31">
        <v>0</v>
      </c>
      <c r="AA31">
        <v>0</v>
      </c>
      <c r="AB31">
        <v>1</v>
      </c>
      <c r="AC31">
        <v>0</v>
      </c>
      <c r="AD31">
        <v>0</v>
      </c>
      <c r="AE31">
        <v>0</v>
      </c>
      <c r="AF31">
        <v>0</v>
      </c>
      <c r="AG31" t="s">
        <v>73</v>
      </c>
      <c r="AH31">
        <v>1</v>
      </c>
      <c r="AI31">
        <v>0</v>
      </c>
      <c r="AJ31">
        <v>0</v>
      </c>
      <c r="AK31">
        <v>0</v>
      </c>
      <c r="AL31">
        <v>0</v>
      </c>
      <c r="AM31">
        <v>0</v>
      </c>
      <c r="AN31">
        <v>0</v>
      </c>
      <c r="AO31">
        <v>0</v>
      </c>
      <c r="AP31" s="10">
        <v>0</v>
      </c>
      <c r="AQ31" t="s">
        <v>73</v>
      </c>
      <c r="AR31" t="s">
        <v>239</v>
      </c>
      <c r="AS31" t="s">
        <v>455</v>
      </c>
      <c r="AT31" t="s">
        <v>255</v>
      </c>
      <c r="AU31" s="25">
        <v>8.7000000000000001E-4</v>
      </c>
      <c r="AV31" s="7" t="s">
        <v>80</v>
      </c>
      <c r="AW31">
        <v>1E-3</v>
      </c>
      <c r="AX31" s="41" t="s">
        <v>73</v>
      </c>
      <c r="AY31">
        <v>3</v>
      </c>
      <c r="AZ31">
        <f>AU31/AW31</f>
        <v>0.87</v>
      </c>
      <c r="BA31" s="112">
        <f>AU31</f>
        <v>8.7000000000000001E-4</v>
      </c>
      <c r="BB31" s="112"/>
      <c r="BC31" t="s">
        <v>73</v>
      </c>
      <c r="BD31" t="s">
        <v>73</v>
      </c>
      <c r="BE31" t="s">
        <v>73</v>
      </c>
      <c r="BF31" t="s">
        <v>73</v>
      </c>
      <c r="BG31" t="s">
        <v>73</v>
      </c>
      <c r="BH31" t="s">
        <v>73</v>
      </c>
      <c r="BI31">
        <v>12100</v>
      </c>
      <c r="BJ31">
        <v>12100</v>
      </c>
      <c r="BK31" t="s">
        <v>73</v>
      </c>
      <c r="BL31" t="s">
        <v>73</v>
      </c>
      <c r="BM31">
        <v>100</v>
      </c>
      <c r="BN31" t="s">
        <v>73</v>
      </c>
      <c r="BO31" t="s">
        <v>230</v>
      </c>
      <c r="BP31" t="s">
        <v>73</v>
      </c>
      <c r="BQ31" t="s">
        <v>73</v>
      </c>
      <c r="BR31" t="s">
        <v>73</v>
      </c>
      <c r="BS31" t="s">
        <v>73</v>
      </c>
      <c r="BT31" t="s">
        <v>73</v>
      </c>
      <c r="BU31">
        <v>0</v>
      </c>
      <c r="BV31">
        <v>1</v>
      </c>
      <c r="BW31">
        <v>0</v>
      </c>
      <c r="BX31" s="30">
        <f>((AZ31^2)/(AZ31^2+BI31))^(1/2)</f>
        <v>7.9088435491706417E-3</v>
      </c>
      <c r="BY31" s="30">
        <f>0.5*LN((1+BX31)/(1-BX31))</f>
        <v>7.9090084542367822E-3</v>
      </c>
      <c r="BZ31" s="30">
        <f>((1-(BY31^2)^2)/(BI31-1))</f>
        <v>8.2651458474848776E-5</v>
      </c>
      <c r="CA31" s="30">
        <f>1/(BI31-3)</f>
        <v>8.2665123584359755E-5</v>
      </c>
    </row>
    <row r="32" spans="1:82" ht="16">
      <c r="A32" t="s">
        <v>68</v>
      </c>
      <c r="C32" s="93">
        <v>1286</v>
      </c>
      <c r="D32">
        <v>147</v>
      </c>
      <c r="E32" t="s">
        <v>330</v>
      </c>
      <c r="F32">
        <v>2017</v>
      </c>
      <c r="G32" t="s">
        <v>166</v>
      </c>
      <c r="H32" s="10" t="s">
        <v>167</v>
      </c>
      <c r="I32">
        <v>1</v>
      </c>
      <c r="J32">
        <v>2009</v>
      </c>
      <c r="K32" t="s">
        <v>73</v>
      </c>
      <c r="L32">
        <v>40</v>
      </c>
      <c r="M32" t="s">
        <v>120</v>
      </c>
      <c r="N32" t="s">
        <v>318</v>
      </c>
      <c r="O32" t="s">
        <v>81</v>
      </c>
      <c r="P32" t="s">
        <v>219</v>
      </c>
      <c r="Q32" t="s">
        <v>236</v>
      </c>
      <c r="R32" t="s">
        <v>253</v>
      </c>
      <c r="S32">
        <v>0</v>
      </c>
      <c r="T32" t="s">
        <v>189</v>
      </c>
      <c r="U32">
        <v>0</v>
      </c>
      <c r="V32" t="s">
        <v>222</v>
      </c>
      <c r="W32" t="s">
        <v>222</v>
      </c>
      <c r="X32" t="s">
        <v>73</v>
      </c>
      <c r="Y32">
        <v>0</v>
      </c>
      <c r="Z32">
        <v>0</v>
      </c>
      <c r="AA32">
        <v>0</v>
      </c>
      <c r="AB32">
        <v>1</v>
      </c>
      <c r="AC32">
        <v>0</v>
      </c>
      <c r="AD32">
        <v>0</v>
      </c>
      <c r="AE32">
        <v>0</v>
      </c>
      <c r="AF32">
        <v>0</v>
      </c>
      <c r="AG32" t="s">
        <v>73</v>
      </c>
      <c r="AH32">
        <v>1</v>
      </c>
      <c r="AI32">
        <v>0</v>
      </c>
      <c r="AJ32">
        <v>0</v>
      </c>
      <c r="AK32">
        <v>0</v>
      </c>
      <c r="AL32">
        <v>0</v>
      </c>
      <c r="AM32">
        <v>0</v>
      </c>
      <c r="AN32">
        <v>0</v>
      </c>
      <c r="AO32">
        <v>0</v>
      </c>
      <c r="AP32" s="10">
        <v>0</v>
      </c>
      <c r="AQ32" t="s">
        <v>73</v>
      </c>
      <c r="AR32" t="s">
        <v>239</v>
      </c>
      <c r="AS32" t="s">
        <v>455</v>
      </c>
      <c r="AT32" t="s">
        <v>255</v>
      </c>
      <c r="AU32" s="25">
        <v>6.3000000000000003E-4</v>
      </c>
      <c r="AV32" s="7" t="s">
        <v>86</v>
      </c>
      <c r="AW32">
        <v>1E-3</v>
      </c>
      <c r="AX32" s="41" t="s">
        <v>73</v>
      </c>
      <c r="AY32">
        <v>3</v>
      </c>
      <c r="AZ32">
        <f>AU32/AW32</f>
        <v>0.63</v>
      </c>
      <c r="BA32" s="112">
        <f>AU32</f>
        <v>6.3000000000000003E-4</v>
      </c>
      <c r="BB32" s="112"/>
      <c r="BC32" t="s">
        <v>73</v>
      </c>
      <c r="BD32" t="s">
        <v>73</v>
      </c>
      <c r="BE32" t="s">
        <v>73</v>
      </c>
      <c r="BF32" t="s">
        <v>73</v>
      </c>
      <c r="BG32" t="s">
        <v>73</v>
      </c>
      <c r="BH32" t="s">
        <v>73</v>
      </c>
      <c r="BI32">
        <v>12100</v>
      </c>
      <c r="BJ32">
        <v>12100</v>
      </c>
      <c r="BK32" t="s">
        <v>73</v>
      </c>
      <c r="BL32" t="s">
        <v>73</v>
      </c>
      <c r="BM32">
        <v>100</v>
      </c>
      <c r="BN32" t="s">
        <v>73</v>
      </c>
      <c r="BO32" t="s">
        <v>230</v>
      </c>
      <c r="BP32" t="s">
        <v>73</v>
      </c>
      <c r="BQ32" t="s">
        <v>73</v>
      </c>
      <c r="BR32" t="s">
        <v>73</v>
      </c>
      <c r="BS32" t="s">
        <v>73</v>
      </c>
      <c r="BT32" t="s">
        <v>73</v>
      </c>
      <c r="BU32">
        <v>0</v>
      </c>
      <c r="BV32">
        <v>1</v>
      </c>
      <c r="BW32">
        <v>0</v>
      </c>
      <c r="BX32" s="30">
        <f>((AZ32^2)/(AZ32^2+BI32))^(1/2)</f>
        <v>5.7271787975774974E-3</v>
      </c>
      <c r="BY32" s="30">
        <f>0.5*LN((1+BX32)/(1-BX32))</f>
        <v>5.7272414170662115E-3</v>
      </c>
      <c r="BZ32" s="30">
        <f>((1-(BY32^2)^2)/(BI32-1))</f>
        <v>8.2651458709321021E-5</v>
      </c>
      <c r="CA32" s="30">
        <f>1/(BI32-3)</f>
        <v>8.2665123584359755E-5</v>
      </c>
    </row>
    <row r="33" spans="1:16359" ht="16">
      <c r="A33" t="s">
        <v>68</v>
      </c>
      <c r="C33" s="93">
        <v>1287</v>
      </c>
      <c r="D33">
        <v>147</v>
      </c>
      <c r="E33" t="s">
        <v>330</v>
      </c>
      <c r="F33">
        <v>2017</v>
      </c>
      <c r="G33" t="s">
        <v>166</v>
      </c>
      <c r="H33" s="10" t="s">
        <v>167</v>
      </c>
      <c r="I33">
        <v>1</v>
      </c>
      <c r="J33">
        <v>2009</v>
      </c>
      <c r="K33" t="s">
        <v>73</v>
      </c>
      <c r="L33">
        <v>40</v>
      </c>
      <c r="M33" t="s">
        <v>120</v>
      </c>
      <c r="N33" t="s">
        <v>318</v>
      </c>
      <c r="O33" t="s">
        <v>81</v>
      </c>
      <c r="P33" t="s">
        <v>219</v>
      </c>
      <c r="Q33" t="s">
        <v>236</v>
      </c>
      <c r="R33" t="s">
        <v>253</v>
      </c>
      <c r="S33">
        <v>0</v>
      </c>
      <c r="T33" t="s">
        <v>189</v>
      </c>
      <c r="U33">
        <v>0</v>
      </c>
      <c r="V33" t="s">
        <v>222</v>
      </c>
      <c r="W33" t="s">
        <v>222</v>
      </c>
      <c r="X33" t="s">
        <v>73</v>
      </c>
      <c r="Y33">
        <v>0</v>
      </c>
      <c r="Z33">
        <v>0</v>
      </c>
      <c r="AA33">
        <v>0</v>
      </c>
      <c r="AB33">
        <v>1</v>
      </c>
      <c r="AC33">
        <v>0</v>
      </c>
      <c r="AD33">
        <v>0</v>
      </c>
      <c r="AE33">
        <v>0</v>
      </c>
      <c r="AF33">
        <v>0</v>
      </c>
      <c r="AG33" t="s">
        <v>73</v>
      </c>
      <c r="AH33">
        <v>0</v>
      </c>
      <c r="AI33">
        <v>0</v>
      </c>
      <c r="AJ33">
        <v>1</v>
      </c>
      <c r="AK33">
        <v>0</v>
      </c>
      <c r="AL33">
        <v>0</v>
      </c>
      <c r="AM33">
        <v>0</v>
      </c>
      <c r="AN33">
        <v>0</v>
      </c>
      <c r="AO33">
        <v>0</v>
      </c>
      <c r="AP33" s="10">
        <v>0</v>
      </c>
      <c r="AQ33" t="s">
        <v>73</v>
      </c>
      <c r="AR33" t="s">
        <v>239</v>
      </c>
      <c r="AS33" t="s">
        <v>455</v>
      </c>
      <c r="AT33" t="s">
        <v>255</v>
      </c>
      <c r="AU33" s="25">
        <v>7.3000000000000001E-3</v>
      </c>
      <c r="AV33" s="7" t="s">
        <v>80</v>
      </c>
      <c r="AW33">
        <v>3.0000000000000001E-3</v>
      </c>
      <c r="AX33" s="41" t="s">
        <v>73</v>
      </c>
      <c r="AY33">
        <v>3</v>
      </c>
      <c r="AZ33">
        <f>AU33/AW33</f>
        <v>2.4333333333333331</v>
      </c>
      <c r="BA33" s="112">
        <f>AU33</f>
        <v>7.3000000000000001E-3</v>
      </c>
      <c r="BB33" s="112"/>
      <c r="BC33" t="s">
        <v>73</v>
      </c>
      <c r="BD33" t="s">
        <v>73</v>
      </c>
      <c r="BE33" t="s">
        <v>73</v>
      </c>
      <c r="BF33" t="s">
        <v>73</v>
      </c>
      <c r="BG33" t="s">
        <v>73</v>
      </c>
      <c r="BH33" t="s">
        <v>73</v>
      </c>
      <c r="BI33">
        <v>12600</v>
      </c>
      <c r="BJ33">
        <v>12600</v>
      </c>
      <c r="BK33" t="s">
        <v>73</v>
      </c>
      <c r="BL33" t="s">
        <v>73</v>
      </c>
      <c r="BM33">
        <v>100</v>
      </c>
      <c r="BN33" t="s">
        <v>73</v>
      </c>
      <c r="BO33" t="s">
        <v>230</v>
      </c>
      <c r="BP33" t="s">
        <v>73</v>
      </c>
      <c r="BQ33" t="s">
        <v>73</v>
      </c>
      <c r="BR33" t="s">
        <v>73</v>
      </c>
      <c r="BS33" t="s">
        <v>73</v>
      </c>
      <c r="BT33" t="s">
        <v>73</v>
      </c>
      <c r="BU33">
        <v>0</v>
      </c>
      <c r="BV33">
        <v>1</v>
      </c>
      <c r="BW33">
        <v>0</v>
      </c>
      <c r="BX33" s="30">
        <f>((AZ33^2)/(AZ33^2+BI33))^(1/2)</f>
        <v>2.1672764551373083E-2</v>
      </c>
      <c r="BY33" s="30">
        <f>0.5*LN((1+BX33)/(1-BX33))</f>
        <v>2.1676158803532894E-2</v>
      </c>
      <c r="BZ33" s="30">
        <f>((1-(BY33^2)^2)/(BI33-1))</f>
        <v>7.9371361158462602E-5</v>
      </c>
      <c r="CA33" s="30">
        <f>1/(BI33-3)</f>
        <v>7.9383980312772889E-5</v>
      </c>
      <c r="CE33" s="93"/>
      <c r="CF33" s="93"/>
      <c r="CG33" s="93"/>
      <c r="CH33" s="93"/>
      <c r="CI33" s="93"/>
      <c r="CJ33" s="93"/>
      <c r="CK33" s="93"/>
      <c r="CL33" s="93"/>
      <c r="CM33" s="93"/>
      <c r="CN33" s="93"/>
      <c r="CO33" s="93"/>
      <c r="CP33" s="93"/>
      <c r="CQ33" s="93"/>
      <c r="CR33" s="93"/>
      <c r="CS33" s="93"/>
      <c r="CT33" s="93"/>
      <c r="CU33" s="93"/>
      <c r="CV33" s="93"/>
      <c r="CW33" s="93"/>
      <c r="CX33" s="93"/>
      <c r="CY33" s="93"/>
      <c r="CZ33" s="93"/>
      <c r="DA33" s="93"/>
      <c r="DB33" s="93"/>
      <c r="DC33" s="93"/>
      <c r="DD33" s="93"/>
      <c r="DE33" s="93"/>
      <c r="DF33" s="93"/>
      <c r="DG33" s="93"/>
      <c r="DH33" s="93"/>
      <c r="DI33" s="93"/>
      <c r="DJ33" s="93"/>
      <c r="DK33" s="93"/>
      <c r="DL33" s="93"/>
      <c r="DM33" s="93"/>
      <c r="DN33" s="93"/>
      <c r="DO33" s="93"/>
      <c r="DP33" s="93"/>
      <c r="DQ33" s="93"/>
      <c r="DR33" s="93"/>
      <c r="DS33" s="93"/>
      <c r="DT33" s="93"/>
      <c r="DU33" s="93"/>
      <c r="DV33" s="93"/>
      <c r="DW33" s="93"/>
      <c r="DX33" s="93"/>
      <c r="DY33" s="93"/>
      <c r="DZ33" s="93"/>
      <c r="EA33" s="93"/>
      <c r="EB33" s="93"/>
      <c r="EC33" s="93"/>
      <c r="ED33" s="93"/>
      <c r="EE33" s="93"/>
      <c r="EF33" s="93"/>
      <c r="EG33" s="93"/>
      <c r="EH33" s="93"/>
      <c r="EI33" s="93"/>
      <c r="EJ33" s="93"/>
      <c r="EK33" s="93"/>
      <c r="EL33" s="93"/>
      <c r="EM33" s="93"/>
      <c r="EN33" s="93"/>
      <c r="EO33" s="93"/>
      <c r="EP33" s="93"/>
      <c r="EQ33" s="93"/>
      <c r="ER33" s="93"/>
      <c r="ES33" s="93"/>
      <c r="ET33" s="93"/>
      <c r="EU33" s="93"/>
      <c r="EV33" s="93"/>
      <c r="EW33" s="93"/>
      <c r="EX33" s="93"/>
      <c r="EY33" s="93"/>
      <c r="EZ33" s="93"/>
      <c r="FA33" s="93"/>
      <c r="FB33" s="93"/>
      <c r="FC33" s="93"/>
      <c r="FD33" s="93"/>
      <c r="FE33" s="93"/>
      <c r="FF33" s="93"/>
      <c r="FG33" s="93"/>
      <c r="FH33" s="93"/>
      <c r="FI33" s="93"/>
      <c r="FJ33" s="93"/>
      <c r="FK33" s="93"/>
      <c r="FL33" s="93"/>
      <c r="FM33" s="93"/>
      <c r="FN33" s="93"/>
      <c r="FO33" s="93"/>
      <c r="FP33" s="93"/>
      <c r="FQ33" s="93"/>
      <c r="FR33" s="93"/>
      <c r="FS33" s="93"/>
      <c r="FT33" s="93"/>
      <c r="FU33" s="93"/>
      <c r="FV33" s="93"/>
      <c r="FW33" s="93"/>
      <c r="FX33" s="93"/>
      <c r="FY33" s="93"/>
      <c r="FZ33" s="93"/>
      <c r="GA33" s="93"/>
      <c r="GB33" s="93"/>
      <c r="GC33" s="93"/>
      <c r="GD33" s="93"/>
      <c r="GE33" s="93"/>
      <c r="GF33" s="93"/>
      <c r="GG33" s="93"/>
      <c r="GH33" s="93"/>
      <c r="GI33" s="93"/>
      <c r="GJ33" s="93"/>
      <c r="GK33" s="93"/>
      <c r="GL33" s="93"/>
      <c r="GM33" s="93"/>
      <c r="GN33" s="93"/>
      <c r="GO33" s="93"/>
      <c r="GP33" s="93"/>
      <c r="GQ33" s="93"/>
      <c r="GR33" s="93"/>
      <c r="GS33" s="93"/>
      <c r="GT33" s="93"/>
      <c r="GU33" s="93"/>
      <c r="GV33" s="93"/>
      <c r="GW33" s="93"/>
      <c r="GX33" s="93"/>
      <c r="GY33" s="93"/>
      <c r="GZ33" s="93"/>
      <c r="HA33" s="93"/>
      <c r="HB33" s="93"/>
      <c r="HC33" s="93"/>
      <c r="HD33" s="93"/>
      <c r="HE33" s="93"/>
      <c r="HF33" s="93"/>
      <c r="HG33" s="93"/>
      <c r="HH33" s="93"/>
      <c r="HI33" s="93"/>
      <c r="HJ33" s="93"/>
      <c r="HK33" s="93"/>
      <c r="HL33" s="93"/>
      <c r="HM33" s="93"/>
      <c r="HN33" s="93"/>
      <c r="HO33" s="93"/>
      <c r="HP33" s="93"/>
      <c r="HQ33" s="93"/>
      <c r="HR33" s="93"/>
      <c r="HS33" s="93"/>
      <c r="HT33" s="93"/>
      <c r="HU33" s="93"/>
      <c r="HV33" s="93"/>
      <c r="HW33" s="93"/>
      <c r="HX33" s="93"/>
      <c r="HY33" s="93"/>
      <c r="HZ33" s="93"/>
      <c r="IA33" s="93"/>
      <c r="IB33" s="93"/>
      <c r="IC33" s="93"/>
      <c r="ID33" s="93"/>
      <c r="IE33" s="93"/>
      <c r="IF33" s="93"/>
      <c r="IG33" s="93"/>
      <c r="IH33" s="93"/>
      <c r="II33" s="93"/>
      <c r="IJ33" s="93"/>
      <c r="IK33" s="93"/>
      <c r="IL33" s="93"/>
      <c r="IM33" s="93"/>
      <c r="IN33" s="93"/>
      <c r="IO33" s="93"/>
      <c r="IP33" s="93"/>
      <c r="IQ33" s="93"/>
      <c r="IR33" s="93"/>
      <c r="IS33" s="93"/>
      <c r="IT33" s="93"/>
      <c r="IU33" s="93"/>
      <c r="IV33" s="93"/>
      <c r="IW33" s="93"/>
      <c r="IX33" s="93"/>
      <c r="IY33" s="93"/>
      <c r="IZ33" s="93"/>
      <c r="JA33" s="93"/>
      <c r="JB33" s="93"/>
      <c r="JC33" s="93"/>
      <c r="JD33" s="93"/>
      <c r="JE33" s="93"/>
      <c r="JF33" s="93"/>
      <c r="JG33" s="93"/>
      <c r="JH33" s="93"/>
      <c r="JI33" s="93"/>
      <c r="JJ33" s="93"/>
      <c r="JK33" s="93"/>
      <c r="JL33" s="93"/>
      <c r="JM33" s="93"/>
      <c r="JN33" s="93"/>
      <c r="JO33" s="93"/>
      <c r="JP33" s="93"/>
      <c r="JQ33" s="93"/>
      <c r="JR33" s="93"/>
      <c r="JS33" s="93"/>
      <c r="JT33" s="93"/>
      <c r="JU33" s="93"/>
      <c r="JV33" s="93"/>
      <c r="JW33" s="93"/>
      <c r="JX33" s="93"/>
      <c r="JY33" s="93"/>
      <c r="JZ33" s="93"/>
      <c r="KA33" s="93"/>
      <c r="KB33" s="93"/>
      <c r="KC33" s="93"/>
      <c r="KD33" s="93"/>
      <c r="KE33" s="93"/>
      <c r="KF33" s="93"/>
      <c r="KG33" s="93"/>
      <c r="KH33" s="93"/>
      <c r="KI33" s="93"/>
      <c r="KJ33" s="93"/>
      <c r="KK33" s="93"/>
      <c r="KL33" s="93"/>
      <c r="KM33" s="93"/>
      <c r="KN33" s="93"/>
      <c r="KO33" s="93"/>
      <c r="KP33" s="93"/>
      <c r="KQ33" s="93"/>
      <c r="KR33" s="93"/>
      <c r="KS33" s="93"/>
      <c r="KT33" s="93"/>
      <c r="KU33" s="93"/>
      <c r="KV33" s="93"/>
      <c r="KW33" s="93"/>
      <c r="KX33" s="93"/>
      <c r="KY33" s="93"/>
      <c r="KZ33" s="93"/>
      <c r="LA33" s="93"/>
      <c r="LB33" s="93"/>
      <c r="LC33" s="93"/>
      <c r="LD33" s="93"/>
      <c r="LE33" s="93"/>
      <c r="LF33" s="93"/>
      <c r="LG33" s="93"/>
      <c r="LH33" s="93"/>
      <c r="LI33" s="93"/>
      <c r="LJ33" s="93"/>
      <c r="LK33" s="93"/>
      <c r="LL33" s="93"/>
      <c r="LM33" s="93"/>
      <c r="LN33" s="93"/>
      <c r="LO33" s="93"/>
      <c r="LP33" s="93"/>
      <c r="LQ33" s="93"/>
      <c r="LR33" s="93"/>
      <c r="LS33" s="93"/>
      <c r="LT33" s="93"/>
      <c r="LU33" s="93"/>
      <c r="LV33" s="93"/>
      <c r="LW33" s="93"/>
      <c r="LX33" s="93"/>
      <c r="LY33" s="93"/>
      <c r="LZ33" s="93"/>
      <c r="MA33" s="93"/>
      <c r="MB33" s="93"/>
      <c r="MC33" s="93"/>
      <c r="MD33" s="93"/>
      <c r="ME33" s="93"/>
      <c r="MF33" s="93"/>
      <c r="MG33" s="93"/>
      <c r="MH33" s="93"/>
      <c r="MI33" s="93"/>
      <c r="MJ33" s="93"/>
      <c r="MK33" s="93"/>
      <c r="ML33" s="93"/>
      <c r="MM33" s="93"/>
      <c r="MN33" s="93"/>
      <c r="MO33" s="93"/>
      <c r="MP33" s="93"/>
      <c r="MQ33" s="93"/>
      <c r="MR33" s="93"/>
      <c r="MS33" s="93"/>
      <c r="MT33" s="93"/>
      <c r="MU33" s="93"/>
      <c r="MV33" s="93"/>
      <c r="MW33" s="93"/>
      <c r="MX33" s="93"/>
      <c r="MY33" s="93"/>
      <c r="MZ33" s="93"/>
      <c r="NA33" s="93"/>
      <c r="NB33" s="93"/>
      <c r="NC33" s="93"/>
      <c r="ND33" s="93"/>
      <c r="NE33" s="93"/>
      <c r="NF33" s="93"/>
      <c r="NG33" s="93"/>
      <c r="NH33" s="93"/>
      <c r="NI33" s="93"/>
      <c r="NJ33" s="93"/>
      <c r="NK33" s="93"/>
      <c r="NL33" s="93"/>
      <c r="NM33" s="93"/>
      <c r="NN33" s="93"/>
      <c r="NO33" s="93"/>
      <c r="NP33" s="93"/>
      <c r="NQ33" s="93"/>
      <c r="NR33" s="93"/>
      <c r="NS33" s="93"/>
      <c r="NT33" s="93"/>
      <c r="NU33" s="93"/>
      <c r="NV33" s="93"/>
      <c r="NW33" s="93"/>
      <c r="NX33" s="93"/>
      <c r="NY33" s="93"/>
      <c r="NZ33" s="93"/>
      <c r="OA33" s="93"/>
      <c r="OB33" s="93"/>
      <c r="OC33" s="93"/>
      <c r="OD33" s="93"/>
      <c r="OE33" s="93"/>
      <c r="OF33" s="93"/>
      <c r="OG33" s="93"/>
      <c r="OH33" s="93"/>
      <c r="OI33" s="93"/>
      <c r="OJ33" s="93"/>
      <c r="OK33" s="93"/>
      <c r="OL33" s="93"/>
      <c r="OM33" s="93"/>
      <c r="ON33" s="93"/>
      <c r="OO33" s="93"/>
      <c r="OP33" s="93"/>
      <c r="OQ33" s="93"/>
      <c r="OR33" s="93"/>
      <c r="OS33" s="93"/>
      <c r="OT33" s="93"/>
      <c r="OU33" s="93"/>
      <c r="OV33" s="93"/>
      <c r="OW33" s="93"/>
      <c r="OX33" s="93"/>
      <c r="OY33" s="93"/>
      <c r="OZ33" s="93"/>
      <c r="PA33" s="93"/>
      <c r="PB33" s="93"/>
      <c r="PC33" s="93"/>
      <c r="PD33" s="93"/>
      <c r="PE33" s="93"/>
      <c r="PF33" s="93"/>
      <c r="PG33" s="93"/>
      <c r="PH33" s="93"/>
      <c r="PI33" s="93"/>
      <c r="PJ33" s="93"/>
      <c r="PK33" s="93"/>
      <c r="PL33" s="93"/>
      <c r="PM33" s="93"/>
      <c r="PN33" s="93"/>
      <c r="PO33" s="93"/>
      <c r="PP33" s="93"/>
      <c r="PQ33" s="93"/>
      <c r="PR33" s="93"/>
      <c r="PS33" s="93"/>
      <c r="PT33" s="93"/>
      <c r="PU33" s="93"/>
      <c r="PV33" s="93"/>
      <c r="PW33" s="93"/>
      <c r="PX33" s="93"/>
      <c r="PY33" s="93"/>
      <c r="PZ33" s="93"/>
      <c r="QA33" s="93"/>
      <c r="QB33" s="93"/>
      <c r="QC33" s="93"/>
      <c r="QD33" s="93"/>
      <c r="QE33" s="93"/>
      <c r="QF33" s="93"/>
      <c r="QG33" s="93"/>
      <c r="QH33" s="93"/>
      <c r="QI33" s="93"/>
      <c r="QJ33" s="93"/>
      <c r="QK33" s="93"/>
      <c r="QL33" s="93"/>
      <c r="QM33" s="93"/>
      <c r="QN33" s="93"/>
      <c r="QO33" s="93"/>
      <c r="QP33" s="93"/>
      <c r="QQ33" s="93"/>
      <c r="QR33" s="93"/>
      <c r="QS33" s="93"/>
      <c r="QT33" s="93"/>
      <c r="QU33" s="93"/>
      <c r="QV33" s="93"/>
      <c r="QW33" s="93"/>
      <c r="QX33" s="93"/>
      <c r="QY33" s="93"/>
      <c r="QZ33" s="93"/>
      <c r="RA33" s="93"/>
      <c r="RB33" s="93"/>
      <c r="RC33" s="93"/>
      <c r="RD33" s="93"/>
      <c r="RE33" s="93"/>
      <c r="RF33" s="93"/>
      <c r="RG33" s="93"/>
      <c r="RH33" s="93"/>
      <c r="RI33" s="93"/>
      <c r="RJ33" s="93"/>
      <c r="RK33" s="93"/>
      <c r="RL33" s="93"/>
      <c r="RM33" s="93"/>
      <c r="RN33" s="93"/>
      <c r="RO33" s="93"/>
      <c r="RP33" s="93"/>
      <c r="RQ33" s="93"/>
      <c r="RR33" s="93"/>
      <c r="RS33" s="93"/>
      <c r="RT33" s="93"/>
      <c r="RU33" s="93"/>
      <c r="RV33" s="93"/>
      <c r="RW33" s="93"/>
      <c r="RX33" s="93"/>
      <c r="RY33" s="93"/>
      <c r="RZ33" s="93"/>
      <c r="SA33" s="93"/>
      <c r="SB33" s="93"/>
      <c r="SC33" s="93"/>
      <c r="SD33" s="93"/>
      <c r="SE33" s="93"/>
      <c r="SF33" s="93"/>
      <c r="SG33" s="93"/>
      <c r="SH33" s="93"/>
      <c r="SI33" s="93"/>
      <c r="SJ33" s="93"/>
      <c r="SK33" s="93"/>
      <c r="SL33" s="93"/>
      <c r="SM33" s="93"/>
      <c r="SN33" s="93"/>
      <c r="SO33" s="93"/>
      <c r="SP33" s="93"/>
      <c r="SQ33" s="93"/>
      <c r="SR33" s="93"/>
      <c r="SS33" s="93"/>
      <c r="ST33" s="93"/>
      <c r="SU33" s="93"/>
      <c r="SV33" s="93"/>
      <c r="SW33" s="93"/>
      <c r="SX33" s="93"/>
      <c r="SY33" s="93"/>
      <c r="SZ33" s="93"/>
      <c r="TA33" s="93"/>
      <c r="TB33" s="93"/>
      <c r="TC33" s="93"/>
      <c r="TD33" s="93"/>
      <c r="TE33" s="93"/>
      <c r="TF33" s="93"/>
      <c r="TG33" s="93"/>
      <c r="TH33" s="93"/>
      <c r="TI33" s="93"/>
      <c r="TJ33" s="93"/>
      <c r="TK33" s="93"/>
      <c r="TL33" s="93"/>
      <c r="TM33" s="93"/>
      <c r="TN33" s="93"/>
      <c r="TO33" s="93"/>
      <c r="TP33" s="93"/>
      <c r="TQ33" s="93"/>
      <c r="TR33" s="93"/>
      <c r="TS33" s="93"/>
      <c r="TT33" s="93"/>
      <c r="TU33" s="93"/>
      <c r="TV33" s="93"/>
      <c r="TW33" s="93"/>
      <c r="TX33" s="93"/>
      <c r="TY33" s="93"/>
      <c r="TZ33" s="93"/>
      <c r="UA33" s="93"/>
      <c r="UB33" s="93"/>
      <c r="UC33" s="93"/>
      <c r="UD33" s="93"/>
      <c r="UE33" s="93"/>
      <c r="UF33" s="93"/>
      <c r="UG33" s="93"/>
      <c r="UH33" s="93"/>
      <c r="UI33" s="93"/>
      <c r="UJ33" s="93"/>
      <c r="UK33" s="93"/>
      <c r="UL33" s="93"/>
      <c r="UM33" s="93"/>
      <c r="UN33" s="93"/>
      <c r="UO33" s="93"/>
      <c r="UP33" s="93"/>
      <c r="UQ33" s="93"/>
      <c r="UR33" s="93"/>
      <c r="US33" s="93"/>
      <c r="UT33" s="93"/>
      <c r="UU33" s="93"/>
      <c r="UV33" s="93"/>
      <c r="UW33" s="93"/>
      <c r="UX33" s="93"/>
      <c r="UY33" s="93"/>
      <c r="UZ33" s="93"/>
      <c r="VA33" s="93"/>
      <c r="VB33" s="93"/>
      <c r="VC33" s="93"/>
      <c r="VD33" s="93"/>
      <c r="VE33" s="93"/>
      <c r="VF33" s="93"/>
      <c r="VG33" s="93"/>
      <c r="VH33" s="93"/>
      <c r="VI33" s="93"/>
      <c r="VJ33" s="93"/>
      <c r="VK33" s="93"/>
      <c r="VL33" s="93"/>
      <c r="VM33" s="93"/>
      <c r="VN33" s="93"/>
      <c r="VO33" s="93"/>
      <c r="VP33" s="93"/>
      <c r="VQ33" s="93"/>
      <c r="VR33" s="93"/>
      <c r="VS33" s="93"/>
      <c r="VT33" s="93"/>
      <c r="VU33" s="93"/>
      <c r="VV33" s="93"/>
      <c r="VW33" s="93"/>
      <c r="VX33" s="93"/>
      <c r="VY33" s="93"/>
      <c r="VZ33" s="93"/>
      <c r="WA33" s="93"/>
      <c r="WB33" s="93"/>
      <c r="WC33" s="93"/>
      <c r="WD33" s="93"/>
      <c r="WE33" s="93"/>
      <c r="WF33" s="93"/>
      <c r="WG33" s="93"/>
      <c r="WH33" s="93"/>
      <c r="WI33" s="93"/>
      <c r="WJ33" s="93"/>
      <c r="WK33" s="93"/>
      <c r="WL33" s="93"/>
      <c r="WM33" s="93"/>
      <c r="WN33" s="93"/>
      <c r="WO33" s="93"/>
      <c r="WP33" s="93"/>
      <c r="WQ33" s="93"/>
      <c r="WR33" s="93"/>
      <c r="WS33" s="93"/>
      <c r="WT33" s="93"/>
      <c r="WU33" s="93"/>
      <c r="WV33" s="93"/>
      <c r="WW33" s="93"/>
      <c r="WX33" s="93"/>
      <c r="WY33" s="93"/>
      <c r="WZ33" s="93"/>
      <c r="XA33" s="93"/>
      <c r="XB33" s="93"/>
      <c r="XC33" s="93"/>
      <c r="XD33" s="93"/>
      <c r="XE33" s="93"/>
      <c r="XF33" s="93"/>
      <c r="XG33" s="93"/>
      <c r="XH33" s="93"/>
      <c r="XI33" s="93"/>
      <c r="XJ33" s="93"/>
      <c r="XK33" s="93"/>
      <c r="XL33" s="93"/>
      <c r="XM33" s="93"/>
      <c r="XN33" s="93"/>
      <c r="XO33" s="93"/>
      <c r="XP33" s="93"/>
      <c r="XQ33" s="93"/>
      <c r="XR33" s="93"/>
      <c r="XS33" s="93"/>
      <c r="XT33" s="93"/>
      <c r="XU33" s="93"/>
      <c r="XV33" s="93"/>
      <c r="XW33" s="93"/>
      <c r="XX33" s="93"/>
      <c r="XY33" s="93"/>
      <c r="XZ33" s="93"/>
      <c r="YA33" s="93"/>
      <c r="YB33" s="93"/>
      <c r="YC33" s="93"/>
      <c r="YD33" s="93"/>
      <c r="YE33" s="93"/>
      <c r="YF33" s="93"/>
      <c r="YG33" s="93"/>
      <c r="YH33" s="93"/>
      <c r="YI33" s="93"/>
      <c r="YJ33" s="93"/>
      <c r="YK33" s="93"/>
      <c r="YL33" s="93"/>
      <c r="YM33" s="93"/>
      <c r="YN33" s="93"/>
      <c r="YO33" s="93"/>
      <c r="YP33" s="93"/>
      <c r="YQ33" s="93"/>
      <c r="YR33" s="93"/>
      <c r="YS33" s="93"/>
      <c r="YT33" s="93"/>
      <c r="YU33" s="93"/>
      <c r="YV33" s="93"/>
      <c r="YW33" s="93"/>
      <c r="YX33" s="93"/>
      <c r="YY33" s="93"/>
      <c r="YZ33" s="93"/>
      <c r="ZA33" s="93"/>
      <c r="ZB33" s="93"/>
      <c r="ZC33" s="93"/>
      <c r="ZD33" s="93"/>
      <c r="ZE33" s="93"/>
      <c r="ZF33" s="93"/>
      <c r="ZG33" s="93"/>
      <c r="ZH33" s="93"/>
      <c r="ZI33" s="93"/>
      <c r="ZJ33" s="93"/>
      <c r="ZK33" s="93"/>
      <c r="ZL33" s="93"/>
      <c r="ZM33" s="93"/>
      <c r="ZN33" s="93"/>
      <c r="ZO33" s="93"/>
      <c r="ZP33" s="93"/>
      <c r="ZQ33" s="93"/>
      <c r="ZR33" s="93"/>
      <c r="ZS33" s="93"/>
      <c r="ZT33" s="93"/>
      <c r="ZU33" s="93"/>
      <c r="ZV33" s="93"/>
      <c r="ZW33" s="93"/>
      <c r="ZX33" s="93"/>
      <c r="ZY33" s="93"/>
      <c r="ZZ33" s="93"/>
      <c r="AAA33" s="93"/>
      <c r="AAB33" s="93"/>
      <c r="AAC33" s="93"/>
      <c r="AAD33" s="93"/>
      <c r="AAE33" s="93"/>
      <c r="AAF33" s="93"/>
      <c r="AAG33" s="93"/>
      <c r="AAH33" s="93"/>
      <c r="AAI33" s="93"/>
      <c r="AAJ33" s="93"/>
      <c r="AAK33" s="93"/>
      <c r="AAL33" s="93"/>
      <c r="AAM33" s="93"/>
      <c r="AAN33" s="93"/>
      <c r="AAO33" s="93"/>
      <c r="AAP33" s="93"/>
      <c r="AAQ33" s="93"/>
      <c r="AAR33" s="93"/>
      <c r="AAS33" s="93"/>
      <c r="AAT33" s="93"/>
      <c r="AAU33" s="93"/>
      <c r="AAV33" s="93"/>
      <c r="AAW33" s="93"/>
      <c r="AAX33" s="93"/>
      <c r="AAY33" s="93"/>
      <c r="AAZ33" s="93"/>
      <c r="ABA33" s="93"/>
      <c r="ABB33" s="93"/>
      <c r="ABC33" s="93"/>
      <c r="ABD33" s="93"/>
      <c r="ABE33" s="93"/>
      <c r="ABF33" s="93"/>
      <c r="ABG33" s="93"/>
      <c r="ABH33" s="93"/>
      <c r="ABI33" s="93"/>
      <c r="ABJ33" s="93"/>
      <c r="ABK33" s="93"/>
      <c r="ABL33" s="93"/>
      <c r="ABM33" s="93"/>
      <c r="ABN33" s="93"/>
      <c r="ABO33" s="93"/>
      <c r="ABP33" s="93"/>
      <c r="ABQ33" s="93"/>
      <c r="ABR33" s="93"/>
      <c r="ABS33" s="93"/>
      <c r="ABT33" s="93"/>
      <c r="ABU33" s="93"/>
      <c r="ABV33" s="93"/>
      <c r="ABW33" s="93"/>
      <c r="ABX33" s="93"/>
      <c r="ABY33" s="93"/>
      <c r="ABZ33" s="93"/>
      <c r="ACA33" s="93"/>
      <c r="ACB33" s="93"/>
      <c r="ACC33" s="93"/>
      <c r="ACD33" s="93"/>
      <c r="ACE33" s="93"/>
      <c r="ACF33" s="93"/>
      <c r="ACG33" s="93"/>
      <c r="ACH33" s="93"/>
      <c r="ACI33" s="93"/>
      <c r="ACJ33" s="93"/>
      <c r="ACK33" s="93"/>
      <c r="ACL33" s="93"/>
      <c r="ACM33" s="93"/>
      <c r="ACN33" s="93"/>
      <c r="ACO33" s="93"/>
      <c r="ACP33" s="93"/>
      <c r="ACQ33" s="93"/>
      <c r="ACR33" s="93"/>
      <c r="ACS33" s="93"/>
      <c r="ACT33" s="93"/>
      <c r="ACU33" s="93"/>
      <c r="ACV33" s="93"/>
      <c r="ACW33" s="93"/>
      <c r="ACX33" s="93"/>
      <c r="ACY33" s="93"/>
      <c r="ACZ33" s="93"/>
      <c r="ADA33" s="93"/>
      <c r="ADB33" s="93"/>
      <c r="ADC33" s="93"/>
      <c r="ADD33" s="93"/>
      <c r="ADE33" s="93"/>
      <c r="ADF33" s="93"/>
      <c r="ADG33" s="93"/>
      <c r="ADH33" s="93"/>
      <c r="ADI33" s="93"/>
      <c r="ADJ33" s="93"/>
      <c r="ADK33" s="93"/>
      <c r="ADL33" s="93"/>
      <c r="ADM33" s="93"/>
      <c r="ADN33" s="93"/>
      <c r="ADO33" s="93"/>
      <c r="ADP33" s="93"/>
      <c r="ADQ33" s="93"/>
      <c r="ADR33" s="93"/>
      <c r="ADS33" s="93"/>
      <c r="ADT33" s="93"/>
      <c r="ADU33" s="93"/>
      <c r="ADV33" s="93"/>
      <c r="ADW33" s="93"/>
      <c r="ADX33" s="93"/>
      <c r="ADY33" s="93"/>
      <c r="ADZ33" s="93"/>
      <c r="AEA33" s="93"/>
      <c r="AEB33" s="93"/>
      <c r="AEC33" s="93"/>
      <c r="AED33" s="93"/>
      <c r="AEE33" s="93"/>
      <c r="AEF33" s="93"/>
      <c r="AEG33" s="93"/>
      <c r="AEH33" s="93"/>
      <c r="AEI33" s="93"/>
      <c r="AEJ33" s="93"/>
      <c r="AEK33" s="93"/>
      <c r="AEL33" s="93"/>
      <c r="AEM33" s="93"/>
      <c r="AEN33" s="93"/>
      <c r="AEO33" s="93"/>
      <c r="AEP33" s="93"/>
      <c r="AEQ33" s="93"/>
      <c r="AER33" s="93"/>
      <c r="AES33" s="93"/>
      <c r="AET33" s="93"/>
      <c r="AEU33" s="93"/>
      <c r="AEV33" s="93"/>
      <c r="AEW33" s="93"/>
      <c r="AEX33" s="93"/>
      <c r="AEY33" s="93"/>
      <c r="AEZ33" s="93"/>
      <c r="AFA33" s="93"/>
      <c r="AFB33" s="93"/>
      <c r="AFC33" s="93"/>
      <c r="AFD33" s="93"/>
      <c r="AFE33" s="93"/>
      <c r="AFF33" s="93"/>
      <c r="AFG33" s="93"/>
      <c r="AFH33" s="93"/>
      <c r="AFI33" s="93"/>
      <c r="AFJ33" s="93"/>
      <c r="AFK33" s="93"/>
      <c r="AFL33" s="93"/>
      <c r="AFM33" s="93"/>
      <c r="AFN33" s="93"/>
      <c r="AFO33" s="93"/>
      <c r="AFP33" s="93"/>
      <c r="AFQ33" s="93"/>
      <c r="AFR33" s="93"/>
      <c r="AFS33" s="93"/>
      <c r="AFT33" s="93"/>
      <c r="AFU33" s="93"/>
      <c r="AFV33" s="93"/>
      <c r="AFW33" s="93"/>
      <c r="AFX33" s="93"/>
      <c r="AFY33" s="93"/>
      <c r="AFZ33" s="93"/>
      <c r="AGA33" s="93"/>
      <c r="AGB33" s="93"/>
      <c r="AGC33" s="93"/>
      <c r="AGD33" s="93"/>
      <c r="AGE33" s="93"/>
      <c r="AGF33" s="93"/>
      <c r="AGG33" s="93"/>
      <c r="AGH33" s="93"/>
      <c r="AGI33" s="93"/>
      <c r="AGJ33" s="93"/>
      <c r="AGK33" s="93"/>
      <c r="AGL33" s="93"/>
      <c r="AGM33" s="93"/>
      <c r="AGN33" s="93"/>
      <c r="AGO33" s="93"/>
      <c r="AGP33" s="93"/>
      <c r="AGQ33" s="93"/>
      <c r="AGR33" s="93"/>
      <c r="AGS33" s="93"/>
      <c r="AGT33" s="93"/>
      <c r="AGU33" s="93"/>
      <c r="AGV33" s="93"/>
      <c r="AGW33" s="93"/>
      <c r="AGX33" s="93"/>
      <c r="AGY33" s="93"/>
      <c r="AGZ33" s="93"/>
      <c r="AHA33" s="93"/>
      <c r="AHB33" s="93"/>
      <c r="AHC33" s="93"/>
      <c r="AHD33" s="93"/>
      <c r="AHE33" s="93"/>
      <c r="AHF33" s="93"/>
      <c r="AHG33" s="93"/>
      <c r="AHH33" s="93"/>
      <c r="AHI33" s="93"/>
      <c r="AHJ33" s="93"/>
      <c r="AHK33" s="93"/>
      <c r="AHL33" s="93"/>
      <c r="AHM33" s="93"/>
      <c r="AHN33" s="93"/>
      <c r="AHO33" s="93"/>
      <c r="AHP33" s="93"/>
      <c r="AHQ33" s="93"/>
      <c r="AHR33" s="93"/>
      <c r="AHS33" s="93"/>
      <c r="AHT33" s="93"/>
      <c r="AHU33" s="93"/>
      <c r="AHV33" s="93"/>
      <c r="AHW33" s="93"/>
      <c r="AHX33" s="93"/>
      <c r="AHY33" s="93"/>
      <c r="AHZ33" s="93"/>
      <c r="AIA33" s="93"/>
      <c r="AIB33" s="93"/>
      <c r="AIC33" s="93"/>
      <c r="AID33" s="93"/>
      <c r="AIE33" s="93"/>
      <c r="AIF33" s="93"/>
      <c r="AIG33" s="93"/>
      <c r="AIH33" s="93"/>
      <c r="AII33" s="93"/>
      <c r="AIJ33" s="93"/>
      <c r="AIK33" s="93"/>
      <c r="AIL33" s="93"/>
      <c r="AIM33" s="93"/>
      <c r="AIN33" s="93"/>
      <c r="AIO33" s="93"/>
      <c r="AIP33" s="93"/>
      <c r="AIQ33" s="93"/>
      <c r="AIR33" s="93"/>
      <c r="AIS33" s="93"/>
      <c r="AIT33" s="93"/>
      <c r="AIU33" s="93"/>
      <c r="AIV33" s="93"/>
      <c r="AIW33" s="93"/>
      <c r="AIX33" s="93"/>
      <c r="AIY33" s="93"/>
      <c r="AIZ33" s="93"/>
      <c r="AJA33" s="93"/>
      <c r="AJB33" s="93"/>
      <c r="AJC33" s="93"/>
      <c r="AJD33" s="93"/>
      <c r="AJE33" s="93"/>
      <c r="AJF33" s="93"/>
      <c r="AJG33" s="93"/>
      <c r="AJH33" s="93"/>
      <c r="AJI33" s="93"/>
      <c r="AJJ33" s="93"/>
      <c r="AJK33" s="93"/>
      <c r="AJL33" s="93"/>
      <c r="AJM33" s="93"/>
      <c r="AJN33" s="93"/>
      <c r="AJO33" s="93"/>
      <c r="AJP33" s="93"/>
      <c r="AJQ33" s="93"/>
      <c r="AJR33" s="93"/>
      <c r="AJS33" s="93"/>
      <c r="AJT33" s="93"/>
      <c r="AJU33" s="93"/>
      <c r="AJV33" s="93"/>
      <c r="AJW33" s="93"/>
      <c r="AJX33" s="93"/>
      <c r="AJY33" s="93"/>
      <c r="AJZ33" s="93"/>
      <c r="AKA33" s="93"/>
      <c r="AKB33" s="93"/>
      <c r="AKC33" s="93"/>
      <c r="AKD33" s="93"/>
      <c r="AKE33" s="93"/>
      <c r="AKF33" s="93"/>
      <c r="AKG33" s="93"/>
      <c r="AKH33" s="93"/>
      <c r="AKI33" s="93"/>
      <c r="AKJ33" s="93"/>
      <c r="AKK33" s="93"/>
      <c r="AKL33" s="93"/>
      <c r="AKM33" s="93"/>
      <c r="AKN33" s="93"/>
      <c r="AKO33" s="93"/>
      <c r="AKP33" s="93"/>
      <c r="AKQ33" s="93"/>
      <c r="AKR33" s="93"/>
      <c r="AKS33" s="93"/>
      <c r="AKT33" s="93"/>
      <c r="AKU33" s="93"/>
      <c r="AKV33" s="93"/>
      <c r="AKW33" s="93"/>
      <c r="AKX33" s="93"/>
      <c r="AKY33" s="93"/>
      <c r="AKZ33" s="93"/>
      <c r="ALA33" s="93"/>
      <c r="ALB33" s="93"/>
      <c r="ALC33" s="93"/>
      <c r="ALD33" s="93"/>
      <c r="ALE33" s="93"/>
      <c r="ALF33" s="93"/>
      <c r="ALG33" s="93"/>
      <c r="ALH33" s="93"/>
      <c r="ALI33" s="93"/>
      <c r="ALJ33" s="93"/>
      <c r="ALK33" s="93"/>
      <c r="ALL33" s="93"/>
      <c r="ALM33" s="93"/>
      <c r="ALN33" s="93"/>
      <c r="ALO33" s="93"/>
      <c r="ALP33" s="93"/>
      <c r="ALQ33" s="93"/>
      <c r="ALR33" s="93"/>
      <c r="ALS33" s="93"/>
      <c r="ALT33" s="93"/>
      <c r="ALU33" s="93"/>
      <c r="ALV33" s="93"/>
      <c r="ALW33" s="93"/>
      <c r="ALX33" s="93"/>
      <c r="ALY33" s="93"/>
      <c r="ALZ33" s="93"/>
      <c r="AMA33" s="93"/>
      <c r="AMB33" s="93"/>
      <c r="AMC33" s="93"/>
      <c r="AMD33" s="93"/>
      <c r="AME33" s="93"/>
      <c r="AMF33" s="93"/>
      <c r="AMG33" s="93"/>
      <c r="AMH33" s="93"/>
      <c r="AMI33" s="93"/>
      <c r="AMJ33" s="93"/>
      <c r="AMK33" s="93"/>
      <c r="AML33" s="93"/>
      <c r="AMM33" s="93"/>
      <c r="AMN33" s="93"/>
      <c r="AMO33" s="93"/>
      <c r="AMP33" s="93"/>
      <c r="AMQ33" s="93"/>
      <c r="AMR33" s="93"/>
      <c r="AMS33" s="93"/>
      <c r="AMT33" s="93"/>
      <c r="AMU33" s="93"/>
      <c r="AMV33" s="93"/>
      <c r="AMW33" s="93"/>
      <c r="AMX33" s="93"/>
      <c r="AMY33" s="93"/>
      <c r="AMZ33" s="93"/>
      <c r="ANA33" s="93"/>
      <c r="ANB33" s="93"/>
      <c r="ANC33" s="93"/>
      <c r="AND33" s="93"/>
      <c r="ANE33" s="93"/>
      <c r="ANF33" s="93"/>
      <c r="ANG33" s="93"/>
      <c r="ANH33" s="93"/>
      <c r="ANI33" s="93"/>
      <c r="ANJ33" s="93"/>
      <c r="ANK33" s="93"/>
      <c r="ANL33" s="93"/>
      <c r="ANM33" s="93"/>
      <c r="ANN33" s="93"/>
      <c r="ANO33" s="93"/>
      <c r="ANP33" s="93"/>
      <c r="ANQ33" s="93"/>
      <c r="ANR33" s="93"/>
      <c r="ANS33" s="93"/>
      <c r="ANT33" s="93"/>
      <c r="ANU33" s="93"/>
      <c r="ANV33" s="93"/>
      <c r="ANW33" s="93"/>
      <c r="ANX33" s="93"/>
      <c r="ANY33" s="93"/>
      <c r="ANZ33" s="93"/>
      <c r="AOA33" s="93"/>
      <c r="AOB33" s="93"/>
      <c r="AOC33" s="93"/>
      <c r="AOD33" s="93"/>
      <c r="AOE33" s="93"/>
      <c r="AOF33" s="93"/>
      <c r="AOG33" s="93"/>
      <c r="AOH33" s="93"/>
      <c r="AOI33" s="93"/>
      <c r="AOJ33" s="93"/>
      <c r="AOK33" s="93"/>
      <c r="AOL33" s="93"/>
      <c r="AOM33" s="93"/>
      <c r="AON33" s="93"/>
      <c r="AOO33" s="93"/>
      <c r="AOP33" s="93"/>
      <c r="AOQ33" s="93"/>
      <c r="AOR33" s="93"/>
      <c r="AOS33" s="93"/>
      <c r="AOT33" s="93"/>
      <c r="AOU33" s="93"/>
      <c r="AOV33" s="93"/>
      <c r="AOW33" s="93"/>
      <c r="AOX33" s="93"/>
      <c r="AOY33" s="93"/>
      <c r="AOZ33" s="93"/>
      <c r="APA33" s="93"/>
      <c r="APB33" s="93"/>
      <c r="APC33" s="93"/>
      <c r="APD33" s="93"/>
      <c r="APE33" s="93"/>
      <c r="APF33" s="93"/>
      <c r="APG33" s="93"/>
      <c r="APH33" s="93"/>
      <c r="API33" s="93"/>
      <c r="APJ33" s="93"/>
      <c r="APK33" s="93"/>
      <c r="APL33" s="93"/>
      <c r="APM33" s="93"/>
      <c r="APN33" s="93"/>
      <c r="APO33" s="93"/>
      <c r="APP33" s="93"/>
      <c r="APQ33" s="93"/>
      <c r="APR33" s="93"/>
      <c r="APS33" s="93"/>
      <c r="APT33" s="93"/>
      <c r="APU33" s="93"/>
      <c r="APV33" s="93"/>
      <c r="APW33" s="93"/>
      <c r="APX33" s="93"/>
      <c r="APY33" s="93"/>
      <c r="APZ33" s="93"/>
      <c r="AQA33" s="93"/>
      <c r="AQB33" s="93"/>
      <c r="AQC33" s="93"/>
      <c r="AQD33" s="93"/>
      <c r="AQE33" s="93"/>
      <c r="AQF33" s="93"/>
      <c r="AQG33" s="93"/>
      <c r="AQH33" s="93"/>
      <c r="AQI33" s="93"/>
      <c r="AQJ33" s="93"/>
      <c r="AQK33" s="93"/>
      <c r="AQL33" s="93"/>
      <c r="AQM33" s="93"/>
      <c r="AQN33" s="93"/>
      <c r="AQO33" s="93"/>
      <c r="AQP33" s="93"/>
      <c r="AQQ33" s="93"/>
      <c r="AQR33" s="93"/>
      <c r="AQS33" s="93"/>
      <c r="AQT33" s="93"/>
      <c r="AQU33" s="93"/>
      <c r="AQV33" s="93"/>
      <c r="AQW33" s="93"/>
      <c r="AQX33" s="93"/>
      <c r="AQY33" s="93"/>
      <c r="AQZ33" s="93"/>
      <c r="ARA33" s="93"/>
      <c r="ARB33" s="93"/>
      <c r="ARC33" s="93"/>
      <c r="ARD33" s="93"/>
      <c r="ARE33" s="93"/>
      <c r="ARF33" s="93"/>
      <c r="ARG33" s="93"/>
      <c r="ARH33" s="93"/>
      <c r="ARI33" s="93"/>
      <c r="ARJ33" s="93"/>
      <c r="ARK33" s="93"/>
      <c r="ARL33" s="93"/>
      <c r="ARM33" s="93"/>
      <c r="ARN33" s="93"/>
      <c r="ARO33" s="93"/>
      <c r="ARP33" s="93"/>
      <c r="ARQ33" s="93"/>
      <c r="ARR33" s="93"/>
      <c r="ARS33" s="93"/>
      <c r="ART33" s="93"/>
      <c r="ARU33" s="93"/>
      <c r="ARV33" s="93"/>
      <c r="ARW33" s="93"/>
      <c r="ARX33" s="93"/>
      <c r="ARY33" s="93"/>
      <c r="ARZ33" s="93"/>
      <c r="ASA33" s="93"/>
      <c r="ASB33" s="93"/>
      <c r="ASC33" s="93"/>
      <c r="ASD33" s="93"/>
      <c r="ASE33" s="93"/>
      <c r="ASF33" s="93"/>
      <c r="ASG33" s="93"/>
      <c r="ASH33" s="93"/>
      <c r="ASI33" s="93"/>
      <c r="ASJ33" s="93"/>
      <c r="ASK33" s="93"/>
      <c r="ASL33" s="93"/>
      <c r="ASM33" s="93"/>
      <c r="ASN33" s="93"/>
      <c r="ASO33" s="93"/>
      <c r="ASP33" s="93"/>
      <c r="ASQ33" s="93"/>
      <c r="ASR33" s="93"/>
      <c r="ASS33" s="93"/>
      <c r="AST33" s="93"/>
      <c r="ASU33" s="93"/>
      <c r="ASV33" s="93"/>
      <c r="ASW33" s="93"/>
      <c r="ASX33" s="93"/>
      <c r="ASY33" s="93"/>
      <c r="ASZ33" s="93"/>
      <c r="ATA33" s="93"/>
      <c r="ATB33" s="93"/>
      <c r="ATC33" s="93"/>
      <c r="ATD33" s="93"/>
      <c r="ATE33" s="93"/>
      <c r="ATF33" s="93"/>
      <c r="ATG33" s="93"/>
      <c r="ATH33" s="93"/>
      <c r="ATI33" s="93"/>
      <c r="ATJ33" s="93"/>
      <c r="ATK33" s="93"/>
      <c r="ATL33" s="93"/>
      <c r="ATM33" s="93"/>
      <c r="ATN33" s="93"/>
      <c r="ATO33" s="93"/>
      <c r="ATP33" s="93"/>
      <c r="ATQ33" s="93"/>
      <c r="ATR33" s="93"/>
      <c r="ATS33" s="93"/>
      <c r="ATT33" s="93"/>
      <c r="ATU33" s="93"/>
      <c r="ATV33" s="93"/>
      <c r="ATW33" s="93"/>
      <c r="ATX33" s="93"/>
      <c r="ATY33" s="93"/>
      <c r="ATZ33" s="93"/>
      <c r="AUA33" s="93"/>
      <c r="AUB33" s="93"/>
      <c r="AUC33" s="93"/>
      <c r="AUD33" s="93"/>
      <c r="AUE33" s="93"/>
      <c r="AUF33" s="93"/>
      <c r="AUG33" s="93"/>
      <c r="AUH33" s="93"/>
      <c r="AUI33" s="93"/>
      <c r="AUJ33" s="93"/>
      <c r="AUK33" s="93"/>
      <c r="AUL33" s="93"/>
      <c r="AUM33" s="93"/>
      <c r="AUN33" s="93"/>
      <c r="AUO33" s="93"/>
      <c r="AUP33" s="93"/>
      <c r="AUQ33" s="93"/>
      <c r="AUR33" s="93"/>
      <c r="AUS33" s="93"/>
      <c r="AUT33" s="93"/>
      <c r="AUU33" s="93"/>
      <c r="AUV33" s="93"/>
      <c r="AUW33" s="93"/>
      <c r="AUX33" s="93"/>
      <c r="AUY33" s="93"/>
      <c r="AUZ33" s="93"/>
      <c r="AVA33" s="93"/>
      <c r="AVB33" s="93"/>
      <c r="AVC33" s="93"/>
      <c r="AVD33" s="93"/>
      <c r="AVE33" s="93"/>
      <c r="AVF33" s="93"/>
      <c r="AVG33" s="93"/>
      <c r="AVH33" s="93"/>
      <c r="AVI33" s="93"/>
      <c r="AVJ33" s="93"/>
      <c r="AVK33" s="93"/>
      <c r="AVL33" s="93"/>
      <c r="AVM33" s="93"/>
      <c r="AVN33" s="93"/>
      <c r="AVO33" s="93"/>
      <c r="AVP33" s="93"/>
      <c r="AVQ33" s="93"/>
      <c r="AVR33" s="93"/>
      <c r="AVS33" s="93"/>
      <c r="AVT33" s="93"/>
      <c r="AVU33" s="93"/>
      <c r="AVV33" s="93"/>
      <c r="AVW33" s="93"/>
      <c r="AVX33" s="93"/>
      <c r="AVY33" s="93"/>
      <c r="AVZ33" s="93"/>
      <c r="AWA33" s="93"/>
      <c r="AWB33" s="93"/>
      <c r="AWC33" s="93"/>
      <c r="AWD33" s="93"/>
      <c r="AWE33" s="93"/>
      <c r="AWF33" s="93"/>
      <c r="AWG33" s="93"/>
      <c r="AWH33" s="93"/>
      <c r="AWI33" s="93"/>
      <c r="AWJ33" s="93"/>
      <c r="AWK33" s="93"/>
      <c r="AWL33" s="93"/>
      <c r="AWM33" s="93"/>
      <c r="AWN33" s="93"/>
      <c r="AWO33" s="93"/>
      <c r="AWP33" s="93"/>
      <c r="AWQ33" s="93"/>
      <c r="AWR33" s="93"/>
      <c r="AWS33" s="93"/>
      <c r="AWT33" s="93"/>
      <c r="AWU33" s="93"/>
      <c r="AWV33" s="93"/>
      <c r="AWW33" s="93"/>
      <c r="AWX33" s="93"/>
      <c r="AWY33" s="93"/>
      <c r="AWZ33" s="93"/>
      <c r="AXA33" s="93"/>
      <c r="AXB33" s="93"/>
      <c r="AXC33" s="93"/>
      <c r="AXD33" s="93"/>
      <c r="AXE33" s="93"/>
      <c r="AXF33" s="93"/>
      <c r="AXG33" s="93"/>
      <c r="AXH33" s="93"/>
      <c r="AXI33" s="93"/>
      <c r="AXJ33" s="93"/>
      <c r="AXK33" s="93"/>
      <c r="AXL33" s="93"/>
      <c r="AXM33" s="93"/>
      <c r="AXN33" s="93"/>
      <c r="AXO33" s="93"/>
      <c r="AXP33" s="93"/>
      <c r="AXQ33" s="93"/>
      <c r="AXR33" s="93"/>
      <c r="AXS33" s="93"/>
      <c r="AXT33" s="93"/>
      <c r="AXU33" s="93"/>
      <c r="AXV33" s="93"/>
      <c r="AXW33" s="93"/>
      <c r="AXX33" s="93"/>
      <c r="AXY33" s="93"/>
      <c r="AXZ33" s="93"/>
      <c r="AYA33" s="93"/>
      <c r="AYB33" s="93"/>
      <c r="AYC33" s="93"/>
      <c r="AYD33" s="93"/>
      <c r="AYE33" s="93"/>
      <c r="AYF33" s="93"/>
      <c r="AYG33" s="93"/>
      <c r="AYH33" s="93"/>
      <c r="AYI33" s="93"/>
      <c r="AYJ33" s="93"/>
      <c r="AYK33" s="93"/>
      <c r="AYL33" s="93"/>
      <c r="AYM33" s="93"/>
      <c r="AYN33" s="93"/>
      <c r="AYO33" s="93"/>
      <c r="AYP33" s="93"/>
      <c r="AYQ33" s="93"/>
      <c r="AYR33" s="93"/>
      <c r="AYS33" s="93"/>
      <c r="AYT33" s="93"/>
      <c r="AYU33" s="93"/>
      <c r="AYV33" s="93"/>
      <c r="AYW33" s="93"/>
      <c r="AYX33" s="93"/>
      <c r="AYY33" s="93"/>
      <c r="AYZ33" s="93"/>
      <c r="AZA33" s="93"/>
      <c r="AZB33" s="93"/>
      <c r="AZC33" s="93"/>
      <c r="AZD33" s="93"/>
      <c r="AZE33" s="93"/>
      <c r="AZF33" s="93"/>
      <c r="AZG33" s="93"/>
      <c r="AZH33" s="93"/>
      <c r="AZI33" s="93"/>
      <c r="AZJ33" s="93"/>
      <c r="AZK33" s="93"/>
      <c r="AZL33" s="93"/>
      <c r="AZM33" s="93"/>
      <c r="AZN33" s="93"/>
      <c r="AZO33" s="93"/>
      <c r="AZP33" s="93"/>
      <c r="AZQ33" s="93"/>
      <c r="AZR33" s="93"/>
      <c r="AZS33" s="93"/>
      <c r="AZT33" s="93"/>
      <c r="AZU33" s="93"/>
      <c r="AZV33" s="93"/>
      <c r="AZW33" s="93"/>
      <c r="AZX33" s="93"/>
      <c r="AZY33" s="93"/>
      <c r="AZZ33" s="93"/>
      <c r="BAA33" s="93"/>
      <c r="BAB33" s="93"/>
      <c r="BAC33" s="93"/>
      <c r="BAD33" s="93"/>
      <c r="BAE33" s="93"/>
      <c r="BAF33" s="93"/>
      <c r="BAG33" s="93"/>
      <c r="BAH33" s="93"/>
      <c r="BAI33" s="93"/>
      <c r="BAJ33" s="93"/>
      <c r="BAK33" s="93"/>
      <c r="BAL33" s="93"/>
      <c r="BAM33" s="93"/>
      <c r="BAN33" s="93"/>
      <c r="BAO33" s="93"/>
      <c r="BAP33" s="93"/>
      <c r="BAQ33" s="93"/>
      <c r="BAR33" s="93"/>
      <c r="BAS33" s="93"/>
      <c r="BAT33" s="93"/>
      <c r="BAU33" s="93"/>
      <c r="BAV33" s="93"/>
      <c r="BAW33" s="93"/>
      <c r="BAX33" s="93"/>
      <c r="BAY33" s="93"/>
      <c r="BAZ33" s="93"/>
      <c r="BBA33" s="93"/>
      <c r="BBB33" s="93"/>
      <c r="BBC33" s="93"/>
      <c r="BBD33" s="93"/>
      <c r="BBE33" s="93"/>
      <c r="BBF33" s="93"/>
      <c r="BBG33" s="93"/>
      <c r="BBH33" s="93"/>
      <c r="BBI33" s="93"/>
      <c r="BBJ33" s="93"/>
      <c r="BBK33" s="93"/>
      <c r="BBL33" s="93"/>
      <c r="BBM33" s="93"/>
      <c r="BBN33" s="93"/>
      <c r="BBO33" s="93"/>
      <c r="BBP33" s="93"/>
      <c r="BBQ33" s="93"/>
      <c r="BBR33" s="93"/>
      <c r="BBS33" s="93"/>
      <c r="BBT33" s="93"/>
      <c r="BBU33" s="93"/>
      <c r="BBV33" s="93"/>
      <c r="BBW33" s="93"/>
      <c r="BBX33" s="93"/>
      <c r="BBY33" s="93"/>
      <c r="BBZ33" s="93"/>
      <c r="BCA33" s="93"/>
      <c r="BCB33" s="93"/>
      <c r="BCC33" s="93"/>
      <c r="BCD33" s="93"/>
      <c r="BCE33" s="93"/>
      <c r="BCF33" s="93"/>
      <c r="BCG33" s="93"/>
      <c r="BCH33" s="93"/>
      <c r="BCI33" s="93"/>
      <c r="BCJ33" s="93"/>
      <c r="BCK33" s="93"/>
      <c r="BCL33" s="93"/>
      <c r="BCM33" s="93"/>
      <c r="BCN33" s="93"/>
      <c r="BCO33" s="93"/>
      <c r="BCP33" s="93"/>
      <c r="BCQ33" s="93"/>
      <c r="BCR33" s="93"/>
      <c r="BCS33" s="93"/>
      <c r="BCT33" s="93"/>
      <c r="BCU33" s="93"/>
      <c r="BCV33" s="93"/>
      <c r="BCW33" s="93"/>
      <c r="BCX33" s="93"/>
      <c r="BCY33" s="93"/>
      <c r="BCZ33" s="93"/>
      <c r="BDA33" s="93"/>
      <c r="BDB33" s="93"/>
      <c r="BDC33" s="93"/>
      <c r="BDD33" s="93"/>
      <c r="BDE33" s="93"/>
      <c r="BDF33" s="93"/>
      <c r="BDG33" s="93"/>
      <c r="BDH33" s="93"/>
      <c r="BDI33" s="93"/>
      <c r="BDJ33" s="93"/>
      <c r="BDK33" s="93"/>
      <c r="BDL33" s="93"/>
      <c r="BDM33" s="93"/>
      <c r="BDN33" s="93"/>
      <c r="BDO33" s="93"/>
      <c r="BDP33" s="93"/>
      <c r="BDQ33" s="93"/>
      <c r="BDR33" s="93"/>
      <c r="BDS33" s="93"/>
      <c r="BDT33" s="93"/>
      <c r="BDU33" s="93"/>
      <c r="BDV33" s="93"/>
      <c r="BDW33" s="93"/>
      <c r="BDX33" s="93"/>
      <c r="BDY33" s="93"/>
      <c r="BDZ33" s="93"/>
      <c r="BEA33" s="93"/>
      <c r="BEB33" s="93"/>
      <c r="BEC33" s="93"/>
      <c r="BED33" s="93"/>
      <c r="BEE33" s="93"/>
      <c r="BEF33" s="93"/>
      <c r="BEG33" s="93"/>
      <c r="BEH33" s="93"/>
      <c r="BEI33" s="93"/>
      <c r="BEJ33" s="93"/>
      <c r="BEK33" s="93"/>
      <c r="BEL33" s="93"/>
      <c r="BEM33" s="93"/>
      <c r="BEN33" s="93"/>
      <c r="BEO33" s="93"/>
      <c r="BEP33" s="93"/>
      <c r="BEQ33" s="93"/>
      <c r="BER33" s="93"/>
      <c r="BES33" s="93"/>
      <c r="BET33" s="93"/>
      <c r="BEU33" s="93"/>
      <c r="BEV33" s="93"/>
      <c r="BEW33" s="93"/>
      <c r="BEX33" s="93"/>
      <c r="BEY33" s="93"/>
      <c r="BEZ33" s="93"/>
      <c r="BFA33" s="93"/>
      <c r="BFB33" s="93"/>
      <c r="BFC33" s="93"/>
      <c r="BFD33" s="93"/>
      <c r="BFE33" s="93"/>
      <c r="BFF33" s="93"/>
      <c r="BFG33" s="93"/>
      <c r="BFH33" s="93"/>
      <c r="BFI33" s="93"/>
      <c r="BFJ33" s="93"/>
      <c r="BFK33" s="93"/>
      <c r="BFL33" s="93"/>
      <c r="BFM33" s="93"/>
      <c r="BFN33" s="93"/>
      <c r="BFO33" s="93"/>
      <c r="BFP33" s="93"/>
      <c r="BFQ33" s="93"/>
      <c r="BFR33" s="93"/>
      <c r="BFS33" s="93"/>
      <c r="BFT33" s="93"/>
      <c r="BFU33" s="93"/>
      <c r="BFV33" s="93"/>
      <c r="BFW33" s="93"/>
      <c r="BFX33" s="93"/>
      <c r="BFY33" s="93"/>
      <c r="BFZ33" s="93"/>
      <c r="BGA33" s="93"/>
      <c r="BGB33" s="93"/>
      <c r="BGC33" s="93"/>
      <c r="BGD33" s="93"/>
      <c r="BGE33" s="93"/>
      <c r="BGF33" s="93"/>
      <c r="BGG33" s="93"/>
      <c r="BGH33" s="93"/>
      <c r="BGI33" s="93"/>
      <c r="BGJ33" s="93"/>
      <c r="BGK33" s="93"/>
      <c r="BGL33" s="93"/>
      <c r="BGM33" s="93"/>
      <c r="BGN33" s="93"/>
      <c r="BGO33" s="93"/>
      <c r="BGP33" s="93"/>
      <c r="BGQ33" s="93"/>
      <c r="BGR33" s="93"/>
      <c r="BGS33" s="93"/>
      <c r="BGT33" s="93"/>
      <c r="BGU33" s="93"/>
      <c r="BGV33" s="93"/>
      <c r="BGW33" s="93"/>
      <c r="BGX33" s="93"/>
      <c r="BGY33" s="93"/>
      <c r="BGZ33" s="93"/>
      <c r="BHA33" s="93"/>
      <c r="BHB33" s="93"/>
      <c r="BHC33" s="93"/>
      <c r="BHD33" s="93"/>
      <c r="BHE33" s="93"/>
      <c r="BHF33" s="93"/>
      <c r="BHG33" s="93"/>
      <c r="BHH33" s="93"/>
      <c r="BHI33" s="93"/>
      <c r="BHJ33" s="93"/>
      <c r="BHK33" s="93"/>
      <c r="BHL33" s="93"/>
      <c r="BHM33" s="93"/>
      <c r="BHN33" s="93"/>
      <c r="BHO33" s="93"/>
      <c r="BHP33" s="93"/>
      <c r="BHQ33" s="93"/>
      <c r="BHR33" s="93"/>
      <c r="BHS33" s="93"/>
      <c r="BHT33" s="93"/>
      <c r="BHU33" s="93"/>
      <c r="BHV33" s="93"/>
      <c r="BHW33" s="93"/>
      <c r="BHX33" s="93"/>
      <c r="BHY33" s="93"/>
      <c r="BHZ33" s="93"/>
      <c r="BIA33" s="93"/>
      <c r="BIB33" s="93"/>
      <c r="BIC33" s="93"/>
      <c r="BID33" s="93"/>
      <c r="BIE33" s="93"/>
      <c r="BIF33" s="93"/>
      <c r="BIG33" s="93"/>
      <c r="BIH33" s="93"/>
      <c r="BII33" s="93"/>
      <c r="BIJ33" s="93"/>
      <c r="BIK33" s="93"/>
      <c r="BIL33" s="93"/>
      <c r="BIM33" s="93"/>
      <c r="BIN33" s="93"/>
      <c r="BIO33" s="93"/>
      <c r="BIP33" s="93"/>
      <c r="BIQ33" s="93"/>
      <c r="BIR33" s="93"/>
      <c r="BIS33" s="93"/>
      <c r="BIT33" s="93"/>
      <c r="BIU33" s="93"/>
      <c r="BIV33" s="93"/>
      <c r="BIW33" s="93"/>
      <c r="BIX33" s="93"/>
      <c r="BIY33" s="93"/>
      <c r="BIZ33" s="93"/>
      <c r="BJA33" s="93"/>
      <c r="BJB33" s="93"/>
      <c r="BJC33" s="93"/>
      <c r="BJD33" s="93"/>
      <c r="BJE33" s="93"/>
      <c r="BJF33" s="93"/>
      <c r="BJG33" s="93"/>
      <c r="BJH33" s="93"/>
      <c r="BJI33" s="93"/>
      <c r="BJJ33" s="93"/>
      <c r="BJK33" s="93"/>
      <c r="BJL33" s="93"/>
      <c r="BJM33" s="93"/>
      <c r="BJN33" s="93"/>
      <c r="BJO33" s="93"/>
      <c r="BJP33" s="93"/>
      <c r="BJQ33" s="93"/>
      <c r="BJR33" s="93"/>
      <c r="BJS33" s="93"/>
      <c r="BJT33" s="93"/>
      <c r="BJU33" s="93"/>
      <c r="BJV33" s="93"/>
      <c r="BJW33" s="93"/>
      <c r="BJX33" s="93"/>
      <c r="BJY33" s="93"/>
      <c r="BJZ33" s="93"/>
      <c r="BKA33" s="93"/>
      <c r="BKB33" s="93"/>
      <c r="BKC33" s="93"/>
      <c r="BKD33" s="93"/>
      <c r="BKE33" s="93"/>
      <c r="BKF33" s="93"/>
      <c r="BKG33" s="93"/>
      <c r="BKH33" s="93"/>
      <c r="BKI33" s="93"/>
      <c r="BKJ33" s="93"/>
      <c r="BKK33" s="93"/>
      <c r="BKL33" s="93"/>
      <c r="BKM33" s="93"/>
      <c r="BKN33" s="93"/>
      <c r="BKO33" s="93"/>
      <c r="BKP33" s="93"/>
      <c r="BKQ33" s="93"/>
      <c r="BKR33" s="93"/>
      <c r="BKS33" s="93"/>
      <c r="BKT33" s="93"/>
      <c r="BKU33" s="93"/>
      <c r="BKV33" s="93"/>
      <c r="BKW33" s="93"/>
      <c r="BKX33" s="93"/>
      <c r="BKY33" s="93"/>
      <c r="BKZ33" s="93"/>
      <c r="BLA33" s="93"/>
      <c r="BLB33" s="93"/>
      <c r="BLC33" s="93"/>
      <c r="BLD33" s="93"/>
      <c r="BLE33" s="93"/>
      <c r="BLF33" s="93"/>
      <c r="BLG33" s="93"/>
      <c r="BLH33" s="93"/>
      <c r="BLI33" s="93"/>
      <c r="BLJ33" s="93"/>
      <c r="BLK33" s="93"/>
      <c r="BLL33" s="93"/>
      <c r="BLM33" s="93"/>
      <c r="BLN33" s="93"/>
      <c r="BLO33" s="93"/>
      <c r="BLP33" s="93"/>
      <c r="BLQ33" s="93"/>
      <c r="BLR33" s="93"/>
      <c r="BLS33" s="93"/>
      <c r="BLT33" s="93"/>
      <c r="BLU33" s="93"/>
      <c r="BLV33" s="93"/>
      <c r="BLW33" s="93"/>
      <c r="BLX33" s="93"/>
      <c r="BLY33" s="93"/>
      <c r="BLZ33" s="93"/>
      <c r="BMA33" s="93"/>
      <c r="BMB33" s="93"/>
      <c r="BMC33" s="93"/>
      <c r="BMD33" s="93"/>
      <c r="BME33" s="93"/>
      <c r="BMF33" s="93"/>
      <c r="BMG33" s="93"/>
      <c r="BMH33" s="93"/>
      <c r="BMI33" s="93"/>
      <c r="BMJ33" s="93"/>
      <c r="BMK33" s="93"/>
      <c r="BML33" s="93"/>
      <c r="BMM33" s="93"/>
      <c r="BMN33" s="93"/>
      <c r="BMO33" s="93"/>
      <c r="BMP33" s="93"/>
      <c r="BMQ33" s="93"/>
      <c r="BMR33" s="93"/>
      <c r="BMS33" s="93"/>
      <c r="BMT33" s="93"/>
      <c r="BMU33" s="93"/>
      <c r="BMV33" s="93"/>
      <c r="BMW33" s="93"/>
      <c r="BMX33" s="93"/>
      <c r="BMY33" s="93"/>
      <c r="BMZ33" s="93"/>
      <c r="BNA33" s="93"/>
      <c r="BNB33" s="93"/>
      <c r="BNC33" s="93"/>
      <c r="BND33" s="93"/>
      <c r="BNE33" s="93"/>
      <c r="BNF33" s="93"/>
      <c r="BNG33" s="93"/>
      <c r="BNH33" s="93"/>
      <c r="BNI33" s="93"/>
      <c r="BNJ33" s="93"/>
      <c r="BNK33" s="93"/>
      <c r="BNL33" s="93"/>
      <c r="BNM33" s="93"/>
      <c r="BNN33" s="93"/>
      <c r="BNO33" s="93"/>
      <c r="BNP33" s="93"/>
      <c r="BNQ33" s="93"/>
      <c r="BNR33" s="93"/>
      <c r="BNS33" s="93"/>
      <c r="BNT33" s="93"/>
      <c r="BNU33" s="93"/>
      <c r="BNV33" s="93"/>
      <c r="BNW33" s="93"/>
      <c r="BNX33" s="93"/>
      <c r="BNY33" s="93"/>
      <c r="BNZ33" s="93"/>
      <c r="BOA33" s="93"/>
      <c r="BOB33" s="93"/>
      <c r="BOC33" s="93"/>
      <c r="BOD33" s="93"/>
      <c r="BOE33" s="93"/>
      <c r="BOF33" s="93"/>
      <c r="BOG33" s="93"/>
      <c r="BOH33" s="93"/>
      <c r="BOI33" s="93"/>
      <c r="BOJ33" s="93"/>
      <c r="BOK33" s="93"/>
      <c r="BOL33" s="93"/>
      <c r="BOM33" s="93"/>
      <c r="BON33" s="93"/>
      <c r="BOO33" s="93"/>
      <c r="BOP33" s="93"/>
      <c r="BOQ33" s="93"/>
      <c r="BOR33" s="93"/>
      <c r="BOS33" s="93"/>
      <c r="BOT33" s="93"/>
      <c r="BOU33" s="93"/>
      <c r="BOV33" s="93"/>
      <c r="BOW33" s="93"/>
      <c r="BOX33" s="93"/>
      <c r="BOY33" s="93"/>
      <c r="BOZ33" s="93"/>
      <c r="BPA33" s="93"/>
      <c r="BPB33" s="93"/>
      <c r="BPC33" s="93"/>
      <c r="BPD33" s="93"/>
      <c r="BPE33" s="93"/>
      <c r="BPF33" s="93"/>
      <c r="BPG33" s="93"/>
      <c r="BPH33" s="93"/>
      <c r="BPI33" s="93"/>
      <c r="BPJ33" s="93"/>
      <c r="BPK33" s="93"/>
      <c r="BPL33" s="93"/>
      <c r="BPM33" s="93"/>
      <c r="BPN33" s="93"/>
      <c r="BPO33" s="93"/>
      <c r="BPP33" s="93"/>
      <c r="BPQ33" s="93"/>
      <c r="BPR33" s="93"/>
      <c r="BPS33" s="93"/>
      <c r="BPT33" s="93"/>
      <c r="BPU33" s="93"/>
      <c r="BPV33" s="93"/>
      <c r="BPW33" s="93"/>
      <c r="BPX33" s="93"/>
      <c r="BPY33" s="93"/>
      <c r="BPZ33" s="93"/>
      <c r="BQA33" s="93"/>
      <c r="BQB33" s="93"/>
      <c r="BQC33" s="93"/>
      <c r="BQD33" s="93"/>
      <c r="BQE33" s="93"/>
      <c r="BQF33" s="93"/>
      <c r="BQG33" s="93"/>
      <c r="BQH33" s="93"/>
      <c r="BQI33" s="93"/>
      <c r="BQJ33" s="93"/>
      <c r="BQK33" s="93"/>
      <c r="BQL33" s="93"/>
      <c r="BQM33" s="93"/>
      <c r="BQN33" s="93"/>
      <c r="BQO33" s="93"/>
      <c r="BQP33" s="93"/>
      <c r="BQQ33" s="93"/>
      <c r="BQR33" s="93"/>
      <c r="BQS33" s="93"/>
      <c r="BQT33" s="93"/>
      <c r="BQU33" s="93"/>
      <c r="BQV33" s="93"/>
      <c r="BQW33" s="93"/>
      <c r="BQX33" s="93"/>
      <c r="BQY33" s="93"/>
      <c r="BQZ33" s="93"/>
      <c r="BRA33" s="93"/>
      <c r="BRB33" s="93"/>
      <c r="BRC33" s="93"/>
      <c r="BRD33" s="93"/>
      <c r="BRE33" s="93"/>
      <c r="BRF33" s="93"/>
      <c r="BRG33" s="93"/>
      <c r="BRH33" s="93"/>
      <c r="BRI33" s="93"/>
      <c r="BRJ33" s="93"/>
      <c r="BRK33" s="93"/>
      <c r="BRL33" s="93"/>
      <c r="BRM33" s="93"/>
      <c r="BRN33" s="93"/>
      <c r="BRO33" s="93"/>
      <c r="BRP33" s="93"/>
      <c r="BRQ33" s="93"/>
      <c r="BRR33" s="93"/>
      <c r="BRS33" s="93"/>
      <c r="BRT33" s="93"/>
      <c r="BRU33" s="93"/>
      <c r="BRV33" s="93"/>
      <c r="BRW33" s="93"/>
      <c r="BRX33" s="93"/>
      <c r="BRY33" s="93"/>
      <c r="BRZ33" s="93"/>
      <c r="BSA33" s="93"/>
      <c r="BSB33" s="93"/>
      <c r="BSC33" s="93"/>
      <c r="BSD33" s="93"/>
      <c r="BSE33" s="93"/>
      <c r="BSF33" s="93"/>
      <c r="BSG33" s="93"/>
      <c r="BSH33" s="93"/>
      <c r="BSI33" s="93"/>
      <c r="BSJ33" s="93"/>
      <c r="BSK33" s="93"/>
      <c r="BSL33" s="93"/>
      <c r="BSM33" s="93"/>
      <c r="BSN33" s="93"/>
      <c r="BSO33" s="93"/>
      <c r="BSP33" s="93"/>
      <c r="BSQ33" s="93"/>
      <c r="BSR33" s="93"/>
      <c r="BSS33" s="93"/>
      <c r="BST33" s="93"/>
      <c r="BSU33" s="93"/>
      <c r="BSV33" s="93"/>
      <c r="BSW33" s="93"/>
      <c r="BSX33" s="93"/>
      <c r="BSY33" s="93"/>
      <c r="BSZ33" s="93"/>
      <c r="BTA33" s="93"/>
      <c r="BTB33" s="93"/>
      <c r="BTC33" s="93"/>
      <c r="BTD33" s="93"/>
      <c r="BTE33" s="93"/>
      <c r="BTF33" s="93"/>
      <c r="BTG33" s="93"/>
      <c r="BTH33" s="93"/>
      <c r="BTI33" s="93"/>
      <c r="BTJ33" s="93"/>
      <c r="BTK33" s="93"/>
      <c r="BTL33" s="93"/>
      <c r="BTM33" s="93"/>
      <c r="BTN33" s="93"/>
      <c r="BTO33" s="93"/>
      <c r="BTP33" s="93"/>
      <c r="BTQ33" s="93"/>
      <c r="BTR33" s="93"/>
      <c r="BTS33" s="93"/>
      <c r="BTT33" s="93"/>
      <c r="BTU33" s="93"/>
      <c r="BTV33" s="93"/>
      <c r="BTW33" s="93"/>
      <c r="BTX33" s="93"/>
      <c r="BTY33" s="93"/>
      <c r="BTZ33" s="93"/>
      <c r="BUA33" s="93"/>
      <c r="BUB33" s="93"/>
      <c r="BUC33" s="93"/>
      <c r="BUD33" s="93"/>
      <c r="BUE33" s="93"/>
      <c r="BUF33" s="93"/>
      <c r="BUG33" s="93"/>
      <c r="BUH33" s="93"/>
      <c r="BUI33" s="93"/>
      <c r="BUJ33" s="93"/>
      <c r="BUK33" s="93"/>
      <c r="BUL33" s="93"/>
      <c r="BUM33" s="93"/>
      <c r="BUN33" s="93"/>
      <c r="BUO33" s="93"/>
      <c r="BUP33" s="93"/>
      <c r="BUQ33" s="93"/>
      <c r="BUR33" s="93"/>
      <c r="BUS33" s="93"/>
      <c r="BUT33" s="93"/>
      <c r="BUU33" s="93"/>
      <c r="BUV33" s="93"/>
      <c r="BUW33" s="93"/>
      <c r="BUX33" s="93"/>
      <c r="BUY33" s="93"/>
      <c r="BUZ33" s="93"/>
      <c r="BVA33" s="93"/>
      <c r="BVB33" s="93"/>
      <c r="BVC33" s="93"/>
      <c r="BVD33" s="93"/>
      <c r="BVE33" s="93"/>
      <c r="BVF33" s="93"/>
      <c r="BVG33" s="93"/>
      <c r="BVH33" s="93"/>
      <c r="BVI33" s="93"/>
      <c r="BVJ33" s="93"/>
      <c r="BVK33" s="93"/>
      <c r="BVL33" s="93"/>
      <c r="BVM33" s="93"/>
      <c r="BVN33" s="93"/>
      <c r="BVO33" s="93"/>
      <c r="BVP33" s="93"/>
      <c r="BVQ33" s="93"/>
      <c r="BVR33" s="93"/>
      <c r="BVS33" s="93"/>
      <c r="BVT33" s="93"/>
      <c r="BVU33" s="93"/>
      <c r="BVV33" s="93"/>
      <c r="BVW33" s="93"/>
      <c r="BVX33" s="93"/>
      <c r="BVY33" s="93"/>
      <c r="BVZ33" s="93"/>
      <c r="BWA33" s="93"/>
      <c r="BWB33" s="93"/>
      <c r="BWC33" s="93"/>
      <c r="BWD33" s="93"/>
      <c r="BWE33" s="93"/>
      <c r="BWF33" s="93"/>
      <c r="BWG33" s="93"/>
      <c r="BWH33" s="93"/>
      <c r="BWI33" s="93"/>
      <c r="BWJ33" s="93"/>
      <c r="BWK33" s="93"/>
      <c r="BWL33" s="93"/>
      <c r="BWM33" s="93"/>
      <c r="BWN33" s="93"/>
      <c r="BWO33" s="93"/>
      <c r="BWP33" s="93"/>
      <c r="BWQ33" s="93"/>
      <c r="BWR33" s="93"/>
      <c r="BWS33" s="93"/>
      <c r="BWT33" s="93"/>
      <c r="BWU33" s="93"/>
      <c r="BWV33" s="93"/>
      <c r="BWW33" s="93"/>
      <c r="BWX33" s="93"/>
      <c r="BWY33" s="93"/>
      <c r="BWZ33" s="93"/>
      <c r="BXA33" s="93"/>
      <c r="BXB33" s="93"/>
      <c r="BXC33" s="93"/>
      <c r="BXD33" s="93"/>
      <c r="BXE33" s="93"/>
      <c r="BXF33" s="93"/>
      <c r="BXG33" s="93"/>
      <c r="BXH33" s="93"/>
      <c r="BXI33" s="93"/>
      <c r="BXJ33" s="93"/>
      <c r="BXK33" s="93"/>
      <c r="BXL33" s="93"/>
      <c r="BXM33" s="93"/>
      <c r="BXN33" s="93"/>
      <c r="BXO33" s="93"/>
      <c r="BXP33" s="93"/>
      <c r="BXQ33" s="93"/>
      <c r="BXR33" s="93"/>
      <c r="BXS33" s="93"/>
      <c r="BXT33" s="93"/>
      <c r="BXU33" s="93"/>
      <c r="BXV33" s="93"/>
      <c r="BXW33" s="93"/>
      <c r="BXX33" s="93"/>
      <c r="BXY33" s="93"/>
      <c r="BXZ33" s="93"/>
      <c r="BYA33" s="93"/>
      <c r="BYB33" s="93"/>
      <c r="BYC33" s="93"/>
      <c r="BYD33" s="93"/>
      <c r="BYE33" s="93"/>
      <c r="BYF33" s="93"/>
      <c r="BYG33" s="93"/>
      <c r="BYH33" s="93"/>
      <c r="BYI33" s="93"/>
      <c r="BYJ33" s="93"/>
      <c r="BYK33" s="93"/>
      <c r="BYL33" s="93"/>
      <c r="BYM33" s="93"/>
      <c r="BYN33" s="93"/>
      <c r="BYO33" s="93"/>
      <c r="BYP33" s="93"/>
      <c r="BYQ33" s="93"/>
      <c r="BYR33" s="93"/>
      <c r="BYS33" s="93"/>
      <c r="BYT33" s="93"/>
      <c r="BYU33" s="93"/>
      <c r="BYV33" s="93"/>
      <c r="BYW33" s="93"/>
      <c r="BYX33" s="93"/>
      <c r="BYY33" s="93"/>
      <c r="BYZ33" s="93"/>
      <c r="BZA33" s="93"/>
      <c r="BZB33" s="93"/>
      <c r="BZC33" s="93"/>
      <c r="BZD33" s="93"/>
      <c r="BZE33" s="93"/>
      <c r="BZF33" s="93"/>
      <c r="BZG33" s="93"/>
      <c r="BZH33" s="93"/>
      <c r="BZI33" s="93"/>
      <c r="BZJ33" s="93"/>
      <c r="BZK33" s="93"/>
      <c r="BZL33" s="93"/>
      <c r="BZM33" s="93"/>
      <c r="BZN33" s="93"/>
      <c r="BZO33" s="93"/>
      <c r="BZP33" s="93"/>
      <c r="BZQ33" s="93"/>
      <c r="BZR33" s="93"/>
      <c r="BZS33" s="93"/>
      <c r="BZT33" s="93"/>
      <c r="BZU33" s="93"/>
      <c r="BZV33" s="93"/>
      <c r="BZW33" s="93"/>
      <c r="BZX33" s="93"/>
      <c r="BZY33" s="93"/>
      <c r="BZZ33" s="93"/>
      <c r="CAA33" s="93"/>
      <c r="CAB33" s="93"/>
      <c r="CAC33" s="93"/>
      <c r="CAD33" s="93"/>
      <c r="CAE33" s="93"/>
      <c r="CAF33" s="93"/>
      <c r="CAG33" s="93"/>
      <c r="CAH33" s="93"/>
      <c r="CAI33" s="93"/>
      <c r="CAJ33" s="93"/>
      <c r="CAK33" s="93"/>
      <c r="CAL33" s="93"/>
      <c r="CAM33" s="93"/>
      <c r="CAN33" s="93"/>
      <c r="CAO33" s="93"/>
      <c r="CAP33" s="93"/>
      <c r="CAQ33" s="93"/>
      <c r="CAR33" s="93"/>
      <c r="CAS33" s="93"/>
      <c r="CAT33" s="93"/>
      <c r="CAU33" s="93"/>
      <c r="CAV33" s="93"/>
      <c r="CAW33" s="93"/>
      <c r="CAX33" s="93"/>
      <c r="CAY33" s="93"/>
      <c r="CAZ33" s="93"/>
      <c r="CBA33" s="93"/>
      <c r="CBB33" s="93"/>
      <c r="CBC33" s="93"/>
      <c r="CBD33" s="93"/>
      <c r="CBE33" s="93"/>
      <c r="CBF33" s="93"/>
      <c r="CBG33" s="93"/>
      <c r="CBH33" s="93"/>
      <c r="CBI33" s="93"/>
      <c r="CBJ33" s="93"/>
      <c r="CBK33" s="93"/>
      <c r="CBL33" s="93"/>
      <c r="CBM33" s="93"/>
      <c r="CBN33" s="93"/>
      <c r="CBO33" s="93"/>
      <c r="CBP33" s="93"/>
      <c r="CBQ33" s="93"/>
      <c r="CBR33" s="93"/>
      <c r="CBS33" s="93"/>
      <c r="CBT33" s="93"/>
      <c r="CBU33" s="93"/>
      <c r="CBV33" s="93"/>
      <c r="CBW33" s="93"/>
      <c r="CBX33" s="93"/>
      <c r="CBY33" s="93"/>
      <c r="CBZ33" s="93"/>
      <c r="CCA33" s="93"/>
      <c r="CCB33" s="93"/>
      <c r="CCC33" s="93"/>
      <c r="CCD33" s="93"/>
      <c r="CCE33" s="93"/>
      <c r="CCF33" s="93"/>
      <c r="CCG33" s="93"/>
      <c r="CCH33" s="93"/>
      <c r="CCI33" s="93"/>
      <c r="CCJ33" s="93"/>
      <c r="CCK33" s="93"/>
      <c r="CCL33" s="93"/>
      <c r="CCM33" s="93"/>
      <c r="CCN33" s="93"/>
      <c r="CCO33" s="93"/>
      <c r="CCP33" s="93"/>
      <c r="CCQ33" s="93"/>
      <c r="CCR33" s="93"/>
      <c r="CCS33" s="93"/>
      <c r="CCT33" s="93"/>
      <c r="CCU33" s="93"/>
      <c r="CCV33" s="93"/>
      <c r="CCW33" s="93"/>
      <c r="CCX33" s="93"/>
      <c r="CCY33" s="93"/>
      <c r="CCZ33" s="93"/>
      <c r="CDA33" s="93"/>
      <c r="CDB33" s="93"/>
      <c r="CDC33" s="93"/>
      <c r="CDD33" s="93"/>
      <c r="CDE33" s="93"/>
      <c r="CDF33" s="93"/>
      <c r="CDG33" s="93"/>
      <c r="CDH33" s="93"/>
      <c r="CDI33" s="93"/>
      <c r="CDJ33" s="93"/>
      <c r="CDK33" s="93"/>
      <c r="CDL33" s="93"/>
      <c r="CDM33" s="93"/>
      <c r="CDN33" s="93"/>
      <c r="CDO33" s="93"/>
      <c r="CDP33" s="93"/>
      <c r="CDQ33" s="93"/>
      <c r="CDR33" s="93"/>
      <c r="CDS33" s="93"/>
      <c r="CDT33" s="93"/>
      <c r="CDU33" s="93"/>
      <c r="CDV33" s="93"/>
      <c r="CDW33" s="93"/>
      <c r="CDX33" s="93"/>
      <c r="CDY33" s="93"/>
      <c r="CDZ33" s="93"/>
      <c r="CEA33" s="93"/>
      <c r="CEB33" s="93"/>
      <c r="CEC33" s="93"/>
      <c r="CED33" s="93"/>
      <c r="CEE33" s="93"/>
      <c r="CEF33" s="93"/>
      <c r="CEG33" s="93"/>
      <c r="CEH33" s="93"/>
      <c r="CEI33" s="93"/>
      <c r="CEJ33" s="93"/>
      <c r="CEK33" s="93"/>
      <c r="CEL33" s="93"/>
      <c r="CEM33" s="93"/>
      <c r="CEN33" s="93"/>
      <c r="CEO33" s="93"/>
      <c r="CEP33" s="93"/>
      <c r="CEQ33" s="93"/>
      <c r="CER33" s="93"/>
      <c r="CES33" s="93"/>
      <c r="CET33" s="93"/>
      <c r="CEU33" s="93"/>
      <c r="CEV33" s="93"/>
      <c r="CEW33" s="93"/>
      <c r="CEX33" s="93"/>
      <c r="CEY33" s="93"/>
      <c r="CEZ33" s="93"/>
      <c r="CFA33" s="93"/>
      <c r="CFB33" s="93"/>
      <c r="CFC33" s="93"/>
      <c r="CFD33" s="93"/>
      <c r="CFE33" s="93"/>
      <c r="CFF33" s="93"/>
      <c r="CFG33" s="93"/>
      <c r="CFH33" s="93"/>
      <c r="CFI33" s="93"/>
      <c r="CFJ33" s="93"/>
      <c r="CFK33" s="93"/>
      <c r="CFL33" s="93"/>
      <c r="CFM33" s="93"/>
      <c r="CFN33" s="93"/>
      <c r="CFO33" s="93"/>
      <c r="CFP33" s="93"/>
      <c r="CFQ33" s="93"/>
      <c r="CFR33" s="93"/>
      <c r="CFS33" s="93"/>
      <c r="CFT33" s="93"/>
      <c r="CFU33" s="93"/>
      <c r="CFV33" s="93"/>
      <c r="CFW33" s="93"/>
      <c r="CFX33" s="93"/>
      <c r="CFY33" s="93"/>
      <c r="CFZ33" s="93"/>
      <c r="CGA33" s="93"/>
      <c r="CGB33" s="93"/>
      <c r="CGC33" s="93"/>
      <c r="CGD33" s="93"/>
      <c r="CGE33" s="93"/>
      <c r="CGF33" s="93"/>
      <c r="CGG33" s="93"/>
      <c r="CGH33" s="93"/>
      <c r="CGI33" s="93"/>
      <c r="CGJ33" s="93"/>
      <c r="CGK33" s="93"/>
      <c r="CGL33" s="93"/>
      <c r="CGM33" s="93"/>
      <c r="CGN33" s="93"/>
      <c r="CGO33" s="93"/>
      <c r="CGP33" s="93"/>
      <c r="CGQ33" s="93"/>
      <c r="CGR33" s="93"/>
      <c r="CGS33" s="93"/>
      <c r="CGT33" s="93"/>
      <c r="CGU33" s="93"/>
      <c r="CGV33" s="93"/>
      <c r="CGW33" s="93"/>
      <c r="CGX33" s="93"/>
      <c r="CGY33" s="93"/>
      <c r="CGZ33" s="93"/>
      <c r="CHA33" s="93"/>
      <c r="CHB33" s="93"/>
      <c r="CHC33" s="93"/>
      <c r="CHD33" s="93"/>
      <c r="CHE33" s="93"/>
      <c r="CHF33" s="93"/>
      <c r="CHG33" s="93"/>
      <c r="CHH33" s="93"/>
      <c r="CHI33" s="93"/>
      <c r="CHJ33" s="93"/>
      <c r="CHK33" s="93"/>
      <c r="CHL33" s="93"/>
      <c r="CHM33" s="93"/>
      <c r="CHN33" s="93"/>
      <c r="CHO33" s="93"/>
      <c r="CHP33" s="93"/>
      <c r="CHQ33" s="93"/>
      <c r="CHR33" s="93"/>
      <c r="CHS33" s="93"/>
      <c r="CHT33" s="93"/>
      <c r="CHU33" s="93"/>
      <c r="CHV33" s="93"/>
      <c r="CHW33" s="93"/>
      <c r="CHX33" s="93"/>
      <c r="CHY33" s="93"/>
      <c r="CHZ33" s="93"/>
      <c r="CIA33" s="93"/>
      <c r="CIB33" s="93"/>
      <c r="CIC33" s="93"/>
      <c r="CID33" s="93"/>
      <c r="CIE33" s="93"/>
      <c r="CIF33" s="93"/>
      <c r="CIG33" s="93"/>
      <c r="CIH33" s="93"/>
      <c r="CII33" s="93"/>
      <c r="CIJ33" s="93"/>
      <c r="CIK33" s="93"/>
      <c r="CIL33" s="93"/>
      <c r="CIM33" s="93"/>
      <c r="CIN33" s="93"/>
      <c r="CIO33" s="93"/>
      <c r="CIP33" s="93"/>
      <c r="CIQ33" s="93"/>
      <c r="CIR33" s="93"/>
      <c r="CIS33" s="93"/>
      <c r="CIT33" s="93"/>
      <c r="CIU33" s="93"/>
      <c r="CIV33" s="93"/>
      <c r="CIW33" s="93"/>
      <c r="CIX33" s="93"/>
      <c r="CIY33" s="93"/>
      <c r="CIZ33" s="93"/>
      <c r="CJA33" s="93"/>
      <c r="CJB33" s="93"/>
      <c r="CJC33" s="93"/>
      <c r="CJD33" s="93"/>
      <c r="CJE33" s="93"/>
      <c r="CJF33" s="93"/>
      <c r="CJG33" s="93"/>
      <c r="CJH33" s="93"/>
      <c r="CJI33" s="93"/>
      <c r="CJJ33" s="93"/>
      <c r="CJK33" s="93"/>
      <c r="CJL33" s="93"/>
      <c r="CJM33" s="93"/>
      <c r="CJN33" s="93"/>
      <c r="CJO33" s="93"/>
      <c r="CJP33" s="93"/>
      <c r="CJQ33" s="93"/>
      <c r="CJR33" s="93"/>
      <c r="CJS33" s="93"/>
      <c r="CJT33" s="93"/>
      <c r="CJU33" s="93"/>
      <c r="CJV33" s="93"/>
      <c r="CJW33" s="93"/>
      <c r="CJX33" s="93"/>
      <c r="CJY33" s="93"/>
      <c r="CJZ33" s="93"/>
      <c r="CKA33" s="93"/>
      <c r="CKB33" s="93"/>
      <c r="CKC33" s="93"/>
      <c r="CKD33" s="93"/>
      <c r="CKE33" s="93"/>
      <c r="CKF33" s="93"/>
      <c r="CKG33" s="93"/>
      <c r="CKH33" s="93"/>
      <c r="CKI33" s="93"/>
      <c r="CKJ33" s="93"/>
      <c r="CKK33" s="93"/>
      <c r="CKL33" s="93"/>
      <c r="CKM33" s="93"/>
      <c r="CKN33" s="93"/>
      <c r="CKO33" s="93"/>
      <c r="CKP33" s="93"/>
      <c r="CKQ33" s="93"/>
      <c r="CKR33" s="93"/>
      <c r="CKS33" s="93"/>
      <c r="CKT33" s="93"/>
      <c r="CKU33" s="93"/>
      <c r="CKV33" s="93"/>
      <c r="CKW33" s="93"/>
      <c r="CKX33" s="93"/>
      <c r="CKY33" s="93"/>
      <c r="CKZ33" s="93"/>
      <c r="CLA33" s="93"/>
      <c r="CLB33" s="93"/>
      <c r="CLC33" s="93"/>
      <c r="CLD33" s="93"/>
      <c r="CLE33" s="93"/>
      <c r="CLF33" s="93"/>
      <c r="CLG33" s="93"/>
      <c r="CLH33" s="93"/>
      <c r="CLI33" s="93"/>
      <c r="CLJ33" s="93"/>
      <c r="CLK33" s="93"/>
      <c r="CLL33" s="93"/>
      <c r="CLM33" s="93"/>
      <c r="CLN33" s="93"/>
      <c r="CLO33" s="93"/>
      <c r="CLP33" s="93"/>
      <c r="CLQ33" s="93"/>
      <c r="CLR33" s="93"/>
      <c r="CLS33" s="93"/>
      <c r="CLT33" s="93"/>
      <c r="CLU33" s="93"/>
      <c r="CLV33" s="93"/>
      <c r="CLW33" s="93"/>
      <c r="CLX33" s="93"/>
      <c r="CLY33" s="93"/>
      <c r="CLZ33" s="93"/>
      <c r="CMA33" s="93"/>
      <c r="CMB33" s="93"/>
      <c r="CMC33" s="93"/>
      <c r="CMD33" s="93"/>
      <c r="CME33" s="93"/>
      <c r="CMF33" s="93"/>
      <c r="CMG33" s="93"/>
      <c r="CMH33" s="93"/>
      <c r="CMI33" s="93"/>
      <c r="CMJ33" s="93"/>
      <c r="CMK33" s="93"/>
      <c r="CML33" s="93"/>
      <c r="CMM33" s="93"/>
      <c r="CMN33" s="93"/>
      <c r="CMO33" s="93"/>
      <c r="CMP33" s="93"/>
      <c r="CMQ33" s="93"/>
      <c r="CMR33" s="93"/>
      <c r="CMS33" s="93"/>
      <c r="CMT33" s="93"/>
      <c r="CMU33" s="93"/>
      <c r="CMV33" s="93"/>
      <c r="CMW33" s="93"/>
      <c r="CMX33" s="93"/>
      <c r="CMY33" s="93"/>
      <c r="CMZ33" s="93"/>
      <c r="CNA33" s="93"/>
      <c r="CNB33" s="93"/>
      <c r="CNC33" s="93"/>
      <c r="CND33" s="93"/>
      <c r="CNE33" s="93"/>
      <c r="CNF33" s="93"/>
      <c r="CNG33" s="93"/>
      <c r="CNH33" s="93"/>
      <c r="CNI33" s="93"/>
      <c r="CNJ33" s="93"/>
      <c r="CNK33" s="93"/>
      <c r="CNL33" s="93"/>
      <c r="CNM33" s="93"/>
      <c r="CNN33" s="93"/>
      <c r="CNO33" s="93"/>
      <c r="CNP33" s="93"/>
      <c r="CNQ33" s="93"/>
      <c r="CNR33" s="93"/>
      <c r="CNS33" s="93"/>
      <c r="CNT33" s="93"/>
      <c r="CNU33" s="93"/>
      <c r="CNV33" s="93"/>
      <c r="CNW33" s="93"/>
      <c r="CNX33" s="93"/>
      <c r="CNY33" s="93"/>
      <c r="CNZ33" s="93"/>
      <c r="COA33" s="93"/>
      <c r="COB33" s="93"/>
      <c r="COC33" s="93"/>
      <c r="COD33" s="93"/>
      <c r="COE33" s="93"/>
      <c r="COF33" s="93"/>
      <c r="COG33" s="93"/>
      <c r="COH33" s="93"/>
      <c r="COI33" s="93"/>
      <c r="COJ33" s="93"/>
      <c r="COK33" s="93"/>
      <c r="COL33" s="93"/>
      <c r="COM33" s="93"/>
      <c r="CON33" s="93"/>
      <c r="COO33" s="93"/>
      <c r="COP33" s="93"/>
      <c r="COQ33" s="93"/>
      <c r="COR33" s="93"/>
      <c r="COS33" s="93"/>
      <c r="COT33" s="93"/>
      <c r="COU33" s="93"/>
      <c r="COV33" s="93"/>
      <c r="COW33" s="93"/>
      <c r="COX33" s="93"/>
      <c r="COY33" s="93"/>
      <c r="COZ33" s="93"/>
      <c r="CPA33" s="93"/>
      <c r="CPB33" s="93"/>
      <c r="CPC33" s="93"/>
      <c r="CPD33" s="93"/>
      <c r="CPE33" s="93"/>
      <c r="CPF33" s="93"/>
      <c r="CPG33" s="93"/>
      <c r="CPH33" s="93"/>
      <c r="CPI33" s="93"/>
      <c r="CPJ33" s="93"/>
      <c r="CPK33" s="93"/>
      <c r="CPL33" s="93"/>
      <c r="CPM33" s="93"/>
      <c r="CPN33" s="93"/>
      <c r="CPO33" s="93"/>
      <c r="CPP33" s="93"/>
      <c r="CPQ33" s="93"/>
      <c r="CPR33" s="93"/>
      <c r="CPS33" s="93"/>
      <c r="CPT33" s="93"/>
      <c r="CPU33" s="93"/>
      <c r="CPV33" s="93"/>
      <c r="CPW33" s="93"/>
      <c r="CPX33" s="93"/>
      <c r="CPY33" s="93"/>
      <c r="CPZ33" s="93"/>
      <c r="CQA33" s="93"/>
      <c r="CQB33" s="93"/>
      <c r="CQC33" s="93"/>
      <c r="CQD33" s="93"/>
      <c r="CQE33" s="93"/>
      <c r="CQF33" s="93"/>
      <c r="CQG33" s="93"/>
      <c r="CQH33" s="93"/>
      <c r="CQI33" s="93"/>
      <c r="CQJ33" s="93"/>
      <c r="CQK33" s="93"/>
      <c r="CQL33" s="93"/>
      <c r="CQM33" s="93"/>
      <c r="CQN33" s="93"/>
      <c r="CQO33" s="93"/>
      <c r="CQP33" s="93"/>
      <c r="CQQ33" s="93"/>
      <c r="CQR33" s="93"/>
      <c r="CQS33" s="93"/>
      <c r="CQT33" s="93"/>
      <c r="CQU33" s="93"/>
      <c r="CQV33" s="93"/>
      <c r="CQW33" s="93"/>
      <c r="CQX33" s="93"/>
      <c r="CQY33" s="93"/>
      <c r="CQZ33" s="93"/>
      <c r="CRA33" s="93"/>
      <c r="CRB33" s="93"/>
      <c r="CRC33" s="93"/>
      <c r="CRD33" s="93"/>
      <c r="CRE33" s="93"/>
      <c r="CRF33" s="93"/>
      <c r="CRG33" s="93"/>
      <c r="CRH33" s="93"/>
      <c r="CRI33" s="93"/>
      <c r="CRJ33" s="93"/>
      <c r="CRK33" s="93"/>
      <c r="CRL33" s="93"/>
      <c r="CRM33" s="93"/>
      <c r="CRN33" s="93"/>
      <c r="CRO33" s="93"/>
      <c r="CRP33" s="93"/>
      <c r="CRQ33" s="93"/>
      <c r="CRR33" s="93"/>
      <c r="CRS33" s="93"/>
      <c r="CRT33" s="93"/>
      <c r="CRU33" s="93"/>
      <c r="CRV33" s="93"/>
      <c r="CRW33" s="93"/>
      <c r="CRX33" s="93"/>
      <c r="CRY33" s="93"/>
      <c r="CRZ33" s="93"/>
      <c r="CSA33" s="93"/>
      <c r="CSB33" s="93"/>
      <c r="CSC33" s="93"/>
      <c r="CSD33" s="93"/>
      <c r="CSE33" s="93"/>
      <c r="CSF33" s="93"/>
      <c r="CSG33" s="93"/>
      <c r="CSH33" s="93"/>
      <c r="CSI33" s="93"/>
      <c r="CSJ33" s="93"/>
      <c r="CSK33" s="93"/>
      <c r="CSL33" s="93"/>
      <c r="CSM33" s="93"/>
      <c r="CSN33" s="93"/>
      <c r="CSO33" s="93"/>
      <c r="CSP33" s="93"/>
      <c r="CSQ33" s="93"/>
      <c r="CSR33" s="93"/>
      <c r="CSS33" s="93"/>
      <c r="CST33" s="93"/>
      <c r="CSU33" s="93"/>
      <c r="CSV33" s="93"/>
      <c r="CSW33" s="93"/>
      <c r="CSX33" s="93"/>
      <c r="CSY33" s="93"/>
      <c r="CSZ33" s="93"/>
      <c r="CTA33" s="93"/>
      <c r="CTB33" s="93"/>
      <c r="CTC33" s="93"/>
      <c r="CTD33" s="93"/>
      <c r="CTE33" s="93"/>
      <c r="CTF33" s="93"/>
      <c r="CTG33" s="93"/>
      <c r="CTH33" s="93"/>
      <c r="CTI33" s="93"/>
      <c r="CTJ33" s="93"/>
      <c r="CTK33" s="93"/>
      <c r="CTL33" s="93"/>
      <c r="CTM33" s="93"/>
      <c r="CTN33" s="93"/>
      <c r="CTO33" s="93"/>
      <c r="CTP33" s="93"/>
      <c r="CTQ33" s="93"/>
      <c r="CTR33" s="93"/>
      <c r="CTS33" s="93"/>
      <c r="CTT33" s="93"/>
      <c r="CTU33" s="93"/>
      <c r="CTV33" s="93"/>
      <c r="CTW33" s="93"/>
      <c r="CTX33" s="93"/>
      <c r="CTY33" s="93"/>
      <c r="CTZ33" s="93"/>
      <c r="CUA33" s="93"/>
      <c r="CUB33" s="93"/>
      <c r="CUC33" s="93"/>
      <c r="CUD33" s="93"/>
      <c r="CUE33" s="93"/>
      <c r="CUF33" s="93"/>
      <c r="CUG33" s="93"/>
      <c r="CUH33" s="93"/>
      <c r="CUI33" s="93"/>
      <c r="CUJ33" s="93"/>
      <c r="CUK33" s="93"/>
      <c r="CUL33" s="93"/>
      <c r="CUM33" s="93"/>
      <c r="CUN33" s="93"/>
      <c r="CUO33" s="93"/>
      <c r="CUP33" s="93"/>
      <c r="CUQ33" s="93"/>
      <c r="CUR33" s="93"/>
      <c r="CUS33" s="93"/>
      <c r="CUT33" s="93"/>
      <c r="CUU33" s="93"/>
      <c r="CUV33" s="93"/>
      <c r="CUW33" s="93"/>
      <c r="CUX33" s="93"/>
      <c r="CUY33" s="93"/>
      <c r="CUZ33" s="93"/>
      <c r="CVA33" s="93"/>
      <c r="CVB33" s="93"/>
      <c r="CVC33" s="93"/>
      <c r="CVD33" s="93"/>
      <c r="CVE33" s="93"/>
      <c r="CVF33" s="93"/>
      <c r="CVG33" s="93"/>
      <c r="CVH33" s="93"/>
      <c r="CVI33" s="93"/>
      <c r="CVJ33" s="93"/>
      <c r="CVK33" s="93"/>
      <c r="CVL33" s="93"/>
      <c r="CVM33" s="93"/>
      <c r="CVN33" s="93"/>
      <c r="CVO33" s="93"/>
      <c r="CVP33" s="93"/>
      <c r="CVQ33" s="93"/>
      <c r="CVR33" s="93"/>
      <c r="CVS33" s="93"/>
      <c r="CVT33" s="93"/>
      <c r="CVU33" s="93"/>
      <c r="CVV33" s="93"/>
      <c r="CVW33" s="93"/>
      <c r="CVX33" s="93"/>
      <c r="CVY33" s="93"/>
      <c r="CVZ33" s="93"/>
      <c r="CWA33" s="93"/>
      <c r="CWB33" s="93"/>
      <c r="CWC33" s="93"/>
      <c r="CWD33" s="93"/>
      <c r="CWE33" s="93"/>
      <c r="CWF33" s="93"/>
      <c r="CWG33" s="93"/>
      <c r="CWH33" s="93"/>
      <c r="CWI33" s="93"/>
      <c r="CWJ33" s="93"/>
      <c r="CWK33" s="93"/>
      <c r="CWL33" s="93"/>
      <c r="CWM33" s="93"/>
      <c r="CWN33" s="93"/>
      <c r="CWO33" s="93"/>
      <c r="CWP33" s="93"/>
      <c r="CWQ33" s="93"/>
      <c r="CWR33" s="93"/>
      <c r="CWS33" s="93"/>
      <c r="CWT33" s="93"/>
      <c r="CWU33" s="93"/>
      <c r="CWV33" s="93"/>
      <c r="CWW33" s="93"/>
      <c r="CWX33" s="93"/>
      <c r="CWY33" s="93"/>
      <c r="CWZ33" s="93"/>
      <c r="CXA33" s="93"/>
      <c r="CXB33" s="93"/>
      <c r="CXC33" s="93"/>
      <c r="CXD33" s="93"/>
      <c r="CXE33" s="93"/>
      <c r="CXF33" s="93"/>
      <c r="CXG33" s="93"/>
      <c r="CXH33" s="93"/>
      <c r="CXI33" s="93"/>
      <c r="CXJ33" s="93"/>
      <c r="CXK33" s="93"/>
      <c r="CXL33" s="93"/>
      <c r="CXM33" s="93"/>
      <c r="CXN33" s="93"/>
      <c r="CXO33" s="93"/>
      <c r="CXP33" s="93"/>
      <c r="CXQ33" s="93"/>
      <c r="CXR33" s="93"/>
      <c r="CXS33" s="93"/>
      <c r="CXT33" s="93"/>
      <c r="CXU33" s="93"/>
      <c r="CXV33" s="93"/>
      <c r="CXW33" s="93"/>
      <c r="CXX33" s="93"/>
      <c r="CXY33" s="93"/>
      <c r="CXZ33" s="93"/>
      <c r="CYA33" s="93"/>
      <c r="CYB33" s="93"/>
      <c r="CYC33" s="93"/>
      <c r="CYD33" s="93"/>
      <c r="CYE33" s="93"/>
      <c r="CYF33" s="93"/>
      <c r="CYG33" s="93"/>
      <c r="CYH33" s="93"/>
      <c r="CYI33" s="93"/>
      <c r="CYJ33" s="93"/>
      <c r="CYK33" s="93"/>
      <c r="CYL33" s="93"/>
      <c r="CYM33" s="93"/>
      <c r="CYN33" s="93"/>
      <c r="CYO33" s="93"/>
      <c r="CYP33" s="93"/>
      <c r="CYQ33" s="93"/>
      <c r="CYR33" s="93"/>
      <c r="CYS33" s="93"/>
      <c r="CYT33" s="93"/>
      <c r="CYU33" s="93"/>
      <c r="CYV33" s="93"/>
      <c r="CYW33" s="93"/>
      <c r="CYX33" s="93"/>
      <c r="CYY33" s="93"/>
      <c r="CYZ33" s="93"/>
      <c r="CZA33" s="93"/>
      <c r="CZB33" s="93"/>
      <c r="CZC33" s="93"/>
      <c r="CZD33" s="93"/>
      <c r="CZE33" s="93"/>
      <c r="CZF33" s="93"/>
      <c r="CZG33" s="93"/>
      <c r="CZH33" s="93"/>
      <c r="CZI33" s="93"/>
      <c r="CZJ33" s="93"/>
      <c r="CZK33" s="93"/>
      <c r="CZL33" s="93"/>
      <c r="CZM33" s="93"/>
      <c r="CZN33" s="93"/>
      <c r="CZO33" s="93"/>
      <c r="CZP33" s="93"/>
      <c r="CZQ33" s="93"/>
      <c r="CZR33" s="93"/>
      <c r="CZS33" s="93"/>
      <c r="CZT33" s="93"/>
      <c r="CZU33" s="93"/>
      <c r="CZV33" s="93"/>
      <c r="CZW33" s="93"/>
      <c r="CZX33" s="93"/>
      <c r="CZY33" s="93"/>
      <c r="CZZ33" s="93"/>
      <c r="DAA33" s="93"/>
      <c r="DAB33" s="93"/>
      <c r="DAC33" s="93"/>
      <c r="DAD33" s="93"/>
      <c r="DAE33" s="93"/>
      <c r="DAF33" s="93"/>
      <c r="DAG33" s="93"/>
      <c r="DAH33" s="93"/>
      <c r="DAI33" s="93"/>
      <c r="DAJ33" s="93"/>
      <c r="DAK33" s="93"/>
      <c r="DAL33" s="93"/>
      <c r="DAM33" s="93"/>
      <c r="DAN33" s="93"/>
      <c r="DAO33" s="93"/>
      <c r="DAP33" s="93"/>
      <c r="DAQ33" s="93"/>
      <c r="DAR33" s="93"/>
      <c r="DAS33" s="93"/>
      <c r="DAT33" s="93"/>
      <c r="DAU33" s="93"/>
      <c r="DAV33" s="93"/>
      <c r="DAW33" s="93"/>
      <c r="DAX33" s="93"/>
      <c r="DAY33" s="93"/>
      <c r="DAZ33" s="93"/>
      <c r="DBA33" s="93"/>
      <c r="DBB33" s="93"/>
      <c r="DBC33" s="93"/>
      <c r="DBD33" s="93"/>
      <c r="DBE33" s="93"/>
      <c r="DBF33" s="93"/>
      <c r="DBG33" s="93"/>
      <c r="DBH33" s="93"/>
      <c r="DBI33" s="93"/>
      <c r="DBJ33" s="93"/>
      <c r="DBK33" s="93"/>
      <c r="DBL33" s="93"/>
      <c r="DBM33" s="93"/>
      <c r="DBN33" s="93"/>
      <c r="DBO33" s="93"/>
      <c r="DBP33" s="93"/>
      <c r="DBQ33" s="93"/>
      <c r="DBR33" s="93"/>
      <c r="DBS33" s="93"/>
      <c r="DBT33" s="93"/>
      <c r="DBU33" s="93"/>
      <c r="DBV33" s="93"/>
      <c r="DBW33" s="93"/>
      <c r="DBX33" s="93"/>
      <c r="DBY33" s="93"/>
      <c r="DBZ33" s="93"/>
      <c r="DCA33" s="93"/>
      <c r="DCB33" s="93"/>
      <c r="DCC33" s="93"/>
      <c r="DCD33" s="93"/>
      <c r="DCE33" s="93"/>
      <c r="DCF33" s="93"/>
      <c r="DCG33" s="93"/>
      <c r="DCH33" s="93"/>
      <c r="DCI33" s="93"/>
      <c r="DCJ33" s="93"/>
      <c r="DCK33" s="93"/>
      <c r="DCL33" s="93"/>
      <c r="DCM33" s="93"/>
      <c r="DCN33" s="93"/>
      <c r="DCO33" s="93"/>
      <c r="DCP33" s="93"/>
      <c r="DCQ33" s="93"/>
      <c r="DCR33" s="93"/>
      <c r="DCS33" s="93"/>
      <c r="DCT33" s="93"/>
      <c r="DCU33" s="93"/>
      <c r="DCV33" s="93"/>
      <c r="DCW33" s="93"/>
      <c r="DCX33" s="93"/>
      <c r="DCY33" s="93"/>
      <c r="DCZ33" s="93"/>
      <c r="DDA33" s="93"/>
      <c r="DDB33" s="93"/>
      <c r="DDC33" s="93"/>
      <c r="DDD33" s="93"/>
      <c r="DDE33" s="93"/>
      <c r="DDF33" s="93"/>
      <c r="DDG33" s="93"/>
      <c r="DDH33" s="93"/>
      <c r="DDI33" s="93"/>
      <c r="DDJ33" s="93"/>
      <c r="DDK33" s="93"/>
      <c r="DDL33" s="93"/>
      <c r="DDM33" s="93"/>
      <c r="DDN33" s="93"/>
      <c r="DDO33" s="93"/>
      <c r="DDP33" s="93"/>
      <c r="DDQ33" s="93"/>
      <c r="DDR33" s="93"/>
      <c r="DDS33" s="93"/>
      <c r="DDT33" s="93"/>
      <c r="DDU33" s="93"/>
      <c r="DDV33" s="93"/>
      <c r="DDW33" s="93"/>
      <c r="DDX33" s="93"/>
      <c r="DDY33" s="93"/>
      <c r="DDZ33" s="93"/>
      <c r="DEA33" s="93"/>
      <c r="DEB33" s="93"/>
      <c r="DEC33" s="93"/>
      <c r="DED33" s="93"/>
      <c r="DEE33" s="93"/>
      <c r="DEF33" s="93"/>
      <c r="DEG33" s="93"/>
      <c r="DEH33" s="93"/>
      <c r="DEI33" s="93"/>
      <c r="DEJ33" s="93"/>
      <c r="DEK33" s="93"/>
      <c r="DEL33" s="93"/>
      <c r="DEM33" s="93"/>
      <c r="DEN33" s="93"/>
      <c r="DEO33" s="93"/>
      <c r="DEP33" s="93"/>
      <c r="DEQ33" s="93"/>
      <c r="DER33" s="93"/>
      <c r="DES33" s="93"/>
      <c r="DET33" s="93"/>
      <c r="DEU33" s="93"/>
      <c r="DEV33" s="93"/>
      <c r="DEW33" s="93"/>
      <c r="DEX33" s="93"/>
      <c r="DEY33" s="93"/>
      <c r="DEZ33" s="93"/>
      <c r="DFA33" s="93"/>
      <c r="DFB33" s="93"/>
      <c r="DFC33" s="93"/>
      <c r="DFD33" s="93"/>
      <c r="DFE33" s="93"/>
      <c r="DFF33" s="93"/>
      <c r="DFG33" s="93"/>
      <c r="DFH33" s="93"/>
      <c r="DFI33" s="93"/>
      <c r="DFJ33" s="93"/>
      <c r="DFK33" s="93"/>
      <c r="DFL33" s="93"/>
      <c r="DFM33" s="93"/>
      <c r="DFN33" s="93"/>
      <c r="DFO33" s="93"/>
      <c r="DFP33" s="93"/>
      <c r="DFQ33" s="93"/>
      <c r="DFR33" s="93"/>
      <c r="DFS33" s="93"/>
      <c r="DFT33" s="93"/>
      <c r="DFU33" s="93"/>
      <c r="DFV33" s="93"/>
      <c r="DFW33" s="93"/>
      <c r="DFX33" s="93"/>
      <c r="DFY33" s="93"/>
      <c r="DFZ33" s="93"/>
      <c r="DGA33" s="93"/>
      <c r="DGB33" s="93"/>
      <c r="DGC33" s="93"/>
      <c r="DGD33" s="93"/>
      <c r="DGE33" s="93"/>
      <c r="DGF33" s="93"/>
      <c r="DGG33" s="93"/>
      <c r="DGH33" s="93"/>
      <c r="DGI33" s="93"/>
      <c r="DGJ33" s="93"/>
      <c r="DGK33" s="93"/>
      <c r="DGL33" s="93"/>
      <c r="DGM33" s="93"/>
      <c r="DGN33" s="93"/>
      <c r="DGO33" s="93"/>
      <c r="DGP33" s="93"/>
      <c r="DGQ33" s="93"/>
      <c r="DGR33" s="93"/>
      <c r="DGS33" s="93"/>
      <c r="DGT33" s="93"/>
      <c r="DGU33" s="93"/>
      <c r="DGV33" s="93"/>
      <c r="DGW33" s="93"/>
      <c r="DGX33" s="93"/>
      <c r="DGY33" s="93"/>
      <c r="DGZ33" s="93"/>
      <c r="DHA33" s="93"/>
      <c r="DHB33" s="93"/>
      <c r="DHC33" s="93"/>
      <c r="DHD33" s="93"/>
      <c r="DHE33" s="93"/>
      <c r="DHF33" s="93"/>
      <c r="DHG33" s="93"/>
      <c r="DHH33" s="93"/>
      <c r="DHI33" s="93"/>
      <c r="DHJ33" s="93"/>
      <c r="DHK33" s="93"/>
      <c r="DHL33" s="93"/>
      <c r="DHM33" s="93"/>
      <c r="DHN33" s="93"/>
      <c r="DHO33" s="93"/>
      <c r="DHP33" s="93"/>
      <c r="DHQ33" s="93"/>
      <c r="DHR33" s="93"/>
      <c r="DHS33" s="93"/>
      <c r="DHT33" s="93"/>
      <c r="DHU33" s="93"/>
      <c r="DHV33" s="93"/>
      <c r="DHW33" s="93"/>
      <c r="DHX33" s="93"/>
      <c r="DHY33" s="93"/>
      <c r="DHZ33" s="93"/>
      <c r="DIA33" s="93"/>
      <c r="DIB33" s="93"/>
      <c r="DIC33" s="93"/>
      <c r="DID33" s="93"/>
      <c r="DIE33" s="93"/>
      <c r="DIF33" s="93"/>
      <c r="DIG33" s="93"/>
      <c r="DIH33" s="93"/>
      <c r="DII33" s="93"/>
      <c r="DIJ33" s="93"/>
      <c r="DIK33" s="93"/>
      <c r="DIL33" s="93"/>
      <c r="DIM33" s="93"/>
      <c r="DIN33" s="93"/>
      <c r="DIO33" s="93"/>
      <c r="DIP33" s="93"/>
      <c r="DIQ33" s="93"/>
      <c r="DIR33" s="93"/>
      <c r="DIS33" s="93"/>
      <c r="DIT33" s="93"/>
      <c r="DIU33" s="93"/>
      <c r="DIV33" s="93"/>
      <c r="DIW33" s="93"/>
      <c r="DIX33" s="93"/>
      <c r="DIY33" s="93"/>
      <c r="DIZ33" s="93"/>
      <c r="DJA33" s="93"/>
      <c r="DJB33" s="93"/>
      <c r="DJC33" s="93"/>
      <c r="DJD33" s="93"/>
      <c r="DJE33" s="93"/>
      <c r="DJF33" s="93"/>
      <c r="DJG33" s="93"/>
      <c r="DJH33" s="93"/>
      <c r="DJI33" s="93"/>
      <c r="DJJ33" s="93"/>
      <c r="DJK33" s="93"/>
      <c r="DJL33" s="93"/>
      <c r="DJM33" s="93"/>
      <c r="DJN33" s="93"/>
      <c r="DJO33" s="93"/>
      <c r="DJP33" s="93"/>
      <c r="DJQ33" s="93"/>
      <c r="DJR33" s="93"/>
      <c r="DJS33" s="93"/>
      <c r="DJT33" s="93"/>
      <c r="DJU33" s="93"/>
      <c r="DJV33" s="93"/>
      <c r="DJW33" s="93"/>
      <c r="DJX33" s="93"/>
      <c r="DJY33" s="93"/>
      <c r="DJZ33" s="93"/>
      <c r="DKA33" s="93"/>
      <c r="DKB33" s="93"/>
      <c r="DKC33" s="93"/>
      <c r="DKD33" s="93"/>
      <c r="DKE33" s="93"/>
      <c r="DKF33" s="93"/>
      <c r="DKG33" s="93"/>
      <c r="DKH33" s="93"/>
      <c r="DKI33" s="93"/>
      <c r="DKJ33" s="93"/>
      <c r="DKK33" s="93"/>
      <c r="DKL33" s="93"/>
      <c r="DKM33" s="93"/>
      <c r="DKN33" s="93"/>
      <c r="DKO33" s="93"/>
      <c r="DKP33" s="93"/>
      <c r="DKQ33" s="93"/>
      <c r="DKR33" s="93"/>
      <c r="DKS33" s="93"/>
      <c r="DKT33" s="93"/>
      <c r="DKU33" s="93"/>
      <c r="DKV33" s="93"/>
      <c r="DKW33" s="93"/>
      <c r="DKX33" s="93"/>
      <c r="DKY33" s="93"/>
      <c r="DKZ33" s="93"/>
      <c r="DLA33" s="93"/>
      <c r="DLB33" s="93"/>
      <c r="DLC33" s="93"/>
      <c r="DLD33" s="93"/>
      <c r="DLE33" s="93"/>
      <c r="DLF33" s="93"/>
      <c r="DLG33" s="93"/>
      <c r="DLH33" s="93"/>
      <c r="DLI33" s="93"/>
      <c r="DLJ33" s="93"/>
      <c r="DLK33" s="93"/>
      <c r="DLL33" s="93"/>
      <c r="DLM33" s="93"/>
      <c r="DLN33" s="93"/>
      <c r="DLO33" s="93"/>
      <c r="DLP33" s="93"/>
      <c r="DLQ33" s="93"/>
      <c r="DLR33" s="93"/>
      <c r="DLS33" s="93"/>
      <c r="DLT33" s="93"/>
      <c r="DLU33" s="93"/>
      <c r="DLV33" s="93"/>
      <c r="DLW33" s="93"/>
      <c r="DLX33" s="93"/>
      <c r="DLY33" s="93"/>
      <c r="DLZ33" s="93"/>
      <c r="DMA33" s="93"/>
      <c r="DMB33" s="93"/>
      <c r="DMC33" s="93"/>
      <c r="DMD33" s="93"/>
      <c r="DME33" s="93"/>
      <c r="DMF33" s="93"/>
      <c r="DMG33" s="93"/>
      <c r="DMH33" s="93"/>
      <c r="DMI33" s="93"/>
      <c r="DMJ33" s="93"/>
      <c r="DMK33" s="93"/>
      <c r="DML33" s="93"/>
      <c r="DMM33" s="93"/>
      <c r="DMN33" s="93"/>
      <c r="DMO33" s="93"/>
      <c r="DMP33" s="93"/>
      <c r="DMQ33" s="93"/>
      <c r="DMR33" s="93"/>
      <c r="DMS33" s="93"/>
      <c r="DMT33" s="93"/>
      <c r="DMU33" s="93"/>
      <c r="DMV33" s="93"/>
      <c r="DMW33" s="93"/>
      <c r="DMX33" s="93"/>
      <c r="DMY33" s="93"/>
      <c r="DMZ33" s="93"/>
      <c r="DNA33" s="93"/>
      <c r="DNB33" s="93"/>
      <c r="DNC33" s="93"/>
      <c r="DND33" s="93"/>
      <c r="DNE33" s="93"/>
      <c r="DNF33" s="93"/>
      <c r="DNG33" s="93"/>
      <c r="DNH33" s="93"/>
      <c r="DNI33" s="93"/>
      <c r="DNJ33" s="93"/>
      <c r="DNK33" s="93"/>
      <c r="DNL33" s="93"/>
      <c r="DNM33" s="93"/>
      <c r="DNN33" s="93"/>
      <c r="DNO33" s="93"/>
      <c r="DNP33" s="93"/>
      <c r="DNQ33" s="93"/>
      <c r="DNR33" s="93"/>
      <c r="DNS33" s="93"/>
      <c r="DNT33" s="93"/>
      <c r="DNU33" s="93"/>
      <c r="DNV33" s="93"/>
      <c r="DNW33" s="93"/>
      <c r="DNX33" s="93"/>
      <c r="DNY33" s="93"/>
      <c r="DNZ33" s="93"/>
      <c r="DOA33" s="93"/>
      <c r="DOB33" s="93"/>
      <c r="DOC33" s="93"/>
      <c r="DOD33" s="93"/>
      <c r="DOE33" s="93"/>
      <c r="DOF33" s="93"/>
      <c r="DOG33" s="93"/>
      <c r="DOH33" s="93"/>
      <c r="DOI33" s="93"/>
      <c r="DOJ33" s="93"/>
      <c r="DOK33" s="93"/>
      <c r="DOL33" s="93"/>
      <c r="DOM33" s="93"/>
      <c r="DON33" s="93"/>
      <c r="DOO33" s="93"/>
      <c r="DOP33" s="93"/>
      <c r="DOQ33" s="93"/>
      <c r="DOR33" s="93"/>
      <c r="DOS33" s="93"/>
      <c r="DOT33" s="93"/>
      <c r="DOU33" s="93"/>
      <c r="DOV33" s="93"/>
      <c r="DOW33" s="93"/>
      <c r="DOX33" s="93"/>
      <c r="DOY33" s="93"/>
      <c r="DOZ33" s="93"/>
      <c r="DPA33" s="93"/>
      <c r="DPB33" s="93"/>
      <c r="DPC33" s="93"/>
      <c r="DPD33" s="93"/>
      <c r="DPE33" s="93"/>
      <c r="DPF33" s="93"/>
      <c r="DPG33" s="93"/>
      <c r="DPH33" s="93"/>
      <c r="DPI33" s="93"/>
      <c r="DPJ33" s="93"/>
      <c r="DPK33" s="93"/>
      <c r="DPL33" s="93"/>
      <c r="DPM33" s="93"/>
      <c r="DPN33" s="93"/>
      <c r="DPO33" s="93"/>
      <c r="DPP33" s="93"/>
      <c r="DPQ33" s="93"/>
      <c r="DPR33" s="93"/>
      <c r="DPS33" s="93"/>
      <c r="DPT33" s="93"/>
      <c r="DPU33" s="93"/>
      <c r="DPV33" s="93"/>
      <c r="DPW33" s="93"/>
      <c r="DPX33" s="93"/>
      <c r="DPY33" s="93"/>
      <c r="DPZ33" s="93"/>
      <c r="DQA33" s="93"/>
      <c r="DQB33" s="93"/>
      <c r="DQC33" s="93"/>
      <c r="DQD33" s="93"/>
      <c r="DQE33" s="93"/>
      <c r="DQF33" s="93"/>
      <c r="DQG33" s="93"/>
      <c r="DQH33" s="93"/>
      <c r="DQI33" s="93"/>
      <c r="DQJ33" s="93"/>
      <c r="DQK33" s="93"/>
      <c r="DQL33" s="93"/>
      <c r="DQM33" s="93"/>
      <c r="DQN33" s="93"/>
      <c r="DQO33" s="93"/>
      <c r="DQP33" s="93"/>
      <c r="DQQ33" s="93"/>
      <c r="DQR33" s="93"/>
      <c r="DQS33" s="93"/>
      <c r="DQT33" s="93"/>
      <c r="DQU33" s="93"/>
      <c r="DQV33" s="93"/>
      <c r="DQW33" s="93"/>
      <c r="DQX33" s="93"/>
      <c r="DQY33" s="93"/>
      <c r="DQZ33" s="93"/>
      <c r="DRA33" s="93"/>
      <c r="DRB33" s="93"/>
      <c r="DRC33" s="93"/>
      <c r="DRD33" s="93"/>
      <c r="DRE33" s="93"/>
      <c r="DRF33" s="93"/>
      <c r="DRG33" s="93"/>
      <c r="DRH33" s="93"/>
      <c r="DRI33" s="93"/>
      <c r="DRJ33" s="93"/>
      <c r="DRK33" s="93"/>
      <c r="DRL33" s="93"/>
      <c r="DRM33" s="93"/>
      <c r="DRN33" s="93"/>
      <c r="DRO33" s="93"/>
      <c r="DRP33" s="93"/>
      <c r="DRQ33" s="93"/>
      <c r="DRR33" s="93"/>
      <c r="DRS33" s="93"/>
      <c r="DRT33" s="93"/>
      <c r="DRU33" s="93"/>
      <c r="DRV33" s="93"/>
      <c r="DRW33" s="93"/>
      <c r="DRX33" s="93"/>
      <c r="DRY33" s="93"/>
      <c r="DRZ33" s="93"/>
      <c r="DSA33" s="93"/>
      <c r="DSB33" s="93"/>
      <c r="DSC33" s="93"/>
      <c r="DSD33" s="93"/>
      <c r="DSE33" s="93"/>
      <c r="DSF33" s="93"/>
      <c r="DSG33" s="93"/>
      <c r="DSH33" s="93"/>
      <c r="DSI33" s="93"/>
      <c r="DSJ33" s="93"/>
      <c r="DSK33" s="93"/>
      <c r="DSL33" s="93"/>
      <c r="DSM33" s="93"/>
      <c r="DSN33" s="93"/>
      <c r="DSO33" s="93"/>
      <c r="DSP33" s="93"/>
      <c r="DSQ33" s="93"/>
      <c r="DSR33" s="93"/>
      <c r="DSS33" s="93"/>
      <c r="DST33" s="93"/>
      <c r="DSU33" s="93"/>
      <c r="DSV33" s="93"/>
      <c r="DSW33" s="93"/>
      <c r="DSX33" s="93"/>
      <c r="DSY33" s="93"/>
      <c r="DSZ33" s="93"/>
      <c r="DTA33" s="93"/>
      <c r="DTB33" s="93"/>
      <c r="DTC33" s="93"/>
      <c r="DTD33" s="93"/>
      <c r="DTE33" s="93"/>
      <c r="DTF33" s="93"/>
      <c r="DTG33" s="93"/>
      <c r="DTH33" s="93"/>
      <c r="DTI33" s="93"/>
      <c r="DTJ33" s="93"/>
      <c r="DTK33" s="93"/>
      <c r="DTL33" s="93"/>
      <c r="DTM33" s="93"/>
      <c r="DTN33" s="93"/>
      <c r="DTO33" s="93"/>
      <c r="DTP33" s="93"/>
      <c r="DTQ33" s="93"/>
      <c r="DTR33" s="93"/>
      <c r="DTS33" s="93"/>
      <c r="DTT33" s="93"/>
      <c r="DTU33" s="93"/>
      <c r="DTV33" s="93"/>
      <c r="DTW33" s="93"/>
      <c r="DTX33" s="93"/>
      <c r="DTY33" s="93"/>
      <c r="DTZ33" s="93"/>
      <c r="DUA33" s="93"/>
      <c r="DUB33" s="93"/>
      <c r="DUC33" s="93"/>
      <c r="DUD33" s="93"/>
      <c r="DUE33" s="93"/>
      <c r="DUF33" s="93"/>
      <c r="DUG33" s="93"/>
      <c r="DUH33" s="93"/>
      <c r="DUI33" s="93"/>
      <c r="DUJ33" s="93"/>
      <c r="DUK33" s="93"/>
      <c r="DUL33" s="93"/>
      <c r="DUM33" s="93"/>
      <c r="DUN33" s="93"/>
      <c r="DUO33" s="93"/>
      <c r="DUP33" s="93"/>
      <c r="DUQ33" s="93"/>
      <c r="DUR33" s="93"/>
      <c r="DUS33" s="93"/>
      <c r="DUT33" s="93"/>
      <c r="DUU33" s="93"/>
      <c r="DUV33" s="93"/>
      <c r="DUW33" s="93"/>
      <c r="DUX33" s="93"/>
      <c r="DUY33" s="93"/>
      <c r="DUZ33" s="93"/>
      <c r="DVA33" s="93"/>
      <c r="DVB33" s="93"/>
      <c r="DVC33" s="93"/>
      <c r="DVD33" s="93"/>
      <c r="DVE33" s="93"/>
      <c r="DVF33" s="93"/>
      <c r="DVG33" s="93"/>
      <c r="DVH33" s="93"/>
      <c r="DVI33" s="93"/>
      <c r="DVJ33" s="93"/>
      <c r="DVK33" s="93"/>
      <c r="DVL33" s="93"/>
      <c r="DVM33" s="93"/>
      <c r="DVN33" s="93"/>
      <c r="DVO33" s="93"/>
      <c r="DVP33" s="93"/>
      <c r="DVQ33" s="93"/>
      <c r="DVR33" s="93"/>
      <c r="DVS33" s="93"/>
      <c r="DVT33" s="93"/>
      <c r="DVU33" s="93"/>
      <c r="DVV33" s="93"/>
      <c r="DVW33" s="93"/>
      <c r="DVX33" s="93"/>
      <c r="DVY33" s="93"/>
      <c r="DVZ33" s="93"/>
      <c r="DWA33" s="93"/>
      <c r="DWB33" s="93"/>
      <c r="DWC33" s="93"/>
      <c r="DWD33" s="93"/>
      <c r="DWE33" s="93"/>
      <c r="DWF33" s="93"/>
      <c r="DWG33" s="93"/>
      <c r="DWH33" s="93"/>
      <c r="DWI33" s="93"/>
      <c r="DWJ33" s="93"/>
      <c r="DWK33" s="93"/>
      <c r="DWL33" s="93"/>
      <c r="DWM33" s="93"/>
      <c r="DWN33" s="93"/>
      <c r="DWO33" s="93"/>
      <c r="DWP33" s="93"/>
      <c r="DWQ33" s="93"/>
      <c r="DWR33" s="93"/>
      <c r="DWS33" s="93"/>
      <c r="DWT33" s="93"/>
      <c r="DWU33" s="93"/>
      <c r="DWV33" s="93"/>
      <c r="DWW33" s="93"/>
      <c r="DWX33" s="93"/>
      <c r="DWY33" s="93"/>
      <c r="DWZ33" s="93"/>
      <c r="DXA33" s="93"/>
      <c r="DXB33" s="93"/>
      <c r="DXC33" s="93"/>
      <c r="DXD33" s="93"/>
      <c r="DXE33" s="93"/>
      <c r="DXF33" s="93"/>
      <c r="DXG33" s="93"/>
      <c r="DXH33" s="93"/>
      <c r="DXI33" s="93"/>
      <c r="DXJ33" s="93"/>
      <c r="DXK33" s="93"/>
      <c r="DXL33" s="93"/>
      <c r="DXM33" s="93"/>
      <c r="DXN33" s="93"/>
      <c r="DXO33" s="93"/>
      <c r="DXP33" s="93"/>
      <c r="DXQ33" s="93"/>
      <c r="DXR33" s="93"/>
      <c r="DXS33" s="93"/>
      <c r="DXT33" s="93"/>
      <c r="DXU33" s="93"/>
      <c r="DXV33" s="93"/>
      <c r="DXW33" s="93"/>
      <c r="DXX33" s="93"/>
      <c r="DXY33" s="93"/>
      <c r="DXZ33" s="93"/>
      <c r="DYA33" s="93"/>
      <c r="DYB33" s="93"/>
      <c r="DYC33" s="93"/>
      <c r="DYD33" s="93"/>
      <c r="DYE33" s="93"/>
      <c r="DYF33" s="93"/>
      <c r="DYG33" s="93"/>
      <c r="DYH33" s="93"/>
      <c r="DYI33" s="93"/>
      <c r="DYJ33" s="93"/>
      <c r="DYK33" s="93"/>
      <c r="DYL33" s="93"/>
      <c r="DYM33" s="93"/>
      <c r="DYN33" s="93"/>
      <c r="DYO33" s="93"/>
      <c r="DYP33" s="93"/>
      <c r="DYQ33" s="93"/>
      <c r="DYR33" s="93"/>
      <c r="DYS33" s="93"/>
      <c r="DYT33" s="93"/>
      <c r="DYU33" s="93"/>
      <c r="DYV33" s="93"/>
      <c r="DYW33" s="93"/>
      <c r="DYX33" s="93"/>
      <c r="DYY33" s="93"/>
      <c r="DYZ33" s="93"/>
      <c r="DZA33" s="93"/>
      <c r="DZB33" s="93"/>
      <c r="DZC33" s="93"/>
      <c r="DZD33" s="93"/>
      <c r="DZE33" s="93"/>
      <c r="DZF33" s="93"/>
      <c r="DZG33" s="93"/>
      <c r="DZH33" s="93"/>
      <c r="DZI33" s="93"/>
      <c r="DZJ33" s="93"/>
      <c r="DZK33" s="93"/>
      <c r="DZL33" s="93"/>
      <c r="DZM33" s="93"/>
      <c r="DZN33" s="93"/>
      <c r="DZO33" s="93"/>
      <c r="DZP33" s="93"/>
      <c r="DZQ33" s="93"/>
      <c r="DZR33" s="93"/>
      <c r="DZS33" s="93"/>
      <c r="DZT33" s="93"/>
      <c r="DZU33" s="93"/>
      <c r="DZV33" s="93"/>
      <c r="DZW33" s="93"/>
      <c r="DZX33" s="93"/>
      <c r="DZY33" s="93"/>
      <c r="DZZ33" s="93"/>
      <c r="EAA33" s="93"/>
      <c r="EAB33" s="93"/>
      <c r="EAC33" s="93"/>
      <c r="EAD33" s="93"/>
      <c r="EAE33" s="93"/>
      <c r="EAF33" s="93"/>
      <c r="EAG33" s="93"/>
      <c r="EAH33" s="93"/>
      <c r="EAI33" s="93"/>
      <c r="EAJ33" s="93"/>
      <c r="EAK33" s="93"/>
      <c r="EAL33" s="93"/>
      <c r="EAM33" s="93"/>
      <c r="EAN33" s="93"/>
      <c r="EAO33" s="93"/>
      <c r="EAP33" s="93"/>
      <c r="EAQ33" s="93"/>
      <c r="EAR33" s="93"/>
      <c r="EAS33" s="93"/>
      <c r="EAT33" s="93"/>
      <c r="EAU33" s="93"/>
      <c r="EAV33" s="93"/>
      <c r="EAW33" s="93"/>
      <c r="EAX33" s="93"/>
      <c r="EAY33" s="93"/>
      <c r="EAZ33" s="93"/>
      <c r="EBA33" s="93"/>
      <c r="EBB33" s="93"/>
      <c r="EBC33" s="93"/>
      <c r="EBD33" s="93"/>
      <c r="EBE33" s="93"/>
      <c r="EBF33" s="93"/>
      <c r="EBG33" s="93"/>
      <c r="EBH33" s="93"/>
      <c r="EBI33" s="93"/>
      <c r="EBJ33" s="93"/>
      <c r="EBK33" s="93"/>
      <c r="EBL33" s="93"/>
      <c r="EBM33" s="93"/>
      <c r="EBN33" s="93"/>
      <c r="EBO33" s="93"/>
      <c r="EBP33" s="93"/>
      <c r="EBQ33" s="93"/>
      <c r="EBR33" s="93"/>
      <c r="EBS33" s="93"/>
      <c r="EBT33" s="93"/>
      <c r="EBU33" s="93"/>
      <c r="EBV33" s="93"/>
      <c r="EBW33" s="93"/>
      <c r="EBX33" s="93"/>
      <c r="EBY33" s="93"/>
      <c r="EBZ33" s="93"/>
      <c r="ECA33" s="93"/>
      <c r="ECB33" s="93"/>
      <c r="ECC33" s="93"/>
      <c r="ECD33" s="93"/>
      <c r="ECE33" s="93"/>
      <c r="ECF33" s="93"/>
      <c r="ECG33" s="93"/>
      <c r="ECH33" s="93"/>
      <c r="ECI33" s="93"/>
      <c r="ECJ33" s="93"/>
      <c r="ECK33" s="93"/>
      <c r="ECL33" s="93"/>
      <c r="ECM33" s="93"/>
      <c r="ECN33" s="93"/>
      <c r="ECO33" s="93"/>
      <c r="ECP33" s="93"/>
      <c r="ECQ33" s="93"/>
      <c r="ECR33" s="93"/>
      <c r="ECS33" s="93"/>
      <c r="ECT33" s="93"/>
      <c r="ECU33" s="93"/>
      <c r="ECV33" s="93"/>
      <c r="ECW33" s="93"/>
      <c r="ECX33" s="93"/>
      <c r="ECY33" s="93"/>
      <c r="ECZ33" s="93"/>
      <c r="EDA33" s="93"/>
      <c r="EDB33" s="93"/>
      <c r="EDC33" s="93"/>
      <c r="EDD33" s="93"/>
      <c r="EDE33" s="93"/>
      <c r="EDF33" s="93"/>
      <c r="EDG33" s="93"/>
      <c r="EDH33" s="93"/>
      <c r="EDI33" s="93"/>
      <c r="EDJ33" s="93"/>
      <c r="EDK33" s="93"/>
      <c r="EDL33" s="93"/>
      <c r="EDM33" s="93"/>
      <c r="EDN33" s="93"/>
      <c r="EDO33" s="93"/>
      <c r="EDP33" s="93"/>
      <c r="EDQ33" s="93"/>
      <c r="EDR33" s="93"/>
      <c r="EDS33" s="93"/>
      <c r="EDT33" s="93"/>
      <c r="EDU33" s="93"/>
      <c r="EDV33" s="93"/>
      <c r="EDW33" s="93"/>
      <c r="EDX33" s="93"/>
      <c r="EDY33" s="93"/>
      <c r="EDZ33" s="93"/>
      <c r="EEA33" s="93"/>
      <c r="EEB33" s="93"/>
      <c r="EEC33" s="93"/>
      <c r="EED33" s="93"/>
      <c r="EEE33" s="93"/>
      <c r="EEF33" s="93"/>
      <c r="EEG33" s="93"/>
      <c r="EEH33" s="93"/>
      <c r="EEI33" s="93"/>
      <c r="EEJ33" s="93"/>
      <c r="EEK33" s="93"/>
      <c r="EEL33" s="93"/>
      <c r="EEM33" s="93"/>
      <c r="EEN33" s="93"/>
      <c r="EEO33" s="93"/>
      <c r="EEP33" s="93"/>
      <c r="EEQ33" s="93"/>
      <c r="EER33" s="93"/>
      <c r="EES33" s="93"/>
      <c r="EET33" s="93"/>
      <c r="EEU33" s="93"/>
      <c r="EEV33" s="93"/>
      <c r="EEW33" s="93"/>
      <c r="EEX33" s="93"/>
      <c r="EEY33" s="93"/>
      <c r="EEZ33" s="93"/>
      <c r="EFA33" s="93"/>
      <c r="EFB33" s="93"/>
      <c r="EFC33" s="93"/>
      <c r="EFD33" s="93"/>
      <c r="EFE33" s="93"/>
      <c r="EFF33" s="93"/>
      <c r="EFG33" s="93"/>
      <c r="EFH33" s="93"/>
      <c r="EFI33" s="93"/>
      <c r="EFJ33" s="93"/>
      <c r="EFK33" s="93"/>
      <c r="EFL33" s="93"/>
      <c r="EFM33" s="93"/>
      <c r="EFN33" s="93"/>
      <c r="EFO33" s="93"/>
      <c r="EFP33" s="93"/>
      <c r="EFQ33" s="93"/>
      <c r="EFR33" s="93"/>
      <c r="EFS33" s="93"/>
      <c r="EFT33" s="93"/>
      <c r="EFU33" s="93"/>
      <c r="EFV33" s="93"/>
      <c r="EFW33" s="93"/>
      <c r="EFX33" s="93"/>
      <c r="EFY33" s="93"/>
      <c r="EFZ33" s="93"/>
      <c r="EGA33" s="93"/>
      <c r="EGB33" s="93"/>
      <c r="EGC33" s="93"/>
      <c r="EGD33" s="93"/>
      <c r="EGE33" s="93"/>
      <c r="EGF33" s="93"/>
      <c r="EGG33" s="93"/>
      <c r="EGH33" s="93"/>
      <c r="EGI33" s="93"/>
      <c r="EGJ33" s="93"/>
      <c r="EGK33" s="93"/>
      <c r="EGL33" s="93"/>
      <c r="EGM33" s="93"/>
      <c r="EGN33" s="93"/>
      <c r="EGO33" s="93"/>
      <c r="EGP33" s="93"/>
      <c r="EGQ33" s="93"/>
      <c r="EGR33" s="93"/>
      <c r="EGS33" s="93"/>
      <c r="EGT33" s="93"/>
      <c r="EGU33" s="93"/>
      <c r="EGV33" s="93"/>
      <c r="EGW33" s="93"/>
      <c r="EGX33" s="93"/>
      <c r="EGY33" s="93"/>
      <c r="EGZ33" s="93"/>
      <c r="EHA33" s="93"/>
      <c r="EHB33" s="93"/>
      <c r="EHC33" s="93"/>
      <c r="EHD33" s="93"/>
      <c r="EHE33" s="93"/>
      <c r="EHF33" s="93"/>
      <c r="EHG33" s="93"/>
      <c r="EHH33" s="93"/>
      <c r="EHI33" s="93"/>
      <c r="EHJ33" s="93"/>
      <c r="EHK33" s="93"/>
      <c r="EHL33" s="93"/>
      <c r="EHM33" s="93"/>
      <c r="EHN33" s="93"/>
      <c r="EHO33" s="93"/>
      <c r="EHP33" s="93"/>
      <c r="EHQ33" s="93"/>
      <c r="EHR33" s="93"/>
      <c r="EHS33" s="93"/>
      <c r="EHT33" s="93"/>
      <c r="EHU33" s="93"/>
      <c r="EHV33" s="93"/>
      <c r="EHW33" s="93"/>
      <c r="EHX33" s="93"/>
      <c r="EHY33" s="93"/>
      <c r="EHZ33" s="93"/>
      <c r="EIA33" s="93"/>
      <c r="EIB33" s="93"/>
      <c r="EIC33" s="93"/>
      <c r="EID33" s="93"/>
      <c r="EIE33" s="93"/>
      <c r="EIF33" s="93"/>
      <c r="EIG33" s="93"/>
      <c r="EIH33" s="93"/>
      <c r="EII33" s="93"/>
      <c r="EIJ33" s="93"/>
      <c r="EIK33" s="93"/>
      <c r="EIL33" s="93"/>
      <c r="EIM33" s="93"/>
      <c r="EIN33" s="93"/>
      <c r="EIO33" s="93"/>
      <c r="EIP33" s="93"/>
      <c r="EIQ33" s="93"/>
      <c r="EIR33" s="93"/>
      <c r="EIS33" s="93"/>
      <c r="EIT33" s="93"/>
      <c r="EIU33" s="93"/>
      <c r="EIV33" s="93"/>
      <c r="EIW33" s="93"/>
      <c r="EIX33" s="93"/>
      <c r="EIY33" s="93"/>
      <c r="EIZ33" s="93"/>
      <c r="EJA33" s="93"/>
      <c r="EJB33" s="93"/>
      <c r="EJC33" s="93"/>
      <c r="EJD33" s="93"/>
      <c r="EJE33" s="93"/>
      <c r="EJF33" s="93"/>
      <c r="EJG33" s="93"/>
      <c r="EJH33" s="93"/>
      <c r="EJI33" s="93"/>
      <c r="EJJ33" s="93"/>
      <c r="EJK33" s="93"/>
      <c r="EJL33" s="93"/>
      <c r="EJM33" s="93"/>
      <c r="EJN33" s="93"/>
      <c r="EJO33" s="93"/>
      <c r="EJP33" s="93"/>
      <c r="EJQ33" s="93"/>
      <c r="EJR33" s="93"/>
      <c r="EJS33" s="93"/>
      <c r="EJT33" s="93"/>
      <c r="EJU33" s="93"/>
      <c r="EJV33" s="93"/>
      <c r="EJW33" s="93"/>
      <c r="EJX33" s="93"/>
      <c r="EJY33" s="93"/>
      <c r="EJZ33" s="93"/>
      <c r="EKA33" s="93"/>
      <c r="EKB33" s="93"/>
      <c r="EKC33" s="93"/>
      <c r="EKD33" s="93"/>
      <c r="EKE33" s="93"/>
      <c r="EKF33" s="93"/>
      <c r="EKG33" s="93"/>
      <c r="EKH33" s="93"/>
      <c r="EKI33" s="93"/>
      <c r="EKJ33" s="93"/>
      <c r="EKK33" s="93"/>
      <c r="EKL33" s="93"/>
      <c r="EKM33" s="93"/>
      <c r="EKN33" s="93"/>
      <c r="EKO33" s="93"/>
      <c r="EKP33" s="93"/>
      <c r="EKQ33" s="93"/>
      <c r="EKR33" s="93"/>
      <c r="EKS33" s="93"/>
      <c r="EKT33" s="93"/>
      <c r="EKU33" s="93"/>
      <c r="EKV33" s="93"/>
      <c r="EKW33" s="93"/>
      <c r="EKX33" s="93"/>
      <c r="EKY33" s="93"/>
      <c r="EKZ33" s="93"/>
      <c r="ELA33" s="93"/>
      <c r="ELB33" s="93"/>
      <c r="ELC33" s="93"/>
      <c r="ELD33" s="93"/>
      <c r="ELE33" s="93"/>
      <c r="ELF33" s="93"/>
      <c r="ELG33" s="93"/>
      <c r="ELH33" s="93"/>
      <c r="ELI33" s="93"/>
      <c r="ELJ33" s="93"/>
      <c r="ELK33" s="93"/>
      <c r="ELL33" s="93"/>
      <c r="ELM33" s="93"/>
      <c r="ELN33" s="93"/>
      <c r="ELO33" s="93"/>
      <c r="ELP33" s="93"/>
      <c r="ELQ33" s="93"/>
      <c r="ELR33" s="93"/>
      <c r="ELS33" s="93"/>
      <c r="ELT33" s="93"/>
      <c r="ELU33" s="93"/>
      <c r="ELV33" s="93"/>
      <c r="ELW33" s="93"/>
      <c r="ELX33" s="93"/>
      <c r="ELY33" s="93"/>
      <c r="ELZ33" s="93"/>
      <c r="EMA33" s="93"/>
      <c r="EMB33" s="93"/>
      <c r="EMC33" s="93"/>
      <c r="EMD33" s="93"/>
      <c r="EME33" s="93"/>
      <c r="EMF33" s="93"/>
      <c r="EMG33" s="93"/>
      <c r="EMH33" s="93"/>
      <c r="EMI33" s="93"/>
      <c r="EMJ33" s="93"/>
      <c r="EMK33" s="93"/>
      <c r="EML33" s="93"/>
      <c r="EMM33" s="93"/>
      <c r="EMN33" s="93"/>
      <c r="EMO33" s="93"/>
      <c r="EMP33" s="93"/>
      <c r="EMQ33" s="93"/>
      <c r="EMR33" s="93"/>
      <c r="EMS33" s="93"/>
      <c r="EMT33" s="93"/>
      <c r="EMU33" s="93"/>
      <c r="EMV33" s="93"/>
      <c r="EMW33" s="93"/>
      <c r="EMX33" s="93"/>
      <c r="EMY33" s="93"/>
      <c r="EMZ33" s="93"/>
      <c r="ENA33" s="93"/>
      <c r="ENB33" s="93"/>
      <c r="ENC33" s="93"/>
      <c r="END33" s="93"/>
      <c r="ENE33" s="93"/>
      <c r="ENF33" s="93"/>
      <c r="ENG33" s="93"/>
      <c r="ENH33" s="93"/>
      <c r="ENI33" s="93"/>
      <c r="ENJ33" s="93"/>
      <c r="ENK33" s="93"/>
      <c r="ENL33" s="93"/>
      <c r="ENM33" s="93"/>
      <c r="ENN33" s="93"/>
      <c r="ENO33" s="93"/>
      <c r="ENP33" s="93"/>
      <c r="ENQ33" s="93"/>
      <c r="ENR33" s="93"/>
      <c r="ENS33" s="93"/>
      <c r="ENT33" s="93"/>
      <c r="ENU33" s="93"/>
      <c r="ENV33" s="93"/>
      <c r="ENW33" s="93"/>
      <c r="ENX33" s="93"/>
      <c r="ENY33" s="93"/>
      <c r="ENZ33" s="93"/>
      <c r="EOA33" s="93"/>
      <c r="EOB33" s="93"/>
      <c r="EOC33" s="93"/>
      <c r="EOD33" s="93"/>
      <c r="EOE33" s="93"/>
      <c r="EOF33" s="93"/>
      <c r="EOG33" s="93"/>
      <c r="EOH33" s="93"/>
      <c r="EOI33" s="93"/>
      <c r="EOJ33" s="93"/>
      <c r="EOK33" s="93"/>
      <c r="EOL33" s="93"/>
      <c r="EOM33" s="93"/>
      <c r="EON33" s="93"/>
      <c r="EOO33" s="93"/>
      <c r="EOP33" s="93"/>
      <c r="EOQ33" s="93"/>
      <c r="EOR33" s="93"/>
      <c r="EOS33" s="93"/>
      <c r="EOT33" s="93"/>
      <c r="EOU33" s="93"/>
      <c r="EOV33" s="93"/>
      <c r="EOW33" s="93"/>
      <c r="EOX33" s="93"/>
      <c r="EOY33" s="93"/>
      <c r="EOZ33" s="93"/>
      <c r="EPA33" s="93"/>
      <c r="EPB33" s="93"/>
      <c r="EPC33" s="93"/>
      <c r="EPD33" s="93"/>
      <c r="EPE33" s="93"/>
      <c r="EPF33" s="93"/>
      <c r="EPG33" s="93"/>
      <c r="EPH33" s="93"/>
      <c r="EPI33" s="93"/>
      <c r="EPJ33" s="93"/>
      <c r="EPK33" s="93"/>
      <c r="EPL33" s="93"/>
      <c r="EPM33" s="93"/>
      <c r="EPN33" s="93"/>
      <c r="EPO33" s="93"/>
      <c r="EPP33" s="93"/>
      <c r="EPQ33" s="93"/>
      <c r="EPR33" s="93"/>
      <c r="EPS33" s="93"/>
      <c r="EPT33" s="93"/>
      <c r="EPU33" s="93"/>
      <c r="EPV33" s="93"/>
      <c r="EPW33" s="93"/>
      <c r="EPX33" s="93"/>
      <c r="EPY33" s="93"/>
      <c r="EPZ33" s="93"/>
      <c r="EQA33" s="93"/>
      <c r="EQB33" s="93"/>
      <c r="EQC33" s="93"/>
      <c r="EQD33" s="93"/>
      <c r="EQE33" s="93"/>
      <c r="EQF33" s="93"/>
      <c r="EQG33" s="93"/>
      <c r="EQH33" s="93"/>
      <c r="EQI33" s="93"/>
      <c r="EQJ33" s="93"/>
      <c r="EQK33" s="93"/>
      <c r="EQL33" s="93"/>
      <c r="EQM33" s="93"/>
      <c r="EQN33" s="93"/>
      <c r="EQO33" s="93"/>
      <c r="EQP33" s="93"/>
      <c r="EQQ33" s="93"/>
      <c r="EQR33" s="93"/>
      <c r="EQS33" s="93"/>
      <c r="EQT33" s="93"/>
      <c r="EQU33" s="93"/>
      <c r="EQV33" s="93"/>
      <c r="EQW33" s="93"/>
      <c r="EQX33" s="93"/>
      <c r="EQY33" s="93"/>
      <c r="EQZ33" s="93"/>
      <c r="ERA33" s="93"/>
      <c r="ERB33" s="93"/>
      <c r="ERC33" s="93"/>
      <c r="ERD33" s="93"/>
      <c r="ERE33" s="93"/>
      <c r="ERF33" s="93"/>
      <c r="ERG33" s="93"/>
      <c r="ERH33" s="93"/>
      <c r="ERI33" s="93"/>
      <c r="ERJ33" s="93"/>
      <c r="ERK33" s="93"/>
      <c r="ERL33" s="93"/>
      <c r="ERM33" s="93"/>
      <c r="ERN33" s="93"/>
      <c r="ERO33" s="93"/>
      <c r="ERP33" s="93"/>
      <c r="ERQ33" s="93"/>
      <c r="ERR33" s="93"/>
      <c r="ERS33" s="93"/>
      <c r="ERT33" s="93"/>
      <c r="ERU33" s="93"/>
      <c r="ERV33" s="93"/>
      <c r="ERW33" s="93"/>
      <c r="ERX33" s="93"/>
      <c r="ERY33" s="93"/>
      <c r="ERZ33" s="93"/>
      <c r="ESA33" s="93"/>
      <c r="ESB33" s="93"/>
      <c r="ESC33" s="93"/>
      <c r="ESD33" s="93"/>
      <c r="ESE33" s="93"/>
      <c r="ESF33" s="93"/>
      <c r="ESG33" s="93"/>
      <c r="ESH33" s="93"/>
      <c r="ESI33" s="93"/>
      <c r="ESJ33" s="93"/>
      <c r="ESK33" s="93"/>
      <c r="ESL33" s="93"/>
      <c r="ESM33" s="93"/>
      <c r="ESN33" s="93"/>
      <c r="ESO33" s="93"/>
      <c r="ESP33" s="93"/>
      <c r="ESQ33" s="93"/>
      <c r="ESR33" s="93"/>
      <c r="ESS33" s="93"/>
      <c r="EST33" s="93"/>
      <c r="ESU33" s="93"/>
      <c r="ESV33" s="93"/>
      <c r="ESW33" s="93"/>
      <c r="ESX33" s="93"/>
      <c r="ESY33" s="93"/>
      <c r="ESZ33" s="93"/>
      <c r="ETA33" s="93"/>
      <c r="ETB33" s="93"/>
      <c r="ETC33" s="93"/>
      <c r="ETD33" s="93"/>
      <c r="ETE33" s="93"/>
      <c r="ETF33" s="93"/>
      <c r="ETG33" s="93"/>
      <c r="ETH33" s="93"/>
      <c r="ETI33" s="93"/>
      <c r="ETJ33" s="93"/>
      <c r="ETK33" s="93"/>
      <c r="ETL33" s="93"/>
      <c r="ETM33" s="93"/>
      <c r="ETN33" s="93"/>
      <c r="ETO33" s="93"/>
      <c r="ETP33" s="93"/>
      <c r="ETQ33" s="93"/>
      <c r="ETR33" s="93"/>
      <c r="ETS33" s="93"/>
      <c r="ETT33" s="93"/>
      <c r="ETU33" s="93"/>
      <c r="ETV33" s="93"/>
      <c r="ETW33" s="93"/>
      <c r="ETX33" s="93"/>
      <c r="ETY33" s="93"/>
      <c r="ETZ33" s="93"/>
      <c r="EUA33" s="93"/>
      <c r="EUB33" s="93"/>
      <c r="EUC33" s="93"/>
      <c r="EUD33" s="93"/>
      <c r="EUE33" s="93"/>
      <c r="EUF33" s="93"/>
      <c r="EUG33" s="93"/>
      <c r="EUH33" s="93"/>
      <c r="EUI33" s="93"/>
      <c r="EUJ33" s="93"/>
      <c r="EUK33" s="93"/>
      <c r="EUL33" s="93"/>
      <c r="EUM33" s="93"/>
      <c r="EUN33" s="93"/>
      <c r="EUO33" s="93"/>
      <c r="EUP33" s="93"/>
      <c r="EUQ33" s="93"/>
      <c r="EUR33" s="93"/>
      <c r="EUS33" s="93"/>
      <c r="EUT33" s="93"/>
      <c r="EUU33" s="93"/>
      <c r="EUV33" s="93"/>
      <c r="EUW33" s="93"/>
      <c r="EUX33" s="93"/>
      <c r="EUY33" s="93"/>
      <c r="EUZ33" s="93"/>
      <c r="EVA33" s="93"/>
      <c r="EVB33" s="93"/>
      <c r="EVC33" s="93"/>
      <c r="EVD33" s="93"/>
      <c r="EVE33" s="93"/>
      <c r="EVF33" s="93"/>
      <c r="EVG33" s="93"/>
      <c r="EVH33" s="93"/>
      <c r="EVI33" s="93"/>
      <c r="EVJ33" s="93"/>
      <c r="EVK33" s="93"/>
      <c r="EVL33" s="93"/>
      <c r="EVM33" s="93"/>
      <c r="EVN33" s="93"/>
      <c r="EVO33" s="93"/>
      <c r="EVP33" s="93"/>
      <c r="EVQ33" s="93"/>
      <c r="EVR33" s="93"/>
      <c r="EVS33" s="93"/>
      <c r="EVT33" s="93"/>
      <c r="EVU33" s="93"/>
      <c r="EVV33" s="93"/>
      <c r="EVW33" s="93"/>
      <c r="EVX33" s="93"/>
      <c r="EVY33" s="93"/>
      <c r="EVZ33" s="93"/>
      <c r="EWA33" s="93"/>
      <c r="EWB33" s="93"/>
      <c r="EWC33" s="93"/>
      <c r="EWD33" s="93"/>
      <c r="EWE33" s="93"/>
      <c r="EWF33" s="93"/>
      <c r="EWG33" s="93"/>
      <c r="EWH33" s="93"/>
      <c r="EWI33" s="93"/>
      <c r="EWJ33" s="93"/>
      <c r="EWK33" s="93"/>
      <c r="EWL33" s="93"/>
      <c r="EWM33" s="93"/>
      <c r="EWN33" s="93"/>
      <c r="EWO33" s="93"/>
      <c r="EWP33" s="93"/>
      <c r="EWQ33" s="93"/>
      <c r="EWR33" s="93"/>
      <c r="EWS33" s="93"/>
      <c r="EWT33" s="93"/>
      <c r="EWU33" s="93"/>
      <c r="EWV33" s="93"/>
      <c r="EWW33" s="93"/>
      <c r="EWX33" s="93"/>
      <c r="EWY33" s="93"/>
      <c r="EWZ33" s="93"/>
      <c r="EXA33" s="93"/>
      <c r="EXB33" s="93"/>
      <c r="EXC33" s="93"/>
      <c r="EXD33" s="93"/>
      <c r="EXE33" s="93"/>
      <c r="EXF33" s="93"/>
      <c r="EXG33" s="93"/>
      <c r="EXH33" s="93"/>
      <c r="EXI33" s="93"/>
      <c r="EXJ33" s="93"/>
      <c r="EXK33" s="93"/>
      <c r="EXL33" s="93"/>
      <c r="EXM33" s="93"/>
      <c r="EXN33" s="93"/>
      <c r="EXO33" s="93"/>
      <c r="EXP33" s="93"/>
      <c r="EXQ33" s="93"/>
      <c r="EXR33" s="93"/>
      <c r="EXS33" s="93"/>
      <c r="EXT33" s="93"/>
      <c r="EXU33" s="93"/>
      <c r="EXV33" s="93"/>
      <c r="EXW33" s="93"/>
      <c r="EXX33" s="93"/>
      <c r="EXY33" s="93"/>
      <c r="EXZ33" s="93"/>
      <c r="EYA33" s="93"/>
      <c r="EYB33" s="93"/>
      <c r="EYC33" s="93"/>
      <c r="EYD33" s="93"/>
      <c r="EYE33" s="93"/>
      <c r="EYF33" s="93"/>
      <c r="EYG33" s="93"/>
      <c r="EYH33" s="93"/>
      <c r="EYI33" s="93"/>
      <c r="EYJ33" s="93"/>
      <c r="EYK33" s="93"/>
      <c r="EYL33" s="93"/>
      <c r="EYM33" s="93"/>
      <c r="EYN33" s="93"/>
      <c r="EYO33" s="93"/>
      <c r="EYP33" s="93"/>
      <c r="EYQ33" s="93"/>
      <c r="EYR33" s="93"/>
      <c r="EYS33" s="93"/>
      <c r="EYT33" s="93"/>
      <c r="EYU33" s="93"/>
      <c r="EYV33" s="93"/>
      <c r="EYW33" s="93"/>
      <c r="EYX33" s="93"/>
      <c r="EYY33" s="93"/>
      <c r="EYZ33" s="93"/>
      <c r="EZA33" s="93"/>
      <c r="EZB33" s="93"/>
      <c r="EZC33" s="93"/>
      <c r="EZD33" s="93"/>
      <c r="EZE33" s="93"/>
      <c r="EZF33" s="93"/>
      <c r="EZG33" s="93"/>
      <c r="EZH33" s="93"/>
      <c r="EZI33" s="93"/>
      <c r="EZJ33" s="93"/>
      <c r="EZK33" s="93"/>
      <c r="EZL33" s="93"/>
      <c r="EZM33" s="93"/>
      <c r="EZN33" s="93"/>
      <c r="EZO33" s="93"/>
      <c r="EZP33" s="93"/>
      <c r="EZQ33" s="93"/>
      <c r="EZR33" s="93"/>
      <c r="EZS33" s="93"/>
      <c r="EZT33" s="93"/>
      <c r="EZU33" s="93"/>
      <c r="EZV33" s="93"/>
      <c r="EZW33" s="93"/>
      <c r="EZX33" s="93"/>
      <c r="EZY33" s="93"/>
      <c r="EZZ33" s="93"/>
      <c r="FAA33" s="93"/>
      <c r="FAB33" s="93"/>
      <c r="FAC33" s="93"/>
      <c r="FAD33" s="93"/>
      <c r="FAE33" s="93"/>
      <c r="FAF33" s="93"/>
      <c r="FAG33" s="93"/>
      <c r="FAH33" s="93"/>
      <c r="FAI33" s="93"/>
      <c r="FAJ33" s="93"/>
      <c r="FAK33" s="93"/>
      <c r="FAL33" s="93"/>
      <c r="FAM33" s="93"/>
      <c r="FAN33" s="93"/>
      <c r="FAO33" s="93"/>
      <c r="FAP33" s="93"/>
      <c r="FAQ33" s="93"/>
      <c r="FAR33" s="93"/>
      <c r="FAS33" s="93"/>
      <c r="FAT33" s="93"/>
      <c r="FAU33" s="93"/>
      <c r="FAV33" s="93"/>
      <c r="FAW33" s="93"/>
      <c r="FAX33" s="93"/>
      <c r="FAY33" s="93"/>
      <c r="FAZ33" s="93"/>
      <c r="FBA33" s="93"/>
      <c r="FBB33" s="93"/>
      <c r="FBC33" s="93"/>
      <c r="FBD33" s="93"/>
      <c r="FBE33" s="93"/>
      <c r="FBF33" s="93"/>
      <c r="FBG33" s="93"/>
      <c r="FBH33" s="93"/>
      <c r="FBI33" s="93"/>
      <c r="FBJ33" s="93"/>
      <c r="FBK33" s="93"/>
      <c r="FBL33" s="93"/>
      <c r="FBM33" s="93"/>
      <c r="FBN33" s="93"/>
      <c r="FBO33" s="93"/>
      <c r="FBP33" s="93"/>
      <c r="FBQ33" s="93"/>
      <c r="FBR33" s="93"/>
      <c r="FBS33" s="93"/>
      <c r="FBT33" s="93"/>
      <c r="FBU33" s="93"/>
      <c r="FBV33" s="93"/>
      <c r="FBW33" s="93"/>
      <c r="FBX33" s="93"/>
      <c r="FBY33" s="93"/>
      <c r="FBZ33" s="93"/>
      <c r="FCA33" s="93"/>
      <c r="FCB33" s="93"/>
      <c r="FCC33" s="93"/>
      <c r="FCD33" s="93"/>
      <c r="FCE33" s="93"/>
      <c r="FCF33" s="93"/>
      <c r="FCG33" s="93"/>
      <c r="FCH33" s="93"/>
      <c r="FCI33" s="93"/>
      <c r="FCJ33" s="93"/>
      <c r="FCK33" s="93"/>
      <c r="FCL33" s="93"/>
      <c r="FCM33" s="93"/>
      <c r="FCN33" s="93"/>
      <c r="FCO33" s="93"/>
      <c r="FCP33" s="93"/>
      <c r="FCQ33" s="93"/>
      <c r="FCR33" s="93"/>
      <c r="FCS33" s="93"/>
      <c r="FCT33" s="93"/>
      <c r="FCU33" s="93"/>
      <c r="FCV33" s="93"/>
      <c r="FCW33" s="93"/>
      <c r="FCX33" s="93"/>
      <c r="FCY33" s="93"/>
      <c r="FCZ33" s="93"/>
      <c r="FDA33" s="93"/>
      <c r="FDB33" s="93"/>
      <c r="FDC33" s="93"/>
      <c r="FDD33" s="93"/>
      <c r="FDE33" s="93"/>
      <c r="FDF33" s="93"/>
      <c r="FDG33" s="93"/>
      <c r="FDH33" s="93"/>
      <c r="FDI33" s="93"/>
      <c r="FDJ33" s="93"/>
      <c r="FDK33" s="93"/>
      <c r="FDL33" s="93"/>
      <c r="FDM33" s="93"/>
      <c r="FDN33" s="93"/>
      <c r="FDO33" s="93"/>
      <c r="FDP33" s="93"/>
      <c r="FDQ33" s="93"/>
      <c r="FDR33" s="93"/>
      <c r="FDS33" s="93"/>
      <c r="FDT33" s="93"/>
      <c r="FDU33" s="93"/>
      <c r="FDV33" s="93"/>
      <c r="FDW33" s="93"/>
      <c r="FDX33" s="93"/>
      <c r="FDY33" s="93"/>
      <c r="FDZ33" s="93"/>
      <c r="FEA33" s="93"/>
      <c r="FEB33" s="93"/>
      <c r="FEC33" s="93"/>
      <c r="FED33" s="93"/>
      <c r="FEE33" s="93"/>
      <c r="FEF33" s="93"/>
      <c r="FEG33" s="93"/>
      <c r="FEH33" s="93"/>
      <c r="FEI33" s="93"/>
      <c r="FEJ33" s="93"/>
      <c r="FEK33" s="93"/>
      <c r="FEL33" s="93"/>
      <c r="FEM33" s="93"/>
      <c r="FEN33" s="93"/>
      <c r="FEO33" s="93"/>
      <c r="FEP33" s="93"/>
      <c r="FEQ33" s="93"/>
      <c r="FER33" s="93"/>
      <c r="FES33" s="93"/>
      <c r="FET33" s="93"/>
      <c r="FEU33" s="93"/>
      <c r="FEV33" s="93"/>
      <c r="FEW33" s="93"/>
      <c r="FEX33" s="93"/>
      <c r="FEY33" s="93"/>
      <c r="FEZ33" s="93"/>
      <c r="FFA33" s="93"/>
      <c r="FFB33" s="93"/>
      <c r="FFC33" s="93"/>
      <c r="FFD33" s="93"/>
      <c r="FFE33" s="93"/>
      <c r="FFF33" s="93"/>
      <c r="FFG33" s="93"/>
      <c r="FFH33" s="93"/>
      <c r="FFI33" s="93"/>
      <c r="FFJ33" s="93"/>
      <c r="FFK33" s="93"/>
      <c r="FFL33" s="93"/>
      <c r="FFM33" s="93"/>
      <c r="FFN33" s="93"/>
      <c r="FFO33" s="93"/>
      <c r="FFP33" s="93"/>
      <c r="FFQ33" s="93"/>
      <c r="FFR33" s="93"/>
      <c r="FFS33" s="93"/>
      <c r="FFT33" s="93"/>
      <c r="FFU33" s="93"/>
      <c r="FFV33" s="93"/>
      <c r="FFW33" s="93"/>
      <c r="FFX33" s="93"/>
      <c r="FFY33" s="93"/>
      <c r="FFZ33" s="93"/>
      <c r="FGA33" s="93"/>
      <c r="FGB33" s="93"/>
      <c r="FGC33" s="93"/>
      <c r="FGD33" s="93"/>
      <c r="FGE33" s="93"/>
      <c r="FGF33" s="93"/>
      <c r="FGG33" s="93"/>
      <c r="FGH33" s="93"/>
      <c r="FGI33" s="93"/>
      <c r="FGJ33" s="93"/>
      <c r="FGK33" s="93"/>
      <c r="FGL33" s="93"/>
      <c r="FGM33" s="93"/>
      <c r="FGN33" s="93"/>
      <c r="FGO33" s="93"/>
      <c r="FGP33" s="93"/>
      <c r="FGQ33" s="93"/>
      <c r="FGR33" s="93"/>
      <c r="FGS33" s="93"/>
      <c r="FGT33" s="93"/>
      <c r="FGU33" s="93"/>
      <c r="FGV33" s="93"/>
      <c r="FGW33" s="93"/>
      <c r="FGX33" s="93"/>
      <c r="FGY33" s="93"/>
      <c r="FGZ33" s="93"/>
      <c r="FHA33" s="93"/>
      <c r="FHB33" s="93"/>
      <c r="FHC33" s="93"/>
      <c r="FHD33" s="93"/>
      <c r="FHE33" s="93"/>
      <c r="FHF33" s="93"/>
      <c r="FHG33" s="93"/>
      <c r="FHH33" s="93"/>
      <c r="FHI33" s="93"/>
      <c r="FHJ33" s="93"/>
      <c r="FHK33" s="93"/>
      <c r="FHL33" s="93"/>
      <c r="FHM33" s="93"/>
      <c r="FHN33" s="93"/>
      <c r="FHO33" s="93"/>
      <c r="FHP33" s="93"/>
      <c r="FHQ33" s="93"/>
      <c r="FHR33" s="93"/>
      <c r="FHS33" s="93"/>
      <c r="FHT33" s="93"/>
      <c r="FHU33" s="93"/>
      <c r="FHV33" s="93"/>
      <c r="FHW33" s="93"/>
      <c r="FHX33" s="93"/>
      <c r="FHY33" s="93"/>
      <c r="FHZ33" s="93"/>
      <c r="FIA33" s="93"/>
      <c r="FIB33" s="93"/>
      <c r="FIC33" s="93"/>
      <c r="FID33" s="93"/>
      <c r="FIE33" s="93"/>
      <c r="FIF33" s="93"/>
      <c r="FIG33" s="93"/>
      <c r="FIH33" s="93"/>
      <c r="FII33" s="93"/>
      <c r="FIJ33" s="93"/>
      <c r="FIK33" s="93"/>
      <c r="FIL33" s="93"/>
      <c r="FIM33" s="93"/>
      <c r="FIN33" s="93"/>
      <c r="FIO33" s="93"/>
      <c r="FIP33" s="93"/>
      <c r="FIQ33" s="93"/>
      <c r="FIR33" s="93"/>
      <c r="FIS33" s="93"/>
      <c r="FIT33" s="93"/>
      <c r="FIU33" s="93"/>
      <c r="FIV33" s="93"/>
      <c r="FIW33" s="93"/>
      <c r="FIX33" s="93"/>
      <c r="FIY33" s="93"/>
      <c r="FIZ33" s="93"/>
      <c r="FJA33" s="93"/>
      <c r="FJB33" s="93"/>
      <c r="FJC33" s="93"/>
      <c r="FJD33" s="93"/>
      <c r="FJE33" s="93"/>
      <c r="FJF33" s="93"/>
      <c r="FJG33" s="93"/>
      <c r="FJH33" s="93"/>
      <c r="FJI33" s="93"/>
      <c r="FJJ33" s="93"/>
      <c r="FJK33" s="93"/>
      <c r="FJL33" s="93"/>
      <c r="FJM33" s="93"/>
      <c r="FJN33" s="93"/>
      <c r="FJO33" s="93"/>
      <c r="FJP33" s="93"/>
      <c r="FJQ33" s="93"/>
      <c r="FJR33" s="93"/>
      <c r="FJS33" s="93"/>
      <c r="FJT33" s="93"/>
      <c r="FJU33" s="93"/>
      <c r="FJV33" s="93"/>
      <c r="FJW33" s="93"/>
      <c r="FJX33" s="93"/>
      <c r="FJY33" s="93"/>
      <c r="FJZ33" s="93"/>
      <c r="FKA33" s="93"/>
      <c r="FKB33" s="93"/>
      <c r="FKC33" s="93"/>
      <c r="FKD33" s="93"/>
      <c r="FKE33" s="93"/>
      <c r="FKF33" s="93"/>
      <c r="FKG33" s="93"/>
      <c r="FKH33" s="93"/>
      <c r="FKI33" s="93"/>
      <c r="FKJ33" s="93"/>
      <c r="FKK33" s="93"/>
      <c r="FKL33" s="93"/>
      <c r="FKM33" s="93"/>
      <c r="FKN33" s="93"/>
      <c r="FKO33" s="93"/>
      <c r="FKP33" s="93"/>
      <c r="FKQ33" s="93"/>
      <c r="FKR33" s="93"/>
      <c r="FKS33" s="93"/>
      <c r="FKT33" s="93"/>
      <c r="FKU33" s="93"/>
      <c r="FKV33" s="93"/>
      <c r="FKW33" s="93"/>
      <c r="FKX33" s="93"/>
      <c r="FKY33" s="93"/>
      <c r="FKZ33" s="93"/>
      <c r="FLA33" s="93"/>
      <c r="FLB33" s="93"/>
      <c r="FLC33" s="93"/>
      <c r="FLD33" s="93"/>
      <c r="FLE33" s="93"/>
      <c r="FLF33" s="93"/>
      <c r="FLG33" s="93"/>
      <c r="FLH33" s="93"/>
      <c r="FLI33" s="93"/>
      <c r="FLJ33" s="93"/>
      <c r="FLK33" s="93"/>
      <c r="FLL33" s="93"/>
      <c r="FLM33" s="93"/>
      <c r="FLN33" s="93"/>
      <c r="FLO33" s="93"/>
      <c r="FLP33" s="93"/>
      <c r="FLQ33" s="93"/>
      <c r="FLR33" s="93"/>
      <c r="FLS33" s="93"/>
      <c r="FLT33" s="93"/>
      <c r="FLU33" s="93"/>
      <c r="FLV33" s="93"/>
      <c r="FLW33" s="93"/>
      <c r="FLX33" s="93"/>
      <c r="FLY33" s="93"/>
      <c r="FLZ33" s="93"/>
      <c r="FMA33" s="93"/>
      <c r="FMB33" s="93"/>
      <c r="FMC33" s="93"/>
      <c r="FMD33" s="93"/>
      <c r="FME33" s="93"/>
      <c r="FMF33" s="93"/>
      <c r="FMG33" s="93"/>
      <c r="FMH33" s="93"/>
      <c r="FMI33" s="93"/>
      <c r="FMJ33" s="93"/>
      <c r="FMK33" s="93"/>
      <c r="FML33" s="93"/>
      <c r="FMM33" s="93"/>
      <c r="FMN33" s="93"/>
      <c r="FMO33" s="93"/>
      <c r="FMP33" s="93"/>
      <c r="FMQ33" s="93"/>
      <c r="FMR33" s="93"/>
      <c r="FMS33" s="93"/>
      <c r="FMT33" s="93"/>
      <c r="FMU33" s="93"/>
      <c r="FMV33" s="93"/>
      <c r="FMW33" s="93"/>
      <c r="FMX33" s="93"/>
      <c r="FMY33" s="93"/>
      <c r="FMZ33" s="93"/>
      <c r="FNA33" s="93"/>
      <c r="FNB33" s="93"/>
      <c r="FNC33" s="93"/>
      <c r="FND33" s="93"/>
      <c r="FNE33" s="93"/>
      <c r="FNF33" s="93"/>
      <c r="FNG33" s="93"/>
      <c r="FNH33" s="93"/>
      <c r="FNI33" s="93"/>
      <c r="FNJ33" s="93"/>
      <c r="FNK33" s="93"/>
      <c r="FNL33" s="93"/>
      <c r="FNM33" s="93"/>
      <c r="FNN33" s="93"/>
      <c r="FNO33" s="93"/>
      <c r="FNP33" s="93"/>
      <c r="FNQ33" s="93"/>
      <c r="FNR33" s="93"/>
      <c r="FNS33" s="93"/>
      <c r="FNT33" s="93"/>
      <c r="FNU33" s="93"/>
      <c r="FNV33" s="93"/>
      <c r="FNW33" s="93"/>
      <c r="FNX33" s="93"/>
      <c r="FNY33" s="93"/>
      <c r="FNZ33" s="93"/>
      <c r="FOA33" s="93"/>
      <c r="FOB33" s="93"/>
      <c r="FOC33" s="93"/>
      <c r="FOD33" s="93"/>
      <c r="FOE33" s="93"/>
      <c r="FOF33" s="93"/>
      <c r="FOG33" s="93"/>
      <c r="FOH33" s="93"/>
      <c r="FOI33" s="93"/>
      <c r="FOJ33" s="93"/>
      <c r="FOK33" s="93"/>
      <c r="FOL33" s="93"/>
      <c r="FOM33" s="93"/>
      <c r="FON33" s="93"/>
      <c r="FOO33" s="93"/>
      <c r="FOP33" s="93"/>
      <c r="FOQ33" s="93"/>
      <c r="FOR33" s="93"/>
      <c r="FOS33" s="93"/>
      <c r="FOT33" s="93"/>
      <c r="FOU33" s="93"/>
      <c r="FOV33" s="93"/>
      <c r="FOW33" s="93"/>
      <c r="FOX33" s="93"/>
      <c r="FOY33" s="93"/>
      <c r="FOZ33" s="93"/>
      <c r="FPA33" s="93"/>
      <c r="FPB33" s="93"/>
      <c r="FPC33" s="93"/>
      <c r="FPD33" s="93"/>
      <c r="FPE33" s="93"/>
      <c r="FPF33" s="93"/>
      <c r="FPG33" s="93"/>
      <c r="FPH33" s="93"/>
      <c r="FPI33" s="93"/>
      <c r="FPJ33" s="93"/>
      <c r="FPK33" s="93"/>
      <c r="FPL33" s="93"/>
      <c r="FPM33" s="93"/>
      <c r="FPN33" s="93"/>
      <c r="FPO33" s="93"/>
      <c r="FPP33" s="93"/>
      <c r="FPQ33" s="93"/>
      <c r="FPR33" s="93"/>
      <c r="FPS33" s="93"/>
      <c r="FPT33" s="93"/>
      <c r="FPU33" s="93"/>
      <c r="FPV33" s="93"/>
      <c r="FPW33" s="93"/>
      <c r="FPX33" s="93"/>
      <c r="FPY33" s="93"/>
      <c r="FPZ33" s="93"/>
      <c r="FQA33" s="93"/>
      <c r="FQB33" s="93"/>
      <c r="FQC33" s="93"/>
      <c r="FQD33" s="93"/>
      <c r="FQE33" s="93"/>
      <c r="FQF33" s="93"/>
      <c r="FQG33" s="93"/>
      <c r="FQH33" s="93"/>
      <c r="FQI33" s="93"/>
      <c r="FQJ33" s="93"/>
      <c r="FQK33" s="93"/>
      <c r="FQL33" s="93"/>
      <c r="FQM33" s="93"/>
      <c r="FQN33" s="93"/>
      <c r="FQO33" s="93"/>
      <c r="FQP33" s="93"/>
      <c r="FQQ33" s="93"/>
      <c r="FQR33" s="93"/>
      <c r="FQS33" s="93"/>
      <c r="FQT33" s="93"/>
      <c r="FQU33" s="93"/>
      <c r="FQV33" s="93"/>
      <c r="FQW33" s="93"/>
      <c r="FQX33" s="93"/>
      <c r="FQY33" s="93"/>
      <c r="FQZ33" s="93"/>
      <c r="FRA33" s="93"/>
      <c r="FRB33" s="93"/>
      <c r="FRC33" s="93"/>
      <c r="FRD33" s="93"/>
      <c r="FRE33" s="93"/>
      <c r="FRF33" s="93"/>
      <c r="FRG33" s="93"/>
      <c r="FRH33" s="93"/>
      <c r="FRI33" s="93"/>
      <c r="FRJ33" s="93"/>
      <c r="FRK33" s="93"/>
      <c r="FRL33" s="93"/>
      <c r="FRM33" s="93"/>
      <c r="FRN33" s="93"/>
      <c r="FRO33" s="93"/>
      <c r="FRP33" s="93"/>
      <c r="FRQ33" s="93"/>
      <c r="FRR33" s="93"/>
      <c r="FRS33" s="93"/>
      <c r="FRT33" s="93"/>
      <c r="FRU33" s="93"/>
      <c r="FRV33" s="93"/>
      <c r="FRW33" s="93"/>
      <c r="FRX33" s="93"/>
      <c r="FRY33" s="93"/>
      <c r="FRZ33" s="93"/>
      <c r="FSA33" s="93"/>
      <c r="FSB33" s="93"/>
      <c r="FSC33" s="93"/>
      <c r="FSD33" s="93"/>
      <c r="FSE33" s="93"/>
      <c r="FSF33" s="93"/>
      <c r="FSG33" s="93"/>
      <c r="FSH33" s="93"/>
      <c r="FSI33" s="93"/>
      <c r="FSJ33" s="93"/>
      <c r="FSK33" s="93"/>
      <c r="FSL33" s="93"/>
      <c r="FSM33" s="93"/>
      <c r="FSN33" s="93"/>
      <c r="FSO33" s="93"/>
      <c r="FSP33" s="93"/>
      <c r="FSQ33" s="93"/>
      <c r="FSR33" s="93"/>
      <c r="FSS33" s="93"/>
      <c r="FST33" s="93"/>
      <c r="FSU33" s="93"/>
      <c r="FSV33" s="93"/>
      <c r="FSW33" s="93"/>
      <c r="FSX33" s="93"/>
      <c r="FSY33" s="93"/>
      <c r="FSZ33" s="93"/>
      <c r="FTA33" s="93"/>
      <c r="FTB33" s="93"/>
      <c r="FTC33" s="93"/>
      <c r="FTD33" s="93"/>
      <c r="FTE33" s="93"/>
      <c r="FTF33" s="93"/>
      <c r="FTG33" s="93"/>
      <c r="FTH33" s="93"/>
      <c r="FTI33" s="93"/>
      <c r="FTJ33" s="93"/>
      <c r="FTK33" s="93"/>
      <c r="FTL33" s="93"/>
      <c r="FTM33" s="93"/>
      <c r="FTN33" s="93"/>
      <c r="FTO33" s="93"/>
      <c r="FTP33" s="93"/>
      <c r="FTQ33" s="93"/>
      <c r="FTR33" s="93"/>
      <c r="FTS33" s="93"/>
      <c r="FTT33" s="93"/>
      <c r="FTU33" s="93"/>
      <c r="FTV33" s="93"/>
      <c r="FTW33" s="93"/>
      <c r="FTX33" s="93"/>
      <c r="FTY33" s="93"/>
      <c r="FTZ33" s="93"/>
      <c r="FUA33" s="93"/>
      <c r="FUB33" s="93"/>
      <c r="FUC33" s="93"/>
      <c r="FUD33" s="93"/>
      <c r="FUE33" s="93"/>
      <c r="FUF33" s="93"/>
      <c r="FUG33" s="93"/>
      <c r="FUH33" s="93"/>
      <c r="FUI33" s="93"/>
      <c r="FUJ33" s="93"/>
      <c r="FUK33" s="93"/>
      <c r="FUL33" s="93"/>
      <c r="FUM33" s="93"/>
      <c r="FUN33" s="93"/>
      <c r="FUO33" s="93"/>
      <c r="FUP33" s="93"/>
      <c r="FUQ33" s="93"/>
      <c r="FUR33" s="93"/>
      <c r="FUS33" s="93"/>
      <c r="FUT33" s="93"/>
      <c r="FUU33" s="93"/>
      <c r="FUV33" s="93"/>
      <c r="FUW33" s="93"/>
      <c r="FUX33" s="93"/>
      <c r="FUY33" s="93"/>
      <c r="FUZ33" s="93"/>
      <c r="FVA33" s="93"/>
      <c r="FVB33" s="93"/>
      <c r="FVC33" s="93"/>
      <c r="FVD33" s="93"/>
      <c r="FVE33" s="93"/>
      <c r="FVF33" s="93"/>
      <c r="FVG33" s="93"/>
      <c r="FVH33" s="93"/>
      <c r="FVI33" s="93"/>
      <c r="FVJ33" s="93"/>
      <c r="FVK33" s="93"/>
      <c r="FVL33" s="93"/>
      <c r="FVM33" s="93"/>
      <c r="FVN33" s="93"/>
      <c r="FVO33" s="93"/>
      <c r="FVP33" s="93"/>
      <c r="FVQ33" s="93"/>
      <c r="FVR33" s="93"/>
      <c r="FVS33" s="93"/>
      <c r="FVT33" s="93"/>
      <c r="FVU33" s="93"/>
      <c r="FVV33" s="93"/>
      <c r="FVW33" s="93"/>
      <c r="FVX33" s="93"/>
      <c r="FVY33" s="93"/>
      <c r="FVZ33" s="93"/>
      <c r="FWA33" s="93"/>
      <c r="FWB33" s="93"/>
      <c r="FWC33" s="93"/>
      <c r="FWD33" s="93"/>
      <c r="FWE33" s="93"/>
      <c r="FWF33" s="93"/>
      <c r="FWG33" s="93"/>
      <c r="FWH33" s="93"/>
      <c r="FWI33" s="93"/>
      <c r="FWJ33" s="93"/>
      <c r="FWK33" s="93"/>
      <c r="FWL33" s="93"/>
      <c r="FWM33" s="93"/>
      <c r="FWN33" s="93"/>
      <c r="FWO33" s="93"/>
      <c r="FWP33" s="93"/>
      <c r="FWQ33" s="93"/>
      <c r="FWR33" s="93"/>
      <c r="FWS33" s="93"/>
      <c r="FWT33" s="93"/>
      <c r="FWU33" s="93"/>
      <c r="FWV33" s="93"/>
      <c r="FWW33" s="93"/>
      <c r="FWX33" s="93"/>
      <c r="FWY33" s="93"/>
      <c r="FWZ33" s="93"/>
      <c r="FXA33" s="93"/>
      <c r="FXB33" s="93"/>
      <c r="FXC33" s="93"/>
      <c r="FXD33" s="93"/>
      <c r="FXE33" s="93"/>
      <c r="FXF33" s="93"/>
      <c r="FXG33" s="93"/>
      <c r="FXH33" s="93"/>
      <c r="FXI33" s="93"/>
      <c r="FXJ33" s="93"/>
      <c r="FXK33" s="93"/>
      <c r="FXL33" s="93"/>
      <c r="FXM33" s="93"/>
      <c r="FXN33" s="93"/>
      <c r="FXO33" s="93"/>
      <c r="FXP33" s="93"/>
      <c r="FXQ33" s="93"/>
      <c r="FXR33" s="93"/>
      <c r="FXS33" s="93"/>
      <c r="FXT33" s="93"/>
      <c r="FXU33" s="93"/>
      <c r="FXV33" s="93"/>
      <c r="FXW33" s="93"/>
      <c r="FXX33" s="93"/>
      <c r="FXY33" s="93"/>
      <c r="FXZ33" s="93"/>
      <c r="FYA33" s="93"/>
      <c r="FYB33" s="93"/>
      <c r="FYC33" s="93"/>
      <c r="FYD33" s="93"/>
      <c r="FYE33" s="93"/>
      <c r="FYF33" s="93"/>
      <c r="FYG33" s="93"/>
      <c r="FYH33" s="93"/>
      <c r="FYI33" s="93"/>
      <c r="FYJ33" s="93"/>
      <c r="FYK33" s="93"/>
      <c r="FYL33" s="93"/>
      <c r="FYM33" s="93"/>
      <c r="FYN33" s="93"/>
      <c r="FYO33" s="93"/>
      <c r="FYP33" s="93"/>
      <c r="FYQ33" s="93"/>
      <c r="FYR33" s="93"/>
      <c r="FYS33" s="93"/>
      <c r="FYT33" s="93"/>
      <c r="FYU33" s="93"/>
      <c r="FYV33" s="93"/>
      <c r="FYW33" s="93"/>
      <c r="FYX33" s="93"/>
      <c r="FYY33" s="93"/>
      <c r="FYZ33" s="93"/>
      <c r="FZA33" s="93"/>
      <c r="FZB33" s="93"/>
      <c r="FZC33" s="93"/>
      <c r="FZD33" s="93"/>
      <c r="FZE33" s="93"/>
      <c r="FZF33" s="93"/>
      <c r="FZG33" s="93"/>
      <c r="FZH33" s="93"/>
      <c r="FZI33" s="93"/>
      <c r="FZJ33" s="93"/>
      <c r="FZK33" s="93"/>
      <c r="FZL33" s="93"/>
      <c r="FZM33" s="93"/>
      <c r="FZN33" s="93"/>
      <c r="FZO33" s="93"/>
      <c r="FZP33" s="93"/>
      <c r="FZQ33" s="93"/>
      <c r="FZR33" s="93"/>
      <c r="FZS33" s="93"/>
      <c r="FZT33" s="93"/>
      <c r="FZU33" s="93"/>
      <c r="FZV33" s="93"/>
      <c r="FZW33" s="93"/>
      <c r="FZX33" s="93"/>
      <c r="FZY33" s="93"/>
      <c r="FZZ33" s="93"/>
      <c r="GAA33" s="93"/>
      <c r="GAB33" s="93"/>
      <c r="GAC33" s="93"/>
      <c r="GAD33" s="93"/>
      <c r="GAE33" s="93"/>
      <c r="GAF33" s="93"/>
      <c r="GAG33" s="93"/>
      <c r="GAH33" s="93"/>
      <c r="GAI33" s="93"/>
      <c r="GAJ33" s="93"/>
      <c r="GAK33" s="93"/>
      <c r="GAL33" s="93"/>
      <c r="GAM33" s="93"/>
      <c r="GAN33" s="93"/>
      <c r="GAO33" s="93"/>
      <c r="GAP33" s="93"/>
      <c r="GAQ33" s="93"/>
      <c r="GAR33" s="93"/>
      <c r="GAS33" s="93"/>
      <c r="GAT33" s="93"/>
      <c r="GAU33" s="93"/>
      <c r="GAV33" s="93"/>
      <c r="GAW33" s="93"/>
      <c r="GAX33" s="93"/>
      <c r="GAY33" s="93"/>
      <c r="GAZ33" s="93"/>
      <c r="GBA33" s="93"/>
      <c r="GBB33" s="93"/>
      <c r="GBC33" s="93"/>
      <c r="GBD33" s="93"/>
      <c r="GBE33" s="93"/>
      <c r="GBF33" s="93"/>
      <c r="GBG33" s="93"/>
      <c r="GBH33" s="93"/>
      <c r="GBI33" s="93"/>
      <c r="GBJ33" s="93"/>
      <c r="GBK33" s="93"/>
      <c r="GBL33" s="93"/>
      <c r="GBM33" s="93"/>
      <c r="GBN33" s="93"/>
      <c r="GBO33" s="93"/>
      <c r="GBP33" s="93"/>
      <c r="GBQ33" s="93"/>
      <c r="GBR33" s="93"/>
      <c r="GBS33" s="93"/>
      <c r="GBT33" s="93"/>
      <c r="GBU33" s="93"/>
      <c r="GBV33" s="93"/>
      <c r="GBW33" s="93"/>
      <c r="GBX33" s="93"/>
      <c r="GBY33" s="93"/>
      <c r="GBZ33" s="93"/>
      <c r="GCA33" s="93"/>
      <c r="GCB33" s="93"/>
      <c r="GCC33" s="93"/>
      <c r="GCD33" s="93"/>
      <c r="GCE33" s="93"/>
      <c r="GCF33" s="93"/>
      <c r="GCG33" s="93"/>
      <c r="GCH33" s="93"/>
      <c r="GCI33" s="93"/>
      <c r="GCJ33" s="93"/>
      <c r="GCK33" s="93"/>
      <c r="GCL33" s="93"/>
      <c r="GCM33" s="93"/>
      <c r="GCN33" s="93"/>
      <c r="GCO33" s="93"/>
      <c r="GCP33" s="93"/>
      <c r="GCQ33" s="93"/>
      <c r="GCR33" s="93"/>
      <c r="GCS33" s="93"/>
      <c r="GCT33" s="93"/>
      <c r="GCU33" s="93"/>
      <c r="GCV33" s="93"/>
      <c r="GCW33" s="93"/>
      <c r="GCX33" s="93"/>
      <c r="GCY33" s="93"/>
      <c r="GCZ33" s="93"/>
      <c r="GDA33" s="93"/>
      <c r="GDB33" s="93"/>
      <c r="GDC33" s="93"/>
      <c r="GDD33" s="93"/>
      <c r="GDE33" s="93"/>
      <c r="GDF33" s="93"/>
      <c r="GDG33" s="93"/>
      <c r="GDH33" s="93"/>
      <c r="GDI33" s="93"/>
      <c r="GDJ33" s="93"/>
      <c r="GDK33" s="93"/>
      <c r="GDL33" s="93"/>
      <c r="GDM33" s="93"/>
      <c r="GDN33" s="93"/>
      <c r="GDO33" s="93"/>
      <c r="GDP33" s="93"/>
      <c r="GDQ33" s="93"/>
      <c r="GDR33" s="93"/>
      <c r="GDS33" s="93"/>
      <c r="GDT33" s="93"/>
      <c r="GDU33" s="93"/>
      <c r="GDV33" s="93"/>
      <c r="GDW33" s="93"/>
      <c r="GDX33" s="93"/>
      <c r="GDY33" s="93"/>
      <c r="GDZ33" s="93"/>
      <c r="GEA33" s="93"/>
      <c r="GEB33" s="93"/>
      <c r="GEC33" s="93"/>
      <c r="GED33" s="93"/>
      <c r="GEE33" s="93"/>
      <c r="GEF33" s="93"/>
      <c r="GEG33" s="93"/>
      <c r="GEH33" s="93"/>
      <c r="GEI33" s="93"/>
      <c r="GEJ33" s="93"/>
      <c r="GEK33" s="93"/>
      <c r="GEL33" s="93"/>
      <c r="GEM33" s="93"/>
      <c r="GEN33" s="93"/>
      <c r="GEO33" s="93"/>
      <c r="GEP33" s="93"/>
      <c r="GEQ33" s="93"/>
      <c r="GER33" s="93"/>
      <c r="GES33" s="93"/>
      <c r="GET33" s="93"/>
      <c r="GEU33" s="93"/>
      <c r="GEV33" s="93"/>
      <c r="GEW33" s="93"/>
      <c r="GEX33" s="93"/>
      <c r="GEY33" s="93"/>
      <c r="GEZ33" s="93"/>
      <c r="GFA33" s="93"/>
      <c r="GFB33" s="93"/>
      <c r="GFC33" s="93"/>
      <c r="GFD33" s="93"/>
      <c r="GFE33" s="93"/>
      <c r="GFF33" s="93"/>
      <c r="GFG33" s="93"/>
      <c r="GFH33" s="93"/>
      <c r="GFI33" s="93"/>
      <c r="GFJ33" s="93"/>
      <c r="GFK33" s="93"/>
      <c r="GFL33" s="93"/>
      <c r="GFM33" s="93"/>
      <c r="GFN33" s="93"/>
      <c r="GFO33" s="93"/>
      <c r="GFP33" s="93"/>
      <c r="GFQ33" s="93"/>
      <c r="GFR33" s="93"/>
      <c r="GFS33" s="93"/>
      <c r="GFT33" s="93"/>
      <c r="GFU33" s="93"/>
      <c r="GFV33" s="93"/>
      <c r="GFW33" s="93"/>
      <c r="GFX33" s="93"/>
      <c r="GFY33" s="93"/>
      <c r="GFZ33" s="93"/>
      <c r="GGA33" s="93"/>
      <c r="GGB33" s="93"/>
      <c r="GGC33" s="93"/>
      <c r="GGD33" s="93"/>
      <c r="GGE33" s="93"/>
      <c r="GGF33" s="93"/>
      <c r="GGG33" s="93"/>
      <c r="GGH33" s="93"/>
      <c r="GGI33" s="93"/>
      <c r="GGJ33" s="93"/>
      <c r="GGK33" s="93"/>
      <c r="GGL33" s="93"/>
      <c r="GGM33" s="93"/>
      <c r="GGN33" s="93"/>
      <c r="GGO33" s="93"/>
      <c r="GGP33" s="93"/>
      <c r="GGQ33" s="93"/>
      <c r="GGR33" s="93"/>
      <c r="GGS33" s="93"/>
      <c r="GGT33" s="93"/>
      <c r="GGU33" s="93"/>
      <c r="GGV33" s="93"/>
      <c r="GGW33" s="93"/>
      <c r="GGX33" s="93"/>
      <c r="GGY33" s="93"/>
      <c r="GGZ33" s="93"/>
      <c r="GHA33" s="93"/>
      <c r="GHB33" s="93"/>
      <c r="GHC33" s="93"/>
      <c r="GHD33" s="93"/>
      <c r="GHE33" s="93"/>
      <c r="GHF33" s="93"/>
      <c r="GHG33" s="93"/>
      <c r="GHH33" s="93"/>
      <c r="GHI33" s="93"/>
      <c r="GHJ33" s="93"/>
      <c r="GHK33" s="93"/>
      <c r="GHL33" s="93"/>
      <c r="GHM33" s="93"/>
      <c r="GHN33" s="93"/>
      <c r="GHO33" s="93"/>
      <c r="GHP33" s="93"/>
      <c r="GHQ33" s="93"/>
      <c r="GHR33" s="93"/>
      <c r="GHS33" s="93"/>
      <c r="GHT33" s="93"/>
      <c r="GHU33" s="93"/>
      <c r="GHV33" s="93"/>
      <c r="GHW33" s="93"/>
      <c r="GHX33" s="93"/>
      <c r="GHY33" s="93"/>
      <c r="GHZ33" s="93"/>
      <c r="GIA33" s="93"/>
      <c r="GIB33" s="93"/>
      <c r="GIC33" s="93"/>
      <c r="GID33" s="93"/>
      <c r="GIE33" s="93"/>
      <c r="GIF33" s="93"/>
      <c r="GIG33" s="93"/>
      <c r="GIH33" s="93"/>
      <c r="GII33" s="93"/>
      <c r="GIJ33" s="93"/>
      <c r="GIK33" s="93"/>
      <c r="GIL33" s="93"/>
      <c r="GIM33" s="93"/>
      <c r="GIN33" s="93"/>
      <c r="GIO33" s="93"/>
      <c r="GIP33" s="93"/>
      <c r="GIQ33" s="93"/>
      <c r="GIR33" s="93"/>
      <c r="GIS33" s="93"/>
      <c r="GIT33" s="93"/>
      <c r="GIU33" s="93"/>
      <c r="GIV33" s="93"/>
      <c r="GIW33" s="93"/>
      <c r="GIX33" s="93"/>
      <c r="GIY33" s="93"/>
      <c r="GIZ33" s="93"/>
      <c r="GJA33" s="93"/>
      <c r="GJB33" s="93"/>
      <c r="GJC33" s="93"/>
      <c r="GJD33" s="93"/>
      <c r="GJE33" s="93"/>
      <c r="GJF33" s="93"/>
      <c r="GJG33" s="93"/>
      <c r="GJH33" s="93"/>
      <c r="GJI33" s="93"/>
      <c r="GJJ33" s="93"/>
      <c r="GJK33" s="93"/>
      <c r="GJL33" s="93"/>
      <c r="GJM33" s="93"/>
      <c r="GJN33" s="93"/>
      <c r="GJO33" s="93"/>
      <c r="GJP33" s="93"/>
      <c r="GJQ33" s="93"/>
      <c r="GJR33" s="93"/>
      <c r="GJS33" s="93"/>
      <c r="GJT33" s="93"/>
      <c r="GJU33" s="93"/>
      <c r="GJV33" s="93"/>
      <c r="GJW33" s="93"/>
      <c r="GJX33" s="93"/>
      <c r="GJY33" s="93"/>
      <c r="GJZ33" s="93"/>
      <c r="GKA33" s="93"/>
      <c r="GKB33" s="93"/>
      <c r="GKC33" s="93"/>
      <c r="GKD33" s="93"/>
      <c r="GKE33" s="93"/>
      <c r="GKF33" s="93"/>
      <c r="GKG33" s="93"/>
      <c r="GKH33" s="93"/>
      <c r="GKI33" s="93"/>
      <c r="GKJ33" s="93"/>
      <c r="GKK33" s="93"/>
      <c r="GKL33" s="93"/>
      <c r="GKM33" s="93"/>
      <c r="GKN33" s="93"/>
      <c r="GKO33" s="93"/>
      <c r="GKP33" s="93"/>
      <c r="GKQ33" s="93"/>
      <c r="GKR33" s="93"/>
      <c r="GKS33" s="93"/>
      <c r="GKT33" s="93"/>
      <c r="GKU33" s="93"/>
      <c r="GKV33" s="93"/>
      <c r="GKW33" s="93"/>
      <c r="GKX33" s="93"/>
      <c r="GKY33" s="93"/>
      <c r="GKZ33" s="93"/>
      <c r="GLA33" s="93"/>
      <c r="GLB33" s="93"/>
      <c r="GLC33" s="93"/>
      <c r="GLD33" s="93"/>
      <c r="GLE33" s="93"/>
      <c r="GLF33" s="93"/>
      <c r="GLG33" s="93"/>
      <c r="GLH33" s="93"/>
      <c r="GLI33" s="93"/>
      <c r="GLJ33" s="93"/>
      <c r="GLK33" s="93"/>
      <c r="GLL33" s="93"/>
      <c r="GLM33" s="93"/>
      <c r="GLN33" s="93"/>
      <c r="GLO33" s="93"/>
      <c r="GLP33" s="93"/>
      <c r="GLQ33" s="93"/>
      <c r="GLR33" s="93"/>
      <c r="GLS33" s="93"/>
      <c r="GLT33" s="93"/>
      <c r="GLU33" s="93"/>
      <c r="GLV33" s="93"/>
      <c r="GLW33" s="93"/>
      <c r="GLX33" s="93"/>
      <c r="GLY33" s="93"/>
      <c r="GLZ33" s="93"/>
      <c r="GMA33" s="93"/>
      <c r="GMB33" s="93"/>
      <c r="GMC33" s="93"/>
      <c r="GMD33" s="93"/>
      <c r="GME33" s="93"/>
      <c r="GMF33" s="93"/>
      <c r="GMG33" s="93"/>
      <c r="GMH33" s="93"/>
      <c r="GMI33" s="93"/>
      <c r="GMJ33" s="93"/>
      <c r="GMK33" s="93"/>
      <c r="GML33" s="93"/>
      <c r="GMM33" s="93"/>
      <c r="GMN33" s="93"/>
      <c r="GMO33" s="93"/>
      <c r="GMP33" s="93"/>
      <c r="GMQ33" s="93"/>
      <c r="GMR33" s="93"/>
      <c r="GMS33" s="93"/>
      <c r="GMT33" s="93"/>
      <c r="GMU33" s="93"/>
      <c r="GMV33" s="93"/>
      <c r="GMW33" s="93"/>
      <c r="GMX33" s="93"/>
      <c r="GMY33" s="93"/>
      <c r="GMZ33" s="93"/>
      <c r="GNA33" s="93"/>
      <c r="GNB33" s="93"/>
      <c r="GNC33" s="93"/>
      <c r="GND33" s="93"/>
      <c r="GNE33" s="93"/>
      <c r="GNF33" s="93"/>
      <c r="GNG33" s="93"/>
      <c r="GNH33" s="93"/>
      <c r="GNI33" s="93"/>
      <c r="GNJ33" s="93"/>
      <c r="GNK33" s="93"/>
      <c r="GNL33" s="93"/>
      <c r="GNM33" s="93"/>
      <c r="GNN33" s="93"/>
      <c r="GNO33" s="93"/>
      <c r="GNP33" s="93"/>
      <c r="GNQ33" s="93"/>
      <c r="GNR33" s="93"/>
      <c r="GNS33" s="93"/>
      <c r="GNT33" s="93"/>
      <c r="GNU33" s="93"/>
      <c r="GNV33" s="93"/>
      <c r="GNW33" s="93"/>
      <c r="GNX33" s="93"/>
      <c r="GNY33" s="93"/>
      <c r="GNZ33" s="93"/>
      <c r="GOA33" s="93"/>
      <c r="GOB33" s="93"/>
      <c r="GOC33" s="93"/>
      <c r="GOD33" s="93"/>
      <c r="GOE33" s="93"/>
      <c r="GOF33" s="93"/>
      <c r="GOG33" s="93"/>
      <c r="GOH33" s="93"/>
      <c r="GOI33" s="93"/>
      <c r="GOJ33" s="93"/>
      <c r="GOK33" s="93"/>
      <c r="GOL33" s="93"/>
      <c r="GOM33" s="93"/>
      <c r="GON33" s="93"/>
      <c r="GOO33" s="93"/>
      <c r="GOP33" s="93"/>
      <c r="GOQ33" s="93"/>
      <c r="GOR33" s="93"/>
      <c r="GOS33" s="93"/>
      <c r="GOT33" s="93"/>
      <c r="GOU33" s="93"/>
      <c r="GOV33" s="93"/>
      <c r="GOW33" s="93"/>
      <c r="GOX33" s="93"/>
      <c r="GOY33" s="93"/>
      <c r="GOZ33" s="93"/>
      <c r="GPA33" s="93"/>
      <c r="GPB33" s="93"/>
      <c r="GPC33" s="93"/>
      <c r="GPD33" s="93"/>
      <c r="GPE33" s="93"/>
      <c r="GPF33" s="93"/>
      <c r="GPG33" s="93"/>
      <c r="GPH33" s="93"/>
      <c r="GPI33" s="93"/>
      <c r="GPJ33" s="93"/>
      <c r="GPK33" s="93"/>
      <c r="GPL33" s="93"/>
      <c r="GPM33" s="93"/>
      <c r="GPN33" s="93"/>
      <c r="GPO33" s="93"/>
      <c r="GPP33" s="93"/>
      <c r="GPQ33" s="93"/>
      <c r="GPR33" s="93"/>
      <c r="GPS33" s="93"/>
      <c r="GPT33" s="93"/>
      <c r="GPU33" s="93"/>
      <c r="GPV33" s="93"/>
      <c r="GPW33" s="93"/>
      <c r="GPX33" s="93"/>
      <c r="GPY33" s="93"/>
      <c r="GPZ33" s="93"/>
      <c r="GQA33" s="93"/>
      <c r="GQB33" s="93"/>
      <c r="GQC33" s="93"/>
      <c r="GQD33" s="93"/>
      <c r="GQE33" s="93"/>
      <c r="GQF33" s="93"/>
      <c r="GQG33" s="93"/>
      <c r="GQH33" s="93"/>
      <c r="GQI33" s="93"/>
      <c r="GQJ33" s="93"/>
      <c r="GQK33" s="93"/>
      <c r="GQL33" s="93"/>
      <c r="GQM33" s="93"/>
      <c r="GQN33" s="93"/>
      <c r="GQO33" s="93"/>
      <c r="GQP33" s="93"/>
      <c r="GQQ33" s="93"/>
      <c r="GQR33" s="93"/>
      <c r="GQS33" s="93"/>
      <c r="GQT33" s="93"/>
      <c r="GQU33" s="93"/>
      <c r="GQV33" s="93"/>
      <c r="GQW33" s="93"/>
      <c r="GQX33" s="93"/>
      <c r="GQY33" s="93"/>
      <c r="GQZ33" s="93"/>
      <c r="GRA33" s="93"/>
      <c r="GRB33" s="93"/>
      <c r="GRC33" s="93"/>
      <c r="GRD33" s="93"/>
      <c r="GRE33" s="93"/>
      <c r="GRF33" s="93"/>
      <c r="GRG33" s="93"/>
      <c r="GRH33" s="93"/>
      <c r="GRI33" s="93"/>
      <c r="GRJ33" s="93"/>
      <c r="GRK33" s="93"/>
      <c r="GRL33" s="93"/>
      <c r="GRM33" s="93"/>
      <c r="GRN33" s="93"/>
      <c r="GRO33" s="93"/>
      <c r="GRP33" s="93"/>
      <c r="GRQ33" s="93"/>
      <c r="GRR33" s="93"/>
      <c r="GRS33" s="93"/>
      <c r="GRT33" s="93"/>
      <c r="GRU33" s="93"/>
      <c r="GRV33" s="93"/>
      <c r="GRW33" s="93"/>
      <c r="GRX33" s="93"/>
      <c r="GRY33" s="93"/>
      <c r="GRZ33" s="93"/>
      <c r="GSA33" s="93"/>
      <c r="GSB33" s="93"/>
      <c r="GSC33" s="93"/>
      <c r="GSD33" s="93"/>
      <c r="GSE33" s="93"/>
      <c r="GSF33" s="93"/>
      <c r="GSG33" s="93"/>
      <c r="GSH33" s="93"/>
      <c r="GSI33" s="93"/>
      <c r="GSJ33" s="93"/>
      <c r="GSK33" s="93"/>
      <c r="GSL33" s="93"/>
      <c r="GSM33" s="93"/>
      <c r="GSN33" s="93"/>
      <c r="GSO33" s="93"/>
      <c r="GSP33" s="93"/>
      <c r="GSQ33" s="93"/>
      <c r="GSR33" s="93"/>
      <c r="GSS33" s="93"/>
      <c r="GST33" s="93"/>
      <c r="GSU33" s="93"/>
      <c r="GSV33" s="93"/>
      <c r="GSW33" s="93"/>
      <c r="GSX33" s="93"/>
      <c r="GSY33" s="93"/>
      <c r="GSZ33" s="93"/>
      <c r="GTA33" s="93"/>
      <c r="GTB33" s="93"/>
      <c r="GTC33" s="93"/>
      <c r="GTD33" s="93"/>
      <c r="GTE33" s="93"/>
      <c r="GTF33" s="93"/>
      <c r="GTG33" s="93"/>
      <c r="GTH33" s="93"/>
      <c r="GTI33" s="93"/>
      <c r="GTJ33" s="93"/>
      <c r="GTK33" s="93"/>
      <c r="GTL33" s="93"/>
      <c r="GTM33" s="93"/>
      <c r="GTN33" s="93"/>
      <c r="GTO33" s="93"/>
      <c r="GTP33" s="93"/>
      <c r="GTQ33" s="93"/>
      <c r="GTR33" s="93"/>
      <c r="GTS33" s="93"/>
      <c r="GTT33" s="93"/>
      <c r="GTU33" s="93"/>
      <c r="GTV33" s="93"/>
      <c r="GTW33" s="93"/>
      <c r="GTX33" s="93"/>
      <c r="GTY33" s="93"/>
      <c r="GTZ33" s="93"/>
      <c r="GUA33" s="93"/>
      <c r="GUB33" s="93"/>
      <c r="GUC33" s="93"/>
      <c r="GUD33" s="93"/>
      <c r="GUE33" s="93"/>
      <c r="GUF33" s="93"/>
      <c r="GUG33" s="93"/>
      <c r="GUH33" s="93"/>
      <c r="GUI33" s="93"/>
      <c r="GUJ33" s="93"/>
      <c r="GUK33" s="93"/>
      <c r="GUL33" s="93"/>
      <c r="GUM33" s="93"/>
      <c r="GUN33" s="93"/>
      <c r="GUO33" s="93"/>
      <c r="GUP33" s="93"/>
      <c r="GUQ33" s="93"/>
      <c r="GUR33" s="93"/>
      <c r="GUS33" s="93"/>
      <c r="GUT33" s="93"/>
      <c r="GUU33" s="93"/>
      <c r="GUV33" s="93"/>
      <c r="GUW33" s="93"/>
      <c r="GUX33" s="93"/>
      <c r="GUY33" s="93"/>
      <c r="GUZ33" s="93"/>
      <c r="GVA33" s="93"/>
      <c r="GVB33" s="93"/>
      <c r="GVC33" s="93"/>
      <c r="GVD33" s="93"/>
      <c r="GVE33" s="93"/>
      <c r="GVF33" s="93"/>
      <c r="GVG33" s="93"/>
      <c r="GVH33" s="93"/>
      <c r="GVI33" s="93"/>
      <c r="GVJ33" s="93"/>
      <c r="GVK33" s="93"/>
      <c r="GVL33" s="93"/>
      <c r="GVM33" s="93"/>
      <c r="GVN33" s="93"/>
      <c r="GVO33" s="93"/>
      <c r="GVP33" s="93"/>
      <c r="GVQ33" s="93"/>
      <c r="GVR33" s="93"/>
      <c r="GVS33" s="93"/>
      <c r="GVT33" s="93"/>
      <c r="GVU33" s="93"/>
      <c r="GVV33" s="93"/>
      <c r="GVW33" s="93"/>
      <c r="GVX33" s="93"/>
      <c r="GVY33" s="93"/>
      <c r="GVZ33" s="93"/>
      <c r="GWA33" s="93"/>
      <c r="GWB33" s="93"/>
      <c r="GWC33" s="93"/>
      <c r="GWD33" s="93"/>
      <c r="GWE33" s="93"/>
      <c r="GWF33" s="93"/>
      <c r="GWG33" s="93"/>
      <c r="GWH33" s="93"/>
      <c r="GWI33" s="93"/>
      <c r="GWJ33" s="93"/>
      <c r="GWK33" s="93"/>
      <c r="GWL33" s="93"/>
      <c r="GWM33" s="93"/>
      <c r="GWN33" s="93"/>
      <c r="GWO33" s="93"/>
      <c r="GWP33" s="93"/>
      <c r="GWQ33" s="93"/>
      <c r="GWR33" s="93"/>
      <c r="GWS33" s="93"/>
      <c r="GWT33" s="93"/>
      <c r="GWU33" s="93"/>
      <c r="GWV33" s="93"/>
      <c r="GWW33" s="93"/>
      <c r="GWX33" s="93"/>
      <c r="GWY33" s="93"/>
      <c r="GWZ33" s="93"/>
      <c r="GXA33" s="93"/>
      <c r="GXB33" s="93"/>
      <c r="GXC33" s="93"/>
      <c r="GXD33" s="93"/>
      <c r="GXE33" s="93"/>
      <c r="GXF33" s="93"/>
      <c r="GXG33" s="93"/>
      <c r="GXH33" s="93"/>
      <c r="GXI33" s="93"/>
      <c r="GXJ33" s="93"/>
      <c r="GXK33" s="93"/>
      <c r="GXL33" s="93"/>
      <c r="GXM33" s="93"/>
      <c r="GXN33" s="93"/>
      <c r="GXO33" s="93"/>
      <c r="GXP33" s="93"/>
      <c r="GXQ33" s="93"/>
      <c r="GXR33" s="93"/>
      <c r="GXS33" s="93"/>
      <c r="GXT33" s="93"/>
      <c r="GXU33" s="93"/>
      <c r="GXV33" s="93"/>
      <c r="GXW33" s="93"/>
      <c r="GXX33" s="93"/>
      <c r="GXY33" s="93"/>
      <c r="GXZ33" s="93"/>
      <c r="GYA33" s="93"/>
      <c r="GYB33" s="93"/>
      <c r="GYC33" s="93"/>
      <c r="GYD33" s="93"/>
      <c r="GYE33" s="93"/>
      <c r="GYF33" s="93"/>
      <c r="GYG33" s="93"/>
      <c r="GYH33" s="93"/>
      <c r="GYI33" s="93"/>
      <c r="GYJ33" s="93"/>
      <c r="GYK33" s="93"/>
      <c r="GYL33" s="93"/>
      <c r="GYM33" s="93"/>
      <c r="GYN33" s="93"/>
      <c r="GYO33" s="93"/>
      <c r="GYP33" s="93"/>
      <c r="GYQ33" s="93"/>
      <c r="GYR33" s="93"/>
      <c r="GYS33" s="93"/>
      <c r="GYT33" s="93"/>
      <c r="GYU33" s="93"/>
      <c r="GYV33" s="93"/>
      <c r="GYW33" s="93"/>
      <c r="GYX33" s="93"/>
      <c r="GYY33" s="93"/>
      <c r="GYZ33" s="93"/>
      <c r="GZA33" s="93"/>
      <c r="GZB33" s="93"/>
      <c r="GZC33" s="93"/>
      <c r="GZD33" s="93"/>
      <c r="GZE33" s="93"/>
      <c r="GZF33" s="93"/>
      <c r="GZG33" s="93"/>
      <c r="GZH33" s="93"/>
      <c r="GZI33" s="93"/>
      <c r="GZJ33" s="93"/>
      <c r="GZK33" s="93"/>
      <c r="GZL33" s="93"/>
      <c r="GZM33" s="93"/>
      <c r="GZN33" s="93"/>
      <c r="GZO33" s="93"/>
      <c r="GZP33" s="93"/>
      <c r="GZQ33" s="93"/>
      <c r="GZR33" s="93"/>
      <c r="GZS33" s="93"/>
      <c r="GZT33" s="93"/>
      <c r="GZU33" s="93"/>
      <c r="GZV33" s="93"/>
      <c r="GZW33" s="93"/>
      <c r="GZX33" s="93"/>
      <c r="GZY33" s="93"/>
      <c r="GZZ33" s="93"/>
      <c r="HAA33" s="93"/>
      <c r="HAB33" s="93"/>
      <c r="HAC33" s="93"/>
      <c r="HAD33" s="93"/>
      <c r="HAE33" s="93"/>
      <c r="HAF33" s="93"/>
      <c r="HAG33" s="93"/>
      <c r="HAH33" s="93"/>
      <c r="HAI33" s="93"/>
      <c r="HAJ33" s="93"/>
      <c r="HAK33" s="93"/>
      <c r="HAL33" s="93"/>
      <c r="HAM33" s="93"/>
      <c r="HAN33" s="93"/>
      <c r="HAO33" s="93"/>
      <c r="HAP33" s="93"/>
      <c r="HAQ33" s="93"/>
      <c r="HAR33" s="93"/>
      <c r="HAS33" s="93"/>
      <c r="HAT33" s="93"/>
      <c r="HAU33" s="93"/>
      <c r="HAV33" s="93"/>
      <c r="HAW33" s="93"/>
      <c r="HAX33" s="93"/>
      <c r="HAY33" s="93"/>
      <c r="HAZ33" s="93"/>
      <c r="HBA33" s="93"/>
      <c r="HBB33" s="93"/>
      <c r="HBC33" s="93"/>
      <c r="HBD33" s="93"/>
      <c r="HBE33" s="93"/>
      <c r="HBF33" s="93"/>
      <c r="HBG33" s="93"/>
      <c r="HBH33" s="93"/>
      <c r="HBI33" s="93"/>
      <c r="HBJ33" s="93"/>
      <c r="HBK33" s="93"/>
      <c r="HBL33" s="93"/>
      <c r="HBM33" s="93"/>
      <c r="HBN33" s="93"/>
      <c r="HBO33" s="93"/>
      <c r="HBP33" s="93"/>
      <c r="HBQ33" s="93"/>
      <c r="HBR33" s="93"/>
      <c r="HBS33" s="93"/>
      <c r="HBT33" s="93"/>
      <c r="HBU33" s="93"/>
      <c r="HBV33" s="93"/>
      <c r="HBW33" s="93"/>
      <c r="HBX33" s="93"/>
      <c r="HBY33" s="93"/>
      <c r="HBZ33" s="93"/>
      <c r="HCA33" s="93"/>
      <c r="HCB33" s="93"/>
      <c r="HCC33" s="93"/>
      <c r="HCD33" s="93"/>
      <c r="HCE33" s="93"/>
      <c r="HCF33" s="93"/>
      <c r="HCG33" s="93"/>
      <c r="HCH33" s="93"/>
      <c r="HCI33" s="93"/>
      <c r="HCJ33" s="93"/>
      <c r="HCK33" s="93"/>
      <c r="HCL33" s="93"/>
      <c r="HCM33" s="93"/>
      <c r="HCN33" s="93"/>
      <c r="HCO33" s="93"/>
      <c r="HCP33" s="93"/>
      <c r="HCQ33" s="93"/>
      <c r="HCR33" s="93"/>
      <c r="HCS33" s="93"/>
      <c r="HCT33" s="93"/>
      <c r="HCU33" s="93"/>
      <c r="HCV33" s="93"/>
      <c r="HCW33" s="93"/>
      <c r="HCX33" s="93"/>
      <c r="HCY33" s="93"/>
      <c r="HCZ33" s="93"/>
      <c r="HDA33" s="93"/>
      <c r="HDB33" s="93"/>
      <c r="HDC33" s="93"/>
      <c r="HDD33" s="93"/>
      <c r="HDE33" s="93"/>
      <c r="HDF33" s="93"/>
      <c r="HDG33" s="93"/>
      <c r="HDH33" s="93"/>
      <c r="HDI33" s="93"/>
      <c r="HDJ33" s="93"/>
      <c r="HDK33" s="93"/>
      <c r="HDL33" s="93"/>
      <c r="HDM33" s="93"/>
      <c r="HDN33" s="93"/>
      <c r="HDO33" s="93"/>
      <c r="HDP33" s="93"/>
      <c r="HDQ33" s="93"/>
      <c r="HDR33" s="93"/>
      <c r="HDS33" s="93"/>
      <c r="HDT33" s="93"/>
      <c r="HDU33" s="93"/>
      <c r="HDV33" s="93"/>
      <c r="HDW33" s="93"/>
      <c r="HDX33" s="93"/>
      <c r="HDY33" s="93"/>
      <c r="HDZ33" s="93"/>
      <c r="HEA33" s="93"/>
      <c r="HEB33" s="93"/>
      <c r="HEC33" s="93"/>
      <c r="HED33" s="93"/>
      <c r="HEE33" s="93"/>
      <c r="HEF33" s="93"/>
      <c r="HEG33" s="93"/>
      <c r="HEH33" s="93"/>
      <c r="HEI33" s="93"/>
      <c r="HEJ33" s="93"/>
      <c r="HEK33" s="93"/>
      <c r="HEL33" s="93"/>
      <c r="HEM33" s="93"/>
      <c r="HEN33" s="93"/>
      <c r="HEO33" s="93"/>
      <c r="HEP33" s="93"/>
      <c r="HEQ33" s="93"/>
      <c r="HER33" s="93"/>
      <c r="HES33" s="93"/>
      <c r="HET33" s="93"/>
      <c r="HEU33" s="93"/>
      <c r="HEV33" s="93"/>
      <c r="HEW33" s="93"/>
      <c r="HEX33" s="93"/>
      <c r="HEY33" s="93"/>
      <c r="HEZ33" s="93"/>
      <c r="HFA33" s="93"/>
      <c r="HFB33" s="93"/>
      <c r="HFC33" s="93"/>
      <c r="HFD33" s="93"/>
      <c r="HFE33" s="93"/>
      <c r="HFF33" s="93"/>
      <c r="HFG33" s="93"/>
      <c r="HFH33" s="93"/>
      <c r="HFI33" s="93"/>
      <c r="HFJ33" s="93"/>
      <c r="HFK33" s="93"/>
      <c r="HFL33" s="93"/>
      <c r="HFM33" s="93"/>
      <c r="HFN33" s="93"/>
      <c r="HFO33" s="93"/>
      <c r="HFP33" s="93"/>
      <c r="HFQ33" s="93"/>
      <c r="HFR33" s="93"/>
      <c r="HFS33" s="93"/>
      <c r="HFT33" s="93"/>
      <c r="HFU33" s="93"/>
      <c r="HFV33" s="93"/>
      <c r="HFW33" s="93"/>
      <c r="HFX33" s="93"/>
      <c r="HFY33" s="93"/>
      <c r="HFZ33" s="93"/>
      <c r="HGA33" s="93"/>
      <c r="HGB33" s="93"/>
      <c r="HGC33" s="93"/>
      <c r="HGD33" s="93"/>
      <c r="HGE33" s="93"/>
      <c r="HGF33" s="93"/>
      <c r="HGG33" s="93"/>
      <c r="HGH33" s="93"/>
      <c r="HGI33" s="93"/>
      <c r="HGJ33" s="93"/>
      <c r="HGK33" s="93"/>
      <c r="HGL33" s="93"/>
      <c r="HGM33" s="93"/>
      <c r="HGN33" s="93"/>
      <c r="HGO33" s="93"/>
      <c r="HGP33" s="93"/>
      <c r="HGQ33" s="93"/>
      <c r="HGR33" s="93"/>
      <c r="HGS33" s="93"/>
      <c r="HGT33" s="93"/>
      <c r="HGU33" s="93"/>
      <c r="HGV33" s="93"/>
      <c r="HGW33" s="93"/>
      <c r="HGX33" s="93"/>
      <c r="HGY33" s="93"/>
      <c r="HGZ33" s="93"/>
      <c r="HHA33" s="93"/>
      <c r="HHB33" s="93"/>
      <c r="HHC33" s="93"/>
      <c r="HHD33" s="93"/>
      <c r="HHE33" s="93"/>
      <c r="HHF33" s="93"/>
      <c r="HHG33" s="93"/>
      <c r="HHH33" s="93"/>
      <c r="HHI33" s="93"/>
      <c r="HHJ33" s="93"/>
      <c r="HHK33" s="93"/>
      <c r="HHL33" s="93"/>
      <c r="HHM33" s="93"/>
      <c r="HHN33" s="93"/>
      <c r="HHO33" s="93"/>
      <c r="HHP33" s="93"/>
      <c r="HHQ33" s="93"/>
      <c r="HHR33" s="93"/>
      <c r="HHS33" s="93"/>
      <c r="HHT33" s="93"/>
      <c r="HHU33" s="93"/>
      <c r="HHV33" s="93"/>
      <c r="HHW33" s="93"/>
      <c r="HHX33" s="93"/>
      <c r="HHY33" s="93"/>
      <c r="HHZ33" s="93"/>
      <c r="HIA33" s="93"/>
      <c r="HIB33" s="93"/>
      <c r="HIC33" s="93"/>
      <c r="HID33" s="93"/>
      <c r="HIE33" s="93"/>
      <c r="HIF33" s="93"/>
      <c r="HIG33" s="93"/>
      <c r="HIH33" s="93"/>
      <c r="HII33" s="93"/>
      <c r="HIJ33" s="93"/>
      <c r="HIK33" s="93"/>
      <c r="HIL33" s="93"/>
      <c r="HIM33" s="93"/>
      <c r="HIN33" s="93"/>
      <c r="HIO33" s="93"/>
      <c r="HIP33" s="93"/>
      <c r="HIQ33" s="93"/>
      <c r="HIR33" s="93"/>
      <c r="HIS33" s="93"/>
      <c r="HIT33" s="93"/>
      <c r="HIU33" s="93"/>
      <c r="HIV33" s="93"/>
      <c r="HIW33" s="93"/>
      <c r="HIX33" s="93"/>
      <c r="HIY33" s="93"/>
      <c r="HIZ33" s="93"/>
      <c r="HJA33" s="93"/>
      <c r="HJB33" s="93"/>
      <c r="HJC33" s="93"/>
      <c r="HJD33" s="93"/>
      <c r="HJE33" s="93"/>
      <c r="HJF33" s="93"/>
      <c r="HJG33" s="93"/>
      <c r="HJH33" s="93"/>
      <c r="HJI33" s="93"/>
      <c r="HJJ33" s="93"/>
      <c r="HJK33" s="93"/>
      <c r="HJL33" s="93"/>
      <c r="HJM33" s="93"/>
      <c r="HJN33" s="93"/>
      <c r="HJO33" s="93"/>
      <c r="HJP33" s="93"/>
      <c r="HJQ33" s="93"/>
      <c r="HJR33" s="93"/>
      <c r="HJS33" s="93"/>
      <c r="HJT33" s="93"/>
      <c r="HJU33" s="93"/>
      <c r="HJV33" s="93"/>
      <c r="HJW33" s="93"/>
      <c r="HJX33" s="93"/>
      <c r="HJY33" s="93"/>
      <c r="HJZ33" s="93"/>
      <c r="HKA33" s="93"/>
      <c r="HKB33" s="93"/>
      <c r="HKC33" s="93"/>
      <c r="HKD33" s="93"/>
      <c r="HKE33" s="93"/>
      <c r="HKF33" s="93"/>
      <c r="HKG33" s="93"/>
      <c r="HKH33" s="93"/>
      <c r="HKI33" s="93"/>
      <c r="HKJ33" s="93"/>
      <c r="HKK33" s="93"/>
      <c r="HKL33" s="93"/>
      <c r="HKM33" s="93"/>
      <c r="HKN33" s="93"/>
      <c r="HKO33" s="93"/>
      <c r="HKP33" s="93"/>
      <c r="HKQ33" s="93"/>
      <c r="HKR33" s="93"/>
      <c r="HKS33" s="93"/>
      <c r="HKT33" s="93"/>
      <c r="HKU33" s="93"/>
      <c r="HKV33" s="93"/>
      <c r="HKW33" s="93"/>
      <c r="HKX33" s="93"/>
      <c r="HKY33" s="93"/>
      <c r="HKZ33" s="93"/>
      <c r="HLA33" s="93"/>
      <c r="HLB33" s="93"/>
      <c r="HLC33" s="93"/>
      <c r="HLD33" s="93"/>
      <c r="HLE33" s="93"/>
      <c r="HLF33" s="93"/>
      <c r="HLG33" s="93"/>
      <c r="HLH33" s="93"/>
      <c r="HLI33" s="93"/>
      <c r="HLJ33" s="93"/>
      <c r="HLK33" s="93"/>
      <c r="HLL33" s="93"/>
      <c r="HLM33" s="93"/>
      <c r="HLN33" s="93"/>
      <c r="HLO33" s="93"/>
      <c r="HLP33" s="93"/>
      <c r="HLQ33" s="93"/>
      <c r="HLR33" s="93"/>
      <c r="HLS33" s="93"/>
      <c r="HLT33" s="93"/>
      <c r="HLU33" s="93"/>
      <c r="HLV33" s="93"/>
      <c r="HLW33" s="93"/>
      <c r="HLX33" s="93"/>
      <c r="HLY33" s="93"/>
      <c r="HLZ33" s="93"/>
      <c r="HMA33" s="93"/>
      <c r="HMB33" s="93"/>
      <c r="HMC33" s="93"/>
      <c r="HMD33" s="93"/>
      <c r="HME33" s="93"/>
      <c r="HMF33" s="93"/>
      <c r="HMG33" s="93"/>
      <c r="HMH33" s="93"/>
      <c r="HMI33" s="93"/>
      <c r="HMJ33" s="93"/>
      <c r="HMK33" s="93"/>
      <c r="HML33" s="93"/>
      <c r="HMM33" s="93"/>
      <c r="HMN33" s="93"/>
      <c r="HMO33" s="93"/>
      <c r="HMP33" s="93"/>
      <c r="HMQ33" s="93"/>
      <c r="HMR33" s="93"/>
      <c r="HMS33" s="93"/>
      <c r="HMT33" s="93"/>
      <c r="HMU33" s="93"/>
      <c r="HMV33" s="93"/>
      <c r="HMW33" s="93"/>
      <c r="HMX33" s="93"/>
      <c r="HMY33" s="93"/>
      <c r="HMZ33" s="93"/>
      <c r="HNA33" s="93"/>
      <c r="HNB33" s="93"/>
      <c r="HNC33" s="93"/>
      <c r="HND33" s="93"/>
      <c r="HNE33" s="93"/>
      <c r="HNF33" s="93"/>
      <c r="HNG33" s="93"/>
      <c r="HNH33" s="93"/>
      <c r="HNI33" s="93"/>
      <c r="HNJ33" s="93"/>
      <c r="HNK33" s="93"/>
      <c r="HNL33" s="93"/>
      <c r="HNM33" s="93"/>
      <c r="HNN33" s="93"/>
      <c r="HNO33" s="93"/>
      <c r="HNP33" s="93"/>
      <c r="HNQ33" s="93"/>
      <c r="HNR33" s="93"/>
      <c r="HNS33" s="93"/>
      <c r="HNT33" s="93"/>
      <c r="HNU33" s="93"/>
      <c r="HNV33" s="93"/>
      <c r="HNW33" s="93"/>
      <c r="HNX33" s="93"/>
      <c r="HNY33" s="93"/>
      <c r="HNZ33" s="93"/>
      <c r="HOA33" s="93"/>
      <c r="HOB33" s="93"/>
      <c r="HOC33" s="93"/>
      <c r="HOD33" s="93"/>
      <c r="HOE33" s="93"/>
      <c r="HOF33" s="93"/>
      <c r="HOG33" s="93"/>
      <c r="HOH33" s="93"/>
      <c r="HOI33" s="93"/>
      <c r="HOJ33" s="93"/>
      <c r="HOK33" s="93"/>
      <c r="HOL33" s="93"/>
      <c r="HOM33" s="93"/>
      <c r="HON33" s="93"/>
      <c r="HOO33" s="93"/>
      <c r="HOP33" s="93"/>
      <c r="HOQ33" s="93"/>
      <c r="HOR33" s="93"/>
      <c r="HOS33" s="93"/>
      <c r="HOT33" s="93"/>
      <c r="HOU33" s="93"/>
      <c r="HOV33" s="93"/>
      <c r="HOW33" s="93"/>
      <c r="HOX33" s="93"/>
      <c r="HOY33" s="93"/>
      <c r="HOZ33" s="93"/>
      <c r="HPA33" s="93"/>
      <c r="HPB33" s="93"/>
      <c r="HPC33" s="93"/>
      <c r="HPD33" s="93"/>
      <c r="HPE33" s="93"/>
      <c r="HPF33" s="93"/>
      <c r="HPG33" s="93"/>
      <c r="HPH33" s="93"/>
      <c r="HPI33" s="93"/>
      <c r="HPJ33" s="93"/>
      <c r="HPK33" s="93"/>
      <c r="HPL33" s="93"/>
      <c r="HPM33" s="93"/>
      <c r="HPN33" s="93"/>
      <c r="HPO33" s="93"/>
      <c r="HPP33" s="93"/>
      <c r="HPQ33" s="93"/>
      <c r="HPR33" s="93"/>
      <c r="HPS33" s="93"/>
      <c r="HPT33" s="93"/>
      <c r="HPU33" s="93"/>
      <c r="HPV33" s="93"/>
      <c r="HPW33" s="93"/>
      <c r="HPX33" s="93"/>
      <c r="HPY33" s="93"/>
      <c r="HPZ33" s="93"/>
      <c r="HQA33" s="93"/>
      <c r="HQB33" s="93"/>
      <c r="HQC33" s="93"/>
      <c r="HQD33" s="93"/>
      <c r="HQE33" s="93"/>
      <c r="HQF33" s="93"/>
      <c r="HQG33" s="93"/>
      <c r="HQH33" s="93"/>
      <c r="HQI33" s="93"/>
      <c r="HQJ33" s="93"/>
      <c r="HQK33" s="93"/>
      <c r="HQL33" s="93"/>
      <c r="HQM33" s="93"/>
      <c r="HQN33" s="93"/>
      <c r="HQO33" s="93"/>
      <c r="HQP33" s="93"/>
      <c r="HQQ33" s="93"/>
      <c r="HQR33" s="93"/>
      <c r="HQS33" s="93"/>
      <c r="HQT33" s="93"/>
      <c r="HQU33" s="93"/>
      <c r="HQV33" s="93"/>
      <c r="HQW33" s="93"/>
      <c r="HQX33" s="93"/>
      <c r="HQY33" s="93"/>
      <c r="HQZ33" s="93"/>
      <c r="HRA33" s="93"/>
      <c r="HRB33" s="93"/>
      <c r="HRC33" s="93"/>
      <c r="HRD33" s="93"/>
      <c r="HRE33" s="93"/>
      <c r="HRF33" s="93"/>
      <c r="HRG33" s="93"/>
      <c r="HRH33" s="93"/>
      <c r="HRI33" s="93"/>
      <c r="HRJ33" s="93"/>
      <c r="HRK33" s="93"/>
      <c r="HRL33" s="93"/>
      <c r="HRM33" s="93"/>
      <c r="HRN33" s="93"/>
      <c r="HRO33" s="93"/>
      <c r="HRP33" s="93"/>
      <c r="HRQ33" s="93"/>
      <c r="HRR33" s="93"/>
      <c r="HRS33" s="93"/>
      <c r="HRT33" s="93"/>
      <c r="HRU33" s="93"/>
      <c r="HRV33" s="93"/>
      <c r="HRW33" s="93"/>
      <c r="HRX33" s="93"/>
      <c r="HRY33" s="93"/>
      <c r="HRZ33" s="93"/>
      <c r="HSA33" s="93"/>
      <c r="HSB33" s="93"/>
      <c r="HSC33" s="93"/>
      <c r="HSD33" s="93"/>
      <c r="HSE33" s="93"/>
      <c r="HSF33" s="93"/>
      <c r="HSG33" s="93"/>
      <c r="HSH33" s="93"/>
      <c r="HSI33" s="93"/>
      <c r="HSJ33" s="93"/>
      <c r="HSK33" s="93"/>
      <c r="HSL33" s="93"/>
      <c r="HSM33" s="93"/>
      <c r="HSN33" s="93"/>
      <c r="HSO33" s="93"/>
      <c r="HSP33" s="93"/>
      <c r="HSQ33" s="93"/>
      <c r="HSR33" s="93"/>
      <c r="HSS33" s="93"/>
      <c r="HST33" s="93"/>
      <c r="HSU33" s="93"/>
      <c r="HSV33" s="93"/>
      <c r="HSW33" s="93"/>
      <c r="HSX33" s="93"/>
      <c r="HSY33" s="93"/>
      <c r="HSZ33" s="93"/>
      <c r="HTA33" s="93"/>
      <c r="HTB33" s="93"/>
      <c r="HTC33" s="93"/>
      <c r="HTD33" s="93"/>
      <c r="HTE33" s="93"/>
      <c r="HTF33" s="93"/>
      <c r="HTG33" s="93"/>
      <c r="HTH33" s="93"/>
      <c r="HTI33" s="93"/>
      <c r="HTJ33" s="93"/>
      <c r="HTK33" s="93"/>
      <c r="HTL33" s="93"/>
      <c r="HTM33" s="93"/>
      <c r="HTN33" s="93"/>
      <c r="HTO33" s="93"/>
      <c r="HTP33" s="93"/>
      <c r="HTQ33" s="93"/>
      <c r="HTR33" s="93"/>
      <c r="HTS33" s="93"/>
      <c r="HTT33" s="93"/>
      <c r="HTU33" s="93"/>
      <c r="HTV33" s="93"/>
      <c r="HTW33" s="93"/>
      <c r="HTX33" s="93"/>
      <c r="HTY33" s="93"/>
      <c r="HTZ33" s="93"/>
      <c r="HUA33" s="93"/>
      <c r="HUB33" s="93"/>
      <c r="HUC33" s="93"/>
      <c r="HUD33" s="93"/>
      <c r="HUE33" s="93"/>
      <c r="HUF33" s="93"/>
      <c r="HUG33" s="93"/>
      <c r="HUH33" s="93"/>
      <c r="HUI33" s="93"/>
      <c r="HUJ33" s="93"/>
      <c r="HUK33" s="93"/>
      <c r="HUL33" s="93"/>
      <c r="HUM33" s="93"/>
      <c r="HUN33" s="93"/>
      <c r="HUO33" s="93"/>
      <c r="HUP33" s="93"/>
      <c r="HUQ33" s="93"/>
      <c r="HUR33" s="93"/>
      <c r="HUS33" s="93"/>
      <c r="HUT33" s="93"/>
      <c r="HUU33" s="93"/>
      <c r="HUV33" s="93"/>
      <c r="HUW33" s="93"/>
      <c r="HUX33" s="93"/>
      <c r="HUY33" s="93"/>
      <c r="HUZ33" s="93"/>
      <c r="HVA33" s="93"/>
      <c r="HVB33" s="93"/>
      <c r="HVC33" s="93"/>
      <c r="HVD33" s="93"/>
      <c r="HVE33" s="93"/>
      <c r="HVF33" s="93"/>
      <c r="HVG33" s="93"/>
      <c r="HVH33" s="93"/>
      <c r="HVI33" s="93"/>
      <c r="HVJ33" s="93"/>
      <c r="HVK33" s="93"/>
      <c r="HVL33" s="93"/>
      <c r="HVM33" s="93"/>
      <c r="HVN33" s="93"/>
      <c r="HVO33" s="93"/>
      <c r="HVP33" s="93"/>
      <c r="HVQ33" s="93"/>
      <c r="HVR33" s="93"/>
      <c r="HVS33" s="93"/>
      <c r="HVT33" s="93"/>
      <c r="HVU33" s="93"/>
      <c r="HVV33" s="93"/>
      <c r="HVW33" s="93"/>
      <c r="HVX33" s="93"/>
      <c r="HVY33" s="93"/>
      <c r="HVZ33" s="93"/>
      <c r="HWA33" s="93"/>
      <c r="HWB33" s="93"/>
      <c r="HWC33" s="93"/>
      <c r="HWD33" s="93"/>
      <c r="HWE33" s="93"/>
      <c r="HWF33" s="93"/>
      <c r="HWG33" s="93"/>
      <c r="HWH33" s="93"/>
      <c r="HWI33" s="93"/>
      <c r="HWJ33" s="93"/>
      <c r="HWK33" s="93"/>
      <c r="HWL33" s="93"/>
      <c r="HWM33" s="93"/>
      <c r="HWN33" s="93"/>
      <c r="HWO33" s="93"/>
      <c r="HWP33" s="93"/>
      <c r="HWQ33" s="93"/>
      <c r="HWR33" s="93"/>
      <c r="HWS33" s="93"/>
      <c r="HWT33" s="93"/>
      <c r="HWU33" s="93"/>
      <c r="HWV33" s="93"/>
      <c r="HWW33" s="93"/>
      <c r="HWX33" s="93"/>
      <c r="HWY33" s="93"/>
      <c r="HWZ33" s="93"/>
      <c r="HXA33" s="93"/>
      <c r="HXB33" s="93"/>
      <c r="HXC33" s="93"/>
      <c r="HXD33" s="93"/>
      <c r="HXE33" s="93"/>
      <c r="HXF33" s="93"/>
      <c r="HXG33" s="93"/>
      <c r="HXH33" s="93"/>
      <c r="HXI33" s="93"/>
      <c r="HXJ33" s="93"/>
      <c r="HXK33" s="93"/>
      <c r="HXL33" s="93"/>
      <c r="HXM33" s="93"/>
      <c r="HXN33" s="93"/>
      <c r="HXO33" s="93"/>
      <c r="HXP33" s="93"/>
      <c r="HXQ33" s="93"/>
      <c r="HXR33" s="93"/>
      <c r="HXS33" s="93"/>
      <c r="HXT33" s="93"/>
      <c r="HXU33" s="93"/>
      <c r="HXV33" s="93"/>
      <c r="HXW33" s="93"/>
      <c r="HXX33" s="93"/>
      <c r="HXY33" s="93"/>
      <c r="HXZ33" s="93"/>
      <c r="HYA33" s="93"/>
      <c r="HYB33" s="93"/>
      <c r="HYC33" s="93"/>
      <c r="HYD33" s="93"/>
      <c r="HYE33" s="93"/>
      <c r="HYF33" s="93"/>
      <c r="HYG33" s="93"/>
      <c r="HYH33" s="93"/>
      <c r="HYI33" s="93"/>
      <c r="HYJ33" s="93"/>
      <c r="HYK33" s="93"/>
      <c r="HYL33" s="93"/>
      <c r="HYM33" s="93"/>
      <c r="HYN33" s="93"/>
      <c r="HYO33" s="93"/>
      <c r="HYP33" s="93"/>
      <c r="HYQ33" s="93"/>
      <c r="HYR33" s="93"/>
      <c r="HYS33" s="93"/>
      <c r="HYT33" s="93"/>
      <c r="HYU33" s="93"/>
      <c r="HYV33" s="93"/>
      <c r="HYW33" s="93"/>
      <c r="HYX33" s="93"/>
      <c r="HYY33" s="93"/>
      <c r="HYZ33" s="93"/>
      <c r="HZA33" s="93"/>
      <c r="HZB33" s="93"/>
      <c r="HZC33" s="93"/>
      <c r="HZD33" s="93"/>
      <c r="HZE33" s="93"/>
      <c r="HZF33" s="93"/>
      <c r="HZG33" s="93"/>
      <c r="HZH33" s="93"/>
      <c r="HZI33" s="93"/>
      <c r="HZJ33" s="93"/>
      <c r="HZK33" s="93"/>
      <c r="HZL33" s="93"/>
      <c r="HZM33" s="93"/>
      <c r="HZN33" s="93"/>
      <c r="HZO33" s="93"/>
      <c r="HZP33" s="93"/>
      <c r="HZQ33" s="93"/>
      <c r="HZR33" s="93"/>
      <c r="HZS33" s="93"/>
      <c r="HZT33" s="93"/>
      <c r="HZU33" s="93"/>
      <c r="HZV33" s="93"/>
      <c r="HZW33" s="93"/>
      <c r="HZX33" s="93"/>
      <c r="HZY33" s="93"/>
      <c r="HZZ33" s="93"/>
      <c r="IAA33" s="93"/>
      <c r="IAB33" s="93"/>
      <c r="IAC33" s="93"/>
      <c r="IAD33" s="93"/>
      <c r="IAE33" s="93"/>
      <c r="IAF33" s="93"/>
      <c r="IAG33" s="93"/>
      <c r="IAH33" s="93"/>
      <c r="IAI33" s="93"/>
      <c r="IAJ33" s="93"/>
      <c r="IAK33" s="93"/>
      <c r="IAL33" s="93"/>
      <c r="IAM33" s="93"/>
      <c r="IAN33" s="93"/>
      <c r="IAO33" s="93"/>
      <c r="IAP33" s="93"/>
      <c r="IAQ33" s="93"/>
      <c r="IAR33" s="93"/>
      <c r="IAS33" s="93"/>
      <c r="IAT33" s="93"/>
      <c r="IAU33" s="93"/>
      <c r="IAV33" s="93"/>
      <c r="IAW33" s="93"/>
      <c r="IAX33" s="93"/>
      <c r="IAY33" s="93"/>
      <c r="IAZ33" s="93"/>
      <c r="IBA33" s="93"/>
      <c r="IBB33" s="93"/>
      <c r="IBC33" s="93"/>
      <c r="IBD33" s="93"/>
      <c r="IBE33" s="93"/>
      <c r="IBF33" s="93"/>
      <c r="IBG33" s="93"/>
      <c r="IBH33" s="93"/>
      <c r="IBI33" s="93"/>
      <c r="IBJ33" s="93"/>
      <c r="IBK33" s="93"/>
      <c r="IBL33" s="93"/>
      <c r="IBM33" s="93"/>
      <c r="IBN33" s="93"/>
      <c r="IBO33" s="93"/>
      <c r="IBP33" s="93"/>
      <c r="IBQ33" s="93"/>
      <c r="IBR33" s="93"/>
      <c r="IBS33" s="93"/>
      <c r="IBT33" s="93"/>
      <c r="IBU33" s="93"/>
      <c r="IBV33" s="93"/>
      <c r="IBW33" s="93"/>
      <c r="IBX33" s="93"/>
      <c r="IBY33" s="93"/>
      <c r="IBZ33" s="93"/>
      <c r="ICA33" s="93"/>
      <c r="ICB33" s="93"/>
      <c r="ICC33" s="93"/>
      <c r="ICD33" s="93"/>
      <c r="ICE33" s="93"/>
      <c r="ICF33" s="93"/>
      <c r="ICG33" s="93"/>
      <c r="ICH33" s="93"/>
      <c r="ICI33" s="93"/>
      <c r="ICJ33" s="93"/>
      <c r="ICK33" s="93"/>
      <c r="ICL33" s="93"/>
      <c r="ICM33" s="93"/>
      <c r="ICN33" s="93"/>
      <c r="ICO33" s="93"/>
      <c r="ICP33" s="93"/>
      <c r="ICQ33" s="93"/>
      <c r="ICR33" s="93"/>
      <c r="ICS33" s="93"/>
      <c r="ICT33" s="93"/>
      <c r="ICU33" s="93"/>
      <c r="ICV33" s="93"/>
      <c r="ICW33" s="93"/>
      <c r="ICX33" s="93"/>
      <c r="ICY33" s="93"/>
      <c r="ICZ33" s="93"/>
      <c r="IDA33" s="93"/>
      <c r="IDB33" s="93"/>
      <c r="IDC33" s="93"/>
      <c r="IDD33" s="93"/>
      <c r="IDE33" s="93"/>
      <c r="IDF33" s="93"/>
      <c r="IDG33" s="93"/>
      <c r="IDH33" s="93"/>
      <c r="IDI33" s="93"/>
      <c r="IDJ33" s="93"/>
      <c r="IDK33" s="93"/>
      <c r="IDL33" s="93"/>
      <c r="IDM33" s="93"/>
      <c r="IDN33" s="93"/>
      <c r="IDO33" s="93"/>
      <c r="IDP33" s="93"/>
      <c r="IDQ33" s="93"/>
      <c r="IDR33" s="93"/>
      <c r="IDS33" s="93"/>
      <c r="IDT33" s="93"/>
      <c r="IDU33" s="93"/>
      <c r="IDV33" s="93"/>
      <c r="IDW33" s="93"/>
      <c r="IDX33" s="93"/>
      <c r="IDY33" s="93"/>
      <c r="IDZ33" s="93"/>
      <c r="IEA33" s="93"/>
      <c r="IEB33" s="93"/>
      <c r="IEC33" s="93"/>
      <c r="IED33" s="93"/>
      <c r="IEE33" s="93"/>
      <c r="IEF33" s="93"/>
      <c r="IEG33" s="93"/>
      <c r="IEH33" s="93"/>
      <c r="IEI33" s="93"/>
      <c r="IEJ33" s="93"/>
      <c r="IEK33" s="93"/>
      <c r="IEL33" s="93"/>
      <c r="IEM33" s="93"/>
      <c r="IEN33" s="93"/>
      <c r="IEO33" s="93"/>
      <c r="IEP33" s="93"/>
      <c r="IEQ33" s="93"/>
      <c r="IER33" s="93"/>
      <c r="IES33" s="93"/>
      <c r="IET33" s="93"/>
      <c r="IEU33" s="93"/>
      <c r="IEV33" s="93"/>
      <c r="IEW33" s="93"/>
      <c r="IEX33" s="93"/>
      <c r="IEY33" s="93"/>
      <c r="IEZ33" s="93"/>
      <c r="IFA33" s="93"/>
      <c r="IFB33" s="93"/>
      <c r="IFC33" s="93"/>
      <c r="IFD33" s="93"/>
      <c r="IFE33" s="93"/>
      <c r="IFF33" s="93"/>
      <c r="IFG33" s="93"/>
      <c r="IFH33" s="93"/>
      <c r="IFI33" s="93"/>
      <c r="IFJ33" s="93"/>
      <c r="IFK33" s="93"/>
      <c r="IFL33" s="93"/>
      <c r="IFM33" s="93"/>
      <c r="IFN33" s="93"/>
      <c r="IFO33" s="93"/>
      <c r="IFP33" s="93"/>
      <c r="IFQ33" s="93"/>
      <c r="IFR33" s="93"/>
      <c r="IFS33" s="93"/>
      <c r="IFT33" s="93"/>
      <c r="IFU33" s="93"/>
      <c r="IFV33" s="93"/>
      <c r="IFW33" s="93"/>
      <c r="IFX33" s="93"/>
      <c r="IFY33" s="93"/>
      <c r="IFZ33" s="93"/>
      <c r="IGA33" s="93"/>
      <c r="IGB33" s="93"/>
      <c r="IGC33" s="93"/>
      <c r="IGD33" s="93"/>
      <c r="IGE33" s="93"/>
      <c r="IGF33" s="93"/>
      <c r="IGG33" s="93"/>
      <c r="IGH33" s="93"/>
      <c r="IGI33" s="93"/>
      <c r="IGJ33" s="93"/>
      <c r="IGK33" s="93"/>
      <c r="IGL33" s="93"/>
      <c r="IGM33" s="93"/>
      <c r="IGN33" s="93"/>
      <c r="IGO33" s="93"/>
      <c r="IGP33" s="93"/>
      <c r="IGQ33" s="93"/>
      <c r="IGR33" s="93"/>
      <c r="IGS33" s="93"/>
      <c r="IGT33" s="93"/>
      <c r="IGU33" s="93"/>
      <c r="IGV33" s="93"/>
      <c r="IGW33" s="93"/>
      <c r="IGX33" s="93"/>
      <c r="IGY33" s="93"/>
      <c r="IGZ33" s="93"/>
      <c r="IHA33" s="93"/>
      <c r="IHB33" s="93"/>
      <c r="IHC33" s="93"/>
      <c r="IHD33" s="93"/>
      <c r="IHE33" s="93"/>
      <c r="IHF33" s="93"/>
      <c r="IHG33" s="93"/>
      <c r="IHH33" s="93"/>
      <c r="IHI33" s="93"/>
      <c r="IHJ33" s="93"/>
      <c r="IHK33" s="93"/>
      <c r="IHL33" s="93"/>
      <c r="IHM33" s="93"/>
      <c r="IHN33" s="93"/>
      <c r="IHO33" s="93"/>
      <c r="IHP33" s="93"/>
      <c r="IHQ33" s="93"/>
      <c r="IHR33" s="93"/>
      <c r="IHS33" s="93"/>
      <c r="IHT33" s="93"/>
      <c r="IHU33" s="93"/>
      <c r="IHV33" s="93"/>
      <c r="IHW33" s="93"/>
      <c r="IHX33" s="93"/>
      <c r="IHY33" s="93"/>
      <c r="IHZ33" s="93"/>
      <c r="IIA33" s="93"/>
      <c r="IIB33" s="93"/>
      <c r="IIC33" s="93"/>
      <c r="IID33" s="93"/>
      <c r="IIE33" s="93"/>
      <c r="IIF33" s="93"/>
      <c r="IIG33" s="93"/>
      <c r="IIH33" s="93"/>
      <c r="III33" s="93"/>
      <c r="IIJ33" s="93"/>
      <c r="IIK33" s="93"/>
      <c r="IIL33" s="93"/>
      <c r="IIM33" s="93"/>
      <c r="IIN33" s="93"/>
      <c r="IIO33" s="93"/>
      <c r="IIP33" s="93"/>
      <c r="IIQ33" s="93"/>
      <c r="IIR33" s="93"/>
      <c r="IIS33" s="93"/>
      <c r="IIT33" s="93"/>
      <c r="IIU33" s="93"/>
      <c r="IIV33" s="93"/>
      <c r="IIW33" s="93"/>
      <c r="IIX33" s="93"/>
      <c r="IIY33" s="93"/>
      <c r="IIZ33" s="93"/>
      <c r="IJA33" s="93"/>
      <c r="IJB33" s="93"/>
      <c r="IJC33" s="93"/>
      <c r="IJD33" s="93"/>
      <c r="IJE33" s="93"/>
      <c r="IJF33" s="93"/>
      <c r="IJG33" s="93"/>
      <c r="IJH33" s="93"/>
      <c r="IJI33" s="93"/>
      <c r="IJJ33" s="93"/>
      <c r="IJK33" s="93"/>
      <c r="IJL33" s="93"/>
      <c r="IJM33" s="93"/>
      <c r="IJN33" s="93"/>
      <c r="IJO33" s="93"/>
      <c r="IJP33" s="93"/>
      <c r="IJQ33" s="93"/>
      <c r="IJR33" s="93"/>
      <c r="IJS33" s="93"/>
      <c r="IJT33" s="93"/>
      <c r="IJU33" s="93"/>
      <c r="IJV33" s="93"/>
      <c r="IJW33" s="93"/>
      <c r="IJX33" s="93"/>
      <c r="IJY33" s="93"/>
      <c r="IJZ33" s="93"/>
      <c r="IKA33" s="93"/>
      <c r="IKB33" s="93"/>
      <c r="IKC33" s="93"/>
      <c r="IKD33" s="93"/>
      <c r="IKE33" s="93"/>
      <c r="IKF33" s="93"/>
      <c r="IKG33" s="93"/>
      <c r="IKH33" s="93"/>
      <c r="IKI33" s="93"/>
      <c r="IKJ33" s="93"/>
      <c r="IKK33" s="93"/>
      <c r="IKL33" s="93"/>
      <c r="IKM33" s="93"/>
      <c r="IKN33" s="93"/>
      <c r="IKO33" s="93"/>
      <c r="IKP33" s="93"/>
      <c r="IKQ33" s="93"/>
      <c r="IKR33" s="93"/>
      <c r="IKS33" s="93"/>
      <c r="IKT33" s="93"/>
      <c r="IKU33" s="93"/>
      <c r="IKV33" s="93"/>
      <c r="IKW33" s="93"/>
      <c r="IKX33" s="93"/>
      <c r="IKY33" s="93"/>
      <c r="IKZ33" s="93"/>
      <c r="ILA33" s="93"/>
      <c r="ILB33" s="93"/>
      <c r="ILC33" s="93"/>
      <c r="ILD33" s="93"/>
      <c r="ILE33" s="93"/>
      <c r="ILF33" s="93"/>
      <c r="ILG33" s="93"/>
      <c r="ILH33" s="93"/>
      <c r="ILI33" s="93"/>
      <c r="ILJ33" s="93"/>
      <c r="ILK33" s="93"/>
      <c r="ILL33" s="93"/>
      <c r="ILM33" s="93"/>
      <c r="ILN33" s="93"/>
      <c r="ILO33" s="93"/>
      <c r="ILP33" s="93"/>
      <c r="ILQ33" s="93"/>
      <c r="ILR33" s="93"/>
      <c r="ILS33" s="93"/>
      <c r="ILT33" s="93"/>
      <c r="ILU33" s="93"/>
      <c r="ILV33" s="93"/>
      <c r="ILW33" s="93"/>
      <c r="ILX33" s="93"/>
      <c r="ILY33" s="93"/>
      <c r="ILZ33" s="93"/>
      <c r="IMA33" s="93"/>
      <c r="IMB33" s="93"/>
      <c r="IMC33" s="93"/>
      <c r="IMD33" s="93"/>
      <c r="IME33" s="93"/>
      <c r="IMF33" s="93"/>
      <c r="IMG33" s="93"/>
      <c r="IMH33" s="93"/>
      <c r="IMI33" s="93"/>
      <c r="IMJ33" s="93"/>
      <c r="IMK33" s="93"/>
      <c r="IML33" s="93"/>
      <c r="IMM33" s="93"/>
      <c r="IMN33" s="93"/>
      <c r="IMO33" s="93"/>
      <c r="IMP33" s="93"/>
      <c r="IMQ33" s="93"/>
      <c r="IMR33" s="93"/>
      <c r="IMS33" s="93"/>
      <c r="IMT33" s="93"/>
      <c r="IMU33" s="93"/>
      <c r="IMV33" s="93"/>
      <c r="IMW33" s="93"/>
      <c r="IMX33" s="93"/>
      <c r="IMY33" s="93"/>
      <c r="IMZ33" s="93"/>
      <c r="INA33" s="93"/>
      <c r="INB33" s="93"/>
      <c r="INC33" s="93"/>
      <c r="IND33" s="93"/>
      <c r="INE33" s="93"/>
      <c r="INF33" s="93"/>
      <c r="ING33" s="93"/>
      <c r="INH33" s="93"/>
      <c r="INI33" s="93"/>
      <c r="INJ33" s="93"/>
      <c r="INK33" s="93"/>
      <c r="INL33" s="93"/>
      <c r="INM33" s="93"/>
      <c r="INN33" s="93"/>
      <c r="INO33" s="93"/>
      <c r="INP33" s="93"/>
      <c r="INQ33" s="93"/>
      <c r="INR33" s="93"/>
      <c r="INS33" s="93"/>
      <c r="INT33" s="93"/>
      <c r="INU33" s="93"/>
      <c r="INV33" s="93"/>
      <c r="INW33" s="93"/>
      <c r="INX33" s="93"/>
      <c r="INY33" s="93"/>
      <c r="INZ33" s="93"/>
      <c r="IOA33" s="93"/>
      <c r="IOB33" s="93"/>
      <c r="IOC33" s="93"/>
      <c r="IOD33" s="93"/>
      <c r="IOE33" s="93"/>
      <c r="IOF33" s="93"/>
      <c r="IOG33" s="93"/>
      <c r="IOH33" s="93"/>
      <c r="IOI33" s="93"/>
      <c r="IOJ33" s="93"/>
      <c r="IOK33" s="93"/>
      <c r="IOL33" s="93"/>
      <c r="IOM33" s="93"/>
      <c r="ION33" s="93"/>
      <c r="IOO33" s="93"/>
      <c r="IOP33" s="93"/>
      <c r="IOQ33" s="93"/>
      <c r="IOR33" s="93"/>
      <c r="IOS33" s="93"/>
      <c r="IOT33" s="93"/>
      <c r="IOU33" s="93"/>
      <c r="IOV33" s="93"/>
      <c r="IOW33" s="93"/>
      <c r="IOX33" s="93"/>
      <c r="IOY33" s="93"/>
      <c r="IOZ33" s="93"/>
      <c r="IPA33" s="93"/>
      <c r="IPB33" s="93"/>
      <c r="IPC33" s="93"/>
      <c r="IPD33" s="93"/>
      <c r="IPE33" s="93"/>
      <c r="IPF33" s="93"/>
      <c r="IPG33" s="93"/>
      <c r="IPH33" s="93"/>
      <c r="IPI33" s="93"/>
      <c r="IPJ33" s="93"/>
      <c r="IPK33" s="93"/>
      <c r="IPL33" s="93"/>
      <c r="IPM33" s="93"/>
      <c r="IPN33" s="93"/>
      <c r="IPO33" s="93"/>
      <c r="IPP33" s="93"/>
      <c r="IPQ33" s="93"/>
      <c r="IPR33" s="93"/>
      <c r="IPS33" s="93"/>
      <c r="IPT33" s="93"/>
      <c r="IPU33" s="93"/>
      <c r="IPV33" s="93"/>
      <c r="IPW33" s="93"/>
      <c r="IPX33" s="93"/>
      <c r="IPY33" s="93"/>
      <c r="IPZ33" s="93"/>
      <c r="IQA33" s="93"/>
      <c r="IQB33" s="93"/>
      <c r="IQC33" s="93"/>
      <c r="IQD33" s="93"/>
      <c r="IQE33" s="93"/>
      <c r="IQF33" s="93"/>
      <c r="IQG33" s="93"/>
      <c r="IQH33" s="93"/>
      <c r="IQI33" s="93"/>
      <c r="IQJ33" s="93"/>
      <c r="IQK33" s="93"/>
      <c r="IQL33" s="93"/>
      <c r="IQM33" s="93"/>
      <c r="IQN33" s="93"/>
      <c r="IQO33" s="93"/>
      <c r="IQP33" s="93"/>
      <c r="IQQ33" s="93"/>
      <c r="IQR33" s="93"/>
      <c r="IQS33" s="93"/>
      <c r="IQT33" s="93"/>
      <c r="IQU33" s="93"/>
      <c r="IQV33" s="93"/>
      <c r="IQW33" s="93"/>
      <c r="IQX33" s="93"/>
      <c r="IQY33" s="93"/>
      <c r="IQZ33" s="93"/>
      <c r="IRA33" s="93"/>
      <c r="IRB33" s="93"/>
      <c r="IRC33" s="93"/>
      <c r="IRD33" s="93"/>
      <c r="IRE33" s="93"/>
      <c r="IRF33" s="93"/>
      <c r="IRG33" s="93"/>
      <c r="IRH33" s="93"/>
      <c r="IRI33" s="93"/>
      <c r="IRJ33" s="93"/>
      <c r="IRK33" s="93"/>
      <c r="IRL33" s="93"/>
      <c r="IRM33" s="93"/>
      <c r="IRN33" s="93"/>
      <c r="IRO33" s="93"/>
      <c r="IRP33" s="93"/>
      <c r="IRQ33" s="93"/>
      <c r="IRR33" s="93"/>
      <c r="IRS33" s="93"/>
      <c r="IRT33" s="93"/>
      <c r="IRU33" s="93"/>
      <c r="IRV33" s="93"/>
      <c r="IRW33" s="93"/>
      <c r="IRX33" s="93"/>
      <c r="IRY33" s="93"/>
      <c r="IRZ33" s="93"/>
      <c r="ISA33" s="93"/>
      <c r="ISB33" s="93"/>
      <c r="ISC33" s="93"/>
      <c r="ISD33" s="93"/>
      <c r="ISE33" s="93"/>
      <c r="ISF33" s="93"/>
      <c r="ISG33" s="93"/>
      <c r="ISH33" s="93"/>
      <c r="ISI33" s="93"/>
      <c r="ISJ33" s="93"/>
      <c r="ISK33" s="93"/>
      <c r="ISL33" s="93"/>
      <c r="ISM33" s="93"/>
      <c r="ISN33" s="93"/>
      <c r="ISO33" s="93"/>
      <c r="ISP33" s="93"/>
      <c r="ISQ33" s="93"/>
      <c r="ISR33" s="93"/>
      <c r="ISS33" s="93"/>
      <c r="IST33" s="93"/>
      <c r="ISU33" s="93"/>
      <c r="ISV33" s="93"/>
      <c r="ISW33" s="93"/>
      <c r="ISX33" s="93"/>
      <c r="ISY33" s="93"/>
      <c r="ISZ33" s="93"/>
      <c r="ITA33" s="93"/>
      <c r="ITB33" s="93"/>
      <c r="ITC33" s="93"/>
      <c r="ITD33" s="93"/>
      <c r="ITE33" s="93"/>
      <c r="ITF33" s="93"/>
      <c r="ITG33" s="93"/>
      <c r="ITH33" s="93"/>
      <c r="ITI33" s="93"/>
      <c r="ITJ33" s="93"/>
      <c r="ITK33" s="93"/>
      <c r="ITL33" s="93"/>
      <c r="ITM33" s="93"/>
      <c r="ITN33" s="93"/>
      <c r="ITO33" s="93"/>
      <c r="ITP33" s="93"/>
      <c r="ITQ33" s="93"/>
      <c r="ITR33" s="93"/>
      <c r="ITS33" s="93"/>
      <c r="ITT33" s="93"/>
      <c r="ITU33" s="93"/>
      <c r="ITV33" s="93"/>
      <c r="ITW33" s="93"/>
      <c r="ITX33" s="93"/>
      <c r="ITY33" s="93"/>
      <c r="ITZ33" s="93"/>
      <c r="IUA33" s="93"/>
      <c r="IUB33" s="93"/>
      <c r="IUC33" s="93"/>
      <c r="IUD33" s="93"/>
      <c r="IUE33" s="93"/>
      <c r="IUF33" s="93"/>
      <c r="IUG33" s="93"/>
      <c r="IUH33" s="93"/>
      <c r="IUI33" s="93"/>
      <c r="IUJ33" s="93"/>
      <c r="IUK33" s="93"/>
      <c r="IUL33" s="93"/>
      <c r="IUM33" s="93"/>
      <c r="IUN33" s="93"/>
      <c r="IUO33" s="93"/>
      <c r="IUP33" s="93"/>
      <c r="IUQ33" s="93"/>
      <c r="IUR33" s="93"/>
      <c r="IUS33" s="93"/>
      <c r="IUT33" s="93"/>
      <c r="IUU33" s="93"/>
      <c r="IUV33" s="93"/>
      <c r="IUW33" s="93"/>
      <c r="IUX33" s="93"/>
      <c r="IUY33" s="93"/>
      <c r="IUZ33" s="93"/>
      <c r="IVA33" s="93"/>
      <c r="IVB33" s="93"/>
      <c r="IVC33" s="93"/>
      <c r="IVD33" s="93"/>
      <c r="IVE33" s="93"/>
      <c r="IVF33" s="93"/>
      <c r="IVG33" s="93"/>
      <c r="IVH33" s="93"/>
      <c r="IVI33" s="93"/>
      <c r="IVJ33" s="93"/>
      <c r="IVK33" s="93"/>
      <c r="IVL33" s="93"/>
      <c r="IVM33" s="93"/>
      <c r="IVN33" s="93"/>
      <c r="IVO33" s="93"/>
      <c r="IVP33" s="93"/>
      <c r="IVQ33" s="93"/>
      <c r="IVR33" s="93"/>
      <c r="IVS33" s="93"/>
      <c r="IVT33" s="93"/>
      <c r="IVU33" s="93"/>
      <c r="IVV33" s="93"/>
      <c r="IVW33" s="93"/>
      <c r="IVX33" s="93"/>
      <c r="IVY33" s="93"/>
      <c r="IVZ33" s="93"/>
      <c r="IWA33" s="93"/>
      <c r="IWB33" s="93"/>
      <c r="IWC33" s="93"/>
      <c r="IWD33" s="93"/>
      <c r="IWE33" s="93"/>
      <c r="IWF33" s="93"/>
      <c r="IWG33" s="93"/>
      <c r="IWH33" s="93"/>
      <c r="IWI33" s="93"/>
      <c r="IWJ33" s="93"/>
      <c r="IWK33" s="93"/>
      <c r="IWL33" s="93"/>
      <c r="IWM33" s="93"/>
      <c r="IWN33" s="93"/>
      <c r="IWO33" s="93"/>
      <c r="IWP33" s="93"/>
      <c r="IWQ33" s="93"/>
      <c r="IWR33" s="93"/>
      <c r="IWS33" s="93"/>
      <c r="IWT33" s="93"/>
      <c r="IWU33" s="93"/>
      <c r="IWV33" s="93"/>
      <c r="IWW33" s="93"/>
      <c r="IWX33" s="93"/>
      <c r="IWY33" s="93"/>
      <c r="IWZ33" s="93"/>
      <c r="IXA33" s="93"/>
      <c r="IXB33" s="93"/>
      <c r="IXC33" s="93"/>
      <c r="IXD33" s="93"/>
      <c r="IXE33" s="93"/>
      <c r="IXF33" s="93"/>
      <c r="IXG33" s="93"/>
      <c r="IXH33" s="93"/>
      <c r="IXI33" s="93"/>
      <c r="IXJ33" s="93"/>
      <c r="IXK33" s="93"/>
      <c r="IXL33" s="93"/>
      <c r="IXM33" s="93"/>
      <c r="IXN33" s="93"/>
      <c r="IXO33" s="93"/>
      <c r="IXP33" s="93"/>
      <c r="IXQ33" s="93"/>
      <c r="IXR33" s="93"/>
      <c r="IXS33" s="93"/>
      <c r="IXT33" s="93"/>
      <c r="IXU33" s="93"/>
      <c r="IXV33" s="93"/>
      <c r="IXW33" s="93"/>
      <c r="IXX33" s="93"/>
      <c r="IXY33" s="93"/>
      <c r="IXZ33" s="93"/>
      <c r="IYA33" s="93"/>
      <c r="IYB33" s="93"/>
      <c r="IYC33" s="93"/>
      <c r="IYD33" s="93"/>
      <c r="IYE33" s="93"/>
      <c r="IYF33" s="93"/>
      <c r="IYG33" s="93"/>
      <c r="IYH33" s="93"/>
      <c r="IYI33" s="93"/>
      <c r="IYJ33" s="93"/>
      <c r="IYK33" s="93"/>
      <c r="IYL33" s="93"/>
      <c r="IYM33" s="93"/>
      <c r="IYN33" s="93"/>
      <c r="IYO33" s="93"/>
      <c r="IYP33" s="93"/>
      <c r="IYQ33" s="93"/>
      <c r="IYR33" s="93"/>
      <c r="IYS33" s="93"/>
      <c r="IYT33" s="93"/>
      <c r="IYU33" s="93"/>
      <c r="IYV33" s="93"/>
      <c r="IYW33" s="93"/>
      <c r="IYX33" s="93"/>
      <c r="IYY33" s="93"/>
      <c r="IYZ33" s="93"/>
      <c r="IZA33" s="93"/>
      <c r="IZB33" s="93"/>
      <c r="IZC33" s="93"/>
      <c r="IZD33" s="93"/>
      <c r="IZE33" s="93"/>
      <c r="IZF33" s="93"/>
      <c r="IZG33" s="93"/>
      <c r="IZH33" s="93"/>
      <c r="IZI33" s="93"/>
      <c r="IZJ33" s="93"/>
      <c r="IZK33" s="93"/>
      <c r="IZL33" s="93"/>
      <c r="IZM33" s="93"/>
      <c r="IZN33" s="93"/>
      <c r="IZO33" s="93"/>
      <c r="IZP33" s="93"/>
      <c r="IZQ33" s="93"/>
      <c r="IZR33" s="93"/>
      <c r="IZS33" s="93"/>
      <c r="IZT33" s="93"/>
      <c r="IZU33" s="93"/>
      <c r="IZV33" s="93"/>
      <c r="IZW33" s="93"/>
      <c r="IZX33" s="93"/>
      <c r="IZY33" s="93"/>
      <c r="IZZ33" s="93"/>
      <c r="JAA33" s="93"/>
      <c r="JAB33" s="93"/>
      <c r="JAC33" s="93"/>
      <c r="JAD33" s="93"/>
      <c r="JAE33" s="93"/>
      <c r="JAF33" s="93"/>
      <c r="JAG33" s="93"/>
      <c r="JAH33" s="93"/>
      <c r="JAI33" s="93"/>
      <c r="JAJ33" s="93"/>
      <c r="JAK33" s="93"/>
      <c r="JAL33" s="93"/>
      <c r="JAM33" s="93"/>
      <c r="JAN33" s="93"/>
      <c r="JAO33" s="93"/>
      <c r="JAP33" s="93"/>
      <c r="JAQ33" s="93"/>
      <c r="JAR33" s="93"/>
      <c r="JAS33" s="93"/>
      <c r="JAT33" s="93"/>
      <c r="JAU33" s="93"/>
      <c r="JAV33" s="93"/>
      <c r="JAW33" s="93"/>
      <c r="JAX33" s="93"/>
      <c r="JAY33" s="93"/>
      <c r="JAZ33" s="93"/>
      <c r="JBA33" s="93"/>
      <c r="JBB33" s="93"/>
      <c r="JBC33" s="93"/>
      <c r="JBD33" s="93"/>
      <c r="JBE33" s="93"/>
      <c r="JBF33" s="93"/>
      <c r="JBG33" s="93"/>
      <c r="JBH33" s="93"/>
      <c r="JBI33" s="93"/>
      <c r="JBJ33" s="93"/>
      <c r="JBK33" s="93"/>
      <c r="JBL33" s="93"/>
      <c r="JBM33" s="93"/>
      <c r="JBN33" s="93"/>
      <c r="JBO33" s="93"/>
      <c r="JBP33" s="93"/>
      <c r="JBQ33" s="93"/>
      <c r="JBR33" s="93"/>
      <c r="JBS33" s="93"/>
      <c r="JBT33" s="93"/>
      <c r="JBU33" s="93"/>
      <c r="JBV33" s="93"/>
      <c r="JBW33" s="93"/>
      <c r="JBX33" s="93"/>
      <c r="JBY33" s="93"/>
      <c r="JBZ33" s="93"/>
      <c r="JCA33" s="93"/>
      <c r="JCB33" s="93"/>
      <c r="JCC33" s="93"/>
      <c r="JCD33" s="93"/>
      <c r="JCE33" s="93"/>
      <c r="JCF33" s="93"/>
      <c r="JCG33" s="93"/>
      <c r="JCH33" s="93"/>
      <c r="JCI33" s="93"/>
      <c r="JCJ33" s="93"/>
      <c r="JCK33" s="93"/>
      <c r="JCL33" s="93"/>
      <c r="JCM33" s="93"/>
      <c r="JCN33" s="93"/>
      <c r="JCO33" s="93"/>
      <c r="JCP33" s="93"/>
      <c r="JCQ33" s="93"/>
      <c r="JCR33" s="93"/>
      <c r="JCS33" s="93"/>
      <c r="JCT33" s="93"/>
      <c r="JCU33" s="93"/>
      <c r="JCV33" s="93"/>
      <c r="JCW33" s="93"/>
      <c r="JCX33" s="93"/>
      <c r="JCY33" s="93"/>
      <c r="JCZ33" s="93"/>
      <c r="JDA33" s="93"/>
      <c r="JDB33" s="93"/>
      <c r="JDC33" s="93"/>
      <c r="JDD33" s="93"/>
      <c r="JDE33" s="93"/>
      <c r="JDF33" s="93"/>
      <c r="JDG33" s="93"/>
      <c r="JDH33" s="93"/>
      <c r="JDI33" s="93"/>
      <c r="JDJ33" s="93"/>
      <c r="JDK33" s="93"/>
      <c r="JDL33" s="93"/>
      <c r="JDM33" s="93"/>
      <c r="JDN33" s="93"/>
      <c r="JDO33" s="93"/>
      <c r="JDP33" s="93"/>
      <c r="JDQ33" s="93"/>
      <c r="JDR33" s="93"/>
      <c r="JDS33" s="93"/>
      <c r="JDT33" s="93"/>
      <c r="JDU33" s="93"/>
      <c r="JDV33" s="93"/>
      <c r="JDW33" s="93"/>
      <c r="JDX33" s="93"/>
      <c r="JDY33" s="93"/>
      <c r="JDZ33" s="93"/>
      <c r="JEA33" s="93"/>
      <c r="JEB33" s="93"/>
      <c r="JEC33" s="93"/>
      <c r="JED33" s="93"/>
      <c r="JEE33" s="93"/>
      <c r="JEF33" s="93"/>
      <c r="JEG33" s="93"/>
      <c r="JEH33" s="93"/>
      <c r="JEI33" s="93"/>
      <c r="JEJ33" s="93"/>
      <c r="JEK33" s="93"/>
      <c r="JEL33" s="93"/>
      <c r="JEM33" s="93"/>
      <c r="JEN33" s="93"/>
      <c r="JEO33" s="93"/>
      <c r="JEP33" s="93"/>
      <c r="JEQ33" s="93"/>
      <c r="JER33" s="93"/>
      <c r="JES33" s="93"/>
      <c r="JET33" s="93"/>
      <c r="JEU33" s="93"/>
      <c r="JEV33" s="93"/>
      <c r="JEW33" s="93"/>
      <c r="JEX33" s="93"/>
      <c r="JEY33" s="93"/>
      <c r="JEZ33" s="93"/>
      <c r="JFA33" s="93"/>
      <c r="JFB33" s="93"/>
      <c r="JFC33" s="93"/>
      <c r="JFD33" s="93"/>
      <c r="JFE33" s="93"/>
      <c r="JFF33" s="93"/>
      <c r="JFG33" s="93"/>
      <c r="JFH33" s="93"/>
      <c r="JFI33" s="93"/>
      <c r="JFJ33" s="93"/>
      <c r="JFK33" s="93"/>
      <c r="JFL33" s="93"/>
      <c r="JFM33" s="93"/>
      <c r="JFN33" s="93"/>
      <c r="JFO33" s="93"/>
      <c r="JFP33" s="93"/>
      <c r="JFQ33" s="93"/>
      <c r="JFR33" s="93"/>
      <c r="JFS33" s="93"/>
      <c r="JFT33" s="93"/>
      <c r="JFU33" s="93"/>
      <c r="JFV33" s="93"/>
      <c r="JFW33" s="93"/>
      <c r="JFX33" s="93"/>
      <c r="JFY33" s="93"/>
      <c r="JFZ33" s="93"/>
      <c r="JGA33" s="93"/>
      <c r="JGB33" s="93"/>
      <c r="JGC33" s="93"/>
      <c r="JGD33" s="93"/>
      <c r="JGE33" s="93"/>
      <c r="JGF33" s="93"/>
      <c r="JGG33" s="93"/>
      <c r="JGH33" s="93"/>
      <c r="JGI33" s="93"/>
      <c r="JGJ33" s="93"/>
      <c r="JGK33" s="93"/>
      <c r="JGL33" s="93"/>
      <c r="JGM33" s="93"/>
      <c r="JGN33" s="93"/>
      <c r="JGO33" s="93"/>
      <c r="JGP33" s="93"/>
      <c r="JGQ33" s="93"/>
      <c r="JGR33" s="93"/>
      <c r="JGS33" s="93"/>
      <c r="JGT33" s="93"/>
      <c r="JGU33" s="93"/>
      <c r="JGV33" s="93"/>
      <c r="JGW33" s="93"/>
      <c r="JGX33" s="93"/>
      <c r="JGY33" s="93"/>
      <c r="JGZ33" s="93"/>
      <c r="JHA33" s="93"/>
      <c r="JHB33" s="93"/>
      <c r="JHC33" s="93"/>
      <c r="JHD33" s="93"/>
      <c r="JHE33" s="93"/>
      <c r="JHF33" s="93"/>
      <c r="JHG33" s="93"/>
      <c r="JHH33" s="93"/>
      <c r="JHI33" s="93"/>
      <c r="JHJ33" s="93"/>
      <c r="JHK33" s="93"/>
      <c r="JHL33" s="93"/>
      <c r="JHM33" s="93"/>
      <c r="JHN33" s="93"/>
      <c r="JHO33" s="93"/>
      <c r="JHP33" s="93"/>
      <c r="JHQ33" s="93"/>
      <c r="JHR33" s="93"/>
      <c r="JHS33" s="93"/>
      <c r="JHT33" s="93"/>
      <c r="JHU33" s="93"/>
      <c r="JHV33" s="93"/>
      <c r="JHW33" s="93"/>
      <c r="JHX33" s="93"/>
      <c r="JHY33" s="93"/>
      <c r="JHZ33" s="93"/>
      <c r="JIA33" s="93"/>
      <c r="JIB33" s="93"/>
      <c r="JIC33" s="93"/>
      <c r="JID33" s="93"/>
      <c r="JIE33" s="93"/>
      <c r="JIF33" s="93"/>
      <c r="JIG33" s="93"/>
      <c r="JIH33" s="93"/>
      <c r="JII33" s="93"/>
      <c r="JIJ33" s="93"/>
      <c r="JIK33" s="93"/>
      <c r="JIL33" s="93"/>
      <c r="JIM33" s="93"/>
      <c r="JIN33" s="93"/>
      <c r="JIO33" s="93"/>
      <c r="JIP33" s="93"/>
      <c r="JIQ33" s="93"/>
      <c r="JIR33" s="93"/>
      <c r="JIS33" s="93"/>
      <c r="JIT33" s="93"/>
      <c r="JIU33" s="93"/>
      <c r="JIV33" s="93"/>
      <c r="JIW33" s="93"/>
      <c r="JIX33" s="93"/>
      <c r="JIY33" s="93"/>
      <c r="JIZ33" s="93"/>
      <c r="JJA33" s="93"/>
      <c r="JJB33" s="93"/>
      <c r="JJC33" s="93"/>
      <c r="JJD33" s="93"/>
      <c r="JJE33" s="93"/>
      <c r="JJF33" s="93"/>
      <c r="JJG33" s="93"/>
      <c r="JJH33" s="93"/>
      <c r="JJI33" s="93"/>
      <c r="JJJ33" s="93"/>
      <c r="JJK33" s="93"/>
      <c r="JJL33" s="93"/>
      <c r="JJM33" s="93"/>
      <c r="JJN33" s="93"/>
      <c r="JJO33" s="93"/>
      <c r="JJP33" s="93"/>
      <c r="JJQ33" s="93"/>
      <c r="JJR33" s="93"/>
      <c r="JJS33" s="93"/>
      <c r="JJT33" s="93"/>
      <c r="JJU33" s="93"/>
      <c r="JJV33" s="93"/>
      <c r="JJW33" s="93"/>
      <c r="JJX33" s="93"/>
      <c r="JJY33" s="93"/>
      <c r="JJZ33" s="93"/>
      <c r="JKA33" s="93"/>
      <c r="JKB33" s="93"/>
      <c r="JKC33" s="93"/>
      <c r="JKD33" s="93"/>
      <c r="JKE33" s="93"/>
      <c r="JKF33" s="93"/>
      <c r="JKG33" s="93"/>
      <c r="JKH33" s="93"/>
      <c r="JKI33" s="93"/>
      <c r="JKJ33" s="93"/>
      <c r="JKK33" s="93"/>
      <c r="JKL33" s="93"/>
      <c r="JKM33" s="93"/>
      <c r="JKN33" s="93"/>
      <c r="JKO33" s="93"/>
      <c r="JKP33" s="93"/>
      <c r="JKQ33" s="93"/>
      <c r="JKR33" s="93"/>
      <c r="JKS33" s="93"/>
      <c r="JKT33" s="93"/>
      <c r="JKU33" s="93"/>
      <c r="JKV33" s="93"/>
      <c r="JKW33" s="93"/>
      <c r="JKX33" s="93"/>
      <c r="JKY33" s="93"/>
      <c r="JKZ33" s="93"/>
      <c r="JLA33" s="93"/>
      <c r="JLB33" s="93"/>
      <c r="JLC33" s="93"/>
      <c r="JLD33" s="93"/>
      <c r="JLE33" s="93"/>
      <c r="JLF33" s="93"/>
      <c r="JLG33" s="93"/>
      <c r="JLH33" s="93"/>
      <c r="JLI33" s="93"/>
      <c r="JLJ33" s="93"/>
      <c r="JLK33" s="93"/>
      <c r="JLL33" s="93"/>
      <c r="JLM33" s="93"/>
      <c r="JLN33" s="93"/>
      <c r="JLO33" s="93"/>
      <c r="JLP33" s="93"/>
      <c r="JLQ33" s="93"/>
      <c r="JLR33" s="93"/>
      <c r="JLS33" s="93"/>
      <c r="JLT33" s="93"/>
      <c r="JLU33" s="93"/>
      <c r="JLV33" s="93"/>
      <c r="JLW33" s="93"/>
      <c r="JLX33" s="93"/>
      <c r="JLY33" s="93"/>
      <c r="JLZ33" s="93"/>
      <c r="JMA33" s="93"/>
      <c r="JMB33" s="93"/>
      <c r="JMC33" s="93"/>
      <c r="JMD33" s="93"/>
      <c r="JME33" s="93"/>
      <c r="JMF33" s="93"/>
      <c r="JMG33" s="93"/>
      <c r="JMH33" s="93"/>
      <c r="JMI33" s="93"/>
      <c r="JMJ33" s="93"/>
      <c r="JMK33" s="93"/>
      <c r="JML33" s="93"/>
      <c r="JMM33" s="93"/>
      <c r="JMN33" s="93"/>
      <c r="JMO33" s="93"/>
      <c r="JMP33" s="93"/>
      <c r="JMQ33" s="93"/>
      <c r="JMR33" s="93"/>
      <c r="JMS33" s="93"/>
      <c r="JMT33" s="93"/>
      <c r="JMU33" s="93"/>
      <c r="JMV33" s="93"/>
      <c r="JMW33" s="93"/>
      <c r="JMX33" s="93"/>
      <c r="JMY33" s="93"/>
      <c r="JMZ33" s="93"/>
      <c r="JNA33" s="93"/>
      <c r="JNB33" s="93"/>
      <c r="JNC33" s="93"/>
      <c r="JND33" s="93"/>
      <c r="JNE33" s="93"/>
      <c r="JNF33" s="93"/>
      <c r="JNG33" s="93"/>
      <c r="JNH33" s="93"/>
      <c r="JNI33" s="93"/>
      <c r="JNJ33" s="93"/>
      <c r="JNK33" s="93"/>
      <c r="JNL33" s="93"/>
      <c r="JNM33" s="93"/>
      <c r="JNN33" s="93"/>
      <c r="JNO33" s="93"/>
      <c r="JNP33" s="93"/>
      <c r="JNQ33" s="93"/>
      <c r="JNR33" s="93"/>
      <c r="JNS33" s="93"/>
      <c r="JNT33" s="93"/>
      <c r="JNU33" s="93"/>
      <c r="JNV33" s="93"/>
      <c r="JNW33" s="93"/>
      <c r="JNX33" s="93"/>
      <c r="JNY33" s="93"/>
      <c r="JNZ33" s="93"/>
      <c r="JOA33" s="93"/>
      <c r="JOB33" s="93"/>
      <c r="JOC33" s="93"/>
      <c r="JOD33" s="93"/>
      <c r="JOE33" s="93"/>
      <c r="JOF33" s="93"/>
      <c r="JOG33" s="93"/>
      <c r="JOH33" s="93"/>
      <c r="JOI33" s="93"/>
      <c r="JOJ33" s="93"/>
      <c r="JOK33" s="93"/>
      <c r="JOL33" s="93"/>
      <c r="JOM33" s="93"/>
      <c r="JON33" s="93"/>
      <c r="JOO33" s="93"/>
      <c r="JOP33" s="93"/>
      <c r="JOQ33" s="93"/>
      <c r="JOR33" s="93"/>
      <c r="JOS33" s="93"/>
      <c r="JOT33" s="93"/>
      <c r="JOU33" s="93"/>
      <c r="JOV33" s="93"/>
      <c r="JOW33" s="93"/>
      <c r="JOX33" s="93"/>
      <c r="JOY33" s="93"/>
      <c r="JOZ33" s="93"/>
      <c r="JPA33" s="93"/>
      <c r="JPB33" s="93"/>
      <c r="JPC33" s="93"/>
      <c r="JPD33" s="93"/>
      <c r="JPE33" s="93"/>
      <c r="JPF33" s="93"/>
      <c r="JPG33" s="93"/>
      <c r="JPH33" s="93"/>
      <c r="JPI33" s="93"/>
      <c r="JPJ33" s="93"/>
      <c r="JPK33" s="93"/>
      <c r="JPL33" s="93"/>
      <c r="JPM33" s="93"/>
      <c r="JPN33" s="93"/>
      <c r="JPO33" s="93"/>
      <c r="JPP33" s="93"/>
      <c r="JPQ33" s="93"/>
      <c r="JPR33" s="93"/>
      <c r="JPS33" s="93"/>
      <c r="JPT33" s="93"/>
      <c r="JPU33" s="93"/>
      <c r="JPV33" s="93"/>
      <c r="JPW33" s="93"/>
      <c r="JPX33" s="93"/>
      <c r="JPY33" s="93"/>
      <c r="JPZ33" s="93"/>
      <c r="JQA33" s="93"/>
      <c r="JQB33" s="93"/>
      <c r="JQC33" s="93"/>
      <c r="JQD33" s="93"/>
      <c r="JQE33" s="93"/>
      <c r="JQF33" s="93"/>
      <c r="JQG33" s="93"/>
      <c r="JQH33" s="93"/>
      <c r="JQI33" s="93"/>
      <c r="JQJ33" s="93"/>
      <c r="JQK33" s="93"/>
      <c r="JQL33" s="93"/>
      <c r="JQM33" s="93"/>
      <c r="JQN33" s="93"/>
      <c r="JQO33" s="93"/>
      <c r="JQP33" s="93"/>
      <c r="JQQ33" s="93"/>
      <c r="JQR33" s="93"/>
      <c r="JQS33" s="93"/>
      <c r="JQT33" s="93"/>
      <c r="JQU33" s="93"/>
      <c r="JQV33" s="93"/>
      <c r="JQW33" s="93"/>
      <c r="JQX33" s="93"/>
      <c r="JQY33" s="93"/>
      <c r="JQZ33" s="93"/>
      <c r="JRA33" s="93"/>
      <c r="JRB33" s="93"/>
      <c r="JRC33" s="93"/>
      <c r="JRD33" s="93"/>
      <c r="JRE33" s="93"/>
      <c r="JRF33" s="93"/>
      <c r="JRG33" s="93"/>
      <c r="JRH33" s="93"/>
      <c r="JRI33" s="93"/>
      <c r="JRJ33" s="93"/>
      <c r="JRK33" s="93"/>
      <c r="JRL33" s="93"/>
      <c r="JRM33" s="93"/>
      <c r="JRN33" s="93"/>
      <c r="JRO33" s="93"/>
      <c r="JRP33" s="93"/>
      <c r="JRQ33" s="93"/>
      <c r="JRR33" s="93"/>
      <c r="JRS33" s="93"/>
      <c r="JRT33" s="93"/>
      <c r="JRU33" s="93"/>
      <c r="JRV33" s="93"/>
      <c r="JRW33" s="93"/>
      <c r="JRX33" s="93"/>
      <c r="JRY33" s="93"/>
      <c r="JRZ33" s="93"/>
      <c r="JSA33" s="93"/>
      <c r="JSB33" s="93"/>
      <c r="JSC33" s="93"/>
      <c r="JSD33" s="93"/>
      <c r="JSE33" s="93"/>
      <c r="JSF33" s="93"/>
      <c r="JSG33" s="93"/>
      <c r="JSH33" s="93"/>
      <c r="JSI33" s="93"/>
      <c r="JSJ33" s="93"/>
      <c r="JSK33" s="93"/>
      <c r="JSL33" s="93"/>
      <c r="JSM33" s="93"/>
      <c r="JSN33" s="93"/>
      <c r="JSO33" s="93"/>
      <c r="JSP33" s="93"/>
      <c r="JSQ33" s="93"/>
      <c r="JSR33" s="93"/>
      <c r="JSS33" s="93"/>
      <c r="JST33" s="93"/>
      <c r="JSU33" s="93"/>
      <c r="JSV33" s="93"/>
      <c r="JSW33" s="93"/>
      <c r="JSX33" s="93"/>
      <c r="JSY33" s="93"/>
      <c r="JSZ33" s="93"/>
      <c r="JTA33" s="93"/>
      <c r="JTB33" s="93"/>
      <c r="JTC33" s="93"/>
      <c r="JTD33" s="93"/>
      <c r="JTE33" s="93"/>
      <c r="JTF33" s="93"/>
      <c r="JTG33" s="93"/>
      <c r="JTH33" s="93"/>
      <c r="JTI33" s="93"/>
      <c r="JTJ33" s="93"/>
      <c r="JTK33" s="93"/>
      <c r="JTL33" s="93"/>
      <c r="JTM33" s="93"/>
      <c r="JTN33" s="93"/>
      <c r="JTO33" s="93"/>
      <c r="JTP33" s="93"/>
      <c r="JTQ33" s="93"/>
      <c r="JTR33" s="93"/>
      <c r="JTS33" s="93"/>
      <c r="JTT33" s="93"/>
      <c r="JTU33" s="93"/>
      <c r="JTV33" s="93"/>
      <c r="JTW33" s="93"/>
      <c r="JTX33" s="93"/>
      <c r="JTY33" s="93"/>
      <c r="JTZ33" s="93"/>
      <c r="JUA33" s="93"/>
      <c r="JUB33" s="93"/>
      <c r="JUC33" s="93"/>
      <c r="JUD33" s="93"/>
      <c r="JUE33" s="93"/>
      <c r="JUF33" s="93"/>
      <c r="JUG33" s="93"/>
      <c r="JUH33" s="93"/>
      <c r="JUI33" s="93"/>
      <c r="JUJ33" s="93"/>
      <c r="JUK33" s="93"/>
      <c r="JUL33" s="93"/>
      <c r="JUM33" s="93"/>
      <c r="JUN33" s="93"/>
      <c r="JUO33" s="93"/>
      <c r="JUP33" s="93"/>
      <c r="JUQ33" s="93"/>
      <c r="JUR33" s="93"/>
      <c r="JUS33" s="93"/>
      <c r="JUT33" s="93"/>
      <c r="JUU33" s="93"/>
      <c r="JUV33" s="93"/>
      <c r="JUW33" s="93"/>
      <c r="JUX33" s="93"/>
      <c r="JUY33" s="93"/>
      <c r="JUZ33" s="93"/>
      <c r="JVA33" s="93"/>
      <c r="JVB33" s="93"/>
      <c r="JVC33" s="93"/>
      <c r="JVD33" s="93"/>
      <c r="JVE33" s="93"/>
      <c r="JVF33" s="93"/>
      <c r="JVG33" s="93"/>
      <c r="JVH33" s="93"/>
      <c r="JVI33" s="93"/>
      <c r="JVJ33" s="93"/>
      <c r="JVK33" s="93"/>
      <c r="JVL33" s="93"/>
      <c r="JVM33" s="93"/>
      <c r="JVN33" s="93"/>
      <c r="JVO33" s="93"/>
      <c r="JVP33" s="93"/>
      <c r="JVQ33" s="93"/>
      <c r="JVR33" s="93"/>
      <c r="JVS33" s="93"/>
      <c r="JVT33" s="93"/>
      <c r="JVU33" s="93"/>
      <c r="JVV33" s="93"/>
      <c r="JVW33" s="93"/>
      <c r="JVX33" s="93"/>
      <c r="JVY33" s="93"/>
      <c r="JVZ33" s="93"/>
      <c r="JWA33" s="93"/>
      <c r="JWB33" s="93"/>
      <c r="JWC33" s="93"/>
      <c r="JWD33" s="93"/>
      <c r="JWE33" s="93"/>
      <c r="JWF33" s="93"/>
      <c r="JWG33" s="93"/>
      <c r="JWH33" s="93"/>
      <c r="JWI33" s="93"/>
      <c r="JWJ33" s="93"/>
      <c r="JWK33" s="93"/>
      <c r="JWL33" s="93"/>
      <c r="JWM33" s="93"/>
      <c r="JWN33" s="93"/>
      <c r="JWO33" s="93"/>
      <c r="JWP33" s="93"/>
      <c r="JWQ33" s="93"/>
      <c r="JWR33" s="93"/>
      <c r="JWS33" s="93"/>
      <c r="JWT33" s="93"/>
      <c r="JWU33" s="93"/>
      <c r="JWV33" s="93"/>
      <c r="JWW33" s="93"/>
      <c r="JWX33" s="93"/>
      <c r="JWY33" s="93"/>
      <c r="JWZ33" s="93"/>
      <c r="JXA33" s="93"/>
      <c r="JXB33" s="93"/>
      <c r="JXC33" s="93"/>
      <c r="JXD33" s="93"/>
      <c r="JXE33" s="93"/>
      <c r="JXF33" s="93"/>
      <c r="JXG33" s="93"/>
      <c r="JXH33" s="93"/>
      <c r="JXI33" s="93"/>
      <c r="JXJ33" s="93"/>
      <c r="JXK33" s="93"/>
      <c r="JXL33" s="93"/>
      <c r="JXM33" s="93"/>
      <c r="JXN33" s="93"/>
      <c r="JXO33" s="93"/>
      <c r="JXP33" s="93"/>
      <c r="JXQ33" s="93"/>
      <c r="JXR33" s="93"/>
      <c r="JXS33" s="93"/>
      <c r="JXT33" s="93"/>
      <c r="JXU33" s="93"/>
      <c r="JXV33" s="93"/>
      <c r="JXW33" s="93"/>
      <c r="JXX33" s="93"/>
      <c r="JXY33" s="93"/>
      <c r="JXZ33" s="93"/>
      <c r="JYA33" s="93"/>
      <c r="JYB33" s="93"/>
      <c r="JYC33" s="93"/>
      <c r="JYD33" s="93"/>
      <c r="JYE33" s="93"/>
      <c r="JYF33" s="93"/>
      <c r="JYG33" s="93"/>
      <c r="JYH33" s="93"/>
      <c r="JYI33" s="93"/>
      <c r="JYJ33" s="93"/>
      <c r="JYK33" s="93"/>
      <c r="JYL33" s="93"/>
      <c r="JYM33" s="93"/>
      <c r="JYN33" s="93"/>
      <c r="JYO33" s="93"/>
      <c r="JYP33" s="93"/>
      <c r="JYQ33" s="93"/>
      <c r="JYR33" s="93"/>
      <c r="JYS33" s="93"/>
      <c r="JYT33" s="93"/>
      <c r="JYU33" s="93"/>
      <c r="JYV33" s="93"/>
      <c r="JYW33" s="93"/>
      <c r="JYX33" s="93"/>
      <c r="JYY33" s="93"/>
      <c r="JYZ33" s="93"/>
      <c r="JZA33" s="93"/>
      <c r="JZB33" s="93"/>
      <c r="JZC33" s="93"/>
      <c r="JZD33" s="93"/>
      <c r="JZE33" s="93"/>
      <c r="JZF33" s="93"/>
      <c r="JZG33" s="93"/>
      <c r="JZH33" s="93"/>
      <c r="JZI33" s="93"/>
      <c r="JZJ33" s="93"/>
      <c r="JZK33" s="93"/>
      <c r="JZL33" s="93"/>
      <c r="JZM33" s="93"/>
      <c r="JZN33" s="93"/>
      <c r="JZO33" s="93"/>
      <c r="JZP33" s="93"/>
      <c r="JZQ33" s="93"/>
      <c r="JZR33" s="93"/>
      <c r="JZS33" s="93"/>
      <c r="JZT33" s="93"/>
      <c r="JZU33" s="93"/>
      <c r="JZV33" s="93"/>
      <c r="JZW33" s="93"/>
      <c r="JZX33" s="93"/>
      <c r="JZY33" s="93"/>
      <c r="JZZ33" s="93"/>
      <c r="KAA33" s="93"/>
      <c r="KAB33" s="93"/>
      <c r="KAC33" s="93"/>
      <c r="KAD33" s="93"/>
      <c r="KAE33" s="93"/>
      <c r="KAF33" s="93"/>
      <c r="KAG33" s="93"/>
      <c r="KAH33" s="93"/>
      <c r="KAI33" s="93"/>
      <c r="KAJ33" s="93"/>
      <c r="KAK33" s="93"/>
      <c r="KAL33" s="93"/>
      <c r="KAM33" s="93"/>
      <c r="KAN33" s="93"/>
      <c r="KAO33" s="93"/>
      <c r="KAP33" s="93"/>
      <c r="KAQ33" s="93"/>
      <c r="KAR33" s="93"/>
      <c r="KAS33" s="93"/>
      <c r="KAT33" s="93"/>
      <c r="KAU33" s="93"/>
      <c r="KAV33" s="93"/>
      <c r="KAW33" s="93"/>
      <c r="KAX33" s="93"/>
      <c r="KAY33" s="93"/>
      <c r="KAZ33" s="93"/>
      <c r="KBA33" s="93"/>
      <c r="KBB33" s="93"/>
      <c r="KBC33" s="93"/>
      <c r="KBD33" s="93"/>
      <c r="KBE33" s="93"/>
      <c r="KBF33" s="93"/>
      <c r="KBG33" s="93"/>
      <c r="KBH33" s="93"/>
      <c r="KBI33" s="93"/>
      <c r="KBJ33" s="93"/>
      <c r="KBK33" s="93"/>
      <c r="KBL33" s="93"/>
      <c r="KBM33" s="93"/>
      <c r="KBN33" s="93"/>
      <c r="KBO33" s="93"/>
      <c r="KBP33" s="93"/>
      <c r="KBQ33" s="93"/>
      <c r="KBR33" s="93"/>
      <c r="KBS33" s="93"/>
      <c r="KBT33" s="93"/>
      <c r="KBU33" s="93"/>
      <c r="KBV33" s="93"/>
      <c r="KBW33" s="93"/>
      <c r="KBX33" s="93"/>
      <c r="KBY33" s="93"/>
      <c r="KBZ33" s="93"/>
      <c r="KCA33" s="93"/>
      <c r="KCB33" s="93"/>
      <c r="KCC33" s="93"/>
      <c r="KCD33" s="93"/>
      <c r="KCE33" s="93"/>
      <c r="KCF33" s="93"/>
      <c r="KCG33" s="93"/>
      <c r="KCH33" s="93"/>
      <c r="KCI33" s="93"/>
      <c r="KCJ33" s="93"/>
      <c r="KCK33" s="93"/>
      <c r="KCL33" s="93"/>
      <c r="KCM33" s="93"/>
      <c r="KCN33" s="93"/>
      <c r="KCO33" s="93"/>
      <c r="KCP33" s="93"/>
      <c r="KCQ33" s="93"/>
      <c r="KCR33" s="93"/>
      <c r="KCS33" s="93"/>
      <c r="KCT33" s="93"/>
      <c r="KCU33" s="93"/>
      <c r="KCV33" s="93"/>
      <c r="KCW33" s="93"/>
      <c r="KCX33" s="93"/>
      <c r="KCY33" s="93"/>
      <c r="KCZ33" s="93"/>
      <c r="KDA33" s="93"/>
      <c r="KDB33" s="93"/>
      <c r="KDC33" s="93"/>
      <c r="KDD33" s="93"/>
      <c r="KDE33" s="93"/>
      <c r="KDF33" s="93"/>
      <c r="KDG33" s="93"/>
      <c r="KDH33" s="93"/>
      <c r="KDI33" s="93"/>
      <c r="KDJ33" s="93"/>
      <c r="KDK33" s="93"/>
      <c r="KDL33" s="93"/>
      <c r="KDM33" s="93"/>
      <c r="KDN33" s="93"/>
      <c r="KDO33" s="93"/>
      <c r="KDP33" s="93"/>
      <c r="KDQ33" s="93"/>
      <c r="KDR33" s="93"/>
      <c r="KDS33" s="93"/>
      <c r="KDT33" s="93"/>
      <c r="KDU33" s="93"/>
      <c r="KDV33" s="93"/>
      <c r="KDW33" s="93"/>
      <c r="KDX33" s="93"/>
      <c r="KDY33" s="93"/>
      <c r="KDZ33" s="93"/>
      <c r="KEA33" s="93"/>
      <c r="KEB33" s="93"/>
      <c r="KEC33" s="93"/>
      <c r="KED33" s="93"/>
      <c r="KEE33" s="93"/>
      <c r="KEF33" s="93"/>
      <c r="KEG33" s="93"/>
      <c r="KEH33" s="93"/>
      <c r="KEI33" s="93"/>
      <c r="KEJ33" s="93"/>
      <c r="KEK33" s="93"/>
      <c r="KEL33" s="93"/>
      <c r="KEM33" s="93"/>
      <c r="KEN33" s="93"/>
      <c r="KEO33" s="93"/>
      <c r="KEP33" s="93"/>
      <c r="KEQ33" s="93"/>
      <c r="KER33" s="93"/>
      <c r="KES33" s="93"/>
      <c r="KET33" s="93"/>
      <c r="KEU33" s="93"/>
      <c r="KEV33" s="93"/>
      <c r="KEW33" s="93"/>
      <c r="KEX33" s="93"/>
      <c r="KEY33" s="93"/>
      <c r="KEZ33" s="93"/>
      <c r="KFA33" s="93"/>
      <c r="KFB33" s="93"/>
      <c r="KFC33" s="93"/>
      <c r="KFD33" s="93"/>
      <c r="KFE33" s="93"/>
      <c r="KFF33" s="93"/>
      <c r="KFG33" s="93"/>
      <c r="KFH33" s="93"/>
      <c r="KFI33" s="93"/>
      <c r="KFJ33" s="93"/>
      <c r="KFK33" s="93"/>
      <c r="KFL33" s="93"/>
      <c r="KFM33" s="93"/>
      <c r="KFN33" s="93"/>
      <c r="KFO33" s="93"/>
      <c r="KFP33" s="93"/>
      <c r="KFQ33" s="93"/>
      <c r="KFR33" s="93"/>
      <c r="KFS33" s="93"/>
      <c r="KFT33" s="93"/>
      <c r="KFU33" s="93"/>
      <c r="KFV33" s="93"/>
      <c r="KFW33" s="93"/>
      <c r="KFX33" s="93"/>
      <c r="KFY33" s="93"/>
      <c r="KFZ33" s="93"/>
      <c r="KGA33" s="93"/>
      <c r="KGB33" s="93"/>
      <c r="KGC33" s="93"/>
      <c r="KGD33" s="93"/>
      <c r="KGE33" s="93"/>
      <c r="KGF33" s="93"/>
      <c r="KGG33" s="93"/>
      <c r="KGH33" s="93"/>
      <c r="KGI33" s="93"/>
      <c r="KGJ33" s="93"/>
      <c r="KGK33" s="93"/>
      <c r="KGL33" s="93"/>
      <c r="KGM33" s="93"/>
      <c r="KGN33" s="93"/>
      <c r="KGO33" s="93"/>
      <c r="KGP33" s="93"/>
      <c r="KGQ33" s="93"/>
      <c r="KGR33" s="93"/>
      <c r="KGS33" s="93"/>
      <c r="KGT33" s="93"/>
      <c r="KGU33" s="93"/>
      <c r="KGV33" s="93"/>
      <c r="KGW33" s="93"/>
      <c r="KGX33" s="93"/>
      <c r="KGY33" s="93"/>
      <c r="KGZ33" s="93"/>
      <c r="KHA33" s="93"/>
      <c r="KHB33" s="93"/>
      <c r="KHC33" s="93"/>
      <c r="KHD33" s="93"/>
      <c r="KHE33" s="93"/>
      <c r="KHF33" s="93"/>
      <c r="KHG33" s="93"/>
      <c r="KHH33" s="93"/>
      <c r="KHI33" s="93"/>
      <c r="KHJ33" s="93"/>
      <c r="KHK33" s="93"/>
      <c r="KHL33" s="93"/>
      <c r="KHM33" s="93"/>
      <c r="KHN33" s="93"/>
      <c r="KHO33" s="93"/>
      <c r="KHP33" s="93"/>
      <c r="KHQ33" s="93"/>
      <c r="KHR33" s="93"/>
      <c r="KHS33" s="93"/>
      <c r="KHT33" s="93"/>
      <c r="KHU33" s="93"/>
      <c r="KHV33" s="93"/>
      <c r="KHW33" s="93"/>
      <c r="KHX33" s="93"/>
      <c r="KHY33" s="93"/>
      <c r="KHZ33" s="93"/>
      <c r="KIA33" s="93"/>
      <c r="KIB33" s="93"/>
      <c r="KIC33" s="93"/>
      <c r="KID33" s="93"/>
      <c r="KIE33" s="93"/>
      <c r="KIF33" s="93"/>
      <c r="KIG33" s="93"/>
      <c r="KIH33" s="93"/>
      <c r="KII33" s="93"/>
      <c r="KIJ33" s="93"/>
      <c r="KIK33" s="93"/>
      <c r="KIL33" s="93"/>
      <c r="KIM33" s="93"/>
      <c r="KIN33" s="93"/>
      <c r="KIO33" s="93"/>
      <c r="KIP33" s="93"/>
      <c r="KIQ33" s="93"/>
      <c r="KIR33" s="93"/>
      <c r="KIS33" s="93"/>
      <c r="KIT33" s="93"/>
      <c r="KIU33" s="93"/>
      <c r="KIV33" s="93"/>
      <c r="KIW33" s="93"/>
      <c r="KIX33" s="93"/>
      <c r="KIY33" s="93"/>
      <c r="KIZ33" s="93"/>
      <c r="KJA33" s="93"/>
      <c r="KJB33" s="93"/>
      <c r="KJC33" s="93"/>
      <c r="KJD33" s="93"/>
      <c r="KJE33" s="93"/>
      <c r="KJF33" s="93"/>
      <c r="KJG33" s="93"/>
      <c r="KJH33" s="93"/>
      <c r="KJI33" s="93"/>
      <c r="KJJ33" s="93"/>
      <c r="KJK33" s="93"/>
      <c r="KJL33" s="93"/>
      <c r="KJM33" s="93"/>
      <c r="KJN33" s="93"/>
      <c r="KJO33" s="93"/>
      <c r="KJP33" s="93"/>
      <c r="KJQ33" s="93"/>
      <c r="KJR33" s="93"/>
      <c r="KJS33" s="93"/>
      <c r="KJT33" s="93"/>
      <c r="KJU33" s="93"/>
      <c r="KJV33" s="93"/>
      <c r="KJW33" s="93"/>
      <c r="KJX33" s="93"/>
      <c r="KJY33" s="93"/>
      <c r="KJZ33" s="93"/>
      <c r="KKA33" s="93"/>
      <c r="KKB33" s="93"/>
      <c r="KKC33" s="93"/>
      <c r="KKD33" s="93"/>
      <c r="KKE33" s="93"/>
      <c r="KKF33" s="93"/>
      <c r="KKG33" s="93"/>
      <c r="KKH33" s="93"/>
      <c r="KKI33" s="93"/>
      <c r="KKJ33" s="93"/>
      <c r="KKK33" s="93"/>
      <c r="KKL33" s="93"/>
      <c r="KKM33" s="93"/>
      <c r="KKN33" s="93"/>
      <c r="KKO33" s="93"/>
      <c r="KKP33" s="93"/>
      <c r="KKQ33" s="93"/>
      <c r="KKR33" s="93"/>
      <c r="KKS33" s="93"/>
      <c r="KKT33" s="93"/>
      <c r="KKU33" s="93"/>
      <c r="KKV33" s="93"/>
      <c r="KKW33" s="93"/>
      <c r="KKX33" s="93"/>
      <c r="KKY33" s="93"/>
      <c r="KKZ33" s="93"/>
      <c r="KLA33" s="93"/>
      <c r="KLB33" s="93"/>
      <c r="KLC33" s="93"/>
      <c r="KLD33" s="93"/>
      <c r="KLE33" s="93"/>
      <c r="KLF33" s="93"/>
      <c r="KLG33" s="93"/>
      <c r="KLH33" s="93"/>
      <c r="KLI33" s="93"/>
      <c r="KLJ33" s="93"/>
      <c r="KLK33" s="93"/>
      <c r="KLL33" s="93"/>
      <c r="KLM33" s="93"/>
      <c r="KLN33" s="93"/>
      <c r="KLO33" s="93"/>
      <c r="KLP33" s="93"/>
      <c r="KLQ33" s="93"/>
      <c r="KLR33" s="93"/>
      <c r="KLS33" s="93"/>
      <c r="KLT33" s="93"/>
      <c r="KLU33" s="93"/>
      <c r="KLV33" s="93"/>
      <c r="KLW33" s="93"/>
      <c r="KLX33" s="93"/>
      <c r="KLY33" s="93"/>
      <c r="KLZ33" s="93"/>
      <c r="KMA33" s="93"/>
      <c r="KMB33" s="93"/>
      <c r="KMC33" s="93"/>
      <c r="KMD33" s="93"/>
      <c r="KME33" s="93"/>
      <c r="KMF33" s="93"/>
      <c r="KMG33" s="93"/>
      <c r="KMH33" s="93"/>
      <c r="KMI33" s="93"/>
      <c r="KMJ33" s="93"/>
      <c r="KMK33" s="93"/>
      <c r="KML33" s="93"/>
      <c r="KMM33" s="93"/>
      <c r="KMN33" s="93"/>
      <c r="KMO33" s="93"/>
      <c r="KMP33" s="93"/>
      <c r="KMQ33" s="93"/>
      <c r="KMR33" s="93"/>
      <c r="KMS33" s="93"/>
      <c r="KMT33" s="93"/>
      <c r="KMU33" s="93"/>
      <c r="KMV33" s="93"/>
      <c r="KMW33" s="93"/>
      <c r="KMX33" s="93"/>
      <c r="KMY33" s="93"/>
      <c r="KMZ33" s="93"/>
      <c r="KNA33" s="93"/>
      <c r="KNB33" s="93"/>
      <c r="KNC33" s="93"/>
      <c r="KND33" s="93"/>
      <c r="KNE33" s="93"/>
      <c r="KNF33" s="93"/>
      <c r="KNG33" s="93"/>
      <c r="KNH33" s="93"/>
      <c r="KNI33" s="93"/>
      <c r="KNJ33" s="93"/>
      <c r="KNK33" s="93"/>
      <c r="KNL33" s="93"/>
      <c r="KNM33" s="93"/>
      <c r="KNN33" s="93"/>
      <c r="KNO33" s="93"/>
      <c r="KNP33" s="93"/>
      <c r="KNQ33" s="93"/>
      <c r="KNR33" s="93"/>
      <c r="KNS33" s="93"/>
      <c r="KNT33" s="93"/>
      <c r="KNU33" s="93"/>
      <c r="KNV33" s="93"/>
      <c r="KNW33" s="93"/>
      <c r="KNX33" s="93"/>
      <c r="KNY33" s="93"/>
      <c r="KNZ33" s="93"/>
      <c r="KOA33" s="93"/>
      <c r="KOB33" s="93"/>
      <c r="KOC33" s="93"/>
      <c r="KOD33" s="93"/>
      <c r="KOE33" s="93"/>
      <c r="KOF33" s="93"/>
      <c r="KOG33" s="93"/>
      <c r="KOH33" s="93"/>
      <c r="KOI33" s="93"/>
      <c r="KOJ33" s="93"/>
      <c r="KOK33" s="93"/>
      <c r="KOL33" s="93"/>
      <c r="KOM33" s="93"/>
      <c r="KON33" s="93"/>
      <c r="KOO33" s="93"/>
      <c r="KOP33" s="93"/>
      <c r="KOQ33" s="93"/>
      <c r="KOR33" s="93"/>
      <c r="KOS33" s="93"/>
      <c r="KOT33" s="93"/>
      <c r="KOU33" s="93"/>
      <c r="KOV33" s="93"/>
      <c r="KOW33" s="93"/>
      <c r="KOX33" s="93"/>
      <c r="KOY33" s="93"/>
      <c r="KOZ33" s="93"/>
      <c r="KPA33" s="93"/>
      <c r="KPB33" s="93"/>
      <c r="KPC33" s="93"/>
      <c r="KPD33" s="93"/>
      <c r="KPE33" s="93"/>
      <c r="KPF33" s="93"/>
      <c r="KPG33" s="93"/>
      <c r="KPH33" s="93"/>
      <c r="KPI33" s="93"/>
      <c r="KPJ33" s="93"/>
      <c r="KPK33" s="93"/>
      <c r="KPL33" s="93"/>
      <c r="KPM33" s="93"/>
      <c r="KPN33" s="93"/>
      <c r="KPO33" s="93"/>
      <c r="KPP33" s="93"/>
      <c r="KPQ33" s="93"/>
      <c r="KPR33" s="93"/>
      <c r="KPS33" s="93"/>
      <c r="KPT33" s="93"/>
      <c r="KPU33" s="93"/>
      <c r="KPV33" s="93"/>
      <c r="KPW33" s="93"/>
      <c r="KPX33" s="93"/>
      <c r="KPY33" s="93"/>
      <c r="KPZ33" s="93"/>
      <c r="KQA33" s="93"/>
      <c r="KQB33" s="93"/>
      <c r="KQC33" s="93"/>
      <c r="KQD33" s="93"/>
      <c r="KQE33" s="93"/>
      <c r="KQF33" s="93"/>
      <c r="KQG33" s="93"/>
      <c r="KQH33" s="93"/>
      <c r="KQI33" s="93"/>
      <c r="KQJ33" s="93"/>
      <c r="KQK33" s="93"/>
      <c r="KQL33" s="93"/>
      <c r="KQM33" s="93"/>
      <c r="KQN33" s="93"/>
      <c r="KQO33" s="93"/>
      <c r="KQP33" s="93"/>
      <c r="KQQ33" s="93"/>
      <c r="KQR33" s="93"/>
      <c r="KQS33" s="93"/>
      <c r="KQT33" s="93"/>
      <c r="KQU33" s="93"/>
      <c r="KQV33" s="93"/>
      <c r="KQW33" s="93"/>
      <c r="KQX33" s="93"/>
      <c r="KQY33" s="93"/>
      <c r="KQZ33" s="93"/>
      <c r="KRA33" s="93"/>
      <c r="KRB33" s="93"/>
      <c r="KRC33" s="93"/>
      <c r="KRD33" s="93"/>
      <c r="KRE33" s="93"/>
      <c r="KRF33" s="93"/>
      <c r="KRG33" s="93"/>
      <c r="KRH33" s="93"/>
      <c r="KRI33" s="93"/>
      <c r="KRJ33" s="93"/>
      <c r="KRK33" s="93"/>
      <c r="KRL33" s="93"/>
      <c r="KRM33" s="93"/>
      <c r="KRN33" s="93"/>
      <c r="KRO33" s="93"/>
      <c r="KRP33" s="93"/>
      <c r="KRQ33" s="93"/>
      <c r="KRR33" s="93"/>
      <c r="KRS33" s="93"/>
      <c r="KRT33" s="93"/>
      <c r="KRU33" s="93"/>
      <c r="KRV33" s="93"/>
      <c r="KRW33" s="93"/>
      <c r="KRX33" s="93"/>
      <c r="KRY33" s="93"/>
      <c r="KRZ33" s="93"/>
      <c r="KSA33" s="93"/>
      <c r="KSB33" s="93"/>
      <c r="KSC33" s="93"/>
      <c r="KSD33" s="93"/>
      <c r="KSE33" s="93"/>
      <c r="KSF33" s="93"/>
      <c r="KSG33" s="93"/>
      <c r="KSH33" s="93"/>
      <c r="KSI33" s="93"/>
      <c r="KSJ33" s="93"/>
      <c r="KSK33" s="93"/>
      <c r="KSL33" s="93"/>
      <c r="KSM33" s="93"/>
      <c r="KSN33" s="93"/>
      <c r="KSO33" s="93"/>
      <c r="KSP33" s="93"/>
      <c r="KSQ33" s="93"/>
      <c r="KSR33" s="93"/>
      <c r="KSS33" s="93"/>
      <c r="KST33" s="93"/>
      <c r="KSU33" s="93"/>
      <c r="KSV33" s="93"/>
      <c r="KSW33" s="93"/>
      <c r="KSX33" s="93"/>
      <c r="KSY33" s="93"/>
      <c r="KSZ33" s="93"/>
      <c r="KTA33" s="93"/>
      <c r="KTB33" s="93"/>
      <c r="KTC33" s="93"/>
      <c r="KTD33" s="93"/>
      <c r="KTE33" s="93"/>
      <c r="KTF33" s="93"/>
      <c r="KTG33" s="93"/>
      <c r="KTH33" s="93"/>
      <c r="KTI33" s="93"/>
      <c r="KTJ33" s="93"/>
      <c r="KTK33" s="93"/>
      <c r="KTL33" s="93"/>
      <c r="KTM33" s="93"/>
      <c r="KTN33" s="93"/>
      <c r="KTO33" s="93"/>
      <c r="KTP33" s="93"/>
      <c r="KTQ33" s="93"/>
      <c r="KTR33" s="93"/>
      <c r="KTS33" s="93"/>
      <c r="KTT33" s="93"/>
      <c r="KTU33" s="93"/>
      <c r="KTV33" s="93"/>
      <c r="KTW33" s="93"/>
      <c r="KTX33" s="93"/>
      <c r="KTY33" s="93"/>
      <c r="KTZ33" s="93"/>
      <c r="KUA33" s="93"/>
      <c r="KUB33" s="93"/>
      <c r="KUC33" s="93"/>
      <c r="KUD33" s="93"/>
      <c r="KUE33" s="93"/>
      <c r="KUF33" s="93"/>
      <c r="KUG33" s="93"/>
      <c r="KUH33" s="93"/>
      <c r="KUI33" s="93"/>
      <c r="KUJ33" s="93"/>
      <c r="KUK33" s="93"/>
      <c r="KUL33" s="93"/>
      <c r="KUM33" s="93"/>
      <c r="KUN33" s="93"/>
      <c r="KUO33" s="93"/>
      <c r="KUP33" s="93"/>
      <c r="KUQ33" s="93"/>
      <c r="KUR33" s="93"/>
      <c r="KUS33" s="93"/>
      <c r="KUT33" s="93"/>
      <c r="KUU33" s="93"/>
      <c r="KUV33" s="93"/>
      <c r="KUW33" s="93"/>
      <c r="KUX33" s="93"/>
      <c r="KUY33" s="93"/>
      <c r="KUZ33" s="93"/>
      <c r="KVA33" s="93"/>
      <c r="KVB33" s="93"/>
      <c r="KVC33" s="93"/>
      <c r="KVD33" s="93"/>
      <c r="KVE33" s="93"/>
      <c r="KVF33" s="93"/>
      <c r="KVG33" s="93"/>
      <c r="KVH33" s="93"/>
      <c r="KVI33" s="93"/>
      <c r="KVJ33" s="93"/>
      <c r="KVK33" s="93"/>
      <c r="KVL33" s="93"/>
      <c r="KVM33" s="93"/>
      <c r="KVN33" s="93"/>
      <c r="KVO33" s="93"/>
      <c r="KVP33" s="93"/>
      <c r="KVQ33" s="93"/>
      <c r="KVR33" s="93"/>
      <c r="KVS33" s="93"/>
      <c r="KVT33" s="93"/>
      <c r="KVU33" s="93"/>
      <c r="KVV33" s="93"/>
      <c r="KVW33" s="93"/>
      <c r="KVX33" s="93"/>
      <c r="KVY33" s="93"/>
      <c r="KVZ33" s="93"/>
      <c r="KWA33" s="93"/>
      <c r="KWB33" s="93"/>
      <c r="KWC33" s="93"/>
      <c r="KWD33" s="93"/>
      <c r="KWE33" s="93"/>
      <c r="KWF33" s="93"/>
      <c r="KWG33" s="93"/>
      <c r="KWH33" s="93"/>
      <c r="KWI33" s="93"/>
      <c r="KWJ33" s="93"/>
      <c r="KWK33" s="93"/>
      <c r="KWL33" s="93"/>
      <c r="KWM33" s="93"/>
      <c r="KWN33" s="93"/>
      <c r="KWO33" s="93"/>
      <c r="KWP33" s="93"/>
      <c r="KWQ33" s="93"/>
      <c r="KWR33" s="93"/>
      <c r="KWS33" s="93"/>
      <c r="KWT33" s="93"/>
      <c r="KWU33" s="93"/>
      <c r="KWV33" s="93"/>
      <c r="KWW33" s="93"/>
      <c r="KWX33" s="93"/>
      <c r="KWY33" s="93"/>
      <c r="KWZ33" s="93"/>
      <c r="KXA33" s="93"/>
      <c r="KXB33" s="93"/>
      <c r="KXC33" s="93"/>
      <c r="KXD33" s="93"/>
      <c r="KXE33" s="93"/>
      <c r="KXF33" s="93"/>
      <c r="KXG33" s="93"/>
      <c r="KXH33" s="93"/>
      <c r="KXI33" s="93"/>
      <c r="KXJ33" s="93"/>
      <c r="KXK33" s="93"/>
      <c r="KXL33" s="93"/>
      <c r="KXM33" s="93"/>
      <c r="KXN33" s="93"/>
      <c r="KXO33" s="93"/>
      <c r="KXP33" s="93"/>
      <c r="KXQ33" s="93"/>
      <c r="KXR33" s="93"/>
      <c r="KXS33" s="93"/>
      <c r="KXT33" s="93"/>
      <c r="KXU33" s="93"/>
      <c r="KXV33" s="93"/>
      <c r="KXW33" s="93"/>
      <c r="KXX33" s="93"/>
      <c r="KXY33" s="93"/>
      <c r="KXZ33" s="93"/>
      <c r="KYA33" s="93"/>
      <c r="KYB33" s="93"/>
      <c r="KYC33" s="93"/>
      <c r="KYD33" s="93"/>
      <c r="KYE33" s="93"/>
      <c r="KYF33" s="93"/>
      <c r="KYG33" s="93"/>
      <c r="KYH33" s="93"/>
      <c r="KYI33" s="93"/>
      <c r="KYJ33" s="93"/>
      <c r="KYK33" s="93"/>
      <c r="KYL33" s="93"/>
      <c r="KYM33" s="93"/>
      <c r="KYN33" s="93"/>
      <c r="KYO33" s="93"/>
      <c r="KYP33" s="93"/>
      <c r="KYQ33" s="93"/>
      <c r="KYR33" s="93"/>
      <c r="KYS33" s="93"/>
      <c r="KYT33" s="93"/>
      <c r="KYU33" s="93"/>
      <c r="KYV33" s="93"/>
      <c r="KYW33" s="93"/>
      <c r="KYX33" s="93"/>
      <c r="KYY33" s="93"/>
      <c r="KYZ33" s="93"/>
      <c r="KZA33" s="93"/>
      <c r="KZB33" s="93"/>
      <c r="KZC33" s="93"/>
      <c r="KZD33" s="93"/>
      <c r="KZE33" s="93"/>
      <c r="KZF33" s="93"/>
      <c r="KZG33" s="93"/>
      <c r="KZH33" s="93"/>
      <c r="KZI33" s="93"/>
      <c r="KZJ33" s="93"/>
      <c r="KZK33" s="93"/>
      <c r="KZL33" s="93"/>
      <c r="KZM33" s="93"/>
      <c r="KZN33" s="93"/>
      <c r="KZO33" s="93"/>
      <c r="KZP33" s="93"/>
      <c r="KZQ33" s="93"/>
      <c r="KZR33" s="93"/>
      <c r="KZS33" s="93"/>
      <c r="KZT33" s="93"/>
      <c r="KZU33" s="93"/>
      <c r="KZV33" s="93"/>
      <c r="KZW33" s="93"/>
      <c r="KZX33" s="93"/>
      <c r="KZY33" s="93"/>
      <c r="KZZ33" s="93"/>
      <c r="LAA33" s="93"/>
      <c r="LAB33" s="93"/>
      <c r="LAC33" s="93"/>
      <c r="LAD33" s="93"/>
      <c r="LAE33" s="93"/>
      <c r="LAF33" s="93"/>
      <c r="LAG33" s="93"/>
      <c r="LAH33" s="93"/>
      <c r="LAI33" s="93"/>
      <c r="LAJ33" s="93"/>
      <c r="LAK33" s="93"/>
      <c r="LAL33" s="93"/>
      <c r="LAM33" s="93"/>
      <c r="LAN33" s="93"/>
      <c r="LAO33" s="93"/>
      <c r="LAP33" s="93"/>
      <c r="LAQ33" s="93"/>
      <c r="LAR33" s="93"/>
      <c r="LAS33" s="93"/>
      <c r="LAT33" s="93"/>
      <c r="LAU33" s="93"/>
      <c r="LAV33" s="93"/>
      <c r="LAW33" s="93"/>
      <c r="LAX33" s="93"/>
      <c r="LAY33" s="93"/>
      <c r="LAZ33" s="93"/>
      <c r="LBA33" s="93"/>
      <c r="LBB33" s="93"/>
      <c r="LBC33" s="93"/>
      <c r="LBD33" s="93"/>
      <c r="LBE33" s="93"/>
      <c r="LBF33" s="93"/>
      <c r="LBG33" s="93"/>
      <c r="LBH33" s="93"/>
      <c r="LBI33" s="93"/>
      <c r="LBJ33" s="93"/>
      <c r="LBK33" s="93"/>
      <c r="LBL33" s="93"/>
      <c r="LBM33" s="93"/>
      <c r="LBN33" s="93"/>
      <c r="LBO33" s="93"/>
      <c r="LBP33" s="93"/>
      <c r="LBQ33" s="93"/>
      <c r="LBR33" s="93"/>
      <c r="LBS33" s="93"/>
      <c r="LBT33" s="93"/>
      <c r="LBU33" s="93"/>
      <c r="LBV33" s="93"/>
      <c r="LBW33" s="93"/>
      <c r="LBX33" s="93"/>
      <c r="LBY33" s="93"/>
      <c r="LBZ33" s="93"/>
      <c r="LCA33" s="93"/>
      <c r="LCB33" s="93"/>
      <c r="LCC33" s="93"/>
      <c r="LCD33" s="93"/>
      <c r="LCE33" s="93"/>
      <c r="LCF33" s="93"/>
      <c r="LCG33" s="93"/>
      <c r="LCH33" s="93"/>
      <c r="LCI33" s="93"/>
      <c r="LCJ33" s="93"/>
      <c r="LCK33" s="93"/>
      <c r="LCL33" s="93"/>
      <c r="LCM33" s="93"/>
      <c r="LCN33" s="93"/>
      <c r="LCO33" s="93"/>
      <c r="LCP33" s="93"/>
      <c r="LCQ33" s="93"/>
      <c r="LCR33" s="93"/>
      <c r="LCS33" s="93"/>
      <c r="LCT33" s="93"/>
      <c r="LCU33" s="93"/>
      <c r="LCV33" s="93"/>
      <c r="LCW33" s="93"/>
      <c r="LCX33" s="93"/>
      <c r="LCY33" s="93"/>
      <c r="LCZ33" s="93"/>
      <c r="LDA33" s="93"/>
      <c r="LDB33" s="93"/>
      <c r="LDC33" s="93"/>
      <c r="LDD33" s="93"/>
      <c r="LDE33" s="93"/>
      <c r="LDF33" s="93"/>
      <c r="LDG33" s="93"/>
      <c r="LDH33" s="93"/>
      <c r="LDI33" s="93"/>
      <c r="LDJ33" s="93"/>
      <c r="LDK33" s="93"/>
      <c r="LDL33" s="93"/>
      <c r="LDM33" s="93"/>
      <c r="LDN33" s="93"/>
      <c r="LDO33" s="93"/>
      <c r="LDP33" s="93"/>
      <c r="LDQ33" s="93"/>
      <c r="LDR33" s="93"/>
      <c r="LDS33" s="93"/>
      <c r="LDT33" s="93"/>
      <c r="LDU33" s="93"/>
      <c r="LDV33" s="93"/>
      <c r="LDW33" s="93"/>
      <c r="LDX33" s="93"/>
      <c r="LDY33" s="93"/>
      <c r="LDZ33" s="93"/>
      <c r="LEA33" s="93"/>
      <c r="LEB33" s="93"/>
      <c r="LEC33" s="93"/>
      <c r="LED33" s="93"/>
      <c r="LEE33" s="93"/>
      <c r="LEF33" s="93"/>
      <c r="LEG33" s="93"/>
      <c r="LEH33" s="93"/>
      <c r="LEI33" s="93"/>
      <c r="LEJ33" s="93"/>
      <c r="LEK33" s="93"/>
      <c r="LEL33" s="93"/>
      <c r="LEM33" s="93"/>
      <c r="LEN33" s="93"/>
      <c r="LEO33" s="93"/>
      <c r="LEP33" s="93"/>
      <c r="LEQ33" s="93"/>
      <c r="LER33" s="93"/>
      <c r="LES33" s="93"/>
      <c r="LET33" s="93"/>
      <c r="LEU33" s="93"/>
      <c r="LEV33" s="93"/>
      <c r="LEW33" s="93"/>
      <c r="LEX33" s="93"/>
      <c r="LEY33" s="93"/>
      <c r="LEZ33" s="93"/>
      <c r="LFA33" s="93"/>
      <c r="LFB33" s="93"/>
      <c r="LFC33" s="93"/>
      <c r="LFD33" s="93"/>
      <c r="LFE33" s="93"/>
      <c r="LFF33" s="93"/>
      <c r="LFG33" s="93"/>
      <c r="LFH33" s="93"/>
      <c r="LFI33" s="93"/>
      <c r="LFJ33" s="93"/>
      <c r="LFK33" s="93"/>
      <c r="LFL33" s="93"/>
      <c r="LFM33" s="93"/>
      <c r="LFN33" s="93"/>
      <c r="LFO33" s="93"/>
      <c r="LFP33" s="93"/>
      <c r="LFQ33" s="93"/>
      <c r="LFR33" s="93"/>
      <c r="LFS33" s="93"/>
      <c r="LFT33" s="93"/>
      <c r="LFU33" s="93"/>
      <c r="LFV33" s="93"/>
      <c r="LFW33" s="93"/>
      <c r="LFX33" s="93"/>
      <c r="LFY33" s="93"/>
      <c r="LFZ33" s="93"/>
      <c r="LGA33" s="93"/>
      <c r="LGB33" s="93"/>
      <c r="LGC33" s="93"/>
      <c r="LGD33" s="93"/>
      <c r="LGE33" s="93"/>
      <c r="LGF33" s="93"/>
      <c r="LGG33" s="93"/>
      <c r="LGH33" s="93"/>
      <c r="LGI33" s="93"/>
      <c r="LGJ33" s="93"/>
      <c r="LGK33" s="93"/>
      <c r="LGL33" s="93"/>
      <c r="LGM33" s="93"/>
      <c r="LGN33" s="93"/>
      <c r="LGO33" s="93"/>
      <c r="LGP33" s="93"/>
      <c r="LGQ33" s="93"/>
      <c r="LGR33" s="93"/>
      <c r="LGS33" s="93"/>
      <c r="LGT33" s="93"/>
      <c r="LGU33" s="93"/>
      <c r="LGV33" s="93"/>
      <c r="LGW33" s="93"/>
      <c r="LGX33" s="93"/>
      <c r="LGY33" s="93"/>
      <c r="LGZ33" s="93"/>
      <c r="LHA33" s="93"/>
      <c r="LHB33" s="93"/>
      <c r="LHC33" s="93"/>
      <c r="LHD33" s="93"/>
      <c r="LHE33" s="93"/>
      <c r="LHF33" s="93"/>
      <c r="LHG33" s="93"/>
      <c r="LHH33" s="93"/>
      <c r="LHI33" s="93"/>
      <c r="LHJ33" s="93"/>
      <c r="LHK33" s="93"/>
      <c r="LHL33" s="93"/>
      <c r="LHM33" s="93"/>
      <c r="LHN33" s="93"/>
      <c r="LHO33" s="93"/>
      <c r="LHP33" s="93"/>
      <c r="LHQ33" s="93"/>
      <c r="LHR33" s="93"/>
      <c r="LHS33" s="93"/>
      <c r="LHT33" s="93"/>
      <c r="LHU33" s="93"/>
      <c r="LHV33" s="93"/>
      <c r="LHW33" s="93"/>
      <c r="LHX33" s="93"/>
      <c r="LHY33" s="93"/>
      <c r="LHZ33" s="93"/>
      <c r="LIA33" s="93"/>
      <c r="LIB33" s="93"/>
      <c r="LIC33" s="93"/>
      <c r="LID33" s="93"/>
      <c r="LIE33" s="93"/>
      <c r="LIF33" s="93"/>
      <c r="LIG33" s="93"/>
      <c r="LIH33" s="93"/>
      <c r="LII33" s="93"/>
      <c r="LIJ33" s="93"/>
      <c r="LIK33" s="93"/>
      <c r="LIL33" s="93"/>
      <c r="LIM33" s="93"/>
      <c r="LIN33" s="93"/>
      <c r="LIO33" s="93"/>
      <c r="LIP33" s="93"/>
      <c r="LIQ33" s="93"/>
      <c r="LIR33" s="93"/>
      <c r="LIS33" s="93"/>
      <c r="LIT33" s="93"/>
      <c r="LIU33" s="93"/>
      <c r="LIV33" s="93"/>
      <c r="LIW33" s="93"/>
      <c r="LIX33" s="93"/>
      <c r="LIY33" s="93"/>
      <c r="LIZ33" s="93"/>
      <c r="LJA33" s="93"/>
      <c r="LJB33" s="93"/>
      <c r="LJC33" s="93"/>
      <c r="LJD33" s="93"/>
      <c r="LJE33" s="93"/>
      <c r="LJF33" s="93"/>
      <c r="LJG33" s="93"/>
      <c r="LJH33" s="93"/>
      <c r="LJI33" s="93"/>
      <c r="LJJ33" s="93"/>
      <c r="LJK33" s="93"/>
      <c r="LJL33" s="93"/>
      <c r="LJM33" s="93"/>
      <c r="LJN33" s="93"/>
      <c r="LJO33" s="93"/>
      <c r="LJP33" s="93"/>
      <c r="LJQ33" s="93"/>
      <c r="LJR33" s="93"/>
      <c r="LJS33" s="93"/>
      <c r="LJT33" s="93"/>
      <c r="LJU33" s="93"/>
      <c r="LJV33" s="93"/>
      <c r="LJW33" s="93"/>
      <c r="LJX33" s="93"/>
      <c r="LJY33" s="93"/>
      <c r="LJZ33" s="93"/>
      <c r="LKA33" s="93"/>
      <c r="LKB33" s="93"/>
      <c r="LKC33" s="93"/>
      <c r="LKD33" s="93"/>
      <c r="LKE33" s="93"/>
      <c r="LKF33" s="93"/>
      <c r="LKG33" s="93"/>
      <c r="LKH33" s="93"/>
      <c r="LKI33" s="93"/>
      <c r="LKJ33" s="93"/>
      <c r="LKK33" s="93"/>
      <c r="LKL33" s="93"/>
      <c r="LKM33" s="93"/>
      <c r="LKN33" s="93"/>
      <c r="LKO33" s="93"/>
      <c r="LKP33" s="93"/>
      <c r="LKQ33" s="93"/>
      <c r="LKR33" s="93"/>
      <c r="LKS33" s="93"/>
      <c r="LKT33" s="93"/>
      <c r="LKU33" s="93"/>
      <c r="LKV33" s="93"/>
      <c r="LKW33" s="93"/>
      <c r="LKX33" s="93"/>
      <c r="LKY33" s="93"/>
      <c r="LKZ33" s="93"/>
      <c r="LLA33" s="93"/>
      <c r="LLB33" s="93"/>
      <c r="LLC33" s="93"/>
      <c r="LLD33" s="93"/>
      <c r="LLE33" s="93"/>
      <c r="LLF33" s="93"/>
      <c r="LLG33" s="93"/>
      <c r="LLH33" s="93"/>
      <c r="LLI33" s="93"/>
      <c r="LLJ33" s="93"/>
      <c r="LLK33" s="93"/>
      <c r="LLL33" s="93"/>
      <c r="LLM33" s="93"/>
      <c r="LLN33" s="93"/>
      <c r="LLO33" s="93"/>
      <c r="LLP33" s="93"/>
      <c r="LLQ33" s="93"/>
      <c r="LLR33" s="93"/>
      <c r="LLS33" s="93"/>
      <c r="LLT33" s="93"/>
      <c r="LLU33" s="93"/>
      <c r="LLV33" s="93"/>
      <c r="LLW33" s="93"/>
      <c r="LLX33" s="93"/>
      <c r="LLY33" s="93"/>
      <c r="LLZ33" s="93"/>
      <c r="LMA33" s="93"/>
      <c r="LMB33" s="93"/>
      <c r="LMC33" s="93"/>
      <c r="LMD33" s="93"/>
      <c r="LME33" s="93"/>
      <c r="LMF33" s="93"/>
      <c r="LMG33" s="93"/>
      <c r="LMH33" s="93"/>
      <c r="LMI33" s="93"/>
      <c r="LMJ33" s="93"/>
      <c r="LMK33" s="93"/>
      <c r="LML33" s="93"/>
      <c r="LMM33" s="93"/>
      <c r="LMN33" s="93"/>
      <c r="LMO33" s="93"/>
      <c r="LMP33" s="93"/>
      <c r="LMQ33" s="93"/>
      <c r="LMR33" s="93"/>
      <c r="LMS33" s="93"/>
      <c r="LMT33" s="93"/>
      <c r="LMU33" s="93"/>
      <c r="LMV33" s="93"/>
      <c r="LMW33" s="93"/>
      <c r="LMX33" s="93"/>
      <c r="LMY33" s="93"/>
      <c r="LMZ33" s="93"/>
      <c r="LNA33" s="93"/>
      <c r="LNB33" s="93"/>
      <c r="LNC33" s="93"/>
      <c r="LND33" s="93"/>
      <c r="LNE33" s="93"/>
      <c r="LNF33" s="93"/>
      <c r="LNG33" s="93"/>
      <c r="LNH33" s="93"/>
      <c r="LNI33" s="93"/>
      <c r="LNJ33" s="93"/>
      <c r="LNK33" s="93"/>
      <c r="LNL33" s="93"/>
      <c r="LNM33" s="93"/>
      <c r="LNN33" s="93"/>
      <c r="LNO33" s="93"/>
      <c r="LNP33" s="93"/>
      <c r="LNQ33" s="93"/>
      <c r="LNR33" s="93"/>
      <c r="LNS33" s="93"/>
      <c r="LNT33" s="93"/>
      <c r="LNU33" s="93"/>
      <c r="LNV33" s="93"/>
      <c r="LNW33" s="93"/>
      <c r="LNX33" s="93"/>
      <c r="LNY33" s="93"/>
      <c r="LNZ33" s="93"/>
      <c r="LOA33" s="93"/>
      <c r="LOB33" s="93"/>
      <c r="LOC33" s="93"/>
      <c r="LOD33" s="93"/>
      <c r="LOE33" s="93"/>
      <c r="LOF33" s="93"/>
      <c r="LOG33" s="93"/>
      <c r="LOH33" s="93"/>
      <c r="LOI33" s="93"/>
      <c r="LOJ33" s="93"/>
      <c r="LOK33" s="93"/>
      <c r="LOL33" s="93"/>
      <c r="LOM33" s="93"/>
      <c r="LON33" s="93"/>
      <c r="LOO33" s="93"/>
      <c r="LOP33" s="93"/>
      <c r="LOQ33" s="93"/>
      <c r="LOR33" s="93"/>
      <c r="LOS33" s="93"/>
      <c r="LOT33" s="93"/>
      <c r="LOU33" s="93"/>
      <c r="LOV33" s="93"/>
      <c r="LOW33" s="93"/>
      <c r="LOX33" s="93"/>
      <c r="LOY33" s="93"/>
      <c r="LOZ33" s="93"/>
      <c r="LPA33" s="93"/>
      <c r="LPB33" s="93"/>
      <c r="LPC33" s="93"/>
      <c r="LPD33" s="93"/>
      <c r="LPE33" s="93"/>
      <c r="LPF33" s="93"/>
      <c r="LPG33" s="93"/>
      <c r="LPH33" s="93"/>
      <c r="LPI33" s="93"/>
      <c r="LPJ33" s="93"/>
      <c r="LPK33" s="93"/>
      <c r="LPL33" s="93"/>
      <c r="LPM33" s="93"/>
      <c r="LPN33" s="93"/>
      <c r="LPO33" s="93"/>
      <c r="LPP33" s="93"/>
      <c r="LPQ33" s="93"/>
      <c r="LPR33" s="93"/>
      <c r="LPS33" s="93"/>
      <c r="LPT33" s="93"/>
      <c r="LPU33" s="93"/>
      <c r="LPV33" s="93"/>
      <c r="LPW33" s="93"/>
      <c r="LPX33" s="93"/>
      <c r="LPY33" s="93"/>
      <c r="LPZ33" s="93"/>
      <c r="LQA33" s="93"/>
      <c r="LQB33" s="93"/>
      <c r="LQC33" s="93"/>
      <c r="LQD33" s="93"/>
      <c r="LQE33" s="93"/>
      <c r="LQF33" s="93"/>
      <c r="LQG33" s="93"/>
      <c r="LQH33" s="93"/>
      <c r="LQI33" s="93"/>
      <c r="LQJ33" s="93"/>
      <c r="LQK33" s="93"/>
      <c r="LQL33" s="93"/>
      <c r="LQM33" s="93"/>
      <c r="LQN33" s="93"/>
      <c r="LQO33" s="93"/>
      <c r="LQP33" s="93"/>
      <c r="LQQ33" s="93"/>
      <c r="LQR33" s="93"/>
      <c r="LQS33" s="93"/>
      <c r="LQT33" s="93"/>
      <c r="LQU33" s="93"/>
      <c r="LQV33" s="93"/>
      <c r="LQW33" s="93"/>
      <c r="LQX33" s="93"/>
      <c r="LQY33" s="93"/>
      <c r="LQZ33" s="93"/>
      <c r="LRA33" s="93"/>
      <c r="LRB33" s="93"/>
      <c r="LRC33" s="93"/>
      <c r="LRD33" s="93"/>
      <c r="LRE33" s="93"/>
      <c r="LRF33" s="93"/>
      <c r="LRG33" s="93"/>
      <c r="LRH33" s="93"/>
      <c r="LRI33" s="93"/>
      <c r="LRJ33" s="93"/>
      <c r="LRK33" s="93"/>
      <c r="LRL33" s="93"/>
      <c r="LRM33" s="93"/>
      <c r="LRN33" s="93"/>
      <c r="LRO33" s="93"/>
      <c r="LRP33" s="93"/>
      <c r="LRQ33" s="93"/>
      <c r="LRR33" s="93"/>
      <c r="LRS33" s="93"/>
      <c r="LRT33" s="93"/>
      <c r="LRU33" s="93"/>
      <c r="LRV33" s="93"/>
      <c r="LRW33" s="93"/>
      <c r="LRX33" s="93"/>
      <c r="LRY33" s="93"/>
      <c r="LRZ33" s="93"/>
      <c r="LSA33" s="93"/>
      <c r="LSB33" s="93"/>
      <c r="LSC33" s="93"/>
      <c r="LSD33" s="93"/>
      <c r="LSE33" s="93"/>
      <c r="LSF33" s="93"/>
      <c r="LSG33" s="93"/>
      <c r="LSH33" s="93"/>
      <c r="LSI33" s="93"/>
      <c r="LSJ33" s="93"/>
      <c r="LSK33" s="93"/>
      <c r="LSL33" s="93"/>
      <c r="LSM33" s="93"/>
      <c r="LSN33" s="93"/>
      <c r="LSO33" s="93"/>
      <c r="LSP33" s="93"/>
      <c r="LSQ33" s="93"/>
      <c r="LSR33" s="93"/>
      <c r="LSS33" s="93"/>
      <c r="LST33" s="93"/>
      <c r="LSU33" s="93"/>
      <c r="LSV33" s="93"/>
      <c r="LSW33" s="93"/>
      <c r="LSX33" s="93"/>
      <c r="LSY33" s="93"/>
      <c r="LSZ33" s="93"/>
      <c r="LTA33" s="93"/>
      <c r="LTB33" s="93"/>
      <c r="LTC33" s="93"/>
      <c r="LTD33" s="93"/>
      <c r="LTE33" s="93"/>
      <c r="LTF33" s="93"/>
      <c r="LTG33" s="93"/>
      <c r="LTH33" s="93"/>
      <c r="LTI33" s="93"/>
      <c r="LTJ33" s="93"/>
      <c r="LTK33" s="93"/>
      <c r="LTL33" s="93"/>
      <c r="LTM33" s="93"/>
      <c r="LTN33" s="93"/>
      <c r="LTO33" s="93"/>
      <c r="LTP33" s="93"/>
      <c r="LTQ33" s="93"/>
      <c r="LTR33" s="93"/>
      <c r="LTS33" s="93"/>
      <c r="LTT33" s="93"/>
      <c r="LTU33" s="93"/>
      <c r="LTV33" s="93"/>
      <c r="LTW33" s="93"/>
      <c r="LTX33" s="93"/>
      <c r="LTY33" s="93"/>
      <c r="LTZ33" s="93"/>
      <c r="LUA33" s="93"/>
      <c r="LUB33" s="93"/>
      <c r="LUC33" s="93"/>
      <c r="LUD33" s="93"/>
      <c r="LUE33" s="93"/>
      <c r="LUF33" s="93"/>
      <c r="LUG33" s="93"/>
      <c r="LUH33" s="93"/>
      <c r="LUI33" s="93"/>
      <c r="LUJ33" s="93"/>
      <c r="LUK33" s="93"/>
      <c r="LUL33" s="93"/>
      <c r="LUM33" s="93"/>
      <c r="LUN33" s="93"/>
      <c r="LUO33" s="93"/>
      <c r="LUP33" s="93"/>
      <c r="LUQ33" s="93"/>
      <c r="LUR33" s="93"/>
      <c r="LUS33" s="93"/>
      <c r="LUT33" s="93"/>
      <c r="LUU33" s="93"/>
      <c r="LUV33" s="93"/>
      <c r="LUW33" s="93"/>
      <c r="LUX33" s="93"/>
      <c r="LUY33" s="93"/>
      <c r="LUZ33" s="93"/>
      <c r="LVA33" s="93"/>
      <c r="LVB33" s="93"/>
      <c r="LVC33" s="93"/>
      <c r="LVD33" s="93"/>
      <c r="LVE33" s="93"/>
      <c r="LVF33" s="93"/>
      <c r="LVG33" s="93"/>
      <c r="LVH33" s="93"/>
      <c r="LVI33" s="93"/>
      <c r="LVJ33" s="93"/>
      <c r="LVK33" s="93"/>
      <c r="LVL33" s="93"/>
      <c r="LVM33" s="93"/>
      <c r="LVN33" s="93"/>
      <c r="LVO33" s="93"/>
      <c r="LVP33" s="93"/>
      <c r="LVQ33" s="93"/>
      <c r="LVR33" s="93"/>
      <c r="LVS33" s="93"/>
      <c r="LVT33" s="93"/>
      <c r="LVU33" s="93"/>
      <c r="LVV33" s="93"/>
      <c r="LVW33" s="93"/>
      <c r="LVX33" s="93"/>
      <c r="LVY33" s="93"/>
      <c r="LVZ33" s="93"/>
      <c r="LWA33" s="93"/>
      <c r="LWB33" s="93"/>
      <c r="LWC33" s="93"/>
      <c r="LWD33" s="93"/>
      <c r="LWE33" s="93"/>
      <c r="LWF33" s="93"/>
      <c r="LWG33" s="93"/>
      <c r="LWH33" s="93"/>
      <c r="LWI33" s="93"/>
      <c r="LWJ33" s="93"/>
      <c r="LWK33" s="93"/>
      <c r="LWL33" s="93"/>
      <c r="LWM33" s="93"/>
      <c r="LWN33" s="93"/>
      <c r="LWO33" s="93"/>
      <c r="LWP33" s="93"/>
      <c r="LWQ33" s="93"/>
      <c r="LWR33" s="93"/>
      <c r="LWS33" s="93"/>
      <c r="LWT33" s="93"/>
      <c r="LWU33" s="93"/>
      <c r="LWV33" s="93"/>
      <c r="LWW33" s="93"/>
      <c r="LWX33" s="93"/>
      <c r="LWY33" s="93"/>
      <c r="LWZ33" s="93"/>
      <c r="LXA33" s="93"/>
      <c r="LXB33" s="93"/>
      <c r="LXC33" s="93"/>
      <c r="LXD33" s="93"/>
      <c r="LXE33" s="93"/>
      <c r="LXF33" s="93"/>
      <c r="LXG33" s="93"/>
      <c r="LXH33" s="93"/>
      <c r="LXI33" s="93"/>
      <c r="LXJ33" s="93"/>
      <c r="LXK33" s="93"/>
      <c r="LXL33" s="93"/>
      <c r="LXM33" s="93"/>
      <c r="LXN33" s="93"/>
      <c r="LXO33" s="93"/>
      <c r="LXP33" s="93"/>
      <c r="LXQ33" s="93"/>
      <c r="LXR33" s="93"/>
      <c r="LXS33" s="93"/>
      <c r="LXT33" s="93"/>
      <c r="LXU33" s="93"/>
      <c r="LXV33" s="93"/>
      <c r="LXW33" s="93"/>
      <c r="LXX33" s="93"/>
      <c r="LXY33" s="93"/>
      <c r="LXZ33" s="93"/>
      <c r="LYA33" s="93"/>
      <c r="LYB33" s="93"/>
      <c r="LYC33" s="93"/>
      <c r="LYD33" s="93"/>
      <c r="LYE33" s="93"/>
      <c r="LYF33" s="93"/>
      <c r="LYG33" s="93"/>
      <c r="LYH33" s="93"/>
      <c r="LYI33" s="93"/>
      <c r="LYJ33" s="93"/>
      <c r="LYK33" s="93"/>
      <c r="LYL33" s="93"/>
      <c r="LYM33" s="93"/>
      <c r="LYN33" s="93"/>
      <c r="LYO33" s="93"/>
      <c r="LYP33" s="93"/>
      <c r="LYQ33" s="93"/>
      <c r="LYR33" s="93"/>
      <c r="LYS33" s="93"/>
      <c r="LYT33" s="93"/>
      <c r="LYU33" s="93"/>
      <c r="LYV33" s="93"/>
      <c r="LYW33" s="93"/>
      <c r="LYX33" s="93"/>
      <c r="LYY33" s="93"/>
      <c r="LYZ33" s="93"/>
      <c r="LZA33" s="93"/>
      <c r="LZB33" s="93"/>
      <c r="LZC33" s="93"/>
      <c r="LZD33" s="93"/>
      <c r="LZE33" s="93"/>
      <c r="LZF33" s="93"/>
      <c r="LZG33" s="93"/>
      <c r="LZH33" s="93"/>
      <c r="LZI33" s="93"/>
      <c r="LZJ33" s="93"/>
      <c r="LZK33" s="93"/>
      <c r="LZL33" s="93"/>
      <c r="LZM33" s="93"/>
      <c r="LZN33" s="93"/>
      <c r="LZO33" s="93"/>
      <c r="LZP33" s="93"/>
      <c r="LZQ33" s="93"/>
      <c r="LZR33" s="93"/>
      <c r="LZS33" s="93"/>
      <c r="LZT33" s="93"/>
      <c r="LZU33" s="93"/>
      <c r="LZV33" s="93"/>
      <c r="LZW33" s="93"/>
      <c r="LZX33" s="93"/>
      <c r="LZY33" s="93"/>
      <c r="LZZ33" s="93"/>
      <c r="MAA33" s="93"/>
      <c r="MAB33" s="93"/>
      <c r="MAC33" s="93"/>
      <c r="MAD33" s="93"/>
      <c r="MAE33" s="93"/>
      <c r="MAF33" s="93"/>
      <c r="MAG33" s="93"/>
      <c r="MAH33" s="93"/>
      <c r="MAI33" s="93"/>
      <c r="MAJ33" s="93"/>
      <c r="MAK33" s="93"/>
      <c r="MAL33" s="93"/>
      <c r="MAM33" s="93"/>
      <c r="MAN33" s="93"/>
      <c r="MAO33" s="93"/>
      <c r="MAP33" s="93"/>
      <c r="MAQ33" s="93"/>
      <c r="MAR33" s="93"/>
      <c r="MAS33" s="93"/>
      <c r="MAT33" s="93"/>
      <c r="MAU33" s="93"/>
      <c r="MAV33" s="93"/>
      <c r="MAW33" s="93"/>
      <c r="MAX33" s="93"/>
      <c r="MAY33" s="93"/>
      <c r="MAZ33" s="93"/>
      <c r="MBA33" s="93"/>
      <c r="MBB33" s="93"/>
      <c r="MBC33" s="93"/>
      <c r="MBD33" s="93"/>
      <c r="MBE33" s="93"/>
      <c r="MBF33" s="93"/>
      <c r="MBG33" s="93"/>
      <c r="MBH33" s="93"/>
      <c r="MBI33" s="93"/>
      <c r="MBJ33" s="93"/>
      <c r="MBK33" s="93"/>
      <c r="MBL33" s="93"/>
      <c r="MBM33" s="93"/>
      <c r="MBN33" s="93"/>
      <c r="MBO33" s="93"/>
      <c r="MBP33" s="93"/>
      <c r="MBQ33" s="93"/>
      <c r="MBR33" s="93"/>
      <c r="MBS33" s="93"/>
      <c r="MBT33" s="93"/>
      <c r="MBU33" s="93"/>
      <c r="MBV33" s="93"/>
      <c r="MBW33" s="93"/>
      <c r="MBX33" s="93"/>
      <c r="MBY33" s="93"/>
      <c r="MBZ33" s="93"/>
      <c r="MCA33" s="93"/>
      <c r="MCB33" s="93"/>
      <c r="MCC33" s="93"/>
      <c r="MCD33" s="93"/>
      <c r="MCE33" s="93"/>
      <c r="MCF33" s="93"/>
      <c r="MCG33" s="93"/>
      <c r="MCH33" s="93"/>
      <c r="MCI33" s="93"/>
      <c r="MCJ33" s="93"/>
      <c r="MCK33" s="93"/>
      <c r="MCL33" s="93"/>
      <c r="MCM33" s="93"/>
      <c r="MCN33" s="93"/>
      <c r="MCO33" s="93"/>
      <c r="MCP33" s="93"/>
      <c r="MCQ33" s="93"/>
      <c r="MCR33" s="93"/>
      <c r="MCS33" s="93"/>
      <c r="MCT33" s="93"/>
      <c r="MCU33" s="93"/>
      <c r="MCV33" s="93"/>
      <c r="MCW33" s="93"/>
      <c r="MCX33" s="93"/>
      <c r="MCY33" s="93"/>
      <c r="MCZ33" s="93"/>
      <c r="MDA33" s="93"/>
      <c r="MDB33" s="93"/>
      <c r="MDC33" s="93"/>
      <c r="MDD33" s="93"/>
      <c r="MDE33" s="93"/>
      <c r="MDF33" s="93"/>
      <c r="MDG33" s="93"/>
      <c r="MDH33" s="93"/>
      <c r="MDI33" s="93"/>
      <c r="MDJ33" s="93"/>
      <c r="MDK33" s="93"/>
      <c r="MDL33" s="93"/>
      <c r="MDM33" s="93"/>
      <c r="MDN33" s="93"/>
      <c r="MDO33" s="93"/>
      <c r="MDP33" s="93"/>
      <c r="MDQ33" s="93"/>
      <c r="MDR33" s="93"/>
      <c r="MDS33" s="93"/>
      <c r="MDT33" s="93"/>
      <c r="MDU33" s="93"/>
      <c r="MDV33" s="93"/>
      <c r="MDW33" s="93"/>
      <c r="MDX33" s="93"/>
      <c r="MDY33" s="93"/>
      <c r="MDZ33" s="93"/>
      <c r="MEA33" s="93"/>
      <c r="MEB33" s="93"/>
      <c r="MEC33" s="93"/>
      <c r="MED33" s="93"/>
      <c r="MEE33" s="93"/>
      <c r="MEF33" s="93"/>
      <c r="MEG33" s="93"/>
      <c r="MEH33" s="93"/>
      <c r="MEI33" s="93"/>
      <c r="MEJ33" s="93"/>
      <c r="MEK33" s="93"/>
      <c r="MEL33" s="93"/>
      <c r="MEM33" s="93"/>
      <c r="MEN33" s="93"/>
      <c r="MEO33" s="93"/>
      <c r="MEP33" s="93"/>
      <c r="MEQ33" s="93"/>
      <c r="MER33" s="93"/>
      <c r="MES33" s="93"/>
      <c r="MET33" s="93"/>
      <c r="MEU33" s="93"/>
      <c r="MEV33" s="93"/>
      <c r="MEW33" s="93"/>
      <c r="MEX33" s="93"/>
      <c r="MEY33" s="93"/>
      <c r="MEZ33" s="93"/>
      <c r="MFA33" s="93"/>
      <c r="MFB33" s="93"/>
      <c r="MFC33" s="93"/>
      <c r="MFD33" s="93"/>
      <c r="MFE33" s="93"/>
      <c r="MFF33" s="93"/>
      <c r="MFG33" s="93"/>
      <c r="MFH33" s="93"/>
      <c r="MFI33" s="93"/>
      <c r="MFJ33" s="93"/>
      <c r="MFK33" s="93"/>
      <c r="MFL33" s="93"/>
      <c r="MFM33" s="93"/>
      <c r="MFN33" s="93"/>
      <c r="MFO33" s="93"/>
      <c r="MFP33" s="93"/>
      <c r="MFQ33" s="93"/>
      <c r="MFR33" s="93"/>
      <c r="MFS33" s="93"/>
      <c r="MFT33" s="93"/>
      <c r="MFU33" s="93"/>
      <c r="MFV33" s="93"/>
      <c r="MFW33" s="93"/>
      <c r="MFX33" s="93"/>
      <c r="MFY33" s="93"/>
      <c r="MFZ33" s="93"/>
      <c r="MGA33" s="93"/>
      <c r="MGB33" s="93"/>
      <c r="MGC33" s="93"/>
      <c r="MGD33" s="93"/>
      <c r="MGE33" s="93"/>
      <c r="MGF33" s="93"/>
      <c r="MGG33" s="93"/>
      <c r="MGH33" s="93"/>
      <c r="MGI33" s="93"/>
      <c r="MGJ33" s="93"/>
      <c r="MGK33" s="93"/>
      <c r="MGL33" s="93"/>
      <c r="MGM33" s="93"/>
      <c r="MGN33" s="93"/>
      <c r="MGO33" s="93"/>
      <c r="MGP33" s="93"/>
      <c r="MGQ33" s="93"/>
      <c r="MGR33" s="93"/>
      <c r="MGS33" s="93"/>
      <c r="MGT33" s="93"/>
      <c r="MGU33" s="93"/>
      <c r="MGV33" s="93"/>
      <c r="MGW33" s="93"/>
      <c r="MGX33" s="93"/>
      <c r="MGY33" s="93"/>
      <c r="MGZ33" s="93"/>
      <c r="MHA33" s="93"/>
      <c r="MHB33" s="93"/>
      <c r="MHC33" s="93"/>
      <c r="MHD33" s="93"/>
      <c r="MHE33" s="93"/>
      <c r="MHF33" s="93"/>
      <c r="MHG33" s="93"/>
      <c r="MHH33" s="93"/>
      <c r="MHI33" s="93"/>
      <c r="MHJ33" s="93"/>
      <c r="MHK33" s="93"/>
      <c r="MHL33" s="93"/>
      <c r="MHM33" s="93"/>
      <c r="MHN33" s="93"/>
      <c r="MHO33" s="93"/>
      <c r="MHP33" s="93"/>
      <c r="MHQ33" s="93"/>
      <c r="MHR33" s="93"/>
      <c r="MHS33" s="93"/>
      <c r="MHT33" s="93"/>
      <c r="MHU33" s="93"/>
      <c r="MHV33" s="93"/>
      <c r="MHW33" s="93"/>
      <c r="MHX33" s="93"/>
      <c r="MHY33" s="93"/>
      <c r="MHZ33" s="93"/>
      <c r="MIA33" s="93"/>
      <c r="MIB33" s="93"/>
      <c r="MIC33" s="93"/>
      <c r="MID33" s="93"/>
      <c r="MIE33" s="93"/>
      <c r="MIF33" s="93"/>
      <c r="MIG33" s="93"/>
      <c r="MIH33" s="93"/>
      <c r="MII33" s="93"/>
      <c r="MIJ33" s="93"/>
      <c r="MIK33" s="93"/>
      <c r="MIL33" s="93"/>
      <c r="MIM33" s="93"/>
      <c r="MIN33" s="93"/>
      <c r="MIO33" s="93"/>
      <c r="MIP33" s="93"/>
      <c r="MIQ33" s="93"/>
      <c r="MIR33" s="93"/>
      <c r="MIS33" s="93"/>
      <c r="MIT33" s="93"/>
      <c r="MIU33" s="93"/>
      <c r="MIV33" s="93"/>
      <c r="MIW33" s="93"/>
      <c r="MIX33" s="93"/>
      <c r="MIY33" s="93"/>
      <c r="MIZ33" s="93"/>
      <c r="MJA33" s="93"/>
      <c r="MJB33" s="93"/>
      <c r="MJC33" s="93"/>
      <c r="MJD33" s="93"/>
      <c r="MJE33" s="93"/>
      <c r="MJF33" s="93"/>
      <c r="MJG33" s="93"/>
      <c r="MJH33" s="93"/>
      <c r="MJI33" s="93"/>
      <c r="MJJ33" s="93"/>
      <c r="MJK33" s="93"/>
      <c r="MJL33" s="93"/>
      <c r="MJM33" s="93"/>
      <c r="MJN33" s="93"/>
      <c r="MJO33" s="93"/>
      <c r="MJP33" s="93"/>
      <c r="MJQ33" s="93"/>
      <c r="MJR33" s="93"/>
      <c r="MJS33" s="93"/>
      <c r="MJT33" s="93"/>
      <c r="MJU33" s="93"/>
      <c r="MJV33" s="93"/>
      <c r="MJW33" s="93"/>
      <c r="MJX33" s="93"/>
      <c r="MJY33" s="93"/>
      <c r="MJZ33" s="93"/>
      <c r="MKA33" s="93"/>
      <c r="MKB33" s="93"/>
      <c r="MKC33" s="93"/>
      <c r="MKD33" s="93"/>
      <c r="MKE33" s="93"/>
      <c r="MKF33" s="93"/>
      <c r="MKG33" s="93"/>
      <c r="MKH33" s="93"/>
      <c r="MKI33" s="93"/>
      <c r="MKJ33" s="93"/>
      <c r="MKK33" s="93"/>
      <c r="MKL33" s="93"/>
      <c r="MKM33" s="93"/>
      <c r="MKN33" s="93"/>
      <c r="MKO33" s="93"/>
      <c r="MKP33" s="93"/>
      <c r="MKQ33" s="93"/>
      <c r="MKR33" s="93"/>
      <c r="MKS33" s="93"/>
      <c r="MKT33" s="93"/>
      <c r="MKU33" s="93"/>
      <c r="MKV33" s="93"/>
      <c r="MKW33" s="93"/>
      <c r="MKX33" s="93"/>
      <c r="MKY33" s="93"/>
      <c r="MKZ33" s="93"/>
      <c r="MLA33" s="93"/>
      <c r="MLB33" s="93"/>
      <c r="MLC33" s="93"/>
      <c r="MLD33" s="93"/>
      <c r="MLE33" s="93"/>
      <c r="MLF33" s="93"/>
      <c r="MLG33" s="93"/>
      <c r="MLH33" s="93"/>
      <c r="MLI33" s="93"/>
      <c r="MLJ33" s="93"/>
      <c r="MLK33" s="93"/>
      <c r="MLL33" s="93"/>
      <c r="MLM33" s="93"/>
      <c r="MLN33" s="93"/>
      <c r="MLO33" s="93"/>
      <c r="MLP33" s="93"/>
      <c r="MLQ33" s="93"/>
      <c r="MLR33" s="93"/>
      <c r="MLS33" s="93"/>
      <c r="MLT33" s="93"/>
      <c r="MLU33" s="93"/>
      <c r="MLV33" s="93"/>
      <c r="MLW33" s="93"/>
      <c r="MLX33" s="93"/>
      <c r="MLY33" s="93"/>
      <c r="MLZ33" s="93"/>
      <c r="MMA33" s="93"/>
      <c r="MMB33" s="93"/>
      <c r="MMC33" s="93"/>
      <c r="MMD33" s="93"/>
      <c r="MME33" s="93"/>
      <c r="MMF33" s="93"/>
      <c r="MMG33" s="93"/>
      <c r="MMH33" s="93"/>
      <c r="MMI33" s="93"/>
      <c r="MMJ33" s="93"/>
      <c r="MMK33" s="93"/>
      <c r="MML33" s="93"/>
      <c r="MMM33" s="93"/>
      <c r="MMN33" s="93"/>
      <c r="MMO33" s="93"/>
      <c r="MMP33" s="93"/>
      <c r="MMQ33" s="93"/>
      <c r="MMR33" s="93"/>
      <c r="MMS33" s="93"/>
      <c r="MMT33" s="93"/>
      <c r="MMU33" s="93"/>
      <c r="MMV33" s="93"/>
      <c r="MMW33" s="93"/>
      <c r="MMX33" s="93"/>
      <c r="MMY33" s="93"/>
      <c r="MMZ33" s="93"/>
      <c r="MNA33" s="93"/>
      <c r="MNB33" s="93"/>
      <c r="MNC33" s="93"/>
      <c r="MND33" s="93"/>
      <c r="MNE33" s="93"/>
      <c r="MNF33" s="93"/>
      <c r="MNG33" s="93"/>
      <c r="MNH33" s="93"/>
      <c r="MNI33" s="93"/>
      <c r="MNJ33" s="93"/>
      <c r="MNK33" s="93"/>
      <c r="MNL33" s="93"/>
      <c r="MNM33" s="93"/>
      <c r="MNN33" s="93"/>
      <c r="MNO33" s="93"/>
      <c r="MNP33" s="93"/>
      <c r="MNQ33" s="93"/>
      <c r="MNR33" s="93"/>
      <c r="MNS33" s="93"/>
      <c r="MNT33" s="93"/>
      <c r="MNU33" s="93"/>
      <c r="MNV33" s="93"/>
      <c r="MNW33" s="93"/>
      <c r="MNX33" s="93"/>
      <c r="MNY33" s="93"/>
      <c r="MNZ33" s="93"/>
      <c r="MOA33" s="93"/>
      <c r="MOB33" s="93"/>
      <c r="MOC33" s="93"/>
      <c r="MOD33" s="93"/>
      <c r="MOE33" s="93"/>
      <c r="MOF33" s="93"/>
      <c r="MOG33" s="93"/>
      <c r="MOH33" s="93"/>
      <c r="MOI33" s="93"/>
      <c r="MOJ33" s="93"/>
      <c r="MOK33" s="93"/>
      <c r="MOL33" s="93"/>
      <c r="MOM33" s="93"/>
      <c r="MON33" s="93"/>
      <c r="MOO33" s="93"/>
      <c r="MOP33" s="93"/>
      <c r="MOQ33" s="93"/>
      <c r="MOR33" s="93"/>
      <c r="MOS33" s="93"/>
      <c r="MOT33" s="93"/>
      <c r="MOU33" s="93"/>
      <c r="MOV33" s="93"/>
      <c r="MOW33" s="93"/>
      <c r="MOX33" s="93"/>
      <c r="MOY33" s="93"/>
      <c r="MOZ33" s="93"/>
      <c r="MPA33" s="93"/>
      <c r="MPB33" s="93"/>
      <c r="MPC33" s="93"/>
      <c r="MPD33" s="93"/>
      <c r="MPE33" s="93"/>
      <c r="MPF33" s="93"/>
      <c r="MPG33" s="93"/>
      <c r="MPH33" s="93"/>
      <c r="MPI33" s="93"/>
      <c r="MPJ33" s="93"/>
      <c r="MPK33" s="93"/>
      <c r="MPL33" s="93"/>
      <c r="MPM33" s="93"/>
      <c r="MPN33" s="93"/>
      <c r="MPO33" s="93"/>
      <c r="MPP33" s="93"/>
      <c r="MPQ33" s="93"/>
      <c r="MPR33" s="93"/>
      <c r="MPS33" s="93"/>
      <c r="MPT33" s="93"/>
      <c r="MPU33" s="93"/>
      <c r="MPV33" s="93"/>
      <c r="MPW33" s="93"/>
      <c r="MPX33" s="93"/>
      <c r="MPY33" s="93"/>
      <c r="MPZ33" s="93"/>
      <c r="MQA33" s="93"/>
      <c r="MQB33" s="93"/>
      <c r="MQC33" s="93"/>
      <c r="MQD33" s="93"/>
      <c r="MQE33" s="93"/>
      <c r="MQF33" s="93"/>
      <c r="MQG33" s="93"/>
      <c r="MQH33" s="93"/>
      <c r="MQI33" s="93"/>
      <c r="MQJ33" s="93"/>
      <c r="MQK33" s="93"/>
      <c r="MQL33" s="93"/>
      <c r="MQM33" s="93"/>
      <c r="MQN33" s="93"/>
      <c r="MQO33" s="93"/>
      <c r="MQP33" s="93"/>
      <c r="MQQ33" s="93"/>
      <c r="MQR33" s="93"/>
      <c r="MQS33" s="93"/>
      <c r="MQT33" s="93"/>
      <c r="MQU33" s="93"/>
      <c r="MQV33" s="93"/>
      <c r="MQW33" s="93"/>
      <c r="MQX33" s="93"/>
      <c r="MQY33" s="93"/>
      <c r="MQZ33" s="93"/>
      <c r="MRA33" s="93"/>
      <c r="MRB33" s="93"/>
      <c r="MRC33" s="93"/>
      <c r="MRD33" s="93"/>
      <c r="MRE33" s="93"/>
      <c r="MRF33" s="93"/>
      <c r="MRG33" s="93"/>
      <c r="MRH33" s="93"/>
      <c r="MRI33" s="93"/>
      <c r="MRJ33" s="93"/>
      <c r="MRK33" s="93"/>
      <c r="MRL33" s="93"/>
      <c r="MRM33" s="93"/>
      <c r="MRN33" s="93"/>
      <c r="MRO33" s="93"/>
      <c r="MRP33" s="93"/>
      <c r="MRQ33" s="93"/>
      <c r="MRR33" s="93"/>
      <c r="MRS33" s="93"/>
      <c r="MRT33" s="93"/>
      <c r="MRU33" s="93"/>
      <c r="MRV33" s="93"/>
      <c r="MRW33" s="93"/>
      <c r="MRX33" s="93"/>
      <c r="MRY33" s="93"/>
      <c r="MRZ33" s="93"/>
      <c r="MSA33" s="93"/>
      <c r="MSB33" s="93"/>
      <c r="MSC33" s="93"/>
      <c r="MSD33" s="93"/>
      <c r="MSE33" s="93"/>
      <c r="MSF33" s="93"/>
      <c r="MSG33" s="93"/>
      <c r="MSH33" s="93"/>
      <c r="MSI33" s="93"/>
      <c r="MSJ33" s="93"/>
      <c r="MSK33" s="93"/>
      <c r="MSL33" s="93"/>
      <c r="MSM33" s="93"/>
      <c r="MSN33" s="93"/>
      <c r="MSO33" s="93"/>
      <c r="MSP33" s="93"/>
      <c r="MSQ33" s="93"/>
      <c r="MSR33" s="93"/>
      <c r="MSS33" s="93"/>
      <c r="MST33" s="93"/>
      <c r="MSU33" s="93"/>
      <c r="MSV33" s="93"/>
      <c r="MSW33" s="93"/>
      <c r="MSX33" s="93"/>
      <c r="MSY33" s="93"/>
      <c r="MSZ33" s="93"/>
      <c r="MTA33" s="93"/>
      <c r="MTB33" s="93"/>
      <c r="MTC33" s="93"/>
      <c r="MTD33" s="93"/>
      <c r="MTE33" s="93"/>
      <c r="MTF33" s="93"/>
      <c r="MTG33" s="93"/>
      <c r="MTH33" s="93"/>
      <c r="MTI33" s="93"/>
      <c r="MTJ33" s="93"/>
      <c r="MTK33" s="93"/>
      <c r="MTL33" s="93"/>
      <c r="MTM33" s="93"/>
      <c r="MTN33" s="93"/>
      <c r="MTO33" s="93"/>
      <c r="MTP33" s="93"/>
      <c r="MTQ33" s="93"/>
      <c r="MTR33" s="93"/>
      <c r="MTS33" s="93"/>
      <c r="MTT33" s="93"/>
      <c r="MTU33" s="93"/>
      <c r="MTV33" s="93"/>
      <c r="MTW33" s="93"/>
      <c r="MTX33" s="93"/>
      <c r="MTY33" s="93"/>
      <c r="MTZ33" s="93"/>
      <c r="MUA33" s="93"/>
      <c r="MUB33" s="93"/>
      <c r="MUC33" s="93"/>
      <c r="MUD33" s="93"/>
      <c r="MUE33" s="93"/>
      <c r="MUF33" s="93"/>
      <c r="MUG33" s="93"/>
      <c r="MUH33" s="93"/>
      <c r="MUI33" s="93"/>
      <c r="MUJ33" s="93"/>
      <c r="MUK33" s="93"/>
      <c r="MUL33" s="93"/>
      <c r="MUM33" s="93"/>
      <c r="MUN33" s="93"/>
      <c r="MUO33" s="93"/>
      <c r="MUP33" s="93"/>
      <c r="MUQ33" s="93"/>
      <c r="MUR33" s="93"/>
      <c r="MUS33" s="93"/>
      <c r="MUT33" s="93"/>
      <c r="MUU33" s="93"/>
      <c r="MUV33" s="93"/>
      <c r="MUW33" s="93"/>
      <c r="MUX33" s="93"/>
      <c r="MUY33" s="93"/>
      <c r="MUZ33" s="93"/>
      <c r="MVA33" s="93"/>
      <c r="MVB33" s="93"/>
      <c r="MVC33" s="93"/>
      <c r="MVD33" s="93"/>
      <c r="MVE33" s="93"/>
      <c r="MVF33" s="93"/>
      <c r="MVG33" s="93"/>
      <c r="MVH33" s="93"/>
      <c r="MVI33" s="93"/>
      <c r="MVJ33" s="93"/>
      <c r="MVK33" s="93"/>
      <c r="MVL33" s="93"/>
      <c r="MVM33" s="93"/>
      <c r="MVN33" s="93"/>
      <c r="MVO33" s="93"/>
      <c r="MVP33" s="93"/>
      <c r="MVQ33" s="93"/>
      <c r="MVR33" s="93"/>
      <c r="MVS33" s="93"/>
      <c r="MVT33" s="93"/>
      <c r="MVU33" s="93"/>
      <c r="MVV33" s="93"/>
      <c r="MVW33" s="93"/>
      <c r="MVX33" s="93"/>
      <c r="MVY33" s="93"/>
      <c r="MVZ33" s="93"/>
      <c r="MWA33" s="93"/>
      <c r="MWB33" s="93"/>
      <c r="MWC33" s="93"/>
      <c r="MWD33" s="93"/>
      <c r="MWE33" s="93"/>
      <c r="MWF33" s="93"/>
      <c r="MWG33" s="93"/>
      <c r="MWH33" s="93"/>
      <c r="MWI33" s="93"/>
      <c r="MWJ33" s="93"/>
      <c r="MWK33" s="93"/>
      <c r="MWL33" s="93"/>
      <c r="MWM33" s="93"/>
      <c r="MWN33" s="93"/>
      <c r="MWO33" s="93"/>
      <c r="MWP33" s="93"/>
      <c r="MWQ33" s="93"/>
      <c r="MWR33" s="93"/>
      <c r="MWS33" s="93"/>
      <c r="MWT33" s="93"/>
      <c r="MWU33" s="93"/>
      <c r="MWV33" s="93"/>
      <c r="MWW33" s="93"/>
      <c r="MWX33" s="93"/>
      <c r="MWY33" s="93"/>
      <c r="MWZ33" s="93"/>
      <c r="MXA33" s="93"/>
      <c r="MXB33" s="93"/>
      <c r="MXC33" s="93"/>
      <c r="MXD33" s="93"/>
      <c r="MXE33" s="93"/>
      <c r="MXF33" s="93"/>
      <c r="MXG33" s="93"/>
      <c r="MXH33" s="93"/>
      <c r="MXI33" s="93"/>
      <c r="MXJ33" s="93"/>
      <c r="MXK33" s="93"/>
      <c r="MXL33" s="93"/>
      <c r="MXM33" s="93"/>
      <c r="MXN33" s="93"/>
      <c r="MXO33" s="93"/>
      <c r="MXP33" s="93"/>
      <c r="MXQ33" s="93"/>
      <c r="MXR33" s="93"/>
      <c r="MXS33" s="93"/>
      <c r="MXT33" s="93"/>
      <c r="MXU33" s="93"/>
      <c r="MXV33" s="93"/>
      <c r="MXW33" s="93"/>
      <c r="MXX33" s="93"/>
      <c r="MXY33" s="93"/>
      <c r="MXZ33" s="93"/>
      <c r="MYA33" s="93"/>
      <c r="MYB33" s="93"/>
      <c r="MYC33" s="93"/>
      <c r="MYD33" s="93"/>
      <c r="MYE33" s="93"/>
      <c r="MYF33" s="93"/>
      <c r="MYG33" s="93"/>
      <c r="MYH33" s="93"/>
      <c r="MYI33" s="93"/>
      <c r="MYJ33" s="93"/>
      <c r="MYK33" s="93"/>
      <c r="MYL33" s="93"/>
      <c r="MYM33" s="93"/>
      <c r="MYN33" s="93"/>
      <c r="MYO33" s="93"/>
      <c r="MYP33" s="93"/>
      <c r="MYQ33" s="93"/>
      <c r="MYR33" s="93"/>
      <c r="MYS33" s="93"/>
      <c r="MYT33" s="93"/>
      <c r="MYU33" s="93"/>
      <c r="MYV33" s="93"/>
      <c r="MYW33" s="93"/>
      <c r="MYX33" s="93"/>
      <c r="MYY33" s="93"/>
      <c r="MYZ33" s="93"/>
      <c r="MZA33" s="93"/>
      <c r="MZB33" s="93"/>
      <c r="MZC33" s="93"/>
      <c r="MZD33" s="93"/>
      <c r="MZE33" s="93"/>
      <c r="MZF33" s="93"/>
      <c r="MZG33" s="93"/>
      <c r="MZH33" s="93"/>
      <c r="MZI33" s="93"/>
      <c r="MZJ33" s="93"/>
      <c r="MZK33" s="93"/>
      <c r="MZL33" s="93"/>
      <c r="MZM33" s="93"/>
      <c r="MZN33" s="93"/>
      <c r="MZO33" s="93"/>
      <c r="MZP33" s="93"/>
      <c r="MZQ33" s="93"/>
      <c r="MZR33" s="93"/>
      <c r="MZS33" s="93"/>
      <c r="MZT33" s="93"/>
      <c r="MZU33" s="93"/>
      <c r="MZV33" s="93"/>
      <c r="MZW33" s="93"/>
      <c r="MZX33" s="93"/>
      <c r="MZY33" s="93"/>
      <c r="MZZ33" s="93"/>
      <c r="NAA33" s="93"/>
      <c r="NAB33" s="93"/>
      <c r="NAC33" s="93"/>
      <c r="NAD33" s="93"/>
      <c r="NAE33" s="93"/>
      <c r="NAF33" s="93"/>
      <c r="NAG33" s="93"/>
      <c r="NAH33" s="93"/>
      <c r="NAI33" s="93"/>
      <c r="NAJ33" s="93"/>
      <c r="NAK33" s="93"/>
      <c r="NAL33" s="93"/>
      <c r="NAM33" s="93"/>
      <c r="NAN33" s="93"/>
      <c r="NAO33" s="93"/>
      <c r="NAP33" s="93"/>
      <c r="NAQ33" s="93"/>
      <c r="NAR33" s="93"/>
      <c r="NAS33" s="93"/>
      <c r="NAT33" s="93"/>
      <c r="NAU33" s="93"/>
      <c r="NAV33" s="93"/>
      <c r="NAW33" s="93"/>
      <c r="NAX33" s="93"/>
      <c r="NAY33" s="93"/>
      <c r="NAZ33" s="93"/>
      <c r="NBA33" s="93"/>
      <c r="NBB33" s="93"/>
      <c r="NBC33" s="93"/>
      <c r="NBD33" s="93"/>
      <c r="NBE33" s="93"/>
      <c r="NBF33" s="93"/>
      <c r="NBG33" s="93"/>
      <c r="NBH33" s="93"/>
      <c r="NBI33" s="93"/>
      <c r="NBJ33" s="93"/>
      <c r="NBK33" s="93"/>
      <c r="NBL33" s="93"/>
      <c r="NBM33" s="93"/>
      <c r="NBN33" s="93"/>
      <c r="NBO33" s="93"/>
      <c r="NBP33" s="93"/>
      <c r="NBQ33" s="93"/>
      <c r="NBR33" s="93"/>
      <c r="NBS33" s="93"/>
      <c r="NBT33" s="93"/>
      <c r="NBU33" s="93"/>
      <c r="NBV33" s="93"/>
      <c r="NBW33" s="93"/>
      <c r="NBX33" s="93"/>
      <c r="NBY33" s="93"/>
      <c r="NBZ33" s="93"/>
      <c r="NCA33" s="93"/>
      <c r="NCB33" s="93"/>
      <c r="NCC33" s="93"/>
      <c r="NCD33" s="93"/>
      <c r="NCE33" s="93"/>
      <c r="NCF33" s="93"/>
      <c r="NCG33" s="93"/>
      <c r="NCH33" s="93"/>
      <c r="NCI33" s="93"/>
      <c r="NCJ33" s="93"/>
      <c r="NCK33" s="93"/>
      <c r="NCL33" s="93"/>
      <c r="NCM33" s="93"/>
      <c r="NCN33" s="93"/>
      <c r="NCO33" s="93"/>
      <c r="NCP33" s="93"/>
      <c r="NCQ33" s="93"/>
      <c r="NCR33" s="93"/>
      <c r="NCS33" s="93"/>
      <c r="NCT33" s="93"/>
      <c r="NCU33" s="93"/>
      <c r="NCV33" s="93"/>
      <c r="NCW33" s="93"/>
      <c r="NCX33" s="93"/>
      <c r="NCY33" s="93"/>
      <c r="NCZ33" s="93"/>
      <c r="NDA33" s="93"/>
      <c r="NDB33" s="93"/>
      <c r="NDC33" s="93"/>
      <c r="NDD33" s="93"/>
      <c r="NDE33" s="93"/>
      <c r="NDF33" s="93"/>
      <c r="NDG33" s="93"/>
      <c r="NDH33" s="93"/>
      <c r="NDI33" s="93"/>
      <c r="NDJ33" s="93"/>
      <c r="NDK33" s="93"/>
      <c r="NDL33" s="93"/>
      <c r="NDM33" s="93"/>
      <c r="NDN33" s="93"/>
      <c r="NDO33" s="93"/>
      <c r="NDP33" s="93"/>
      <c r="NDQ33" s="93"/>
      <c r="NDR33" s="93"/>
      <c r="NDS33" s="93"/>
      <c r="NDT33" s="93"/>
      <c r="NDU33" s="93"/>
      <c r="NDV33" s="93"/>
      <c r="NDW33" s="93"/>
      <c r="NDX33" s="93"/>
      <c r="NDY33" s="93"/>
      <c r="NDZ33" s="93"/>
      <c r="NEA33" s="93"/>
      <c r="NEB33" s="93"/>
      <c r="NEC33" s="93"/>
      <c r="NED33" s="93"/>
      <c r="NEE33" s="93"/>
      <c r="NEF33" s="93"/>
      <c r="NEG33" s="93"/>
      <c r="NEH33" s="93"/>
      <c r="NEI33" s="93"/>
      <c r="NEJ33" s="93"/>
      <c r="NEK33" s="93"/>
      <c r="NEL33" s="93"/>
      <c r="NEM33" s="93"/>
      <c r="NEN33" s="93"/>
      <c r="NEO33" s="93"/>
      <c r="NEP33" s="93"/>
      <c r="NEQ33" s="93"/>
      <c r="NER33" s="93"/>
      <c r="NES33" s="93"/>
      <c r="NET33" s="93"/>
      <c r="NEU33" s="93"/>
      <c r="NEV33" s="93"/>
      <c r="NEW33" s="93"/>
      <c r="NEX33" s="93"/>
      <c r="NEY33" s="93"/>
      <c r="NEZ33" s="93"/>
      <c r="NFA33" s="93"/>
      <c r="NFB33" s="93"/>
      <c r="NFC33" s="93"/>
      <c r="NFD33" s="93"/>
      <c r="NFE33" s="93"/>
      <c r="NFF33" s="93"/>
      <c r="NFG33" s="93"/>
      <c r="NFH33" s="93"/>
      <c r="NFI33" s="93"/>
      <c r="NFJ33" s="93"/>
      <c r="NFK33" s="93"/>
      <c r="NFL33" s="93"/>
      <c r="NFM33" s="93"/>
      <c r="NFN33" s="93"/>
      <c r="NFO33" s="93"/>
      <c r="NFP33" s="93"/>
      <c r="NFQ33" s="93"/>
      <c r="NFR33" s="93"/>
      <c r="NFS33" s="93"/>
      <c r="NFT33" s="93"/>
      <c r="NFU33" s="93"/>
      <c r="NFV33" s="93"/>
      <c r="NFW33" s="93"/>
      <c r="NFX33" s="93"/>
      <c r="NFY33" s="93"/>
      <c r="NFZ33" s="93"/>
      <c r="NGA33" s="93"/>
      <c r="NGB33" s="93"/>
      <c r="NGC33" s="93"/>
      <c r="NGD33" s="93"/>
      <c r="NGE33" s="93"/>
      <c r="NGF33" s="93"/>
      <c r="NGG33" s="93"/>
      <c r="NGH33" s="93"/>
      <c r="NGI33" s="93"/>
      <c r="NGJ33" s="93"/>
      <c r="NGK33" s="93"/>
      <c r="NGL33" s="93"/>
      <c r="NGM33" s="93"/>
      <c r="NGN33" s="93"/>
      <c r="NGO33" s="93"/>
      <c r="NGP33" s="93"/>
      <c r="NGQ33" s="93"/>
      <c r="NGR33" s="93"/>
      <c r="NGS33" s="93"/>
      <c r="NGT33" s="93"/>
      <c r="NGU33" s="93"/>
      <c r="NGV33" s="93"/>
      <c r="NGW33" s="93"/>
      <c r="NGX33" s="93"/>
      <c r="NGY33" s="93"/>
      <c r="NGZ33" s="93"/>
      <c r="NHA33" s="93"/>
      <c r="NHB33" s="93"/>
      <c r="NHC33" s="93"/>
      <c r="NHD33" s="93"/>
      <c r="NHE33" s="93"/>
      <c r="NHF33" s="93"/>
      <c r="NHG33" s="93"/>
      <c r="NHH33" s="93"/>
      <c r="NHI33" s="93"/>
      <c r="NHJ33" s="93"/>
      <c r="NHK33" s="93"/>
      <c r="NHL33" s="93"/>
      <c r="NHM33" s="93"/>
      <c r="NHN33" s="93"/>
      <c r="NHO33" s="93"/>
      <c r="NHP33" s="93"/>
      <c r="NHQ33" s="93"/>
      <c r="NHR33" s="93"/>
      <c r="NHS33" s="93"/>
      <c r="NHT33" s="93"/>
      <c r="NHU33" s="93"/>
      <c r="NHV33" s="93"/>
      <c r="NHW33" s="93"/>
      <c r="NHX33" s="93"/>
      <c r="NHY33" s="93"/>
      <c r="NHZ33" s="93"/>
      <c r="NIA33" s="93"/>
      <c r="NIB33" s="93"/>
      <c r="NIC33" s="93"/>
      <c r="NID33" s="93"/>
      <c r="NIE33" s="93"/>
      <c r="NIF33" s="93"/>
      <c r="NIG33" s="93"/>
      <c r="NIH33" s="93"/>
      <c r="NII33" s="93"/>
      <c r="NIJ33" s="93"/>
      <c r="NIK33" s="93"/>
      <c r="NIL33" s="93"/>
      <c r="NIM33" s="93"/>
      <c r="NIN33" s="93"/>
      <c r="NIO33" s="93"/>
      <c r="NIP33" s="93"/>
      <c r="NIQ33" s="93"/>
      <c r="NIR33" s="93"/>
      <c r="NIS33" s="93"/>
      <c r="NIT33" s="93"/>
      <c r="NIU33" s="93"/>
      <c r="NIV33" s="93"/>
      <c r="NIW33" s="93"/>
      <c r="NIX33" s="93"/>
      <c r="NIY33" s="93"/>
      <c r="NIZ33" s="93"/>
      <c r="NJA33" s="93"/>
      <c r="NJB33" s="93"/>
      <c r="NJC33" s="93"/>
      <c r="NJD33" s="93"/>
      <c r="NJE33" s="93"/>
      <c r="NJF33" s="93"/>
      <c r="NJG33" s="93"/>
      <c r="NJH33" s="93"/>
      <c r="NJI33" s="93"/>
      <c r="NJJ33" s="93"/>
      <c r="NJK33" s="93"/>
      <c r="NJL33" s="93"/>
      <c r="NJM33" s="93"/>
      <c r="NJN33" s="93"/>
      <c r="NJO33" s="93"/>
      <c r="NJP33" s="93"/>
      <c r="NJQ33" s="93"/>
      <c r="NJR33" s="93"/>
      <c r="NJS33" s="93"/>
      <c r="NJT33" s="93"/>
      <c r="NJU33" s="93"/>
      <c r="NJV33" s="93"/>
      <c r="NJW33" s="93"/>
      <c r="NJX33" s="93"/>
      <c r="NJY33" s="93"/>
      <c r="NJZ33" s="93"/>
      <c r="NKA33" s="93"/>
      <c r="NKB33" s="93"/>
      <c r="NKC33" s="93"/>
      <c r="NKD33" s="93"/>
      <c r="NKE33" s="93"/>
      <c r="NKF33" s="93"/>
      <c r="NKG33" s="93"/>
      <c r="NKH33" s="93"/>
      <c r="NKI33" s="93"/>
      <c r="NKJ33" s="93"/>
      <c r="NKK33" s="93"/>
      <c r="NKL33" s="93"/>
      <c r="NKM33" s="93"/>
      <c r="NKN33" s="93"/>
      <c r="NKO33" s="93"/>
      <c r="NKP33" s="93"/>
      <c r="NKQ33" s="93"/>
      <c r="NKR33" s="93"/>
      <c r="NKS33" s="93"/>
      <c r="NKT33" s="93"/>
      <c r="NKU33" s="93"/>
      <c r="NKV33" s="93"/>
      <c r="NKW33" s="93"/>
      <c r="NKX33" s="93"/>
      <c r="NKY33" s="93"/>
      <c r="NKZ33" s="93"/>
      <c r="NLA33" s="93"/>
      <c r="NLB33" s="93"/>
      <c r="NLC33" s="93"/>
      <c r="NLD33" s="93"/>
      <c r="NLE33" s="93"/>
      <c r="NLF33" s="93"/>
      <c r="NLG33" s="93"/>
      <c r="NLH33" s="93"/>
      <c r="NLI33" s="93"/>
      <c r="NLJ33" s="93"/>
      <c r="NLK33" s="93"/>
      <c r="NLL33" s="93"/>
      <c r="NLM33" s="93"/>
      <c r="NLN33" s="93"/>
      <c r="NLO33" s="93"/>
      <c r="NLP33" s="93"/>
      <c r="NLQ33" s="93"/>
      <c r="NLR33" s="93"/>
      <c r="NLS33" s="93"/>
      <c r="NLT33" s="93"/>
      <c r="NLU33" s="93"/>
      <c r="NLV33" s="93"/>
      <c r="NLW33" s="93"/>
      <c r="NLX33" s="93"/>
      <c r="NLY33" s="93"/>
      <c r="NLZ33" s="93"/>
      <c r="NMA33" s="93"/>
      <c r="NMB33" s="93"/>
      <c r="NMC33" s="93"/>
      <c r="NMD33" s="93"/>
      <c r="NME33" s="93"/>
      <c r="NMF33" s="93"/>
      <c r="NMG33" s="93"/>
      <c r="NMH33" s="93"/>
      <c r="NMI33" s="93"/>
      <c r="NMJ33" s="93"/>
      <c r="NMK33" s="93"/>
      <c r="NML33" s="93"/>
      <c r="NMM33" s="93"/>
      <c r="NMN33" s="93"/>
      <c r="NMO33" s="93"/>
      <c r="NMP33" s="93"/>
      <c r="NMQ33" s="93"/>
      <c r="NMR33" s="93"/>
      <c r="NMS33" s="93"/>
      <c r="NMT33" s="93"/>
      <c r="NMU33" s="93"/>
      <c r="NMV33" s="93"/>
      <c r="NMW33" s="93"/>
      <c r="NMX33" s="93"/>
      <c r="NMY33" s="93"/>
      <c r="NMZ33" s="93"/>
      <c r="NNA33" s="93"/>
      <c r="NNB33" s="93"/>
      <c r="NNC33" s="93"/>
      <c r="NND33" s="93"/>
      <c r="NNE33" s="93"/>
      <c r="NNF33" s="93"/>
      <c r="NNG33" s="93"/>
      <c r="NNH33" s="93"/>
      <c r="NNI33" s="93"/>
      <c r="NNJ33" s="93"/>
      <c r="NNK33" s="93"/>
      <c r="NNL33" s="93"/>
      <c r="NNM33" s="93"/>
      <c r="NNN33" s="93"/>
      <c r="NNO33" s="93"/>
      <c r="NNP33" s="93"/>
      <c r="NNQ33" s="93"/>
      <c r="NNR33" s="93"/>
      <c r="NNS33" s="93"/>
      <c r="NNT33" s="93"/>
      <c r="NNU33" s="93"/>
      <c r="NNV33" s="93"/>
      <c r="NNW33" s="93"/>
      <c r="NNX33" s="93"/>
      <c r="NNY33" s="93"/>
      <c r="NNZ33" s="93"/>
      <c r="NOA33" s="93"/>
      <c r="NOB33" s="93"/>
      <c r="NOC33" s="93"/>
      <c r="NOD33" s="93"/>
      <c r="NOE33" s="93"/>
      <c r="NOF33" s="93"/>
      <c r="NOG33" s="93"/>
      <c r="NOH33" s="93"/>
      <c r="NOI33" s="93"/>
      <c r="NOJ33" s="93"/>
      <c r="NOK33" s="93"/>
      <c r="NOL33" s="93"/>
      <c r="NOM33" s="93"/>
      <c r="NON33" s="93"/>
      <c r="NOO33" s="93"/>
      <c r="NOP33" s="93"/>
      <c r="NOQ33" s="93"/>
      <c r="NOR33" s="93"/>
      <c r="NOS33" s="93"/>
      <c r="NOT33" s="93"/>
      <c r="NOU33" s="93"/>
      <c r="NOV33" s="93"/>
      <c r="NOW33" s="93"/>
      <c r="NOX33" s="93"/>
      <c r="NOY33" s="93"/>
      <c r="NOZ33" s="93"/>
      <c r="NPA33" s="93"/>
      <c r="NPB33" s="93"/>
      <c r="NPC33" s="93"/>
      <c r="NPD33" s="93"/>
      <c r="NPE33" s="93"/>
      <c r="NPF33" s="93"/>
      <c r="NPG33" s="93"/>
      <c r="NPH33" s="93"/>
      <c r="NPI33" s="93"/>
      <c r="NPJ33" s="93"/>
      <c r="NPK33" s="93"/>
      <c r="NPL33" s="93"/>
      <c r="NPM33" s="93"/>
      <c r="NPN33" s="93"/>
      <c r="NPO33" s="93"/>
      <c r="NPP33" s="93"/>
      <c r="NPQ33" s="93"/>
      <c r="NPR33" s="93"/>
      <c r="NPS33" s="93"/>
      <c r="NPT33" s="93"/>
      <c r="NPU33" s="93"/>
      <c r="NPV33" s="93"/>
      <c r="NPW33" s="93"/>
      <c r="NPX33" s="93"/>
      <c r="NPY33" s="93"/>
      <c r="NPZ33" s="93"/>
      <c r="NQA33" s="93"/>
      <c r="NQB33" s="93"/>
      <c r="NQC33" s="93"/>
      <c r="NQD33" s="93"/>
      <c r="NQE33" s="93"/>
      <c r="NQF33" s="93"/>
      <c r="NQG33" s="93"/>
      <c r="NQH33" s="93"/>
      <c r="NQI33" s="93"/>
      <c r="NQJ33" s="93"/>
      <c r="NQK33" s="93"/>
      <c r="NQL33" s="93"/>
      <c r="NQM33" s="93"/>
      <c r="NQN33" s="93"/>
      <c r="NQO33" s="93"/>
      <c r="NQP33" s="93"/>
      <c r="NQQ33" s="93"/>
      <c r="NQR33" s="93"/>
      <c r="NQS33" s="93"/>
      <c r="NQT33" s="93"/>
      <c r="NQU33" s="93"/>
      <c r="NQV33" s="93"/>
      <c r="NQW33" s="93"/>
      <c r="NQX33" s="93"/>
      <c r="NQY33" s="93"/>
      <c r="NQZ33" s="93"/>
      <c r="NRA33" s="93"/>
      <c r="NRB33" s="93"/>
      <c r="NRC33" s="93"/>
      <c r="NRD33" s="93"/>
      <c r="NRE33" s="93"/>
      <c r="NRF33" s="93"/>
      <c r="NRG33" s="93"/>
      <c r="NRH33" s="93"/>
      <c r="NRI33" s="93"/>
      <c r="NRJ33" s="93"/>
      <c r="NRK33" s="93"/>
      <c r="NRL33" s="93"/>
      <c r="NRM33" s="93"/>
      <c r="NRN33" s="93"/>
      <c r="NRO33" s="93"/>
      <c r="NRP33" s="93"/>
      <c r="NRQ33" s="93"/>
      <c r="NRR33" s="93"/>
      <c r="NRS33" s="93"/>
      <c r="NRT33" s="93"/>
      <c r="NRU33" s="93"/>
      <c r="NRV33" s="93"/>
      <c r="NRW33" s="93"/>
      <c r="NRX33" s="93"/>
      <c r="NRY33" s="93"/>
      <c r="NRZ33" s="93"/>
      <c r="NSA33" s="93"/>
      <c r="NSB33" s="93"/>
      <c r="NSC33" s="93"/>
      <c r="NSD33" s="93"/>
      <c r="NSE33" s="93"/>
      <c r="NSF33" s="93"/>
      <c r="NSG33" s="93"/>
      <c r="NSH33" s="93"/>
      <c r="NSI33" s="93"/>
      <c r="NSJ33" s="93"/>
      <c r="NSK33" s="93"/>
      <c r="NSL33" s="93"/>
      <c r="NSM33" s="93"/>
      <c r="NSN33" s="93"/>
      <c r="NSO33" s="93"/>
      <c r="NSP33" s="93"/>
      <c r="NSQ33" s="93"/>
      <c r="NSR33" s="93"/>
      <c r="NSS33" s="93"/>
      <c r="NST33" s="93"/>
      <c r="NSU33" s="93"/>
      <c r="NSV33" s="93"/>
      <c r="NSW33" s="93"/>
      <c r="NSX33" s="93"/>
      <c r="NSY33" s="93"/>
      <c r="NSZ33" s="93"/>
      <c r="NTA33" s="93"/>
      <c r="NTB33" s="93"/>
      <c r="NTC33" s="93"/>
      <c r="NTD33" s="93"/>
      <c r="NTE33" s="93"/>
      <c r="NTF33" s="93"/>
      <c r="NTG33" s="93"/>
      <c r="NTH33" s="93"/>
      <c r="NTI33" s="93"/>
      <c r="NTJ33" s="93"/>
      <c r="NTK33" s="93"/>
      <c r="NTL33" s="93"/>
      <c r="NTM33" s="93"/>
      <c r="NTN33" s="93"/>
      <c r="NTO33" s="93"/>
      <c r="NTP33" s="93"/>
      <c r="NTQ33" s="93"/>
      <c r="NTR33" s="93"/>
      <c r="NTS33" s="93"/>
      <c r="NTT33" s="93"/>
      <c r="NTU33" s="93"/>
      <c r="NTV33" s="93"/>
      <c r="NTW33" s="93"/>
      <c r="NTX33" s="93"/>
      <c r="NTY33" s="93"/>
      <c r="NTZ33" s="93"/>
      <c r="NUA33" s="93"/>
      <c r="NUB33" s="93"/>
      <c r="NUC33" s="93"/>
      <c r="NUD33" s="93"/>
      <c r="NUE33" s="93"/>
      <c r="NUF33" s="93"/>
      <c r="NUG33" s="93"/>
      <c r="NUH33" s="93"/>
      <c r="NUI33" s="93"/>
      <c r="NUJ33" s="93"/>
      <c r="NUK33" s="93"/>
      <c r="NUL33" s="93"/>
      <c r="NUM33" s="93"/>
      <c r="NUN33" s="93"/>
      <c r="NUO33" s="93"/>
      <c r="NUP33" s="93"/>
      <c r="NUQ33" s="93"/>
      <c r="NUR33" s="93"/>
      <c r="NUS33" s="93"/>
      <c r="NUT33" s="93"/>
      <c r="NUU33" s="93"/>
      <c r="NUV33" s="93"/>
      <c r="NUW33" s="93"/>
      <c r="NUX33" s="93"/>
      <c r="NUY33" s="93"/>
      <c r="NUZ33" s="93"/>
      <c r="NVA33" s="93"/>
      <c r="NVB33" s="93"/>
      <c r="NVC33" s="93"/>
      <c r="NVD33" s="93"/>
      <c r="NVE33" s="93"/>
      <c r="NVF33" s="93"/>
      <c r="NVG33" s="93"/>
      <c r="NVH33" s="93"/>
      <c r="NVI33" s="93"/>
      <c r="NVJ33" s="93"/>
      <c r="NVK33" s="93"/>
      <c r="NVL33" s="93"/>
      <c r="NVM33" s="93"/>
      <c r="NVN33" s="93"/>
      <c r="NVO33" s="93"/>
      <c r="NVP33" s="93"/>
      <c r="NVQ33" s="93"/>
      <c r="NVR33" s="93"/>
      <c r="NVS33" s="93"/>
      <c r="NVT33" s="93"/>
      <c r="NVU33" s="93"/>
      <c r="NVV33" s="93"/>
      <c r="NVW33" s="93"/>
      <c r="NVX33" s="93"/>
      <c r="NVY33" s="93"/>
      <c r="NVZ33" s="93"/>
      <c r="NWA33" s="93"/>
      <c r="NWB33" s="93"/>
      <c r="NWC33" s="93"/>
      <c r="NWD33" s="93"/>
      <c r="NWE33" s="93"/>
      <c r="NWF33" s="93"/>
      <c r="NWG33" s="93"/>
      <c r="NWH33" s="93"/>
      <c r="NWI33" s="93"/>
      <c r="NWJ33" s="93"/>
      <c r="NWK33" s="93"/>
      <c r="NWL33" s="93"/>
      <c r="NWM33" s="93"/>
      <c r="NWN33" s="93"/>
      <c r="NWO33" s="93"/>
      <c r="NWP33" s="93"/>
      <c r="NWQ33" s="93"/>
      <c r="NWR33" s="93"/>
      <c r="NWS33" s="93"/>
      <c r="NWT33" s="93"/>
      <c r="NWU33" s="93"/>
      <c r="NWV33" s="93"/>
      <c r="NWW33" s="93"/>
      <c r="NWX33" s="93"/>
      <c r="NWY33" s="93"/>
      <c r="NWZ33" s="93"/>
      <c r="NXA33" s="93"/>
      <c r="NXB33" s="93"/>
      <c r="NXC33" s="93"/>
      <c r="NXD33" s="93"/>
      <c r="NXE33" s="93"/>
      <c r="NXF33" s="93"/>
      <c r="NXG33" s="93"/>
      <c r="NXH33" s="93"/>
      <c r="NXI33" s="93"/>
      <c r="NXJ33" s="93"/>
      <c r="NXK33" s="93"/>
      <c r="NXL33" s="93"/>
      <c r="NXM33" s="93"/>
      <c r="NXN33" s="93"/>
      <c r="NXO33" s="93"/>
      <c r="NXP33" s="93"/>
      <c r="NXQ33" s="93"/>
      <c r="NXR33" s="93"/>
      <c r="NXS33" s="93"/>
      <c r="NXT33" s="93"/>
      <c r="NXU33" s="93"/>
      <c r="NXV33" s="93"/>
      <c r="NXW33" s="93"/>
      <c r="NXX33" s="93"/>
      <c r="NXY33" s="93"/>
      <c r="NXZ33" s="93"/>
      <c r="NYA33" s="93"/>
      <c r="NYB33" s="93"/>
      <c r="NYC33" s="93"/>
      <c r="NYD33" s="93"/>
      <c r="NYE33" s="93"/>
      <c r="NYF33" s="93"/>
      <c r="NYG33" s="93"/>
      <c r="NYH33" s="93"/>
      <c r="NYI33" s="93"/>
      <c r="NYJ33" s="93"/>
      <c r="NYK33" s="93"/>
      <c r="NYL33" s="93"/>
      <c r="NYM33" s="93"/>
      <c r="NYN33" s="93"/>
      <c r="NYO33" s="93"/>
      <c r="NYP33" s="93"/>
      <c r="NYQ33" s="93"/>
      <c r="NYR33" s="93"/>
      <c r="NYS33" s="93"/>
      <c r="NYT33" s="93"/>
      <c r="NYU33" s="93"/>
      <c r="NYV33" s="93"/>
      <c r="NYW33" s="93"/>
      <c r="NYX33" s="93"/>
      <c r="NYY33" s="93"/>
      <c r="NYZ33" s="93"/>
      <c r="NZA33" s="93"/>
      <c r="NZB33" s="93"/>
      <c r="NZC33" s="93"/>
      <c r="NZD33" s="93"/>
      <c r="NZE33" s="93"/>
      <c r="NZF33" s="93"/>
      <c r="NZG33" s="93"/>
      <c r="NZH33" s="93"/>
      <c r="NZI33" s="93"/>
      <c r="NZJ33" s="93"/>
      <c r="NZK33" s="93"/>
      <c r="NZL33" s="93"/>
      <c r="NZM33" s="93"/>
      <c r="NZN33" s="93"/>
      <c r="NZO33" s="93"/>
      <c r="NZP33" s="93"/>
      <c r="NZQ33" s="93"/>
      <c r="NZR33" s="93"/>
      <c r="NZS33" s="93"/>
      <c r="NZT33" s="93"/>
      <c r="NZU33" s="93"/>
      <c r="NZV33" s="93"/>
      <c r="NZW33" s="93"/>
      <c r="NZX33" s="93"/>
      <c r="NZY33" s="93"/>
      <c r="NZZ33" s="93"/>
      <c r="OAA33" s="93"/>
      <c r="OAB33" s="93"/>
      <c r="OAC33" s="93"/>
      <c r="OAD33" s="93"/>
      <c r="OAE33" s="93"/>
      <c r="OAF33" s="93"/>
      <c r="OAG33" s="93"/>
      <c r="OAH33" s="93"/>
      <c r="OAI33" s="93"/>
      <c r="OAJ33" s="93"/>
      <c r="OAK33" s="93"/>
      <c r="OAL33" s="93"/>
      <c r="OAM33" s="93"/>
      <c r="OAN33" s="93"/>
      <c r="OAO33" s="93"/>
      <c r="OAP33" s="93"/>
      <c r="OAQ33" s="93"/>
      <c r="OAR33" s="93"/>
      <c r="OAS33" s="93"/>
      <c r="OAT33" s="93"/>
      <c r="OAU33" s="93"/>
      <c r="OAV33" s="93"/>
      <c r="OAW33" s="93"/>
      <c r="OAX33" s="93"/>
      <c r="OAY33" s="93"/>
      <c r="OAZ33" s="93"/>
      <c r="OBA33" s="93"/>
      <c r="OBB33" s="93"/>
      <c r="OBC33" s="93"/>
      <c r="OBD33" s="93"/>
      <c r="OBE33" s="93"/>
      <c r="OBF33" s="93"/>
      <c r="OBG33" s="93"/>
      <c r="OBH33" s="93"/>
      <c r="OBI33" s="93"/>
      <c r="OBJ33" s="93"/>
      <c r="OBK33" s="93"/>
      <c r="OBL33" s="93"/>
      <c r="OBM33" s="93"/>
      <c r="OBN33" s="93"/>
      <c r="OBO33" s="93"/>
      <c r="OBP33" s="93"/>
      <c r="OBQ33" s="93"/>
      <c r="OBR33" s="93"/>
      <c r="OBS33" s="93"/>
      <c r="OBT33" s="93"/>
      <c r="OBU33" s="93"/>
      <c r="OBV33" s="93"/>
      <c r="OBW33" s="93"/>
      <c r="OBX33" s="93"/>
      <c r="OBY33" s="93"/>
      <c r="OBZ33" s="93"/>
      <c r="OCA33" s="93"/>
      <c r="OCB33" s="93"/>
      <c r="OCC33" s="93"/>
      <c r="OCD33" s="93"/>
      <c r="OCE33" s="93"/>
      <c r="OCF33" s="93"/>
      <c r="OCG33" s="93"/>
      <c r="OCH33" s="93"/>
      <c r="OCI33" s="93"/>
      <c r="OCJ33" s="93"/>
      <c r="OCK33" s="93"/>
      <c r="OCL33" s="93"/>
      <c r="OCM33" s="93"/>
      <c r="OCN33" s="93"/>
      <c r="OCO33" s="93"/>
      <c r="OCP33" s="93"/>
      <c r="OCQ33" s="93"/>
      <c r="OCR33" s="93"/>
      <c r="OCS33" s="93"/>
      <c r="OCT33" s="93"/>
      <c r="OCU33" s="93"/>
      <c r="OCV33" s="93"/>
      <c r="OCW33" s="93"/>
      <c r="OCX33" s="93"/>
      <c r="OCY33" s="93"/>
      <c r="OCZ33" s="93"/>
      <c r="ODA33" s="93"/>
      <c r="ODB33" s="93"/>
      <c r="ODC33" s="93"/>
      <c r="ODD33" s="93"/>
      <c r="ODE33" s="93"/>
      <c r="ODF33" s="93"/>
      <c r="ODG33" s="93"/>
      <c r="ODH33" s="93"/>
      <c r="ODI33" s="93"/>
      <c r="ODJ33" s="93"/>
      <c r="ODK33" s="93"/>
      <c r="ODL33" s="93"/>
      <c r="ODM33" s="93"/>
      <c r="ODN33" s="93"/>
      <c r="ODO33" s="93"/>
      <c r="ODP33" s="93"/>
      <c r="ODQ33" s="93"/>
      <c r="ODR33" s="93"/>
      <c r="ODS33" s="93"/>
      <c r="ODT33" s="93"/>
      <c r="ODU33" s="93"/>
      <c r="ODV33" s="93"/>
      <c r="ODW33" s="93"/>
      <c r="ODX33" s="93"/>
      <c r="ODY33" s="93"/>
      <c r="ODZ33" s="93"/>
      <c r="OEA33" s="93"/>
      <c r="OEB33" s="93"/>
      <c r="OEC33" s="93"/>
      <c r="OED33" s="93"/>
      <c r="OEE33" s="93"/>
      <c r="OEF33" s="93"/>
      <c r="OEG33" s="93"/>
      <c r="OEH33" s="93"/>
      <c r="OEI33" s="93"/>
      <c r="OEJ33" s="93"/>
      <c r="OEK33" s="93"/>
      <c r="OEL33" s="93"/>
      <c r="OEM33" s="93"/>
      <c r="OEN33" s="93"/>
      <c r="OEO33" s="93"/>
      <c r="OEP33" s="93"/>
      <c r="OEQ33" s="93"/>
      <c r="OER33" s="93"/>
      <c r="OES33" s="93"/>
      <c r="OET33" s="93"/>
      <c r="OEU33" s="93"/>
      <c r="OEV33" s="93"/>
      <c r="OEW33" s="93"/>
      <c r="OEX33" s="93"/>
      <c r="OEY33" s="93"/>
      <c r="OEZ33" s="93"/>
      <c r="OFA33" s="93"/>
      <c r="OFB33" s="93"/>
      <c r="OFC33" s="93"/>
      <c r="OFD33" s="93"/>
      <c r="OFE33" s="93"/>
      <c r="OFF33" s="93"/>
      <c r="OFG33" s="93"/>
      <c r="OFH33" s="93"/>
      <c r="OFI33" s="93"/>
      <c r="OFJ33" s="93"/>
      <c r="OFK33" s="93"/>
      <c r="OFL33" s="93"/>
      <c r="OFM33" s="93"/>
      <c r="OFN33" s="93"/>
      <c r="OFO33" s="93"/>
      <c r="OFP33" s="93"/>
      <c r="OFQ33" s="93"/>
      <c r="OFR33" s="93"/>
      <c r="OFS33" s="93"/>
      <c r="OFT33" s="93"/>
      <c r="OFU33" s="93"/>
      <c r="OFV33" s="93"/>
      <c r="OFW33" s="93"/>
      <c r="OFX33" s="93"/>
      <c r="OFY33" s="93"/>
      <c r="OFZ33" s="93"/>
      <c r="OGA33" s="93"/>
      <c r="OGB33" s="93"/>
      <c r="OGC33" s="93"/>
      <c r="OGD33" s="93"/>
      <c r="OGE33" s="93"/>
      <c r="OGF33" s="93"/>
      <c r="OGG33" s="93"/>
      <c r="OGH33" s="93"/>
      <c r="OGI33" s="93"/>
      <c r="OGJ33" s="93"/>
      <c r="OGK33" s="93"/>
      <c r="OGL33" s="93"/>
      <c r="OGM33" s="93"/>
      <c r="OGN33" s="93"/>
      <c r="OGO33" s="93"/>
      <c r="OGP33" s="93"/>
      <c r="OGQ33" s="93"/>
      <c r="OGR33" s="93"/>
      <c r="OGS33" s="93"/>
      <c r="OGT33" s="93"/>
      <c r="OGU33" s="93"/>
      <c r="OGV33" s="93"/>
      <c r="OGW33" s="93"/>
      <c r="OGX33" s="93"/>
      <c r="OGY33" s="93"/>
      <c r="OGZ33" s="93"/>
      <c r="OHA33" s="93"/>
      <c r="OHB33" s="93"/>
      <c r="OHC33" s="93"/>
      <c r="OHD33" s="93"/>
      <c r="OHE33" s="93"/>
      <c r="OHF33" s="93"/>
      <c r="OHG33" s="93"/>
      <c r="OHH33" s="93"/>
      <c r="OHI33" s="93"/>
      <c r="OHJ33" s="93"/>
      <c r="OHK33" s="93"/>
      <c r="OHL33" s="93"/>
      <c r="OHM33" s="93"/>
      <c r="OHN33" s="93"/>
      <c r="OHO33" s="93"/>
      <c r="OHP33" s="93"/>
      <c r="OHQ33" s="93"/>
      <c r="OHR33" s="93"/>
      <c r="OHS33" s="93"/>
      <c r="OHT33" s="93"/>
      <c r="OHU33" s="93"/>
      <c r="OHV33" s="93"/>
      <c r="OHW33" s="93"/>
      <c r="OHX33" s="93"/>
      <c r="OHY33" s="93"/>
      <c r="OHZ33" s="93"/>
      <c r="OIA33" s="93"/>
      <c r="OIB33" s="93"/>
      <c r="OIC33" s="93"/>
      <c r="OID33" s="93"/>
      <c r="OIE33" s="93"/>
      <c r="OIF33" s="93"/>
      <c r="OIG33" s="93"/>
      <c r="OIH33" s="93"/>
      <c r="OII33" s="93"/>
      <c r="OIJ33" s="93"/>
      <c r="OIK33" s="93"/>
      <c r="OIL33" s="93"/>
      <c r="OIM33" s="93"/>
      <c r="OIN33" s="93"/>
      <c r="OIO33" s="93"/>
      <c r="OIP33" s="93"/>
      <c r="OIQ33" s="93"/>
      <c r="OIR33" s="93"/>
      <c r="OIS33" s="93"/>
      <c r="OIT33" s="93"/>
      <c r="OIU33" s="93"/>
      <c r="OIV33" s="93"/>
      <c r="OIW33" s="93"/>
      <c r="OIX33" s="93"/>
      <c r="OIY33" s="93"/>
      <c r="OIZ33" s="93"/>
      <c r="OJA33" s="93"/>
      <c r="OJB33" s="93"/>
      <c r="OJC33" s="93"/>
      <c r="OJD33" s="93"/>
      <c r="OJE33" s="93"/>
      <c r="OJF33" s="93"/>
      <c r="OJG33" s="93"/>
      <c r="OJH33" s="93"/>
      <c r="OJI33" s="93"/>
      <c r="OJJ33" s="93"/>
      <c r="OJK33" s="93"/>
      <c r="OJL33" s="93"/>
      <c r="OJM33" s="93"/>
      <c r="OJN33" s="93"/>
      <c r="OJO33" s="93"/>
      <c r="OJP33" s="93"/>
      <c r="OJQ33" s="93"/>
      <c r="OJR33" s="93"/>
      <c r="OJS33" s="93"/>
      <c r="OJT33" s="93"/>
      <c r="OJU33" s="93"/>
      <c r="OJV33" s="93"/>
      <c r="OJW33" s="93"/>
      <c r="OJX33" s="93"/>
      <c r="OJY33" s="93"/>
      <c r="OJZ33" s="93"/>
      <c r="OKA33" s="93"/>
      <c r="OKB33" s="93"/>
      <c r="OKC33" s="93"/>
      <c r="OKD33" s="93"/>
      <c r="OKE33" s="93"/>
      <c r="OKF33" s="93"/>
      <c r="OKG33" s="93"/>
      <c r="OKH33" s="93"/>
      <c r="OKI33" s="93"/>
      <c r="OKJ33" s="93"/>
      <c r="OKK33" s="93"/>
      <c r="OKL33" s="93"/>
      <c r="OKM33" s="93"/>
      <c r="OKN33" s="93"/>
      <c r="OKO33" s="93"/>
      <c r="OKP33" s="93"/>
      <c r="OKQ33" s="93"/>
      <c r="OKR33" s="93"/>
      <c r="OKS33" s="93"/>
      <c r="OKT33" s="93"/>
      <c r="OKU33" s="93"/>
      <c r="OKV33" s="93"/>
      <c r="OKW33" s="93"/>
      <c r="OKX33" s="93"/>
      <c r="OKY33" s="93"/>
      <c r="OKZ33" s="93"/>
      <c r="OLA33" s="93"/>
      <c r="OLB33" s="93"/>
      <c r="OLC33" s="93"/>
      <c r="OLD33" s="93"/>
      <c r="OLE33" s="93"/>
      <c r="OLF33" s="93"/>
      <c r="OLG33" s="93"/>
      <c r="OLH33" s="93"/>
      <c r="OLI33" s="93"/>
      <c r="OLJ33" s="93"/>
      <c r="OLK33" s="93"/>
      <c r="OLL33" s="93"/>
      <c r="OLM33" s="93"/>
      <c r="OLN33" s="93"/>
      <c r="OLO33" s="93"/>
      <c r="OLP33" s="93"/>
      <c r="OLQ33" s="93"/>
      <c r="OLR33" s="93"/>
      <c r="OLS33" s="93"/>
      <c r="OLT33" s="93"/>
      <c r="OLU33" s="93"/>
      <c r="OLV33" s="93"/>
      <c r="OLW33" s="93"/>
      <c r="OLX33" s="93"/>
      <c r="OLY33" s="93"/>
      <c r="OLZ33" s="93"/>
      <c r="OMA33" s="93"/>
      <c r="OMB33" s="93"/>
      <c r="OMC33" s="93"/>
      <c r="OMD33" s="93"/>
      <c r="OME33" s="93"/>
      <c r="OMF33" s="93"/>
      <c r="OMG33" s="93"/>
      <c r="OMH33" s="93"/>
      <c r="OMI33" s="93"/>
      <c r="OMJ33" s="93"/>
      <c r="OMK33" s="93"/>
      <c r="OML33" s="93"/>
      <c r="OMM33" s="93"/>
      <c r="OMN33" s="93"/>
      <c r="OMO33" s="93"/>
      <c r="OMP33" s="93"/>
      <c r="OMQ33" s="93"/>
      <c r="OMR33" s="93"/>
      <c r="OMS33" s="93"/>
      <c r="OMT33" s="93"/>
      <c r="OMU33" s="93"/>
      <c r="OMV33" s="93"/>
      <c r="OMW33" s="93"/>
      <c r="OMX33" s="93"/>
      <c r="OMY33" s="93"/>
      <c r="OMZ33" s="93"/>
      <c r="ONA33" s="93"/>
      <c r="ONB33" s="93"/>
      <c r="ONC33" s="93"/>
      <c r="OND33" s="93"/>
      <c r="ONE33" s="93"/>
      <c r="ONF33" s="93"/>
      <c r="ONG33" s="93"/>
      <c r="ONH33" s="93"/>
      <c r="ONI33" s="93"/>
      <c r="ONJ33" s="93"/>
      <c r="ONK33" s="93"/>
      <c r="ONL33" s="93"/>
      <c r="ONM33" s="93"/>
      <c r="ONN33" s="93"/>
      <c r="ONO33" s="93"/>
      <c r="ONP33" s="93"/>
      <c r="ONQ33" s="93"/>
      <c r="ONR33" s="93"/>
      <c r="ONS33" s="93"/>
      <c r="ONT33" s="93"/>
      <c r="ONU33" s="93"/>
      <c r="ONV33" s="93"/>
      <c r="ONW33" s="93"/>
      <c r="ONX33" s="93"/>
      <c r="ONY33" s="93"/>
      <c r="ONZ33" s="93"/>
      <c r="OOA33" s="93"/>
      <c r="OOB33" s="93"/>
      <c r="OOC33" s="93"/>
      <c r="OOD33" s="93"/>
      <c r="OOE33" s="93"/>
      <c r="OOF33" s="93"/>
      <c r="OOG33" s="93"/>
      <c r="OOH33" s="93"/>
      <c r="OOI33" s="93"/>
      <c r="OOJ33" s="93"/>
      <c r="OOK33" s="93"/>
      <c r="OOL33" s="93"/>
      <c r="OOM33" s="93"/>
      <c r="OON33" s="93"/>
      <c r="OOO33" s="93"/>
      <c r="OOP33" s="93"/>
      <c r="OOQ33" s="93"/>
      <c r="OOR33" s="93"/>
      <c r="OOS33" s="93"/>
      <c r="OOT33" s="93"/>
      <c r="OOU33" s="93"/>
      <c r="OOV33" s="93"/>
      <c r="OOW33" s="93"/>
      <c r="OOX33" s="93"/>
      <c r="OOY33" s="93"/>
      <c r="OOZ33" s="93"/>
      <c r="OPA33" s="93"/>
      <c r="OPB33" s="93"/>
      <c r="OPC33" s="93"/>
      <c r="OPD33" s="93"/>
      <c r="OPE33" s="93"/>
      <c r="OPF33" s="93"/>
      <c r="OPG33" s="93"/>
      <c r="OPH33" s="93"/>
      <c r="OPI33" s="93"/>
      <c r="OPJ33" s="93"/>
      <c r="OPK33" s="93"/>
      <c r="OPL33" s="93"/>
      <c r="OPM33" s="93"/>
      <c r="OPN33" s="93"/>
      <c r="OPO33" s="93"/>
      <c r="OPP33" s="93"/>
      <c r="OPQ33" s="93"/>
      <c r="OPR33" s="93"/>
      <c r="OPS33" s="93"/>
      <c r="OPT33" s="93"/>
      <c r="OPU33" s="93"/>
      <c r="OPV33" s="93"/>
      <c r="OPW33" s="93"/>
      <c r="OPX33" s="93"/>
      <c r="OPY33" s="93"/>
      <c r="OPZ33" s="93"/>
      <c r="OQA33" s="93"/>
      <c r="OQB33" s="93"/>
      <c r="OQC33" s="93"/>
      <c r="OQD33" s="93"/>
      <c r="OQE33" s="93"/>
      <c r="OQF33" s="93"/>
      <c r="OQG33" s="93"/>
      <c r="OQH33" s="93"/>
      <c r="OQI33" s="93"/>
      <c r="OQJ33" s="93"/>
      <c r="OQK33" s="93"/>
      <c r="OQL33" s="93"/>
      <c r="OQM33" s="93"/>
      <c r="OQN33" s="93"/>
      <c r="OQO33" s="93"/>
      <c r="OQP33" s="93"/>
      <c r="OQQ33" s="93"/>
      <c r="OQR33" s="93"/>
      <c r="OQS33" s="93"/>
      <c r="OQT33" s="93"/>
      <c r="OQU33" s="93"/>
      <c r="OQV33" s="93"/>
      <c r="OQW33" s="93"/>
      <c r="OQX33" s="93"/>
      <c r="OQY33" s="93"/>
      <c r="OQZ33" s="93"/>
      <c r="ORA33" s="93"/>
      <c r="ORB33" s="93"/>
      <c r="ORC33" s="93"/>
      <c r="ORD33" s="93"/>
      <c r="ORE33" s="93"/>
      <c r="ORF33" s="93"/>
      <c r="ORG33" s="93"/>
      <c r="ORH33" s="93"/>
      <c r="ORI33" s="93"/>
      <c r="ORJ33" s="93"/>
      <c r="ORK33" s="93"/>
      <c r="ORL33" s="93"/>
      <c r="ORM33" s="93"/>
      <c r="ORN33" s="93"/>
      <c r="ORO33" s="93"/>
      <c r="ORP33" s="93"/>
      <c r="ORQ33" s="93"/>
      <c r="ORR33" s="93"/>
      <c r="ORS33" s="93"/>
      <c r="ORT33" s="93"/>
      <c r="ORU33" s="93"/>
      <c r="ORV33" s="93"/>
      <c r="ORW33" s="93"/>
      <c r="ORX33" s="93"/>
      <c r="ORY33" s="93"/>
      <c r="ORZ33" s="93"/>
      <c r="OSA33" s="93"/>
      <c r="OSB33" s="93"/>
      <c r="OSC33" s="93"/>
      <c r="OSD33" s="93"/>
      <c r="OSE33" s="93"/>
      <c r="OSF33" s="93"/>
      <c r="OSG33" s="93"/>
      <c r="OSH33" s="93"/>
      <c r="OSI33" s="93"/>
      <c r="OSJ33" s="93"/>
      <c r="OSK33" s="93"/>
      <c r="OSL33" s="93"/>
      <c r="OSM33" s="93"/>
      <c r="OSN33" s="93"/>
      <c r="OSO33" s="93"/>
      <c r="OSP33" s="93"/>
      <c r="OSQ33" s="93"/>
      <c r="OSR33" s="93"/>
      <c r="OSS33" s="93"/>
      <c r="OST33" s="93"/>
      <c r="OSU33" s="93"/>
      <c r="OSV33" s="93"/>
      <c r="OSW33" s="93"/>
      <c r="OSX33" s="93"/>
      <c r="OSY33" s="93"/>
      <c r="OSZ33" s="93"/>
      <c r="OTA33" s="93"/>
      <c r="OTB33" s="93"/>
      <c r="OTC33" s="93"/>
      <c r="OTD33" s="93"/>
      <c r="OTE33" s="93"/>
      <c r="OTF33" s="93"/>
      <c r="OTG33" s="93"/>
      <c r="OTH33" s="93"/>
      <c r="OTI33" s="93"/>
      <c r="OTJ33" s="93"/>
      <c r="OTK33" s="93"/>
      <c r="OTL33" s="93"/>
      <c r="OTM33" s="93"/>
      <c r="OTN33" s="93"/>
      <c r="OTO33" s="93"/>
      <c r="OTP33" s="93"/>
      <c r="OTQ33" s="93"/>
      <c r="OTR33" s="93"/>
      <c r="OTS33" s="93"/>
      <c r="OTT33" s="93"/>
      <c r="OTU33" s="93"/>
      <c r="OTV33" s="93"/>
      <c r="OTW33" s="93"/>
      <c r="OTX33" s="93"/>
      <c r="OTY33" s="93"/>
      <c r="OTZ33" s="93"/>
      <c r="OUA33" s="93"/>
      <c r="OUB33" s="93"/>
      <c r="OUC33" s="93"/>
      <c r="OUD33" s="93"/>
      <c r="OUE33" s="93"/>
      <c r="OUF33" s="93"/>
      <c r="OUG33" s="93"/>
      <c r="OUH33" s="93"/>
      <c r="OUI33" s="93"/>
      <c r="OUJ33" s="93"/>
      <c r="OUK33" s="93"/>
      <c r="OUL33" s="93"/>
      <c r="OUM33" s="93"/>
      <c r="OUN33" s="93"/>
      <c r="OUO33" s="93"/>
      <c r="OUP33" s="93"/>
      <c r="OUQ33" s="93"/>
      <c r="OUR33" s="93"/>
      <c r="OUS33" s="93"/>
      <c r="OUT33" s="93"/>
      <c r="OUU33" s="93"/>
      <c r="OUV33" s="93"/>
      <c r="OUW33" s="93"/>
      <c r="OUX33" s="93"/>
      <c r="OUY33" s="93"/>
      <c r="OUZ33" s="93"/>
      <c r="OVA33" s="93"/>
      <c r="OVB33" s="93"/>
      <c r="OVC33" s="93"/>
      <c r="OVD33" s="93"/>
      <c r="OVE33" s="93"/>
      <c r="OVF33" s="93"/>
      <c r="OVG33" s="93"/>
      <c r="OVH33" s="93"/>
      <c r="OVI33" s="93"/>
      <c r="OVJ33" s="93"/>
      <c r="OVK33" s="93"/>
      <c r="OVL33" s="93"/>
      <c r="OVM33" s="93"/>
      <c r="OVN33" s="93"/>
      <c r="OVO33" s="93"/>
      <c r="OVP33" s="93"/>
      <c r="OVQ33" s="93"/>
      <c r="OVR33" s="93"/>
      <c r="OVS33" s="93"/>
      <c r="OVT33" s="93"/>
      <c r="OVU33" s="93"/>
      <c r="OVV33" s="93"/>
      <c r="OVW33" s="93"/>
      <c r="OVX33" s="93"/>
      <c r="OVY33" s="93"/>
      <c r="OVZ33" s="93"/>
      <c r="OWA33" s="93"/>
      <c r="OWB33" s="93"/>
      <c r="OWC33" s="93"/>
      <c r="OWD33" s="93"/>
      <c r="OWE33" s="93"/>
      <c r="OWF33" s="93"/>
      <c r="OWG33" s="93"/>
      <c r="OWH33" s="93"/>
      <c r="OWI33" s="93"/>
      <c r="OWJ33" s="93"/>
      <c r="OWK33" s="93"/>
      <c r="OWL33" s="93"/>
      <c r="OWM33" s="93"/>
      <c r="OWN33" s="93"/>
      <c r="OWO33" s="93"/>
      <c r="OWP33" s="93"/>
      <c r="OWQ33" s="93"/>
      <c r="OWR33" s="93"/>
      <c r="OWS33" s="93"/>
      <c r="OWT33" s="93"/>
      <c r="OWU33" s="93"/>
      <c r="OWV33" s="93"/>
      <c r="OWW33" s="93"/>
      <c r="OWX33" s="93"/>
      <c r="OWY33" s="93"/>
      <c r="OWZ33" s="93"/>
      <c r="OXA33" s="93"/>
      <c r="OXB33" s="93"/>
      <c r="OXC33" s="93"/>
      <c r="OXD33" s="93"/>
      <c r="OXE33" s="93"/>
      <c r="OXF33" s="93"/>
      <c r="OXG33" s="93"/>
      <c r="OXH33" s="93"/>
      <c r="OXI33" s="93"/>
      <c r="OXJ33" s="93"/>
      <c r="OXK33" s="93"/>
      <c r="OXL33" s="93"/>
      <c r="OXM33" s="93"/>
      <c r="OXN33" s="93"/>
      <c r="OXO33" s="93"/>
      <c r="OXP33" s="93"/>
      <c r="OXQ33" s="93"/>
      <c r="OXR33" s="93"/>
      <c r="OXS33" s="93"/>
      <c r="OXT33" s="93"/>
      <c r="OXU33" s="93"/>
      <c r="OXV33" s="93"/>
      <c r="OXW33" s="93"/>
      <c r="OXX33" s="93"/>
      <c r="OXY33" s="93"/>
      <c r="OXZ33" s="93"/>
      <c r="OYA33" s="93"/>
      <c r="OYB33" s="93"/>
      <c r="OYC33" s="93"/>
      <c r="OYD33" s="93"/>
      <c r="OYE33" s="93"/>
      <c r="OYF33" s="93"/>
      <c r="OYG33" s="93"/>
      <c r="OYH33" s="93"/>
      <c r="OYI33" s="93"/>
      <c r="OYJ33" s="93"/>
      <c r="OYK33" s="93"/>
      <c r="OYL33" s="93"/>
      <c r="OYM33" s="93"/>
      <c r="OYN33" s="93"/>
      <c r="OYO33" s="93"/>
      <c r="OYP33" s="93"/>
      <c r="OYQ33" s="93"/>
      <c r="OYR33" s="93"/>
      <c r="OYS33" s="93"/>
      <c r="OYT33" s="93"/>
      <c r="OYU33" s="93"/>
      <c r="OYV33" s="93"/>
      <c r="OYW33" s="93"/>
      <c r="OYX33" s="93"/>
      <c r="OYY33" s="93"/>
      <c r="OYZ33" s="93"/>
      <c r="OZA33" s="93"/>
      <c r="OZB33" s="93"/>
      <c r="OZC33" s="93"/>
      <c r="OZD33" s="93"/>
      <c r="OZE33" s="93"/>
      <c r="OZF33" s="93"/>
      <c r="OZG33" s="93"/>
      <c r="OZH33" s="93"/>
      <c r="OZI33" s="93"/>
      <c r="OZJ33" s="93"/>
      <c r="OZK33" s="93"/>
      <c r="OZL33" s="93"/>
      <c r="OZM33" s="93"/>
      <c r="OZN33" s="93"/>
      <c r="OZO33" s="93"/>
      <c r="OZP33" s="93"/>
      <c r="OZQ33" s="93"/>
      <c r="OZR33" s="93"/>
      <c r="OZS33" s="93"/>
      <c r="OZT33" s="93"/>
      <c r="OZU33" s="93"/>
      <c r="OZV33" s="93"/>
      <c r="OZW33" s="93"/>
      <c r="OZX33" s="93"/>
      <c r="OZY33" s="93"/>
      <c r="OZZ33" s="93"/>
      <c r="PAA33" s="93"/>
      <c r="PAB33" s="93"/>
      <c r="PAC33" s="93"/>
      <c r="PAD33" s="93"/>
      <c r="PAE33" s="93"/>
      <c r="PAF33" s="93"/>
      <c r="PAG33" s="93"/>
      <c r="PAH33" s="93"/>
      <c r="PAI33" s="93"/>
      <c r="PAJ33" s="93"/>
      <c r="PAK33" s="93"/>
      <c r="PAL33" s="93"/>
      <c r="PAM33" s="93"/>
      <c r="PAN33" s="93"/>
      <c r="PAO33" s="93"/>
      <c r="PAP33" s="93"/>
      <c r="PAQ33" s="93"/>
      <c r="PAR33" s="93"/>
      <c r="PAS33" s="93"/>
      <c r="PAT33" s="93"/>
      <c r="PAU33" s="93"/>
      <c r="PAV33" s="93"/>
      <c r="PAW33" s="93"/>
      <c r="PAX33" s="93"/>
      <c r="PAY33" s="93"/>
      <c r="PAZ33" s="93"/>
      <c r="PBA33" s="93"/>
      <c r="PBB33" s="93"/>
      <c r="PBC33" s="93"/>
      <c r="PBD33" s="93"/>
      <c r="PBE33" s="93"/>
      <c r="PBF33" s="93"/>
      <c r="PBG33" s="93"/>
      <c r="PBH33" s="93"/>
      <c r="PBI33" s="93"/>
      <c r="PBJ33" s="93"/>
      <c r="PBK33" s="93"/>
      <c r="PBL33" s="93"/>
      <c r="PBM33" s="93"/>
      <c r="PBN33" s="93"/>
      <c r="PBO33" s="93"/>
      <c r="PBP33" s="93"/>
      <c r="PBQ33" s="93"/>
      <c r="PBR33" s="93"/>
      <c r="PBS33" s="93"/>
      <c r="PBT33" s="93"/>
      <c r="PBU33" s="93"/>
      <c r="PBV33" s="93"/>
      <c r="PBW33" s="93"/>
      <c r="PBX33" s="93"/>
      <c r="PBY33" s="93"/>
      <c r="PBZ33" s="93"/>
      <c r="PCA33" s="93"/>
      <c r="PCB33" s="93"/>
      <c r="PCC33" s="93"/>
      <c r="PCD33" s="93"/>
      <c r="PCE33" s="93"/>
      <c r="PCF33" s="93"/>
      <c r="PCG33" s="93"/>
      <c r="PCH33" s="93"/>
      <c r="PCI33" s="93"/>
      <c r="PCJ33" s="93"/>
      <c r="PCK33" s="93"/>
      <c r="PCL33" s="93"/>
      <c r="PCM33" s="93"/>
      <c r="PCN33" s="93"/>
      <c r="PCO33" s="93"/>
      <c r="PCP33" s="93"/>
      <c r="PCQ33" s="93"/>
      <c r="PCR33" s="93"/>
      <c r="PCS33" s="93"/>
      <c r="PCT33" s="93"/>
      <c r="PCU33" s="93"/>
      <c r="PCV33" s="93"/>
      <c r="PCW33" s="93"/>
      <c r="PCX33" s="93"/>
      <c r="PCY33" s="93"/>
      <c r="PCZ33" s="93"/>
      <c r="PDA33" s="93"/>
      <c r="PDB33" s="93"/>
      <c r="PDC33" s="93"/>
      <c r="PDD33" s="93"/>
      <c r="PDE33" s="93"/>
      <c r="PDF33" s="93"/>
      <c r="PDG33" s="93"/>
      <c r="PDH33" s="93"/>
      <c r="PDI33" s="93"/>
      <c r="PDJ33" s="93"/>
      <c r="PDK33" s="93"/>
      <c r="PDL33" s="93"/>
      <c r="PDM33" s="93"/>
      <c r="PDN33" s="93"/>
      <c r="PDO33" s="93"/>
      <c r="PDP33" s="93"/>
      <c r="PDQ33" s="93"/>
      <c r="PDR33" s="93"/>
      <c r="PDS33" s="93"/>
      <c r="PDT33" s="93"/>
      <c r="PDU33" s="93"/>
      <c r="PDV33" s="93"/>
      <c r="PDW33" s="93"/>
      <c r="PDX33" s="93"/>
      <c r="PDY33" s="93"/>
      <c r="PDZ33" s="93"/>
      <c r="PEA33" s="93"/>
      <c r="PEB33" s="93"/>
      <c r="PEC33" s="93"/>
      <c r="PED33" s="93"/>
      <c r="PEE33" s="93"/>
      <c r="PEF33" s="93"/>
      <c r="PEG33" s="93"/>
      <c r="PEH33" s="93"/>
      <c r="PEI33" s="93"/>
      <c r="PEJ33" s="93"/>
      <c r="PEK33" s="93"/>
      <c r="PEL33" s="93"/>
      <c r="PEM33" s="93"/>
      <c r="PEN33" s="93"/>
      <c r="PEO33" s="93"/>
      <c r="PEP33" s="93"/>
      <c r="PEQ33" s="93"/>
      <c r="PER33" s="93"/>
      <c r="PES33" s="93"/>
      <c r="PET33" s="93"/>
      <c r="PEU33" s="93"/>
      <c r="PEV33" s="93"/>
      <c r="PEW33" s="93"/>
      <c r="PEX33" s="93"/>
      <c r="PEY33" s="93"/>
      <c r="PEZ33" s="93"/>
      <c r="PFA33" s="93"/>
      <c r="PFB33" s="93"/>
      <c r="PFC33" s="93"/>
      <c r="PFD33" s="93"/>
      <c r="PFE33" s="93"/>
      <c r="PFF33" s="93"/>
      <c r="PFG33" s="93"/>
      <c r="PFH33" s="93"/>
      <c r="PFI33" s="93"/>
      <c r="PFJ33" s="93"/>
      <c r="PFK33" s="93"/>
      <c r="PFL33" s="93"/>
      <c r="PFM33" s="93"/>
      <c r="PFN33" s="93"/>
      <c r="PFO33" s="93"/>
      <c r="PFP33" s="93"/>
      <c r="PFQ33" s="93"/>
      <c r="PFR33" s="93"/>
      <c r="PFS33" s="93"/>
      <c r="PFT33" s="93"/>
      <c r="PFU33" s="93"/>
      <c r="PFV33" s="93"/>
      <c r="PFW33" s="93"/>
      <c r="PFX33" s="93"/>
      <c r="PFY33" s="93"/>
      <c r="PFZ33" s="93"/>
      <c r="PGA33" s="93"/>
      <c r="PGB33" s="93"/>
      <c r="PGC33" s="93"/>
      <c r="PGD33" s="93"/>
      <c r="PGE33" s="93"/>
      <c r="PGF33" s="93"/>
      <c r="PGG33" s="93"/>
      <c r="PGH33" s="93"/>
      <c r="PGI33" s="93"/>
      <c r="PGJ33" s="93"/>
      <c r="PGK33" s="93"/>
      <c r="PGL33" s="93"/>
      <c r="PGM33" s="93"/>
      <c r="PGN33" s="93"/>
      <c r="PGO33" s="93"/>
      <c r="PGP33" s="93"/>
      <c r="PGQ33" s="93"/>
      <c r="PGR33" s="93"/>
      <c r="PGS33" s="93"/>
      <c r="PGT33" s="93"/>
      <c r="PGU33" s="93"/>
      <c r="PGV33" s="93"/>
      <c r="PGW33" s="93"/>
      <c r="PGX33" s="93"/>
      <c r="PGY33" s="93"/>
      <c r="PGZ33" s="93"/>
      <c r="PHA33" s="93"/>
      <c r="PHB33" s="93"/>
      <c r="PHC33" s="93"/>
      <c r="PHD33" s="93"/>
      <c r="PHE33" s="93"/>
      <c r="PHF33" s="93"/>
      <c r="PHG33" s="93"/>
      <c r="PHH33" s="93"/>
      <c r="PHI33" s="93"/>
      <c r="PHJ33" s="93"/>
      <c r="PHK33" s="93"/>
      <c r="PHL33" s="93"/>
      <c r="PHM33" s="93"/>
      <c r="PHN33" s="93"/>
      <c r="PHO33" s="93"/>
      <c r="PHP33" s="93"/>
      <c r="PHQ33" s="93"/>
      <c r="PHR33" s="93"/>
      <c r="PHS33" s="93"/>
      <c r="PHT33" s="93"/>
      <c r="PHU33" s="93"/>
      <c r="PHV33" s="93"/>
      <c r="PHW33" s="93"/>
      <c r="PHX33" s="93"/>
      <c r="PHY33" s="93"/>
      <c r="PHZ33" s="93"/>
      <c r="PIA33" s="93"/>
      <c r="PIB33" s="93"/>
      <c r="PIC33" s="93"/>
      <c r="PID33" s="93"/>
      <c r="PIE33" s="93"/>
      <c r="PIF33" s="93"/>
      <c r="PIG33" s="93"/>
      <c r="PIH33" s="93"/>
      <c r="PII33" s="93"/>
      <c r="PIJ33" s="93"/>
      <c r="PIK33" s="93"/>
      <c r="PIL33" s="93"/>
      <c r="PIM33" s="93"/>
      <c r="PIN33" s="93"/>
      <c r="PIO33" s="93"/>
      <c r="PIP33" s="93"/>
      <c r="PIQ33" s="93"/>
      <c r="PIR33" s="93"/>
      <c r="PIS33" s="93"/>
      <c r="PIT33" s="93"/>
      <c r="PIU33" s="93"/>
      <c r="PIV33" s="93"/>
      <c r="PIW33" s="93"/>
      <c r="PIX33" s="93"/>
      <c r="PIY33" s="93"/>
      <c r="PIZ33" s="93"/>
      <c r="PJA33" s="93"/>
      <c r="PJB33" s="93"/>
      <c r="PJC33" s="93"/>
      <c r="PJD33" s="93"/>
      <c r="PJE33" s="93"/>
      <c r="PJF33" s="93"/>
      <c r="PJG33" s="93"/>
      <c r="PJH33" s="93"/>
      <c r="PJI33" s="93"/>
      <c r="PJJ33" s="93"/>
      <c r="PJK33" s="93"/>
      <c r="PJL33" s="93"/>
      <c r="PJM33" s="93"/>
      <c r="PJN33" s="93"/>
      <c r="PJO33" s="93"/>
      <c r="PJP33" s="93"/>
      <c r="PJQ33" s="93"/>
      <c r="PJR33" s="93"/>
      <c r="PJS33" s="93"/>
      <c r="PJT33" s="93"/>
      <c r="PJU33" s="93"/>
      <c r="PJV33" s="93"/>
      <c r="PJW33" s="93"/>
      <c r="PJX33" s="93"/>
      <c r="PJY33" s="93"/>
      <c r="PJZ33" s="93"/>
      <c r="PKA33" s="93"/>
      <c r="PKB33" s="93"/>
      <c r="PKC33" s="93"/>
      <c r="PKD33" s="93"/>
      <c r="PKE33" s="93"/>
      <c r="PKF33" s="93"/>
      <c r="PKG33" s="93"/>
      <c r="PKH33" s="93"/>
      <c r="PKI33" s="93"/>
      <c r="PKJ33" s="93"/>
      <c r="PKK33" s="93"/>
      <c r="PKL33" s="93"/>
      <c r="PKM33" s="93"/>
      <c r="PKN33" s="93"/>
      <c r="PKO33" s="93"/>
      <c r="PKP33" s="93"/>
      <c r="PKQ33" s="93"/>
      <c r="PKR33" s="93"/>
      <c r="PKS33" s="93"/>
      <c r="PKT33" s="93"/>
      <c r="PKU33" s="93"/>
      <c r="PKV33" s="93"/>
      <c r="PKW33" s="93"/>
      <c r="PKX33" s="93"/>
      <c r="PKY33" s="93"/>
      <c r="PKZ33" s="93"/>
      <c r="PLA33" s="93"/>
      <c r="PLB33" s="93"/>
      <c r="PLC33" s="93"/>
      <c r="PLD33" s="93"/>
      <c r="PLE33" s="93"/>
      <c r="PLF33" s="93"/>
      <c r="PLG33" s="93"/>
      <c r="PLH33" s="93"/>
      <c r="PLI33" s="93"/>
      <c r="PLJ33" s="93"/>
      <c r="PLK33" s="93"/>
      <c r="PLL33" s="93"/>
      <c r="PLM33" s="93"/>
      <c r="PLN33" s="93"/>
      <c r="PLO33" s="93"/>
      <c r="PLP33" s="93"/>
      <c r="PLQ33" s="93"/>
      <c r="PLR33" s="93"/>
      <c r="PLS33" s="93"/>
      <c r="PLT33" s="93"/>
      <c r="PLU33" s="93"/>
      <c r="PLV33" s="93"/>
      <c r="PLW33" s="93"/>
      <c r="PLX33" s="93"/>
      <c r="PLY33" s="93"/>
      <c r="PLZ33" s="93"/>
      <c r="PMA33" s="93"/>
      <c r="PMB33" s="93"/>
      <c r="PMC33" s="93"/>
      <c r="PMD33" s="93"/>
      <c r="PME33" s="93"/>
      <c r="PMF33" s="93"/>
      <c r="PMG33" s="93"/>
      <c r="PMH33" s="93"/>
      <c r="PMI33" s="93"/>
      <c r="PMJ33" s="93"/>
      <c r="PMK33" s="93"/>
      <c r="PML33" s="93"/>
      <c r="PMM33" s="93"/>
      <c r="PMN33" s="93"/>
      <c r="PMO33" s="93"/>
      <c r="PMP33" s="93"/>
      <c r="PMQ33" s="93"/>
      <c r="PMR33" s="93"/>
      <c r="PMS33" s="93"/>
      <c r="PMT33" s="93"/>
      <c r="PMU33" s="93"/>
      <c r="PMV33" s="93"/>
      <c r="PMW33" s="93"/>
      <c r="PMX33" s="93"/>
      <c r="PMY33" s="93"/>
      <c r="PMZ33" s="93"/>
      <c r="PNA33" s="93"/>
      <c r="PNB33" s="93"/>
      <c r="PNC33" s="93"/>
      <c r="PND33" s="93"/>
      <c r="PNE33" s="93"/>
      <c r="PNF33" s="93"/>
      <c r="PNG33" s="93"/>
      <c r="PNH33" s="93"/>
      <c r="PNI33" s="93"/>
      <c r="PNJ33" s="93"/>
      <c r="PNK33" s="93"/>
      <c r="PNL33" s="93"/>
      <c r="PNM33" s="93"/>
      <c r="PNN33" s="93"/>
      <c r="PNO33" s="93"/>
      <c r="PNP33" s="93"/>
      <c r="PNQ33" s="93"/>
      <c r="PNR33" s="93"/>
      <c r="PNS33" s="93"/>
      <c r="PNT33" s="93"/>
      <c r="PNU33" s="93"/>
      <c r="PNV33" s="93"/>
      <c r="PNW33" s="93"/>
      <c r="PNX33" s="93"/>
      <c r="PNY33" s="93"/>
      <c r="PNZ33" s="93"/>
      <c r="POA33" s="93"/>
      <c r="POB33" s="93"/>
      <c r="POC33" s="93"/>
      <c r="POD33" s="93"/>
      <c r="POE33" s="93"/>
      <c r="POF33" s="93"/>
      <c r="POG33" s="93"/>
      <c r="POH33" s="93"/>
      <c r="POI33" s="93"/>
      <c r="POJ33" s="93"/>
      <c r="POK33" s="93"/>
      <c r="POL33" s="93"/>
      <c r="POM33" s="93"/>
      <c r="PON33" s="93"/>
      <c r="POO33" s="93"/>
      <c r="POP33" s="93"/>
      <c r="POQ33" s="93"/>
      <c r="POR33" s="93"/>
      <c r="POS33" s="93"/>
      <c r="POT33" s="93"/>
      <c r="POU33" s="93"/>
      <c r="POV33" s="93"/>
      <c r="POW33" s="93"/>
      <c r="POX33" s="93"/>
      <c r="POY33" s="93"/>
      <c r="POZ33" s="93"/>
      <c r="PPA33" s="93"/>
      <c r="PPB33" s="93"/>
      <c r="PPC33" s="93"/>
      <c r="PPD33" s="93"/>
      <c r="PPE33" s="93"/>
      <c r="PPF33" s="93"/>
      <c r="PPG33" s="93"/>
      <c r="PPH33" s="93"/>
      <c r="PPI33" s="93"/>
      <c r="PPJ33" s="93"/>
      <c r="PPK33" s="93"/>
      <c r="PPL33" s="93"/>
      <c r="PPM33" s="93"/>
      <c r="PPN33" s="93"/>
      <c r="PPO33" s="93"/>
      <c r="PPP33" s="93"/>
      <c r="PPQ33" s="93"/>
      <c r="PPR33" s="93"/>
      <c r="PPS33" s="93"/>
      <c r="PPT33" s="93"/>
      <c r="PPU33" s="93"/>
      <c r="PPV33" s="93"/>
      <c r="PPW33" s="93"/>
      <c r="PPX33" s="93"/>
      <c r="PPY33" s="93"/>
      <c r="PPZ33" s="93"/>
      <c r="PQA33" s="93"/>
      <c r="PQB33" s="93"/>
      <c r="PQC33" s="93"/>
      <c r="PQD33" s="93"/>
      <c r="PQE33" s="93"/>
      <c r="PQF33" s="93"/>
      <c r="PQG33" s="93"/>
      <c r="PQH33" s="93"/>
      <c r="PQI33" s="93"/>
      <c r="PQJ33" s="93"/>
      <c r="PQK33" s="93"/>
      <c r="PQL33" s="93"/>
      <c r="PQM33" s="93"/>
      <c r="PQN33" s="93"/>
      <c r="PQO33" s="93"/>
      <c r="PQP33" s="93"/>
      <c r="PQQ33" s="93"/>
      <c r="PQR33" s="93"/>
      <c r="PQS33" s="93"/>
      <c r="PQT33" s="93"/>
      <c r="PQU33" s="93"/>
      <c r="PQV33" s="93"/>
      <c r="PQW33" s="93"/>
      <c r="PQX33" s="93"/>
      <c r="PQY33" s="93"/>
      <c r="PQZ33" s="93"/>
      <c r="PRA33" s="93"/>
      <c r="PRB33" s="93"/>
      <c r="PRC33" s="93"/>
      <c r="PRD33" s="93"/>
      <c r="PRE33" s="93"/>
      <c r="PRF33" s="93"/>
      <c r="PRG33" s="93"/>
      <c r="PRH33" s="93"/>
      <c r="PRI33" s="93"/>
      <c r="PRJ33" s="93"/>
      <c r="PRK33" s="93"/>
      <c r="PRL33" s="93"/>
      <c r="PRM33" s="93"/>
      <c r="PRN33" s="93"/>
      <c r="PRO33" s="93"/>
      <c r="PRP33" s="93"/>
      <c r="PRQ33" s="93"/>
      <c r="PRR33" s="93"/>
      <c r="PRS33" s="93"/>
      <c r="PRT33" s="93"/>
      <c r="PRU33" s="93"/>
      <c r="PRV33" s="93"/>
      <c r="PRW33" s="93"/>
      <c r="PRX33" s="93"/>
      <c r="PRY33" s="93"/>
      <c r="PRZ33" s="93"/>
      <c r="PSA33" s="93"/>
      <c r="PSB33" s="93"/>
      <c r="PSC33" s="93"/>
      <c r="PSD33" s="93"/>
      <c r="PSE33" s="93"/>
      <c r="PSF33" s="93"/>
      <c r="PSG33" s="93"/>
      <c r="PSH33" s="93"/>
      <c r="PSI33" s="93"/>
      <c r="PSJ33" s="93"/>
      <c r="PSK33" s="93"/>
      <c r="PSL33" s="93"/>
      <c r="PSM33" s="93"/>
      <c r="PSN33" s="93"/>
      <c r="PSO33" s="93"/>
      <c r="PSP33" s="93"/>
      <c r="PSQ33" s="93"/>
      <c r="PSR33" s="93"/>
      <c r="PSS33" s="93"/>
      <c r="PST33" s="93"/>
      <c r="PSU33" s="93"/>
      <c r="PSV33" s="93"/>
      <c r="PSW33" s="93"/>
      <c r="PSX33" s="93"/>
      <c r="PSY33" s="93"/>
      <c r="PSZ33" s="93"/>
      <c r="PTA33" s="93"/>
      <c r="PTB33" s="93"/>
      <c r="PTC33" s="93"/>
      <c r="PTD33" s="93"/>
      <c r="PTE33" s="93"/>
      <c r="PTF33" s="93"/>
      <c r="PTG33" s="93"/>
      <c r="PTH33" s="93"/>
      <c r="PTI33" s="93"/>
      <c r="PTJ33" s="93"/>
      <c r="PTK33" s="93"/>
      <c r="PTL33" s="93"/>
      <c r="PTM33" s="93"/>
      <c r="PTN33" s="93"/>
      <c r="PTO33" s="93"/>
      <c r="PTP33" s="93"/>
      <c r="PTQ33" s="93"/>
      <c r="PTR33" s="93"/>
      <c r="PTS33" s="93"/>
      <c r="PTT33" s="93"/>
      <c r="PTU33" s="93"/>
      <c r="PTV33" s="93"/>
      <c r="PTW33" s="93"/>
      <c r="PTX33" s="93"/>
      <c r="PTY33" s="93"/>
      <c r="PTZ33" s="93"/>
      <c r="PUA33" s="93"/>
      <c r="PUB33" s="93"/>
      <c r="PUC33" s="93"/>
      <c r="PUD33" s="93"/>
      <c r="PUE33" s="93"/>
      <c r="PUF33" s="93"/>
      <c r="PUG33" s="93"/>
      <c r="PUH33" s="93"/>
      <c r="PUI33" s="93"/>
      <c r="PUJ33" s="93"/>
      <c r="PUK33" s="93"/>
      <c r="PUL33" s="93"/>
      <c r="PUM33" s="93"/>
      <c r="PUN33" s="93"/>
      <c r="PUO33" s="93"/>
      <c r="PUP33" s="93"/>
      <c r="PUQ33" s="93"/>
      <c r="PUR33" s="93"/>
      <c r="PUS33" s="93"/>
      <c r="PUT33" s="93"/>
      <c r="PUU33" s="93"/>
      <c r="PUV33" s="93"/>
      <c r="PUW33" s="93"/>
      <c r="PUX33" s="93"/>
      <c r="PUY33" s="93"/>
      <c r="PUZ33" s="93"/>
      <c r="PVA33" s="93"/>
      <c r="PVB33" s="93"/>
      <c r="PVC33" s="93"/>
      <c r="PVD33" s="93"/>
      <c r="PVE33" s="93"/>
      <c r="PVF33" s="93"/>
      <c r="PVG33" s="93"/>
      <c r="PVH33" s="93"/>
      <c r="PVI33" s="93"/>
      <c r="PVJ33" s="93"/>
      <c r="PVK33" s="93"/>
      <c r="PVL33" s="93"/>
      <c r="PVM33" s="93"/>
      <c r="PVN33" s="93"/>
      <c r="PVO33" s="93"/>
      <c r="PVP33" s="93"/>
      <c r="PVQ33" s="93"/>
      <c r="PVR33" s="93"/>
      <c r="PVS33" s="93"/>
      <c r="PVT33" s="93"/>
      <c r="PVU33" s="93"/>
      <c r="PVV33" s="93"/>
      <c r="PVW33" s="93"/>
      <c r="PVX33" s="93"/>
      <c r="PVY33" s="93"/>
      <c r="PVZ33" s="93"/>
      <c r="PWA33" s="93"/>
      <c r="PWB33" s="93"/>
      <c r="PWC33" s="93"/>
      <c r="PWD33" s="93"/>
      <c r="PWE33" s="93"/>
      <c r="PWF33" s="93"/>
      <c r="PWG33" s="93"/>
      <c r="PWH33" s="93"/>
      <c r="PWI33" s="93"/>
      <c r="PWJ33" s="93"/>
      <c r="PWK33" s="93"/>
      <c r="PWL33" s="93"/>
      <c r="PWM33" s="93"/>
      <c r="PWN33" s="93"/>
      <c r="PWO33" s="93"/>
      <c r="PWP33" s="93"/>
      <c r="PWQ33" s="93"/>
      <c r="PWR33" s="93"/>
      <c r="PWS33" s="93"/>
      <c r="PWT33" s="93"/>
      <c r="PWU33" s="93"/>
      <c r="PWV33" s="93"/>
      <c r="PWW33" s="93"/>
      <c r="PWX33" s="93"/>
      <c r="PWY33" s="93"/>
      <c r="PWZ33" s="93"/>
      <c r="PXA33" s="93"/>
      <c r="PXB33" s="93"/>
      <c r="PXC33" s="93"/>
      <c r="PXD33" s="93"/>
      <c r="PXE33" s="93"/>
      <c r="PXF33" s="93"/>
      <c r="PXG33" s="93"/>
      <c r="PXH33" s="93"/>
      <c r="PXI33" s="93"/>
      <c r="PXJ33" s="93"/>
      <c r="PXK33" s="93"/>
      <c r="PXL33" s="93"/>
      <c r="PXM33" s="93"/>
      <c r="PXN33" s="93"/>
      <c r="PXO33" s="93"/>
      <c r="PXP33" s="93"/>
      <c r="PXQ33" s="93"/>
      <c r="PXR33" s="93"/>
      <c r="PXS33" s="93"/>
      <c r="PXT33" s="93"/>
      <c r="PXU33" s="93"/>
      <c r="PXV33" s="93"/>
      <c r="PXW33" s="93"/>
      <c r="PXX33" s="93"/>
      <c r="PXY33" s="93"/>
      <c r="PXZ33" s="93"/>
      <c r="PYA33" s="93"/>
      <c r="PYB33" s="93"/>
      <c r="PYC33" s="93"/>
      <c r="PYD33" s="93"/>
      <c r="PYE33" s="93"/>
      <c r="PYF33" s="93"/>
      <c r="PYG33" s="93"/>
      <c r="PYH33" s="93"/>
      <c r="PYI33" s="93"/>
      <c r="PYJ33" s="93"/>
      <c r="PYK33" s="93"/>
      <c r="PYL33" s="93"/>
      <c r="PYM33" s="93"/>
      <c r="PYN33" s="93"/>
      <c r="PYO33" s="93"/>
      <c r="PYP33" s="93"/>
      <c r="PYQ33" s="93"/>
      <c r="PYR33" s="93"/>
      <c r="PYS33" s="93"/>
      <c r="PYT33" s="93"/>
      <c r="PYU33" s="93"/>
      <c r="PYV33" s="93"/>
      <c r="PYW33" s="93"/>
      <c r="PYX33" s="93"/>
      <c r="PYY33" s="93"/>
      <c r="PYZ33" s="93"/>
      <c r="PZA33" s="93"/>
      <c r="PZB33" s="93"/>
      <c r="PZC33" s="93"/>
      <c r="PZD33" s="93"/>
      <c r="PZE33" s="93"/>
      <c r="PZF33" s="93"/>
      <c r="PZG33" s="93"/>
      <c r="PZH33" s="93"/>
      <c r="PZI33" s="93"/>
      <c r="PZJ33" s="93"/>
      <c r="PZK33" s="93"/>
      <c r="PZL33" s="93"/>
      <c r="PZM33" s="93"/>
      <c r="PZN33" s="93"/>
      <c r="PZO33" s="93"/>
      <c r="PZP33" s="93"/>
      <c r="PZQ33" s="93"/>
      <c r="PZR33" s="93"/>
      <c r="PZS33" s="93"/>
      <c r="PZT33" s="93"/>
      <c r="PZU33" s="93"/>
      <c r="PZV33" s="93"/>
      <c r="PZW33" s="93"/>
      <c r="PZX33" s="93"/>
      <c r="PZY33" s="93"/>
      <c r="PZZ33" s="93"/>
      <c r="QAA33" s="93"/>
      <c r="QAB33" s="93"/>
      <c r="QAC33" s="93"/>
      <c r="QAD33" s="93"/>
      <c r="QAE33" s="93"/>
      <c r="QAF33" s="93"/>
      <c r="QAG33" s="93"/>
      <c r="QAH33" s="93"/>
      <c r="QAI33" s="93"/>
      <c r="QAJ33" s="93"/>
      <c r="QAK33" s="93"/>
      <c r="QAL33" s="93"/>
      <c r="QAM33" s="93"/>
      <c r="QAN33" s="93"/>
      <c r="QAO33" s="93"/>
      <c r="QAP33" s="93"/>
      <c r="QAQ33" s="93"/>
      <c r="QAR33" s="93"/>
      <c r="QAS33" s="93"/>
      <c r="QAT33" s="93"/>
      <c r="QAU33" s="93"/>
      <c r="QAV33" s="93"/>
      <c r="QAW33" s="93"/>
      <c r="QAX33" s="93"/>
      <c r="QAY33" s="93"/>
      <c r="QAZ33" s="93"/>
      <c r="QBA33" s="93"/>
      <c r="QBB33" s="93"/>
      <c r="QBC33" s="93"/>
      <c r="QBD33" s="93"/>
      <c r="QBE33" s="93"/>
      <c r="QBF33" s="93"/>
      <c r="QBG33" s="93"/>
      <c r="QBH33" s="93"/>
      <c r="QBI33" s="93"/>
      <c r="QBJ33" s="93"/>
      <c r="QBK33" s="93"/>
      <c r="QBL33" s="93"/>
      <c r="QBM33" s="93"/>
      <c r="QBN33" s="93"/>
      <c r="QBO33" s="93"/>
      <c r="QBP33" s="93"/>
      <c r="QBQ33" s="93"/>
      <c r="QBR33" s="93"/>
      <c r="QBS33" s="93"/>
      <c r="QBT33" s="93"/>
      <c r="QBU33" s="93"/>
      <c r="QBV33" s="93"/>
      <c r="QBW33" s="93"/>
      <c r="QBX33" s="93"/>
      <c r="QBY33" s="93"/>
      <c r="QBZ33" s="93"/>
      <c r="QCA33" s="93"/>
      <c r="QCB33" s="93"/>
      <c r="QCC33" s="93"/>
      <c r="QCD33" s="93"/>
      <c r="QCE33" s="93"/>
      <c r="QCF33" s="93"/>
      <c r="QCG33" s="93"/>
      <c r="QCH33" s="93"/>
      <c r="QCI33" s="93"/>
      <c r="QCJ33" s="93"/>
      <c r="QCK33" s="93"/>
      <c r="QCL33" s="93"/>
      <c r="QCM33" s="93"/>
      <c r="QCN33" s="93"/>
      <c r="QCO33" s="93"/>
      <c r="QCP33" s="93"/>
      <c r="QCQ33" s="93"/>
      <c r="QCR33" s="93"/>
      <c r="QCS33" s="93"/>
      <c r="QCT33" s="93"/>
      <c r="QCU33" s="93"/>
      <c r="QCV33" s="93"/>
      <c r="QCW33" s="93"/>
      <c r="QCX33" s="93"/>
      <c r="QCY33" s="93"/>
      <c r="QCZ33" s="93"/>
      <c r="QDA33" s="93"/>
      <c r="QDB33" s="93"/>
      <c r="QDC33" s="93"/>
      <c r="QDD33" s="93"/>
      <c r="QDE33" s="93"/>
      <c r="QDF33" s="93"/>
      <c r="QDG33" s="93"/>
      <c r="QDH33" s="93"/>
      <c r="QDI33" s="93"/>
      <c r="QDJ33" s="93"/>
      <c r="QDK33" s="93"/>
      <c r="QDL33" s="93"/>
      <c r="QDM33" s="93"/>
      <c r="QDN33" s="93"/>
      <c r="QDO33" s="93"/>
      <c r="QDP33" s="93"/>
      <c r="QDQ33" s="93"/>
      <c r="QDR33" s="93"/>
      <c r="QDS33" s="93"/>
      <c r="QDT33" s="93"/>
      <c r="QDU33" s="93"/>
      <c r="QDV33" s="93"/>
      <c r="QDW33" s="93"/>
      <c r="QDX33" s="93"/>
      <c r="QDY33" s="93"/>
      <c r="QDZ33" s="93"/>
      <c r="QEA33" s="93"/>
      <c r="QEB33" s="93"/>
      <c r="QEC33" s="93"/>
      <c r="QED33" s="93"/>
      <c r="QEE33" s="93"/>
      <c r="QEF33" s="93"/>
      <c r="QEG33" s="93"/>
      <c r="QEH33" s="93"/>
      <c r="QEI33" s="93"/>
      <c r="QEJ33" s="93"/>
      <c r="QEK33" s="93"/>
      <c r="QEL33" s="93"/>
      <c r="QEM33" s="93"/>
      <c r="QEN33" s="93"/>
      <c r="QEO33" s="93"/>
      <c r="QEP33" s="93"/>
      <c r="QEQ33" s="93"/>
      <c r="QER33" s="93"/>
      <c r="QES33" s="93"/>
      <c r="QET33" s="93"/>
      <c r="QEU33" s="93"/>
      <c r="QEV33" s="93"/>
      <c r="QEW33" s="93"/>
      <c r="QEX33" s="93"/>
      <c r="QEY33" s="93"/>
      <c r="QEZ33" s="93"/>
      <c r="QFA33" s="93"/>
      <c r="QFB33" s="93"/>
      <c r="QFC33" s="93"/>
      <c r="QFD33" s="93"/>
      <c r="QFE33" s="93"/>
      <c r="QFF33" s="93"/>
      <c r="QFG33" s="93"/>
      <c r="QFH33" s="93"/>
      <c r="QFI33" s="93"/>
      <c r="QFJ33" s="93"/>
      <c r="QFK33" s="93"/>
      <c r="QFL33" s="93"/>
      <c r="QFM33" s="93"/>
      <c r="QFN33" s="93"/>
      <c r="QFO33" s="93"/>
      <c r="QFP33" s="93"/>
      <c r="QFQ33" s="93"/>
      <c r="QFR33" s="93"/>
      <c r="QFS33" s="93"/>
      <c r="QFT33" s="93"/>
      <c r="QFU33" s="93"/>
      <c r="QFV33" s="93"/>
      <c r="QFW33" s="93"/>
      <c r="QFX33" s="93"/>
      <c r="QFY33" s="93"/>
      <c r="QFZ33" s="93"/>
      <c r="QGA33" s="93"/>
      <c r="QGB33" s="93"/>
      <c r="QGC33" s="93"/>
      <c r="QGD33" s="93"/>
      <c r="QGE33" s="93"/>
      <c r="QGF33" s="93"/>
      <c r="QGG33" s="93"/>
      <c r="QGH33" s="93"/>
      <c r="QGI33" s="93"/>
      <c r="QGJ33" s="93"/>
      <c r="QGK33" s="93"/>
      <c r="QGL33" s="93"/>
      <c r="QGM33" s="93"/>
      <c r="QGN33" s="93"/>
      <c r="QGO33" s="93"/>
      <c r="QGP33" s="93"/>
      <c r="QGQ33" s="93"/>
      <c r="QGR33" s="93"/>
      <c r="QGS33" s="93"/>
      <c r="QGT33" s="93"/>
      <c r="QGU33" s="93"/>
      <c r="QGV33" s="93"/>
      <c r="QGW33" s="93"/>
      <c r="QGX33" s="93"/>
      <c r="QGY33" s="93"/>
      <c r="QGZ33" s="93"/>
      <c r="QHA33" s="93"/>
      <c r="QHB33" s="93"/>
      <c r="QHC33" s="93"/>
      <c r="QHD33" s="93"/>
      <c r="QHE33" s="93"/>
      <c r="QHF33" s="93"/>
      <c r="QHG33" s="93"/>
      <c r="QHH33" s="93"/>
      <c r="QHI33" s="93"/>
      <c r="QHJ33" s="93"/>
      <c r="QHK33" s="93"/>
      <c r="QHL33" s="93"/>
      <c r="QHM33" s="93"/>
      <c r="QHN33" s="93"/>
      <c r="QHO33" s="93"/>
      <c r="QHP33" s="93"/>
      <c r="QHQ33" s="93"/>
      <c r="QHR33" s="93"/>
      <c r="QHS33" s="93"/>
      <c r="QHT33" s="93"/>
      <c r="QHU33" s="93"/>
      <c r="QHV33" s="93"/>
      <c r="QHW33" s="93"/>
      <c r="QHX33" s="93"/>
      <c r="QHY33" s="93"/>
      <c r="QHZ33" s="93"/>
      <c r="QIA33" s="93"/>
      <c r="QIB33" s="93"/>
      <c r="QIC33" s="93"/>
      <c r="QID33" s="93"/>
      <c r="QIE33" s="93"/>
      <c r="QIF33" s="93"/>
      <c r="QIG33" s="93"/>
      <c r="QIH33" s="93"/>
      <c r="QII33" s="93"/>
      <c r="QIJ33" s="93"/>
      <c r="QIK33" s="93"/>
      <c r="QIL33" s="93"/>
      <c r="QIM33" s="93"/>
      <c r="QIN33" s="93"/>
      <c r="QIO33" s="93"/>
      <c r="QIP33" s="93"/>
      <c r="QIQ33" s="93"/>
      <c r="QIR33" s="93"/>
      <c r="QIS33" s="93"/>
      <c r="QIT33" s="93"/>
      <c r="QIU33" s="93"/>
      <c r="QIV33" s="93"/>
      <c r="QIW33" s="93"/>
      <c r="QIX33" s="93"/>
      <c r="QIY33" s="93"/>
      <c r="QIZ33" s="93"/>
      <c r="QJA33" s="93"/>
      <c r="QJB33" s="93"/>
      <c r="QJC33" s="93"/>
      <c r="QJD33" s="93"/>
      <c r="QJE33" s="93"/>
      <c r="QJF33" s="93"/>
      <c r="QJG33" s="93"/>
      <c r="QJH33" s="93"/>
      <c r="QJI33" s="93"/>
      <c r="QJJ33" s="93"/>
      <c r="QJK33" s="93"/>
      <c r="QJL33" s="93"/>
      <c r="QJM33" s="93"/>
      <c r="QJN33" s="93"/>
      <c r="QJO33" s="93"/>
      <c r="QJP33" s="93"/>
      <c r="QJQ33" s="93"/>
      <c r="QJR33" s="93"/>
      <c r="QJS33" s="93"/>
      <c r="QJT33" s="93"/>
      <c r="QJU33" s="93"/>
      <c r="QJV33" s="93"/>
      <c r="QJW33" s="93"/>
      <c r="QJX33" s="93"/>
      <c r="QJY33" s="93"/>
      <c r="QJZ33" s="93"/>
      <c r="QKA33" s="93"/>
      <c r="QKB33" s="93"/>
      <c r="QKC33" s="93"/>
      <c r="QKD33" s="93"/>
      <c r="QKE33" s="93"/>
      <c r="QKF33" s="93"/>
      <c r="QKG33" s="93"/>
      <c r="QKH33" s="93"/>
      <c r="QKI33" s="93"/>
      <c r="QKJ33" s="93"/>
      <c r="QKK33" s="93"/>
      <c r="QKL33" s="93"/>
      <c r="QKM33" s="93"/>
      <c r="QKN33" s="93"/>
      <c r="QKO33" s="93"/>
      <c r="QKP33" s="93"/>
      <c r="QKQ33" s="93"/>
      <c r="QKR33" s="93"/>
      <c r="QKS33" s="93"/>
      <c r="QKT33" s="93"/>
      <c r="QKU33" s="93"/>
      <c r="QKV33" s="93"/>
      <c r="QKW33" s="93"/>
      <c r="QKX33" s="93"/>
      <c r="QKY33" s="93"/>
      <c r="QKZ33" s="93"/>
      <c r="QLA33" s="93"/>
      <c r="QLB33" s="93"/>
      <c r="QLC33" s="93"/>
      <c r="QLD33" s="93"/>
      <c r="QLE33" s="93"/>
      <c r="QLF33" s="93"/>
      <c r="QLG33" s="93"/>
      <c r="QLH33" s="93"/>
      <c r="QLI33" s="93"/>
      <c r="QLJ33" s="93"/>
      <c r="QLK33" s="93"/>
      <c r="QLL33" s="93"/>
      <c r="QLM33" s="93"/>
      <c r="QLN33" s="93"/>
      <c r="QLO33" s="93"/>
      <c r="QLP33" s="93"/>
      <c r="QLQ33" s="93"/>
      <c r="QLR33" s="93"/>
      <c r="QLS33" s="93"/>
      <c r="QLT33" s="93"/>
      <c r="QLU33" s="93"/>
      <c r="QLV33" s="93"/>
      <c r="QLW33" s="93"/>
      <c r="QLX33" s="93"/>
      <c r="QLY33" s="93"/>
      <c r="QLZ33" s="93"/>
      <c r="QMA33" s="93"/>
      <c r="QMB33" s="93"/>
      <c r="QMC33" s="93"/>
      <c r="QMD33" s="93"/>
      <c r="QME33" s="93"/>
      <c r="QMF33" s="93"/>
      <c r="QMG33" s="93"/>
      <c r="QMH33" s="93"/>
      <c r="QMI33" s="93"/>
      <c r="QMJ33" s="93"/>
      <c r="QMK33" s="93"/>
      <c r="QML33" s="93"/>
      <c r="QMM33" s="93"/>
      <c r="QMN33" s="93"/>
      <c r="QMO33" s="93"/>
      <c r="QMP33" s="93"/>
      <c r="QMQ33" s="93"/>
      <c r="QMR33" s="93"/>
      <c r="QMS33" s="93"/>
      <c r="QMT33" s="93"/>
      <c r="QMU33" s="93"/>
      <c r="QMV33" s="93"/>
      <c r="QMW33" s="93"/>
      <c r="QMX33" s="93"/>
      <c r="QMY33" s="93"/>
      <c r="QMZ33" s="93"/>
      <c r="QNA33" s="93"/>
      <c r="QNB33" s="93"/>
      <c r="QNC33" s="93"/>
      <c r="QND33" s="93"/>
      <c r="QNE33" s="93"/>
      <c r="QNF33" s="93"/>
      <c r="QNG33" s="93"/>
      <c r="QNH33" s="93"/>
      <c r="QNI33" s="93"/>
      <c r="QNJ33" s="93"/>
      <c r="QNK33" s="93"/>
      <c r="QNL33" s="93"/>
      <c r="QNM33" s="93"/>
      <c r="QNN33" s="93"/>
      <c r="QNO33" s="93"/>
      <c r="QNP33" s="93"/>
      <c r="QNQ33" s="93"/>
      <c r="QNR33" s="93"/>
      <c r="QNS33" s="93"/>
      <c r="QNT33" s="93"/>
      <c r="QNU33" s="93"/>
      <c r="QNV33" s="93"/>
      <c r="QNW33" s="93"/>
      <c r="QNX33" s="93"/>
      <c r="QNY33" s="93"/>
      <c r="QNZ33" s="93"/>
      <c r="QOA33" s="93"/>
      <c r="QOB33" s="93"/>
      <c r="QOC33" s="93"/>
      <c r="QOD33" s="93"/>
      <c r="QOE33" s="93"/>
      <c r="QOF33" s="93"/>
      <c r="QOG33" s="93"/>
      <c r="QOH33" s="93"/>
      <c r="QOI33" s="93"/>
      <c r="QOJ33" s="93"/>
      <c r="QOK33" s="93"/>
      <c r="QOL33" s="93"/>
      <c r="QOM33" s="93"/>
      <c r="QON33" s="93"/>
      <c r="QOO33" s="93"/>
      <c r="QOP33" s="93"/>
      <c r="QOQ33" s="93"/>
      <c r="QOR33" s="93"/>
      <c r="QOS33" s="93"/>
      <c r="QOT33" s="93"/>
      <c r="QOU33" s="93"/>
      <c r="QOV33" s="93"/>
      <c r="QOW33" s="93"/>
      <c r="QOX33" s="93"/>
      <c r="QOY33" s="93"/>
      <c r="QOZ33" s="93"/>
      <c r="QPA33" s="93"/>
      <c r="QPB33" s="93"/>
      <c r="QPC33" s="93"/>
      <c r="QPD33" s="93"/>
      <c r="QPE33" s="93"/>
      <c r="QPF33" s="93"/>
      <c r="QPG33" s="93"/>
      <c r="QPH33" s="93"/>
      <c r="QPI33" s="93"/>
      <c r="QPJ33" s="93"/>
      <c r="QPK33" s="93"/>
      <c r="QPL33" s="93"/>
      <c r="QPM33" s="93"/>
      <c r="QPN33" s="93"/>
      <c r="QPO33" s="93"/>
      <c r="QPP33" s="93"/>
      <c r="QPQ33" s="93"/>
      <c r="QPR33" s="93"/>
      <c r="QPS33" s="93"/>
      <c r="QPT33" s="93"/>
      <c r="QPU33" s="93"/>
      <c r="QPV33" s="93"/>
      <c r="QPW33" s="93"/>
      <c r="QPX33" s="93"/>
      <c r="QPY33" s="93"/>
      <c r="QPZ33" s="93"/>
      <c r="QQA33" s="93"/>
      <c r="QQB33" s="93"/>
      <c r="QQC33" s="93"/>
      <c r="QQD33" s="93"/>
      <c r="QQE33" s="93"/>
      <c r="QQF33" s="93"/>
      <c r="QQG33" s="93"/>
      <c r="QQH33" s="93"/>
      <c r="QQI33" s="93"/>
      <c r="QQJ33" s="93"/>
      <c r="QQK33" s="93"/>
      <c r="QQL33" s="93"/>
      <c r="QQM33" s="93"/>
      <c r="QQN33" s="93"/>
      <c r="QQO33" s="93"/>
      <c r="QQP33" s="93"/>
      <c r="QQQ33" s="93"/>
      <c r="QQR33" s="93"/>
      <c r="QQS33" s="93"/>
      <c r="QQT33" s="93"/>
      <c r="QQU33" s="93"/>
      <c r="QQV33" s="93"/>
      <c r="QQW33" s="93"/>
      <c r="QQX33" s="93"/>
      <c r="QQY33" s="93"/>
      <c r="QQZ33" s="93"/>
      <c r="QRA33" s="93"/>
      <c r="QRB33" s="93"/>
      <c r="QRC33" s="93"/>
      <c r="QRD33" s="93"/>
      <c r="QRE33" s="93"/>
      <c r="QRF33" s="93"/>
      <c r="QRG33" s="93"/>
      <c r="QRH33" s="93"/>
      <c r="QRI33" s="93"/>
      <c r="QRJ33" s="93"/>
      <c r="QRK33" s="93"/>
      <c r="QRL33" s="93"/>
      <c r="QRM33" s="93"/>
      <c r="QRN33" s="93"/>
      <c r="QRO33" s="93"/>
      <c r="QRP33" s="93"/>
      <c r="QRQ33" s="93"/>
      <c r="QRR33" s="93"/>
      <c r="QRS33" s="93"/>
      <c r="QRT33" s="93"/>
      <c r="QRU33" s="93"/>
      <c r="QRV33" s="93"/>
      <c r="QRW33" s="93"/>
      <c r="QRX33" s="93"/>
      <c r="QRY33" s="93"/>
      <c r="QRZ33" s="93"/>
      <c r="QSA33" s="93"/>
      <c r="QSB33" s="93"/>
      <c r="QSC33" s="93"/>
      <c r="QSD33" s="93"/>
      <c r="QSE33" s="93"/>
      <c r="QSF33" s="93"/>
      <c r="QSG33" s="93"/>
      <c r="QSH33" s="93"/>
      <c r="QSI33" s="93"/>
      <c r="QSJ33" s="93"/>
      <c r="QSK33" s="93"/>
      <c r="QSL33" s="93"/>
      <c r="QSM33" s="93"/>
      <c r="QSN33" s="93"/>
      <c r="QSO33" s="93"/>
      <c r="QSP33" s="93"/>
      <c r="QSQ33" s="93"/>
      <c r="QSR33" s="93"/>
      <c r="QSS33" s="93"/>
      <c r="QST33" s="93"/>
      <c r="QSU33" s="93"/>
      <c r="QSV33" s="93"/>
      <c r="QSW33" s="93"/>
      <c r="QSX33" s="93"/>
      <c r="QSY33" s="93"/>
      <c r="QSZ33" s="93"/>
      <c r="QTA33" s="93"/>
      <c r="QTB33" s="93"/>
      <c r="QTC33" s="93"/>
      <c r="QTD33" s="93"/>
      <c r="QTE33" s="93"/>
      <c r="QTF33" s="93"/>
      <c r="QTG33" s="93"/>
      <c r="QTH33" s="93"/>
      <c r="QTI33" s="93"/>
      <c r="QTJ33" s="93"/>
      <c r="QTK33" s="93"/>
      <c r="QTL33" s="93"/>
      <c r="QTM33" s="93"/>
      <c r="QTN33" s="93"/>
      <c r="QTO33" s="93"/>
      <c r="QTP33" s="93"/>
      <c r="QTQ33" s="93"/>
      <c r="QTR33" s="93"/>
      <c r="QTS33" s="93"/>
      <c r="QTT33" s="93"/>
      <c r="QTU33" s="93"/>
      <c r="QTV33" s="93"/>
      <c r="QTW33" s="93"/>
      <c r="QTX33" s="93"/>
      <c r="QTY33" s="93"/>
      <c r="QTZ33" s="93"/>
      <c r="QUA33" s="93"/>
      <c r="QUB33" s="93"/>
      <c r="QUC33" s="93"/>
      <c r="QUD33" s="93"/>
      <c r="QUE33" s="93"/>
      <c r="QUF33" s="93"/>
      <c r="QUG33" s="93"/>
      <c r="QUH33" s="93"/>
      <c r="QUI33" s="93"/>
      <c r="QUJ33" s="93"/>
      <c r="QUK33" s="93"/>
      <c r="QUL33" s="93"/>
      <c r="QUM33" s="93"/>
      <c r="QUN33" s="93"/>
      <c r="QUO33" s="93"/>
      <c r="QUP33" s="93"/>
      <c r="QUQ33" s="93"/>
      <c r="QUR33" s="93"/>
      <c r="QUS33" s="93"/>
      <c r="QUT33" s="93"/>
      <c r="QUU33" s="93"/>
      <c r="QUV33" s="93"/>
      <c r="QUW33" s="93"/>
      <c r="QUX33" s="93"/>
      <c r="QUY33" s="93"/>
      <c r="QUZ33" s="93"/>
      <c r="QVA33" s="93"/>
      <c r="QVB33" s="93"/>
      <c r="QVC33" s="93"/>
      <c r="QVD33" s="93"/>
      <c r="QVE33" s="93"/>
      <c r="QVF33" s="93"/>
      <c r="QVG33" s="93"/>
      <c r="QVH33" s="93"/>
      <c r="QVI33" s="93"/>
      <c r="QVJ33" s="93"/>
      <c r="QVK33" s="93"/>
      <c r="QVL33" s="93"/>
      <c r="QVM33" s="93"/>
      <c r="QVN33" s="93"/>
      <c r="QVO33" s="93"/>
      <c r="QVP33" s="93"/>
      <c r="QVQ33" s="93"/>
      <c r="QVR33" s="93"/>
      <c r="QVS33" s="93"/>
      <c r="QVT33" s="93"/>
      <c r="QVU33" s="93"/>
      <c r="QVV33" s="93"/>
      <c r="QVW33" s="93"/>
      <c r="QVX33" s="93"/>
      <c r="QVY33" s="93"/>
      <c r="QVZ33" s="93"/>
      <c r="QWA33" s="93"/>
      <c r="QWB33" s="93"/>
      <c r="QWC33" s="93"/>
      <c r="QWD33" s="93"/>
      <c r="QWE33" s="93"/>
      <c r="QWF33" s="93"/>
      <c r="QWG33" s="93"/>
      <c r="QWH33" s="93"/>
      <c r="QWI33" s="93"/>
      <c r="QWJ33" s="93"/>
      <c r="QWK33" s="93"/>
      <c r="QWL33" s="93"/>
      <c r="QWM33" s="93"/>
      <c r="QWN33" s="93"/>
      <c r="QWO33" s="93"/>
      <c r="QWP33" s="93"/>
      <c r="QWQ33" s="93"/>
      <c r="QWR33" s="93"/>
      <c r="QWS33" s="93"/>
      <c r="QWT33" s="93"/>
      <c r="QWU33" s="93"/>
      <c r="QWV33" s="93"/>
      <c r="QWW33" s="93"/>
      <c r="QWX33" s="93"/>
      <c r="QWY33" s="93"/>
      <c r="QWZ33" s="93"/>
      <c r="QXA33" s="93"/>
      <c r="QXB33" s="93"/>
      <c r="QXC33" s="93"/>
      <c r="QXD33" s="93"/>
      <c r="QXE33" s="93"/>
      <c r="QXF33" s="93"/>
      <c r="QXG33" s="93"/>
      <c r="QXH33" s="93"/>
      <c r="QXI33" s="93"/>
      <c r="QXJ33" s="93"/>
      <c r="QXK33" s="93"/>
      <c r="QXL33" s="93"/>
      <c r="QXM33" s="93"/>
      <c r="QXN33" s="93"/>
      <c r="QXO33" s="93"/>
      <c r="QXP33" s="93"/>
      <c r="QXQ33" s="93"/>
      <c r="QXR33" s="93"/>
      <c r="QXS33" s="93"/>
      <c r="QXT33" s="93"/>
      <c r="QXU33" s="93"/>
      <c r="QXV33" s="93"/>
      <c r="QXW33" s="93"/>
      <c r="QXX33" s="93"/>
      <c r="QXY33" s="93"/>
      <c r="QXZ33" s="93"/>
      <c r="QYA33" s="93"/>
      <c r="QYB33" s="93"/>
      <c r="QYC33" s="93"/>
      <c r="QYD33" s="93"/>
      <c r="QYE33" s="93"/>
      <c r="QYF33" s="93"/>
      <c r="QYG33" s="93"/>
      <c r="QYH33" s="93"/>
      <c r="QYI33" s="93"/>
      <c r="QYJ33" s="93"/>
      <c r="QYK33" s="93"/>
      <c r="QYL33" s="93"/>
      <c r="QYM33" s="93"/>
      <c r="QYN33" s="93"/>
      <c r="QYO33" s="93"/>
      <c r="QYP33" s="93"/>
      <c r="QYQ33" s="93"/>
      <c r="QYR33" s="93"/>
      <c r="QYS33" s="93"/>
      <c r="QYT33" s="93"/>
      <c r="QYU33" s="93"/>
      <c r="QYV33" s="93"/>
      <c r="QYW33" s="93"/>
      <c r="QYX33" s="93"/>
      <c r="QYY33" s="93"/>
      <c r="QYZ33" s="93"/>
      <c r="QZA33" s="93"/>
      <c r="QZB33" s="93"/>
      <c r="QZC33" s="93"/>
      <c r="QZD33" s="93"/>
      <c r="QZE33" s="93"/>
      <c r="QZF33" s="93"/>
      <c r="QZG33" s="93"/>
      <c r="QZH33" s="93"/>
      <c r="QZI33" s="93"/>
      <c r="QZJ33" s="93"/>
      <c r="QZK33" s="93"/>
      <c r="QZL33" s="93"/>
      <c r="QZM33" s="93"/>
      <c r="QZN33" s="93"/>
      <c r="QZO33" s="93"/>
      <c r="QZP33" s="93"/>
      <c r="QZQ33" s="93"/>
      <c r="QZR33" s="93"/>
      <c r="QZS33" s="93"/>
      <c r="QZT33" s="93"/>
      <c r="QZU33" s="93"/>
      <c r="QZV33" s="93"/>
      <c r="QZW33" s="93"/>
      <c r="QZX33" s="93"/>
      <c r="QZY33" s="93"/>
      <c r="QZZ33" s="93"/>
      <c r="RAA33" s="93"/>
      <c r="RAB33" s="93"/>
      <c r="RAC33" s="93"/>
      <c r="RAD33" s="93"/>
      <c r="RAE33" s="93"/>
      <c r="RAF33" s="93"/>
      <c r="RAG33" s="93"/>
      <c r="RAH33" s="93"/>
      <c r="RAI33" s="93"/>
      <c r="RAJ33" s="93"/>
      <c r="RAK33" s="93"/>
      <c r="RAL33" s="93"/>
      <c r="RAM33" s="93"/>
      <c r="RAN33" s="93"/>
      <c r="RAO33" s="93"/>
      <c r="RAP33" s="93"/>
      <c r="RAQ33" s="93"/>
      <c r="RAR33" s="93"/>
      <c r="RAS33" s="93"/>
      <c r="RAT33" s="93"/>
      <c r="RAU33" s="93"/>
      <c r="RAV33" s="93"/>
      <c r="RAW33" s="93"/>
      <c r="RAX33" s="93"/>
      <c r="RAY33" s="93"/>
      <c r="RAZ33" s="93"/>
      <c r="RBA33" s="93"/>
      <c r="RBB33" s="93"/>
      <c r="RBC33" s="93"/>
      <c r="RBD33" s="93"/>
      <c r="RBE33" s="93"/>
      <c r="RBF33" s="93"/>
      <c r="RBG33" s="93"/>
      <c r="RBH33" s="93"/>
      <c r="RBI33" s="93"/>
      <c r="RBJ33" s="93"/>
      <c r="RBK33" s="93"/>
      <c r="RBL33" s="93"/>
      <c r="RBM33" s="93"/>
      <c r="RBN33" s="93"/>
      <c r="RBO33" s="93"/>
      <c r="RBP33" s="93"/>
      <c r="RBQ33" s="93"/>
      <c r="RBR33" s="93"/>
      <c r="RBS33" s="93"/>
      <c r="RBT33" s="93"/>
      <c r="RBU33" s="93"/>
      <c r="RBV33" s="93"/>
      <c r="RBW33" s="93"/>
      <c r="RBX33" s="93"/>
      <c r="RBY33" s="93"/>
      <c r="RBZ33" s="93"/>
      <c r="RCA33" s="93"/>
      <c r="RCB33" s="93"/>
      <c r="RCC33" s="93"/>
      <c r="RCD33" s="93"/>
      <c r="RCE33" s="93"/>
      <c r="RCF33" s="93"/>
      <c r="RCG33" s="93"/>
      <c r="RCH33" s="93"/>
      <c r="RCI33" s="93"/>
      <c r="RCJ33" s="93"/>
      <c r="RCK33" s="93"/>
      <c r="RCL33" s="93"/>
      <c r="RCM33" s="93"/>
      <c r="RCN33" s="93"/>
      <c r="RCO33" s="93"/>
      <c r="RCP33" s="93"/>
      <c r="RCQ33" s="93"/>
      <c r="RCR33" s="93"/>
      <c r="RCS33" s="93"/>
      <c r="RCT33" s="93"/>
      <c r="RCU33" s="93"/>
      <c r="RCV33" s="93"/>
      <c r="RCW33" s="93"/>
      <c r="RCX33" s="93"/>
      <c r="RCY33" s="93"/>
      <c r="RCZ33" s="93"/>
      <c r="RDA33" s="93"/>
      <c r="RDB33" s="93"/>
      <c r="RDC33" s="93"/>
      <c r="RDD33" s="93"/>
      <c r="RDE33" s="93"/>
      <c r="RDF33" s="93"/>
      <c r="RDG33" s="93"/>
      <c r="RDH33" s="93"/>
      <c r="RDI33" s="93"/>
      <c r="RDJ33" s="93"/>
      <c r="RDK33" s="93"/>
      <c r="RDL33" s="93"/>
      <c r="RDM33" s="93"/>
      <c r="RDN33" s="93"/>
      <c r="RDO33" s="93"/>
      <c r="RDP33" s="93"/>
      <c r="RDQ33" s="93"/>
      <c r="RDR33" s="93"/>
      <c r="RDS33" s="93"/>
      <c r="RDT33" s="93"/>
      <c r="RDU33" s="93"/>
      <c r="RDV33" s="93"/>
      <c r="RDW33" s="93"/>
      <c r="RDX33" s="93"/>
      <c r="RDY33" s="93"/>
      <c r="RDZ33" s="93"/>
      <c r="REA33" s="93"/>
      <c r="REB33" s="93"/>
      <c r="REC33" s="93"/>
      <c r="RED33" s="93"/>
      <c r="REE33" s="93"/>
      <c r="REF33" s="93"/>
      <c r="REG33" s="93"/>
      <c r="REH33" s="93"/>
      <c r="REI33" s="93"/>
      <c r="REJ33" s="93"/>
      <c r="REK33" s="93"/>
      <c r="REL33" s="93"/>
      <c r="REM33" s="93"/>
      <c r="REN33" s="93"/>
      <c r="REO33" s="93"/>
      <c r="REP33" s="93"/>
      <c r="REQ33" s="93"/>
      <c r="RER33" s="93"/>
      <c r="RES33" s="93"/>
      <c r="RET33" s="93"/>
      <c r="REU33" s="93"/>
      <c r="REV33" s="93"/>
      <c r="REW33" s="93"/>
      <c r="REX33" s="93"/>
      <c r="REY33" s="93"/>
      <c r="REZ33" s="93"/>
      <c r="RFA33" s="93"/>
      <c r="RFB33" s="93"/>
      <c r="RFC33" s="93"/>
      <c r="RFD33" s="93"/>
      <c r="RFE33" s="93"/>
      <c r="RFF33" s="93"/>
      <c r="RFG33" s="93"/>
      <c r="RFH33" s="93"/>
      <c r="RFI33" s="93"/>
      <c r="RFJ33" s="93"/>
      <c r="RFK33" s="93"/>
      <c r="RFL33" s="93"/>
      <c r="RFM33" s="93"/>
      <c r="RFN33" s="93"/>
      <c r="RFO33" s="93"/>
      <c r="RFP33" s="93"/>
      <c r="RFQ33" s="93"/>
      <c r="RFR33" s="93"/>
      <c r="RFS33" s="93"/>
      <c r="RFT33" s="93"/>
      <c r="RFU33" s="93"/>
      <c r="RFV33" s="93"/>
      <c r="RFW33" s="93"/>
      <c r="RFX33" s="93"/>
      <c r="RFY33" s="93"/>
      <c r="RFZ33" s="93"/>
      <c r="RGA33" s="93"/>
      <c r="RGB33" s="93"/>
      <c r="RGC33" s="93"/>
      <c r="RGD33" s="93"/>
      <c r="RGE33" s="93"/>
      <c r="RGF33" s="93"/>
      <c r="RGG33" s="93"/>
      <c r="RGH33" s="93"/>
      <c r="RGI33" s="93"/>
      <c r="RGJ33" s="93"/>
      <c r="RGK33" s="93"/>
      <c r="RGL33" s="93"/>
      <c r="RGM33" s="93"/>
      <c r="RGN33" s="93"/>
      <c r="RGO33" s="93"/>
      <c r="RGP33" s="93"/>
      <c r="RGQ33" s="93"/>
      <c r="RGR33" s="93"/>
      <c r="RGS33" s="93"/>
      <c r="RGT33" s="93"/>
      <c r="RGU33" s="93"/>
      <c r="RGV33" s="93"/>
      <c r="RGW33" s="93"/>
      <c r="RGX33" s="93"/>
      <c r="RGY33" s="93"/>
      <c r="RGZ33" s="93"/>
      <c r="RHA33" s="93"/>
      <c r="RHB33" s="93"/>
      <c r="RHC33" s="93"/>
      <c r="RHD33" s="93"/>
      <c r="RHE33" s="93"/>
      <c r="RHF33" s="93"/>
      <c r="RHG33" s="93"/>
      <c r="RHH33" s="93"/>
      <c r="RHI33" s="93"/>
      <c r="RHJ33" s="93"/>
      <c r="RHK33" s="93"/>
      <c r="RHL33" s="93"/>
      <c r="RHM33" s="93"/>
      <c r="RHN33" s="93"/>
      <c r="RHO33" s="93"/>
      <c r="RHP33" s="93"/>
      <c r="RHQ33" s="93"/>
      <c r="RHR33" s="93"/>
      <c r="RHS33" s="93"/>
      <c r="RHT33" s="93"/>
      <c r="RHU33" s="93"/>
      <c r="RHV33" s="93"/>
      <c r="RHW33" s="93"/>
      <c r="RHX33" s="93"/>
      <c r="RHY33" s="93"/>
      <c r="RHZ33" s="93"/>
      <c r="RIA33" s="93"/>
      <c r="RIB33" s="93"/>
      <c r="RIC33" s="93"/>
      <c r="RID33" s="93"/>
      <c r="RIE33" s="93"/>
      <c r="RIF33" s="93"/>
      <c r="RIG33" s="93"/>
      <c r="RIH33" s="93"/>
      <c r="RII33" s="93"/>
      <c r="RIJ33" s="93"/>
      <c r="RIK33" s="93"/>
      <c r="RIL33" s="93"/>
      <c r="RIM33" s="93"/>
      <c r="RIN33" s="93"/>
      <c r="RIO33" s="93"/>
      <c r="RIP33" s="93"/>
      <c r="RIQ33" s="93"/>
      <c r="RIR33" s="93"/>
      <c r="RIS33" s="93"/>
      <c r="RIT33" s="93"/>
      <c r="RIU33" s="93"/>
      <c r="RIV33" s="93"/>
      <c r="RIW33" s="93"/>
      <c r="RIX33" s="93"/>
      <c r="RIY33" s="93"/>
      <c r="RIZ33" s="93"/>
      <c r="RJA33" s="93"/>
      <c r="RJB33" s="93"/>
      <c r="RJC33" s="93"/>
      <c r="RJD33" s="93"/>
      <c r="RJE33" s="93"/>
      <c r="RJF33" s="93"/>
      <c r="RJG33" s="93"/>
      <c r="RJH33" s="93"/>
      <c r="RJI33" s="93"/>
      <c r="RJJ33" s="93"/>
      <c r="RJK33" s="93"/>
      <c r="RJL33" s="93"/>
      <c r="RJM33" s="93"/>
      <c r="RJN33" s="93"/>
      <c r="RJO33" s="93"/>
      <c r="RJP33" s="93"/>
      <c r="RJQ33" s="93"/>
      <c r="RJR33" s="93"/>
      <c r="RJS33" s="93"/>
      <c r="RJT33" s="93"/>
      <c r="RJU33" s="93"/>
      <c r="RJV33" s="93"/>
      <c r="RJW33" s="93"/>
      <c r="RJX33" s="93"/>
      <c r="RJY33" s="93"/>
      <c r="RJZ33" s="93"/>
      <c r="RKA33" s="93"/>
      <c r="RKB33" s="93"/>
      <c r="RKC33" s="93"/>
      <c r="RKD33" s="93"/>
      <c r="RKE33" s="93"/>
      <c r="RKF33" s="93"/>
      <c r="RKG33" s="93"/>
      <c r="RKH33" s="93"/>
      <c r="RKI33" s="93"/>
      <c r="RKJ33" s="93"/>
      <c r="RKK33" s="93"/>
      <c r="RKL33" s="93"/>
      <c r="RKM33" s="93"/>
      <c r="RKN33" s="93"/>
      <c r="RKO33" s="93"/>
      <c r="RKP33" s="93"/>
      <c r="RKQ33" s="93"/>
      <c r="RKR33" s="93"/>
      <c r="RKS33" s="93"/>
      <c r="RKT33" s="93"/>
      <c r="RKU33" s="93"/>
      <c r="RKV33" s="93"/>
      <c r="RKW33" s="93"/>
      <c r="RKX33" s="93"/>
      <c r="RKY33" s="93"/>
      <c r="RKZ33" s="93"/>
      <c r="RLA33" s="93"/>
      <c r="RLB33" s="93"/>
      <c r="RLC33" s="93"/>
      <c r="RLD33" s="93"/>
      <c r="RLE33" s="93"/>
      <c r="RLF33" s="93"/>
      <c r="RLG33" s="93"/>
      <c r="RLH33" s="93"/>
      <c r="RLI33" s="93"/>
      <c r="RLJ33" s="93"/>
      <c r="RLK33" s="93"/>
      <c r="RLL33" s="93"/>
      <c r="RLM33" s="93"/>
      <c r="RLN33" s="93"/>
      <c r="RLO33" s="93"/>
      <c r="RLP33" s="93"/>
      <c r="RLQ33" s="93"/>
      <c r="RLR33" s="93"/>
      <c r="RLS33" s="93"/>
      <c r="RLT33" s="93"/>
      <c r="RLU33" s="93"/>
      <c r="RLV33" s="93"/>
      <c r="RLW33" s="93"/>
      <c r="RLX33" s="93"/>
      <c r="RLY33" s="93"/>
      <c r="RLZ33" s="93"/>
      <c r="RMA33" s="93"/>
      <c r="RMB33" s="93"/>
      <c r="RMC33" s="93"/>
      <c r="RMD33" s="93"/>
      <c r="RME33" s="93"/>
      <c r="RMF33" s="93"/>
      <c r="RMG33" s="93"/>
      <c r="RMH33" s="93"/>
      <c r="RMI33" s="93"/>
      <c r="RMJ33" s="93"/>
      <c r="RMK33" s="93"/>
      <c r="RML33" s="93"/>
      <c r="RMM33" s="93"/>
      <c r="RMN33" s="93"/>
      <c r="RMO33" s="93"/>
      <c r="RMP33" s="93"/>
      <c r="RMQ33" s="93"/>
      <c r="RMR33" s="93"/>
      <c r="RMS33" s="93"/>
      <c r="RMT33" s="93"/>
      <c r="RMU33" s="93"/>
      <c r="RMV33" s="93"/>
      <c r="RMW33" s="93"/>
      <c r="RMX33" s="93"/>
      <c r="RMY33" s="93"/>
      <c r="RMZ33" s="93"/>
      <c r="RNA33" s="93"/>
      <c r="RNB33" s="93"/>
      <c r="RNC33" s="93"/>
      <c r="RND33" s="93"/>
      <c r="RNE33" s="93"/>
      <c r="RNF33" s="93"/>
      <c r="RNG33" s="93"/>
      <c r="RNH33" s="93"/>
      <c r="RNI33" s="93"/>
      <c r="RNJ33" s="93"/>
      <c r="RNK33" s="93"/>
      <c r="RNL33" s="93"/>
      <c r="RNM33" s="93"/>
      <c r="RNN33" s="93"/>
      <c r="RNO33" s="93"/>
      <c r="RNP33" s="93"/>
      <c r="RNQ33" s="93"/>
      <c r="RNR33" s="93"/>
      <c r="RNS33" s="93"/>
      <c r="RNT33" s="93"/>
      <c r="RNU33" s="93"/>
      <c r="RNV33" s="93"/>
      <c r="RNW33" s="93"/>
      <c r="RNX33" s="93"/>
      <c r="RNY33" s="93"/>
      <c r="RNZ33" s="93"/>
      <c r="ROA33" s="93"/>
      <c r="ROB33" s="93"/>
      <c r="ROC33" s="93"/>
      <c r="ROD33" s="93"/>
      <c r="ROE33" s="93"/>
      <c r="ROF33" s="93"/>
      <c r="ROG33" s="93"/>
      <c r="ROH33" s="93"/>
      <c r="ROI33" s="93"/>
      <c r="ROJ33" s="93"/>
      <c r="ROK33" s="93"/>
      <c r="ROL33" s="93"/>
      <c r="ROM33" s="93"/>
      <c r="RON33" s="93"/>
      <c r="ROO33" s="93"/>
      <c r="ROP33" s="93"/>
      <c r="ROQ33" s="93"/>
      <c r="ROR33" s="93"/>
      <c r="ROS33" s="93"/>
      <c r="ROT33" s="93"/>
      <c r="ROU33" s="93"/>
      <c r="ROV33" s="93"/>
      <c r="ROW33" s="93"/>
      <c r="ROX33" s="93"/>
      <c r="ROY33" s="93"/>
      <c r="ROZ33" s="93"/>
      <c r="RPA33" s="93"/>
      <c r="RPB33" s="93"/>
      <c r="RPC33" s="93"/>
      <c r="RPD33" s="93"/>
      <c r="RPE33" s="93"/>
      <c r="RPF33" s="93"/>
      <c r="RPG33" s="93"/>
      <c r="RPH33" s="93"/>
      <c r="RPI33" s="93"/>
      <c r="RPJ33" s="93"/>
      <c r="RPK33" s="93"/>
      <c r="RPL33" s="93"/>
      <c r="RPM33" s="93"/>
      <c r="RPN33" s="93"/>
      <c r="RPO33" s="93"/>
      <c r="RPP33" s="93"/>
      <c r="RPQ33" s="93"/>
      <c r="RPR33" s="93"/>
      <c r="RPS33" s="93"/>
      <c r="RPT33" s="93"/>
      <c r="RPU33" s="93"/>
      <c r="RPV33" s="93"/>
      <c r="RPW33" s="93"/>
      <c r="RPX33" s="93"/>
      <c r="RPY33" s="93"/>
      <c r="RPZ33" s="93"/>
      <c r="RQA33" s="93"/>
      <c r="RQB33" s="93"/>
      <c r="RQC33" s="93"/>
      <c r="RQD33" s="93"/>
      <c r="RQE33" s="93"/>
      <c r="RQF33" s="93"/>
      <c r="RQG33" s="93"/>
      <c r="RQH33" s="93"/>
      <c r="RQI33" s="93"/>
      <c r="RQJ33" s="93"/>
      <c r="RQK33" s="93"/>
      <c r="RQL33" s="93"/>
      <c r="RQM33" s="93"/>
      <c r="RQN33" s="93"/>
      <c r="RQO33" s="93"/>
      <c r="RQP33" s="93"/>
      <c r="RQQ33" s="93"/>
      <c r="RQR33" s="93"/>
      <c r="RQS33" s="93"/>
      <c r="RQT33" s="93"/>
      <c r="RQU33" s="93"/>
      <c r="RQV33" s="93"/>
      <c r="RQW33" s="93"/>
      <c r="RQX33" s="93"/>
      <c r="RQY33" s="93"/>
      <c r="RQZ33" s="93"/>
      <c r="RRA33" s="93"/>
      <c r="RRB33" s="93"/>
      <c r="RRC33" s="93"/>
      <c r="RRD33" s="93"/>
      <c r="RRE33" s="93"/>
      <c r="RRF33" s="93"/>
      <c r="RRG33" s="93"/>
      <c r="RRH33" s="93"/>
      <c r="RRI33" s="93"/>
      <c r="RRJ33" s="93"/>
      <c r="RRK33" s="93"/>
      <c r="RRL33" s="93"/>
      <c r="RRM33" s="93"/>
      <c r="RRN33" s="93"/>
      <c r="RRO33" s="93"/>
      <c r="RRP33" s="93"/>
      <c r="RRQ33" s="93"/>
      <c r="RRR33" s="93"/>
      <c r="RRS33" s="93"/>
      <c r="RRT33" s="93"/>
      <c r="RRU33" s="93"/>
      <c r="RRV33" s="93"/>
      <c r="RRW33" s="93"/>
      <c r="RRX33" s="93"/>
      <c r="RRY33" s="93"/>
      <c r="RRZ33" s="93"/>
      <c r="RSA33" s="93"/>
      <c r="RSB33" s="93"/>
      <c r="RSC33" s="93"/>
      <c r="RSD33" s="93"/>
      <c r="RSE33" s="93"/>
      <c r="RSF33" s="93"/>
      <c r="RSG33" s="93"/>
      <c r="RSH33" s="93"/>
      <c r="RSI33" s="93"/>
      <c r="RSJ33" s="93"/>
      <c r="RSK33" s="93"/>
      <c r="RSL33" s="93"/>
      <c r="RSM33" s="93"/>
      <c r="RSN33" s="93"/>
      <c r="RSO33" s="93"/>
      <c r="RSP33" s="93"/>
      <c r="RSQ33" s="93"/>
      <c r="RSR33" s="93"/>
      <c r="RSS33" s="93"/>
      <c r="RST33" s="93"/>
      <c r="RSU33" s="93"/>
      <c r="RSV33" s="93"/>
      <c r="RSW33" s="93"/>
      <c r="RSX33" s="93"/>
      <c r="RSY33" s="93"/>
      <c r="RSZ33" s="93"/>
      <c r="RTA33" s="93"/>
      <c r="RTB33" s="93"/>
      <c r="RTC33" s="93"/>
      <c r="RTD33" s="93"/>
      <c r="RTE33" s="93"/>
      <c r="RTF33" s="93"/>
      <c r="RTG33" s="93"/>
      <c r="RTH33" s="93"/>
      <c r="RTI33" s="93"/>
      <c r="RTJ33" s="93"/>
      <c r="RTK33" s="93"/>
      <c r="RTL33" s="93"/>
      <c r="RTM33" s="93"/>
      <c r="RTN33" s="93"/>
      <c r="RTO33" s="93"/>
      <c r="RTP33" s="93"/>
      <c r="RTQ33" s="93"/>
      <c r="RTR33" s="93"/>
      <c r="RTS33" s="93"/>
      <c r="RTT33" s="93"/>
      <c r="RTU33" s="93"/>
      <c r="RTV33" s="93"/>
      <c r="RTW33" s="93"/>
      <c r="RTX33" s="93"/>
      <c r="RTY33" s="93"/>
      <c r="RTZ33" s="93"/>
      <c r="RUA33" s="93"/>
      <c r="RUB33" s="93"/>
      <c r="RUC33" s="93"/>
      <c r="RUD33" s="93"/>
      <c r="RUE33" s="93"/>
      <c r="RUF33" s="93"/>
      <c r="RUG33" s="93"/>
      <c r="RUH33" s="93"/>
      <c r="RUI33" s="93"/>
      <c r="RUJ33" s="93"/>
      <c r="RUK33" s="93"/>
      <c r="RUL33" s="93"/>
      <c r="RUM33" s="93"/>
      <c r="RUN33" s="93"/>
      <c r="RUO33" s="93"/>
      <c r="RUP33" s="93"/>
      <c r="RUQ33" s="93"/>
      <c r="RUR33" s="93"/>
      <c r="RUS33" s="93"/>
      <c r="RUT33" s="93"/>
      <c r="RUU33" s="93"/>
      <c r="RUV33" s="93"/>
      <c r="RUW33" s="93"/>
      <c r="RUX33" s="93"/>
      <c r="RUY33" s="93"/>
      <c r="RUZ33" s="93"/>
      <c r="RVA33" s="93"/>
      <c r="RVB33" s="93"/>
      <c r="RVC33" s="93"/>
      <c r="RVD33" s="93"/>
      <c r="RVE33" s="93"/>
      <c r="RVF33" s="93"/>
      <c r="RVG33" s="93"/>
      <c r="RVH33" s="93"/>
      <c r="RVI33" s="93"/>
      <c r="RVJ33" s="93"/>
      <c r="RVK33" s="93"/>
      <c r="RVL33" s="93"/>
      <c r="RVM33" s="93"/>
      <c r="RVN33" s="93"/>
      <c r="RVO33" s="93"/>
      <c r="RVP33" s="93"/>
      <c r="RVQ33" s="93"/>
      <c r="RVR33" s="93"/>
      <c r="RVS33" s="93"/>
      <c r="RVT33" s="93"/>
      <c r="RVU33" s="93"/>
      <c r="RVV33" s="93"/>
      <c r="RVW33" s="93"/>
      <c r="RVX33" s="93"/>
      <c r="RVY33" s="93"/>
      <c r="RVZ33" s="93"/>
      <c r="RWA33" s="93"/>
      <c r="RWB33" s="93"/>
      <c r="RWC33" s="93"/>
      <c r="RWD33" s="93"/>
      <c r="RWE33" s="93"/>
      <c r="RWF33" s="93"/>
      <c r="RWG33" s="93"/>
      <c r="RWH33" s="93"/>
      <c r="RWI33" s="93"/>
      <c r="RWJ33" s="93"/>
      <c r="RWK33" s="93"/>
      <c r="RWL33" s="93"/>
      <c r="RWM33" s="93"/>
      <c r="RWN33" s="93"/>
      <c r="RWO33" s="93"/>
      <c r="RWP33" s="93"/>
      <c r="RWQ33" s="93"/>
      <c r="RWR33" s="93"/>
      <c r="RWS33" s="93"/>
      <c r="RWT33" s="93"/>
      <c r="RWU33" s="93"/>
      <c r="RWV33" s="93"/>
      <c r="RWW33" s="93"/>
      <c r="RWX33" s="93"/>
      <c r="RWY33" s="93"/>
      <c r="RWZ33" s="93"/>
      <c r="RXA33" s="93"/>
      <c r="RXB33" s="93"/>
      <c r="RXC33" s="93"/>
      <c r="RXD33" s="93"/>
      <c r="RXE33" s="93"/>
      <c r="RXF33" s="93"/>
      <c r="RXG33" s="93"/>
      <c r="RXH33" s="93"/>
      <c r="RXI33" s="93"/>
      <c r="RXJ33" s="93"/>
      <c r="RXK33" s="93"/>
      <c r="RXL33" s="93"/>
      <c r="RXM33" s="93"/>
      <c r="RXN33" s="93"/>
      <c r="RXO33" s="93"/>
      <c r="RXP33" s="93"/>
      <c r="RXQ33" s="93"/>
      <c r="RXR33" s="93"/>
      <c r="RXS33" s="93"/>
      <c r="RXT33" s="93"/>
      <c r="RXU33" s="93"/>
      <c r="RXV33" s="93"/>
      <c r="RXW33" s="93"/>
      <c r="RXX33" s="93"/>
      <c r="RXY33" s="93"/>
      <c r="RXZ33" s="93"/>
      <c r="RYA33" s="93"/>
      <c r="RYB33" s="93"/>
      <c r="RYC33" s="93"/>
      <c r="RYD33" s="93"/>
      <c r="RYE33" s="93"/>
      <c r="RYF33" s="93"/>
      <c r="RYG33" s="93"/>
      <c r="RYH33" s="93"/>
      <c r="RYI33" s="93"/>
      <c r="RYJ33" s="93"/>
      <c r="RYK33" s="93"/>
      <c r="RYL33" s="93"/>
      <c r="RYM33" s="93"/>
      <c r="RYN33" s="93"/>
      <c r="RYO33" s="93"/>
      <c r="RYP33" s="93"/>
      <c r="RYQ33" s="93"/>
      <c r="RYR33" s="93"/>
      <c r="RYS33" s="93"/>
      <c r="RYT33" s="93"/>
      <c r="RYU33" s="93"/>
      <c r="RYV33" s="93"/>
      <c r="RYW33" s="93"/>
      <c r="RYX33" s="93"/>
      <c r="RYY33" s="93"/>
      <c r="RYZ33" s="93"/>
      <c r="RZA33" s="93"/>
      <c r="RZB33" s="93"/>
      <c r="RZC33" s="93"/>
      <c r="RZD33" s="93"/>
      <c r="RZE33" s="93"/>
      <c r="RZF33" s="93"/>
      <c r="RZG33" s="93"/>
      <c r="RZH33" s="93"/>
      <c r="RZI33" s="93"/>
      <c r="RZJ33" s="93"/>
      <c r="RZK33" s="93"/>
      <c r="RZL33" s="93"/>
      <c r="RZM33" s="93"/>
      <c r="RZN33" s="93"/>
      <c r="RZO33" s="93"/>
      <c r="RZP33" s="93"/>
      <c r="RZQ33" s="93"/>
      <c r="RZR33" s="93"/>
      <c r="RZS33" s="93"/>
      <c r="RZT33" s="93"/>
      <c r="RZU33" s="93"/>
      <c r="RZV33" s="93"/>
      <c r="RZW33" s="93"/>
      <c r="RZX33" s="93"/>
      <c r="RZY33" s="93"/>
      <c r="RZZ33" s="93"/>
      <c r="SAA33" s="93"/>
      <c r="SAB33" s="93"/>
      <c r="SAC33" s="93"/>
      <c r="SAD33" s="93"/>
      <c r="SAE33" s="93"/>
      <c r="SAF33" s="93"/>
      <c r="SAG33" s="93"/>
      <c r="SAH33" s="93"/>
      <c r="SAI33" s="93"/>
      <c r="SAJ33" s="93"/>
      <c r="SAK33" s="93"/>
      <c r="SAL33" s="93"/>
      <c r="SAM33" s="93"/>
      <c r="SAN33" s="93"/>
      <c r="SAO33" s="93"/>
      <c r="SAP33" s="93"/>
      <c r="SAQ33" s="93"/>
      <c r="SAR33" s="93"/>
      <c r="SAS33" s="93"/>
      <c r="SAT33" s="93"/>
      <c r="SAU33" s="93"/>
      <c r="SAV33" s="93"/>
      <c r="SAW33" s="93"/>
      <c r="SAX33" s="93"/>
      <c r="SAY33" s="93"/>
      <c r="SAZ33" s="93"/>
      <c r="SBA33" s="93"/>
      <c r="SBB33" s="93"/>
      <c r="SBC33" s="93"/>
      <c r="SBD33" s="93"/>
      <c r="SBE33" s="93"/>
      <c r="SBF33" s="93"/>
      <c r="SBG33" s="93"/>
      <c r="SBH33" s="93"/>
      <c r="SBI33" s="93"/>
      <c r="SBJ33" s="93"/>
      <c r="SBK33" s="93"/>
      <c r="SBL33" s="93"/>
      <c r="SBM33" s="93"/>
      <c r="SBN33" s="93"/>
      <c r="SBO33" s="93"/>
      <c r="SBP33" s="93"/>
      <c r="SBQ33" s="93"/>
      <c r="SBR33" s="93"/>
      <c r="SBS33" s="93"/>
      <c r="SBT33" s="93"/>
      <c r="SBU33" s="93"/>
      <c r="SBV33" s="93"/>
      <c r="SBW33" s="93"/>
      <c r="SBX33" s="93"/>
      <c r="SBY33" s="93"/>
      <c r="SBZ33" s="93"/>
      <c r="SCA33" s="93"/>
      <c r="SCB33" s="93"/>
      <c r="SCC33" s="93"/>
      <c r="SCD33" s="93"/>
      <c r="SCE33" s="93"/>
      <c r="SCF33" s="93"/>
      <c r="SCG33" s="93"/>
      <c r="SCH33" s="93"/>
      <c r="SCI33" s="93"/>
      <c r="SCJ33" s="93"/>
      <c r="SCK33" s="93"/>
      <c r="SCL33" s="93"/>
      <c r="SCM33" s="93"/>
      <c r="SCN33" s="93"/>
      <c r="SCO33" s="93"/>
      <c r="SCP33" s="93"/>
      <c r="SCQ33" s="93"/>
      <c r="SCR33" s="93"/>
      <c r="SCS33" s="93"/>
      <c r="SCT33" s="93"/>
      <c r="SCU33" s="93"/>
      <c r="SCV33" s="93"/>
      <c r="SCW33" s="93"/>
      <c r="SCX33" s="93"/>
      <c r="SCY33" s="93"/>
      <c r="SCZ33" s="93"/>
      <c r="SDA33" s="93"/>
      <c r="SDB33" s="93"/>
      <c r="SDC33" s="93"/>
      <c r="SDD33" s="93"/>
      <c r="SDE33" s="93"/>
      <c r="SDF33" s="93"/>
      <c r="SDG33" s="93"/>
      <c r="SDH33" s="93"/>
      <c r="SDI33" s="93"/>
      <c r="SDJ33" s="93"/>
      <c r="SDK33" s="93"/>
      <c r="SDL33" s="93"/>
      <c r="SDM33" s="93"/>
      <c r="SDN33" s="93"/>
      <c r="SDO33" s="93"/>
      <c r="SDP33" s="93"/>
      <c r="SDQ33" s="93"/>
      <c r="SDR33" s="93"/>
      <c r="SDS33" s="93"/>
      <c r="SDT33" s="93"/>
      <c r="SDU33" s="93"/>
      <c r="SDV33" s="93"/>
      <c r="SDW33" s="93"/>
      <c r="SDX33" s="93"/>
      <c r="SDY33" s="93"/>
      <c r="SDZ33" s="93"/>
      <c r="SEA33" s="93"/>
      <c r="SEB33" s="93"/>
      <c r="SEC33" s="93"/>
      <c r="SED33" s="93"/>
      <c r="SEE33" s="93"/>
      <c r="SEF33" s="93"/>
      <c r="SEG33" s="93"/>
      <c r="SEH33" s="93"/>
      <c r="SEI33" s="93"/>
      <c r="SEJ33" s="93"/>
      <c r="SEK33" s="93"/>
      <c r="SEL33" s="93"/>
      <c r="SEM33" s="93"/>
      <c r="SEN33" s="93"/>
      <c r="SEO33" s="93"/>
      <c r="SEP33" s="93"/>
      <c r="SEQ33" s="93"/>
      <c r="SER33" s="93"/>
      <c r="SES33" s="93"/>
      <c r="SET33" s="93"/>
      <c r="SEU33" s="93"/>
      <c r="SEV33" s="93"/>
      <c r="SEW33" s="93"/>
      <c r="SEX33" s="93"/>
      <c r="SEY33" s="93"/>
      <c r="SEZ33" s="93"/>
      <c r="SFA33" s="93"/>
      <c r="SFB33" s="93"/>
      <c r="SFC33" s="93"/>
      <c r="SFD33" s="93"/>
      <c r="SFE33" s="93"/>
      <c r="SFF33" s="93"/>
      <c r="SFG33" s="93"/>
      <c r="SFH33" s="93"/>
      <c r="SFI33" s="93"/>
      <c r="SFJ33" s="93"/>
      <c r="SFK33" s="93"/>
      <c r="SFL33" s="93"/>
      <c r="SFM33" s="93"/>
      <c r="SFN33" s="93"/>
      <c r="SFO33" s="93"/>
      <c r="SFP33" s="93"/>
      <c r="SFQ33" s="93"/>
      <c r="SFR33" s="93"/>
      <c r="SFS33" s="93"/>
      <c r="SFT33" s="93"/>
      <c r="SFU33" s="93"/>
      <c r="SFV33" s="93"/>
      <c r="SFW33" s="93"/>
      <c r="SFX33" s="93"/>
      <c r="SFY33" s="93"/>
      <c r="SFZ33" s="93"/>
      <c r="SGA33" s="93"/>
      <c r="SGB33" s="93"/>
      <c r="SGC33" s="93"/>
      <c r="SGD33" s="93"/>
      <c r="SGE33" s="93"/>
      <c r="SGF33" s="93"/>
      <c r="SGG33" s="93"/>
      <c r="SGH33" s="93"/>
      <c r="SGI33" s="93"/>
      <c r="SGJ33" s="93"/>
      <c r="SGK33" s="93"/>
      <c r="SGL33" s="93"/>
      <c r="SGM33" s="93"/>
      <c r="SGN33" s="93"/>
      <c r="SGO33" s="93"/>
      <c r="SGP33" s="93"/>
      <c r="SGQ33" s="93"/>
      <c r="SGR33" s="93"/>
      <c r="SGS33" s="93"/>
      <c r="SGT33" s="93"/>
      <c r="SGU33" s="93"/>
      <c r="SGV33" s="93"/>
      <c r="SGW33" s="93"/>
      <c r="SGX33" s="93"/>
      <c r="SGY33" s="93"/>
      <c r="SGZ33" s="93"/>
      <c r="SHA33" s="93"/>
      <c r="SHB33" s="93"/>
      <c r="SHC33" s="93"/>
      <c r="SHD33" s="93"/>
      <c r="SHE33" s="93"/>
      <c r="SHF33" s="93"/>
      <c r="SHG33" s="93"/>
      <c r="SHH33" s="93"/>
      <c r="SHI33" s="93"/>
      <c r="SHJ33" s="93"/>
      <c r="SHK33" s="93"/>
      <c r="SHL33" s="93"/>
      <c r="SHM33" s="93"/>
      <c r="SHN33" s="93"/>
      <c r="SHO33" s="93"/>
      <c r="SHP33" s="93"/>
      <c r="SHQ33" s="93"/>
      <c r="SHR33" s="93"/>
      <c r="SHS33" s="93"/>
      <c r="SHT33" s="93"/>
      <c r="SHU33" s="93"/>
      <c r="SHV33" s="93"/>
      <c r="SHW33" s="93"/>
      <c r="SHX33" s="93"/>
      <c r="SHY33" s="93"/>
      <c r="SHZ33" s="93"/>
      <c r="SIA33" s="93"/>
      <c r="SIB33" s="93"/>
      <c r="SIC33" s="93"/>
      <c r="SID33" s="93"/>
      <c r="SIE33" s="93"/>
      <c r="SIF33" s="93"/>
      <c r="SIG33" s="93"/>
      <c r="SIH33" s="93"/>
      <c r="SII33" s="93"/>
      <c r="SIJ33" s="93"/>
      <c r="SIK33" s="93"/>
      <c r="SIL33" s="93"/>
      <c r="SIM33" s="93"/>
      <c r="SIN33" s="93"/>
      <c r="SIO33" s="93"/>
      <c r="SIP33" s="93"/>
      <c r="SIQ33" s="93"/>
      <c r="SIR33" s="93"/>
      <c r="SIS33" s="93"/>
      <c r="SIT33" s="93"/>
      <c r="SIU33" s="93"/>
      <c r="SIV33" s="93"/>
      <c r="SIW33" s="93"/>
      <c r="SIX33" s="93"/>
      <c r="SIY33" s="93"/>
      <c r="SIZ33" s="93"/>
      <c r="SJA33" s="93"/>
      <c r="SJB33" s="93"/>
      <c r="SJC33" s="93"/>
      <c r="SJD33" s="93"/>
      <c r="SJE33" s="93"/>
      <c r="SJF33" s="93"/>
      <c r="SJG33" s="93"/>
      <c r="SJH33" s="93"/>
      <c r="SJI33" s="93"/>
      <c r="SJJ33" s="93"/>
      <c r="SJK33" s="93"/>
      <c r="SJL33" s="93"/>
      <c r="SJM33" s="93"/>
      <c r="SJN33" s="93"/>
      <c r="SJO33" s="93"/>
      <c r="SJP33" s="93"/>
      <c r="SJQ33" s="93"/>
      <c r="SJR33" s="93"/>
      <c r="SJS33" s="93"/>
      <c r="SJT33" s="93"/>
      <c r="SJU33" s="93"/>
      <c r="SJV33" s="93"/>
      <c r="SJW33" s="93"/>
      <c r="SJX33" s="93"/>
      <c r="SJY33" s="93"/>
      <c r="SJZ33" s="93"/>
      <c r="SKA33" s="93"/>
      <c r="SKB33" s="93"/>
      <c r="SKC33" s="93"/>
      <c r="SKD33" s="93"/>
      <c r="SKE33" s="93"/>
      <c r="SKF33" s="93"/>
      <c r="SKG33" s="93"/>
      <c r="SKH33" s="93"/>
      <c r="SKI33" s="93"/>
      <c r="SKJ33" s="93"/>
      <c r="SKK33" s="93"/>
      <c r="SKL33" s="93"/>
      <c r="SKM33" s="93"/>
      <c r="SKN33" s="93"/>
      <c r="SKO33" s="93"/>
      <c r="SKP33" s="93"/>
      <c r="SKQ33" s="93"/>
      <c r="SKR33" s="93"/>
      <c r="SKS33" s="93"/>
      <c r="SKT33" s="93"/>
      <c r="SKU33" s="93"/>
      <c r="SKV33" s="93"/>
      <c r="SKW33" s="93"/>
      <c r="SKX33" s="93"/>
      <c r="SKY33" s="93"/>
      <c r="SKZ33" s="93"/>
      <c r="SLA33" s="93"/>
      <c r="SLB33" s="93"/>
      <c r="SLC33" s="93"/>
      <c r="SLD33" s="93"/>
      <c r="SLE33" s="93"/>
      <c r="SLF33" s="93"/>
      <c r="SLG33" s="93"/>
      <c r="SLH33" s="93"/>
      <c r="SLI33" s="93"/>
      <c r="SLJ33" s="93"/>
      <c r="SLK33" s="93"/>
      <c r="SLL33" s="93"/>
      <c r="SLM33" s="93"/>
      <c r="SLN33" s="93"/>
      <c r="SLO33" s="93"/>
      <c r="SLP33" s="93"/>
      <c r="SLQ33" s="93"/>
      <c r="SLR33" s="93"/>
      <c r="SLS33" s="93"/>
      <c r="SLT33" s="93"/>
      <c r="SLU33" s="93"/>
      <c r="SLV33" s="93"/>
      <c r="SLW33" s="93"/>
      <c r="SLX33" s="93"/>
      <c r="SLY33" s="93"/>
      <c r="SLZ33" s="93"/>
      <c r="SMA33" s="93"/>
      <c r="SMB33" s="93"/>
      <c r="SMC33" s="93"/>
      <c r="SMD33" s="93"/>
      <c r="SME33" s="93"/>
      <c r="SMF33" s="93"/>
      <c r="SMG33" s="93"/>
      <c r="SMH33" s="93"/>
      <c r="SMI33" s="93"/>
      <c r="SMJ33" s="93"/>
      <c r="SMK33" s="93"/>
      <c r="SML33" s="93"/>
      <c r="SMM33" s="93"/>
      <c r="SMN33" s="93"/>
      <c r="SMO33" s="93"/>
      <c r="SMP33" s="93"/>
      <c r="SMQ33" s="93"/>
      <c r="SMR33" s="93"/>
      <c r="SMS33" s="93"/>
      <c r="SMT33" s="93"/>
      <c r="SMU33" s="93"/>
      <c r="SMV33" s="93"/>
      <c r="SMW33" s="93"/>
      <c r="SMX33" s="93"/>
      <c r="SMY33" s="93"/>
      <c r="SMZ33" s="93"/>
      <c r="SNA33" s="93"/>
      <c r="SNB33" s="93"/>
      <c r="SNC33" s="93"/>
      <c r="SND33" s="93"/>
      <c r="SNE33" s="93"/>
      <c r="SNF33" s="93"/>
      <c r="SNG33" s="93"/>
      <c r="SNH33" s="93"/>
      <c r="SNI33" s="93"/>
      <c r="SNJ33" s="93"/>
      <c r="SNK33" s="93"/>
      <c r="SNL33" s="93"/>
      <c r="SNM33" s="93"/>
      <c r="SNN33" s="93"/>
      <c r="SNO33" s="93"/>
      <c r="SNP33" s="93"/>
      <c r="SNQ33" s="93"/>
      <c r="SNR33" s="93"/>
      <c r="SNS33" s="93"/>
      <c r="SNT33" s="93"/>
      <c r="SNU33" s="93"/>
      <c r="SNV33" s="93"/>
      <c r="SNW33" s="93"/>
      <c r="SNX33" s="93"/>
      <c r="SNY33" s="93"/>
      <c r="SNZ33" s="93"/>
      <c r="SOA33" s="93"/>
      <c r="SOB33" s="93"/>
      <c r="SOC33" s="93"/>
      <c r="SOD33" s="93"/>
      <c r="SOE33" s="93"/>
      <c r="SOF33" s="93"/>
      <c r="SOG33" s="93"/>
      <c r="SOH33" s="93"/>
      <c r="SOI33" s="93"/>
      <c r="SOJ33" s="93"/>
      <c r="SOK33" s="93"/>
      <c r="SOL33" s="93"/>
      <c r="SOM33" s="93"/>
      <c r="SON33" s="93"/>
      <c r="SOO33" s="93"/>
      <c r="SOP33" s="93"/>
      <c r="SOQ33" s="93"/>
      <c r="SOR33" s="93"/>
      <c r="SOS33" s="93"/>
      <c r="SOT33" s="93"/>
      <c r="SOU33" s="93"/>
      <c r="SOV33" s="93"/>
      <c r="SOW33" s="93"/>
      <c r="SOX33" s="93"/>
      <c r="SOY33" s="93"/>
      <c r="SOZ33" s="93"/>
      <c r="SPA33" s="93"/>
      <c r="SPB33" s="93"/>
      <c r="SPC33" s="93"/>
      <c r="SPD33" s="93"/>
      <c r="SPE33" s="93"/>
      <c r="SPF33" s="93"/>
      <c r="SPG33" s="93"/>
      <c r="SPH33" s="93"/>
      <c r="SPI33" s="93"/>
      <c r="SPJ33" s="93"/>
      <c r="SPK33" s="93"/>
      <c r="SPL33" s="93"/>
      <c r="SPM33" s="93"/>
      <c r="SPN33" s="93"/>
      <c r="SPO33" s="93"/>
      <c r="SPP33" s="93"/>
      <c r="SPQ33" s="93"/>
      <c r="SPR33" s="93"/>
      <c r="SPS33" s="93"/>
      <c r="SPT33" s="93"/>
      <c r="SPU33" s="93"/>
      <c r="SPV33" s="93"/>
      <c r="SPW33" s="93"/>
      <c r="SPX33" s="93"/>
      <c r="SPY33" s="93"/>
      <c r="SPZ33" s="93"/>
      <c r="SQA33" s="93"/>
      <c r="SQB33" s="93"/>
      <c r="SQC33" s="93"/>
      <c r="SQD33" s="93"/>
      <c r="SQE33" s="93"/>
      <c r="SQF33" s="93"/>
      <c r="SQG33" s="93"/>
      <c r="SQH33" s="93"/>
      <c r="SQI33" s="93"/>
      <c r="SQJ33" s="93"/>
      <c r="SQK33" s="93"/>
      <c r="SQL33" s="93"/>
      <c r="SQM33" s="93"/>
      <c r="SQN33" s="93"/>
      <c r="SQO33" s="93"/>
      <c r="SQP33" s="93"/>
      <c r="SQQ33" s="93"/>
      <c r="SQR33" s="93"/>
      <c r="SQS33" s="93"/>
      <c r="SQT33" s="93"/>
      <c r="SQU33" s="93"/>
      <c r="SQV33" s="93"/>
      <c r="SQW33" s="93"/>
      <c r="SQX33" s="93"/>
      <c r="SQY33" s="93"/>
      <c r="SQZ33" s="93"/>
      <c r="SRA33" s="93"/>
      <c r="SRB33" s="93"/>
      <c r="SRC33" s="93"/>
      <c r="SRD33" s="93"/>
      <c r="SRE33" s="93"/>
      <c r="SRF33" s="93"/>
      <c r="SRG33" s="93"/>
      <c r="SRH33" s="93"/>
      <c r="SRI33" s="93"/>
      <c r="SRJ33" s="93"/>
      <c r="SRK33" s="93"/>
      <c r="SRL33" s="93"/>
      <c r="SRM33" s="93"/>
      <c r="SRN33" s="93"/>
      <c r="SRO33" s="93"/>
      <c r="SRP33" s="93"/>
      <c r="SRQ33" s="93"/>
      <c r="SRR33" s="93"/>
      <c r="SRS33" s="93"/>
      <c r="SRT33" s="93"/>
      <c r="SRU33" s="93"/>
      <c r="SRV33" s="93"/>
      <c r="SRW33" s="93"/>
      <c r="SRX33" s="93"/>
      <c r="SRY33" s="93"/>
      <c r="SRZ33" s="93"/>
      <c r="SSA33" s="93"/>
      <c r="SSB33" s="93"/>
      <c r="SSC33" s="93"/>
      <c r="SSD33" s="93"/>
      <c r="SSE33" s="93"/>
      <c r="SSF33" s="93"/>
      <c r="SSG33" s="93"/>
      <c r="SSH33" s="93"/>
      <c r="SSI33" s="93"/>
      <c r="SSJ33" s="93"/>
      <c r="SSK33" s="93"/>
      <c r="SSL33" s="93"/>
      <c r="SSM33" s="93"/>
      <c r="SSN33" s="93"/>
      <c r="SSO33" s="93"/>
      <c r="SSP33" s="93"/>
      <c r="SSQ33" s="93"/>
      <c r="SSR33" s="93"/>
      <c r="SSS33" s="93"/>
      <c r="SST33" s="93"/>
      <c r="SSU33" s="93"/>
      <c r="SSV33" s="93"/>
      <c r="SSW33" s="93"/>
      <c r="SSX33" s="93"/>
      <c r="SSY33" s="93"/>
      <c r="SSZ33" s="93"/>
      <c r="STA33" s="93"/>
      <c r="STB33" s="93"/>
      <c r="STC33" s="93"/>
      <c r="STD33" s="93"/>
      <c r="STE33" s="93"/>
      <c r="STF33" s="93"/>
      <c r="STG33" s="93"/>
      <c r="STH33" s="93"/>
      <c r="STI33" s="93"/>
      <c r="STJ33" s="93"/>
      <c r="STK33" s="93"/>
      <c r="STL33" s="93"/>
      <c r="STM33" s="93"/>
      <c r="STN33" s="93"/>
      <c r="STO33" s="93"/>
      <c r="STP33" s="93"/>
      <c r="STQ33" s="93"/>
      <c r="STR33" s="93"/>
      <c r="STS33" s="93"/>
      <c r="STT33" s="93"/>
      <c r="STU33" s="93"/>
      <c r="STV33" s="93"/>
      <c r="STW33" s="93"/>
      <c r="STX33" s="93"/>
      <c r="STY33" s="93"/>
      <c r="STZ33" s="93"/>
      <c r="SUA33" s="93"/>
      <c r="SUB33" s="93"/>
      <c r="SUC33" s="93"/>
      <c r="SUD33" s="93"/>
      <c r="SUE33" s="93"/>
      <c r="SUF33" s="93"/>
      <c r="SUG33" s="93"/>
      <c r="SUH33" s="93"/>
      <c r="SUI33" s="93"/>
      <c r="SUJ33" s="93"/>
      <c r="SUK33" s="93"/>
      <c r="SUL33" s="93"/>
      <c r="SUM33" s="93"/>
      <c r="SUN33" s="93"/>
      <c r="SUO33" s="93"/>
      <c r="SUP33" s="93"/>
      <c r="SUQ33" s="93"/>
      <c r="SUR33" s="93"/>
      <c r="SUS33" s="93"/>
      <c r="SUT33" s="93"/>
      <c r="SUU33" s="93"/>
      <c r="SUV33" s="93"/>
      <c r="SUW33" s="93"/>
      <c r="SUX33" s="93"/>
      <c r="SUY33" s="93"/>
      <c r="SUZ33" s="93"/>
      <c r="SVA33" s="93"/>
      <c r="SVB33" s="93"/>
      <c r="SVC33" s="93"/>
      <c r="SVD33" s="93"/>
      <c r="SVE33" s="93"/>
      <c r="SVF33" s="93"/>
      <c r="SVG33" s="93"/>
      <c r="SVH33" s="93"/>
      <c r="SVI33" s="93"/>
      <c r="SVJ33" s="93"/>
      <c r="SVK33" s="93"/>
      <c r="SVL33" s="93"/>
      <c r="SVM33" s="93"/>
      <c r="SVN33" s="93"/>
      <c r="SVO33" s="93"/>
      <c r="SVP33" s="93"/>
      <c r="SVQ33" s="93"/>
      <c r="SVR33" s="93"/>
      <c r="SVS33" s="93"/>
      <c r="SVT33" s="93"/>
      <c r="SVU33" s="93"/>
      <c r="SVV33" s="93"/>
      <c r="SVW33" s="93"/>
      <c r="SVX33" s="93"/>
      <c r="SVY33" s="93"/>
      <c r="SVZ33" s="93"/>
      <c r="SWA33" s="93"/>
      <c r="SWB33" s="93"/>
      <c r="SWC33" s="93"/>
      <c r="SWD33" s="93"/>
      <c r="SWE33" s="93"/>
      <c r="SWF33" s="93"/>
      <c r="SWG33" s="93"/>
      <c r="SWH33" s="93"/>
      <c r="SWI33" s="93"/>
      <c r="SWJ33" s="93"/>
      <c r="SWK33" s="93"/>
      <c r="SWL33" s="93"/>
      <c r="SWM33" s="93"/>
      <c r="SWN33" s="93"/>
      <c r="SWO33" s="93"/>
      <c r="SWP33" s="93"/>
      <c r="SWQ33" s="93"/>
      <c r="SWR33" s="93"/>
      <c r="SWS33" s="93"/>
      <c r="SWT33" s="93"/>
      <c r="SWU33" s="93"/>
      <c r="SWV33" s="93"/>
      <c r="SWW33" s="93"/>
      <c r="SWX33" s="93"/>
      <c r="SWY33" s="93"/>
      <c r="SWZ33" s="93"/>
      <c r="SXA33" s="93"/>
      <c r="SXB33" s="93"/>
      <c r="SXC33" s="93"/>
      <c r="SXD33" s="93"/>
      <c r="SXE33" s="93"/>
      <c r="SXF33" s="93"/>
      <c r="SXG33" s="93"/>
      <c r="SXH33" s="93"/>
      <c r="SXI33" s="93"/>
      <c r="SXJ33" s="93"/>
      <c r="SXK33" s="93"/>
      <c r="SXL33" s="93"/>
      <c r="SXM33" s="93"/>
      <c r="SXN33" s="93"/>
      <c r="SXO33" s="93"/>
      <c r="SXP33" s="93"/>
      <c r="SXQ33" s="93"/>
      <c r="SXR33" s="93"/>
      <c r="SXS33" s="93"/>
      <c r="SXT33" s="93"/>
      <c r="SXU33" s="93"/>
      <c r="SXV33" s="93"/>
      <c r="SXW33" s="93"/>
      <c r="SXX33" s="93"/>
      <c r="SXY33" s="93"/>
      <c r="SXZ33" s="93"/>
      <c r="SYA33" s="93"/>
      <c r="SYB33" s="93"/>
      <c r="SYC33" s="93"/>
      <c r="SYD33" s="93"/>
      <c r="SYE33" s="93"/>
      <c r="SYF33" s="93"/>
      <c r="SYG33" s="93"/>
      <c r="SYH33" s="93"/>
      <c r="SYI33" s="93"/>
      <c r="SYJ33" s="93"/>
      <c r="SYK33" s="93"/>
      <c r="SYL33" s="93"/>
      <c r="SYM33" s="93"/>
      <c r="SYN33" s="93"/>
      <c r="SYO33" s="93"/>
      <c r="SYP33" s="93"/>
      <c r="SYQ33" s="93"/>
      <c r="SYR33" s="93"/>
      <c r="SYS33" s="93"/>
      <c r="SYT33" s="93"/>
      <c r="SYU33" s="93"/>
      <c r="SYV33" s="93"/>
      <c r="SYW33" s="93"/>
      <c r="SYX33" s="93"/>
      <c r="SYY33" s="93"/>
      <c r="SYZ33" s="93"/>
      <c r="SZA33" s="93"/>
      <c r="SZB33" s="93"/>
      <c r="SZC33" s="93"/>
      <c r="SZD33" s="93"/>
      <c r="SZE33" s="93"/>
      <c r="SZF33" s="93"/>
      <c r="SZG33" s="93"/>
      <c r="SZH33" s="93"/>
      <c r="SZI33" s="93"/>
      <c r="SZJ33" s="93"/>
      <c r="SZK33" s="93"/>
      <c r="SZL33" s="93"/>
      <c r="SZM33" s="93"/>
      <c r="SZN33" s="93"/>
      <c r="SZO33" s="93"/>
      <c r="SZP33" s="93"/>
      <c r="SZQ33" s="93"/>
      <c r="SZR33" s="93"/>
      <c r="SZS33" s="93"/>
      <c r="SZT33" s="93"/>
      <c r="SZU33" s="93"/>
      <c r="SZV33" s="93"/>
      <c r="SZW33" s="93"/>
      <c r="SZX33" s="93"/>
      <c r="SZY33" s="93"/>
      <c r="SZZ33" s="93"/>
      <c r="TAA33" s="93"/>
      <c r="TAB33" s="93"/>
      <c r="TAC33" s="93"/>
      <c r="TAD33" s="93"/>
      <c r="TAE33" s="93"/>
      <c r="TAF33" s="93"/>
      <c r="TAG33" s="93"/>
      <c r="TAH33" s="93"/>
      <c r="TAI33" s="93"/>
      <c r="TAJ33" s="93"/>
      <c r="TAK33" s="93"/>
      <c r="TAL33" s="93"/>
      <c r="TAM33" s="93"/>
      <c r="TAN33" s="93"/>
      <c r="TAO33" s="93"/>
      <c r="TAP33" s="93"/>
      <c r="TAQ33" s="93"/>
      <c r="TAR33" s="93"/>
      <c r="TAS33" s="93"/>
      <c r="TAT33" s="93"/>
      <c r="TAU33" s="93"/>
      <c r="TAV33" s="93"/>
      <c r="TAW33" s="93"/>
      <c r="TAX33" s="93"/>
      <c r="TAY33" s="93"/>
      <c r="TAZ33" s="93"/>
      <c r="TBA33" s="93"/>
      <c r="TBB33" s="93"/>
      <c r="TBC33" s="93"/>
      <c r="TBD33" s="93"/>
      <c r="TBE33" s="93"/>
      <c r="TBF33" s="93"/>
      <c r="TBG33" s="93"/>
      <c r="TBH33" s="93"/>
      <c r="TBI33" s="93"/>
      <c r="TBJ33" s="93"/>
      <c r="TBK33" s="93"/>
      <c r="TBL33" s="93"/>
      <c r="TBM33" s="93"/>
      <c r="TBN33" s="93"/>
      <c r="TBO33" s="93"/>
      <c r="TBP33" s="93"/>
      <c r="TBQ33" s="93"/>
      <c r="TBR33" s="93"/>
      <c r="TBS33" s="93"/>
      <c r="TBT33" s="93"/>
      <c r="TBU33" s="93"/>
      <c r="TBV33" s="93"/>
      <c r="TBW33" s="93"/>
      <c r="TBX33" s="93"/>
      <c r="TBY33" s="93"/>
      <c r="TBZ33" s="93"/>
      <c r="TCA33" s="93"/>
      <c r="TCB33" s="93"/>
      <c r="TCC33" s="93"/>
      <c r="TCD33" s="93"/>
      <c r="TCE33" s="93"/>
      <c r="TCF33" s="93"/>
      <c r="TCG33" s="93"/>
      <c r="TCH33" s="93"/>
      <c r="TCI33" s="93"/>
      <c r="TCJ33" s="93"/>
      <c r="TCK33" s="93"/>
      <c r="TCL33" s="93"/>
      <c r="TCM33" s="93"/>
      <c r="TCN33" s="93"/>
      <c r="TCO33" s="93"/>
      <c r="TCP33" s="93"/>
      <c r="TCQ33" s="93"/>
      <c r="TCR33" s="93"/>
      <c r="TCS33" s="93"/>
      <c r="TCT33" s="93"/>
      <c r="TCU33" s="93"/>
      <c r="TCV33" s="93"/>
      <c r="TCW33" s="93"/>
      <c r="TCX33" s="93"/>
      <c r="TCY33" s="93"/>
      <c r="TCZ33" s="93"/>
      <c r="TDA33" s="93"/>
      <c r="TDB33" s="93"/>
      <c r="TDC33" s="93"/>
      <c r="TDD33" s="93"/>
      <c r="TDE33" s="93"/>
      <c r="TDF33" s="93"/>
      <c r="TDG33" s="93"/>
      <c r="TDH33" s="93"/>
      <c r="TDI33" s="93"/>
      <c r="TDJ33" s="93"/>
      <c r="TDK33" s="93"/>
      <c r="TDL33" s="93"/>
      <c r="TDM33" s="93"/>
      <c r="TDN33" s="93"/>
      <c r="TDO33" s="93"/>
      <c r="TDP33" s="93"/>
      <c r="TDQ33" s="93"/>
      <c r="TDR33" s="93"/>
      <c r="TDS33" s="93"/>
      <c r="TDT33" s="93"/>
      <c r="TDU33" s="93"/>
      <c r="TDV33" s="93"/>
      <c r="TDW33" s="93"/>
      <c r="TDX33" s="93"/>
      <c r="TDY33" s="93"/>
      <c r="TDZ33" s="93"/>
      <c r="TEA33" s="93"/>
      <c r="TEB33" s="93"/>
      <c r="TEC33" s="93"/>
      <c r="TED33" s="93"/>
      <c r="TEE33" s="93"/>
      <c r="TEF33" s="93"/>
      <c r="TEG33" s="93"/>
      <c r="TEH33" s="93"/>
      <c r="TEI33" s="93"/>
      <c r="TEJ33" s="93"/>
      <c r="TEK33" s="93"/>
      <c r="TEL33" s="93"/>
      <c r="TEM33" s="93"/>
      <c r="TEN33" s="93"/>
      <c r="TEO33" s="93"/>
      <c r="TEP33" s="93"/>
      <c r="TEQ33" s="93"/>
      <c r="TER33" s="93"/>
      <c r="TES33" s="93"/>
      <c r="TET33" s="93"/>
      <c r="TEU33" s="93"/>
      <c r="TEV33" s="93"/>
      <c r="TEW33" s="93"/>
      <c r="TEX33" s="93"/>
      <c r="TEY33" s="93"/>
      <c r="TEZ33" s="93"/>
      <c r="TFA33" s="93"/>
      <c r="TFB33" s="93"/>
      <c r="TFC33" s="93"/>
      <c r="TFD33" s="93"/>
      <c r="TFE33" s="93"/>
      <c r="TFF33" s="93"/>
      <c r="TFG33" s="93"/>
      <c r="TFH33" s="93"/>
      <c r="TFI33" s="93"/>
      <c r="TFJ33" s="93"/>
      <c r="TFK33" s="93"/>
      <c r="TFL33" s="93"/>
      <c r="TFM33" s="93"/>
      <c r="TFN33" s="93"/>
      <c r="TFO33" s="93"/>
      <c r="TFP33" s="93"/>
      <c r="TFQ33" s="93"/>
      <c r="TFR33" s="93"/>
      <c r="TFS33" s="93"/>
      <c r="TFT33" s="93"/>
      <c r="TFU33" s="93"/>
      <c r="TFV33" s="93"/>
      <c r="TFW33" s="93"/>
      <c r="TFX33" s="93"/>
      <c r="TFY33" s="93"/>
      <c r="TFZ33" s="93"/>
      <c r="TGA33" s="93"/>
      <c r="TGB33" s="93"/>
      <c r="TGC33" s="93"/>
      <c r="TGD33" s="93"/>
      <c r="TGE33" s="93"/>
      <c r="TGF33" s="93"/>
      <c r="TGG33" s="93"/>
      <c r="TGH33" s="93"/>
      <c r="TGI33" s="93"/>
      <c r="TGJ33" s="93"/>
      <c r="TGK33" s="93"/>
      <c r="TGL33" s="93"/>
      <c r="TGM33" s="93"/>
      <c r="TGN33" s="93"/>
      <c r="TGO33" s="93"/>
      <c r="TGP33" s="93"/>
      <c r="TGQ33" s="93"/>
      <c r="TGR33" s="93"/>
      <c r="TGS33" s="93"/>
      <c r="TGT33" s="93"/>
      <c r="TGU33" s="93"/>
      <c r="TGV33" s="93"/>
      <c r="TGW33" s="93"/>
      <c r="TGX33" s="93"/>
      <c r="TGY33" s="93"/>
      <c r="TGZ33" s="93"/>
      <c r="THA33" s="93"/>
      <c r="THB33" s="93"/>
      <c r="THC33" s="93"/>
      <c r="THD33" s="93"/>
      <c r="THE33" s="93"/>
      <c r="THF33" s="93"/>
      <c r="THG33" s="93"/>
      <c r="THH33" s="93"/>
      <c r="THI33" s="93"/>
      <c r="THJ33" s="93"/>
      <c r="THK33" s="93"/>
      <c r="THL33" s="93"/>
      <c r="THM33" s="93"/>
      <c r="THN33" s="93"/>
      <c r="THO33" s="93"/>
      <c r="THP33" s="93"/>
      <c r="THQ33" s="93"/>
      <c r="THR33" s="93"/>
      <c r="THS33" s="93"/>
      <c r="THT33" s="93"/>
      <c r="THU33" s="93"/>
      <c r="THV33" s="93"/>
      <c r="THW33" s="93"/>
      <c r="THX33" s="93"/>
      <c r="THY33" s="93"/>
      <c r="THZ33" s="93"/>
      <c r="TIA33" s="93"/>
      <c r="TIB33" s="93"/>
      <c r="TIC33" s="93"/>
      <c r="TID33" s="93"/>
      <c r="TIE33" s="93"/>
      <c r="TIF33" s="93"/>
      <c r="TIG33" s="93"/>
      <c r="TIH33" s="93"/>
      <c r="TII33" s="93"/>
      <c r="TIJ33" s="93"/>
      <c r="TIK33" s="93"/>
      <c r="TIL33" s="93"/>
      <c r="TIM33" s="93"/>
      <c r="TIN33" s="93"/>
      <c r="TIO33" s="93"/>
      <c r="TIP33" s="93"/>
      <c r="TIQ33" s="93"/>
      <c r="TIR33" s="93"/>
      <c r="TIS33" s="93"/>
      <c r="TIT33" s="93"/>
      <c r="TIU33" s="93"/>
      <c r="TIV33" s="93"/>
      <c r="TIW33" s="93"/>
      <c r="TIX33" s="93"/>
      <c r="TIY33" s="93"/>
      <c r="TIZ33" s="93"/>
      <c r="TJA33" s="93"/>
      <c r="TJB33" s="93"/>
      <c r="TJC33" s="93"/>
      <c r="TJD33" s="93"/>
      <c r="TJE33" s="93"/>
      <c r="TJF33" s="93"/>
      <c r="TJG33" s="93"/>
      <c r="TJH33" s="93"/>
      <c r="TJI33" s="93"/>
      <c r="TJJ33" s="93"/>
      <c r="TJK33" s="93"/>
      <c r="TJL33" s="93"/>
      <c r="TJM33" s="93"/>
      <c r="TJN33" s="93"/>
      <c r="TJO33" s="93"/>
      <c r="TJP33" s="93"/>
      <c r="TJQ33" s="93"/>
      <c r="TJR33" s="93"/>
      <c r="TJS33" s="93"/>
      <c r="TJT33" s="93"/>
      <c r="TJU33" s="93"/>
      <c r="TJV33" s="93"/>
      <c r="TJW33" s="93"/>
      <c r="TJX33" s="93"/>
      <c r="TJY33" s="93"/>
      <c r="TJZ33" s="93"/>
      <c r="TKA33" s="93"/>
      <c r="TKB33" s="93"/>
      <c r="TKC33" s="93"/>
      <c r="TKD33" s="93"/>
      <c r="TKE33" s="93"/>
      <c r="TKF33" s="93"/>
      <c r="TKG33" s="93"/>
      <c r="TKH33" s="93"/>
      <c r="TKI33" s="93"/>
      <c r="TKJ33" s="93"/>
      <c r="TKK33" s="93"/>
      <c r="TKL33" s="93"/>
      <c r="TKM33" s="93"/>
      <c r="TKN33" s="93"/>
      <c r="TKO33" s="93"/>
      <c r="TKP33" s="93"/>
      <c r="TKQ33" s="93"/>
      <c r="TKR33" s="93"/>
      <c r="TKS33" s="93"/>
      <c r="TKT33" s="93"/>
      <c r="TKU33" s="93"/>
      <c r="TKV33" s="93"/>
      <c r="TKW33" s="93"/>
      <c r="TKX33" s="93"/>
      <c r="TKY33" s="93"/>
      <c r="TKZ33" s="93"/>
      <c r="TLA33" s="93"/>
      <c r="TLB33" s="93"/>
      <c r="TLC33" s="93"/>
      <c r="TLD33" s="93"/>
      <c r="TLE33" s="93"/>
      <c r="TLF33" s="93"/>
      <c r="TLG33" s="93"/>
      <c r="TLH33" s="93"/>
      <c r="TLI33" s="93"/>
      <c r="TLJ33" s="93"/>
      <c r="TLK33" s="93"/>
      <c r="TLL33" s="93"/>
      <c r="TLM33" s="93"/>
      <c r="TLN33" s="93"/>
      <c r="TLO33" s="93"/>
      <c r="TLP33" s="93"/>
      <c r="TLQ33" s="93"/>
      <c r="TLR33" s="93"/>
      <c r="TLS33" s="93"/>
      <c r="TLT33" s="93"/>
      <c r="TLU33" s="93"/>
      <c r="TLV33" s="93"/>
      <c r="TLW33" s="93"/>
      <c r="TLX33" s="93"/>
      <c r="TLY33" s="93"/>
      <c r="TLZ33" s="93"/>
      <c r="TMA33" s="93"/>
      <c r="TMB33" s="93"/>
      <c r="TMC33" s="93"/>
      <c r="TMD33" s="93"/>
      <c r="TME33" s="93"/>
      <c r="TMF33" s="93"/>
      <c r="TMG33" s="93"/>
      <c r="TMH33" s="93"/>
      <c r="TMI33" s="93"/>
      <c r="TMJ33" s="93"/>
      <c r="TMK33" s="93"/>
      <c r="TML33" s="93"/>
      <c r="TMM33" s="93"/>
      <c r="TMN33" s="93"/>
      <c r="TMO33" s="93"/>
      <c r="TMP33" s="93"/>
      <c r="TMQ33" s="93"/>
      <c r="TMR33" s="93"/>
      <c r="TMS33" s="93"/>
      <c r="TMT33" s="93"/>
      <c r="TMU33" s="93"/>
      <c r="TMV33" s="93"/>
      <c r="TMW33" s="93"/>
      <c r="TMX33" s="93"/>
      <c r="TMY33" s="93"/>
      <c r="TMZ33" s="93"/>
      <c r="TNA33" s="93"/>
      <c r="TNB33" s="93"/>
      <c r="TNC33" s="93"/>
      <c r="TND33" s="93"/>
      <c r="TNE33" s="93"/>
      <c r="TNF33" s="93"/>
      <c r="TNG33" s="93"/>
      <c r="TNH33" s="93"/>
      <c r="TNI33" s="93"/>
      <c r="TNJ33" s="93"/>
      <c r="TNK33" s="93"/>
      <c r="TNL33" s="93"/>
      <c r="TNM33" s="93"/>
      <c r="TNN33" s="93"/>
      <c r="TNO33" s="93"/>
      <c r="TNP33" s="93"/>
      <c r="TNQ33" s="93"/>
      <c r="TNR33" s="93"/>
      <c r="TNS33" s="93"/>
      <c r="TNT33" s="93"/>
      <c r="TNU33" s="93"/>
      <c r="TNV33" s="93"/>
      <c r="TNW33" s="93"/>
      <c r="TNX33" s="93"/>
      <c r="TNY33" s="93"/>
      <c r="TNZ33" s="93"/>
      <c r="TOA33" s="93"/>
      <c r="TOB33" s="93"/>
      <c r="TOC33" s="93"/>
      <c r="TOD33" s="93"/>
      <c r="TOE33" s="93"/>
      <c r="TOF33" s="93"/>
      <c r="TOG33" s="93"/>
      <c r="TOH33" s="93"/>
      <c r="TOI33" s="93"/>
      <c r="TOJ33" s="93"/>
      <c r="TOK33" s="93"/>
      <c r="TOL33" s="93"/>
      <c r="TOM33" s="93"/>
      <c r="TON33" s="93"/>
      <c r="TOO33" s="93"/>
      <c r="TOP33" s="93"/>
      <c r="TOQ33" s="93"/>
      <c r="TOR33" s="93"/>
      <c r="TOS33" s="93"/>
      <c r="TOT33" s="93"/>
      <c r="TOU33" s="93"/>
      <c r="TOV33" s="93"/>
      <c r="TOW33" s="93"/>
      <c r="TOX33" s="93"/>
      <c r="TOY33" s="93"/>
      <c r="TOZ33" s="93"/>
      <c r="TPA33" s="93"/>
      <c r="TPB33" s="93"/>
      <c r="TPC33" s="93"/>
      <c r="TPD33" s="93"/>
      <c r="TPE33" s="93"/>
      <c r="TPF33" s="93"/>
      <c r="TPG33" s="93"/>
      <c r="TPH33" s="93"/>
      <c r="TPI33" s="93"/>
      <c r="TPJ33" s="93"/>
      <c r="TPK33" s="93"/>
      <c r="TPL33" s="93"/>
      <c r="TPM33" s="93"/>
      <c r="TPN33" s="93"/>
      <c r="TPO33" s="93"/>
      <c r="TPP33" s="93"/>
      <c r="TPQ33" s="93"/>
      <c r="TPR33" s="93"/>
      <c r="TPS33" s="93"/>
      <c r="TPT33" s="93"/>
      <c r="TPU33" s="93"/>
      <c r="TPV33" s="93"/>
      <c r="TPW33" s="93"/>
      <c r="TPX33" s="93"/>
      <c r="TPY33" s="93"/>
      <c r="TPZ33" s="93"/>
      <c r="TQA33" s="93"/>
      <c r="TQB33" s="93"/>
      <c r="TQC33" s="93"/>
      <c r="TQD33" s="93"/>
      <c r="TQE33" s="93"/>
      <c r="TQF33" s="93"/>
      <c r="TQG33" s="93"/>
      <c r="TQH33" s="93"/>
      <c r="TQI33" s="93"/>
      <c r="TQJ33" s="93"/>
      <c r="TQK33" s="93"/>
      <c r="TQL33" s="93"/>
      <c r="TQM33" s="93"/>
      <c r="TQN33" s="93"/>
      <c r="TQO33" s="93"/>
      <c r="TQP33" s="93"/>
      <c r="TQQ33" s="93"/>
      <c r="TQR33" s="93"/>
      <c r="TQS33" s="93"/>
      <c r="TQT33" s="93"/>
      <c r="TQU33" s="93"/>
      <c r="TQV33" s="93"/>
      <c r="TQW33" s="93"/>
      <c r="TQX33" s="93"/>
      <c r="TQY33" s="93"/>
      <c r="TQZ33" s="93"/>
      <c r="TRA33" s="93"/>
      <c r="TRB33" s="93"/>
      <c r="TRC33" s="93"/>
      <c r="TRD33" s="93"/>
      <c r="TRE33" s="93"/>
      <c r="TRF33" s="93"/>
      <c r="TRG33" s="93"/>
      <c r="TRH33" s="93"/>
      <c r="TRI33" s="93"/>
      <c r="TRJ33" s="93"/>
      <c r="TRK33" s="93"/>
      <c r="TRL33" s="93"/>
      <c r="TRM33" s="93"/>
      <c r="TRN33" s="93"/>
      <c r="TRO33" s="93"/>
      <c r="TRP33" s="93"/>
      <c r="TRQ33" s="93"/>
      <c r="TRR33" s="93"/>
      <c r="TRS33" s="93"/>
      <c r="TRT33" s="93"/>
      <c r="TRU33" s="93"/>
      <c r="TRV33" s="93"/>
      <c r="TRW33" s="93"/>
      <c r="TRX33" s="93"/>
      <c r="TRY33" s="93"/>
      <c r="TRZ33" s="93"/>
      <c r="TSA33" s="93"/>
      <c r="TSB33" s="93"/>
      <c r="TSC33" s="93"/>
      <c r="TSD33" s="93"/>
      <c r="TSE33" s="93"/>
      <c r="TSF33" s="93"/>
      <c r="TSG33" s="93"/>
      <c r="TSH33" s="93"/>
      <c r="TSI33" s="93"/>
      <c r="TSJ33" s="93"/>
      <c r="TSK33" s="93"/>
      <c r="TSL33" s="93"/>
      <c r="TSM33" s="93"/>
      <c r="TSN33" s="93"/>
      <c r="TSO33" s="93"/>
      <c r="TSP33" s="93"/>
      <c r="TSQ33" s="93"/>
      <c r="TSR33" s="93"/>
      <c r="TSS33" s="93"/>
      <c r="TST33" s="93"/>
      <c r="TSU33" s="93"/>
      <c r="TSV33" s="93"/>
      <c r="TSW33" s="93"/>
      <c r="TSX33" s="93"/>
      <c r="TSY33" s="93"/>
      <c r="TSZ33" s="93"/>
      <c r="TTA33" s="93"/>
      <c r="TTB33" s="93"/>
      <c r="TTC33" s="93"/>
      <c r="TTD33" s="93"/>
      <c r="TTE33" s="93"/>
      <c r="TTF33" s="93"/>
      <c r="TTG33" s="93"/>
      <c r="TTH33" s="93"/>
      <c r="TTI33" s="93"/>
      <c r="TTJ33" s="93"/>
      <c r="TTK33" s="93"/>
      <c r="TTL33" s="93"/>
      <c r="TTM33" s="93"/>
      <c r="TTN33" s="93"/>
      <c r="TTO33" s="93"/>
      <c r="TTP33" s="93"/>
      <c r="TTQ33" s="93"/>
      <c r="TTR33" s="93"/>
      <c r="TTS33" s="93"/>
      <c r="TTT33" s="93"/>
      <c r="TTU33" s="93"/>
      <c r="TTV33" s="93"/>
      <c r="TTW33" s="93"/>
      <c r="TTX33" s="93"/>
      <c r="TTY33" s="93"/>
      <c r="TTZ33" s="93"/>
      <c r="TUA33" s="93"/>
      <c r="TUB33" s="93"/>
      <c r="TUC33" s="93"/>
      <c r="TUD33" s="93"/>
      <c r="TUE33" s="93"/>
      <c r="TUF33" s="93"/>
      <c r="TUG33" s="93"/>
      <c r="TUH33" s="93"/>
      <c r="TUI33" s="93"/>
      <c r="TUJ33" s="93"/>
      <c r="TUK33" s="93"/>
      <c r="TUL33" s="93"/>
      <c r="TUM33" s="93"/>
      <c r="TUN33" s="93"/>
      <c r="TUO33" s="93"/>
      <c r="TUP33" s="93"/>
      <c r="TUQ33" s="93"/>
      <c r="TUR33" s="93"/>
      <c r="TUS33" s="93"/>
      <c r="TUT33" s="93"/>
      <c r="TUU33" s="93"/>
      <c r="TUV33" s="93"/>
      <c r="TUW33" s="93"/>
      <c r="TUX33" s="93"/>
      <c r="TUY33" s="93"/>
      <c r="TUZ33" s="93"/>
      <c r="TVA33" s="93"/>
      <c r="TVB33" s="93"/>
      <c r="TVC33" s="93"/>
      <c r="TVD33" s="93"/>
      <c r="TVE33" s="93"/>
      <c r="TVF33" s="93"/>
      <c r="TVG33" s="93"/>
      <c r="TVH33" s="93"/>
      <c r="TVI33" s="93"/>
      <c r="TVJ33" s="93"/>
      <c r="TVK33" s="93"/>
      <c r="TVL33" s="93"/>
      <c r="TVM33" s="93"/>
      <c r="TVN33" s="93"/>
      <c r="TVO33" s="93"/>
      <c r="TVP33" s="93"/>
      <c r="TVQ33" s="93"/>
      <c r="TVR33" s="93"/>
      <c r="TVS33" s="93"/>
      <c r="TVT33" s="93"/>
      <c r="TVU33" s="93"/>
      <c r="TVV33" s="93"/>
      <c r="TVW33" s="93"/>
      <c r="TVX33" s="93"/>
      <c r="TVY33" s="93"/>
      <c r="TVZ33" s="93"/>
      <c r="TWA33" s="93"/>
      <c r="TWB33" s="93"/>
      <c r="TWC33" s="93"/>
      <c r="TWD33" s="93"/>
      <c r="TWE33" s="93"/>
      <c r="TWF33" s="93"/>
      <c r="TWG33" s="93"/>
      <c r="TWH33" s="93"/>
      <c r="TWI33" s="93"/>
      <c r="TWJ33" s="93"/>
      <c r="TWK33" s="93"/>
      <c r="TWL33" s="93"/>
      <c r="TWM33" s="93"/>
      <c r="TWN33" s="93"/>
      <c r="TWO33" s="93"/>
      <c r="TWP33" s="93"/>
      <c r="TWQ33" s="93"/>
      <c r="TWR33" s="93"/>
      <c r="TWS33" s="93"/>
      <c r="TWT33" s="93"/>
      <c r="TWU33" s="93"/>
      <c r="TWV33" s="93"/>
      <c r="TWW33" s="93"/>
      <c r="TWX33" s="93"/>
      <c r="TWY33" s="93"/>
      <c r="TWZ33" s="93"/>
      <c r="TXA33" s="93"/>
      <c r="TXB33" s="93"/>
      <c r="TXC33" s="93"/>
      <c r="TXD33" s="93"/>
      <c r="TXE33" s="93"/>
      <c r="TXF33" s="93"/>
      <c r="TXG33" s="93"/>
      <c r="TXH33" s="93"/>
      <c r="TXI33" s="93"/>
      <c r="TXJ33" s="93"/>
      <c r="TXK33" s="93"/>
      <c r="TXL33" s="93"/>
      <c r="TXM33" s="93"/>
      <c r="TXN33" s="93"/>
      <c r="TXO33" s="93"/>
      <c r="TXP33" s="93"/>
      <c r="TXQ33" s="93"/>
      <c r="TXR33" s="93"/>
      <c r="TXS33" s="93"/>
      <c r="TXT33" s="93"/>
      <c r="TXU33" s="93"/>
      <c r="TXV33" s="93"/>
      <c r="TXW33" s="93"/>
      <c r="TXX33" s="93"/>
      <c r="TXY33" s="93"/>
      <c r="TXZ33" s="93"/>
      <c r="TYA33" s="93"/>
      <c r="TYB33" s="93"/>
      <c r="TYC33" s="93"/>
      <c r="TYD33" s="93"/>
      <c r="TYE33" s="93"/>
      <c r="TYF33" s="93"/>
      <c r="TYG33" s="93"/>
      <c r="TYH33" s="93"/>
      <c r="TYI33" s="93"/>
      <c r="TYJ33" s="93"/>
      <c r="TYK33" s="93"/>
      <c r="TYL33" s="93"/>
      <c r="TYM33" s="93"/>
      <c r="TYN33" s="93"/>
      <c r="TYO33" s="93"/>
      <c r="TYP33" s="93"/>
      <c r="TYQ33" s="93"/>
      <c r="TYR33" s="93"/>
      <c r="TYS33" s="93"/>
      <c r="TYT33" s="93"/>
      <c r="TYU33" s="93"/>
      <c r="TYV33" s="93"/>
      <c r="TYW33" s="93"/>
      <c r="TYX33" s="93"/>
      <c r="TYY33" s="93"/>
      <c r="TYZ33" s="93"/>
      <c r="TZA33" s="93"/>
      <c r="TZB33" s="93"/>
      <c r="TZC33" s="93"/>
      <c r="TZD33" s="93"/>
      <c r="TZE33" s="93"/>
      <c r="TZF33" s="93"/>
      <c r="TZG33" s="93"/>
      <c r="TZH33" s="93"/>
      <c r="TZI33" s="93"/>
      <c r="TZJ33" s="93"/>
      <c r="TZK33" s="93"/>
      <c r="TZL33" s="93"/>
      <c r="TZM33" s="93"/>
      <c r="TZN33" s="93"/>
      <c r="TZO33" s="93"/>
      <c r="TZP33" s="93"/>
      <c r="TZQ33" s="93"/>
      <c r="TZR33" s="93"/>
      <c r="TZS33" s="93"/>
      <c r="TZT33" s="93"/>
      <c r="TZU33" s="93"/>
      <c r="TZV33" s="93"/>
      <c r="TZW33" s="93"/>
      <c r="TZX33" s="93"/>
      <c r="TZY33" s="93"/>
      <c r="TZZ33" s="93"/>
      <c r="UAA33" s="93"/>
      <c r="UAB33" s="93"/>
      <c r="UAC33" s="93"/>
      <c r="UAD33" s="93"/>
      <c r="UAE33" s="93"/>
      <c r="UAF33" s="93"/>
      <c r="UAG33" s="93"/>
      <c r="UAH33" s="93"/>
      <c r="UAI33" s="93"/>
      <c r="UAJ33" s="93"/>
      <c r="UAK33" s="93"/>
      <c r="UAL33" s="93"/>
      <c r="UAM33" s="93"/>
      <c r="UAN33" s="93"/>
      <c r="UAO33" s="93"/>
      <c r="UAP33" s="93"/>
      <c r="UAQ33" s="93"/>
      <c r="UAR33" s="93"/>
      <c r="UAS33" s="93"/>
      <c r="UAT33" s="93"/>
      <c r="UAU33" s="93"/>
      <c r="UAV33" s="93"/>
      <c r="UAW33" s="93"/>
      <c r="UAX33" s="93"/>
      <c r="UAY33" s="93"/>
      <c r="UAZ33" s="93"/>
      <c r="UBA33" s="93"/>
      <c r="UBB33" s="93"/>
      <c r="UBC33" s="93"/>
      <c r="UBD33" s="93"/>
      <c r="UBE33" s="93"/>
      <c r="UBF33" s="93"/>
      <c r="UBG33" s="93"/>
      <c r="UBH33" s="93"/>
      <c r="UBI33" s="93"/>
      <c r="UBJ33" s="93"/>
      <c r="UBK33" s="93"/>
      <c r="UBL33" s="93"/>
      <c r="UBM33" s="93"/>
      <c r="UBN33" s="93"/>
      <c r="UBO33" s="93"/>
      <c r="UBP33" s="93"/>
      <c r="UBQ33" s="93"/>
      <c r="UBR33" s="93"/>
      <c r="UBS33" s="93"/>
      <c r="UBT33" s="93"/>
      <c r="UBU33" s="93"/>
      <c r="UBV33" s="93"/>
      <c r="UBW33" s="93"/>
      <c r="UBX33" s="93"/>
      <c r="UBY33" s="93"/>
      <c r="UBZ33" s="93"/>
      <c r="UCA33" s="93"/>
      <c r="UCB33" s="93"/>
      <c r="UCC33" s="93"/>
      <c r="UCD33" s="93"/>
      <c r="UCE33" s="93"/>
      <c r="UCF33" s="93"/>
      <c r="UCG33" s="93"/>
      <c r="UCH33" s="93"/>
      <c r="UCI33" s="93"/>
      <c r="UCJ33" s="93"/>
      <c r="UCK33" s="93"/>
      <c r="UCL33" s="93"/>
      <c r="UCM33" s="93"/>
      <c r="UCN33" s="93"/>
      <c r="UCO33" s="93"/>
      <c r="UCP33" s="93"/>
      <c r="UCQ33" s="93"/>
      <c r="UCR33" s="93"/>
      <c r="UCS33" s="93"/>
      <c r="UCT33" s="93"/>
      <c r="UCU33" s="93"/>
      <c r="UCV33" s="93"/>
      <c r="UCW33" s="93"/>
      <c r="UCX33" s="93"/>
      <c r="UCY33" s="93"/>
      <c r="UCZ33" s="93"/>
      <c r="UDA33" s="93"/>
      <c r="UDB33" s="93"/>
      <c r="UDC33" s="93"/>
      <c r="UDD33" s="93"/>
      <c r="UDE33" s="93"/>
      <c r="UDF33" s="93"/>
      <c r="UDG33" s="93"/>
      <c r="UDH33" s="93"/>
      <c r="UDI33" s="93"/>
      <c r="UDJ33" s="93"/>
      <c r="UDK33" s="93"/>
      <c r="UDL33" s="93"/>
      <c r="UDM33" s="93"/>
      <c r="UDN33" s="93"/>
      <c r="UDO33" s="93"/>
      <c r="UDP33" s="93"/>
      <c r="UDQ33" s="93"/>
      <c r="UDR33" s="93"/>
      <c r="UDS33" s="93"/>
      <c r="UDT33" s="93"/>
      <c r="UDU33" s="93"/>
      <c r="UDV33" s="93"/>
      <c r="UDW33" s="93"/>
      <c r="UDX33" s="93"/>
      <c r="UDY33" s="93"/>
      <c r="UDZ33" s="93"/>
      <c r="UEA33" s="93"/>
      <c r="UEB33" s="93"/>
      <c r="UEC33" s="93"/>
      <c r="UED33" s="93"/>
      <c r="UEE33" s="93"/>
      <c r="UEF33" s="93"/>
      <c r="UEG33" s="93"/>
      <c r="UEH33" s="93"/>
      <c r="UEI33" s="93"/>
      <c r="UEJ33" s="93"/>
      <c r="UEK33" s="93"/>
      <c r="UEL33" s="93"/>
      <c r="UEM33" s="93"/>
      <c r="UEN33" s="93"/>
      <c r="UEO33" s="93"/>
      <c r="UEP33" s="93"/>
      <c r="UEQ33" s="93"/>
      <c r="UER33" s="93"/>
      <c r="UES33" s="93"/>
      <c r="UET33" s="93"/>
      <c r="UEU33" s="93"/>
      <c r="UEV33" s="93"/>
      <c r="UEW33" s="93"/>
      <c r="UEX33" s="93"/>
      <c r="UEY33" s="93"/>
      <c r="UEZ33" s="93"/>
      <c r="UFA33" s="93"/>
      <c r="UFB33" s="93"/>
      <c r="UFC33" s="93"/>
      <c r="UFD33" s="93"/>
      <c r="UFE33" s="93"/>
      <c r="UFF33" s="93"/>
      <c r="UFG33" s="93"/>
      <c r="UFH33" s="93"/>
      <c r="UFI33" s="93"/>
      <c r="UFJ33" s="93"/>
      <c r="UFK33" s="93"/>
      <c r="UFL33" s="93"/>
      <c r="UFM33" s="93"/>
      <c r="UFN33" s="93"/>
      <c r="UFO33" s="93"/>
      <c r="UFP33" s="93"/>
      <c r="UFQ33" s="93"/>
      <c r="UFR33" s="93"/>
      <c r="UFS33" s="93"/>
      <c r="UFT33" s="93"/>
      <c r="UFU33" s="93"/>
      <c r="UFV33" s="93"/>
      <c r="UFW33" s="93"/>
      <c r="UFX33" s="93"/>
      <c r="UFY33" s="93"/>
      <c r="UFZ33" s="93"/>
      <c r="UGA33" s="93"/>
      <c r="UGB33" s="93"/>
      <c r="UGC33" s="93"/>
      <c r="UGD33" s="93"/>
      <c r="UGE33" s="93"/>
      <c r="UGF33" s="93"/>
      <c r="UGG33" s="93"/>
      <c r="UGH33" s="93"/>
      <c r="UGI33" s="93"/>
      <c r="UGJ33" s="93"/>
      <c r="UGK33" s="93"/>
      <c r="UGL33" s="93"/>
      <c r="UGM33" s="93"/>
      <c r="UGN33" s="93"/>
      <c r="UGO33" s="93"/>
      <c r="UGP33" s="93"/>
      <c r="UGQ33" s="93"/>
      <c r="UGR33" s="93"/>
      <c r="UGS33" s="93"/>
      <c r="UGT33" s="93"/>
      <c r="UGU33" s="93"/>
      <c r="UGV33" s="93"/>
      <c r="UGW33" s="93"/>
      <c r="UGX33" s="93"/>
      <c r="UGY33" s="93"/>
      <c r="UGZ33" s="93"/>
      <c r="UHA33" s="93"/>
      <c r="UHB33" s="93"/>
      <c r="UHC33" s="93"/>
      <c r="UHD33" s="93"/>
      <c r="UHE33" s="93"/>
      <c r="UHF33" s="93"/>
      <c r="UHG33" s="93"/>
      <c r="UHH33" s="93"/>
      <c r="UHI33" s="93"/>
      <c r="UHJ33" s="93"/>
      <c r="UHK33" s="93"/>
      <c r="UHL33" s="93"/>
      <c r="UHM33" s="93"/>
      <c r="UHN33" s="93"/>
      <c r="UHO33" s="93"/>
      <c r="UHP33" s="93"/>
      <c r="UHQ33" s="93"/>
      <c r="UHR33" s="93"/>
      <c r="UHS33" s="93"/>
      <c r="UHT33" s="93"/>
      <c r="UHU33" s="93"/>
      <c r="UHV33" s="93"/>
      <c r="UHW33" s="93"/>
      <c r="UHX33" s="93"/>
      <c r="UHY33" s="93"/>
      <c r="UHZ33" s="93"/>
      <c r="UIA33" s="93"/>
      <c r="UIB33" s="93"/>
      <c r="UIC33" s="93"/>
      <c r="UID33" s="93"/>
      <c r="UIE33" s="93"/>
      <c r="UIF33" s="93"/>
      <c r="UIG33" s="93"/>
      <c r="UIH33" s="93"/>
      <c r="UII33" s="93"/>
      <c r="UIJ33" s="93"/>
      <c r="UIK33" s="93"/>
      <c r="UIL33" s="93"/>
      <c r="UIM33" s="93"/>
      <c r="UIN33" s="93"/>
      <c r="UIO33" s="93"/>
      <c r="UIP33" s="93"/>
      <c r="UIQ33" s="93"/>
      <c r="UIR33" s="93"/>
      <c r="UIS33" s="93"/>
      <c r="UIT33" s="93"/>
      <c r="UIU33" s="93"/>
      <c r="UIV33" s="93"/>
      <c r="UIW33" s="93"/>
      <c r="UIX33" s="93"/>
      <c r="UIY33" s="93"/>
      <c r="UIZ33" s="93"/>
      <c r="UJA33" s="93"/>
      <c r="UJB33" s="93"/>
      <c r="UJC33" s="93"/>
      <c r="UJD33" s="93"/>
      <c r="UJE33" s="93"/>
      <c r="UJF33" s="93"/>
      <c r="UJG33" s="93"/>
      <c r="UJH33" s="93"/>
      <c r="UJI33" s="93"/>
      <c r="UJJ33" s="93"/>
      <c r="UJK33" s="93"/>
      <c r="UJL33" s="93"/>
      <c r="UJM33" s="93"/>
      <c r="UJN33" s="93"/>
      <c r="UJO33" s="93"/>
      <c r="UJP33" s="93"/>
      <c r="UJQ33" s="93"/>
      <c r="UJR33" s="93"/>
      <c r="UJS33" s="93"/>
      <c r="UJT33" s="93"/>
      <c r="UJU33" s="93"/>
      <c r="UJV33" s="93"/>
      <c r="UJW33" s="93"/>
      <c r="UJX33" s="93"/>
      <c r="UJY33" s="93"/>
      <c r="UJZ33" s="93"/>
      <c r="UKA33" s="93"/>
      <c r="UKB33" s="93"/>
      <c r="UKC33" s="93"/>
      <c r="UKD33" s="93"/>
      <c r="UKE33" s="93"/>
      <c r="UKF33" s="93"/>
      <c r="UKG33" s="93"/>
      <c r="UKH33" s="93"/>
      <c r="UKI33" s="93"/>
      <c r="UKJ33" s="93"/>
      <c r="UKK33" s="93"/>
      <c r="UKL33" s="93"/>
      <c r="UKM33" s="93"/>
      <c r="UKN33" s="93"/>
      <c r="UKO33" s="93"/>
      <c r="UKP33" s="93"/>
      <c r="UKQ33" s="93"/>
      <c r="UKR33" s="93"/>
      <c r="UKS33" s="93"/>
      <c r="UKT33" s="93"/>
      <c r="UKU33" s="93"/>
      <c r="UKV33" s="93"/>
      <c r="UKW33" s="93"/>
      <c r="UKX33" s="93"/>
      <c r="UKY33" s="93"/>
      <c r="UKZ33" s="93"/>
      <c r="ULA33" s="93"/>
      <c r="ULB33" s="93"/>
      <c r="ULC33" s="93"/>
      <c r="ULD33" s="93"/>
      <c r="ULE33" s="93"/>
      <c r="ULF33" s="93"/>
      <c r="ULG33" s="93"/>
      <c r="ULH33" s="93"/>
      <c r="ULI33" s="93"/>
      <c r="ULJ33" s="93"/>
      <c r="ULK33" s="93"/>
      <c r="ULL33" s="93"/>
      <c r="ULM33" s="93"/>
      <c r="ULN33" s="93"/>
      <c r="ULO33" s="93"/>
      <c r="ULP33" s="93"/>
      <c r="ULQ33" s="93"/>
      <c r="ULR33" s="93"/>
      <c r="ULS33" s="93"/>
      <c r="ULT33" s="93"/>
      <c r="ULU33" s="93"/>
      <c r="ULV33" s="93"/>
      <c r="ULW33" s="93"/>
      <c r="ULX33" s="93"/>
      <c r="ULY33" s="93"/>
      <c r="ULZ33" s="93"/>
      <c r="UMA33" s="93"/>
      <c r="UMB33" s="93"/>
      <c r="UMC33" s="93"/>
      <c r="UMD33" s="93"/>
      <c r="UME33" s="93"/>
      <c r="UMF33" s="93"/>
      <c r="UMG33" s="93"/>
      <c r="UMH33" s="93"/>
      <c r="UMI33" s="93"/>
      <c r="UMJ33" s="93"/>
      <c r="UMK33" s="93"/>
      <c r="UML33" s="93"/>
      <c r="UMM33" s="93"/>
      <c r="UMN33" s="93"/>
      <c r="UMO33" s="93"/>
      <c r="UMP33" s="93"/>
      <c r="UMQ33" s="93"/>
      <c r="UMR33" s="93"/>
      <c r="UMS33" s="93"/>
      <c r="UMT33" s="93"/>
      <c r="UMU33" s="93"/>
      <c r="UMV33" s="93"/>
      <c r="UMW33" s="93"/>
      <c r="UMX33" s="93"/>
      <c r="UMY33" s="93"/>
      <c r="UMZ33" s="93"/>
      <c r="UNA33" s="93"/>
      <c r="UNB33" s="93"/>
      <c r="UNC33" s="93"/>
      <c r="UND33" s="93"/>
      <c r="UNE33" s="93"/>
      <c r="UNF33" s="93"/>
      <c r="UNG33" s="93"/>
      <c r="UNH33" s="93"/>
      <c r="UNI33" s="93"/>
      <c r="UNJ33" s="93"/>
      <c r="UNK33" s="93"/>
      <c r="UNL33" s="93"/>
      <c r="UNM33" s="93"/>
      <c r="UNN33" s="93"/>
      <c r="UNO33" s="93"/>
      <c r="UNP33" s="93"/>
      <c r="UNQ33" s="93"/>
      <c r="UNR33" s="93"/>
      <c r="UNS33" s="93"/>
      <c r="UNT33" s="93"/>
      <c r="UNU33" s="93"/>
      <c r="UNV33" s="93"/>
      <c r="UNW33" s="93"/>
      <c r="UNX33" s="93"/>
      <c r="UNY33" s="93"/>
      <c r="UNZ33" s="93"/>
      <c r="UOA33" s="93"/>
      <c r="UOB33" s="93"/>
      <c r="UOC33" s="93"/>
      <c r="UOD33" s="93"/>
      <c r="UOE33" s="93"/>
      <c r="UOF33" s="93"/>
      <c r="UOG33" s="93"/>
      <c r="UOH33" s="93"/>
      <c r="UOI33" s="93"/>
      <c r="UOJ33" s="93"/>
      <c r="UOK33" s="93"/>
      <c r="UOL33" s="93"/>
      <c r="UOM33" s="93"/>
      <c r="UON33" s="93"/>
      <c r="UOO33" s="93"/>
      <c r="UOP33" s="93"/>
      <c r="UOQ33" s="93"/>
      <c r="UOR33" s="93"/>
      <c r="UOS33" s="93"/>
      <c r="UOT33" s="93"/>
      <c r="UOU33" s="93"/>
      <c r="UOV33" s="93"/>
      <c r="UOW33" s="93"/>
      <c r="UOX33" s="93"/>
      <c r="UOY33" s="93"/>
      <c r="UOZ33" s="93"/>
      <c r="UPA33" s="93"/>
      <c r="UPB33" s="93"/>
      <c r="UPC33" s="93"/>
      <c r="UPD33" s="93"/>
      <c r="UPE33" s="93"/>
      <c r="UPF33" s="93"/>
      <c r="UPG33" s="93"/>
      <c r="UPH33" s="93"/>
      <c r="UPI33" s="93"/>
      <c r="UPJ33" s="93"/>
      <c r="UPK33" s="93"/>
      <c r="UPL33" s="93"/>
      <c r="UPM33" s="93"/>
      <c r="UPN33" s="93"/>
      <c r="UPO33" s="93"/>
      <c r="UPP33" s="93"/>
      <c r="UPQ33" s="93"/>
      <c r="UPR33" s="93"/>
      <c r="UPS33" s="93"/>
      <c r="UPT33" s="93"/>
      <c r="UPU33" s="93"/>
      <c r="UPV33" s="93"/>
      <c r="UPW33" s="93"/>
      <c r="UPX33" s="93"/>
      <c r="UPY33" s="93"/>
      <c r="UPZ33" s="93"/>
      <c r="UQA33" s="93"/>
      <c r="UQB33" s="93"/>
      <c r="UQC33" s="93"/>
      <c r="UQD33" s="93"/>
      <c r="UQE33" s="93"/>
      <c r="UQF33" s="93"/>
      <c r="UQG33" s="93"/>
      <c r="UQH33" s="93"/>
      <c r="UQI33" s="93"/>
      <c r="UQJ33" s="93"/>
      <c r="UQK33" s="93"/>
      <c r="UQL33" s="93"/>
      <c r="UQM33" s="93"/>
      <c r="UQN33" s="93"/>
      <c r="UQO33" s="93"/>
      <c r="UQP33" s="93"/>
      <c r="UQQ33" s="93"/>
      <c r="UQR33" s="93"/>
      <c r="UQS33" s="93"/>
      <c r="UQT33" s="93"/>
      <c r="UQU33" s="93"/>
      <c r="UQV33" s="93"/>
      <c r="UQW33" s="93"/>
      <c r="UQX33" s="93"/>
      <c r="UQY33" s="93"/>
      <c r="UQZ33" s="93"/>
      <c r="URA33" s="93"/>
      <c r="URB33" s="93"/>
      <c r="URC33" s="93"/>
      <c r="URD33" s="93"/>
      <c r="URE33" s="93"/>
      <c r="URF33" s="93"/>
      <c r="URG33" s="93"/>
      <c r="URH33" s="93"/>
      <c r="URI33" s="93"/>
      <c r="URJ33" s="93"/>
      <c r="URK33" s="93"/>
      <c r="URL33" s="93"/>
      <c r="URM33" s="93"/>
      <c r="URN33" s="93"/>
      <c r="URO33" s="93"/>
      <c r="URP33" s="93"/>
      <c r="URQ33" s="93"/>
      <c r="URR33" s="93"/>
      <c r="URS33" s="93"/>
      <c r="URT33" s="93"/>
      <c r="URU33" s="93"/>
      <c r="URV33" s="93"/>
      <c r="URW33" s="93"/>
      <c r="URX33" s="93"/>
      <c r="URY33" s="93"/>
      <c r="URZ33" s="93"/>
      <c r="USA33" s="93"/>
      <c r="USB33" s="93"/>
      <c r="USC33" s="93"/>
      <c r="USD33" s="93"/>
      <c r="USE33" s="93"/>
      <c r="USF33" s="93"/>
      <c r="USG33" s="93"/>
      <c r="USH33" s="93"/>
      <c r="USI33" s="93"/>
      <c r="USJ33" s="93"/>
      <c r="USK33" s="93"/>
      <c r="USL33" s="93"/>
      <c r="USM33" s="93"/>
      <c r="USN33" s="93"/>
      <c r="USO33" s="93"/>
      <c r="USP33" s="93"/>
      <c r="USQ33" s="93"/>
      <c r="USR33" s="93"/>
      <c r="USS33" s="93"/>
      <c r="UST33" s="93"/>
      <c r="USU33" s="93"/>
      <c r="USV33" s="93"/>
      <c r="USW33" s="93"/>
      <c r="USX33" s="93"/>
      <c r="USY33" s="93"/>
      <c r="USZ33" s="93"/>
      <c r="UTA33" s="93"/>
      <c r="UTB33" s="93"/>
      <c r="UTC33" s="93"/>
      <c r="UTD33" s="93"/>
      <c r="UTE33" s="93"/>
      <c r="UTF33" s="93"/>
      <c r="UTG33" s="93"/>
      <c r="UTH33" s="93"/>
      <c r="UTI33" s="93"/>
      <c r="UTJ33" s="93"/>
      <c r="UTK33" s="93"/>
      <c r="UTL33" s="93"/>
      <c r="UTM33" s="93"/>
      <c r="UTN33" s="93"/>
      <c r="UTO33" s="93"/>
      <c r="UTP33" s="93"/>
      <c r="UTQ33" s="93"/>
      <c r="UTR33" s="93"/>
      <c r="UTS33" s="93"/>
      <c r="UTT33" s="93"/>
      <c r="UTU33" s="93"/>
      <c r="UTV33" s="93"/>
      <c r="UTW33" s="93"/>
      <c r="UTX33" s="93"/>
      <c r="UTY33" s="93"/>
      <c r="UTZ33" s="93"/>
      <c r="UUA33" s="93"/>
      <c r="UUB33" s="93"/>
      <c r="UUC33" s="93"/>
      <c r="UUD33" s="93"/>
      <c r="UUE33" s="93"/>
      <c r="UUF33" s="93"/>
      <c r="UUG33" s="93"/>
      <c r="UUH33" s="93"/>
      <c r="UUI33" s="93"/>
      <c r="UUJ33" s="93"/>
      <c r="UUK33" s="93"/>
      <c r="UUL33" s="93"/>
      <c r="UUM33" s="93"/>
      <c r="UUN33" s="93"/>
      <c r="UUO33" s="93"/>
      <c r="UUP33" s="93"/>
      <c r="UUQ33" s="93"/>
      <c r="UUR33" s="93"/>
      <c r="UUS33" s="93"/>
      <c r="UUT33" s="93"/>
      <c r="UUU33" s="93"/>
      <c r="UUV33" s="93"/>
      <c r="UUW33" s="93"/>
      <c r="UUX33" s="93"/>
      <c r="UUY33" s="93"/>
      <c r="UUZ33" s="93"/>
      <c r="UVA33" s="93"/>
      <c r="UVB33" s="93"/>
      <c r="UVC33" s="93"/>
      <c r="UVD33" s="93"/>
      <c r="UVE33" s="93"/>
      <c r="UVF33" s="93"/>
      <c r="UVG33" s="93"/>
      <c r="UVH33" s="93"/>
      <c r="UVI33" s="93"/>
      <c r="UVJ33" s="93"/>
      <c r="UVK33" s="93"/>
      <c r="UVL33" s="93"/>
      <c r="UVM33" s="93"/>
      <c r="UVN33" s="93"/>
      <c r="UVO33" s="93"/>
      <c r="UVP33" s="93"/>
      <c r="UVQ33" s="93"/>
      <c r="UVR33" s="93"/>
      <c r="UVS33" s="93"/>
      <c r="UVT33" s="93"/>
      <c r="UVU33" s="93"/>
      <c r="UVV33" s="93"/>
      <c r="UVW33" s="93"/>
      <c r="UVX33" s="93"/>
      <c r="UVY33" s="93"/>
      <c r="UVZ33" s="93"/>
      <c r="UWA33" s="93"/>
      <c r="UWB33" s="93"/>
      <c r="UWC33" s="93"/>
      <c r="UWD33" s="93"/>
      <c r="UWE33" s="93"/>
      <c r="UWF33" s="93"/>
      <c r="UWG33" s="93"/>
      <c r="UWH33" s="93"/>
      <c r="UWI33" s="93"/>
      <c r="UWJ33" s="93"/>
      <c r="UWK33" s="93"/>
      <c r="UWL33" s="93"/>
      <c r="UWM33" s="93"/>
      <c r="UWN33" s="93"/>
      <c r="UWO33" s="93"/>
      <c r="UWP33" s="93"/>
      <c r="UWQ33" s="93"/>
      <c r="UWR33" s="93"/>
      <c r="UWS33" s="93"/>
      <c r="UWT33" s="93"/>
      <c r="UWU33" s="93"/>
      <c r="UWV33" s="93"/>
      <c r="UWW33" s="93"/>
      <c r="UWX33" s="93"/>
      <c r="UWY33" s="93"/>
      <c r="UWZ33" s="93"/>
      <c r="UXA33" s="93"/>
      <c r="UXB33" s="93"/>
      <c r="UXC33" s="93"/>
      <c r="UXD33" s="93"/>
      <c r="UXE33" s="93"/>
      <c r="UXF33" s="93"/>
      <c r="UXG33" s="93"/>
      <c r="UXH33" s="93"/>
      <c r="UXI33" s="93"/>
      <c r="UXJ33" s="93"/>
      <c r="UXK33" s="93"/>
      <c r="UXL33" s="93"/>
      <c r="UXM33" s="93"/>
      <c r="UXN33" s="93"/>
      <c r="UXO33" s="93"/>
      <c r="UXP33" s="93"/>
      <c r="UXQ33" s="93"/>
      <c r="UXR33" s="93"/>
      <c r="UXS33" s="93"/>
      <c r="UXT33" s="93"/>
      <c r="UXU33" s="93"/>
      <c r="UXV33" s="93"/>
      <c r="UXW33" s="93"/>
      <c r="UXX33" s="93"/>
      <c r="UXY33" s="93"/>
      <c r="UXZ33" s="93"/>
      <c r="UYA33" s="93"/>
      <c r="UYB33" s="93"/>
      <c r="UYC33" s="93"/>
      <c r="UYD33" s="93"/>
      <c r="UYE33" s="93"/>
      <c r="UYF33" s="93"/>
      <c r="UYG33" s="93"/>
      <c r="UYH33" s="93"/>
      <c r="UYI33" s="93"/>
      <c r="UYJ33" s="93"/>
      <c r="UYK33" s="93"/>
      <c r="UYL33" s="93"/>
      <c r="UYM33" s="93"/>
      <c r="UYN33" s="93"/>
      <c r="UYO33" s="93"/>
      <c r="UYP33" s="93"/>
      <c r="UYQ33" s="93"/>
      <c r="UYR33" s="93"/>
      <c r="UYS33" s="93"/>
      <c r="UYT33" s="93"/>
      <c r="UYU33" s="93"/>
      <c r="UYV33" s="93"/>
      <c r="UYW33" s="93"/>
      <c r="UYX33" s="93"/>
      <c r="UYY33" s="93"/>
      <c r="UYZ33" s="93"/>
      <c r="UZA33" s="93"/>
      <c r="UZB33" s="93"/>
      <c r="UZC33" s="93"/>
      <c r="UZD33" s="93"/>
      <c r="UZE33" s="93"/>
      <c r="UZF33" s="93"/>
      <c r="UZG33" s="93"/>
      <c r="UZH33" s="93"/>
      <c r="UZI33" s="93"/>
      <c r="UZJ33" s="93"/>
      <c r="UZK33" s="93"/>
      <c r="UZL33" s="93"/>
      <c r="UZM33" s="93"/>
      <c r="UZN33" s="93"/>
      <c r="UZO33" s="93"/>
      <c r="UZP33" s="93"/>
      <c r="UZQ33" s="93"/>
      <c r="UZR33" s="93"/>
      <c r="UZS33" s="93"/>
      <c r="UZT33" s="93"/>
      <c r="UZU33" s="93"/>
      <c r="UZV33" s="93"/>
      <c r="UZW33" s="93"/>
      <c r="UZX33" s="93"/>
      <c r="UZY33" s="93"/>
      <c r="UZZ33" s="93"/>
      <c r="VAA33" s="93"/>
      <c r="VAB33" s="93"/>
      <c r="VAC33" s="93"/>
      <c r="VAD33" s="93"/>
      <c r="VAE33" s="93"/>
      <c r="VAF33" s="93"/>
      <c r="VAG33" s="93"/>
      <c r="VAH33" s="93"/>
      <c r="VAI33" s="93"/>
      <c r="VAJ33" s="93"/>
      <c r="VAK33" s="93"/>
      <c r="VAL33" s="93"/>
      <c r="VAM33" s="93"/>
      <c r="VAN33" s="93"/>
      <c r="VAO33" s="93"/>
      <c r="VAP33" s="93"/>
      <c r="VAQ33" s="93"/>
      <c r="VAR33" s="93"/>
      <c r="VAS33" s="93"/>
      <c r="VAT33" s="93"/>
      <c r="VAU33" s="93"/>
      <c r="VAV33" s="93"/>
      <c r="VAW33" s="93"/>
      <c r="VAX33" s="93"/>
      <c r="VAY33" s="93"/>
      <c r="VAZ33" s="93"/>
      <c r="VBA33" s="93"/>
      <c r="VBB33" s="93"/>
      <c r="VBC33" s="93"/>
      <c r="VBD33" s="93"/>
      <c r="VBE33" s="93"/>
      <c r="VBF33" s="93"/>
      <c r="VBG33" s="93"/>
      <c r="VBH33" s="93"/>
      <c r="VBI33" s="93"/>
      <c r="VBJ33" s="93"/>
      <c r="VBK33" s="93"/>
      <c r="VBL33" s="93"/>
      <c r="VBM33" s="93"/>
      <c r="VBN33" s="93"/>
      <c r="VBO33" s="93"/>
      <c r="VBP33" s="93"/>
      <c r="VBQ33" s="93"/>
      <c r="VBR33" s="93"/>
      <c r="VBS33" s="93"/>
      <c r="VBT33" s="93"/>
      <c r="VBU33" s="93"/>
      <c r="VBV33" s="93"/>
      <c r="VBW33" s="93"/>
      <c r="VBX33" s="93"/>
      <c r="VBY33" s="93"/>
      <c r="VBZ33" s="93"/>
      <c r="VCA33" s="93"/>
      <c r="VCB33" s="93"/>
      <c r="VCC33" s="93"/>
      <c r="VCD33" s="93"/>
      <c r="VCE33" s="93"/>
      <c r="VCF33" s="93"/>
      <c r="VCG33" s="93"/>
      <c r="VCH33" s="93"/>
      <c r="VCI33" s="93"/>
      <c r="VCJ33" s="93"/>
      <c r="VCK33" s="93"/>
      <c r="VCL33" s="93"/>
      <c r="VCM33" s="93"/>
      <c r="VCN33" s="93"/>
      <c r="VCO33" s="93"/>
      <c r="VCP33" s="93"/>
      <c r="VCQ33" s="93"/>
      <c r="VCR33" s="93"/>
      <c r="VCS33" s="93"/>
      <c r="VCT33" s="93"/>
      <c r="VCU33" s="93"/>
      <c r="VCV33" s="93"/>
      <c r="VCW33" s="93"/>
      <c r="VCX33" s="93"/>
      <c r="VCY33" s="93"/>
      <c r="VCZ33" s="93"/>
      <c r="VDA33" s="93"/>
      <c r="VDB33" s="93"/>
      <c r="VDC33" s="93"/>
      <c r="VDD33" s="93"/>
      <c r="VDE33" s="93"/>
      <c r="VDF33" s="93"/>
      <c r="VDG33" s="93"/>
      <c r="VDH33" s="93"/>
      <c r="VDI33" s="93"/>
      <c r="VDJ33" s="93"/>
      <c r="VDK33" s="93"/>
      <c r="VDL33" s="93"/>
      <c r="VDM33" s="93"/>
      <c r="VDN33" s="93"/>
      <c r="VDO33" s="93"/>
      <c r="VDP33" s="93"/>
      <c r="VDQ33" s="93"/>
      <c r="VDR33" s="93"/>
      <c r="VDS33" s="93"/>
      <c r="VDT33" s="93"/>
      <c r="VDU33" s="93"/>
      <c r="VDV33" s="93"/>
      <c r="VDW33" s="93"/>
      <c r="VDX33" s="93"/>
      <c r="VDY33" s="93"/>
      <c r="VDZ33" s="93"/>
      <c r="VEA33" s="93"/>
      <c r="VEB33" s="93"/>
      <c r="VEC33" s="93"/>
      <c r="VED33" s="93"/>
      <c r="VEE33" s="93"/>
      <c r="VEF33" s="93"/>
      <c r="VEG33" s="93"/>
      <c r="VEH33" s="93"/>
      <c r="VEI33" s="93"/>
      <c r="VEJ33" s="93"/>
      <c r="VEK33" s="93"/>
      <c r="VEL33" s="93"/>
      <c r="VEM33" s="93"/>
      <c r="VEN33" s="93"/>
      <c r="VEO33" s="93"/>
      <c r="VEP33" s="93"/>
      <c r="VEQ33" s="93"/>
      <c r="VER33" s="93"/>
      <c r="VES33" s="93"/>
      <c r="VET33" s="93"/>
      <c r="VEU33" s="93"/>
      <c r="VEV33" s="93"/>
      <c r="VEW33" s="93"/>
      <c r="VEX33" s="93"/>
      <c r="VEY33" s="93"/>
      <c r="VEZ33" s="93"/>
      <c r="VFA33" s="93"/>
      <c r="VFB33" s="93"/>
      <c r="VFC33" s="93"/>
      <c r="VFD33" s="93"/>
      <c r="VFE33" s="93"/>
      <c r="VFF33" s="93"/>
      <c r="VFG33" s="93"/>
      <c r="VFH33" s="93"/>
      <c r="VFI33" s="93"/>
      <c r="VFJ33" s="93"/>
      <c r="VFK33" s="93"/>
      <c r="VFL33" s="93"/>
      <c r="VFM33" s="93"/>
      <c r="VFN33" s="93"/>
      <c r="VFO33" s="93"/>
      <c r="VFP33" s="93"/>
      <c r="VFQ33" s="93"/>
      <c r="VFR33" s="93"/>
      <c r="VFS33" s="93"/>
      <c r="VFT33" s="93"/>
      <c r="VFU33" s="93"/>
      <c r="VFV33" s="93"/>
      <c r="VFW33" s="93"/>
      <c r="VFX33" s="93"/>
      <c r="VFY33" s="93"/>
      <c r="VFZ33" s="93"/>
      <c r="VGA33" s="93"/>
      <c r="VGB33" s="93"/>
      <c r="VGC33" s="93"/>
      <c r="VGD33" s="93"/>
      <c r="VGE33" s="93"/>
      <c r="VGF33" s="93"/>
      <c r="VGG33" s="93"/>
      <c r="VGH33" s="93"/>
      <c r="VGI33" s="93"/>
      <c r="VGJ33" s="93"/>
      <c r="VGK33" s="93"/>
      <c r="VGL33" s="93"/>
      <c r="VGM33" s="93"/>
      <c r="VGN33" s="93"/>
      <c r="VGO33" s="93"/>
      <c r="VGP33" s="93"/>
      <c r="VGQ33" s="93"/>
      <c r="VGR33" s="93"/>
      <c r="VGS33" s="93"/>
      <c r="VGT33" s="93"/>
      <c r="VGU33" s="93"/>
      <c r="VGV33" s="93"/>
      <c r="VGW33" s="93"/>
      <c r="VGX33" s="93"/>
      <c r="VGY33" s="93"/>
      <c r="VGZ33" s="93"/>
      <c r="VHA33" s="93"/>
      <c r="VHB33" s="93"/>
      <c r="VHC33" s="93"/>
      <c r="VHD33" s="93"/>
      <c r="VHE33" s="93"/>
      <c r="VHF33" s="93"/>
      <c r="VHG33" s="93"/>
      <c r="VHH33" s="93"/>
      <c r="VHI33" s="93"/>
      <c r="VHJ33" s="93"/>
      <c r="VHK33" s="93"/>
      <c r="VHL33" s="93"/>
      <c r="VHM33" s="93"/>
      <c r="VHN33" s="93"/>
      <c r="VHO33" s="93"/>
      <c r="VHP33" s="93"/>
      <c r="VHQ33" s="93"/>
      <c r="VHR33" s="93"/>
      <c r="VHS33" s="93"/>
      <c r="VHT33" s="93"/>
      <c r="VHU33" s="93"/>
      <c r="VHV33" s="93"/>
      <c r="VHW33" s="93"/>
      <c r="VHX33" s="93"/>
      <c r="VHY33" s="93"/>
      <c r="VHZ33" s="93"/>
      <c r="VIA33" s="93"/>
      <c r="VIB33" s="93"/>
      <c r="VIC33" s="93"/>
      <c r="VID33" s="93"/>
      <c r="VIE33" s="93"/>
      <c r="VIF33" s="93"/>
      <c r="VIG33" s="93"/>
      <c r="VIH33" s="93"/>
      <c r="VII33" s="93"/>
      <c r="VIJ33" s="93"/>
      <c r="VIK33" s="93"/>
      <c r="VIL33" s="93"/>
      <c r="VIM33" s="93"/>
      <c r="VIN33" s="93"/>
      <c r="VIO33" s="93"/>
      <c r="VIP33" s="93"/>
      <c r="VIQ33" s="93"/>
      <c r="VIR33" s="93"/>
      <c r="VIS33" s="93"/>
      <c r="VIT33" s="93"/>
      <c r="VIU33" s="93"/>
      <c r="VIV33" s="93"/>
      <c r="VIW33" s="93"/>
      <c r="VIX33" s="93"/>
      <c r="VIY33" s="93"/>
      <c r="VIZ33" s="93"/>
      <c r="VJA33" s="93"/>
      <c r="VJB33" s="93"/>
      <c r="VJC33" s="93"/>
      <c r="VJD33" s="93"/>
      <c r="VJE33" s="93"/>
      <c r="VJF33" s="93"/>
      <c r="VJG33" s="93"/>
      <c r="VJH33" s="93"/>
      <c r="VJI33" s="93"/>
      <c r="VJJ33" s="93"/>
      <c r="VJK33" s="93"/>
      <c r="VJL33" s="93"/>
      <c r="VJM33" s="93"/>
      <c r="VJN33" s="93"/>
      <c r="VJO33" s="93"/>
      <c r="VJP33" s="93"/>
      <c r="VJQ33" s="93"/>
      <c r="VJR33" s="93"/>
      <c r="VJS33" s="93"/>
      <c r="VJT33" s="93"/>
      <c r="VJU33" s="93"/>
      <c r="VJV33" s="93"/>
      <c r="VJW33" s="93"/>
      <c r="VJX33" s="93"/>
      <c r="VJY33" s="93"/>
      <c r="VJZ33" s="93"/>
      <c r="VKA33" s="93"/>
      <c r="VKB33" s="93"/>
      <c r="VKC33" s="93"/>
      <c r="VKD33" s="93"/>
      <c r="VKE33" s="93"/>
      <c r="VKF33" s="93"/>
      <c r="VKG33" s="93"/>
      <c r="VKH33" s="93"/>
      <c r="VKI33" s="93"/>
      <c r="VKJ33" s="93"/>
      <c r="VKK33" s="93"/>
      <c r="VKL33" s="93"/>
      <c r="VKM33" s="93"/>
      <c r="VKN33" s="93"/>
      <c r="VKO33" s="93"/>
      <c r="VKP33" s="93"/>
      <c r="VKQ33" s="93"/>
      <c r="VKR33" s="93"/>
      <c r="VKS33" s="93"/>
      <c r="VKT33" s="93"/>
      <c r="VKU33" s="93"/>
      <c r="VKV33" s="93"/>
      <c r="VKW33" s="93"/>
      <c r="VKX33" s="93"/>
      <c r="VKY33" s="93"/>
      <c r="VKZ33" s="93"/>
      <c r="VLA33" s="93"/>
      <c r="VLB33" s="93"/>
      <c r="VLC33" s="93"/>
      <c r="VLD33" s="93"/>
      <c r="VLE33" s="93"/>
      <c r="VLF33" s="93"/>
      <c r="VLG33" s="93"/>
      <c r="VLH33" s="93"/>
      <c r="VLI33" s="93"/>
      <c r="VLJ33" s="93"/>
      <c r="VLK33" s="93"/>
      <c r="VLL33" s="93"/>
      <c r="VLM33" s="93"/>
      <c r="VLN33" s="93"/>
      <c r="VLO33" s="93"/>
      <c r="VLP33" s="93"/>
      <c r="VLQ33" s="93"/>
      <c r="VLR33" s="93"/>
      <c r="VLS33" s="93"/>
      <c r="VLT33" s="93"/>
      <c r="VLU33" s="93"/>
      <c r="VLV33" s="93"/>
      <c r="VLW33" s="93"/>
      <c r="VLX33" s="93"/>
      <c r="VLY33" s="93"/>
      <c r="VLZ33" s="93"/>
      <c r="VMA33" s="93"/>
      <c r="VMB33" s="93"/>
      <c r="VMC33" s="93"/>
      <c r="VMD33" s="93"/>
      <c r="VME33" s="93"/>
      <c r="VMF33" s="93"/>
      <c r="VMG33" s="93"/>
      <c r="VMH33" s="93"/>
      <c r="VMI33" s="93"/>
      <c r="VMJ33" s="93"/>
      <c r="VMK33" s="93"/>
      <c r="VML33" s="93"/>
      <c r="VMM33" s="93"/>
      <c r="VMN33" s="93"/>
      <c r="VMO33" s="93"/>
      <c r="VMP33" s="93"/>
      <c r="VMQ33" s="93"/>
      <c r="VMR33" s="93"/>
      <c r="VMS33" s="93"/>
      <c r="VMT33" s="93"/>
      <c r="VMU33" s="93"/>
      <c r="VMV33" s="93"/>
      <c r="VMW33" s="93"/>
      <c r="VMX33" s="93"/>
      <c r="VMY33" s="93"/>
      <c r="VMZ33" s="93"/>
      <c r="VNA33" s="93"/>
      <c r="VNB33" s="93"/>
      <c r="VNC33" s="93"/>
      <c r="VND33" s="93"/>
      <c r="VNE33" s="93"/>
      <c r="VNF33" s="93"/>
      <c r="VNG33" s="93"/>
      <c r="VNH33" s="93"/>
      <c r="VNI33" s="93"/>
      <c r="VNJ33" s="93"/>
      <c r="VNK33" s="93"/>
      <c r="VNL33" s="93"/>
      <c r="VNM33" s="93"/>
      <c r="VNN33" s="93"/>
      <c r="VNO33" s="93"/>
      <c r="VNP33" s="93"/>
      <c r="VNQ33" s="93"/>
      <c r="VNR33" s="93"/>
      <c r="VNS33" s="93"/>
      <c r="VNT33" s="93"/>
      <c r="VNU33" s="93"/>
      <c r="VNV33" s="93"/>
      <c r="VNW33" s="93"/>
      <c r="VNX33" s="93"/>
      <c r="VNY33" s="93"/>
      <c r="VNZ33" s="93"/>
      <c r="VOA33" s="93"/>
      <c r="VOB33" s="93"/>
      <c r="VOC33" s="93"/>
      <c r="VOD33" s="93"/>
      <c r="VOE33" s="93"/>
      <c r="VOF33" s="93"/>
      <c r="VOG33" s="93"/>
      <c r="VOH33" s="93"/>
      <c r="VOI33" s="93"/>
      <c r="VOJ33" s="93"/>
      <c r="VOK33" s="93"/>
      <c r="VOL33" s="93"/>
      <c r="VOM33" s="93"/>
      <c r="VON33" s="93"/>
      <c r="VOO33" s="93"/>
      <c r="VOP33" s="93"/>
      <c r="VOQ33" s="93"/>
      <c r="VOR33" s="93"/>
      <c r="VOS33" s="93"/>
      <c r="VOT33" s="93"/>
      <c r="VOU33" s="93"/>
      <c r="VOV33" s="93"/>
      <c r="VOW33" s="93"/>
      <c r="VOX33" s="93"/>
      <c r="VOY33" s="93"/>
      <c r="VOZ33" s="93"/>
      <c r="VPA33" s="93"/>
      <c r="VPB33" s="93"/>
      <c r="VPC33" s="93"/>
      <c r="VPD33" s="93"/>
      <c r="VPE33" s="93"/>
      <c r="VPF33" s="93"/>
      <c r="VPG33" s="93"/>
      <c r="VPH33" s="93"/>
      <c r="VPI33" s="93"/>
      <c r="VPJ33" s="93"/>
      <c r="VPK33" s="93"/>
      <c r="VPL33" s="93"/>
      <c r="VPM33" s="93"/>
      <c r="VPN33" s="93"/>
      <c r="VPO33" s="93"/>
      <c r="VPP33" s="93"/>
      <c r="VPQ33" s="93"/>
      <c r="VPR33" s="93"/>
      <c r="VPS33" s="93"/>
      <c r="VPT33" s="93"/>
      <c r="VPU33" s="93"/>
      <c r="VPV33" s="93"/>
      <c r="VPW33" s="93"/>
      <c r="VPX33" s="93"/>
      <c r="VPY33" s="93"/>
      <c r="VPZ33" s="93"/>
      <c r="VQA33" s="93"/>
      <c r="VQB33" s="93"/>
      <c r="VQC33" s="93"/>
      <c r="VQD33" s="93"/>
      <c r="VQE33" s="93"/>
      <c r="VQF33" s="93"/>
      <c r="VQG33" s="93"/>
      <c r="VQH33" s="93"/>
      <c r="VQI33" s="93"/>
      <c r="VQJ33" s="93"/>
      <c r="VQK33" s="93"/>
      <c r="VQL33" s="93"/>
      <c r="VQM33" s="93"/>
      <c r="VQN33" s="93"/>
      <c r="VQO33" s="93"/>
      <c r="VQP33" s="93"/>
      <c r="VQQ33" s="93"/>
      <c r="VQR33" s="93"/>
      <c r="VQS33" s="93"/>
      <c r="VQT33" s="93"/>
      <c r="VQU33" s="93"/>
      <c r="VQV33" s="93"/>
      <c r="VQW33" s="93"/>
      <c r="VQX33" s="93"/>
      <c r="VQY33" s="93"/>
      <c r="VQZ33" s="93"/>
      <c r="VRA33" s="93"/>
      <c r="VRB33" s="93"/>
      <c r="VRC33" s="93"/>
      <c r="VRD33" s="93"/>
      <c r="VRE33" s="93"/>
      <c r="VRF33" s="93"/>
      <c r="VRG33" s="93"/>
      <c r="VRH33" s="93"/>
      <c r="VRI33" s="93"/>
      <c r="VRJ33" s="93"/>
      <c r="VRK33" s="93"/>
      <c r="VRL33" s="93"/>
      <c r="VRM33" s="93"/>
      <c r="VRN33" s="93"/>
      <c r="VRO33" s="93"/>
      <c r="VRP33" s="93"/>
      <c r="VRQ33" s="93"/>
      <c r="VRR33" s="93"/>
      <c r="VRS33" s="93"/>
      <c r="VRT33" s="93"/>
      <c r="VRU33" s="93"/>
      <c r="VRV33" s="93"/>
      <c r="VRW33" s="93"/>
      <c r="VRX33" s="93"/>
      <c r="VRY33" s="93"/>
      <c r="VRZ33" s="93"/>
      <c r="VSA33" s="93"/>
      <c r="VSB33" s="93"/>
      <c r="VSC33" s="93"/>
      <c r="VSD33" s="93"/>
      <c r="VSE33" s="93"/>
      <c r="VSF33" s="93"/>
      <c r="VSG33" s="93"/>
      <c r="VSH33" s="93"/>
      <c r="VSI33" s="93"/>
      <c r="VSJ33" s="93"/>
      <c r="VSK33" s="93"/>
      <c r="VSL33" s="93"/>
      <c r="VSM33" s="93"/>
      <c r="VSN33" s="93"/>
      <c r="VSO33" s="93"/>
      <c r="VSP33" s="93"/>
      <c r="VSQ33" s="93"/>
      <c r="VSR33" s="93"/>
      <c r="VSS33" s="93"/>
      <c r="VST33" s="93"/>
      <c r="VSU33" s="93"/>
      <c r="VSV33" s="93"/>
      <c r="VSW33" s="93"/>
      <c r="VSX33" s="93"/>
      <c r="VSY33" s="93"/>
      <c r="VSZ33" s="93"/>
      <c r="VTA33" s="93"/>
      <c r="VTB33" s="93"/>
      <c r="VTC33" s="93"/>
      <c r="VTD33" s="93"/>
      <c r="VTE33" s="93"/>
      <c r="VTF33" s="93"/>
      <c r="VTG33" s="93"/>
      <c r="VTH33" s="93"/>
      <c r="VTI33" s="93"/>
      <c r="VTJ33" s="93"/>
      <c r="VTK33" s="93"/>
      <c r="VTL33" s="93"/>
      <c r="VTM33" s="93"/>
      <c r="VTN33" s="93"/>
      <c r="VTO33" s="93"/>
      <c r="VTP33" s="93"/>
      <c r="VTQ33" s="93"/>
      <c r="VTR33" s="93"/>
      <c r="VTS33" s="93"/>
      <c r="VTT33" s="93"/>
      <c r="VTU33" s="93"/>
      <c r="VTV33" s="93"/>
      <c r="VTW33" s="93"/>
      <c r="VTX33" s="93"/>
      <c r="VTY33" s="93"/>
      <c r="VTZ33" s="93"/>
      <c r="VUA33" s="93"/>
      <c r="VUB33" s="93"/>
      <c r="VUC33" s="93"/>
      <c r="VUD33" s="93"/>
      <c r="VUE33" s="93"/>
      <c r="VUF33" s="93"/>
      <c r="VUG33" s="93"/>
      <c r="VUH33" s="93"/>
      <c r="VUI33" s="93"/>
      <c r="VUJ33" s="93"/>
      <c r="VUK33" s="93"/>
      <c r="VUL33" s="93"/>
      <c r="VUM33" s="93"/>
      <c r="VUN33" s="93"/>
      <c r="VUO33" s="93"/>
      <c r="VUP33" s="93"/>
      <c r="VUQ33" s="93"/>
      <c r="VUR33" s="93"/>
      <c r="VUS33" s="93"/>
      <c r="VUT33" s="93"/>
      <c r="VUU33" s="93"/>
      <c r="VUV33" s="93"/>
      <c r="VUW33" s="93"/>
      <c r="VUX33" s="93"/>
      <c r="VUY33" s="93"/>
      <c r="VUZ33" s="93"/>
      <c r="VVA33" s="93"/>
      <c r="VVB33" s="93"/>
      <c r="VVC33" s="93"/>
      <c r="VVD33" s="93"/>
      <c r="VVE33" s="93"/>
      <c r="VVF33" s="93"/>
      <c r="VVG33" s="93"/>
      <c r="VVH33" s="93"/>
      <c r="VVI33" s="93"/>
      <c r="VVJ33" s="93"/>
      <c r="VVK33" s="93"/>
      <c r="VVL33" s="93"/>
      <c r="VVM33" s="93"/>
      <c r="VVN33" s="93"/>
      <c r="VVO33" s="93"/>
      <c r="VVP33" s="93"/>
      <c r="VVQ33" s="93"/>
      <c r="VVR33" s="93"/>
      <c r="VVS33" s="93"/>
      <c r="VVT33" s="93"/>
      <c r="VVU33" s="93"/>
      <c r="VVV33" s="93"/>
      <c r="VVW33" s="93"/>
      <c r="VVX33" s="93"/>
      <c r="VVY33" s="93"/>
      <c r="VVZ33" s="93"/>
      <c r="VWA33" s="93"/>
      <c r="VWB33" s="93"/>
      <c r="VWC33" s="93"/>
      <c r="VWD33" s="93"/>
      <c r="VWE33" s="93"/>
      <c r="VWF33" s="93"/>
      <c r="VWG33" s="93"/>
      <c r="VWH33" s="93"/>
      <c r="VWI33" s="93"/>
      <c r="VWJ33" s="93"/>
      <c r="VWK33" s="93"/>
      <c r="VWL33" s="93"/>
      <c r="VWM33" s="93"/>
      <c r="VWN33" s="93"/>
      <c r="VWO33" s="93"/>
      <c r="VWP33" s="93"/>
      <c r="VWQ33" s="93"/>
      <c r="VWR33" s="93"/>
      <c r="VWS33" s="93"/>
      <c r="VWT33" s="93"/>
      <c r="VWU33" s="93"/>
      <c r="VWV33" s="93"/>
      <c r="VWW33" s="93"/>
      <c r="VWX33" s="93"/>
      <c r="VWY33" s="93"/>
      <c r="VWZ33" s="93"/>
      <c r="VXA33" s="93"/>
      <c r="VXB33" s="93"/>
      <c r="VXC33" s="93"/>
      <c r="VXD33" s="93"/>
      <c r="VXE33" s="93"/>
      <c r="VXF33" s="93"/>
      <c r="VXG33" s="93"/>
      <c r="VXH33" s="93"/>
      <c r="VXI33" s="93"/>
      <c r="VXJ33" s="93"/>
      <c r="VXK33" s="93"/>
      <c r="VXL33" s="93"/>
      <c r="VXM33" s="93"/>
      <c r="VXN33" s="93"/>
      <c r="VXO33" s="93"/>
      <c r="VXP33" s="93"/>
      <c r="VXQ33" s="93"/>
      <c r="VXR33" s="93"/>
      <c r="VXS33" s="93"/>
      <c r="VXT33" s="93"/>
      <c r="VXU33" s="93"/>
      <c r="VXV33" s="93"/>
      <c r="VXW33" s="93"/>
      <c r="VXX33" s="93"/>
      <c r="VXY33" s="93"/>
      <c r="VXZ33" s="93"/>
      <c r="VYA33" s="93"/>
      <c r="VYB33" s="93"/>
      <c r="VYC33" s="93"/>
      <c r="VYD33" s="93"/>
      <c r="VYE33" s="93"/>
      <c r="VYF33" s="93"/>
      <c r="VYG33" s="93"/>
      <c r="VYH33" s="93"/>
      <c r="VYI33" s="93"/>
      <c r="VYJ33" s="93"/>
      <c r="VYK33" s="93"/>
      <c r="VYL33" s="93"/>
      <c r="VYM33" s="93"/>
      <c r="VYN33" s="93"/>
      <c r="VYO33" s="93"/>
      <c r="VYP33" s="93"/>
      <c r="VYQ33" s="93"/>
      <c r="VYR33" s="93"/>
      <c r="VYS33" s="93"/>
      <c r="VYT33" s="93"/>
      <c r="VYU33" s="93"/>
      <c r="VYV33" s="93"/>
      <c r="VYW33" s="93"/>
      <c r="VYX33" s="93"/>
      <c r="VYY33" s="93"/>
      <c r="VYZ33" s="93"/>
      <c r="VZA33" s="93"/>
      <c r="VZB33" s="93"/>
      <c r="VZC33" s="93"/>
      <c r="VZD33" s="93"/>
      <c r="VZE33" s="93"/>
      <c r="VZF33" s="93"/>
      <c r="VZG33" s="93"/>
      <c r="VZH33" s="93"/>
      <c r="VZI33" s="93"/>
      <c r="VZJ33" s="93"/>
      <c r="VZK33" s="93"/>
      <c r="VZL33" s="93"/>
      <c r="VZM33" s="93"/>
      <c r="VZN33" s="93"/>
      <c r="VZO33" s="93"/>
      <c r="VZP33" s="93"/>
      <c r="VZQ33" s="93"/>
      <c r="VZR33" s="93"/>
      <c r="VZS33" s="93"/>
      <c r="VZT33" s="93"/>
      <c r="VZU33" s="93"/>
      <c r="VZV33" s="93"/>
      <c r="VZW33" s="93"/>
      <c r="VZX33" s="93"/>
      <c r="VZY33" s="93"/>
      <c r="VZZ33" s="93"/>
      <c r="WAA33" s="93"/>
      <c r="WAB33" s="93"/>
      <c r="WAC33" s="93"/>
      <c r="WAD33" s="93"/>
      <c r="WAE33" s="93"/>
      <c r="WAF33" s="93"/>
      <c r="WAG33" s="93"/>
      <c r="WAH33" s="93"/>
      <c r="WAI33" s="93"/>
      <c r="WAJ33" s="93"/>
      <c r="WAK33" s="93"/>
      <c r="WAL33" s="93"/>
      <c r="WAM33" s="93"/>
      <c r="WAN33" s="93"/>
      <c r="WAO33" s="93"/>
      <c r="WAP33" s="93"/>
      <c r="WAQ33" s="93"/>
      <c r="WAR33" s="93"/>
      <c r="WAS33" s="93"/>
      <c r="WAT33" s="93"/>
      <c r="WAU33" s="93"/>
      <c r="WAV33" s="93"/>
      <c r="WAW33" s="93"/>
      <c r="WAX33" s="93"/>
      <c r="WAY33" s="93"/>
      <c r="WAZ33" s="93"/>
      <c r="WBA33" s="93"/>
      <c r="WBB33" s="93"/>
      <c r="WBC33" s="93"/>
      <c r="WBD33" s="93"/>
      <c r="WBE33" s="93"/>
      <c r="WBF33" s="93"/>
      <c r="WBG33" s="93"/>
      <c r="WBH33" s="93"/>
      <c r="WBI33" s="93"/>
      <c r="WBJ33" s="93"/>
      <c r="WBK33" s="93"/>
      <c r="WBL33" s="93"/>
      <c r="WBM33" s="93"/>
      <c r="WBN33" s="93"/>
      <c r="WBO33" s="93"/>
      <c r="WBP33" s="93"/>
      <c r="WBQ33" s="93"/>
      <c r="WBR33" s="93"/>
      <c r="WBS33" s="93"/>
      <c r="WBT33" s="93"/>
      <c r="WBU33" s="93"/>
      <c r="WBV33" s="93"/>
      <c r="WBW33" s="93"/>
      <c r="WBX33" s="93"/>
      <c r="WBY33" s="93"/>
      <c r="WBZ33" s="93"/>
      <c r="WCA33" s="93"/>
      <c r="WCB33" s="93"/>
      <c r="WCC33" s="93"/>
      <c r="WCD33" s="93"/>
      <c r="WCE33" s="93"/>
      <c r="WCF33" s="93"/>
      <c r="WCG33" s="93"/>
      <c r="WCH33" s="93"/>
      <c r="WCI33" s="93"/>
      <c r="WCJ33" s="93"/>
      <c r="WCK33" s="93"/>
      <c r="WCL33" s="93"/>
      <c r="WCM33" s="93"/>
      <c r="WCN33" s="93"/>
      <c r="WCO33" s="93"/>
      <c r="WCP33" s="93"/>
      <c r="WCQ33" s="93"/>
      <c r="WCR33" s="93"/>
      <c r="WCS33" s="93"/>
      <c r="WCT33" s="93"/>
      <c r="WCU33" s="93"/>
      <c r="WCV33" s="93"/>
      <c r="WCW33" s="93"/>
      <c r="WCX33" s="93"/>
      <c r="WCY33" s="93"/>
      <c r="WCZ33" s="93"/>
      <c r="WDA33" s="93"/>
      <c r="WDB33" s="93"/>
      <c r="WDC33" s="93"/>
      <c r="WDD33" s="93"/>
      <c r="WDE33" s="93"/>
      <c r="WDF33" s="93"/>
      <c r="WDG33" s="93"/>
      <c r="WDH33" s="93"/>
      <c r="WDI33" s="93"/>
      <c r="WDJ33" s="93"/>
      <c r="WDK33" s="93"/>
      <c r="WDL33" s="93"/>
      <c r="WDM33" s="93"/>
      <c r="WDN33" s="93"/>
      <c r="WDO33" s="93"/>
      <c r="WDP33" s="93"/>
      <c r="WDQ33" s="93"/>
      <c r="WDR33" s="93"/>
      <c r="WDS33" s="93"/>
      <c r="WDT33" s="93"/>
      <c r="WDU33" s="93"/>
      <c r="WDV33" s="93"/>
      <c r="WDW33" s="93"/>
      <c r="WDX33" s="93"/>
      <c r="WDY33" s="93"/>
      <c r="WDZ33" s="93"/>
      <c r="WEA33" s="93"/>
      <c r="WEB33" s="93"/>
      <c r="WEC33" s="93"/>
      <c r="WED33" s="93"/>
      <c r="WEE33" s="93"/>
      <c r="WEF33" s="93"/>
      <c r="WEG33" s="93"/>
      <c r="WEH33" s="93"/>
      <c r="WEI33" s="93"/>
      <c r="WEJ33" s="93"/>
      <c r="WEK33" s="93"/>
      <c r="WEL33" s="93"/>
      <c r="WEM33" s="93"/>
      <c r="WEN33" s="93"/>
      <c r="WEO33" s="93"/>
      <c r="WEP33" s="93"/>
      <c r="WEQ33" s="93"/>
      <c r="WER33" s="93"/>
      <c r="WES33" s="93"/>
      <c r="WET33" s="93"/>
      <c r="WEU33" s="93"/>
      <c r="WEV33" s="93"/>
      <c r="WEW33" s="93"/>
      <c r="WEX33" s="93"/>
      <c r="WEY33" s="93"/>
      <c r="WEZ33" s="93"/>
      <c r="WFA33" s="93"/>
      <c r="WFB33" s="93"/>
      <c r="WFC33" s="93"/>
      <c r="WFD33" s="93"/>
      <c r="WFE33" s="93"/>
      <c r="WFF33" s="93"/>
      <c r="WFG33" s="93"/>
      <c r="WFH33" s="93"/>
      <c r="WFI33" s="93"/>
      <c r="WFJ33" s="93"/>
      <c r="WFK33" s="93"/>
      <c r="WFL33" s="93"/>
      <c r="WFM33" s="93"/>
      <c r="WFN33" s="93"/>
      <c r="WFO33" s="93"/>
      <c r="WFP33" s="93"/>
      <c r="WFQ33" s="93"/>
      <c r="WFR33" s="93"/>
      <c r="WFS33" s="93"/>
      <c r="WFT33" s="93"/>
      <c r="WFU33" s="93"/>
      <c r="WFV33" s="93"/>
      <c r="WFW33" s="93"/>
      <c r="WFX33" s="93"/>
      <c r="WFY33" s="93"/>
      <c r="WFZ33" s="93"/>
      <c r="WGA33" s="93"/>
      <c r="WGB33" s="93"/>
      <c r="WGC33" s="93"/>
      <c r="WGD33" s="93"/>
      <c r="WGE33" s="93"/>
      <c r="WGF33" s="93"/>
      <c r="WGG33" s="93"/>
      <c r="WGH33" s="93"/>
      <c r="WGI33" s="93"/>
      <c r="WGJ33" s="93"/>
      <c r="WGK33" s="93"/>
      <c r="WGL33" s="93"/>
      <c r="WGM33" s="93"/>
      <c r="WGN33" s="93"/>
      <c r="WGO33" s="93"/>
      <c r="WGP33" s="93"/>
      <c r="WGQ33" s="93"/>
      <c r="WGR33" s="93"/>
      <c r="WGS33" s="93"/>
      <c r="WGT33" s="93"/>
      <c r="WGU33" s="93"/>
      <c r="WGV33" s="93"/>
      <c r="WGW33" s="93"/>
      <c r="WGX33" s="93"/>
      <c r="WGY33" s="93"/>
      <c r="WGZ33" s="93"/>
      <c r="WHA33" s="93"/>
      <c r="WHB33" s="93"/>
      <c r="WHC33" s="93"/>
      <c r="WHD33" s="93"/>
      <c r="WHE33" s="93"/>
      <c r="WHF33" s="93"/>
      <c r="WHG33" s="93"/>
      <c r="WHH33" s="93"/>
      <c r="WHI33" s="93"/>
      <c r="WHJ33" s="93"/>
      <c r="WHK33" s="93"/>
      <c r="WHL33" s="93"/>
      <c r="WHM33" s="93"/>
      <c r="WHN33" s="93"/>
      <c r="WHO33" s="93"/>
      <c r="WHP33" s="93"/>
      <c r="WHQ33" s="93"/>
      <c r="WHR33" s="93"/>
      <c r="WHS33" s="93"/>
      <c r="WHT33" s="93"/>
      <c r="WHU33" s="93"/>
      <c r="WHV33" s="93"/>
      <c r="WHW33" s="93"/>
      <c r="WHX33" s="93"/>
      <c r="WHY33" s="93"/>
      <c r="WHZ33" s="93"/>
      <c r="WIA33" s="93"/>
      <c r="WIB33" s="93"/>
      <c r="WIC33" s="93"/>
      <c r="WID33" s="93"/>
      <c r="WIE33" s="93"/>
      <c r="WIF33" s="93"/>
      <c r="WIG33" s="93"/>
      <c r="WIH33" s="93"/>
      <c r="WII33" s="93"/>
      <c r="WIJ33" s="93"/>
      <c r="WIK33" s="93"/>
      <c r="WIL33" s="93"/>
      <c r="WIM33" s="93"/>
      <c r="WIN33" s="93"/>
      <c r="WIO33" s="93"/>
      <c r="WIP33" s="93"/>
      <c r="WIQ33" s="93"/>
      <c r="WIR33" s="93"/>
      <c r="WIS33" s="93"/>
      <c r="WIT33" s="93"/>
      <c r="WIU33" s="93"/>
      <c r="WIV33" s="93"/>
      <c r="WIW33" s="93"/>
      <c r="WIX33" s="93"/>
      <c r="WIY33" s="93"/>
      <c r="WIZ33" s="93"/>
      <c r="WJA33" s="93"/>
      <c r="WJB33" s="93"/>
      <c r="WJC33" s="93"/>
      <c r="WJD33" s="93"/>
      <c r="WJE33" s="93"/>
      <c r="WJF33" s="93"/>
      <c r="WJG33" s="93"/>
      <c r="WJH33" s="93"/>
      <c r="WJI33" s="93"/>
      <c r="WJJ33" s="93"/>
      <c r="WJK33" s="93"/>
      <c r="WJL33" s="93"/>
      <c r="WJM33" s="93"/>
      <c r="WJN33" s="93"/>
      <c r="WJO33" s="93"/>
      <c r="WJP33" s="93"/>
      <c r="WJQ33" s="93"/>
      <c r="WJR33" s="93"/>
      <c r="WJS33" s="93"/>
      <c r="WJT33" s="93"/>
      <c r="WJU33" s="93"/>
      <c r="WJV33" s="93"/>
      <c r="WJW33" s="93"/>
      <c r="WJX33" s="93"/>
      <c r="WJY33" s="93"/>
      <c r="WJZ33" s="93"/>
      <c r="WKA33" s="93"/>
      <c r="WKB33" s="93"/>
      <c r="WKC33" s="93"/>
      <c r="WKD33" s="93"/>
      <c r="WKE33" s="93"/>
      <c r="WKF33" s="93"/>
      <c r="WKG33" s="93"/>
      <c r="WKH33" s="93"/>
      <c r="WKI33" s="93"/>
      <c r="WKJ33" s="93"/>
      <c r="WKK33" s="93"/>
      <c r="WKL33" s="93"/>
      <c r="WKM33" s="93"/>
      <c r="WKN33" s="93"/>
      <c r="WKO33" s="93"/>
      <c r="WKP33" s="93"/>
      <c r="WKQ33" s="93"/>
      <c r="WKR33" s="93"/>
      <c r="WKS33" s="93"/>
      <c r="WKT33" s="93"/>
      <c r="WKU33" s="93"/>
      <c r="WKV33" s="93"/>
      <c r="WKW33" s="93"/>
      <c r="WKX33" s="93"/>
      <c r="WKY33" s="93"/>
      <c r="WKZ33" s="93"/>
      <c r="WLA33" s="93"/>
      <c r="WLB33" s="93"/>
      <c r="WLC33" s="93"/>
      <c r="WLD33" s="93"/>
      <c r="WLE33" s="93"/>
      <c r="WLF33" s="93"/>
      <c r="WLG33" s="93"/>
      <c r="WLH33" s="93"/>
      <c r="WLI33" s="93"/>
      <c r="WLJ33" s="93"/>
      <c r="WLK33" s="93"/>
      <c r="WLL33" s="93"/>
      <c r="WLM33" s="93"/>
      <c r="WLN33" s="93"/>
      <c r="WLO33" s="93"/>
      <c r="WLP33" s="93"/>
      <c r="WLQ33" s="93"/>
      <c r="WLR33" s="93"/>
      <c r="WLS33" s="93"/>
      <c r="WLT33" s="93"/>
      <c r="WLU33" s="93"/>
      <c r="WLV33" s="93"/>
      <c r="WLW33" s="93"/>
      <c r="WLX33" s="93"/>
      <c r="WLY33" s="93"/>
      <c r="WLZ33" s="93"/>
      <c r="WMA33" s="93"/>
      <c r="WMB33" s="93"/>
      <c r="WMC33" s="93"/>
      <c r="WMD33" s="93"/>
      <c r="WME33" s="93"/>
      <c r="WMF33" s="93"/>
      <c r="WMG33" s="93"/>
      <c r="WMH33" s="93"/>
      <c r="WMI33" s="93"/>
      <c r="WMJ33" s="93"/>
      <c r="WMK33" s="93"/>
      <c r="WML33" s="93"/>
      <c r="WMM33" s="93"/>
      <c r="WMN33" s="93"/>
      <c r="WMO33" s="93"/>
      <c r="WMP33" s="93"/>
      <c r="WMQ33" s="93"/>
      <c r="WMR33" s="93"/>
      <c r="WMS33" s="93"/>
      <c r="WMT33" s="93"/>
      <c r="WMU33" s="93"/>
      <c r="WMV33" s="93"/>
      <c r="WMW33" s="93"/>
      <c r="WMX33" s="93"/>
      <c r="WMY33" s="93"/>
      <c r="WMZ33" s="93"/>
      <c r="WNA33" s="93"/>
      <c r="WNB33" s="93"/>
      <c r="WNC33" s="93"/>
      <c r="WND33" s="93"/>
      <c r="WNE33" s="93"/>
      <c r="WNF33" s="93"/>
      <c r="WNG33" s="93"/>
      <c r="WNH33" s="93"/>
      <c r="WNI33" s="93"/>
      <c r="WNJ33" s="93"/>
      <c r="WNK33" s="93"/>
      <c r="WNL33" s="93"/>
      <c r="WNM33" s="93"/>
      <c r="WNN33" s="93"/>
      <c r="WNO33" s="93"/>
      <c r="WNP33" s="93"/>
      <c r="WNQ33" s="93"/>
      <c r="WNR33" s="93"/>
      <c r="WNS33" s="93"/>
      <c r="WNT33" s="93"/>
      <c r="WNU33" s="93"/>
      <c r="WNV33" s="93"/>
      <c r="WNW33" s="93"/>
      <c r="WNX33" s="93"/>
      <c r="WNY33" s="93"/>
      <c r="WNZ33" s="93"/>
      <c r="WOA33" s="93"/>
      <c r="WOB33" s="93"/>
      <c r="WOC33" s="93"/>
      <c r="WOD33" s="93"/>
      <c r="WOE33" s="93"/>
      <c r="WOF33" s="93"/>
      <c r="WOG33" s="93"/>
      <c r="WOH33" s="93"/>
      <c r="WOI33" s="93"/>
      <c r="WOJ33" s="93"/>
      <c r="WOK33" s="93"/>
      <c r="WOL33" s="93"/>
      <c r="WOM33" s="93"/>
      <c r="WON33" s="93"/>
      <c r="WOO33" s="93"/>
      <c r="WOP33" s="93"/>
      <c r="WOQ33" s="93"/>
      <c r="WOR33" s="93"/>
      <c r="WOS33" s="93"/>
      <c r="WOT33" s="93"/>
      <c r="WOU33" s="93"/>
      <c r="WOV33" s="93"/>
      <c r="WOW33" s="93"/>
      <c r="WOX33" s="93"/>
      <c r="WOY33" s="93"/>
      <c r="WOZ33" s="93"/>
      <c r="WPA33" s="93"/>
      <c r="WPB33" s="93"/>
      <c r="WPC33" s="93"/>
      <c r="WPD33" s="93"/>
      <c r="WPE33" s="93"/>
      <c r="WPF33" s="93"/>
      <c r="WPG33" s="93"/>
      <c r="WPH33" s="93"/>
      <c r="WPI33" s="93"/>
      <c r="WPJ33" s="93"/>
      <c r="WPK33" s="93"/>
      <c r="WPL33" s="93"/>
      <c r="WPM33" s="93"/>
      <c r="WPN33" s="93"/>
      <c r="WPO33" s="93"/>
      <c r="WPP33" s="93"/>
      <c r="WPQ33" s="93"/>
      <c r="WPR33" s="93"/>
      <c r="WPS33" s="93"/>
      <c r="WPT33" s="93"/>
      <c r="WPU33" s="93"/>
      <c r="WPV33" s="93"/>
      <c r="WPW33" s="93"/>
      <c r="WPX33" s="93"/>
      <c r="WPY33" s="93"/>
      <c r="WPZ33" s="93"/>
      <c r="WQA33" s="93"/>
      <c r="WQB33" s="93"/>
      <c r="WQC33" s="93"/>
      <c r="WQD33" s="93"/>
      <c r="WQE33" s="93"/>
      <c r="WQF33" s="93"/>
      <c r="WQG33" s="93"/>
      <c r="WQH33" s="93"/>
      <c r="WQI33" s="93"/>
      <c r="WQJ33" s="93"/>
      <c r="WQK33" s="93"/>
      <c r="WQL33" s="93"/>
      <c r="WQM33" s="93"/>
      <c r="WQN33" s="93"/>
      <c r="WQO33" s="93"/>
      <c r="WQP33" s="93"/>
      <c r="WQQ33" s="93"/>
      <c r="WQR33" s="93"/>
      <c r="WQS33" s="93"/>
      <c r="WQT33" s="93"/>
      <c r="WQU33" s="93"/>
      <c r="WQV33" s="93"/>
      <c r="WQW33" s="93"/>
      <c r="WQX33" s="93"/>
      <c r="WQY33" s="93"/>
      <c r="WQZ33" s="93"/>
      <c r="WRA33" s="93"/>
      <c r="WRB33" s="93"/>
      <c r="WRC33" s="93"/>
      <c r="WRD33" s="93"/>
      <c r="WRE33" s="93"/>
      <c r="WRF33" s="93"/>
      <c r="WRG33" s="93"/>
      <c r="WRH33" s="93"/>
      <c r="WRI33" s="93"/>
      <c r="WRJ33" s="93"/>
      <c r="WRK33" s="93"/>
      <c r="WRL33" s="93"/>
      <c r="WRM33" s="93"/>
      <c r="WRN33" s="93"/>
      <c r="WRO33" s="93"/>
      <c r="WRP33" s="93"/>
      <c r="WRQ33" s="93"/>
      <c r="WRR33" s="93"/>
      <c r="WRS33" s="93"/>
      <c r="WRT33" s="93"/>
      <c r="WRU33" s="93"/>
      <c r="WRV33" s="93"/>
      <c r="WRW33" s="93"/>
      <c r="WRX33" s="93"/>
      <c r="WRY33" s="93"/>
      <c r="WRZ33" s="93"/>
      <c r="WSA33" s="93"/>
      <c r="WSB33" s="93"/>
      <c r="WSC33" s="93"/>
      <c r="WSD33" s="93"/>
      <c r="WSE33" s="93"/>
      <c r="WSF33" s="93"/>
      <c r="WSG33" s="93"/>
      <c r="WSH33" s="93"/>
      <c r="WSI33" s="93"/>
      <c r="WSJ33" s="93"/>
      <c r="WSK33" s="93"/>
      <c r="WSL33" s="93"/>
      <c r="WSM33" s="93"/>
      <c r="WSN33" s="93"/>
      <c r="WSO33" s="93"/>
      <c r="WSP33" s="93"/>
      <c r="WSQ33" s="93"/>
      <c r="WSR33" s="93"/>
      <c r="WSS33" s="93"/>
      <c r="WST33" s="93"/>
      <c r="WSU33" s="93"/>
      <c r="WSV33" s="93"/>
      <c r="WSW33" s="93"/>
      <c r="WSX33" s="93"/>
      <c r="WSY33" s="93"/>
      <c r="WSZ33" s="93"/>
      <c r="WTA33" s="93"/>
      <c r="WTB33" s="93"/>
      <c r="WTC33" s="93"/>
      <c r="WTD33" s="93"/>
      <c r="WTE33" s="93"/>
      <c r="WTF33" s="93"/>
      <c r="WTG33" s="93"/>
      <c r="WTH33" s="93"/>
      <c r="WTI33" s="93"/>
      <c r="WTJ33" s="93"/>
      <c r="WTK33" s="93"/>
      <c r="WTL33" s="93"/>
      <c r="WTM33" s="93"/>
      <c r="WTN33" s="93"/>
      <c r="WTO33" s="93"/>
      <c r="WTP33" s="93"/>
      <c r="WTQ33" s="93"/>
      <c r="WTR33" s="93"/>
      <c r="WTS33" s="93"/>
      <c r="WTT33" s="93"/>
      <c r="WTU33" s="93"/>
      <c r="WTV33" s="93"/>
      <c r="WTW33" s="93"/>
      <c r="WTX33" s="93"/>
      <c r="WTY33" s="93"/>
      <c r="WTZ33" s="93"/>
      <c r="WUA33" s="93"/>
      <c r="WUB33" s="93"/>
      <c r="WUC33" s="93"/>
      <c r="WUD33" s="93"/>
      <c r="WUE33" s="93"/>
      <c r="WUF33" s="93"/>
      <c r="WUG33" s="93"/>
      <c r="WUH33" s="93"/>
      <c r="WUI33" s="93"/>
      <c r="WUJ33" s="93"/>
      <c r="WUK33" s="93"/>
      <c r="WUL33" s="93"/>
      <c r="WUM33" s="93"/>
      <c r="WUN33" s="93"/>
      <c r="WUO33" s="93"/>
      <c r="WUP33" s="93"/>
      <c r="WUQ33" s="93"/>
      <c r="WUR33" s="93"/>
      <c r="WUS33" s="93"/>
      <c r="WUT33" s="93"/>
      <c r="WUU33" s="93"/>
      <c r="WUV33" s="93"/>
      <c r="WUW33" s="93"/>
      <c r="WUX33" s="93"/>
      <c r="WUY33" s="93"/>
      <c r="WUZ33" s="93"/>
      <c r="WVA33" s="93"/>
      <c r="WVB33" s="93"/>
      <c r="WVC33" s="93"/>
      <c r="WVD33" s="93"/>
      <c r="WVE33" s="93"/>
      <c r="WVF33" s="93"/>
      <c r="WVG33" s="93"/>
      <c r="WVH33" s="93"/>
      <c r="WVI33" s="93"/>
      <c r="WVJ33" s="93"/>
      <c r="WVK33" s="93"/>
      <c r="WVL33" s="93"/>
      <c r="WVM33" s="93"/>
      <c r="WVN33" s="93"/>
      <c r="WVO33" s="93"/>
      <c r="WVP33" s="93"/>
      <c r="WVQ33" s="93"/>
      <c r="WVR33" s="93"/>
      <c r="WVS33" s="93"/>
      <c r="WVT33" s="93"/>
      <c r="WVU33" s="93"/>
      <c r="WVV33" s="93"/>
      <c r="WVW33" s="93"/>
      <c r="WVX33" s="93"/>
      <c r="WVY33" s="93"/>
      <c r="WVZ33" s="93"/>
      <c r="WWA33" s="93"/>
      <c r="WWB33" s="93"/>
      <c r="WWC33" s="93"/>
      <c r="WWD33" s="93"/>
      <c r="WWE33" s="93"/>
      <c r="WWF33" s="93"/>
      <c r="WWG33" s="93"/>
      <c r="WWH33" s="93"/>
      <c r="WWI33" s="93"/>
      <c r="WWJ33" s="93"/>
      <c r="WWK33" s="93"/>
      <c r="WWL33" s="93"/>
      <c r="WWM33" s="93"/>
      <c r="WWN33" s="93"/>
      <c r="WWO33" s="93"/>
      <c r="WWP33" s="93"/>
      <c r="WWQ33" s="93"/>
      <c r="WWR33" s="93"/>
      <c r="WWS33" s="93"/>
      <c r="WWT33" s="93"/>
      <c r="WWU33" s="93"/>
      <c r="WWV33" s="93"/>
      <c r="WWW33" s="93"/>
      <c r="WWX33" s="93"/>
      <c r="WWY33" s="93"/>
      <c r="WWZ33" s="93"/>
      <c r="WXA33" s="93"/>
      <c r="WXB33" s="93"/>
      <c r="WXC33" s="93"/>
      <c r="WXD33" s="93"/>
      <c r="WXE33" s="93"/>
      <c r="WXF33" s="93"/>
      <c r="WXG33" s="93"/>
      <c r="WXH33" s="93"/>
      <c r="WXI33" s="93"/>
      <c r="WXJ33" s="93"/>
      <c r="WXK33" s="93"/>
      <c r="WXL33" s="93"/>
      <c r="WXM33" s="93"/>
      <c r="WXN33" s="93"/>
      <c r="WXO33" s="93"/>
      <c r="WXP33" s="93"/>
      <c r="WXQ33" s="93"/>
      <c r="WXR33" s="93"/>
      <c r="WXS33" s="93"/>
      <c r="WXT33" s="93"/>
      <c r="WXU33" s="93"/>
      <c r="WXV33" s="93"/>
      <c r="WXW33" s="93"/>
      <c r="WXX33" s="93"/>
      <c r="WXY33" s="93"/>
      <c r="WXZ33" s="93"/>
      <c r="WYA33" s="93"/>
      <c r="WYB33" s="93"/>
      <c r="WYC33" s="93"/>
      <c r="WYD33" s="93"/>
      <c r="WYE33" s="93"/>
      <c r="WYF33" s="93"/>
      <c r="WYG33" s="93"/>
      <c r="WYH33" s="93"/>
      <c r="WYI33" s="93"/>
      <c r="WYJ33" s="93"/>
      <c r="WYK33" s="93"/>
      <c r="WYL33" s="93"/>
      <c r="WYM33" s="93"/>
      <c r="WYN33" s="93"/>
      <c r="WYO33" s="93"/>
      <c r="WYP33" s="93"/>
      <c r="WYQ33" s="93"/>
      <c r="WYR33" s="93"/>
      <c r="WYS33" s="93"/>
      <c r="WYT33" s="93"/>
      <c r="WYU33" s="93"/>
      <c r="WYV33" s="93"/>
      <c r="WYW33" s="93"/>
      <c r="WYX33" s="93"/>
      <c r="WYY33" s="93"/>
      <c r="WYZ33" s="93"/>
      <c r="WZA33" s="93"/>
      <c r="WZB33" s="93"/>
      <c r="WZC33" s="93"/>
      <c r="WZD33" s="93"/>
      <c r="WZE33" s="93"/>
      <c r="WZF33" s="93"/>
      <c r="WZG33" s="93"/>
      <c r="WZH33" s="93"/>
      <c r="WZI33" s="93"/>
      <c r="WZJ33" s="93"/>
      <c r="WZK33" s="93"/>
      <c r="WZL33" s="93"/>
      <c r="WZM33" s="93"/>
      <c r="WZN33" s="93"/>
      <c r="WZO33" s="93"/>
      <c r="WZP33" s="93"/>
      <c r="WZQ33" s="93"/>
      <c r="WZR33" s="93"/>
      <c r="WZS33" s="93"/>
      <c r="WZT33" s="93"/>
      <c r="WZU33" s="93"/>
      <c r="WZV33" s="93"/>
      <c r="WZW33" s="93"/>
      <c r="WZX33" s="93"/>
      <c r="WZY33" s="93"/>
      <c r="WZZ33" s="93"/>
      <c r="XAA33" s="93"/>
      <c r="XAB33" s="93"/>
      <c r="XAC33" s="93"/>
      <c r="XAD33" s="93"/>
      <c r="XAE33" s="93"/>
      <c r="XAF33" s="93"/>
      <c r="XAG33" s="93"/>
      <c r="XAH33" s="93"/>
      <c r="XAI33" s="93"/>
      <c r="XAJ33" s="93"/>
      <c r="XAK33" s="93"/>
      <c r="XAL33" s="93"/>
      <c r="XAM33" s="93"/>
      <c r="XAN33" s="93"/>
      <c r="XAO33" s="93"/>
      <c r="XAP33" s="93"/>
      <c r="XAQ33" s="93"/>
      <c r="XAR33" s="93"/>
      <c r="XAS33" s="93"/>
      <c r="XAT33" s="93"/>
      <c r="XAU33" s="93"/>
      <c r="XAV33" s="93"/>
      <c r="XAW33" s="93"/>
      <c r="XAX33" s="93"/>
      <c r="XAY33" s="93"/>
      <c r="XAZ33" s="93"/>
      <c r="XBA33" s="93"/>
      <c r="XBB33" s="93"/>
      <c r="XBC33" s="93"/>
      <c r="XBD33" s="93"/>
      <c r="XBE33" s="93"/>
      <c r="XBF33" s="93"/>
      <c r="XBG33" s="93"/>
      <c r="XBH33" s="93"/>
      <c r="XBI33" s="93"/>
      <c r="XBJ33" s="93"/>
      <c r="XBK33" s="93"/>
      <c r="XBL33" s="93"/>
      <c r="XBM33" s="93"/>
      <c r="XBN33" s="93"/>
      <c r="XBO33" s="93"/>
      <c r="XBP33" s="93"/>
      <c r="XBQ33" s="93"/>
      <c r="XBR33" s="93"/>
      <c r="XBS33" s="93"/>
      <c r="XBT33" s="93"/>
      <c r="XBU33" s="93"/>
      <c r="XBV33" s="93"/>
      <c r="XBW33" s="93"/>
      <c r="XBX33" s="93"/>
      <c r="XBY33" s="93"/>
      <c r="XBZ33" s="93"/>
      <c r="XCA33" s="93"/>
      <c r="XCB33" s="93"/>
      <c r="XCC33" s="93"/>
      <c r="XCD33" s="93"/>
      <c r="XCE33" s="93"/>
      <c r="XCF33" s="93"/>
      <c r="XCG33" s="93"/>
      <c r="XCH33" s="93"/>
      <c r="XCI33" s="93"/>
      <c r="XCJ33" s="93"/>
      <c r="XCK33" s="93"/>
      <c r="XCL33" s="93"/>
      <c r="XCM33" s="93"/>
      <c r="XCN33" s="93"/>
      <c r="XCO33" s="93"/>
      <c r="XCP33" s="93"/>
      <c r="XCQ33" s="93"/>
      <c r="XCR33" s="93"/>
      <c r="XCS33" s="93"/>
      <c r="XCT33" s="93"/>
      <c r="XCU33" s="93"/>
      <c r="XCV33" s="93"/>
      <c r="XCW33" s="93"/>
      <c r="XCX33" s="93"/>
      <c r="XCY33" s="93"/>
      <c r="XCZ33" s="93"/>
      <c r="XDA33" s="93"/>
      <c r="XDB33" s="93"/>
      <c r="XDC33" s="93"/>
      <c r="XDD33" s="93"/>
      <c r="XDE33" s="93"/>
      <c r="XDF33" s="93"/>
      <c r="XDG33" s="93"/>
      <c r="XDH33" s="93"/>
      <c r="XDI33" s="93"/>
      <c r="XDJ33" s="93"/>
      <c r="XDK33" s="93"/>
      <c r="XDL33" s="93"/>
      <c r="XDM33" s="93"/>
      <c r="XDN33" s="93"/>
      <c r="XDO33" s="93"/>
      <c r="XDP33" s="93"/>
      <c r="XDQ33" s="93"/>
      <c r="XDR33" s="93"/>
      <c r="XDS33" s="93"/>
      <c r="XDT33" s="93"/>
      <c r="XDU33" s="93"/>
      <c r="XDV33" s="93"/>
      <c r="XDW33" s="93"/>
      <c r="XDX33" s="93"/>
      <c r="XDY33" s="93"/>
      <c r="XDZ33" s="93"/>
      <c r="XEA33" s="93"/>
      <c r="XEB33" s="93"/>
      <c r="XEC33" s="93"/>
      <c r="XED33" s="93"/>
      <c r="XEE33" s="93"/>
    </row>
    <row r="34" spans="1:16359" s="93" customFormat="1" ht="16">
      <c r="A34" t="s">
        <v>68</v>
      </c>
      <c r="B34"/>
      <c r="C34" s="93">
        <v>1288</v>
      </c>
      <c r="D34">
        <v>147</v>
      </c>
      <c r="E34" t="s">
        <v>330</v>
      </c>
      <c r="F34">
        <v>2017</v>
      </c>
      <c r="G34" t="s">
        <v>166</v>
      </c>
      <c r="H34" s="10" t="s">
        <v>167</v>
      </c>
      <c r="I34">
        <v>1</v>
      </c>
      <c r="J34">
        <v>2009</v>
      </c>
      <c r="K34" t="s">
        <v>73</v>
      </c>
      <c r="L34">
        <v>40</v>
      </c>
      <c r="M34" t="s">
        <v>120</v>
      </c>
      <c r="N34" t="s">
        <v>318</v>
      </c>
      <c r="O34" t="s">
        <v>81</v>
      </c>
      <c r="P34" t="s">
        <v>219</v>
      </c>
      <c r="Q34" t="s">
        <v>236</v>
      </c>
      <c r="R34" t="s">
        <v>253</v>
      </c>
      <c r="S34">
        <v>0</v>
      </c>
      <c r="T34" t="s">
        <v>189</v>
      </c>
      <c r="U34">
        <v>0</v>
      </c>
      <c r="V34" t="s">
        <v>222</v>
      </c>
      <c r="W34" t="s">
        <v>222</v>
      </c>
      <c r="X34" t="s">
        <v>73</v>
      </c>
      <c r="Y34">
        <v>0</v>
      </c>
      <c r="Z34">
        <v>0</v>
      </c>
      <c r="AA34">
        <v>0</v>
      </c>
      <c r="AB34">
        <v>1</v>
      </c>
      <c r="AC34">
        <v>0</v>
      </c>
      <c r="AD34">
        <v>0</v>
      </c>
      <c r="AE34">
        <v>0</v>
      </c>
      <c r="AF34">
        <v>0</v>
      </c>
      <c r="AG34" t="s">
        <v>73</v>
      </c>
      <c r="AH34">
        <v>0</v>
      </c>
      <c r="AI34">
        <v>0</v>
      </c>
      <c r="AJ34">
        <v>1</v>
      </c>
      <c r="AK34">
        <v>0</v>
      </c>
      <c r="AL34">
        <v>0</v>
      </c>
      <c r="AM34">
        <v>0</v>
      </c>
      <c r="AN34">
        <v>0</v>
      </c>
      <c r="AO34">
        <v>0</v>
      </c>
      <c r="AP34" s="10">
        <v>0</v>
      </c>
      <c r="AQ34" t="s">
        <v>73</v>
      </c>
      <c r="AR34" t="s">
        <v>239</v>
      </c>
      <c r="AS34" t="s">
        <v>455</v>
      </c>
      <c r="AT34" t="s">
        <v>255</v>
      </c>
      <c r="AU34" s="25">
        <v>2.5999999999999998E-4</v>
      </c>
      <c r="AV34" s="7" t="s">
        <v>86</v>
      </c>
      <c r="AW34">
        <v>1E-3</v>
      </c>
      <c r="AX34" s="41" t="s">
        <v>73</v>
      </c>
      <c r="AY34">
        <v>3</v>
      </c>
      <c r="AZ34">
        <f>AU34/AW34</f>
        <v>0.25999999999999995</v>
      </c>
      <c r="BA34" s="112">
        <f>AU34</f>
        <v>2.5999999999999998E-4</v>
      </c>
      <c r="BB34" s="112"/>
      <c r="BC34" t="s">
        <v>73</v>
      </c>
      <c r="BD34" t="s">
        <v>73</v>
      </c>
      <c r="BE34" t="s">
        <v>73</v>
      </c>
      <c r="BF34" t="s">
        <v>73</v>
      </c>
      <c r="BG34" t="s">
        <v>73</v>
      </c>
      <c r="BH34" t="s">
        <v>73</v>
      </c>
      <c r="BI34">
        <v>12600</v>
      </c>
      <c r="BJ34">
        <v>12600</v>
      </c>
      <c r="BK34" t="s">
        <v>73</v>
      </c>
      <c r="BL34" t="s">
        <v>73</v>
      </c>
      <c r="BM34">
        <v>100</v>
      </c>
      <c r="BN34" t="s">
        <v>73</v>
      </c>
      <c r="BO34" t="s">
        <v>230</v>
      </c>
      <c r="BP34" t="s">
        <v>73</v>
      </c>
      <c r="BQ34" t="s">
        <v>73</v>
      </c>
      <c r="BR34" t="s">
        <v>73</v>
      </c>
      <c r="BS34" t="s">
        <v>73</v>
      </c>
      <c r="BT34" t="s">
        <v>73</v>
      </c>
      <c r="BU34">
        <v>0</v>
      </c>
      <c r="BV34">
        <v>1</v>
      </c>
      <c r="BW34">
        <v>0</v>
      </c>
      <c r="BX34" s="30">
        <f>((AZ34^2)/(AZ34^2+BI34))^(1/2)</f>
        <v>2.3162578831289918E-3</v>
      </c>
      <c r="BY34" s="30">
        <f>0.5*LN((1+BX34)/(1-BX34))</f>
        <v>2.3162620254225598E-3</v>
      </c>
      <c r="BZ34" s="30">
        <f>((1-(BY34^2)^2)/(BI34-1))</f>
        <v>7.9371378678563058E-5</v>
      </c>
      <c r="CA34" s="30">
        <f>1/(BI34-3)</f>
        <v>7.9383980312772889E-5</v>
      </c>
      <c r="CB34"/>
      <c r="CC34"/>
      <c r="CD34"/>
    </row>
    <row r="35" spans="1:16359" ht="16">
      <c r="A35" t="s">
        <v>68</v>
      </c>
      <c r="C35" s="93">
        <v>1289</v>
      </c>
      <c r="D35">
        <v>147</v>
      </c>
      <c r="E35" t="s">
        <v>330</v>
      </c>
      <c r="F35">
        <v>2017</v>
      </c>
      <c r="G35" t="s">
        <v>166</v>
      </c>
      <c r="H35" s="10" t="s">
        <v>167</v>
      </c>
      <c r="I35">
        <v>1</v>
      </c>
      <c r="J35">
        <v>2009</v>
      </c>
      <c r="K35" t="s">
        <v>73</v>
      </c>
      <c r="L35">
        <v>40</v>
      </c>
      <c r="M35" t="s">
        <v>120</v>
      </c>
      <c r="N35" t="s">
        <v>318</v>
      </c>
      <c r="O35" t="s">
        <v>81</v>
      </c>
      <c r="P35" t="s">
        <v>219</v>
      </c>
      <c r="Q35" t="s">
        <v>236</v>
      </c>
      <c r="R35" t="s">
        <v>253</v>
      </c>
      <c r="S35">
        <v>0</v>
      </c>
      <c r="T35" t="s">
        <v>189</v>
      </c>
      <c r="U35">
        <v>0</v>
      </c>
      <c r="V35" t="s">
        <v>222</v>
      </c>
      <c r="W35" t="s">
        <v>222</v>
      </c>
      <c r="X35" t="s">
        <v>73</v>
      </c>
      <c r="Y35">
        <v>0</v>
      </c>
      <c r="Z35">
        <v>0</v>
      </c>
      <c r="AA35">
        <v>0</v>
      </c>
      <c r="AB35">
        <v>1</v>
      </c>
      <c r="AC35">
        <v>0</v>
      </c>
      <c r="AD35">
        <v>0</v>
      </c>
      <c r="AE35">
        <v>0</v>
      </c>
      <c r="AF35">
        <v>0</v>
      </c>
      <c r="AG35" t="s">
        <v>73</v>
      </c>
      <c r="AH35">
        <v>0</v>
      </c>
      <c r="AI35">
        <v>0</v>
      </c>
      <c r="AJ35">
        <v>1</v>
      </c>
      <c r="AK35">
        <v>0</v>
      </c>
      <c r="AL35">
        <v>0</v>
      </c>
      <c r="AM35">
        <v>0</v>
      </c>
      <c r="AN35">
        <v>0</v>
      </c>
      <c r="AO35">
        <v>0</v>
      </c>
      <c r="AP35" s="10">
        <v>0</v>
      </c>
      <c r="AQ35" t="s">
        <v>73</v>
      </c>
      <c r="AR35" t="s">
        <v>239</v>
      </c>
      <c r="AS35" t="s">
        <v>455</v>
      </c>
      <c r="AT35" t="s">
        <v>255</v>
      </c>
      <c r="AU35" s="25">
        <v>6.9999999999999999E-4</v>
      </c>
      <c r="AV35" s="7" t="s">
        <v>86</v>
      </c>
      <c r="AW35">
        <v>2E-3</v>
      </c>
      <c r="AX35" s="41" t="s">
        <v>73</v>
      </c>
      <c r="AY35">
        <v>3</v>
      </c>
      <c r="AZ35">
        <f>AU35/AW35</f>
        <v>0.35</v>
      </c>
      <c r="BA35" s="112">
        <f>AU35</f>
        <v>6.9999999999999999E-4</v>
      </c>
      <c r="BB35" s="112"/>
      <c r="BC35" t="s">
        <v>73</v>
      </c>
      <c r="BD35" t="s">
        <v>73</v>
      </c>
      <c r="BE35" t="s">
        <v>73</v>
      </c>
      <c r="BF35" t="s">
        <v>73</v>
      </c>
      <c r="BG35" t="s">
        <v>73</v>
      </c>
      <c r="BH35" t="s">
        <v>73</v>
      </c>
      <c r="BI35">
        <v>12600</v>
      </c>
      <c r="BJ35">
        <v>12600</v>
      </c>
      <c r="BK35" t="s">
        <v>73</v>
      </c>
      <c r="BL35" t="s">
        <v>73</v>
      </c>
      <c r="BM35">
        <v>100</v>
      </c>
      <c r="BN35" t="s">
        <v>73</v>
      </c>
      <c r="BO35" t="s">
        <v>230</v>
      </c>
      <c r="BP35" t="s">
        <v>73</v>
      </c>
      <c r="BQ35" t="s">
        <v>73</v>
      </c>
      <c r="BR35" t="s">
        <v>73</v>
      </c>
      <c r="BS35" t="s">
        <v>73</v>
      </c>
      <c r="BT35" t="s">
        <v>73</v>
      </c>
      <c r="BU35">
        <v>0</v>
      </c>
      <c r="BV35">
        <v>1</v>
      </c>
      <c r="BW35">
        <v>0</v>
      </c>
      <c r="BX35" s="30">
        <f>((AZ35^2)/(AZ35^2+BI35))^(1/2)</f>
        <v>3.1180326652452241E-3</v>
      </c>
      <c r="BY35" s="30">
        <f>0.5*LN((1+BX35)/(1-BX35))</f>
        <v>3.1180427699413972E-3</v>
      </c>
      <c r="BZ35" s="30">
        <f>((1-(BY35^2)^2)/(BI35-1))</f>
        <v>7.937137867334543E-5</v>
      </c>
      <c r="CA35" s="30">
        <f>1/(BI35-3)</f>
        <v>7.9383980312772889E-5</v>
      </c>
    </row>
    <row r="36" spans="1:16359" ht="17" customHeight="1">
      <c r="A36" s="11" t="s">
        <v>350</v>
      </c>
      <c r="B36" s="11"/>
      <c r="C36" s="95">
        <v>1197</v>
      </c>
      <c r="D36" s="96">
        <v>202</v>
      </c>
      <c r="E36" t="s">
        <v>403</v>
      </c>
      <c r="F36" s="95">
        <v>2021</v>
      </c>
      <c r="G36" t="s">
        <v>404</v>
      </c>
      <c r="H36" t="s">
        <v>405</v>
      </c>
      <c r="I36" s="96">
        <v>2</v>
      </c>
      <c r="J36" t="s">
        <v>406</v>
      </c>
      <c r="K36" s="95" t="s">
        <v>73</v>
      </c>
      <c r="L36" s="96">
        <v>8</v>
      </c>
      <c r="M36" t="s">
        <v>120</v>
      </c>
      <c r="N36" t="s">
        <v>269</v>
      </c>
      <c r="O36" t="s">
        <v>148</v>
      </c>
      <c r="P36" t="s">
        <v>73</v>
      </c>
      <c r="Q36" t="s">
        <v>236</v>
      </c>
      <c r="R36" t="s">
        <v>73</v>
      </c>
      <c r="S36" t="s">
        <v>73</v>
      </c>
      <c r="T36" t="s">
        <v>73</v>
      </c>
      <c r="U36" t="s">
        <v>73</v>
      </c>
      <c r="V36" t="s">
        <v>222</v>
      </c>
      <c r="W36" t="s">
        <v>222</v>
      </c>
      <c r="X36" s="95" t="s">
        <v>407</v>
      </c>
      <c r="Y36" s="96">
        <v>0</v>
      </c>
      <c r="Z36" s="96">
        <v>0</v>
      </c>
      <c r="AA36" s="96">
        <v>1</v>
      </c>
      <c r="AB36" s="96">
        <v>0</v>
      </c>
      <c r="AC36" s="96">
        <v>0</v>
      </c>
      <c r="AD36" s="96">
        <v>0</v>
      </c>
      <c r="AE36" s="96">
        <v>0</v>
      </c>
      <c r="AF36" s="96">
        <v>1</v>
      </c>
      <c r="AG36" t="s">
        <v>399</v>
      </c>
      <c r="AH36" s="96">
        <v>0</v>
      </c>
      <c r="AI36" s="96">
        <v>0</v>
      </c>
      <c r="AJ36" s="96">
        <v>0</v>
      </c>
      <c r="AK36" s="96">
        <v>1</v>
      </c>
      <c r="AL36" s="96">
        <v>0</v>
      </c>
      <c r="AM36" s="96">
        <v>0</v>
      </c>
      <c r="AN36" s="96">
        <v>0</v>
      </c>
      <c r="AO36" s="96">
        <v>0</v>
      </c>
      <c r="AP36" s="96">
        <v>0</v>
      </c>
      <c r="AQ36" t="s">
        <v>73</v>
      </c>
      <c r="AR36" t="s">
        <v>239</v>
      </c>
      <c r="AS36" t="s">
        <v>408</v>
      </c>
      <c r="AT36" t="s">
        <v>73</v>
      </c>
      <c r="AU36" s="110">
        <v>0.16500000000000001</v>
      </c>
      <c r="AV36" s="7" t="s">
        <v>80</v>
      </c>
      <c r="AW36" s="110">
        <v>1.4E-2</v>
      </c>
      <c r="AX36" s="98">
        <v>0.05</v>
      </c>
      <c r="AY36">
        <v>1</v>
      </c>
      <c r="AZ36" s="94">
        <f>AU36/AW36</f>
        <v>11.785714285714286</v>
      </c>
      <c r="BA36" t="s">
        <v>73</v>
      </c>
      <c r="BC36" s="97" t="s">
        <v>73</v>
      </c>
      <c r="BD36" s="97" t="s">
        <v>73</v>
      </c>
      <c r="BE36" s="97" t="s">
        <v>73</v>
      </c>
      <c r="BF36" s="97" t="s">
        <v>73</v>
      </c>
      <c r="BG36" s="97" t="s">
        <v>73</v>
      </c>
      <c r="BH36" s="97" t="s">
        <v>73</v>
      </c>
      <c r="BI36" s="113">
        <v>1143</v>
      </c>
      <c r="BJ36" s="41">
        <f>BI36</f>
        <v>1143</v>
      </c>
      <c r="BK36" s="96" t="s">
        <v>73</v>
      </c>
      <c r="BL36" s="96" t="s">
        <v>73</v>
      </c>
      <c r="BM36" s="96" t="s">
        <v>73</v>
      </c>
      <c r="BN36" s="96" t="s">
        <v>73</v>
      </c>
      <c r="BO36" s="96" t="s">
        <v>73</v>
      </c>
      <c r="BP36">
        <v>0</v>
      </c>
      <c r="BQ36" s="96" t="s">
        <v>73</v>
      </c>
      <c r="BR36">
        <v>0</v>
      </c>
      <c r="BS36" s="96" t="s">
        <v>73</v>
      </c>
      <c r="BT36" t="s">
        <v>260</v>
      </c>
      <c r="BU36">
        <v>0</v>
      </c>
      <c r="BV36">
        <v>0</v>
      </c>
      <c r="BW36">
        <v>0</v>
      </c>
      <c r="BX36" s="104">
        <f>((AZ36^2)/(AZ36^2+BI36))^(1/2)</f>
        <v>0.32917611569084376</v>
      </c>
      <c r="BY36" s="104">
        <f>0.5*LN((1+BX36)/(1-BX36))</f>
        <v>0.34190396617995006</v>
      </c>
      <c r="BZ36" s="104">
        <f>((1-(BY36^2)^2)/(BI36-1))</f>
        <v>8.6369070253296037E-4</v>
      </c>
      <c r="CA36" s="104">
        <f>1/(BI36-3)</f>
        <v>8.7719298245614037E-4</v>
      </c>
    </row>
    <row r="37" spans="1:16359" ht="16">
      <c r="A37" s="11" t="s">
        <v>350</v>
      </c>
      <c r="B37" s="11"/>
      <c r="C37" s="95">
        <v>1198</v>
      </c>
      <c r="D37" s="96">
        <v>202</v>
      </c>
      <c r="E37" t="s">
        <v>403</v>
      </c>
      <c r="F37" s="95">
        <v>2021</v>
      </c>
      <c r="G37" t="s">
        <v>404</v>
      </c>
      <c r="H37" t="s">
        <v>405</v>
      </c>
      <c r="I37" s="96">
        <v>2</v>
      </c>
      <c r="J37" t="s">
        <v>406</v>
      </c>
      <c r="K37" s="95" t="s">
        <v>73</v>
      </c>
      <c r="L37" s="96">
        <v>8</v>
      </c>
      <c r="M37" t="s">
        <v>120</v>
      </c>
      <c r="N37" t="s">
        <v>269</v>
      </c>
      <c r="O37" t="s">
        <v>256</v>
      </c>
      <c r="P37" t="s">
        <v>73</v>
      </c>
      <c r="Q37" t="s">
        <v>236</v>
      </c>
      <c r="R37" t="s">
        <v>73</v>
      </c>
      <c r="S37" t="s">
        <v>73</v>
      </c>
      <c r="T37" t="s">
        <v>73</v>
      </c>
      <c r="U37" t="s">
        <v>73</v>
      </c>
      <c r="V37" t="s">
        <v>222</v>
      </c>
      <c r="W37" t="s">
        <v>222</v>
      </c>
      <c r="X37" s="95" t="s">
        <v>407</v>
      </c>
      <c r="Y37" s="96">
        <v>0</v>
      </c>
      <c r="Z37" s="96">
        <v>0</v>
      </c>
      <c r="AA37" s="96">
        <v>1</v>
      </c>
      <c r="AB37" s="96">
        <v>0</v>
      </c>
      <c r="AC37" s="96">
        <v>0</v>
      </c>
      <c r="AD37" s="96">
        <v>0</v>
      </c>
      <c r="AE37" s="96">
        <v>0</v>
      </c>
      <c r="AF37" s="96">
        <v>1</v>
      </c>
      <c r="AG37" t="s">
        <v>399</v>
      </c>
      <c r="AH37" s="96">
        <v>0</v>
      </c>
      <c r="AI37" s="96">
        <v>0</v>
      </c>
      <c r="AJ37" s="96">
        <v>0</v>
      </c>
      <c r="AK37" s="96">
        <v>1</v>
      </c>
      <c r="AL37" s="96">
        <v>0</v>
      </c>
      <c r="AM37" s="96">
        <v>0</v>
      </c>
      <c r="AN37" s="96">
        <v>0</v>
      </c>
      <c r="AO37" s="96">
        <v>0</v>
      </c>
      <c r="AP37" s="96">
        <v>0</v>
      </c>
      <c r="AQ37" t="s">
        <v>73</v>
      </c>
      <c r="AR37" t="s">
        <v>239</v>
      </c>
      <c r="AS37" t="s">
        <v>408</v>
      </c>
      <c r="AT37" t="s">
        <v>73</v>
      </c>
      <c r="AU37" s="110">
        <v>0.38400000000000001</v>
      </c>
      <c r="AV37" s="7" t="s">
        <v>80</v>
      </c>
      <c r="AW37" s="110">
        <v>4.0000000000000002E-4</v>
      </c>
      <c r="AX37" s="98">
        <v>0.01</v>
      </c>
      <c r="AY37">
        <v>1</v>
      </c>
      <c r="AZ37" s="94">
        <f>AU37/AW37</f>
        <v>960</v>
      </c>
      <c r="BA37" t="s">
        <v>73</v>
      </c>
      <c r="BC37" s="97" t="s">
        <v>73</v>
      </c>
      <c r="BD37" s="97" t="s">
        <v>73</v>
      </c>
      <c r="BE37" s="97" t="s">
        <v>73</v>
      </c>
      <c r="BF37" s="97" t="s">
        <v>73</v>
      </c>
      <c r="BG37" s="97" t="s">
        <v>73</v>
      </c>
      <c r="BH37" s="97" t="s">
        <v>73</v>
      </c>
      <c r="BI37" s="113">
        <v>1143</v>
      </c>
      <c r="BJ37" s="41">
        <f>BI37</f>
        <v>1143</v>
      </c>
      <c r="BK37" s="96" t="s">
        <v>73</v>
      </c>
      <c r="BL37" s="96" t="s">
        <v>73</v>
      </c>
      <c r="BM37" s="96" t="s">
        <v>73</v>
      </c>
      <c r="BN37" s="96" t="s">
        <v>73</v>
      </c>
      <c r="BO37" s="96" t="s">
        <v>73</v>
      </c>
      <c r="BP37">
        <v>0</v>
      </c>
      <c r="BQ37" s="96" t="s">
        <v>73</v>
      </c>
      <c r="BR37">
        <v>0</v>
      </c>
      <c r="BS37" s="96" t="s">
        <v>73</v>
      </c>
      <c r="BT37" t="s">
        <v>260</v>
      </c>
      <c r="BU37">
        <v>0</v>
      </c>
      <c r="BV37">
        <v>0</v>
      </c>
      <c r="BW37">
        <v>0</v>
      </c>
      <c r="BX37" s="119">
        <f>((AZ37^2)/(AZ37^2+BI37))^(1/2)</f>
        <v>0.99938045903497763</v>
      </c>
      <c r="BY37" s="104">
        <f>0.5*LN((1+BX37)/(1-BX37))</f>
        <v>4.0396845476129251</v>
      </c>
      <c r="BZ37" s="104">
        <f>((1-(BY37^2)^2)/(BI37-1))</f>
        <v>-0.23232174563184291</v>
      </c>
      <c r="CA37" s="104">
        <f>1/(BI37-3)</f>
        <v>8.7719298245614037E-4</v>
      </c>
    </row>
    <row r="38" spans="1:16359" ht="16">
      <c r="A38" s="11" t="s">
        <v>350</v>
      </c>
      <c r="B38" s="11"/>
      <c r="C38" s="95">
        <v>1199</v>
      </c>
      <c r="D38" s="96">
        <v>202</v>
      </c>
      <c r="E38" t="s">
        <v>403</v>
      </c>
      <c r="F38" s="95">
        <v>2021</v>
      </c>
      <c r="G38" t="s">
        <v>404</v>
      </c>
      <c r="H38" t="s">
        <v>405</v>
      </c>
      <c r="I38" s="96">
        <v>2</v>
      </c>
      <c r="J38" t="s">
        <v>406</v>
      </c>
      <c r="K38" s="95" t="s">
        <v>73</v>
      </c>
      <c r="L38" s="96">
        <v>8</v>
      </c>
      <c r="M38" t="s">
        <v>120</v>
      </c>
      <c r="N38" t="s">
        <v>269</v>
      </c>
      <c r="O38" t="s">
        <v>302</v>
      </c>
      <c r="P38" t="s">
        <v>73</v>
      </c>
      <c r="Q38" t="s">
        <v>236</v>
      </c>
      <c r="R38" t="s">
        <v>73</v>
      </c>
      <c r="S38" t="s">
        <v>73</v>
      </c>
      <c r="T38" t="s">
        <v>73</v>
      </c>
      <c r="U38" t="s">
        <v>73</v>
      </c>
      <c r="V38" t="s">
        <v>222</v>
      </c>
      <c r="W38" t="s">
        <v>222</v>
      </c>
      <c r="X38" s="95" t="s">
        <v>407</v>
      </c>
      <c r="Y38" s="96">
        <v>0</v>
      </c>
      <c r="Z38" s="96">
        <v>0</v>
      </c>
      <c r="AA38" s="96">
        <v>1</v>
      </c>
      <c r="AB38" s="96">
        <v>0</v>
      </c>
      <c r="AC38" s="96">
        <v>0</v>
      </c>
      <c r="AD38" s="96">
        <v>0</v>
      </c>
      <c r="AE38" s="96">
        <v>0</v>
      </c>
      <c r="AF38" s="96">
        <v>1</v>
      </c>
      <c r="AG38" t="s">
        <v>399</v>
      </c>
      <c r="AH38" s="96">
        <v>0</v>
      </c>
      <c r="AI38" s="96">
        <v>0</v>
      </c>
      <c r="AJ38" s="96">
        <v>0</v>
      </c>
      <c r="AK38" s="96">
        <v>1</v>
      </c>
      <c r="AL38" s="96">
        <v>0</v>
      </c>
      <c r="AM38" s="96">
        <v>0</v>
      </c>
      <c r="AN38" s="96">
        <v>0</v>
      </c>
      <c r="AO38" s="96">
        <v>0</v>
      </c>
      <c r="AP38" s="96">
        <v>0</v>
      </c>
      <c r="AQ38" t="s">
        <v>73</v>
      </c>
      <c r="AR38" t="s">
        <v>239</v>
      </c>
      <c r="AS38" t="s">
        <v>408</v>
      </c>
      <c r="AT38" t="s">
        <v>73</v>
      </c>
      <c r="AU38" s="110">
        <v>0.188</v>
      </c>
      <c r="AV38" s="7" t="s">
        <v>80</v>
      </c>
      <c r="AW38" s="110">
        <v>6.0000000000000001E-3</v>
      </c>
      <c r="AX38" s="98">
        <v>0.01</v>
      </c>
      <c r="AY38">
        <v>1</v>
      </c>
      <c r="AZ38" s="94">
        <f>AU38/AW38</f>
        <v>31.333333333333332</v>
      </c>
      <c r="BA38" t="s">
        <v>73</v>
      </c>
      <c r="BC38" s="97" t="s">
        <v>73</v>
      </c>
      <c r="BD38" s="97" t="s">
        <v>73</v>
      </c>
      <c r="BE38" s="97" t="s">
        <v>73</v>
      </c>
      <c r="BF38" s="97" t="s">
        <v>73</v>
      </c>
      <c r="BG38" s="97" t="s">
        <v>73</v>
      </c>
      <c r="BH38" s="97" t="s">
        <v>73</v>
      </c>
      <c r="BI38" s="113">
        <v>1143</v>
      </c>
      <c r="BJ38" s="41">
        <f>BI38</f>
        <v>1143</v>
      </c>
      <c r="BK38" s="96" t="s">
        <v>73</v>
      </c>
      <c r="BL38" s="96" t="s">
        <v>73</v>
      </c>
      <c r="BM38" s="96" t="s">
        <v>73</v>
      </c>
      <c r="BN38" s="96" t="s">
        <v>73</v>
      </c>
      <c r="BO38" s="96" t="s">
        <v>73</v>
      </c>
      <c r="BP38">
        <v>0</v>
      </c>
      <c r="BQ38" s="96" t="s">
        <v>73</v>
      </c>
      <c r="BR38">
        <v>0</v>
      </c>
      <c r="BS38" s="96" t="s">
        <v>73</v>
      </c>
      <c r="BT38" t="s">
        <v>260</v>
      </c>
      <c r="BU38">
        <v>0</v>
      </c>
      <c r="BV38">
        <v>0</v>
      </c>
      <c r="BW38">
        <v>0</v>
      </c>
      <c r="BX38" s="119">
        <f>((AZ38^2)/(AZ38^2+BI38))^(1/2)</f>
        <v>0.6797509779625166</v>
      </c>
      <c r="BY38" s="104">
        <f>0.5*LN((1+BX38)/(1-BX38))</f>
        <v>0.8286509734911085</v>
      </c>
      <c r="BZ38" s="104">
        <f>((1-(BY38^2)^2)/(BI38-1))</f>
        <v>4.6277994673218209E-4</v>
      </c>
      <c r="CA38" s="104">
        <f>1/(BI38-3)</f>
        <v>8.7719298245614037E-4</v>
      </c>
    </row>
    <row r="39" spans="1:16359" ht="16">
      <c r="A39" s="11" t="s">
        <v>350</v>
      </c>
      <c r="B39" s="11"/>
      <c r="C39" s="95">
        <v>1200</v>
      </c>
      <c r="D39" s="96">
        <v>202</v>
      </c>
      <c r="E39" t="s">
        <v>403</v>
      </c>
      <c r="F39" s="95">
        <v>2021</v>
      </c>
      <c r="G39" t="s">
        <v>404</v>
      </c>
      <c r="H39" t="s">
        <v>405</v>
      </c>
      <c r="I39" s="96">
        <v>2</v>
      </c>
      <c r="J39" t="s">
        <v>406</v>
      </c>
      <c r="K39" s="95" t="s">
        <v>73</v>
      </c>
      <c r="L39" s="96">
        <v>8</v>
      </c>
      <c r="M39" t="s">
        <v>120</v>
      </c>
      <c r="N39" t="s">
        <v>269</v>
      </c>
      <c r="O39" t="s">
        <v>226</v>
      </c>
      <c r="P39" t="s">
        <v>73</v>
      </c>
      <c r="Q39" t="s">
        <v>236</v>
      </c>
      <c r="R39" t="s">
        <v>73</v>
      </c>
      <c r="S39" t="s">
        <v>73</v>
      </c>
      <c r="T39" t="s">
        <v>73</v>
      </c>
      <c r="U39" t="s">
        <v>73</v>
      </c>
      <c r="V39" t="s">
        <v>222</v>
      </c>
      <c r="W39" t="s">
        <v>222</v>
      </c>
      <c r="X39" s="95" t="s">
        <v>407</v>
      </c>
      <c r="Y39" s="96">
        <v>0</v>
      </c>
      <c r="Z39" s="96">
        <v>0</v>
      </c>
      <c r="AA39" s="96">
        <v>1</v>
      </c>
      <c r="AB39" s="96">
        <v>0</v>
      </c>
      <c r="AC39" s="96">
        <v>0</v>
      </c>
      <c r="AD39" s="96">
        <v>0</v>
      </c>
      <c r="AE39" s="96">
        <v>0</v>
      </c>
      <c r="AF39" s="96">
        <v>1</v>
      </c>
      <c r="AG39" t="s">
        <v>399</v>
      </c>
      <c r="AH39" s="96">
        <v>0</v>
      </c>
      <c r="AI39" s="96">
        <v>0</v>
      </c>
      <c r="AJ39" s="96">
        <v>0</v>
      </c>
      <c r="AK39" s="96">
        <v>1</v>
      </c>
      <c r="AL39" s="96">
        <v>0</v>
      </c>
      <c r="AM39" s="96">
        <v>0</v>
      </c>
      <c r="AN39" s="96">
        <v>0</v>
      </c>
      <c r="AO39" s="96">
        <v>0</v>
      </c>
      <c r="AP39" s="96">
        <v>0</v>
      </c>
      <c r="AQ39" t="s">
        <v>73</v>
      </c>
      <c r="AR39" t="s">
        <v>239</v>
      </c>
      <c r="AS39" t="s">
        <v>408</v>
      </c>
      <c r="AT39" t="s">
        <v>73</v>
      </c>
      <c r="AU39" s="110">
        <v>0.17799999999999999</v>
      </c>
      <c r="AV39" s="7" t="s">
        <v>80</v>
      </c>
      <c r="AW39" s="110">
        <v>4.0000000000000002E-4</v>
      </c>
      <c r="AX39" s="98">
        <v>0.01</v>
      </c>
      <c r="AY39">
        <v>1</v>
      </c>
      <c r="AZ39" s="94">
        <f>AU39/AW39</f>
        <v>444.99999999999994</v>
      </c>
      <c r="BA39" t="s">
        <v>73</v>
      </c>
      <c r="BC39" s="97" t="s">
        <v>73</v>
      </c>
      <c r="BD39" s="97" t="s">
        <v>73</v>
      </c>
      <c r="BE39" s="97" t="s">
        <v>73</v>
      </c>
      <c r="BF39" s="97" t="s">
        <v>73</v>
      </c>
      <c r="BG39" s="97" t="s">
        <v>73</v>
      </c>
      <c r="BH39" s="97" t="s">
        <v>73</v>
      </c>
      <c r="BI39" s="113">
        <v>1143</v>
      </c>
      <c r="BJ39" s="41">
        <f>BI39</f>
        <v>1143</v>
      </c>
      <c r="BK39" s="96" t="s">
        <v>73</v>
      </c>
      <c r="BL39" s="96" t="s">
        <v>73</v>
      </c>
      <c r="BM39" s="96" t="s">
        <v>73</v>
      </c>
      <c r="BN39" s="96" t="s">
        <v>73</v>
      </c>
      <c r="BO39" s="96" t="s">
        <v>73</v>
      </c>
      <c r="BP39">
        <v>0</v>
      </c>
      <c r="BQ39" s="96" t="s">
        <v>73</v>
      </c>
      <c r="BR39">
        <v>0</v>
      </c>
      <c r="BS39" s="96" t="s">
        <v>73</v>
      </c>
      <c r="BT39" t="s">
        <v>260</v>
      </c>
      <c r="BU39">
        <v>0</v>
      </c>
      <c r="BV39">
        <v>0</v>
      </c>
      <c r="BW39">
        <v>0</v>
      </c>
      <c r="BX39" s="119">
        <f>((AZ39^2)/(AZ39^2+BI39))^(1/2)</f>
        <v>0.9971264344531976</v>
      </c>
      <c r="BY39" s="104">
        <f>0.5*LN((1+BX39)/(1-BX39))</f>
        <v>3.2719555170560017</v>
      </c>
      <c r="BZ39" s="104">
        <f>((1-(BY39^2)^2)/(BI39-1))</f>
        <v>-9.9484991759079461E-2</v>
      </c>
      <c r="CA39" s="104">
        <f>1/(BI39-3)</f>
        <v>8.7719298245614037E-4</v>
      </c>
    </row>
    <row r="40" spans="1:16359" ht="16">
      <c r="A40" s="11" t="s">
        <v>350</v>
      </c>
      <c r="B40" s="11"/>
      <c r="C40" s="95">
        <v>1201</v>
      </c>
      <c r="D40" s="96">
        <v>202</v>
      </c>
      <c r="E40" t="s">
        <v>403</v>
      </c>
      <c r="F40" s="95">
        <v>2021</v>
      </c>
      <c r="G40" t="s">
        <v>404</v>
      </c>
      <c r="H40" t="s">
        <v>405</v>
      </c>
      <c r="I40" s="96">
        <v>2</v>
      </c>
      <c r="J40" t="s">
        <v>406</v>
      </c>
      <c r="K40" s="95" t="s">
        <v>73</v>
      </c>
      <c r="L40" s="96">
        <v>8</v>
      </c>
      <c r="M40" t="s">
        <v>120</v>
      </c>
      <c r="N40" t="s">
        <v>269</v>
      </c>
      <c r="O40" t="s">
        <v>409</v>
      </c>
      <c r="P40" t="s">
        <v>73</v>
      </c>
      <c r="Q40" t="s">
        <v>236</v>
      </c>
      <c r="R40" t="s">
        <v>73</v>
      </c>
      <c r="S40" t="s">
        <v>73</v>
      </c>
      <c r="T40" t="s">
        <v>73</v>
      </c>
      <c r="U40" t="s">
        <v>73</v>
      </c>
      <c r="V40" t="s">
        <v>222</v>
      </c>
      <c r="W40" t="s">
        <v>222</v>
      </c>
      <c r="X40" s="95" t="s">
        <v>407</v>
      </c>
      <c r="Y40" s="96">
        <v>0</v>
      </c>
      <c r="Z40" s="96">
        <v>0</v>
      </c>
      <c r="AA40" s="96">
        <v>1</v>
      </c>
      <c r="AB40" s="96">
        <v>0</v>
      </c>
      <c r="AC40" s="96">
        <v>0</v>
      </c>
      <c r="AD40" s="96">
        <v>0</v>
      </c>
      <c r="AE40" s="96">
        <v>0</v>
      </c>
      <c r="AF40" s="96">
        <v>1</v>
      </c>
      <c r="AG40" t="s">
        <v>399</v>
      </c>
      <c r="AH40" s="96">
        <v>0</v>
      </c>
      <c r="AI40" s="96">
        <v>0</v>
      </c>
      <c r="AJ40" s="96">
        <v>0</v>
      </c>
      <c r="AK40" s="96">
        <v>1</v>
      </c>
      <c r="AL40" s="96">
        <v>0</v>
      </c>
      <c r="AM40" s="96">
        <v>0</v>
      </c>
      <c r="AN40" s="96">
        <v>0</v>
      </c>
      <c r="AO40" s="96">
        <v>0</v>
      </c>
      <c r="AP40" s="96">
        <v>0</v>
      </c>
      <c r="AQ40" t="s">
        <v>73</v>
      </c>
      <c r="AR40" t="s">
        <v>239</v>
      </c>
      <c r="AS40" t="s">
        <v>408</v>
      </c>
      <c r="AT40" t="s">
        <v>73</v>
      </c>
      <c r="AU40" s="110">
        <v>0.22500000000000001</v>
      </c>
      <c r="AV40" s="7" t="s">
        <v>80</v>
      </c>
      <c r="AW40" s="110">
        <v>4.0000000000000002E-4</v>
      </c>
      <c r="AX40" s="98">
        <v>0.01</v>
      </c>
      <c r="AY40">
        <v>1</v>
      </c>
      <c r="AZ40" s="94">
        <f>AU40/AW40</f>
        <v>562.5</v>
      </c>
      <c r="BA40" t="s">
        <v>73</v>
      </c>
      <c r="BC40" s="97" t="s">
        <v>73</v>
      </c>
      <c r="BD40" s="97" t="s">
        <v>73</v>
      </c>
      <c r="BE40" s="97" t="s">
        <v>73</v>
      </c>
      <c r="BF40" s="97" t="s">
        <v>73</v>
      </c>
      <c r="BG40" s="97" t="s">
        <v>73</v>
      </c>
      <c r="BH40" s="97" t="s">
        <v>73</v>
      </c>
      <c r="BI40" s="113">
        <v>1143</v>
      </c>
      <c r="BJ40" s="41">
        <f>BI40</f>
        <v>1143</v>
      </c>
      <c r="BK40" s="96" t="s">
        <v>73</v>
      </c>
      <c r="BL40" s="96" t="s">
        <v>73</v>
      </c>
      <c r="BM40" s="96" t="s">
        <v>73</v>
      </c>
      <c r="BN40" s="96" t="s">
        <v>73</v>
      </c>
      <c r="BO40" s="96" t="s">
        <v>73</v>
      </c>
      <c r="BP40">
        <v>0</v>
      </c>
      <c r="BQ40" s="96" t="s">
        <v>73</v>
      </c>
      <c r="BR40">
        <v>0</v>
      </c>
      <c r="BS40" s="96" t="s">
        <v>73</v>
      </c>
      <c r="BT40" t="s">
        <v>260</v>
      </c>
      <c r="BU40">
        <v>0</v>
      </c>
      <c r="BV40">
        <v>0</v>
      </c>
      <c r="BW40">
        <v>0</v>
      </c>
      <c r="BX40" s="119">
        <f>((AZ40^2)/(AZ40^2+BI40))^(1/2)</f>
        <v>0.99819865675054298</v>
      </c>
      <c r="BY40" s="104">
        <f>0.5*LN((1+BX40)/(1-BX40))</f>
        <v>3.5057343728871753</v>
      </c>
      <c r="BZ40" s="104">
        <f>((1-(BY40^2)^2)/(BI40-1))</f>
        <v>-0.13139086207881251</v>
      </c>
      <c r="CA40" s="104">
        <f>1/(BI40-3)</f>
        <v>8.7719298245614037E-4</v>
      </c>
    </row>
    <row r="41" spans="1:16359" ht="16">
      <c r="A41" s="11" t="s">
        <v>350</v>
      </c>
      <c r="B41" s="11"/>
      <c r="C41" s="95">
        <v>1202</v>
      </c>
      <c r="D41" s="96">
        <v>202</v>
      </c>
      <c r="E41" t="s">
        <v>403</v>
      </c>
      <c r="F41" s="95">
        <v>2021</v>
      </c>
      <c r="G41" t="s">
        <v>404</v>
      </c>
      <c r="H41" t="s">
        <v>405</v>
      </c>
      <c r="I41" s="96">
        <v>2</v>
      </c>
      <c r="J41" t="s">
        <v>406</v>
      </c>
      <c r="K41" s="95" t="s">
        <v>73</v>
      </c>
      <c r="L41" s="96">
        <v>8</v>
      </c>
      <c r="M41" t="s">
        <v>120</v>
      </c>
      <c r="N41" t="s">
        <v>269</v>
      </c>
      <c r="O41" t="s">
        <v>410</v>
      </c>
      <c r="P41" t="s">
        <v>73</v>
      </c>
      <c r="Q41" t="s">
        <v>236</v>
      </c>
      <c r="R41" t="s">
        <v>73</v>
      </c>
      <c r="S41" t="s">
        <v>73</v>
      </c>
      <c r="T41" t="s">
        <v>73</v>
      </c>
      <c r="U41" t="s">
        <v>73</v>
      </c>
      <c r="V41" t="s">
        <v>222</v>
      </c>
      <c r="W41" t="s">
        <v>222</v>
      </c>
      <c r="X41" s="95" t="s">
        <v>407</v>
      </c>
      <c r="Y41" s="96">
        <v>0</v>
      </c>
      <c r="Z41" s="96">
        <v>0</v>
      </c>
      <c r="AA41" s="96">
        <v>1</v>
      </c>
      <c r="AB41" s="96">
        <v>0</v>
      </c>
      <c r="AC41" s="96">
        <v>0</v>
      </c>
      <c r="AD41" s="96">
        <v>0</v>
      </c>
      <c r="AE41" s="96">
        <v>0</v>
      </c>
      <c r="AF41" s="96">
        <v>1</v>
      </c>
      <c r="AG41" t="s">
        <v>399</v>
      </c>
      <c r="AH41" s="96">
        <v>0</v>
      </c>
      <c r="AI41" s="96">
        <v>0</v>
      </c>
      <c r="AJ41" s="96">
        <v>0</v>
      </c>
      <c r="AK41" s="96">
        <v>1</v>
      </c>
      <c r="AL41" s="96">
        <v>0</v>
      </c>
      <c r="AM41" s="96">
        <v>0</v>
      </c>
      <c r="AN41" s="96">
        <v>0</v>
      </c>
      <c r="AO41" s="96">
        <v>0</v>
      </c>
      <c r="AP41" s="96">
        <v>0</v>
      </c>
      <c r="AQ41" t="s">
        <v>73</v>
      </c>
      <c r="AR41" t="s">
        <v>239</v>
      </c>
      <c r="AS41" t="s">
        <v>408</v>
      </c>
      <c r="AT41" t="s">
        <v>73</v>
      </c>
      <c r="AU41" s="110">
        <v>0.217</v>
      </c>
      <c r="AV41" s="7" t="s">
        <v>80</v>
      </c>
      <c r="AW41" s="110">
        <v>1.0999999999999999E-2</v>
      </c>
      <c r="AX41" s="98">
        <v>0.05</v>
      </c>
      <c r="AY41">
        <v>1</v>
      </c>
      <c r="AZ41" s="94">
        <f>AU41/AW41</f>
        <v>19.727272727272727</v>
      </c>
      <c r="BA41" t="s">
        <v>73</v>
      </c>
      <c r="BC41" s="97" t="s">
        <v>73</v>
      </c>
      <c r="BD41" s="97" t="s">
        <v>73</v>
      </c>
      <c r="BE41" s="97" t="s">
        <v>73</v>
      </c>
      <c r="BF41" s="97" t="s">
        <v>73</v>
      </c>
      <c r="BG41" s="97" t="s">
        <v>73</v>
      </c>
      <c r="BH41" s="97" t="s">
        <v>73</v>
      </c>
      <c r="BI41" s="113">
        <v>1143</v>
      </c>
      <c r="BJ41" s="41">
        <f>BI41</f>
        <v>1143</v>
      </c>
      <c r="BK41" s="96" t="s">
        <v>73</v>
      </c>
      <c r="BL41" s="96" t="s">
        <v>73</v>
      </c>
      <c r="BM41" s="96" t="s">
        <v>73</v>
      </c>
      <c r="BN41" s="96" t="s">
        <v>73</v>
      </c>
      <c r="BO41" s="96" t="s">
        <v>73</v>
      </c>
      <c r="BP41">
        <v>0</v>
      </c>
      <c r="BQ41" s="96" t="s">
        <v>73</v>
      </c>
      <c r="BR41">
        <v>0</v>
      </c>
      <c r="BS41" s="96" t="s">
        <v>73</v>
      </c>
      <c r="BT41" t="s">
        <v>260</v>
      </c>
      <c r="BU41">
        <v>0</v>
      </c>
      <c r="BV41">
        <v>0</v>
      </c>
      <c r="BW41">
        <v>0</v>
      </c>
      <c r="BX41" s="119">
        <f>((AZ41^2)/(AZ41^2+BI41))^(1/2)</f>
        <v>0.50398108716659962</v>
      </c>
      <c r="BY41" s="104">
        <f>0.5*LN((1+BX41)/(1-BX41))</f>
        <v>0.55462843634902004</v>
      </c>
      <c r="BZ41" s="104">
        <f>((1-(BY41^2)^2)/(BI41-1))</f>
        <v>7.9279722006820284E-4</v>
      </c>
      <c r="CA41" s="104">
        <f>1/(BI41-3)</f>
        <v>8.7719298245614037E-4</v>
      </c>
    </row>
    <row r="42" spans="1:16359" ht="16">
      <c r="A42" s="11" t="s">
        <v>350</v>
      </c>
      <c r="B42" s="11"/>
      <c r="C42" s="95">
        <v>1203</v>
      </c>
      <c r="D42" s="96">
        <v>202</v>
      </c>
      <c r="E42" t="s">
        <v>403</v>
      </c>
      <c r="F42" s="95">
        <v>2021</v>
      </c>
      <c r="G42" t="s">
        <v>404</v>
      </c>
      <c r="H42" t="s">
        <v>405</v>
      </c>
      <c r="I42" s="96">
        <v>2</v>
      </c>
      <c r="J42" t="s">
        <v>406</v>
      </c>
      <c r="K42" s="95" t="s">
        <v>73</v>
      </c>
      <c r="L42" s="96">
        <v>8</v>
      </c>
      <c r="M42" t="s">
        <v>120</v>
      </c>
      <c r="N42" t="s">
        <v>269</v>
      </c>
      <c r="O42" t="s">
        <v>411</v>
      </c>
      <c r="P42" t="s">
        <v>73</v>
      </c>
      <c r="Q42" t="s">
        <v>236</v>
      </c>
      <c r="R42" t="s">
        <v>73</v>
      </c>
      <c r="S42" t="s">
        <v>73</v>
      </c>
      <c r="T42" t="s">
        <v>73</v>
      </c>
      <c r="U42" t="s">
        <v>73</v>
      </c>
      <c r="V42" t="s">
        <v>222</v>
      </c>
      <c r="W42" t="s">
        <v>222</v>
      </c>
      <c r="X42" s="95" t="s">
        <v>407</v>
      </c>
      <c r="Y42" s="96">
        <v>0</v>
      </c>
      <c r="Z42" s="96">
        <v>0</v>
      </c>
      <c r="AA42" s="96">
        <v>1</v>
      </c>
      <c r="AB42" s="96">
        <v>0</v>
      </c>
      <c r="AC42" s="96">
        <v>0</v>
      </c>
      <c r="AD42" s="96">
        <v>0</v>
      </c>
      <c r="AE42" s="96">
        <v>0</v>
      </c>
      <c r="AF42" s="96">
        <v>1</v>
      </c>
      <c r="AG42" t="s">
        <v>399</v>
      </c>
      <c r="AH42" s="96">
        <v>0</v>
      </c>
      <c r="AI42" s="96">
        <v>0</v>
      </c>
      <c r="AJ42" s="96">
        <v>0</v>
      </c>
      <c r="AK42" s="96">
        <v>1</v>
      </c>
      <c r="AL42" s="96">
        <v>0</v>
      </c>
      <c r="AM42" s="96">
        <v>0</v>
      </c>
      <c r="AN42" s="96">
        <v>0</v>
      </c>
      <c r="AO42" s="96">
        <v>0</v>
      </c>
      <c r="AP42" s="96">
        <v>0</v>
      </c>
      <c r="AQ42" t="s">
        <v>73</v>
      </c>
      <c r="AR42" t="s">
        <v>239</v>
      </c>
      <c r="AS42" t="s">
        <v>408</v>
      </c>
      <c r="AT42" t="s">
        <v>73</v>
      </c>
      <c r="AU42" s="110">
        <v>0.32900000000000001</v>
      </c>
      <c r="AV42" s="7" t="s">
        <v>80</v>
      </c>
      <c r="AW42" s="110">
        <v>1E-3</v>
      </c>
      <c r="AX42" s="98">
        <v>0.01</v>
      </c>
      <c r="AY42">
        <v>1</v>
      </c>
      <c r="AZ42" s="94">
        <f>AU42/AW42</f>
        <v>329</v>
      </c>
      <c r="BA42" t="s">
        <v>73</v>
      </c>
      <c r="BC42" s="97" t="s">
        <v>73</v>
      </c>
      <c r="BD42" s="97" t="s">
        <v>73</v>
      </c>
      <c r="BE42" s="97" t="s">
        <v>73</v>
      </c>
      <c r="BF42" s="97" t="s">
        <v>73</v>
      </c>
      <c r="BG42" s="97" t="s">
        <v>73</v>
      </c>
      <c r="BH42" s="97" t="s">
        <v>73</v>
      </c>
      <c r="BI42" s="113">
        <v>1143</v>
      </c>
      <c r="BJ42" s="41">
        <f>BI42</f>
        <v>1143</v>
      </c>
      <c r="BK42" s="96" t="s">
        <v>73</v>
      </c>
      <c r="BL42" s="96" t="s">
        <v>73</v>
      </c>
      <c r="BM42" s="96" t="s">
        <v>73</v>
      </c>
      <c r="BN42" s="96" t="s">
        <v>73</v>
      </c>
      <c r="BO42" s="96" t="s">
        <v>73</v>
      </c>
      <c r="BP42">
        <v>0</v>
      </c>
      <c r="BQ42" s="96" t="s">
        <v>73</v>
      </c>
      <c r="BR42">
        <v>0</v>
      </c>
      <c r="BS42" s="96" t="s">
        <v>73</v>
      </c>
      <c r="BT42" t="s">
        <v>260</v>
      </c>
      <c r="BU42">
        <v>0</v>
      </c>
      <c r="BV42">
        <v>0</v>
      </c>
      <c r="BW42">
        <v>0</v>
      </c>
      <c r="BX42" s="119">
        <f>((AZ42^2)/(AZ42^2+BI42))^(1/2)</f>
        <v>0.99476156646916469</v>
      </c>
      <c r="BY42" s="104">
        <f>0.5*LN((1+BX42)/(1-BX42))</f>
        <v>2.9711286487420243</v>
      </c>
      <c r="BZ42" s="104">
        <f>((1-(BY42^2)^2)/(BI42-1))</f>
        <v>-6.736131167647591E-2</v>
      </c>
      <c r="CA42" s="104">
        <f>1/(BI42-3)</f>
        <v>8.7719298245614037E-4</v>
      </c>
    </row>
    <row r="43" spans="1:16359" ht="16">
      <c r="A43" s="11" t="s">
        <v>350</v>
      </c>
      <c r="B43" s="11"/>
      <c r="C43" s="95">
        <v>1204</v>
      </c>
      <c r="D43" s="96">
        <v>202</v>
      </c>
      <c r="E43" t="s">
        <v>403</v>
      </c>
      <c r="F43" s="95">
        <v>2021</v>
      </c>
      <c r="G43" t="s">
        <v>404</v>
      </c>
      <c r="H43" t="s">
        <v>405</v>
      </c>
      <c r="I43" s="96">
        <v>2</v>
      </c>
      <c r="J43" t="s">
        <v>406</v>
      </c>
      <c r="K43" s="95" t="s">
        <v>73</v>
      </c>
      <c r="L43" s="96">
        <v>8</v>
      </c>
      <c r="M43" t="s">
        <v>120</v>
      </c>
      <c r="N43" t="s">
        <v>269</v>
      </c>
      <c r="O43" t="s">
        <v>138</v>
      </c>
      <c r="P43" t="s">
        <v>73</v>
      </c>
      <c r="Q43" t="s">
        <v>236</v>
      </c>
      <c r="R43" t="s">
        <v>73</v>
      </c>
      <c r="S43" t="s">
        <v>73</v>
      </c>
      <c r="T43" t="s">
        <v>73</v>
      </c>
      <c r="U43" t="s">
        <v>73</v>
      </c>
      <c r="V43" t="s">
        <v>222</v>
      </c>
      <c r="W43" t="s">
        <v>222</v>
      </c>
      <c r="X43" s="95" t="s">
        <v>407</v>
      </c>
      <c r="Y43" s="96">
        <v>0</v>
      </c>
      <c r="Z43" s="96">
        <v>0</v>
      </c>
      <c r="AA43" s="96">
        <v>1</v>
      </c>
      <c r="AB43" s="96">
        <v>0</v>
      </c>
      <c r="AC43" s="96">
        <v>0</v>
      </c>
      <c r="AD43" s="96">
        <v>0</v>
      </c>
      <c r="AE43" s="96">
        <v>0</v>
      </c>
      <c r="AF43" s="96">
        <v>1</v>
      </c>
      <c r="AG43" t="s">
        <v>399</v>
      </c>
      <c r="AH43" s="96">
        <v>0</v>
      </c>
      <c r="AI43" s="96">
        <v>0</v>
      </c>
      <c r="AJ43" s="96">
        <v>0</v>
      </c>
      <c r="AK43" s="96">
        <v>1</v>
      </c>
      <c r="AL43" s="96">
        <v>0</v>
      </c>
      <c r="AM43" s="96">
        <v>0</v>
      </c>
      <c r="AN43" s="96">
        <v>0</v>
      </c>
      <c r="AO43" s="96">
        <v>0</v>
      </c>
      <c r="AP43" s="96">
        <v>0</v>
      </c>
      <c r="AQ43" t="s">
        <v>73</v>
      </c>
      <c r="AR43" t="s">
        <v>239</v>
      </c>
      <c r="AS43" t="s">
        <v>408</v>
      </c>
      <c r="AT43" t="s">
        <v>73</v>
      </c>
      <c r="AU43" s="110">
        <v>0.152</v>
      </c>
      <c r="AV43" s="7" t="s">
        <v>80</v>
      </c>
      <c r="AW43" s="110">
        <v>0.107</v>
      </c>
      <c r="AX43" s="98">
        <v>0.1</v>
      </c>
      <c r="AY43">
        <v>2</v>
      </c>
      <c r="AZ43" s="94">
        <f>AU43/AW43</f>
        <v>1.4205607476635513</v>
      </c>
      <c r="BA43" t="s">
        <v>73</v>
      </c>
      <c r="BC43" s="97" t="s">
        <v>73</v>
      </c>
      <c r="BD43" s="97" t="s">
        <v>73</v>
      </c>
      <c r="BE43" s="97" t="s">
        <v>73</v>
      </c>
      <c r="BF43" s="97" t="s">
        <v>73</v>
      </c>
      <c r="BG43" s="97" t="s">
        <v>73</v>
      </c>
      <c r="BH43" s="97" t="s">
        <v>73</v>
      </c>
      <c r="BI43" s="113">
        <v>1143</v>
      </c>
      <c r="BJ43" s="41">
        <f>BI43</f>
        <v>1143</v>
      </c>
      <c r="BK43" s="96" t="s">
        <v>73</v>
      </c>
      <c r="BL43" s="96" t="s">
        <v>73</v>
      </c>
      <c r="BM43" s="96" t="s">
        <v>73</v>
      </c>
      <c r="BN43" s="96" t="s">
        <v>73</v>
      </c>
      <c r="BO43" s="96" t="s">
        <v>73</v>
      </c>
      <c r="BP43">
        <v>0</v>
      </c>
      <c r="BQ43" s="96" t="s">
        <v>73</v>
      </c>
      <c r="BR43">
        <v>0</v>
      </c>
      <c r="BS43" s="96" t="s">
        <v>73</v>
      </c>
      <c r="BT43" t="s">
        <v>260</v>
      </c>
      <c r="BU43">
        <v>0</v>
      </c>
      <c r="BV43">
        <v>0</v>
      </c>
      <c r="BW43">
        <v>0</v>
      </c>
      <c r="BX43" s="119">
        <f>((AZ43^2)/(AZ43^2+BI43))^(1/2)</f>
        <v>4.1981084605393931E-2</v>
      </c>
      <c r="BY43" s="104">
        <f>0.5*LN((1+BX43)/(1-BX43))</f>
        <v>4.2005773365978882E-2</v>
      </c>
      <c r="BZ43" s="104">
        <f>((1-(BY43^2)^2)/(BI43-1))</f>
        <v>8.7565401628082187E-4</v>
      </c>
      <c r="CA43" s="104">
        <f>1/(BI43-3)</f>
        <v>8.7719298245614037E-4</v>
      </c>
    </row>
    <row r="44" spans="1:16359" ht="16">
      <c r="A44" s="11" t="s">
        <v>350</v>
      </c>
      <c r="B44" s="11"/>
      <c r="C44" s="95">
        <v>1205</v>
      </c>
      <c r="D44" s="96">
        <v>203</v>
      </c>
      <c r="E44" t="s">
        <v>412</v>
      </c>
      <c r="F44" s="95">
        <v>2021</v>
      </c>
      <c r="G44" t="s">
        <v>413</v>
      </c>
      <c r="H44" t="s">
        <v>414</v>
      </c>
      <c r="I44" s="96">
        <v>2</v>
      </c>
      <c r="J44" t="s">
        <v>415</v>
      </c>
      <c r="K44" s="95" t="s">
        <v>73</v>
      </c>
      <c r="L44" s="96">
        <v>5</v>
      </c>
      <c r="M44" s="96" t="s">
        <v>120</v>
      </c>
      <c r="N44" s="96" t="s">
        <v>269</v>
      </c>
      <c r="O44" t="s">
        <v>280</v>
      </c>
      <c r="P44" s="96" t="s">
        <v>73</v>
      </c>
      <c r="Q44" t="s">
        <v>73</v>
      </c>
      <c r="R44" t="s">
        <v>73</v>
      </c>
      <c r="S44" t="s">
        <v>73</v>
      </c>
      <c r="T44" t="s">
        <v>73</v>
      </c>
      <c r="U44" t="s">
        <v>73</v>
      </c>
      <c r="V44" s="111" t="s">
        <v>244</v>
      </c>
      <c r="W44" s="111" t="s">
        <v>222</v>
      </c>
      <c r="X44" s="114" t="s">
        <v>416</v>
      </c>
      <c r="Y44" s="96">
        <v>0</v>
      </c>
      <c r="Z44" s="96">
        <v>0</v>
      </c>
      <c r="AA44" s="96">
        <v>1</v>
      </c>
      <c r="AB44" s="96">
        <v>0</v>
      </c>
      <c r="AC44" s="96">
        <v>0</v>
      </c>
      <c r="AD44" s="96">
        <v>0</v>
      </c>
      <c r="AE44" s="96">
        <v>0</v>
      </c>
      <c r="AF44" s="96">
        <v>0</v>
      </c>
      <c r="AG44" t="s">
        <v>417</v>
      </c>
      <c r="AH44" s="96">
        <v>0</v>
      </c>
      <c r="AI44" s="96">
        <v>0</v>
      </c>
      <c r="AJ44" s="96">
        <v>0</v>
      </c>
      <c r="AK44" s="96">
        <v>1</v>
      </c>
      <c r="AL44" s="96">
        <v>0</v>
      </c>
      <c r="AM44" s="96">
        <v>0</v>
      </c>
      <c r="AN44" s="96">
        <v>0</v>
      </c>
      <c r="AO44" s="96">
        <v>0</v>
      </c>
      <c r="AP44" s="96">
        <v>0</v>
      </c>
      <c r="AQ44" t="s">
        <v>73</v>
      </c>
      <c r="AR44" t="s">
        <v>239</v>
      </c>
      <c r="AS44" t="s">
        <v>418</v>
      </c>
      <c r="AT44" t="s">
        <v>73</v>
      </c>
      <c r="AU44" s="110">
        <v>0.27960000000000002</v>
      </c>
      <c r="AV44" s="7" t="s">
        <v>86</v>
      </c>
      <c r="AW44" s="110">
        <v>6.9599999999999995E-2</v>
      </c>
      <c r="AX44" s="98">
        <v>1E-3</v>
      </c>
      <c r="AY44">
        <v>1</v>
      </c>
      <c r="AZ44" s="98">
        <f>AU44/AW44</f>
        <v>4.0172413793103452</v>
      </c>
      <c r="BA44" t="s">
        <v>73</v>
      </c>
      <c r="BC44" s="97" t="s">
        <v>73</v>
      </c>
      <c r="BD44" s="97" t="s">
        <v>73</v>
      </c>
      <c r="BE44" s="97" t="s">
        <v>73</v>
      </c>
      <c r="BF44" s="97" t="s">
        <v>73</v>
      </c>
      <c r="BG44" s="97" t="s">
        <v>73</v>
      </c>
      <c r="BH44" s="97" t="s">
        <v>73</v>
      </c>
      <c r="BI44" s="96">
        <v>1301</v>
      </c>
      <c r="BJ44">
        <f>BI44</f>
        <v>1301</v>
      </c>
      <c r="BK44" s="96" t="s">
        <v>73</v>
      </c>
      <c r="BL44" s="96" t="s">
        <v>73</v>
      </c>
      <c r="BM44" s="96" t="s">
        <v>73</v>
      </c>
      <c r="BN44" s="96" t="s">
        <v>73</v>
      </c>
      <c r="BO44" s="96" t="s">
        <v>73</v>
      </c>
      <c r="BP44">
        <v>0</v>
      </c>
      <c r="BQ44" s="96" t="s">
        <v>73</v>
      </c>
      <c r="BR44">
        <v>0</v>
      </c>
      <c r="BS44" s="96" t="s">
        <v>73</v>
      </c>
      <c r="BT44" t="s">
        <v>315</v>
      </c>
      <c r="BU44">
        <v>0</v>
      </c>
      <c r="BV44">
        <v>0</v>
      </c>
      <c r="BW44">
        <v>0</v>
      </c>
      <c r="BX44" s="119">
        <f>((AZ44^2)/(AZ44^2+BI44))^(1/2)</f>
        <v>0.11069098448260768</v>
      </c>
      <c r="BY44" s="104">
        <f>0.5*LN((1+BX44)/(1-BX44))</f>
        <v>0.11114641752432197</v>
      </c>
      <c r="BZ44" s="104">
        <f>((1-(BY44^2)^2)/(BI44-1))</f>
        <v>7.6911337722476367E-4</v>
      </c>
      <c r="CA44" s="104">
        <f>1/(BI44-3)</f>
        <v>7.7041602465331282E-4</v>
      </c>
    </row>
    <row r="45" spans="1:16359" ht="16">
      <c r="A45" s="11" t="s">
        <v>350</v>
      </c>
      <c r="B45" s="11"/>
      <c r="C45" s="95">
        <v>1206</v>
      </c>
      <c r="D45" s="96">
        <v>203</v>
      </c>
      <c r="E45" t="s">
        <v>412</v>
      </c>
      <c r="F45" s="95">
        <v>2021</v>
      </c>
      <c r="G45" t="s">
        <v>413</v>
      </c>
      <c r="H45" t="s">
        <v>414</v>
      </c>
      <c r="I45" s="96">
        <v>2</v>
      </c>
      <c r="J45" t="s">
        <v>415</v>
      </c>
      <c r="K45" s="95" t="s">
        <v>73</v>
      </c>
      <c r="L45" s="96">
        <v>5</v>
      </c>
      <c r="M45" s="96" t="s">
        <v>120</v>
      </c>
      <c r="N45" s="96" t="s">
        <v>269</v>
      </c>
      <c r="O45" t="s">
        <v>280</v>
      </c>
      <c r="P45" s="96" t="s">
        <v>73</v>
      </c>
      <c r="Q45" t="s">
        <v>73</v>
      </c>
      <c r="R45" t="s">
        <v>73</v>
      </c>
      <c r="S45" t="s">
        <v>73</v>
      </c>
      <c r="T45" t="s">
        <v>73</v>
      </c>
      <c r="U45" t="s">
        <v>73</v>
      </c>
      <c r="V45" s="111" t="s">
        <v>244</v>
      </c>
      <c r="W45" s="111" t="s">
        <v>222</v>
      </c>
      <c r="X45" s="114" t="s">
        <v>416</v>
      </c>
      <c r="Y45" s="96">
        <v>0</v>
      </c>
      <c r="Z45" s="96">
        <v>0</v>
      </c>
      <c r="AA45" s="96">
        <v>1</v>
      </c>
      <c r="AB45" s="96">
        <v>0</v>
      </c>
      <c r="AC45" s="96">
        <v>0</v>
      </c>
      <c r="AD45" s="96">
        <v>0</v>
      </c>
      <c r="AE45" s="96">
        <v>0</v>
      </c>
      <c r="AF45" s="96">
        <v>0</v>
      </c>
      <c r="AG45" t="s">
        <v>417</v>
      </c>
      <c r="AH45" s="96">
        <v>0</v>
      </c>
      <c r="AI45" s="96">
        <v>0</v>
      </c>
      <c r="AJ45" s="96">
        <v>0</v>
      </c>
      <c r="AK45" s="96">
        <v>1</v>
      </c>
      <c r="AL45" s="96">
        <v>0</v>
      </c>
      <c r="AM45" s="96">
        <v>0</v>
      </c>
      <c r="AN45" s="96">
        <v>0</v>
      </c>
      <c r="AO45" s="96">
        <v>0</v>
      </c>
      <c r="AP45" s="96">
        <v>0</v>
      </c>
      <c r="AQ45" t="s">
        <v>73</v>
      </c>
      <c r="AR45" t="s">
        <v>239</v>
      </c>
      <c r="AS45" t="s">
        <v>418</v>
      </c>
      <c r="AT45" t="s">
        <v>73</v>
      </c>
      <c r="AU45" s="110">
        <v>4.5100000000000001E-2</v>
      </c>
      <c r="AV45" s="7" t="s">
        <v>86</v>
      </c>
      <c r="AW45" s="110">
        <v>0.1074</v>
      </c>
      <c r="AX45" s="98">
        <v>0.1</v>
      </c>
      <c r="AY45">
        <v>2</v>
      </c>
      <c r="AZ45" s="98">
        <f>AU45/AW45</f>
        <v>0.41992551210428308</v>
      </c>
      <c r="BA45" t="s">
        <v>73</v>
      </c>
      <c r="BC45" s="97" t="s">
        <v>73</v>
      </c>
      <c r="BD45" s="97" t="s">
        <v>73</v>
      </c>
      <c r="BE45" s="97" t="s">
        <v>73</v>
      </c>
      <c r="BF45" s="97" t="s">
        <v>73</v>
      </c>
      <c r="BG45" s="97" t="s">
        <v>73</v>
      </c>
      <c r="BH45" s="97" t="s">
        <v>73</v>
      </c>
      <c r="BI45" s="96">
        <v>1002</v>
      </c>
      <c r="BJ45">
        <f>BI45</f>
        <v>1002</v>
      </c>
      <c r="BK45" s="96" t="s">
        <v>73</v>
      </c>
      <c r="BL45" s="96" t="s">
        <v>73</v>
      </c>
      <c r="BM45" s="96" t="s">
        <v>73</v>
      </c>
      <c r="BN45" s="96" t="s">
        <v>73</v>
      </c>
      <c r="BO45" s="96" t="s">
        <v>73</v>
      </c>
      <c r="BP45">
        <v>0</v>
      </c>
      <c r="BQ45" s="96" t="s">
        <v>73</v>
      </c>
      <c r="BR45">
        <v>0</v>
      </c>
      <c r="BS45" s="96" t="s">
        <v>73</v>
      </c>
      <c r="BT45" t="s">
        <v>315</v>
      </c>
      <c r="BU45">
        <v>0</v>
      </c>
      <c r="BV45">
        <v>0</v>
      </c>
      <c r="BW45">
        <v>0</v>
      </c>
      <c r="BX45" s="104">
        <f>((AZ45^2)/(AZ45^2+BI45))^(1/2)</f>
        <v>1.3264784180382344E-2</v>
      </c>
      <c r="BY45" s="104">
        <f>0.5*LN((1+BX45)/(1-BX45))</f>
        <v>1.326556226201467E-2</v>
      </c>
      <c r="BZ45" s="104">
        <f>((1-(BY45^2)^2)/(BI45-1))</f>
        <v>9.9900096806468473E-4</v>
      </c>
      <c r="CA45" s="104">
        <f>1/(BI45-3)</f>
        <v>1.001001001001001E-3</v>
      </c>
    </row>
    <row r="46" spans="1:16359" ht="16">
      <c r="A46" s="11" t="s">
        <v>350</v>
      </c>
      <c r="B46" s="11"/>
      <c r="C46" s="95">
        <v>1207</v>
      </c>
      <c r="D46" s="96">
        <v>203</v>
      </c>
      <c r="E46" t="s">
        <v>412</v>
      </c>
      <c r="F46" s="95">
        <v>2021</v>
      </c>
      <c r="G46" t="s">
        <v>413</v>
      </c>
      <c r="H46" t="s">
        <v>414</v>
      </c>
      <c r="I46" s="96">
        <v>2</v>
      </c>
      <c r="J46" t="s">
        <v>415</v>
      </c>
      <c r="K46" s="95" t="s">
        <v>73</v>
      </c>
      <c r="L46" s="96">
        <v>5</v>
      </c>
      <c r="M46" s="96" t="s">
        <v>120</v>
      </c>
      <c r="N46" s="96" t="s">
        <v>269</v>
      </c>
      <c r="O46" t="s">
        <v>280</v>
      </c>
      <c r="P46" s="96" t="s">
        <v>73</v>
      </c>
      <c r="Q46" t="s">
        <v>73</v>
      </c>
      <c r="R46" t="s">
        <v>73</v>
      </c>
      <c r="S46" t="s">
        <v>73</v>
      </c>
      <c r="T46" t="s">
        <v>73</v>
      </c>
      <c r="U46" t="s">
        <v>73</v>
      </c>
      <c r="V46" s="111" t="s">
        <v>244</v>
      </c>
      <c r="W46" s="111" t="s">
        <v>222</v>
      </c>
      <c r="X46" s="114" t="s">
        <v>416</v>
      </c>
      <c r="Y46" s="96">
        <v>0</v>
      </c>
      <c r="Z46" s="96">
        <v>0</v>
      </c>
      <c r="AA46" s="96">
        <v>1</v>
      </c>
      <c r="AB46" s="96">
        <v>0</v>
      </c>
      <c r="AC46" s="96">
        <v>0</v>
      </c>
      <c r="AD46" s="96">
        <v>0</v>
      </c>
      <c r="AE46" s="96">
        <v>0</v>
      </c>
      <c r="AF46" s="96">
        <v>0</v>
      </c>
      <c r="AG46" t="s">
        <v>417</v>
      </c>
      <c r="AH46" s="96">
        <v>0</v>
      </c>
      <c r="AI46" s="96">
        <v>0</v>
      </c>
      <c r="AJ46" s="96">
        <v>0</v>
      </c>
      <c r="AK46" s="96">
        <v>1</v>
      </c>
      <c r="AL46" s="96">
        <v>0</v>
      </c>
      <c r="AM46" s="96">
        <v>0</v>
      </c>
      <c r="AN46" s="96">
        <v>0</v>
      </c>
      <c r="AO46" s="96">
        <v>0</v>
      </c>
      <c r="AP46" s="96">
        <v>0</v>
      </c>
      <c r="AQ46" t="s">
        <v>73</v>
      </c>
      <c r="AR46" t="s">
        <v>239</v>
      </c>
      <c r="AS46" t="s">
        <v>418</v>
      </c>
      <c r="AT46" t="s">
        <v>73</v>
      </c>
      <c r="AU46" s="110">
        <v>0.33500000000000002</v>
      </c>
      <c r="AV46" s="7" t="s">
        <v>80</v>
      </c>
      <c r="AW46" s="110">
        <v>0.14960000000000001</v>
      </c>
      <c r="AX46" s="98">
        <v>0.05</v>
      </c>
      <c r="AY46">
        <v>1</v>
      </c>
      <c r="AZ46" s="98">
        <f>AU46/AW46</f>
        <v>2.2393048128342246</v>
      </c>
      <c r="BA46" t="s">
        <v>73</v>
      </c>
      <c r="BC46" s="97" t="s">
        <v>73</v>
      </c>
      <c r="BD46" s="97" t="s">
        <v>73</v>
      </c>
      <c r="BE46" s="97" t="s">
        <v>73</v>
      </c>
      <c r="BF46" s="97" t="s">
        <v>73</v>
      </c>
      <c r="BG46" s="97" t="s">
        <v>73</v>
      </c>
      <c r="BH46" s="97" t="s">
        <v>73</v>
      </c>
      <c r="BI46" s="96">
        <v>326</v>
      </c>
      <c r="BJ46">
        <f>BI46</f>
        <v>326</v>
      </c>
      <c r="BK46" s="96" t="s">
        <v>73</v>
      </c>
      <c r="BL46" s="96" t="s">
        <v>73</v>
      </c>
      <c r="BM46" s="96" t="s">
        <v>73</v>
      </c>
      <c r="BN46" s="96" t="s">
        <v>73</v>
      </c>
      <c r="BO46" s="96" t="s">
        <v>73</v>
      </c>
      <c r="BP46">
        <v>0</v>
      </c>
      <c r="BQ46" s="96" t="s">
        <v>73</v>
      </c>
      <c r="BR46">
        <v>0</v>
      </c>
      <c r="BS46" s="96" t="s">
        <v>73</v>
      </c>
      <c r="BT46" t="s">
        <v>315</v>
      </c>
      <c r="BU46">
        <v>0</v>
      </c>
      <c r="BV46">
        <v>0</v>
      </c>
      <c r="BW46">
        <v>0</v>
      </c>
      <c r="BX46" s="104">
        <f>((AZ46^2)/(AZ46^2+BI46))^(1/2)</f>
        <v>0.12308063083097449</v>
      </c>
      <c r="BY46" s="104">
        <f>0.5*LN((1+BX46)/(1-BX46))</f>
        <v>0.12370785144137753</v>
      </c>
      <c r="BZ46" s="104">
        <f>((1-(BY46^2)^2)/(BI46-1))</f>
        <v>3.0762024579447773E-3</v>
      </c>
      <c r="CA46" s="104">
        <f>1/(BI46-3)</f>
        <v>3.0959752321981426E-3</v>
      </c>
    </row>
    <row r="47" spans="1:16359" ht="16">
      <c r="A47" s="11" t="s">
        <v>350</v>
      </c>
      <c r="B47" s="11"/>
      <c r="C47" s="95">
        <v>1208</v>
      </c>
      <c r="D47" s="96">
        <v>203</v>
      </c>
      <c r="E47" t="s">
        <v>412</v>
      </c>
      <c r="F47" s="95">
        <v>2021</v>
      </c>
      <c r="G47" t="s">
        <v>413</v>
      </c>
      <c r="H47" t="s">
        <v>414</v>
      </c>
      <c r="I47" s="96">
        <v>2</v>
      </c>
      <c r="J47" t="s">
        <v>415</v>
      </c>
      <c r="K47" s="95" t="s">
        <v>73</v>
      </c>
      <c r="L47" s="96">
        <v>5</v>
      </c>
      <c r="M47" s="96" t="s">
        <v>120</v>
      </c>
      <c r="N47" s="96" t="s">
        <v>269</v>
      </c>
      <c r="O47" t="s">
        <v>280</v>
      </c>
      <c r="P47" s="96" t="s">
        <v>73</v>
      </c>
      <c r="Q47" t="s">
        <v>73</v>
      </c>
      <c r="R47" t="s">
        <v>73</v>
      </c>
      <c r="S47" t="s">
        <v>73</v>
      </c>
      <c r="T47" t="s">
        <v>73</v>
      </c>
      <c r="U47" t="s">
        <v>73</v>
      </c>
      <c r="V47" s="111" t="s">
        <v>244</v>
      </c>
      <c r="W47" s="111" t="s">
        <v>222</v>
      </c>
      <c r="X47" s="114" t="s">
        <v>416</v>
      </c>
      <c r="Y47" s="96">
        <v>0</v>
      </c>
      <c r="Z47" s="96">
        <v>0</v>
      </c>
      <c r="AA47" s="96">
        <v>1</v>
      </c>
      <c r="AB47" s="96">
        <v>0</v>
      </c>
      <c r="AC47" s="96">
        <v>0</v>
      </c>
      <c r="AD47" s="96">
        <v>0</v>
      </c>
      <c r="AE47" s="96">
        <v>0</v>
      </c>
      <c r="AF47" s="96">
        <v>0</v>
      </c>
      <c r="AG47" t="s">
        <v>417</v>
      </c>
      <c r="AH47" s="96">
        <v>0</v>
      </c>
      <c r="AI47" s="96">
        <v>0</v>
      </c>
      <c r="AJ47" s="96">
        <v>0</v>
      </c>
      <c r="AK47" s="96">
        <v>1</v>
      </c>
      <c r="AL47" s="96">
        <v>0</v>
      </c>
      <c r="AM47" s="96">
        <v>0</v>
      </c>
      <c r="AN47" s="96">
        <v>0</v>
      </c>
      <c r="AO47" s="96">
        <v>0</v>
      </c>
      <c r="AP47" s="96">
        <v>0</v>
      </c>
      <c r="AQ47" t="s">
        <v>73</v>
      </c>
      <c r="AR47" t="s">
        <v>239</v>
      </c>
      <c r="AS47" t="s">
        <v>418</v>
      </c>
      <c r="AT47" t="s">
        <v>73</v>
      </c>
      <c r="AU47" s="110">
        <v>0.4017</v>
      </c>
      <c r="AV47" s="7" t="s">
        <v>86</v>
      </c>
      <c r="AW47" s="110">
        <v>0.35070000000000001</v>
      </c>
      <c r="AX47" s="98">
        <v>0.1</v>
      </c>
      <c r="AY47">
        <v>2</v>
      </c>
      <c r="AZ47" s="98">
        <f>AU47/AW47</f>
        <v>1.1454234388366125</v>
      </c>
      <c r="BA47" t="s">
        <v>73</v>
      </c>
      <c r="BC47" s="97" t="s">
        <v>73</v>
      </c>
      <c r="BD47" s="97" t="s">
        <v>73</v>
      </c>
      <c r="BE47" s="97" t="s">
        <v>73</v>
      </c>
      <c r="BF47" s="97" t="s">
        <v>73</v>
      </c>
      <c r="BG47" s="97" t="s">
        <v>73</v>
      </c>
      <c r="BH47" s="97" t="s">
        <v>73</v>
      </c>
      <c r="BI47" s="96">
        <v>208</v>
      </c>
      <c r="BJ47">
        <f>BI47</f>
        <v>208</v>
      </c>
      <c r="BK47" s="96" t="s">
        <v>73</v>
      </c>
      <c r="BL47" s="96" t="s">
        <v>73</v>
      </c>
      <c r="BM47" s="96" t="s">
        <v>73</v>
      </c>
      <c r="BN47" s="96" t="s">
        <v>73</v>
      </c>
      <c r="BO47" s="96" t="s">
        <v>73</v>
      </c>
      <c r="BP47">
        <v>0</v>
      </c>
      <c r="BQ47" s="96" t="s">
        <v>73</v>
      </c>
      <c r="BR47">
        <v>0</v>
      </c>
      <c r="BS47" s="96" t="s">
        <v>73</v>
      </c>
      <c r="BT47" t="s">
        <v>315</v>
      </c>
      <c r="BU47">
        <v>0</v>
      </c>
      <c r="BV47">
        <v>0</v>
      </c>
      <c r="BW47">
        <v>0</v>
      </c>
      <c r="BX47" s="104">
        <f>((AZ47^2)/(AZ47^2+BI47))^(1/2)</f>
        <v>7.9171524466324972E-2</v>
      </c>
      <c r="BY47" s="104">
        <f>0.5*LN((1+BX47)/(1-BX47))</f>
        <v>7.9337568530044145E-2</v>
      </c>
      <c r="BZ47" s="104">
        <f>((1-(BY47^2)^2)/(BI47-1))</f>
        <v>4.8307264729563464E-3</v>
      </c>
      <c r="CA47" s="104">
        <f>1/(BI47-3)</f>
        <v>4.8780487804878049E-3</v>
      </c>
    </row>
    <row r="48" spans="1:16359" ht="16"/>
    <row r="49" spans="53:76" ht="16"/>
    <row r="50" spans="53:76" ht="16"/>
    <row r="51" spans="53:76" ht="16"/>
    <row r="52" spans="53:76" ht="16"/>
    <row r="53" spans="53:76" ht="16"/>
    <row r="54" spans="53:76" ht="16"/>
    <row r="55" spans="53:76" ht="16"/>
    <row r="56" spans="53:76" ht="16"/>
    <row r="57" spans="53:76" ht="41" customHeight="1">
      <c r="BX57" s="30"/>
    </row>
    <row r="58" spans="53:76" ht="16">
      <c r="BA58" s="115"/>
      <c r="BB58" s="115"/>
    </row>
    <row r="59" spans="53:76" ht="16">
      <c r="BA59" s="115"/>
      <c r="BB59" s="115"/>
    </row>
    <row r="61" spans="53:76" ht="16">
      <c r="BA61" s="116"/>
      <c r="BB61" s="116"/>
    </row>
  </sheetData>
  <autoFilter ref="AR1:AR56" xr:uid="{00000000-0009-0000-0000-000001000000}"/>
  <sortState xmlns:xlrd2="http://schemas.microsoft.com/office/spreadsheetml/2017/richdata2" ref="A2:CD61">
    <sortCondition ref="AR1:AR61"/>
  </sortState>
  <dataConsolidate/>
  <phoneticPr fontId="25" type="noConversion"/>
  <conditionalFormatting sqref="AU1:AU1048576">
    <cfRule type="cellIs" dxfId="0" priority="1" operator="greaterThan">
      <formula>1</formula>
    </cfRule>
  </conditionalFormatting>
  <dataValidations xWindow="603" yWindow="1085" count="5">
    <dataValidation type="whole" allowBlank="1" showInputMessage="1" showErrorMessage="1" sqref="AI19:AM19 AI20:AJ22 AL20:AM22 AN19:AP22 AH19:AH22 S48:S1048576 AH33:AP47 AK20:AK32 U48:U1048576 AH48:AP1048576 U1:U47 S1:S47 AH1:AP18" xr:uid="{00000000-0002-0000-0100-000000000000}">
      <formula1>0</formula1>
      <formula2>1</formula2>
    </dataValidation>
    <dataValidation type="whole" errorStyle="warning" allowBlank="1" showInputMessage="1" showErrorMessage="1" errorTitle="Error" error="Please fill in either 1 or 0_x000a_If the Study is:_x000a_Usage - 1_x000a_Purchase - 0" promptTitle="If Study = Usage/Purchase" prompt="If the Study is:_x000a_Usage - 1_x000a_Purchase - 2" sqref="I48:I1048576 I1:I47" xr:uid="{00000000-0002-0000-0100-000001000000}">
      <formula1>0</formula1>
      <formula2>2</formula2>
    </dataValidation>
    <dataValidation allowBlank="1" showInputMessage="1" showErrorMessage="1" errorTitle="int" error="Choose 1 or 0" promptTitle="Intervention" prompt="Yes - 1_x000a_No - 0" sqref="AD33:AE47 AD48:AG1048576 AG1:AG47 AD1:AF21" xr:uid="{00000000-0002-0000-0100-000002000000}"/>
    <dataValidation type="whole" allowBlank="1" showInputMessage="1" showErrorMessage="1" errorTitle="int" error="Choose 1 or 0" promptTitle="Intervention" prompt="Yes - 1_x000a_No - 0" sqref="Y1:AC1 Z33:AC47 Z22:AF32 AH23:AJ32 AF33:AF47 Y48:AC1048576 Y2:Y47 Z2:AC21" xr:uid="{00000000-0002-0000-0100-000003000000}">
      <formula1>0</formula1>
      <formula2>1</formula2>
    </dataValidation>
    <dataValidation errorStyle="warning" allowBlank="1" showInputMessage="1" showErrorMessage="1" sqref="BN1 BN7:BN21 BN33:BN47 BN48:BN1048576" xr:uid="{00000000-0002-0000-0100-000004000000}"/>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xWindow="603" yWindow="1085" count="21">
        <x14:dataValidation type="list" allowBlank="1" showInputMessage="1" showErrorMessage="1" xr:uid="{00000000-0002-0000-0100-000007000000}">
          <x14:formula1>
            <xm:f>'Lists for variables'!$B$2:$B$4</xm:f>
          </x14:formula1>
          <xm:sqref>U35:U47 U48:U1048576 U1:U32</xm:sqref>
        </x14:dataValidation>
        <x14:dataValidation type="list" allowBlank="1" showInputMessage="1" showErrorMessage="1" xr:uid="{00000000-0002-0000-0100-000008000000}">
          <x14:formula1>
            <xm:f>'Lists for variables'!$A$2:$A$4</xm:f>
          </x14:formula1>
          <xm:sqref>BU2:BW32 BU35:BW1048576</xm:sqref>
        </x14:dataValidation>
        <x14:dataValidation type="list" allowBlank="1" showInputMessage="1" showErrorMessage="1" xr:uid="{00000000-0002-0000-0100-000009000000}">
          <x14:formula1>
            <xm:f>'Lists for variables'!$C$2:$C$4</xm:f>
          </x14:formula1>
          <xm:sqref>BO1 BO7:BO21 BO33:BO47 BO48:BO1048576</xm:sqref>
        </x14:dataValidation>
        <x14:dataValidation type="list" allowBlank="1" showInputMessage="1" showErrorMessage="1" xr:uid="{00000000-0002-0000-0100-00000A000000}">
          <x14:formula1>
            <xm:f>'Lists for variables'!$I$2:$I$3</xm:f>
          </x14:formula1>
          <xm:sqref>AV48:AV1048576 AV1:AV36</xm:sqref>
        </x14:dataValidation>
        <x14:dataValidation type="list" allowBlank="1" showInputMessage="1" showErrorMessage="1" xr:uid="{00000000-0002-0000-0100-00000B000000}">
          <x14:formula1>
            <xm:f>'Lists for variables'!$L$2:$L$9</xm:f>
          </x14:formula1>
          <xm:sqref>S48:S1048576 U48:U1048576 S1:S47 U1:U47</xm:sqref>
        </x14:dataValidation>
        <x14:dataValidation type="list" allowBlank="1" showInputMessage="1" showErrorMessage="1" xr:uid="{00000000-0002-0000-0100-00000C000000}">
          <x14:formula1>
            <xm:f>'Lists for variables'!$K$2:$K$3</xm:f>
          </x14:formula1>
          <xm:sqref>S48:S1048576 U48:W1048576 S1:S47 U1:W47</xm:sqref>
        </x14:dataValidation>
        <x14:dataValidation type="list" allowBlank="1" showInputMessage="1" showErrorMessage="1" xr:uid="{00000000-0002-0000-0100-00000D000000}">
          <x14:formula1>
            <xm:f>'Lists for variables'!$N$2:$N$7</xm:f>
          </x14:formula1>
          <xm:sqref>S48:S1048576 U48:W1048576 S1:S47 U1:W47</xm:sqref>
        </x14:dataValidation>
        <x14:dataValidation type="list" allowBlank="1" showInputMessage="1" showErrorMessage="1" xr:uid="{00000000-0002-0000-0100-00000F000000}">
          <x14:formula1>
            <xm:f>'Lists for variables'!$J$2:$J$12</xm:f>
          </x14:formula1>
          <xm:sqref>K48:K1048576 K1:K47</xm:sqref>
        </x14:dataValidation>
        <x14:dataValidation type="list" allowBlank="1" showInputMessage="1" showErrorMessage="1" xr:uid="{00000000-0002-0000-0100-000010000000}">
          <x14:formula1>
            <xm:f>'Lists for variables'!$O:$O</xm:f>
          </x14:formula1>
          <xm:sqref>BT1 BT20:BT22 BT13 BT34:BT36 BT48:BT1048576</xm:sqref>
        </x14:dataValidation>
        <x14:dataValidation type="list" allowBlank="1" showInputMessage="1" showErrorMessage="1" xr:uid="{00000000-0002-0000-0100-000011000000}">
          <x14:formula1>
            <xm:f>'Lists for variables'!$S:$S</xm:f>
          </x14:formula1>
          <xm:sqref>G35:G47 G48:G1048576 G1:G32</xm:sqref>
        </x14:dataValidation>
        <x14:dataValidation type="list" allowBlank="1" showInputMessage="1" showErrorMessage="1" xr:uid="{00000000-0002-0000-0100-000012000000}">
          <x14:formula1>
            <xm:f>'Lists for variables'!$G:$G</xm:f>
          </x14:formula1>
          <xm:sqref>AR48:AR1048576 AR1:AR47</xm:sqref>
        </x14:dataValidation>
        <x14:dataValidation type="list" allowBlank="1" showInputMessage="1" showErrorMessage="1" xr:uid="{00000000-0002-0000-0100-000013000000}">
          <x14:formula1>
            <xm:f>'Lists for variables'!$F:$F</xm:f>
          </x14:formula1>
          <xm:sqref>M48:M1048576 M1:M47</xm:sqref>
        </x14:dataValidation>
        <x14:dataValidation type="list" allowBlank="1" showInputMessage="1" showErrorMessage="1" xr:uid="{00000000-0002-0000-0100-000014000000}">
          <x14:formula1>
            <xm:f>'Lists for variables'!$P:$P</xm:f>
          </x14:formula1>
          <xm:sqref>AT48:AT1048576 AT1:AT47</xm:sqref>
        </x14:dataValidation>
        <x14:dataValidation type="list" allowBlank="1" showInputMessage="1" showErrorMessage="1" xr:uid="{00000000-0002-0000-0100-000015000000}">
          <x14:formula1>
            <xm:f>'Lists for variables'!$D:$D</xm:f>
          </x14:formula1>
          <xm:sqref>U48:W1048576 S48:S1048576 N48:N1048576 N1:N47 U1:W47 S1:S47</xm:sqref>
        </x14:dataValidation>
        <x14:dataValidation type="list" allowBlank="1" showInputMessage="1" showErrorMessage="1" xr:uid="{00000000-0002-0000-0100-000016000000}">
          <x14:formula1>
            <xm:f>'Lists for variables'!$N:$N</xm:f>
          </x14:formula1>
          <xm:sqref>O48:O1048576 O1:O47</xm:sqref>
        </x14:dataValidation>
        <x14:dataValidation type="list" allowBlank="1" showInputMessage="1" showErrorMessage="1" xr:uid="{00000000-0002-0000-0100-000017000000}">
          <x14:formula1>
            <xm:f>'Lists for variables'!$B:$B</xm:f>
          </x14:formula1>
          <xm:sqref>T48:T1048576 T1:T47</xm:sqref>
        </x14:dataValidation>
        <x14:dataValidation type="list" allowBlank="1" showInputMessage="1" showErrorMessage="1" xr:uid="{00000000-0002-0000-0100-000018000000}">
          <x14:formula1>
            <xm:f>'Lists for variables'!$R:$R</xm:f>
          </x14:formula1>
          <xm:sqref>E48:E1048576 E1:E47</xm:sqref>
        </x14:dataValidation>
        <x14:dataValidation type="list" allowBlank="1" showInputMessage="1" showErrorMessage="1" xr:uid="{00000000-0002-0000-0100-000019000000}">
          <x14:formula1>
            <xm:f>'Lists for variables'!$H:$H</xm:f>
          </x14:formula1>
          <xm:sqref>U48:U1048576 S48:S1048576 S1:S47 U1:U47</xm:sqref>
        </x14:dataValidation>
        <x14:dataValidation type="list" allowBlank="1" showInputMessage="1" showErrorMessage="1" xr:uid="{00000000-0002-0000-0100-00001A000000}">
          <x14:formula1>
            <xm:f>'Lists for variables'!$M:$M</xm:f>
          </x14:formula1>
          <xm:sqref>P48:P1048576 S48:S1048576 U48:U1048576 U1:U47 P1:P47 S1:S47</xm:sqref>
        </x14:dataValidation>
        <x14:dataValidation type="list" allowBlank="1" showInputMessage="1" showErrorMessage="1" xr:uid="{00000000-0002-0000-0100-00001B000000}">
          <x14:formula1>
            <xm:f>'Lists for variables'!$L$2:$L$10</xm:f>
          </x14:formula1>
          <xm:sqref>R48:R1048576 R1:R47</xm:sqref>
        </x14:dataValidation>
        <x14:dataValidation type="list" allowBlank="1" showInputMessage="1" showErrorMessage="1" xr:uid="{00000000-0002-0000-0100-00001C000000}">
          <x14:formula1>
            <xm:f>'Lists for variables'!$H$1:$H$7</xm:f>
          </x14:formula1>
          <xm:sqref>Q48:Q1048576 Q1:Q47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3C6B8-D66D-FF4D-BFD0-320CD520D889}">
  <dimension ref="A1:BJ18"/>
  <sheetViews>
    <sheetView workbookViewId="0">
      <selection activeCell="C14" sqref="C14"/>
    </sheetView>
  </sheetViews>
  <sheetFormatPr baseColWidth="10" defaultRowHeight="16"/>
  <cols>
    <col min="1" max="1" width="28.5" bestFit="1" customWidth="1"/>
    <col min="2" max="2" width="41" bestFit="1" customWidth="1"/>
    <col min="3" max="3" width="29.83203125" bestFit="1" customWidth="1"/>
    <col min="4" max="4" width="20.5" bestFit="1" customWidth="1"/>
    <col min="5" max="5" width="18.1640625" bestFit="1" customWidth="1"/>
    <col min="6" max="6" width="20.6640625" bestFit="1" customWidth="1"/>
    <col min="7" max="7" width="18.33203125" bestFit="1" customWidth="1"/>
    <col min="8" max="8" width="15.83203125" bestFit="1" customWidth="1"/>
    <col min="9" max="9" width="22.5" bestFit="1" customWidth="1"/>
    <col min="10" max="10" width="23" bestFit="1" customWidth="1"/>
    <col min="11" max="11" width="25.83203125" bestFit="1" customWidth="1"/>
    <col min="12" max="12" width="19.5" bestFit="1" customWidth="1"/>
    <col min="13" max="13" width="14.6640625" bestFit="1" customWidth="1"/>
    <col min="14" max="14" width="30" bestFit="1" customWidth="1"/>
    <col min="15" max="15" width="26.6640625" bestFit="1" customWidth="1"/>
    <col min="16" max="16" width="22.33203125" bestFit="1" customWidth="1"/>
    <col min="17" max="17" width="22.1640625" bestFit="1" customWidth="1"/>
    <col min="18" max="18" width="13.6640625" bestFit="1" customWidth="1"/>
    <col min="19" max="19" width="28.1640625" bestFit="1" customWidth="1"/>
    <col min="20" max="20" width="23.1640625" bestFit="1" customWidth="1"/>
    <col min="21" max="21" width="21.6640625" bestFit="1" customWidth="1"/>
    <col min="22" max="22" width="15" bestFit="1" customWidth="1"/>
    <col min="23" max="23" width="17.33203125" bestFit="1" customWidth="1"/>
    <col min="24" max="24" width="11.5" bestFit="1" customWidth="1"/>
    <col min="25" max="25" width="12.83203125" bestFit="1" customWidth="1"/>
    <col min="26" max="26" width="15.83203125" bestFit="1" customWidth="1"/>
    <col min="27" max="27" width="13.6640625" bestFit="1" customWidth="1"/>
    <col min="28" max="28" width="11" bestFit="1" customWidth="1"/>
    <col min="29" max="29" width="23.83203125" bestFit="1" customWidth="1"/>
    <col min="30" max="30" width="18.83203125" bestFit="1" customWidth="1"/>
    <col min="31" max="31" width="22.6640625" bestFit="1" customWidth="1"/>
    <col min="32" max="32" width="15.83203125" bestFit="1" customWidth="1"/>
    <col min="33" max="33" width="17.1640625" bestFit="1" customWidth="1"/>
    <col min="34" max="34" width="17" bestFit="1" customWidth="1"/>
    <col min="35" max="35" width="13.6640625" bestFit="1" customWidth="1"/>
    <col min="36" max="36" width="18.83203125" bestFit="1" customWidth="1"/>
    <col min="37" max="37" width="9.33203125" bestFit="1" customWidth="1"/>
    <col min="38" max="38" width="9.1640625" bestFit="1" customWidth="1"/>
    <col min="39" max="39" width="36.33203125" bestFit="1" customWidth="1"/>
    <col min="40" max="40" width="29" bestFit="1" customWidth="1"/>
    <col min="41" max="41" width="17.83203125" bestFit="1" customWidth="1"/>
    <col min="42" max="42" width="21.83203125" bestFit="1" customWidth="1"/>
    <col min="43" max="43" width="20.1640625" bestFit="1" customWidth="1"/>
    <col min="44" max="44" width="15" bestFit="1" customWidth="1"/>
    <col min="45" max="45" width="24.5" bestFit="1" customWidth="1"/>
    <col min="46" max="46" width="13.33203125" bestFit="1" customWidth="1"/>
    <col min="47" max="47" width="21.83203125" bestFit="1" customWidth="1"/>
    <col min="48" max="48" width="36.5" bestFit="1" customWidth="1"/>
    <col min="49" max="49" width="23.83203125" bestFit="1" customWidth="1"/>
    <col min="50" max="50" width="17.1640625" bestFit="1" customWidth="1"/>
    <col min="51" max="51" width="29.6640625" bestFit="1" customWidth="1"/>
    <col min="52" max="52" width="33" bestFit="1" customWidth="1"/>
    <col min="53" max="53" width="35.5" bestFit="1" customWidth="1"/>
    <col min="54" max="54" width="21.83203125" bestFit="1" customWidth="1"/>
    <col min="55" max="55" width="24.33203125" bestFit="1" customWidth="1"/>
    <col min="56" max="56" width="17.83203125" bestFit="1" customWidth="1"/>
    <col min="57" max="57" width="25.83203125" bestFit="1" customWidth="1"/>
    <col min="58" max="58" width="35" bestFit="1" customWidth="1"/>
    <col min="59" max="59" width="26.33203125" bestFit="1" customWidth="1"/>
    <col min="60" max="60" width="12.33203125" bestFit="1" customWidth="1"/>
    <col min="61" max="61" width="20.5" bestFit="1" customWidth="1"/>
    <col min="62" max="62" width="15.6640625" bestFit="1" customWidth="1"/>
    <col min="63" max="64" width="18.5" bestFit="1" customWidth="1"/>
  </cols>
  <sheetData>
    <row r="1" spans="1:62">
      <c r="A1" s="117" t="s">
        <v>7</v>
      </c>
      <c r="B1" t="s">
        <v>73</v>
      </c>
    </row>
    <row r="2" spans="1:62">
      <c r="A2" s="117" t="s">
        <v>198</v>
      </c>
      <c r="B2" t="s">
        <v>223</v>
      </c>
    </row>
    <row r="4" spans="1:62">
      <c r="A4" s="117" t="s">
        <v>529</v>
      </c>
      <c r="B4" t="s">
        <v>531</v>
      </c>
      <c r="C4" t="s">
        <v>591</v>
      </c>
      <c r="D4" t="s">
        <v>589</v>
      </c>
      <c r="E4" t="s">
        <v>590</v>
      </c>
      <c r="F4" t="s">
        <v>588</v>
      </c>
      <c r="G4" t="s">
        <v>587</v>
      </c>
      <c r="H4" t="s">
        <v>535</v>
      </c>
      <c r="I4" t="s">
        <v>582</v>
      </c>
      <c r="J4" t="s">
        <v>583</v>
      </c>
      <c r="K4" t="s">
        <v>532</v>
      </c>
      <c r="L4" t="s">
        <v>533</v>
      </c>
      <c r="M4" t="s">
        <v>534</v>
      </c>
      <c r="N4" t="s">
        <v>536</v>
      </c>
      <c r="O4" t="s">
        <v>537</v>
      </c>
      <c r="P4" t="s">
        <v>538</v>
      </c>
      <c r="Q4" t="s">
        <v>539</v>
      </c>
      <c r="R4" t="s">
        <v>540</v>
      </c>
      <c r="S4" t="s">
        <v>541</v>
      </c>
      <c r="T4" t="s">
        <v>542</v>
      </c>
      <c r="U4" t="s">
        <v>543</v>
      </c>
      <c r="V4" t="s">
        <v>544</v>
      </c>
      <c r="W4" t="s">
        <v>545</v>
      </c>
      <c r="X4" t="s">
        <v>546</v>
      </c>
      <c r="Y4" t="s">
        <v>547</v>
      </c>
      <c r="Z4" t="s">
        <v>548</v>
      </c>
      <c r="AA4" t="s">
        <v>549</v>
      </c>
      <c r="AB4" t="s">
        <v>550</v>
      </c>
      <c r="AC4" t="s">
        <v>551</v>
      </c>
      <c r="AD4" t="s">
        <v>553</v>
      </c>
      <c r="AE4" t="s">
        <v>552</v>
      </c>
      <c r="AF4" t="s">
        <v>554</v>
      </c>
      <c r="AG4" t="s">
        <v>555</v>
      </c>
      <c r="AH4" t="s">
        <v>556</v>
      </c>
      <c r="AI4" t="s">
        <v>557</v>
      </c>
      <c r="AJ4" t="s">
        <v>558</v>
      </c>
      <c r="AK4" t="s">
        <v>559</v>
      </c>
      <c r="AL4" t="s">
        <v>560</v>
      </c>
      <c r="AM4" t="s">
        <v>561</v>
      </c>
      <c r="AN4" t="s">
        <v>562</v>
      </c>
      <c r="AO4" t="s">
        <v>563</v>
      </c>
      <c r="AP4" t="s">
        <v>564</v>
      </c>
      <c r="AQ4" t="s">
        <v>565</v>
      </c>
      <c r="AR4" t="s">
        <v>566</v>
      </c>
      <c r="AS4" t="s">
        <v>568</v>
      </c>
      <c r="AT4" t="s">
        <v>567</v>
      </c>
      <c r="AU4" t="s">
        <v>569</v>
      </c>
      <c r="AV4" t="s">
        <v>570</v>
      </c>
      <c r="AW4" t="s">
        <v>571</v>
      </c>
      <c r="AX4" t="s">
        <v>581</v>
      </c>
      <c r="AY4" t="s">
        <v>578</v>
      </c>
      <c r="AZ4" t="s">
        <v>579</v>
      </c>
      <c r="BA4" t="s">
        <v>580</v>
      </c>
      <c r="BB4" t="s">
        <v>577</v>
      </c>
      <c r="BC4" t="s">
        <v>576</v>
      </c>
      <c r="BD4" t="s">
        <v>575</v>
      </c>
      <c r="BE4" t="s">
        <v>572</v>
      </c>
      <c r="BF4" t="s">
        <v>573</v>
      </c>
      <c r="BG4" t="s">
        <v>574</v>
      </c>
      <c r="BH4" t="s">
        <v>584</v>
      </c>
      <c r="BI4" t="s">
        <v>585</v>
      </c>
      <c r="BJ4" t="s">
        <v>586</v>
      </c>
    </row>
    <row r="5" spans="1:62">
      <c r="A5" s="118" t="s">
        <v>279</v>
      </c>
      <c r="B5">
        <v>4</v>
      </c>
      <c r="C5">
        <v>0.12667444459407348</v>
      </c>
      <c r="D5">
        <v>1.6717762428241768E-3</v>
      </c>
      <c r="E5">
        <v>0.12737826808735897</v>
      </c>
      <c r="F5">
        <v>1.6778523489932886E-3</v>
      </c>
      <c r="G5" t="e">
        <v>#DIV/0!</v>
      </c>
      <c r="H5">
        <v>4</v>
      </c>
      <c r="I5">
        <v>4</v>
      </c>
      <c r="J5">
        <v>4</v>
      </c>
      <c r="K5">
        <v>4</v>
      </c>
      <c r="L5">
        <v>4</v>
      </c>
      <c r="M5">
        <v>4</v>
      </c>
      <c r="N5">
        <v>4</v>
      </c>
      <c r="O5">
        <v>4</v>
      </c>
      <c r="P5">
        <v>4</v>
      </c>
      <c r="Q5">
        <v>4</v>
      </c>
      <c r="R5">
        <v>4</v>
      </c>
      <c r="S5">
        <v>4</v>
      </c>
      <c r="T5">
        <v>4</v>
      </c>
      <c r="U5">
        <v>4</v>
      </c>
      <c r="V5">
        <v>4</v>
      </c>
      <c r="W5">
        <v>2</v>
      </c>
      <c r="X5">
        <v>0</v>
      </c>
      <c r="Y5">
        <v>0</v>
      </c>
      <c r="Z5">
        <v>0</v>
      </c>
      <c r="AA5">
        <v>0</v>
      </c>
      <c r="AB5">
        <v>0</v>
      </c>
      <c r="AC5">
        <v>0</v>
      </c>
      <c r="AD5">
        <v>0</v>
      </c>
      <c r="AE5">
        <v>0</v>
      </c>
      <c r="AF5">
        <v>0</v>
      </c>
      <c r="AG5">
        <v>0</v>
      </c>
      <c r="AH5">
        <v>4</v>
      </c>
      <c r="AI5">
        <v>0</v>
      </c>
      <c r="AJ5">
        <v>0</v>
      </c>
      <c r="AK5">
        <v>0</v>
      </c>
      <c r="AL5">
        <v>0</v>
      </c>
      <c r="AM5">
        <v>4</v>
      </c>
      <c r="AN5">
        <v>4</v>
      </c>
      <c r="AO5">
        <v>4</v>
      </c>
      <c r="AP5">
        <v>4</v>
      </c>
      <c r="AQ5">
        <v>4</v>
      </c>
      <c r="AR5">
        <v>4</v>
      </c>
      <c r="AS5">
        <v>4</v>
      </c>
      <c r="AT5">
        <v>4</v>
      </c>
      <c r="AU5">
        <v>4</v>
      </c>
      <c r="AW5">
        <v>4</v>
      </c>
      <c r="AX5">
        <v>4</v>
      </c>
      <c r="AY5">
        <v>4</v>
      </c>
      <c r="AZ5">
        <v>4</v>
      </c>
      <c r="BA5">
        <v>4</v>
      </c>
      <c r="BB5">
        <v>4</v>
      </c>
      <c r="BC5">
        <v>4</v>
      </c>
      <c r="BD5">
        <v>4</v>
      </c>
      <c r="BE5">
        <v>0</v>
      </c>
      <c r="BF5">
        <v>0</v>
      </c>
      <c r="BG5">
        <v>4</v>
      </c>
      <c r="BH5">
        <v>597</v>
      </c>
      <c r="BI5">
        <v>4</v>
      </c>
      <c r="BJ5">
        <v>4</v>
      </c>
    </row>
    <row r="6" spans="1:62">
      <c r="A6" s="118" t="s">
        <v>107</v>
      </c>
      <c r="B6">
        <v>14</v>
      </c>
      <c r="C6" t="e">
        <v>#VALUE!</v>
      </c>
      <c r="D6" t="e">
        <v>#VALUE!</v>
      </c>
      <c r="E6" t="e">
        <v>#VALUE!</v>
      </c>
      <c r="F6">
        <v>7.5811824421551682E-2</v>
      </c>
      <c r="G6" t="e">
        <v>#VALUE!</v>
      </c>
      <c r="H6">
        <v>14</v>
      </c>
      <c r="I6">
        <v>14</v>
      </c>
      <c r="J6">
        <v>14</v>
      </c>
      <c r="K6">
        <v>14</v>
      </c>
      <c r="L6">
        <v>14</v>
      </c>
      <c r="M6">
        <v>14</v>
      </c>
      <c r="N6">
        <v>14</v>
      </c>
      <c r="O6">
        <v>14</v>
      </c>
      <c r="P6">
        <v>14</v>
      </c>
      <c r="Q6">
        <v>14</v>
      </c>
      <c r="R6">
        <v>14</v>
      </c>
      <c r="S6">
        <v>14</v>
      </c>
      <c r="T6">
        <v>14</v>
      </c>
      <c r="U6">
        <v>14</v>
      </c>
      <c r="V6">
        <v>0</v>
      </c>
      <c r="W6">
        <v>10</v>
      </c>
      <c r="X6">
        <v>11</v>
      </c>
      <c r="Y6">
        <v>2</v>
      </c>
      <c r="Z6">
        <v>0</v>
      </c>
      <c r="AA6">
        <v>0</v>
      </c>
      <c r="AB6">
        <v>0</v>
      </c>
      <c r="AC6">
        <v>0</v>
      </c>
      <c r="AD6">
        <v>5</v>
      </c>
      <c r="AE6">
        <v>1</v>
      </c>
      <c r="AF6">
        <v>0</v>
      </c>
      <c r="AG6">
        <v>3</v>
      </c>
      <c r="AH6">
        <v>0</v>
      </c>
      <c r="AI6">
        <v>5</v>
      </c>
      <c r="AJ6">
        <v>0</v>
      </c>
      <c r="AK6">
        <v>0</v>
      </c>
      <c r="AL6">
        <v>0</v>
      </c>
      <c r="AM6">
        <v>14</v>
      </c>
      <c r="AN6">
        <v>14</v>
      </c>
      <c r="AO6">
        <v>14</v>
      </c>
      <c r="AP6">
        <v>14</v>
      </c>
      <c r="AQ6">
        <v>14</v>
      </c>
      <c r="AR6">
        <v>14</v>
      </c>
      <c r="AS6">
        <v>14</v>
      </c>
      <c r="AT6">
        <v>14</v>
      </c>
      <c r="AU6">
        <v>14</v>
      </c>
      <c r="AW6">
        <v>14</v>
      </c>
      <c r="AX6">
        <v>14</v>
      </c>
      <c r="AY6">
        <v>14</v>
      </c>
      <c r="AZ6">
        <v>14</v>
      </c>
      <c r="BA6">
        <v>14</v>
      </c>
      <c r="BB6">
        <v>14</v>
      </c>
      <c r="BC6">
        <v>14</v>
      </c>
      <c r="BD6">
        <v>14</v>
      </c>
      <c r="BE6">
        <v>0</v>
      </c>
      <c r="BF6">
        <v>0</v>
      </c>
      <c r="BG6">
        <v>2</v>
      </c>
      <c r="BH6">
        <v>229.57142857142858</v>
      </c>
      <c r="BI6">
        <v>14</v>
      </c>
      <c r="BJ6">
        <v>14</v>
      </c>
    </row>
    <row r="7" spans="1:62">
      <c r="A7" s="118" t="s">
        <v>218</v>
      </c>
      <c r="B7">
        <v>3</v>
      </c>
      <c r="C7">
        <v>6.5441999190393105E-3</v>
      </c>
      <c r="D7">
        <v>4.2833889728653879E-5</v>
      </c>
      <c r="E7">
        <v>6.5444801989653417E-3</v>
      </c>
      <c r="F7">
        <v>4.2837559972583958E-5</v>
      </c>
      <c r="G7" t="e">
        <v>#DIV/0!</v>
      </c>
      <c r="H7">
        <v>3</v>
      </c>
      <c r="I7">
        <v>3</v>
      </c>
      <c r="J7">
        <v>3</v>
      </c>
      <c r="K7">
        <v>3</v>
      </c>
      <c r="L7">
        <v>3</v>
      </c>
      <c r="M7">
        <v>3</v>
      </c>
      <c r="N7">
        <v>3</v>
      </c>
      <c r="O7">
        <v>3</v>
      </c>
      <c r="P7">
        <v>3</v>
      </c>
      <c r="Q7">
        <v>3</v>
      </c>
      <c r="R7">
        <v>3</v>
      </c>
      <c r="S7">
        <v>3</v>
      </c>
      <c r="T7">
        <v>3</v>
      </c>
      <c r="U7">
        <v>3</v>
      </c>
      <c r="V7">
        <v>0</v>
      </c>
      <c r="W7">
        <v>1</v>
      </c>
      <c r="X7">
        <v>0</v>
      </c>
      <c r="Y7">
        <v>2</v>
      </c>
      <c r="Z7">
        <v>0</v>
      </c>
      <c r="AA7">
        <v>0</v>
      </c>
      <c r="AB7">
        <v>0</v>
      </c>
      <c r="AC7">
        <v>0</v>
      </c>
      <c r="AD7">
        <v>0</v>
      </c>
      <c r="AE7">
        <v>0</v>
      </c>
      <c r="AF7">
        <v>0</v>
      </c>
      <c r="AG7">
        <v>0</v>
      </c>
      <c r="AH7">
        <v>0</v>
      </c>
      <c r="AI7">
        <v>0</v>
      </c>
      <c r="AJ7">
        <v>3</v>
      </c>
      <c r="AK7">
        <v>0</v>
      </c>
      <c r="AL7">
        <v>0</v>
      </c>
      <c r="AM7">
        <v>3</v>
      </c>
      <c r="AN7">
        <v>3</v>
      </c>
      <c r="AO7">
        <v>3</v>
      </c>
      <c r="AP7">
        <v>3</v>
      </c>
      <c r="AQ7">
        <v>3</v>
      </c>
      <c r="AR7">
        <v>3</v>
      </c>
      <c r="AS7">
        <v>3</v>
      </c>
      <c r="AT7">
        <v>3</v>
      </c>
      <c r="AU7">
        <v>3</v>
      </c>
      <c r="AV7">
        <v>3</v>
      </c>
      <c r="AW7">
        <v>3</v>
      </c>
      <c r="AX7">
        <v>3</v>
      </c>
      <c r="AY7">
        <v>3</v>
      </c>
      <c r="AZ7">
        <v>3</v>
      </c>
      <c r="BA7">
        <v>3</v>
      </c>
      <c r="BB7">
        <v>3</v>
      </c>
      <c r="BC7">
        <v>3</v>
      </c>
      <c r="BD7">
        <v>3</v>
      </c>
      <c r="BE7">
        <v>0</v>
      </c>
      <c r="BF7">
        <v>3</v>
      </c>
      <c r="BG7">
        <v>3</v>
      </c>
      <c r="BH7">
        <v>23345</v>
      </c>
      <c r="BI7">
        <v>3</v>
      </c>
      <c r="BJ7">
        <v>3</v>
      </c>
    </row>
    <row r="8" spans="1:62">
      <c r="A8" s="118" t="s">
        <v>93</v>
      </c>
      <c r="B8">
        <v>5</v>
      </c>
      <c r="C8">
        <v>2.6124206533931365E-2</v>
      </c>
      <c r="D8">
        <v>5.5740278889406674E-4</v>
      </c>
      <c r="E8">
        <v>2.6184664849851047E-2</v>
      </c>
      <c r="F8">
        <v>5.5843820412258285E-4</v>
      </c>
      <c r="G8" t="e">
        <v>#DIV/0!</v>
      </c>
      <c r="H8">
        <v>5</v>
      </c>
      <c r="I8">
        <v>5</v>
      </c>
      <c r="J8">
        <v>5</v>
      </c>
      <c r="K8">
        <v>5</v>
      </c>
      <c r="L8">
        <v>5</v>
      </c>
      <c r="M8">
        <v>5</v>
      </c>
      <c r="N8">
        <v>5</v>
      </c>
      <c r="O8">
        <v>5</v>
      </c>
      <c r="P8">
        <v>5</v>
      </c>
      <c r="Q8">
        <v>5</v>
      </c>
      <c r="R8">
        <v>5</v>
      </c>
      <c r="S8">
        <v>5</v>
      </c>
      <c r="T8">
        <v>5</v>
      </c>
      <c r="U8">
        <v>5</v>
      </c>
      <c r="V8">
        <v>0</v>
      </c>
      <c r="W8">
        <v>4</v>
      </c>
      <c r="X8">
        <v>0</v>
      </c>
      <c r="Y8">
        <v>2</v>
      </c>
      <c r="Z8">
        <v>2</v>
      </c>
      <c r="AA8">
        <v>0</v>
      </c>
      <c r="AB8">
        <v>0</v>
      </c>
      <c r="AC8">
        <v>0</v>
      </c>
      <c r="AD8">
        <v>0</v>
      </c>
      <c r="AE8">
        <v>0</v>
      </c>
      <c r="AF8">
        <v>0</v>
      </c>
      <c r="AG8">
        <v>0</v>
      </c>
      <c r="AH8">
        <v>2</v>
      </c>
      <c r="AI8">
        <v>3</v>
      </c>
      <c r="AJ8">
        <v>0</v>
      </c>
      <c r="AK8">
        <v>0</v>
      </c>
      <c r="AL8">
        <v>0</v>
      </c>
      <c r="AM8">
        <v>5</v>
      </c>
      <c r="AN8">
        <v>5</v>
      </c>
      <c r="AO8">
        <v>5</v>
      </c>
      <c r="AP8">
        <v>5</v>
      </c>
      <c r="AQ8">
        <v>5</v>
      </c>
      <c r="AR8">
        <v>5</v>
      </c>
      <c r="AS8">
        <v>5</v>
      </c>
      <c r="AT8">
        <v>5</v>
      </c>
      <c r="AU8">
        <v>5</v>
      </c>
      <c r="AV8">
        <v>5</v>
      </c>
      <c r="AW8">
        <v>5</v>
      </c>
      <c r="AX8">
        <v>5</v>
      </c>
      <c r="AY8">
        <v>5</v>
      </c>
      <c r="AZ8">
        <v>5</v>
      </c>
      <c r="BA8">
        <v>5</v>
      </c>
      <c r="BB8">
        <v>5</v>
      </c>
      <c r="BC8">
        <v>5</v>
      </c>
      <c r="BD8">
        <v>5</v>
      </c>
      <c r="BE8">
        <v>0</v>
      </c>
      <c r="BF8">
        <v>0</v>
      </c>
      <c r="BG8">
        <v>5</v>
      </c>
      <c r="BH8">
        <v>33088.6</v>
      </c>
      <c r="BI8">
        <v>5</v>
      </c>
      <c r="BJ8">
        <v>5</v>
      </c>
    </row>
    <row r="9" spans="1:62">
      <c r="A9" s="118" t="s">
        <v>155</v>
      </c>
      <c r="B9">
        <v>51</v>
      </c>
      <c r="C9">
        <v>0.15701583467056218</v>
      </c>
      <c r="D9">
        <v>2.2131511653333946E-3</v>
      </c>
      <c r="E9">
        <v>0.19054785480046874</v>
      </c>
      <c r="F9">
        <v>5.0063898345289294E-3</v>
      </c>
      <c r="G9">
        <v>7.2794724575885664E-2</v>
      </c>
      <c r="H9">
        <v>51</v>
      </c>
      <c r="I9">
        <v>51</v>
      </c>
      <c r="J9">
        <v>51</v>
      </c>
      <c r="K9">
        <v>51</v>
      </c>
      <c r="L9">
        <v>51</v>
      </c>
      <c r="M9">
        <v>51</v>
      </c>
      <c r="N9">
        <v>51</v>
      </c>
      <c r="O9">
        <v>51</v>
      </c>
      <c r="P9">
        <v>51</v>
      </c>
      <c r="Q9">
        <v>51</v>
      </c>
      <c r="R9">
        <v>51</v>
      </c>
      <c r="S9">
        <v>51</v>
      </c>
      <c r="T9">
        <v>51</v>
      </c>
      <c r="U9">
        <v>51</v>
      </c>
      <c r="V9">
        <v>0</v>
      </c>
      <c r="W9">
        <v>10</v>
      </c>
      <c r="X9">
        <v>28</v>
      </c>
      <c r="Y9">
        <v>11</v>
      </c>
      <c r="Z9">
        <v>0</v>
      </c>
      <c r="AA9">
        <v>6</v>
      </c>
      <c r="AB9">
        <v>1</v>
      </c>
      <c r="AC9">
        <v>0</v>
      </c>
      <c r="AD9">
        <v>0</v>
      </c>
      <c r="AE9">
        <v>10</v>
      </c>
      <c r="AF9">
        <v>3</v>
      </c>
      <c r="AG9">
        <v>7</v>
      </c>
      <c r="AH9">
        <v>0</v>
      </c>
      <c r="AI9">
        <v>6</v>
      </c>
      <c r="AJ9">
        <v>6</v>
      </c>
      <c r="AK9">
        <v>6</v>
      </c>
      <c r="AL9">
        <v>13</v>
      </c>
      <c r="AM9">
        <v>51</v>
      </c>
      <c r="AN9">
        <v>51</v>
      </c>
      <c r="AO9">
        <v>51</v>
      </c>
      <c r="AP9">
        <v>51</v>
      </c>
      <c r="AQ9">
        <v>51</v>
      </c>
      <c r="AR9">
        <v>51</v>
      </c>
      <c r="AS9">
        <v>51</v>
      </c>
      <c r="AT9">
        <v>51</v>
      </c>
      <c r="AU9">
        <v>51</v>
      </c>
      <c r="AV9">
        <v>51</v>
      </c>
      <c r="AW9">
        <v>51</v>
      </c>
      <c r="AX9">
        <v>51</v>
      </c>
      <c r="AY9">
        <v>51</v>
      </c>
      <c r="AZ9">
        <v>51</v>
      </c>
      <c r="BA9">
        <v>51</v>
      </c>
      <c r="BB9">
        <v>51</v>
      </c>
      <c r="BC9">
        <v>51</v>
      </c>
      <c r="BD9">
        <v>51</v>
      </c>
      <c r="BE9">
        <v>6</v>
      </c>
      <c r="BF9">
        <v>0</v>
      </c>
      <c r="BG9">
        <v>33</v>
      </c>
      <c r="BH9">
        <v>430.80392156862746</v>
      </c>
      <c r="BI9">
        <v>51</v>
      </c>
      <c r="BJ9">
        <v>51</v>
      </c>
    </row>
    <row r="10" spans="1:62">
      <c r="A10" s="118" t="s">
        <v>281</v>
      </c>
      <c r="B10">
        <v>23</v>
      </c>
      <c r="C10">
        <v>9.4272765577602682E-2</v>
      </c>
      <c r="D10">
        <v>2.1985314255774943E-3</v>
      </c>
      <c r="E10">
        <v>9.7036508933239313E-2</v>
      </c>
      <c r="F10">
        <v>2.2248736472220932E-3</v>
      </c>
      <c r="G10" t="e">
        <v>#DIV/0!</v>
      </c>
      <c r="H10">
        <v>23</v>
      </c>
      <c r="I10">
        <v>23</v>
      </c>
      <c r="J10">
        <v>23</v>
      </c>
      <c r="K10">
        <v>23</v>
      </c>
      <c r="L10">
        <v>23</v>
      </c>
      <c r="M10">
        <v>23</v>
      </c>
      <c r="N10">
        <v>23</v>
      </c>
      <c r="O10">
        <v>23</v>
      </c>
      <c r="P10">
        <v>23</v>
      </c>
      <c r="Q10">
        <v>23</v>
      </c>
      <c r="R10">
        <v>23</v>
      </c>
      <c r="S10">
        <v>23</v>
      </c>
      <c r="T10">
        <v>23</v>
      </c>
      <c r="U10">
        <v>23</v>
      </c>
      <c r="V10">
        <v>0</v>
      </c>
      <c r="W10">
        <v>0</v>
      </c>
      <c r="X10">
        <v>3</v>
      </c>
      <c r="Y10">
        <v>5</v>
      </c>
      <c r="Z10">
        <v>0</v>
      </c>
      <c r="AA10">
        <v>12</v>
      </c>
      <c r="AB10">
        <v>3</v>
      </c>
      <c r="AC10">
        <v>0</v>
      </c>
      <c r="AD10">
        <v>0</v>
      </c>
      <c r="AE10">
        <v>1</v>
      </c>
      <c r="AF10">
        <v>0</v>
      </c>
      <c r="AG10">
        <v>10</v>
      </c>
      <c r="AH10">
        <v>0</v>
      </c>
      <c r="AI10">
        <v>0</v>
      </c>
      <c r="AJ10">
        <v>12</v>
      </c>
      <c r="AK10">
        <v>0</v>
      </c>
      <c r="AL10">
        <v>0</v>
      </c>
      <c r="AM10">
        <v>23</v>
      </c>
      <c r="AN10">
        <v>23</v>
      </c>
      <c r="AO10">
        <v>23</v>
      </c>
      <c r="AP10">
        <v>23</v>
      </c>
      <c r="AQ10">
        <v>23</v>
      </c>
      <c r="AR10">
        <v>23</v>
      </c>
      <c r="AS10">
        <v>23</v>
      </c>
      <c r="AT10">
        <v>23</v>
      </c>
      <c r="AU10">
        <v>23</v>
      </c>
      <c r="AV10">
        <v>23</v>
      </c>
      <c r="AW10">
        <v>23</v>
      </c>
      <c r="AX10">
        <v>23</v>
      </c>
      <c r="AY10">
        <v>23</v>
      </c>
      <c r="AZ10">
        <v>23</v>
      </c>
      <c r="BA10">
        <v>23</v>
      </c>
      <c r="BB10">
        <v>23</v>
      </c>
      <c r="BC10">
        <v>23</v>
      </c>
      <c r="BD10">
        <v>23</v>
      </c>
      <c r="BE10">
        <v>12</v>
      </c>
      <c r="BF10">
        <v>14</v>
      </c>
      <c r="BG10">
        <v>21</v>
      </c>
      <c r="BH10">
        <v>598.78260869565213</v>
      </c>
      <c r="BI10">
        <v>23</v>
      </c>
      <c r="BJ10">
        <v>23</v>
      </c>
    </row>
    <row r="11" spans="1:62">
      <c r="A11" s="118" t="s">
        <v>341</v>
      </c>
      <c r="B11">
        <v>4</v>
      </c>
      <c r="C11">
        <v>6.3640148973810429E-2</v>
      </c>
      <c r="D11">
        <v>7.2119914323460121E-4</v>
      </c>
      <c r="E11">
        <v>6.3885706505239462E-2</v>
      </c>
      <c r="F11">
        <v>7.2354148412971209E-4</v>
      </c>
      <c r="G11" t="e">
        <v>#DIV/0!</v>
      </c>
      <c r="H11">
        <v>4</v>
      </c>
      <c r="I11">
        <v>4</v>
      </c>
      <c r="J11">
        <v>4</v>
      </c>
      <c r="K11">
        <v>4</v>
      </c>
      <c r="L11">
        <v>4</v>
      </c>
      <c r="M11">
        <v>4</v>
      </c>
      <c r="N11">
        <v>4</v>
      </c>
      <c r="O11">
        <v>4</v>
      </c>
      <c r="P11">
        <v>4</v>
      </c>
      <c r="Q11">
        <v>4</v>
      </c>
      <c r="R11">
        <v>4</v>
      </c>
      <c r="S11">
        <v>4</v>
      </c>
      <c r="T11">
        <v>4</v>
      </c>
      <c r="U11">
        <v>4</v>
      </c>
      <c r="V11">
        <v>0</v>
      </c>
      <c r="W11">
        <v>0</v>
      </c>
      <c r="X11">
        <v>1</v>
      </c>
      <c r="Y11">
        <v>0</v>
      </c>
      <c r="Z11">
        <v>0</v>
      </c>
      <c r="AA11">
        <v>3</v>
      </c>
      <c r="AB11">
        <v>0</v>
      </c>
      <c r="AC11">
        <v>0</v>
      </c>
      <c r="AD11">
        <v>0</v>
      </c>
      <c r="AE11">
        <v>0</v>
      </c>
      <c r="AF11">
        <v>0</v>
      </c>
      <c r="AG11">
        <v>1</v>
      </c>
      <c r="AH11">
        <v>0</v>
      </c>
      <c r="AI11">
        <v>0</v>
      </c>
      <c r="AJ11">
        <v>3</v>
      </c>
      <c r="AK11">
        <v>0</v>
      </c>
      <c r="AL11">
        <v>0</v>
      </c>
      <c r="AM11">
        <v>4</v>
      </c>
      <c r="AN11">
        <v>4</v>
      </c>
      <c r="AO11">
        <v>4</v>
      </c>
      <c r="AP11">
        <v>4</v>
      </c>
      <c r="AQ11">
        <v>4</v>
      </c>
      <c r="AR11">
        <v>4</v>
      </c>
      <c r="AS11">
        <v>4</v>
      </c>
      <c r="AT11">
        <v>4</v>
      </c>
      <c r="AU11">
        <v>4</v>
      </c>
      <c r="AV11">
        <v>4</v>
      </c>
      <c r="AW11">
        <v>4</v>
      </c>
      <c r="AX11">
        <v>4</v>
      </c>
      <c r="AY11">
        <v>4</v>
      </c>
      <c r="AZ11">
        <v>4</v>
      </c>
      <c r="BA11">
        <v>4</v>
      </c>
      <c r="BB11">
        <v>4</v>
      </c>
      <c r="BC11">
        <v>4</v>
      </c>
      <c r="BD11">
        <v>4</v>
      </c>
      <c r="BE11">
        <v>3</v>
      </c>
      <c r="BF11">
        <v>3</v>
      </c>
      <c r="BG11">
        <v>4</v>
      </c>
      <c r="BH11">
        <v>2676</v>
      </c>
      <c r="BI11">
        <v>4</v>
      </c>
      <c r="BJ11">
        <v>4</v>
      </c>
    </row>
    <row r="12" spans="1:62">
      <c r="A12" s="118" t="s">
        <v>323</v>
      </c>
      <c r="B12">
        <v>2</v>
      </c>
      <c r="C12">
        <v>4.7864102867770673E-2</v>
      </c>
      <c r="D12">
        <v>3.4375888847855613E-4</v>
      </c>
      <c r="E12">
        <v>4.7901151747069298E-2</v>
      </c>
      <c r="F12">
        <v>3.4399724802201581E-4</v>
      </c>
      <c r="G12" t="e">
        <v>#DIV/0!</v>
      </c>
      <c r="H12">
        <v>2</v>
      </c>
      <c r="I12">
        <v>2</v>
      </c>
      <c r="J12">
        <v>2</v>
      </c>
      <c r="K12">
        <v>2</v>
      </c>
      <c r="L12">
        <v>2</v>
      </c>
      <c r="M12">
        <v>2</v>
      </c>
      <c r="N12">
        <v>2</v>
      </c>
      <c r="O12">
        <v>2</v>
      </c>
      <c r="P12">
        <v>2</v>
      </c>
      <c r="Q12">
        <v>2</v>
      </c>
      <c r="R12">
        <v>2</v>
      </c>
      <c r="S12">
        <v>2</v>
      </c>
      <c r="T12">
        <v>2</v>
      </c>
      <c r="U12">
        <v>2</v>
      </c>
      <c r="V12">
        <v>0</v>
      </c>
      <c r="W12">
        <v>2</v>
      </c>
      <c r="X12">
        <v>0</v>
      </c>
      <c r="Y12">
        <v>0</v>
      </c>
      <c r="Z12">
        <v>0</v>
      </c>
      <c r="AA12">
        <v>0</v>
      </c>
      <c r="AB12">
        <v>0</v>
      </c>
      <c r="AC12">
        <v>0</v>
      </c>
      <c r="AD12">
        <v>0</v>
      </c>
      <c r="AE12">
        <v>0</v>
      </c>
      <c r="AF12">
        <v>0</v>
      </c>
      <c r="AG12">
        <v>2</v>
      </c>
      <c r="AH12">
        <v>0</v>
      </c>
      <c r="AI12">
        <v>0</v>
      </c>
      <c r="AJ12">
        <v>0</v>
      </c>
      <c r="AK12">
        <v>0</v>
      </c>
      <c r="AL12">
        <v>0</v>
      </c>
      <c r="AM12">
        <v>2</v>
      </c>
      <c r="AN12">
        <v>2</v>
      </c>
      <c r="AO12">
        <v>2</v>
      </c>
      <c r="AP12">
        <v>2</v>
      </c>
      <c r="AQ12">
        <v>2</v>
      </c>
      <c r="AR12">
        <v>2</v>
      </c>
      <c r="AS12">
        <v>2</v>
      </c>
      <c r="AT12">
        <v>2</v>
      </c>
      <c r="AU12">
        <v>2</v>
      </c>
      <c r="AV12">
        <v>2</v>
      </c>
      <c r="AW12">
        <v>2</v>
      </c>
      <c r="AX12">
        <v>2</v>
      </c>
      <c r="AY12">
        <v>2</v>
      </c>
      <c r="AZ12">
        <v>2</v>
      </c>
      <c r="BA12">
        <v>2</v>
      </c>
      <c r="BB12">
        <v>2</v>
      </c>
      <c r="BC12">
        <v>2</v>
      </c>
      <c r="BD12">
        <v>2</v>
      </c>
      <c r="BE12">
        <v>0</v>
      </c>
      <c r="BF12">
        <v>0</v>
      </c>
      <c r="BG12">
        <v>0</v>
      </c>
      <c r="BH12">
        <v>2908</v>
      </c>
      <c r="BI12">
        <v>2</v>
      </c>
      <c r="BJ12">
        <v>2</v>
      </c>
    </row>
    <row r="13" spans="1:62">
      <c r="A13" s="118" t="s">
        <v>268</v>
      </c>
      <c r="B13">
        <v>6</v>
      </c>
      <c r="C13">
        <v>4.913282308003452E-2</v>
      </c>
      <c r="D13">
        <v>7.4214652450160356E-4</v>
      </c>
      <c r="E13">
        <v>4.9208398587140954E-2</v>
      </c>
      <c r="F13">
        <v>7.4367429486905088E-4</v>
      </c>
      <c r="G13" t="e">
        <v>#DIV/0!</v>
      </c>
      <c r="H13">
        <v>6</v>
      </c>
      <c r="I13">
        <v>6</v>
      </c>
      <c r="J13">
        <v>6</v>
      </c>
      <c r="K13">
        <v>6</v>
      </c>
      <c r="L13">
        <v>6</v>
      </c>
      <c r="M13">
        <v>6</v>
      </c>
      <c r="N13">
        <v>6</v>
      </c>
      <c r="O13">
        <v>6</v>
      </c>
      <c r="P13">
        <v>6</v>
      </c>
      <c r="Q13">
        <v>6</v>
      </c>
      <c r="R13">
        <v>6</v>
      </c>
      <c r="S13">
        <v>6</v>
      </c>
      <c r="T13">
        <v>6</v>
      </c>
      <c r="U13">
        <v>6</v>
      </c>
      <c r="V13">
        <v>0</v>
      </c>
      <c r="W13">
        <v>0</v>
      </c>
      <c r="X13">
        <v>0</v>
      </c>
      <c r="Y13">
        <v>0</v>
      </c>
      <c r="Z13">
        <v>0</v>
      </c>
      <c r="AA13">
        <v>6</v>
      </c>
      <c r="AB13">
        <v>0</v>
      </c>
      <c r="AC13">
        <v>0</v>
      </c>
      <c r="AD13">
        <v>0</v>
      </c>
      <c r="AE13">
        <v>0</v>
      </c>
      <c r="AF13">
        <v>0</v>
      </c>
      <c r="AG13">
        <v>0</v>
      </c>
      <c r="AH13">
        <v>0</v>
      </c>
      <c r="AI13">
        <v>0</v>
      </c>
      <c r="AJ13">
        <v>6</v>
      </c>
      <c r="AK13">
        <v>0</v>
      </c>
      <c r="AL13">
        <v>0</v>
      </c>
      <c r="AM13">
        <v>6</v>
      </c>
      <c r="AN13">
        <v>6</v>
      </c>
      <c r="AO13">
        <v>6</v>
      </c>
      <c r="AP13">
        <v>6</v>
      </c>
      <c r="AQ13">
        <v>6</v>
      </c>
      <c r="AR13">
        <v>6</v>
      </c>
      <c r="AS13">
        <v>6</v>
      </c>
      <c r="AT13">
        <v>6</v>
      </c>
      <c r="AU13">
        <v>6</v>
      </c>
      <c r="AV13">
        <v>6</v>
      </c>
      <c r="AW13">
        <v>6</v>
      </c>
      <c r="AX13">
        <v>6</v>
      </c>
      <c r="AY13">
        <v>6</v>
      </c>
      <c r="AZ13">
        <v>6</v>
      </c>
      <c r="BA13">
        <v>6</v>
      </c>
      <c r="BB13">
        <v>6</v>
      </c>
      <c r="BC13">
        <v>6</v>
      </c>
      <c r="BD13">
        <v>6</v>
      </c>
      <c r="BE13">
        <v>6</v>
      </c>
      <c r="BF13">
        <v>6</v>
      </c>
      <c r="BG13">
        <v>6</v>
      </c>
      <c r="BH13">
        <v>2120.5</v>
      </c>
      <c r="BI13">
        <v>6</v>
      </c>
      <c r="BJ13">
        <v>6</v>
      </c>
    </row>
    <row r="14" spans="1:62">
      <c r="A14" s="118" t="s">
        <v>308</v>
      </c>
      <c r="B14">
        <v>6</v>
      </c>
      <c r="C14">
        <v>0.15124181441320864</v>
      </c>
      <c r="D14">
        <v>5.5369346405094002E-3</v>
      </c>
      <c r="E14">
        <v>0.15250197300297083</v>
      </c>
      <c r="F14">
        <v>5.6027217679006187E-3</v>
      </c>
      <c r="G14" t="e">
        <v>#DIV/0!</v>
      </c>
      <c r="H14">
        <v>6</v>
      </c>
      <c r="I14">
        <v>6</v>
      </c>
      <c r="J14">
        <v>6</v>
      </c>
      <c r="K14">
        <v>6</v>
      </c>
      <c r="L14">
        <v>6</v>
      </c>
      <c r="M14">
        <v>6</v>
      </c>
      <c r="N14">
        <v>6</v>
      </c>
      <c r="O14">
        <v>6</v>
      </c>
      <c r="P14">
        <v>6</v>
      </c>
      <c r="Q14">
        <v>6</v>
      </c>
      <c r="R14">
        <v>6</v>
      </c>
      <c r="S14">
        <v>6</v>
      </c>
      <c r="T14">
        <v>6</v>
      </c>
      <c r="U14">
        <v>6</v>
      </c>
      <c r="V14">
        <v>2</v>
      </c>
      <c r="W14">
        <v>0</v>
      </c>
      <c r="X14">
        <v>0</v>
      </c>
      <c r="Y14">
        <v>0</v>
      </c>
      <c r="Z14">
        <v>0</v>
      </c>
      <c r="AA14">
        <v>2</v>
      </c>
      <c r="AB14">
        <v>2</v>
      </c>
      <c r="AC14">
        <v>0</v>
      </c>
      <c r="AD14">
        <v>0</v>
      </c>
      <c r="AE14">
        <v>0</v>
      </c>
      <c r="AF14">
        <v>0</v>
      </c>
      <c r="AG14">
        <v>0</v>
      </c>
      <c r="AH14">
        <v>0</v>
      </c>
      <c r="AI14">
        <v>0</v>
      </c>
      <c r="AJ14">
        <v>3</v>
      </c>
      <c r="AK14">
        <v>3</v>
      </c>
      <c r="AL14">
        <v>0</v>
      </c>
      <c r="AM14">
        <v>6</v>
      </c>
      <c r="AN14">
        <v>6</v>
      </c>
      <c r="AO14">
        <v>6</v>
      </c>
      <c r="AP14">
        <v>6</v>
      </c>
      <c r="AQ14">
        <v>6</v>
      </c>
      <c r="AR14">
        <v>6</v>
      </c>
      <c r="AS14">
        <v>6</v>
      </c>
      <c r="AT14">
        <v>6</v>
      </c>
      <c r="AU14">
        <v>6</v>
      </c>
      <c r="AV14">
        <v>6</v>
      </c>
      <c r="AW14">
        <v>6</v>
      </c>
      <c r="AX14">
        <v>6</v>
      </c>
      <c r="AY14">
        <v>6</v>
      </c>
      <c r="AZ14">
        <v>6</v>
      </c>
      <c r="BA14">
        <v>6</v>
      </c>
      <c r="BB14">
        <v>6</v>
      </c>
      <c r="BC14">
        <v>6</v>
      </c>
      <c r="BD14">
        <v>6</v>
      </c>
      <c r="BE14">
        <v>0</v>
      </c>
      <c r="BF14">
        <v>0</v>
      </c>
      <c r="BG14">
        <v>6</v>
      </c>
      <c r="BH14">
        <v>180.5</v>
      </c>
      <c r="BI14">
        <v>6</v>
      </c>
      <c r="BJ14">
        <v>6</v>
      </c>
    </row>
    <row r="15" spans="1:62">
      <c r="A15" s="118" t="s">
        <v>292</v>
      </c>
      <c r="B15">
        <v>3</v>
      </c>
      <c r="C15">
        <v>3.5373638587390531E-2</v>
      </c>
      <c r="D15">
        <v>2.026727352956525E-4</v>
      </c>
      <c r="E15">
        <v>3.5391879066880579E-2</v>
      </c>
      <c r="F15">
        <v>2.0278094139832979E-4</v>
      </c>
      <c r="G15" t="e">
        <v>#DIV/0!</v>
      </c>
      <c r="H15">
        <v>3</v>
      </c>
      <c r="I15">
        <v>3</v>
      </c>
      <c r="J15">
        <v>3</v>
      </c>
      <c r="K15">
        <v>3</v>
      </c>
      <c r="L15">
        <v>3</v>
      </c>
      <c r="M15">
        <v>3</v>
      </c>
      <c r="N15">
        <v>3</v>
      </c>
      <c r="O15">
        <v>3</v>
      </c>
      <c r="P15">
        <v>3</v>
      </c>
      <c r="Q15">
        <v>3</v>
      </c>
      <c r="R15">
        <v>3</v>
      </c>
      <c r="S15">
        <v>3</v>
      </c>
      <c r="T15">
        <v>3</v>
      </c>
      <c r="U15">
        <v>3</v>
      </c>
      <c r="V15">
        <v>0</v>
      </c>
      <c r="W15">
        <v>0</v>
      </c>
      <c r="X15">
        <v>3</v>
      </c>
      <c r="Y15">
        <v>0</v>
      </c>
      <c r="Z15">
        <v>0</v>
      </c>
      <c r="AA15">
        <v>0</v>
      </c>
      <c r="AB15">
        <v>0</v>
      </c>
      <c r="AC15">
        <v>0</v>
      </c>
      <c r="AD15">
        <v>0</v>
      </c>
      <c r="AE15">
        <v>2</v>
      </c>
      <c r="AF15">
        <v>0</v>
      </c>
      <c r="AG15">
        <v>2</v>
      </c>
      <c r="AH15">
        <v>0</v>
      </c>
      <c r="AI15">
        <v>1</v>
      </c>
      <c r="AJ15">
        <v>0</v>
      </c>
      <c r="AK15">
        <v>0</v>
      </c>
      <c r="AL15">
        <v>0</v>
      </c>
      <c r="AM15">
        <v>3</v>
      </c>
      <c r="AN15">
        <v>3</v>
      </c>
      <c r="AO15">
        <v>3</v>
      </c>
      <c r="AP15">
        <v>3</v>
      </c>
      <c r="AQ15">
        <v>3</v>
      </c>
      <c r="AR15">
        <v>3</v>
      </c>
      <c r="AS15">
        <v>3</v>
      </c>
      <c r="AT15">
        <v>3</v>
      </c>
      <c r="AU15">
        <v>3</v>
      </c>
      <c r="AV15">
        <v>3</v>
      </c>
      <c r="AW15">
        <v>3</v>
      </c>
      <c r="AX15">
        <v>3</v>
      </c>
      <c r="AY15">
        <v>3</v>
      </c>
      <c r="AZ15">
        <v>3</v>
      </c>
      <c r="BA15">
        <v>3</v>
      </c>
      <c r="BB15">
        <v>3</v>
      </c>
      <c r="BC15">
        <v>3</v>
      </c>
      <c r="BD15">
        <v>3</v>
      </c>
      <c r="BE15">
        <v>0</v>
      </c>
      <c r="BF15">
        <v>3</v>
      </c>
      <c r="BG15">
        <v>3</v>
      </c>
      <c r="BH15">
        <v>6330.333333333333</v>
      </c>
      <c r="BI15">
        <v>3</v>
      </c>
      <c r="BJ15">
        <v>3</v>
      </c>
    </row>
    <row r="16" spans="1:62">
      <c r="A16" s="118" t="s">
        <v>250</v>
      </c>
      <c r="B16">
        <v>22</v>
      </c>
      <c r="C16">
        <v>3.8693233846490677E-2</v>
      </c>
      <c r="D16">
        <v>4.0932782952077268E-4</v>
      </c>
      <c r="E16">
        <v>3.8715158298460652E-2</v>
      </c>
      <c r="F16">
        <v>4.0977270515700682E-4</v>
      </c>
      <c r="G16" t="e">
        <v>#DIV/0!</v>
      </c>
      <c r="H16">
        <v>22</v>
      </c>
      <c r="I16">
        <v>22</v>
      </c>
      <c r="J16">
        <v>22</v>
      </c>
      <c r="K16">
        <v>22</v>
      </c>
      <c r="L16">
        <v>22</v>
      </c>
      <c r="M16">
        <v>22</v>
      </c>
      <c r="N16">
        <v>22</v>
      </c>
      <c r="O16">
        <v>22</v>
      </c>
      <c r="P16">
        <v>22</v>
      </c>
      <c r="Q16">
        <v>22</v>
      </c>
      <c r="R16">
        <v>22</v>
      </c>
      <c r="S16">
        <v>22</v>
      </c>
      <c r="T16">
        <v>22</v>
      </c>
      <c r="U16">
        <v>22</v>
      </c>
      <c r="V16">
        <v>0</v>
      </c>
      <c r="W16">
        <v>0</v>
      </c>
      <c r="X16">
        <v>12</v>
      </c>
      <c r="Y16">
        <v>10</v>
      </c>
      <c r="Z16">
        <v>0</v>
      </c>
      <c r="AA16">
        <v>0</v>
      </c>
      <c r="AB16">
        <v>0</v>
      </c>
      <c r="AC16">
        <v>0</v>
      </c>
      <c r="AD16">
        <v>0</v>
      </c>
      <c r="AE16">
        <v>0</v>
      </c>
      <c r="AF16">
        <v>0</v>
      </c>
      <c r="AG16">
        <v>0</v>
      </c>
      <c r="AH16">
        <v>0</v>
      </c>
      <c r="AI16">
        <v>0</v>
      </c>
      <c r="AJ16">
        <v>0</v>
      </c>
      <c r="AK16">
        <v>10</v>
      </c>
      <c r="AL16">
        <v>0</v>
      </c>
      <c r="AM16">
        <v>22</v>
      </c>
      <c r="AN16">
        <v>22</v>
      </c>
      <c r="AO16">
        <v>22</v>
      </c>
      <c r="AP16">
        <v>22</v>
      </c>
      <c r="AQ16">
        <v>22</v>
      </c>
      <c r="AR16">
        <v>22</v>
      </c>
      <c r="AS16">
        <v>22</v>
      </c>
      <c r="AT16">
        <v>22</v>
      </c>
      <c r="AU16">
        <v>22</v>
      </c>
      <c r="AV16">
        <v>22</v>
      </c>
      <c r="AW16">
        <v>22</v>
      </c>
      <c r="AX16">
        <v>22</v>
      </c>
      <c r="AY16">
        <v>22</v>
      </c>
      <c r="AZ16">
        <v>22</v>
      </c>
      <c r="BA16">
        <v>22</v>
      </c>
      <c r="BB16">
        <v>22</v>
      </c>
      <c r="BC16">
        <v>22</v>
      </c>
      <c r="BD16">
        <v>22</v>
      </c>
      <c r="BE16">
        <v>10</v>
      </c>
      <c r="BF16">
        <v>12</v>
      </c>
      <c r="BG16">
        <v>12</v>
      </c>
      <c r="BH16">
        <v>3806.7272727272725</v>
      </c>
      <c r="BI16">
        <v>22</v>
      </c>
      <c r="BJ16">
        <v>22</v>
      </c>
    </row>
    <row r="17" spans="1:62">
      <c r="A17" s="118" t="s">
        <v>172</v>
      </c>
      <c r="B17">
        <v>1</v>
      </c>
      <c r="C17">
        <v>1.1888103724369721E-2</v>
      </c>
      <c r="D17">
        <v>5.2241144082275201E-5</v>
      </c>
      <c r="E17">
        <v>1.1888663808582136E-2</v>
      </c>
      <c r="F17">
        <v>5.2246603970741903E-5</v>
      </c>
      <c r="G17" t="e">
        <v>#DIV/0!</v>
      </c>
      <c r="H17">
        <v>1</v>
      </c>
      <c r="I17">
        <v>1</v>
      </c>
      <c r="J17">
        <v>1</v>
      </c>
      <c r="K17">
        <v>1</v>
      </c>
      <c r="L17">
        <v>1</v>
      </c>
      <c r="M17">
        <v>1</v>
      </c>
      <c r="N17">
        <v>1</v>
      </c>
      <c r="O17">
        <v>1</v>
      </c>
      <c r="P17">
        <v>1</v>
      </c>
      <c r="Q17">
        <v>1</v>
      </c>
      <c r="R17">
        <v>1</v>
      </c>
      <c r="S17">
        <v>1</v>
      </c>
      <c r="T17">
        <v>1</v>
      </c>
      <c r="U17">
        <v>1</v>
      </c>
      <c r="V17">
        <v>0</v>
      </c>
      <c r="W17">
        <v>0</v>
      </c>
      <c r="X17">
        <v>1</v>
      </c>
      <c r="Y17">
        <v>0</v>
      </c>
      <c r="Z17">
        <v>0</v>
      </c>
      <c r="AA17">
        <v>0</v>
      </c>
      <c r="AB17">
        <v>0</v>
      </c>
      <c r="AC17">
        <v>0</v>
      </c>
      <c r="AD17">
        <v>1</v>
      </c>
      <c r="AE17">
        <v>0</v>
      </c>
      <c r="AF17">
        <v>0</v>
      </c>
      <c r="AG17">
        <v>0</v>
      </c>
      <c r="AH17">
        <v>0</v>
      </c>
      <c r="AI17">
        <v>0</v>
      </c>
      <c r="AJ17">
        <v>0</v>
      </c>
      <c r="AK17">
        <v>0</v>
      </c>
      <c r="AL17">
        <v>0</v>
      </c>
      <c r="AM17">
        <v>1</v>
      </c>
      <c r="AN17">
        <v>1</v>
      </c>
      <c r="AO17">
        <v>1</v>
      </c>
      <c r="AP17">
        <v>1</v>
      </c>
      <c r="AQ17">
        <v>1</v>
      </c>
      <c r="AR17">
        <v>1</v>
      </c>
      <c r="AS17">
        <v>1</v>
      </c>
      <c r="AT17">
        <v>1</v>
      </c>
      <c r="AU17">
        <v>1</v>
      </c>
      <c r="AV17">
        <v>1</v>
      </c>
      <c r="AW17">
        <v>1</v>
      </c>
      <c r="AX17">
        <v>1</v>
      </c>
      <c r="AY17">
        <v>1</v>
      </c>
      <c r="AZ17">
        <v>1</v>
      </c>
      <c r="BA17">
        <v>1</v>
      </c>
      <c r="BB17">
        <v>1</v>
      </c>
      <c r="BC17">
        <v>1</v>
      </c>
      <c r="BD17">
        <v>1</v>
      </c>
      <c r="BE17">
        <v>0</v>
      </c>
      <c r="BF17">
        <v>0</v>
      </c>
      <c r="BG17">
        <v>0</v>
      </c>
      <c r="BH17">
        <v>19141</v>
      </c>
      <c r="BI17">
        <v>1</v>
      </c>
      <c r="BJ17">
        <v>1</v>
      </c>
    </row>
    <row r="18" spans="1:62">
      <c r="A18" s="118" t="s">
        <v>530</v>
      </c>
      <c r="B18">
        <v>144</v>
      </c>
      <c r="C18" t="e">
        <v>#VALUE!</v>
      </c>
      <c r="D18" t="e">
        <v>#VALUE!</v>
      </c>
      <c r="E18" t="e">
        <v>#VALUE!</v>
      </c>
      <c r="F18">
        <v>9.9224427513618773E-3</v>
      </c>
      <c r="G18" t="e">
        <v>#VALUE!</v>
      </c>
      <c r="H18">
        <v>144</v>
      </c>
      <c r="I18">
        <v>144</v>
      </c>
      <c r="J18">
        <v>144</v>
      </c>
      <c r="K18">
        <v>144</v>
      </c>
      <c r="L18">
        <v>144</v>
      </c>
      <c r="M18">
        <v>144</v>
      </c>
      <c r="N18">
        <v>144</v>
      </c>
      <c r="O18">
        <v>144</v>
      </c>
      <c r="P18">
        <v>144</v>
      </c>
      <c r="Q18">
        <v>144</v>
      </c>
      <c r="R18">
        <v>144</v>
      </c>
      <c r="S18">
        <v>144</v>
      </c>
      <c r="T18">
        <v>144</v>
      </c>
      <c r="U18">
        <v>144</v>
      </c>
      <c r="V18">
        <v>6</v>
      </c>
      <c r="W18">
        <v>29</v>
      </c>
      <c r="X18">
        <v>59</v>
      </c>
      <c r="Y18">
        <v>32</v>
      </c>
      <c r="Z18">
        <v>2</v>
      </c>
      <c r="AA18">
        <v>29</v>
      </c>
      <c r="AB18">
        <v>6</v>
      </c>
      <c r="AC18">
        <v>0</v>
      </c>
      <c r="AD18">
        <v>6</v>
      </c>
      <c r="AE18">
        <v>14</v>
      </c>
      <c r="AF18">
        <v>3</v>
      </c>
      <c r="AG18">
        <v>25</v>
      </c>
      <c r="AH18">
        <v>6</v>
      </c>
      <c r="AI18">
        <v>15</v>
      </c>
      <c r="AJ18">
        <v>33</v>
      </c>
      <c r="AK18">
        <v>19</v>
      </c>
      <c r="AL18">
        <v>13</v>
      </c>
      <c r="AM18">
        <v>144</v>
      </c>
      <c r="AN18">
        <v>144</v>
      </c>
      <c r="AO18" t="e">
        <v>#NUM!</v>
      </c>
      <c r="AP18">
        <v>144</v>
      </c>
      <c r="AQ18">
        <v>144</v>
      </c>
      <c r="AR18">
        <v>144</v>
      </c>
      <c r="AS18">
        <v>144</v>
      </c>
      <c r="AT18" t="e">
        <v>#VALUE!</v>
      </c>
      <c r="AU18">
        <v>144</v>
      </c>
      <c r="AV18" t="e">
        <v>#NUM!</v>
      </c>
      <c r="AW18">
        <v>144</v>
      </c>
      <c r="AX18">
        <v>144</v>
      </c>
      <c r="AY18">
        <v>144</v>
      </c>
      <c r="AZ18">
        <v>144</v>
      </c>
      <c r="BA18">
        <v>144</v>
      </c>
      <c r="BB18">
        <v>144</v>
      </c>
      <c r="BC18">
        <v>144</v>
      </c>
      <c r="BD18">
        <v>144</v>
      </c>
      <c r="BE18">
        <v>37</v>
      </c>
      <c r="BF18">
        <v>41</v>
      </c>
      <c r="BG18">
        <v>99</v>
      </c>
      <c r="BH18">
        <v>2979.3680555555557</v>
      </c>
      <c r="BI18">
        <v>144</v>
      </c>
      <c r="BJ18">
        <v>144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99"/>
  <sheetViews>
    <sheetView topLeftCell="D1" zoomScale="115" zoomScaleNormal="70" workbookViewId="0">
      <pane ySplit="1" topLeftCell="A2" activePane="bottomLeft" state="frozen"/>
      <selection pane="bottomLeft" activeCell="I28" sqref="I28"/>
    </sheetView>
  </sheetViews>
  <sheetFormatPr baseColWidth="10" defaultColWidth="11" defaultRowHeight="16"/>
  <cols>
    <col min="3" max="3" width="15.5" customWidth="1"/>
    <col min="5" max="5" width="19.6640625" customWidth="1"/>
    <col min="6" max="6" width="22" customWidth="1"/>
    <col min="7" max="7" width="18.1640625" style="26" customWidth="1"/>
    <col min="8" max="8" width="20.5" customWidth="1"/>
    <col min="9" max="9" width="14.1640625" customWidth="1"/>
    <col min="10" max="10" width="15.1640625" customWidth="1"/>
  </cols>
  <sheetData>
    <row r="1" spans="1:19" ht="17">
      <c r="A1" t="s">
        <v>459</v>
      </c>
      <c r="B1" t="s">
        <v>189</v>
      </c>
      <c r="C1" s="1" t="s">
        <v>460</v>
      </c>
      <c r="D1" t="s">
        <v>10</v>
      </c>
      <c r="E1" s="1" t="s">
        <v>40</v>
      </c>
      <c r="F1" s="2" t="s">
        <v>9</v>
      </c>
      <c r="G1" s="37" t="s">
        <v>461</v>
      </c>
      <c r="H1" s="38" t="s">
        <v>186</v>
      </c>
      <c r="I1" s="39" t="s">
        <v>28</v>
      </c>
      <c r="J1" s="39" t="s">
        <v>7</v>
      </c>
      <c r="K1" s="39" t="s">
        <v>462</v>
      </c>
      <c r="L1" s="39" t="s">
        <v>187</v>
      </c>
      <c r="M1" s="39" t="s">
        <v>185</v>
      </c>
      <c r="N1" s="39" t="s">
        <v>50</v>
      </c>
      <c r="O1" s="39" t="s">
        <v>211</v>
      </c>
      <c r="P1" s="42" t="s">
        <v>200</v>
      </c>
      <c r="R1" s="39" t="s">
        <v>183</v>
      </c>
      <c r="S1" s="39" t="s">
        <v>4</v>
      </c>
    </row>
    <row r="2" spans="1:19" ht="34">
      <c r="A2">
        <v>0</v>
      </c>
      <c r="B2" t="s">
        <v>189</v>
      </c>
      <c r="C2" t="s">
        <v>231</v>
      </c>
      <c r="D2" t="s">
        <v>112</v>
      </c>
      <c r="E2">
        <v>1</v>
      </c>
      <c r="F2" t="s">
        <v>93</v>
      </c>
      <c r="G2" s="26" t="s">
        <v>259</v>
      </c>
      <c r="H2" t="s">
        <v>257</v>
      </c>
      <c r="I2" t="s">
        <v>80</v>
      </c>
      <c r="J2" t="s">
        <v>305</v>
      </c>
      <c r="K2" t="s">
        <v>222</v>
      </c>
      <c r="L2" t="s">
        <v>463</v>
      </c>
      <c r="M2" t="s">
        <v>219</v>
      </c>
      <c r="N2" t="s">
        <v>81</v>
      </c>
      <c r="O2" t="s">
        <v>315</v>
      </c>
      <c r="P2" s="41" t="s">
        <v>224</v>
      </c>
      <c r="R2" s="47" t="s">
        <v>464</v>
      </c>
      <c r="S2" s="47" t="s">
        <v>404</v>
      </c>
    </row>
    <row r="3" spans="1:19" ht="34">
      <c r="A3">
        <v>1</v>
      </c>
      <c r="B3" t="s">
        <v>289</v>
      </c>
      <c r="C3" t="s">
        <v>230</v>
      </c>
      <c r="D3" t="s">
        <v>247</v>
      </c>
      <c r="E3">
        <v>2</v>
      </c>
      <c r="F3" t="s">
        <v>292</v>
      </c>
      <c r="G3" s="26" t="s">
        <v>239</v>
      </c>
      <c r="H3" t="s">
        <v>248</v>
      </c>
      <c r="I3" t="s">
        <v>86</v>
      </c>
      <c r="J3" t="s">
        <v>465</v>
      </c>
      <c r="K3" t="s">
        <v>244</v>
      </c>
      <c r="L3" t="s">
        <v>258</v>
      </c>
      <c r="M3" t="s">
        <v>252</v>
      </c>
      <c r="N3" t="s">
        <v>148</v>
      </c>
      <c r="O3" t="s">
        <v>320</v>
      </c>
      <c r="P3" s="41" t="s">
        <v>255</v>
      </c>
      <c r="R3" s="46" t="s">
        <v>225</v>
      </c>
      <c r="S3" s="46" t="s">
        <v>466</v>
      </c>
    </row>
    <row r="4" spans="1:19" ht="51">
      <c r="A4" t="s">
        <v>73</v>
      </c>
      <c r="B4" t="s">
        <v>221</v>
      </c>
      <c r="C4" t="s">
        <v>73</v>
      </c>
      <c r="D4" t="s">
        <v>251</v>
      </c>
      <c r="E4">
        <v>3</v>
      </c>
      <c r="F4" t="s">
        <v>467</v>
      </c>
      <c r="G4" s="26" t="s">
        <v>223</v>
      </c>
      <c r="H4" t="s">
        <v>425</v>
      </c>
      <c r="J4" t="s">
        <v>272</v>
      </c>
      <c r="L4" t="s">
        <v>229</v>
      </c>
      <c r="M4" t="s">
        <v>227</v>
      </c>
      <c r="N4" t="s">
        <v>226</v>
      </c>
      <c r="O4" t="s">
        <v>260</v>
      </c>
      <c r="P4" s="41" t="s">
        <v>422</v>
      </c>
      <c r="R4" s="44" t="s">
        <v>375</v>
      </c>
      <c r="S4" s="44" t="s">
        <v>376</v>
      </c>
    </row>
    <row r="5" spans="1:19" ht="51">
      <c r="D5" t="s">
        <v>318</v>
      </c>
      <c r="F5" t="s">
        <v>120</v>
      </c>
      <c r="G5" s="40" t="s">
        <v>298</v>
      </c>
      <c r="H5" t="s">
        <v>220</v>
      </c>
      <c r="J5" s="41" t="s">
        <v>275</v>
      </c>
      <c r="L5" t="s">
        <v>468</v>
      </c>
      <c r="M5" t="s">
        <v>73</v>
      </c>
      <c r="N5" t="s">
        <v>124</v>
      </c>
      <c r="O5" s="41" t="s">
        <v>436</v>
      </c>
      <c r="P5" t="s">
        <v>73</v>
      </c>
      <c r="R5" s="46" t="s">
        <v>217</v>
      </c>
      <c r="S5" s="46" t="s">
        <v>469</v>
      </c>
    </row>
    <row r="6" spans="1:19">
      <c r="D6" s="41" t="s">
        <v>269</v>
      </c>
      <c r="F6" t="s">
        <v>470</v>
      </c>
      <c r="H6" t="s">
        <v>228</v>
      </c>
      <c r="J6" t="s">
        <v>262</v>
      </c>
      <c r="L6" t="s">
        <v>471</v>
      </c>
      <c r="N6" t="s">
        <v>280</v>
      </c>
      <c r="O6" t="s">
        <v>73</v>
      </c>
      <c r="R6" s="46" t="s">
        <v>245</v>
      </c>
      <c r="S6" s="46" t="s">
        <v>246</v>
      </c>
    </row>
    <row r="7" spans="1:19">
      <c r="F7" t="s">
        <v>242</v>
      </c>
      <c r="H7" t="s">
        <v>236</v>
      </c>
      <c r="J7" s="41" t="s">
        <v>278</v>
      </c>
      <c r="L7" t="s">
        <v>237</v>
      </c>
      <c r="N7" t="s">
        <v>348</v>
      </c>
      <c r="O7" t="s">
        <v>290</v>
      </c>
      <c r="R7" s="46" t="s">
        <v>428</v>
      </c>
      <c r="S7" s="46" t="s">
        <v>429</v>
      </c>
    </row>
    <row r="8" spans="1:19">
      <c r="F8" t="s">
        <v>107</v>
      </c>
      <c r="J8" s="41" t="s">
        <v>366</v>
      </c>
      <c r="L8" t="s">
        <v>290</v>
      </c>
      <c r="N8" t="s">
        <v>361</v>
      </c>
      <c r="R8" s="46" t="s">
        <v>324</v>
      </c>
      <c r="S8" s="46" t="s">
        <v>325</v>
      </c>
    </row>
    <row r="9" spans="1:19">
      <c r="F9" t="s">
        <v>279</v>
      </c>
      <c r="J9" t="s">
        <v>290</v>
      </c>
      <c r="L9" t="s">
        <v>453</v>
      </c>
      <c r="N9" t="s">
        <v>472</v>
      </c>
      <c r="R9" s="44" t="s">
        <v>451</v>
      </c>
      <c r="S9" s="44" t="s">
        <v>452</v>
      </c>
    </row>
    <row r="10" spans="1:19">
      <c r="F10" t="s">
        <v>155</v>
      </c>
      <c r="J10" t="s">
        <v>402</v>
      </c>
      <c r="L10" t="s">
        <v>253</v>
      </c>
      <c r="N10" t="s">
        <v>256</v>
      </c>
      <c r="R10" s="44" t="s">
        <v>270</v>
      </c>
      <c r="S10" s="44" t="s">
        <v>271</v>
      </c>
    </row>
    <row r="11" spans="1:19">
      <c r="F11" t="s">
        <v>241</v>
      </c>
      <c r="J11" t="s">
        <v>398</v>
      </c>
      <c r="N11" t="s">
        <v>263</v>
      </c>
      <c r="R11" s="44" t="s">
        <v>273</v>
      </c>
      <c r="S11" s="44" t="s">
        <v>274</v>
      </c>
    </row>
    <row r="12" spans="1:19">
      <c r="F12" t="s">
        <v>347</v>
      </c>
      <c r="J12" t="s">
        <v>73</v>
      </c>
      <c r="N12" t="s">
        <v>243</v>
      </c>
      <c r="R12" s="44" t="s">
        <v>473</v>
      </c>
      <c r="S12" s="44" t="s">
        <v>474</v>
      </c>
    </row>
    <row r="13" spans="1:19">
      <c r="F13" t="s">
        <v>218</v>
      </c>
      <c r="N13" t="s">
        <v>96</v>
      </c>
      <c r="R13" s="46" t="s">
        <v>344</v>
      </c>
      <c r="S13" s="46" t="s">
        <v>345</v>
      </c>
    </row>
    <row r="14" spans="1:19">
      <c r="F14" s="41" t="s">
        <v>308</v>
      </c>
      <c r="N14" t="s">
        <v>306</v>
      </c>
      <c r="R14" s="44" t="s">
        <v>379</v>
      </c>
      <c r="S14" s="44" t="s">
        <v>380</v>
      </c>
    </row>
    <row r="15" spans="1:19">
      <c r="F15" s="41" t="s">
        <v>155</v>
      </c>
      <c r="N15" t="s">
        <v>319</v>
      </c>
      <c r="R15" s="46" t="s">
        <v>232</v>
      </c>
      <c r="S15" s="46" t="s">
        <v>475</v>
      </c>
    </row>
    <row r="16" spans="1:19">
      <c r="F16" s="41" t="s">
        <v>476</v>
      </c>
      <c r="N16" t="s">
        <v>156</v>
      </c>
      <c r="R16" s="46" t="s">
        <v>326</v>
      </c>
      <c r="S16" s="46" t="s">
        <v>327</v>
      </c>
    </row>
    <row r="17" spans="6:19">
      <c r="F17" s="41" t="s">
        <v>281</v>
      </c>
      <c r="N17" t="s">
        <v>430</v>
      </c>
      <c r="R17" s="44" t="s">
        <v>439</v>
      </c>
      <c r="S17" s="44" t="s">
        <v>440</v>
      </c>
    </row>
    <row r="18" spans="6:19">
      <c r="F18" s="41" t="s">
        <v>268</v>
      </c>
      <c r="N18" t="s">
        <v>356</v>
      </c>
      <c r="R18" s="46" t="s">
        <v>458</v>
      </c>
      <c r="S18" s="46" t="s">
        <v>127</v>
      </c>
    </row>
    <row r="19" spans="6:19">
      <c r="F19" s="41" t="s">
        <v>300</v>
      </c>
      <c r="N19" t="s">
        <v>477</v>
      </c>
      <c r="R19" s="44" t="s">
        <v>313</v>
      </c>
      <c r="S19" t="s">
        <v>314</v>
      </c>
    </row>
    <row r="20" spans="6:19">
      <c r="F20" s="41" t="s">
        <v>296</v>
      </c>
      <c r="N20" t="s">
        <v>478</v>
      </c>
      <c r="R20" s="46" t="s">
        <v>284</v>
      </c>
      <c r="S20" s="46" t="s">
        <v>285</v>
      </c>
    </row>
    <row r="21" spans="6:19">
      <c r="F21" s="41" t="s">
        <v>299</v>
      </c>
      <c r="N21" t="s">
        <v>293</v>
      </c>
      <c r="R21" s="44" t="s">
        <v>321</v>
      </c>
      <c r="S21" s="44" t="s">
        <v>322</v>
      </c>
    </row>
    <row r="22" spans="6:19">
      <c r="F22" s="41" t="s">
        <v>341</v>
      </c>
      <c r="N22" t="s">
        <v>138</v>
      </c>
      <c r="R22" s="46" t="s">
        <v>321</v>
      </c>
      <c r="S22" s="46" t="s">
        <v>479</v>
      </c>
    </row>
    <row r="23" spans="6:19">
      <c r="F23" s="41" t="s">
        <v>250</v>
      </c>
      <c r="N23" t="s">
        <v>480</v>
      </c>
      <c r="R23" s="44" t="s">
        <v>481</v>
      </c>
      <c r="S23" s="44" t="s">
        <v>291</v>
      </c>
    </row>
    <row r="24" spans="6:19">
      <c r="F24" s="41" t="s">
        <v>482</v>
      </c>
      <c r="N24" t="s">
        <v>340</v>
      </c>
      <c r="R24" s="44" t="s">
        <v>276</v>
      </c>
      <c r="S24" s="44" t="s">
        <v>277</v>
      </c>
    </row>
    <row r="25" spans="6:19">
      <c r="F25" s="41" t="s">
        <v>323</v>
      </c>
      <c r="N25" t="s">
        <v>381</v>
      </c>
      <c r="R25" s="44" t="s">
        <v>441</v>
      </c>
      <c r="S25" s="44" t="s">
        <v>442</v>
      </c>
    </row>
    <row r="26" spans="6:19">
      <c r="F26" s="41" t="s">
        <v>483</v>
      </c>
      <c r="N26" t="s">
        <v>387</v>
      </c>
      <c r="R26" s="44" t="s">
        <v>484</v>
      </c>
      <c r="S26" s="44" t="s">
        <v>485</v>
      </c>
    </row>
    <row r="27" spans="6:19">
      <c r="F27" s="41" t="s">
        <v>394</v>
      </c>
      <c r="N27" t="s">
        <v>302</v>
      </c>
      <c r="R27" s="44" t="s">
        <v>486</v>
      </c>
      <c r="S27" s="44" t="s">
        <v>487</v>
      </c>
    </row>
    <row r="28" spans="6:19">
      <c r="F28" s="41" t="s">
        <v>386</v>
      </c>
      <c r="N28" t="s">
        <v>409</v>
      </c>
      <c r="R28" s="44" t="s">
        <v>434</v>
      </c>
      <c r="S28" s="44" t="s">
        <v>435</v>
      </c>
    </row>
    <row r="29" spans="6:19">
      <c r="F29" s="41" t="s">
        <v>172</v>
      </c>
      <c r="N29" t="s">
        <v>410</v>
      </c>
      <c r="R29" s="44" t="s">
        <v>261</v>
      </c>
      <c r="S29" s="44" t="s">
        <v>488</v>
      </c>
    </row>
    <row r="30" spans="6:19">
      <c r="F30" s="41" t="s">
        <v>489</v>
      </c>
      <c r="N30" t="s">
        <v>411</v>
      </c>
      <c r="R30" s="44" t="s">
        <v>490</v>
      </c>
      <c r="S30" s="44" t="s">
        <v>491</v>
      </c>
    </row>
    <row r="31" spans="6:19">
      <c r="N31" t="s">
        <v>174</v>
      </c>
      <c r="R31" s="44" t="s">
        <v>266</v>
      </c>
      <c r="S31" s="44" t="s">
        <v>267</v>
      </c>
    </row>
    <row r="32" spans="6:19">
      <c r="N32" t="s">
        <v>288</v>
      </c>
      <c r="R32" s="44" t="s">
        <v>492</v>
      </c>
      <c r="S32" s="44" t="s">
        <v>493</v>
      </c>
    </row>
    <row r="33" spans="14:19">
      <c r="N33" t="s">
        <v>131</v>
      </c>
      <c r="R33" s="44" t="s">
        <v>494</v>
      </c>
      <c r="S33" s="44" t="s">
        <v>495</v>
      </c>
    </row>
    <row r="34" spans="14:19">
      <c r="R34" s="44" t="s">
        <v>420</v>
      </c>
      <c r="S34" s="44" t="s">
        <v>421</v>
      </c>
    </row>
    <row r="35" spans="14:19">
      <c r="R35" s="44" t="s">
        <v>449</v>
      </c>
      <c r="S35" s="44" t="s">
        <v>450</v>
      </c>
    </row>
    <row r="36" spans="14:19">
      <c r="R36" s="44" t="s">
        <v>364</v>
      </c>
      <c r="S36" s="44" t="s">
        <v>365</v>
      </c>
    </row>
    <row r="37" spans="14:19">
      <c r="R37" s="46" t="s">
        <v>496</v>
      </c>
      <c r="S37" s="46" t="s">
        <v>497</v>
      </c>
    </row>
    <row r="38" spans="14:19">
      <c r="R38" s="46" t="s">
        <v>426</v>
      </c>
      <c r="S38" s="46" t="s">
        <v>427</v>
      </c>
    </row>
    <row r="39" spans="14:19">
      <c r="R39" s="46" t="s">
        <v>426</v>
      </c>
      <c r="S39" s="46" t="s">
        <v>454</v>
      </c>
    </row>
    <row r="40" spans="14:19">
      <c r="R40" s="44" t="s">
        <v>311</v>
      </c>
      <c r="S40" s="44" t="s">
        <v>312</v>
      </c>
    </row>
    <row r="41" spans="14:19">
      <c r="R41" s="44" t="s">
        <v>445</v>
      </c>
      <c r="S41" s="44" t="s">
        <v>446</v>
      </c>
    </row>
    <row r="42" spans="14:19">
      <c r="R42" s="46" t="s">
        <v>330</v>
      </c>
      <c r="S42" s="46" t="s">
        <v>498</v>
      </c>
    </row>
    <row r="43" spans="14:19">
      <c r="R43" s="46" t="s">
        <v>330</v>
      </c>
      <c r="S43" s="46" t="s">
        <v>331</v>
      </c>
    </row>
    <row r="44" spans="14:19">
      <c r="R44" s="44" t="s">
        <v>353</v>
      </c>
      <c r="S44" s="17" t="s">
        <v>117</v>
      </c>
    </row>
    <row r="45" spans="14:19">
      <c r="R45" s="46" t="s">
        <v>359</v>
      </c>
      <c r="S45" s="46" t="s">
        <v>360</v>
      </c>
    </row>
    <row r="46" spans="14:19">
      <c r="R46" s="44" t="s">
        <v>338</v>
      </c>
      <c r="S46" s="44" t="s">
        <v>339</v>
      </c>
    </row>
    <row r="47" spans="14:19">
      <c r="R47" s="46" t="s">
        <v>282</v>
      </c>
      <c r="S47" s="46" t="s">
        <v>283</v>
      </c>
    </row>
    <row r="48" spans="14:19">
      <c r="R48" s="44" t="s">
        <v>397</v>
      </c>
      <c r="S48" s="44" t="s">
        <v>499</v>
      </c>
    </row>
    <row r="49" spans="18:19">
      <c r="R49" s="44" t="s">
        <v>351</v>
      </c>
      <c r="S49" s="44" t="s">
        <v>352</v>
      </c>
    </row>
    <row r="50" spans="18:19">
      <c r="R50" s="44" t="s">
        <v>400</v>
      </c>
      <c r="S50" s="44" t="s">
        <v>401</v>
      </c>
    </row>
    <row r="51" spans="18:19">
      <c r="R51" s="44" t="s">
        <v>294</v>
      </c>
      <c r="S51" s="44" t="s">
        <v>295</v>
      </c>
    </row>
    <row r="52" spans="18:19">
      <c r="R52" s="44" t="s">
        <v>307</v>
      </c>
      <c r="S52" s="44" t="s">
        <v>500</v>
      </c>
    </row>
    <row r="53" spans="18:19">
      <c r="R53" s="44" t="s">
        <v>286</v>
      </c>
      <c r="S53" s="17" t="s">
        <v>287</v>
      </c>
    </row>
    <row r="54" spans="18:19">
      <c r="R54" s="44" t="s">
        <v>362</v>
      </c>
      <c r="S54" s="44" t="s">
        <v>363</v>
      </c>
    </row>
    <row r="55" spans="18:19">
      <c r="R55" s="44" t="s">
        <v>303</v>
      </c>
      <c r="S55" s="44" t="s">
        <v>304</v>
      </c>
    </row>
    <row r="56" spans="18:19">
      <c r="R56" s="44" t="s">
        <v>501</v>
      </c>
      <c r="S56" s="44" t="s">
        <v>502</v>
      </c>
    </row>
    <row r="57" spans="18:19">
      <c r="R57" s="44" t="s">
        <v>419</v>
      </c>
      <c r="S57" s="44" t="s">
        <v>503</v>
      </c>
    </row>
    <row r="58" spans="18:19">
      <c r="R58" s="44" t="s">
        <v>423</v>
      </c>
      <c r="S58" s="44" t="s">
        <v>424</v>
      </c>
    </row>
    <row r="59" spans="18:19">
      <c r="R59" s="44" t="s">
        <v>382</v>
      </c>
      <c r="S59" s="44" t="s">
        <v>383</v>
      </c>
    </row>
    <row r="60" spans="18:19">
      <c r="R60" s="44" t="s">
        <v>504</v>
      </c>
      <c r="S60" s="44" t="s">
        <v>505</v>
      </c>
    </row>
    <row r="61" spans="18:19">
      <c r="R61" s="44" t="s">
        <v>301</v>
      </c>
      <c r="S61" s="44" t="s">
        <v>506</v>
      </c>
    </row>
    <row r="62" spans="18:19">
      <c r="R62" s="44" t="s">
        <v>249</v>
      </c>
      <c r="S62" s="44" t="s">
        <v>507</v>
      </c>
    </row>
    <row r="63" spans="18:19">
      <c r="R63" s="44" t="s">
        <v>443</v>
      </c>
      <c r="S63" s="44" t="s">
        <v>444</v>
      </c>
    </row>
    <row r="64" spans="18:19">
      <c r="R64" s="44" t="s">
        <v>508</v>
      </c>
      <c r="S64" s="44" t="s">
        <v>509</v>
      </c>
    </row>
    <row r="65" spans="18:19">
      <c r="R65" s="44" t="s">
        <v>371</v>
      </c>
      <c r="S65" s="44" t="s">
        <v>372</v>
      </c>
    </row>
    <row r="66" spans="18:19">
      <c r="R66" s="44" t="s">
        <v>510</v>
      </c>
      <c r="S66" s="44" t="s">
        <v>511</v>
      </c>
    </row>
    <row r="67" spans="18:19">
      <c r="R67" s="44" t="s">
        <v>447</v>
      </c>
      <c r="S67" s="44" t="s">
        <v>448</v>
      </c>
    </row>
    <row r="68" spans="18:19">
      <c r="R68" s="44" t="s">
        <v>512</v>
      </c>
      <c r="S68" s="44" t="s">
        <v>513</v>
      </c>
    </row>
    <row r="69" spans="18:19">
      <c r="R69" s="44" t="s">
        <v>514</v>
      </c>
      <c r="S69" s="44" t="s">
        <v>515</v>
      </c>
    </row>
    <row r="70" spans="18:19">
      <c r="R70" s="44" t="s">
        <v>373</v>
      </c>
      <c r="S70" s="44" t="s">
        <v>374</v>
      </c>
    </row>
    <row r="71" spans="18:19">
      <c r="R71" s="44" t="s">
        <v>369</v>
      </c>
      <c r="S71" s="44" t="s">
        <v>370</v>
      </c>
    </row>
    <row r="72" spans="18:19">
      <c r="R72" s="44" t="s">
        <v>264</v>
      </c>
      <c r="S72" t="s">
        <v>265</v>
      </c>
    </row>
    <row r="73" spans="18:19">
      <c r="R73" s="46" t="s">
        <v>264</v>
      </c>
      <c r="S73" s="46" t="s">
        <v>516</v>
      </c>
    </row>
    <row r="74" spans="18:19">
      <c r="R74" s="44" t="s">
        <v>377</v>
      </c>
      <c r="S74" s="44" t="s">
        <v>378</v>
      </c>
    </row>
    <row r="75" spans="18:19">
      <c r="R75" s="46" t="s">
        <v>336</v>
      </c>
      <c r="S75" s="46" t="s">
        <v>337</v>
      </c>
    </row>
    <row r="76" spans="18:19">
      <c r="R76" s="44" t="s">
        <v>403</v>
      </c>
      <c r="S76" s="44" t="s">
        <v>517</v>
      </c>
    </row>
    <row r="77" spans="18:19">
      <c r="R77" s="44" t="s">
        <v>437</v>
      </c>
      <c r="S77" s="44" t="s">
        <v>438</v>
      </c>
    </row>
    <row r="78" spans="18:19">
      <c r="R78" s="46" t="s">
        <v>354</v>
      </c>
      <c r="S78" s="46" t="s">
        <v>355</v>
      </c>
    </row>
    <row r="79" spans="18:19">
      <c r="R79" s="46" t="s">
        <v>431</v>
      </c>
      <c r="S79" s="46" t="s">
        <v>432</v>
      </c>
    </row>
    <row r="80" spans="18:19">
      <c r="R80" s="44" t="s">
        <v>518</v>
      </c>
      <c r="S80" s="44" t="s">
        <v>519</v>
      </c>
    </row>
    <row r="81" spans="18:19">
      <c r="R81" s="44" t="s">
        <v>520</v>
      </c>
      <c r="S81" s="44" t="s">
        <v>521</v>
      </c>
    </row>
    <row r="82" spans="18:19">
      <c r="R82" s="44" t="s">
        <v>367</v>
      </c>
      <c r="S82" s="44" t="s">
        <v>368</v>
      </c>
    </row>
    <row r="83" spans="18:19">
      <c r="R83" s="46" t="s">
        <v>357</v>
      </c>
      <c r="S83" s="46" t="s">
        <v>358</v>
      </c>
    </row>
    <row r="84" spans="18:19">
      <c r="R84" s="46" t="s">
        <v>357</v>
      </c>
      <c r="S84" s="46" t="s">
        <v>457</v>
      </c>
    </row>
    <row r="85" spans="18:19">
      <c r="R85" s="44" t="s">
        <v>522</v>
      </c>
      <c r="S85" s="44" t="s">
        <v>523</v>
      </c>
    </row>
    <row r="86" spans="18:19">
      <c r="R86" s="44" t="s">
        <v>412</v>
      </c>
      <c r="S86" s="44" t="s">
        <v>413</v>
      </c>
    </row>
    <row r="87" spans="18:19">
      <c r="R87" s="44" t="s">
        <v>334</v>
      </c>
      <c r="S87" s="44" t="s">
        <v>335</v>
      </c>
    </row>
    <row r="88" spans="18:19">
      <c r="R88" s="44" t="s">
        <v>316</v>
      </c>
      <c r="S88" s="44" t="s">
        <v>317</v>
      </c>
    </row>
    <row r="89" spans="18:19">
      <c r="R89" s="44" t="s">
        <v>309</v>
      </c>
      <c r="S89" s="44" t="s">
        <v>310</v>
      </c>
    </row>
    <row r="90" spans="18:19">
      <c r="R90" s="44" t="s">
        <v>524</v>
      </c>
      <c r="S90" s="44" t="s">
        <v>525</v>
      </c>
    </row>
    <row r="91" spans="18:19">
      <c r="R91" s="44" t="s">
        <v>342</v>
      </c>
      <c r="S91" s="44" t="s">
        <v>343</v>
      </c>
    </row>
    <row r="92" spans="18:19">
      <c r="R92" s="44" t="s">
        <v>384</v>
      </c>
      <c r="S92" s="44" t="s">
        <v>385</v>
      </c>
    </row>
    <row r="93" spans="18:19">
      <c r="R93" s="44" t="s">
        <v>388</v>
      </c>
      <c r="S93" t="s">
        <v>389</v>
      </c>
    </row>
    <row r="94" spans="18:19">
      <c r="R94" s="44" t="s">
        <v>390</v>
      </c>
      <c r="S94" s="44" t="s">
        <v>391</v>
      </c>
    </row>
    <row r="95" spans="18:19">
      <c r="R95" s="44" t="s">
        <v>392</v>
      </c>
      <c r="S95" s="44" t="s">
        <v>393</v>
      </c>
    </row>
    <row r="96" spans="18:19">
      <c r="R96" s="44" t="s">
        <v>395</v>
      </c>
      <c r="S96" t="s">
        <v>396</v>
      </c>
    </row>
    <row r="97" spans="18:19">
      <c r="R97" s="44" t="s">
        <v>456</v>
      </c>
      <c r="S97" s="57" t="s">
        <v>457</v>
      </c>
    </row>
    <row r="98" spans="18:19">
      <c r="R98" s="57" t="s">
        <v>433</v>
      </c>
      <c r="S98" s="32" t="s">
        <v>133</v>
      </c>
    </row>
    <row r="99" spans="18:19">
      <c r="R99" s="44" t="s">
        <v>526</v>
      </c>
      <c r="S99" t="s">
        <v>527</v>
      </c>
    </row>
  </sheetData>
  <sortState xmlns:xlrd2="http://schemas.microsoft.com/office/spreadsheetml/2017/richdata2" ref="R2:S91">
    <sortCondition ref="R2:R91"/>
  </sortState>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Usage</vt:lpstr>
      <vt:lpstr>Appliances</vt:lpstr>
      <vt:lpstr>Summary</vt:lpstr>
      <vt:lpstr>Lists for 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cp:revision/>
  <dcterms:created xsi:type="dcterms:W3CDTF">2022-02-16T16:21:16Z</dcterms:created>
  <dcterms:modified xsi:type="dcterms:W3CDTF">2023-05-15T12:15:21Z</dcterms:modified>
  <cp:category/>
  <cp:contentStatus/>
</cp:coreProperties>
</file>