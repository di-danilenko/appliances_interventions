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105" windowWidth="38400" windowHeight="21105"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Appliances!$AS$1:$AS$148</definedName>
    <definedName name="_xlnm._FilterDatabase" localSheetId="0" hidden="1">Usage!$A$1:$BN$53</definedName>
  </definedNames>
  <calcPr calcId="162913"/>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2" i="4" l="1"/>
  <c r="BC65" i="4"/>
  <c r="BC54" i="4"/>
  <c r="BC55" i="4"/>
  <c r="BC56" i="4"/>
  <c r="BC53" i="4"/>
  <c r="CI148" i="4" l="1"/>
  <c r="CF148" i="4"/>
  <c r="CG148" i="4" s="1"/>
  <c r="CH148" i="4" s="1"/>
  <c r="CD148" i="4"/>
  <c r="CB148" i="4"/>
  <c r="BY148" i="4"/>
  <c r="BZ148" i="4" s="1"/>
  <c r="CA148" i="4" s="1"/>
  <c r="BC148" i="4"/>
  <c r="AX148" i="4"/>
  <c r="CI147" i="4"/>
  <c r="CF147" i="4"/>
  <c r="CG147" i="4" s="1"/>
  <c r="CH147" i="4" s="1"/>
  <c r="CD147" i="4"/>
  <c r="CB147" i="4"/>
  <c r="BY147" i="4"/>
  <c r="BZ147" i="4" s="1"/>
  <c r="CA147" i="4" s="1"/>
  <c r="BC147" i="4"/>
  <c r="AX147" i="4"/>
  <c r="CI142" i="4"/>
  <c r="CF142" i="4"/>
  <c r="CG142" i="4" s="1"/>
  <c r="CH142" i="4" s="1"/>
  <c r="CD142" i="4"/>
  <c r="CB142" i="4"/>
  <c r="BY142" i="4"/>
  <c r="BZ142" i="4" s="1"/>
  <c r="CA142" i="4" s="1"/>
  <c r="BC142" i="4"/>
  <c r="AX142" i="4"/>
  <c r="CI141" i="4"/>
  <c r="CF141" i="4"/>
  <c r="CG141" i="4" s="1"/>
  <c r="CH141" i="4" s="1"/>
  <c r="CD141" i="4"/>
  <c r="CB141" i="4"/>
  <c r="BY141" i="4"/>
  <c r="BZ141" i="4" s="1"/>
  <c r="CA141" i="4" s="1"/>
  <c r="BC141" i="4"/>
  <c r="AX141" i="4"/>
  <c r="CI146" i="4"/>
  <c r="CF146" i="4"/>
  <c r="CG146" i="4" s="1"/>
  <c r="CH146" i="4" s="1"/>
  <c r="CD146" i="4"/>
  <c r="CB146" i="4"/>
  <c r="BY146" i="4"/>
  <c r="BZ146" i="4" s="1"/>
  <c r="CA146" i="4" s="1"/>
  <c r="BC146" i="4"/>
  <c r="AX146" i="4"/>
  <c r="CI145" i="4"/>
  <c r="CF145" i="4"/>
  <c r="CG145" i="4" s="1"/>
  <c r="CH145" i="4" s="1"/>
  <c r="CD145" i="4"/>
  <c r="CB145" i="4"/>
  <c r="BY145" i="4"/>
  <c r="BZ145" i="4" s="1"/>
  <c r="CA145" i="4" s="1"/>
  <c r="BC145" i="4"/>
  <c r="AX145" i="4"/>
  <c r="CI144" i="4"/>
  <c r="CF144" i="4"/>
  <c r="CG144" i="4" s="1"/>
  <c r="CH144" i="4" s="1"/>
  <c r="CD144" i="4"/>
  <c r="CB144" i="4"/>
  <c r="BY144" i="4"/>
  <c r="BZ144" i="4" s="1"/>
  <c r="CA144" i="4" s="1"/>
  <c r="BC144" i="4"/>
  <c r="AX144" i="4"/>
  <c r="CI143" i="4"/>
  <c r="CF143" i="4"/>
  <c r="CG143" i="4" s="1"/>
  <c r="CH143" i="4" s="1"/>
  <c r="CD143" i="4"/>
  <c r="CB143" i="4"/>
  <c r="BY143" i="4"/>
  <c r="BZ143" i="4" s="1"/>
  <c r="CA143" i="4" s="1"/>
  <c r="BC143" i="4"/>
  <c r="AX143" i="4"/>
  <c r="BC108" i="4" l="1"/>
  <c r="BC104" i="4"/>
  <c r="BC105" i="4"/>
  <c r="BC98" i="4"/>
  <c r="BC100" i="4"/>
  <c r="BC99" i="4"/>
  <c r="BC103" i="4"/>
  <c r="BC106" i="4"/>
  <c r="BC107" i="4"/>
  <c r="BC102" i="4"/>
  <c r="BC101" i="4"/>
  <c r="BC27" i="4"/>
  <c r="BC28" i="4"/>
  <c r="BC109" i="4"/>
  <c r="BC31" i="4"/>
  <c r="BC29" i="4"/>
  <c r="BC30" i="4"/>
  <c r="BC96" i="4"/>
  <c r="BC97" i="4"/>
  <c r="BC93" i="4"/>
  <c r="BC92" i="4"/>
  <c r="BC95" i="4"/>
  <c r="BC94" i="4"/>
  <c r="BC138" i="4"/>
  <c r="BC139" i="4"/>
  <c r="BC137" i="4"/>
  <c r="BC140" i="4"/>
  <c r="BC52" i="4"/>
  <c r="BC51" i="4"/>
  <c r="BC50" i="4"/>
  <c r="BC90" i="4"/>
  <c r="BC89" i="4"/>
  <c r="BC91" i="4"/>
  <c r="BC68" i="4"/>
  <c r="BC87" i="4"/>
  <c r="BC86" i="4"/>
  <c r="BC88" i="4"/>
  <c r="BC124" i="4"/>
  <c r="BC125" i="4"/>
  <c r="BC128" i="4"/>
  <c r="BC123" i="4"/>
  <c r="BC129" i="4"/>
  <c r="BC122" i="4"/>
  <c r="BC127" i="4"/>
  <c r="BC121" i="4"/>
  <c r="BC67" i="4"/>
  <c r="BC47" i="4"/>
  <c r="BC39" i="4"/>
  <c r="BC42" i="4"/>
  <c r="BC46" i="4"/>
  <c r="BC38" i="4"/>
  <c r="BC44" i="4"/>
  <c r="BC48" i="4"/>
  <c r="BC43" i="4"/>
  <c r="BC41" i="4"/>
  <c r="BC49" i="4"/>
  <c r="BC45" i="4"/>
  <c r="BC40" i="4"/>
  <c r="BC156" i="4"/>
  <c r="BC155" i="4"/>
  <c r="BC22" i="4"/>
  <c r="BC26" i="4"/>
  <c r="BC21" i="4"/>
  <c r="BC66" i="4"/>
  <c r="BC72" i="4"/>
  <c r="BC71" i="4"/>
  <c r="BC126" i="4"/>
  <c r="BC120" i="4"/>
  <c r="BC130" i="4"/>
  <c r="BC131" i="4"/>
  <c r="BC35" i="4"/>
  <c r="BC37" i="4"/>
  <c r="BC32" i="4"/>
  <c r="BC34" i="4"/>
  <c r="BC36" i="4"/>
  <c r="BC33" i="4"/>
  <c r="BC84" i="4"/>
  <c r="BC83" i="4"/>
  <c r="BC81" i="4"/>
  <c r="BC80" i="4"/>
  <c r="BC82" i="4"/>
  <c r="BC85" i="4"/>
  <c r="BC73" i="4"/>
  <c r="BC70" i="4"/>
  <c r="BC10" i="4"/>
  <c r="BC11" i="4"/>
  <c r="BC9" i="4"/>
  <c r="BC3" i="4"/>
  <c r="BC4" i="4"/>
  <c r="BC5" i="4"/>
  <c r="CC12" i="4"/>
  <c r="CC57" i="4"/>
  <c r="CC64" i="4"/>
  <c r="CC135" i="4"/>
  <c r="CC136" i="4"/>
  <c r="BA6" i="4" l="1"/>
  <c r="CF6" i="4" s="1"/>
  <c r="CG6" i="4" s="1"/>
  <c r="CH6" i="4" s="1"/>
  <c r="BC6" i="4"/>
  <c r="BH6" i="4"/>
  <c r="CB6" i="4"/>
  <c r="CD6" i="4"/>
  <c r="CI6" i="4"/>
  <c r="BA5" i="4"/>
  <c r="CF5" i="4" s="1"/>
  <c r="CG5" i="4" s="1"/>
  <c r="CH5" i="4" s="1"/>
  <c r="BH5" i="4"/>
  <c r="CB5" i="4"/>
  <c r="CD5" i="4"/>
  <c r="CI5" i="4"/>
  <c r="BA4" i="4"/>
  <c r="CF4" i="4" s="1"/>
  <c r="CG4" i="4" s="1"/>
  <c r="CH4" i="4" s="1"/>
  <c r="BH4" i="4"/>
  <c r="CB4" i="4"/>
  <c r="CD4" i="4"/>
  <c r="CI4" i="4"/>
  <c r="CB75" i="4"/>
  <c r="CD75" i="4"/>
  <c r="BA75" i="4" s="1"/>
  <c r="CI75" i="4"/>
  <c r="CB74" i="4"/>
  <c r="CD74" i="4"/>
  <c r="BA74" i="4" s="1"/>
  <c r="CI74" i="4"/>
  <c r="CB77" i="4"/>
  <c r="CD77" i="4"/>
  <c r="BA77" i="4" s="1"/>
  <c r="BY77" i="4" s="1"/>
  <c r="BZ77" i="4" s="1"/>
  <c r="CA77" i="4" s="1"/>
  <c r="CI77" i="4"/>
  <c r="CB76" i="4"/>
  <c r="CD76" i="4"/>
  <c r="BA76" i="4" s="1"/>
  <c r="BY76" i="4" s="1"/>
  <c r="BZ76" i="4" s="1"/>
  <c r="CA76" i="4" s="1"/>
  <c r="CI76" i="4"/>
  <c r="CB78" i="4"/>
  <c r="CD78" i="4"/>
  <c r="BA78" i="4" s="1"/>
  <c r="CI78" i="4"/>
  <c r="CB79" i="4"/>
  <c r="CD79" i="4"/>
  <c r="BA79" i="4" s="1"/>
  <c r="BY79" i="4" s="1"/>
  <c r="BZ79" i="4" s="1"/>
  <c r="CA79" i="4" s="1"/>
  <c r="CI79" i="4"/>
  <c r="BA33" i="4"/>
  <c r="CF33" i="4" s="1"/>
  <c r="CG33" i="4" s="1"/>
  <c r="CH33" i="4" s="1"/>
  <c r="CB33" i="4"/>
  <c r="CD33" i="4"/>
  <c r="CI33" i="4"/>
  <c r="BA36" i="4"/>
  <c r="CB36" i="4"/>
  <c r="CD36" i="4"/>
  <c r="CI36" i="4"/>
  <c r="BA34" i="4"/>
  <c r="CB34" i="4"/>
  <c r="CD34" i="4"/>
  <c r="CI34" i="4"/>
  <c r="BA32" i="4"/>
  <c r="CB32" i="4"/>
  <c r="CD32" i="4"/>
  <c r="CI32" i="4"/>
  <c r="BA37" i="4"/>
  <c r="CF37" i="4" s="1"/>
  <c r="CG37" i="4" s="1"/>
  <c r="CH37" i="4" s="1"/>
  <c r="CB37" i="4"/>
  <c r="CD37" i="4"/>
  <c r="CI37" i="4"/>
  <c r="BA35" i="4"/>
  <c r="CB35" i="4"/>
  <c r="CD35" i="4"/>
  <c r="CI35" i="4"/>
  <c r="CB40" i="4"/>
  <c r="CD40" i="4"/>
  <c r="BA40" i="4" s="1"/>
  <c r="BY40" i="4" s="1"/>
  <c r="BZ40" i="4" s="1"/>
  <c r="CA40" i="4" s="1"/>
  <c r="CI40" i="4"/>
  <c r="CB45" i="4"/>
  <c r="CD45" i="4"/>
  <c r="BA45" i="4" s="1"/>
  <c r="CI45" i="4"/>
  <c r="CB49" i="4"/>
  <c r="CD49" i="4"/>
  <c r="BA49" i="4" s="1"/>
  <c r="BY49" i="4" s="1"/>
  <c r="BZ49" i="4" s="1"/>
  <c r="CA49" i="4" s="1"/>
  <c r="CI49" i="4"/>
  <c r="CB41" i="4"/>
  <c r="CD41" i="4"/>
  <c r="BA41" i="4" s="1"/>
  <c r="CI41" i="4"/>
  <c r="CB43" i="4"/>
  <c r="CD43" i="4"/>
  <c r="BA43" i="4" s="1"/>
  <c r="CI43" i="4"/>
  <c r="CB48" i="4"/>
  <c r="CD48" i="4"/>
  <c r="BA48" i="4" s="1"/>
  <c r="BY48" i="4" s="1"/>
  <c r="BZ48" i="4" s="1"/>
  <c r="CA48" i="4" s="1"/>
  <c r="CI48" i="4"/>
  <c r="CB50" i="4"/>
  <c r="CD50" i="4"/>
  <c r="BA50" i="4" s="1"/>
  <c r="BY50" i="4" s="1"/>
  <c r="BZ50" i="4" s="1"/>
  <c r="CA50" i="4" s="1"/>
  <c r="CI50" i="4"/>
  <c r="CB51" i="4"/>
  <c r="CD51" i="4"/>
  <c r="BA51" i="4" s="1"/>
  <c r="CI51" i="4"/>
  <c r="CB52" i="4"/>
  <c r="CD52" i="4"/>
  <c r="BA52" i="4" s="1"/>
  <c r="BY52" i="4" s="1"/>
  <c r="BZ52" i="4" s="1"/>
  <c r="CA52" i="4" s="1"/>
  <c r="CI52" i="4"/>
  <c r="CB44" i="4"/>
  <c r="CD44" i="4"/>
  <c r="BA44" i="4" s="1"/>
  <c r="CI44" i="4"/>
  <c r="CB38" i="4"/>
  <c r="CD38" i="4"/>
  <c r="BA38" i="4" s="1"/>
  <c r="BY38" i="4" s="1"/>
  <c r="BZ38" i="4" s="1"/>
  <c r="CA38" i="4" s="1"/>
  <c r="CI38" i="4"/>
  <c r="CB46" i="4"/>
  <c r="CD46" i="4"/>
  <c r="BA46" i="4" s="1"/>
  <c r="CI46" i="4"/>
  <c r="CB42" i="4"/>
  <c r="CD42" i="4"/>
  <c r="BA42" i="4" s="1"/>
  <c r="CI42" i="4"/>
  <c r="CB39" i="4"/>
  <c r="CD39" i="4"/>
  <c r="BA39" i="4" s="1"/>
  <c r="BY39" i="4" s="1"/>
  <c r="BZ39" i="4" s="1"/>
  <c r="CA39" i="4" s="1"/>
  <c r="CI39" i="4"/>
  <c r="CB47" i="4"/>
  <c r="CD47" i="4"/>
  <c r="BA47" i="4" s="1"/>
  <c r="BY47" i="4" s="1"/>
  <c r="BZ47" i="4" s="1"/>
  <c r="CA47" i="4" s="1"/>
  <c r="CI47" i="4"/>
  <c r="BA88" i="4"/>
  <c r="BY88" i="4" s="1"/>
  <c r="BZ88" i="4" s="1"/>
  <c r="CA88" i="4" s="1"/>
  <c r="CB88" i="4"/>
  <c r="CD88" i="4"/>
  <c r="CI88" i="4"/>
  <c r="BA86" i="4"/>
  <c r="BY86" i="4" s="1"/>
  <c r="BZ86" i="4" s="1"/>
  <c r="CA86" i="4" s="1"/>
  <c r="CB86" i="4"/>
  <c r="CD86" i="4"/>
  <c r="CI86" i="4"/>
  <c r="BA87" i="4"/>
  <c r="BY87" i="4" s="1"/>
  <c r="BZ87" i="4" s="1"/>
  <c r="CA87" i="4" s="1"/>
  <c r="CB87" i="4"/>
  <c r="CD87" i="4"/>
  <c r="CI87" i="4"/>
  <c r="BA91" i="4"/>
  <c r="BY91" i="4" s="1"/>
  <c r="BZ91" i="4" s="1"/>
  <c r="CA91" i="4" s="1"/>
  <c r="CB91" i="4"/>
  <c r="CD91" i="4"/>
  <c r="CI91" i="4"/>
  <c r="BA89" i="4"/>
  <c r="CF89" i="4" s="1"/>
  <c r="CG89" i="4" s="1"/>
  <c r="CH89" i="4" s="1"/>
  <c r="CB89" i="4"/>
  <c r="CD89" i="4"/>
  <c r="CI89" i="4"/>
  <c r="BA90" i="4"/>
  <c r="CF90" i="4" s="1"/>
  <c r="CG90" i="4" s="1"/>
  <c r="CH90" i="4" s="1"/>
  <c r="CB90" i="4"/>
  <c r="CD90" i="4"/>
  <c r="CI90" i="4"/>
  <c r="BA152" i="4"/>
  <c r="BY152" i="4" s="1"/>
  <c r="BZ152" i="4" s="1"/>
  <c r="CA152" i="4" s="1"/>
  <c r="CB152" i="4"/>
  <c r="CD152" i="4"/>
  <c r="CI152" i="4"/>
  <c r="BA150" i="4"/>
  <c r="CB150" i="4"/>
  <c r="CD150" i="4"/>
  <c r="CI150" i="4"/>
  <c r="BA154" i="4"/>
  <c r="CF154" i="4" s="1"/>
  <c r="CG154" i="4" s="1"/>
  <c r="CH154" i="4" s="1"/>
  <c r="CB154" i="4"/>
  <c r="CD154" i="4"/>
  <c r="CI154" i="4"/>
  <c r="BA151" i="4"/>
  <c r="BY151" i="4" s="1"/>
  <c r="BZ151" i="4" s="1"/>
  <c r="CA151" i="4" s="1"/>
  <c r="CB151" i="4"/>
  <c r="CD151" i="4"/>
  <c r="CI151" i="4"/>
  <c r="BA149" i="4"/>
  <c r="CB149" i="4"/>
  <c r="CD149" i="4"/>
  <c r="CI149" i="4"/>
  <c r="BA153" i="4"/>
  <c r="BY153" i="4" s="1"/>
  <c r="BZ153" i="4" s="1"/>
  <c r="CA153" i="4" s="1"/>
  <c r="CB153" i="4"/>
  <c r="CD153" i="4"/>
  <c r="CI153" i="4"/>
  <c r="BA120" i="4"/>
  <c r="BY120" i="4" s="1"/>
  <c r="BZ120" i="4" s="1"/>
  <c r="CA120" i="4" s="1"/>
  <c r="CB120" i="4"/>
  <c r="CD120" i="4"/>
  <c r="CI120" i="4"/>
  <c r="BA126" i="4"/>
  <c r="CB126" i="4"/>
  <c r="CD126" i="4"/>
  <c r="CI126" i="4"/>
  <c r="BA121" i="4"/>
  <c r="BY121" i="4" s="1"/>
  <c r="BZ121" i="4" s="1"/>
  <c r="CA121" i="4" s="1"/>
  <c r="CB121" i="4"/>
  <c r="CD121" i="4"/>
  <c r="CI121" i="4"/>
  <c r="BA127" i="4"/>
  <c r="CB127" i="4"/>
  <c r="CD127" i="4"/>
  <c r="CI127" i="4"/>
  <c r="BA122" i="4"/>
  <c r="BY122" i="4" s="1"/>
  <c r="BZ122" i="4" s="1"/>
  <c r="CA122" i="4" s="1"/>
  <c r="CB122" i="4"/>
  <c r="CD122" i="4"/>
  <c r="CI122" i="4"/>
  <c r="BA129" i="4"/>
  <c r="CB129" i="4"/>
  <c r="CD129" i="4"/>
  <c r="CI129" i="4"/>
  <c r="BA123" i="4"/>
  <c r="BY123" i="4" s="1"/>
  <c r="BZ123" i="4" s="1"/>
  <c r="CA123" i="4" s="1"/>
  <c r="CB123" i="4"/>
  <c r="CD123" i="4"/>
  <c r="CI123" i="4"/>
  <c r="BA128" i="4"/>
  <c r="BY128" i="4" s="1"/>
  <c r="BZ128" i="4" s="1"/>
  <c r="CA128" i="4" s="1"/>
  <c r="CB128" i="4"/>
  <c r="CD128" i="4"/>
  <c r="CI128" i="4"/>
  <c r="BA125" i="4"/>
  <c r="BY125" i="4" s="1"/>
  <c r="BZ125" i="4" s="1"/>
  <c r="CA125" i="4" s="1"/>
  <c r="CB125" i="4"/>
  <c r="CD125" i="4"/>
  <c r="CI125" i="4"/>
  <c r="BA124" i="4"/>
  <c r="CB124" i="4"/>
  <c r="CD124" i="4"/>
  <c r="CI124" i="4"/>
  <c r="BY2" i="4"/>
  <c r="BZ2" i="4" s="1"/>
  <c r="CA2" i="4" s="1"/>
  <c r="CB2" i="4"/>
  <c r="CD2" i="4"/>
  <c r="CF2" i="4"/>
  <c r="CG2" i="4" s="1"/>
  <c r="CH2" i="4" s="1"/>
  <c r="CI2" i="4"/>
  <c r="AX3" i="4"/>
  <c r="BY3" i="4"/>
  <c r="BZ3" i="4" s="1"/>
  <c r="CA3" i="4" s="1"/>
  <c r="CB3" i="4"/>
  <c r="CD3" i="4"/>
  <c r="CF3" i="4"/>
  <c r="CG3" i="4" s="1"/>
  <c r="CH3" i="4" s="1"/>
  <c r="CI3" i="4"/>
  <c r="BA8" i="4"/>
  <c r="BE8" i="4"/>
  <c r="CB8" i="4"/>
  <c r="CD8" i="4"/>
  <c r="CI8" i="4"/>
  <c r="BA7" i="4"/>
  <c r="BE7" i="4"/>
  <c r="CB7" i="4"/>
  <c r="CD7" i="4"/>
  <c r="CI7" i="4"/>
  <c r="BA9" i="4"/>
  <c r="BY9" i="4" s="1"/>
  <c r="BZ9" i="4" s="1"/>
  <c r="CA9" i="4" s="1"/>
  <c r="CB9" i="4"/>
  <c r="CD9" i="4"/>
  <c r="CI9" i="4"/>
  <c r="BA11" i="4"/>
  <c r="BY11" i="4" s="1"/>
  <c r="BZ11" i="4" s="1"/>
  <c r="CA11" i="4" s="1"/>
  <c r="CB11" i="4"/>
  <c r="CD11" i="4"/>
  <c r="CI11" i="4"/>
  <c r="BA10" i="4"/>
  <c r="BY10" i="4" s="1"/>
  <c r="BZ10" i="4" s="1"/>
  <c r="CA10" i="4" s="1"/>
  <c r="CB10" i="4"/>
  <c r="CD10" i="4"/>
  <c r="CI10" i="4"/>
  <c r="BA131" i="4"/>
  <c r="CF131" i="4" s="1"/>
  <c r="CG131" i="4" s="1"/>
  <c r="CH131" i="4" s="1"/>
  <c r="CB131" i="4"/>
  <c r="CD131" i="4"/>
  <c r="CI131" i="4"/>
  <c r="BA130" i="4"/>
  <c r="BY130" i="4" s="1"/>
  <c r="BZ130" i="4" s="1"/>
  <c r="CA130" i="4" s="1"/>
  <c r="CB130" i="4"/>
  <c r="CD130" i="4"/>
  <c r="CI130" i="4"/>
  <c r="BA18" i="4"/>
  <c r="BY18" i="4" s="1"/>
  <c r="BZ18" i="4" s="1"/>
  <c r="CA18" i="4" s="1"/>
  <c r="BC18" i="4"/>
  <c r="CB18" i="4"/>
  <c r="CD18" i="4"/>
  <c r="CI18" i="4"/>
  <c r="BA19" i="4"/>
  <c r="BY19" i="4" s="1"/>
  <c r="BZ19" i="4" s="1"/>
  <c r="CA19" i="4" s="1"/>
  <c r="BC19" i="4"/>
  <c r="CB19" i="4"/>
  <c r="CD19" i="4"/>
  <c r="CI19" i="4"/>
  <c r="BA25" i="4"/>
  <c r="BY25" i="4" s="1"/>
  <c r="BZ25" i="4" s="1"/>
  <c r="CA25" i="4" s="1"/>
  <c r="BC25" i="4"/>
  <c r="CB25" i="4"/>
  <c r="CD25" i="4"/>
  <c r="CI25" i="4"/>
  <c r="BA20" i="4"/>
  <c r="BY20" i="4" s="1"/>
  <c r="BZ20" i="4" s="1"/>
  <c r="CA20" i="4" s="1"/>
  <c r="BC20" i="4"/>
  <c r="CB20" i="4"/>
  <c r="CD20" i="4"/>
  <c r="CI20" i="4"/>
  <c r="BA24" i="4"/>
  <c r="BY24" i="4" s="1"/>
  <c r="BZ24" i="4" s="1"/>
  <c r="CA24" i="4" s="1"/>
  <c r="BC24" i="4"/>
  <c r="CB24" i="4"/>
  <c r="CD24" i="4"/>
  <c r="CI24" i="4"/>
  <c r="BA23" i="4"/>
  <c r="BY23" i="4" s="1"/>
  <c r="BZ23" i="4" s="1"/>
  <c r="CA23" i="4" s="1"/>
  <c r="BC23" i="4"/>
  <c r="CB23" i="4"/>
  <c r="CD23" i="4"/>
  <c r="CI23" i="4"/>
  <c r="BA26" i="4"/>
  <c r="CF26" i="4" s="1"/>
  <c r="CG26" i="4" s="1"/>
  <c r="CH26" i="4" s="1"/>
  <c r="CB26" i="4"/>
  <c r="CD26" i="4"/>
  <c r="CI26" i="4"/>
  <c r="BA22" i="4"/>
  <c r="BY22" i="4" s="1"/>
  <c r="BZ22" i="4" s="1"/>
  <c r="CA22" i="4" s="1"/>
  <c r="CB22" i="4"/>
  <c r="CD22" i="4"/>
  <c r="CI22" i="4"/>
  <c r="BA21" i="4"/>
  <c r="BY21" i="4" s="1"/>
  <c r="BZ21" i="4" s="1"/>
  <c r="CA21" i="4" s="1"/>
  <c r="CB21" i="4"/>
  <c r="CD21" i="4"/>
  <c r="CI21" i="4"/>
  <c r="BL12" i="4"/>
  <c r="CB12" i="4"/>
  <c r="CD12" i="4"/>
  <c r="AX12" i="4" s="1"/>
  <c r="CF12" i="4"/>
  <c r="CG12" i="4" s="1"/>
  <c r="CH12" i="4" s="1"/>
  <c r="CI12" i="4"/>
  <c r="AX140" i="4"/>
  <c r="BY140" i="4"/>
  <c r="BZ140" i="4" s="1"/>
  <c r="CA140" i="4" s="1"/>
  <c r="CB140" i="4"/>
  <c r="CD140" i="4"/>
  <c r="CF140" i="4"/>
  <c r="CG140" i="4" s="1"/>
  <c r="CH140" i="4" s="1"/>
  <c r="CI140" i="4"/>
  <c r="AX139" i="4"/>
  <c r="BY139" i="4"/>
  <c r="BZ139" i="4" s="1"/>
  <c r="CA139" i="4" s="1"/>
  <c r="CB139" i="4"/>
  <c r="CD139" i="4"/>
  <c r="CF139" i="4"/>
  <c r="CG139" i="4" s="1"/>
  <c r="CH139" i="4" s="1"/>
  <c r="CI139" i="4"/>
  <c r="AX137" i="4"/>
  <c r="BY137" i="4"/>
  <c r="BZ137" i="4" s="1"/>
  <c r="CA137" i="4" s="1"/>
  <c r="CB137" i="4"/>
  <c r="CD137" i="4"/>
  <c r="CF137" i="4"/>
  <c r="CG137" i="4" s="1"/>
  <c r="CH137" i="4" s="1"/>
  <c r="CI137" i="4"/>
  <c r="AX138" i="4"/>
  <c r="BY138" i="4"/>
  <c r="BZ138" i="4" s="1"/>
  <c r="CA138" i="4" s="1"/>
  <c r="CB138" i="4"/>
  <c r="CD138" i="4"/>
  <c r="CF138" i="4"/>
  <c r="CG138" i="4" s="1"/>
  <c r="CH138" i="4" s="1"/>
  <c r="CI138" i="4"/>
  <c r="BA65" i="4"/>
  <c r="BY65" i="4" s="1"/>
  <c r="BZ65" i="4" s="1"/>
  <c r="CA65" i="4" s="1"/>
  <c r="CB65" i="4"/>
  <c r="CD65" i="4"/>
  <c r="CI65" i="4"/>
  <c r="BA66" i="4"/>
  <c r="BY66" i="4" s="1"/>
  <c r="BZ66" i="4" s="1"/>
  <c r="CA66" i="4" s="1"/>
  <c r="CB66" i="4"/>
  <c r="CD66" i="4"/>
  <c r="CI66" i="4"/>
  <c r="BA85" i="4"/>
  <c r="BY85" i="4" s="1"/>
  <c r="BZ85" i="4" s="1"/>
  <c r="CA85" i="4" s="1"/>
  <c r="CB85" i="4"/>
  <c r="CD85" i="4"/>
  <c r="CI85" i="4"/>
  <c r="BA82" i="4"/>
  <c r="BY82" i="4" s="1"/>
  <c r="BZ82" i="4" s="1"/>
  <c r="CA82" i="4" s="1"/>
  <c r="CB82" i="4"/>
  <c r="CD82" i="4"/>
  <c r="CI82" i="4"/>
  <c r="BA80" i="4"/>
  <c r="BY80" i="4" s="1"/>
  <c r="BZ80" i="4" s="1"/>
  <c r="CA80" i="4" s="1"/>
  <c r="CB80" i="4"/>
  <c r="CD80" i="4"/>
  <c r="CI80" i="4"/>
  <c r="BA81" i="4"/>
  <c r="BY81" i="4" s="1"/>
  <c r="BZ81" i="4" s="1"/>
  <c r="CA81" i="4" s="1"/>
  <c r="CB81" i="4"/>
  <c r="CD81" i="4"/>
  <c r="CI81" i="4"/>
  <c r="BA83" i="4"/>
  <c r="BY83" i="4" s="1"/>
  <c r="BZ83" i="4" s="1"/>
  <c r="CA83" i="4" s="1"/>
  <c r="CB83" i="4"/>
  <c r="CD83" i="4"/>
  <c r="CI83" i="4"/>
  <c r="BA84" i="4"/>
  <c r="BY84" i="4" s="1"/>
  <c r="BZ84" i="4" s="1"/>
  <c r="CA84" i="4" s="1"/>
  <c r="CB84" i="4"/>
  <c r="CD84" i="4"/>
  <c r="CI84" i="4"/>
  <c r="AV57" i="4"/>
  <c r="CB57" i="4"/>
  <c r="CD57" i="4"/>
  <c r="BA57" i="4" s="1"/>
  <c r="CI57" i="4"/>
  <c r="AV58" i="4"/>
  <c r="CB58" i="4"/>
  <c r="CC58" i="4"/>
  <c r="CD58" i="4"/>
  <c r="BA58" i="4" s="1"/>
  <c r="CI58" i="4"/>
  <c r="AV59" i="4"/>
  <c r="CB59" i="4"/>
  <c r="CC59" i="4"/>
  <c r="BY59" i="4" s="1"/>
  <c r="BZ59" i="4" s="1"/>
  <c r="CA59" i="4" s="1"/>
  <c r="CD59" i="4"/>
  <c r="BA59" i="4" s="1"/>
  <c r="CI59" i="4"/>
  <c r="AV60" i="4"/>
  <c r="CB60" i="4"/>
  <c r="CC60" i="4"/>
  <c r="BY60" i="4" s="1"/>
  <c r="BZ60" i="4" s="1"/>
  <c r="CA60" i="4" s="1"/>
  <c r="CD60" i="4"/>
  <c r="BA60" i="4" s="1"/>
  <c r="CI60" i="4"/>
  <c r="AV61" i="4"/>
  <c r="CB61" i="4"/>
  <c r="CC61" i="4"/>
  <c r="CD61" i="4"/>
  <c r="BA61" i="4" s="1"/>
  <c r="CI61" i="4"/>
  <c r="AV62" i="4"/>
  <c r="CB62" i="4"/>
  <c r="CC62" i="4"/>
  <c r="CD62" i="4"/>
  <c r="BA62" i="4" s="1"/>
  <c r="CI62" i="4"/>
  <c r="AV64" i="4"/>
  <c r="CB64" i="4"/>
  <c r="BY64" i="4"/>
  <c r="BZ64" i="4" s="1"/>
  <c r="CA64" i="4" s="1"/>
  <c r="CD64" i="4"/>
  <c r="BA64" i="4" s="1"/>
  <c r="CI64" i="4"/>
  <c r="AV63" i="4"/>
  <c r="CB63" i="4"/>
  <c r="CC63" i="4"/>
  <c r="CD63" i="4"/>
  <c r="BA63" i="4" s="1"/>
  <c r="CI63" i="4"/>
  <c r="BA155" i="4"/>
  <c r="BY155" i="4" s="1"/>
  <c r="BZ155" i="4" s="1"/>
  <c r="CA155" i="4" s="1"/>
  <c r="CB155" i="4"/>
  <c r="CD155" i="4"/>
  <c r="CI155" i="4"/>
  <c r="BA156" i="4"/>
  <c r="BY156" i="4" s="1"/>
  <c r="BZ156" i="4" s="1"/>
  <c r="CA156" i="4" s="1"/>
  <c r="CB156" i="4"/>
  <c r="CD156" i="4"/>
  <c r="CI156" i="4"/>
  <c r="CB53" i="4"/>
  <c r="CD53" i="4"/>
  <c r="BA53" i="4" s="1"/>
  <c r="BY53" i="4" s="1"/>
  <c r="BZ53" i="4" s="1"/>
  <c r="CA53" i="4" s="1"/>
  <c r="CI53" i="4"/>
  <c r="CB54" i="4"/>
  <c r="CD54" i="4"/>
  <c r="BA54" i="4" s="1"/>
  <c r="CI54" i="4"/>
  <c r="CB55" i="4"/>
  <c r="CD55" i="4"/>
  <c r="BA55" i="4" s="1"/>
  <c r="BY55" i="4" s="1"/>
  <c r="BZ55" i="4" s="1"/>
  <c r="CA55" i="4" s="1"/>
  <c r="CI55" i="4"/>
  <c r="CB56" i="4"/>
  <c r="CD56" i="4"/>
  <c r="BA56" i="4" s="1"/>
  <c r="CI56" i="4"/>
  <c r="CB68" i="4"/>
  <c r="CD68" i="4"/>
  <c r="BA68" i="4" s="1"/>
  <c r="CI68" i="4"/>
  <c r="CB67" i="4"/>
  <c r="CD67" i="4"/>
  <c r="BA67" i="4" s="1"/>
  <c r="CI67" i="4"/>
  <c r="AX27" i="4"/>
  <c r="BY27" i="4"/>
  <c r="BZ27" i="4" s="1"/>
  <c r="CA27" i="4" s="1"/>
  <c r="CB27" i="4"/>
  <c r="CD27" i="4"/>
  <c r="CF27" i="4"/>
  <c r="CG27" i="4" s="1"/>
  <c r="CH27" i="4" s="1"/>
  <c r="CI27" i="4"/>
  <c r="AX28" i="4"/>
  <c r="BY28" i="4"/>
  <c r="BZ28" i="4" s="1"/>
  <c r="CA28" i="4" s="1"/>
  <c r="CB28" i="4"/>
  <c r="CD28" i="4"/>
  <c r="CF28" i="4"/>
  <c r="CG28" i="4" s="1"/>
  <c r="CH28" i="4" s="1"/>
  <c r="CI28" i="4"/>
  <c r="BJ133" i="4"/>
  <c r="CB133" i="4" s="1"/>
  <c r="BL133" i="4"/>
  <c r="BC133" i="4" s="1"/>
  <c r="CI133" i="4"/>
  <c r="BJ134" i="4"/>
  <c r="CD134" i="4" s="1"/>
  <c r="BA134" i="4" s="1"/>
  <c r="BL134" i="4"/>
  <c r="CI134" i="4"/>
  <c r="BJ135" i="4"/>
  <c r="CB135" i="4" s="1"/>
  <c r="BL135" i="4"/>
  <c r="BY135" i="4" s="1"/>
  <c r="BZ135" i="4" s="1"/>
  <c r="CF135" i="4"/>
  <c r="CG135" i="4" s="1"/>
  <c r="CH135" i="4" s="1"/>
  <c r="CI135" i="4"/>
  <c r="BJ136" i="4"/>
  <c r="CD136" i="4" s="1"/>
  <c r="BL136" i="4"/>
  <c r="CF136" i="4"/>
  <c r="CG136" i="4" s="1"/>
  <c r="CH136" i="4" s="1"/>
  <c r="CI136" i="4"/>
  <c r="BC69" i="4"/>
  <c r="BR69" i="4"/>
  <c r="CB69" i="4"/>
  <c r="CD69" i="4"/>
  <c r="BA69" i="4" s="1"/>
  <c r="BY69" i="4" s="1"/>
  <c r="BZ69" i="4" s="1"/>
  <c r="CA69" i="4" s="1"/>
  <c r="CI69" i="4"/>
  <c r="CB14" i="4"/>
  <c r="CD14" i="4"/>
  <c r="BA14" i="4" s="1"/>
  <c r="CI14" i="4"/>
  <c r="CB15" i="4"/>
  <c r="CC15" i="4"/>
  <c r="BY15" i="4" s="1"/>
  <c r="BZ15" i="4" s="1"/>
  <c r="CA15" i="4" s="1"/>
  <c r="CD15" i="4"/>
  <c r="AX15" i="4" s="1"/>
  <c r="CF15" i="4"/>
  <c r="CG15" i="4" s="1"/>
  <c r="CH15" i="4" s="1"/>
  <c r="CI15" i="4"/>
  <c r="CB16" i="4"/>
  <c r="CD16" i="4"/>
  <c r="BA16" i="4" s="1"/>
  <c r="CF16" i="4" s="1"/>
  <c r="CG16" i="4" s="1"/>
  <c r="CH16" i="4" s="1"/>
  <c r="CI16" i="4"/>
  <c r="CB17" i="4"/>
  <c r="CD17" i="4"/>
  <c r="BA17" i="4" s="1"/>
  <c r="CF17" i="4" s="1"/>
  <c r="CG17" i="4" s="1"/>
  <c r="CH17" i="4" s="1"/>
  <c r="CI17" i="4"/>
  <c r="BK71" i="4"/>
  <c r="CI71" i="4" s="1"/>
  <c r="CB71" i="4"/>
  <c r="CD71" i="4"/>
  <c r="BA71" i="4" s="1"/>
  <c r="BY71" i="4" s="1"/>
  <c r="BZ71" i="4" s="1"/>
  <c r="CA71" i="4" s="1"/>
  <c r="BK72" i="4"/>
  <c r="CI72" i="4" s="1"/>
  <c r="CB72" i="4"/>
  <c r="CD72" i="4"/>
  <c r="BA72" i="4" s="1"/>
  <c r="BY72" i="4" s="1"/>
  <c r="BZ72" i="4" s="1"/>
  <c r="CA72" i="4" s="1"/>
  <c r="BK70" i="4"/>
  <c r="CI70" i="4" s="1"/>
  <c r="CB70" i="4"/>
  <c r="CD70" i="4"/>
  <c r="BA70" i="4" s="1"/>
  <c r="BY70" i="4" s="1"/>
  <c r="BZ70" i="4" s="1"/>
  <c r="CA70" i="4" s="1"/>
  <c r="BK73" i="4"/>
  <c r="CI73" i="4" s="1"/>
  <c r="CB73" i="4"/>
  <c r="CD73" i="4"/>
  <c r="BA73" i="4" s="1"/>
  <c r="BY73" i="4" s="1"/>
  <c r="BZ73" i="4" s="1"/>
  <c r="CA73" i="4" s="1"/>
  <c r="CB110" i="4"/>
  <c r="CD110" i="4"/>
  <c r="BA110" i="4" s="1"/>
  <c r="BY110" i="4" s="1"/>
  <c r="BZ110" i="4" s="1"/>
  <c r="CA110" i="4" s="1"/>
  <c r="CI110" i="4"/>
  <c r="CB111" i="4"/>
  <c r="CD111" i="4"/>
  <c r="BA111" i="4" s="1"/>
  <c r="BY111" i="4" s="1"/>
  <c r="BZ111" i="4" s="1"/>
  <c r="CA111" i="4" s="1"/>
  <c r="CI111" i="4"/>
  <c r="CB112" i="4"/>
  <c r="CD112" i="4"/>
  <c r="BA112" i="4" s="1"/>
  <c r="BY112" i="4" s="1"/>
  <c r="BZ112" i="4" s="1"/>
  <c r="CA112" i="4" s="1"/>
  <c r="CI112" i="4"/>
  <c r="CB113" i="4"/>
  <c r="CD113" i="4"/>
  <c r="BA113" i="4" s="1"/>
  <c r="BY113" i="4" s="1"/>
  <c r="BZ113" i="4" s="1"/>
  <c r="CA113" i="4" s="1"/>
  <c r="CI113" i="4"/>
  <c r="CB114" i="4"/>
  <c r="CD114" i="4"/>
  <c r="BA114" i="4" s="1"/>
  <c r="BY114" i="4" s="1"/>
  <c r="BZ114" i="4" s="1"/>
  <c r="CA114" i="4" s="1"/>
  <c r="CI114" i="4"/>
  <c r="CB115" i="4"/>
  <c r="CD115" i="4"/>
  <c r="BA115" i="4" s="1"/>
  <c r="BY115" i="4" s="1"/>
  <c r="BZ115" i="4" s="1"/>
  <c r="CA115" i="4" s="1"/>
  <c r="CI115" i="4"/>
  <c r="CB116" i="4"/>
  <c r="CD116" i="4"/>
  <c r="BA116" i="4" s="1"/>
  <c r="BY116" i="4" s="1"/>
  <c r="BZ116" i="4" s="1"/>
  <c r="CA116" i="4" s="1"/>
  <c r="CI116" i="4"/>
  <c r="CB117" i="4"/>
  <c r="CD117" i="4"/>
  <c r="BA117" i="4" s="1"/>
  <c r="BY117" i="4" s="1"/>
  <c r="BZ117" i="4" s="1"/>
  <c r="CA117" i="4" s="1"/>
  <c r="CI117" i="4"/>
  <c r="CB118" i="4"/>
  <c r="CD118" i="4"/>
  <c r="BA118" i="4" s="1"/>
  <c r="BY118" i="4" s="1"/>
  <c r="BZ118" i="4" s="1"/>
  <c r="CA118" i="4" s="1"/>
  <c r="CI118" i="4"/>
  <c r="CB119" i="4"/>
  <c r="CD119" i="4"/>
  <c r="BA119" i="4" s="1"/>
  <c r="BY119" i="4" s="1"/>
  <c r="BZ119" i="4" s="1"/>
  <c r="CA119" i="4" s="1"/>
  <c r="CI119" i="4"/>
  <c r="CB30" i="4"/>
  <c r="CD30" i="4"/>
  <c r="BA30" i="4" s="1"/>
  <c r="BY30" i="4" s="1"/>
  <c r="BZ30" i="4" s="1"/>
  <c r="CA30" i="4" s="1"/>
  <c r="CI30" i="4"/>
  <c r="CB29" i="4"/>
  <c r="CD29" i="4"/>
  <c r="BA29" i="4" s="1"/>
  <c r="BY29" i="4" s="1"/>
  <c r="BZ29" i="4" s="1"/>
  <c r="CA29" i="4" s="1"/>
  <c r="CI29" i="4"/>
  <c r="CB31" i="4"/>
  <c r="CD31" i="4"/>
  <c r="BA31" i="4" s="1"/>
  <c r="BY31" i="4" s="1"/>
  <c r="BZ31" i="4" s="1"/>
  <c r="CA31" i="4" s="1"/>
  <c r="CI31" i="4"/>
  <c r="BC132" i="4"/>
  <c r="CB132" i="4"/>
  <c r="CD132" i="4"/>
  <c r="BA132" i="4" s="1"/>
  <c r="CI132" i="4"/>
  <c r="CB94" i="4"/>
  <c r="CD94" i="4"/>
  <c r="BA94" i="4" s="1"/>
  <c r="BY94" i="4" s="1"/>
  <c r="BZ94" i="4" s="1"/>
  <c r="CA94" i="4" s="1"/>
  <c r="CI94" i="4"/>
  <c r="CB95" i="4"/>
  <c r="CD95" i="4"/>
  <c r="BA95" i="4" s="1"/>
  <c r="BY95" i="4" s="1"/>
  <c r="BZ95" i="4" s="1"/>
  <c r="CA95" i="4" s="1"/>
  <c r="CI95" i="4"/>
  <c r="CB92" i="4"/>
  <c r="CD92" i="4"/>
  <c r="BA92" i="4" s="1"/>
  <c r="BY92" i="4" s="1"/>
  <c r="BZ92" i="4" s="1"/>
  <c r="CA92" i="4" s="1"/>
  <c r="CI92" i="4"/>
  <c r="CB93" i="4"/>
  <c r="CD93" i="4"/>
  <c r="BA93" i="4" s="1"/>
  <c r="BY93" i="4" s="1"/>
  <c r="BZ93" i="4" s="1"/>
  <c r="CA93" i="4" s="1"/>
  <c r="CI93" i="4"/>
  <c r="CB97" i="4"/>
  <c r="CD97" i="4"/>
  <c r="BA97" i="4" s="1"/>
  <c r="BY97" i="4" s="1"/>
  <c r="BZ97" i="4" s="1"/>
  <c r="CA97" i="4" s="1"/>
  <c r="CI97" i="4"/>
  <c r="CB96" i="4"/>
  <c r="CD96" i="4"/>
  <c r="BA96" i="4" s="1"/>
  <c r="BY96" i="4" s="1"/>
  <c r="BZ96" i="4" s="1"/>
  <c r="CA96" i="4" s="1"/>
  <c r="CI96" i="4"/>
  <c r="CB13" i="4"/>
  <c r="CD13" i="4"/>
  <c r="BA13" i="4" s="1"/>
  <c r="CC13" i="4" s="1"/>
  <c r="BY13" i="4" s="1"/>
  <c r="BZ13" i="4" s="1"/>
  <c r="CA13" i="4" s="1"/>
  <c r="CI13" i="4"/>
  <c r="CB104" i="4"/>
  <c r="CD104" i="4"/>
  <c r="BA104" i="4" s="1"/>
  <c r="BY104" i="4" s="1"/>
  <c r="BZ104" i="4" s="1"/>
  <c r="CA104" i="4" s="1"/>
  <c r="CI104" i="4"/>
  <c r="CB105" i="4"/>
  <c r="CD105" i="4"/>
  <c r="BA105" i="4" s="1"/>
  <c r="BY105" i="4" s="1"/>
  <c r="BZ105" i="4" s="1"/>
  <c r="CA105" i="4" s="1"/>
  <c r="CI105" i="4"/>
  <c r="CB109" i="4"/>
  <c r="CD109" i="4"/>
  <c r="BA109" i="4" s="1"/>
  <c r="BY109" i="4" s="1"/>
  <c r="BZ109" i="4" s="1"/>
  <c r="CA109" i="4" s="1"/>
  <c r="CI109" i="4"/>
  <c r="CB108" i="4"/>
  <c r="CD108" i="4"/>
  <c r="BA108" i="4" s="1"/>
  <c r="CF108" i="4" s="1"/>
  <c r="CG108" i="4" s="1"/>
  <c r="CH108" i="4" s="1"/>
  <c r="CI108" i="4"/>
  <c r="CB98" i="4"/>
  <c r="CD98" i="4"/>
  <c r="BA98" i="4" s="1"/>
  <c r="BY98" i="4" s="1"/>
  <c r="BZ98" i="4" s="1"/>
  <c r="CA98" i="4" s="1"/>
  <c r="CI98" i="4"/>
  <c r="CB100" i="4"/>
  <c r="CD100" i="4"/>
  <c r="BA100" i="4" s="1"/>
  <c r="BY100" i="4" s="1"/>
  <c r="BZ100" i="4" s="1"/>
  <c r="CA100" i="4" s="1"/>
  <c r="CI100" i="4"/>
  <c r="CB99" i="4"/>
  <c r="CD99" i="4"/>
  <c r="BA99" i="4" s="1"/>
  <c r="BY99" i="4" s="1"/>
  <c r="BZ99" i="4" s="1"/>
  <c r="CA99" i="4" s="1"/>
  <c r="CI99" i="4"/>
  <c r="CB103" i="4"/>
  <c r="CD103" i="4"/>
  <c r="BA103" i="4" s="1"/>
  <c r="BY103" i="4" s="1"/>
  <c r="BZ103" i="4" s="1"/>
  <c r="CA103" i="4" s="1"/>
  <c r="CI103" i="4"/>
  <c r="CB106" i="4"/>
  <c r="CD106" i="4"/>
  <c r="BA106" i="4" s="1"/>
  <c r="BY106" i="4" s="1"/>
  <c r="BZ106" i="4" s="1"/>
  <c r="CA106" i="4" s="1"/>
  <c r="CI106" i="4"/>
  <c r="CB107" i="4"/>
  <c r="CD107" i="4"/>
  <c r="BA107" i="4" s="1"/>
  <c r="BY107" i="4" s="1"/>
  <c r="BZ107" i="4" s="1"/>
  <c r="CA107" i="4" s="1"/>
  <c r="CI107" i="4"/>
  <c r="CB102" i="4"/>
  <c r="CD102" i="4"/>
  <c r="BA102" i="4" s="1"/>
  <c r="BY102" i="4" s="1"/>
  <c r="BZ102" i="4" s="1"/>
  <c r="CA102" i="4" s="1"/>
  <c r="CI102" i="4"/>
  <c r="CB101" i="4"/>
  <c r="CD101" i="4"/>
  <c r="BA101" i="4" s="1"/>
  <c r="BY101" i="4" s="1"/>
  <c r="BZ101" i="4" s="1"/>
  <c r="CA101" i="4" s="1"/>
  <c r="CI101" i="4"/>
  <c r="CF87" i="4" l="1"/>
  <c r="CG87" i="4" s="1"/>
  <c r="CH87" i="4" s="1"/>
  <c r="BY6" i="4"/>
  <c r="BZ6" i="4" s="1"/>
  <c r="CA6" i="4" s="1"/>
  <c r="BY154" i="4"/>
  <c r="BZ154" i="4" s="1"/>
  <c r="CA154" i="4" s="1"/>
  <c r="CF86" i="4"/>
  <c r="CG86" i="4" s="1"/>
  <c r="CH86" i="4" s="1"/>
  <c r="CF88" i="4"/>
  <c r="CG88" i="4" s="1"/>
  <c r="CH88" i="4" s="1"/>
  <c r="CF39" i="4"/>
  <c r="CG39" i="4" s="1"/>
  <c r="CH39" i="4" s="1"/>
  <c r="CF153" i="4"/>
  <c r="CG153" i="4" s="1"/>
  <c r="CH153" i="4" s="1"/>
  <c r="BY5" i="4"/>
  <c r="BZ5" i="4" s="1"/>
  <c r="CA5" i="4" s="1"/>
  <c r="CF151" i="4"/>
  <c r="CG151" i="4" s="1"/>
  <c r="CH151" i="4" s="1"/>
  <c r="CF38" i="4"/>
  <c r="CG38" i="4" s="1"/>
  <c r="CH38" i="4" s="1"/>
  <c r="BY4" i="4"/>
  <c r="BZ4" i="4" s="1"/>
  <c r="CA4" i="4" s="1"/>
  <c r="CF11" i="4"/>
  <c r="CG11" i="4" s="1"/>
  <c r="CH11" i="4" s="1"/>
  <c r="CF20" i="4"/>
  <c r="CG20" i="4" s="1"/>
  <c r="CH20" i="4" s="1"/>
  <c r="BY108" i="4"/>
  <c r="BZ108" i="4" s="1"/>
  <c r="CA108" i="4" s="1"/>
  <c r="CD135" i="4"/>
  <c r="CA135" i="4"/>
  <c r="CF85" i="4"/>
  <c r="CG85" i="4" s="1"/>
  <c r="CH85" i="4" s="1"/>
  <c r="CF132" i="4"/>
  <c r="CG132" i="4" s="1"/>
  <c r="CH132" i="4" s="1"/>
  <c r="CC132" i="4"/>
  <c r="CF7" i="4"/>
  <c r="CG7" i="4" s="1"/>
  <c r="CH7" i="4" s="1"/>
  <c r="CC7" i="4"/>
  <c r="BY7" i="4" s="1"/>
  <c r="BZ7" i="4" s="1"/>
  <c r="CA7" i="4" s="1"/>
  <c r="CF134" i="4"/>
  <c r="CG134" i="4" s="1"/>
  <c r="CH134" i="4" s="1"/>
  <c r="CC134" i="4"/>
  <c r="CF14" i="4"/>
  <c r="CG14" i="4" s="1"/>
  <c r="CH14" i="4" s="1"/>
  <c r="CC14" i="4"/>
  <c r="BY14" i="4" s="1"/>
  <c r="BZ14" i="4" s="1"/>
  <c r="CA14" i="4" s="1"/>
  <c r="CF24" i="4"/>
  <c r="CG24" i="4" s="1"/>
  <c r="CH24" i="4" s="1"/>
  <c r="CF121" i="4"/>
  <c r="CG121" i="4" s="1"/>
  <c r="CH121" i="4" s="1"/>
  <c r="CF8" i="4"/>
  <c r="CG8" i="4" s="1"/>
  <c r="CH8" i="4" s="1"/>
  <c r="CC8" i="4"/>
  <c r="BY8" i="4" s="1"/>
  <c r="BZ8" i="4" s="1"/>
  <c r="CA8" i="4" s="1"/>
  <c r="BY90" i="4"/>
  <c r="BZ90" i="4" s="1"/>
  <c r="CA90" i="4" s="1"/>
  <c r="BY89" i="4"/>
  <c r="BZ89" i="4" s="1"/>
  <c r="CA89" i="4" s="1"/>
  <c r="BY33" i="4"/>
  <c r="BZ33" i="4" s="1"/>
  <c r="CA33" i="4" s="1"/>
  <c r="CB136" i="4"/>
  <c r="CF60" i="4"/>
  <c r="CG60" i="4" s="1"/>
  <c r="CH60" i="4" s="1"/>
  <c r="CF65" i="4"/>
  <c r="CG65" i="4" s="1"/>
  <c r="CH65" i="4" s="1"/>
  <c r="CF123" i="4"/>
  <c r="CG123" i="4" s="1"/>
  <c r="CH123" i="4" s="1"/>
  <c r="CF120" i="4"/>
  <c r="CG120" i="4" s="1"/>
  <c r="CH120" i="4" s="1"/>
  <c r="CF152" i="4"/>
  <c r="CG152" i="4" s="1"/>
  <c r="CH152" i="4" s="1"/>
  <c r="CD133" i="4"/>
  <c r="BA133" i="4" s="1"/>
  <c r="CF25" i="4"/>
  <c r="CG25" i="4" s="1"/>
  <c r="CH25" i="4" s="1"/>
  <c r="CF9" i="4"/>
  <c r="CG9" i="4" s="1"/>
  <c r="CH9" i="4" s="1"/>
  <c r="CF48" i="4"/>
  <c r="CG48" i="4" s="1"/>
  <c r="CH48" i="4" s="1"/>
  <c r="CF49" i="4"/>
  <c r="CG49" i="4" s="1"/>
  <c r="CH49" i="4" s="1"/>
  <c r="BY37" i="4"/>
  <c r="BZ37" i="4" s="1"/>
  <c r="CA37" i="4" s="1"/>
  <c r="CF83" i="4"/>
  <c r="CG83" i="4" s="1"/>
  <c r="CH83" i="4" s="1"/>
  <c r="CF80" i="4"/>
  <c r="CG80" i="4" s="1"/>
  <c r="CH80" i="4" s="1"/>
  <c r="CF22" i="4"/>
  <c r="CG22" i="4" s="1"/>
  <c r="CH22" i="4" s="1"/>
  <c r="CF130" i="4"/>
  <c r="CG130" i="4" s="1"/>
  <c r="CH130" i="4" s="1"/>
  <c r="CF125" i="4"/>
  <c r="CG125" i="4" s="1"/>
  <c r="CH125" i="4" s="1"/>
  <c r="CF97" i="4"/>
  <c r="CG97" i="4" s="1"/>
  <c r="CH97" i="4" s="1"/>
  <c r="CF92" i="4"/>
  <c r="CG92" i="4" s="1"/>
  <c r="CH92" i="4" s="1"/>
  <c r="CF94" i="4"/>
  <c r="CG94" i="4" s="1"/>
  <c r="CH94" i="4" s="1"/>
  <c r="CF70" i="4"/>
  <c r="CG70" i="4" s="1"/>
  <c r="CH70" i="4" s="1"/>
  <c r="CF156" i="4"/>
  <c r="CG156" i="4" s="1"/>
  <c r="CH156" i="4" s="1"/>
  <c r="CF59" i="4"/>
  <c r="CG59" i="4" s="1"/>
  <c r="CH59" i="4" s="1"/>
  <c r="CF81" i="4"/>
  <c r="CG81" i="4" s="1"/>
  <c r="CH81" i="4" s="1"/>
  <c r="CF82" i="4"/>
  <c r="CG82" i="4" s="1"/>
  <c r="CH82" i="4" s="1"/>
  <c r="CF23" i="4"/>
  <c r="CG23" i="4" s="1"/>
  <c r="CH23" i="4" s="1"/>
  <c r="CF10" i="4"/>
  <c r="CG10" i="4" s="1"/>
  <c r="CH10" i="4" s="1"/>
  <c r="CF47" i="4"/>
  <c r="CG47" i="4" s="1"/>
  <c r="CH47" i="4" s="1"/>
  <c r="CF40" i="4"/>
  <c r="CG40" i="4" s="1"/>
  <c r="CH40" i="4" s="1"/>
  <c r="CF77" i="4"/>
  <c r="CG77" i="4" s="1"/>
  <c r="CH77" i="4" s="1"/>
  <c r="BC136" i="4"/>
  <c r="BC135" i="4"/>
  <c r="BC12" i="4"/>
  <c r="CF104" i="4"/>
  <c r="CG104" i="4" s="1"/>
  <c r="CH104" i="4" s="1"/>
  <c r="CF13" i="4"/>
  <c r="CG13" i="4" s="1"/>
  <c r="CH13" i="4" s="1"/>
  <c r="CF96" i="4"/>
  <c r="CG96" i="4" s="1"/>
  <c r="CH96" i="4" s="1"/>
  <c r="CF93" i="4"/>
  <c r="CG93" i="4" s="1"/>
  <c r="CH93" i="4" s="1"/>
  <c r="CF95" i="4"/>
  <c r="CG95" i="4" s="1"/>
  <c r="CH95" i="4" s="1"/>
  <c r="CF110" i="4"/>
  <c r="CG110" i="4" s="1"/>
  <c r="CH110" i="4" s="1"/>
  <c r="CF69" i="4"/>
  <c r="CG69" i="4" s="1"/>
  <c r="CH69" i="4" s="1"/>
  <c r="CF53" i="4"/>
  <c r="CG53" i="4" s="1"/>
  <c r="CH53" i="4" s="1"/>
  <c r="CF155" i="4"/>
  <c r="CG155" i="4" s="1"/>
  <c r="CH155" i="4" s="1"/>
  <c r="CF84" i="4"/>
  <c r="CG84" i="4" s="1"/>
  <c r="CH84" i="4" s="1"/>
  <c r="CF66" i="4"/>
  <c r="CG66" i="4" s="1"/>
  <c r="CH66" i="4" s="1"/>
  <c r="BY26" i="4"/>
  <c r="BZ26" i="4" s="1"/>
  <c r="CA26" i="4" s="1"/>
  <c r="CF19" i="4"/>
  <c r="CG19" i="4" s="1"/>
  <c r="CH19" i="4" s="1"/>
  <c r="BY131" i="4"/>
  <c r="BZ131" i="4" s="1"/>
  <c r="CA131" i="4" s="1"/>
  <c r="CF52" i="4"/>
  <c r="CG52" i="4" s="1"/>
  <c r="CH52" i="4" s="1"/>
  <c r="CF50" i="4"/>
  <c r="CG50" i="4" s="1"/>
  <c r="CH50" i="4" s="1"/>
  <c r="CF76" i="4"/>
  <c r="CG76" i="4" s="1"/>
  <c r="CH76" i="4" s="1"/>
  <c r="CF21" i="4"/>
  <c r="CG21" i="4" s="1"/>
  <c r="CH21" i="4" s="1"/>
  <c r="CF18" i="4"/>
  <c r="CG18" i="4" s="1"/>
  <c r="CH18" i="4" s="1"/>
  <c r="CF128" i="4"/>
  <c r="CG128" i="4" s="1"/>
  <c r="CH128" i="4" s="1"/>
  <c r="BC134" i="4"/>
  <c r="BY134" i="4"/>
  <c r="BZ134" i="4" s="1"/>
  <c r="CA134" i="4" s="1"/>
  <c r="BY45" i="4"/>
  <c r="BZ45" i="4" s="1"/>
  <c r="CA45" i="4" s="1"/>
  <c r="CF45" i="4"/>
  <c r="CG45" i="4" s="1"/>
  <c r="CH45" i="4" s="1"/>
  <c r="CF101" i="4"/>
  <c r="CG101" i="4" s="1"/>
  <c r="CH101" i="4" s="1"/>
  <c r="CF102" i="4"/>
  <c r="CG102" i="4" s="1"/>
  <c r="CH102" i="4" s="1"/>
  <c r="CF107" i="4"/>
  <c r="CG107" i="4" s="1"/>
  <c r="CH107" i="4" s="1"/>
  <c r="CF106" i="4"/>
  <c r="CG106" i="4" s="1"/>
  <c r="CH106" i="4" s="1"/>
  <c r="CF103" i="4"/>
  <c r="CG103" i="4" s="1"/>
  <c r="CH103" i="4" s="1"/>
  <c r="CF99" i="4"/>
  <c r="CG99" i="4" s="1"/>
  <c r="CH99" i="4" s="1"/>
  <c r="CF100" i="4"/>
  <c r="CG100" i="4" s="1"/>
  <c r="CH100" i="4" s="1"/>
  <c r="CF98" i="4"/>
  <c r="CG98" i="4" s="1"/>
  <c r="CH98" i="4" s="1"/>
  <c r="CF31" i="4"/>
  <c r="CG31" i="4" s="1"/>
  <c r="CH31" i="4" s="1"/>
  <c r="CF29" i="4"/>
  <c r="CG29" i="4" s="1"/>
  <c r="CH29" i="4" s="1"/>
  <c r="CF30" i="4"/>
  <c r="CG30" i="4" s="1"/>
  <c r="CH30" i="4" s="1"/>
  <c r="CF119" i="4"/>
  <c r="CG119" i="4" s="1"/>
  <c r="CH119" i="4" s="1"/>
  <c r="CF117" i="4"/>
  <c r="CG117" i="4" s="1"/>
  <c r="CH117" i="4" s="1"/>
  <c r="CF115" i="4"/>
  <c r="CG115" i="4" s="1"/>
  <c r="CH115" i="4" s="1"/>
  <c r="CF113" i="4"/>
  <c r="CG113" i="4" s="1"/>
  <c r="CH113" i="4" s="1"/>
  <c r="CF111" i="4"/>
  <c r="CG111" i="4" s="1"/>
  <c r="CH111" i="4" s="1"/>
  <c r="CF73" i="4"/>
  <c r="CG73" i="4" s="1"/>
  <c r="CH73" i="4" s="1"/>
  <c r="BY136" i="4"/>
  <c r="BZ136" i="4" s="1"/>
  <c r="CA136" i="4" s="1"/>
  <c r="CB134" i="4"/>
  <c r="BY68" i="4"/>
  <c r="BZ68" i="4" s="1"/>
  <c r="CA68" i="4" s="1"/>
  <c r="CF68" i="4"/>
  <c r="CG68" i="4" s="1"/>
  <c r="CH68" i="4" s="1"/>
  <c r="BY62" i="4"/>
  <c r="BZ62" i="4" s="1"/>
  <c r="CA62" i="4" s="1"/>
  <c r="CF62" i="4"/>
  <c r="CG62" i="4" s="1"/>
  <c r="CH62" i="4" s="1"/>
  <c r="BY124" i="4"/>
  <c r="BZ124" i="4" s="1"/>
  <c r="CA124" i="4" s="1"/>
  <c r="CF124" i="4"/>
  <c r="CG124" i="4" s="1"/>
  <c r="CH124" i="4" s="1"/>
  <c r="BY129" i="4"/>
  <c r="BZ129" i="4" s="1"/>
  <c r="CA129" i="4" s="1"/>
  <c r="CF129" i="4"/>
  <c r="CG129" i="4" s="1"/>
  <c r="CH129" i="4" s="1"/>
  <c r="BY126" i="4"/>
  <c r="BZ126" i="4" s="1"/>
  <c r="CA126" i="4" s="1"/>
  <c r="CF126" i="4"/>
  <c r="CG126" i="4" s="1"/>
  <c r="CH126" i="4" s="1"/>
  <c r="BY43" i="4"/>
  <c r="BZ43" i="4" s="1"/>
  <c r="CA43" i="4" s="1"/>
  <c r="CF43" i="4"/>
  <c r="CG43" i="4" s="1"/>
  <c r="CH43" i="4" s="1"/>
  <c r="BY35" i="4"/>
  <c r="BZ35" i="4" s="1"/>
  <c r="CA35" i="4" s="1"/>
  <c r="CF35" i="4"/>
  <c r="CG35" i="4" s="1"/>
  <c r="CH35" i="4" s="1"/>
  <c r="BY34" i="4"/>
  <c r="BZ34" i="4" s="1"/>
  <c r="CA34" i="4" s="1"/>
  <c r="CF34" i="4"/>
  <c r="CG34" i="4" s="1"/>
  <c r="CH34" i="4" s="1"/>
  <c r="BY54" i="4"/>
  <c r="BZ54" i="4" s="1"/>
  <c r="CA54" i="4" s="1"/>
  <c r="CF54" i="4"/>
  <c r="CG54" i="4" s="1"/>
  <c r="CH54" i="4" s="1"/>
  <c r="BY51" i="4"/>
  <c r="BZ51" i="4" s="1"/>
  <c r="CA51" i="4" s="1"/>
  <c r="CF51" i="4"/>
  <c r="CG51" i="4" s="1"/>
  <c r="CH51" i="4" s="1"/>
  <c r="CF118" i="4"/>
  <c r="CG118" i="4" s="1"/>
  <c r="CH118" i="4" s="1"/>
  <c r="CF116" i="4"/>
  <c r="CG116" i="4" s="1"/>
  <c r="CH116" i="4" s="1"/>
  <c r="CF114" i="4"/>
  <c r="CG114" i="4" s="1"/>
  <c r="CH114" i="4" s="1"/>
  <c r="CF112" i="4"/>
  <c r="CG112" i="4" s="1"/>
  <c r="CH112" i="4" s="1"/>
  <c r="CF72" i="4"/>
  <c r="CG72" i="4" s="1"/>
  <c r="CH72" i="4" s="1"/>
  <c r="BY63" i="4"/>
  <c r="BZ63" i="4" s="1"/>
  <c r="CA63" i="4" s="1"/>
  <c r="CF63" i="4"/>
  <c r="CG63" i="4" s="1"/>
  <c r="CH63" i="4" s="1"/>
  <c r="BY61" i="4"/>
  <c r="BZ61" i="4" s="1"/>
  <c r="CA61" i="4" s="1"/>
  <c r="CF61" i="4"/>
  <c r="CG61" i="4" s="1"/>
  <c r="CH61" i="4" s="1"/>
  <c r="BY127" i="4"/>
  <c r="BZ127" i="4" s="1"/>
  <c r="CA127" i="4" s="1"/>
  <c r="CF127" i="4"/>
  <c r="CG127" i="4" s="1"/>
  <c r="CH127" i="4" s="1"/>
  <c r="CF91" i="4"/>
  <c r="CG91" i="4" s="1"/>
  <c r="CH91" i="4" s="1"/>
  <c r="BY44" i="4"/>
  <c r="BZ44" i="4" s="1"/>
  <c r="CA44" i="4" s="1"/>
  <c r="CF44" i="4"/>
  <c r="CG44" i="4" s="1"/>
  <c r="CH44" i="4" s="1"/>
  <c r="BY36" i="4"/>
  <c r="BZ36" i="4" s="1"/>
  <c r="CA36" i="4" s="1"/>
  <c r="CF36" i="4"/>
  <c r="CG36" i="4" s="1"/>
  <c r="CH36" i="4" s="1"/>
  <c r="BY67" i="4"/>
  <c r="BZ67" i="4" s="1"/>
  <c r="CA67" i="4" s="1"/>
  <c r="CF67" i="4"/>
  <c r="CG67" i="4" s="1"/>
  <c r="CH67" i="4" s="1"/>
  <c r="BY57" i="4"/>
  <c r="BZ57" i="4" s="1"/>
  <c r="CA57" i="4" s="1"/>
  <c r="CF57" i="4"/>
  <c r="CG57" i="4" s="1"/>
  <c r="CH57" i="4" s="1"/>
  <c r="BY149" i="4"/>
  <c r="BZ149" i="4" s="1"/>
  <c r="CA149" i="4" s="1"/>
  <c r="CF149" i="4"/>
  <c r="CG149" i="4" s="1"/>
  <c r="CH149" i="4" s="1"/>
  <c r="BY42" i="4"/>
  <c r="BZ42" i="4" s="1"/>
  <c r="CA42" i="4" s="1"/>
  <c r="CF42" i="4"/>
  <c r="CG42" i="4" s="1"/>
  <c r="CH42" i="4" s="1"/>
  <c r="CF109" i="4"/>
  <c r="CG109" i="4" s="1"/>
  <c r="CH109" i="4" s="1"/>
  <c r="CF105" i="4"/>
  <c r="CG105" i="4" s="1"/>
  <c r="CH105" i="4" s="1"/>
  <c r="CF71" i="4"/>
  <c r="CG71" i="4" s="1"/>
  <c r="CH71" i="4" s="1"/>
  <c r="BY56" i="4"/>
  <c r="BZ56" i="4" s="1"/>
  <c r="CA56" i="4" s="1"/>
  <c r="CF56" i="4"/>
  <c r="CG56" i="4" s="1"/>
  <c r="CH56" i="4" s="1"/>
  <c r="CF55" i="4"/>
  <c r="CG55" i="4" s="1"/>
  <c r="CH55" i="4" s="1"/>
  <c r="CF64" i="4"/>
  <c r="CG64" i="4" s="1"/>
  <c r="CH64" i="4" s="1"/>
  <c r="BY58" i="4"/>
  <c r="BZ58" i="4" s="1"/>
  <c r="CA58" i="4" s="1"/>
  <c r="CF58" i="4"/>
  <c r="CG58" i="4" s="1"/>
  <c r="CH58" i="4" s="1"/>
  <c r="CF122" i="4"/>
  <c r="CG122" i="4" s="1"/>
  <c r="CH122" i="4" s="1"/>
  <c r="BY150" i="4"/>
  <c r="BZ150" i="4" s="1"/>
  <c r="CA150" i="4" s="1"/>
  <c r="CF150" i="4"/>
  <c r="CG150" i="4" s="1"/>
  <c r="CH150" i="4" s="1"/>
  <c r="BY46" i="4"/>
  <c r="BZ46" i="4" s="1"/>
  <c r="CA46" i="4" s="1"/>
  <c r="CF46" i="4"/>
  <c r="CG46" i="4" s="1"/>
  <c r="CH46" i="4" s="1"/>
  <c r="BY41" i="4"/>
  <c r="BZ41" i="4" s="1"/>
  <c r="CA41" i="4" s="1"/>
  <c r="CF41" i="4"/>
  <c r="CG41" i="4" s="1"/>
  <c r="CH41" i="4" s="1"/>
  <c r="BY32" i="4"/>
  <c r="BZ32" i="4" s="1"/>
  <c r="CA32" i="4" s="1"/>
  <c r="CF32" i="4"/>
  <c r="CG32" i="4" s="1"/>
  <c r="CH32" i="4" s="1"/>
  <c r="BY78" i="4"/>
  <c r="BZ78" i="4" s="1"/>
  <c r="CA78" i="4" s="1"/>
  <c r="CF78" i="4"/>
  <c r="CG78" i="4" s="1"/>
  <c r="CH78" i="4" s="1"/>
  <c r="BY74" i="4"/>
  <c r="BZ74" i="4" s="1"/>
  <c r="CA74" i="4" s="1"/>
  <c r="CF74" i="4"/>
  <c r="CG74" i="4" s="1"/>
  <c r="CH74" i="4" s="1"/>
  <c r="CF79" i="4"/>
  <c r="CG79" i="4" s="1"/>
  <c r="CH79" i="4" s="1"/>
  <c r="BY75" i="4"/>
  <c r="BZ75" i="4" s="1"/>
  <c r="CA75" i="4" s="1"/>
  <c r="CF75" i="4"/>
  <c r="CG75" i="4" s="1"/>
  <c r="CH75" i="4" s="1"/>
  <c r="BY12" i="4"/>
  <c r="BZ12" i="4" s="1"/>
  <c r="CA12" i="4" s="1"/>
  <c r="AX132" i="4"/>
  <c r="BY132" i="4"/>
  <c r="BZ132" i="4" s="1"/>
  <c r="CA132" i="4" s="1"/>
  <c r="AX17" i="4"/>
  <c r="CC17" i="4"/>
  <c r="BY17" i="4" s="1"/>
  <c r="BZ17" i="4" s="1"/>
  <c r="CA17" i="4" s="1"/>
  <c r="AX16" i="4"/>
  <c r="CC16" i="4"/>
  <c r="BY16" i="4" s="1"/>
  <c r="BZ16" i="4" s="1"/>
  <c r="CA16" i="4" s="1"/>
  <c r="AX14"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F133" i="4" l="1"/>
  <c r="CG133" i="4" s="1"/>
  <c r="CH133" i="4" s="1"/>
  <c r="CC133" i="4"/>
  <c r="BY133" i="4" s="1"/>
  <c r="BZ133" i="4" s="1"/>
  <c r="CA1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tc={82F1C3F7-426B-1A49-BF17-3AE9A7F3075E}</author>
    <author>tc={1762D52C-C952-7F43-847B-B050969DF7F7}</author>
    <author>Diana Danilenko</author>
    <author>tc={9F47CB00-27A0-CE4B-BCAE-E38E0BB97778}</author>
    <author>tc={1F7A7D95-9782-8549-84C7-AF86FD10A3A0}</author>
  </authors>
  <commentList>
    <comment ref="AB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BC13"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 ref="AX53"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 ref="BH88" authorId="3" shapeId="0">
      <text>
        <r>
          <rPr>
            <b/>
            <sz val="9"/>
            <color indexed="81"/>
            <rFont val="Segoe UI"/>
            <charset val="1"/>
          </rPr>
          <t>Diana Danilenko:</t>
        </r>
        <r>
          <rPr>
            <sz val="9"/>
            <color indexed="81"/>
            <rFont val="Segoe UI"/>
            <charset val="1"/>
          </rPr>
          <t xml:space="preserve">
degree of freedom</t>
        </r>
      </text>
    </comment>
    <comment ref="N98" authorId="4"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BK132" authorId="5"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List>
</comments>
</file>

<file path=xl/comments3.xml><?xml version="1.0" encoding="utf-8"?>
<comments xmlns="http://schemas.openxmlformats.org/spreadsheetml/2006/main">
  <authors>
    <author>tc={CF36070F-7893-4948-8AB8-1CADF6EBBFD9}</author>
  </authors>
  <commentList>
    <comment ref="E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<sst xmlns="http://schemas.openxmlformats.org/spreadsheetml/2006/main" count="7863" uniqueCount="723">
  <si>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</si>
  <si>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</si>
  <si>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</si>
  <si>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</si>
  <si>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</si>
  <si>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</si>
  <si>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</si>
  <si>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</si>
  <si>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</si>
  <si>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</si>
  <si>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</si>
  <si>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</si>
  <si>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</si>
  <si>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</si>
  <si>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</si>
  <si>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</si>
  <si>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</si>
  <si>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</si>
  <si>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</si>
  <si>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</si>
  <si>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</si>
  <si>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</si>
  <si>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</si>
  <si>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</si>
  <si>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</si>
  <si>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</si>
  <si>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</si>
  <si>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</si>
  <si>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</si>
  <si>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</si>
  <si>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</si>
  <si>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</si>
  <si>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</si>
  <si>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</si>
  <si>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</si>
  <si>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</si>
  <si>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</si>
  <si>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</si>
  <si>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</si>
  <si>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</si>
  <si>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</si>
  <si>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</si>
  <si>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</si>
  <si>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</si>
  <si>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</si>
  <si>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</si>
  <si>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</si>
  <si>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</si>
  <si>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</si>
  <si>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</si>
  <si>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</si>
  <si>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</si>
  <si>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</si>
  <si>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</si>
  <si>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</si>
  <si>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</si>
  <si>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</si>
  <si>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</si>
  <si>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</si>
  <si>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</si>
  <si>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</si>
  <si>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</si>
  <si>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</si>
  <si>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</si>
  <si>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</si>
  <si>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</si>
  <si>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</si>
  <si>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</si>
  <si>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</si>
  <si>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</si>
  <si>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</si>
  <si>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</si>
  <si>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</si>
  <si>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</si>
  <si>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</si>
  <si>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</si>
  <si>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</si>
  <si>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</si>
  <si>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</si>
  <si>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</si>
  <si>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</si>
  <si>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</si>
  <si>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</si>
  <si>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</si>
  <si>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</si>
  <si>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</si>
  <si>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</si>
  <si>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</si>
  <si>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</si>
  <si>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</si>
  <si>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</si>
  <si>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</si>
  <si>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</si>
  <si>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</si>
  <si>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</si>
  <si>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</si>
  <si>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</si>
  <si>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</si>
  <si>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</si>
  <si>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</si>
  <si>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</si>
  <si>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</si>
  <si>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</si>
  <si>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</si>
  <si>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</si>
  <si>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</si>
  <si>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</si>
  <si>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</si>
  <si>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</si>
  <si>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</si>
  <si>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</si>
  <si>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</si>
  <si>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</si>
  <si>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</si>
  <si>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</si>
  <si>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</si>
  <si>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</si>
  <si>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</si>
  <si>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</si>
  <si>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</si>
  <si>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</si>
  <si>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</si>
  <si>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</si>
  <si>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</si>
  <si>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</si>
  <si>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</si>
  <si>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</si>
  <si>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</si>
  <si>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</si>
  <si>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</si>
  <si>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</si>
  <si>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</si>
  <si>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</si>
  <si>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</si>
  <si>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</si>
  <si>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</si>
  <si>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</si>
  <si>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</si>
  <si>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</si>
  <si>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</si>
  <si>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</si>
  <si>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</si>
  <si>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</si>
  <si>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</si>
  <si>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</si>
  <si>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</si>
  <si>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</si>
  <si>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</si>
  <si>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</si>
  <si>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</si>
  <si>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</si>
  <si>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</si>
  <si>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</si>
  <si>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</si>
  <si>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</si>
  <si>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</si>
  <si>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</si>
  <si>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</si>
  <si>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</si>
  <si>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</si>
  <si>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</si>
  <si>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</si>
  <si>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</si>
  <si>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</si>
  <si>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</si>
  <si>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</si>
  <si>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</si>
  <si>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</si>
  <si>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</si>
  <si>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</si>
  <si>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</si>
  <si>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</si>
  <si>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</si>
  <si>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</si>
  <si>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</si>
  <si>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</si>
  <si>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</si>
  <si>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</si>
  <si>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</si>
  <si>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</si>
  <si>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</si>
  <si>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</si>
  <si>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</si>
  <si>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</si>
  <si>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</si>
  <si>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</si>
  <si>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</si>
  <si>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</si>
  <si>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</si>
  <si>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</si>
  <si>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</si>
  <si>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</si>
  <si>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</si>
  <si>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</si>
  <si>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</si>
  <si>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</si>
  <si>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</si>
  <si>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</si>
  <si>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</si>
  <si>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</si>
  <si>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</si>
  <si>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</si>
  <si>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</si>
  <si>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</si>
  <si>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</si>
  <si>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</si>
  <si>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</si>
  <si>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</si>
  <si>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</si>
  <si>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</si>
  <si>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</si>
  <si>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</si>
  <si>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</si>
  <si>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</si>
  <si>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</si>
  <si>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</si>
  <si>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</si>
  <si>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</si>
  <si>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</si>
  <si>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</si>
  <si>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</si>
  <si>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</si>
  <si>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</si>
  <si>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</si>
  <si>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</si>
  <si>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</si>
  <si>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</si>
  <si>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</si>
  <si>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</si>
  <si>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</si>
  <si>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</si>
  <si>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</si>
  <si>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</si>
  <si>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</si>
  <si>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</si>
  <si>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</si>
  <si>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</si>
  <si>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</si>
  <si>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</si>
  <si>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</si>
  <si>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</si>
  <si>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</si>
  <si>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</si>
  <si>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</si>
  <si>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</si>
  <si>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</si>
  <si>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</si>
  <si>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</si>
  <si>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</si>
  <si>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</si>
  <si>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</si>
  <si>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</si>
  <si>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</si>
  <si>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</si>
  <si>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</si>
  <si>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</si>
  <si>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</si>
  <si>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</si>
  <si>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</si>
  <si>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</si>
  <si>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</si>
  <si>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</si>
  <si>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</si>
  <si>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</si>
  <si>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</si>
  <si>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</si>
  <si>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</si>
  <si>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</si>
  <si>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</si>
  <si>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</si>
  <si>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</si>
  <si>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</si>
  <si>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</si>
  <si>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</si>
  <si>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</si>
  <si>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</si>
  <si>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</si>
  <si>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</si>
  <si>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</si>
  <si>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</si>
  <si>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</si>
  <si>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</si>
  <si>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</si>
  <si>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</si>
  <si>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</si>
  <si>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</si>
  <si>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</si>
  <si>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</si>
  <si>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</si>
  <si>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</si>
  <si>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</si>
  <si>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</si>
  <si>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</si>
  <si>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</si>
  <si>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</si>
  <si>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</si>
  <si>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</si>
  <si>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</si>
  <si>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</si>
  <si>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</si>
  <si>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</si>
  <si>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</si>
  <si>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</si>
  <si>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</si>
  <si>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</si>
  <si>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</si>
  <si>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</si>
  <si>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</si>
  <si>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</si>
  <si>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</si>
  <si>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</si>
  <si>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</si>
  <si>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</si>
  <si>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</si>
  <si>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</si>
  <si>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</si>
  <si>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</si>
  <si>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</si>
  <si>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</si>
  <si>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</si>
  <si>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</si>
  <si>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</si>
  <si>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</si>
  <si>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</si>
  <si>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</si>
  <si>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</si>
  <si>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</si>
  <si>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</si>
  <si>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</si>
  <si>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</si>
  <si>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</si>
  <si>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</si>
  <si>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</si>
  <si>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</si>
  <si>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</si>
  <si>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</si>
  <si>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</si>
  <si>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</si>
  <si>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</si>
  <si>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</si>
  <si>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</si>
  <si>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</si>
  <si>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</si>
  <si>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</si>
  <si>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</si>
  <si>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</si>
  <si>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</si>
  <si>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</si>
  <si>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</si>
  <si>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</si>
  <si>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</si>
  <si>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</si>
  <si>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</si>
  <si>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</si>
  <si>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</si>
  <si>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</si>
  <si>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</si>
  <si>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</si>
  <si>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</si>
  <si>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</si>
  <si>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</si>
  <si>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</si>
  <si>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</si>
  <si>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</si>
  <si>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</si>
  <si>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</si>
  <si>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</si>
  <si>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</si>
  <si>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</si>
  <si>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</si>
  <si>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</si>
  <si>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</si>
  <si>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</si>
  <si>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</si>
  <si>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</si>
  <si>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</si>
  <si>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</si>
  <si>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</si>
  <si>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</si>
  <si>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</si>
  <si>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</si>
  <si>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</si>
  <si>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</si>
  <si>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</si>
  <si>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</si>
  <si>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</si>
  <si>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</si>
  <si>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</si>
  <si>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</si>
  <si>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</si>
  <si>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</si>
  <si>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</si>
  <si>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</si>
  <si>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</si>
  <si>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</si>
  <si>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</si>
  <si>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</si>
  <si>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</si>
  <si>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</si>
  <si>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</si>
  <si>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</si>
  <si>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</si>
  <si>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</si>
  <si>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</si>
  <si>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</si>
  <si>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</si>
  <si>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</si>
  <si>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</si>
  <si>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</si>
  <si>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</si>
  <si>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</si>
  <si>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</si>
  <si>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</si>
  <si>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</si>
  <si>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</si>
  <si>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</si>
  <si>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</si>
  <si>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</si>
  <si>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</si>
  <si>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</si>
  <si>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</si>
  <si>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</si>
  <si>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</si>
  <si>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</si>
  <si>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</si>
  <si>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</si>
  <si>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</si>
  <si>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</si>
  <si>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</si>
  <si>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</si>
  <si>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</si>
  <si>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</si>
  <si>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</si>
  <si>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</si>
  <si>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</si>
  <si>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</si>
  <si>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</si>
  <si>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</si>
  <si>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</si>
  <si>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</si>
  <si>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</si>
  <si>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</si>
  <si>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</si>
  <si>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</si>
  <si>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</si>
  <si>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</si>
  <si>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</si>
  <si>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</si>
  <si>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</si>
  <si>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</si>
  <si>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</si>
  <si>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</si>
  <si>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</si>
  <si>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</si>
  <si>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</si>
  <si>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</si>
  <si>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</si>
  <si>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</si>
  <si>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</si>
  <si>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</si>
  <si>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</si>
  <si>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</si>
  <si>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</si>
  <si>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</si>
  <si>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</si>
  <si>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</si>
  <si>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</si>
  <si>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</si>
  <si>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</si>
  <si>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</si>
  <si>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</si>
  <si>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</si>
  <si>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</si>
  <si>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</si>
  <si>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</si>
  <si>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</si>
  <si>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</si>
  <si>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</si>
  <si>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</si>
  <si>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</si>
  <si>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</si>
  <si>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</si>
  <si>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</si>
  <si>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</si>
  <si>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</si>
  <si>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</si>
  <si>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</si>
  <si>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</si>
  <si>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</si>
  <si>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</si>
  <si>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</si>
  <si>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</si>
  <si>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</si>
  <si>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</si>
  <si>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</si>
  <si>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</si>
  <si>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</si>
  <si>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</si>
  <si>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</si>
  <si>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</si>
  <si>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</si>
  <si>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</si>
  <si>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</si>
  <si>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</si>
  <si>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</si>
  <si>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</si>
  <si>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</si>
  <si>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</si>
  <si>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</si>
  <si>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</si>
  <si>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</si>
  <si>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</si>
  <si>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</si>
  <si>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</si>
  <si>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</si>
  <si>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</si>
  <si>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</si>
  <si>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</si>
  <si>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</si>
  <si>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</si>
  <si>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</si>
  <si>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</si>
  <si>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</si>
  <si>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</si>
  <si>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</si>
  <si>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</si>
  <si>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</si>
  <si>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</si>
  <si>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</si>
  <si>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</si>
  <si>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</si>
  <si>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</si>
  <si>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</si>
  <si>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</si>
  <si>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</si>
  <si>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</si>
  <si>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</si>
  <si>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</si>
  <si>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</si>
  <si>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</si>
  <si>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</si>
  <si>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</si>
  <si>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</si>
  <si>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</si>
  <si>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</si>
  <si>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</si>
  <si>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</si>
  <si>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</si>
  <si>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</si>
  <si>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</si>
  <si>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</si>
  <si>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</si>
  <si>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</si>
  <si>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</si>
  <si>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</si>
  <si>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</si>
  <si>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</si>
  <si>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</si>
  <si>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</si>
  <si>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</si>
  <si>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</si>
  <si>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</si>
  <si>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</si>
  <si>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</si>
  <si>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</si>
  <si>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</si>
  <si>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</si>
  <si>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</si>
  <si>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</si>
  <si>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</si>
  <si>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</si>
  <si>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</si>
  <si>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</si>
  <si>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</si>
  <si>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</si>
  <si>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</si>
  <si>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</si>
  <si>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</si>
  <si>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</si>
  <si>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</si>
  <si>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</si>
  <si>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</si>
  <si>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</si>
  <si>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</si>
  <si>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</si>
  <si>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</si>
  <si>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</si>
  <si>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</si>
  <si>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</si>
  <si>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</si>
  <si>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</si>
  <si>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</si>
  <si>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</si>
  <si>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</si>
  <si>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</si>
  <si>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</si>
  <si>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</si>
  <si>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</si>
  <si>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</si>
  <si>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</si>
  <si>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</si>
  <si>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</si>
  <si>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</si>
  <si>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</si>
  <si>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</si>
  <si>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</si>
  <si>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</si>
  <si>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</si>
  <si>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</si>
  <si>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</si>
  <si>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</si>
  <si>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</si>
  <si>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</si>
  <si>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</si>
  <si>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</si>
  <si>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</si>
  <si>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</si>
  <si>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</si>
  <si>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</si>
  <si>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</si>
  <si>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</si>
  <si>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</si>
  <si>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</si>
  <si>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</si>
  <si>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</si>
  <si>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</si>
  <si>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</si>
  <si>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</si>
  <si>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</si>
  <si>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</si>
  <si>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</si>
  <si>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</si>
  <si>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</si>
  <si>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</si>
  <si>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</si>
  <si>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</si>
  <si>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</si>
  <si>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</si>
  <si>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</si>
  <si>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</si>
  <si>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</si>
  <si>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</si>
  <si>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</si>
  <si>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</si>
  <si>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</si>
  <si>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</si>
  <si>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</si>
  <si>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</si>
  <si>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</si>
  <si>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</si>
  <si>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</si>
  <si>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</si>
  <si>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</si>
  <si>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</si>
  <si>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</si>
  <si>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</si>
  <si>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</si>
  <si>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</si>
  <si>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</si>
  <si>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</si>
  <si>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</si>
  <si>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</si>
  <si>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</si>
  <si>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</si>
  <si>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</si>
  <si>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</si>
  <si>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</si>
  <si>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</si>
  <si>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</si>
  <si>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</si>
  <si>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</si>
  <si>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</si>
  <si>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</si>
  <si>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</si>
  <si>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</si>
  <si>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</si>
  <si>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</si>
  <si>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</si>
  <si>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</si>
  <si>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</si>
  <si>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</si>
  <si>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</si>
  <si>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</si>
  <si>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</si>
  <si>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</si>
  <si>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</si>
  <si>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</si>
  <si>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</si>
  <si>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</si>
  <si>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</si>
  <si>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</si>
  <si>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</si>
  <si>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</si>
  <si>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</si>
  <si>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</si>
  <si>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</si>
  <si>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</si>
  <si>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</si>
  <si>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</si>
  <si>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</si>
  <si>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</si>
  <si>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</si>
  <si>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</si>
  <si>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</si>
  <si>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</si>
  <si>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</si>
  <si>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</si>
  <si>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</si>
  <si>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</si>
  <si>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</si>
  <si>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</si>
  <si>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</si>
  <si>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</si>
  <si>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</si>
  <si>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</si>
  <si>
    <t>counterfactual</t>
  </si>
  <si>
    <t>ES appliance compared to non-ES appliance</t>
  </si>
  <si>
    <t>ES appliance + intervention compared to ES appliance no intervention</t>
  </si>
  <si>
    <t xml:space="preserve"> top-rated with one label compared to other</t>
  </si>
  <si>
    <t>top-rated with label or without label</t>
  </si>
  <si>
    <t>Alberini, Bigano, Boeri</t>
  </si>
  <si>
    <t>Alberini, Bigano</t>
  </si>
  <si>
    <t>Alberini, Towe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</si>
</sst>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amily val="2"/>
    </font>
    <font>
      <sz val="12"/>
      <color rgb="FF000000"/>
      <name val="Calibri"/>
      <family val="2"/>
    </font>
    <font>
      <sz val="12"/>
      <color rgb="FFFF0000"/>
      <name val="Calibri"/>
      <family val="2"/>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6">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xf numFmtId="0" fontId="34" fillId="0" borderId="0" xfId="0" applyFont="1" applyFill="1"/>
  </cellXfs>
  <cellStyles count="2">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E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6">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 type="list" allowBlank="1" showInputMessage="1" showErrorMessage="1" prompt="Option to Opt/in - 1_x000a_No Option to Opt/in - 0_x000a_NA_x000a__x000a_" sqref="BC54:BC1048576">
      <formula1>$C$2:$C$4</formula1>
    </dataValidation>
    <dataValidation type="list" allowBlank="1" showInputMessage="1" showErrorMessage="1" prompt="Option to Opt/in - 1_x000a_No Option to Opt/in - 0_x000a_NA_x000a__x000a_" sqref="BC33:BC38">
      <formula1>$C$2:$C$4</formula1>
    </dataValidation>
    <dataValidation type="list" allowBlank="1" showInputMessage="1" showErrorMessage="1" prompt="Option to Opt/in - 1_x000a_No Option to Opt/in - 0_x000a_NA_x000a__x000a_" sqref="BC1:BC12">
      <formula1>$C$2:$C$4</formula1>
    </dataValidation>
    <dataValidation type="list" allowBlank="1" showInputMessage="1" showErrorMessage="1" sqref="AS54:AX1048576">
      <formula1>$B$2:$B$4</formula1>
    </dataValidation>
    <dataValidation type="list" allowBlank="1" showInputMessage="1" showErrorMessage="1" sqref="AS23:AX38">
      <formula1>$B$2:$B$4</formula1>
    </dataValidation>
    <dataValidation type="list" allowBlank="1" showInputMessage="1" showErrorMessage="1" sqref="AS2:AX12">
      <formula1>$B$2:$B$4</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variables'!$C$2:$C$4</xm:f>
          </x14:formula1>
          <xm:sqref>BC23:BC28</xm:sqref>
        </x14:dataValidation>
        <x14:dataValidation type="list" allowBlank="1" showInputMessage="1" showErrorMessage="1">
          <x14:formula1>
            <xm:f>'Lists for variables'!$G$2:$G$9</xm:f>
          </x14:formula1>
          <xm:sqref>J54:J1048576</xm:sqref>
        </x14:dataValidation>
        <x14:dataValidation type="list" allowBlank="1" showInputMessage="1" showErrorMessage="1">
          <x14:formula1>
            <xm:f>'Lists for variables'!$B$2:$B$4</xm:f>
          </x14:formula1>
          <xm:sqref>AS43:AX51</xm:sqref>
        </x14:dataValidation>
        <x14:dataValidation type="list" allowBlank="1" showInputMessage="1" showErrorMessage="1">
          <x14:formula1>
            <xm:f>'Lists for variables'!$G$2:$G$10</xm:f>
          </x14:formula1>
          <xm:sqref>J38</xm:sqref>
        </x14:dataValidation>
        <x14:dataValidation type="list" allowBlank="1" showInputMessage="1" showErrorMessage="1">
          <x14:formula1>
            <xm:f>'Lists for variables'!$F$2:$F$4</xm:f>
          </x14:formula1>
          <xm:sqref>AO43:AO51</xm:sqref>
        </x14:dataValidation>
        <x14:dataValidation type="list" allowBlank="1" showInputMessage="1" showErrorMessage="1">
          <x14:formula1>
            <xm:f>'Lists for variables'!$E$2:$E$6</xm:f>
          </x14:formula1>
          <xm:sqref>K54:K1048576</xm:sqref>
        </x14:dataValidation>
        <x14:dataValidation type="list" allowBlank="1" showInputMessage="1" showErrorMessage="1">
          <x14:formula1>
            <xm:f>'Lists for variables'!$E$2:$E$7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J156"/>
  <sheetViews>
    <sheetView tabSelected="1" zoomScale="77" zoomScaleNormal="77" workbookViewId="0">
      <pane xSplit="1" ySplit="1" topLeftCell="B2" activePane="bottomRight" state="frozen"/>
      <selection pane="topRight" activeCell="B1" sqref="B1"/>
      <selection pane="bottomLeft" activeCell="A2" sqref="A2"/>
      <selection pane="bottomRight" activeCell="B11" sqref="B7:B11"/>
    </sheetView>
  </sheetViews>
  <sheetFormatPr baseColWidth="10" defaultColWidth="11" defaultRowHeight="15.75" customHeight="1"/>
  <cols>
    <col min="6" max="6" width="24.625" customWidth="1"/>
    <col min="7" max="7" width="17.625" customWidth="1"/>
    <col min="8" max="8" width="14.125" customWidth="1"/>
    <col min="9" max="9" width="16.5" customWidth="1"/>
    <col min="10" max="10" width="11" customWidth="1"/>
    <col min="11" max="11" width="16.125" customWidth="1"/>
    <col min="12" max="12" width="15.125" bestFit="1" customWidth="1"/>
    <col min="14" max="14" width="20.625" bestFit="1" customWidth="1"/>
    <col min="15" max="15" width="13.125" customWidth="1"/>
    <col min="16" max="16" width="11" customWidth="1"/>
    <col min="17" max="17" width="14.625" customWidth="1"/>
    <col min="18" max="18" width="13.125" customWidth="1"/>
    <col min="19" max="19" width="15" customWidth="1"/>
    <col min="20" max="20" width="14.125" customWidth="1"/>
    <col min="21" max="21" width="11" customWidth="1"/>
    <col min="22" max="22" width="21.125" customWidth="1"/>
    <col min="23" max="23" width="16" customWidth="1"/>
    <col min="24" max="24" width="14.625" customWidth="1"/>
    <col min="25" max="25" width="12.5" customWidth="1"/>
    <col min="26" max="34" width="11" customWidth="1"/>
    <col min="35" max="36" width="16" customWidth="1"/>
    <col min="37" max="40" width="11" customWidth="1"/>
    <col min="41" max="42" width="12.125" customWidth="1"/>
    <col min="43" max="43" width="11" customWidth="1"/>
    <col min="44" max="44" width="27.625" customWidth="1"/>
    <col min="45" max="45" width="41.125" bestFit="1" customWidth="1"/>
    <col min="46" max="46" width="54.625" customWidth="1"/>
    <col min="47" max="47" width="21" customWidth="1"/>
    <col min="48" max="48" width="26.625" style="134" customWidth="1"/>
    <col min="49" max="49" width="14.125" style="7" customWidth="1"/>
    <col min="50" max="50" width="13.125" customWidth="1"/>
    <col min="51" max="51" width="9.625" customWidth="1"/>
    <col min="52" max="52" width="17" customWidth="1"/>
    <col min="53" max="53" width="9"/>
    <col min="55" max="55" width="14.125" customWidth="1"/>
    <col min="56" max="56" width="13.625" customWidth="1"/>
    <col min="57" max="57" width="12.625" customWidth="1"/>
    <col min="58" max="58" width="10.625" customWidth="1"/>
    <col min="59" max="59" width="13" customWidth="1"/>
    <col min="60" max="61" width="10.625" customWidth="1"/>
    <col min="62" max="63" width="11.125" customWidth="1"/>
    <col min="64" max="65" width="11" customWidth="1"/>
    <col min="66" max="66" width="12.625" customWidth="1"/>
    <col min="67" max="67" width="18.125" customWidth="1"/>
    <col min="68" max="68" width="22.125" customWidth="1"/>
    <col min="69" max="69" width="15.125" customWidth="1"/>
    <col min="70" max="70" width="18" customWidth="1"/>
    <col min="71" max="71" width="17.125" customWidth="1"/>
    <col min="72" max="72" width="21.125" customWidth="1"/>
    <col min="73" max="73" width="10.125" customWidth="1"/>
    <col min="74" max="74" width="13" customWidth="1"/>
    <col min="75" max="75" width="14" customWidth="1"/>
    <col min="76" max="76" width="13.125" customWidth="1"/>
    <col min="79" max="79" width="11.625" customWidth="1"/>
    <col min="83" max="83" width="10.125" customWidth="1"/>
    <col min="86" max="86" width="11.625" customWidth="1"/>
  </cols>
  <sheetData>
    <row r="1" spans="1:88" ht="17.100000000000001" customHeight="1">
      <c r="A1" s="58" t="s">
        <v>181</v>
      </c>
      <c r="B1" s="42" t="s">
        <v>715</v>
      </c>
      <c r="C1" s="58" t="s">
        <v>182</v>
      </c>
      <c r="D1" s="58" t="s">
        <v>1</v>
      </c>
      <c r="E1" s="58" t="s">
        <v>2</v>
      </c>
      <c r="F1" s="59" t="s">
        <v>183</v>
      </c>
      <c r="G1" s="60" t="s">
        <v>184</v>
      </c>
      <c r="H1" s="61" t="s">
        <v>4</v>
      </c>
      <c r="I1" s="62" t="s">
        <v>5</v>
      </c>
      <c r="J1" s="63" t="s">
        <v>11</v>
      </c>
      <c r="K1" s="63" t="s">
        <v>6</v>
      </c>
      <c r="L1" s="63" t="s">
        <v>7</v>
      </c>
      <c r="M1" s="63" t="s">
        <v>8</v>
      </c>
      <c r="N1" s="184" t="s">
        <v>9</v>
      </c>
      <c r="O1" s="63" t="s">
        <v>10</v>
      </c>
      <c r="P1" s="64" t="s">
        <v>50</v>
      </c>
      <c r="Q1" s="65" t="s">
        <v>185</v>
      </c>
      <c r="R1" s="66" t="s">
        <v>186</v>
      </c>
      <c r="S1" s="66" t="s">
        <v>187</v>
      </c>
      <c r="T1" s="66" t="s">
        <v>188</v>
      </c>
      <c r="U1" s="67" t="s">
        <v>189</v>
      </c>
      <c r="V1" s="66" t="s">
        <v>53</v>
      </c>
      <c r="W1" s="68" t="s">
        <v>55</v>
      </c>
      <c r="X1" s="69" t="s">
        <v>56</v>
      </c>
      <c r="Y1" s="70" t="s">
        <v>190</v>
      </c>
      <c r="Z1" s="71" t="s">
        <v>12</v>
      </c>
      <c r="AA1" s="72" t="s">
        <v>14</v>
      </c>
      <c r="AB1" s="72" t="s">
        <v>15</v>
      </c>
      <c r="AC1" s="72" t="s">
        <v>13</v>
      </c>
      <c r="AD1" s="72" t="s">
        <v>16</v>
      </c>
      <c r="AE1" s="72" t="s">
        <v>191</v>
      </c>
      <c r="AF1" s="72" t="s">
        <v>192</v>
      </c>
      <c r="AG1" s="72" t="s">
        <v>193</v>
      </c>
      <c r="AH1" s="72" t="s">
        <v>194</v>
      </c>
      <c r="AI1" s="73" t="s">
        <v>17</v>
      </c>
      <c r="AJ1" s="74" t="s">
        <v>195</v>
      </c>
      <c r="AK1" s="74" t="s">
        <v>196</v>
      </c>
      <c r="AL1" s="74" t="s">
        <v>19</v>
      </c>
      <c r="AM1" s="74" t="s">
        <v>20</v>
      </c>
      <c r="AN1" s="74" t="s">
        <v>21</v>
      </c>
      <c r="AO1" s="74" t="s">
        <v>22</v>
      </c>
      <c r="AP1" s="74" t="s">
        <v>197</v>
      </c>
      <c r="AQ1" s="74" t="s">
        <v>24</v>
      </c>
      <c r="AR1" s="75" t="s">
        <v>198</v>
      </c>
      <c r="AS1" s="58" t="s">
        <v>199</v>
      </c>
      <c r="AT1" s="58" t="s">
        <v>200</v>
      </c>
      <c r="AU1" s="58" t="s">
        <v>201</v>
      </c>
      <c r="AV1" s="194" t="s">
        <v>27</v>
      </c>
      <c r="AW1" s="58" t="s">
        <v>28</v>
      </c>
      <c r="AX1" s="59" t="s">
        <v>29</v>
      </c>
      <c r="AY1" s="76" t="s">
        <v>39</v>
      </c>
      <c r="AZ1" s="77" t="s">
        <v>40</v>
      </c>
      <c r="BA1" s="77" t="s">
        <v>202</v>
      </c>
      <c r="BB1" s="77" t="s">
        <v>712</v>
      </c>
      <c r="BC1" s="78" t="s">
        <v>203</v>
      </c>
      <c r="BD1" s="79" t="s">
        <v>31</v>
      </c>
      <c r="BE1" s="80" t="s">
        <v>32</v>
      </c>
      <c r="BF1" s="80" t="s">
        <v>33</v>
      </c>
      <c r="BG1" s="80" t="s">
        <v>34</v>
      </c>
      <c r="BH1" s="80" t="s">
        <v>35</v>
      </c>
      <c r="BI1" s="80" t="s">
        <v>36</v>
      </c>
      <c r="BJ1" s="80" t="s">
        <v>37</v>
      </c>
      <c r="BK1" s="80" t="s">
        <v>38</v>
      </c>
      <c r="BL1" s="80" t="s">
        <v>42</v>
      </c>
      <c r="BM1" s="81" t="s">
        <v>43</v>
      </c>
      <c r="BN1" s="82" t="s">
        <v>204</v>
      </c>
      <c r="BO1" s="83" t="s">
        <v>205</v>
      </c>
      <c r="BP1" s="84" t="s">
        <v>206</v>
      </c>
      <c r="BQ1" s="85" t="s">
        <v>207</v>
      </c>
      <c r="BR1" s="86" t="s">
        <v>208</v>
      </c>
      <c r="BS1" s="86" t="s">
        <v>209</v>
      </c>
      <c r="BT1" s="86" t="s">
        <v>210</v>
      </c>
      <c r="BU1" s="84" t="s">
        <v>211</v>
      </c>
      <c r="BV1" s="87" t="s">
        <v>212</v>
      </c>
      <c r="BW1" s="88" t="s">
        <v>213</v>
      </c>
      <c r="BX1" s="89" t="s">
        <v>214</v>
      </c>
      <c r="BY1" s="28" t="s">
        <v>215</v>
      </c>
      <c r="BZ1" s="90" t="s">
        <v>62</v>
      </c>
      <c r="CA1" s="91" t="s">
        <v>63</v>
      </c>
      <c r="CB1" s="91" t="s">
        <v>64</v>
      </c>
      <c r="CC1" t="s">
        <v>65</v>
      </c>
      <c r="CD1" t="s">
        <v>216</v>
      </c>
      <c r="CE1" t="s">
        <v>217</v>
      </c>
      <c r="CF1" s="28" t="s">
        <v>218</v>
      </c>
      <c r="CG1" s="90" t="s">
        <v>219</v>
      </c>
      <c r="CH1" s="91" t="s">
        <v>220</v>
      </c>
      <c r="CI1" s="91" t="s">
        <v>221</v>
      </c>
    </row>
    <row r="2" spans="1:88" ht="15.75" customHeight="1">
      <c r="A2" s="92" t="s">
        <v>68</v>
      </c>
      <c r="B2" s="92" t="s">
        <v>717</v>
      </c>
      <c r="C2" s="92">
        <v>1</v>
      </c>
      <c r="D2" s="92">
        <v>1070</v>
      </c>
      <c r="E2" s="92">
        <v>112</v>
      </c>
      <c r="F2" s="92" t="s">
        <v>720</v>
      </c>
      <c r="G2" s="92">
        <v>2013</v>
      </c>
      <c r="H2" s="92" t="s">
        <v>297</v>
      </c>
      <c r="I2" s="92" t="s">
        <v>298</v>
      </c>
      <c r="J2" s="92">
        <v>2</v>
      </c>
      <c r="K2" s="92" t="s">
        <v>299</v>
      </c>
      <c r="L2" s="92" t="s">
        <v>73</v>
      </c>
      <c r="M2" s="92">
        <v>14</v>
      </c>
      <c r="N2" s="185" t="s">
        <v>93</v>
      </c>
      <c r="O2" s="92" t="s">
        <v>112</v>
      </c>
      <c r="P2" s="92" t="s">
        <v>300</v>
      </c>
      <c r="Q2" s="92" t="s">
        <v>243</v>
      </c>
      <c r="R2" s="92" t="s">
        <v>244</v>
      </c>
      <c r="S2" s="92" t="s">
        <v>245</v>
      </c>
      <c r="T2" s="92">
        <v>0</v>
      </c>
      <c r="U2" s="92" t="s">
        <v>189</v>
      </c>
      <c r="V2" s="92">
        <v>0</v>
      </c>
      <c r="W2" s="92" t="s">
        <v>232</v>
      </c>
      <c r="X2" s="92" t="s">
        <v>232</v>
      </c>
      <c r="Y2" s="92" t="s">
        <v>73</v>
      </c>
      <c r="Z2" s="92">
        <v>0</v>
      </c>
      <c r="AA2" s="92">
        <v>1</v>
      </c>
      <c r="AB2" s="92">
        <v>0</v>
      </c>
      <c r="AC2" s="92">
        <v>0</v>
      </c>
      <c r="AD2" s="92">
        <v>1</v>
      </c>
      <c r="AE2" s="92">
        <v>0</v>
      </c>
      <c r="AF2" s="92">
        <v>0</v>
      </c>
      <c r="AG2" s="92">
        <v>0</v>
      </c>
      <c r="AH2" s="92" t="s">
        <v>73</v>
      </c>
      <c r="AI2" s="92">
        <v>0</v>
      </c>
      <c r="AJ2" s="92">
        <v>0</v>
      </c>
      <c r="AK2" s="92">
        <v>0</v>
      </c>
      <c r="AL2" s="92">
        <v>0</v>
      </c>
      <c r="AM2" s="92">
        <v>1</v>
      </c>
      <c r="AN2" s="92">
        <v>0</v>
      </c>
      <c r="AO2" s="92">
        <v>0</v>
      </c>
      <c r="AP2" s="92">
        <v>0</v>
      </c>
      <c r="AQ2" s="92">
        <v>0</v>
      </c>
      <c r="AR2" s="92" t="s">
        <v>73</v>
      </c>
      <c r="AS2" s="92" t="s">
        <v>234</v>
      </c>
      <c r="AT2" s="92" t="s">
        <v>301</v>
      </c>
      <c r="AU2" s="92" t="s">
        <v>236</v>
      </c>
      <c r="AV2" s="213">
        <v>1.6000000000000001E-4</v>
      </c>
      <c r="AW2" s="214" t="s">
        <v>86</v>
      </c>
      <c r="AX2" s="98">
        <v>1.4545454545454547E-3</v>
      </c>
      <c r="AY2" s="98" t="s">
        <v>73</v>
      </c>
      <c r="AZ2" s="98">
        <v>3</v>
      </c>
      <c r="BA2" s="98">
        <v>0.11</v>
      </c>
      <c r="BB2" s="98" t="s">
        <v>713</v>
      </c>
      <c r="BC2" s="208">
        <f>EXP(AV2)/(1+EXP(AV2))</f>
        <v>0.50003999999991466</v>
      </c>
      <c r="BD2" s="92" t="s">
        <v>73</v>
      </c>
      <c r="BE2" s="92" t="s">
        <v>73</v>
      </c>
      <c r="BF2" s="92" t="s">
        <v>73</v>
      </c>
      <c r="BG2" s="92" t="s">
        <v>73</v>
      </c>
      <c r="BH2" s="92" t="s">
        <v>73</v>
      </c>
      <c r="BI2" s="92" t="s">
        <v>73</v>
      </c>
      <c r="BJ2" s="92">
        <v>81095</v>
      </c>
      <c r="BK2" s="92">
        <v>81095</v>
      </c>
      <c r="BL2" s="92" t="s">
        <v>73</v>
      </c>
      <c r="BM2" s="92" t="s">
        <v>73</v>
      </c>
      <c r="BN2" s="92" t="s">
        <v>73</v>
      </c>
      <c r="BO2" s="92">
        <v>0.55000000000000004</v>
      </c>
      <c r="BP2" s="92" t="s">
        <v>302</v>
      </c>
      <c r="BQ2" s="95">
        <v>0</v>
      </c>
      <c r="BR2" s="95">
        <v>0</v>
      </c>
      <c r="BS2" s="95">
        <v>1</v>
      </c>
      <c r="BT2" s="96">
        <v>3.8627412167859866E-4</v>
      </c>
      <c r="BU2" s="96">
        <v>3.8627414089036701E-4</v>
      </c>
      <c r="BV2" s="97">
        <v>0</v>
      </c>
      <c r="BW2" s="97">
        <v>0</v>
      </c>
      <c r="BX2" s="92">
        <v>1</v>
      </c>
      <c r="BY2" s="30">
        <f>((BA2^2)/(BA2^2+BJ2))^(1/2)</f>
        <v>3.8627412167859866E-4</v>
      </c>
      <c r="BZ2" s="30">
        <f t="shared" ref="BZ2:BZ33" si="0">0.5*LN((1+BY2)/(1-BY2))</f>
        <v>3.8627414089036701E-4</v>
      </c>
      <c r="CA2" s="30">
        <f t="shared" ref="CA2:CA33" si="1">((1-(BZ2^2)^2)/(BJ2-1))</f>
        <v>1.233136853527977E-5</v>
      </c>
      <c r="CB2" s="30">
        <f t="shared" ref="CB2:CB33" si="2">1/(BJ2-3)</f>
        <v>1.2331672668080699E-5</v>
      </c>
      <c r="CC2" s="92" t="s">
        <v>73</v>
      </c>
      <c r="CD2">
        <f>BJ2-1</f>
        <v>81094</v>
      </c>
      <c r="CE2" s="92" t="s">
        <v>73</v>
      </c>
      <c r="CF2" s="30">
        <f t="shared" ref="CF2:CF33" si="3">((BA2^2)/(BA2^2+BK2))^(1/2)</f>
        <v>3.8627412167859866E-4</v>
      </c>
      <c r="CG2" s="30">
        <f t="shared" ref="CG2:CG33" si="4">0.5*LN((1+CF2)/(1-CF2))</f>
        <v>3.8627414089036701E-4</v>
      </c>
      <c r="CH2" s="30">
        <f t="shared" ref="CH2:CH33" si="5">((1-(CG2^2)^2)/(BK2-1))</f>
        <v>1.233136853527977E-5</v>
      </c>
      <c r="CI2" s="30">
        <f t="shared" ref="CI2:CI33" si="6">1/(BK2-3)</f>
        <v>1.2331672668080699E-5</v>
      </c>
    </row>
    <row r="3" spans="1:88" s="102" customFormat="1">
      <c r="A3" s="92" t="s">
        <v>68</v>
      </c>
      <c r="B3" s="92" t="s">
        <v>717</v>
      </c>
      <c r="C3" s="92">
        <v>1</v>
      </c>
      <c r="D3" s="92">
        <v>1070</v>
      </c>
      <c r="E3" s="92">
        <v>112</v>
      </c>
      <c r="F3" s="92" t="s">
        <v>720</v>
      </c>
      <c r="G3" s="92">
        <v>2013</v>
      </c>
      <c r="H3" s="92" t="s">
        <v>297</v>
      </c>
      <c r="I3" s="92" t="s">
        <v>298</v>
      </c>
      <c r="J3" s="92">
        <v>2</v>
      </c>
      <c r="K3" s="92" t="s">
        <v>299</v>
      </c>
      <c r="L3" s="92" t="s">
        <v>73</v>
      </c>
      <c r="M3" s="92">
        <v>14</v>
      </c>
      <c r="N3" s="185" t="s">
        <v>93</v>
      </c>
      <c r="O3" s="92" t="s">
        <v>112</v>
      </c>
      <c r="P3" s="92" t="s">
        <v>300</v>
      </c>
      <c r="Q3" s="92" t="s">
        <v>243</v>
      </c>
      <c r="R3" s="92" t="s">
        <v>244</v>
      </c>
      <c r="S3" s="92" t="s">
        <v>245</v>
      </c>
      <c r="T3" s="92">
        <v>0</v>
      </c>
      <c r="U3" s="92" t="s">
        <v>189</v>
      </c>
      <c r="V3" s="92">
        <v>0</v>
      </c>
      <c r="W3" s="92" t="s">
        <v>232</v>
      </c>
      <c r="X3" s="92" t="s">
        <v>232</v>
      </c>
      <c r="Y3" s="92" t="s">
        <v>73</v>
      </c>
      <c r="Z3" s="92">
        <v>0</v>
      </c>
      <c r="AA3" s="92">
        <v>1</v>
      </c>
      <c r="AB3" s="92">
        <v>0</v>
      </c>
      <c r="AC3" s="92">
        <v>0</v>
      </c>
      <c r="AD3" s="92">
        <v>1</v>
      </c>
      <c r="AE3" s="92">
        <v>0</v>
      </c>
      <c r="AF3" s="92">
        <v>0</v>
      </c>
      <c r="AG3" s="92">
        <v>0</v>
      </c>
      <c r="AH3" s="92" t="s">
        <v>73</v>
      </c>
      <c r="AI3" s="92">
        <v>0</v>
      </c>
      <c r="AJ3" s="92">
        <v>0</v>
      </c>
      <c r="AK3" s="92">
        <v>0</v>
      </c>
      <c r="AL3" s="92">
        <v>0</v>
      </c>
      <c r="AM3" s="92">
        <v>1</v>
      </c>
      <c r="AN3" s="92">
        <v>0</v>
      </c>
      <c r="AO3" s="92">
        <v>0</v>
      </c>
      <c r="AP3" s="92">
        <v>0</v>
      </c>
      <c r="AQ3" s="92">
        <v>0</v>
      </c>
      <c r="AR3" s="92" t="s">
        <v>73</v>
      </c>
      <c r="AS3" s="92" t="s">
        <v>234</v>
      </c>
      <c r="AT3" s="92" t="s">
        <v>301</v>
      </c>
      <c r="AU3" s="92" t="s">
        <v>236</v>
      </c>
      <c r="AV3" s="213">
        <v>3.8500000000000001E-3</v>
      </c>
      <c r="AW3" s="214" t="s">
        <v>86</v>
      </c>
      <c r="AX3" s="98">
        <f>AV3/BA3</f>
        <v>2.3765432098765433E-3</v>
      </c>
      <c r="AY3" s="98" t="s">
        <v>73</v>
      </c>
      <c r="AZ3" s="98">
        <v>3</v>
      </c>
      <c r="BA3" s="98">
        <v>1.62</v>
      </c>
      <c r="BB3" s="98" t="s">
        <v>714</v>
      </c>
      <c r="BC3" s="208">
        <f>EXP(AV3)/(1+EXP(AV3))</f>
        <v>0.50096249881111377</v>
      </c>
      <c r="BD3" s="92" t="s">
        <v>73</v>
      </c>
      <c r="BE3" s="92" t="s">
        <v>73</v>
      </c>
      <c r="BF3" s="92" t="s">
        <v>73</v>
      </c>
      <c r="BG3" s="92" t="s">
        <v>73</v>
      </c>
      <c r="BH3" s="92" t="s">
        <v>73</v>
      </c>
      <c r="BI3" s="92" t="s">
        <v>73</v>
      </c>
      <c r="BJ3" s="92">
        <v>81095</v>
      </c>
      <c r="BK3" s="92">
        <v>81095</v>
      </c>
      <c r="BL3" s="92" t="s">
        <v>73</v>
      </c>
      <c r="BM3" s="92" t="s">
        <v>73</v>
      </c>
      <c r="BN3" s="92" t="s">
        <v>73</v>
      </c>
      <c r="BO3" s="92">
        <v>0.55000000000000004</v>
      </c>
      <c r="BP3" s="92" t="s">
        <v>302</v>
      </c>
      <c r="BQ3" s="95" t="s">
        <v>73</v>
      </c>
      <c r="BR3" s="95" t="s">
        <v>73</v>
      </c>
      <c r="BS3" s="95" t="s">
        <v>73</v>
      </c>
      <c r="BT3" s="95" t="s">
        <v>73</v>
      </c>
      <c r="BU3" s="95" t="s">
        <v>73</v>
      </c>
      <c r="BV3" s="92">
        <v>0</v>
      </c>
      <c r="BW3" s="92">
        <v>0</v>
      </c>
      <c r="BX3" s="92">
        <v>1</v>
      </c>
      <c r="BY3" s="30">
        <f>((BA3^2)/(BA3^2+BJ3))^(1/2)</f>
        <v>5.6886727140571178E-3</v>
      </c>
      <c r="BZ3" s="30">
        <f t="shared" si="0"/>
        <v>5.688734078955906E-3</v>
      </c>
      <c r="CA3" s="30">
        <f t="shared" si="1"/>
        <v>1.2331368522365657E-5</v>
      </c>
      <c r="CB3" s="30">
        <f t="shared" si="2"/>
        <v>1.2331672668080699E-5</v>
      </c>
      <c r="CC3" s="92" t="s">
        <v>73</v>
      </c>
      <c r="CD3">
        <f>BJ3-1</f>
        <v>81094</v>
      </c>
      <c r="CE3" s="92" t="s">
        <v>73</v>
      </c>
      <c r="CF3" s="30">
        <f t="shared" si="3"/>
        <v>5.6886727140571178E-3</v>
      </c>
      <c r="CG3" s="30">
        <f t="shared" si="4"/>
        <v>5.688734078955906E-3</v>
      </c>
      <c r="CH3" s="30">
        <f t="shared" si="5"/>
        <v>1.2331368522365657E-5</v>
      </c>
      <c r="CI3" s="30">
        <f t="shared" si="6"/>
        <v>1.2331672668080699E-5</v>
      </c>
      <c r="CJ3"/>
    </row>
    <row r="4" spans="1:88" s="102" customFormat="1">
      <c r="A4" s="11" t="s">
        <v>222</v>
      </c>
      <c r="B4" s="11" t="s">
        <v>717</v>
      </c>
      <c r="C4" s="11">
        <v>2</v>
      </c>
      <c r="D4" s="11">
        <v>1003</v>
      </c>
      <c r="E4" s="11">
        <v>101</v>
      </c>
      <c r="F4" s="11" t="s">
        <v>223</v>
      </c>
      <c r="G4" s="11">
        <v>2016</v>
      </c>
      <c r="H4" s="104" t="s">
        <v>224</v>
      </c>
      <c r="I4" s="11" t="s">
        <v>225</v>
      </c>
      <c r="J4" s="11">
        <v>2</v>
      </c>
      <c r="K4" s="11" t="s">
        <v>119</v>
      </c>
      <c r="L4" s="11" t="s">
        <v>73</v>
      </c>
      <c r="M4" s="11">
        <v>13</v>
      </c>
      <c r="N4" s="11" t="s">
        <v>226</v>
      </c>
      <c r="O4" s="92" t="s">
        <v>227</v>
      </c>
      <c r="P4" s="11" t="s">
        <v>81</v>
      </c>
      <c r="Q4" s="11" t="s">
        <v>228</v>
      </c>
      <c r="R4" s="11" t="s">
        <v>229</v>
      </c>
      <c r="S4" s="11" t="s">
        <v>230</v>
      </c>
      <c r="T4" s="11">
        <v>0</v>
      </c>
      <c r="U4" s="11" t="s">
        <v>231</v>
      </c>
      <c r="V4" s="11">
        <v>1</v>
      </c>
      <c r="W4" s="11" t="s">
        <v>232</v>
      </c>
      <c r="X4" s="11" t="s">
        <v>232</v>
      </c>
      <c r="Y4" s="11" t="s">
        <v>73</v>
      </c>
      <c r="Z4" s="11">
        <v>0</v>
      </c>
      <c r="AA4" s="11">
        <v>1</v>
      </c>
      <c r="AB4" s="11">
        <v>0</v>
      </c>
      <c r="AC4" s="11">
        <v>0</v>
      </c>
      <c r="AD4" s="11">
        <v>0</v>
      </c>
      <c r="AE4" s="11">
        <v>0</v>
      </c>
      <c r="AF4" s="11">
        <v>0</v>
      </c>
      <c r="AG4" s="11">
        <v>0</v>
      </c>
      <c r="AH4" s="11" t="s">
        <v>233</v>
      </c>
      <c r="AI4" s="11">
        <v>0</v>
      </c>
      <c r="AJ4" s="11">
        <v>0</v>
      </c>
      <c r="AK4" s="11">
        <v>0</v>
      </c>
      <c r="AL4" s="11">
        <v>0</v>
      </c>
      <c r="AM4" s="11">
        <v>0</v>
      </c>
      <c r="AN4" s="11">
        <v>0</v>
      </c>
      <c r="AO4" s="11">
        <v>1</v>
      </c>
      <c r="AP4" s="11">
        <v>0</v>
      </c>
      <c r="AQ4" s="11">
        <v>0</v>
      </c>
      <c r="AR4" s="11" t="s">
        <v>73</v>
      </c>
      <c r="AS4" s="11" t="s">
        <v>234</v>
      </c>
      <c r="AT4" s="11" t="s">
        <v>235</v>
      </c>
      <c r="AU4" s="11" t="s">
        <v>236</v>
      </c>
      <c r="AV4" s="211">
        <v>0</v>
      </c>
      <c r="AW4" s="212" t="s">
        <v>80</v>
      </c>
      <c r="AX4" s="188">
        <v>2E-3</v>
      </c>
      <c r="AY4" s="188">
        <v>0.1</v>
      </c>
      <c r="AZ4" s="188">
        <v>2</v>
      </c>
      <c r="BA4" s="188">
        <f t="shared" ref="BA4:BA11" si="7">AV4/AX4</f>
        <v>0</v>
      </c>
      <c r="BB4" s="188" t="s">
        <v>73</v>
      </c>
      <c r="BC4" s="210">
        <f>EXP(AV4)/(1+EXP(AV4))</f>
        <v>0.5</v>
      </c>
      <c r="BD4" s="11" t="s">
        <v>73</v>
      </c>
      <c r="BE4" s="11" t="s">
        <v>73</v>
      </c>
      <c r="BF4" s="11" t="s">
        <v>73</v>
      </c>
      <c r="BG4" s="11" t="s">
        <v>73</v>
      </c>
      <c r="BH4" s="11">
        <f>12629/5</f>
        <v>2525.8000000000002</v>
      </c>
      <c r="BI4" s="11" t="s">
        <v>73</v>
      </c>
      <c r="BJ4" s="106">
        <v>23347</v>
      </c>
      <c r="BK4" s="106">
        <v>23347</v>
      </c>
      <c r="BL4" s="11" t="s">
        <v>73</v>
      </c>
      <c r="BM4" s="11" t="s">
        <v>73</v>
      </c>
      <c r="BN4" s="11" t="s">
        <v>73</v>
      </c>
      <c r="BO4" s="11" t="s">
        <v>73</v>
      </c>
      <c r="BP4" s="11" t="s">
        <v>73</v>
      </c>
      <c r="BQ4" s="11" t="s">
        <v>73</v>
      </c>
      <c r="BR4" s="11" t="s">
        <v>73</v>
      </c>
      <c r="BS4" s="11" t="s">
        <v>73</v>
      </c>
      <c r="BT4" s="11" t="s">
        <v>73</v>
      </c>
      <c r="BU4" s="11" t="s">
        <v>73</v>
      </c>
      <c r="BV4" s="11">
        <v>0</v>
      </c>
      <c r="BW4" s="11">
        <v>1</v>
      </c>
      <c r="BX4" s="11">
        <v>1</v>
      </c>
      <c r="BY4" s="30">
        <f>((BA4^2)/(BA4^2+BJ4))^(1/2)</f>
        <v>0</v>
      </c>
      <c r="BZ4" s="30">
        <f t="shared" si="0"/>
        <v>0</v>
      </c>
      <c r="CA4" s="30">
        <f t="shared" si="1"/>
        <v>4.2833890173905597E-5</v>
      </c>
      <c r="CB4" s="30">
        <f t="shared" si="2"/>
        <v>4.2837559972583965E-5</v>
      </c>
      <c r="CC4" s="92" t="s">
        <v>73</v>
      </c>
      <c r="CD4">
        <f t="shared" ref="CD4:CD17" si="8">BJ4-2</f>
        <v>23345</v>
      </c>
      <c r="CE4" s="92" t="s">
        <v>73</v>
      </c>
      <c r="CF4" s="30">
        <f t="shared" si="3"/>
        <v>0</v>
      </c>
      <c r="CG4" s="30">
        <f t="shared" si="4"/>
        <v>0</v>
      </c>
      <c r="CH4" s="30">
        <f t="shared" si="5"/>
        <v>4.2833890173905597E-5</v>
      </c>
      <c r="CI4" s="30">
        <f t="shared" si="6"/>
        <v>4.2837559972583965E-5</v>
      </c>
      <c r="CJ4"/>
    </row>
    <row r="5" spans="1:88" s="102" customFormat="1">
      <c r="A5" s="11" t="s">
        <v>222</v>
      </c>
      <c r="B5" s="11" t="s">
        <v>717</v>
      </c>
      <c r="C5" s="11">
        <v>2</v>
      </c>
      <c r="D5" s="11">
        <v>1002</v>
      </c>
      <c r="E5" s="11">
        <v>101</v>
      </c>
      <c r="F5" s="11" t="s">
        <v>223</v>
      </c>
      <c r="G5" s="11">
        <v>2016</v>
      </c>
      <c r="H5" s="104" t="s">
        <v>224</v>
      </c>
      <c r="I5" s="11" t="s">
        <v>225</v>
      </c>
      <c r="J5" s="11">
        <v>2</v>
      </c>
      <c r="K5" s="11" t="s">
        <v>119</v>
      </c>
      <c r="L5" s="11" t="s">
        <v>73</v>
      </c>
      <c r="M5" s="11">
        <v>13</v>
      </c>
      <c r="N5" s="11" t="s">
        <v>226</v>
      </c>
      <c r="O5" s="92" t="s">
        <v>227</v>
      </c>
      <c r="P5" s="11" t="s">
        <v>81</v>
      </c>
      <c r="Q5" s="11" t="s">
        <v>228</v>
      </c>
      <c r="R5" s="11" t="s">
        <v>229</v>
      </c>
      <c r="S5" s="11" t="s">
        <v>230</v>
      </c>
      <c r="T5" s="11">
        <v>0</v>
      </c>
      <c r="U5" s="11" t="s">
        <v>231</v>
      </c>
      <c r="V5" s="11">
        <v>1</v>
      </c>
      <c r="W5" s="11" t="s">
        <v>232</v>
      </c>
      <c r="X5" s="11" t="s">
        <v>232</v>
      </c>
      <c r="Y5" s="11" t="s">
        <v>73</v>
      </c>
      <c r="Z5" s="11">
        <v>0</v>
      </c>
      <c r="AA5" s="11">
        <v>0</v>
      </c>
      <c r="AB5" s="11">
        <v>0</v>
      </c>
      <c r="AC5" s="11">
        <v>1</v>
      </c>
      <c r="AD5" s="11">
        <v>0</v>
      </c>
      <c r="AE5" s="11">
        <v>0</v>
      </c>
      <c r="AF5" s="11">
        <v>0</v>
      </c>
      <c r="AG5" s="11">
        <v>0</v>
      </c>
      <c r="AH5" s="11" t="s">
        <v>233</v>
      </c>
      <c r="AI5" s="11">
        <v>0</v>
      </c>
      <c r="AJ5" s="11">
        <v>0</v>
      </c>
      <c r="AK5" s="11">
        <v>0</v>
      </c>
      <c r="AL5" s="11">
        <v>0</v>
      </c>
      <c r="AM5" s="11">
        <v>0</v>
      </c>
      <c r="AN5" s="11">
        <v>0</v>
      </c>
      <c r="AO5" s="11">
        <v>1</v>
      </c>
      <c r="AP5" s="11">
        <v>0</v>
      </c>
      <c r="AQ5" s="11">
        <v>0</v>
      </c>
      <c r="AR5" s="11" t="s">
        <v>73</v>
      </c>
      <c r="AS5" s="11" t="s">
        <v>234</v>
      </c>
      <c r="AT5" s="11" t="s">
        <v>235</v>
      </c>
      <c r="AU5" s="11" t="s">
        <v>236</v>
      </c>
      <c r="AV5" s="211">
        <v>1E-3</v>
      </c>
      <c r="AW5" s="212" t="s">
        <v>80</v>
      </c>
      <c r="AX5" s="188">
        <v>1E-3</v>
      </c>
      <c r="AY5" s="188">
        <v>0.1</v>
      </c>
      <c r="AZ5" s="188">
        <v>2</v>
      </c>
      <c r="BA5" s="188">
        <f t="shared" si="7"/>
        <v>1</v>
      </c>
      <c r="BB5" s="188" t="s">
        <v>73</v>
      </c>
      <c r="BC5" s="210">
        <f>EXP(AV5)/(1+EXP(AV5))</f>
        <v>0.50024999997916664</v>
      </c>
      <c r="BD5" s="11" t="s">
        <v>73</v>
      </c>
      <c r="BE5" s="11" t="s">
        <v>73</v>
      </c>
      <c r="BF5" s="11" t="s">
        <v>73</v>
      </c>
      <c r="BG5" s="11" t="s">
        <v>73</v>
      </c>
      <c r="BH5" s="11">
        <f>12629/5</f>
        <v>2525.8000000000002</v>
      </c>
      <c r="BI5" s="11" t="s">
        <v>73</v>
      </c>
      <c r="BJ5" s="106">
        <v>23347</v>
      </c>
      <c r="BK5" s="106">
        <v>23347</v>
      </c>
      <c r="BL5" s="11" t="s">
        <v>73</v>
      </c>
      <c r="BM5" s="11" t="s">
        <v>73</v>
      </c>
      <c r="BN5" s="11">
        <v>25</v>
      </c>
      <c r="BO5" s="11" t="s">
        <v>73</v>
      </c>
      <c r="BP5" s="11" t="s">
        <v>237</v>
      </c>
      <c r="BQ5" s="11" t="s">
        <v>73</v>
      </c>
      <c r="BR5" s="11" t="s">
        <v>73</v>
      </c>
      <c r="BS5" s="11" t="s">
        <v>73</v>
      </c>
      <c r="BT5" s="11" t="s">
        <v>73</v>
      </c>
      <c r="BU5" s="11" t="s">
        <v>73</v>
      </c>
      <c r="BV5" s="11">
        <v>0</v>
      </c>
      <c r="BW5" s="11">
        <v>1</v>
      </c>
      <c r="BX5" s="11">
        <v>1</v>
      </c>
      <c r="BY5" s="30">
        <f>((BA5^2)/(BA5^2+BJ5))^(1/2)</f>
        <v>6.5444801935631517E-3</v>
      </c>
      <c r="BZ5" s="30">
        <f t="shared" si="0"/>
        <v>6.5445736298086485E-3</v>
      </c>
      <c r="CA5" s="30">
        <f t="shared" si="1"/>
        <v>4.2833890095325423E-5</v>
      </c>
      <c r="CB5" s="30">
        <f t="shared" si="2"/>
        <v>4.2837559972583965E-5</v>
      </c>
      <c r="CC5" s="92" t="s">
        <v>73</v>
      </c>
      <c r="CD5">
        <f t="shared" si="8"/>
        <v>23345</v>
      </c>
      <c r="CE5" s="92" t="s">
        <v>73</v>
      </c>
      <c r="CF5" s="30">
        <f t="shared" si="3"/>
        <v>6.5444801935631517E-3</v>
      </c>
      <c r="CG5" s="30">
        <f t="shared" si="4"/>
        <v>6.5445736298086485E-3</v>
      </c>
      <c r="CH5" s="30">
        <f t="shared" si="5"/>
        <v>4.2833890095325423E-5</v>
      </c>
      <c r="CI5" s="30">
        <f t="shared" si="6"/>
        <v>4.2837559972583965E-5</v>
      </c>
      <c r="CJ5"/>
    </row>
    <row r="6" spans="1:88" s="102" customFormat="1">
      <c r="A6" s="108" t="s">
        <v>222</v>
      </c>
      <c r="B6" s="11" t="s">
        <v>717</v>
      </c>
      <c r="C6" s="108">
        <v>2</v>
      </c>
      <c r="D6" s="108">
        <v>1001</v>
      </c>
      <c r="E6" s="108">
        <v>101</v>
      </c>
      <c r="F6" s="108" t="s">
        <v>223</v>
      </c>
      <c r="G6" s="108">
        <v>2016</v>
      </c>
      <c r="H6" t="s">
        <v>224</v>
      </c>
      <c r="I6" s="108" t="s">
        <v>225</v>
      </c>
      <c r="J6" s="108">
        <v>2</v>
      </c>
      <c r="K6" s="108" t="s">
        <v>119</v>
      </c>
      <c r="L6" s="108" t="s">
        <v>73</v>
      </c>
      <c r="M6" s="108">
        <v>13</v>
      </c>
      <c r="N6" s="11" t="s">
        <v>226</v>
      </c>
      <c r="O6" s="92" t="s">
        <v>227</v>
      </c>
      <c r="P6" s="108" t="s">
        <v>81</v>
      </c>
      <c r="Q6" s="108" t="s">
        <v>228</v>
      </c>
      <c r="R6" s="108" t="s">
        <v>229</v>
      </c>
      <c r="S6" s="108" t="s">
        <v>230</v>
      </c>
      <c r="T6" s="108">
        <v>0</v>
      </c>
      <c r="U6" s="108" t="s">
        <v>231</v>
      </c>
      <c r="V6" s="108">
        <v>1</v>
      </c>
      <c r="W6" s="108" t="s">
        <v>232</v>
      </c>
      <c r="X6" s="108" t="s">
        <v>232</v>
      </c>
      <c r="Y6" s="108" t="s">
        <v>73</v>
      </c>
      <c r="Z6" s="108">
        <v>0</v>
      </c>
      <c r="AA6" s="108">
        <v>0</v>
      </c>
      <c r="AB6" s="108">
        <v>0</v>
      </c>
      <c r="AC6" s="108">
        <v>1</v>
      </c>
      <c r="AD6" s="108">
        <v>0</v>
      </c>
      <c r="AE6" s="108">
        <v>0</v>
      </c>
      <c r="AF6" s="108">
        <v>0</v>
      </c>
      <c r="AG6" s="108">
        <v>0</v>
      </c>
      <c r="AH6" s="108" t="s">
        <v>233</v>
      </c>
      <c r="AI6" s="108">
        <v>0</v>
      </c>
      <c r="AJ6" s="108">
        <v>0</v>
      </c>
      <c r="AK6" s="108">
        <v>0</v>
      </c>
      <c r="AL6" s="108">
        <v>0</v>
      </c>
      <c r="AM6" s="108">
        <v>0</v>
      </c>
      <c r="AN6" s="108">
        <v>0</v>
      </c>
      <c r="AO6" s="108">
        <v>1</v>
      </c>
      <c r="AP6" s="108">
        <v>0</v>
      </c>
      <c r="AQ6" s="108">
        <v>0</v>
      </c>
      <c r="AR6" s="108" t="s">
        <v>73</v>
      </c>
      <c r="AS6" s="108" t="s">
        <v>234</v>
      </c>
      <c r="AT6" s="108" t="s">
        <v>235</v>
      </c>
      <c r="AU6" s="108" t="s">
        <v>236</v>
      </c>
      <c r="AV6" s="211">
        <v>6.0000000000000001E-3</v>
      </c>
      <c r="AW6" s="212" t="s">
        <v>80</v>
      </c>
      <c r="AX6" s="188">
        <v>3.0000000000000001E-3</v>
      </c>
      <c r="AY6" s="188">
        <v>0.05</v>
      </c>
      <c r="AZ6" s="188">
        <v>1</v>
      </c>
      <c r="BA6" s="188">
        <f t="shared" si="7"/>
        <v>2</v>
      </c>
      <c r="BB6" s="188" t="s">
        <v>73</v>
      </c>
      <c r="BC6" s="210">
        <f>EXP(AV6)/(1+EXP(AV6))</f>
        <v>0.50149999550001623</v>
      </c>
      <c r="BD6" s="108" t="s">
        <v>73</v>
      </c>
      <c r="BE6" s="108" t="s">
        <v>73</v>
      </c>
      <c r="BF6" s="108" t="s">
        <v>73</v>
      </c>
      <c r="BG6" s="108" t="s">
        <v>73</v>
      </c>
      <c r="BH6" s="108">
        <f>12629/5</f>
        <v>2525.8000000000002</v>
      </c>
      <c r="BI6" s="108" t="s">
        <v>73</v>
      </c>
      <c r="BJ6" s="108">
        <v>23347</v>
      </c>
      <c r="BK6" s="108">
        <v>23347</v>
      </c>
      <c r="BL6" s="108" t="s">
        <v>73</v>
      </c>
      <c r="BM6" s="108" t="s">
        <v>73</v>
      </c>
      <c r="BN6" s="108">
        <v>100</v>
      </c>
      <c r="BO6" s="108" t="s">
        <v>73</v>
      </c>
      <c r="BP6" s="108" t="s">
        <v>237</v>
      </c>
      <c r="BQ6" s="108" t="s">
        <v>73</v>
      </c>
      <c r="BR6" s="108" t="s">
        <v>73</v>
      </c>
      <c r="BS6" s="108" t="s">
        <v>73</v>
      </c>
      <c r="BT6" s="108" t="s">
        <v>73</v>
      </c>
      <c r="BU6" s="108" t="s">
        <v>73</v>
      </c>
      <c r="BV6" s="108">
        <v>0</v>
      </c>
      <c r="BW6" s="108">
        <v>1</v>
      </c>
      <c r="BX6" s="108">
        <v>1</v>
      </c>
      <c r="BY6" s="30">
        <f>((BA6^2)/(BA6^2+BJ6))^(1/2)</f>
        <v>1.308811956355478E-2</v>
      </c>
      <c r="BZ6" s="30">
        <f t="shared" si="0"/>
        <v>1.3088866967087377E-2</v>
      </c>
      <c r="CA6" s="30">
        <f t="shared" si="1"/>
        <v>4.2833888916730603E-5</v>
      </c>
      <c r="CB6" s="30">
        <f t="shared" si="2"/>
        <v>4.2837559972583965E-5</v>
      </c>
      <c r="CC6" s="92" t="s">
        <v>73</v>
      </c>
      <c r="CD6">
        <f t="shared" si="8"/>
        <v>23345</v>
      </c>
      <c r="CE6" s="92" t="s">
        <v>73</v>
      </c>
      <c r="CF6" s="30">
        <f t="shared" si="3"/>
        <v>1.308811956355478E-2</v>
      </c>
      <c r="CG6" s="30">
        <f t="shared" si="4"/>
        <v>1.3088866967087377E-2</v>
      </c>
      <c r="CH6" s="30">
        <f t="shared" si="5"/>
        <v>4.2833888916730603E-5</v>
      </c>
      <c r="CI6" s="30">
        <f t="shared" si="6"/>
        <v>4.2837559972583965E-5</v>
      </c>
      <c r="CJ6"/>
    </row>
    <row r="7" spans="1:88" s="102" customFormat="1">
      <c r="A7" s="114" t="s">
        <v>68</v>
      </c>
      <c r="B7" s="215" t="s">
        <v>717</v>
      </c>
      <c r="C7" s="114">
        <v>3</v>
      </c>
      <c r="D7" s="114">
        <v>1086</v>
      </c>
      <c r="E7" s="115">
        <v>115</v>
      </c>
      <c r="F7" s="115" t="s">
        <v>303</v>
      </c>
      <c r="G7" s="114">
        <v>2016</v>
      </c>
      <c r="H7" s="115" t="s">
        <v>304</v>
      </c>
      <c r="I7" s="116" t="s">
        <v>305</v>
      </c>
      <c r="J7" s="115">
        <v>2</v>
      </c>
      <c r="K7" s="115" t="s">
        <v>306</v>
      </c>
      <c r="L7" s="116" t="s">
        <v>73</v>
      </c>
      <c r="M7" s="115">
        <v>2531</v>
      </c>
      <c r="N7" s="186" t="s">
        <v>107</v>
      </c>
      <c r="O7" s="115" t="s">
        <v>227</v>
      </c>
      <c r="P7" s="115" t="s">
        <v>81</v>
      </c>
      <c r="Q7" s="116" t="s">
        <v>228</v>
      </c>
      <c r="R7" s="115" t="s">
        <v>307</v>
      </c>
      <c r="S7" s="115" t="s">
        <v>255</v>
      </c>
      <c r="T7" s="115">
        <v>1</v>
      </c>
      <c r="U7" s="115" t="s">
        <v>231</v>
      </c>
      <c r="V7" s="115">
        <v>1</v>
      </c>
      <c r="W7" s="116" t="s">
        <v>232</v>
      </c>
      <c r="X7" s="116" t="s">
        <v>232</v>
      </c>
      <c r="Y7" s="116" t="s">
        <v>73</v>
      </c>
      <c r="Z7" s="115">
        <v>0</v>
      </c>
      <c r="AA7" s="115">
        <v>1</v>
      </c>
      <c r="AB7" s="115">
        <v>0</v>
      </c>
      <c r="AC7" s="115">
        <v>0</v>
      </c>
      <c r="AD7" s="115">
        <v>0</v>
      </c>
      <c r="AE7" s="115">
        <v>0</v>
      </c>
      <c r="AF7" s="115">
        <v>0</v>
      </c>
      <c r="AG7" s="115">
        <v>0</v>
      </c>
      <c r="AH7" s="115" t="s">
        <v>73</v>
      </c>
      <c r="AI7" s="115">
        <v>0</v>
      </c>
      <c r="AJ7" s="115">
        <v>0</v>
      </c>
      <c r="AK7" s="115">
        <v>0</v>
      </c>
      <c r="AL7" s="115">
        <v>0</v>
      </c>
      <c r="AM7" s="115">
        <v>0</v>
      </c>
      <c r="AN7" s="115">
        <v>1</v>
      </c>
      <c r="AO7" s="115">
        <v>0</v>
      </c>
      <c r="AP7" s="115">
        <v>0</v>
      </c>
      <c r="AQ7" s="115">
        <v>0</v>
      </c>
      <c r="AR7" s="115" t="s">
        <v>73</v>
      </c>
      <c r="AS7" s="115" t="s">
        <v>234</v>
      </c>
      <c r="AT7" s="115" t="s">
        <v>308</v>
      </c>
      <c r="AU7" s="115" t="s">
        <v>73</v>
      </c>
      <c r="AV7" s="196">
        <v>8.0000000000000002E-3</v>
      </c>
      <c r="AW7" s="117" t="s">
        <v>86</v>
      </c>
      <c r="AX7" s="115">
        <v>2.7E-2</v>
      </c>
      <c r="AY7" s="115">
        <v>0.1</v>
      </c>
      <c r="AZ7" s="115">
        <v>2</v>
      </c>
      <c r="BA7" s="115">
        <f t="shared" si="7"/>
        <v>0.29629629629629628</v>
      </c>
      <c r="BB7" s="115"/>
      <c r="BC7" s="193" t="s">
        <v>73</v>
      </c>
      <c r="BD7" s="116" t="s">
        <v>73</v>
      </c>
      <c r="BE7" s="116">
        <f>BJ7-BH7</f>
        <v>294</v>
      </c>
      <c r="BF7" s="107" t="s">
        <v>73</v>
      </c>
      <c r="BG7" s="116" t="s">
        <v>73</v>
      </c>
      <c r="BH7" s="116">
        <v>793</v>
      </c>
      <c r="BI7" s="116" t="s">
        <v>73</v>
      </c>
      <c r="BJ7" s="116">
        <v>1087</v>
      </c>
      <c r="BK7" s="116">
        <v>1087</v>
      </c>
      <c r="BL7" s="116">
        <v>8.0000000000000002E-3</v>
      </c>
      <c r="BM7" s="116" t="s">
        <v>73</v>
      </c>
      <c r="BN7" s="115" t="s">
        <v>73</v>
      </c>
      <c r="BO7" s="115" t="s">
        <v>73</v>
      </c>
      <c r="BP7" s="116" t="s">
        <v>73</v>
      </c>
      <c r="BQ7" s="116" t="s">
        <v>73</v>
      </c>
      <c r="BR7" s="116" t="s">
        <v>73</v>
      </c>
      <c r="BS7" s="116" t="s">
        <v>73</v>
      </c>
      <c r="BT7" s="116" t="s">
        <v>73</v>
      </c>
      <c r="BU7" s="116" t="s">
        <v>73</v>
      </c>
      <c r="BV7" s="115">
        <v>0</v>
      </c>
      <c r="BW7" s="115">
        <v>0</v>
      </c>
      <c r="BX7" s="115">
        <v>1</v>
      </c>
      <c r="BY7" s="118">
        <f>CC7/((CC7^2+4)^(1/2))</f>
        <v>1.0115294253124005E-2</v>
      </c>
      <c r="BZ7" s="30">
        <f t="shared" si="0"/>
        <v>1.0115639270502465E-2</v>
      </c>
      <c r="CA7" s="30">
        <f t="shared" si="1"/>
        <v>9.2081030343403082E-4</v>
      </c>
      <c r="CB7" s="30">
        <f t="shared" si="2"/>
        <v>9.225092250922509E-4</v>
      </c>
      <c r="CC7" s="107">
        <f xml:space="preserve"> BA7*(((BE7+BH7)/(BE7*BH7))^(1/2))</f>
        <v>2.0231623574270632E-2</v>
      </c>
      <c r="CD7">
        <f t="shared" si="8"/>
        <v>1085</v>
      </c>
      <c r="CE7" s="92" t="s">
        <v>73</v>
      </c>
      <c r="CF7" s="30">
        <f t="shared" si="3"/>
        <v>8.9865690080051016E-3</v>
      </c>
      <c r="CG7" s="30">
        <f t="shared" si="4"/>
        <v>8.9868109334400852E-3</v>
      </c>
      <c r="CH7" s="30">
        <f t="shared" si="5"/>
        <v>9.2081030706940602E-4</v>
      </c>
      <c r="CI7" s="30">
        <f t="shared" si="6"/>
        <v>9.225092250922509E-4</v>
      </c>
    </row>
    <row r="8" spans="1:88">
      <c r="A8" s="114" t="s">
        <v>68</v>
      </c>
      <c r="B8" s="215" t="s">
        <v>717</v>
      </c>
      <c r="C8" s="114">
        <v>3</v>
      </c>
      <c r="D8" s="114">
        <v>1085</v>
      </c>
      <c r="E8" s="115">
        <v>115</v>
      </c>
      <c r="F8" s="115" t="s">
        <v>303</v>
      </c>
      <c r="G8" s="114">
        <v>2016</v>
      </c>
      <c r="H8" s="115" t="s">
        <v>304</v>
      </c>
      <c r="I8" s="116" t="s">
        <v>305</v>
      </c>
      <c r="J8" s="115">
        <v>2</v>
      </c>
      <c r="K8" s="115" t="s">
        <v>306</v>
      </c>
      <c r="L8" s="116" t="s">
        <v>73</v>
      </c>
      <c r="M8" s="115">
        <v>2531</v>
      </c>
      <c r="N8" s="186" t="s">
        <v>107</v>
      </c>
      <c r="O8" s="115" t="s">
        <v>227</v>
      </c>
      <c r="P8" s="115" t="s">
        <v>81</v>
      </c>
      <c r="Q8" s="116" t="s">
        <v>228</v>
      </c>
      <c r="R8" s="115" t="s">
        <v>307</v>
      </c>
      <c r="S8" s="115" t="s">
        <v>255</v>
      </c>
      <c r="T8" s="115">
        <v>1</v>
      </c>
      <c r="U8" s="115" t="s">
        <v>231</v>
      </c>
      <c r="V8" s="115">
        <v>1</v>
      </c>
      <c r="W8" s="116" t="s">
        <v>232</v>
      </c>
      <c r="X8" s="116" t="s">
        <v>232</v>
      </c>
      <c r="Y8" s="116" t="s">
        <v>73</v>
      </c>
      <c r="Z8" s="115">
        <v>0</v>
      </c>
      <c r="AA8" s="115">
        <v>1</v>
      </c>
      <c r="AB8" s="115">
        <v>0</v>
      </c>
      <c r="AC8" s="115">
        <v>0</v>
      </c>
      <c r="AD8" s="115">
        <v>0</v>
      </c>
      <c r="AE8" s="115">
        <v>0</v>
      </c>
      <c r="AF8" s="115">
        <v>0</v>
      </c>
      <c r="AG8" s="115">
        <v>0</v>
      </c>
      <c r="AH8" s="115" t="s">
        <v>73</v>
      </c>
      <c r="AI8" s="115">
        <v>0</v>
      </c>
      <c r="AJ8" s="115">
        <v>0</v>
      </c>
      <c r="AK8" s="115">
        <v>0</v>
      </c>
      <c r="AL8" s="115">
        <v>0</v>
      </c>
      <c r="AM8" s="115">
        <v>0</v>
      </c>
      <c r="AN8" s="115">
        <v>1</v>
      </c>
      <c r="AO8" s="115">
        <v>0</v>
      </c>
      <c r="AP8" s="115">
        <v>0</v>
      </c>
      <c r="AQ8" s="115">
        <v>0</v>
      </c>
      <c r="AR8" s="115" t="s">
        <v>73</v>
      </c>
      <c r="AS8" s="115" t="s">
        <v>234</v>
      </c>
      <c r="AT8" s="115" t="s">
        <v>308</v>
      </c>
      <c r="AU8" s="115" t="s">
        <v>73</v>
      </c>
      <c r="AV8" s="196">
        <v>1.0999999999999999E-2</v>
      </c>
      <c r="AW8" s="117" t="s">
        <v>80</v>
      </c>
      <c r="AX8" s="115">
        <v>2.5000000000000001E-2</v>
      </c>
      <c r="AY8" s="115">
        <v>0.1</v>
      </c>
      <c r="AZ8" s="115">
        <v>2</v>
      </c>
      <c r="BA8" s="115">
        <f t="shared" si="7"/>
        <v>0.43999999999999995</v>
      </c>
      <c r="BB8" s="115"/>
      <c r="BC8" s="193" t="s">
        <v>73</v>
      </c>
      <c r="BD8" s="116" t="s">
        <v>73</v>
      </c>
      <c r="BE8" s="116">
        <f>BJ8-BH8</f>
        <v>294</v>
      </c>
      <c r="BF8" s="107" t="s">
        <v>73</v>
      </c>
      <c r="BG8" s="116" t="s">
        <v>73</v>
      </c>
      <c r="BH8" s="116">
        <v>793</v>
      </c>
      <c r="BI8" s="116" t="s">
        <v>73</v>
      </c>
      <c r="BJ8" s="116">
        <v>1087</v>
      </c>
      <c r="BK8" s="116">
        <v>1087</v>
      </c>
      <c r="BL8" s="116">
        <v>1.0999999999999999E-2</v>
      </c>
      <c r="BM8" s="116" t="s">
        <v>73</v>
      </c>
      <c r="BN8" s="115" t="s">
        <v>73</v>
      </c>
      <c r="BO8" s="115" t="s">
        <v>73</v>
      </c>
      <c r="BP8" s="116" t="s">
        <v>73</v>
      </c>
      <c r="BQ8" s="116" t="s">
        <v>73</v>
      </c>
      <c r="BR8" s="116" t="s">
        <v>73</v>
      </c>
      <c r="BS8" s="116" t="s">
        <v>73</v>
      </c>
      <c r="BT8" s="116" t="s">
        <v>73</v>
      </c>
      <c r="BU8" s="116" t="s">
        <v>73</v>
      </c>
      <c r="BV8" s="115">
        <v>0</v>
      </c>
      <c r="BW8" s="115">
        <v>0</v>
      </c>
      <c r="BX8" s="115">
        <v>1</v>
      </c>
      <c r="BY8" s="118">
        <f>CC8/((CC8^2+4)^(1/2))</f>
        <v>1.5020285861404109E-2</v>
      </c>
      <c r="BZ8" s="30">
        <f t="shared" si="0"/>
        <v>1.5021415584827925E-2</v>
      </c>
      <c r="CA8" s="30">
        <f t="shared" si="1"/>
        <v>9.2081026619269786E-4</v>
      </c>
      <c r="CB8" s="30">
        <f t="shared" si="2"/>
        <v>9.225092250922509E-4</v>
      </c>
      <c r="CC8" s="107">
        <f xml:space="preserve"> BA8*(((BE8+BH8)/(BE8*BH8))^(1/2))</f>
        <v>3.004396100779189E-2</v>
      </c>
      <c r="CD8">
        <f t="shared" si="8"/>
        <v>1085</v>
      </c>
      <c r="CE8" s="92" t="s">
        <v>73</v>
      </c>
      <c r="CF8" s="30">
        <f t="shared" si="3"/>
        <v>1.334440557338178E-2</v>
      </c>
      <c r="CG8" s="30">
        <f t="shared" si="4"/>
        <v>1.3345197751513015E-2</v>
      </c>
      <c r="CH8" s="30">
        <f t="shared" si="5"/>
        <v>9.2081028386963091E-4</v>
      </c>
      <c r="CI8" s="30">
        <f t="shared" si="6"/>
        <v>9.225092250922509E-4</v>
      </c>
      <c r="CJ8" s="102"/>
    </row>
    <row r="9" spans="1:88">
      <c r="A9" s="99" t="s">
        <v>68</v>
      </c>
      <c r="B9" s="215" t="s">
        <v>717</v>
      </c>
      <c r="C9" s="99">
        <v>3</v>
      </c>
      <c r="D9" s="99">
        <v>1087</v>
      </c>
      <c r="E9" s="102">
        <v>115</v>
      </c>
      <c r="F9" s="102" t="s">
        <v>303</v>
      </c>
      <c r="G9" s="99">
        <v>2016</v>
      </c>
      <c r="H9" s="102" t="s">
        <v>304</v>
      </c>
      <c r="I9" s="109" t="s">
        <v>305</v>
      </c>
      <c r="J9" s="102">
        <v>2</v>
      </c>
      <c r="K9" s="102" t="s">
        <v>306</v>
      </c>
      <c r="L9" s="110" t="s">
        <v>73</v>
      </c>
      <c r="M9" s="102">
        <v>2532</v>
      </c>
      <c r="N9" s="110" t="s">
        <v>93</v>
      </c>
      <c r="O9" s="92" t="s">
        <v>227</v>
      </c>
      <c r="P9" s="102" t="s">
        <v>81</v>
      </c>
      <c r="Q9" s="110" t="s">
        <v>228</v>
      </c>
      <c r="R9" s="102" t="s">
        <v>307</v>
      </c>
      <c r="S9" s="102" t="s">
        <v>255</v>
      </c>
      <c r="T9" s="102">
        <v>1</v>
      </c>
      <c r="U9" s="102" t="s">
        <v>231</v>
      </c>
      <c r="V9" s="102">
        <v>1</v>
      </c>
      <c r="W9" s="110" t="s">
        <v>232</v>
      </c>
      <c r="X9" s="110" t="s">
        <v>232</v>
      </c>
      <c r="Y9" s="110" t="s">
        <v>73</v>
      </c>
      <c r="Z9" s="102">
        <v>0</v>
      </c>
      <c r="AA9" s="102">
        <v>1</v>
      </c>
      <c r="AB9" s="102">
        <v>0</v>
      </c>
      <c r="AC9" s="102">
        <v>0</v>
      </c>
      <c r="AD9" s="102">
        <v>0</v>
      </c>
      <c r="AE9" s="102">
        <v>0</v>
      </c>
      <c r="AF9" s="102">
        <v>0</v>
      </c>
      <c r="AG9" s="102">
        <v>0</v>
      </c>
      <c r="AH9" s="102" t="s">
        <v>73</v>
      </c>
      <c r="AI9" s="102">
        <v>0</v>
      </c>
      <c r="AJ9" s="102">
        <v>0</v>
      </c>
      <c r="AK9" s="102">
        <v>0</v>
      </c>
      <c r="AL9" s="102">
        <v>0</v>
      </c>
      <c r="AM9" s="102">
        <v>0</v>
      </c>
      <c r="AN9" s="102">
        <v>1</v>
      </c>
      <c r="AO9" s="102">
        <v>0</v>
      </c>
      <c r="AP9" s="102">
        <v>0</v>
      </c>
      <c r="AQ9" s="102">
        <v>0</v>
      </c>
      <c r="AR9" s="102" t="s">
        <v>73</v>
      </c>
      <c r="AS9" s="102" t="s">
        <v>234</v>
      </c>
      <c r="AT9" s="102" t="s">
        <v>308</v>
      </c>
      <c r="AU9" s="102" t="s">
        <v>236</v>
      </c>
      <c r="AV9" s="160">
        <v>4.0000000000000001E-3</v>
      </c>
      <c r="AW9" s="111" t="s">
        <v>80</v>
      </c>
      <c r="AX9" s="102">
        <v>3.3000000000000002E-2</v>
      </c>
      <c r="AY9" s="102">
        <v>0.1</v>
      </c>
      <c r="AZ9" s="102">
        <v>2</v>
      </c>
      <c r="BA9" s="102">
        <f t="shared" si="7"/>
        <v>0.12121212121212122</v>
      </c>
      <c r="BB9" s="102" t="s">
        <v>73</v>
      </c>
      <c r="BC9" s="105">
        <f>EXP(AV9)/(1+EXP(AV9))</f>
        <v>0.50099999866666878</v>
      </c>
      <c r="BD9" s="110" t="s">
        <v>73</v>
      </c>
      <c r="BE9" s="110" t="s">
        <v>73</v>
      </c>
      <c r="BF9" s="110" t="s">
        <v>73</v>
      </c>
      <c r="BG9" s="110" t="s">
        <v>73</v>
      </c>
      <c r="BH9" s="110" t="s">
        <v>73</v>
      </c>
      <c r="BI9" s="110" t="s">
        <v>73</v>
      </c>
      <c r="BJ9" s="110">
        <v>1087</v>
      </c>
      <c r="BK9" s="110">
        <v>1087</v>
      </c>
      <c r="BL9" s="110" t="s">
        <v>73</v>
      </c>
      <c r="BM9" s="110" t="s">
        <v>73</v>
      </c>
      <c r="BN9" s="102" t="s">
        <v>73</v>
      </c>
      <c r="BO9" s="102" t="s">
        <v>73</v>
      </c>
      <c r="BP9" s="110" t="s">
        <v>73</v>
      </c>
      <c r="BQ9" s="110" t="s">
        <v>73</v>
      </c>
      <c r="BR9" s="110" t="s">
        <v>73</v>
      </c>
      <c r="BS9" s="110" t="s">
        <v>73</v>
      </c>
      <c r="BT9" s="110" t="s">
        <v>73</v>
      </c>
      <c r="BU9" s="110" t="s">
        <v>73</v>
      </c>
      <c r="BV9" s="102">
        <v>0</v>
      </c>
      <c r="BW9" s="102">
        <v>0</v>
      </c>
      <c r="BX9" s="102">
        <v>1</v>
      </c>
      <c r="BY9" s="113">
        <f>((BA9^2)/(BA9^2+BJ9))^(1/2)</f>
        <v>3.6764472949663419E-3</v>
      </c>
      <c r="BZ9" s="113">
        <f t="shared" si="0"/>
        <v>3.6764638590456372E-3</v>
      </c>
      <c r="CA9" s="113">
        <f t="shared" si="1"/>
        <v>9.2081031290728113E-4</v>
      </c>
      <c r="CB9" s="113">
        <f t="shared" si="2"/>
        <v>9.225092250922509E-4</v>
      </c>
      <c r="CC9" s="92" t="s">
        <v>73</v>
      </c>
      <c r="CD9">
        <f t="shared" si="8"/>
        <v>1085</v>
      </c>
      <c r="CE9" s="92" t="s">
        <v>73</v>
      </c>
      <c r="CF9" s="30">
        <f t="shared" si="3"/>
        <v>3.6764472949663419E-3</v>
      </c>
      <c r="CG9" s="113">
        <f t="shared" si="4"/>
        <v>3.6764638590456372E-3</v>
      </c>
      <c r="CH9" s="30">
        <f t="shared" si="5"/>
        <v>9.2081031290728113E-4</v>
      </c>
      <c r="CI9" s="30">
        <f t="shared" si="6"/>
        <v>9.225092250922509E-4</v>
      </c>
      <c r="CJ9" s="112"/>
    </row>
    <row r="10" spans="1:88">
      <c r="A10" s="99" t="s">
        <v>68</v>
      </c>
      <c r="B10" s="215" t="s">
        <v>717</v>
      </c>
      <c r="C10" s="99">
        <v>3</v>
      </c>
      <c r="D10" s="99">
        <v>1089</v>
      </c>
      <c r="E10" s="102">
        <v>115</v>
      </c>
      <c r="F10" s="102" t="s">
        <v>303</v>
      </c>
      <c r="G10" s="99">
        <v>2016</v>
      </c>
      <c r="H10" s="102" t="s">
        <v>304</v>
      </c>
      <c r="I10" s="109" t="s">
        <v>305</v>
      </c>
      <c r="J10" s="102">
        <v>2</v>
      </c>
      <c r="K10" s="102" t="s">
        <v>306</v>
      </c>
      <c r="L10" s="110" t="s">
        <v>73</v>
      </c>
      <c r="M10" s="102">
        <v>2532</v>
      </c>
      <c r="N10" s="110" t="s">
        <v>93</v>
      </c>
      <c r="O10" s="92" t="s">
        <v>227</v>
      </c>
      <c r="P10" s="102" t="s">
        <v>81</v>
      </c>
      <c r="Q10" s="110" t="s">
        <v>228</v>
      </c>
      <c r="R10" s="102" t="s">
        <v>307</v>
      </c>
      <c r="S10" s="102" t="s">
        <v>255</v>
      </c>
      <c r="T10" s="102">
        <v>1</v>
      </c>
      <c r="U10" s="102" t="s">
        <v>231</v>
      </c>
      <c r="V10" s="102">
        <v>1</v>
      </c>
      <c r="W10" s="110" t="s">
        <v>232</v>
      </c>
      <c r="X10" s="110" t="s">
        <v>232</v>
      </c>
      <c r="Y10" s="110" t="s">
        <v>73</v>
      </c>
      <c r="Z10" s="102">
        <v>0</v>
      </c>
      <c r="AA10" s="102">
        <v>1</v>
      </c>
      <c r="AB10" s="102">
        <v>0</v>
      </c>
      <c r="AC10" s="102">
        <v>1</v>
      </c>
      <c r="AD10" s="102">
        <v>0</v>
      </c>
      <c r="AE10" s="102">
        <v>0</v>
      </c>
      <c r="AF10" s="102">
        <v>0</v>
      </c>
      <c r="AG10" s="102">
        <v>0</v>
      </c>
      <c r="AH10" s="102" t="s">
        <v>73</v>
      </c>
      <c r="AI10" s="102">
        <v>0</v>
      </c>
      <c r="AJ10" s="102">
        <v>0</v>
      </c>
      <c r="AK10" s="102">
        <v>0</v>
      </c>
      <c r="AL10" s="102">
        <v>0</v>
      </c>
      <c r="AM10" s="102">
        <v>0</v>
      </c>
      <c r="AN10" s="102">
        <v>1</v>
      </c>
      <c r="AO10" s="102">
        <v>0</v>
      </c>
      <c r="AP10" s="102">
        <v>0</v>
      </c>
      <c r="AQ10" s="102">
        <v>0</v>
      </c>
      <c r="AR10" s="102" t="s">
        <v>73</v>
      </c>
      <c r="AS10" s="102" t="s">
        <v>234</v>
      </c>
      <c r="AT10" s="102" t="s">
        <v>308</v>
      </c>
      <c r="AU10" s="102" t="s">
        <v>236</v>
      </c>
      <c r="AV10" s="160">
        <v>5.3999999999999999E-2</v>
      </c>
      <c r="AW10" s="111" t="s">
        <v>80</v>
      </c>
      <c r="AX10" s="102">
        <v>6.6000000000000003E-2</v>
      </c>
      <c r="AY10" s="102">
        <v>0.1</v>
      </c>
      <c r="AZ10" s="102">
        <v>2</v>
      </c>
      <c r="BA10" s="102">
        <f t="shared" si="7"/>
        <v>0.81818181818181812</v>
      </c>
      <c r="BB10" s="102"/>
      <c r="BC10" s="105">
        <f>EXP(AV10)/(1+EXP(AV10))</f>
        <v>0.51349672045631156</v>
      </c>
      <c r="BD10" s="110" t="s">
        <v>73</v>
      </c>
      <c r="BE10" s="110" t="s">
        <v>73</v>
      </c>
      <c r="BF10" s="110" t="s">
        <v>73</v>
      </c>
      <c r="BG10" s="110" t="s">
        <v>73</v>
      </c>
      <c r="BH10" s="110" t="s">
        <v>73</v>
      </c>
      <c r="BI10" s="110" t="s">
        <v>73</v>
      </c>
      <c r="BJ10" s="110">
        <v>1087</v>
      </c>
      <c r="BK10" s="110">
        <v>1087</v>
      </c>
      <c r="BL10" s="110" t="s">
        <v>73</v>
      </c>
      <c r="BM10" s="110" t="s">
        <v>73</v>
      </c>
      <c r="BN10" s="102" t="s">
        <v>73</v>
      </c>
      <c r="BO10" s="102" t="s">
        <v>73</v>
      </c>
      <c r="BP10" s="102" t="s">
        <v>237</v>
      </c>
      <c r="BQ10" s="110" t="s">
        <v>73</v>
      </c>
      <c r="BR10" s="110" t="s">
        <v>73</v>
      </c>
      <c r="BS10" s="110" t="s">
        <v>73</v>
      </c>
      <c r="BT10" s="110" t="s">
        <v>73</v>
      </c>
      <c r="BU10" s="110" t="s">
        <v>73</v>
      </c>
      <c r="BV10" s="102">
        <v>0</v>
      </c>
      <c r="BW10" s="102">
        <v>0</v>
      </c>
      <c r="BX10" s="102">
        <v>1</v>
      </c>
      <c r="BY10" s="113">
        <f>((BA10^2)/(BA10^2+BJ10))^(1/2)</f>
        <v>2.4808549041116852E-2</v>
      </c>
      <c r="BZ10" s="113">
        <f t="shared" si="0"/>
        <v>2.4813640511901335E-2</v>
      </c>
      <c r="CA10" s="113">
        <f t="shared" si="1"/>
        <v>9.2080996398975789E-4</v>
      </c>
      <c r="CB10" s="113">
        <f t="shared" si="2"/>
        <v>9.225092250922509E-4</v>
      </c>
      <c r="CC10" s="92" t="s">
        <v>73</v>
      </c>
      <c r="CD10">
        <f t="shared" si="8"/>
        <v>1085</v>
      </c>
      <c r="CE10" s="92" t="s">
        <v>73</v>
      </c>
      <c r="CF10" s="30">
        <f t="shared" si="3"/>
        <v>2.4808549041116852E-2</v>
      </c>
      <c r="CG10" s="113">
        <f t="shared" si="4"/>
        <v>2.4813640511901335E-2</v>
      </c>
      <c r="CH10" s="30">
        <f t="shared" si="5"/>
        <v>9.2080996398975789E-4</v>
      </c>
      <c r="CI10" s="30">
        <f t="shared" si="6"/>
        <v>9.225092250922509E-4</v>
      </c>
      <c r="CJ10" s="112"/>
    </row>
    <row r="11" spans="1:88">
      <c r="A11" s="99" t="s">
        <v>68</v>
      </c>
      <c r="B11" s="215" t="s">
        <v>717</v>
      </c>
      <c r="C11" s="99">
        <v>3</v>
      </c>
      <c r="D11" s="99">
        <v>1088</v>
      </c>
      <c r="E11" s="102">
        <v>115</v>
      </c>
      <c r="F11" s="102" t="s">
        <v>303</v>
      </c>
      <c r="G11" s="99">
        <v>2016</v>
      </c>
      <c r="H11" s="102" t="s">
        <v>304</v>
      </c>
      <c r="I11" s="109" t="s">
        <v>305</v>
      </c>
      <c r="J11" s="102">
        <v>2</v>
      </c>
      <c r="K11" s="102" t="s">
        <v>306</v>
      </c>
      <c r="L11" s="110" t="s">
        <v>73</v>
      </c>
      <c r="M11" s="102">
        <v>2532</v>
      </c>
      <c r="N11" s="110" t="s">
        <v>93</v>
      </c>
      <c r="O11" s="92" t="s">
        <v>227</v>
      </c>
      <c r="P11" s="102" t="s">
        <v>81</v>
      </c>
      <c r="Q11" s="110" t="s">
        <v>228</v>
      </c>
      <c r="R11" s="102" t="s">
        <v>307</v>
      </c>
      <c r="S11" s="102" t="s">
        <v>255</v>
      </c>
      <c r="T11" s="102">
        <v>1</v>
      </c>
      <c r="U11" s="102" t="s">
        <v>231</v>
      </c>
      <c r="V11" s="102">
        <v>1</v>
      </c>
      <c r="W11" s="110" t="s">
        <v>232</v>
      </c>
      <c r="X11" s="110" t="s">
        <v>232</v>
      </c>
      <c r="Y11" s="110" t="s">
        <v>73</v>
      </c>
      <c r="Z11" s="102">
        <v>0</v>
      </c>
      <c r="AA11" s="102">
        <v>0</v>
      </c>
      <c r="AB11" s="102">
        <v>0</v>
      </c>
      <c r="AC11" s="102">
        <v>1</v>
      </c>
      <c r="AD11" s="102">
        <v>0</v>
      </c>
      <c r="AE11" s="102">
        <v>0</v>
      </c>
      <c r="AF11" s="102">
        <v>0</v>
      </c>
      <c r="AG11" s="102">
        <v>0</v>
      </c>
      <c r="AH11" s="102" t="s">
        <v>73</v>
      </c>
      <c r="AI11" s="102">
        <v>0</v>
      </c>
      <c r="AJ11" s="102">
        <v>0</v>
      </c>
      <c r="AK11" s="102">
        <v>0</v>
      </c>
      <c r="AL11" s="102">
        <v>0</v>
      </c>
      <c r="AM11" s="102">
        <v>0</v>
      </c>
      <c r="AN11" s="102">
        <v>1</v>
      </c>
      <c r="AO11" s="102">
        <v>0</v>
      </c>
      <c r="AP11" s="102">
        <v>0</v>
      </c>
      <c r="AQ11" s="102">
        <v>0</v>
      </c>
      <c r="AR11" s="102" t="s">
        <v>73</v>
      </c>
      <c r="AS11" s="102" t="s">
        <v>234</v>
      </c>
      <c r="AT11" s="102" t="s">
        <v>308</v>
      </c>
      <c r="AU11" s="102" t="s">
        <v>236</v>
      </c>
      <c r="AV11" s="160">
        <v>0.105</v>
      </c>
      <c r="AW11" s="111" t="s">
        <v>80</v>
      </c>
      <c r="AX11" s="102">
        <v>3.3000000000000002E-2</v>
      </c>
      <c r="AY11" s="102">
        <v>0.01</v>
      </c>
      <c r="AZ11" s="102">
        <v>1</v>
      </c>
      <c r="BA11" s="102">
        <f t="shared" si="7"/>
        <v>3.1818181818181817</v>
      </c>
      <c r="BB11" s="102"/>
      <c r="BC11" s="105">
        <f>EXP(AV11)/(1+EXP(AV11))</f>
        <v>0.5262259093720687</v>
      </c>
      <c r="BD11" s="110" t="s">
        <v>73</v>
      </c>
      <c r="BE11" s="110" t="s">
        <v>73</v>
      </c>
      <c r="BF11" s="110" t="s">
        <v>73</v>
      </c>
      <c r="BG11" s="110" t="s">
        <v>73</v>
      </c>
      <c r="BH11" s="110" t="s">
        <v>73</v>
      </c>
      <c r="BI11" s="110" t="s">
        <v>73</v>
      </c>
      <c r="BJ11" s="110">
        <v>1087</v>
      </c>
      <c r="BK11" s="110">
        <v>1087</v>
      </c>
      <c r="BL11" s="110" t="s">
        <v>73</v>
      </c>
      <c r="BM11" s="110" t="s">
        <v>73</v>
      </c>
      <c r="BN11" s="102" t="s">
        <v>73</v>
      </c>
      <c r="BO11" s="102" t="s">
        <v>73</v>
      </c>
      <c r="BP11" s="102" t="s">
        <v>237</v>
      </c>
      <c r="BQ11" s="110" t="s">
        <v>73</v>
      </c>
      <c r="BR11" s="110" t="s">
        <v>73</v>
      </c>
      <c r="BS11" s="110" t="s">
        <v>73</v>
      </c>
      <c r="BT11" s="110" t="s">
        <v>73</v>
      </c>
      <c r="BU11" s="110" t="s">
        <v>73</v>
      </c>
      <c r="BV11" s="102">
        <v>0</v>
      </c>
      <c r="BW11" s="102">
        <v>0</v>
      </c>
      <c r="BX11" s="102">
        <v>1</v>
      </c>
      <c r="BY11" s="113">
        <f>((BA11^2)/(BA11^2+BJ11))^(1/2)</f>
        <v>9.6061089497837926E-2</v>
      </c>
      <c r="BZ11" s="113">
        <f t="shared" si="0"/>
        <v>9.6358211658461979E-2</v>
      </c>
      <c r="CA11" s="113">
        <f t="shared" si="1"/>
        <v>9.2073093051564905E-4</v>
      </c>
      <c r="CB11" s="113">
        <f t="shared" si="2"/>
        <v>9.225092250922509E-4</v>
      </c>
      <c r="CC11" s="92" t="s">
        <v>73</v>
      </c>
      <c r="CD11">
        <f t="shared" si="8"/>
        <v>1085</v>
      </c>
      <c r="CE11" s="92" t="s">
        <v>73</v>
      </c>
      <c r="CF11" s="30">
        <f t="shared" si="3"/>
        <v>9.6061089497837926E-2</v>
      </c>
      <c r="CG11" s="113">
        <f t="shared" si="4"/>
        <v>9.6358211658461979E-2</v>
      </c>
      <c r="CH11" s="30">
        <f t="shared" si="5"/>
        <v>9.2073093051564905E-4</v>
      </c>
      <c r="CI11" s="30">
        <f t="shared" si="6"/>
        <v>9.225092250922509E-4</v>
      </c>
      <c r="CJ11" s="112"/>
    </row>
    <row r="12" spans="1:88">
      <c r="A12" s="120" t="s">
        <v>68</v>
      </c>
      <c r="B12" s="120"/>
      <c r="C12" s="120">
        <v>4</v>
      </c>
      <c r="D12" s="121">
        <v>1112</v>
      </c>
      <c r="E12" s="120">
        <v>121</v>
      </c>
      <c r="F12" s="120" t="s">
        <v>324</v>
      </c>
      <c r="G12" s="120">
        <v>1982</v>
      </c>
      <c r="H12" s="120" t="s">
        <v>325</v>
      </c>
      <c r="I12" s="120" t="s">
        <v>326</v>
      </c>
      <c r="J12" s="120">
        <v>2</v>
      </c>
      <c r="K12" s="120">
        <v>1982</v>
      </c>
      <c r="L12" s="120" t="s">
        <v>73</v>
      </c>
      <c r="M12" s="120">
        <v>167</v>
      </c>
      <c r="N12" s="187" t="s">
        <v>107</v>
      </c>
      <c r="O12" s="120" t="s">
        <v>227</v>
      </c>
      <c r="P12" s="120" t="s">
        <v>327</v>
      </c>
      <c r="Q12" s="120" t="s">
        <v>228</v>
      </c>
      <c r="R12" s="120" t="s">
        <v>311</v>
      </c>
      <c r="S12" s="120" t="s">
        <v>312</v>
      </c>
      <c r="T12" s="120">
        <v>0</v>
      </c>
      <c r="U12" s="120" t="s">
        <v>231</v>
      </c>
      <c r="V12" s="120">
        <v>0</v>
      </c>
      <c r="W12" s="120" t="s">
        <v>232</v>
      </c>
      <c r="X12" s="120" t="s">
        <v>232</v>
      </c>
      <c r="Y12" s="120" t="s">
        <v>328</v>
      </c>
      <c r="Z12" s="120">
        <v>0</v>
      </c>
      <c r="AA12" s="120">
        <v>1</v>
      </c>
      <c r="AB12" s="120">
        <v>1</v>
      </c>
      <c r="AC12" s="120">
        <v>0</v>
      </c>
      <c r="AD12" s="120">
        <v>0</v>
      </c>
      <c r="AE12" s="120">
        <v>0</v>
      </c>
      <c r="AF12" s="120">
        <v>0</v>
      </c>
      <c r="AG12" s="120">
        <v>0</v>
      </c>
      <c r="AH12" s="120" t="s">
        <v>329</v>
      </c>
      <c r="AI12" s="120">
        <v>0</v>
      </c>
      <c r="AJ12" s="120">
        <v>0</v>
      </c>
      <c r="AK12" s="120">
        <v>0</v>
      </c>
      <c r="AL12" s="120">
        <v>1</v>
      </c>
      <c r="AM12" s="120">
        <v>0</v>
      </c>
      <c r="AN12" s="120">
        <v>0</v>
      </c>
      <c r="AO12" s="120">
        <v>0</v>
      </c>
      <c r="AP12" s="120">
        <v>0</v>
      </c>
      <c r="AQ12" s="120">
        <v>0</v>
      </c>
      <c r="AR12" s="120" t="s">
        <v>330</v>
      </c>
      <c r="AS12" s="120" t="s">
        <v>234</v>
      </c>
      <c r="AT12" s="120" t="s">
        <v>73</v>
      </c>
      <c r="AU12" s="120" t="s">
        <v>331</v>
      </c>
      <c r="AV12" s="206" t="s">
        <v>73</v>
      </c>
      <c r="AW12" s="122" t="s">
        <v>80</v>
      </c>
      <c r="AX12" s="120">
        <f>BA12/ABS(_xlfn.T.INV.2T(AY12,CD12))</f>
        <v>2.287361707025994</v>
      </c>
      <c r="AY12" s="120">
        <v>0.05</v>
      </c>
      <c r="AZ12" s="120">
        <v>2</v>
      </c>
      <c r="BA12" s="120">
        <v>4.53</v>
      </c>
      <c r="BB12" s="120"/>
      <c r="BC12" s="123">
        <f>BL12/BD12</f>
        <v>0.85185185185185175</v>
      </c>
      <c r="BD12" s="120">
        <v>0.27</v>
      </c>
      <c r="BE12" s="120">
        <v>26</v>
      </c>
      <c r="BF12" s="120" t="s">
        <v>73</v>
      </c>
      <c r="BG12" s="120">
        <v>0.5</v>
      </c>
      <c r="BH12" s="120">
        <v>16</v>
      </c>
      <c r="BI12" s="120" t="s">
        <v>73</v>
      </c>
      <c r="BJ12" s="120">
        <v>119</v>
      </c>
      <c r="BK12" s="120">
        <v>1116</v>
      </c>
      <c r="BL12" s="120">
        <f>BG12-BD12</f>
        <v>0.22999999999999998</v>
      </c>
      <c r="BM12" s="120" t="s">
        <v>73</v>
      </c>
      <c r="BN12" s="120" t="s">
        <v>73</v>
      </c>
      <c r="BO12" s="120" t="s">
        <v>73</v>
      </c>
      <c r="BP12" s="120" t="s">
        <v>73</v>
      </c>
      <c r="BQ12" s="120">
        <v>1</v>
      </c>
      <c r="BR12" s="120">
        <v>43</v>
      </c>
      <c r="BS12" s="120">
        <v>1</v>
      </c>
      <c r="BT12" s="120">
        <v>123</v>
      </c>
      <c r="BU12" s="120" t="s">
        <v>332</v>
      </c>
      <c r="BV12" s="120">
        <v>0</v>
      </c>
      <c r="BW12" s="120">
        <v>0</v>
      </c>
      <c r="BX12" s="120">
        <v>0</v>
      </c>
      <c r="BY12" s="124">
        <f t="shared" ref="BY12:BY17" si="9">CC12/((CC12^2+4)^(1/2))</f>
        <v>0.58413964079077341</v>
      </c>
      <c r="BZ12" s="113">
        <f t="shared" si="0"/>
        <v>0.66872359831083061</v>
      </c>
      <c r="CA12" s="113">
        <f t="shared" si="1"/>
        <v>6.7798303820737196E-3</v>
      </c>
      <c r="CB12" s="96">
        <f t="shared" si="2"/>
        <v>8.6206896551724137E-3</v>
      </c>
      <c r="CC12" s="107">
        <f t="shared" ref="CC12:CC17" si="10" xml:space="preserve"> BA12*(((BE12+BH12)/(BE12*BH12))^(1/2))</f>
        <v>1.4393823795695795</v>
      </c>
      <c r="CD12" s="32">
        <f t="shared" si="8"/>
        <v>117</v>
      </c>
      <c r="CE12" s="92" t="s">
        <v>73</v>
      </c>
      <c r="CF12" s="30">
        <f t="shared" si="3"/>
        <v>0.13437221888778589</v>
      </c>
      <c r="CG12" s="113">
        <f t="shared" si="4"/>
        <v>0.13518983178664185</v>
      </c>
      <c r="CH12" s="30">
        <f t="shared" si="5"/>
        <v>8.9656141453024936E-4</v>
      </c>
      <c r="CI12" s="30">
        <f t="shared" si="6"/>
        <v>8.9847259658580418E-4</v>
      </c>
    </row>
    <row r="13" spans="1:88">
      <c r="A13" s="107" t="s">
        <v>445</v>
      </c>
      <c r="B13" s="107"/>
      <c r="C13" s="107">
        <v>5</v>
      </c>
      <c r="D13" s="130">
        <v>1274</v>
      </c>
      <c r="E13" s="180">
        <v>401</v>
      </c>
      <c r="F13" s="107" t="s">
        <v>446</v>
      </c>
      <c r="G13" s="180">
        <v>2019</v>
      </c>
      <c r="H13" s="107" t="s">
        <v>447</v>
      </c>
      <c r="I13" s="107" t="s">
        <v>448</v>
      </c>
      <c r="J13" s="161">
        <v>2</v>
      </c>
      <c r="K13" s="107" t="s">
        <v>73</v>
      </c>
      <c r="L13" s="107" t="s">
        <v>73</v>
      </c>
      <c r="M13" s="161">
        <v>4</v>
      </c>
      <c r="N13" s="192" t="s">
        <v>107</v>
      </c>
      <c r="O13" s="161" t="s">
        <v>227</v>
      </c>
      <c r="P13" s="107" t="s">
        <v>81</v>
      </c>
      <c r="Q13" s="107" t="s">
        <v>243</v>
      </c>
      <c r="R13" s="107" t="s">
        <v>244</v>
      </c>
      <c r="S13" s="107" t="s">
        <v>245</v>
      </c>
      <c r="T13" s="107">
        <v>0</v>
      </c>
      <c r="U13" s="107" t="s">
        <v>231</v>
      </c>
      <c r="V13" s="107">
        <v>0</v>
      </c>
      <c r="W13" s="107" t="s">
        <v>246</v>
      </c>
      <c r="X13" s="107" t="s">
        <v>232</v>
      </c>
      <c r="Y13" s="180" t="s">
        <v>449</v>
      </c>
      <c r="Z13" s="161">
        <v>0</v>
      </c>
      <c r="AA13" s="161">
        <v>1</v>
      </c>
      <c r="AB13" s="161">
        <v>0</v>
      </c>
      <c r="AC13" s="161">
        <v>0</v>
      </c>
      <c r="AD13" s="161">
        <v>0</v>
      </c>
      <c r="AE13" s="161">
        <v>0</v>
      </c>
      <c r="AF13" s="161">
        <v>0</v>
      </c>
      <c r="AG13" s="161">
        <v>0</v>
      </c>
      <c r="AH13" s="161" t="s">
        <v>450</v>
      </c>
      <c r="AI13" s="161">
        <v>0</v>
      </c>
      <c r="AJ13" s="161">
        <v>0</v>
      </c>
      <c r="AK13" s="161">
        <v>0</v>
      </c>
      <c r="AL13" s="161">
        <v>0</v>
      </c>
      <c r="AM13" s="161">
        <v>0</v>
      </c>
      <c r="AN13" s="161">
        <v>1</v>
      </c>
      <c r="AO13" s="161">
        <v>0</v>
      </c>
      <c r="AP13" s="161">
        <v>0</v>
      </c>
      <c r="AQ13" s="161">
        <v>0</v>
      </c>
      <c r="AR13" s="107" t="s">
        <v>451</v>
      </c>
      <c r="AS13" s="107" t="s">
        <v>234</v>
      </c>
      <c r="AT13" s="107" t="s">
        <v>323</v>
      </c>
      <c r="AU13" s="107" t="s">
        <v>73</v>
      </c>
      <c r="AV13" s="205" t="s">
        <v>73</v>
      </c>
      <c r="AW13" s="181" t="s">
        <v>80</v>
      </c>
      <c r="AX13" s="107" t="s">
        <v>73</v>
      </c>
      <c r="AY13" s="107">
        <v>0.16600000000000001</v>
      </c>
      <c r="AZ13" s="107" t="s">
        <v>73</v>
      </c>
      <c r="BA13" s="177">
        <f>TINV(AY13,CD13)</f>
        <v>1.3948660961632151</v>
      </c>
      <c r="BB13" s="177"/>
      <c r="BC13" s="182">
        <v>0.18</v>
      </c>
      <c r="BD13" s="183" t="s">
        <v>73</v>
      </c>
      <c r="BE13" s="107">
        <v>54</v>
      </c>
      <c r="BF13" s="107" t="s">
        <v>73</v>
      </c>
      <c r="BG13" s="107" t="s">
        <v>73</v>
      </c>
      <c r="BH13" s="107">
        <v>53</v>
      </c>
      <c r="BI13" s="107" t="s">
        <v>73</v>
      </c>
      <c r="BJ13" s="107">
        <v>107</v>
      </c>
      <c r="BK13" s="107">
        <v>107</v>
      </c>
      <c r="BL13" s="107" t="s">
        <v>73</v>
      </c>
      <c r="BM13" s="107" t="s">
        <v>73</v>
      </c>
      <c r="BN13" s="107" t="s">
        <v>73</v>
      </c>
      <c r="BO13" s="107" t="s">
        <v>73</v>
      </c>
      <c r="BP13" s="107" t="s">
        <v>73</v>
      </c>
      <c r="BQ13" s="107" t="s">
        <v>73</v>
      </c>
      <c r="BR13" s="107" t="s">
        <v>73</v>
      </c>
      <c r="BS13" s="107" t="s">
        <v>73</v>
      </c>
      <c r="BT13" s="107" t="s">
        <v>73</v>
      </c>
      <c r="BU13" s="107" t="s">
        <v>73</v>
      </c>
      <c r="BV13" s="161">
        <v>0</v>
      </c>
      <c r="BW13" s="161">
        <v>0</v>
      </c>
      <c r="BX13" s="161">
        <v>0</v>
      </c>
      <c r="BY13" s="118">
        <f t="shared" si="9"/>
        <v>0.13364299410844882</v>
      </c>
      <c r="BZ13" s="30">
        <f t="shared" si="0"/>
        <v>0.13444727205568113</v>
      </c>
      <c r="CA13" s="30">
        <f t="shared" si="1"/>
        <v>9.4308797710456332E-3</v>
      </c>
      <c r="CB13" s="30">
        <f t="shared" si="2"/>
        <v>9.6153846153846159E-3</v>
      </c>
      <c r="CC13" s="107">
        <f t="shared" si="10"/>
        <v>0.26970536931167793</v>
      </c>
      <c r="CD13">
        <f t="shared" si="8"/>
        <v>105</v>
      </c>
      <c r="CE13" t="s">
        <v>401</v>
      </c>
      <c r="CF13" s="30">
        <f t="shared" si="3"/>
        <v>0.13363726176982035</v>
      </c>
      <c r="CG13" s="30">
        <f t="shared" si="4"/>
        <v>0.13444143547761389</v>
      </c>
      <c r="CH13" s="30">
        <f t="shared" si="5"/>
        <v>9.4308803062752404E-3</v>
      </c>
      <c r="CI13" s="30">
        <f t="shared" si="6"/>
        <v>9.6153846153846159E-3</v>
      </c>
      <c r="CJ13" s="95"/>
    </row>
    <row r="14" spans="1:88">
      <c r="A14" s="107" t="s">
        <v>68</v>
      </c>
      <c r="B14" s="107"/>
      <c r="C14" s="107">
        <v>6</v>
      </c>
      <c r="D14" s="130">
        <v>1210</v>
      </c>
      <c r="E14" s="107">
        <v>151</v>
      </c>
      <c r="F14" s="107" t="s">
        <v>398</v>
      </c>
      <c r="G14" s="107">
        <v>2014</v>
      </c>
      <c r="H14" s="107" t="s">
        <v>133</v>
      </c>
      <c r="I14" s="107" t="s">
        <v>134</v>
      </c>
      <c r="J14" s="107">
        <v>1</v>
      </c>
      <c r="K14" s="130" t="s">
        <v>135</v>
      </c>
      <c r="L14" s="130" t="s">
        <v>73</v>
      </c>
      <c r="M14" s="130">
        <v>25</v>
      </c>
      <c r="N14" s="191" t="s">
        <v>107</v>
      </c>
      <c r="O14" s="130" t="s">
        <v>227</v>
      </c>
      <c r="P14" s="107" t="s">
        <v>138</v>
      </c>
      <c r="Q14" s="107" t="s">
        <v>228</v>
      </c>
      <c r="R14" s="107" t="s">
        <v>311</v>
      </c>
      <c r="S14" s="107" t="s">
        <v>312</v>
      </c>
      <c r="T14" s="107">
        <v>0</v>
      </c>
      <c r="U14" s="107" t="s">
        <v>189</v>
      </c>
      <c r="V14" s="107">
        <v>1</v>
      </c>
      <c r="W14" s="130" t="s">
        <v>246</v>
      </c>
      <c r="X14" s="130" t="s">
        <v>232</v>
      </c>
      <c r="Y14" s="130" t="s">
        <v>140</v>
      </c>
      <c r="Z14" s="107">
        <v>0</v>
      </c>
      <c r="AA14" s="107">
        <v>0</v>
      </c>
      <c r="AB14" s="107">
        <v>1</v>
      </c>
      <c r="AC14" s="107">
        <v>0</v>
      </c>
      <c r="AD14" s="107">
        <v>0</v>
      </c>
      <c r="AE14" s="107">
        <v>0</v>
      </c>
      <c r="AF14" s="107">
        <v>0</v>
      </c>
      <c r="AG14" s="107">
        <v>0</v>
      </c>
      <c r="AH14" s="107" t="s">
        <v>73</v>
      </c>
      <c r="AI14" s="107">
        <v>1</v>
      </c>
      <c r="AJ14" s="107">
        <v>0</v>
      </c>
      <c r="AK14" s="107">
        <v>0</v>
      </c>
      <c r="AL14" s="107">
        <v>0</v>
      </c>
      <c r="AM14" s="107">
        <v>0</v>
      </c>
      <c r="AN14" s="107">
        <v>0</v>
      </c>
      <c r="AO14" s="107">
        <v>0</v>
      </c>
      <c r="AP14" s="107">
        <v>0</v>
      </c>
      <c r="AQ14" s="175">
        <v>0</v>
      </c>
      <c r="AR14" s="107" t="s">
        <v>399</v>
      </c>
      <c r="AS14" s="107" t="s">
        <v>234</v>
      </c>
      <c r="AT14" s="176" t="s">
        <v>400</v>
      </c>
      <c r="AU14" s="107" t="s">
        <v>73</v>
      </c>
      <c r="AV14" s="203" t="s">
        <v>73</v>
      </c>
      <c r="AW14" s="170" t="s">
        <v>80</v>
      </c>
      <c r="AX14" s="107">
        <f>BA14/ABS(_xlfn.T.INV.2T(AY14,CD14))</f>
        <v>1</v>
      </c>
      <c r="AY14" s="130">
        <v>0.1</v>
      </c>
      <c r="AZ14" s="130">
        <v>2</v>
      </c>
      <c r="BA14" s="177">
        <f>TINV(AY14,CD14)</f>
        <v>1.671552762454859</v>
      </c>
      <c r="BB14" s="177"/>
      <c r="BC14" s="178">
        <v>0.21</v>
      </c>
      <c r="BD14" s="130" t="s">
        <v>73</v>
      </c>
      <c r="BE14" s="130">
        <v>19</v>
      </c>
      <c r="BF14" s="130" t="s">
        <v>73</v>
      </c>
      <c r="BG14" s="130" t="s">
        <v>73</v>
      </c>
      <c r="BH14" s="130">
        <v>19</v>
      </c>
      <c r="BI14" s="130" t="s">
        <v>73</v>
      </c>
      <c r="BJ14" s="130">
        <v>60</v>
      </c>
      <c r="BK14" s="130">
        <v>51591</v>
      </c>
      <c r="BL14" s="130" t="s">
        <v>73</v>
      </c>
      <c r="BM14" s="130" t="s">
        <v>73</v>
      </c>
      <c r="BN14" s="107" t="s">
        <v>73</v>
      </c>
      <c r="BO14" s="107" t="s">
        <v>73</v>
      </c>
      <c r="BP14" s="107" t="s">
        <v>73</v>
      </c>
      <c r="BQ14" s="107">
        <v>1</v>
      </c>
      <c r="BR14" s="107">
        <v>185</v>
      </c>
      <c r="BS14" s="107" t="s">
        <v>73</v>
      </c>
      <c r="BT14" s="107" t="s">
        <v>73</v>
      </c>
      <c r="BU14" s="107" t="s">
        <v>73</v>
      </c>
      <c r="BV14" s="107">
        <v>0</v>
      </c>
      <c r="BW14" s="107">
        <v>0</v>
      </c>
      <c r="BX14" s="107">
        <v>0</v>
      </c>
      <c r="BY14" s="118">
        <f t="shared" si="9"/>
        <v>0.26171069575803479</v>
      </c>
      <c r="BZ14" s="30">
        <f t="shared" si="0"/>
        <v>0.26794400760245057</v>
      </c>
      <c r="CA14" s="30">
        <f t="shared" si="1"/>
        <v>1.6861790217392026E-2</v>
      </c>
      <c r="CB14" s="30">
        <f t="shared" si="2"/>
        <v>1.7543859649122806E-2</v>
      </c>
      <c r="CC14" s="107">
        <f t="shared" si="10"/>
        <v>0.54232332924095827</v>
      </c>
      <c r="CD14">
        <f t="shared" si="8"/>
        <v>58</v>
      </c>
      <c r="CE14" t="s">
        <v>401</v>
      </c>
      <c r="CF14" s="30">
        <f t="shared" si="3"/>
        <v>7.3590432712745445E-3</v>
      </c>
      <c r="CG14" s="30">
        <f t="shared" si="4"/>
        <v>7.3591761198577221E-3</v>
      </c>
      <c r="CH14" s="30">
        <f t="shared" si="5"/>
        <v>1.9383601416300991E-5</v>
      </c>
      <c r="CI14" s="30">
        <f t="shared" si="6"/>
        <v>1.9384352950298517E-5</v>
      </c>
    </row>
    <row r="15" spans="1:88">
      <c r="A15" s="107" t="s">
        <v>68</v>
      </c>
      <c r="B15" s="107"/>
      <c r="C15" s="107">
        <v>6</v>
      </c>
      <c r="D15" s="130">
        <v>1211</v>
      </c>
      <c r="E15" s="107">
        <v>151</v>
      </c>
      <c r="F15" s="107" t="s">
        <v>398</v>
      </c>
      <c r="G15" s="107">
        <v>2014</v>
      </c>
      <c r="H15" s="107" t="s">
        <v>133</v>
      </c>
      <c r="I15" s="107" t="s">
        <v>134</v>
      </c>
      <c r="J15" s="107">
        <v>1</v>
      </c>
      <c r="K15" s="130" t="s">
        <v>135</v>
      </c>
      <c r="L15" s="130" t="s">
        <v>73</v>
      </c>
      <c r="M15" s="130">
        <v>25</v>
      </c>
      <c r="N15" s="191" t="s">
        <v>107</v>
      </c>
      <c r="O15" s="130" t="s">
        <v>227</v>
      </c>
      <c r="P15" s="107" t="s">
        <v>138</v>
      </c>
      <c r="Q15" s="107" t="s">
        <v>228</v>
      </c>
      <c r="R15" s="107" t="s">
        <v>311</v>
      </c>
      <c r="S15" s="107" t="s">
        <v>312</v>
      </c>
      <c r="T15" s="107">
        <v>0</v>
      </c>
      <c r="U15" s="107" t="s">
        <v>189</v>
      </c>
      <c r="V15" s="107">
        <v>1</v>
      </c>
      <c r="W15" s="130" t="s">
        <v>246</v>
      </c>
      <c r="X15" s="130" t="s">
        <v>232</v>
      </c>
      <c r="Y15" s="130" t="s">
        <v>140</v>
      </c>
      <c r="Z15" s="107">
        <v>0</v>
      </c>
      <c r="AA15" s="107">
        <v>0</v>
      </c>
      <c r="AB15" s="107">
        <v>1</v>
      </c>
      <c r="AC15" s="107">
        <v>0</v>
      </c>
      <c r="AD15" s="107">
        <v>0</v>
      </c>
      <c r="AE15" s="107">
        <v>0</v>
      </c>
      <c r="AF15" s="107">
        <v>0</v>
      </c>
      <c r="AG15" s="107">
        <v>0</v>
      </c>
      <c r="AH15" s="107" t="s">
        <v>73</v>
      </c>
      <c r="AI15" s="107">
        <v>0</v>
      </c>
      <c r="AJ15" s="107">
        <v>1</v>
      </c>
      <c r="AK15" s="107">
        <v>0</v>
      </c>
      <c r="AL15" s="107">
        <v>0</v>
      </c>
      <c r="AM15" s="107">
        <v>0</v>
      </c>
      <c r="AN15" s="107">
        <v>0</v>
      </c>
      <c r="AO15" s="107">
        <v>0</v>
      </c>
      <c r="AP15" s="107">
        <v>0</v>
      </c>
      <c r="AQ15" s="175">
        <v>0</v>
      </c>
      <c r="AR15" s="107" t="s">
        <v>399</v>
      </c>
      <c r="AS15" s="107" t="s">
        <v>234</v>
      </c>
      <c r="AT15" s="176" t="s">
        <v>400</v>
      </c>
      <c r="AU15" s="107" t="s">
        <v>73</v>
      </c>
      <c r="AV15" s="203" t="s">
        <v>73</v>
      </c>
      <c r="AW15" s="170" t="s">
        <v>86</v>
      </c>
      <c r="AX15" s="107">
        <f>BA15/ABS(_xlfn.T.INV.2T(AY15,CD15))</f>
        <v>0.98275932949058287</v>
      </c>
      <c r="AY15" s="130">
        <v>0.06</v>
      </c>
      <c r="AZ15" s="130">
        <v>1</v>
      </c>
      <c r="BA15" s="130">
        <v>2.06</v>
      </c>
      <c r="BB15" s="130"/>
      <c r="BC15" s="178">
        <v>0.71</v>
      </c>
      <c r="BD15" s="130" t="s">
        <v>73</v>
      </c>
      <c r="BE15" s="130">
        <v>19</v>
      </c>
      <c r="BF15" s="130" t="s">
        <v>73</v>
      </c>
      <c r="BG15" s="130" t="s">
        <v>73</v>
      </c>
      <c r="BH15" s="130">
        <v>19</v>
      </c>
      <c r="BI15" s="130" t="s">
        <v>73</v>
      </c>
      <c r="BJ15" s="130">
        <v>13</v>
      </c>
      <c r="BK15" s="130">
        <v>51591</v>
      </c>
      <c r="BL15" s="130" t="s">
        <v>73</v>
      </c>
      <c r="BM15" s="130" t="s">
        <v>73</v>
      </c>
      <c r="BN15" s="107" t="s">
        <v>73</v>
      </c>
      <c r="BO15" s="107" t="s">
        <v>73</v>
      </c>
      <c r="BP15" s="107" t="s">
        <v>73</v>
      </c>
      <c r="BQ15" s="107">
        <v>1</v>
      </c>
      <c r="BR15" s="107">
        <v>185</v>
      </c>
      <c r="BS15" s="107" t="s">
        <v>73</v>
      </c>
      <c r="BT15" s="107" t="s">
        <v>73</v>
      </c>
      <c r="BU15" s="107" t="s">
        <v>73</v>
      </c>
      <c r="BV15" s="107">
        <v>0</v>
      </c>
      <c r="BW15" s="107">
        <v>0</v>
      </c>
      <c r="BX15" s="107">
        <v>0</v>
      </c>
      <c r="BY15" s="118">
        <f t="shared" si="9"/>
        <v>0.31694708329179128</v>
      </c>
      <c r="BZ15" s="30">
        <f t="shared" si="0"/>
        <v>0.32824959387738756</v>
      </c>
      <c r="CA15" s="30">
        <f t="shared" si="1"/>
        <v>8.2365867706904794E-2</v>
      </c>
      <c r="CB15" s="30">
        <f t="shared" si="2"/>
        <v>0.1</v>
      </c>
      <c r="CC15" s="107">
        <f t="shared" si="10"/>
        <v>0.66835225505874174</v>
      </c>
      <c r="CD15">
        <f t="shared" si="8"/>
        <v>11</v>
      </c>
      <c r="CE15" t="s">
        <v>401</v>
      </c>
      <c r="CF15" s="30">
        <f t="shared" si="3"/>
        <v>9.0690623301361503E-3</v>
      </c>
      <c r="CG15" s="30">
        <f t="shared" si="4"/>
        <v>9.0693109794918354E-3</v>
      </c>
      <c r="CH15" s="30">
        <f t="shared" si="5"/>
        <v>1.9383601342014778E-5</v>
      </c>
      <c r="CI15" s="30">
        <f t="shared" si="6"/>
        <v>1.9384352950298517E-5</v>
      </c>
    </row>
    <row r="16" spans="1:88">
      <c r="A16" s="107" t="s">
        <v>68</v>
      </c>
      <c r="B16" s="107"/>
      <c r="C16" s="107">
        <v>6</v>
      </c>
      <c r="D16" s="130">
        <v>1212</v>
      </c>
      <c r="E16" s="107">
        <v>151</v>
      </c>
      <c r="F16" s="107" t="s">
        <v>398</v>
      </c>
      <c r="G16" s="107">
        <v>2014</v>
      </c>
      <c r="H16" s="107" t="s">
        <v>133</v>
      </c>
      <c r="I16" s="107" t="s">
        <v>134</v>
      </c>
      <c r="J16" s="107">
        <v>1</v>
      </c>
      <c r="K16" s="130" t="s">
        <v>135</v>
      </c>
      <c r="L16" s="130" t="s">
        <v>73</v>
      </c>
      <c r="M16" s="130">
        <v>25</v>
      </c>
      <c r="N16" s="191" t="s">
        <v>107</v>
      </c>
      <c r="O16" s="130" t="s">
        <v>227</v>
      </c>
      <c r="P16" s="107" t="s">
        <v>138</v>
      </c>
      <c r="Q16" s="107" t="s">
        <v>228</v>
      </c>
      <c r="R16" s="107" t="s">
        <v>311</v>
      </c>
      <c r="S16" s="107" t="s">
        <v>312</v>
      </c>
      <c r="T16" s="107">
        <v>0</v>
      </c>
      <c r="U16" s="107" t="s">
        <v>189</v>
      </c>
      <c r="V16" s="107">
        <v>1</v>
      </c>
      <c r="W16" s="130" t="s">
        <v>246</v>
      </c>
      <c r="X16" s="130" t="s">
        <v>232</v>
      </c>
      <c r="Y16" s="130" t="s">
        <v>140</v>
      </c>
      <c r="Z16" s="107">
        <v>0</v>
      </c>
      <c r="AA16" s="107">
        <v>0</v>
      </c>
      <c r="AB16" s="107">
        <v>1</v>
      </c>
      <c r="AC16" s="107">
        <v>0</v>
      </c>
      <c r="AD16" s="107">
        <v>0</v>
      </c>
      <c r="AE16" s="107">
        <v>0</v>
      </c>
      <c r="AF16" s="107">
        <v>0</v>
      </c>
      <c r="AG16" s="107">
        <v>0</v>
      </c>
      <c r="AH16" s="107" t="s">
        <v>73</v>
      </c>
      <c r="AI16" s="107">
        <v>0</v>
      </c>
      <c r="AJ16" s="107">
        <v>1</v>
      </c>
      <c r="AK16" s="107">
        <v>0</v>
      </c>
      <c r="AL16" s="107">
        <v>0</v>
      </c>
      <c r="AM16" s="107">
        <v>0</v>
      </c>
      <c r="AN16" s="107">
        <v>0</v>
      </c>
      <c r="AO16" s="107">
        <v>0</v>
      </c>
      <c r="AP16" s="107">
        <v>0</v>
      </c>
      <c r="AQ16" s="175">
        <v>0</v>
      </c>
      <c r="AR16" s="107" t="s">
        <v>399</v>
      </c>
      <c r="AS16" s="107" t="s">
        <v>234</v>
      </c>
      <c r="AT16" s="179" t="s">
        <v>400</v>
      </c>
      <c r="AU16" s="107" t="s">
        <v>73</v>
      </c>
      <c r="AV16" s="203" t="s">
        <v>73</v>
      </c>
      <c r="AW16" s="170" t="s">
        <v>80</v>
      </c>
      <c r="AX16" s="107">
        <f>BA16/ABS(_xlfn.T.INV.2T(AY16,CD16))</f>
        <v>1</v>
      </c>
      <c r="AY16" s="130">
        <v>0.1</v>
      </c>
      <c r="AZ16" s="130">
        <v>2</v>
      </c>
      <c r="BA16" s="177">
        <f>TINV(AY16,CD16)</f>
        <v>1.6938887483837093</v>
      </c>
      <c r="BB16" s="177"/>
      <c r="BC16" s="178">
        <v>0.08</v>
      </c>
      <c r="BD16" s="130" t="s">
        <v>73</v>
      </c>
      <c r="BE16" s="130">
        <v>19</v>
      </c>
      <c r="BF16" s="130" t="s">
        <v>73</v>
      </c>
      <c r="BG16" s="130" t="s">
        <v>73</v>
      </c>
      <c r="BH16" s="130">
        <v>19</v>
      </c>
      <c r="BI16" s="130" t="s">
        <v>73</v>
      </c>
      <c r="BJ16" s="130">
        <v>34</v>
      </c>
      <c r="BK16" s="130">
        <v>51591</v>
      </c>
      <c r="BL16" s="130" t="s">
        <v>73</v>
      </c>
      <c r="BM16" s="130" t="s">
        <v>73</v>
      </c>
      <c r="BN16" s="107" t="s">
        <v>73</v>
      </c>
      <c r="BO16" s="107" t="s">
        <v>73</v>
      </c>
      <c r="BP16" s="107" t="s">
        <v>73</v>
      </c>
      <c r="BQ16" s="107">
        <v>1</v>
      </c>
      <c r="BR16" s="107">
        <v>185</v>
      </c>
      <c r="BS16" s="107" t="s">
        <v>73</v>
      </c>
      <c r="BT16" s="107" t="s">
        <v>73</v>
      </c>
      <c r="BU16" s="107" t="s">
        <v>73</v>
      </c>
      <c r="BV16" s="107">
        <v>0</v>
      </c>
      <c r="BW16" s="107">
        <v>0</v>
      </c>
      <c r="BX16" s="107">
        <v>0</v>
      </c>
      <c r="BY16" s="118">
        <f t="shared" si="9"/>
        <v>0.26496377396868748</v>
      </c>
      <c r="BZ16" s="30">
        <f t="shared" si="0"/>
        <v>0.27143948922848343</v>
      </c>
      <c r="CA16" s="30">
        <f t="shared" si="1"/>
        <v>3.0138525653303272E-2</v>
      </c>
      <c r="CB16" s="30">
        <f t="shared" si="2"/>
        <v>3.2258064516129031E-2</v>
      </c>
      <c r="CC16" s="107">
        <f t="shared" si="10"/>
        <v>0.54957008000042795</v>
      </c>
      <c r="CD16">
        <f t="shared" si="8"/>
        <v>32</v>
      </c>
      <c r="CE16" t="s">
        <v>401</v>
      </c>
      <c r="CF16" s="30">
        <f t="shared" si="3"/>
        <v>7.4573724474873322E-3</v>
      </c>
      <c r="CG16" s="30">
        <f t="shared" si="4"/>
        <v>7.4575106929029604E-3</v>
      </c>
      <c r="CH16" s="30">
        <f t="shared" si="5"/>
        <v>1.9383601413200837E-5</v>
      </c>
      <c r="CI16" s="30">
        <f t="shared" si="6"/>
        <v>1.9384352950298517E-5</v>
      </c>
    </row>
    <row r="17" spans="1:88">
      <c r="A17" s="107" t="s">
        <v>68</v>
      </c>
      <c r="B17" s="107"/>
      <c r="C17" s="107">
        <v>6</v>
      </c>
      <c r="D17" s="130">
        <v>1214</v>
      </c>
      <c r="E17" s="107">
        <v>151</v>
      </c>
      <c r="F17" s="107" t="s">
        <v>398</v>
      </c>
      <c r="G17" s="107">
        <v>2014</v>
      </c>
      <c r="H17" s="107" t="s">
        <v>133</v>
      </c>
      <c r="I17" s="107" t="s">
        <v>134</v>
      </c>
      <c r="J17" s="107">
        <v>1</v>
      </c>
      <c r="K17" s="130" t="s">
        <v>135</v>
      </c>
      <c r="L17" s="130" t="s">
        <v>73</v>
      </c>
      <c r="M17" s="130">
        <v>25</v>
      </c>
      <c r="N17" s="191" t="s">
        <v>107</v>
      </c>
      <c r="O17" s="130" t="s">
        <v>227</v>
      </c>
      <c r="P17" s="107" t="s">
        <v>138</v>
      </c>
      <c r="Q17" s="107" t="s">
        <v>228</v>
      </c>
      <c r="R17" s="107" t="s">
        <v>311</v>
      </c>
      <c r="S17" s="107" t="s">
        <v>312</v>
      </c>
      <c r="T17" s="107">
        <v>0</v>
      </c>
      <c r="U17" s="107" t="s">
        <v>189</v>
      </c>
      <c r="V17" s="107">
        <v>1</v>
      </c>
      <c r="W17" s="130" t="s">
        <v>246</v>
      </c>
      <c r="X17" s="130" t="s">
        <v>232</v>
      </c>
      <c r="Y17" s="130" t="s">
        <v>140</v>
      </c>
      <c r="Z17" s="107">
        <v>0</v>
      </c>
      <c r="AA17" s="107">
        <v>0</v>
      </c>
      <c r="AB17" s="107">
        <v>1</v>
      </c>
      <c r="AC17" s="107">
        <v>0</v>
      </c>
      <c r="AD17" s="107">
        <v>0</v>
      </c>
      <c r="AE17" s="107">
        <v>0</v>
      </c>
      <c r="AF17" s="107">
        <v>0</v>
      </c>
      <c r="AG17" s="107">
        <v>0</v>
      </c>
      <c r="AH17" s="107" t="s">
        <v>73</v>
      </c>
      <c r="AI17" s="107">
        <v>0</v>
      </c>
      <c r="AJ17" s="107">
        <v>1</v>
      </c>
      <c r="AK17" s="107">
        <v>0</v>
      </c>
      <c r="AL17" s="107">
        <v>0</v>
      </c>
      <c r="AM17" s="107">
        <v>0</v>
      </c>
      <c r="AN17" s="107">
        <v>0</v>
      </c>
      <c r="AO17" s="107">
        <v>0</v>
      </c>
      <c r="AP17" s="107">
        <v>0</v>
      </c>
      <c r="AQ17" s="175">
        <v>0</v>
      </c>
      <c r="AR17" s="107" t="s">
        <v>399</v>
      </c>
      <c r="AS17" s="107" t="s">
        <v>234</v>
      </c>
      <c r="AT17" s="179" t="s">
        <v>400</v>
      </c>
      <c r="AU17" s="107" t="s">
        <v>73</v>
      </c>
      <c r="AV17" s="203" t="s">
        <v>73</v>
      </c>
      <c r="AW17" s="170" t="s">
        <v>86</v>
      </c>
      <c r="AX17" s="107">
        <f>BA17/ABS(_xlfn.T.INV.2T(AY17,CD17))</f>
        <v>1</v>
      </c>
      <c r="AY17" s="130">
        <v>0.1</v>
      </c>
      <c r="AZ17" s="130">
        <v>2</v>
      </c>
      <c r="BA17" s="177">
        <f>TINV(AY17,CD17)</f>
        <v>1.9431802805153031</v>
      </c>
      <c r="BB17" s="177"/>
      <c r="BC17" s="178">
        <v>0.08</v>
      </c>
      <c r="BD17" s="130" t="s">
        <v>73</v>
      </c>
      <c r="BE17" s="130">
        <v>19</v>
      </c>
      <c r="BF17" s="130" t="s">
        <v>73</v>
      </c>
      <c r="BG17" s="130" t="s">
        <v>73</v>
      </c>
      <c r="BH17" s="130">
        <v>19</v>
      </c>
      <c r="BI17" s="130" t="s">
        <v>73</v>
      </c>
      <c r="BJ17" s="130">
        <v>8</v>
      </c>
      <c r="BK17" s="130">
        <v>51591</v>
      </c>
      <c r="BL17" s="130" t="s">
        <v>73</v>
      </c>
      <c r="BM17" s="130" t="s">
        <v>73</v>
      </c>
      <c r="BN17" s="107" t="s">
        <v>73</v>
      </c>
      <c r="BO17" s="107" t="s">
        <v>73</v>
      </c>
      <c r="BP17" s="107" t="s">
        <v>73</v>
      </c>
      <c r="BQ17" s="107">
        <v>1</v>
      </c>
      <c r="BR17" s="107">
        <v>185</v>
      </c>
      <c r="BS17" s="107" t="s">
        <v>73</v>
      </c>
      <c r="BT17" s="107" t="s">
        <v>73</v>
      </c>
      <c r="BU17" s="107" t="s">
        <v>73</v>
      </c>
      <c r="BV17" s="107">
        <v>0</v>
      </c>
      <c r="BW17" s="107">
        <v>0</v>
      </c>
      <c r="BX17" s="107">
        <v>0</v>
      </c>
      <c r="BY17" s="118">
        <f t="shared" si="9"/>
        <v>0.30064219204505443</v>
      </c>
      <c r="BZ17" s="30">
        <f t="shared" si="0"/>
        <v>0.31022545930208606</v>
      </c>
      <c r="CA17" s="30">
        <f t="shared" si="1"/>
        <v>0.14153398486340582</v>
      </c>
      <c r="CB17" s="30">
        <f t="shared" si="2"/>
        <v>0.2</v>
      </c>
      <c r="CC17" s="107">
        <f t="shared" si="10"/>
        <v>0.63045093323693258</v>
      </c>
      <c r="CD17">
        <f t="shared" si="8"/>
        <v>6</v>
      </c>
      <c r="CE17" t="s">
        <v>401</v>
      </c>
      <c r="CF17" s="30">
        <f t="shared" si="3"/>
        <v>8.5548072564774428E-3</v>
      </c>
      <c r="CG17" s="30">
        <f t="shared" si="4"/>
        <v>8.5550159593868347E-3</v>
      </c>
      <c r="CH17" s="30">
        <f t="shared" si="5"/>
        <v>1.9383601369324926E-5</v>
      </c>
      <c r="CI17" s="30">
        <f t="shared" si="6"/>
        <v>1.9384352950298517E-5</v>
      </c>
    </row>
    <row r="18" spans="1:88">
      <c r="A18" s="11" t="s">
        <v>68</v>
      </c>
      <c r="B18" s="11"/>
      <c r="C18" s="11">
        <v>7</v>
      </c>
      <c r="D18" s="11">
        <v>1103</v>
      </c>
      <c r="E18">
        <v>120</v>
      </c>
      <c r="F18" t="s">
        <v>317</v>
      </c>
      <c r="G18" s="11">
        <v>2021</v>
      </c>
      <c r="H18" t="s">
        <v>318</v>
      </c>
      <c r="I18" s="22" t="s">
        <v>319</v>
      </c>
      <c r="J18">
        <v>2</v>
      </c>
      <c r="K18">
        <v>2018</v>
      </c>
      <c r="L18" s="10" t="s">
        <v>73</v>
      </c>
      <c r="M18">
        <v>296</v>
      </c>
      <c r="N18" s="18" t="s">
        <v>155</v>
      </c>
      <c r="O18" t="s">
        <v>112</v>
      </c>
      <c r="P18" t="s">
        <v>320</v>
      </c>
      <c r="Q18" t="s">
        <v>228</v>
      </c>
      <c r="R18" t="s">
        <v>311</v>
      </c>
      <c r="S18" t="s">
        <v>312</v>
      </c>
      <c r="T18">
        <v>0</v>
      </c>
      <c r="U18" t="s">
        <v>231</v>
      </c>
      <c r="V18">
        <v>1</v>
      </c>
      <c r="W18" s="18" t="s">
        <v>232</v>
      </c>
      <c r="X18" s="18" t="s">
        <v>232</v>
      </c>
      <c r="Y18" s="18" t="s">
        <v>73</v>
      </c>
      <c r="Z18">
        <v>0</v>
      </c>
      <c r="AA18">
        <v>0</v>
      </c>
      <c r="AB18">
        <v>1</v>
      </c>
      <c r="AC18">
        <v>0</v>
      </c>
      <c r="AD18">
        <v>0</v>
      </c>
      <c r="AE18">
        <v>0</v>
      </c>
      <c r="AF18">
        <v>0</v>
      </c>
      <c r="AG18">
        <v>0</v>
      </c>
      <c r="AH18" t="s">
        <v>321</v>
      </c>
      <c r="AI18">
        <v>1</v>
      </c>
      <c r="AJ18">
        <v>0</v>
      </c>
      <c r="AK18">
        <v>0</v>
      </c>
      <c r="AL18">
        <v>0</v>
      </c>
      <c r="AM18">
        <v>0</v>
      </c>
      <c r="AN18">
        <v>0</v>
      </c>
      <c r="AO18" s="32">
        <v>0</v>
      </c>
      <c r="AP18">
        <v>0</v>
      </c>
      <c r="AQ18">
        <v>0</v>
      </c>
      <c r="AR18" t="s">
        <v>322</v>
      </c>
      <c r="AS18" t="s">
        <v>234</v>
      </c>
      <c r="AT18" t="s">
        <v>323</v>
      </c>
      <c r="AU18" t="s">
        <v>236</v>
      </c>
      <c r="AV18" s="134">
        <v>3.1600000000000003E-2</v>
      </c>
      <c r="AW18" s="7" t="s">
        <v>80</v>
      </c>
      <c r="AX18">
        <v>1.66E-2</v>
      </c>
      <c r="AY18">
        <v>0.1</v>
      </c>
      <c r="AZ18">
        <v>1</v>
      </c>
      <c r="BA18">
        <f t="shared" ref="BA18:BA26" si="11">AV18/AX18</f>
        <v>1.9036144578313254</v>
      </c>
      <c r="BC18" s="101">
        <f t="shared" ref="BC18:BC28" si="12">AV18</f>
        <v>3.1600000000000003E-2</v>
      </c>
      <c r="BD18" t="s">
        <v>73</v>
      </c>
      <c r="BE18" t="s">
        <v>73</v>
      </c>
      <c r="BF18" t="s">
        <v>73</v>
      </c>
      <c r="BG18" t="s">
        <v>73</v>
      </c>
      <c r="BH18" t="s">
        <v>73</v>
      </c>
      <c r="BI18" t="s">
        <v>73</v>
      </c>
      <c r="BJ18">
        <v>1350</v>
      </c>
      <c r="BK18">
        <v>1350</v>
      </c>
      <c r="BL18" t="s">
        <v>73</v>
      </c>
      <c r="BM18" t="s">
        <v>73</v>
      </c>
      <c r="BN18" t="s">
        <v>73</v>
      </c>
      <c r="BO18" t="s">
        <v>73</v>
      </c>
      <c r="BP18" t="s">
        <v>73</v>
      </c>
      <c r="BQ18">
        <v>1</v>
      </c>
      <c r="BR18" t="s">
        <v>73</v>
      </c>
      <c r="BS18">
        <v>0</v>
      </c>
      <c r="BT18" t="s">
        <v>73</v>
      </c>
      <c r="BU18" t="s">
        <v>73</v>
      </c>
      <c r="BV18">
        <v>0</v>
      </c>
      <c r="BW18">
        <v>0</v>
      </c>
      <c r="BX18">
        <v>1</v>
      </c>
      <c r="BY18" s="30">
        <f t="shared" ref="BY18:BY56" si="13">((BA18^2)/(BA18^2+BJ18))^(1/2)</f>
        <v>5.1740427422851322E-2</v>
      </c>
      <c r="BZ18" s="30">
        <f t="shared" si="0"/>
        <v>5.1786672673630553E-2</v>
      </c>
      <c r="CA18" s="30">
        <f t="shared" si="1"/>
        <v>7.4128451269814776E-4</v>
      </c>
      <c r="CB18" s="30">
        <f t="shared" si="2"/>
        <v>7.4239049740163323E-4</v>
      </c>
      <c r="CC18" s="92" t="s">
        <v>73</v>
      </c>
      <c r="CD18">
        <f t="shared" ref="CD18:CD26" si="14">BJ18-1</f>
        <v>1349</v>
      </c>
      <c r="CE18" s="92" t="s">
        <v>73</v>
      </c>
      <c r="CF18" s="30">
        <f t="shared" si="3"/>
        <v>5.1740427422851322E-2</v>
      </c>
      <c r="CG18" s="30">
        <f t="shared" si="4"/>
        <v>5.1786672673630553E-2</v>
      </c>
      <c r="CH18" s="30">
        <f t="shared" si="5"/>
        <v>7.4128451269814776E-4</v>
      </c>
      <c r="CI18" s="30">
        <f t="shared" si="6"/>
        <v>7.4239049740163323E-4</v>
      </c>
      <c r="CJ18" s="92"/>
    </row>
    <row r="19" spans="1:88" s="102" customFormat="1">
      <c r="A19" s="11" t="s">
        <v>68</v>
      </c>
      <c r="B19" s="11"/>
      <c r="C19" s="11">
        <v>7</v>
      </c>
      <c r="D19" s="11">
        <v>1104</v>
      </c>
      <c r="E19">
        <v>120</v>
      </c>
      <c r="F19" t="s">
        <v>317</v>
      </c>
      <c r="G19" s="11">
        <v>2021</v>
      </c>
      <c r="H19" t="s">
        <v>318</v>
      </c>
      <c r="I19" s="22" t="s">
        <v>319</v>
      </c>
      <c r="J19">
        <v>2</v>
      </c>
      <c r="K19">
        <v>2018</v>
      </c>
      <c r="L19" s="10" t="s">
        <v>73</v>
      </c>
      <c r="M19">
        <v>296</v>
      </c>
      <c r="N19" s="18" t="s">
        <v>155</v>
      </c>
      <c r="O19" t="s">
        <v>112</v>
      </c>
      <c r="P19" t="s">
        <v>320</v>
      </c>
      <c r="Q19" t="s">
        <v>228</v>
      </c>
      <c r="R19" t="s">
        <v>311</v>
      </c>
      <c r="S19" t="s">
        <v>312</v>
      </c>
      <c r="T19">
        <v>0</v>
      </c>
      <c r="U19" t="s">
        <v>231</v>
      </c>
      <c r="V19">
        <v>1</v>
      </c>
      <c r="W19" s="18" t="s">
        <v>232</v>
      </c>
      <c r="X19" s="18" t="s">
        <v>232</v>
      </c>
      <c r="Y19" s="18" t="s">
        <v>73</v>
      </c>
      <c r="Z19">
        <v>0</v>
      </c>
      <c r="AA19">
        <v>1</v>
      </c>
      <c r="AB19">
        <v>0</v>
      </c>
      <c r="AC19">
        <v>0</v>
      </c>
      <c r="AD19">
        <v>0</v>
      </c>
      <c r="AE19">
        <v>0</v>
      </c>
      <c r="AF19">
        <v>0</v>
      </c>
      <c r="AG19">
        <v>0</v>
      </c>
      <c r="AH19" t="s">
        <v>321</v>
      </c>
      <c r="AI19">
        <v>1</v>
      </c>
      <c r="AJ19">
        <v>0</v>
      </c>
      <c r="AK19">
        <v>0</v>
      </c>
      <c r="AL19">
        <v>0</v>
      </c>
      <c r="AM19">
        <v>0</v>
      </c>
      <c r="AN19">
        <v>0</v>
      </c>
      <c r="AO19" s="32">
        <v>0</v>
      </c>
      <c r="AP19">
        <v>0</v>
      </c>
      <c r="AQ19">
        <v>0</v>
      </c>
      <c r="AR19" t="s">
        <v>322</v>
      </c>
      <c r="AS19" t="s">
        <v>234</v>
      </c>
      <c r="AT19" t="s">
        <v>323</v>
      </c>
      <c r="AU19" t="s">
        <v>236</v>
      </c>
      <c r="AV19" s="134">
        <v>9.8500000000000004E-2</v>
      </c>
      <c r="AW19" s="7" t="s">
        <v>86</v>
      </c>
      <c r="AX19" s="134">
        <v>0.13600000000000001</v>
      </c>
      <c r="AY19">
        <v>0.1</v>
      </c>
      <c r="AZ19">
        <v>2</v>
      </c>
      <c r="BA19">
        <f t="shared" si="11"/>
        <v>0.72426470588235292</v>
      </c>
      <c r="BB19"/>
      <c r="BC19" s="101">
        <f t="shared" si="12"/>
        <v>9.8500000000000004E-2</v>
      </c>
      <c r="BD19" t="s">
        <v>73</v>
      </c>
      <c r="BE19" t="s">
        <v>73</v>
      </c>
      <c r="BF19" t="s">
        <v>73</v>
      </c>
      <c r="BG19" t="s">
        <v>73</v>
      </c>
      <c r="BH19" t="s">
        <v>73</v>
      </c>
      <c r="BI19" t="s">
        <v>73</v>
      </c>
      <c r="BJ19">
        <v>1350</v>
      </c>
      <c r="BK19">
        <v>1350</v>
      </c>
      <c r="BL19" t="s">
        <v>73</v>
      </c>
      <c r="BM19" t="s">
        <v>73</v>
      </c>
      <c r="BN19" t="s">
        <v>73</v>
      </c>
      <c r="BO19" t="s">
        <v>73</v>
      </c>
      <c r="BP19" t="s">
        <v>73</v>
      </c>
      <c r="BQ19">
        <v>0</v>
      </c>
      <c r="BR19" t="s">
        <v>73</v>
      </c>
      <c r="BS19">
        <v>1</v>
      </c>
      <c r="BT19" s="41" t="s">
        <v>73</v>
      </c>
      <c r="BU19" t="s">
        <v>73</v>
      </c>
      <c r="BV19">
        <v>0</v>
      </c>
      <c r="BW19">
        <v>0</v>
      </c>
      <c r="BX19">
        <v>1</v>
      </c>
      <c r="BY19" s="30">
        <f t="shared" si="13"/>
        <v>1.97081599806469E-2</v>
      </c>
      <c r="BZ19" s="30">
        <f t="shared" si="0"/>
        <v>1.9710712201246074E-2</v>
      </c>
      <c r="CA19" s="30">
        <f t="shared" si="1"/>
        <v>7.4128973243757566E-4</v>
      </c>
      <c r="CB19" s="30">
        <f t="shared" si="2"/>
        <v>7.4239049740163323E-4</v>
      </c>
      <c r="CC19" s="92" t="s">
        <v>73</v>
      </c>
      <c r="CD19">
        <f t="shared" si="14"/>
        <v>1349</v>
      </c>
      <c r="CE19" s="92" t="s">
        <v>73</v>
      </c>
      <c r="CF19" s="30">
        <f t="shared" si="3"/>
        <v>1.97081599806469E-2</v>
      </c>
      <c r="CG19" s="30">
        <f t="shared" si="4"/>
        <v>1.9710712201246074E-2</v>
      </c>
      <c r="CH19" s="30">
        <f t="shared" si="5"/>
        <v>7.4128973243757566E-4</v>
      </c>
      <c r="CI19" s="30">
        <f t="shared" si="6"/>
        <v>7.4239049740163323E-4</v>
      </c>
      <c r="CJ19" s="92"/>
    </row>
    <row r="20" spans="1:88" s="102" customFormat="1">
      <c r="A20" s="11" t="s">
        <v>68</v>
      </c>
      <c r="B20" s="11"/>
      <c r="C20" s="11">
        <v>7</v>
      </c>
      <c r="D20" s="11">
        <v>1106</v>
      </c>
      <c r="E20">
        <v>120</v>
      </c>
      <c r="F20" t="s">
        <v>317</v>
      </c>
      <c r="G20" s="11">
        <v>2021</v>
      </c>
      <c r="H20" t="s">
        <v>318</v>
      </c>
      <c r="I20" s="22" t="s">
        <v>319</v>
      </c>
      <c r="J20">
        <v>2</v>
      </c>
      <c r="K20">
        <v>2018</v>
      </c>
      <c r="L20" s="10" t="s">
        <v>73</v>
      </c>
      <c r="M20">
        <v>296</v>
      </c>
      <c r="N20" s="18" t="s">
        <v>155</v>
      </c>
      <c r="O20" t="s">
        <v>112</v>
      </c>
      <c r="P20" t="s">
        <v>320</v>
      </c>
      <c r="Q20" t="s">
        <v>228</v>
      </c>
      <c r="R20" t="s">
        <v>311</v>
      </c>
      <c r="S20" t="s">
        <v>312</v>
      </c>
      <c r="T20">
        <v>0</v>
      </c>
      <c r="U20" t="s">
        <v>231</v>
      </c>
      <c r="V20">
        <v>1</v>
      </c>
      <c r="W20" s="18" t="s">
        <v>232</v>
      </c>
      <c r="X20" s="18" t="s">
        <v>232</v>
      </c>
      <c r="Y20" s="18" t="s">
        <v>73</v>
      </c>
      <c r="Z20">
        <v>0</v>
      </c>
      <c r="AA20">
        <v>0</v>
      </c>
      <c r="AB20">
        <v>1</v>
      </c>
      <c r="AC20">
        <v>0</v>
      </c>
      <c r="AD20">
        <v>0</v>
      </c>
      <c r="AE20">
        <v>0</v>
      </c>
      <c r="AF20">
        <v>0</v>
      </c>
      <c r="AG20">
        <v>0</v>
      </c>
      <c r="AH20" t="s">
        <v>321</v>
      </c>
      <c r="AI20">
        <v>0</v>
      </c>
      <c r="AJ20">
        <v>0</v>
      </c>
      <c r="AK20">
        <v>0</v>
      </c>
      <c r="AL20">
        <v>1</v>
      </c>
      <c r="AM20">
        <v>0</v>
      </c>
      <c r="AN20">
        <v>0</v>
      </c>
      <c r="AO20" s="32">
        <v>0</v>
      </c>
      <c r="AP20">
        <v>0</v>
      </c>
      <c r="AQ20">
        <v>0</v>
      </c>
      <c r="AR20" s="32" t="s">
        <v>322</v>
      </c>
      <c r="AS20" t="s">
        <v>234</v>
      </c>
      <c r="AT20" t="s">
        <v>323</v>
      </c>
      <c r="AU20" t="s">
        <v>236</v>
      </c>
      <c r="AV20" s="134">
        <v>9.98E-2</v>
      </c>
      <c r="AW20" s="7" t="s">
        <v>80</v>
      </c>
      <c r="AX20" s="134">
        <v>0.14899999999999999</v>
      </c>
      <c r="AY20">
        <v>0.1</v>
      </c>
      <c r="AZ20">
        <v>2</v>
      </c>
      <c r="BA20">
        <f t="shared" si="11"/>
        <v>0.66979865771812086</v>
      </c>
      <c r="BB20"/>
      <c r="BC20" s="101">
        <f t="shared" si="12"/>
        <v>9.98E-2</v>
      </c>
      <c r="BD20" t="s">
        <v>73</v>
      </c>
      <c r="BE20" t="s">
        <v>73</v>
      </c>
      <c r="BF20" t="s">
        <v>73</v>
      </c>
      <c r="BG20" t="s">
        <v>73</v>
      </c>
      <c r="BH20" t="s">
        <v>73</v>
      </c>
      <c r="BI20" t="s">
        <v>73</v>
      </c>
      <c r="BJ20">
        <v>827</v>
      </c>
      <c r="BK20">
        <v>827</v>
      </c>
      <c r="BL20" t="s">
        <v>73</v>
      </c>
      <c r="BM20" t="s">
        <v>73</v>
      </c>
      <c r="BN20" t="s">
        <v>73</v>
      </c>
      <c r="BO20" t="s">
        <v>73</v>
      </c>
      <c r="BP20" t="s">
        <v>73</v>
      </c>
      <c r="BQ20">
        <v>1</v>
      </c>
      <c r="BR20" t="s">
        <v>73</v>
      </c>
      <c r="BS20">
        <v>0</v>
      </c>
      <c r="BT20" t="s">
        <v>73</v>
      </c>
      <c r="BU20" t="s">
        <v>73</v>
      </c>
      <c r="BV20">
        <v>0</v>
      </c>
      <c r="BW20">
        <v>0</v>
      </c>
      <c r="BX20">
        <v>1</v>
      </c>
      <c r="BY20" s="30">
        <f t="shared" si="13"/>
        <v>2.3284866493189758E-2</v>
      </c>
      <c r="BZ20" s="30">
        <f t="shared" si="0"/>
        <v>2.3289076097877604E-2</v>
      </c>
      <c r="CA20" s="30">
        <f t="shared" si="1"/>
        <v>1.2106533968798787E-3</v>
      </c>
      <c r="CB20" s="30">
        <f t="shared" si="2"/>
        <v>1.2135922330097086E-3</v>
      </c>
      <c r="CC20" s="92" t="s">
        <v>73</v>
      </c>
      <c r="CD20">
        <f t="shared" si="14"/>
        <v>826</v>
      </c>
      <c r="CE20" s="92" t="s">
        <v>73</v>
      </c>
      <c r="CF20" s="30">
        <f t="shared" si="3"/>
        <v>2.3284866493189758E-2</v>
      </c>
      <c r="CG20" s="30">
        <f t="shared" si="4"/>
        <v>2.3289076097877604E-2</v>
      </c>
      <c r="CH20" s="30">
        <f t="shared" si="5"/>
        <v>1.2106533968798787E-3</v>
      </c>
      <c r="CI20" s="30">
        <f t="shared" si="6"/>
        <v>1.2135922330097086E-3</v>
      </c>
      <c r="CJ20" s="92"/>
    </row>
    <row r="21" spans="1:88">
      <c r="A21" s="11" t="s">
        <v>68</v>
      </c>
      <c r="B21" s="11"/>
      <c r="C21" s="11">
        <v>7</v>
      </c>
      <c r="D21" s="11">
        <v>1111</v>
      </c>
      <c r="E21">
        <v>120</v>
      </c>
      <c r="F21" t="s">
        <v>317</v>
      </c>
      <c r="G21" s="11">
        <v>2021</v>
      </c>
      <c r="H21" t="s">
        <v>318</v>
      </c>
      <c r="I21" s="22" t="s">
        <v>319</v>
      </c>
      <c r="J21">
        <v>2</v>
      </c>
      <c r="K21">
        <v>2018</v>
      </c>
      <c r="L21" s="10" t="s">
        <v>73</v>
      </c>
      <c r="M21">
        <v>296</v>
      </c>
      <c r="N21" s="18" t="s">
        <v>155</v>
      </c>
      <c r="O21" t="s">
        <v>112</v>
      </c>
      <c r="P21" t="s">
        <v>320</v>
      </c>
      <c r="Q21" t="s">
        <v>228</v>
      </c>
      <c r="R21" t="s">
        <v>311</v>
      </c>
      <c r="S21" t="s">
        <v>312</v>
      </c>
      <c r="T21">
        <v>0</v>
      </c>
      <c r="U21" t="s">
        <v>231</v>
      </c>
      <c r="V21">
        <v>1</v>
      </c>
      <c r="W21" s="18" t="s">
        <v>232</v>
      </c>
      <c r="X21" s="18" t="s">
        <v>232</v>
      </c>
      <c r="Y21" s="18" t="s">
        <v>73</v>
      </c>
      <c r="Z21">
        <v>0</v>
      </c>
      <c r="AA21">
        <v>1</v>
      </c>
      <c r="AB21">
        <v>1</v>
      </c>
      <c r="AC21">
        <v>0</v>
      </c>
      <c r="AD21">
        <v>0</v>
      </c>
      <c r="AE21">
        <v>0</v>
      </c>
      <c r="AF21">
        <v>0</v>
      </c>
      <c r="AG21">
        <v>0</v>
      </c>
      <c r="AH21" t="s">
        <v>321</v>
      </c>
      <c r="AI21">
        <v>0</v>
      </c>
      <c r="AJ21">
        <v>0</v>
      </c>
      <c r="AK21">
        <v>1</v>
      </c>
      <c r="AL21">
        <v>0</v>
      </c>
      <c r="AM21">
        <v>0</v>
      </c>
      <c r="AN21">
        <v>0</v>
      </c>
      <c r="AO21" s="32">
        <v>0</v>
      </c>
      <c r="AP21">
        <v>0</v>
      </c>
      <c r="AQ21">
        <v>0</v>
      </c>
      <c r="AR21" s="32" t="s">
        <v>322</v>
      </c>
      <c r="AS21" t="s">
        <v>234</v>
      </c>
      <c r="AT21" t="s">
        <v>323</v>
      </c>
      <c r="AU21" t="s">
        <v>236</v>
      </c>
      <c r="AV21" s="134">
        <v>0.21199999999999999</v>
      </c>
      <c r="AW21" s="7" t="s">
        <v>80</v>
      </c>
      <c r="AX21" s="134">
        <v>0.42499999999999999</v>
      </c>
      <c r="AY21">
        <v>0.1</v>
      </c>
      <c r="AZ21">
        <v>2</v>
      </c>
      <c r="BA21">
        <f t="shared" si="11"/>
        <v>0.49882352941176472</v>
      </c>
      <c r="BC21" s="101">
        <f t="shared" si="12"/>
        <v>0.21199999999999999</v>
      </c>
      <c r="BD21" t="s">
        <v>73</v>
      </c>
      <c r="BE21" t="s">
        <v>73</v>
      </c>
      <c r="BF21" t="s">
        <v>73</v>
      </c>
      <c r="BG21" t="s">
        <v>73</v>
      </c>
      <c r="BH21" t="s">
        <v>73</v>
      </c>
      <c r="BI21" t="s">
        <v>73</v>
      </c>
      <c r="BJ21">
        <v>421</v>
      </c>
      <c r="BK21">
        <v>421</v>
      </c>
      <c r="BL21" t="s">
        <v>73</v>
      </c>
      <c r="BM21" t="s">
        <v>73</v>
      </c>
      <c r="BN21" t="s">
        <v>73</v>
      </c>
      <c r="BO21" t="s">
        <v>73</v>
      </c>
      <c r="BP21" t="s">
        <v>73</v>
      </c>
      <c r="BQ21">
        <v>1</v>
      </c>
      <c r="BR21" t="s">
        <v>73</v>
      </c>
      <c r="BS21">
        <v>1</v>
      </c>
      <c r="BT21" s="41" t="s">
        <v>73</v>
      </c>
      <c r="BU21" t="s">
        <v>73</v>
      </c>
      <c r="BV21">
        <v>0</v>
      </c>
      <c r="BW21">
        <v>0</v>
      </c>
      <c r="BX21">
        <v>1</v>
      </c>
      <c r="BY21" s="30">
        <f t="shared" si="13"/>
        <v>2.4303990103568901E-2</v>
      </c>
      <c r="BZ21" s="30">
        <f t="shared" si="0"/>
        <v>2.4308777125756856E-2</v>
      </c>
      <c r="CA21" s="30">
        <f t="shared" si="1"/>
        <v>2.3809515495655199E-3</v>
      </c>
      <c r="CB21" s="30">
        <f t="shared" si="2"/>
        <v>2.3923444976076554E-3</v>
      </c>
      <c r="CC21" s="92" t="s">
        <v>73</v>
      </c>
      <c r="CD21">
        <f t="shared" si="14"/>
        <v>420</v>
      </c>
      <c r="CE21" s="92" t="s">
        <v>73</v>
      </c>
      <c r="CF21" s="30">
        <f t="shared" si="3"/>
        <v>2.4303990103568901E-2</v>
      </c>
      <c r="CG21" s="30">
        <f t="shared" si="4"/>
        <v>2.4308777125756856E-2</v>
      </c>
      <c r="CH21" s="30">
        <f t="shared" si="5"/>
        <v>2.3809515495655199E-3</v>
      </c>
      <c r="CI21" s="30">
        <f t="shared" si="6"/>
        <v>2.3923444976076554E-3</v>
      </c>
      <c r="CJ21" s="92"/>
    </row>
    <row r="22" spans="1:88">
      <c r="A22" s="11" t="s">
        <v>68</v>
      </c>
      <c r="B22" s="11"/>
      <c r="C22" s="11">
        <v>7</v>
      </c>
      <c r="D22" s="11">
        <v>1110</v>
      </c>
      <c r="E22">
        <v>120</v>
      </c>
      <c r="F22" t="s">
        <v>317</v>
      </c>
      <c r="G22" s="11">
        <v>2021</v>
      </c>
      <c r="H22" t="s">
        <v>318</v>
      </c>
      <c r="I22" s="22" t="s">
        <v>319</v>
      </c>
      <c r="J22">
        <v>2</v>
      </c>
      <c r="K22">
        <v>2018</v>
      </c>
      <c r="L22" s="10" t="s">
        <v>73</v>
      </c>
      <c r="M22">
        <v>296</v>
      </c>
      <c r="N22" s="18" t="s">
        <v>155</v>
      </c>
      <c r="O22" t="s">
        <v>112</v>
      </c>
      <c r="P22" t="s">
        <v>320</v>
      </c>
      <c r="Q22" t="s">
        <v>228</v>
      </c>
      <c r="R22" t="s">
        <v>311</v>
      </c>
      <c r="S22" t="s">
        <v>312</v>
      </c>
      <c r="T22">
        <v>0</v>
      </c>
      <c r="U22" t="s">
        <v>231</v>
      </c>
      <c r="V22">
        <v>1</v>
      </c>
      <c r="W22" s="18" t="s">
        <v>232</v>
      </c>
      <c r="X22" s="18" t="s">
        <v>232</v>
      </c>
      <c r="Y22" s="18" t="s">
        <v>73</v>
      </c>
      <c r="Z22">
        <v>0</v>
      </c>
      <c r="AA22">
        <v>1</v>
      </c>
      <c r="AB22">
        <v>0</v>
      </c>
      <c r="AC22">
        <v>0</v>
      </c>
      <c r="AD22">
        <v>0</v>
      </c>
      <c r="AE22">
        <v>0</v>
      </c>
      <c r="AF22">
        <v>0</v>
      </c>
      <c r="AG22">
        <v>0</v>
      </c>
      <c r="AH22" t="s">
        <v>321</v>
      </c>
      <c r="AI22">
        <v>0</v>
      </c>
      <c r="AJ22">
        <v>0</v>
      </c>
      <c r="AK22">
        <v>1</v>
      </c>
      <c r="AL22">
        <v>0</v>
      </c>
      <c r="AM22">
        <v>0</v>
      </c>
      <c r="AN22">
        <v>0</v>
      </c>
      <c r="AO22" s="32">
        <v>0</v>
      </c>
      <c r="AP22">
        <v>0</v>
      </c>
      <c r="AQ22">
        <v>0</v>
      </c>
      <c r="AR22" s="32" t="s">
        <v>322</v>
      </c>
      <c r="AS22" t="s">
        <v>234</v>
      </c>
      <c r="AT22" t="s">
        <v>323</v>
      </c>
      <c r="AU22" t="s">
        <v>236</v>
      </c>
      <c r="AV22" s="134">
        <v>0.33300000000000002</v>
      </c>
      <c r="AW22" s="7" t="s">
        <v>86</v>
      </c>
      <c r="AX22" s="134">
        <v>0.85399999999999998</v>
      </c>
      <c r="AY22">
        <v>0.1</v>
      </c>
      <c r="AZ22">
        <v>2</v>
      </c>
      <c r="BA22">
        <f t="shared" si="11"/>
        <v>0.38992974238875883</v>
      </c>
      <c r="BC22" s="101">
        <f t="shared" si="12"/>
        <v>0.33300000000000002</v>
      </c>
      <c r="BD22" t="s">
        <v>73</v>
      </c>
      <c r="BE22" t="s">
        <v>73</v>
      </c>
      <c r="BF22" t="s">
        <v>73</v>
      </c>
      <c r="BG22" t="s">
        <v>73</v>
      </c>
      <c r="BH22" t="s">
        <v>73</v>
      </c>
      <c r="BI22" t="s">
        <v>73</v>
      </c>
      <c r="BJ22">
        <v>421</v>
      </c>
      <c r="BK22">
        <v>421</v>
      </c>
      <c r="BL22" t="s">
        <v>73</v>
      </c>
      <c r="BM22" t="s">
        <v>73</v>
      </c>
      <c r="BN22" t="s">
        <v>73</v>
      </c>
      <c r="BO22" t="s">
        <v>73</v>
      </c>
      <c r="BP22" t="s">
        <v>73</v>
      </c>
      <c r="BQ22">
        <v>0</v>
      </c>
      <c r="BR22" t="s">
        <v>73</v>
      </c>
      <c r="BS22">
        <v>1</v>
      </c>
      <c r="BT22" s="41" t="s">
        <v>73</v>
      </c>
      <c r="BU22" t="s">
        <v>73</v>
      </c>
      <c r="BV22">
        <v>0</v>
      </c>
      <c r="BW22">
        <v>0</v>
      </c>
      <c r="BX22">
        <v>1</v>
      </c>
      <c r="BY22" s="30">
        <f t="shared" si="13"/>
        <v>1.9000582083692302E-2</v>
      </c>
      <c r="BZ22" s="30">
        <f t="shared" si="0"/>
        <v>1.900286912258764E-2</v>
      </c>
      <c r="CA22" s="30">
        <f t="shared" si="1"/>
        <v>2.380952070476821E-3</v>
      </c>
      <c r="CB22" s="30">
        <f t="shared" si="2"/>
        <v>2.3923444976076554E-3</v>
      </c>
      <c r="CC22" s="92" t="s">
        <v>73</v>
      </c>
      <c r="CD22">
        <f t="shared" si="14"/>
        <v>420</v>
      </c>
      <c r="CE22" s="92" t="s">
        <v>73</v>
      </c>
      <c r="CF22" s="30">
        <f t="shared" si="3"/>
        <v>1.9000582083692302E-2</v>
      </c>
      <c r="CG22" s="30">
        <f t="shared" si="4"/>
        <v>1.900286912258764E-2</v>
      </c>
      <c r="CH22" s="30">
        <f t="shared" si="5"/>
        <v>2.380952070476821E-3</v>
      </c>
      <c r="CI22" s="30">
        <f t="shared" si="6"/>
        <v>2.3923444976076554E-3</v>
      </c>
      <c r="CJ22" s="92"/>
    </row>
    <row r="23" spans="1:88">
      <c r="A23" s="11" t="s">
        <v>68</v>
      </c>
      <c r="B23" s="11"/>
      <c r="C23" s="11">
        <v>7</v>
      </c>
      <c r="D23" s="11">
        <v>1108</v>
      </c>
      <c r="E23">
        <v>120</v>
      </c>
      <c r="F23" t="s">
        <v>317</v>
      </c>
      <c r="G23" s="11">
        <v>2021</v>
      </c>
      <c r="H23" t="s">
        <v>318</v>
      </c>
      <c r="I23" s="22" t="s">
        <v>319</v>
      </c>
      <c r="J23">
        <v>2</v>
      </c>
      <c r="K23">
        <v>2018</v>
      </c>
      <c r="L23" s="10" t="s">
        <v>73</v>
      </c>
      <c r="M23">
        <v>296</v>
      </c>
      <c r="N23" s="18" t="s">
        <v>155</v>
      </c>
      <c r="O23" t="s">
        <v>112</v>
      </c>
      <c r="P23" t="s">
        <v>320</v>
      </c>
      <c r="Q23" t="s">
        <v>228</v>
      </c>
      <c r="R23" t="s">
        <v>311</v>
      </c>
      <c r="S23" t="s">
        <v>312</v>
      </c>
      <c r="T23">
        <v>0</v>
      </c>
      <c r="U23" t="s">
        <v>231</v>
      </c>
      <c r="V23">
        <v>1</v>
      </c>
      <c r="W23" s="18" t="s">
        <v>232</v>
      </c>
      <c r="X23" s="18" t="s">
        <v>232</v>
      </c>
      <c r="Y23" s="18" t="s">
        <v>73</v>
      </c>
      <c r="Z23">
        <v>0</v>
      </c>
      <c r="AA23">
        <v>1</v>
      </c>
      <c r="AB23">
        <v>1</v>
      </c>
      <c r="AC23">
        <v>0</v>
      </c>
      <c r="AD23">
        <v>0</v>
      </c>
      <c r="AE23">
        <v>0</v>
      </c>
      <c r="AF23">
        <v>0</v>
      </c>
      <c r="AG23">
        <v>0</v>
      </c>
      <c r="AH23" t="s">
        <v>321</v>
      </c>
      <c r="AI23">
        <v>0</v>
      </c>
      <c r="AJ23">
        <v>0</v>
      </c>
      <c r="AK23">
        <v>0</v>
      </c>
      <c r="AL23">
        <v>1</v>
      </c>
      <c r="AM23">
        <v>0</v>
      </c>
      <c r="AN23">
        <v>0</v>
      </c>
      <c r="AO23" s="32">
        <v>0</v>
      </c>
      <c r="AP23">
        <v>0</v>
      </c>
      <c r="AQ23">
        <v>0</v>
      </c>
      <c r="AR23" s="32" t="s">
        <v>322</v>
      </c>
      <c r="AS23" t="s">
        <v>234</v>
      </c>
      <c r="AT23" t="s">
        <v>323</v>
      </c>
      <c r="AU23" t="s">
        <v>236</v>
      </c>
      <c r="AV23" s="134">
        <v>0.371</v>
      </c>
      <c r="AW23" s="7" t="s">
        <v>80</v>
      </c>
      <c r="AX23" s="134">
        <v>0.20799999999999999</v>
      </c>
      <c r="AY23">
        <v>0.1</v>
      </c>
      <c r="AZ23">
        <v>1</v>
      </c>
      <c r="BA23">
        <f t="shared" si="11"/>
        <v>1.7836538461538463</v>
      </c>
      <c r="BC23" s="101">
        <f t="shared" si="12"/>
        <v>0.371</v>
      </c>
      <c r="BD23" t="s">
        <v>73</v>
      </c>
      <c r="BE23" t="s">
        <v>73</v>
      </c>
      <c r="BF23" t="s">
        <v>73</v>
      </c>
      <c r="BG23" t="s">
        <v>73</v>
      </c>
      <c r="BH23" t="s">
        <v>73</v>
      </c>
      <c r="BI23" t="s">
        <v>73</v>
      </c>
      <c r="BJ23">
        <v>827</v>
      </c>
      <c r="BK23">
        <v>827</v>
      </c>
      <c r="BL23" t="s">
        <v>73</v>
      </c>
      <c r="BM23" t="s">
        <v>73</v>
      </c>
      <c r="BN23" t="s">
        <v>73</v>
      </c>
      <c r="BO23" t="s">
        <v>73</v>
      </c>
      <c r="BP23" t="s">
        <v>73</v>
      </c>
      <c r="BQ23">
        <v>1</v>
      </c>
      <c r="BR23" t="s">
        <v>73</v>
      </c>
      <c r="BS23">
        <v>1</v>
      </c>
      <c r="BT23" s="41" t="s">
        <v>73</v>
      </c>
      <c r="BU23" t="s">
        <v>73</v>
      </c>
      <c r="BV23">
        <v>0</v>
      </c>
      <c r="BW23">
        <v>0</v>
      </c>
      <c r="BX23">
        <v>1</v>
      </c>
      <c r="BY23" s="30">
        <f t="shared" si="13"/>
        <v>6.1904763633413101E-2</v>
      </c>
      <c r="BZ23" s="30">
        <f t="shared" si="0"/>
        <v>6.1984023096366379E-2</v>
      </c>
      <c r="CA23" s="30">
        <f t="shared" si="1"/>
        <v>1.2106358824323096E-3</v>
      </c>
      <c r="CB23" s="30">
        <f t="shared" si="2"/>
        <v>1.2135922330097086E-3</v>
      </c>
      <c r="CC23" s="92" t="s">
        <v>73</v>
      </c>
      <c r="CD23">
        <f t="shared" si="14"/>
        <v>826</v>
      </c>
      <c r="CE23" s="92" t="s">
        <v>73</v>
      </c>
      <c r="CF23" s="30">
        <f t="shared" si="3"/>
        <v>6.1904763633413101E-2</v>
      </c>
      <c r="CG23" s="30">
        <f t="shared" si="4"/>
        <v>6.1984023096366379E-2</v>
      </c>
      <c r="CH23" s="30">
        <f t="shared" si="5"/>
        <v>1.2106358824323096E-3</v>
      </c>
      <c r="CI23" s="30">
        <f t="shared" si="6"/>
        <v>1.2135922330097086E-3</v>
      </c>
    </row>
    <row r="24" spans="1:88" s="112" customFormat="1">
      <c r="A24" s="11" t="s">
        <v>68</v>
      </c>
      <c r="B24" s="11"/>
      <c r="C24" s="11">
        <v>7</v>
      </c>
      <c r="D24" s="11">
        <v>1107</v>
      </c>
      <c r="E24">
        <v>120</v>
      </c>
      <c r="F24" t="s">
        <v>317</v>
      </c>
      <c r="G24" s="11">
        <v>2021</v>
      </c>
      <c r="H24" t="s">
        <v>318</v>
      </c>
      <c r="I24" s="22" t="s">
        <v>319</v>
      </c>
      <c r="J24">
        <v>2</v>
      </c>
      <c r="K24">
        <v>2018</v>
      </c>
      <c r="L24" s="10" t="s">
        <v>73</v>
      </c>
      <c r="M24">
        <v>296</v>
      </c>
      <c r="N24" s="18" t="s">
        <v>155</v>
      </c>
      <c r="O24" t="s">
        <v>112</v>
      </c>
      <c r="P24" t="s">
        <v>320</v>
      </c>
      <c r="Q24" t="s">
        <v>228</v>
      </c>
      <c r="R24" t="s">
        <v>311</v>
      </c>
      <c r="S24" t="s">
        <v>312</v>
      </c>
      <c r="T24">
        <v>0</v>
      </c>
      <c r="U24" t="s">
        <v>231</v>
      </c>
      <c r="V24">
        <v>1</v>
      </c>
      <c r="W24" s="18" t="s">
        <v>232</v>
      </c>
      <c r="X24" s="18" t="s">
        <v>232</v>
      </c>
      <c r="Y24" s="18" t="s">
        <v>73</v>
      </c>
      <c r="Z24">
        <v>0</v>
      </c>
      <c r="AA24">
        <v>1</v>
      </c>
      <c r="AB24">
        <v>0</v>
      </c>
      <c r="AC24">
        <v>0</v>
      </c>
      <c r="AD24">
        <v>0</v>
      </c>
      <c r="AE24">
        <v>0</v>
      </c>
      <c r="AF24">
        <v>0</v>
      </c>
      <c r="AG24">
        <v>0</v>
      </c>
      <c r="AH24" t="s">
        <v>321</v>
      </c>
      <c r="AI24">
        <v>0</v>
      </c>
      <c r="AJ24">
        <v>0</v>
      </c>
      <c r="AK24">
        <v>0</v>
      </c>
      <c r="AL24">
        <v>1</v>
      </c>
      <c r="AM24">
        <v>0</v>
      </c>
      <c r="AN24">
        <v>0</v>
      </c>
      <c r="AO24" s="32">
        <v>0</v>
      </c>
      <c r="AP24">
        <v>0</v>
      </c>
      <c r="AQ24">
        <v>0</v>
      </c>
      <c r="AR24" s="32" t="s">
        <v>322</v>
      </c>
      <c r="AS24" t="s">
        <v>234</v>
      </c>
      <c r="AT24" t="s">
        <v>323</v>
      </c>
      <c r="AU24" t="s">
        <v>236</v>
      </c>
      <c r="AV24" s="134">
        <v>0.48599999999999999</v>
      </c>
      <c r="AW24" s="7" t="s">
        <v>80</v>
      </c>
      <c r="AX24" s="134">
        <v>0.20399999999999999</v>
      </c>
      <c r="AY24">
        <v>0.05</v>
      </c>
      <c r="AZ24">
        <v>1</v>
      </c>
      <c r="BA24">
        <f t="shared" si="11"/>
        <v>2.3823529411764706</v>
      </c>
      <c r="BB24"/>
      <c r="BC24" s="101">
        <f t="shared" si="12"/>
        <v>0.48599999999999999</v>
      </c>
      <c r="BD24" t="s">
        <v>73</v>
      </c>
      <c r="BE24" t="s">
        <v>73</v>
      </c>
      <c r="BF24" t="s">
        <v>73</v>
      </c>
      <c r="BG24" t="s">
        <v>73</v>
      </c>
      <c r="BH24" t="s">
        <v>73</v>
      </c>
      <c r="BI24" t="s">
        <v>73</v>
      </c>
      <c r="BJ24">
        <v>827</v>
      </c>
      <c r="BK24">
        <v>827</v>
      </c>
      <c r="BL24" t="s">
        <v>73</v>
      </c>
      <c r="BM24" t="s">
        <v>73</v>
      </c>
      <c r="BN24" t="s">
        <v>73</v>
      </c>
      <c r="BO24" t="s">
        <v>73</v>
      </c>
      <c r="BP24" t="s">
        <v>73</v>
      </c>
      <c r="BQ24">
        <v>0</v>
      </c>
      <c r="BR24" t="s">
        <v>73</v>
      </c>
      <c r="BS24">
        <v>1</v>
      </c>
      <c r="BT24" s="41" t="s">
        <v>73</v>
      </c>
      <c r="BU24" t="s">
        <v>73</v>
      </c>
      <c r="BV24">
        <v>0</v>
      </c>
      <c r="BW24">
        <v>0</v>
      </c>
      <c r="BX24">
        <v>1</v>
      </c>
      <c r="BY24" s="30">
        <f t="shared" si="13"/>
        <v>8.2559714236340495E-2</v>
      </c>
      <c r="BZ24" s="30">
        <f t="shared" si="0"/>
        <v>8.2748063723839957E-2</v>
      </c>
      <c r="CA24" s="30">
        <f t="shared" si="1"/>
        <v>1.2105969918599373E-3</v>
      </c>
      <c r="CB24" s="30">
        <f t="shared" si="2"/>
        <v>1.2135922330097086E-3</v>
      </c>
      <c r="CC24" s="92" t="s">
        <v>73</v>
      </c>
      <c r="CD24">
        <f t="shared" si="14"/>
        <v>826</v>
      </c>
      <c r="CE24" s="92" t="s">
        <v>73</v>
      </c>
      <c r="CF24" s="30">
        <f t="shared" si="3"/>
        <v>8.2559714236340495E-2</v>
      </c>
      <c r="CG24" s="30">
        <f t="shared" si="4"/>
        <v>8.2748063723839957E-2</v>
      </c>
      <c r="CH24" s="30">
        <f t="shared" si="5"/>
        <v>1.2105969918599373E-3</v>
      </c>
      <c r="CI24" s="30">
        <f t="shared" si="6"/>
        <v>1.2135922330097086E-3</v>
      </c>
      <c r="CJ24"/>
    </row>
    <row r="25" spans="1:88" s="112" customFormat="1">
      <c r="A25" s="11" t="s">
        <v>68</v>
      </c>
      <c r="B25" s="11"/>
      <c r="C25" s="11">
        <v>7</v>
      </c>
      <c r="D25" s="11">
        <v>1105</v>
      </c>
      <c r="E25">
        <v>120</v>
      </c>
      <c r="F25" t="s">
        <v>317</v>
      </c>
      <c r="G25" s="11">
        <v>2021</v>
      </c>
      <c r="H25" t="s">
        <v>318</v>
      </c>
      <c r="I25" s="22" t="s">
        <v>319</v>
      </c>
      <c r="J25">
        <v>2</v>
      </c>
      <c r="K25">
        <v>2018</v>
      </c>
      <c r="L25" s="10" t="s">
        <v>73</v>
      </c>
      <c r="M25">
        <v>296</v>
      </c>
      <c r="N25" s="18" t="s">
        <v>155</v>
      </c>
      <c r="O25" t="s">
        <v>112</v>
      </c>
      <c r="P25" t="s">
        <v>320</v>
      </c>
      <c r="Q25" t="s">
        <v>228</v>
      </c>
      <c r="R25" t="s">
        <v>311</v>
      </c>
      <c r="S25" t="s">
        <v>312</v>
      </c>
      <c r="T25">
        <v>0</v>
      </c>
      <c r="U25" t="s">
        <v>231</v>
      </c>
      <c r="V25">
        <v>1</v>
      </c>
      <c r="W25" s="18" t="s">
        <v>232</v>
      </c>
      <c r="X25" s="18" t="s">
        <v>232</v>
      </c>
      <c r="Y25" s="18" t="s">
        <v>73</v>
      </c>
      <c r="Z25">
        <v>0</v>
      </c>
      <c r="AA25">
        <v>1</v>
      </c>
      <c r="AB25">
        <v>1</v>
      </c>
      <c r="AC25">
        <v>0</v>
      </c>
      <c r="AD25">
        <v>0</v>
      </c>
      <c r="AE25">
        <v>0</v>
      </c>
      <c r="AF25">
        <v>0</v>
      </c>
      <c r="AG25">
        <v>0</v>
      </c>
      <c r="AH25" t="s">
        <v>321</v>
      </c>
      <c r="AI25">
        <v>1</v>
      </c>
      <c r="AJ25">
        <v>0</v>
      </c>
      <c r="AK25">
        <v>0</v>
      </c>
      <c r="AL25">
        <v>0</v>
      </c>
      <c r="AM25">
        <v>0</v>
      </c>
      <c r="AN25">
        <v>0</v>
      </c>
      <c r="AO25" s="32">
        <v>0</v>
      </c>
      <c r="AP25">
        <v>0</v>
      </c>
      <c r="AQ25">
        <v>0</v>
      </c>
      <c r="AR25" t="s">
        <v>322</v>
      </c>
      <c r="AS25" t="s">
        <v>234</v>
      </c>
      <c r="AT25" t="s">
        <v>323</v>
      </c>
      <c r="AU25" t="s">
        <v>236</v>
      </c>
      <c r="AV25" s="134">
        <v>0.48899999999999999</v>
      </c>
      <c r="AW25" s="7" t="s">
        <v>86</v>
      </c>
      <c r="AX25" s="134">
        <v>0.30299999999999999</v>
      </c>
      <c r="AY25">
        <v>0.1</v>
      </c>
      <c r="AZ25">
        <v>2</v>
      </c>
      <c r="BA25">
        <f t="shared" si="11"/>
        <v>1.613861386138614</v>
      </c>
      <c r="BB25"/>
      <c r="BC25" s="101">
        <f t="shared" si="12"/>
        <v>0.48899999999999999</v>
      </c>
      <c r="BD25" t="s">
        <v>73</v>
      </c>
      <c r="BE25" t="s">
        <v>73</v>
      </c>
      <c r="BF25" t="s">
        <v>73</v>
      </c>
      <c r="BG25" t="s">
        <v>73</v>
      </c>
      <c r="BH25" t="s">
        <v>73</v>
      </c>
      <c r="BI25" t="s">
        <v>73</v>
      </c>
      <c r="BJ25">
        <v>1350</v>
      </c>
      <c r="BK25">
        <v>1350</v>
      </c>
      <c r="BL25" t="s">
        <v>73</v>
      </c>
      <c r="BM25" t="s">
        <v>73</v>
      </c>
      <c r="BN25" t="s">
        <v>73</v>
      </c>
      <c r="BO25" t="s">
        <v>73</v>
      </c>
      <c r="BP25" t="s">
        <v>73</v>
      </c>
      <c r="BQ25">
        <v>1</v>
      </c>
      <c r="BR25" t="s">
        <v>73</v>
      </c>
      <c r="BS25">
        <v>1</v>
      </c>
      <c r="BT25" s="41" t="s">
        <v>73</v>
      </c>
      <c r="BU25" t="s">
        <v>73</v>
      </c>
      <c r="BV25">
        <v>0</v>
      </c>
      <c r="BW25">
        <v>0</v>
      </c>
      <c r="BX25">
        <v>1</v>
      </c>
      <c r="BY25" s="30">
        <f t="shared" si="13"/>
        <v>4.3881433738989228E-2</v>
      </c>
      <c r="BZ25" s="30">
        <f t="shared" si="0"/>
        <v>4.3909632065429631E-2</v>
      </c>
      <c r="CA25" s="30">
        <f t="shared" si="1"/>
        <v>7.4128708865891613E-4</v>
      </c>
      <c r="CB25" s="30">
        <f t="shared" si="2"/>
        <v>7.4239049740163323E-4</v>
      </c>
      <c r="CC25" s="92" t="s">
        <v>73</v>
      </c>
      <c r="CD25">
        <f t="shared" si="14"/>
        <v>1349</v>
      </c>
      <c r="CE25" s="92" t="s">
        <v>73</v>
      </c>
      <c r="CF25" s="30">
        <f t="shared" si="3"/>
        <v>4.3881433738989228E-2</v>
      </c>
      <c r="CG25" s="30">
        <f t="shared" si="4"/>
        <v>4.3909632065429631E-2</v>
      </c>
      <c r="CH25" s="30">
        <f t="shared" si="5"/>
        <v>7.4128708865891613E-4</v>
      </c>
      <c r="CI25" s="30">
        <f t="shared" si="6"/>
        <v>7.4239049740163323E-4</v>
      </c>
      <c r="CJ25" s="119"/>
    </row>
    <row r="26" spans="1:88" s="112" customFormat="1">
      <c r="A26" s="11" t="s">
        <v>68</v>
      </c>
      <c r="B26" s="11"/>
      <c r="C26" s="11">
        <v>7</v>
      </c>
      <c r="D26" s="11">
        <v>1109</v>
      </c>
      <c r="E26">
        <v>120</v>
      </c>
      <c r="F26" t="s">
        <v>317</v>
      </c>
      <c r="G26" s="11">
        <v>2021</v>
      </c>
      <c r="H26" t="s">
        <v>318</v>
      </c>
      <c r="I26" s="22" t="s">
        <v>319</v>
      </c>
      <c r="J26">
        <v>2</v>
      </c>
      <c r="K26">
        <v>2018</v>
      </c>
      <c r="L26" s="10" t="s">
        <v>73</v>
      </c>
      <c r="M26">
        <v>296</v>
      </c>
      <c r="N26" s="18" t="s">
        <v>155</v>
      </c>
      <c r="O26" t="s">
        <v>112</v>
      </c>
      <c r="P26" t="s">
        <v>320</v>
      </c>
      <c r="Q26" t="s">
        <v>228</v>
      </c>
      <c r="R26" t="s">
        <v>311</v>
      </c>
      <c r="S26" t="s">
        <v>312</v>
      </c>
      <c r="T26">
        <v>0</v>
      </c>
      <c r="U26" t="s">
        <v>231</v>
      </c>
      <c r="V26">
        <v>1</v>
      </c>
      <c r="W26" s="18" t="s">
        <v>232</v>
      </c>
      <c r="X26" s="18" t="s">
        <v>232</v>
      </c>
      <c r="Y26" s="18" t="s">
        <v>73</v>
      </c>
      <c r="Z26">
        <v>0</v>
      </c>
      <c r="AA26">
        <v>0</v>
      </c>
      <c r="AB26">
        <v>1</v>
      </c>
      <c r="AC26">
        <v>0</v>
      </c>
      <c r="AD26">
        <v>0</v>
      </c>
      <c r="AE26">
        <v>0</v>
      </c>
      <c r="AF26">
        <v>0</v>
      </c>
      <c r="AG26">
        <v>0</v>
      </c>
      <c r="AH26" t="s">
        <v>321</v>
      </c>
      <c r="AI26">
        <v>0</v>
      </c>
      <c r="AJ26">
        <v>0</v>
      </c>
      <c r="AK26">
        <v>1</v>
      </c>
      <c r="AL26">
        <v>0</v>
      </c>
      <c r="AM26">
        <v>0</v>
      </c>
      <c r="AN26">
        <v>0</v>
      </c>
      <c r="AO26" s="32">
        <v>0</v>
      </c>
      <c r="AP26">
        <v>0</v>
      </c>
      <c r="AQ26">
        <v>0</v>
      </c>
      <c r="AR26" s="32" t="s">
        <v>322</v>
      </c>
      <c r="AS26" t="s">
        <v>234</v>
      </c>
      <c r="AT26" t="s">
        <v>323</v>
      </c>
      <c r="AU26" t="s">
        <v>236</v>
      </c>
      <c r="AV26" s="134">
        <v>0.65100000000000002</v>
      </c>
      <c r="AW26" s="7" t="s">
        <v>86</v>
      </c>
      <c r="AX26" s="134">
        <v>0.57399999999999995</v>
      </c>
      <c r="AY26">
        <v>0.1</v>
      </c>
      <c r="AZ26">
        <v>2</v>
      </c>
      <c r="BA26">
        <f t="shared" si="11"/>
        <v>1.1341463414634148</v>
      </c>
      <c r="BB26"/>
      <c r="BC26" s="101">
        <f t="shared" si="12"/>
        <v>0.65100000000000002</v>
      </c>
      <c r="BD26" t="s">
        <v>73</v>
      </c>
      <c r="BE26" t="s">
        <v>73</v>
      </c>
      <c r="BF26" t="s">
        <v>73</v>
      </c>
      <c r="BG26" t="s">
        <v>73</v>
      </c>
      <c r="BH26" t="s">
        <v>73</v>
      </c>
      <c r="BI26" t="s">
        <v>73</v>
      </c>
      <c r="BJ26">
        <v>421</v>
      </c>
      <c r="BK26">
        <v>421</v>
      </c>
      <c r="BL26" t="s">
        <v>73</v>
      </c>
      <c r="BM26" t="s">
        <v>73</v>
      </c>
      <c r="BN26" t="s">
        <v>73</v>
      </c>
      <c r="BO26" t="s">
        <v>73</v>
      </c>
      <c r="BP26" t="s">
        <v>73</v>
      </c>
      <c r="BQ26">
        <v>1</v>
      </c>
      <c r="BR26" t="s">
        <v>73</v>
      </c>
      <c r="BS26">
        <v>0</v>
      </c>
      <c r="BT26" t="s">
        <v>73</v>
      </c>
      <c r="BU26" t="s">
        <v>73</v>
      </c>
      <c r="BV26">
        <v>0</v>
      </c>
      <c r="BW26">
        <v>0</v>
      </c>
      <c r="BX26">
        <v>1</v>
      </c>
      <c r="BY26" s="30">
        <f t="shared" si="13"/>
        <v>5.5190662378218035E-2</v>
      </c>
      <c r="BZ26" s="30">
        <f t="shared" si="0"/>
        <v>5.5246802103969622E-2</v>
      </c>
      <c r="CA26" s="30">
        <f t="shared" si="1"/>
        <v>2.3809302000460694E-3</v>
      </c>
      <c r="CB26" s="30">
        <f t="shared" si="2"/>
        <v>2.3923444976076554E-3</v>
      </c>
      <c r="CC26" s="92" t="s">
        <v>73</v>
      </c>
      <c r="CD26">
        <f t="shared" si="14"/>
        <v>420</v>
      </c>
      <c r="CE26" s="92" t="s">
        <v>73</v>
      </c>
      <c r="CF26" s="30">
        <f t="shared" si="3"/>
        <v>5.5190662378218035E-2</v>
      </c>
      <c r="CG26" s="30">
        <f t="shared" si="4"/>
        <v>5.5246802103969622E-2</v>
      </c>
      <c r="CH26" s="30">
        <f t="shared" si="5"/>
        <v>2.3809302000460694E-3</v>
      </c>
      <c r="CI26" s="30">
        <f t="shared" si="6"/>
        <v>2.3923444976076554E-3</v>
      </c>
      <c r="CJ26" s="92"/>
    </row>
    <row r="27" spans="1:88" s="112" customFormat="1">
      <c r="A27" s="108" t="s">
        <v>68</v>
      </c>
      <c r="B27" s="108"/>
      <c r="C27" s="108">
        <v>8</v>
      </c>
      <c r="D27" s="108">
        <v>1157</v>
      </c>
      <c r="E27" s="135">
        <v>136</v>
      </c>
      <c r="F27" t="s">
        <v>377</v>
      </c>
      <c r="G27" s="108">
        <v>2010</v>
      </c>
      <c r="H27" t="s">
        <v>378</v>
      </c>
      <c r="I27" t="s">
        <v>379</v>
      </c>
      <c r="J27" s="135">
        <v>2</v>
      </c>
      <c r="K27">
        <v>2006</v>
      </c>
      <c r="L27" s="108" t="s">
        <v>73</v>
      </c>
      <c r="M27" s="135">
        <v>313</v>
      </c>
      <c r="N27" s="18" t="s">
        <v>380</v>
      </c>
      <c r="O27" s="92" t="s">
        <v>227</v>
      </c>
      <c r="P27" t="s">
        <v>148</v>
      </c>
      <c r="Q27" t="s">
        <v>294</v>
      </c>
      <c r="R27" t="s">
        <v>307</v>
      </c>
      <c r="S27" t="s">
        <v>336</v>
      </c>
      <c r="T27">
        <v>0</v>
      </c>
      <c r="U27" t="s">
        <v>341</v>
      </c>
      <c r="V27">
        <v>1</v>
      </c>
      <c r="W27" s="108" t="s">
        <v>232</v>
      </c>
      <c r="X27" s="108" t="s">
        <v>232</v>
      </c>
      <c r="Y27" s="108" t="s">
        <v>73</v>
      </c>
      <c r="Z27" s="135">
        <v>0</v>
      </c>
      <c r="AA27" s="135">
        <v>1</v>
      </c>
      <c r="AB27" s="135">
        <v>0</v>
      </c>
      <c r="AC27" s="135">
        <v>0</v>
      </c>
      <c r="AD27" s="135">
        <v>0</v>
      </c>
      <c r="AE27" s="135">
        <v>0</v>
      </c>
      <c r="AF27" s="135">
        <v>0</v>
      </c>
      <c r="AG27" s="135">
        <v>0</v>
      </c>
      <c r="AH27" s="135" t="s">
        <v>381</v>
      </c>
      <c r="AI27" s="135">
        <v>0</v>
      </c>
      <c r="AJ27" s="135">
        <v>0</v>
      </c>
      <c r="AK27" s="135">
        <v>0</v>
      </c>
      <c r="AL27" s="135">
        <v>1</v>
      </c>
      <c r="AM27" s="135">
        <v>0</v>
      </c>
      <c r="AN27" s="135">
        <v>0</v>
      </c>
      <c r="AO27" s="135">
        <v>0</v>
      </c>
      <c r="AP27" s="135">
        <v>0</v>
      </c>
      <c r="AQ27" s="135">
        <v>0</v>
      </c>
      <c r="AR27" t="s">
        <v>382</v>
      </c>
      <c r="AS27" t="s">
        <v>234</v>
      </c>
      <c r="AT27" t="s">
        <v>383</v>
      </c>
      <c r="AU27" t="s">
        <v>265</v>
      </c>
      <c r="AV27" s="134">
        <v>0.19</v>
      </c>
      <c r="AW27" s="7" t="s">
        <v>86</v>
      </c>
      <c r="AX27">
        <f>AV27/BA27</f>
        <v>7.8512396694214878E-2</v>
      </c>
      <c r="AY27">
        <v>1.4999999999999999E-2</v>
      </c>
      <c r="AZ27">
        <v>3</v>
      </c>
      <c r="BA27">
        <v>2.42</v>
      </c>
      <c r="BB27"/>
      <c r="BC27" s="94">
        <f t="shared" si="12"/>
        <v>0.19</v>
      </c>
      <c r="BD27" t="s">
        <v>73</v>
      </c>
      <c r="BE27" t="s">
        <v>73</v>
      </c>
      <c r="BF27" t="s">
        <v>73</v>
      </c>
      <c r="BG27" t="s">
        <v>73</v>
      </c>
      <c r="BH27" t="s">
        <v>73</v>
      </c>
      <c r="BI27" t="s">
        <v>73</v>
      </c>
      <c r="BJ27" s="103">
        <v>2910</v>
      </c>
      <c r="BK27" s="135">
        <v>2910</v>
      </c>
      <c r="BL27" s="135" t="s">
        <v>73</v>
      </c>
      <c r="BM27" s="135" t="s">
        <v>73</v>
      </c>
      <c r="BN27" s="135" t="s">
        <v>73</v>
      </c>
      <c r="BO27" s="135" t="s">
        <v>73</v>
      </c>
      <c r="BP27" s="135" t="s">
        <v>73</v>
      </c>
      <c r="BQ27" s="135" t="s">
        <v>73</v>
      </c>
      <c r="BR27" s="135" t="s">
        <v>73</v>
      </c>
      <c r="BS27" s="135" t="s">
        <v>73</v>
      </c>
      <c r="BT27" s="135" t="s">
        <v>73</v>
      </c>
      <c r="BU27" s="135" t="s">
        <v>73</v>
      </c>
      <c r="BV27" s="135">
        <v>0</v>
      </c>
      <c r="BW27" s="135">
        <v>0</v>
      </c>
      <c r="BX27" s="135">
        <v>0</v>
      </c>
      <c r="BY27" s="30">
        <f t="shared" si="13"/>
        <v>4.4815918320490998E-2</v>
      </c>
      <c r="BZ27" s="30">
        <f t="shared" si="0"/>
        <v>4.4845958286761807E-2</v>
      </c>
      <c r="CA27" s="30">
        <f t="shared" si="1"/>
        <v>3.4375935209197533E-4</v>
      </c>
      <c r="CB27" s="30">
        <f t="shared" si="2"/>
        <v>3.4399724802201581E-4</v>
      </c>
      <c r="CC27" s="92" t="s">
        <v>73</v>
      </c>
      <c r="CD27">
        <f t="shared" ref="CD27:CD56" si="15">BJ27-2</f>
        <v>2908</v>
      </c>
      <c r="CE27" s="92" t="s">
        <v>73</v>
      </c>
      <c r="CF27" s="30">
        <f t="shared" si="3"/>
        <v>4.4815918320490998E-2</v>
      </c>
      <c r="CG27" s="30">
        <f t="shared" si="4"/>
        <v>4.4845958286761807E-2</v>
      </c>
      <c r="CH27" s="30">
        <f t="shared" si="5"/>
        <v>3.4375935209197533E-4</v>
      </c>
      <c r="CI27" s="30">
        <f t="shared" si="6"/>
        <v>3.4399724802201581E-4</v>
      </c>
      <c r="CJ27" s="92"/>
    </row>
    <row r="28" spans="1:88" s="112" customFormat="1">
      <c r="A28" s="108" t="s">
        <v>68</v>
      </c>
      <c r="B28" s="108"/>
      <c r="C28" s="108">
        <v>8</v>
      </c>
      <c r="D28" s="108">
        <v>1158</v>
      </c>
      <c r="E28" s="135">
        <v>136</v>
      </c>
      <c r="F28" t="s">
        <v>377</v>
      </c>
      <c r="G28" s="108">
        <v>2010</v>
      </c>
      <c r="H28" t="s">
        <v>378</v>
      </c>
      <c r="I28" t="s">
        <v>379</v>
      </c>
      <c r="J28" s="135">
        <v>2</v>
      </c>
      <c r="K28">
        <v>2006</v>
      </c>
      <c r="L28" s="108" t="s">
        <v>73</v>
      </c>
      <c r="M28" s="135">
        <v>313</v>
      </c>
      <c r="N28" s="18" t="s">
        <v>380</v>
      </c>
      <c r="O28" s="92" t="s">
        <v>227</v>
      </c>
      <c r="P28" t="s">
        <v>148</v>
      </c>
      <c r="Q28" t="s">
        <v>294</v>
      </c>
      <c r="R28" t="s">
        <v>307</v>
      </c>
      <c r="S28" t="s">
        <v>336</v>
      </c>
      <c r="T28">
        <v>0</v>
      </c>
      <c r="U28" t="s">
        <v>341</v>
      </c>
      <c r="V28">
        <v>1</v>
      </c>
      <c r="W28" s="108" t="s">
        <v>232</v>
      </c>
      <c r="X28" s="108" t="s">
        <v>384</v>
      </c>
      <c r="Y28" s="108" t="s">
        <v>73</v>
      </c>
      <c r="Z28" s="135">
        <v>0</v>
      </c>
      <c r="AA28" s="135">
        <v>1</v>
      </c>
      <c r="AB28" s="135">
        <v>0</v>
      </c>
      <c r="AC28" s="135">
        <v>0</v>
      </c>
      <c r="AD28" s="135">
        <v>0</v>
      </c>
      <c r="AE28" s="135">
        <v>0</v>
      </c>
      <c r="AF28" s="135">
        <v>0</v>
      </c>
      <c r="AG28" s="135">
        <v>0</v>
      </c>
      <c r="AH28" s="135" t="s">
        <v>381</v>
      </c>
      <c r="AI28" s="135">
        <v>0</v>
      </c>
      <c r="AJ28" s="135">
        <v>0</v>
      </c>
      <c r="AK28" s="135">
        <v>0</v>
      </c>
      <c r="AL28" s="135">
        <v>1</v>
      </c>
      <c r="AM28" s="135">
        <v>0</v>
      </c>
      <c r="AN28" s="135">
        <v>0</v>
      </c>
      <c r="AO28" s="135">
        <v>0</v>
      </c>
      <c r="AP28" s="135">
        <v>0</v>
      </c>
      <c r="AQ28" s="135">
        <v>0</v>
      </c>
      <c r="AR28" t="s">
        <v>382</v>
      </c>
      <c r="AS28" t="s">
        <v>234</v>
      </c>
      <c r="AT28" t="s">
        <v>383</v>
      </c>
      <c r="AU28" t="s">
        <v>265</v>
      </c>
      <c r="AV28" s="134">
        <v>0.21</v>
      </c>
      <c r="AW28" s="7" t="s">
        <v>86</v>
      </c>
      <c r="AX28">
        <f>AV28/BA28</f>
        <v>7.6363636363636356E-2</v>
      </c>
      <c r="AY28">
        <v>6.0000000000000001E-3</v>
      </c>
      <c r="AZ28">
        <v>3</v>
      </c>
      <c r="BA28">
        <v>2.75</v>
      </c>
      <c r="BB28"/>
      <c r="BC28" s="94">
        <f t="shared" si="12"/>
        <v>0.21</v>
      </c>
      <c r="BD28" t="s">
        <v>73</v>
      </c>
      <c r="BE28" t="s">
        <v>73</v>
      </c>
      <c r="BF28" t="s">
        <v>73</v>
      </c>
      <c r="BG28" t="s">
        <v>73</v>
      </c>
      <c r="BH28" t="s">
        <v>73</v>
      </c>
      <c r="BI28" t="s">
        <v>73</v>
      </c>
      <c r="BJ28" s="103">
        <v>2910</v>
      </c>
      <c r="BK28" s="135">
        <v>2910</v>
      </c>
      <c r="BL28" s="135" t="s">
        <v>73</v>
      </c>
      <c r="BM28" s="135" t="s">
        <v>73</v>
      </c>
      <c r="BN28" s="135" t="s">
        <v>73</v>
      </c>
      <c r="BO28" s="135" t="s">
        <v>73</v>
      </c>
      <c r="BP28" s="135" t="s">
        <v>73</v>
      </c>
      <c r="BQ28" s="135" t="s">
        <v>73</v>
      </c>
      <c r="BR28" s="135" t="s">
        <v>73</v>
      </c>
      <c r="BS28" s="135" t="s">
        <v>73</v>
      </c>
      <c r="BT28" s="135" t="s">
        <v>73</v>
      </c>
      <c r="BU28" s="135" t="s">
        <v>73</v>
      </c>
      <c r="BV28" s="135">
        <v>0</v>
      </c>
      <c r="BW28" s="135">
        <v>0</v>
      </c>
      <c r="BX28" s="135">
        <v>0</v>
      </c>
      <c r="BY28" s="30">
        <f t="shared" si="13"/>
        <v>5.0912287415050349E-2</v>
      </c>
      <c r="BZ28" s="30">
        <f t="shared" si="0"/>
        <v>5.0956345207376796E-2</v>
      </c>
      <c r="CA28" s="30">
        <f t="shared" si="1"/>
        <v>3.4375842486513699E-4</v>
      </c>
      <c r="CB28" s="30">
        <f t="shared" si="2"/>
        <v>3.4399724802201581E-4</v>
      </c>
      <c r="CC28" s="92" t="s">
        <v>73</v>
      </c>
      <c r="CD28">
        <f t="shared" si="15"/>
        <v>2908</v>
      </c>
      <c r="CE28" s="92" t="s">
        <v>73</v>
      </c>
      <c r="CF28" s="30">
        <f t="shared" si="3"/>
        <v>5.0912287415050349E-2</v>
      </c>
      <c r="CG28" s="30">
        <f t="shared" si="4"/>
        <v>5.0956345207376796E-2</v>
      </c>
      <c r="CH28" s="30">
        <f t="shared" si="5"/>
        <v>3.4375842486513699E-4</v>
      </c>
      <c r="CI28" s="30">
        <f t="shared" si="6"/>
        <v>3.4399724802201581E-4</v>
      </c>
      <c r="CJ28" s="92"/>
    </row>
    <row r="29" spans="1:88" s="112" customFormat="1">
      <c r="A29" s="108" t="s">
        <v>409</v>
      </c>
      <c r="B29" s="108"/>
      <c r="C29" s="108">
        <v>9</v>
      </c>
      <c r="D29" s="92">
        <v>1248</v>
      </c>
      <c r="E29" s="108">
        <v>302</v>
      </c>
      <c r="F29" s="10" t="s">
        <v>418</v>
      </c>
      <c r="G29" s="108">
        <v>2017</v>
      </c>
      <c r="H29" t="s">
        <v>419</v>
      </c>
      <c r="I29" t="s">
        <v>420</v>
      </c>
      <c r="J29" s="10">
        <v>2</v>
      </c>
      <c r="K29" s="10" t="s">
        <v>73</v>
      </c>
      <c r="L29" s="108" t="s">
        <v>73</v>
      </c>
      <c r="M29">
        <v>147</v>
      </c>
      <c r="N29" s="18" t="s">
        <v>421</v>
      </c>
      <c r="O29" t="s">
        <v>242</v>
      </c>
      <c r="P29" s="112" t="s">
        <v>422</v>
      </c>
      <c r="Q29" s="10" t="s">
        <v>243</v>
      </c>
      <c r="R29" t="s">
        <v>244</v>
      </c>
      <c r="S29" t="s">
        <v>255</v>
      </c>
      <c r="T29">
        <v>1</v>
      </c>
      <c r="U29" t="s">
        <v>189</v>
      </c>
      <c r="V29">
        <v>0</v>
      </c>
      <c r="W29" s="10" t="s">
        <v>232</v>
      </c>
      <c r="X29" s="10" t="s">
        <v>246</v>
      </c>
      <c r="Y29" s="10" t="s">
        <v>426</v>
      </c>
      <c r="Z29" s="10">
        <v>0</v>
      </c>
      <c r="AA29" s="10">
        <v>0</v>
      </c>
      <c r="AB29" s="10">
        <v>1</v>
      </c>
      <c r="AC29" s="10">
        <v>0</v>
      </c>
      <c r="AD29" s="10">
        <v>0</v>
      </c>
      <c r="AE29" s="10">
        <v>0</v>
      </c>
      <c r="AF29" s="108">
        <v>0</v>
      </c>
      <c r="AG29" s="108">
        <v>0</v>
      </c>
      <c r="AH29" s="10" t="s">
        <v>423</v>
      </c>
      <c r="AI29" s="10">
        <v>0</v>
      </c>
      <c r="AJ29" s="10">
        <v>0</v>
      </c>
      <c r="AK29" s="10">
        <v>0</v>
      </c>
      <c r="AL29" s="10">
        <v>0</v>
      </c>
      <c r="AM29" s="10">
        <v>0</v>
      </c>
      <c r="AN29" s="10">
        <v>1</v>
      </c>
      <c r="AO29" s="10">
        <v>0</v>
      </c>
      <c r="AP29" s="10">
        <v>0</v>
      </c>
      <c r="AQ29" s="10">
        <v>0</v>
      </c>
      <c r="AR29" t="s">
        <v>424</v>
      </c>
      <c r="AS29" t="s">
        <v>234</v>
      </c>
      <c r="AT29" t="s">
        <v>425</v>
      </c>
      <c r="AU29" t="s">
        <v>236</v>
      </c>
      <c r="AV29" s="134">
        <v>0.05</v>
      </c>
      <c r="AW29" s="7" t="s">
        <v>80</v>
      </c>
      <c r="AX29" t="s">
        <v>73</v>
      </c>
      <c r="AY29">
        <v>0.01</v>
      </c>
      <c r="AZ29">
        <v>1</v>
      </c>
      <c r="BA29">
        <f>TINV(AY29,CD29)</f>
        <v>2.5764354463748322</v>
      </c>
      <c r="BB29" t="s">
        <v>73</v>
      </c>
      <c r="BC29" s="105">
        <f t="shared" ref="BC29:BC52" si="16">EXP(AV29)/(1+EXP(AV29))</f>
        <v>0.51249739648421033</v>
      </c>
      <c r="BD29" s="10" t="s">
        <v>73</v>
      </c>
      <c r="BE29" s="10" t="s">
        <v>73</v>
      </c>
      <c r="BF29" s="10" t="s">
        <v>73</v>
      </c>
      <c r="BG29" s="10" t="s">
        <v>73</v>
      </c>
      <c r="BH29" s="10" t="s">
        <v>73</v>
      </c>
      <c r="BI29" s="10" t="s">
        <v>73</v>
      </c>
      <c r="BJ29" s="10">
        <v>8115</v>
      </c>
      <c r="BK29" s="10">
        <v>8115</v>
      </c>
      <c r="BL29" s="10" t="s">
        <v>73</v>
      </c>
      <c r="BM29" s="10" t="s">
        <v>73</v>
      </c>
      <c r="BN29" t="s">
        <v>73</v>
      </c>
      <c r="BO29" t="s">
        <v>73</v>
      </c>
      <c r="BP29" s="108" t="s">
        <v>73</v>
      </c>
      <c r="BQ29" s="108" t="s">
        <v>73</v>
      </c>
      <c r="BR29" s="108" t="s">
        <v>73</v>
      </c>
      <c r="BS29">
        <v>1</v>
      </c>
      <c r="BT29" s="108" t="s">
        <v>73</v>
      </c>
      <c r="BU29" s="108" t="s">
        <v>73</v>
      </c>
      <c r="BV29" s="10">
        <v>0</v>
      </c>
      <c r="BW29" s="10">
        <v>1</v>
      </c>
      <c r="BX29" s="10">
        <v>1</v>
      </c>
      <c r="BY29" s="30">
        <f t="shared" si="13"/>
        <v>2.8588900354369999E-2</v>
      </c>
      <c r="BZ29" s="30">
        <f t="shared" si="0"/>
        <v>2.8596692985986098E-2</v>
      </c>
      <c r="CA29" s="30">
        <f t="shared" si="1"/>
        <v>1.2324369377013031E-4</v>
      </c>
      <c r="CB29" s="30">
        <f t="shared" si="2"/>
        <v>1.232741617357002E-4</v>
      </c>
      <c r="CC29" s="92" t="s">
        <v>73</v>
      </c>
      <c r="CD29">
        <f t="shared" si="15"/>
        <v>8113</v>
      </c>
      <c r="CE29" s="92" t="s">
        <v>73</v>
      </c>
      <c r="CF29" s="30">
        <f t="shared" si="3"/>
        <v>2.8588900354369999E-2</v>
      </c>
      <c r="CG29" s="30">
        <f t="shared" si="4"/>
        <v>2.8596692985986098E-2</v>
      </c>
      <c r="CH29" s="30">
        <f t="shared" si="5"/>
        <v>1.2324369377013031E-4</v>
      </c>
      <c r="CI29" s="30">
        <f t="shared" si="6"/>
        <v>1.232741617357002E-4</v>
      </c>
      <c r="CJ29"/>
    </row>
    <row r="30" spans="1:88" s="125" customFormat="1">
      <c r="A30" s="108" t="s">
        <v>409</v>
      </c>
      <c r="B30" s="108"/>
      <c r="C30" s="108">
        <v>9</v>
      </c>
      <c r="D30" s="92">
        <v>1247</v>
      </c>
      <c r="E30" s="108">
        <v>302</v>
      </c>
      <c r="F30" s="10" t="s">
        <v>418</v>
      </c>
      <c r="G30" s="108">
        <v>2017</v>
      </c>
      <c r="H30" t="s">
        <v>419</v>
      </c>
      <c r="I30" t="s">
        <v>420</v>
      </c>
      <c r="J30" s="10">
        <v>2</v>
      </c>
      <c r="K30" s="10" t="s">
        <v>73</v>
      </c>
      <c r="L30" s="108" t="s">
        <v>73</v>
      </c>
      <c r="M30">
        <v>147</v>
      </c>
      <c r="N30" s="18" t="s">
        <v>421</v>
      </c>
      <c r="O30" t="s">
        <v>242</v>
      </c>
      <c r="P30" s="112" t="s">
        <v>422</v>
      </c>
      <c r="Q30" s="10" t="s">
        <v>243</v>
      </c>
      <c r="R30" t="s">
        <v>244</v>
      </c>
      <c r="S30" t="s">
        <v>255</v>
      </c>
      <c r="T30">
        <v>1</v>
      </c>
      <c r="U30" t="s">
        <v>189</v>
      </c>
      <c r="V30">
        <v>0</v>
      </c>
      <c r="W30" s="10" t="s">
        <v>232</v>
      </c>
      <c r="X30" s="10" t="s">
        <v>232</v>
      </c>
      <c r="Y30" s="10" t="s">
        <v>73</v>
      </c>
      <c r="Z30" s="10">
        <v>0</v>
      </c>
      <c r="AA30" s="10">
        <v>0</v>
      </c>
      <c r="AB30" s="10">
        <v>1</v>
      </c>
      <c r="AC30" s="10">
        <v>0</v>
      </c>
      <c r="AD30" s="10">
        <v>0</v>
      </c>
      <c r="AE30" s="10">
        <v>0</v>
      </c>
      <c r="AF30" s="108">
        <v>0</v>
      </c>
      <c r="AG30" s="108">
        <v>0</v>
      </c>
      <c r="AH30" s="10" t="s">
        <v>423</v>
      </c>
      <c r="AI30" s="10">
        <v>1</v>
      </c>
      <c r="AJ30" s="10">
        <v>0</v>
      </c>
      <c r="AK30" s="10">
        <v>0</v>
      </c>
      <c r="AL30" s="10">
        <v>1</v>
      </c>
      <c r="AM30" s="10">
        <v>0</v>
      </c>
      <c r="AN30" s="10">
        <v>0</v>
      </c>
      <c r="AO30" s="10">
        <v>0</v>
      </c>
      <c r="AP30" s="10">
        <v>0</v>
      </c>
      <c r="AQ30" s="10">
        <v>0</v>
      </c>
      <c r="AR30" t="s">
        <v>424</v>
      </c>
      <c r="AS30" t="s">
        <v>234</v>
      </c>
      <c r="AT30" t="s">
        <v>425</v>
      </c>
      <c r="AU30" t="s">
        <v>236</v>
      </c>
      <c r="AV30" s="134">
        <v>7.4999999999999997E-2</v>
      </c>
      <c r="AW30" s="7" t="s">
        <v>80</v>
      </c>
      <c r="AX30" t="s">
        <v>73</v>
      </c>
      <c r="AY30">
        <v>0.01</v>
      </c>
      <c r="AZ30">
        <v>1</v>
      </c>
      <c r="BA30">
        <f>TINV(AY30,CD30)</f>
        <v>2.5764354463748322</v>
      </c>
      <c r="BB30" t="s">
        <v>73</v>
      </c>
      <c r="BC30" s="105">
        <f t="shared" si="16"/>
        <v>0.51874121587853528</v>
      </c>
      <c r="BD30" s="10" t="s">
        <v>73</v>
      </c>
      <c r="BE30" s="10" t="s">
        <v>73</v>
      </c>
      <c r="BF30" s="10" t="s">
        <v>73</v>
      </c>
      <c r="BG30" s="10" t="s">
        <v>73</v>
      </c>
      <c r="BH30" s="10" t="s">
        <v>73</v>
      </c>
      <c r="BI30" s="10" t="s">
        <v>73</v>
      </c>
      <c r="BJ30" s="10">
        <v>8115</v>
      </c>
      <c r="BK30" s="10">
        <v>8115</v>
      </c>
      <c r="BL30" s="10" t="s">
        <v>73</v>
      </c>
      <c r="BM30" s="10" t="s">
        <v>73</v>
      </c>
      <c r="BN30" t="s">
        <v>73</v>
      </c>
      <c r="BO30" t="s">
        <v>73</v>
      </c>
      <c r="BP30" s="108" t="s">
        <v>73</v>
      </c>
      <c r="BQ30" s="108" t="s">
        <v>73</v>
      </c>
      <c r="BR30" s="108" t="s">
        <v>73</v>
      </c>
      <c r="BS30">
        <v>1</v>
      </c>
      <c r="BT30" s="108" t="s">
        <v>73</v>
      </c>
      <c r="BU30" s="108" t="s">
        <v>73</v>
      </c>
      <c r="BV30" s="10">
        <v>0</v>
      </c>
      <c r="BW30" s="10">
        <v>1</v>
      </c>
      <c r="BX30" s="10">
        <v>1</v>
      </c>
      <c r="BY30" s="30">
        <f t="shared" si="13"/>
        <v>2.8588900354369999E-2</v>
      </c>
      <c r="BZ30" s="30">
        <f t="shared" si="0"/>
        <v>2.8596692985986098E-2</v>
      </c>
      <c r="CA30" s="30">
        <f t="shared" si="1"/>
        <v>1.2324369377013031E-4</v>
      </c>
      <c r="CB30" s="30">
        <f t="shared" si="2"/>
        <v>1.232741617357002E-4</v>
      </c>
      <c r="CC30" s="92" t="s">
        <v>73</v>
      </c>
      <c r="CD30">
        <f t="shared" si="15"/>
        <v>8113</v>
      </c>
      <c r="CE30" s="92" t="s">
        <v>73</v>
      </c>
      <c r="CF30" s="30">
        <f t="shared" si="3"/>
        <v>2.8588900354369999E-2</v>
      </c>
      <c r="CG30" s="30">
        <f t="shared" si="4"/>
        <v>2.8596692985986098E-2</v>
      </c>
      <c r="CH30" s="30">
        <f t="shared" si="5"/>
        <v>1.2324369377013031E-4</v>
      </c>
      <c r="CI30" s="30">
        <f t="shared" si="6"/>
        <v>1.232741617357002E-4</v>
      </c>
      <c r="CJ30"/>
    </row>
    <row r="31" spans="1:88">
      <c r="A31" s="108" t="s">
        <v>409</v>
      </c>
      <c r="B31" s="108"/>
      <c r="C31" s="108">
        <v>9</v>
      </c>
      <c r="D31" s="92">
        <v>1249</v>
      </c>
      <c r="E31" s="108">
        <v>302</v>
      </c>
      <c r="F31" s="10" t="s">
        <v>418</v>
      </c>
      <c r="G31" s="108">
        <v>2017</v>
      </c>
      <c r="H31" t="s">
        <v>419</v>
      </c>
      <c r="I31" t="s">
        <v>420</v>
      </c>
      <c r="J31" s="10">
        <v>2</v>
      </c>
      <c r="K31" s="10" t="s">
        <v>73</v>
      </c>
      <c r="L31" s="108" t="s">
        <v>73</v>
      </c>
      <c r="M31">
        <v>147</v>
      </c>
      <c r="N31" s="18" t="s">
        <v>421</v>
      </c>
      <c r="O31" t="s">
        <v>242</v>
      </c>
      <c r="P31" s="112" t="s">
        <v>422</v>
      </c>
      <c r="Q31" s="10" t="s">
        <v>243</v>
      </c>
      <c r="R31" t="s">
        <v>244</v>
      </c>
      <c r="S31" t="s">
        <v>255</v>
      </c>
      <c r="T31">
        <v>1</v>
      </c>
      <c r="U31" t="s">
        <v>189</v>
      </c>
      <c r="V31">
        <v>0</v>
      </c>
      <c r="W31" s="10" t="s">
        <v>232</v>
      </c>
      <c r="X31" s="10" t="s">
        <v>232</v>
      </c>
      <c r="Y31" s="10" t="s">
        <v>73</v>
      </c>
      <c r="Z31" s="10">
        <v>0</v>
      </c>
      <c r="AA31" s="10">
        <v>0</v>
      </c>
      <c r="AB31" s="10">
        <v>1</v>
      </c>
      <c r="AC31" s="10">
        <v>0</v>
      </c>
      <c r="AD31" s="10">
        <v>0</v>
      </c>
      <c r="AE31" s="10">
        <v>0</v>
      </c>
      <c r="AF31" s="108">
        <v>0</v>
      </c>
      <c r="AG31" s="108">
        <v>0</v>
      </c>
      <c r="AH31" s="10" t="s">
        <v>427</v>
      </c>
      <c r="AI31" s="10">
        <v>1</v>
      </c>
      <c r="AJ31" s="10">
        <v>0</v>
      </c>
      <c r="AK31" s="10">
        <v>0</v>
      </c>
      <c r="AL31" s="10">
        <v>1</v>
      </c>
      <c r="AM31" s="10">
        <v>0</v>
      </c>
      <c r="AN31" s="10">
        <v>0</v>
      </c>
      <c r="AO31" s="10">
        <v>0</v>
      </c>
      <c r="AP31" s="10">
        <v>0</v>
      </c>
      <c r="AQ31" s="10">
        <v>0</v>
      </c>
      <c r="AR31" t="s">
        <v>424</v>
      </c>
      <c r="AS31" t="s">
        <v>234</v>
      </c>
      <c r="AT31" t="s">
        <v>425</v>
      </c>
      <c r="AU31" t="s">
        <v>236</v>
      </c>
      <c r="AV31" s="134">
        <v>8.6999999999999994E-2</v>
      </c>
      <c r="AW31" s="7" t="s">
        <v>80</v>
      </c>
      <c r="AX31" t="s">
        <v>73</v>
      </c>
      <c r="AY31">
        <v>0.01</v>
      </c>
      <c r="AZ31">
        <v>1</v>
      </c>
      <c r="BA31">
        <f>TINV(AY31,CD31)</f>
        <v>2.5776085962794295</v>
      </c>
      <c r="BB31" t="s">
        <v>73</v>
      </c>
      <c r="BC31" s="105">
        <f t="shared" si="16"/>
        <v>0.52173629156332213</v>
      </c>
      <c r="BD31" s="10" t="s">
        <v>73</v>
      </c>
      <c r="BE31" s="10" t="s">
        <v>73</v>
      </c>
      <c r="BF31" s="10" t="s">
        <v>73</v>
      </c>
      <c r="BG31" s="10" t="s">
        <v>73</v>
      </c>
      <c r="BH31" s="10" t="s">
        <v>73</v>
      </c>
      <c r="BI31" s="10" t="s">
        <v>73</v>
      </c>
      <c r="BJ31" s="10">
        <v>2767</v>
      </c>
      <c r="BK31" s="10">
        <v>2767</v>
      </c>
      <c r="BL31" s="10" t="s">
        <v>73</v>
      </c>
      <c r="BM31" s="10" t="s">
        <v>73</v>
      </c>
      <c r="BN31" t="s">
        <v>73</v>
      </c>
      <c r="BO31" t="s">
        <v>73</v>
      </c>
      <c r="BP31" s="108" t="s">
        <v>73</v>
      </c>
      <c r="BQ31" s="108" t="s">
        <v>73</v>
      </c>
      <c r="BR31" s="108" t="s">
        <v>73</v>
      </c>
      <c r="BS31">
        <v>1</v>
      </c>
      <c r="BT31" s="108" t="s">
        <v>73</v>
      </c>
      <c r="BU31" s="108" t="s">
        <v>73</v>
      </c>
      <c r="BV31" s="10">
        <v>0</v>
      </c>
      <c r="BW31" s="10">
        <v>1</v>
      </c>
      <c r="BX31" s="10">
        <v>1</v>
      </c>
      <c r="BY31" s="30">
        <f t="shared" si="13"/>
        <v>4.8943115053431581E-2</v>
      </c>
      <c r="BZ31" s="30">
        <f t="shared" si="0"/>
        <v>4.8982251228669553E-2</v>
      </c>
      <c r="CA31" s="30">
        <f t="shared" si="1"/>
        <v>3.6153081834669693E-4</v>
      </c>
      <c r="CB31" s="30">
        <f t="shared" si="2"/>
        <v>3.6179450072358897E-4</v>
      </c>
      <c r="CC31" s="92" t="s">
        <v>73</v>
      </c>
      <c r="CD31">
        <f t="shared" si="15"/>
        <v>2765</v>
      </c>
      <c r="CE31" s="92" t="s">
        <v>73</v>
      </c>
      <c r="CF31" s="30">
        <f t="shared" si="3"/>
        <v>4.8943115053431581E-2</v>
      </c>
      <c r="CG31" s="30">
        <f t="shared" si="4"/>
        <v>4.8982251228669553E-2</v>
      </c>
      <c r="CH31" s="30">
        <f t="shared" si="5"/>
        <v>3.6153081834669693E-4</v>
      </c>
      <c r="CI31" s="30">
        <f t="shared" si="6"/>
        <v>3.6179450072358897E-4</v>
      </c>
    </row>
    <row r="32" spans="1:88" s="98" customFormat="1">
      <c r="A32" s="11" t="s">
        <v>68</v>
      </c>
      <c r="B32" s="11"/>
      <c r="C32" s="11">
        <v>10</v>
      </c>
      <c r="D32" s="11">
        <v>1017</v>
      </c>
      <c r="E32" s="11">
        <v>105</v>
      </c>
      <c r="F32" s="11" t="s">
        <v>250</v>
      </c>
      <c r="G32" s="11">
        <v>2019</v>
      </c>
      <c r="H32" t="s">
        <v>251</v>
      </c>
      <c r="I32" t="s">
        <v>252</v>
      </c>
      <c r="J32" s="18">
        <v>2</v>
      </c>
      <c r="K32" s="10" t="s">
        <v>253</v>
      </c>
      <c r="L32" s="11" t="s">
        <v>73</v>
      </c>
      <c r="M32" s="18">
        <v>230</v>
      </c>
      <c r="N32" s="18" t="s">
        <v>155</v>
      </c>
      <c r="O32" s="92" t="s">
        <v>227</v>
      </c>
      <c r="P32" s="18" t="s">
        <v>254</v>
      </c>
      <c r="Q32" s="18" t="s">
        <v>243</v>
      </c>
      <c r="R32" t="s">
        <v>244</v>
      </c>
      <c r="S32" t="s">
        <v>255</v>
      </c>
      <c r="T32">
        <v>1</v>
      </c>
      <c r="U32" t="s">
        <v>189</v>
      </c>
      <c r="V32">
        <v>1</v>
      </c>
      <c r="W32" s="18" t="s">
        <v>246</v>
      </c>
      <c r="X32" s="18" t="s">
        <v>232</v>
      </c>
      <c r="Y32" s="18" t="s">
        <v>256</v>
      </c>
      <c r="Z32" s="18">
        <v>0</v>
      </c>
      <c r="AA32" s="18">
        <v>1</v>
      </c>
      <c r="AB32" s="18">
        <v>0</v>
      </c>
      <c r="AC32" s="18">
        <v>0</v>
      </c>
      <c r="AD32" s="18">
        <v>0</v>
      </c>
      <c r="AE32" s="18">
        <v>0</v>
      </c>
      <c r="AF32" s="11">
        <v>0</v>
      </c>
      <c r="AG32" s="11">
        <v>0</v>
      </c>
      <c r="AH32" s="18" t="s">
        <v>73</v>
      </c>
      <c r="AI32" s="18">
        <v>0</v>
      </c>
      <c r="AJ32" s="18">
        <v>0</v>
      </c>
      <c r="AK32" s="18">
        <v>0</v>
      </c>
      <c r="AL32" s="18">
        <v>0</v>
      </c>
      <c r="AM32" s="18">
        <v>0</v>
      </c>
      <c r="AN32" s="18">
        <v>1</v>
      </c>
      <c r="AO32" s="18">
        <v>0</v>
      </c>
      <c r="AP32" s="18">
        <v>0</v>
      </c>
      <c r="AQ32" s="18">
        <v>0</v>
      </c>
      <c r="AR32" s="138" t="s">
        <v>73</v>
      </c>
      <c r="AS32" t="s">
        <v>234</v>
      </c>
      <c r="AT32" s="10" t="s">
        <v>257</v>
      </c>
      <c r="AU32" s="10" t="s">
        <v>236</v>
      </c>
      <c r="AV32" s="134">
        <v>4.0000000000000001E-3</v>
      </c>
      <c r="AW32" s="7" t="s">
        <v>80</v>
      </c>
      <c r="AX32">
        <v>0.121</v>
      </c>
      <c r="AY32">
        <v>0.1</v>
      </c>
      <c r="AZ32">
        <v>2</v>
      </c>
      <c r="BA32">
        <f t="shared" ref="BA32:BA37" si="17">AV32/AX32</f>
        <v>3.3057851239669422E-2</v>
      </c>
      <c r="BB32" t="s">
        <v>73</v>
      </c>
      <c r="BC32" s="105">
        <f t="shared" si="16"/>
        <v>0.50099999866666878</v>
      </c>
      <c r="BD32" s="11" t="s">
        <v>73</v>
      </c>
      <c r="BE32" s="18">
        <v>71</v>
      </c>
      <c r="BF32" s="11" t="s">
        <v>73</v>
      </c>
      <c r="BG32" s="11" t="s">
        <v>73</v>
      </c>
      <c r="BH32">
        <v>85</v>
      </c>
      <c r="BI32" s="11" t="s">
        <v>73</v>
      </c>
      <c r="BJ32">
        <v>156</v>
      </c>
      <c r="BK32">
        <v>156</v>
      </c>
      <c r="BL32" s="11" t="s">
        <v>73</v>
      </c>
      <c r="BM32" s="11" t="s">
        <v>73</v>
      </c>
      <c r="BN32" s="11" t="s">
        <v>73</v>
      </c>
      <c r="BO32" s="11" t="s">
        <v>73</v>
      </c>
      <c r="BP32" s="11" t="s">
        <v>73</v>
      </c>
      <c r="BQ32" s="11" t="s">
        <v>73</v>
      </c>
      <c r="BR32" s="11" t="s">
        <v>73</v>
      </c>
      <c r="BS32" s="11" t="s">
        <v>73</v>
      </c>
      <c r="BT32" s="11" t="s">
        <v>73</v>
      </c>
      <c r="BU32" s="11" t="s">
        <v>73</v>
      </c>
      <c r="BV32" s="18">
        <v>1</v>
      </c>
      <c r="BW32" s="18">
        <v>0</v>
      </c>
      <c r="BX32" s="18">
        <v>1</v>
      </c>
      <c r="BY32" s="30">
        <f t="shared" si="13"/>
        <v>2.646737073353082E-3</v>
      </c>
      <c r="BZ32" s="30">
        <f t="shared" si="0"/>
        <v>2.6467432537016708E-3</v>
      </c>
      <c r="CA32" s="30">
        <f t="shared" si="1"/>
        <v>6.4516129029092029E-3</v>
      </c>
      <c r="CB32" s="30">
        <f t="shared" si="2"/>
        <v>6.5359477124183009E-3</v>
      </c>
      <c r="CC32" s="92" t="s">
        <v>73</v>
      </c>
      <c r="CD32">
        <f t="shared" si="15"/>
        <v>154</v>
      </c>
      <c r="CE32" s="92" t="s">
        <v>73</v>
      </c>
      <c r="CF32" s="30">
        <f t="shared" si="3"/>
        <v>2.646737073353082E-3</v>
      </c>
      <c r="CG32" s="30">
        <f t="shared" si="4"/>
        <v>2.6467432537016708E-3</v>
      </c>
      <c r="CH32" s="30">
        <f t="shared" si="5"/>
        <v>6.4516129029092029E-3</v>
      </c>
      <c r="CI32" s="30">
        <f t="shared" si="6"/>
        <v>6.5359477124183009E-3</v>
      </c>
      <c r="CJ32"/>
    </row>
    <row r="33" spans="1:88" s="92" customFormat="1">
      <c r="A33" s="11" t="s">
        <v>68</v>
      </c>
      <c r="B33" s="11"/>
      <c r="C33" s="11">
        <v>10</v>
      </c>
      <c r="D33" s="11">
        <v>1014</v>
      </c>
      <c r="E33" s="11">
        <v>105</v>
      </c>
      <c r="F33" s="11" t="s">
        <v>250</v>
      </c>
      <c r="G33" s="11">
        <v>2019</v>
      </c>
      <c r="H33" t="s">
        <v>251</v>
      </c>
      <c r="I33" t="s">
        <v>252</v>
      </c>
      <c r="J33" s="18">
        <v>2</v>
      </c>
      <c r="K33" s="10" t="s">
        <v>253</v>
      </c>
      <c r="L33" s="11" t="s">
        <v>73</v>
      </c>
      <c r="M33" s="18">
        <v>230</v>
      </c>
      <c r="N33" s="18" t="s">
        <v>155</v>
      </c>
      <c r="O33" s="92" t="s">
        <v>227</v>
      </c>
      <c r="P33" s="18" t="s">
        <v>254</v>
      </c>
      <c r="Q33" s="18" t="s">
        <v>243</v>
      </c>
      <c r="R33" t="s">
        <v>244</v>
      </c>
      <c r="S33" t="s">
        <v>255</v>
      </c>
      <c r="T33">
        <v>1</v>
      </c>
      <c r="U33" t="s">
        <v>189</v>
      </c>
      <c r="V33">
        <v>1</v>
      </c>
      <c r="W33" s="18" t="s">
        <v>246</v>
      </c>
      <c r="X33" s="18" t="s">
        <v>232</v>
      </c>
      <c r="Y33" s="18" t="s">
        <v>256</v>
      </c>
      <c r="Z33" s="18">
        <v>0</v>
      </c>
      <c r="AA33" s="18">
        <v>1</v>
      </c>
      <c r="AB33" s="18">
        <v>0</v>
      </c>
      <c r="AC33" s="18">
        <v>0</v>
      </c>
      <c r="AD33" s="18">
        <v>0</v>
      </c>
      <c r="AE33" s="18">
        <v>0</v>
      </c>
      <c r="AF33" s="11">
        <v>0</v>
      </c>
      <c r="AG33" s="11">
        <v>0</v>
      </c>
      <c r="AH33" s="18" t="s">
        <v>73</v>
      </c>
      <c r="AI33" s="18">
        <v>0</v>
      </c>
      <c r="AJ33" s="18">
        <v>0</v>
      </c>
      <c r="AK33" s="18">
        <v>0</v>
      </c>
      <c r="AL33" s="18">
        <v>0</v>
      </c>
      <c r="AM33" s="18">
        <v>0</v>
      </c>
      <c r="AN33" s="18">
        <v>1</v>
      </c>
      <c r="AO33" s="18">
        <v>0</v>
      </c>
      <c r="AP33" s="18">
        <v>0</v>
      </c>
      <c r="AQ33" s="18">
        <v>0</v>
      </c>
      <c r="AR33" s="138" t="s">
        <v>73</v>
      </c>
      <c r="AS33" t="s">
        <v>234</v>
      </c>
      <c r="AT33" s="10" t="s">
        <v>257</v>
      </c>
      <c r="AU33" s="10" t="s">
        <v>236</v>
      </c>
      <c r="AV33" s="134">
        <v>5.0000000000000001E-3</v>
      </c>
      <c r="AW33" s="7" t="s">
        <v>86</v>
      </c>
      <c r="AX33" s="18">
        <v>0.109</v>
      </c>
      <c r="AY33" s="18">
        <v>0.1</v>
      </c>
      <c r="AZ33" s="18">
        <v>2</v>
      </c>
      <c r="BA33">
        <f t="shared" si="17"/>
        <v>4.5871559633027525E-2</v>
      </c>
      <c r="BB33" t="s">
        <v>73</v>
      </c>
      <c r="BC33" s="105">
        <f t="shared" si="16"/>
        <v>0.50124999739583986</v>
      </c>
      <c r="BD33" s="11" t="s">
        <v>73</v>
      </c>
      <c r="BE33" s="18">
        <v>71</v>
      </c>
      <c r="BF33" s="11" t="s">
        <v>73</v>
      </c>
      <c r="BG33" s="11" t="s">
        <v>73</v>
      </c>
      <c r="BH33">
        <v>85</v>
      </c>
      <c r="BI33" s="11" t="s">
        <v>73</v>
      </c>
      <c r="BJ33">
        <v>156</v>
      </c>
      <c r="BK33">
        <v>156</v>
      </c>
      <c r="BL33" s="11" t="s">
        <v>73</v>
      </c>
      <c r="BM33" s="11" t="s">
        <v>73</v>
      </c>
      <c r="BN33" s="11" t="s">
        <v>73</v>
      </c>
      <c r="BO33" s="11" t="s">
        <v>73</v>
      </c>
      <c r="BP33" s="11" t="s">
        <v>73</v>
      </c>
      <c r="BQ33" s="11" t="s">
        <v>73</v>
      </c>
      <c r="BR33" s="11" t="s">
        <v>73</v>
      </c>
      <c r="BS33" s="11" t="s">
        <v>73</v>
      </c>
      <c r="BT33" s="11" t="s">
        <v>73</v>
      </c>
      <c r="BU33" s="11" t="s">
        <v>73</v>
      </c>
      <c r="BV33" s="18">
        <v>0</v>
      </c>
      <c r="BW33" s="18">
        <v>0</v>
      </c>
      <c r="BX33" s="18">
        <v>0</v>
      </c>
      <c r="BY33" s="30">
        <f t="shared" si="13"/>
        <v>3.6726393090550187E-3</v>
      </c>
      <c r="BZ33" s="30">
        <f t="shared" si="0"/>
        <v>3.6726558217171222E-3</v>
      </c>
      <c r="CA33" s="30">
        <f t="shared" si="1"/>
        <v>6.4516129020520197E-3</v>
      </c>
      <c r="CB33" s="30">
        <f t="shared" si="2"/>
        <v>6.5359477124183009E-3</v>
      </c>
      <c r="CC33" s="92" t="s">
        <v>73</v>
      </c>
      <c r="CD33">
        <f t="shared" si="15"/>
        <v>154</v>
      </c>
      <c r="CE33" s="92" t="s">
        <v>73</v>
      </c>
      <c r="CF33" s="30">
        <f t="shared" si="3"/>
        <v>3.6726393090550187E-3</v>
      </c>
      <c r="CG33" s="30">
        <f t="shared" si="4"/>
        <v>3.6726558217171222E-3</v>
      </c>
      <c r="CH33" s="30">
        <f t="shared" si="5"/>
        <v>6.4516129020520197E-3</v>
      </c>
      <c r="CI33" s="30">
        <f t="shared" si="6"/>
        <v>6.5359477124183009E-3</v>
      </c>
      <c r="CJ33" s="119"/>
    </row>
    <row r="34" spans="1:88" s="92" customFormat="1">
      <c r="A34" s="11" t="s">
        <v>68</v>
      </c>
      <c r="B34" s="11"/>
      <c r="C34" s="11">
        <v>10</v>
      </c>
      <c r="D34" s="11">
        <v>1016</v>
      </c>
      <c r="E34" s="11">
        <v>105</v>
      </c>
      <c r="F34" s="11" t="s">
        <v>250</v>
      </c>
      <c r="G34" s="11">
        <v>2019</v>
      </c>
      <c r="H34" t="s">
        <v>251</v>
      </c>
      <c r="I34" t="s">
        <v>252</v>
      </c>
      <c r="J34" s="18">
        <v>2</v>
      </c>
      <c r="K34" s="10" t="s">
        <v>253</v>
      </c>
      <c r="L34" s="11" t="s">
        <v>73</v>
      </c>
      <c r="M34" s="18">
        <v>230</v>
      </c>
      <c r="N34" s="18" t="s">
        <v>155</v>
      </c>
      <c r="O34" s="92" t="s">
        <v>227</v>
      </c>
      <c r="P34" s="18" t="s">
        <v>254</v>
      </c>
      <c r="Q34" s="18" t="s">
        <v>243</v>
      </c>
      <c r="R34" t="s">
        <v>244</v>
      </c>
      <c r="S34" t="s">
        <v>255</v>
      </c>
      <c r="T34">
        <v>1</v>
      </c>
      <c r="U34" t="s">
        <v>189</v>
      </c>
      <c r="V34">
        <v>1</v>
      </c>
      <c r="W34" s="18" t="s">
        <v>246</v>
      </c>
      <c r="X34" s="18" t="s">
        <v>232</v>
      </c>
      <c r="Y34" s="18" t="s">
        <v>256</v>
      </c>
      <c r="Z34" s="18">
        <v>0</v>
      </c>
      <c r="AA34" s="18">
        <v>0</v>
      </c>
      <c r="AB34" s="18">
        <v>0</v>
      </c>
      <c r="AC34" s="18">
        <v>0</v>
      </c>
      <c r="AD34" s="18">
        <v>0</v>
      </c>
      <c r="AE34" s="18">
        <v>1</v>
      </c>
      <c r="AF34" s="11">
        <v>0</v>
      </c>
      <c r="AG34" s="11">
        <v>0</v>
      </c>
      <c r="AH34" s="18" t="s">
        <v>73</v>
      </c>
      <c r="AI34" s="18">
        <v>0</v>
      </c>
      <c r="AJ34" s="18">
        <v>0</v>
      </c>
      <c r="AK34" s="18">
        <v>0</v>
      </c>
      <c r="AL34" s="18">
        <v>0</v>
      </c>
      <c r="AM34" s="18">
        <v>0</v>
      </c>
      <c r="AN34" s="18">
        <v>1</v>
      </c>
      <c r="AO34" s="18">
        <v>0</v>
      </c>
      <c r="AP34" s="18">
        <v>0</v>
      </c>
      <c r="AQ34" s="18">
        <v>0</v>
      </c>
      <c r="AR34" s="138" t="s">
        <v>73</v>
      </c>
      <c r="AS34" t="s">
        <v>234</v>
      </c>
      <c r="AT34" s="10" t="s">
        <v>257</v>
      </c>
      <c r="AU34" s="10" t="s">
        <v>236</v>
      </c>
      <c r="AV34" s="134">
        <v>0.214</v>
      </c>
      <c r="AW34" s="18" t="s">
        <v>80</v>
      </c>
      <c r="AX34" s="18">
        <v>8.7999999999999995E-2</v>
      </c>
      <c r="AY34" s="18">
        <v>0.05</v>
      </c>
      <c r="AZ34" s="18">
        <v>1</v>
      </c>
      <c r="BA34">
        <f t="shared" si="17"/>
        <v>2.4318181818181821</v>
      </c>
      <c r="BB34" t="s">
        <v>73</v>
      </c>
      <c r="BC34" s="105">
        <f t="shared" si="16"/>
        <v>0.55329675688810287</v>
      </c>
      <c r="BD34" s="11" t="s">
        <v>73</v>
      </c>
      <c r="BE34" s="18">
        <v>71</v>
      </c>
      <c r="BF34" s="11" t="s">
        <v>73</v>
      </c>
      <c r="BG34" s="11" t="s">
        <v>73</v>
      </c>
      <c r="BH34">
        <v>84</v>
      </c>
      <c r="BI34" s="11" t="s">
        <v>73</v>
      </c>
      <c r="BJ34">
        <v>155</v>
      </c>
      <c r="BK34">
        <v>155</v>
      </c>
      <c r="BL34" s="11" t="s">
        <v>73</v>
      </c>
      <c r="BM34" s="11" t="s">
        <v>73</v>
      </c>
      <c r="BN34" s="11" t="s">
        <v>73</v>
      </c>
      <c r="BO34" s="11" t="s">
        <v>73</v>
      </c>
      <c r="BP34" s="11" t="s">
        <v>73</v>
      </c>
      <c r="BQ34" s="11" t="s">
        <v>73</v>
      </c>
      <c r="BR34" s="11" t="s">
        <v>73</v>
      </c>
      <c r="BS34" s="11" t="s">
        <v>73</v>
      </c>
      <c r="BT34" s="11" t="s">
        <v>73</v>
      </c>
      <c r="BU34" s="11" t="s">
        <v>73</v>
      </c>
      <c r="BV34" s="18">
        <v>0</v>
      </c>
      <c r="BW34" s="18">
        <v>0</v>
      </c>
      <c r="BX34" s="18">
        <v>0</v>
      </c>
      <c r="BY34" s="30">
        <f t="shared" si="13"/>
        <v>0.19170548423159203</v>
      </c>
      <c r="BZ34" s="30">
        <f t="shared" ref="BZ34:BZ65" si="18">0.5*LN((1+BY34)/(1-BY34))</f>
        <v>0.1941071241446195</v>
      </c>
      <c r="CA34" s="30">
        <f t="shared" ref="CA34:CA65" si="19">((1-(BZ34^2)^2)/(BJ34-1))</f>
        <v>6.4842883135948935E-3</v>
      </c>
      <c r="CB34" s="30">
        <f t="shared" ref="CB34:CB65" si="20">1/(BJ34-3)</f>
        <v>6.5789473684210523E-3</v>
      </c>
      <c r="CC34" s="92" t="s">
        <v>73</v>
      </c>
      <c r="CD34">
        <f t="shared" si="15"/>
        <v>153</v>
      </c>
      <c r="CE34" s="92" t="s">
        <v>73</v>
      </c>
      <c r="CF34" s="30">
        <f t="shared" ref="CF34:CF56" si="21">((BA34^2)/(BA34^2+BK34))^(1/2)</f>
        <v>0.19170548423159203</v>
      </c>
      <c r="CG34" s="30">
        <f t="shared" ref="CG34:CG65" si="22">0.5*LN((1+CF34)/(1-CF34))</f>
        <v>0.1941071241446195</v>
      </c>
      <c r="CH34" s="30">
        <f t="shared" ref="CH34:CH65" si="23">((1-(CG34^2)^2)/(BK34-1))</f>
        <v>6.4842883135948935E-3</v>
      </c>
      <c r="CI34" s="30">
        <f t="shared" ref="CI34:CI65" si="24">1/(BK34-3)</f>
        <v>6.5789473684210523E-3</v>
      </c>
      <c r="CJ34"/>
    </row>
    <row r="35" spans="1:88" s="92" customFormat="1">
      <c r="A35" s="11" t="s">
        <v>68</v>
      </c>
      <c r="B35" s="11"/>
      <c r="C35" s="11">
        <v>10</v>
      </c>
      <c r="D35" s="11">
        <v>1019</v>
      </c>
      <c r="E35" s="11">
        <v>105</v>
      </c>
      <c r="F35" s="11" t="s">
        <v>250</v>
      </c>
      <c r="G35" s="11">
        <v>2019</v>
      </c>
      <c r="H35" t="s">
        <v>251</v>
      </c>
      <c r="I35" t="s">
        <v>252</v>
      </c>
      <c r="J35" s="18">
        <v>2</v>
      </c>
      <c r="K35" s="10" t="s">
        <v>253</v>
      </c>
      <c r="L35" s="11" t="s">
        <v>73</v>
      </c>
      <c r="M35" s="18">
        <v>230</v>
      </c>
      <c r="N35" s="18" t="s">
        <v>155</v>
      </c>
      <c r="O35" s="92" t="s">
        <v>227</v>
      </c>
      <c r="P35" s="18" t="s">
        <v>254</v>
      </c>
      <c r="Q35" s="18" t="s">
        <v>243</v>
      </c>
      <c r="R35" t="s">
        <v>244</v>
      </c>
      <c r="S35" t="s">
        <v>255</v>
      </c>
      <c r="T35">
        <v>1</v>
      </c>
      <c r="U35" t="s">
        <v>189</v>
      </c>
      <c r="V35">
        <v>1</v>
      </c>
      <c r="W35" s="18" t="s">
        <v>246</v>
      </c>
      <c r="X35" s="18" t="s">
        <v>232</v>
      </c>
      <c r="Y35" s="18" t="s">
        <v>256</v>
      </c>
      <c r="Z35" s="18">
        <v>0</v>
      </c>
      <c r="AA35" s="18">
        <v>0</v>
      </c>
      <c r="AB35" s="18">
        <v>0</v>
      </c>
      <c r="AC35" s="18">
        <v>0</v>
      </c>
      <c r="AD35" s="18">
        <v>0</v>
      </c>
      <c r="AE35" s="18">
        <v>1</v>
      </c>
      <c r="AF35" s="11">
        <v>0</v>
      </c>
      <c r="AG35" s="11">
        <v>0</v>
      </c>
      <c r="AH35" s="18" t="s">
        <v>73</v>
      </c>
      <c r="AI35" s="18">
        <v>0</v>
      </c>
      <c r="AJ35" s="18">
        <v>0</v>
      </c>
      <c r="AK35" s="18">
        <v>0</v>
      </c>
      <c r="AL35" s="18">
        <v>0</v>
      </c>
      <c r="AM35" s="18">
        <v>0</v>
      </c>
      <c r="AN35" s="18">
        <v>1</v>
      </c>
      <c r="AO35" s="18">
        <v>0</v>
      </c>
      <c r="AP35" s="18">
        <v>0</v>
      </c>
      <c r="AQ35" s="18">
        <v>0</v>
      </c>
      <c r="AR35" s="138" t="s">
        <v>73</v>
      </c>
      <c r="AS35" t="s">
        <v>234</v>
      </c>
      <c r="AT35" s="10" t="s">
        <v>257</v>
      </c>
      <c r="AU35" s="10" t="s">
        <v>236</v>
      </c>
      <c r="AV35" s="134">
        <v>0.22500000000000001</v>
      </c>
      <c r="AW35" s="18" t="s">
        <v>80</v>
      </c>
      <c r="AX35">
        <v>8.5999999999999993E-2</v>
      </c>
      <c r="AY35">
        <v>0.01</v>
      </c>
      <c r="AZ35">
        <v>1</v>
      </c>
      <c r="BA35">
        <f t="shared" si="17"/>
        <v>2.6162790697674421</v>
      </c>
      <c r="BB35" t="s">
        <v>73</v>
      </c>
      <c r="BC35" s="105">
        <f t="shared" si="16"/>
        <v>0.55601389054461992</v>
      </c>
      <c r="BD35" s="11" t="s">
        <v>73</v>
      </c>
      <c r="BE35" s="18">
        <v>71</v>
      </c>
      <c r="BF35" s="11" t="s">
        <v>73</v>
      </c>
      <c r="BG35" s="11" t="s">
        <v>73</v>
      </c>
      <c r="BH35">
        <v>84</v>
      </c>
      <c r="BI35" s="11" t="s">
        <v>73</v>
      </c>
      <c r="BJ35">
        <v>155</v>
      </c>
      <c r="BK35">
        <v>155</v>
      </c>
      <c r="BL35" s="11" t="s">
        <v>73</v>
      </c>
      <c r="BM35" s="11" t="s">
        <v>73</v>
      </c>
      <c r="BN35" s="11" t="s">
        <v>73</v>
      </c>
      <c r="BO35" s="11" t="s">
        <v>73</v>
      </c>
      <c r="BP35" s="11" t="s">
        <v>73</v>
      </c>
      <c r="BQ35" s="11" t="s">
        <v>73</v>
      </c>
      <c r="BR35" s="11" t="s">
        <v>73</v>
      </c>
      <c r="BS35" s="11" t="s">
        <v>73</v>
      </c>
      <c r="BT35" s="11" t="s">
        <v>73</v>
      </c>
      <c r="BU35" s="11" t="s">
        <v>73</v>
      </c>
      <c r="BV35" s="18">
        <v>1</v>
      </c>
      <c r="BW35" s="18">
        <v>0</v>
      </c>
      <c r="BX35" s="18">
        <v>1</v>
      </c>
      <c r="BY35" s="30">
        <f t="shared" si="13"/>
        <v>0.2056527568985681</v>
      </c>
      <c r="BZ35" s="30">
        <f t="shared" si="18"/>
        <v>0.20862785334941172</v>
      </c>
      <c r="CA35" s="30">
        <f t="shared" si="19"/>
        <v>6.4812046998817896E-3</v>
      </c>
      <c r="CB35" s="30">
        <f t="shared" si="20"/>
        <v>6.5789473684210523E-3</v>
      </c>
      <c r="CC35" s="92" t="s">
        <v>73</v>
      </c>
      <c r="CD35">
        <f t="shared" si="15"/>
        <v>153</v>
      </c>
      <c r="CE35" s="92" t="s">
        <v>73</v>
      </c>
      <c r="CF35" s="30">
        <f t="shared" si="21"/>
        <v>0.2056527568985681</v>
      </c>
      <c r="CG35" s="30">
        <f t="shared" si="22"/>
        <v>0.20862785334941172</v>
      </c>
      <c r="CH35" s="30">
        <f t="shared" si="23"/>
        <v>6.4812046998817896E-3</v>
      </c>
      <c r="CI35" s="30">
        <f t="shared" si="24"/>
        <v>6.5789473684210523E-3</v>
      </c>
      <c r="CJ35"/>
    </row>
    <row r="36" spans="1:88" s="92" customFormat="1">
      <c r="A36" s="11" t="s">
        <v>68</v>
      </c>
      <c r="B36" s="11"/>
      <c r="C36" s="11">
        <v>10</v>
      </c>
      <c r="D36" s="11">
        <v>1015</v>
      </c>
      <c r="E36" s="11">
        <v>105</v>
      </c>
      <c r="F36" s="11" t="s">
        <v>250</v>
      </c>
      <c r="G36" s="11">
        <v>2019</v>
      </c>
      <c r="H36" t="s">
        <v>251</v>
      </c>
      <c r="I36" t="s">
        <v>252</v>
      </c>
      <c r="J36" s="18">
        <v>2</v>
      </c>
      <c r="K36" s="10" t="s">
        <v>253</v>
      </c>
      <c r="L36" s="11" t="s">
        <v>73</v>
      </c>
      <c r="M36" s="18">
        <v>230</v>
      </c>
      <c r="N36" s="18" t="s">
        <v>155</v>
      </c>
      <c r="O36" s="92" t="s">
        <v>227</v>
      </c>
      <c r="P36" s="18" t="s">
        <v>254</v>
      </c>
      <c r="Q36" s="18" t="s">
        <v>243</v>
      </c>
      <c r="R36" t="s">
        <v>244</v>
      </c>
      <c r="S36" t="s">
        <v>255</v>
      </c>
      <c r="T36">
        <v>1</v>
      </c>
      <c r="U36" t="s">
        <v>189</v>
      </c>
      <c r="V36">
        <v>1</v>
      </c>
      <c r="W36" s="18" t="s">
        <v>246</v>
      </c>
      <c r="X36" s="18" t="s">
        <v>232</v>
      </c>
      <c r="Y36" s="18" t="s">
        <v>256</v>
      </c>
      <c r="Z36" s="18">
        <v>0</v>
      </c>
      <c r="AA36" s="18">
        <v>1</v>
      </c>
      <c r="AB36" s="18">
        <v>0</v>
      </c>
      <c r="AC36" s="18">
        <v>0</v>
      </c>
      <c r="AD36" s="18">
        <v>0</v>
      </c>
      <c r="AE36" s="18">
        <v>1</v>
      </c>
      <c r="AF36" s="11">
        <v>0</v>
      </c>
      <c r="AG36" s="11">
        <v>0</v>
      </c>
      <c r="AH36" s="18" t="s">
        <v>73</v>
      </c>
      <c r="AI36" s="18">
        <v>0</v>
      </c>
      <c r="AJ36" s="18">
        <v>0</v>
      </c>
      <c r="AK36" s="18">
        <v>0</v>
      </c>
      <c r="AL36" s="18">
        <v>0</v>
      </c>
      <c r="AM36" s="18">
        <v>0</v>
      </c>
      <c r="AN36" s="18">
        <v>1</v>
      </c>
      <c r="AO36" s="18">
        <v>0</v>
      </c>
      <c r="AP36" s="18">
        <v>0</v>
      </c>
      <c r="AQ36" s="18">
        <v>0</v>
      </c>
      <c r="AR36" s="138" t="s">
        <v>73</v>
      </c>
      <c r="AS36" t="s">
        <v>234</v>
      </c>
      <c r="AT36" s="10" t="s">
        <v>257</v>
      </c>
      <c r="AU36" s="10" t="s">
        <v>236</v>
      </c>
      <c r="AV36" s="134">
        <v>0.61699999999999999</v>
      </c>
      <c r="AW36" s="7" t="s">
        <v>80</v>
      </c>
      <c r="AX36" s="18">
        <v>0.121</v>
      </c>
      <c r="AY36" s="18">
        <v>0.01</v>
      </c>
      <c r="AZ36" s="18">
        <v>1</v>
      </c>
      <c r="BA36">
        <f t="shared" si="17"/>
        <v>5.0991735537190079</v>
      </c>
      <c r="BB36" s="152">
        <v>0.84</v>
      </c>
      <c r="BC36" s="105">
        <f t="shared" si="16"/>
        <v>0.64953593830061807</v>
      </c>
      <c r="BD36" s="11" t="s">
        <v>73</v>
      </c>
      <c r="BE36" s="18">
        <v>71</v>
      </c>
      <c r="BF36" s="11" t="s">
        <v>73</v>
      </c>
      <c r="BG36" s="11" t="s">
        <v>73</v>
      </c>
      <c r="BH36">
        <v>77</v>
      </c>
      <c r="BI36" s="11" t="s">
        <v>73</v>
      </c>
      <c r="BJ36">
        <v>148</v>
      </c>
      <c r="BK36">
        <v>148</v>
      </c>
      <c r="BL36" s="11" t="s">
        <v>73</v>
      </c>
      <c r="BM36" s="11" t="s">
        <v>73</v>
      </c>
      <c r="BN36" s="11" t="s">
        <v>73</v>
      </c>
      <c r="BO36" s="11" t="s">
        <v>73</v>
      </c>
      <c r="BP36" s="11" t="s">
        <v>73</v>
      </c>
      <c r="BQ36" s="11" t="s">
        <v>73</v>
      </c>
      <c r="BR36" s="11" t="s">
        <v>73</v>
      </c>
      <c r="BS36" s="11" t="s">
        <v>73</v>
      </c>
      <c r="BT36" s="11" t="s">
        <v>73</v>
      </c>
      <c r="BU36" s="11" t="s">
        <v>73</v>
      </c>
      <c r="BV36" s="18">
        <v>0</v>
      </c>
      <c r="BW36" s="18">
        <v>0</v>
      </c>
      <c r="BX36" s="18">
        <v>0</v>
      </c>
      <c r="BY36" s="30">
        <f t="shared" si="13"/>
        <v>0.38656560447568655</v>
      </c>
      <c r="BZ36" s="30">
        <f t="shared" si="18"/>
        <v>0.40775592843557701</v>
      </c>
      <c r="CA36" s="30">
        <f t="shared" si="19"/>
        <v>6.6146665576027192E-3</v>
      </c>
      <c r="CB36" s="30">
        <f t="shared" si="20"/>
        <v>6.8965517241379309E-3</v>
      </c>
      <c r="CC36" s="92" t="s">
        <v>73</v>
      </c>
      <c r="CD36">
        <f t="shared" si="15"/>
        <v>146</v>
      </c>
      <c r="CE36" s="92" t="s">
        <v>73</v>
      </c>
      <c r="CF36" s="30">
        <f t="shared" si="21"/>
        <v>0.38656560447568655</v>
      </c>
      <c r="CG36" s="30">
        <f t="shared" si="22"/>
        <v>0.40775592843557701</v>
      </c>
      <c r="CH36" s="30">
        <f t="shared" si="23"/>
        <v>6.6146665576027192E-3</v>
      </c>
      <c r="CI36" s="30">
        <f t="shared" si="24"/>
        <v>6.8965517241379309E-3</v>
      </c>
      <c r="CJ36"/>
    </row>
    <row r="37" spans="1:88" s="92" customFormat="1">
      <c r="A37" s="11" t="s">
        <v>68</v>
      </c>
      <c r="B37" s="11"/>
      <c r="C37" s="11">
        <v>10</v>
      </c>
      <c r="D37" s="11">
        <v>1018</v>
      </c>
      <c r="E37" s="11">
        <v>105</v>
      </c>
      <c r="F37" s="11" t="s">
        <v>250</v>
      </c>
      <c r="G37" s="11">
        <v>2019</v>
      </c>
      <c r="H37" t="s">
        <v>251</v>
      </c>
      <c r="I37" t="s">
        <v>252</v>
      </c>
      <c r="J37" s="18">
        <v>2</v>
      </c>
      <c r="K37" s="10" t="s">
        <v>253</v>
      </c>
      <c r="L37" s="11" t="s">
        <v>73</v>
      </c>
      <c r="M37" s="18">
        <v>230</v>
      </c>
      <c r="N37" s="18" t="s">
        <v>155</v>
      </c>
      <c r="O37" s="92" t="s">
        <v>227</v>
      </c>
      <c r="P37" s="18" t="s">
        <v>254</v>
      </c>
      <c r="Q37" s="18" t="s">
        <v>243</v>
      </c>
      <c r="R37" t="s">
        <v>244</v>
      </c>
      <c r="S37" t="s">
        <v>255</v>
      </c>
      <c r="T37">
        <v>1</v>
      </c>
      <c r="U37" t="s">
        <v>189</v>
      </c>
      <c r="V37">
        <v>1</v>
      </c>
      <c r="W37" s="18" t="s">
        <v>246</v>
      </c>
      <c r="X37" s="18" t="s">
        <v>232</v>
      </c>
      <c r="Y37" s="18" t="s">
        <v>256</v>
      </c>
      <c r="Z37" s="18">
        <v>0</v>
      </c>
      <c r="AA37" s="18">
        <v>1</v>
      </c>
      <c r="AB37" s="18">
        <v>0</v>
      </c>
      <c r="AC37" s="18">
        <v>0</v>
      </c>
      <c r="AD37" s="18">
        <v>0</v>
      </c>
      <c r="AE37" s="18">
        <v>1</v>
      </c>
      <c r="AF37" s="11">
        <v>0</v>
      </c>
      <c r="AG37" s="11">
        <v>0</v>
      </c>
      <c r="AH37" s="18" t="s">
        <v>73</v>
      </c>
      <c r="AI37" s="18">
        <v>0</v>
      </c>
      <c r="AJ37" s="18">
        <v>0</v>
      </c>
      <c r="AK37" s="18">
        <v>0</v>
      </c>
      <c r="AL37" s="18">
        <v>0</v>
      </c>
      <c r="AM37" s="18">
        <v>0</v>
      </c>
      <c r="AN37" s="18">
        <v>1</v>
      </c>
      <c r="AO37" s="18">
        <v>0</v>
      </c>
      <c r="AP37" s="18">
        <v>0</v>
      </c>
      <c r="AQ37" s="18">
        <v>0</v>
      </c>
      <c r="AR37" s="138" t="s">
        <v>73</v>
      </c>
      <c r="AS37" t="s">
        <v>234</v>
      </c>
      <c r="AT37" s="10" t="s">
        <v>257</v>
      </c>
      <c r="AU37" s="10" t="s">
        <v>236</v>
      </c>
      <c r="AV37" s="134">
        <v>0.629</v>
      </c>
      <c r="AW37" s="7" t="s">
        <v>80</v>
      </c>
      <c r="AX37">
        <v>0.121</v>
      </c>
      <c r="AY37">
        <v>0.01</v>
      </c>
      <c r="AZ37">
        <v>1</v>
      </c>
      <c r="BA37">
        <f t="shared" si="17"/>
        <v>5.1983471074380168</v>
      </c>
      <c r="BB37" s="152">
        <v>0.84</v>
      </c>
      <c r="BC37" s="105">
        <f t="shared" si="16"/>
        <v>0.65226268066592974</v>
      </c>
      <c r="BD37" s="11" t="s">
        <v>73</v>
      </c>
      <c r="BE37" s="18">
        <v>71</v>
      </c>
      <c r="BF37" s="11" t="s">
        <v>73</v>
      </c>
      <c r="BG37" s="11" t="s">
        <v>73</v>
      </c>
      <c r="BH37">
        <v>77</v>
      </c>
      <c r="BI37" s="11" t="s">
        <v>73</v>
      </c>
      <c r="BJ37">
        <v>148</v>
      </c>
      <c r="BK37">
        <v>148</v>
      </c>
      <c r="BL37" s="11" t="s">
        <v>73</v>
      </c>
      <c r="BM37" s="11" t="s">
        <v>73</v>
      </c>
      <c r="BN37" s="11" t="s">
        <v>73</v>
      </c>
      <c r="BO37" s="11" t="s">
        <v>73</v>
      </c>
      <c r="BP37" s="11" t="s">
        <v>73</v>
      </c>
      <c r="BQ37" s="11" t="s">
        <v>73</v>
      </c>
      <c r="BR37" s="11" t="s">
        <v>73</v>
      </c>
      <c r="BS37" s="11" t="s">
        <v>73</v>
      </c>
      <c r="BT37" s="11" t="s">
        <v>73</v>
      </c>
      <c r="BU37" s="11" t="s">
        <v>73</v>
      </c>
      <c r="BV37" s="18">
        <v>1</v>
      </c>
      <c r="BW37" s="18">
        <v>0</v>
      </c>
      <c r="BX37" s="18">
        <v>1</v>
      </c>
      <c r="BY37" s="30">
        <f t="shared" si="13"/>
        <v>0.3929324948845429</v>
      </c>
      <c r="BZ37" s="30">
        <f t="shared" si="18"/>
        <v>0.41526325821269588</v>
      </c>
      <c r="CA37" s="30">
        <f t="shared" si="19"/>
        <v>6.6004300266440307E-3</v>
      </c>
      <c r="CB37" s="30">
        <f t="shared" si="20"/>
        <v>6.8965517241379309E-3</v>
      </c>
      <c r="CC37" s="92" t="s">
        <v>73</v>
      </c>
      <c r="CD37">
        <f t="shared" si="15"/>
        <v>146</v>
      </c>
      <c r="CE37" s="92" t="s">
        <v>73</v>
      </c>
      <c r="CF37" s="30">
        <f t="shared" si="21"/>
        <v>0.3929324948845429</v>
      </c>
      <c r="CG37" s="30">
        <f t="shared" si="22"/>
        <v>0.41526325821269588</v>
      </c>
      <c r="CH37" s="30">
        <f t="shared" si="23"/>
        <v>6.6004300266440307E-3</v>
      </c>
      <c r="CI37" s="30">
        <f t="shared" si="24"/>
        <v>6.8965517241379309E-3</v>
      </c>
      <c r="CJ37"/>
    </row>
    <row r="38" spans="1:88" s="119" customFormat="1">
      <c r="A38" s="11" t="s">
        <v>68</v>
      </c>
      <c r="B38" s="11"/>
      <c r="C38" s="11">
        <v>11</v>
      </c>
      <c r="D38" s="11">
        <v>1030</v>
      </c>
      <c r="E38" s="11">
        <v>106</v>
      </c>
      <c r="F38" s="10" t="s">
        <v>258</v>
      </c>
      <c r="G38" s="11">
        <v>2010</v>
      </c>
      <c r="H38" t="s">
        <v>259</v>
      </c>
      <c r="I38" s="10" t="s">
        <v>260</v>
      </c>
      <c r="J38" s="18">
        <v>2</v>
      </c>
      <c r="K38" s="10">
        <v>2008</v>
      </c>
      <c r="L38" s="10" t="s">
        <v>73</v>
      </c>
      <c r="M38">
        <v>203</v>
      </c>
      <c r="N38" s="18" t="s">
        <v>261</v>
      </c>
      <c r="O38" t="s">
        <v>242</v>
      </c>
      <c r="P38" t="s">
        <v>124</v>
      </c>
      <c r="Q38" s="18" t="s">
        <v>243</v>
      </c>
      <c r="R38" t="s">
        <v>244</v>
      </c>
      <c r="S38" t="s">
        <v>245</v>
      </c>
      <c r="T38">
        <v>1</v>
      </c>
      <c r="U38" t="s">
        <v>189</v>
      </c>
      <c r="V38">
        <v>0</v>
      </c>
      <c r="W38" s="18" t="s">
        <v>232</v>
      </c>
      <c r="X38" s="18" t="s">
        <v>232</v>
      </c>
      <c r="Y38" s="18" t="s">
        <v>73</v>
      </c>
      <c r="Z38">
        <v>0</v>
      </c>
      <c r="AA38">
        <v>0</v>
      </c>
      <c r="AB38">
        <v>0</v>
      </c>
      <c r="AC38">
        <v>0</v>
      </c>
      <c r="AD38">
        <v>0</v>
      </c>
      <c r="AE38">
        <v>1</v>
      </c>
      <c r="AF38">
        <v>0</v>
      </c>
      <c r="AG38">
        <v>0</v>
      </c>
      <c r="AH38" t="s">
        <v>262</v>
      </c>
      <c r="AI38">
        <v>0</v>
      </c>
      <c r="AJ38">
        <v>0</v>
      </c>
      <c r="AK38">
        <v>0</v>
      </c>
      <c r="AL38">
        <v>0</v>
      </c>
      <c r="AM38">
        <v>0</v>
      </c>
      <c r="AN38">
        <v>0</v>
      </c>
      <c r="AO38">
        <v>1</v>
      </c>
      <c r="AP38">
        <v>0</v>
      </c>
      <c r="AQ38">
        <v>0</v>
      </c>
      <c r="AR38" t="s">
        <v>267</v>
      </c>
      <c r="AS38" t="s">
        <v>234</v>
      </c>
      <c r="AT38" t="s">
        <v>264</v>
      </c>
      <c r="AU38" t="s">
        <v>236</v>
      </c>
      <c r="AV38" s="134">
        <v>5.1999999999999998E-2</v>
      </c>
      <c r="AW38" s="7" t="s">
        <v>86</v>
      </c>
      <c r="AX38" t="s">
        <v>73</v>
      </c>
      <c r="AY38">
        <v>0.05</v>
      </c>
      <c r="AZ38">
        <v>2</v>
      </c>
      <c r="BA38" s="19">
        <f t="shared" ref="BA38:BA64" si="25">TINV(AY38,CD38)</f>
        <v>1.962795497038498</v>
      </c>
      <c r="BB38" s="19" t="s">
        <v>73</v>
      </c>
      <c r="BC38" s="105">
        <f t="shared" si="16"/>
        <v>0.51299707145854179</v>
      </c>
      <c r="BD38" t="s">
        <v>73</v>
      </c>
      <c r="BE38" s="18" t="s">
        <v>73</v>
      </c>
      <c r="BF38" t="s">
        <v>73</v>
      </c>
      <c r="BG38" t="s">
        <v>73</v>
      </c>
      <c r="BH38" s="18">
        <v>66</v>
      </c>
      <c r="BI38" t="s">
        <v>73</v>
      </c>
      <c r="BJ38" s="10">
        <v>841</v>
      </c>
      <c r="BK38" s="10">
        <v>841</v>
      </c>
      <c r="BL38" t="s">
        <v>73</v>
      </c>
      <c r="BM38" t="s">
        <v>73</v>
      </c>
      <c r="BN38">
        <v>0</v>
      </c>
      <c r="BO38">
        <v>0</v>
      </c>
      <c r="BP38" t="s">
        <v>73</v>
      </c>
      <c r="BQ38" t="s">
        <v>73</v>
      </c>
      <c r="BR38" t="s">
        <v>73</v>
      </c>
      <c r="BS38" t="s">
        <v>73</v>
      </c>
      <c r="BT38" t="s">
        <v>73</v>
      </c>
      <c r="BU38" t="s">
        <v>73</v>
      </c>
      <c r="BV38" s="18">
        <v>1</v>
      </c>
      <c r="BW38" s="18">
        <v>1</v>
      </c>
      <c r="BX38" s="18">
        <v>1</v>
      </c>
      <c r="BY38" s="30">
        <f t="shared" si="13"/>
        <v>6.7528109143524445E-2</v>
      </c>
      <c r="BZ38" s="30">
        <f t="shared" si="18"/>
        <v>6.7631034648244742E-2</v>
      </c>
      <c r="CA38" s="30">
        <f t="shared" si="19"/>
        <v>1.190451284427091E-3</v>
      </c>
      <c r="CB38" s="30">
        <f t="shared" si="20"/>
        <v>1.1933174224343676E-3</v>
      </c>
      <c r="CC38" s="92" t="s">
        <v>73</v>
      </c>
      <c r="CD38">
        <f t="shared" si="15"/>
        <v>839</v>
      </c>
      <c r="CE38" s="92" t="s">
        <v>73</v>
      </c>
      <c r="CF38" s="30">
        <f t="shared" si="21"/>
        <v>6.7528109143524445E-2</v>
      </c>
      <c r="CG38" s="30">
        <f t="shared" si="22"/>
        <v>6.7631034648244742E-2</v>
      </c>
      <c r="CH38" s="30">
        <f t="shared" si="23"/>
        <v>1.190451284427091E-3</v>
      </c>
      <c r="CI38" s="30">
        <f t="shared" si="24"/>
        <v>1.1933174224343676E-3</v>
      </c>
      <c r="CJ38"/>
    </row>
    <row r="39" spans="1:88" s="92" customFormat="1">
      <c r="A39" s="11" t="s">
        <v>68</v>
      </c>
      <c r="B39" s="11"/>
      <c r="C39" s="11">
        <v>11</v>
      </c>
      <c r="D39" s="11">
        <v>1033</v>
      </c>
      <c r="E39" s="11">
        <v>106</v>
      </c>
      <c r="F39" s="10" t="s">
        <v>258</v>
      </c>
      <c r="G39" s="11">
        <v>2010</v>
      </c>
      <c r="H39" t="s">
        <v>259</v>
      </c>
      <c r="I39" s="10" t="s">
        <v>260</v>
      </c>
      <c r="J39" s="18">
        <v>2</v>
      </c>
      <c r="K39" s="10">
        <v>2008</v>
      </c>
      <c r="L39" s="10" t="s">
        <v>73</v>
      </c>
      <c r="M39">
        <v>203</v>
      </c>
      <c r="N39" s="18" t="s">
        <v>261</v>
      </c>
      <c r="O39" t="s">
        <v>242</v>
      </c>
      <c r="P39" t="s">
        <v>124</v>
      </c>
      <c r="Q39" s="18" t="s">
        <v>243</v>
      </c>
      <c r="R39" t="s">
        <v>244</v>
      </c>
      <c r="S39" t="s">
        <v>245</v>
      </c>
      <c r="T39">
        <v>1</v>
      </c>
      <c r="U39" t="s">
        <v>189</v>
      </c>
      <c r="V39">
        <v>0</v>
      </c>
      <c r="W39" s="18" t="s">
        <v>232</v>
      </c>
      <c r="X39" s="18" t="s">
        <v>232</v>
      </c>
      <c r="Y39" s="18" t="s">
        <v>73</v>
      </c>
      <c r="Z39">
        <v>0</v>
      </c>
      <c r="AA39">
        <v>0</v>
      </c>
      <c r="AB39">
        <v>0</v>
      </c>
      <c r="AC39">
        <v>0</v>
      </c>
      <c r="AD39">
        <v>0</v>
      </c>
      <c r="AE39">
        <v>1</v>
      </c>
      <c r="AF39">
        <v>0</v>
      </c>
      <c r="AG39">
        <v>0</v>
      </c>
      <c r="AH39" t="s">
        <v>262</v>
      </c>
      <c r="AI39">
        <v>0</v>
      </c>
      <c r="AJ39">
        <v>0</v>
      </c>
      <c r="AK39">
        <v>0</v>
      </c>
      <c r="AL39">
        <v>0</v>
      </c>
      <c r="AM39">
        <v>0</v>
      </c>
      <c r="AN39">
        <v>0</v>
      </c>
      <c r="AO39">
        <v>1</v>
      </c>
      <c r="AP39">
        <v>0</v>
      </c>
      <c r="AQ39">
        <v>0</v>
      </c>
      <c r="AR39" t="s">
        <v>267</v>
      </c>
      <c r="AS39" t="s">
        <v>234</v>
      </c>
      <c r="AT39" t="s">
        <v>264</v>
      </c>
      <c r="AU39" t="s">
        <v>236</v>
      </c>
      <c r="AV39" s="134">
        <v>5.2999999999999999E-2</v>
      </c>
      <c r="AW39" s="7" t="s">
        <v>80</v>
      </c>
      <c r="AX39" t="s">
        <v>73</v>
      </c>
      <c r="AY39">
        <v>0.05</v>
      </c>
      <c r="AZ39">
        <v>2</v>
      </c>
      <c r="BA39" s="19">
        <f t="shared" si="25"/>
        <v>1.962795497038498</v>
      </c>
      <c r="BB39" s="19" t="s">
        <v>73</v>
      </c>
      <c r="BC39" s="105">
        <f t="shared" si="16"/>
        <v>0.51324689926682643</v>
      </c>
      <c r="BD39" t="s">
        <v>73</v>
      </c>
      <c r="BE39" s="18" t="s">
        <v>73</v>
      </c>
      <c r="BF39" t="s">
        <v>73</v>
      </c>
      <c r="BG39" t="s">
        <v>73</v>
      </c>
      <c r="BH39" s="18">
        <v>60</v>
      </c>
      <c r="BI39" t="s">
        <v>73</v>
      </c>
      <c r="BJ39" s="10">
        <v>841</v>
      </c>
      <c r="BK39" s="10">
        <v>841</v>
      </c>
      <c r="BL39" t="s">
        <v>73</v>
      </c>
      <c r="BM39" t="s">
        <v>73</v>
      </c>
      <c r="BN39">
        <v>0</v>
      </c>
      <c r="BO39">
        <v>0</v>
      </c>
      <c r="BP39" t="s">
        <v>73</v>
      </c>
      <c r="BQ39" t="s">
        <v>73</v>
      </c>
      <c r="BR39" t="s">
        <v>73</v>
      </c>
      <c r="BS39" t="s">
        <v>73</v>
      </c>
      <c r="BT39" t="s">
        <v>73</v>
      </c>
      <c r="BU39" t="s">
        <v>73</v>
      </c>
      <c r="BV39" s="18">
        <v>1</v>
      </c>
      <c r="BW39" s="18">
        <v>1</v>
      </c>
      <c r="BX39" s="18">
        <v>1</v>
      </c>
      <c r="BY39" s="30">
        <f t="shared" si="13"/>
        <v>6.7528109143524445E-2</v>
      </c>
      <c r="BZ39" s="30">
        <f t="shared" si="18"/>
        <v>6.7631034648244742E-2</v>
      </c>
      <c r="CA39" s="30">
        <f t="shared" si="19"/>
        <v>1.190451284427091E-3</v>
      </c>
      <c r="CB39" s="30">
        <f t="shared" si="20"/>
        <v>1.1933174224343676E-3</v>
      </c>
      <c r="CC39" s="92" t="s">
        <v>73</v>
      </c>
      <c r="CD39">
        <f t="shared" si="15"/>
        <v>839</v>
      </c>
      <c r="CE39" s="92" t="s">
        <v>73</v>
      </c>
      <c r="CF39" s="30">
        <f t="shared" si="21"/>
        <v>6.7528109143524445E-2</v>
      </c>
      <c r="CG39" s="30">
        <f t="shared" si="22"/>
        <v>6.7631034648244742E-2</v>
      </c>
      <c r="CH39" s="30">
        <f t="shared" si="23"/>
        <v>1.190451284427091E-3</v>
      </c>
      <c r="CI39" s="30">
        <f t="shared" si="24"/>
        <v>1.1933174224343676E-3</v>
      </c>
      <c r="CJ39"/>
    </row>
    <row r="40" spans="1:88" s="92" customFormat="1">
      <c r="A40" s="11" t="s">
        <v>68</v>
      </c>
      <c r="B40" s="11"/>
      <c r="C40" s="11">
        <v>11</v>
      </c>
      <c r="D40" s="11">
        <v>1020</v>
      </c>
      <c r="E40" s="11">
        <v>106</v>
      </c>
      <c r="F40" s="10" t="s">
        <v>258</v>
      </c>
      <c r="G40" s="11">
        <v>2010</v>
      </c>
      <c r="H40" t="s">
        <v>259</v>
      </c>
      <c r="I40" s="10" t="s">
        <v>260</v>
      </c>
      <c r="J40" s="18">
        <v>2</v>
      </c>
      <c r="K40" s="10">
        <v>2008</v>
      </c>
      <c r="L40" s="10" t="s">
        <v>73</v>
      </c>
      <c r="M40">
        <v>201</v>
      </c>
      <c r="N40" s="18" t="s">
        <v>261</v>
      </c>
      <c r="O40" t="s">
        <v>242</v>
      </c>
      <c r="P40" t="s">
        <v>124</v>
      </c>
      <c r="Q40" s="18" t="s">
        <v>243</v>
      </c>
      <c r="R40" t="s">
        <v>244</v>
      </c>
      <c r="S40" t="s">
        <v>245</v>
      </c>
      <c r="T40">
        <v>1</v>
      </c>
      <c r="U40" t="s">
        <v>189</v>
      </c>
      <c r="V40">
        <v>0</v>
      </c>
      <c r="W40" s="18" t="s">
        <v>232</v>
      </c>
      <c r="X40" s="18" t="s">
        <v>232</v>
      </c>
      <c r="Y40" s="18" t="s">
        <v>73</v>
      </c>
      <c r="Z40">
        <v>0</v>
      </c>
      <c r="AA40">
        <v>0</v>
      </c>
      <c r="AB40">
        <v>0</v>
      </c>
      <c r="AC40">
        <v>0</v>
      </c>
      <c r="AD40">
        <v>0</v>
      </c>
      <c r="AE40">
        <v>1</v>
      </c>
      <c r="AF40">
        <v>0</v>
      </c>
      <c r="AG40">
        <v>0</v>
      </c>
      <c r="AH40" t="s">
        <v>262</v>
      </c>
      <c r="AI40">
        <v>0</v>
      </c>
      <c r="AJ40">
        <v>0</v>
      </c>
      <c r="AK40">
        <v>0</v>
      </c>
      <c r="AL40">
        <v>0</v>
      </c>
      <c r="AM40">
        <v>0</v>
      </c>
      <c r="AN40">
        <v>0</v>
      </c>
      <c r="AO40">
        <v>1</v>
      </c>
      <c r="AP40">
        <v>0</v>
      </c>
      <c r="AQ40">
        <v>0</v>
      </c>
      <c r="AR40" t="s">
        <v>263</v>
      </c>
      <c r="AS40" t="s">
        <v>234</v>
      </c>
      <c r="AT40" t="s">
        <v>264</v>
      </c>
      <c r="AU40" t="s">
        <v>236</v>
      </c>
      <c r="AV40" s="134">
        <v>0.20499999999999999</v>
      </c>
      <c r="AW40" s="7" t="s">
        <v>80</v>
      </c>
      <c r="AX40" t="s">
        <v>73</v>
      </c>
      <c r="AY40">
        <v>0.05</v>
      </c>
      <c r="AZ40">
        <v>2</v>
      </c>
      <c r="BA40" s="19">
        <f t="shared" si="25"/>
        <v>1.962795497038498</v>
      </c>
      <c r="BB40" s="19" t="s">
        <v>73</v>
      </c>
      <c r="BC40" s="105">
        <f t="shared" si="16"/>
        <v>0.55107126930734196</v>
      </c>
      <c r="BD40" t="s">
        <v>73</v>
      </c>
      <c r="BE40" s="18" t="s">
        <v>73</v>
      </c>
      <c r="BF40" t="s">
        <v>73</v>
      </c>
      <c r="BG40" t="s">
        <v>73</v>
      </c>
      <c r="BH40" s="18">
        <v>54</v>
      </c>
      <c r="BI40" t="s">
        <v>73</v>
      </c>
      <c r="BJ40" s="10">
        <v>841</v>
      </c>
      <c r="BK40" s="10">
        <v>841</v>
      </c>
      <c r="BL40" t="s">
        <v>73</v>
      </c>
      <c r="BM40" t="s">
        <v>73</v>
      </c>
      <c r="BN40">
        <v>235.29</v>
      </c>
      <c r="BO40" t="s">
        <v>266</v>
      </c>
      <c r="BP40" t="s">
        <v>73</v>
      </c>
      <c r="BQ40" t="s">
        <v>73</v>
      </c>
      <c r="BR40" t="s">
        <v>73</v>
      </c>
      <c r="BS40" t="s">
        <v>73</v>
      </c>
      <c r="BT40" t="s">
        <v>73</v>
      </c>
      <c r="BU40" t="s">
        <v>73</v>
      </c>
      <c r="BV40" s="18">
        <v>1</v>
      </c>
      <c r="BW40" s="18">
        <v>1</v>
      </c>
      <c r="BX40" s="18">
        <v>1</v>
      </c>
      <c r="BY40" s="30">
        <f t="shared" si="13"/>
        <v>6.7528109143524445E-2</v>
      </c>
      <c r="BZ40" s="30">
        <f t="shared" si="18"/>
        <v>6.7631034648244742E-2</v>
      </c>
      <c r="CA40" s="30">
        <f t="shared" si="19"/>
        <v>1.190451284427091E-3</v>
      </c>
      <c r="CB40" s="30">
        <f t="shared" si="20"/>
        <v>1.1933174224343676E-3</v>
      </c>
      <c r="CC40" s="92" t="s">
        <v>73</v>
      </c>
      <c r="CD40">
        <f t="shared" si="15"/>
        <v>839</v>
      </c>
      <c r="CE40" s="92" t="s">
        <v>73</v>
      </c>
      <c r="CF40" s="30">
        <f t="shared" si="21"/>
        <v>6.7528109143524445E-2</v>
      </c>
      <c r="CG40" s="30">
        <f t="shared" si="22"/>
        <v>6.7631034648244742E-2</v>
      </c>
      <c r="CH40" s="30">
        <f t="shared" si="23"/>
        <v>1.190451284427091E-3</v>
      </c>
      <c r="CI40" s="30">
        <f t="shared" si="24"/>
        <v>1.1933174224343676E-3</v>
      </c>
      <c r="CJ40"/>
    </row>
    <row r="41" spans="1:88">
      <c r="A41" s="11" t="s">
        <v>68</v>
      </c>
      <c r="B41" s="11"/>
      <c r="C41" s="11">
        <v>11</v>
      </c>
      <c r="D41" s="11">
        <v>1023</v>
      </c>
      <c r="E41" s="11">
        <v>106</v>
      </c>
      <c r="F41" s="10" t="s">
        <v>258</v>
      </c>
      <c r="G41" s="11">
        <v>2010</v>
      </c>
      <c r="H41" t="s">
        <v>259</v>
      </c>
      <c r="I41" s="10" t="s">
        <v>260</v>
      </c>
      <c r="J41" s="18">
        <v>2</v>
      </c>
      <c r="K41" s="10">
        <v>2008</v>
      </c>
      <c r="L41" s="10" t="s">
        <v>73</v>
      </c>
      <c r="M41">
        <v>201</v>
      </c>
      <c r="N41" s="18" t="s">
        <v>261</v>
      </c>
      <c r="O41" t="s">
        <v>242</v>
      </c>
      <c r="P41" t="s">
        <v>124</v>
      </c>
      <c r="Q41" s="18" t="s">
        <v>243</v>
      </c>
      <c r="R41" t="s">
        <v>244</v>
      </c>
      <c r="S41" t="s">
        <v>245</v>
      </c>
      <c r="T41">
        <v>1</v>
      </c>
      <c r="U41" t="s">
        <v>189</v>
      </c>
      <c r="V41">
        <v>0</v>
      </c>
      <c r="W41" s="18" t="s">
        <v>232</v>
      </c>
      <c r="X41" s="18" t="s">
        <v>232</v>
      </c>
      <c r="Y41" s="18" t="s">
        <v>73</v>
      </c>
      <c r="Z41">
        <v>0</v>
      </c>
      <c r="AA41">
        <v>0</v>
      </c>
      <c r="AB41">
        <v>0</v>
      </c>
      <c r="AC41">
        <v>0</v>
      </c>
      <c r="AD41">
        <v>0</v>
      </c>
      <c r="AE41">
        <v>1</v>
      </c>
      <c r="AF41">
        <v>0</v>
      </c>
      <c r="AG41">
        <v>0</v>
      </c>
      <c r="AH41" t="s">
        <v>262</v>
      </c>
      <c r="AI41">
        <v>0</v>
      </c>
      <c r="AJ41">
        <v>0</v>
      </c>
      <c r="AK41">
        <v>0</v>
      </c>
      <c r="AL41">
        <v>0</v>
      </c>
      <c r="AM41">
        <v>0</v>
      </c>
      <c r="AN41">
        <v>0</v>
      </c>
      <c r="AO41">
        <v>1</v>
      </c>
      <c r="AP41">
        <v>0</v>
      </c>
      <c r="AQ41">
        <v>0</v>
      </c>
      <c r="AR41" t="s">
        <v>263</v>
      </c>
      <c r="AS41" t="s">
        <v>234</v>
      </c>
      <c r="AT41" t="s">
        <v>264</v>
      </c>
      <c r="AU41" t="s">
        <v>236</v>
      </c>
      <c r="AV41" s="134">
        <v>0.218</v>
      </c>
      <c r="AW41" s="7" t="s">
        <v>80</v>
      </c>
      <c r="AX41" t="s">
        <v>73</v>
      </c>
      <c r="AY41">
        <v>0.05</v>
      </c>
      <c r="AZ41">
        <v>2</v>
      </c>
      <c r="BA41" s="19">
        <f t="shared" si="25"/>
        <v>1.962795497038498</v>
      </c>
      <c r="BB41" s="19" t="s">
        <v>73</v>
      </c>
      <c r="BC41" s="105">
        <f t="shared" si="16"/>
        <v>0.55428518267346782</v>
      </c>
      <c r="BD41" t="s">
        <v>73</v>
      </c>
      <c r="BE41" s="18" t="s">
        <v>73</v>
      </c>
      <c r="BF41" t="s">
        <v>73</v>
      </c>
      <c r="BG41" t="s">
        <v>73</v>
      </c>
      <c r="BH41" s="18">
        <v>48</v>
      </c>
      <c r="BI41" t="s">
        <v>73</v>
      </c>
      <c r="BJ41" s="10">
        <v>841</v>
      </c>
      <c r="BK41" s="10">
        <v>841</v>
      </c>
      <c r="BL41" t="s">
        <v>73</v>
      </c>
      <c r="BM41" t="s">
        <v>73</v>
      </c>
      <c r="BN41">
        <v>235.29</v>
      </c>
      <c r="BO41" t="s">
        <v>266</v>
      </c>
      <c r="BP41" t="s">
        <v>73</v>
      </c>
      <c r="BQ41" t="s">
        <v>73</v>
      </c>
      <c r="BR41" t="s">
        <v>73</v>
      </c>
      <c r="BS41" t="s">
        <v>73</v>
      </c>
      <c r="BT41" t="s">
        <v>73</v>
      </c>
      <c r="BU41" t="s">
        <v>73</v>
      </c>
      <c r="BV41" s="18">
        <v>1</v>
      </c>
      <c r="BW41" s="18">
        <v>1</v>
      </c>
      <c r="BX41" s="18">
        <v>1</v>
      </c>
      <c r="BY41" s="30">
        <f t="shared" si="13"/>
        <v>6.7528109143524445E-2</v>
      </c>
      <c r="BZ41" s="30">
        <f t="shared" si="18"/>
        <v>6.7631034648244742E-2</v>
      </c>
      <c r="CA41" s="30">
        <f t="shared" si="19"/>
        <v>1.190451284427091E-3</v>
      </c>
      <c r="CB41" s="30">
        <f t="shared" si="20"/>
        <v>1.1933174224343676E-3</v>
      </c>
      <c r="CC41" s="92" t="s">
        <v>73</v>
      </c>
      <c r="CD41">
        <f t="shared" si="15"/>
        <v>839</v>
      </c>
      <c r="CE41" s="92" t="s">
        <v>73</v>
      </c>
      <c r="CF41" s="30">
        <f t="shared" si="21"/>
        <v>6.7528109143524445E-2</v>
      </c>
      <c r="CG41" s="30">
        <f t="shared" si="22"/>
        <v>6.7631034648244742E-2</v>
      </c>
      <c r="CH41" s="30">
        <f t="shared" si="23"/>
        <v>1.190451284427091E-3</v>
      </c>
      <c r="CI41" s="30">
        <f t="shared" si="24"/>
        <v>1.1933174224343676E-3</v>
      </c>
    </row>
    <row r="42" spans="1:88">
      <c r="A42" s="11" t="s">
        <v>68</v>
      </c>
      <c r="B42" s="11"/>
      <c r="C42" s="11">
        <v>11</v>
      </c>
      <c r="D42" s="11">
        <v>1032</v>
      </c>
      <c r="E42" s="11">
        <v>106</v>
      </c>
      <c r="F42" s="10" t="s">
        <v>258</v>
      </c>
      <c r="G42" s="11">
        <v>2010</v>
      </c>
      <c r="H42" t="s">
        <v>259</v>
      </c>
      <c r="I42" s="10" t="s">
        <v>260</v>
      </c>
      <c r="J42" s="18">
        <v>2</v>
      </c>
      <c r="K42" s="10">
        <v>2008</v>
      </c>
      <c r="L42" s="10" t="s">
        <v>73</v>
      </c>
      <c r="M42">
        <v>203</v>
      </c>
      <c r="N42" s="18" t="s">
        <v>261</v>
      </c>
      <c r="O42" t="s">
        <v>242</v>
      </c>
      <c r="P42" t="s">
        <v>124</v>
      </c>
      <c r="Q42" s="18" t="s">
        <v>243</v>
      </c>
      <c r="R42" t="s">
        <v>244</v>
      </c>
      <c r="S42" t="s">
        <v>245</v>
      </c>
      <c r="T42">
        <v>1</v>
      </c>
      <c r="U42" t="s">
        <v>189</v>
      </c>
      <c r="V42">
        <v>0</v>
      </c>
      <c r="W42" s="18" t="s">
        <v>232</v>
      </c>
      <c r="X42" s="18" t="s">
        <v>232</v>
      </c>
      <c r="Y42" s="18" t="s">
        <v>73</v>
      </c>
      <c r="Z42">
        <v>0</v>
      </c>
      <c r="AA42">
        <v>0</v>
      </c>
      <c r="AB42">
        <v>0</v>
      </c>
      <c r="AC42">
        <v>0</v>
      </c>
      <c r="AD42">
        <v>0</v>
      </c>
      <c r="AE42">
        <v>1</v>
      </c>
      <c r="AF42">
        <v>0</v>
      </c>
      <c r="AG42">
        <v>0</v>
      </c>
      <c r="AH42" t="s">
        <v>262</v>
      </c>
      <c r="AI42">
        <v>0</v>
      </c>
      <c r="AJ42">
        <v>0</v>
      </c>
      <c r="AK42">
        <v>0</v>
      </c>
      <c r="AL42">
        <v>0</v>
      </c>
      <c r="AM42">
        <v>0</v>
      </c>
      <c r="AN42">
        <v>0</v>
      </c>
      <c r="AO42">
        <v>1</v>
      </c>
      <c r="AP42">
        <v>0</v>
      </c>
      <c r="AQ42">
        <v>0</v>
      </c>
      <c r="AR42" t="s">
        <v>263</v>
      </c>
      <c r="AS42" t="s">
        <v>234</v>
      </c>
      <c r="AT42" t="s">
        <v>264</v>
      </c>
      <c r="AU42" t="s">
        <v>236</v>
      </c>
      <c r="AV42" s="134">
        <v>0.35199999999999998</v>
      </c>
      <c r="AW42" s="7" t="s">
        <v>86</v>
      </c>
      <c r="AX42" t="s">
        <v>73</v>
      </c>
      <c r="AY42">
        <v>0.05</v>
      </c>
      <c r="AZ42">
        <v>2</v>
      </c>
      <c r="BA42" s="19">
        <f t="shared" si="25"/>
        <v>1.962795497038498</v>
      </c>
      <c r="BB42" s="19" t="s">
        <v>73</v>
      </c>
      <c r="BC42" s="105">
        <f t="shared" si="16"/>
        <v>0.58710248954216959</v>
      </c>
      <c r="BD42" t="s">
        <v>73</v>
      </c>
      <c r="BE42" s="18" t="s">
        <v>73</v>
      </c>
      <c r="BF42" t="s">
        <v>73</v>
      </c>
      <c r="BG42" t="s">
        <v>73</v>
      </c>
      <c r="BH42" s="18">
        <v>60</v>
      </c>
      <c r="BI42" t="s">
        <v>73</v>
      </c>
      <c r="BJ42" s="10">
        <v>841</v>
      </c>
      <c r="BK42" s="10">
        <v>841</v>
      </c>
      <c r="BL42" t="s">
        <v>73</v>
      </c>
      <c r="BM42" t="s">
        <v>73</v>
      </c>
      <c r="BN42">
        <v>235.29</v>
      </c>
      <c r="BO42" t="s">
        <v>266</v>
      </c>
      <c r="BP42" t="s">
        <v>73</v>
      </c>
      <c r="BQ42" t="s">
        <v>73</v>
      </c>
      <c r="BR42" t="s">
        <v>73</v>
      </c>
      <c r="BS42" t="s">
        <v>73</v>
      </c>
      <c r="BT42" t="s">
        <v>73</v>
      </c>
      <c r="BU42" t="s">
        <v>73</v>
      </c>
      <c r="BV42" s="18">
        <v>1</v>
      </c>
      <c r="BW42" s="18">
        <v>1</v>
      </c>
      <c r="BX42" s="18">
        <v>1</v>
      </c>
      <c r="BY42" s="30">
        <f t="shared" si="13"/>
        <v>6.7528109143524445E-2</v>
      </c>
      <c r="BZ42" s="30">
        <f t="shared" si="18"/>
        <v>6.7631034648244742E-2</v>
      </c>
      <c r="CA42" s="30">
        <f t="shared" si="19"/>
        <v>1.190451284427091E-3</v>
      </c>
      <c r="CB42" s="30">
        <f t="shared" si="20"/>
        <v>1.1933174224343676E-3</v>
      </c>
      <c r="CC42" s="92" t="s">
        <v>73</v>
      </c>
      <c r="CD42">
        <f t="shared" si="15"/>
        <v>839</v>
      </c>
      <c r="CE42" s="92" t="s">
        <v>73</v>
      </c>
      <c r="CF42" s="30">
        <f t="shared" si="21"/>
        <v>6.7528109143524445E-2</v>
      </c>
      <c r="CG42" s="30">
        <f t="shared" si="22"/>
        <v>6.7631034648244742E-2</v>
      </c>
      <c r="CH42" s="30">
        <f t="shared" si="23"/>
        <v>1.190451284427091E-3</v>
      </c>
      <c r="CI42" s="30">
        <f t="shared" si="24"/>
        <v>1.1933174224343676E-3</v>
      </c>
    </row>
    <row r="43" spans="1:88">
      <c r="A43" s="11" t="s">
        <v>68</v>
      </c>
      <c r="B43" s="11"/>
      <c r="C43" s="11">
        <v>11</v>
      </c>
      <c r="D43" s="11">
        <v>1024</v>
      </c>
      <c r="E43" s="11">
        <v>106</v>
      </c>
      <c r="F43" s="10" t="s">
        <v>258</v>
      </c>
      <c r="G43" s="11">
        <v>2010</v>
      </c>
      <c r="H43" t="s">
        <v>259</v>
      </c>
      <c r="I43" s="10" t="s">
        <v>260</v>
      </c>
      <c r="J43" s="18">
        <v>2</v>
      </c>
      <c r="K43" s="10">
        <v>2008</v>
      </c>
      <c r="L43" s="10" t="s">
        <v>73</v>
      </c>
      <c r="M43">
        <v>201</v>
      </c>
      <c r="N43" s="18" t="s">
        <v>261</v>
      </c>
      <c r="O43" t="s">
        <v>242</v>
      </c>
      <c r="P43" t="s">
        <v>124</v>
      </c>
      <c r="Q43" s="18" t="s">
        <v>243</v>
      </c>
      <c r="R43" t="s">
        <v>244</v>
      </c>
      <c r="S43" t="s">
        <v>245</v>
      </c>
      <c r="T43">
        <v>1</v>
      </c>
      <c r="U43" t="s">
        <v>189</v>
      </c>
      <c r="V43">
        <v>0</v>
      </c>
      <c r="W43" s="18" t="s">
        <v>232</v>
      </c>
      <c r="X43" s="18" t="s">
        <v>232</v>
      </c>
      <c r="Y43" s="18" t="s">
        <v>73</v>
      </c>
      <c r="Z43">
        <v>0</v>
      </c>
      <c r="AA43">
        <v>0</v>
      </c>
      <c r="AB43">
        <v>0</v>
      </c>
      <c r="AC43">
        <v>0</v>
      </c>
      <c r="AD43">
        <v>0</v>
      </c>
      <c r="AE43">
        <v>1</v>
      </c>
      <c r="AF43">
        <v>0</v>
      </c>
      <c r="AG43">
        <v>0</v>
      </c>
      <c r="AH43" t="s">
        <v>262</v>
      </c>
      <c r="AI43">
        <v>0</v>
      </c>
      <c r="AJ43">
        <v>0</v>
      </c>
      <c r="AK43">
        <v>0</v>
      </c>
      <c r="AL43">
        <v>0</v>
      </c>
      <c r="AM43">
        <v>0</v>
      </c>
      <c r="AN43">
        <v>0</v>
      </c>
      <c r="AO43">
        <v>1</v>
      </c>
      <c r="AP43">
        <v>0</v>
      </c>
      <c r="AQ43">
        <v>0</v>
      </c>
      <c r="AR43" t="s">
        <v>267</v>
      </c>
      <c r="AS43" t="s">
        <v>234</v>
      </c>
      <c r="AT43" t="s">
        <v>264</v>
      </c>
      <c r="AU43" t="s">
        <v>236</v>
      </c>
      <c r="AV43" s="134">
        <v>0.46899999999999997</v>
      </c>
      <c r="AW43" s="7" t="s">
        <v>80</v>
      </c>
      <c r="AX43" t="s">
        <v>73</v>
      </c>
      <c r="AY43">
        <v>0.05</v>
      </c>
      <c r="AZ43">
        <v>2</v>
      </c>
      <c r="BA43" s="19">
        <f t="shared" si="25"/>
        <v>1.962795497038498</v>
      </c>
      <c r="BB43" s="19" t="s">
        <v>73</v>
      </c>
      <c r="BC43" s="105">
        <f t="shared" si="16"/>
        <v>0.61514704250921037</v>
      </c>
      <c r="BD43" t="s">
        <v>73</v>
      </c>
      <c r="BE43" s="18" t="s">
        <v>73</v>
      </c>
      <c r="BF43" t="s">
        <v>73</v>
      </c>
      <c r="BG43" t="s">
        <v>73</v>
      </c>
      <c r="BH43" s="18">
        <v>48</v>
      </c>
      <c r="BI43" t="s">
        <v>73</v>
      </c>
      <c r="BJ43" s="10">
        <v>841</v>
      </c>
      <c r="BK43" s="10">
        <v>841</v>
      </c>
      <c r="BL43" t="s">
        <v>73</v>
      </c>
      <c r="BM43" t="s">
        <v>73</v>
      </c>
      <c r="BN43">
        <v>0</v>
      </c>
      <c r="BO43">
        <v>0</v>
      </c>
      <c r="BP43" t="s">
        <v>73</v>
      </c>
      <c r="BQ43" t="s">
        <v>73</v>
      </c>
      <c r="BR43" t="s">
        <v>73</v>
      </c>
      <c r="BS43" t="s">
        <v>73</v>
      </c>
      <c r="BT43" t="s">
        <v>73</v>
      </c>
      <c r="BU43" t="s">
        <v>73</v>
      </c>
      <c r="BV43" s="18">
        <v>1</v>
      </c>
      <c r="BW43" s="18">
        <v>1</v>
      </c>
      <c r="BX43" s="18">
        <v>1</v>
      </c>
      <c r="BY43" s="30">
        <f t="shared" si="13"/>
        <v>6.7528109143524445E-2</v>
      </c>
      <c r="BZ43" s="30">
        <f t="shared" si="18"/>
        <v>6.7631034648244742E-2</v>
      </c>
      <c r="CA43" s="30">
        <f t="shared" si="19"/>
        <v>1.190451284427091E-3</v>
      </c>
      <c r="CB43" s="30">
        <f t="shared" si="20"/>
        <v>1.1933174224343676E-3</v>
      </c>
      <c r="CC43" s="92" t="s">
        <v>73</v>
      </c>
      <c r="CD43">
        <f t="shared" si="15"/>
        <v>839</v>
      </c>
      <c r="CE43" s="92" t="s">
        <v>73</v>
      </c>
      <c r="CF43" s="30">
        <f t="shared" si="21"/>
        <v>6.7528109143524445E-2</v>
      </c>
      <c r="CG43" s="30">
        <f t="shared" si="22"/>
        <v>6.7631034648244742E-2</v>
      </c>
      <c r="CH43" s="30">
        <f t="shared" si="23"/>
        <v>1.190451284427091E-3</v>
      </c>
      <c r="CI43" s="30">
        <f t="shared" si="24"/>
        <v>1.1933174224343676E-3</v>
      </c>
    </row>
    <row r="44" spans="1:88">
      <c r="A44" s="11" t="s">
        <v>68</v>
      </c>
      <c r="B44" s="11"/>
      <c r="C44" s="11">
        <v>11</v>
      </c>
      <c r="D44" s="11">
        <v>1029</v>
      </c>
      <c r="E44" s="11">
        <v>106</v>
      </c>
      <c r="F44" s="10" t="s">
        <v>258</v>
      </c>
      <c r="G44" s="11">
        <v>2010</v>
      </c>
      <c r="H44" t="s">
        <v>259</v>
      </c>
      <c r="I44" s="10" t="s">
        <v>260</v>
      </c>
      <c r="J44" s="18">
        <v>2</v>
      </c>
      <c r="K44" s="10">
        <v>2008</v>
      </c>
      <c r="L44" s="10" t="s">
        <v>73</v>
      </c>
      <c r="M44">
        <v>203</v>
      </c>
      <c r="N44" s="18" t="s">
        <v>261</v>
      </c>
      <c r="O44" t="s">
        <v>242</v>
      </c>
      <c r="P44" t="s">
        <v>124</v>
      </c>
      <c r="Q44" s="18" t="s">
        <v>243</v>
      </c>
      <c r="R44" t="s">
        <v>244</v>
      </c>
      <c r="S44" t="s">
        <v>245</v>
      </c>
      <c r="T44">
        <v>1</v>
      </c>
      <c r="U44" t="s">
        <v>189</v>
      </c>
      <c r="V44">
        <v>0</v>
      </c>
      <c r="W44" s="18" t="s">
        <v>232</v>
      </c>
      <c r="X44" s="18" t="s">
        <v>232</v>
      </c>
      <c r="Y44" s="18" t="s">
        <v>73</v>
      </c>
      <c r="Z44">
        <v>0</v>
      </c>
      <c r="AA44">
        <v>0</v>
      </c>
      <c r="AB44">
        <v>0</v>
      </c>
      <c r="AC44">
        <v>0</v>
      </c>
      <c r="AD44">
        <v>0</v>
      </c>
      <c r="AE44">
        <v>1</v>
      </c>
      <c r="AF44">
        <v>0</v>
      </c>
      <c r="AG44">
        <v>0</v>
      </c>
      <c r="AH44" t="s">
        <v>262</v>
      </c>
      <c r="AI44">
        <v>0</v>
      </c>
      <c r="AJ44">
        <v>0</v>
      </c>
      <c r="AK44">
        <v>0</v>
      </c>
      <c r="AL44">
        <v>0</v>
      </c>
      <c r="AM44">
        <v>0</v>
      </c>
      <c r="AN44">
        <v>0</v>
      </c>
      <c r="AO44">
        <v>1</v>
      </c>
      <c r="AP44">
        <v>0</v>
      </c>
      <c r="AQ44">
        <v>0</v>
      </c>
      <c r="AR44" t="s">
        <v>263</v>
      </c>
      <c r="AS44" t="s">
        <v>234</v>
      </c>
      <c r="AT44" t="s">
        <v>264</v>
      </c>
      <c r="AU44" t="s">
        <v>236</v>
      </c>
      <c r="AV44" s="134">
        <v>0.47199999999999998</v>
      </c>
      <c r="AW44" s="7" t="s">
        <v>86</v>
      </c>
      <c r="AX44" t="s">
        <v>73</v>
      </c>
      <c r="AY44">
        <v>0.05</v>
      </c>
      <c r="AZ44">
        <v>2</v>
      </c>
      <c r="BA44" s="19">
        <f t="shared" si="25"/>
        <v>1.962795497038498</v>
      </c>
      <c r="BB44" s="19" t="s">
        <v>73</v>
      </c>
      <c r="BC44" s="105">
        <f t="shared" si="16"/>
        <v>0.61585702019703836</v>
      </c>
      <c r="BD44" t="s">
        <v>73</v>
      </c>
      <c r="BE44" s="18" t="s">
        <v>73</v>
      </c>
      <c r="BF44" t="s">
        <v>73</v>
      </c>
      <c r="BG44" t="s">
        <v>73</v>
      </c>
      <c r="BH44" s="18">
        <v>66</v>
      </c>
      <c r="BI44" t="s">
        <v>73</v>
      </c>
      <c r="BJ44" s="10">
        <v>841</v>
      </c>
      <c r="BK44" s="10">
        <v>841</v>
      </c>
      <c r="BL44" t="s">
        <v>73</v>
      </c>
      <c r="BM44" t="s">
        <v>73</v>
      </c>
      <c r="BN44">
        <v>235.29</v>
      </c>
      <c r="BO44" t="s">
        <v>266</v>
      </c>
      <c r="BP44" t="s">
        <v>73</v>
      </c>
      <c r="BQ44" t="s">
        <v>73</v>
      </c>
      <c r="BR44" t="s">
        <v>73</v>
      </c>
      <c r="BS44" t="s">
        <v>73</v>
      </c>
      <c r="BT44" t="s">
        <v>73</v>
      </c>
      <c r="BU44" t="s">
        <v>73</v>
      </c>
      <c r="BV44" s="18">
        <v>1</v>
      </c>
      <c r="BW44" s="18">
        <v>1</v>
      </c>
      <c r="BX44" s="18">
        <v>1</v>
      </c>
      <c r="BY44" s="30">
        <f t="shared" si="13"/>
        <v>6.7528109143524445E-2</v>
      </c>
      <c r="BZ44" s="30">
        <f t="shared" si="18"/>
        <v>6.7631034648244742E-2</v>
      </c>
      <c r="CA44" s="30">
        <f t="shared" si="19"/>
        <v>1.190451284427091E-3</v>
      </c>
      <c r="CB44" s="30">
        <f t="shared" si="20"/>
        <v>1.1933174224343676E-3</v>
      </c>
      <c r="CC44" s="92" t="s">
        <v>73</v>
      </c>
      <c r="CD44">
        <f t="shared" si="15"/>
        <v>839</v>
      </c>
      <c r="CE44" s="92" t="s">
        <v>73</v>
      </c>
      <c r="CF44" s="30">
        <f t="shared" si="21"/>
        <v>6.7528109143524445E-2</v>
      </c>
      <c r="CG44" s="30">
        <f t="shared" si="22"/>
        <v>6.7631034648244742E-2</v>
      </c>
      <c r="CH44" s="30">
        <f t="shared" si="23"/>
        <v>1.190451284427091E-3</v>
      </c>
      <c r="CI44" s="30">
        <f t="shared" si="24"/>
        <v>1.1933174224343676E-3</v>
      </c>
      <c r="CJ44" s="92"/>
    </row>
    <row r="45" spans="1:88">
      <c r="A45" s="11" t="s">
        <v>68</v>
      </c>
      <c r="B45" s="11"/>
      <c r="C45" s="11">
        <v>11</v>
      </c>
      <c r="D45" s="11">
        <v>1021</v>
      </c>
      <c r="E45" s="11">
        <v>106</v>
      </c>
      <c r="F45" s="10" t="s">
        <v>258</v>
      </c>
      <c r="G45" s="11">
        <v>2010</v>
      </c>
      <c r="H45" t="s">
        <v>259</v>
      </c>
      <c r="I45" s="10" t="s">
        <v>260</v>
      </c>
      <c r="J45" s="18">
        <v>2</v>
      </c>
      <c r="K45" s="10">
        <v>2008</v>
      </c>
      <c r="L45" s="10" t="s">
        <v>73</v>
      </c>
      <c r="M45">
        <v>201</v>
      </c>
      <c r="N45" s="18" t="s">
        <v>261</v>
      </c>
      <c r="O45" t="s">
        <v>242</v>
      </c>
      <c r="P45" t="s">
        <v>124</v>
      </c>
      <c r="Q45" s="18" t="s">
        <v>243</v>
      </c>
      <c r="R45" t="s">
        <v>244</v>
      </c>
      <c r="S45" t="s">
        <v>245</v>
      </c>
      <c r="T45">
        <v>1</v>
      </c>
      <c r="U45" t="s">
        <v>189</v>
      </c>
      <c r="V45">
        <v>0</v>
      </c>
      <c r="W45" s="18" t="s">
        <v>232</v>
      </c>
      <c r="X45" s="18" t="s">
        <v>232</v>
      </c>
      <c r="Y45" s="18" t="s">
        <v>73</v>
      </c>
      <c r="Z45">
        <v>0</v>
      </c>
      <c r="AA45">
        <v>0</v>
      </c>
      <c r="AB45">
        <v>0</v>
      </c>
      <c r="AC45">
        <v>0</v>
      </c>
      <c r="AD45">
        <v>0</v>
      </c>
      <c r="AE45">
        <v>1</v>
      </c>
      <c r="AF45">
        <v>0</v>
      </c>
      <c r="AG45">
        <v>0</v>
      </c>
      <c r="AH45" t="s">
        <v>262</v>
      </c>
      <c r="AI45">
        <v>0</v>
      </c>
      <c r="AJ45">
        <v>0</v>
      </c>
      <c r="AK45">
        <v>0</v>
      </c>
      <c r="AL45">
        <v>0</v>
      </c>
      <c r="AM45">
        <v>0</v>
      </c>
      <c r="AN45">
        <v>0</v>
      </c>
      <c r="AO45">
        <v>1</v>
      </c>
      <c r="AP45">
        <v>0</v>
      </c>
      <c r="AQ45">
        <v>0</v>
      </c>
      <c r="AR45" t="s">
        <v>267</v>
      </c>
      <c r="AS45" t="s">
        <v>234</v>
      </c>
      <c r="AT45" t="s">
        <v>264</v>
      </c>
      <c r="AU45" t="s">
        <v>236</v>
      </c>
      <c r="AV45" s="134">
        <v>0.47799999999999998</v>
      </c>
      <c r="AW45" s="7" t="s">
        <v>80</v>
      </c>
      <c r="AX45" t="s">
        <v>73</v>
      </c>
      <c r="AY45">
        <v>0.05</v>
      </c>
      <c r="AZ45">
        <v>2</v>
      </c>
      <c r="BA45" s="19">
        <f t="shared" si="25"/>
        <v>1.962795497038498</v>
      </c>
      <c r="BB45" s="19" t="s">
        <v>73</v>
      </c>
      <c r="BC45" s="105">
        <f t="shared" si="16"/>
        <v>0.61727549280679062</v>
      </c>
      <c r="BD45" t="s">
        <v>73</v>
      </c>
      <c r="BE45" s="18" t="s">
        <v>73</v>
      </c>
      <c r="BF45" t="s">
        <v>73</v>
      </c>
      <c r="BG45" t="s">
        <v>73</v>
      </c>
      <c r="BH45" s="18">
        <v>54</v>
      </c>
      <c r="BI45" t="s">
        <v>73</v>
      </c>
      <c r="BJ45" s="10">
        <v>841</v>
      </c>
      <c r="BK45" s="10">
        <v>841</v>
      </c>
      <c r="BL45" t="s">
        <v>73</v>
      </c>
      <c r="BM45" t="s">
        <v>73</v>
      </c>
      <c r="BN45">
        <v>0</v>
      </c>
      <c r="BO45">
        <v>0</v>
      </c>
      <c r="BP45" t="s">
        <v>73</v>
      </c>
      <c r="BQ45" t="s">
        <v>73</v>
      </c>
      <c r="BR45" t="s">
        <v>73</v>
      </c>
      <c r="BS45" t="s">
        <v>73</v>
      </c>
      <c r="BT45" t="s">
        <v>73</v>
      </c>
      <c r="BU45" t="s">
        <v>73</v>
      </c>
      <c r="BV45" s="18">
        <v>1</v>
      </c>
      <c r="BW45" s="18">
        <v>1</v>
      </c>
      <c r="BX45" s="18">
        <v>1</v>
      </c>
      <c r="BY45" s="30">
        <f t="shared" si="13"/>
        <v>6.7528109143524445E-2</v>
      </c>
      <c r="BZ45" s="30">
        <f t="shared" si="18"/>
        <v>6.7631034648244742E-2</v>
      </c>
      <c r="CA45" s="30">
        <f t="shared" si="19"/>
        <v>1.190451284427091E-3</v>
      </c>
      <c r="CB45" s="30">
        <f t="shared" si="20"/>
        <v>1.1933174224343676E-3</v>
      </c>
      <c r="CC45" s="92" t="s">
        <v>73</v>
      </c>
      <c r="CD45">
        <f t="shared" si="15"/>
        <v>839</v>
      </c>
      <c r="CE45" s="92" t="s">
        <v>73</v>
      </c>
      <c r="CF45" s="30">
        <f t="shared" si="21"/>
        <v>6.7528109143524445E-2</v>
      </c>
      <c r="CG45" s="30">
        <f t="shared" si="22"/>
        <v>6.7631034648244742E-2</v>
      </c>
      <c r="CH45" s="30">
        <f t="shared" si="23"/>
        <v>1.190451284427091E-3</v>
      </c>
      <c r="CI45" s="30">
        <f t="shared" si="24"/>
        <v>1.1933174224343676E-3</v>
      </c>
      <c r="CJ45" s="92"/>
    </row>
    <row r="46" spans="1:88">
      <c r="A46" s="11" t="s">
        <v>68</v>
      </c>
      <c r="B46" s="11"/>
      <c r="C46" s="11">
        <v>11</v>
      </c>
      <c r="D46" s="11">
        <v>1031</v>
      </c>
      <c r="E46" s="11">
        <v>106</v>
      </c>
      <c r="F46" s="10" t="s">
        <v>258</v>
      </c>
      <c r="G46" s="11">
        <v>2010</v>
      </c>
      <c r="H46" t="s">
        <v>259</v>
      </c>
      <c r="I46" s="10" t="s">
        <v>260</v>
      </c>
      <c r="J46" s="18">
        <v>2</v>
      </c>
      <c r="K46" s="10">
        <v>2008</v>
      </c>
      <c r="L46" s="10" t="s">
        <v>73</v>
      </c>
      <c r="M46">
        <v>203</v>
      </c>
      <c r="N46" s="18" t="s">
        <v>261</v>
      </c>
      <c r="O46" t="s">
        <v>242</v>
      </c>
      <c r="P46" t="s">
        <v>124</v>
      </c>
      <c r="Q46" s="18" t="s">
        <v>243</v>
      </c>
      <c r="R46" t="s">
        <v>244</v>
      </c>
      <c r="S46" t="s">
        <v>245</v>
      </c>
      <c r="T46">
        <v>1</v>
      </c>
      <c r="U46" t="s">
        <v>189</v>
      </c>
      <c r="V46">
        <v>0</v>
      </c>
      <c r="W46" s="18" t="s">
        <v>232</v>
      </c>
      <c r="X46" s="18" t="s">
        <v>232</v>
      </c>
      <c r="Y46" s="18" t="s">
        <v>73</v>
      </c>
      <c r="Z46">
        <v>0</v>
      </c>
      <c r="AA46">
        <v>0</v>
      </c>
      <c r="AB46">
        <v>0</v>
      </c>
      <c r="AC46">
        <v>0</v>
      </c>
      <c r="AD46">
        <v>0</v>
      </c>
      <c r="AE46">
        <v>1</v>
      </c>
      <c r="AF46">
        <v>0</v>
      </c>
      <c r="AG46">
        <v>0</v>
      </c>
      <c r="AH46" t="s">
        <v>262</v>
      </c>
      <c r="AI46">
        <v>0</v>
      </c>
      <c r="AJ46">
        <v>0</v>
      </c>
      <c r="AK46">
        <v>0</v>
      </c>
      <c r="AL46">
        <v>0</v>
      </c>
      <c r="AM46">
        <v>0</v>
      </c>
      <c r="AN46">
        <v>0</v>
      </c>
      <c r="AO46">
        <v>1</v>
      </c>
      <c r="AP46">
        <v>0</v>
      </c>
      <c r="AQ46">
        <v>0</v>
      </c>
      <c r="AR46" t="s">
        <v>268</v>
      </c>
      <c r="AS46" t="s">
        <v>234</v>
      </c>
      <c r="AT46" t="s">
        <v>264</v>
      </c>
      <c r="AU46" t="s">
        <v>236</v>
      </c>
      <c r="AV46" s="134">
        <v>1.028</v>
      </c>
      <c r="AW46" s="7" t="s">
        <v>80</v>
      </c>
      <c r="AX46" t="s">
        <v>73</v>
      </c>
      <c r="AY46">
        <v>0.01</v>
      </c>
      <c r="AZ46">
        <v>1</v>
      </c>
      <c r="BA46" s="102">
        <f t="shared" si="25"/>
        <v>2.5817018839793482</v>
      </c>
      <c r="BB46" s="19" t="s">
        <v>73</v>
      </c>
      <c r="BC46" s="105">
        <f t="shared" si="16"/>
        <v>0.73652797043473905</v>
      </c>
      <c r="BD46" t="s">
        <v>73</v>
      </c>
      <c r="BE46" s="18" t="s">
        <v>73</v>
      </c>
      <c r="BF46" t="s">
        <v>73</v>
      </c>
      <c r="BG46" t="s">
        <v>73</v>
      </c>
      <c r="BH46" s="18">
        <v>66</v>
      </c>
      <c r="BI46" t="s">
        <v>73</v>
      </c>
      <c r="BJ46" s="10">
        <v>841</v>
      </c>
      <c r="BK46" s="10">
        <v>841</v>
      </c>
      <c r="BL46" t="s">
        <v>73</v>
      </c>
      <c r="BM46" t="s">
        <v>73</v>
      </c>
      <c r="BN46">
        <v>470.59</v>
      </c>
      <c r="BO46" t="s">
        <v>269</v>
      </c>
      <c r="BP46" t="s">
        <v>73</v>
      </c>
      <c r="BQ46" t="s">
        <v>73</v>
      </c>
      <c r="BR46" t="s">
        <v>73</v>
      </c>
      <c r="BS46" t="s">
        <v>73</v>
      </c>
      <c r="BT46" t="s">
        <v>73</v>
      </c>
      <c r="BU46" t="s">
        <v>73</v>
      </c>
      <c r="BV46" s="18">
        <v>1</v>
      </c>
      <c r="BW46" s="18">
        <v>1</v>
      </c>
      <c r="BX46" s="18">
        <v>1</v>
      </c>
      <c r="BY46" s="30">
        <f t="shared" si="13"/>
        <v>8.8673513868765694E-2</v>
      </c>
      <c r="BZ46" s="30">
        <f t="shared" si="18"/>
        <v>8.890702958732373E-2</v>
      </c>
      <c r="CA46" s="30">
        <f t="shared" si="19"/>
        <v>1.1904018089446793E-3</v>
      </c>
      <c r="CB46" s="30">
        <f t="shared" si="20"/>
        <v>1.1933174224343676E-3</v>
      </c>
      <c r="CC46" s="92" t="s">
        <v>73</v>
      </c>
      <c r="CD46">
        <f t="shared" si="15"/>
        <v>839</v>
      </c>
      <c r="CE46" s="92" t="s">
        <v>73</v>
      </c>
      <c r="CF46" s="30">
        <f t="shared" si="21"/>
        <v>8.8673513868765694E-2</v>
      </c>
      <c r="CG46" s="30">
        <f t="shared" si="22"/>
        <v>8.890702958732373E-2</v>
      </c>
      <c r="CH46" s="30">
        <f t="shared" si="23"/>
        <v>1.1904018089446793E-3</v>
      </c>
      <c r="CI46" s="30">
        <f t="shared" si="24"/>
        <v>1.1933174224343676E-3</v>
      </c>
      <c r="CJ46" s="92"/>
    </row>
    <row r="47" spans="1:88" s="92" customFormat="1">
      <c r="A47" s="11" t="s">
        <v>68</v>
      </c>
      <c r="B47" s="11"/>
      <c r="C47" s="11">
        <v>11</v>
      </c>
      <c r="D47" s="11">
        <v>1034</v>
      </c>
      <c r="E47" s="11">
        <v>106</v>
      </c>
      <c r="F47" s="10" t="s">
        <v>258</v>
      </c>
      <c r="G47" s="11">
        <v>2010</v>
      </c>
      <c r="H47" t="s">
        <v>259</v>
      </c>
      <c r="I47" s="10" t="s">
        <v>260</v>
      </c>
      <c r="J47" s="18">
        <v>2</v>
      </c>
      <c r="K47" s="10">
        <v>2008</v>
      </c>
      <c r="L47" s="10" t="s">
        <v>73</v>
      </c>
      <c r="M47">
        <v>203</v>
      </c>
      <c r="N47" s="18" t="s">
        <v>261</v>
      </c>
      <c r="O47" t="s">
        <v>242</v>
      </c>
      <c r="P47" t="s">
        <v>124</v>
      </c>
      <c r="Q47" s="18" t="s">
        <v>243</v>
      </c>
      <c r="R47" t="s">
        <v>244</v>
      </c>
      <c r="S47" t="s">
        <v>245</v>
      </c>
      <c r="T47">
        <v>1</v>
      </c>
      <c r="U47" t="s">
        <v>189</v>
      </c>
      <c r="V47">
        <v>0</v>
      </c>
      <c r="W47" s="18" t="s">
        <v>232</v>
      </c>
      <c r="X47" s="18" t="s">
        <v>232</v>
      </c>
      <c r="Y47" s="18" t="s">
        <v>73</v>
      </c>
      <c r="Z47">
        <v>0</v>
      </c>
      <c r="AA47">
        <v>0</v>
      </c>
      <c r="AB47">
        <v>0</v>
      </c>
      <c r="AC47">
        <v>0</v>
      </c>
      <c r="AD47">
        <v>0</v>
      </c>
      <c r="AE47">
        <v>1</v>
      </c>
      <c r="AF47">
        <v>0</v>
      </c>
      <c r="AG47">
        <v>0</v>
      </c>
      <c r="AH47" t="s">
        <v>262</v>
      </c>
      <c r="AI47">
        <v>0</v>
      </c>
      <c r="AJ47">
        <v>0</v>
      </c>
      <c r="AK47">
        <v>0</v>
      </c>
      <c r="AL47">
        <v>0</v>
      </c>
      <c r="AM47">
        <v>0</v>
      </c>
      <c r="AN47">
        <v>0</v>
      </c>
      <c r="AO47">
        <v>1</v>
      </c>
      <c r="AP47">
        <v>0</v>
      </c>
      <c r="AQ47">
        <v>0</v>
      </c>
      <c r="AR47" t="s">
        <v>268</v>
      </c>
      <c r="AS47" t="s">
        <v>234</v>
      </c>
      <c r="AT47" t="s">
        <v>264</v>
      </c>
      <c r="AU47" t="s">
        <v>236</v>
      </c>
      <c r="AV47" s="134">
        <v>1.034</v>
      </c>
      <c r="AW47" s="7" t="s">
        <v>80</v>
      </c>
      <c r="AX47" t="s">
        <v>73</v>
      </c>
      <c r="AY47">
        <v>0.01</v>
      </c>
      <c r="AZ47">
        <v>1</v>
      </c>
      <c r="BA47" s="102">
        <f t="shared" si="25"/>
        <v>2.5817018839793482</v>
      </c>
      <c r="BB47" s="19" t="s">
        <v>73</v>
      </c>
      <c r="BC47" s="105">
        <f t="shared" si="16"/>
        <v>0.73769064403297369</v>
      </c>
      <c r="BD47" t="s">
        <v>73</v>
      </c>
      <c r="BE47" s="18" t="s">
        <v>73</v>
      </c>
      <c r="BF47" t="s">
        <v>73</v>
      </c>
      <c r="BG47" t="s">
        <v>73</v>
      </c>
      <c r="BH47" s="18">
        <v>60</v>
      </c>
      <c r="BI47" t="s">
        <v>73</v>
      </c>
      <c r="BJ47" s="10">
        <v>841</v>
      </c>
      <c r="BK47" s="10">
        <v>841</v>
      </c>
      <c r="BL47" t="s">
        <v>73</v>
      </c>
      <c r="BM47" t="s">
        <v>73</v>
      </c>
      <c r="BN47">
        <v>470.59</v>
      </c>
      <c r="BO47" t="s">
        <v>269</v>
      </c>
      <c r="BP47" t="s">
        <v>73</v>
      </c>
      <c r="BQ47" t="s">
        <v>73</v>
      </c>
      <c r="BR47" t="s">
        <v>73</v>
      </c>
      <c r="BS47" t="s">
        <v>73</v>
      </c>
      <c r="BT47" t="s">
        <v>73</v>
      </c>
      <c r="BU47" t="s">
        <v>73</v>
      </c>
      <c r="BV47" s="18">
        <v>1</v>
      </c>
      <c r="BW47" s="18">
        <v>1</v>
      </c>
      <c r="BX47" s="18">
        <v>1</v>
      </c>
      <c r="BY47" s="30">
        <f t="shared" si="13"/>
        <v>8.8673513868765694E-2</v>
      </c>
      <c r="BZ47" s="30">
        <f t="shared" si="18"/>
        <v>8.890702958732373E-2</v>
      </c>
      <c r="CA47" s="30">
        <f t="shared" si="19"/>
        <v>1.1904018089446793E-3</v>
      </c>
      <c r="CB47" s="30">
        <f t="shared" si="20"/>
        <v>1.1933174224343676E-3</v>
      </c>
      <c r="CC47" s="92" t="s">
        <v>73</v>
      </c>
      <c r="CD47">
        <f t="shared" si="15"/>
        <v>839</v>
      </c>
      <c r="CE47" s="92" t="s">
        <v>73</v>
      </c>
      <c r="CF47" s="30">
        <f t="shared" si="21"/>
        <v>8.8673513868765694E-2</v>
      </c>
      <c r="CG47" s="30">
        <f t="shared" si="22"/>
        <v>8.890702958732373E-2</v>
      </c>
      <c r="CH47" s="30">
        <f t="shared" si="23"/>
        <v>1.1904018089446793E-3</v>
      </c>
      <c r="CI47" s="30">
        <f t="shared" si="24"/>
        <v>1.1933174224343676E-3</v>
      </c>
      <c r="CJ47" s="119"/>
    </row>
    <row r="48" spans="1:88" s="92" customFormat="1">
      <c r="A48" s="11" t="s">
        <v>68</v>
      </c>
      <c r="B48" s="11"/>
      <c r="C48" s="11">
        <v>11</v>
      </c>
      <c r="D48" s="11">
        <v>1025</v>
      </c>
      <c r="E48" s="11">
        <v>106</v>
      </c>
      <c r="F48" s="10" t="s">
        <v>258</v>
      </c>
      <c r="G48" s="11">
        <v>2010</v>
      </c>
      <c r="H48" t="s">
        <v>259</v>
      </c>
      <c r="I48" s="10" t="s">
        <v>260</v>
      </c>
      <c r="J48" s="18">
        <v>2</v>
      </c>
      <c r="K48" s="10">
        <v>2008</v>
      </c>
      <c r="L48" s="10" t="s">
        <v>73</v>
      </c>
      <c r="M48">
        <v>201</v>
      </c>
      <c r="N48" s="18" t="s">
        <v>261</v>
      </c>
      <c r="O48" t="s">
        <v>242</v>
      </c>
      <c r="P48" t="s">
        <v>124</v>
      </c>
      <c r="Q48" s="18" t="s">
        <v>243</v>
      </c>
      <c r="R48" t="s">
        <v>244</v>
      </c>
      <c r="S48" t="s">
        <v>245</v>
      </c>
      <c r="T48">
        <v>1</v>
      </c>
      <c r="U48" t="s">
        <v>189</v>
      </c>
      <c r="V48">
        <v>0</v>
      </c>
      <c r="W48" s="18" t="s">
        <v>232</v>
      </c>
      <c r="X48" s="18" t="s">
        <v>232</v>
      </c>
      <c r="Y48" s="18" t="s">
        <v>73</v>
      </c>
      <c r="Z48">
        <v>0</v>
      </c>
      <c r="AA48">
        <v>0</v>
      </c>
      <c r="AB48">
        <v>0</v>
      </c>
      <c r="AC48">
        <v>0</v>
      </c>
      <c r="AD48">
        <v>0</v>
      </c>
      <c r="AE48">
        <v>1</v>
      </c>
      <c r="AF48">
        <v>0</v>
      </c>
      <c r="AG48">
        <v>0</v>
      </c>
      <c r="AH48" t="s">
        <v>262</v>
      </c>
      <c r="AI48">
        <v>0</v>
      </c>
      <c r="AJ48">
        <v>0</v>
      </c>
      <c r="AK48">
        <v>0</v>
      </c>
      <c r="AL48">
        <v>0</v>
      </c>
      <c r="AM48">
        <v>0</v>
      </c>
      <c r="AN48">
        <v>0</v>
      </c>
      <c r="AO48">
        <v>1</v>
      </c>
      <c r="AP48">
        <v>0</v>
      </c>
      <c r="AQ48">
        <v>0</v>
      </c>
      <c r="AR48" t="s">
        <v>268</v>
      </c>
      <c r="AS48" t="s">
        <v>234</v>
      </c>
      <c r="AT48" t="s">
        <v>264</v>
      </c>
      <c r="AU48" t="s">
        <v>236</v>
      </c>
      <c r="AV48" s="134">
        <v>1.6839999999999999</v>
      </c>
      <c r="AW48" s="7" t="s">
        <v>80</v>
      </c>
      <c r="AX48" t="s">
        <v>73</v>
      </c>
      <c r="AY48">
        <v>0.01</v>
      </c>
      <c r="AZ48">
        <v>1</v>
      </c>
      <c r="BA48" s="19">
        <f t="shared" si="25"/>
        <v>2.5817018839793482</v>
      </c>
      <c r="BB48" s="19" t="s">
        <v>73</v>
      </c>
      <c r="BC48" s="105">
        <f t="shared" si="16"/>
        <v>0.84343347083615006</v>
      </c>
      <c r="BD48" t="s">
        <v>73</v>
      </c>
      <c r="BE48" s="18" t="s">
        <v>73</v>
      </c>
      <c r="BF48" t="s">
        <v>73</v>
      </c>
      <c r="BG48" t="s">
        <v>73</v>
      </c>
      <c r="BH48" s="18">
        <v>48</v>
      </c>
      <c r="BI48" t="s">
        <v>73</v>
      </c>
      <c r="BJ48" s="10">
        <v>841</v>
      </c>
      <c r="BK48" s="10">
        <v>841</v>
      </c>
      <c r="BL48" t="s">
        <v>73</v>
      </c>
      <c r="BM48" t="s">
        <v>73</v>
      </c>
      <c r="BN48">
        <v>470.59</v>
      </c>
      <c r="BO48" t="s">
        <v>269</v>
      </c>
      <c r="BP48" t="s">
        <v>73</v>
      </c>
      <c r="BQ48" t="s">
        <v>73</v>
      </c>
      <c r="BR48" t="s">
        <v>73</v>
      </c>
      <c r="BS48" t="s">
        <v>73</v>
      </c>
      <c r="BT48" t="s">
        <v>73</v>
      </c>
      <c r="BU48" t="s">
        <v>73</v>
      </c>
      <c r="BV48" s="18">
        <v>1</v>
      </c>
      <c r="BW48" s="18">
        <v>1</v>
      </c>
      <c r="BX48" s="18">
        <v>1</v>
      </c>
      <c r="BY48" s="30">
        <f t="shared" si="13"/>
        <v>8.8673513868765694E-2</v>
      </c>
      <c r="BZ48" s="30">
        <f t="shared" si="18"/>
        <v>8.890702958732373E-2</v>
      </c>
      <c r="CA48" s="30">
        <f t="shared" si="19"/>
        <v>1.1904018089446793E-3</v>
      </c>
      <c r="CB48" s="30">
        <f t="shared" si="20"/>
        <v>1.1933174224343676E-3</v>
      </c>
      <c r="CC48" s="92" t="s">
        <v>73</v>
      </c>
      <c r="CD48">
        <f t="shared" si="15"/>
        <v>839</v>
      </c>
      <c r="CE48" s="92" t="s">
        <v>73</v>
      </c>
      <c r="CF48" s="30">
        <f t="shared" si="21"/>
        <v>8.8673513868765694E-2</v>
      </c>
      <c r="CG48" s="30">
        <f t="shared" si="22"/>
        <v>8.890702958732373E-2</v>
      </c>
      <c r="CH48" s="30">
        <f t="shared" si="23"/>
        <v>1.1904018089446793E-3</v>
      </c>
      <c r="CI48" s="30">
        <f t="shared" si="24"/>
        <v>1.1933174224343676E-3</v>
      </c>
      <c r="CJ48" s="119"/>
    </row>
    <row r="49" spans="1:88" s="92" customFormat="1">
      <c r="A49" s="11" t="s">
        <v>68</v>
      </c>
      <c r="B49" s="11"/>
      <c r="C49" s="11">
        <v>11</v>
      </c>
      <c r="D49" s="11">
        <v>1022</v>
      </c>
      <c r="E49" s="11">
        <v>106</v>
      </c>
      <c r="F49" s="10" t="s">
        <v>258</v>
      </c>
      <c r="G49" s="11">
        <v>2010</v>
      </c>
      <c r="H49" t="s">
        <v>259</v>
      </c>
      <c r="I49" s="10" t="s">
        <v>260</v>
      </c>
      <c r="J49" s="18">
        <v>2</v>
      </c>
      <c r="K49" s="10">
        <v>2008</v>
      </c>
      <c r="L49" s="10" t="s">
        <v>73</v>
      </c>
      <c r="M49">
        <v>201</v>
      </c>
      <c r="N49" s="18" t="s">
        <v>261</v>
      </c>
      <c r="O49" t="s">
        <v>242</v>
      </c>
      <c r="P49" t="s">
        <v>124</v>
      </c>
      <c r="Q49" s="18" t="s">
        <v>243</v>
      </c>
      <c r="R49" t="s">
        <v>244</v>
      </c>
      <c r="S49" t="s">
        <v>245</v>
      </c>
      <c r="T49">
        <v>1</v>
      </c>
      <c r="U49" t="s">
        <v>189</v>
      </c>
      <c r="V49">
        <v>0</v>
      </c>
      <c r="W49" s="18" t="s">
        <v>232</v>
      </c>
      <c r="X49" s="18" t="s">
        <v>232</v>
      </c>
      <c r="Y49" s="18" t="s">
        <v>73</v>
      </c>
      <c r="Z49">
        <v>0</v>
      </c>
      <c r="AA49">
        <v>0</v>
      </c>
      <c r="AB49">
        <v>0</v>
      </c>
      <c r="AC49">
        <v>0</v>
      </c>
      <c r="AD49">
        <v>0</v>
      </c>
      <c r="AE49">
        <v>1</v>
      </c>
      <c r="AF49">
        <v>0</v>
      </c>
      <c r="AG49">
        <v>0</v>
      </c>
      <c r="AH49" t="s">
        <v>262</v>
      </c>
      <c r="AI49">
        <v>0</v>
      </c>
      <c r="AJ49">
        <v>0</v>
      </c>
      <c r="AK49">
        <v>0</v>
      </c>
      <c r="AL49">
        <v>0</v>
      </c>
      <c r="AM49">
        <v>0</v>
      </c>
      <c r="AN49">
        <v>0</v>
      </c>
      <c r="AO49">
        <v>1</v>
      </c>
      <c r="AP49">
        <v>0</v>
      </c>
      <c r="AQ49">
        <v>0</v>
      </c>
      <c r="AR49" t="s">
        <v>268</v>
      </c>
      <c r="AS49" t="s">
        <v>234</v>
      </c>
      <c r="AT49" t="s">
        <v>264</v>
      </c>
      <c r="AU49" t="s">
        <v>236</v>
      </c>
      <c r="AV49" s="134">
        <v>1.6879999999999999</v>
      </c>
      <c r="AW49" s="7" t="s">
        <v>80</v>
      </c>
      <c r="AX49" t="s">
        <v>73</v>
      </c>
      <c r="AY49">
        <v>0.01</v>
      </c>
      <c r="AZ49">
        <v>1</v>
      </c>
      <c r="BA49" s="19">
        <f t="shared" si="25"/>
        <v>2.5817018839793482</v>
      </c>
      <c r="BB49" s="19" t="s">
        <v>73</v>
      </c>
      <c r="BC49" s="105">
        <f t="shared" si="16"/>
        <v>0.84396095930848247</v>
      </c>
      <c r="BD49" t="s">
        <v>73</v>
      </c>
      <c r="BE49" s="18" t="s">
        <v>73</v>
      </c>
      <c r="BF49" t="s">
        <v>73</v>
      </c>
      <c r="BG49" t="s">
        <v>73</v>
      </c>
      <c r="BH49" s="18">
        <v>54</v>
      </c>
      <c r="BI49" t="s">
        <v>73</v>
      </c>
      <c r="BJ49" s="10">
        <v>841</v>
      </c>
      <c r="BK49" s="10">
        <v>841</v>
      </c>
      <c r="BL49" t="s">
        <v>73</v>
      </c>
      <c r="BM49" t="s">
        <v>73</v>
      </c>
      <c r="BN49">
        <v>470.59</v>
      </c>
      <c r="BO49" t="s">
        <v>269</v>
      </c>
      <c r="BP49" t="s">
        <v>73</v>
      </c>
      <c r="BQ49" t="s">
        <v>73</v>
      </c>
      <c r="BR49" t="s">
        <v>73</v>
      </c>
      <c r="BS49" t="s">
        <v>73</v>
      </c>
      <c r="BT49" t="s">
        <v>73</v>
      </c>
      <c r="BU49" t="s">
        <v>73</v>
      </c>
      <c r="BV49" s="18">
        <v>1</v>
      </c>
      <c r="BW49" s="18">
        <v>1</v>
      </c>
      <c r="BX49" s="18">
        <v>1</v>
      </c>
      <c r="BY49" s="30">
        <f t="shared" si="13"/>
        <v>8.8673513868765694E-2</v>
      </c>
      <c r="BZ49" s="30">
        <f t="shared" si="18"/>
        <v>8.890702958732373E-2</v>
      </c>
      <c r="CA49" s="30">
        <f t="shared" si="19"/>
        <v>1.1904018089446793E-3</v>
      </c>
      <c r="CB49" s="30">
        <f t="shared" si="20"/>
        <v>1.1933174224343676E-3</v>
      </c>
      <c r="CC49" s="92" t="s">
        <v>73</v>
      </c>
      <c r="CD49">
        <f t="shared" si="15"/>
        <v>839</v>
      </c>
      <c r="CE49" s="92" t="s">
        <v>73</v>
      </c>
      <c r="CF49" s="30">
        <f t="shared" si="21"/>
        <v>8.8673513868765694E-2</v>
      </c>
      <c r="CG49" s="30">
        <f t="shared" si="22"/>
        <v>8.890702958732373E-2</v>
      </c>
      <c r="CH49" s="30">
        <f t="shared" si="23"/>
        <v>1.1904018089446793E-3</v>
      </c>
      <c r="CI49" s="30">
        <f t="shared" si="24"/>
        <v>1.1933174224343676E-3</v>
      </c>
      <c r="CJ49"/>
    </row>
    <row r="50" spans="1:88" s="92" customFormat="1">
      <c r="A50" s="11" t="s">
        <v>68</v>
      </c>
      <c r="B50" s="11"/>
      <c r="C50" s="11">
        <v>11</v>
      </c>
      <c r="D50" s="11">
        <v>1026</v>
      </c>
      <c r="E50" s="11">
        <v>106</v>
      </c>
      <c r="F50" s="10" t="s">
        <v>258</v>
      </c>
      <c r="G50" s="11">
        <v>2010</v>
      </c>
      <c r="H50" t="s">
        <v>259</v>
      </c>
      <c r="I50" s="10" t="s">
        <v>260</v>
      </c>
      <c r="J50" s="18">
        <v>2</v>
      </c>
      <c r="K50" s="10">
        <v>2008</v>
      </c>
      <c r="L50" s="10" t="s">
        <v>73</v>
      </c>
      <c r="M50">
        <v>203</v>
      </c>
      <c r="N50" s="18" t="s">
        <v>270</v>
      </c>
      <c r="O50" t="s">
        <v>242</v>
      </c>
      <c r="P50" t="s">
        <v>124</v>
      </c>
      <c r="Q50" s="18" t="s">
        <v>243</v>
      </c>
      <c r="R50" t="s">
        <v>244</v>
      </c>
      <c r="S50" t="s">
        <v>245</v>
      </c>
      <c r="T50">
        <v>1</v>
      </c>
      <c r="U50" t="s">
        <v>189</v>
      </c>
      <c r="V50">
        <v>0</v>
      </c>
      <c r="W50" s="18" t="s">
        <v>232</v>
      </c>
      <c r="X50" s="18" t="s">
        <v>232</v>
      </c>
      <c r="Y50" s="18" t="s">
        <v>73</v>
      </c>
      <c r="Z50">
        <v>0</v>
      </c>
      <c r="AA50">
        <v>0</v>
      </c>
      <c r="AB50">
        <v>0</v>
      </c>
      <c r="AC50">
        <v>0</v>
      </c>
      <c r="AD50">
        <v>0</v>
      </c>
      <c r="AE50">
        <v>1</v>
      </c>
      <c r="AF50">
        <v>0</v>
      </c>
      <c r="AG50">
        <v>0</v>
      </c>
      <c r="AH50" t="s">
        <v>262</v>
      </c>
      <c r="AI50">
        <v>0</v>
      </c>
      <c r="AJ50">
        <v>0</v>
      </c>
      <c r="AK50">
        <v>0</v>
      </c>
      <c r="AL50">
        <v>0</v>
      </c>
      <c r="AM50">
        <v>0</v>
      </c>
      <c r="AN50">
        <v>0</v>
      </c>
      <c r="AO50">
        <v>1</v>
      </c>
      <c r="AP50">
        <v>0</v>
      </c>
      <c r="AQ50">
        <v>0</v>
      </c>
      <c r="AR50" t="s">
        <v>263</v>
      </c>
      <c r="AS50" t="s">
        <v>234</v>
      </c>
      <c r="AT50" t="s">
        <v>264</v>
      </c>
      <c r="AU50" s="11" t="s">
        <v>236</v>
      </c>
      <c r="AV50" s="134">
        <v>1.7999999999999999E-2</v>
      </c>
      <c r="AW50" s="7" t="s">
        <v>80</v>
      </c>
      <c r="AX50" t="s">
        <v>73</v>
      </c>
      <c r="AY50">
        <v>0.05</v>
      </c>
      <c r="AZ50">
        <v>2</v>
      </c>
      <c r="BA50" s="19">
        <f t="shared" si="25"/>
        <v>1.962795497038498</v>
      </c>
      <c r="BB50" s="19" t="s">
        <v>73</v>
      </c>
      <c r="BC50" s="105">
        <f t="shared" si="16"/>
        <v>0.50449987850393641</v>
      </c>
      <c r="BD50" t="s">
        <v>73</v>
      </c>
      <c r="BE50" s="18" t="s">
        <v>73</v>
      </c>
      <c r="BF50" t="s">
        <v>73</v>
      </c>
      <c r="BG50" t="s">
        <v>73</v>
      </c>
      <c r="BH50" s="18">
        <v>40</v>
      </c>
      <c r="BI50" t="s">
        <v>73</v>
      </c>
      <c r="BJ50" s="10">
        <v>841</v>
      </c>
      <c r="BK50" s="10">
        <v>841</v>
      </c>
      <c r="BL50" t="s">
        <v>73</v>
      </c>
      <c r="BM50" t="s">
        <v>73</v>
      </c>
      <c r="BN50">
        <v>235.29</v>
      </c>
      <c r="BO50" t="s">
        <v>266</v>
      </c>
      <c r="BP50" t="s">
        <v>73</v>
      </c>
      <c r="BQ50" t="s">
        <v>73</v>
      </c>
      <c r="BR50" t="s">
        <v>73</v>
      </c>
      <c r="BS50" t="s">
        <v>73</v>
      </c>
      <c r="BT50" t="s">
        <v>73</v>
      </c>
      <c r="BU50" t="s">
        <v>73</v>
      </c>
      <c r="BV50" s="18">
        <v>1</v>
      </c>
      <c r="BW50" s="18">
        <v>1</v>
      </c>
      <c r="BX50" s="18">
        <v>1</v>
      </c>
      <c r="BY50" s="30">
        <f t="shared" si="13"/>
        <v>6.7528109143524445E-2</v>
      </c>
      <c r="BZ50" s="30">
        <f t="shared" si="18"/>
        <v>6.7631034648244742E-2</v>
      </c>
      <c r="CA50" s="30">
        <f t="shared" si="19"/>
        <v>1.190451284427091E-3</v>
      </c>
      <c r="CB50" s="30">
        <f t="shared" si="20"/>
        <v>1.1933174224343676E-3</v>
      </c>
      <c r="CC50" s="92" t="s">
        <v>73</v>
      </c>
      <c r="CD50">
        <f t="shared" si="15"/>
        <v>839</v>
      </c>
      <c r="CE50" s="92" t="s">
        <v>73</v>
      </c>
      <c r="CF50" s="30">
        <f t="shared" si="21"/>
        <v>6.7528109143524445E-2</v>
      </c>
      <c r="CG50" s="30">
        <f t="shared" si="22"/>
        <v>6.7631034648244742E-2</v>
      </c>
      <c r="CH50" s="30">
        <f t="shared" si="23"/>
        <v>1.190451284427091E-3</v>
      </c>
      <c r="CI50" s="30">
        <f t="shared" si="24"/>
        <v>1.1933174224343676E-3</v>
      </c>
      <c r="CJ50"/>
    </row>
    <row r="51" spans="1:88" s="92" customFormat="1">
      <c r="A51" s="11" t="s">
        <v>68</v>
      </c>
      <c r="B51" s="11"/>
      <c r="C51" s="11">
        <v>11</v>
      </c>
      <c r="D51" s="11">
        <v>1027</v>
      </c>
      <c r="E51" s="11">
        <v>106</v>
      </c>
      <c r="F51" s="10" t="s">
        <v>258</v>
      </c>
      <c r="G51" s="11">
        <v>2010</v>
      </c>
      <c r="H51" t="s">
        <v>259</v>
      </c>
      <c r="I51" s="10" t="s">
        <v>260</v>
      </c>
      <c r="J51" s="18">
        <v>2</v>
      </c>
      <c r="K51" s="10">
        <v>2008</v>
      </c>
      <c r="L51" s="10" t="s">
        <v>73</v>
      </c>
      <c r="M51">
        <v>203</v>
      </c>
      <c r="N51" s="18" t="s">
        <v>270</v>
      </c>
      <c r="O51" t="s">
        <v>242</v>
      </c>
      <c r="P51" t="s">
        <v>124</v>
      </c>
      <c r="Q51" s="18" t="s">
        <v>243</v>
      </c>
      <c r="R51" t="s">
        <v>244</v>
      </c>
      <c r="S51" t="s">
        <v>245</v>
      </c>
      <c r="T51">
        <v>1</v>
      </c>
      <c r="U51" t="s">
        <v>189</v>
      </c>
      <c r="V51">
        <v>0</v>
      </c>
      <c r="W51" s="18" t="s">
        <v>232</v>
      </c>
      <c r="X51" s="18" t="s">
        <v>232</v>
      </c>
      <c r="Y51" s="18" t="s">
        <v>73</v>
      </c>
      <c r="Z51">
        <v>0</v>
      </c>
      <c r="AA51">
        <v>0</v>
      </c>
      <c r="AB51">
        <v>0</v>
      </c>
      <c r="AC51">
        <v>0</v>
      </c>
      <c r="AD51">
        <v>0</v>
      </c>
      <c r="AE51">
        <v>1</v>
      </c>
      <c r="AF51">
        <v>0</v>
      </c>
      <c r="AG51">
        <v>0</v>
      </c>
      <c r="AH51" t="s">
        <v>262</v>
      </c>
      <c r="AI51">
        <v>0</v>
      </c>
      <c r="AJ51">
        <v>0</v>
      </c>
      <c r="AK51">
        <v>0</v>
      </c>
      <c r="AL51">
        <v>0</v>
      </c>
      <c r="AM51">
        <v>0</v>
      </c>
      <c r="AN51">
        <v>0</v>
      </c>
      <c r="AO51">
        <v>1</v>
      </c>
      <c r="AP51">
        <v>0</v>
      </c>
      <c r="AQ51">
        <v>0</v>
      </c>
      <c r="AR51" t="s">
        <v>267</v>
      </c>
      <c r="AS51" t="s">
        <v>234</v>
      </c>
      <c r="AT51" t="s">
        <v>264</v>
      </c>
      <c r="AU51" s="11" t="s">
        <v>236</v>
      </c>
      <c r="AV51" s="134">
        <v>0.84799999999999998</v>
      </c>
      <c r="AW51" s="7" t="s">
        <v>80</v>
      </c>
      <c r="AX51" t="s">
        <v>73</v>
      </c>
      <c r="AY51">
        <v>0.05</v>
      </c>
      <c r="AZ51">
        <v>2</v>
      </c>
      <c r="BA51" s="19">
        <f t="shared" si="25"/>
        <v>1.962795497038498</v>
      </c>
      <c r="BB51" s="19" t="s">
        <v>73</v>
      </c>
      <c r="BC51" s="105">
        <f t="shared" si="16"/>
        <v>0.70014742860953705</v>
      </c>
      <c r="BD51" t="s">
        <v>73</v>
      </c>
      <c r="BE51" s="18" t="s">
        <v>73</v>
      </c>
      <c r="BF51" t="s">
        <v>73</v>
      </c>
      <c r="BG51" t="s">
        <v>73</v>
      </c>
      <c r="BH51" s="18">
        <v>40</v>
      </c>
      <c r="BI51" t="s">
        <v>73</v>
      </c>
      <c r="BJ51" s="10">
        <v>841</v>
      </c>
      <c r="BK51" s="10">
        <v>841</v>
      </c>
      <c r="BL51" t="s">
        <v>73</v>
      </c>
      <c r="BM51" t="s">
        <v>73</v>
      </c>
      <c r="BN51">
        <v>0</v>
      </c>
      <c r="BO51">
        <v>0</v>
      </c>
      <c r="BP51" t="s">
        <v>73</v>
      </c>
      <c r="BQ51" t="s">
        <v>73</v>
      </c>
      <c r="BR51" t="s">
        <v>73</v>
      </c>
      <c r="BS51" t="s">
        <v>73</v>
      </c>
      <c r="BT51" t="s">
        <v>73</v>
      </c>
      <c r="BU51" t="s">
        <v>73</v>
      </c>
      <c r="BV51" s="18">
        <v>1</v>
      </c>
      <c r="BW51" s="18">
        <v>1</v>
      </c>
      <c r="BX51" s="18">
        <v>1</v>
      </c>
      <c r="BY51" s="30">
        <f t="shared" si="13"/>
        <v>6.7528109143524445E-2</v>
      </c>
      <c r="BZ51" s="30">
        <f t="shared" si="18"/>
        <v>6.7631034648244742E-2</v>
      </c>
      <c r="CA51" s="30">
        <f t="shared" si="19"/>
        <v>1.190451284427091E-3</v>
      </c>
      <c r="CB51" s="30">
        <f t="shared" si="20"/>
        <v>1.1933174224343676E-3</v>
      </c>
      <c r="CC51" s="92" t="s">
        <v>73</v>
      </c>
      <c r="CD51">
        <f t="shared" si="15"/>
        <v>839</v>
      </c>
      <c r="CE51" s="92" t="s">
        <v>73</v>
      </c>
      <c r="CF51" s="30">
        <f t="shared" si="21"/>
        <v>6.7528109143524445E-2</v>
      </c>
      <c r="CG51" s="30">
        <f t="shared" si="22"/>
        <v>6.7631034648244742E-2</v>
      </c>
      <c r="CH51" s="30">
        <f t="shared" si="23"/>
        <v>1.190451284427091E-3</v>
      </c>
      <c r="CI51" s="30">
        <f t="shared" si="24"/>
        <v>1.1933174224343676E-3</v>
      </c>
      <c r="CJ51"/>
    </row>
    <row r="52" spans="1:88" s="92" customFormat="1">
      <c r="A52" s="11" t="s">
        <v>68</v>
      </c>
      <c r="B52" s="11"/>
      <c r="C52" s="11">
        <v>11</v>
      </c>
      <c r="D52" s="11">
        <v>1028</v>
      </c>
      <c r="E52" s="11">
        <v>106</v>
      </c>
      <c r="F52" s="10" t="s">
        <v>258</v>
      </c>
      <c r="G52" s="11">
        <v>2010</v>
      </c>
      <c r="H52" t="s">
        <v>259</v>
      </c>
      <c r="I52" s="10" t="s">
        <v>260</v>
      </c>
      <c r="J52" s="18">
        <v>2</v>
      </c>
      <c r="K52" s="10">
        <v>2008</v>
      </c>
      <c r="L52" s="10" t="s">
        <v>73</v>
      </c>
      <c r="M52">
        <v>203</v>
      </c>
      <c r="N52" s="18" t="s">
        <v>270</v>
      </c>
      <c r="O52" t="s">
        <v>242</v>
      </c>
      <c r="P52" t="s">
        <v>124</v>
      </c>
      <c r="Q52" s="18" t="s">
        <v>243</v>
      </c>
      <c r="R52" t="s">
        <v>244</v>
      </c>
      <c r="S52" t="s">
        <v>245</v>
      </c>
      <c r="T52">
        <v>1</v>
      </c>
      <c r="U52" t="s">
        <v>189</v>
      </c>
      <c r="V52">
        <v>0</v>
      </c>
      <c r="W52" s="18" t="s">
        <v>232</v>
      </c>
      <c r="X52" s="18" t="s">
        <v>232</v>
      </c>
      <c r="Y52" s="18" t="s">
        <v>73</v>
      </c>
      <c r="Z52">
        <v>0</v>
      </c>
      <c r="AA52">
        <v>0</v>
      </c>
      <c r="AB52">
        <v>0</v>
      </c>
      <c r="AC52">
        <v>0</v>
      </c>
      <c r="AD52">
        <v>0</v>
      </c>
      <c r="AE52">
        <v>1</v>
      </c>
      <c r="AF52">
        <v>0</v>
      </c>
      <c r="AG52">
        <v>0</v>
      </c>
      <c r="AH52" t="s">
        <v>262</v>
      </c>
      <c r="AI52">
        <v>0</v>
      </c>
      <c r="AJ52">
        <v>0</v>
      </c>
      <c r="AK52">
        <v>0</v>
      </c>
      <c r="AL52">
        <v>0</v>
      </c>
      <c r="AM52">
        <v>0</v>
      </c>
      <c r="AN52">
        <v>0</v>
      </c>
      <c r="AO52">
        <v>1</v>
      </c>
      <c r="AP52">
        <v>0</v>
      </c>
      <c r="AQ52">
        <v>0</v>
      </c>
      <c r="AR52" t="s">
        <v>268</v>
      </c>
      <c r="AS52" t="s">
        <v>234</v>
      </c>
      <c r="AT52" t="s">
        <v>264</v>
      </c>
      <c r="AU52" s="11" t="s">
        <v>236</v>
      </c>
      <c r="AV52" s="134">
        <v>1.8759999999999999</v>
      </c>
      <c r="AW52" s="7" t="s">
        <v>80</v>
      </c>
      <c r="AX52" t="s">
        <v>73</v>
      </c>
      <c r="AY52">
        <v>0.01</v>
      </c>
      <c r="AZ52">
        <v>1</v>
      </c>
      <c r="BA52">
        <f t="shared" si="25"/>
        <v>2.5817018839793482</v>
      </c>
      <c r="BB52"/>
      <c r="BC52" s="105">
        <f t="shared" si="16"/>
        <v>0.86715100224549591</v>
      </c>
      <c r="BD52" t="s">
        <v>73</v>
      </c>
      <c r="BE52" s="18" t="s">
        <v>73</v>
      </c>
      <c r="BF52" t="s">
        <v>73</v>
      </c>
      <c r="BG52" t="s">
        <v>73</v>
      </c>
      <c r="BH52" s="18">
        <v>40</v>
      </c>
      <c r="BI52" t="s">
        <v>73</v>
      </c>
      <c r="BJ52" s="10">
        <v>841</v>
      </c>
      <c r="BK52" s="10">
        <v>841</v>
      </c>
      <c r="BL52" t="s">
        <v>73</v>
      </c>
      <c r="BM52" t="s">
        <v>73</v>
      </c>
      <c r="BN52">
        <v>470.59</v>
      </c>
      <c r="BO52" t="s">
        <v>269</v>
      </c>
      <c r="BP52" t="s">
        <v>73</v>
      </c>
      <c r="BQ52" t="s">
        <v>73</v>
      </c>
      <c r="BR52" t="s">
        <v>73</v>
      </c>
      <c r="BS52" t="s">
        <v>73</v>
      </c>
      <c r="BT52" t="s">
        <v>73</v>
      </c>
      <c r="BU52" t="s">
        <v>73</v>
      </c>
      <c r="BV52" s="18">
        <v>1</v>
      </c>
      <c r="BW52" s="18">
        <v>1</v>
      </c>
      <c r="BX52" s="18">
        <v>1</v>
      </c>
      <c r="BY52" s="30">
        <f t="shared" si="13"/>
        <v>8.8673513868765694E-2</v>
      </c>
      <c r="BZ52" s="30">
        <f t="shared" si="18"/>
        <v>8.890702958732373E-2</v>
      </c>
      <c r="CA52" s="30">
        <f t="shared" si="19"/>
        <v>1.1904018089446793E-3</v>
      </c>
      <c r="CB52" s="30">
        <f t="shared" si="20"/>
        <v>1.1933174224343676E-3</v>
      </c>
      <c r="CC52" s="92" t="s">
        <v>73</v>
      </c>
      <c r="CD52">
        <f t="shared" si="15"/>
        <v>839</v>
      </c>
      <c r="CE52" s="92" t="s">
        <v>73</v>
      </c>
      <c r="CF52" s="30">
        <f t="shared" si="21"/>
        <v>8.8673513868765694E-2</v>
      </c>
      <c r="CG52" s="30">
        <f t="shared" si="22"/>
        <v>8.890702958732373E-2</v>
      </c>
      <c r="CH52" s="30">
        <f t="shared" si="23"/>
        <v>1.1904018089446793E-3</v>
      </c>
      <c r="CI52" s="30">
        <f t="shared" si="24"/>
        <v>1.1933174224343676E-3</v>
      </c>
      <c r="CJ52"/>
    </row>
    <row r="53" spans="1:88" s="95" customFormat="1">
      <c r="A53" s="11" t="s">
        <v>68</v>
      </c>
      <c r="B53" s="11"/>
      <c r="C53" s="11">
        <v>12</v>
      </c>
      <c r="D53" s="99">
        <v>1149</v>
      </c>
      <c r="E53" s="100">
        <v>133</v>
      </c>
      <c r="F53" t="s">
        <v>362</v>
      </c>
      <c r="G53" s="99">
        <v>2019</v>
      </c>
      <c r="H53" t="s">
        <v>363</v>
      </c>
      <c r="I53" t="s">
        <v>364</v>
      </c>
      <c r="J53" s="100">
        <v>2</v>
      </c>
      <c r="K53">
        <v>2016</v>
      </c>
      <c r="L53" s="99" t="s">
        <v>73</v>
      </c>
      <c r="M53" s="100">
        <v>31</v>
      </c>
      <c r="N53" s="99" t="s">
        <v>365</v>
      </c>
      <c r="O53" t="s">
        <v>227</v>
      </c>
      <c r="P53" t="s">
        <v>138</v>
      </c>
      <c r="Q53" t="s">
        <v>294</v>
      </c>
      <c r="R53" t="s">
        <v>307</v>
      </c>
      <c r="S53" t="s">
        <v>336</v>
      </c>
      <c r="T53">
        <v>1</v>
      </c>
      <c r="U53" s="32" t="s">
        <v>341</v>
      </c>
      <c r="V53">
        <v>1</v>
      </c>
      <c r="W53" s="99" t="s">
        <v>232</v>
      </c>
      <c r="X53" s="99" t="s">
        <v>232</v>
      </c>
      <c r="Y53" s="99" t="s">
        <v>73</v>
      </c>
      <c r="Z53" s="100">
        <v>1</v>
      </c>
      <c r="AA53" s="100">
        <v>0</v>
      </c>
      <c r="AB53" s="100">
        <v>0</v>
      </c>
      <c r="AC53" s="100">
        <v>0</v>
      </c>
      <c r="AD53" s="100">
        <v>0</v>
      </c>
      <c r="AE53" s="100">
        <v>0</v>
      </c>
      <c r="AF53" s="100">
        <v>0</v>
      </c>
      <c r="AG53" s="100">
        <v>0</v>
      </c>
      <c r="AH53" s="100" t="s">
        <v>366</v>
      </c>
      <c r="AI53" s="100">
        <v>0</v>
      </c>
      <c r="AJ53" s="100">
        <v>0</v>
      </c>
      <c r="AK53" s="100">
        <v>0</v>
      </c>
      <c r="AL53" s="100">
        <v>0</v>
      </c>
      <c r="AM53" s="100">
        <v>1</v>
      </c>
      <c r="AN53" s="100">
        <v>0</v>
      </c>
      <c r="AO53" s="100">
        <v>0</v>
      </c>
      <c r="AP53" s="100">
        <v>0</v>
      </c>
      <c r="AQ53" s="100">
        <v>0</v>
      </c>
      <c r="AR53" t="s">
        <v>73</v>
      </c>
      <c r="AS53" t="s">
        <v>234</v>
      </c>
      <c r="AT53" t="s">
        <v>367</v>
      </c>
      <c r="AU53" t="s">
        <v>331</v>
      </c>
      <c r="AV53" s="201">
        <v>1.33</v>
      </c>
      <c r="AW53" s="7" t="s">
        <v>80</v>
      </c>
      <c r="AX53" t="s">
        <v>73</v>
      </c>
      <c r="AY53">
        <v>0.01</v>
      </c>
      <c r="AZ53">
        <v>2</v>
      </c>
      <c r="BA53" s="19">
        <f t="shared" si="25"/>
        <v>2.5840895721013624</v>
      </c>
      <c r="BB53" s="19"/>
      <c r="BC53" s="208">
        <f>LN(AV53)</f>
        <v>0.28517894223366247</v>
      </c>
      <c r="BD53" s="102" t="s">
        <v>73</v>
      </c>
      <c r="BE53" s="102" t="s">
        <v>73</v>
      </c>
      <c r="BF53" s="102" t="s">
        <v>73</v>
      </c>
      <c r="BG53" s="102" t="s">
        <v>73</v>
      </c>
      <c r="BH53" s="102" t="s">
        <v>73</v>
      </c>
      <c r="BI53" s="102" t="s">
        <v>73</v>
      </c>
      <c r="BJ53" s="100">
        <v>599</v>
      </c>
      <c r="BK53" s="100">
        <v>599</v>
      </c>
      <c r="BL53" s="100" t="s">
        <v>73</v>
      </c>
      <c r="BM53" s="100" t="s">
        <v>73</v>
      </c>
      <c r="BN53" s="100" t="s">
        <v>73</v>
      </c>
      <c r="BO53" s="100" t="s">
        <v>73</v>
      </c>
      <c r="BP53" s="100" t="s">
        <v>73</v>
      </c>
      <c r="BQ53" s="100" t="s">
        <v>73</v>
      </c>
      <c r="BR53" s="100" t="s">
        <v>73</v>
      </c>
      <c r="BS53" s="100" t="s">
        <v>73</v>
      </c>
      <c r="BT53" s="100" t="s">
        <v>73</v>
      </c>
      <c r="BU53" s="100" t="s">
        <v>73</v>
      </c>
      <c r="BV53" s="100">
        <v>0</v>
      </c>
      <c r="BW53" s="100">
        <v>0</v>
      </c>
      <c r="BX53" s="100">
        <v>1</v>
      </c>
      <c r="BY53" s="30">
        <f t="shared" si="13"/>
        <v>0.10499940460515129</v>
      </c>
      <c r="BZ53" s="30">
        <f t="shared" si="18"/>
        <v>0.10538784580628262</v>
      </c>
      <c r="CA53" s="30">
        <f t="shared" si="19"/>
        <v>1.6720345208693912E-3</v>
      </c>
      <c r="CB53" s="30">
        <f t="shared" si="20"/>
        <v>1.6778523489932886E-3</v>
      </c>
      <c r="CC53" s="92" t="s">
        <v>73</v>
      </c>
      <c r="CD53">
        <f t="shared" si="15"/>
        <v>597</v>
      </c>
      <c r="CE53" s="92" t="s">
        <v>73</v>
      </c>
      <c r="CF53" s="30">
        <f t="shared" si="21"/>
        <v>0.10499940460515129</v>
      </c>
      <c r="CG53" s="30">
        <f t="shared" si="22"/>
        <v>0.10538784580628262</v>
      </c>
      <c r="CH53" s="30">
        <f t="shared" si="23"/>
        <v>1.6720345208693912E-3</v>
      </c>
      <c r="CI53" s="30">
        <f t="shared" si="24"/>
        <v>1.6778523489932886E-3</v>
      </c>
      <c r="CJ53"/>
    </row>
    <row r="54" spans="1:88" s="95" customFormat="1">
      <c r="A54" s="11" t="s">
        <v>68</v>
      </c>
      <c r="B54" s="11"/>
      <c r="C54" s="11">
        <v>12</v>
      </c>
      <c r="D54" s="99">
        <v>1150</v>
      </c>
      <c r="E54" s="100">
        <v>133</v>
      </c>
      <c r="F54" t="s">
        <v>362</v>
      </c>
      <c r="G54" s="99">
        <v>2019</v>
      </c>
      <c r="H54" t="s">
        <v>363</v>
      </c>
      <c r="I54" t="s">
        <v>364</v>
      </c>
      <c r="J54" s="100">
        <v>2</v>
      </c>
      <c r="K54">
        <v>2016</v>
      </c>
      <c r="L54" s="99" t="s">
        <v>73</v>
      </c>
      <c r="M54" s="100">
        <v>31</v>
      </c>
      <c r="N54" s="99" t="s">
        <v>365</v>
      </c>
      <c r="O54" t="s">
        <v>227</v>
      </c>
      <c r="P54" t="s">
        <v>138</v>
      </c>
      <c r="Q54" t="s">
        <v>294</v>
      </c>
      <c r="R54" t="s">
        <v>307</v>
      </c>
      <c r="S54" t="s">
        <v>336</v>
      </c>
      <c r="T54">
        <v>1</v>
      </c>
      <c r="U54" s="32" t="s">
        <v>341</v>
      </c>
      <c r="V54">
        <v>1</v>
      </c>
      <c r="W54" s="99" t="s">
        <v>232</v>
      </c>
      <c r="X54" s="99" t="s">
        <v>232</v>
      </c>
      <c r="Y54" s="99" t="s">
        <v>73</v>
      </c>
      <c r="Z54" s="100">
        <v>1</v>
      </c>
      <c r="AA54" s="100">
        <v>0</v>
      </c>
      <c r="AB54" s="100">
        <v>0</v>
      </c>
      <c r="AC54" s="100">
        <v>0</v>
      </c>
      <c r="AD54" s="100">
        <v>0</v>
      </c>
      <c r="AE54" s="100">
        <v>0</v>
      </c>
      <c r="AF54" s="100">
        <v>0</v>
      </c>
      <c r="AG54" s="100">
        <v>0</v>
      </c>
      <c r="AH54" s="100" t="s">
        <v>368</v>
      </c>
      <c r="AI54" s="100">
        <v>0</v>
      </c>
      <c r="AJ54" s="100">
        <v>0</v>
      </c>
      <c r="AK54" s="100">
        <v>0</v>
      </c>
      <c r="AL54" s="100">
        <v>0</v>
      </c>
      <c r="AM54" s="100">
        <v>1</v>
      </c>
      <c r="AN54" s="100">
        <v>0</v>
      </c>
      <c r="AO54" s="100">
        <v>0</v>
      </c>
      <c r="AP54" s="100">
        <v>0</v>
      </c>
      <c r="AQ54" s="100">
        <v>0</v>
      </c>
      <c r="AR54" t="s">
        <v>73</v>
      </c>
      <c r="AS54" t="s">
        <v>234</v>
      </c>
      <c r="AT54" t="s">
        <v>367</v>
      </c>
      <c r="AU54" t="s">
        <v>331</v>
      </c>
      <c r="AV54" s="201">
        <v>2.82</v>
      </c>
      <c r="AW54" s="7" t="s">
        <v>80</v>
      </c>
      <c r="AX54" t="s">
        <v>73</v>
      </c>
      <c r="AY54">
        <v>1E-3</v>
      </c>
      <c r="AZ54">
        <v>1</v>
      </c>
      <c r="BA54" s="19">
        <f t="shared" si="25"/>
        <v>3.3068980114241935</v>
      </c>
      <c r="BB54" s="19"/>
      <c r="BC54" s="208">
        <f>LN(AV54)</f>
        <v>1.0367368849500223</v>
      </c>
      <c r="BD54" s="102" t="s">
        <v>73</v>
      </c>
      <c r="BE54" s="102" t="s">
        <v>73</v>
      </c>
      <c r="BF54" s="102" t="s">
        <v>73</v>
      </c>
      <c r="BG54" s="102" t="s">
        <v>73</v>
      </c>
      <c r="BH54" s="102" t="s">
        <v>73</v>
      </c>
      <c r="BI54" s="102" t="s">
        <v>73</v>
      </c>
      <c r="BJ54" s="100">
        <v>599</v>
      </c>
      <c r="BK54" s="100">
        <v>599</v>
      </c>
      <c r="BL54" s="100" t="s">
        <v>73</v>
      </c>
      <c r="BM54" s="100" t="s">
        <v>73</v>
      </c>
      <c r="BN54" s="100" t="s">
        <v>73</v>
      </c>
      <c r="BO54" s="100" t="s">
        <v>73</v>
      </c>
      <c r="BP54" s="100" t="s">
        <v>73</v>
      </c>
      <c r="BQ54" s="100" t="s">
        <v>73</v>
      </c>
      <c r="BR54" s="100" t="s">
        <v>73</v>
      </c>
      <c r="BS54" s="100" t="s">
        <v>73</v>
      </c>
      <c r="BT54" s="100" t="s">
        <v>73</v>
      </c>
      <c r="BU54" s="100" t="s">
        <v>73</v>
      </c>
      <c r="BV54" s="100">
        <v>0</v>
      </c>
      <c r="BW54" s="100">
        <v>0</v>
      </c>
      <c r="BX54" s="100">
        <v>1</v>
      </c>
      <c r="BY54" s="30">
        <f t="shared" si="13"/>
        <v>0.13389945792371422</v>
      </c>
      <c r="BZ54" s="30">
        <f t="shared" si="18"/>
        <v>0.13470840884771776</v>
      </c>
      <c r="CA54" s="30">
        <f t="shared" si="19"/>
        <v>1.6716901501424388E-3</v>
      </c>
      <c r="CB54" s="30">
        <f t="shared" si="20"/>
        <v>1.6778523489932886E-3</v>
      </c>
      <c r="CC54" s="92" t="s">
        <v>73</v>
      </c>
      <c r="CD54">
        <f t="shared" si="15"/>
        <v>597</v>
      </c>
      <c r="CE54" s="92" t="s">
        <v>73</v>
      </c>
      <c r="CF54" s="30">
        <f t="shared" si="21"/>
        <v>0.13389945792371422</v>
      </c>
      <c r="CG54" s="30">
        <f t="shared" si="22"/>
        <v>0.13470840884771776</v>
      </c>
      <c r="CH54" s="30">
        <f t="shared" si="23"/>
        <v>1.6716901501424388E-3</v>
      </c>
      <c r="CI54" s="30">
        <f t="shared" si="24"/>
        <v>1.6778523489932886E-3</v>
      </c>
      <c r="CJ54"/>
    </row>
    <row r="55" spans="1:88" s="95" customFormat="1">
      <c r="A55" s="11" t="s">
        <v>68</v>
      </c>
      <c r="B55" s="11"/>
      <c r="C55" s="11">
        <v>12</v>
      </c>
      <c r="D55" s="99">
        <v>1151</v>
      </c>
      <c r="E55" s="100">
        <v>133</v>
      </c>
      <c r="F55" t="s">
        <v>362</v>
      </c>
      <c r="G55" s="99">
        <v>2019</v>
      </c>
      <c r="H55" t="s">
        <v>363</v>
      </c>
      <c r="I55" t="s">
        <v>364</v>
      </c>
      <c r="J55" s="100">
        <v>2</v>
      </c>
      <c r="K55">
        <v>2016</v>
      </c>
      <c r="L55" s="99" t="s">
        <v>73</v>
      </c>
      <c r="M55" s="100">
        <v>31</v>
      </c>
      <c r="N55" s="99" t="s">
        <v>365</v>
      </c>
      <c r="O55" t="s">
        <v>227</v>
      </c>
      <c r="P55" t="s">
        <v>138</v>
      </c>
      <c r="Q55" t="s">
        <v>294</v>
      </c>
      <c r="R55" t="s">
        <v>307</v>
      </c>
      <c r="S55" t="s">
        <v>336</v>
      </c>
      <c r="T55">
        <v>1</v>
      </c>
      <c r="U55" s="32" t="s">
        <v>341</v>
      </c>
      <c r="V55">
        <v>1</v>
      </c>
      <c r="W55" s="99" t="s">
        <v>232</v>
      </c>
      <c r="X55" s="99" t="s">
        <v>232</v>
      </c>
      <c r="Y55" s="99" t="s">
        <v>73</v>
      </c>
      <c r="Z55" s="100">
        <v>1</v>
      </c>
      <c r="AA55" s="100">
        <v>1</v>
      </c>
      <c r="AB55" s="100">
        <v>0</v>
      </c>
      <c r="AC55" s="100">
        <v>0</v>
      </c>
      <c r="AD55" s="100">
        <v>0</v>
      </c>
      <c r="AE55" s="100">
        <v>0</v>
      </c>
      <c r="AF55" s="100">
        <v>0</v>
      </c>
      <c r="AG55" s="100">
        <v>0</v>
      </c>
      <c r="AH55" s="100" t="s">
        <v>369</v>
      </c>
      <c r="AI55" s="100">
        <v>0</v>
      </c>
      <c r="AJ55" s="100">
        <v>0</v>
      </c>
      <c r="AK55" s="100">
        <v>0</v>
      </c>
      <c r="AL55" s="100">
        <v>0</v>
      </c>
      <c r="AM55" s="100">
        <v>1</v>
      </c>
      <c r="AN55" s="100">
        <v>0</v>
      </c>
      <c r="AO55" s="100">
        <v>0</v>
      </c>
      <c r="AP55" s="100">
        <v>0</v>
      </c>
      <c r="AQ55" s="100">
        <v>0</v>
      </c>
      <c r="AR55" t="s">
        <v>73</v>
      </c>
      <c r="AS55" t="s">
        <v>234</v>
      </c>
      <c r="AT55" t="s">
        <v>367</v>
      </c>
      <c r="AU55" t="s">
        <v>331</v>
      </c>
      <c r="AV55" s="201">
        <v>3.09</v>
      </c>
      <c r="AW55" s="7" t="s">
        <v>80</v>
      </c>
      <c r="AX55" t="s">
        <v>73</v>
      </c>
      <c r="AY55">
        <v>1E-3</v>
      </c>
      <c r="AZ55">
        <v>1</v>
      </c>
      <c r="BA55" s="19">
        <f t="shared" si="25"/>
        <v>3.3068980114241935</v>
      </c>
      <c r="BB55" s="19"/>
      <c r="BC55" s="208">
        <f>LN(AV55)</f>
        <v>1.1281710909096541</v>
      </c>
      <c r="BD55" s="102" t="s">
        <v>73</v>
      </c>
      <c r="BE55" s="102" t="s">
        <v>73</v>
      </c>
      <c r="BF55" s="102" t="s">
        <v>73</v>
      </c>
      <c r="BG55" s="102" t="s">
        <v>73</v>
      </c>
      <c r="BH55" s="102" t="s">
        <v>73</v>
      </c>
      <c r="BI55" s="102" t="s">
        <v>73</v>
      </c>
      <c r="BJ55" s="100">
        <v>599</v>
      </c>
      <c r="BK55" s="100">
        <v>599</v>
      </c>
      <c r="BL55" s="100" t="s">
        <v>73</v>
      </c>
      <c r="BM55" s="100" t="s">
        <v>73</v>
      </c>
      <c r="BN55" s="100" t="s">
        <v>73</v>
      </c>
      <c r="BO55" s="100" t="s">
        <v>73</v>
      </c>
      <c r="BP55" s="100" t="s">
        <v>73</v>
      </c>
      <c r="BQ55" s="100" t="s">
        <v>73</v>
      </c>
      <c r="BR55" s="100" t="s">
        <v>73</v>
      </c>
      <c r="BS55" s="100" t="s">
        <v>73</v>
      </c>
      <c r="BT55" s="100" t="s">
        <v>73</v>
      </c>
      <c r="BU55" s="100" t="s">
        <v>73</v>
      </c>
      <c r="BV55" s="100">
        <v>0</v>
      </c>
      <c r="BW55" s="100">
        <v>0</v>
      </c>
      <c r="BX55" s="100">
        <v>1</v>
      </c>
      <c r="BY55" s="30">
        <f t="shared" si="13"/>
        <v>0.13389945792371422</v>
      </c>
      <c r="BZ55" s="30">
        <f t="shared" si="18"/>
        <v>0.13470840884771776</v>
      </c>
      <c r="CA55" s="30">
        <f t="shared" si="19"/>
        <v>1.6716901501424388E-3</v>
      </c>
      <c r="CB55" s="30">
        <f t="shared" si="20"/>
        <v>1.6778523489932886E-3</v>
      </c>
      <c r="CC55" s="92" t="s">
        <v>73</v>
      </c>
      <c r="CD55">
        <f t="shared" si="15"/>
        <v>597</v>
      </c>
      <c r="CE55" s="92" t="s">
        <v>73</v>
      </c>
      <c r="CF55" s="30">
        <f t="shared" si="21"/>
        <v>0.13389945792371422</v>
      </c>
      <c r="CG55" s="30">
        <f t="shared" si="22"/>
        <v>0.13470840884771776</v>
      </c>
      <c r="CH55" s="30">
        <f t="shared" si="23"/>
        <v>1.6716901501424388E-3</v>
      </c>
      <c r="CI55" s="30">
        <f t="shared" si="24"/>
        <v>1.6778523489932886E-3</v>
      </c>
      <c r="CJ55"/>
    </row>
    <row r="56" spans="1:88" s="95" customFormat="1">
      <c r="A56" s="11" t="s">
        <v>68</v>
      </c>
      <c r="B56" s="11"/>
      <c r="C56" s="11">
        <v>12</v>
      </c>
      <c r="D56" s="99">
        <v>1152</v>
      </c>
      <c r="E56" s="100">
        <v>133</v>
      </c>
      <c r="F56" t="s">
        <v>362</v>
      </c>
      <c r="G56" s="99">
        <v>2019</v>
      </c>
      <c r="H56" t="s">
        <v>363</v>
      </c>
      <c r="I56" t="s">
        <v>364</v>
      </c>
      <c r="J56" s="100">
        <v>2</v>
      </c>
      <c r="K56">
        <v>2016</v>
      </c>
      <c r="L56" s="99" t="s">
        <v>73</v>
      </c>
      <c r="M56" s="100">
        <v>31</v>
      </c>
      <c r="N56" s="99" t="s">
        <v>365</v>
      </c>
      <c r="O56" t="s">
        <v>227</v>
      </c>
      <c r="P56" t="s">
        <v>138</v>
      </c>
      <c r="Q56" t="s">
        <v>294</v>
      </c>
      <c r="R56" t="s">
        <v>307</v>
      </c>
      <c r="S56" t="s">
        <v>336</v>
      </c>
      <c r="T56">
        <v>1</v>
      </c>
      <c r="U56" s="32" t="s">
        <v>341</v>
      </c>
      <c r="V56">
        <v>1</v>
      </c>
      <c r="W56" s="99" t="s">
        <v>232</v>
      </c>
      <c r="X56" s="99" t="s">
        <v>232</v>
      </c>
      <c r="Y56" s="99" t="s">
        <v>73</v>
      </c>
      <c r="Z56" s="100">
        <v>1</v>
      </c>
      <c r="AA56" s="100">
        <v>1</v>
      </c>
      <c r="AB56" s="100">
        <v>0</v>
      </c>
      <c r="AC56" s="100">
        <v>0</v>
      </c>
      <c r="AD56" s="100">
        <v>0</v>
      </c>
      <c r="AE56" s="100">
        <v>0</v>
      </c>
      <c r="AF56" s="100">
        <v>0</v>
      </c>
      <c r="AG56" s="100">
        <v>0</v>
      </c>
      <c r="AH56" s="100" t="s">
        <v>370</v>
      </c>
      <c r="AI56" s="100">
        <v>0</v>
      </c>
      <c r="AJ56" s="100">
        <v>0</v>
      </c>
      <c r="AK56" s="100">
        <v>0</v>
      </c>
      <c r="AL56" s="100">
        <v>0</v>
      </c>
      <c r="AM56" s="100">
        <v>1</v>
      </c>
      <c r="AN56" s="100">
        <v>0</v>
      </c>
      <c r="AO56" s="100">
        <v>0</v>
      </c>
      <c r="AP56" s="100">
        <v>0</v>
      </c>
      <c r="AQ56" s="100">
        <v>0</v>
      </c>
      <c r="AR56" t="s">
        <v>73</v>
      </c>
      <c r="AS56" t="s">
        <v>234</v>
      </c>
      <c r="AT56" t="s">
        <v>367</v>
      </c>
      <c r="AU56" t="s">
        <v>331</v>
      </c>
      <c r="AV56" s="201">
        <v>3.63</v>
      </c>
      <c r="AW56" s="7" t="s">
        <v>80</v>
      </c>
      <c r="AX56" t="s">
        <v>73</v>
      </c>
      <c r="AY56">
        <v>1E-3</v>
      </c>
      <c r="AZ56">
        <v>1</v>
      </c>
      <c r="BA56" s="19">
        <f t="shared" si="25"/>
        <v>3.3068980114241935</v>
      </c>
      <c r="BB56" s="19"/>
      <c r="BC56" s="208">
        <f>LN(AV56)</f>
        <v>1.2892326482767593</v>
      </c>
      <c r="BD56" s="102" t="s">
        <v>73</v>
      </c>
      <c r="BE56" s="102" t="s">
        <v>73</v>
      </c>
      <c r="BF56" s="102" t="s">
        <v>73</v>
      </c>
      <c r="BG56" s="102" t="s">
        <v>73</v>
      </c>
      <c r="BH56" s="102" t="s">
        <v>73</v>
      </c>
      <c r="BI56" s="102" t="s">
        <v>73</v>
      </c>
      <c r="BJ56" s="100">
        <v>599</v>
      </c>
      <c r="BK56" s="100">
        <v>599</v>
      </c>
      <c r="BL56" s="100" t="s">
        <v>73</v>
      </c>
      <c r="BM56" s="100" t="s">
        <v>73</v>
      </c>
      <c r="BN56" s="100" t="s">
        <v>73</v>
      </c>
      <c r="BO56" s="100" t="s">
        <v>73</v>
      </c>
      <c r="BP56" s="100" t="s">
        <v>73</v>
      </c>
      <c r="BQ56" s="100" t="s">
        <v>73</v>
      </c>
      <c r="BR56" s="100" t="s">
        <v>73</v>
      </c>
      <c r="BS56" s="100" t="s">
        <v>73</v>
      </c>
      <c r="BT56" s="100" t="s">
        <v>73</v>
      </c>
      <c r="BU56" s="100" t="s">
        <v>73</v>
      </c>
      <c r="BV56" s="100">
        <v>0</v>
      </c>
      <c r="BW56" s="100">
        <v>0</v>
      </c>
      <c r="BX56" s="100">
        <v>1</v>
      </c>
      <c r="BY56" s="30">
        <f t="shared" si="13"/>
        <v>0.13389945792371422</v>
      </c>
      <c r="BZ56" s="30">
        <f t="shared" si="18"/>
        <v>0.13470840884771776</v>
      </c>
      <c r="CA56" s="30">
        <f t="shared" si="19"/>
        <v>1.6716901501424388E-3</v>
      </c>
      <c r="CB56" s="30">
        <f t="shared" si="20"/>
        <v>1.6778523489932886E-3</v>
      </c>
      <c r="CC56" s="92" t="s">
        <v>73</v>
      </c>
      <c r="CD56">
        <f t="shared" si="15"/>
        <v>597</v>
      </c>
      <c r="CE56" s="92" t="s">
        <v>73</v>
      </c>
      <c r="CF56" s="30">
        <f t="shared" si="21"/>
        <v>0.13389945792371422</v>
      </c>
      <c r="CG56" s="30">
        <f t="shared" si="22"/>
        <v>0.13470840884771776</v>
      </c>
      <c r="CH56" s="30">
        <f t="shared" si="23"/>
        <v>1.6716901501424388E-3</v>
      </c>
      <c r="CI56" s="30">
        <f t="shared" si="24"/>
        <v>1.6778523489932886E-3</v>
      </c>
      <c r="CJ56"/>
    </row>
    <row r="57" spans="1:88" s="95" customFormat="1">
      <c r="A57" s="95" t="s">
        <v>68</v>
      </c>
      <c r="C57" s="92">
        <v>13</v>
      </c>
      <c r="D57" s="95">
        <v>1134</v>
      </c>
      <c r="E57" s="95">
        <v>129</v>
      </c>
      <c r="F57" s="95" t="s">
        <v>351</v>
      </c>
      <c r="G57" s="95">
        <v>2012</v>
      </c>
      <c r="H57" s="95" t="s">
        <v>352</v>
      </c>
      <c r="I57" s="95" t="s">
        <v>353</v>
      </c>
      <c r="J57" s="95">
        <v>2</v>
      </c>
      <c r="K57" s="95">
        <v>2009</v>
      </c>
      <c r="L57" s="95" t="s">
        <v>73</v>
      </c>
      <c r="M57" s="95">
        <v>68</v>
      </c>
      <c r="N57" s="185" t="s">
        <v>107</v>
      </c>
      <c r="O57" s="95" t="s">
        <v>112</v>
      </c>
      <c r="P57" s="95" t="s">
        <v>148</v>
      </c>
      <c r="Q57" s="95" t="s">
        <v>294</v>
      </c>
      <c r="R57" s="95" t="s">
        <v>307</v>
      </c>
      <c r="S57" s="95" t="s">
        <v>336</v>
      </c>
      <c r="T57" s="95">
        <v>1</v>
      </c>
      <c r="U57" s="95" t="s">
        <v>341</v>
      </c>
      <c r="V57" s="95">
        <v>0</v>
      </c>
      <c r="W57" s="95" t="s">
        <v>232</v>
      </c>
      <c r="X57" s="95" t="s">
        <v>232</v>
      </c>
      <c r="Y57" s="95" t="s">
        <v>73</v>
      </c>
      <c r="Z57" s="95">
        <v>0</v>
      </c>
      <c r="AA57" s="95">
        <v>0</v>
      </c>
      <c r="AB57" s="95">
        <v>1</v>
      </c>
      <c r="AC57" s="95">
        <v>0</v>
      </c>
      <c r="AD57" s="95">
        <v>0</v>
      </c>
      <c r="AE57" s="95">
        <v>0</v>
      </c>
      <c r="AF57" s="95">
        <v>0</v>
      </c>
      <c r="AG57" s="95">
        <v>0</v>
      </c>
      <c r="AH57" s="95" t="s">
        <v>73</v>
      </c>
      <c r="AI57" s="95">
        <v>0</v>
      </c>
      <c r="AJ57" s="95">
        <v>0</v>
      </c>
      <c r="AK57" s="95">
        <v>0</v>
      </c>
      <c r="AL57" s="95">
        <v>0</v>
      </c>
      <c r="AM57" s="95">
        <v>0</v>
      </c>
      <c r="AN57" s="95">
        <v>0</v>
      </c>
      <c r="AO57" s="95">
        <v>0</v>
      </c>
      <c r="AP57" s="95">
        <v>0</v>
      </c>
      <c r="AQ57" s="95">
        <v>1</v>
      </c>
      <c r="AR57" s="95" t="s">
        <v>354</v>
      </c>
      <c r="AS57" s="95" t="s">
        <v>234</v>
      </c>
      <c r="AT57" s="32" t="s">
        <v>296</v>
      </c>
      <c r="AU57" s="95" t="s">
        <v>236</v>
      </c>
      <c r="AV57" s="207" t="e">
        <f t="shared" ref="AV57:AV64" si="26">LN(BC57-1)</f>
        <v>#NUM!</v>
      </c>
      <c r="AW57" s="139" t="s">
        <v>80</v>
      </c>
      <c r="AX57" s="95">
        <v>4</v>
      </c>
      <c r="AY57" s="140" t="s">
        <v>73</v>
      </c>
      <c r="AZ57" s="140" t="s">
        <v>73</v>
      </c>
      <c r="BA57" s="141" t="e">
        <f t="shared" si="25"/>
        <v>#VALUE!</v>
      </c>
      <c r="BB57" s="141"/>
      <c r="BC57" s="142">
        <v>0.33700000000000002</v>
      </c>
      <c r="BD57" s="95" t="s">
        <v>73</v>
      </c>
      <c r="BE57" s="95" t="s">
        <v>73</v>
      </c>
      <c r="BF57" s="95" t="s">
        <v>73</v>
      </c>
      <c r="BG57" s="95" t="s">
        <v>73</v>
      </c>
      <c r="BH57" s="95" t="s">
        <v>73</v>
      </c>
      <c r="BI57" s="95" t="s">
        <v>73</v>
      </c>
      <c r="BJ57" s="143">
        <v>90</v>
      </c>
      <c r="BK57" s="95">
        <v>1080</v>
      </c>
      <c r="BL57" s="95" t="s">
        <v>73</v>
      </c>
      <c r="BM57" s="95" t="s">
        <v>73</v>
      </c>
      <c r="BN57" s="95" t="s">
        <v>73</v>
      </c>
      <c r="BO57" s="95" t="s">
        <v>73</v>
      </c>
      <c r="BP57" s="95" t="s">
        <v>73</v>
      </c>
      <c r="BQ57" s="95">
        <v>0</v>
      </c>
      <c r="BR57" s="95" t="s">
        <v>73</v>
      </c>
      <c r="BS57" s="95">
        <v>0</v>
      </c>
      <c r="BT57" s="95" t="s">
        <v>73</v>
      </c>
      <c r="BU57" s="95" t="s">
        <v>315</v>
      </c>
      <c r="BV57" s="95">
        <v>0</v>
      </c>
      <c r="BW57" s="95">
        <v>0</v>
      </c>
      <c r="BX57" s="95">
        <v>0</v>
      </c>
      <c r="BY57" s="133">
        <f t="shared" ref="BY57:BY64" si="27">CC57/((CC57^2+4)^(1/2))</f>
        <v>4.2087673934074338E-2</v>
      </c>
      <c r="BZ57" s="133">
        <f t="shared" si="18"/>
        <v>4.2112551359627833E-2</v>
      </c>
      <c r="CA57" s="133">
        <f t="shared" si="19"/>
        <v>1.123591971702094E-2</v>
      </c>
      <c r="CB57" s="133">
        <f t="shared" si="20"/>
        <v>1.1494252873563218E-2</v>
      </c>
      <c r="CC57" s="112">
        <f t="shared" ref="CC57:CC64" si="28">BC57/AX57</f>
        <v>8.4250000000000005E-2</v>
      </c>
      <c r="CD57" s="32">
        <f t="shared" ref="CD57:CD66" si="29">BJ57-1</f>
        <v>89</v>
      </c>
      <c r="CE57" s="92" t="s">
        <v>73</v>
      </c>
      <c r="CF57" s="30">
        <f t="shared" ref="CF57:CF64" si="30">CC57/((CC57^2+4)^(1/2))</f>
        <v>4.2087673934074338E-2</v>
      </c>
      <c r="CG57" s="133">
        <f t="shared" si="22"/>
        <v>4.2112551359627833E-2</v>
      </c>
      <c r="CH57" s="30">
        <f t="shared" si="23"/>
        <v>9.267811444067318E-4</v>
      </c>
      <c r="CI57" s="30">
        <f t="shared" si="24"/>
        <v>9.2850510677808728E-4</v>
      </c>
      <c r="CJ57"/>
    </row>
    <row r="58" spans="1:88" s="95" customFormat="1">
      <c r="A58" s="95" t="s">
        <v>68</v>
      </c>
      <c r="C58" s="92">
        <v>13</v>
      </c>
      <c r="D58" s="95">
        <v>1135</v>
      </c>
      <c r="E58" s="95">
        <v>129</v>
      </c>
      <c r="F58" s="95" t="s">
        <v>351</v>
      </c>
      <c r="G58" s="95">
        <v>2012</v>
      </c>
      <c r="H58" s="95" t="s">
        <v>352</v>
      </c>
      <c r="I58" s="95" t="s">
        <v>353</v>
      </c>
      <c r="J58" s="95">
        <v>2</v>
      </c>
      <c r="K58" s="95">
        <v>2009</v>
      </c>
      <c r="L58" s="95" t="s">
        <v>73</v>
      </c>
      <c r="M58" s="95">
        <v>68</v>
      </c>
      <c r="N58" s="185" t="s">
        <v>107</v>
      </c>
      <c r="O58" s="95" t="s">
        <v>112</v>
      </c>
      <c r="P58" s="95" t="s">
        <v>148</v>
      </c>
      <c r="Q58" s="95" t="s">
        <v>294</v>
      </c>
      <c r="R58" s="95" t="s">
        <v>307</v>
      </c>
      <c r="S58" s="95" t="s">
        <v>336</v>
      </c>
      <c r="T58" s="95">
        <v>1</v>
      </c>
      <c r="U58" s="95" t="s">
        <v>341</v>
      </c>
      <c r="V58" s="95">
        <v>0</v>
      </c>
      <c r="W58" s="95" t="s">
        <v>232</v>
      </c>
      <c r="X58" s="95" t="s">
        <v>232</v>
      </c>
      <c r="Y58" s="95" t="s">
        <v>73</v>
      </c>
      <c r="Z58" s="95">
        <v>0</v>
      </c>
      <c r="AA58" s="95">
        <v>0</v>
      </c>
      <c r="AB58" s="95">
        <v>1</v>
      </c>
      <c r="AC58" s="95">
        <v>0</v>
      </c>
      <c r="AD58" s="95">
        <v>0</v>
      </c>
      <c r="AE58" s="95">
        <v>0</v>
      </c>
      <c r="AF58" s="95">
        <v>0</v>
      </c>
      <c r="AG58" s="95">
        <v>0</v>
      </c>
      <c r="AH58" s="95" t="s">
        <v>73</v>
      </c>
      <c r="AI58" s="95">
        <v>0</v>
      </c>
      <c r="AJ58" s="95">
        <v>0</v>
      </c>
      <c r="AK58" s="95">
        <v>0</v>
      </c>
      <c r="AL58" s="95">
        <v>0</v>
      </c>
      <c r="AM58" s="95">
        <v>0</v>
      </c>
      <c r="AN58" s="95">
        <v>0</v>
      </c>
      <c r="AO58" s="95">
        <v>0</v>
      </c>
      <c r="AP58" s="95">
        <v>0</v>
      </c>
      <c r="AQ58" s="95">
        <v>1</v>
      </c>
      <c r="AR58" s="95" t="s">
        <v>354</v>
      </c>
      <c r="AS58" s="95" t="s">
        <v>234</v>
      </c>
      <c r="AT58" s="32" t="s">
        <v>296</v>
      </c>
      <c r="AU58" s="95" t="s">
        <v>236</v>
      </c>
      <c r="AV58" s="207" t="e">
        <f t="shared" si="26"/>
        <v>#NUM!</v>
      </c>
      <c r="AW58" s="139" t="s">
        <v>80</v>
      </c>
      <c r="AX58" s="139">
        <v>2.1</v>
      </c>
      <c r="AY58" s="140" t="s">
        <v>73</v>
      </c>
      <c r="AZ58" s="140" t="s">
        <v>73</v>
      </c>
      <c r="BA58" s="141" t="e">
        <f t="shared" si="25"/>
        <v>#VALUE!</v>
      </c>
      <c r="BB58" s="141"/>
      <c r="BC58" s="142">
        <v>7.4999999999999997E-2</v>
      </c>
      <c r="BD58" s="95" t="s">
        <v>73</v>
      </c>
      <c r="BE58" s="95" t="s">
        <v>73</v>
      </c>
      <c r="BF58" s="95" t="s">
        <v>73</v>
      </c>
      <c r="BG58" s="95" t="s">
        <v>73</v>
      </c>
      <c r="BH58" s="95" t="s">
        <v>73</v>
      </c>
      <c r="BI58" s="95" t="s">
        <v>73</v>
      </c>
      <c r="BJ58" s="143">
        <v>97</v>
      </c>
      <c r="BK58" s="95">
        <v>1164</v>
      </c>
      <c r="BL58" s="95" t="s">
        <v>73</v>
      </c>
      <c r="BM58" s="95" t="s">
        <v>73</v>
      </c>
      <c r="BN58" s="95" t="s">
        <v>73</v>
      </c>
      <c r="BO58" s="95" t="s">
        <v>73</v>
      </c>
      <c r="BP58" s="95" t="s">
        <v>73</v>
      </c>
      <c r="BQ58" s="95">
        <v>0</v>
      </c>
      <c r="BR58" s="95" t="s">
        <v>73</v>
      </c>
      <c r="BS58" s="95">
        <v>0</v>
      </c>
      <c r="BT58" s="95" t="s">
        <v>73</v>
      </c>
      <c r="BU58" s="95" t="s">
        <v>355</v>
      </c>
      <c r="BV58" s="95">
        <v>0</v>
      </c>
      <c r="BW58" s="95">
        <v>0</v>
      </c>
      <c r="BX58" s="95">
        <v>0</v>
      </c>
      <c r="BY58" s="133">
        <f t="shared" si="27"/>
        <v>1.785429641688294E-2</v>
      </c>
      <c r="BZ58" s="133">
        <f t="shared" si="18"/>
        <v>1.7856193952969043E-2</v>
      </c>
      <c r="CA58" s="133">
        <f t="shared" si="19"/>
        <v>1.0416665607694988E-2</v>
      </c>
      <c r="CB58" s="133">
        <f t="shared" si="20"/>
        <v>1.0638297872340425E-2</v>
      </c>
      <c r="CC58" s="112">
        <f t="shared" si="28"/>
        <v>3.5714285714285712E-2</v>
      </c>
      <c r="CD58" s="32">
        <f t="shared" si="29"/>
        <v>96</v>
      </c>
      <c r="CE58" s="92" t="s">
        <v>73</v>
      </c>
      <c r="CF58" s="30">
        <f t="shared" si="30"/>
        <v>1.785429641688294E-2</v>
      </c>
      <c r="CG58" s="133">
        <f t="shared" si="22"/>
        <v>1.7856193952969043E-2</v>
      </c>
      <c r="CH58" s="30">
        <f t="shared" si="23"/>
        <v>8.5984514044601802E-4</v>
      </c>
      <c r="CI58" s="30">
        <f t="shared" si="24"/>
        <v>8.6132644272179156E-4</v>
      </c>
      <c r="CJ58" s="92" t="s">
        <v>356</v>
      </c>
    </row>
    <row r="59" spans="1:88" s="95" customFormat="1">
      <c r="A59" s="95" t="s">
        <v>68</v>
      </c>
      <c r="C59" s="92">
        <v>13</v>
      </c>
      <c r="D59" s="95">
        <v>1136</v>
      </c>
      <c r="E59" s="95">
        <v>129</v>
      </c>
      <c r="F59" s="95" t="s">
        <v>351</v>
      </c>
      <c r="G59" s="95">
        <v>2012</v>
      </c>
      <c r="H59" s="95" t="s">
        <v>352</v>
      </c>
      <c r="I59" s="95" t="s">
        <v>353</v>
      </c>
      <c r="J59" s="95">
        <v>2</v>
      </c>
      <c r="K59" s="95">
        <v>2009</v>
      </c>
      <c r="L59" s="95" t="s">
        <v>73</v>
      </c>
      <c r="M59" s="95">
        <v>68</v>
      </c>
      <c r="N59" s="185" t="s">
        <v>107</v>
      </c>
      <c r="O59" s="95" t="s">
        <v>112</v>
      </c>
      <c r="P59" s="95" t="s">
        <v>148</v>
      </c>
      <c r="Q59" s="95" t="s">
        <v>294</v>
      </c>
      <c r="R59" s="95" t="s">
        <v>307</v>
      </c>
      <c r="S59" s="95" t="s">
        <v>336</v>
      </c>
      <c r="T59" s="95">
        <v>1</v>
      </c>
      <c r="U59" s="95" t="s">
        <v>341</v>
      </c>
      <c r="V59" s="95">
        <v>0</v>
      </c>
      <c r="W59" s="95" t="s">
        <v>232</v>
      </c>
      <c r="X59" s="95" t="s">
        <v>232</v>
      </c>
      <c r="Y59" s="95" t="s">
        <v>73</v>
      </c>
      <c r="Z59" s="95">
        <v>0</v>
      </c>
      <c r="AA59" s="95">
        <v>0</v>
      </c>
      <c r="AB59" s="95">
        <v>1</v>
      </c>
      <c r="AC59" s="95">
        <v>0</v>
      </c>
      <c r="AD59" s="95">
        <v>0</v>
      </c>
      <c r="AE59" s="95">
        <v>0</v>
      </c>
      <c r="AF59" s="95">
        <v>0</v>
      </c>
      <c r="AG59" s="95">
        <v>0</v>
      </c>
      <c r="AH59" s="95" t="s">
        <v>73</v>
      </c>
      <c r="AI59" s="95">
        <v>0</v>
      </c>
      <c r="AJ59" s="95">
        <v>0</v>
      </c>
      <c r="AK59" s="95">
        <v>0</v>
      </c>
      <c r="AL59" s="95">
        <v>0</v>
      </c>
      <c r="AM59" s="95">
        <v>0</v>
      </c>
      <c r="AN59" s="95">
        <v>0</v>
      </c>
      <c r="AO59" s="95">
        <v>0</v>
      </c>
      <c r="AP59" s="95">
        <v>0</v>
      </c>
      <c r="AQ59" s="95">
        <v>1</v>
      </c>
      <c r="AR59" s="95" t="s">
        <v>354</v>
      </c>
      <c r="AS59" s="95" t="s">
        <v>234</v>
      </c>
      <c r="AT59" s="32" t="s">
        <v>296</v>
      </c>
      <c r="AU59" s="95" t="s">
        <v>236</v>
      </c>
      <c r="AV59" s="207" t="e">
        <f t="shared" si="26"/>
        <v>#NUM!</v>
      </c>
      <c r="AW59" s="139" t="s">
        <v>80</v>
      </c>
      <c r="AX59" s="95">
        <v>2.6</v>
      </c>
      <c r="AY59" s="140" t="s">
        <v>73</v>
      </c>
      <c r="AZ59" s="140" t="s">
        <v>73</v>
      </c>
      <c r="BA59" s="141" t="e">
        <f t="shared" si="25"/>
        <v>#VALUE!</v>
      </c>
      <c r="BB59" s="141"/>
      <c r="BC59" s="142">
        <v>0.191</v>
      </c>
      <c r="BD59" s="95" t="s">
        <v>73</v>
      </c>
      <c r="BE59" s="95" t="s">
        <v>73</v>
      </c>
      <c r="BF59" s="95" t="s">
        <v>73</v>
      </c>
      <c r="BG59" s="95" t="s">
        <v>73</v>
      </c>
      <c r="BH59" s="95" t="s">
        <v>73</v>
      </c>
      <c r="BI59" s="95" t="s">
        <v>73</v>
      </c>
      <c r="BJ59" s="143">
        <v>90</v>
      </c>
      <c r="BK59" s="95">
        <v>1080</v>
      </c>
      <c r="BL59" s="95" t="s">
        <v>73</v>
      </c>
      <c r="BM59" s="95" t="s">
        <v>73</v>
      </c>
      <c r="BN59" s="95" t="s">
        <v>73</v>
      </c>
      <c r="BO59" s="95" t="s">
        <v>73</v>
      </c>
      <c r="BP59" s="95" t="s">
        <v>73</v>
      </c>
      <c r="BQ59" s="95">
        <v>0</v>
      </c>
      <c r="BR59" s="95" t="s">
        <v>73</v>
      </c>
      <c r="BS59" s="95">
        <v>0</v>
      </c>
      <c r="BT59" s="95" t="s">
        <v>73</v>
      </c>
      <c r="BU59" s="95" t="s">
        <v>315</v>
      </c>
      <c r="BV59" s="95">
        <v>0</v>
      </c>
      <c r="BW59" s="95">
        <v>0</v>
      </c>
      <c r="BX59" s="95">
        <v>0</v>
      </c>
      <c r="BY59" s="133">
        <f t="shared" si="27"/>
        <v>3.6706016626389615E-2</v>
      </c>
      <c r="BZ59" s="133">
        <f t="shared" si="18"/>
        <v>3.6722515025129569E-2</v>
      </c>
      <c r="CA59" s="133">
        <f t="shared" si="19"/>
        <v>1.1235934622825631E-2</v>
      </c>
      <c r="CB59" s="133">
        <f t="shared" si="20"/>
        <v>1.1494252873563218E-2</v>
      </c>
      <c r="CC59" s="112">
        <f t="shared" si="28"/>
        <v>7.3461538461538467E-2</v>
      </c>
      <c r="CD59" s="32">
        <f t="shared" si="29"/>
        <v>89</v>
      </c>
      <c r="CE59" s="92" t="s">
        <v>73</v>
      </c>
      <c r="CF59" s="30">
        <f t="shared" si="30"/>
        <v>3.6706016626389615E-2</v>
      </c>
      <c r="CG59" s="133">
        <f t="shared" si="22"/>
        <v>3.6722515025129569E-2</v>
      </c>
      <c r="CH59" s="30">
        <f t="shared" si="23"/>
        <v>9.2678237389386576E-4</v>
      </c>
      <c r="CI59" s="30">
        <f t="shared" si="24"/>
        <v>9.2850510677808728E-4</v>
      </c>
      <c r="CJ59"/>
    </row>
    <row r="60" spans="1:88" s="95" customFormat="1">
      <c r="A60" s="95" t="s">
        <v>68</v>
      </c>
      <c r="C60" s="92">
        <v>13</v>
      </c>
      <c r="D60" s="95">
        <v>1137</v>
      </c>
      <c r="E60" s="95">
        <v>129</v>
      </c>
      <c r="F60" s="95" t="s">
        <v>351</v>
      </c>
      <c r="G60" s="95">
        <v>2012</v>
      </c>
      <c r="H60" s="95" t="s">
        <v>352</v>
      </c>
      <c r="I60" s="95" t="s">
        <v>353</v>
      </c>
      <c r="J60" s="95">
        <v>2</v>
      </c>
      <c r="K60" s="95">
        <v>2009</v>
      </c>
      <c r="L60" s="95" t="s">
        <v>73</v>
      </c>
      <c r="M60" s="95">
        <v>68</v>
      </c>
      <c r="N60" s="185" t="s">
        <v>107</v>
      </c>
      <c r="O60" s="95" t="s">
        <v>112</v>
      </c>
      <c r="P60" s="95" t="s">
        <v>148</v>
      </c>
      <c r="Q60" s="95" t="s">
        <v>294</v>
      </c>
      <c r="R60" s="95" t="s">
        <v>307</v>
      </c>
      <c r="S60" s="95" t="s">
        <v>336</v>
      </c>
      <c r="T60" s="95">
        <v>1</v>
      </c>
      <c r="U60" s="95" t="s">
        <v>341</v>
      </c>
      <c r="V60" s="95">
        <v>0</v>
      </c>
      <c r="W60" s="95" t="s">
        <v>232</v>
      </c>
      <c r="X60" s="95" t="s">
        <v>232</v>
      </c>
      <c r="Y60" s="95" t="s">
        <v>73</v>
      </c>
      <c r="Z60" s="95">
        <v>0</v>
      </c>
      <c r="AA60" s="95">
        <v>0</v>
      </c>
      <c r="AB60" s="95">
        <v>1</v>
      </c>
      <c r="AC60" s="95">
        <v>0</v>
      </c>
      <c r="AD60" s="95">
        <v>0</v>
      </c>
      <c r="AE60" s="95">
        <v>0</v>
      </c>
      <c r="AF60" s="95">
        <v>0</v>
      </c>
      <c r="AG60" s="95">
        <v>0</v>
      </c>
      <c r="AH60" s="95" t="s">
        <v>73</v>
      </c>
      <c r="AI60" s="95">
        <v>0</v>
      </c>
      <c r="AJ60" s="95">
        <v>0</v>
      </c>
      <c r="AK60" s="95">
        <v>0</v>
      </c>
      <c r="AL60" s="95">
        <v>0</v>
      </c>
      <c r="AM60" s="95">
        <v>0</v>
      </c>
      <c r="AN60" s="95">
        <v>0</v>
      </c>
      <c r="AO60" s="95">
        <v>0</v>
      </c>
      <c r="AP60" s="95">
        <v>0</v>
      </c>
      <c r="AQ60" s="95">
        <v>1</v>
      </c>
      <c r="AR60" s="95" t="s">
        <v>354</v>
      </c>
      <c r="AS60" s="95" t="s">
        <v>234</v>
      </c>
      <c r="AT60" s="32" t="s">
        <v>296</v>
      </c>
      <c r="AU60" s="95" t="s">
        <v>236</v>
      </c>
      <c r="AV60" s="207" t="e">
        <f t="shared" si="26"/>
        <v>#NUM!</v>
      </c>
      <c r="AW60" s="139" t="s">
        <v>80</v>
      </c>
      <c r="AX60" s="95">
        <v>3.1</v>
      </c>
      <c r="AY60" s="140" t="s">
        <v>73</v>
      </c>
      <c r="AZ60" s="140" t="s">
        <v>73</v>
      </c>
      <c r="BA60" s="141" t="e">
        <f t="shared" si="25"/>
        <v>#VALUE!</v>
      </c>
      <c r="BB60" s="141"/>
      <c r="BC60" s="142">
        <v>0.214</v>
      </c>
      <c r="BD60" s="95" t="s">
        <v>73</v>
      </c>
      <c r="BE60" s="95" t="s">
        <v>73</v>
      </c>
      <c r="BF60" s="95" t="s">
        <v>73</v>
      </c>
      <c r="BG60" s="95" t="s">
        <v>73</v>
      </c>
      <c r="BH60" s="95" t="s">
        <v>73</v>
      </c>
      <c r="BI60" s="95" t="s">
        <v>73</v>
      </c>
      <c r="BJ60" s="143">
        <v>97</v>
      </c>
      <c r="BK60" s="95">
        <v>1164</v>
      </c>
      <c r="BL60" s="95" t="s">
        <v>73</v>
      </c>
      <c r="BM60" s="95" t="s">
        <v>73</v>
      </c>
      <c r="BN60" s="95" t="s">
        <v>73</v>
      </c>
      <c r="BO60" s="95" t="s">
        <v>73</v>
      </c>
      <c r="BP60" s="95" t="s">
        <v>73</v>
      </c>
      <c r="BQ60" s="95">
        <v>0</v>
      </c>
      <c r="BR60" s="95" t="s">
        <v>73</v>
      </c>
      <c r="BS60" s="95">
        <v>0</v>
      </c>
      <c r="BT60" s="95" t="s">
        <v>73</v>
      </c>
      <c r="BU60" s="95" t="s">
        <v>355</v>
      </c>
      <c r="BV60" s="95">
        <v>0</v>
      </c>
      <c r="BW60" s="95">
        <v>0</v>
      </c>
      <c r="BX60" s="95">
        <v>0</v>
      </c>
      <c r="BY60" s="133">
        <f t="shared" si="27"/>
        <v>3.4495586763078345E-2</v>
      </c>
      <c r="BZ60" s="133">
        <f t="shared" si="18"/>
        <v>3.4509279163151156E-2</v>
      </c>
      <c r="CA60" s="133">
        <f t="shared" si="19"/>
        <v>1.0416651893543523E-2</v>
      </c>
      <c r="CB60" s="133">
        <f t="shared" si="20"/>
        <v>1.0638297872340425E-2</v>
      </c>
      <c r="CC60" s="112">
        <f t="shared" si="28"/>
        <v>6.9032258064516128E-2</v>
      </c>
      <c r="CD60" s="32">
        <f t="shared" si="29"/>
        <v>96</v>
      </c>
      <c r="CE60" s="92" t="s">
        <v>73</v>
      </c>
      <c r="CF60" s="30">
        <f t="shared" si="30"/>
        <v>3.4495586763078345E-2</v>
      </c>
      <c r="CG60" s="133">
        <f t="shared" si="22"/>
        <v>3.4509279163151156E-2</v>
      </c>
      <c r="CH60" s="30">
        <f t="shared" si="23"/>
        <v>8.598440084094395E-4</v>
      </c>
      <c r="CI60" s="30">
        <f t="shared" si="24"/>
        <v>8.6132644272179156E-4</v>
      </c>
      <c r="CJ60"/>
    </row>
    <row r="61" spans="1:88" s="119" customFormat="1">
      <c r="A61" s="95" t="s">
        <v>68</v>
      </c>
      <c r="B61" s="95"/>
      <c r="C61" s="92">
        <v>13</v>
      </c>
      <c r="D61" s="95">
        <v>1138</v>
      </c>
      <c r="E61" s="95">
        <v>129</v>
      </c>
      <c r="F61" s="95" t="s">
        <v>351</v>
      </c>
      <c r="G61" s="95">
        <v>2012</v>
      </c>
      <c r="H61" s="95" t="s">
        <v>352</v>
      </c>
      <c r="I61" s="95" t="s">
        <v>353</v>
      </c>
      <c r="J61" s="95">
        <v>2</v>
      </c>
      <c r="K61" s="95">
        <v>2009</v>
      </c>
      <c r="L61" s="95" t="s">
        <v>73</v>
      </c>
      <c r="M61" s="95">
        <v>68</v>
      </c>
      <c r="N61" s="185" t="s">
        <v>107</v>
      </c>
      <c r="O61" s="95" t="s">
        <v>112</v>
      </c>
      <c r="P61" s="95" t="s">
        <v>148</v>
      </c>
      <c r="Q61" s="95" t="s">
        <v>294</v>
      </c>
      <c r="R61" s="95" t="s">
        <v>307</v>
      </c>
      <c r="S61" s="95" t="s">
        <v>336</v>
      </c>
      <c r="T61" s="95">
        <v>1</v>
      </c>
      <c r="U61" s="95" t="s">
        <v>341</v>
      </c>
      <c r="V61" s="95">
        <v>0</v>
      </c>
      <c r="W61" s="95" t="s">
        <v>232</v>
      </c>
      <c r="X61" s="95" t="s">
        <v>232</v>
      </c>
      <c r="Y61" s="95" t="s">
        <v>73</v>
      </c>
      <c r="Z61" s="95">
        <v>0</v>
      </c>
      <c r="AA61" s="95">
        <v>0</v>
      </c>
      <c r="AB61" s="95">
        <v>1</v>
      </c>
      <c r="AC61" s="95">
        <v>0</v>
      </c>
      <c r="AD61" s="95">
        <v>0</v>
      </c>
      <c r="AE61" s="95">
        <v>0</v>
      </c>
      <c r="AF61" s="95">
        <v>0</v>
      </c>
      <c r="AG61" s="95">
        <v>0</v>
      </c>
      <c r="AH61" s="95" t="s">
        <v>73</v>
      </c>
      <c r="AI61" s="95">
        <v>0</v>
      </c>
      <c r="AJ61" s="95">
        <v>0</v>
      </c>
      <c r="AK61" s="95">
        <v>0</v>
      </c>
      <c r="AL61" s="95">
        <v>0</v>
      </c>
      <c r="AM61" s="95">
        <v>0</v>
      </c>
      <c r="AN61" s="95">
        <v>0</v>
      </c>
      <c r="AO61" s="95">
        <v>0</v>
      </c>
      <c r="AP61" s="95">
        <v>0</v>
      </c>
      <c r="AQ61" s="95">
        <v>1</v>
      </c>
      <c r="AR61" s="95" t="s">
        <v>354</v>
      </c>
      <c r="AS61" s="95" t="s">
        <v>234</v>
      </c>
      <c r="AT61" s="32" t="s">
        <v>296</v>
      </c>
      <c r="AU61" s="95" t="s">
        <v>236</v>
      </c>
      <c r="AV61" s="207" t="e">
        <f t="shared" si="26"/>
        <v>#NUM!</v>
      </c>
      <c r="AW61" s="139" t="s">
        <v>80</v>
      </c>
      <c r="AX61" s="95">
        <v>2.8</v>
      </c>
      <c r="AY61" s="140" t="s">
        <v>73</v>
      </c>
      <c r="AZ61" s="140" t="s">
        <v>73</v>
      </c>
      <c r="BA61" s="141" t="e">
        <f t="shared" si="25"/>
        <v>#VALUE!</v>
      </c>
      <c r="BB61" s="141"/>
      <c r="BC61" s="142">
        <v>0.16500000000000001</v>
      </c>
      <c r="BD61" s="95" t="s">
        <v>73</v>
      </c>
      <c r="BE61" s="95" t="s">
        <v>73</v>
      </c>
      <c r="BF61" s="95" t="s">
        <v>73</v>
      </c>
      <c r="BG61" s="95" t="s">
        <v>73</v>
      </c>
      <c r="BH61" s="95" t="s">
        <v>73</v>
      </c>
      <c r="BI61" s="95" t="s">
        <v>73</v>
      </c>
      <c r="BJ61" s="143">
        <v>90</v>
      </c>
      <c r="BK61" s="95">
        <v>1080</v>
      </c>
      <c r="BL61" s="95" t="s">
        <v>73</v>
      </c>
      <c r="BM61" s="95" t="s">
        <v>73</v>
      </c>
      <c r="BN61" s="95" t="s">
        <v>73</v>
      </c>
      <c r="BO61" s="95" t="s">
        <v>73</v>
      </c>
      <c r="BP61" s="95" t="s">
        <v>73</v>
      </c>
      <c r="BQ61" s="95">
        <v>0</v>
      </c>
      <c r="BR61" s="95" t="s">
        <v>73</v>
      </c>
      <c r="BS61" s="95">
        <v>0</v>
      </c>
      <c r="BT61" s="95" t="s">
        <v>73</v>
      </c>
      <c r="BU61" s="95" t="s">
        <v>315</v>
      </c>
      <c r="BV61" s="95">
        <v>0</v>
      </c>
      <c r="BW61" s="95">
        <v>0</v>
      </c>
      <c r="BX61" s="95">
        <v>0</v>
      </c>
      <c r="BY61" s="133">
        <f t="shared" si="27"/>
        <v>2.9451504412310325E-2</v>
      </c>
      <c r="BZ61" s="133">
        <f t="shared" si="18"/>
        <v>2.946002417111681E-2</v>
      </c>
      <c r="CA61" s="133">
        <f t="shared" si="19"/>
        <v>1.1235946592828075E-2</v>
      </c>
      <c r="CB61" s="133">
        <f t="shared" si="20"/>
        <v>1.1494252873563218E-2</v>
      </c>
      <c r="CC61" s="112">
        <f t="shared" si="28"/>
        <v>5.8928571428571434E-2</v>
      </c>
      <c r="CD61" s="32">
        <f t="shared" si="29"/>
        <v>89</v>
      </c>
      <c r="CE61" s="92" t="s">
        <v>73</v>
      </c>
      <c r="CF61" s="30">
        <f t="shared" si="30"/>
        <v>2.9451504412310325E-2</v>
      </c>
      <c r="CG61" s="133">
        <f t="shared" si="22"/>
        <v>2.946002417111681E-2</v>
      </c>
      <c r="CH61" s="30">
        <f t="shared" si="23"/>
        <v>9.2678336122492923E-4</v>
      </c>
      <c r="CI61" s="30">
        <f t="shared" si="24"/>
        <v>9.2850510677808728E-4</v>
      </c>
      <c r="CJ61" s="98"/>
    </row>
    <row r="62" spans="1:88">
      <c r="A62" s="95" t="s">
        <v>68</v>
      </c>
      <c r="B62" s="95"/>
      <c r="C62" s="92">
        <v>13</v>
      </c>
      <c r="D62" s="95">
        <v>1139</v>
      </c>
      <c r="E62" s="95">
        <v>129</v>
      </c>
      <c r="F62" s="95" t="s">
        <v>351</v>
      </c>
      <c r="G62" s="95">
        <v>2012</v>
      </c>
      <c r="H62" s="95" t="s">
        <v>352</v>
      </c>
      <c r="I62" s="95" t="s">
        <v>353</v>
      </c>
      <c r="J62" s="95">
        <v>2</v>
      </c>
      <c r="K62" s="95">
        <v>2009</v>
      </c>
      <c r="L62" s="95" t="s">
        <v>73</v>
      </c>
      <c r="M62" s="95">
        <v>68</v>
      </c>
      <c r="N62" s="185" t="s">
        <v>107</v>
      </c>
      <c r="O62" s="95" t="s">
        <v>112</v>
      </c>
      <c r="P62" s="95" t="s">
        <v>148</v>
      </c>
      <c r="Q62" s="95" t="s">
        <v>294</v>
      </c>
      <c r="R62" s="95" t="s">
        <v>307</v>
      </c>
      <c r="S62" s="95" t="s">
        <v>336</v>
      </c>
      <c r="T62" s="95">
        <v>1</v>
      </c>
      <c r="U62" s="95" t="s">
        <v>341</v>
      </c>
      <c r="V62" s="95">
        <v>0</v>
      </c>
      <c r="W62" s="95" t="s">
        <v>232</v>
      </c>
      <c r="X62" s="95" t="s">
        <v>232</v>
      </c>
      <c r="Y62" s="95" t="s">
        <v>73</v>
      </c>
      <c r="Z62" s="95">
        <v>0</v>
      </c>
      <c r="AA62" s="95">
        <v>0</v>
      </c>
      <c r="AB62" s="95">
        <v>1</v>
      </c>
      <c r="AC62" s="95">
        <v>0</v>
      </c>
      <c r="AD62" s="95">
        <v>0</v>
      </c>
      <c r="AE62" s="95">
        <v>0</v>
      </c>
      <c r="AF62" s="95">
        <v>0</v>
      </c>
      <c r="AG62" s="95">
        <v>0</v>
      </c>
      <c r="AH62" s="95" t="s">
        <v>73</v>
      </c>
      <c r="AI62" s="95">
        <v>0</v>
      </c>
      <c r="AJ62" s="95">
        <v>0</v>
      </c>
      <c r="AK62" s="95">
        <v>0</v>
      </c>
      <c r="AL62" s="95">
        <v>0</v>
      </c>
      <c r="AM62" s="95">
        <v>0</v>
      </c>
      <c r="AN62" s="95">
        <v>0</v>
      </c>
      <c r="AO62" s="95">
        <v>0</v>
      </c>
      <c r="AP62" s="95">
        <v>0</v>
      </c>
      <c r="AQ62" s="95">
        <v>1</v>
      </c>
      <c r="AR62" s="95" t="s">
        <v>354</v>
      </c>
      <c r="AS62" s="95" t="s">
        <v>234</v>
      </c>
      <c r="AT62" s="32" t="s">
        <v>296</v>
      </c>
      <c r="AU62" s="95" t="s">
        <v>236</v>
      </c>
      <c r="AV62" s="207" t="e">
        <f t="shared" si="26"/>
        <v>#NUM!</v>
      </c>
      <c r="AW62" s="139" t="s">
        <v>80</v>
      </c>
      <c r="AX62" s="95">
        <v>3.2</v>
      </c>
      <c r="AY62" s="140" t="s">
        <v>73</v>
      </c>
      <c r="AZ62" s="140" t="s">
        <v>73</v>
      </c>
      <c r="BA62" s="141" t="e">
        <f t="shared" si="25"/>
        <v>#VALUE!</v>
      </c>
      <c r="BB62" s="141"/>
      <c r="BC62" s="142">
        <v>0.254</v>
      </c>
      <c r="BD62" s="95" t="s">
        <v>73</v>
      </c>
      <c r="BE62" s="95" t="s">
        <v>73</v>
      </c>
      <c r="BF62" s="95" t="s">
        <v>73</v>
      </c>
      <c r="BG62" s="95" t="s">
        <v>73</v>
      </c>
      <c r="BH62" s="95" t="s">
        <v>73</v>
      </c>
      <c r="BI62" s="95" t="s">
        <v>73</v>
      </c>
      <c r="BJ62" s="143">
        <v>97</v>
      </c>
      <c r="BK62" s="95">
        <v>1164</v>
      </c>
      <c r="BL62" s="95" t="s">
        <v>73</v>
      </c>
      <c r="BM62" s="95" t="s">
        <v>73</v>
      </c>
      <c r="BN62" s="95" t="s">
        <v>73</v>
      </c>
      <c r="BO62" s="95" t="s">
        <v>73</v>
      </c>
      <c r="BP62" s="95" t="s">
        <v>73</v>
      </c>
      <c r="BQ62" s="95">
        <v>0</v>
      </c>
      <c r="BR62" s="95" t="s">
        <v>73</v>
      </c>
      <c r="BS62" s="95">
        <v>0</v>
      </c>
      <c r="BT62" s="95" t="s">
        <v>73</v>
      </c>
      <c r="BU62" s="95" t="s">
        <v>355</v>
      </c>
      <c r="BV62" s="95">
        <v>0</v>
      </c>
      <c r="BW62" s="95">
        <v>0</v>
      </c>
      <c r="BX62" s="95">
        <v>0</v>
      </c>
      <c r="BY62" s="133">
        <f t="shared" si="27"/>
        <v>3.9656281030740814E-2</v>
      </c>
      <c r="BZ62" s="133">
        <f t="shared" si="18"/>
        <v>3.9677088763029514E-2</v>
      </c>
      <c r="CA62" s="133">
        <f t="shared" si="19"/>
        <v>1.0416640850725469E-2</v>
      </c>
      <c r="CB62" s="133">
        <f t="shared" si="20"/>
        <v>1.0638297872340425E-2</v>
      </c>
      <c r="CC62" s="112">
        <f t="shared" si="28"/>
        <v>7.9375000000000001E-2</v>
      </c>
      <c r="CD62" s="32">
        <f t="shared" si="29"/>
        <v>96</v>
      </c>
      <c r="CE62" s="92" t="s">
        <v>73</v>
      </c>
      <c r="CF62" s="30">
        <f t="shared" si="30"/>
        <v>3.9656281030740814E-2</v>
      </c>
      <c r="CG62" s="133">
        <f t="shared" si="22"/>
        <v>3.9677088763029514E-2</v>
      </c>
      <c r="CH62" s="30">
        <f t="shared" si="23"/>
        <v>8.5984309687845665E-4</v>
      </c>
      <c r="CI62" s="30">
        <f t="shared" si="24"/>
        <v>8.6132644272179156E-4</v>
      </c>
    </row>
    <row r="63" spans="1:88">
      <c r="A63" s="95" t="s">
        <v>68</v>
      </c>
      <c r="B63" s="95"/>
      <c r="C63" s="92">
        <v>13</v>
      </c>
      <c r="D63" s="95">
        <v>1141</v>
      </c>
      <c r="E63" s="95">
        <v>129</v>
      </c>
      <c r="F63" s="95" t="s">
        <v>351</v>
      </c>
      <c r="G63" s="95">
        <v>2012</v>
      </c>
      <c r="H63" s="95" t="s">
        <v>352</v>
      </c>
      <c r="I63" s="95" t="s">
        <v>353</v>
      </c>
      <c r="J63" s="95">
        <v>2</v>
      </c>
      <c r="K63" s="95">
        <v>2009</v>
      </c>
      <c r="L63" s="95" t="s">
        <v>73</v>
      </c>
      <c r="M63" s="95">
        <v>68</v>
      </c>
      <c r="N63" s="185" t="s">
        <v>107</v>
      </c>
      <c r="O63" s="95" t="s">
        <v>112</v>
      </c>
      <c r="P63" s="95" t="s">
        <v>148</v>
      </c>
      <c r="Q63" s="95" t="s">
        <v>294</v>
      </c>
      <c r="R63" s="95" t="s">
        <v>307</v>
      </c>
      <c r="S63" s="95" t="s">
        <v>336</v>
      </c>
      <c r="T63" s="95">
        <v>1</v>
      </c>
      <c r="U63" s="95" t="s">
        <v>341</v>
      </c>
      <c r="V63" s="95">
        <v>0</v>
      </c>
      <c r="W63" s="95" t="s">
        <v>232</v>
      </c>
      <c r="X63" s="95" t="s">
        <v>232</v>
      </c>
      <c r="Y63" s="95" t="s">
        <v>73</v>
      </c>
      <c r="Z63" s="95">
        <v>0</v>
      </c>
      <c r="AA63" s="95">
        <v>0</v>
      </c>
      <c r="AB63" s="95">
        <v>1</v>
      </c>
      <c r="AC63" s="95">
        <v>0</v>
      </c>
      <c r="AD63" s="95">
        <v>0</v>
      </c>
      <c r="AE63" s="95">
        <v>0</v>
      </c>
      <c r="AF63" s="95">
        <v>0</v>
      </c>
      <c r="AG63" s="95">
        <v>0</v>
      </c>
      <c r="AH63" s="95" t="s">
        <v>73</v>
      </c>
      <c r="AI63" s="95">
        <v>0</v>
      </c>
      <c r="AJ63" s="95">
        <v>0</v>
      </c>
      <c r="AK63" s="95">
        <v>0</v>
      </c>
      <c r="AL63" s="95">
        <v>0</v>
      </c>
      <c r="AM63" s="95">
        <v>0</v>
      </c>
      <c r="AN63" s="95">
        <v>0</v>
      </c>
      <c r="AO63" s="95">
        <v>0</v>
      </c>
      <c r="AP63" s="95">
        <v>0</v>
      </c>
      <c r="AQ63" s="95">
        <v>1</v>
      </c>
      <c r="AR63" s="95" t="s">
        <v>354</v>
      </c>
      <c r="AS63" s="95" t="s">
        <v>234</v>
      </c>
      <c r="AT63" s="32" t="s">
        <v>296</v>
      </c>
      <c r="AU63" s="95" t="s">
        <v>236</v>
      </c>
      <c r="AV63" s="207" t="e">
        <f t="shared" si="26"/>
        <v>#NUM!</v>
      </c>
      <c r="AW63" s="139" t="s">
        <v>80</v>
      </c>
      <c r="AX63" s="95">
        <v>4.3</v>
      </c>
      <c r="AY63" s="140" t="s">
        <v>73</v>
      </c>
      <c r="AZ63" s="140" t="s">
        <v>73</v>
      </c>
      <c r="BA63" s="141" t="e">
        <f t="shared" si="25"/>
        <v>#VALUE!</v>
      </c>
      <c r="BB63" s="141"/>
      <c r="BC63" s="142">
        <v>0.45700000000000002</v>
      </c>
      <c r="BD63" s="95" t="s">
        <v>73</v>
      </c>
      <c r="BE63" s="95" t="s">
        <v>73</v>
      </c>
      <c r="BF63" s="95" t="s">
        <v>73</v>
      </c>
      <c r="BG63" s="95" t="s">
        <v>73</v>
      </c>
      <c r="BH63" s="95" t="s">
        <v>73</v>
      </c>
      <c r="BI63" s="95" t="s">
        <v>73</v>
      </c>
      <c r="BJ63" s="143">
        <v>97</v>
      </c>
      <c r="BK63" s="95">
        <v>1164</v>
      </c>
      <c r="BL63" s="95" t="s">
        <v>73</v>
      </c>
      <c r="BM63" s="95" t="s">
        <v>73</v>
      </c>
      <c r="BN63" s="95" t="s">
        <v>73</v>
      </c>
      <c r="BO63" s="95" t="s">
        <v>73</v>
      </c>
      <c r="BP63" s="95" t="s">
        <v>73</v>
      </c>
      <c r="BQ63" s="95">
        <v>0</v>
      </c>
      <c r="BR63" s="95" t="s">
        <v>73</v>
      </c>
      <c r="BS63" s="95">
        <v>0</v>
      </c>
      <c r="BT63" s="95" t="s">
        <v>73</v>
      </c>
      <c r="BU63" s="95" t="s">
        <v>355</v>
      </c>
      <c r="BV63" s="95">
        <v>0</v>
      </c>
      <c r="BW63" s="95">
        <v>0</v>
      </c>
      <c r="BX63" s="95">
        <v>0</v>
      </c>
      <c r="BY63" s="133">
        <f t="shared" si="27"/>
        <v>5.306466542985009E-2</v>
      </c>
      <c r="BZ63" s="133">
        <f t="shared" si="18"/>
        <v>5.3114557283637655E-2</v>
      </c>
      <c r="CA63" s="133">
        <f t="shared" si="19"/>
        <v>1.0416583761226261E-2</v>
      </c>
      <c r="CB63" s="133">
        <f t="shared" si="20"/>
        <v>1.0638297872340425E-2</v>
      </c>
      <c r="CC63" s="112">
        <f t="shared" si="28"/>
        <v>0.10627906976744186</v>
      </c>
      <c r="CD63" s="32">
        <f t="shared" si="29"/>
        <v>96</v>
      </c>
      <c r="CE63" s="92" t="s">
        <v>73</v>
      </c>
      <c r="CF63" s="30">
        <f t="shared" si="30"/>
        <v>5.306466542985009E-2</v>
      </c>
      <c r="CG63" s="133">
        <f t="shared" si="22"/>
        <v>5.3114557283637655E-2</v>
      </c>
      <c r="CH63" s="30">
        <f t="shared" si="23"/>
        <v>8.5983838441764488E-4</v>
      </c>
      <c r="CI63" s="30">
        <f t="shared" si="24"/>
        <v>8.6132644272179156E-4</v>
      </c>
    </row>
    <row r="64" spans="1:88">
      <c r="A64" s="95" t="s">
        <v>68</v>
      </c>
      <c r="B64" s="95"/>
      <c r="C64" s="92">
        <v>13</v>
      </c>
      <c r="D64" s="95">
        <v>1140</v>
      </c>
      <c r="E64" s="95">
        <v>129</v>
      </c>
      <c r="F64" s="95" t="s">
        <v>351</v>
      </c>
      <c r="G64" s="95">
        <v>2012</v>
      </c>
      <c r="H64" s="95" t="s">
        <v>352</v>
      </c>
      <c r="I64" s="95" t="s">
        <v>353</v>
      </c>
      <c r="J64" s="95">
        <v>2</v>
      </c>
      <c r="K64" s="95">
        <v>2009</v>
      </c>
      <c r="L64" s="95" t="s">
        <v>73</v>
      </c>
      <c r="M64" s="95">
        <v>68</v>
      </c>
      <c r="N64" s="185" t="s">
        <v>107</v>
      </c>
      <c r="O64" s="95" t="s">
        <v>112</v>
      </c>
      <c r="P64" s="95" t="s">
        <v>148</v>
      </c>
      <c r="Q64" s="95" t="s">
        <v>294</v>
      </c>
      <c r="R64" s="95" t="s">
        <v>307</v>
      </c>
      <c r="S64" s="95" t="s">
        <v>336</v>
      </c>
      <c r="T64" s="95">
        <v>1</v>
      </c>
      <c r="U64" s="95" t="s">
        <v>341</v>
      </c>
      <c r="V64" s="95">
        <v>0</v>
      </c>
      <c r="W64" s="95" t="s">
        <v>232</v>
      </c>
      <c r="X64" s="95" t="s">
        <v>232</v>
      </c>
      <c r="Y64" s="95" t="s">
        <v>73</v>
      </c>
      <c r="Z64" s="95">
        <v>0</v>
      </c>
      <c r="AA64" s="95">
        <v>0</v>
      </c>
      <c r="AB64" s="95">
        <v>1</v>
      </c>
      <c r="AC64" s="95">
        <v>0</v>
      </c>
      <c r="AD64" s="95">
        <v>0</v>
      </c>
      <c r="AE64" s="95">
        <v>0</v>
      </c>
      <c r="AF64" s="95">
        <v>0</v>
      </c>
      <c r="AG64" s="95">
        <v>0</v>
      </c>
      <c r="AH64" s="95" t="s">
        <v>73</v>
      </c>
      <c r="AI64" s="95">
        <v>0</v>
      </c>
      <c r="AJ64" s="95">
        <v>0</v>
      </c>
      <c r="AK64" s="95">
        <v>0</v>
      </c>
      <c r="AL64" s="95">
        <v>0</v>
      </c>
      <c r="AM64" s="95">
        <v>0</v>
      </c>
      <c r="AN64" s="95">
        <v>0</v>
      </c>
      <c r="AO64" s="95">
        <v>0</v>
      </c>
      <c r="AP64" s="95">
        <v>0</v>
      </c>
      <c r="AQ64" s="95">
        <v>1</v>
      </c>
      <c r="AR64" s="95" t="s">
        <v>354</v>
      </c>
      <c r="AS64" s="95" t="s">
        <v>234</v>
      </c>
      <c r="AT64" s="32" t="s">
        <v>296</v>
      </c>
      <c r="AU64" s="95" t="s">
        <v>236</v>
      </c>
      <c r="AV64" s="207" t="e">
        <f t="shared" si="26"/>
        <v>#NUM!</v>
      </c>
      <c r="AW64" s="139" t="s">
        <v>80</v>
      </c>
      <c r="AX64" s="95">
        <v>4.0999999999999996</v>
      </c>
      <c r="AY64" s="140" t="s">
        <v>73</v>
      </c>
      <c r="AZ64" s="140" t="s">
        <v>73</v>
      </c>
      <c r="BA64" s="141" t="e">
        <f t="shared" si="25"/>
        <v>#VALUE!</v>
      </c>
      <c r="BB64" s="141"/>
      <c r="BC64" s="142">
        <v>0.30880000000000002</v>
      </c>
      <c r="BD64" s="95" t="s">
        <v>73</v>
      </c>
      <c r="BE64" s="95" t="s">
        <v>73</v>
      </c>
      <c r="BF64" s="95" t="s">
        <v>73</v>
      </c>
      <c r="BG64" s="95" t="s">
        <v>73</v>
      </c>
      <c r="BH64" s="95" t="s">
        <v>73</v>
      </c>
      <c r="BI64" s="95" t="s">
        <v>73</v>
      </c>
      <c r="BJ64" s="143">
        <v>90</v>
      </c>
      <c r="BK64" s="95">
        <v>1080</v>
      </c>
      <c r="BL64" s="95" t="s">
        <v>73</v>
      </c>
      <c r="BM64" s="95" t="s">
        <v>73</v>
      </c>
      <c r="BN64" s="95" t="s">
        <v>73</v>
      </c>
      <c r="BO64" s="95" t="s">
        <v>73</v>
      </c>
      <c r="BP64" s="95" t="s">
        <v>73</v>
      </c>
      <c r="BQ64" s="95">
        <v>0</v>
      </c>
      <c r="BR64" s="95" t="s">
        <v>73</v>
      </c>
      <c r="BS64" s="95">
        <v>0</v>
      </c>
      <c r="BT64" s="95" t="s">
        <v>73</v>
      </c>
      <c r="BU64" s="95" t="s">
        <v>315</v>
      </c>
      <c r="BV64" s="95">
        <v>0</v>
      </c>
      <c r="BW64" s="95">
        <v>0</v>
      </c>
      <c r="BX64" s="95">
        <v>0</v>
      </c>
      <c r="BY64" s="133">
        <f t="shared" si="27"/>
        <v>3.7631861937430795E-2</v>
      </c>
      <c r="BZ64" s="133">
        <f t="shared" si="18"/>
        <v>3.7649641255509014E-2</v>
      </c>
      <c r="CA64" s="133">
        <f t="shared" si="19"/>
        <v>1.1235932479848823E-2</v>
      </c>
      <c r="CB64" s="133">
        <f t="shared" si="20"/>
        <v>1.1494252873563218E-2</v>
      </c>
      <c r="CC64" s="112">
        <f t="shared" si="28"/>
        <v>7.5317073170731719E-2</v>
      </c>
      <c r="CD64" s="32">
        <f t="shared" si="29"/>
        <v>89</v>
      </c>
      <c r="CE64" s="92" t="s">
        <v>73</v>
      </c>
      <c r="CF64" s="30">
        <f t="shared" si="30"/>
        <v>3.7631861937430795E-2</v>
      </c>
      <c r="CG64" s="133">
        <f t="shared" si="22"/>
        <v>3.7649641255509014E-2</v>
      </c>
      <c r="CH64" s="30">
        <f t="shared" si="23"/>
        <v>9.267821971330355E-4</v>
      </c>
      <c r="CI64" s="30">
        <f t="shared" si="24"/>
        <v>9.2850510677808728E-4</v>
      </c>
    </row>
    <row r="65" spans="1:88">
      <c r="A65" s="92" t="s">
        <v>68</v>
      </c>
      <c r="B65" s="92"/>
      <c r="C65" s="92">
        <v>14</v>
      </c>
      <c r="D65" s="11">
        <v>1118</v>
      </c>
      <c r="E65" s="92">
        <v>124</v>
      </c>
      <c r="F65" s="92" t="s">
        <v>337</v>
      </c>
      <c r="G65" s="92">
        <v>2018</v>
      </c>
      <c r="H65" s="92" t="s">
        <v>338</v>
      </c>
      <c r="I65" s="92" t="s">
        <v>339</v>
      </c>
      <c r="J65" s="92">
        <v>2</v>
      </c>
      <c r="K65" s="92">
        <v>2015</v>
      </c>
      <c r="L65" s="92" t="s">
        <v>73</v>
      </c>
      <c r="M65" s="92">
        <v>28</v>
      </c>
      <c r="N65" s="185" t="s">
        <v>155</v>
      </c>
      <c r="O65" s="92" t="s">
        <v>112</v>
      </c>
      <c r="P65" s="92" t="s">
        <v>340</v>
      </c>
      <c r="Q65" s="92" t="s">
        <v>294</v>
      </c>
      <c r="R65" s="92" t="s">
        <v>244</v>
      </c>
      <c r="S65" s="135" t="s">
        <v>336</v>
      </c>
      <c r="T65" s="92">
        <v>1</v>
      </c>
      <c r="U65" s="92" t="s">
        <v>341</v>
      </c>
      <c r="V65" s="92">
        <v>0</v>
      </c>
      <c r="W65" s="92" t="s">
        <v>232</v>
      </c>
      <c r="X65" s="92" t="s">
        <v>232</v>
      </c>
      <c r="Y65" s="92" t="s">
        <v>73</v>
      </c>
      <c r="Z65" s="92">
        <v>0</v>
      </c>
      <c r="AA65" s="92">
        <v>0</v>
      </c>
      <c r="AB65" s="92">
        <v>1</v>
      </c>
      <c r="AC65" s="92">
        <v>0</v>
      </c>
      <c r="AD65" s="92">
        <v>0</v>
      </c>
      <c r="AE65" s="92">
        <v>0</v>
      </c>
      <c r="AF65" s="92">
        <v>0</v>
      </c>
      <c r="AG65" s="92">
        <v>0</v>
      </c>
      <c r="AH65" s="92" t="s">
        <v>342</v>
      </c>
      <c r="AI65" s="92">
        <v>0</v>
      </c>
      <c r="AJ65" s="92">
        <v>0</v>
      </c>
      <c r="AK65" s="92">
        <v>0</v>
      </c>
      <c r="AL65" s="92">
        <v>0</v>
      </c>
      <c r="AM65" s="92">
        <v>0</v>
      </c>
      <c r="AN65" s="92">
        <v>0</v>
      </c>
      <c r="AO65" s="92">
        <v>0</v>
      </c>
      <c r="AP65" s="92">
        <v>1</v>
      </c>
      <c r="AQ65" s="92">
        <v>0</v>
      </c>
      <c r="AR65" s="92" t="s">
        <v>343</v>
      </c>
      <c r="AS65" s="92" t="s">
        <v>234</v>
      </c>
      <c r="AT65" s="92" t="s">
        <v>296</v>
      </c>
      <c r="AU65" s="92" t="s">
        <v>236</v>
      </c>
      <c r="AV65" s="195">
        <v>0.53</v>
      </c>
      <c r="AW65" s="93" t="s">
        <v>80</v>
      </c>
      <c r="AX65" s="92">
        <v>0.26</v>
      </c>
      <c r="AY65" s="92" t="s">
        <v>73</v>
      </c>
      <c r="AZ65" s="92">
        <v>3</v>
      </c>
      <c r="BA65" s="92">
        <f>AV65/AX65</f>
        <v>2.0384615384615383</v>
      </c>
      <c r="BB65" s="209">
        <v>0.69</v>
      </c>
      <c r="BC65" s="105">
        <f>EXP(AV65)/(1+EXP(AV65))</f>
        <v>0.62948311196739493</v>
      </c>
      <c r="BD65" s="92" t="s">
        <v>73</v>
      </c>
      <c r="BE65" s="92" t="s">
        <v>73</v>
      </c>
      <c r="BF65" s="92" t="s">
        <v>73</v>
      </c>
      <c r="BG65" s="92" t="s">
        <v>73</v>
      </c>
      <c r="BH65" s="92" t="s">
        <v>73</v>
      </c>
      <c r="BI65" s="92" t="s">
        <v>73</v>
      </c>
      <c r="BJ65" s="92">
        <v>148</v>
      </c>
      <c r="BK65" s="92">
        <v>1184</v>
      </c>
      <c r="BL65" s="92" t="s">
        <v>73</v>
      </c>
      <c r="BM65" s="92" t="s">
        <v>73</v>
      </c>
      <c r="BN65" s="92" t="s">
        <v>73</v>
      </c>
      <c r="BO65" s="92" t="s">
        <v>73</v>
      </c>
      <c r="BP65" s="92" t="s">
        <v>73</v>
      </c>
      <c r="BQ65" s="92">
        <v>0</v>
      </c>
      <c r="BR65" s="92" t="s">
        <v>73</v>
      </c>
      <c r="BS65" s="92">
        <v>0</v>
      </c>
      <c r="BT65" s="92" t="s">
        <v>73</v>
      </c>
      <c r="BU65" s="92" t="s">
        <v>344</v>
      </c>
      <c r="BV65" s="92">
        <v>0</v>
      </c>
      <c r="BW65" s="92">
        <v>0</v>
      </c>
      <c r="BX65" s="92">
        <v>1</v>
      </c>
      <c r="BY65" s="30">
        <f t="shared" ref="BY65:BY107" si="31">((BA65^2)/(BA65^2+BJ65))^(1/2)</f>
        <v>0.16525664934411763</v>
      </c>
      <c r="BZ65" s="30">
        <f t="shared" si="18"/>
        <v>0.16678616424140319</v>
      </c>
      <c r="CA65" s="30">
        <f t="shared" si="19"/>
        <v>6.7974570051877199E-3</v>
      </c>
      <c r="CB65" s="30">
        <f t="shared" si="20"/>
        <v>6.8965517241379309E-3</v>
      </c>
      <c r="CC65" s="92" t="s">
        <v>73</v>
      </c>
      <c r="CD65">
        <f t="shared" si="29"/>
        <v>147</v>
      </c>
      <c r="CE65" s="92" t="s">
        <v>73</v>
      </c>
      <c r="CF65" s="30">
        <f t="shared" ref="CF65:CF96" si="32">((BA65^2)/(BA65^2+BK65))^(1/2)</f>
        <v>5.9137901852854315E-2</v>
      </c>
      <c r="CG65" s="30">
        <f t="shared" si="22"/>
        <v>5.9206987704804405E-2</v>
      </c>
      <c r="CH65" s="30">
        <f t="shared" si="23"/>
        <v>8.4529815020993756E-4</v>
      </c>
      <c r="CI65" s="30">
        <f t="shared" si="24"/>
        <v>8.4674005080440302E-4</v>
      </c>
    </row>
    <row r="66" spans="1:88" s="107" customFormat="1">
      <c r="A66" s="92" t="s">
        <v>68</v>
      </c>
      <c r="B66" s="92"/>
      <c r="C66" s="92">
        <v>14</v>
      </c>
      <c r="D66" s="11">
        <v>1119</v>
      </c>
      <c r="E66" s="92">
        <v>124</v>
      </c>
      <c r="F66" s="92" t="s">
        <v>337</v>
      </c>
      <c r="G66" s="92">
        <v>2018</v>
      </c>
      <c r="H66" s="92" t="s">
        <v>338</v>
      </c>
      <c r="I66" s="92" t="s">
        <v>339</v>
      </c>
      <c r="J66" s="92">
        <v>2</v>
      </c>
      <c r="K66" s="92">
        <v>2015</v>
      </c>
      <c r="L66" s="92" t="s">
        <v>73</v>
      </c>
      <c r="M66" s="92">
        <v>28</v>
      </c>
      <c r="N66" s="185" t="s">
        <v>155</v>
      </c>
      <c r="O66" s="92" t="s">
        <v>112</v>
      </c>
      <c r="P66" s="92" t="s">
        <v>340</v>
      </c>
      <c r="Q66" s="92" t="s">
        <v>294</v>
      </c>
      <c r="R66" s="92" t="s">
        <v>244</v>
      </c>
      <c r="S66" s="135" t="s">
        <v>336</v>
      </c>
      <c r="T66" s="92">
        <v>1</v>
      </c>
      <c r="U66" s="92" t="s">
        <v>341</v>
      </c>
      <c r="V66" s="92">
        <v>0</v>
      </c>
      <c r="W66" s="92" t="s">
        <v>232</v>
      </c>
      <c r="X66" s="92" t="s">
        <v>232</v>
      </c>
      <c r="Y66" s="92" t="s">
        <v>73</v>
      </c>
      <c r="Z66" s="92">
        <v>0</v>
      </c>
      <c r="AA66" s="92">
        <v>0</v>
      </c>
      <c r="AB66" s="92">
        <v>1</v>
      </c>
      <c r="AC66" s="92">
        <v>0</v>
      </c>
      <c r="AD66" s="92">
        <v>0</v>
      </c>
      <c r="AE66" s="92">
        <v>0</v>
      </c>
      <c r="AF66" s="92">
        <v>0</v>
      </c>
      <c r="AG66" s="92">
        <v>0</v>
      </c>
      <c r="AH66" s="92" t="s">
        <v>342</v>
      </c>
      <c r="AI66" s="92">
        <v>0</v>
      </c>
      <c r="AJ66" s="92">
        <v>0</v>
      </c>
      <c r="AK66" s="92">
        <v>0</v>
      </c>
      <c r="AL66" s="92">
        <v>0</v>
      </c>
      <c r="AM66" s="92">
        <v>0</v>
      </c>
      <c r="AN66" s="92">
        <v>0</v>
      </c>
      <c r="AO66" s="92">
        <v>0</v>
      </c>
      <c r="AP66" s="92">
        <v>1</v>
      </c>
      <c r="AQ66" s="92">
        <v>0</v>
      </c>
      <c r="AR66" s="92" t="s">
        <v>345</v>
      </c>
      <c r="AS66" s="92" t="s">
        <v>234</v>
      </c>
      <c r="AT66" s="92" t="s">
        <v>296</v>
      </c>
      <c r="AU66" s="92" t="s">
        <v>236</v>
      </c>
      <c r="AV66" s="195">
        <v>1.0900000000000001</v>
      </c>
      <c r="AW66" s="93" t="s">
        <v>80</v>
      </c>
      <c r="AX66" s="92">
        <v>0.39</v>
      </c>
      <c r="AY66" s="92" t="s">
        <v>73</v>
      </c>
      <c r="AZ66" s="92">
        <v>3</v>
      </c>
      <c r="BA66" s="92">
        <f>AV66/AX66</f>
        <v>2.7948717948717952</v>
      </c>
      <c r="BB66" s="209">
        <v>0.78</v>
      </c>
      <c r="BC66" s="105">
        <f>EXP(AV66)/(1+EXP(AV66))</f>
        <v>0.74838172160706429</v>
      </c>
      <c r="BD66" s="92" t="s">
        <v>73</v>
      </c>
      <c r="BE66" s="92" t="s">
        <v>73</v>
      </c>
      <c r="BF66" s="92" t="s">
        <v>73</v>
      </c>
      <c r="BG66" s="92" t="s">
        <v>73</v>
      </c>
      <c r="BH66" s="92" t="s">
        <v>73</v>
      </c>
      <c r="BI66" s="92" t="s">
        <v>73</v>
      </c>
      <c r="BJ66" s="92">
        <v>148</v>
      </c>
      <c r="BK66" s="92">
        <v>1184</v>
      </c>
      <c r="BL66" s="92" t="s">
        <v>73</v>
      </c>
      <c r="BM66" s="92" t="s">
        <v>73</v>
      </c>
      <c r="BN66" s="92" t="s">
        <v>73</v>
      </c>
      <c r="BO66" s="92" t="s">
        <v>73</v>
      </c>
      <c r="BP66" s="92" t="s">
        <v>73</v>
      </c>
      <c r="BQ66" s="92">
        <v>0</v>
      </c>
      <c r="BR66" s="92" t="s">
        <v>73</v>
      </c>
      <c r="BS66" s="92">
        <v>0</v>
      </c>
      <c r="BT66" s="92" t="s">
        <v>73</v>
      </c>
      <c r="BU66" s="92" t="s">
        <v>344</v>
      </c>
      <c r="BV66" s="92">
        <v>0</v>
      </c>
      <c r="BW66" s="92">
        <v>0</v>
      </c>
      <c r="BX66" s="92">
        <v>1</v>
      </c>
      <c r="BY66" s="30">
        <f t="shared" si="31"/>
        <v>0.22390428433112008</v>
      </c>
      <c r="BZ66" s="30">
        <f t="shared" ref="BZ66:BZ97" si="33">0.5*LN((1+BY66)/(1-BY66))</f>
        <v>0.22776270171385027</v>
      </c>
      <c r="CA66" s="30">
        <f t="shared" ref="CA66:CA97" si="34">((1-(BZ66^2)^2)/(BJ66-1))</f>
        <v>6.7844142609794983E-3</v>
      </c>
      <c r="CB66" s="30">
        <f t="shared" ref="CB66:CB97" si="35">1/(BJ66-3)</f>
        <v>6.8965517241379309E-3</v>
      </c>
      <c r="CC66" s="92" t="s">
        <v>73</v>
      </c>
      <c r="CD66">
        <f t="shared" si="29"/>
        <v>147</v>
      </c>
      <c r="CE66" s="92" t="s">
        <v>73</v>
      </c>
      <c r="CF66" s="30">
        <f t="shared" si="32"/>
        <v>8.0957696006493107E-2</v>
      </c>
      <c r="CG66" s="30">
        <f t="shared" ref="CG66:CG97" si="36">0.5*LN((1+CF66)/(1-CF66))</f>
        <v>8.1135264405531898E-2</v>
      </c>
      <c r="CH66" s="30">
        <f t="shared" ref="CH66:CH97" si="37">((1-(CG66^2)^2)/(BK66-1))</f>
        <v>8.4527190618574437E-4</v>
      </c>
      <c r="CI66" s="30">
        <f t="shared" ref="CI66:CI97" si="38">1/(BK66-3)</f>
        <v>8.4674005080440302E-4</v>
      </c>
      <c r="CJ66"/>
    </row>
    <row r="67" spans="1:88">
      <c r="A67" s="108" t="s">
        <v>68</v>
      </c>
      <c r="B67" s="108"/>
      <c r="C67" s="108">
        <v>15</v>
      </c>
      <c r="D67" s="108">
        <v>1154</v>
      </c>
      <c r="E67" s="135">
        <v>135</v>
      </c>
      <c r="F67" t="s">
        <v>371</v>
      </c>
      <c r="G67" s="108">
        <v>2014</v>
      </c>
      <c r="H67" t="s">
        <v>372</v>
      </c>
      <c r="I67" t="s">
        <v>373</v>
      </c>
      <c r="J67" s="135">
        <v>2</v>
      </c>
      <c r="K67">
        <v>2012</v>
      </c>
      <c r="L67" s="108" t="s">
        <v>73</v>
      </c>
      <c r="M67" s="135">
        <v>12</v>
      </c>
      <c r="N67" s="18" t="s">
        <v>261</v>
      </c>
      <c r="O67" t="s">
        <v>242</v>
      </c>
      <c r="P67" t="s">
        <v>374</v>
      </c>
      <c r="Q67" t="s">
        <v>294</v>
      </c>
      <c r="R67" t="s">
        <v>307</v>
      </c>
      <c r="S67" t="s">
        <v>336</v>
      </c>
      <c r="T67">
        <v>0</v>
      </c>
      <c r="U67" t="s">
        <v>341</v>
      </c>
      <c r="V67">
        <v>0</v>
      </c>
      <c r="W67" s="108" t="s">
        <v>232</v>
      </c>
      <c r="X67" s="108" t="s">
        <v>232</v>
      </c>
      <c r="Y67" s="108" t="s">
        <v>73</v>
      </c>
      <c r="Z67" s="135">
        <v>0</v>
      </c>
      <c r="AA67" s="135">
        <v>0</v>
      </c>
      <c r="AB67" s="135">
        <v>1</v>
      </c>
      <c r="AC67" s="135">
        <v>0</v>
      </c>
      <c r="AD67" s="135">
        <v>0</v>
      </c>
      <c r="AE67" s="135">
        <v>0</v>
      </c>
      <c r="AF67" s="135">
        <v>0</v>
      </c>
      <c r="AG67" s="135">
        <v>0</v>
      </c>
      <c r="AH67" s="135" t="s">
        <v>375</v>
      </c>
      <c r="AI67" s="135">
        <v>0</v>
      </c>
      <c r="AJ67" s="135">
        <v>0</v>
      </c>
      <c r="AK67" s="135">
        <v>0</v>
      </c>
      <c r="AL67" s="135">
        <v>1</v>
      </c>
      <c r="AM67" s="135">
        <v>0</v>
      </c>
      <c r="AN67" s="135">
        <v>0</v>
      </c>
      <c r="AO67" s="135">
        <v>0</v>
      </c>
      <c r="AP67" s="135">
        <v>0</v>
      </c>
      <c r="AQ67" s="135">
        <v>0</v>
      </c>
      <c r="AR67" t="s">
        <v>73</v>
      </c>
      <c r="AS67" t="s">
        <v>234</v>
      </c>
      <c r="AT67" t="s">
        <v>376</v>
      </c>
      <c r="AU67" t="s">
        <v>236</v>
      </c>
      <c r="AV67" s="134">
        <v>0.25530000000000003</v>
      </c>
      <c r="AW67" s="7" t="s">
        <v>80</v>
      </c>
      <c r="AX67" t="s">
        <v>73</v>
      </c>
      <c r="AY67">
        <v>1.23E-2</v>
      </c>
      <c r="AZ67">
        <v>3</v>
      </c>
      <c r="BA67" s="102">
        <f>TINV(AY67,CD67)</f>
        <v>2.5125829401851192</v>
      </c>
      <c r="BB67" s="102" t="s">
        <v>73</v>
      </c>
      <c r="BC67" s="105">
        <f>EXP(AV67)/(1+EXP(AV67))</f>
        <v>0.56348057873179402</v>
      </c>
      <c r="BD67" t="s">
        <v>73</v>
      </c>
      <c r="BE67" t="s">
        <v>73</v>
      </c>
      <c r="BF67" t="s">
        <v>73</v>
      </c>
      <c r="BG67" t="s">
        <v>73</v>
      </c>
      <c r="BH67" t="s">
        <v>73</v>
      </c>
      <c r="BI67" t="s">
        <v>73</v>
      </c>
      <c r="BJ67" s="135">
        <v>500</v>
      </c>
      <c r="BK67" s="135">
        <v>2000</v>
      </c>
      <c r="BL67" s="135" t="s">
        <v>73</v>
      </c>
      <c r="BM67" s="135" t="s">
        <v>73</v>
      </c>
      <c r="BN67" s="135" t="s">
        <v>73</v>
      </c>
      <c r="BO67" s="135" t="s">
        <v>73</v>
      </c>
      <c r="BP67" s="135" t="s">
        <v>73</v>
      </c>
      <c r="BQ67">
        <v>0</v>
      </c>
      <c r="BR67" s="135" t="s">
        <v>73</v>
      </c>
      <c r="BS67">
        <v>1</v>
      </c>
      <c r="BT67" s="144" t="s">
        <v>73</v>
      </c>
      <c r="BU67" t="s">
        <v>344</v>
      </c>
      <c r="BV67" s="135">
        <v>0</v>
      </c>
      <c r="BW67" s="135">
        <v>0</v>
      </c>
      <c r="BX67" s="135">
        <v>1</v>
      </c>
      <c r="BY67" s="30">
        <f t="shared" si="31"/>
        <v>0.11166339711480726</v>
      </c>
      <c r="BZ67" s="30">
        <f t="shared" si="33"/>
        <v>0.11213100003996684</v>
      </c>
      <c r="CA67" s="30">
        <f t="shared" si="34"/>
        <v>2.0036912035849494E-3</v>
      </c>
      <c r="CB67" s="30">
        <f t="shared" si="35"/>
        <v>2.012072434607646E-3</v>
      </c>
      <c r="CC67" s="92" t="s">
        <v>73</v>
      </c>
      <c r="CD67">
        <f t="shared" ref="CD67:CD109" si="39">BJ67-2</f>
        <v>498</v>
      </c>
      <c r="CE67" s="92" t="s">
        <v>73</v>
      </c>
      <c r="CF67" s="30">
        <f t="shared" si="32"/>
        <v>5.6094599960881869E-2</v>
      </c>
      <c r="CG67" s="30">
        <f t="shared" si="36"/>
        <v>5.6153547124580094E-2</v>
      </c>
      <c r="CH67" s="30">
        <f t="shared" si="37"/>
        <v>5.0024515117470813E-4</v>
      </c>
      <c r="CI67" s="30">
        <f t="shared" si="38"/>
        <v>5.00751126690035E-4</v>
      </c>
    </row>
    <row r="68" spans="1:88">
      <c r="A68" s="108" t="s">
        <v>68</v>
      </c>
      <c r="B68" s="108"/>
      <c r="C68" s="108">
        <v>15</v>
      </c>
      <c r="D68" s="108">
        <v>1153</v>
      </c>
      <c r="E68" s="135">
        <v>135</v>
      </c>
      <c r="F68" t="s">
        <v>371</v>
      </c>
      <c r="G68" s="108">
        <v>2014</v>
      </c>
      <c r="H68" t="s">
        <v>372</v>
      </c>
      <c r="I68" t="s">
        <v>373</v>
      </c>
      <c r="J68" s="135">
        <v>2</v>
      </c>
      <c r="K68">
        <v>2012</v>
      </c>
      <c r="L68" s="108" t="s">
        <v>73</v>
      </c>
      <c r="M68" s="135">
        <v>12</v>
      </c>
      <c r="N68" s="18" t="s">
        <v>274</v>
      </c>
      <c r="O68" t="s">
        <v>242</v>
      </c>
      <c r="P68" t="s">
        <v>374</v>
      </c>
      <c r="Q68" t="s">
        <v>294</v>
      </c>
      <c r="R68" t="s">
        <v>307</v>
      </c>
      <c r="S68" t="s">
        <v>336</v>
      </c>
      <c r="T68">
        <v>0</v>
      </c>
      <c r="U68" t="s">
        <v>341</v>
      </c>
      <c r="V68">
        <v>0</v>
      </c>
      <c r="W68" s="108" t="s">
        <v>232</v>
      </c>
      <c r="X68" s="108" t="s">
        <v>232</v>
      </c>
      <c r="Y68" s="108" t="s">
        <v>73</v>
      </c>
      <c r="Z68" s="135">
        <v>0</v>
      </c>
      <c r="AA68" s="135">
        <v>0</v>
      </c>
      <c r="AB68" s="135">
        <v>1</v>
      </c>
      <c r="AC68" s="135">
        <v>0</v>
      </c>
      <c r="AD68" s="135">
        <v>0</v>
      </c>
      <c r="AE68" s="135">
        <v>0</v>
      </c>
      <c r="AF68" s="135">
        <v>0</v>
      </c>
      <c r="AG68" s="135">
        <v>0</v>
      </c>
      <c r="AH68" s="135" t="s">
        <v>375</v>
      </c>
      <c r="AI68" s="135">
        <v>0</v>
      </c>
      <c r="AJ68" s="135">
        <v>0</v>
      </c>
      <c r="AK68" s="135">
        <v>0</v>
      </c>
      <c r="AL68" s="135">
        <v>1</v>
      </c>
      <c r="AM68" s="135">
        <v>0</v>
      </c>
      <c r="AN68" s="135">
        <v>0</v>
      </c>
      <c r="AO68" s="135">
        <v>0</v>
      </c>
      <c r="AP68" s="135">
        <v>0</v>
      </c>
      <c r="AQ68" s="135">
        <v>0</v>
      </c>
      <c r="AR68" t="s">
        <v>73</v>
      </c>
      <c r="AS68" t="s">
        <v>234</v>
      </c>
      <c r="AT68" t="s">
        <v>376</v>
      </c>
      <c r="AU68" t="s">
        <v>236</v>
      </c>
      <c r="AV68" s="134">
        <v>0.30480000000000002</v>
      </c>
      <c r="AW68" s="7" t="s">
        <v>80</v>
      </c>
      <c r="AX68" t="s">
        <v>73</v>
      </c>
      <c r="AY68">
        <v>1.6999999999999999E-3</v>
      </c>
      <c r="AZ68">
        <v>3</v>
      </c>
      <c r="BA68" s="102">
        <f>TINV(AY68,CD68)</f>
        <v>3.1553563075360742</v>
      </c>
      <c r="BB68" s="102" t="s">
        <v>73</v>
      </c>
      <c r="BC68" s="105">
        <f>EXP(AV68)/(1+EXP(AV68))</f>
        <v>0.5756154953221887</v>
      </c>
      <c r="BD68" t="s">
        <v>73</v>
      </c>
      <c r="BE68" t="s">
        <v>73</v>
      </c>
      <c r="BF68" t="s">
        <v>73</v>
      </c>
      <c r="BG68" t="s">
        <v>73</v>
      </c>
      <c r="BH68" t="s">
        <v>73</v>
      </c>
      <c r="BI68" t="s">
        <v>73</v>
      </c>
      <c r="BJ68" s="135">
        <v>500</v>
      </c>
      <c r="BK68" s="135">
        <v>2000</v>
      </c>
      <c r="BL68" s="135" t="s">
        <v>73</v>
      </c>
      <c r="BM68" s="135" t="s">
        <v>73</v>
      </c>
      <c r="BN68" s="135" t="s">
        <v>73</v>
      </c>
      <c r="BO68" s="135" t="s">
        <v>73</v>
      </c>
      <c r="BP68" s="135" t="s">
        <v>73</v>
      </c>
      <c r="BQ68">
        <v>0</v>
      </c>
      <c r="BR68" s="135" t="s">
        <v>73</v>
      </c>
      <c r="BS68">
        <v>1</v>
      </c>
      <c r="BT68" s="144" t="s">
        <v>73</v>
      </c>
      <c r="BU68" t="s">
        <v>344</v>
      </c>
      <c r="BV68" s="135">
        <v>0</v>
      </c>
      <c r="BW68" s="135">
        <v>0</v>
      </c>
      <c r="BX68" s="135">
        <v>1</v>
      </c>
      <c r="BY68" s="30">
        <f t="shared" si="31"/>
        <v>0.13972751589048554</v>
      </c>
      <c r="BZ68" s="30">
        <f t="shared" si="33"/>
        <v>0.14064765530909937</v>
      </c>
      <c r="CA68" s="30">
        <f t="shared" si="34"/>
        <v>2.0032238113323235E-3</v>
      </c>
      <c r="CB68" s="30">
        <f t="shared" si="35"/>
        <v>2.012072434607646E-3</v>
      </c>
      <c r="CC68" s="92" t="s">
        <v>73</v>
      </c>
      <c r="CD68">
        <f t="shared" si="39"/>
        <v>498</v>
      </c>
      <c r="CE68" s="92" t="s">
        <v>73</v>
      </c>
      <c r="CF68" s="30">
        <f t="shared" si="32"/>
        <v>7.0380946462294966E-2</v>
      </c>
      <c r="CG68" s="30">
        <f t="shared" si="36"/>
        <v>7.0497503223529642E-2</v>
      </c>
      <c r="CH68" s="30">
        <f t="shared" si="37"/>
        <v>5.0023776894160066E-4</v>
      </c>
      <c r="CI68" s="30">
        <f t="shared" si="38"/>
        <v>5.00751126690035E-4</v>
      </c>
      <c r="CJ68" s="32"/>
    </row>
    <row r="69" spans="1:88">
      <c r="A69" s="145" t="s">
        <v>68</v>
      </c>
      <c r="B69" s="145"/>
      <c r="C69" s="145">
        <v>16</v>
      </c>
      <c r="D69" s="146">
        <v>1209</v>
      </c>
      <c r="E69" s="145">
        <v>149</v>
      </c>
      <c r="F69" s="145" t="s">
        <v>391</v>
      </c>
      <c r="G69" s="145">
        <v>2013</v>
      </c>
      <c r="H69" s="145" t="s">
        <v>392</v>
      </c>
      <c r="I69" s="147" t="s">
        <v>393</v>
      </c>
      <c r="J69" s="145">
        <v>1</v>
      </c>
      <c r="K69" s="145">
        <v>2011</v>
      </c>
      <c r="L69" s="145" t="s">
        <v>73</v>
      </c>
      <c r="M69" s="145">
        <v>11</v>
      </c>
      <c r="N69" s="190" t="s">
        <v>93</v>
      </c>
      <c r="O69" s="136" t="s">
        <v>394</v>
      </c>
      <c r="P69" s="145" t="s">
        <v>174</v>
      </c>
      <c r="Q69" s="145" t="s">
        <v>228</v>
      </c>
      <c r="R69" s="145" t="s">
        <v>311</v>
      </c>
      <c r="S69" s="145" t="s">
        <v>312</v>
      </c>
      <c r="T69" s="145">
        <v>0</v>
      </c>
      <c r="U69" s="145" t="s">
        <v>231</v>
      </c>
      <c r="V69" s="145">
        <v>0</v>
      </c>
      <c r="W69" s="145" t="s">
        <v>232</v>
      </c>
      <c r="X69" s="145" t="s">
        <v>232</v>
      </c>
      <c r="Y69" s="145" t="s">
        <v>73</v>
      </c>
      <c r="Z69" s="145">
        <v>0</v>
      </c>
      <c r="AA69" s="145">
        <v>0</v>
      </c>
      <c r="AB69" s="145">
        <v>1</v>
      </c>
      <c r="AC69" s="145">
        <v>0</v>
      </c>
      <c r="AD69" s="145">
        <v>0</v>
      </c>
      <c r="AE69" s="145">
        <v>0</v>
      </c>
      <c r="AF69" s="145">
        <v>0</v>
      </c>
      <c r="AG69" s="145">
        <v>0</v>
      </c>
      <c r="AH69" s="145" t="s">
        <v>395</v>
      </c>
      <c r="AI69" s="145">
        <v>0</v>
      </c>
      <c r="AJ69" s="145">
        <v>1</v>
      </c>
      <c r="AK69" s="145">
        <v>0</v>
      </c>
      <c r="AL69" s="145">
        <v>0</v>
      </c>
      <c r="AM69" s="145">
        <v>0</v>
      </c>
      <c r="AN69" s="145">
        <v>0</v>
      </c>
      <c r="AO69" s="145">
        <v>0</v>
      </c>
      <c r="AP69" s="145">
        <v>0</v>
      </c>
      <c r="AQ69" s="145">
        <v>0</v>
      </c>
      <c r="AR69" s="145" t="s">
        <v>73</v>
      </c>
      <c r="AS69" s="145" t="s">
        <v>234</v>
      </c>
      <c r="AT69" s="145" t="s">
        <v>396</v>
      </c>
      <c r="AU69" s="145" t="s">
        <v>73</v>
      </c>
      <c r="AV69" s="197">
        <v>2.3E-2</v>
      </c>
      <c r="AW69" s="148" t="s">
        <v>80</v>
      </c>
      <c r="AX69" s="145" t="s">
        <v>73</v>
      </c>
      <c r="AY69" s="145">
        <v>0.1</v>
      </c>
      <c r="AZ69" s="145">
        <v>2</v>
      </c>
      <c r="BA69" s="19">
        <f>TINV(AY69,CD69)</f>
        <v>1.6449332384326785</v>
      </c>
      <c r="BB69" s="19"/>
      <c r="BC69" s="149">
        <f>EXP(AV69)-1</f>
        <v>2.326653954721758E-2</v>
      </c>
      <c r="BD69" s="145" t="s">
        <v>73</v>
      </c>
      <c r="BE69" s="145">
        <v>13471</v>
      </c>
      <c r="BF69" s="145" t="s">
        <v>73</v>
      </c>
      <c r="BG69" s="145" t="s">
        <v>73</v>
      </c>
      <c r="BH69" s="145">
        <v>5672</v>
      </c>
      <c r="BI69" s="145" t="s">
        <v>73</v>
      </c>
      <c r="BJ69" s="145">
        <v>19143</v>
      </c>
      <c r="BK69" s="145">
        <v>19143</v>
      </c>
      <c r="BL69" s="145" t="s">
        <v>73</v>
      </c>
      <c r="BM69" s="145" t="s">
        <v>73</v>
      </c>
      <c r="BN69" s="145" t="s">
        <v>73</v>
      </c>
      <c r="BO69" s="145" t="s">
        <v>73</v>
      </c>
      <c r="BP69" s="145" t="s">
        <v>73</v>
      </c>
      <c r="BQ69" s="145">
        <v>1</v>
      </c>
      <c r="BR69" s="145">
        <f>2893*0.1283</f>
        <v>371.17189999999999</v>
      </c>
      <c r="BS69" s="145">
        <v>0</v>
      </c>
      <c r="BT69" s="145" t="s">
        <v>73</v>
      </c>
      <c r="BU69" s="145" t="s">
        <v>355</v>
      </c>
      <c r="BV69" s="145">
        <v>0</v>
      </c>
      <c r="BW69" s="145">
        <v>0</v>
      </c>
      <c r="BX69" s="145">
        <v>0</v>
      </c>
      <c r="BY69" s="150">
        <f t="shared" si="31"/>
        <v>1.1888103724369721E-2</v>
      </c>
      <c r="BZ69" s="150">
        <f t="shared" si="33"/>
        <v>1.1888663808582136E-2</v>
      </c>
      <c r="CA69" s="150">
        <f t="shared" si="34"/>
        <v>5.2241144082275201E-5</v>
      </c>
      <c r="CB69" s="150">
        <f t="shared" si="35"/>
        <v>5.2246603970741903E-5</v>
      </c>
      <c r="CC69" s="92" t="s">
        <v>73</v>
      </c>
      <c r="CD69">
        <f t="shared" si="39"/>
        <v>19141</v>
      </c>
      <c r="CE69" t="s">
        <v>397</v>
      </c>
      <c r="CF69" s="30">
        <f t="shared" si="32"/>
        <v>1.1888103724369721E-2</v>
      </c>
      <c r="CG69" s="150">
        <f t="shared" si="36"/>
        <v>1.1888663808582136E-2</v>
      </c>
      <c r="CH69" s="30">
        <f t="shared" si="37"/>
        <v>5.2241144082275201E-5</v>
      </c>
      <c r="CI69" s="30">
        <f t="shared" si="38"/>
        <v>5.2246603970741903E-5</v>
      </c>
      <c r="CJ69" s="112"/>
    </row>
    <row r="70" spans="1:88">
      <c r="A70" s="11" t="s">
        <v>402</v>
      </c>
      <c r="B70" s="11"/>
      <c r="C70" s="11">
        <v>17</v>
      </c>
      <c r="D70" s="92">
        <v>1217</v>
      </c>
      <c r="E70" s="100">
        <v>201</v>
      </c>
      <c r="F70" t="s">
        <v>403</v>
      </c>
      <c r="G70" s="99">
        <v>2021</v>
      </c>
      <c r="H70" t="s">
        <v>404</v>
      </c>
      <c r="I70" t="s">
        <v>405</v>
      </c>
      <c r="J70" s="100">
        <v>2</v>
      </c>
      <c r="K70">
        <v>2015</v>
      </c>
      <c r="L70" s="99" t="s">
        <v>73</v>
      </c>
      <c r="M70" s="100">
        <v>10</v>
      </c>
      <c r="N70" s="18" t="s">
        <v>155</v>
      </c>
      <c r="O70" t="s">
        <v>242</v>
      </c>
      <c r="P70" t="s">
        <v>275</v>
      </c>
      <c r="Q70" s="110" t="s">
        <v>243</v>
      </c>
      <c r="R70" t="s">
        <v>244</v>
      </c>
      <c r="S70" t="s">
        <v>255</v>
      </c>
      <c r="T70">
        <v>0</v>
      </c>
      <c r="U70" t="s">
        <v>231</v>
      </c>
      <c r="V70">
        <v>0</v>
      </c>
      <c r="W70" s="137" t="s">
        <v>246</v>
      </c>
      <c r="X70" s="137" t="s">
        <v>246</v>
      </c>
      <c r="Y70" s="151" t="s">
        <v>406</v>
      </c>
      <c r="Z70" s="100">
        <v>0</v>
      </c>
      <c r="AA70" s="100">
        <v>0</v>
      </c>
      <c r="AB70" s="100">
        <v>1</v>
      </c>
      <c r="AC70" s="100">
        <v>0</v>
      </c>
      <c r="AD70" s="100">
        <v>0</v>
      </c>
      <c r="AE70" s="100">
        <v>0</v>
      </c>
      <c r="AF70" s="100">
        <v>0</v>
      </c>
      <c r="AG70" s="100">
        <v>0</v>
      </c>
      <c r="AH70" t="s">
        <v>73</v>
      </c>
      <c r="AI70" s="100">
        <v>1</v>
      </c>
      <c r="AJ70" s="100">
        <v>0</v>
      </c>
      <c r="AK70" s="100">
        <v>0</v>
      </c>
      <c r="AL70" s="100">
        <v>0</v>
      </c>
      <c r="AM70" s="100">
        <v>0</v>
      </c>
      <c r="AN70" s="100">
        <v>0</v>
      </c>
      <c r="AO70" s="100">
        <v>0</v>
      </c>
      <c r="AP70" s="100">
        <v>0</v>
      </c>
      <c r="AQ70" s="100">
        <v>0</v>
      </c>
      <c r="AR70" t="s">
        <v>73</v>
      </c>
      <c r="AS70" t="s">
        <v>234</v>
      </c>
      <c r="AT70" t="s">
        <v>407</v>
      </c>
      <c r="AU70" t="s">
        <v>236</v>
      </c>
      <c r="AV70" s="134">
        <v>0.35299999999999998</v>
      </c>
      <c r="AW70" s="7" t="s">
        <v>80</v>
      </c>
      <c r="AX70">
        <v>7.0999999999999994E-2</v>
      </c>
      <c r="AY70" s="16">
        <v>0</v>
      </c>
      <c r="AZ70">
        <v>3</v>
      </c>
      <c r="BA70" s="19">
        <f>TINV(0.001,CD70)</f>
        <v>3.2990742119196153</v>
      </c>
      <c r="BB70" s="19" t="s">
        <v>73</v>
      </c>
      <c r="BC70" s="105">
        <f>EXP(AV70)/(1+EXP(AV70))</f>
        <v>0.58734488156533704</v>
      </c>
      <c r="BD70" s="102" t="s">
        <v>73</v>
      </c>
      <c r="BE70" s="102" t="s">
        <v>73</v>
      </c>
      <c r="BF70" s="102" t="s">
        <v>73</v>
      </c>
      <c r="BG70" s="102" t="s">
        <v>73</v>
      </c>
      <c r="BH70" s="102" t="s">
        <v>73</v>
      </c>
      <c r="BI70" s="102" t="s">
        <v>73</v>
      </c>
      <c r="BJ70" s="100">
        <v>1143</v>
      </c>
      <c r="BK70">
        <f>BJ70</f>
        <v>1143</v>
      </c>
      <c r="BL70" s="100" t="s">
        <v>73</v>
      </c>
      <c r="BM70" s="100" t="s">
        <v>73</v>
      </c>
      <c r="BN70" s="100" t="s">
        <v>73</v>
      </c>
      <c r="BO70" s="100" t="s">
        <v>73</v>
      </c>
      <c r="BP70" s="100" t="s">
        <v>73</v>
      </c>
      <c r="BQ70" s="100" t="s">
        <v>73</v>
      </c>
      <c r="BR70" s="100" t="s">
        <v>73</v>
      </c>
      <c r="BS70" s="100" t="s">
        <v>73</v>
      </c>
      <c r="BT70" s="100" t="s">
        <v>73</v>
      </c>
      <c r="BU70" s="100" t="s">
        <v>73</v>
      </c>
      <c r="BV70" s="100">
        <v>0</v>
      </c>
      <c r="BW70" s="100">
        <v>0</v>
      </c>
      <c r="BX70" s="100">
        <v>1</v>
      </c>
      <c r="BY70" s="30">
        <f t="shared" si="31"/>
        <v>9.712052690463481E-2</v>
      </c>
      <c r="BZ70" s="30">
        <f t="shared" si="33"/>
        <v>9.7427626579518284E-2</v>
      </c>
      <c r="CA70" s="30">
        <f t="shared" si="34"/>
        <v>8.7557784521213747E-4</v>
      </c>
      <c r="CB70" s="30">
        <f t="shared" si="35"/>
        <v>8.7719298245614037E-4</v>
      </c>
      <c r="CC70" s="92" t="s">
        <v>73</v>
      </c>
      <c r="CD70">
        <f t="shared" si="39"/>
        <v>1141</v>
      </c>
      <c r="CE70" s="92" t="s">
        <v>73</v>
      </c>
      <c r="CF70" s="30">
        <f t="shared" si="32"/>
        <v>9.712052690463481E-2</v>
      </c>
      <c r="CG70" s="30">
        <f t="shared" si="36"/>
        <v>9.7427626579518284E-2</v>
      </c>
      <c r="CH70" s="30">
        <f t="shared" si="37"/>
        <v>8.7557784521213747E-4</v>
      </c>
      <c r="CI70" s="30">
        <f t="shared" si="38"/>
        <v>8.7719298245614037E-4</v>
      </c>
    </row>
    <row r="71" spans="1:88">
      <c r="A71" s="11" t="s">
        <v>402</v>
      </c>
      <c r="B71" s="11"/>
      <c r="C71" s="11">
        <v>17</v>
      </c>
      <c r="D71" s="92">
        <v>1215</v>
      </c>
      <c r="E71" s="100">
        <v>201</v>
      </c>
      <c r="F71" t="s">
        <v>403</v>
      </c>
      <c r="G71" s="99">
        <v>2021</v>
      </c>
      <c r="H71" t="s">
        <v>404</v>
      </c>
      <c r="I71" t="s">
        <v>405</v>
      </c>
      <c r="J71" s="100">
        <v>2</v>
      </c>
      <c r="K71">
        <v>2015</v>
      </c>
      <c r="L71" s="99" t="s">
        <v>73</v>
      </c>
      <c r="M71" s="100">
        <v>10</v>
      </c>
      <c r="N71" s="18" t="s">
        <v>155</v>
      </c>
      <c r="O71" t="s">
        <v>242</v>
      </c>
      <c r="P71" t="s">
        <v>275</v>
      </c>
      <c r="Q71" s="110" t="s">
        <v>243</v>
      </c>
      <c r="R71" t="s">
        <v>244</v>
      </c>
      <c r="S71" t="s">
        <v>255</v>
      </c>
      <c r="T71">
        <v>0</v>
      </c>
      <c r="U71" t="s">
        <v>231</v>
      </c>
      <c r="V71">
        <v>0</v>
      </c>
      <c r="W71" s="137" t="s">
        <v>246</v>
      </c>
      <c r="X71" s="137" t="s">
        <v>246</v>
      </c>
      <c r="Y71" s="151" t="s">
        <v>406</v>
      </c>
      <c r="Z71" s="100">
        <v>0</v>
      </c>
      <c r="AA71" s="100">
        <v>0</v>
      </c>
      <c r="AB71" s="100">
        <v>1</v>
      </c>
      <c r="AC71" s="100">
        <v>0</v>
      </c>
      <c r="AD71" s="100">
        <v>0</v>
      </c>
      <c r="AE71" s="100">
        <v>0</v>
      </c>
      <c r="AF71" s="100">
        <v>0</v>
      </c>
      <c r="AG71" s="100">
        <v>0</v>
      </c>
      <c r="AH71" t="s">
        <v>73</v>
      </c>
      <c r="AI71" s="100">
        <v>0</v>
      </c>
      <c r="AJ71" s="100">
        <v>0</v>
      </c>
      <c r="AK71" s="100">
        <v>0</v>
      </c>
      <c r="AL71" s="100">
        <v>0</v>
      </c>
      <c r="AM71" s="100">
        <v>0</v>
      </c>
      <c r="AN71" s="100">
        <v>0</v>
      </c>
      <c r="AO71" s="100">
        <v>0</v>
      </c>
      <c r="AP71" s="100">
        <v>1</v>
      </c>
      <c r="AQ71" s="100">
        <v>0</v>
      </c>
      <c r="AR71" t="s">
        <v>73</v>
      </c>
      <c r="AS71" t="s">
        <v>234</v>
      </c>
      <c r="AT71" t="s">
        <v>407</v>
      </c>
      <c r="AU71" t="s">
        <v>236</v>
      </c>
      <c r="AV71" s="134">
        <v>0.39400000000000002</v>
      </c>
      <c r="AW71" s="7" t="s">
        <v>80</v>
      </c>
      <c r="AX71">
        <v>7.0999999999999994E-2</v>
      </c>
      <c r="AY71" s="16">
        <v>0</v>
      </c>
      <c r="AZ71">
        <v>3</v>
      </c>
      <c r="BA71" s="19">
        <f>TINV(0.001,CD71)</f>
        <v>3.2990742119196153</v>
      </c>
      <c r="BB71" s="19" t="s">
        <v>73</v>
      </c>
      <c r="BC71" s="105">
        <f>EXP(AV71)/(1+EXP(AV71))</f>
        <v>0.59724524587432648</v>
      </c>
      <c r="BD71" s="102" t="s">
        <v>73</v>
      </c>
      <c r="BE71" s="102" t="s">
        <v>73</v>
      </c>
      <c r="BF71" s="102" t="s">
        <v>73</v>
      </c>
      <c r="BG71" s="102" t="s">
        <v>73</v>
      </c>
      <c r="BH71" s="102" t="s">
        <v>73</v>
      </c>
      <c r="BI71" s="102" t="s">
        <v>73</v>
      </c>
      <c r="BJ71" s="100">
        <v>1143</v>
      </c>
      <c r="BK71">
        <f>BJ71</f>
        <v>1143</v>
      </c>
      <c r="BL71" s="100" t="s">
        <v>73</v>
      </c>
      <c r="BM71" s="100" t="s">
        <v>73</v>
      </c>
      <c r="BN71" s="100" t="s">
        <v>73</v>
      </c>
      <c r="BO71" s="100" t="s">
        <v>73</v>
      </c>
      <c r="BP71" s="100" t="s">
        <v>73</v>
      </c>
      <c r="BQ71" s="100" t="s">
        <v>73</v>
      </c>
      <c r="BR71" s="100" t="s">
        <v>73</v>
      </c>
      <c r="BS71" s="100" t="s">
        <v>73</v>
      </c>
      <c r="BT71" s="100" t="s">
        <v>73</v>
      </c>
      <c r="BU71" s="100" t="s">
        <v>73</v>
      </c>
      <c r="BV71" s="100">
        <v>0</v>
      </c>
      <c r="BW71" s="100">
        <v>0</v>
      </c>
      <c r="BX71" s="100">
        <v>1</v>
      </c>
      <c r="BY71" s="30">
        <f t="shared" si="31"/>
        <v>9.712052690463481E-2</v>
      </c>
      <c r="BZ71" s="30">
        <f t="shared" si="33"/>
        <v>9.7427626579518284E-2</v>
      </c>
      <c r="CA71" s="30">
        <f t="shared" si="34"/>
        <v>8.7557784521213747E-4</v>
      </c>
      <c r="CB71" s="30">
        <f t="shared" si="35"/>
        <v>8.7719298245614037E-4</v>
      </c>
      <c r="CC71" s="92" t="s">
        <v>73</v>
      </c>
      <c r="CD71">
        <f t="shared" si="39"/>
        <v>1141</v>
      </c>
      <c r="CE71" s="92" t="s">
        <v>73</v>
      </c>
      <c r="CF71" s="30">
        <f t="shared" si="32"/>
        <v>9.712052690463481E-2</v>
      </c>
      <c r="CG71" s="30">
        <f t="shared" si="36"/>
        <v>9.7427626579518284E-2</v>
      </c>
      <c r="CH71" s="30">
        <f t="shared" si="37"/>
        <v>8.7557784521213747E-4</v>
      </c>
      <c r="CI71" s="30">
        <f t="shared" si="38"/>
        <v>8.7719298245614037E-4</v>
      </c>
    </row>
    <row r="72" spans="1:88">
      <c r="A72" s="11" t="s">
        <v>402</v>
      </c>
      <c r="B72" s="11"/>
      <c r="C72" s="11">
        <v>17</v>
      </c>
      <c r="D72" s="92">
        <v>1216</v>
      </c>
      <c r="E72" s="100">
        <v>201</v>
      </c>
      <c r="F72" t="s">
        <v>403</v>
      </c>
      <c r="G72" s="99">
        <v>2021</v>
      </c>
      <c r="H72" t="s">
        <v>404</v>
      </c>
      <c r="I72" t="s">
        <v>405</v>
      </c>
      <c r="J72" s="100">
        <v>2</v>
      </c>
      <c r="K72">
        <v>2015</v>
      </c>
      <c r="L72" s="99" t="s">
        <v>73</v>
      </c>
      <c r="M72" s="100">
        <v>10</v>
      </c>
      <c r="N72" s="18" t="s">
        <v>155</v>
      </c>
      <c r="O72" t="s">
        <v>242</v>
      </c>
      <c r="P72" t="s">
        <v>275</v>
      </c>
      <c r="Q72" s="110" t="s">
        <v>243</v>
      </c>
      <c r="R72" t="s">
        <v>244</v>
      </c>
      <c r="S72" t="s">
        <v>255</v>
      </c>
      <c r="T72">
        <v>0</v>
      </c>
      <c r="U72" t="s">
        <v>231</v>
      </c>
      <c r="V72">
        <v>0</v>
      </c>
      <c r="W72" s="137" t="s">
        <v>246</v>
      </c>
      <c r="X72" s="137" t="s">
        <v>246</v>
      </c>
      <c r="Y72" s="151" t="s">
        <v>408</v>
      </c>
      <c r="Z72" s="100">
        <v>0</v>
      </c>
      <c r="AA72" s="100">
        <v>0</v>
      </c>
      <c r="AB72" s="100">
        <v>0</v>
      </c>
      <c r="AC72" s="100">
        <v>0</v>
      </c>
      <c r="AD72" s="100">
        <v>0</v>
      </c>
      <c r="AE72" s="100">
        <v>1</v>
      </c>
      <c r="AF72" s="100">
        <v>0</v>
      </c>
      <c r="AG72" s="100">
        <v>0</v>
      </c>
      <c r="AH72" t="s">
        <v>73</v>
      </c>
      <c r="AI72" s="100">
        <v>0</v>
      </c>
      <c r="AJ72" s="100">
        <v>0</v>
      </c>
      <c r="AK72" s="100">
        <v>0</v>
      </c>
      <c r="AL72" s="100">
        <v>0</v>
      </c>
      <c r="AM72" s="100">
        <v>0</v>
      </c>
      <c r="AN72" s="100">
        <v>0</v>
      </c>
      <c r="AO72" s="100">
        <v>0</v>
      </c>
      <c r="AP72" s="100">
        <v>1</v>
      </c>
      <c r="AQ72" s="100">
        <v>0</v>
      </c>
      <c r="AR72" t="s">
        <v>73</v>
      </c>
      <c r="AS72" t="s">
        <v>234</v>
      </c>
      <c r="AT72" t="s">
        <v>407</v>
      </c>
      <c r="AU72" t="s">
        <v>236</v>
      </c>
      <c r="AV72" s="134">
        <v>0.45500000000000002</v>
      </c>
      <c r="AW72" s="7" t="s">
        <v>80</v>
      </c>
      <c r="AX72">
        <v>0.22</v>
      </c>
      <c r="AY72" s="16">
        <v>3.7999999999999999E-2</v>
      </c>
      <c r="AZ72">
        <v>3</v>
      </c>
      <c r="BA72" s="19">
        <f t="shared" ref="BA72:BA79" si="40">TINV(AY72,CD72)</f>
        <v>2.0772692016703491</v>
      </c>
      <c r="BB72" s="19" t="s">
        <v>73</v>
      </c>
      <c r="BC72" s="105">
        <f>EXP(AV72)/(1+EXP(AV72))</f>
        <v>0.61182736900173718</v>
      </c>
      <c r="BD72" s="102" t="s">
        <v>73</v>
      </c>
      <c r="BE72" s="102" t="s">
        <v>73</v>
      </c>
      <c r="BF72" s="102" t="s">
        <v>73</v>
      </c>
      <c r="BG72" s="102" t="s">
        <v>73</v>
      </c>
      <c r="BH72" s="102" t="s">
        <v>73</v>
      </c>
      <c r="BI72" s="102" t="s">
        <v>73</v>
      </c>
      <c r="BJ72" s="100">
        <v>1143</v>
      </c>
      <c r="BK72">
        <f>BJ72</f>
        <v>1143</v>
      </c>
      <c r="BL72" s="100" t="s">
        <v>73</v>
      </c>
      <c r="BM72" s="100" t="s">
        <v>73</v>
      </c>
      <c r="BN72" s="100" t="s">
        <v>73</v>
      </c>
      <c r="BO72" s="100" t="s">
        <v>73</v>
      </c>
      <c r="BP72" s="100" t="s">
        <v>73</v>
      </c>
      <c r="BQ72" s="100" t="s">
        <v>73</v>
      </c>
      <c r="BR72" s="100" t="s">
        <v>73</v>
      </c>
      <c r="BS72" s="100" t="s">
        <v>73</v>
      </c>
      <c r="BT72" s="100" t="s">
        <v>73</v>
      </c>
      <c r="BU72" s="100" t="s">
        <v>73</v>
      </c>
      <c r="BV72" s="100">
        <v>0</v>
      </c>
      <c r="BW72" s="100">
        <v>0</v>
      </c>
      <c r="BX72" s="100">
        <v>1</v>
      </c>
      <c r="BY72" s="30">
        <f t="shared" si="31"/>
        <v>6.1326960044274084E-2</v>
      </c>
      <c r="BZ72" s="30">
        <f t="shared" si="33"/>
        <v>6.1404017491195166E-2</v>
      </c>
      <c r="CA72" s="30">
        <f t="shared" si="34"/>
        <v>8.7564429394170699E-4</v>
      </c>
      <c r="CB72" s="30">
        <f t="shared" si="35"/>
        <v>8.7719298245614037E-4</v>
      </c>
      <c r="CC72" s="92" t="s">
        <v>73</v>
      </c>
      <c r="CD72">
        <f t="shared" si="39"/>
        <v>1141</v>
      </c>
      <c r="CE72" s="92" t="s">
        <v>73</v>
      </c>
      <c r="CF72" s="30">
        <f t="shared" si="32"/>
        <v>6.1326960044274084E-2</v>
      </c>
      <c r="CG72" s="30">
        <f t="shared" si="36"/>
        <v>6.1404017491195166E-2</v>
      </c>
      <c r="CH72" s="30">
        <f t="shared" si="37"/>
        <v>8.7564429394170699E-4</v>
      </c>
      <c r="CI72" s="30">
        <f t="shared" si="38"/>
        <v>8.7719298245614037E-4</v>
      </c>
    </row>
    <row r="73" spans="1:88" s="119" customFormat="1">
      <c r="A73" s="11" t="s">
        <v>402</v>
      </c>
      <c r="B73" s="11"/>
      <c r="C73" s="11">
        <v>17</v>
      </c>
      <c r="D73" s="92">
        <v>1218</v>
      </c>
      <c r="E73" s="100">
        <v>201</v>
      </c>
      <c r="F73" t="s">
        <v>403</v>
      </c>
      <c r="G73" s="99">
        <v>2021</v>
      </c>
      <c r="H73" t="s">
        <v>404</v>
      </c>
      <c r="I73" t="s">
        <v>405</v>
      </c>
      <c r="J73" s="100">
        <v>2</v>
      </c>
      <c r="K73">
        <v>2015</v>
      </c>
      <c r="L73" s="99" t="s">
        <v>73</v>
      </c>
      <c r="M73" s="100">
        <v>10</v>
      </c>
      <c r="N73" s="18" t="s">
        <v>155</v>
      </c>
      <c r="O73" t="s">
        <v>242</v>
      </c>
      <c r="P73" t="s">
        <v>275</v>
      </c>
      <c r="Q73" s="110" t="s">
        <v>243</v>
      </c>
      <c r="R73" t="s">
        <v>244</v>
      </c>
      <c r="S73" t="s">
        <v>255</v>
      </c>
      <c r="T73">
        <v>0</v>
      </c>
      <c r="U73" t="s">
        <v>231</v>
      </c>
      <c r="V73">
        <v>0</v>
      </c>
      <c r="W73" s="137" t="s">
        <v>246</v>
      </c>
      <c r="X73" s="137" t="s">
        <v>246</v>
      </c>
      <c r="Y73" s="151" t="s">
        <v>408</v>
      </c>
      <c r="Z73" s="100">
        <v>0</v>
      </c>
      <c r="AA73" s="100">
        <v>0</v>
      </c>
      <c r="AB73" s="100">
        <v>0</v>
      </c>
      <c r="AC73" s="100">
        <v>0</v>
      </c>
      <c r="AD73" s="100">
        <v>0</v>
      </c>
      <c r="AE73" s="100">
        <v>1</v>
      </c>
      <c r="AF73" s="100">
        <v>0</v>
      </c>
      <c r="AG73" s="100">
        <v>0</v>
      </c>
      <c r="AH73" t="s">
        <v>73</v>
      </c>
      <c r="AI73" s="100">
        <v>1</v>
      </c>
      <c r="AJ73" s="100">
        <v>0</v>
      </c>
      <c r="AK73" s="100">
        <v>0</v>
      </c>
      <c r="AL73" s="100">
        <v>0</v>
      </c>
      <c r="AM73" s="100">
        <v>0</v>
      </c>
      <c r="AN73" s="100">
        <v>0</v>
      </c>
      <c r="AO73" s="100">
        <v>0</v>
      </c>
      <c r="AP73" s="100">
        <v>0</v>
      </c>
      <c r="AQ73" s="100">
        <v>0</v>
      </c>
      <c r="AR73" t="s">
        <v>73</v>
      </c>
      <c r="AS73" t="s">
        <v>234</v>
      </c>
      <c r="AT73" t="s">
        <v>407</v>
      </c>
      <c r="AU73" t="s">
        <v>236</v>
      </c>
      <c r="AV73" s="134">
        <v>0.64200000000000002</v>
      </c>
      <c r="AW73" s="7" t="s">
        <v>80</v>
      </c>
      <c r="AX73">
        <v>0.21199999999999999</v>
      </c>
      <c r="AY73" s="16">
        <v>2E-3</v>
      </c>
      <c r="AZ73">
        <v>3</v>
      </c>
      <c r="BA73" s="19">
        <f t="shared" si="40"/>
        <v>3.0973904269614785</v>
      </c>
      <c r="BB73" s="19" t="s">
        <v>73</v>
      </c>
      <c r="BC73" s="105">
        <f>EXP(AV73)/(1+EXP(AV73))</f>
        <v>0.65520542330294296</v>
      </c>
      <c r="BD73" s="102" t="s">
        <v>73</v>
      </c>
      <c r="BE73" s="102" t="s">
        <v>73</v>
      </c>
      <c r="BF73" s="102" t="s">
        <v>73</v>
      </c>
      <c r="BG73" s="102" t="s">
        <v>73</v>
      </c>
      <c r="BH73" s="102" t="s">
        <v>73</v>
      </c>
      <c r="BI73" s="102" t="s">
        <v>73</v>
      </c>
      <c r="BJ73" s="100">
        <v>1143</v>
      </c>
      <c r="BK73">
        <f>BJ73</f>
        <v>1143</v>
      </c>
      <c r="BL73" s="100" t="s">
        <v>73</v>
      </c>
      <c r="BM73" s="100" t="s">
        <v>73</v>
      </c>
      <c r="BN73" s="100" t="s">
        <v>73</v>
      </c>
      <c r="BO73" s="100" t="s">
        <v>73</v>
      </c>
      <c r="BP73" s="100" t="s">
        <v>73</v>
      </c>
      <c r="BQ73" s="100" t="s">
        <v>73</v>
      </c>
      <c r="BR73" s="100" t="s">
        <v>73</v>
      </c>
      <c r="BS73" s="100" t="s">
        <v>73</v>
      </c>
      <c r="BT73" s="100" t="s">
        <v>73</v>
      </c>
      <c r="BU73" s="100" t="s">
        <v>73</v>
      </c>
      <c r="BV73" s="100">
        <v>0</v>
      </c>
      <c r="BW73" s="100">
        <v>0</v>
      </c>
      <c r="BX73" s="100">
        <v>1</v>
      </c>
      <c r="BY73" s="30">
        <f t="shared" si="31"/>
        <v>9.1234229157469829E-2</v>
      </c>
      <c r="BZ73" s="30">
        <f t="shared" si="33"/>
        <v>9.1488635914083044E-2</v>
      </c>
      <c r="CA73" s="30">
        <f t="shared" si="34"/>
        <v>8.7559539426075063E-4</v>
      </c>
      <c r="CB73" s="30">
        <f t="shared" si="35"/>
        <v>8.7719298245614037E-4</v>
      </c>
      <c r="CC73" s="92" t="s">
        <v>73</v>
      </c>
      <c r="CD73">
        <f t="shared" si="39"/>
        <v>1141</v>
      </c>
      <c r="CE73" s="92" t="s">
        <v>73</v>
      </c>
      <c r="CF73" s="30">
        <f t="shared" si="32"/>
        <v>9.1234229157469829E-2</v>
      </c>
      <c r="CG73" s="30">
        <f t="shared" si="36"/>
        <v>9.1488635914083044E-2</v>
      </c>
      <c r="CH73" s="30">
        <f t="shared" si="37"/>
        <v>8.7559539426075063E-4</v>
      </c>
      <c r="CI73" s="30">
        <f t="shared" si="38"/>
        <v>8.7719298245614037E-4</v>
      </c>
      <c r="CJ73"/>
    </row>
    <row r="74" spans="1:88">
      <c r="A74" s="11" t="s">
        <v>222</v>
      </c>
      <c r="B74" s="11"/>
      <c r="C74" s="11">
        <v>18</v>
      </c>
      <c r="D74" s="11">
        <v>1008</v>
      </c>
      <c r="E74" s="11">
        <v>103</v>
      </c>
      <c r="F74" s="11" t="s">
        <v>238</v>
      </c>
      <c r="G74" s="11">
        <v>2019</v>
      </c>
      <c r="H74" t="s">
        <v>239</v>
      </c>
      <c r="I74" s="10" t="s">
        <v>240</v>
      </c>
      <c r="J74" s="18">
        <v>2</v>
      </c>
      <c r="K74" s="10">
        <v>2018</v>
      </c>
      <c r="L74" s="11" t="s">
        <v>73</v>
      </c>
      <c r="M74" s="18">
        <v>23</v>
      </c>
      <c r="N74" s="18" t="s">
        <v>241</v>
      </c>
      <c r="O74" s="10" t="s">
        <v>242</v>
      </c>
      <c r="P74" s="18" t="s">
        <v>124</v>
      </c>
      <c r="Q74" s="18" t="s">
        <v>243</v>
      </c>
      <c r="R74" s="18" t="s">
        <v>244</v>
      </c>
      <c r="S74" s="18" t="s">
        <v>245</v>
      </c>
      <c r="T74" s="18">
        <v>0</v>
      </c>
      <c r="U74" s="11" t="s">
        <v>189</v>
      </c>
      <c r="V74" s="18">
        <v>0</v>
      </c>
      <c r="W74" s="153" t="s">
        <v>246</v>
      </c>
      <c r="X74" s="153" t="s">
        <v>246</v>
      </c>
      <c r="Y74" s="154" t="s">
        <v>73</v>
      </c>
      <c r="Z74" s="18">
        <v>1</v>
      </c>
      <c r="AA74" s="18">
        <v>0</v>
      </c>
      <c r="AB74" s="18">
        <v>0</v>
      </c>
      <c r="AC74" s="18">
        <v>0</v>
      </c>
      <c r="AD74" s="18">
        <v>0</v>
      </c>
      <c r="AE74" s="11">
        <v>0</v>
      </c>
      <c r="AF74" s="11">
        <v>0</v>
      </c>
      <c r="AG74" s="11">
        <v>0</v>
      </c>
      <c r="AH74" s="18" t="s">
        <v>73</v>
      </c>
      <c r="AI74" s="18">
        <v>0</v>
      </c>
      <c r="AJ74" s="18">
        <v>0</v>
      </c>
      <c r="AK74" s="18">
        <v>0</v>
      </c>
      <c r="AL74" s="18">
        <v>0</v>
      </c>
      <c r="AM74" s="18">
        <v>0</v>
      </c>
      <c r="AN74" s="18">
        <v>0</v>
      </c>
      <c r="AO74" s="18">
        <v>1</v>
      </c>
      <c r="AP74" s="18">
        <v>0</v>
      </c>
      <c r="AQ74" s="18">
        <v>0</v>
      </c>
      <c r="AR74" s="18" t="s">
        <v>247</v>
      </c>
      <c r="AS74" t="s">
        <v>234</v>
      </c>
      <c r="AT74" s="10" t="s">
        <v>249</v>
      </c>
      <c r="AU74" s="11" t="s">
        <v>236</v>
      </c>
      <c r="AV74" s="199">
        <v>0.65300000000000002</v>
      </c>
      <c r="AW74" s="129" t="s">
        <v>80</v>
      </c>
      <c r="AX74" t="s">
        <v>73</v>
      </c>
      <c r="AY74" s="18">
        <v>0.05</v>
      </c>
      <c r="AZ74" s="18">
        <v>1</v>
      </c>
      <c r="BA74">
        <f t="shared" si="40"/>
        <v>1.9742709570280526</v>
      </c>
      <c r="BC74" s="155">
        <v>0.25600000000000001</v>
      </c>
      <c r="BD74" s="11" t="s">
        <v>73</v>
      </c>
      <c r="BE74" s="11" t="s">
        <v>73</v>
      </c>
      <c r="BF74" s="11" t="s">
        <v>73</v>
      </c>
      <c r="BG74" s="11" t="s">
        <v>73</v>
      </c>
      <c r="BH74" s="11" t="s">
        <v>73</v>
      </c>
      <c r="BI74" s="11" t="s">
        <v>73</v>
      </c>
      <c r="BJ74" s="10">
        <v>169</v>
      </c>
      <c r="BK74" s="10">
        <v>169</v>
      </c>
      <c r="BL74" s="11" t="s">
        <v>73</v>
      </c>
      <c r="BM74" s="11" t="s">
        <v>73</v>
      </c>
      <c r="BN74" s="11" t="s">
        <v>73</v>
      </c>
      <c r="BO74" s="11" t="s">
        <v>73</v>
      </c>
      <c r="BP74" s="11" t="s">
        <v>73</v>
      </c>
      <c r="BQ74" s="11" t="s">
        <v>73</v>
      </c>
      <c r="BR74" s="11" t="s">
        <v>73</v>
      </c>
      <c r="BS74" s="11" t="s">
        <v>73</v>
      </c>
      <c r="BT74" s="11" t="s">
        <v>73</v>
      </c>
      <c r="BU74" s="11" t="s">
        <v>73</v>
      </c>
      <c r="BV74" s="18">
        <v>0</v>
      </c>
      <c r="BW74" s="18">
        <v>0</v>
      </c>
      <c r="BX74" s="18">
        <v>1</v>
      </c>
      <c r="BY74" s="30">
        <f t="shared" si="31"/>
        <v>0.15014542072566855</v>
      </c>
      <c r="BZ74" s="30">
        <f t="shared" si="33"/>
        <v>0.15128920726322537</v>
      </c>
      <c r="CA74" s="30">
        <f t="shared" si="34"/>
        <v>5.9492626192623162E-3</v>
      </c>
      <c r="CB74" s="30">
        <f t="shared" si="35"/>
        <v>6.024096385542169E-3</v>
      </c>
      <c r="CC74" s="92" t="s">
        <v>73</v>
      </c>
      <c r="CD74">
        <f t="shared" si="39"/>
        <v>167</v>
      </c>
      <c r="CE74" s="92" t="s">
        <v>73</v>
      </c>
      <c r="CF74" s="30">
        <f t="shared" si="32"/>
        <v>0.15014542072566855</v>
      </c>
      <c r="CG74" s="30">
        <f t="shared" si="36"/>
        <v>0.15128920726322537</v>
      </c>
      <c r="CH74" s="30">
        <f t="shared" si="37"/>
        <v>5.9492626192623162E-3</v>
      </c>
      <c r="CI74" s="30">
        <f t="shared" si="38"/>
        <v>6.024096385542169E-3</v>
      </c>
    </row>
    <row r="75" spans="1:88">
      <c r="A75" s="11" t="s">
        <v>222</v>
      </c>
      <c r="B75" s="11"/>
      <c r="C75" s="11">
        <v>18</v>
      </c>
      <c r="D75" s="11">
        <v>1007</v>
      </c>
      <c r="E75" s="11">
        <v>103</v>
      </c>
      <c r="F75" s="11" t="s">
        <v>238</v>
      </c>
      <c r="G75" s="11">
        <v>2019</v>
      </c>
      <c r="H75" t="s">
        <v>239</v>
      </c>
      <c r="I75" s="10" t="s">
        <v>240</v>
      </c>
      <c r="J75" s="18">
        <v>2</v>
      </c>
      <c r="K75" s="10">
        <v>2018</v>
      </c>
      <c r="L75" s="11" t="s">
        <v>73</v>
      </c>
      <c r="M75" s="18">
        <v>23</v>
      </c>
      <c r="N75" s="18" t="s">
        <v>241</v>
      </c>
      <c r="O75" s="10" t="s">
        <v>242</v>
      </c>
      <c r="P75" s="18" t="s">
        <v>124</v>
      </c>
      <c r="Q75" s="18" t="s">
        <v>243</v>
      </c>
      <c r="R75" s="18" t="s">
        <v>244</v>
      </c>
      <c r="S75" s="18" t="s">
        <v>245</v>
      </c>
      <c r="T75" s="18">
        <v>0</v>
      </c>
      <c r="U75" s="11" t="s">
        <v>189</v>
      </c>
      <c r="V75" s="18">
        <v>0</v>
      </c>
      <c r="W75" s="153" t="s">
        <v>246</v>
      </c>
      <c r="X75" s="153" t="s">
        <v>246</v>
      </c>
      <c r="Y75" s="154" t="s">
        <v>73</v>
      </c>
      <c r="Z75" s="18">
        <v>1</v>
      </c>
      <c r="AA75" s="18">
        <v>0</v>
      </c>
      <c r="AB75" s="18">
        <v>0</v>
      </c>
      <c r="AC75" s="18">
        <v>0</v>
      </c>
      <c r="AD75" s="18">
        <v>0</v>
      </c>
      <c r="AE75" s="11">
        <v>0</v>
      </c>
      <c r="AF75" s="11">
        <v>0</v>
      </c>
      <c r="AG75" s="11">
        <v>0</v>
      </c>
      <c r="AH75" s="18" t="s">
        <v>73</v>
      </c>
      <c r="AI75" s="18">
        <v>0</v>
      </c>
      <c r="AJ75" s="18">
        <v>0</v>
      </c>
      <c r="AK75" s="18">
        <v>0</v>
      </c>
      <c r="AL75" s="18">
        <v>0</v>
      </c>
      <c r="AM75" s="18">
        <v>0</v>
      </c>
      <c r="AN75" s="18">
        <v>0</v>
      </c>
      <c r="AO75" s="18">
        <v>0</v>
      </c>
      <c r="AP75" s="18">
        <v>1</v>
      </c>
      <c r="AQ75" s="18">
        <v>0</v>
      </c>
      <c r="AR75" s="18" t="s">
        <v>247</v>
      </c>
      <c r="AS75" t="s">
        <v>234</v>
      </c>
      <c r="AT75" s="10" t="s">
        <v>248</v>
      </c>
      <c r="AU75" s="11" t="s">
        <v>236</v>
      </c>
      <c r="AV75" s="199">
        <v>0.80900000000000005</v>
      </c>
      <c r="AW75" s="129" t="s">
        <v>80</v>
      </c>
      <c r="AX75" t="s">
        <v>73</v>
      </c>
      <c r="AY75" s="18">
        <v>0.01</v>
      </c>
      <c r="AZ75" s="18">
        <v>1</v>
      </c>
      <c r="BA75">
        <f t="shared" si="40"/>
        <v>2.6014087465590463</v>
      </c>
      <c r="BC75" s="156">
        <v>0.31</v>
      </c>
      <c r="BD75" s="11" t="s">
        <v>73</v>
      </c>
      <c r="BE75" s="11" t="s">
        <v>73</v>
      </c>
      <c r="BF75" s="11" t="s">
        <v>73</v>
      </c>
      <c r="BG75" s="11" t="s">
        <v>73</v>
      </c>
      <c r="BH75" s="11" t="s">
        <v>73</v>
      </c>
      <c r="BI75" s="11" t="s">
        <v>73</v>
      </c>
      <c r="BJ75" s="10">
        <v>196</v>
      </c>
      <c r="BK75" s="10">
        <v>196</v>
      </c>
      <c r="BL75" s="11" t="s">
        <v>73</v>
      </c>
      <c r="BM75" s="11" t="s">
        <v>73</v>
      </c>
      <c r="BN75" s="11" t="s">
        <v>73</v>
      </c>
      <c r="BO75" s="11" t="s">
        <v>73</v>
      </c>
      <c r="BP75" s="11" t="s">
        <v>73</v>
      </c>
      <c r="BQ75" s="11" t="s">
        <v>73</v>
      </c>
      <c r="BR75" s="11" t="s">
        <v>73</v>
      </c>
      <c r="BS75" s="11" t="s">
        <v>73</v>
      </c>
      <c r="BT75" s="11" t="s">
        <v>73</v>
      </c>
      <c r="BU75" s="11" t="s">
        <v>73</v>
      </c>
      <c r="BV75" s="18">
        <v>0</v>
      </c>
      <c r="BW75" s="18">
        <v>0</v>
      </c>
      <c r="BX75" s="18">
        <v>1</v>
      </c>
      <c r="BY75" s="30">
        <f t="shared" si="31"/>
        <v>0.18268782595451913</v>
      </c>
      <c r="BZ75" s="30">
        <f t="shared" si="33"/>
        <v>0.18476191295756308</v>
      </c>
      <c r="CA75" s="30">
        <f t="shared" si="34"/>
        <v>5.1222290649031235E-3</v>
      </c>
      <c r="CB75" s="30">
        <f t="shared" si="35"/>
        <v>5.1813471502590676E-3</v>
      </c>
      <c r="CC75" s="92" t="s">
        <v>73</v>
      </c>
      <c r="CD75">
        <f t="shared" si="39"/>
        <v>194</v>
      </c>
      <c r="CE75" s="92" t="s">
        <v>73</v>
      </c>
      <c r="CF75" s="30">
        <f t="shared" si="32"/>
        <v>0.18268782595451913</v>
      </c>
      <c r="CG75" s="30">
        <f t="shared" si="36"/>
        <v>0.18476191295756308</v>
      </c>
      <c r="CH75" s="30">
        <f t="shared" si="37"/>
        <v>5.1222290649031235E-3</v>
      </c>
      <c r="CI75" s="30">
        <f t="shared" si="38"/>
        <v>5.1813471502590676E-3</v>
      </c>
    </row>
    <row r="76" spans="1:88">
      <c r="A76" s="11" t="s">
        <v>222</v>
      </c>
      <c r="B76" s="11"/>
      <c r="C76" s="11">
        <v>18</v>
      </c>
      <c r="D76" s="11">
        <v>1010</v>
      </c>
      <c r="E76" s="11">
        <v>103</v>
      </c>
      <c r="F76" s="11" t="s">
        <v>238</v>
      </c>
      <c r="G76" s="11">
        <v>2019</v>
      </c>
      <c r="H76" t="s">
        <v>239</v>
      </c>
      <c r="I76" s="10" t="s">
        <v>240</v>
      </c>
      <c r="J76" s="18">
        <v>2</v>
      </c>
      <c r="K76" s="10">
        <v>2018</v>
      </c>
      <c r="L76" s="11" t="s">
        <v>73</v>
      </c>
      <c r="M76" s="18">
        <v>23</v>
      </c>
      <c r="N76" s="18" t="s">
        <v>241</v>
      </c>
      <c r="O76" s="10" t="s">
        <v>242</v>
      </c>
      <c r="P76" s="18" t="s">
        <v>124</v>
      </c>
      <c r="Q76" s="18" t="s">
        <v>243</v>
      </c>
      <c r="R76" s="18" t="s">
        <v>244</v>
      </c>
      <c r="S76" s="18" t="s">
        <v>245</v>
      </c>
      <c r="T76" s="18">
        <v>0</v>
      </c>
      <c r="U76" t="s">
        <v>189</v>
      </c>
      <c r="V76" s="18">
        <v>0</v>
      </c>
      <c r="W76" s="153" t="s">
        <v>246</v>
      </c>
      <c r="X76" s="153" t="s">
        <v>246</v>
      </c>
      <c r="Y76" s="154" t="s">
        <v>73</v>
      </c>
      <c r="Z76" s="18">
        <v>0</v>
      </c>
      <c r="AA76" s="18">
        <v>0</v>
      </c>
      <c r="AB76" s="18">
        <v>0</v>
      </c>
      <c r="AC76" s="18">
        <v>0</v>
      </c>
      <c r="AD76" s="18">
        <v>0</v>
      </c>
      <c r="AE76" s="18">
        <v>1</v>
      </c>
      <c r="AF76" s="11">
        <v>0</v>
      </c>
      <c r="AG76" s="11">
        <v>0</v>
      </c>
      <c r="AH76" s="18" t="s">
        <v>73</v>
      </c>
      <c r="AI76" s="18">
        <v>0</v>
      </c>
      <c r="AJ76" s="18">
        <v>0</v>
      </c>
      <c r="AK76" s="18">
        <v>0</v>
      </c>
      <c r="AL76" s="18">
        <v>0</v>
      </c>
      <c r="AM76" s="18">
        <v>0</v>
      </c>
      <c r="AN76" s="18">
        <v>0</v>
      </c>
      <c r="AO76" s="11">
        <v>1</v>
      </c>
      <c r="AP76" s="11">
        <v>0</v>
      </c>
      <c r="AQ76" s="18">
        <v>0</v>
      </c>
      <c r="AR76" s="18" t="s">
        <v>247</v>
      </c>
      <c r="AS76" t="s">
        <v>234</v>
      </c>
      <c r="AT76" s="10" t="s">
        <v>249</v>
      </c>
      <c r="AU76" s="11" t="s">
        <v>236</v>
      </c>
      <c r="AV76" s="134">
        <v>0.105</v>
      </c>
      <c r="AW76" s="129" t="s">
        <v>80</v>
      </c>
      <c r="AX76" t="s">
        <v>73</v>
      </c>
      <c r="AY76" s="18">
        <v>0.1</v>
      </c>
      <c r="AZ76" s="18">
        <v>2</v>
      </c>
      <c r="BA76" s="19">
        <f t="shared" si="40"/>
        <v>1.6540291281334114</v>
      </c>
      <c r="BB76" s="19"/>
      <c r="BC76" s="155">
        <v>4.2000000000000003E-2</v>
      </c>
      <c r="BD76" s="11" t="s">
        <v>73</v>
      </c>
      <c r="BE76" s="11" t="s">
        <v>73</v>
      </c>
      <c r="BF76" s="11" t="s">
        <v>73</v>
      </c>
      <c r="BG76" s="11" t="s">
        <v>73</v>
      </c>
      <c r="BH76" s="11" t="s">
        <v>73</v>
      </c>
      <c r="BI76" s="11" t="s">
        <v>73</v>
      </c>
      <c r="BJ76" s="10">
        <v>169</v>
      </c>
      <c r="BK76" s="10">
        <v>169</v>
      </c>
      <c r="BL76" s="11" t="s">
        <v>73</v>
      </c>
      <c r="BM76" s="11" t="s">
        <v>73</v>
      </c>
      <c r="BN76" s="11" t="s">
        <v>73</v>
      </c>
      <c r="BO76" s="11" t="s">
        <v>73</v>
      </c>
      <c r="BP76" s="11" t="s">
        <v>237</v>
      </c>
      <c r="BQ76" s="11" t="s">
        <v>73</v>
      </c>
      <c r="BR76" s="11" t="s">
        <v>73</v>
      </c>
      <c r="BS76" s="11" t="s">
        <v>73</v>
      </c>
      <c r="BT76" s="11" t="s">
        <v>73</v>
      </c>
      <c r="BU76" s="11" t="s">
        <v>73</v>
      </c>
      <c r="BV76" s="18">
        <v>0</v>
      </c>
      <c r="BW76" s="18">
        <v>0</v>
      </c>
      <c r="BX76" s="18">
        <v>1</v>
      </c>
      <c r="BY76" s="30">
        <f t="shared" si="31"/>
        <v>0.12621550782577576</v>
      </c>
      <c r="BZ76" s="30">
        <f t="shared" si="33"/>
        <v>0.12689220699041071</v>
      </c>
      <c r="CA76" s="30">
        <f t="shared" si="34"/>
        <v>5.9508377228610727E-3</v>
      </c>
      <c r="CB76" s="30">
        <f t="shared" si="35"/>
        <v>6.024096385542169E-3</v>
      </c>
      <c r="CC76" s="92" t="s">
        <v>73</v>
      </c>
      <c r="CD76">
        <f t="shared" si="39"/>
        <v>167</v>
      </c>
      <c r="CE76" s="92" t="s">
        <v>73</v>
      </c>
      <c r="CF76" s="30">
        <f t="shared" si="32"/>
        <v>0.12621550782577576</v>
      </c>
      <c r="CG76" s="30">
        <f t="shared" si="36"/>
        <v>0.12689220699041071</v>
      </c>
      <c r="CH76" s="30">
        <f t="shared" si="37"/>
        <v>5.9508377228610727E-3</v>
      </c>
      <c r="CI76" s="30">
        <f t="shared" si="38"/>
        <v>6.024096385542169E-3</v>
      </c>
    </row>
    <row r="77" spans="1:88">
      <c r="A77" s="11" t="s">
        <v>222</v>
      </c>
      <c r="B77" s="11"/>
      <c r="C77" s="11">
        <v>18</v>
      </c>
      <c r="D77" s="11">
        <v>1009</v>
      </c>
      <c r="E77" s="11">
        <v>103</v>
      </c>
      <c r="F77" s="11" t="s">
        <v>238</v>
      </c>
      <c r="G77" s="11">
        <v>2019</v>
      </c>
      <c r="H77" t="s">
        <v>239</v>
      </c>
      <c r="I77" s="10" t="s">
        <v>240</v>
      </c>
      <c r="J77" s="18">
        <v>2</v>
      </c>
      <c r="K77" s="10">
        <v>2018</v>
      </c>
      <c r="L77" s="11" t="s">
        <v>73</v>
      </c>
      <c r="M77" s="18">
        <v>23</v>
      </c>
      <c r="N77" s="18" t="s">
        <v>241</v>
      </c>
      <c r="O77" s="10" t="s">
        <v>242</v>
      </c>
      <c r="P77" s="18" t="s">
        <v>124</v>
      </c>
      <c r="Q77" s="18" t="s">
        <v>243</v>
      </c>
      <c r="R77" s="18" t="s">
        <v>244</v>
      </c>
      <c r="S77" s="18" t="s">
        <v>245</v>
      </c>
      <c r="T77" s="18">
        <v>0</v>
      </c>
      <c r="U77" s="11" t="s">
        <v>189</v>
      </c>
      <c r="V77" s="18">
        <v>0</v>
      </c>
      <c r="W77" s="153" t="s">
        <v>246</v>
      </c>
      <c r="X77" s="153" t="s">
        <v>246</v>
      </c>
      <c r="Y77" s="154" t="s">
        <v>73</v>
      </c>
      <c r="Z77" s="18">
        <v>0</v>
      </c>
      <c r="AA77" s="18">
        <v>0</v>
      </c>
      <c r="AB77" s="18">
        <v>0</v>
      </c>
      <c r="AC77" s="18">
        <v>0</v>
      </c>
      <c r="AD77" s="18">
        <v>0</v>
      </c>
      <c r="AE77" s="18">
        <v>1</v>
      </c>
      <c r="AF77" s="11">
        <v>0</v>
      </c>
      <c r="AG77" s="11">
        <v>0</v>
      </c>
      <c r="AH77" s="18" t="s">
        <v>73</v>
      </c>
      <c r="AI77" s="18">
        <v>0</v>
      </c>
      <c r="AJ77" s="18">
        <v>0</v>
      </c>
      <c r="AK77" s="18">
        <v>0</v>
      </c>
      <c r="AL77" s="18">
        <v>0</v>
      </c>
      <c r="AM77" s="18">
        <v>0</v>
      </c>
      <c r="AN77" s="18">
        <v>0</v>
      </c>
      <c r="AO77" s="18">
        <v>0</v>
      </c>
      <c r="AP77" s="18">
        <v>1</v>
      </c>
      <c r="AQ77" s="18">
        <v>0</v>
      </c>
      <c r="AR77" s="18" t="s">
        <v>247</v>
      </c>
      <c r="AS77" t="s">
        <v>234</v>
      </c>
      <c r="AT77" s="10" t="s">
        <v>249</v>
      </c>
      <c r="AU77" s="11" t="s">
        <v>236</v>
      </c>
      <c r="AV77" s="199">
        <v>0.42199999999999999</v>
      </c>
      <c r="AW77" s="129" t="s">
        <v>80</v>
      </c>
      <c r="AX77" t="s">
        <v>73</v>
      </c>
      <c r="AY77" s="18">
        <v>0.01</v>
      </c>
      <c r="AZ77" s="18">
        <v>1</v>
      </c>
      <c r="BA77">
        <f t="shared" si="40"/>
        <v>2.6014087465590463</v>
      </c>
      <c r="BC77" s="155">
        <v>0.16600000000000001</v>
      </c>
      <c r="BD77" s="11" t="s">
        <v>73</v>
      </c>
      <c r="BE77" s="11" t="s">
        <v>73</v>
      </c>
      <c r="BF77" s="11" t="s">
        <v>73</v>
      </c>
      <c r="BG77" s="11" t="s">
        <v>73</v>
      </c>
      <c r="BH77" s="11" t="s">
        <v>73</v>
      </c>
      <c r="BI77" s="11" t="s">
        <v>73</v>
      </c>
      <c r="BJ77" s="10">
        <v>196</v>
      </c>
      <c r="BK77" s="10">
        <v>196</v>
      </c>
      <c r="BL77" s="11" t="s">
        <v>73</v>
      </c>
      <c r="BM77" s="11" t="s">
        <v>73</v>
      </c>
      <c r="BN77" s="11" t="s">
        <v>73</v>
      </c>
      <c r="BO77" s="11" t="s">
        <v>73</v>
      </c>
      <c r="BP77" s="11" t="s">
        <v>237</v>
      </c>
      <c r="BQ77" s="11" t="s">
        <v>73</v>
      </c>
      <c r="BR77" s="11" t="s">
        <v>73</v>
      </c>
      <c r="BS77" s="11" t="s">
        <v>73</v>
      </c>
      <c r="BT77" s="11" t="s">
        <v>73</v>
      </c>
      <c r="BU77" s="11" t="s">
        <v>73</v>
      </c>
      <c r="BV77" s="18">
        <v>0</v>
      </c>
      <c r="BW77" s="18">
        <v>0</v>
      </c>
      <c r="BX77" s="18">
        <v>1</v>
      </c>
      <c r="BY77" s="30">
        <f t="shared" si="31"/>
        <v>0.18268782595451913</v>
      </c>
      <c r="BZ77" s="30">
        <f t="shared" si="33"/>
        <v>0.18476191295756308</v>
      </c>
      <c r="CA77" s="30">
        <f t="shared" si="34"/>
        <v>5.1222290649031235E-3</v>
      </c>
      <c r="CB77" s="30">
        <f t="shared" si="35"/>
        <v>5.1813471502590676E-3</v>
      </c>
      <c r="CC77" s="92" t="s">
        <v>73</v>
      </c>
      <c r="CD77">
        <f t="shared" si="39"/>
        <v>194</v>
      </c>
      <c r="CE77" s="92" t="s">
        <v>73</v>
      </c>
      <c r="CF77" s="30">
        <f t="shared" si="32"/>
        <v>0.18268782595451913</v>
      </c>
      <c r="CG77" s="30">
        <f t="shared" si="36"/>
        <v>0.18476191295756308</v>
      </c>
      <c r="CH77" s="30">
        <f t="shared" si="37"/>
        <v>5.1222290649031235E-3</v>
      </c>
      <c r="CI77" s="30">
        <f t="shared" si="38"/>
        <v>5.1813471502590676E-3</v>
      </c>
    </row>
    <row r="78" spans="1:88">
      <c r="A78" s="11" t="s">
        <v>222</v>
      </c>
      <c r="B78" s="11"/>
      <c r="C78" s="11">
        <v>18</v>
      </c>
      <c r="D78" s="11">
        <v>1011</v>
      </c>
      <c r="E78" s="11">
        <v>103</v>
      </c>
      <c r="F78" s="11" t="s">
        <v>238</v>
      </c>
      <c r="G78" s="11">
        <v>2019</v>
      </c>
      <c r="H78" t="s">
        <v>239</v>
      </c>
      <c r="I78" s="10" t="s">
        <v>240</v>
      </c>
      <c r="J78" s="18">
        <v>2</v>
      </c>
      <c r="K78" s="10">
        <v>2018</v>
      </c>
      <c r="L78" s="11" t="s">
        <v>73</v>
      </c>
      <c r="M78" s="18">
        <v>23</v>
      </c>
      <c r="N78" s="18" t="s">
        <v>241</v>
      </c>
      <c r="O78" s="10" t="s">
        <v>242</v>
      </c>
      <c r="P78" s="18" t="s">
        <v>124</v>
      </c>
      <c r="Q78" s="18" t="s">
        <v>243</v>
      </c>
      <c r="R78" s="18" t="s">
        <v>244</v>
      </c>
      <c r="S78" s="18" t="s">
        <v>245</v>
      </c>
      <c r="T78" s="18">
        <v>0</v>
      </c>
      <c r="U78" t="s">
        <v>189</v>
      </c>
      <c r="V78" s="18">
        <v>0</v>
      </c>
      <c r="W78" s="153" t="s">
        <v>246</v>
      </c>
      <c r="X78" s="153" t="s">
        <v>246</v>
      </c>
      <c r="Y78" s="154" t="s">
        <v>73</v>
      </c>
      <c r="Z78" s="18">
        <v>0</v>
      </c>
      <c r="AA78" s="18">
        <v>0</v>
      </c>
      <c r="AB78" s="18">
        <v>0</v>
      </c>
      <c r="AC78" s="11">
        <v>0</v>
      </c>
      <c r="AD78" s="18">
        <v>0</v>
      </c>
      <c r="AE78" s="18">
        <v>0</v>
      </c>
      <c r="AF78" s="18">
        <v>1</v>
      </c>
      <c r="AG78" s="11">
        <v>0</v>
      </c>
      <c r="AH78" s="18" t="s">
        <v>73</v>
      </c>
      <c r="AI78" s="18">
        <v>0</v>
      </c>
      <c r="AJ78" s="18">
        <v>0</v>
      </c>
      <c r="AK78" s="18">
        <v>0</v>
      </c>
      <c r="AL78" s="18">
        <v>0</v>
      </c>
      <c r="AM78" s="18">
        <v>0</v>
      </c>
      <c r="AN78" s="18">
        <v>0</v>
      </c>
      <c r="AO78" s="11">
        <v>0</v>
      </c>
      <c r="AP78" s="11">
        <v>1</v>
      </c>
      <c r="AQ78" s="18">
        <v>0</v>
      </c>
      <c r="AR78" s="18" t="s">
        <v>247</v>
      </c>
      <c r="AS78" t="s">
        <v>234</v>
      </c>
      <c r="AT78" s="10" t="s">
        <v>249</v>
      </c>
      <c r="AU78" s="11" t="s">
        <v>236</v>
      </c>
      <c r="AV78" s="134">
        <v>0.60199999999999998</v>
      </c>
      <c r="AW78" s="7" t="s">
        <v>86</v>
      </c>
      <c r="AX78" t="s">
        <v>73</v>
      </c>
      <c r="AY78" s="18">
        <v>0.05</v>
      </c>
      <c r="AZ78" s="18">
        <v>1</v>
      </c>
      <c r="BA78">
        <f t="shared" si="40"/>
        <v>1.9722675325821368</v>
      </c>
      <c r="BC78" s="155">
        <v>0.23599999999999999</v>
      </c>
      <c r="BD78" s="11" t="s">
        <v>73</v>
      </c>
      <c r="BE78" s="11" t="s">
        <v>73</v>
      </c>
      <c r="BF78" s="11" t="s">
        <v>73</v>
      </c>
      <c r="BG78" s="11" t="s">
        <v>73</v>
      </c>
      <c r="BH78" s="11" t="s">
        <v>73</v>
      </c>
      <c r="BI78" s="11" t="s">
        <v>73</v>
      </c>
      <c r="BJ78" s="10">
        <v>196</v>
      </c>
      <c r="BK78" s="10">
        <v>196</v>
      </c>
      <c r="BL78" s="11" t="s">
        <v>73</v>
      </c>
      <c r="BM78" s="11" t="s">
        <v>73</v>
      </c>
      <c r="BN78" s="11" t="s">
        <v>73</v>
      </c>
      <c r="BO78" s="11" t="s">
        <v>73</v>
      </c>
      <c r="BP78" s="11" t="s">
        <v>237</v>
      </c>
      <c r="BQ78" s="11" t="s">
        <v>73</v>
      </c>
      <c r="BR78" s="11" t="s">
        <v>73</v>
      </c>
      <c r="BS78" s="11" t="s">
        <v>73</v>
      </c>
      <c r="BT78" s="11" t="s">
        <v>73</v>
      </c>
      <c r="BU78" s="11" t="s">
        <v>73</v>
      </c>
      <c r="BV78" s="18">
        <v>0</v>
      </c>
      <c r="BW78" s="18">
        <v>0</v>
      </c>
      <c r="BX78" s="18">
        <v>1</v>
      </c>
      <c r="BY78" s="30">
        <f t="shared" si="31"/>
        <v>0.13949879819299352</v>
      </c>
      <c r="BZ78" s="30">
        <f t="shared" si="33"/>
        <v>0.14041439085865218</v>
      </c>
      <c r="CA78" s="30">
        <f t="shared" si="34"/>
        <v>5.126211648265694E-3</v>
      </c>
      <c r="CB78" s="30">
        <f t="shared" si="35"/>
        <v>5.1813471502590676E-3</v>
      </c>
      <c r="CC78" s="92" t="s">
        <v>73</v>
      </c>
      <c r="CD78">
        <f t="shared" si="39"/>
        <v>194</v>
      </c>
      <c r="CE78" s="92" t="s">
        <v>73</v>
      </c>
      <c r="CF78" s="30">
        <f t="shared" si="32"/>
        <v>0.13949879819299352</v>
      </c>
      <c r="CG78" s="30">
        <f t="shared" si="36"/>
        <v>0.14041439085865218</v>
      </c>
      <c r="CH78" s="30">
        <f t="shared" si="37"/>
        <v>5.126211648265694E-3</v>
      </c>
      <c r="CI78" s="30">
        <f t="shared" si="38"/>
        <v>5.1813471502590676E-3</v>
      </c>
    </row>
    <row r="79" spans="1:88">
      <c r="A79" s="11" t="s">
        <v>222</v>
      </c>
      <c r="B79" s="11"/>
      <c r="C79" s="11">
        <v>18</v>
      </c>
      <c r="D79" s="11">
        <v>1012</v>
      </c>
      <c r="E79" s="11">
        <v>103</v>
      </c>
      <c r="F79" s="11" t="s">
        <v>238</v>
      </c>
      <c r="G79" s="11">
        <v>2019</v>
      </c>
      <c r="H79" t="s">
        <v>239</v>
      </c>
      <c r="I79" s="10" t="s">
        <v>240</v>
      </c>
      <c r="J79" s="18">
        <v>2</v>
      </c>
      <c r="K79" s="10">
        <v>2018</v>
      </c>
      <c r="L79" s="11" t="s">
        <v>73</v>
      </c>
      <c r="M79" s="18">
        <v>23</v>
      </c>
      <c r="N79" s="18" t="s">
        <v>241</v>
      </c>
      <c r="O79" s="10" t="s">
        <v>242</v>
      </c>
      <c r="P79" s="18" t="s">
        <v>124</v>
      </c>
      <c r="Q79" s="18" t="s">
        <v>243</v>
      </c>
      <c r="R79" s="18" t="s">
        <v>244</v>
      </c>
      <c r="S79" s="18" t="s">
        <v>245</v>
      </c>
      <c r="T79" s="18">
        <v>0</v>
      </c>
      <c r="U79" t="s">
        <v>189</v>
      </c>
      <c r="V79" s="18">
        <v>0</v>
      </c>
      <c r="W79" s="153" t="s">
        <v>246</v>
      </c>
      <c r="X79" s="153" t="s">
        <v>246</v>
      </c>
      <c r="Y79" s="154" t="s">
        <v>73</v>
      </c>
      <c r="Z79" s="18">
        <v>0</v>
      </c>
      <c r="AA79" s="18">
        <v>0</v>
      </c>
      <c r="AB79" s="18">
        <v>0</v>
      </c>
      <c r="AC79" s="18">
        <v>0</v>
      </c>
      <c r="AD79" s="18">
        <v>0</v>
      </c>
      <c r="AE79" s="18">
        <v>0</v>
      </c>
      <c r="AF79" s="18">
        <v>1</v>
      </c>
      <c r="AG79" s="11">
        <v>0</v>
      </c>
      <c r="AH79" s="18" t="s">
        <v>73</v>
      </c>
      <c r="AI79" s="18">
        <v>0</v>
      </c>
      <c r="AJ79" s="18">
        <v>0</v>
      </c>
      <c r="AK79" s="18">
        <v>0</v>
      </c>
      <c r="AL79" s="18">
        <v>0</v>
      </c>
      <c r="AM79" s="18">
        <v>0</v>
      </c>
      <c r="AN79" s="18">
        <v>0</v>
      </c>
      <c r="AO79" s="18">
        <v>1</v>
      </c>
      <c r="AP79" s="18">
        <v>0</v>
      </c>
      <c r="AQ79" s="18">
        <v>0</v>
      </c>
      <c r="AR79" s="18" t="s">
        <v>247</v>
      </c>
      <c r="AS79" t="s">
        <v>234</v>
      </c>
      <c r="AT79" s="10" t="s">
        <v>249</v>
      </c>
      <c r="AU79" s="11" t="s">
        <v>236</v>
      </c>
      <c r="AV79" s="134">
        <v>0.70499999999999996</v>
      </c>
      <c r="AW79" s="18" t="s">
        <v>80</v>
      </c>
      <c r="AX79" t="s">
        <v>73</v>
      </c>
      <c r="AY79" s="18">
        <v>0.1</v>
      </c>
      <c r="AZ79" s="18">
        <v>1</v>
      </c>
      <c r="BA79">
        <f t="shared" si="40"/>
        <v>1.6540291281334114</v>
      </c>
      <c r="BC79" s="155">
        <v>0.26200000000000001</v>
      </c>
      <c r="BD79" s="11" t="s">
        <v>73</v>
      </c>
      <c r="BE79" s="11" t="s">
        <v>73</v>
      </c>
      <c r="BF79" s="11" t="s">
        <v>73</v>
      </c>
      <c r="BG79" s="11" t="s">
        <v>73</v>
      </c>
      <c r="BH79" s="11" t="s">
        <v>73</v>
      </c>
      <c r="BI79" s="11" t="s">
        <v>73</v>
      </c>
      <c r="BJ79" s="10">
        <v>169</v>
      </c>
      <c r="BK79" s="10">
        <v>169</v>
      </c>
      <c r="BL79" s="11" t="s">
        <v>73</v>
      </c>
      <c r="BM79" s="11" t="s">
        <v>73</v>
      </c>
      <c r="BN79" s="11" t="s">
        <v>73</v>
      </c>
      <c r="BO79" s="11" t="s">
        <v>73</v>
      </c>
      <c r="BP79" s="11" t="s">
        <v>237</v>
      </c>
      <c r="BQ79" s="11" t="s">
        <v>73</v>
      </c>
      <c r="BR79" s="11" t="s">
        <v>73</v>
      </c>
      <c r="BS79" s="11" t="s">
        <v>73</v>
      </c>
      <c r="BT79" s="11" t="s">
        <v>73</v>
      </c>
      <c r="BU79" s="11" t="s">
        <v>73</v>
      </c>
      <c r="BV79" s="18">
        <v>0</v>
      </c>
      <c r="BW79" s="18">
        <v>0</v>
      </c>
      <c r="BX79" s="18">
        <v>1</v>
      </c>
      <c r="BY79" s="30">
        <f t="shared" si="31"/>
        <v>0.12621550782577576</v>
      </c>
      <c r="BZ79" s="30">
        <f t="shared" si="33"/>
        <v>0.12689220699041071</v>
      </c>
      <c r="CA79" s="30">
        <f t="shared" si="34"/>
        <v>5.9508377228610727E-3</v>
      </c>
      <c r="CB79" s="30">
        <f t="shared" si="35"/>
        <v>6.024096385542169E-3</v>
      </c>
      <c r="CC79" s="92" t="s">
        <v>73</v>
      </c>
      <c r="CD79">
        <f t="shared" si="39"/>
        <v>167</v>
      </c>
      <c r="CE79" s="92" t="s">
        <v>73</v>
      </c>
      <c r="CF79" s="30">
        <f t="shared" si="32"/>
        <v>0.12621550782577576</v>
      </c>
      <c r="CG79" s="30">
        <f t="shared" si="36"/>
        <v>0.12689220699041071</v>
      </c>
      <c r="CH79" s="30">
        <f t="shared" si="37"/>
        <v>5.9508377228610727E-3</v>
      </c>
      <c r="CI79" s="30">
        <f t="shared" si="38"/>
        <v>6.024096385542169E-3</v>
      </c>
    </row>
    <row r="80" spans="1:88" s="119" customFormat="1">
      <c r="A80" s="92" t="s">
        <v>68</v>
      </c>
      <c r="B80" s="92"/>
      <c r="C80" s="92">
        <v>19</v>
      </c>
      <c r="D80" s="92">
        <v>1130</v>
      </c>
      <c r="E80" s="92">
        <v>128</v>
      </c>
      <c r="F80" s="92" t="s">
        <v>346</v>
      </c>
      <c r="G80" s="92">
        <v>2014</v>
      </c>
      <c r="H80" s="92" t="s">
        <v>347</v>
      </c>
      <c r="I80" s="131" t="s">
        <v>348</v>
      </c>
      <c r="J80" s="92">
        <v>2</v>
      </c>
      <c r="K80" s="92">
        <v>2014</v>
      </c>
      <c r="L80" s="92" t="s">
        <v>73</v>
      </c>
      <c r="M80" s="92">
        <v>133</v>
      </c>
      <c r="N80" s="185" t="s">
        <v>155</v>
      </c>
      <c r="O80" s="92" t="s">
        <v>227</v>
      </c>
      <c r="P80" s="112" t="s">
        <v>349</v>
      </c>
      <c r="Q80" s="92" t="s">
        <v>294</v>
      </c>
      <c r="R80" s="92" t="s">
        <v>311</v>
      </c>
      <c r="S80" t="s">
        <v>312</v>
      </c>
      <c r="T80" s="92">
        <v>1</v>
      </c>
      <c r="U80" s="92" t="s">
        <v>341</v>
      </c>
      <c r="V80" s="92">
        <v>1</v>
      </c>
      <c r="W80" s="92" t="s">
        <v>232</v>
      </c>
      <c r="X80" s="92" t="s">
        <v>232</v>
      </c>
      <c r="Y80" s="92" t="s">
        <v>73</v>
      </c>
      <c r="Z80" s="92">
        <v>0</v>
      </c>
      <c r="AA80" s="92">
        <v>0</v>
      </c>
      <c r="AB80" s="92">
        <v>1</v>
      </c>
      <c r="AC80" s="92">
        <v>0</v>
      </c>
      <c r="AD80" s="92">
        <v>0</v>
      </c>
      <c r="AE80" s="92">
        <v>0</v>
      </c>
      <c r="AF80" s="92">
        <v>0</v>
      </c>
      <c r="AG80" s="92">
        <v>0</v>
      </c>
      <c r="AH80" s="92" t="s">
        <v>350</v>
      </c>
      <c r="AI80" s="92">
        <v>0</v>
      </c>
      <c r="AJ80" s="92">
        <v>0</v>
      </c>
      <c r="AK80" s="92">
        <v>0</v>
      </c>
      <c r="AL80" s="92">
        <v>0</v>
      </c>
      <c r="AM80" s="92">
        <v>0</v>
      </c>
      <c r="AN80" s="92">
        <v>0</v>
      </c>
      <c r="AO80" s="92">
        <v>0</v>
      </c>
      <c r="AP80" s="92">
        <v>0</v>
      </c>
      <c r="AQ80" s="92">
        <v>1</v>
      </c>
      <c r="AR80" s="92" t="s">
        <v>73</v>
      </c>
      <c r="AS80" s="92" t="s">
        <v>234</v>
      </c>
      <c r="AT80" t="s">
        <v>296</v>
      </c>
      <c r="AU80" s="92" t="s">
        <v>236</v>
      </c>
      <c r="AV80" s="198">
        <v>4.4999999999999998E-2</v>
      </c>
      <c r="AW80" s="157" t="s">
        <v>80</v>
      </c>
      <c r="AX80" s="131">
        <v>0.27100000000000002</v>
      </c>
      <c r="AY80" s="92" t="s">
        <v>73</v>
      </c>
      <c r="AZ80" s="92">
        <v>3</v>
      </c>
      <c r="BA80" s="131">
        <f t="shared" ref="BA80:BA91" si="41">AV80/AX80</f>
        <v>0.16605166051660514</v>
      </c>
      <c r="BB80" t="s">
        <v>73</v>
      </c>
      <c r="BC80" s="105">
        <f t="shared" ref="BC80:BC97" si="42">EXP(AV80)/(1+EXP(AV80))</f>
        <v>0.51124810194685477</v>
      </c>
      <c r="BD80" s="92" t="s">
        <v>73</v>
      </c>
      <c r="BE80" s="92" t="s">
        <v>73</v>
      </c>
      <c r="BF80" s="92" t="s">
        <v>73</v>
      </c>
      <c r="BG80" s="92" t="s">
        <v>73</v>
      </c>
      <c r="BH80" s="92" t="s">
        <v>73</v>
      </c>
      <c r="BI80" s="92" t="s">
        <v>73</v>
      </c>
      <c r="BJ80" s="131">
        <v>504</v>
      </c>
      <c r="BK80" s="92">
        <v>504</v>
      </c>
      <c r="BL80" s="92" t="s">
        <v>73</v>
      </c>
      <c r="BM80" s="92" t="s">
        <v>73</v>
      </c>
      <c r="BN80" s="92" t="s">
        <v>73</v>
      </c>
      <c r="BO80" s="92" t="s">
        <v>73</v>
      </c>
      <c r="BP80" s="92" t="s">
        <v>73</v>
      </c>
      <c r="BQ80" s="92">
        <v>0</v>
      </c>
      <c r="BR80" s="92" t="s">
        <v>73</v>
      </c>
      <c r="BS80" s="92">
        <v>0</v>
      </c>
      <c r="BT80" s="92" t="s">
        <v>73</v>
      </c>
      <c r="BU80" s="92" t="s">
        <v>332</v>
      </c>
      <c r="BV80" s="92">
        <v>0</v>
      </c>
      <c r="BW80" s="92">
        <v>0</v>
      </c>
      <c r="BX80" s="92">
        <v>1</v>
      </c>
      <c r="BY80" s="30">
        <f t="shared" si="31"/>
        <v>7.3963265165038466E-3</v>
      </c>
      <c r="BZ80" s="30">
        <f t="shared" si="33"/>
        <v>7.396461394537558E-3</v>
      </c>
      <c r="CA80" s="30">
        <f t="shared" si="34"/>
        <v>1.9880715646263896E-3</v>
      </c>
      <c r="CB80" s="30">
        <f t="shared" si="35"/>
        <v>1.996007984031936E-3</v>
      </c>
      <c r="CC80" s="92" t="s">
        <v>73</v>
      </c>
      <c r="CD80">
        <f t="shared" si="39"/>
        <v>502</v>
      </c>
      <c r="CE80" s="92" t="s">
        <v>73</v>
      </c>
      <c r="CF80" s="30">
        <f t="shared" si="32"/>
        <v>7.3963265165038466E-3</v>
      </c>
      <c r="CG80" s="30">
        <f t="shared" si="36"/>
        <v>7.396461394537558E-3</v>
      </c>
      <c r="CH80" s="30">
        <f t="shared" si="37"/>
        <v>1.9880715646263896E-3</v>
      </c>
      <c r="CI80" s="30">
        <f t="shared" si="38"/>
        <v>1.996007984031936E-3</v>
      </c>
      <c r="CJ80"/>
    </row>
    <row r="81" spans="1:88">
      <c r="A81" s="92" t="s">
        <v>68</v>
      </c>
      <c r="B81" s="92"/>
      <c r="C81" s="92">
        <v>19</v>
      </c>
      <c r="D81" s="92">
        <v>1131</v>
      </c>
      <c r="E81" s="92">
        <v>128</v>
      </c>
      <c r="F81" s="92" t="s">
        <v>346</v>
      </c>
      <c r="G81" s="92">
        <v>2014</v>
      </c>
      <c r="H81" s="92" t="s">
        <v>347</v>
      </c>
      <c r="I81" s="131" t="s">
        <v>348</v>
      </c>
      <c r="J81" s="92">
        <v>2</v>
      </c>
      <c r="K81" s="92">
        <v>2014</v>
      </c>
      <c r="L81" s="92" t="s">
        <v>73</v>
      </c>
      <c r="M81" s="92">
        <v>133</v>
      </c>
      <c r="N81" s="185" t="s">
        <v>155</v>
      </c>
      <c r="O81" s="92" t="s">
        <v>227</v>
      </c>
      <c r="P81" s="112" t="s">
        <v>349</v>
      </c>
      <c r="Q81" s="92" t="s">
        <v>294</v>
      </c>
      <c r="R81" s="92" t="s">
        <v>311</v>
      </c>
      <c r="S81" t="s">
        <v>312</v>
      </c>
      <c r="T81" s="92">
        <v>1</v>
      </c>
      <c r="U81" s="92" t="s">
        <v>341</v>
      </c>
      <c r="V81" s="92">
        <v>1</v>
      </c>
      <c r="W81" s="92" t="s">
        <v>232</v>
      </c>
      <c r="X81" s="92" t="s">
        <v>232</v>
      </c>
      <c r="Y81" s="92" t="s">
        <v>73</v>
      </c>
      <c r="Z81" s="92">
        <v>0</v>
      </c>
      <c r="AA81" s="92">
        <v>0</v>
      </c>
      <c r="AB81" s="92">
        <v>1</v>
      </c>
      <c r="AC81" s="92">
        <v>0</v>
      </c>
      <c r="AD81" s="92">
        <v>0</v>
      </c>
      <c r="AE81" s="92">
        <v>0</v>
      </c>
      <c r="AF81" s="92">
        <v>0</v>
      </c>
      <c r="AG81" s="92">
        <v>0</v>
      </c>
      <c r="AH81" s="92" t="s">
        <v>350</v>
      </c>
      <c r="AI81" s="92">
        <v>1</v>
      </c>
      <c r="AJ81" s="92">
        <v>0</v>
      </c>
      <c r="AK81" s="92">
        <v>0</v>
      </c>
      <c r="AL81" s="92">
        <v>0</v>
      </c>
      <c r="AM81" s="92">
        <v>0</v>
      </c>
      <c r="AN81" s="92">
        <v>0</v>
      </c>
      <c r="AO81" s="92">
        <v>0</v>
      </c>
      <c r="AP81" s="92">
        <v>0</v>
      </c>
      <c r="AQ81" s="92">
        <v>0</v>
      </c>
      <c r="AR81" s="92" t="s">
        <v>73</v>
      </c>
      <c r="AS81" s="92" t="s">
        <v>234</v>
      </c>
      <c r="AT81" t="s">
        <v>296</v>
      </c>
      <c r="AU81" s="92" t="s">
        <v>236</v>
      </c>
      <c r="AV81" s="198">
        <v>0.184</v>
      </c>
      <c r="AW81" s="157" t="s">
        <v>80</v>
      </c>
      <c r="AX81" s="131">
        <v>0.26900000000000002</v>
      </c>
      <c r="AY81" s="92" t="s">
        <v>73</v>
      </c>
      <c r="AZ81" s="92">
        <v>3</v>
      </c>
      <c r="BA81" s="131">
        <f t="shared" si="41"/>
        <v>0.68401486988847582</v>
      </c>
      <c r="BB81" t="s">
        <v>73</v>
      </c>
      <c r="BC81" s="105">
        <f t="shared" si="42"/>
        <v>0.54587065655419365</v>
      </c>
      <c r="BD81" s="92" t="s">
        <v>73</v>
      </c>
      <c r="BE81" s="92" t="s">
        <v>73</v>
      </c>
      <c r="BF81" s="92" t="s">
        <v>73</v>
      </c>
      <c r="BG81" s="92" t="s">
        <v>73</v>
      </c>
      <c r="BH81" s="92" t="s">
        <v>73</v>
      </c>
      <c r="BI81" s="92" t="s">
        <v>73</v>
      </c>
      <c r="BJ81" s="131">
        <v>504</v>
      </c>
      <c r="BK81" s="92">
        <v>504</v>
      </c>
      <c r="BL81" s="92" t="s">
        <v>73</v>
      </c>
      <c r="BM81" s="92" t="s">
        <v>73</v>
      </c>
      <c r="BN81" s="92" t="s">
        <v>73</v>
      </c>
      <c r="BO81" s="92" t="s">
        <v>73</v>
      </c>
      <c r="BP81" s="92" t="s">
        <v>73</v>
      </c>
      <c r="BQ81" s="92">
        <v>0</v>
      </c>
      <c r="BR81" s="92" t="s">
        <v>73</v>
      </c>
      <c r="BS81" s="92">
        <v>0</v>
      </c>
      <c r="BT81" s="92" t="s">
        <v>73</v>
      </c>
      <c r="BU81" s="92" t="s">
        <v>315</v>
      </c>
      <c r="BV81" s="92">
        <v>0</v>
      </c>
      <c r="BW81" s="92">
        <v>0</v>
      </c>
      <c r="BX81" s="92">
        <v>1</v>
      </c>
      <c r="BY81" s="30">
        <f t="shared" si="31"/>
        <v>3.0454311448901306E-2</v>
      </c>
      <c r="BZ81" s="30">
        <f t="shared" si="33"/>
        <v>3.0463731795209874E-2</v>
      </c>
      <c r="CA81" s="30">
        <f t="shared" si="34"/>
        <v>1.988069858337372E-3</v>
      </c>
      <c r="CB81" s="30">
        <f t="shared" si="35"/>
        <v>1.996007984031936E-3</v>
      </c>
      <c r="CC81" s="92" t="s">
        <v>73</v>
      </c>
      <c r="CD81">
        <f t="shared" si="39"/>
        <v>502</v>
      </c>
      <c r="CE81" s="92" t="s">
        <v>73</v>
      </c>
      <c r="CF81" s="30">
        <f t="shared" si="32"/>
        <v>3.0454311448901306E-2</v>
      </c>
      <c r="CG81" s="30">
        <f t="shared" si="36"/>
        <v>3.0463731795209874E-2</v>
      </c>
      <c r="CH81" s="30">
        <f t="shared" si="37"/>
        <v>1.988069858337372E-3</v>
      </c>
      <c r="CI81" s="30">
        <f t="shared" si="38"/>
        <v>1.996007984031936E-3</v>
      </c>
    </row>
    <row r="82" spans="1:88">
      <c r="A82" s="92" t="s">
        <v>68</v>
      </c>
      <c r="B82" s="92"/>
      <c r="C82" s="92">
        <v>19</v>
      </c>
      <c r="D82" s="92">
        <v>1129</v>
      </c>
      <c r="E82" s="92">
        <v>128</v>
      </c>
      <c r="F82" s="92" t="s">
        <v>346</v>
      </c>
      <c r="G82" s="92">
        <v>2014</v>
      </c>
      <c r="H82" s="92" t="s">
        <v>347</v>
      </c>
      <c r="I82" s="131" t="s">
        <v>348</v>
      </c>
      <c r="J82" s="92">
        <v>2</v>
      </c>
      <c r="K82" s="92">
        <v>2014</v>
      </c>
      <c r="L82" s="92" t="s">
        <v>73</v>
      </c>
      <c r="M82" s="92">
        <v>133</v>
      </c>
      <c r="N82" s="185" t="s">
        <v>155</v>
      </c>
      <c r="O82" s="92" t="s">
        <v>227</v>
      </c>
      <c r="P82" s="112" t="s">
        <v>349</v>
      </c>
      <c r="Q82" s="92" t="s">
        <v>294</v>
      </c>
      <c r="R82" s="92" t="s">
        <v>311</v>
      </c>
      <c r="S82" t="s">
        <v>312</v>
      </c>
      <c r="T82" s="92">
        <v>1</v>
      </c>
      <c r="U82" s="92" t="s">
        <v>341</v>
      </c>
      <c r="V82" s="92">
        <v>1</v>
      </c>
      <c r="W82" s="92" t="s">
        <v>232</v>
      </c>
      <c r="X82" s="92" t="s">
        <v>232</v>
      </c>
      <c r="Y82" s="92" t="s">
        <v>73</v>
      </c>
      <c r="Z82" s="92">
        <v>0</v>
      </c>
      <c r="AA82" s="92">
        <v>0</v>
      </c>
      <c r="AB82" s="92">
        <v>1</v>
      </c>
      <c r="AC82" s="92">
        <v>0</v>
      </c>
      <c r="AD82" s="92">
        <v>0</v>
      </c>
      <c r="AE82" s="92">
        <v>0</v>
      </c>
      <c r="AF82" s="92">
        <v>0</v>
      </c>
      <c r="AG82" s="92">
        <v>0</v>
      </c>
      <c r="AH82" s="92" t="s">
        <v>350</v>
      </c>
      <c r="AI82" s="92">
        <v>0</v>
      </c>
      <c r="AJ82" s="92">
        <v>0</v>
      </c>
      <c r="AK82" s="92">
        <v>0</v>
      </c>
      <c r="AL82" s="92">
        <v>0</v>
      </c>
      <c r="AM82" s="92">
        <v>0</v>
      </c>
      <c r="AN82" s="92">
        <v>0</v>
      </c>
      <c r="AO82" s="92">
        <v>0</v>
      </c>
      <c r="AP82" s="92">
        <v>0</v>
      </c>
      <c r="AQ82" s="92">
        <v>1</v>
      </c>
      <c r="AR82" s="92" t="s">
        <v>73</v>
      </c>
      <c r="AS82" s="92" t="s">
        <v>234</v>
      </c>
      <c r="AT82" s="92" t="s">
        <v>296</v>
      </c>
      <c r="AU82" s="92" t="s">
        <v>236</v>
      </c>
      <c r="AV82" s="198">
        <v>0.22800000000000001</v>
      </c>
      <c r="AW82" s="157" t="s">
        <v>80</v>
      </c>
      <c r="AX82" s="131">
        <v>0.26900000000000002</v>
      </c>
      <c r="AY82" s="92" t="s">
        <v>73</v>
      </c>
      <c r="AZ82" s="92">
        <v>3</v>
      </c>
      <c r="BA82" s="131">
        <f t="shared" si="41"/>
        <v>0.84758364312267653</v>
      </c>
      <c r="BB82" t="s">
        <v>73</v>
      </c>
      <c r="BC82" s="105">
        <f t="shared" si="42"/>
        <v>0.55675435289294073</v>
      </c>
      <c r="BD82" s="92" t="s">
        <v>73</v>
      </c>
      <c r="BE82" s="92" t="s">
        <v>73</v>
      </c>
      <c r="BF82" s="92" t="s">
        <v>73</v>
      </c>
      <c r="BG82" s="92" t="s">
        <v>73</v>
      </c>
      <c r="BH82" s="92" t="s">
        <v>73</v>
      </c>
      <c r="BI82" s="92" t="s">
        <v>73</v>
      </c>
      <c r="BJ82" s="131">
        <v>504</v>
      </c>
      <c r="BK82" s="92">
        <v>504</v>
      </c>
      <c r="BL82" s="92" t="s">
        <v>73</v>
      </c>
      <c r="BM82" s="92" t="s">
        <v>73</v>
      </c>
      <c r="BN82" s="92" t="s">
        <v>73</v>
      </c>
      <c r="BO82" s="92" t="s">
        <v>73</v>
      </c>
      <c r="BP82" s="92" t="s">
        <v>73</v>
      </c>
      <c r="BQ82" s="92">
        <v>0</v>
      </c>
      <c r="BR82" s="92" t="s">
        <v>73</v>
      </c>
      <c r="BS82" s="92">
        <v>0</v>
      </c>
      <c r="BT82" s="92" t="s">
        <v>73</v>
      </c>
      <c r="BU82" s="92" t="s">
        <v>344</v>
      </c>
      <c r="BV82" s="92">
        <v>0</v>
      </c>
      <c r="BW82" s="92">
        <v>0</v>
      </c>
      <c r="BX82" s="92">
        <v>1</v>
      </c>
      <c r="BY82" s="30">
        <f t="shared" si="31"/>
        <v>3.7727497501766814E-2</v>
      </c>
      <c r="BZ82" s="30">
        <f t="shared" si="33"/>
        <v>3.7745412792349338E-2</v>
      </c>
      <c r="CA82" s="30">
        <f t="shared" si="34"/>
        <v>1.9880675351566339E-3</v>
      </c>
      <c r="CB82" s="30">
        <f t="shared" si="35"/>
        <v>1.996007984031936E-3</v>
      </c>
      <c r="CC82" s="92" t="s">
        <v>73</v>
      </c>
      <c r="CD82">
        <f t="shared" si="39"/>
        <v>502</v>
      </c>
      <c r="CE82" s="92" t="s">
        <v>73</v>
      </c>
      <c r="CF82" s="30">
        <f t="shared" si="32"/>
        <v>3.7727497501766814E-2</v>
      </c>
      <c r="CG82" s="30">
        <f t="shared" si="36"/>
        <v>3.7745412792349338E-2</v>
      </c>
      <c r="CH82" s="30">
        <f t="shared" si="37"/>
        <v>1.9880675351566339E-3</v>
      </c>
      <c r="CI82" s="30">
        <f t="shared" si="38"/>
        <v>1.996007984031936E-3</v>
      </c>
    </row>
    <row r="83" spans="1:88">
      <c r="A83" s="92" t="s">
        <v>68</v>
      </c>
      <c r="B83" s="92"/>
      <c r="C83" s="92">
        <v>19</v>
      </c>
      <c r="D83" s="92">
        <v>1132</v>
      </c>
      <c r="E83" s="92">
        <v>128</v>
      </c>
      <c r="F83" s="92" t="s">
        <v>346</v>
      </c>
      <c r="G83" s="92">
        <v>2014</v>
      </c>
      <c r="H83" s="92" t="s">
        <v>347</v>
      </c>
      <c r="I83" s="131" t="s">
        <v>348</v>
      </c>
      <c r="J83" s="92">
        <v>2</v>
      </c>
      <c r="K83" s="92">
        <v>2014</v>
      </c>
      <c r="L83" s="92" t="s">
        <v>73</v>
      </c>
      <c r="M83" s="92">
        <v>133</v>
      </c>
      <c r="N83" s="185" t="s">
        <v>155</v>
      </c>
      <c r="O83" s="92" t="s">
        <v>227</v>
      </c>
      <c r="P83" s="112" t="s">
        <v>349</v>
      </c>
      <c r="Q83" s="92" t="s">
        <v>294</v>
      </c>
      <c r="R83" s="92" t="s">
        <v>311</v>
      </c>
      <c r="S83" t="s">
        <v>312</v>
      </c>
      <c r="T83" s="92">
        <v>1</v>
      </c>
      <c r="U83" s="92" t="s">
        <v>341</v>
      </c>
      <c r="V83" s="92">
        <v>1</v>
      </c>
      <c r="W83" s="92" t="s">
        <v>232</v>
      </c>
      <c r="X83" s="92" t="s">
        <v>232</v>
      </c>
      <c r="Y83" s="92" t="s">
        <v>73</v>
      </c>
      <c r="Z83" s="92">
        <v>0</v>
      </c>
      <c r="AA83" s="92">
        <v>0</v>
      </c>
      <c r="AB83" s="92">
        <v>1</v>
      </c>
      <c r="AC83" s="92">
        <v>0</v>
      </c>
      <c r="AD83" s="92">
        <v>0</v>
      </c>
      <c r="AE83" s="92">
        <v>0</v>
      </c>
      <c r="AF83" s="92">
        <v>0</v>
      </c>
      <c r="AG83" s="92">
        <v>0</v>
      </c>
      <c r="AH83" s="92" t="s">
        <v>350</v>
      </c>
      <c r="AI83" s="92">
        <v>1</v>
      </c>
      <c r="AJ83" s="92">
        <v>0</v>
      </c>
      <c r="AK83" s="92">
        <v>0</v>
      </c>
      <c r="AL83" s="92">
        <v>0</v>
      </c>
      <c r="AM83" s="92">
        <v>0</v>
      </c>
      <c r="AN83" s="92">
        <v>0</v>
      </c>
      <c r="AO83" s="92">
        <v>0</v>
      </c>
      <c r="AP83" s="92">
        <v>0</v>
      </c>
      <c r="AQ83" s="92">
        <v>0</v>
      </c>
      <c r="AR83" s="92" t="s">
        <v>73</v>
      </c>
      <c r="AS83" s="92" t="s">
        <v>234</v>
      </c>
      <c r="AT83" t="s">
        <v>296</v>
      </c>
      <c r="AU83" s="92" t="s">
        <v>236</v>
      </c>
      <c r="AV83" s="198">
        <v>0.26500000000000001</v>
      </c>
      <c r="AW83" s="157" t="s">
        <v>86</v>
      </c>
      <c r="AX83" s="131">
        <v>0.27300000000000002</v>
      </c>
      <c r="AY83" s="92" t="s">
        <v>73</v>
      </c>
      <c r="AZ83" s="92">
        <v>3</v>
      </c>
      <c r="BA83" s="131">
        <f t="shared" si="41"/>
        <v>0.97069597069597069</v>
      </c>
      <c r="BB83" t="s">
        <v>73</v>
      </c>
      <c r="BC83" s="105">
        <f t="shared" si="42"/>
        <v>0.56586500289548169</v>
      </c>
      <c r="BD83" s="92" t="s">
        <v>73</v>
      </c>
      <c r="BE83" s="92" t="s">
        <v>73</v>
      </c>
      <c r="BF83" s="92" t="s">
        <v>73</v>
      </c>
      <c r="BG83" s="92" t="s">
        <v>73</v>
      </c>
      <c r="BH83" s="92" t="s">
        <v>73</v>
      </c>
      <c r="BI83" s="92" t="s">
        <v>73</v>
      </c>
      <c r="BJ83" s="131">
        <v>504</v>
      </c>
      <c r="BK83" s="92">
        <v>504</v>
      </c>
      <c r="BL83" s="92" t="s">
        <v>73</v>
      </c>
      <c r="BM83" s="92" t="s">
        <v>73</v>
      </c>
      <c r="BN83" s="92" t="s">
        <v>73</v>
      </c>
      <c r="BO83" s="92" t="s">
        <v>73</v>
      </c>
      <c r="BP83" s="92" t="s">
        <v>73</v>
      </c>
      <c r="BQ83" s="92">
        <v>0</v>
      </c>
      <c r="BR83" s="92" t="s">
        <v>73</v>
      </c>
      <c r="BS83" s="92">
        <v>0</v>
      </c>
      <c r="BT83" s="92" t="s">
        <v>73</v>
      </c>
      <c r="BU83" s="92" t="s">
        <v>344</v>
      </c>
      <c r="BV83" s="92">
        <v>0</v>
      </c>
      <c r="BW83" s="92">
        <v>0</v>
      </c>
      <c r="BX83" s="92">
        <v>1</v>
      </c>
      <c r="BY83" s="30">
        <f t="shared" si="31"/>
        <v>4.3197873779519926E-2</v>
      </c>
      <c r="BZ83" s="30">
        <f t="shared" si="33"/>
        <v>4.322477379226973E-2</v>
      </c>
      <c r="CA83" s="30">
        <f t="shared" si="34"/>
        <v>1.9880646305212315E-3</v>
      </c>
      <c r="CB83" s="30">
        <f t="shared" si="35"/>
        <v>1.996007984031936E-3</v>
      </c>
      <c r="CC83" s="92" t="s">
        <v>73</v>
      </c>
      <c r="CD83">
        <f t="shared" si="39"/>
        <v>502</v>
      </c>
      <c r="CE83" s="92" t="s">
        <v>73</v>
      </c>
      <c r="CF83" s="30">
        <f t="shared" si="32"/>
        <v>4.3197873779519926E-2</v>
      </c>
      <c r="CG83" s="30">
        <f t="shared" si="36"/>
        <v>4.322477379226973E-2</v>
      </c>
      <c r="CH83" s="30">
        <f t="shared" si="37"/>
        <v>1.9880646305212315E-3</v>
      </c>
      <c r="CI83" s="30">
        <f t="shared" si="38"/>
        <v>1.996007984031936E-3</v>
      </c>
    </row>
    <row r="84" spans="1:88">
      <c r="A84" s="92" t="s">
        <v>68</v>
      </c>
      <c r="B84" s="92"/>
      <c r="C84" s="92">
        <v>19</v>
      </c>
      <c r="D84" s="92">
        <v>1133</v>
      </c>
      <c r="E84" s="92">
        <v>128</v>
      </c>
      <c r="F84" s="92" t="s">
        <v>346</v>
      </c>
      <c r="G84" s="92">
        <v>2014</v>
      </c>
      <c r="H84" s="92" t="s">
        <v>347</v>
      </c>
      <c r="I84" s="131" t="s">
        <v>348</v>
      </c>
      <c r="J84" s="92">
        <v>2</v>
      </c>
      <c r="K84" s="92">
        <v>2014</v>
      </c>
      <c r="L84" s="92" t="s">
        <v>73</v>
      </c>
      <c r="M84" s="92">
        <v>133</v>
      </c>
      <c r="N84" s="185" t="s">
        <v>155</v>
      </c>
      <c r="O84" s="92" t="s">
        <v>227</v>
      </c>
      <c r="P84" s="112" t="s">
        <v>349</v>
      </c>
      <c r="Q84" s="92" t="s">
        <v>294</v>
      </c>
      <c r="R84" s="92" t="s">
        <v>311</v>
      </c>
      <c r="S84" t="s">
        <v>312</v>
      </c>
      <c r="T84" s="92">
        <v>1</v>
      </c>
      <c r="U84" s="92" t="s">
        <v>341</v>
      </c>
      <c r="V84" s="92">
        <v>1</v>
      </c>
      <c r="W84" s="92" t="s">
        <v>232</v>
      </c>
      <c r="X84" s="92" t="s">
        <v>232</v>
      </c>
      <c r="Y84" s="92" t="s">
        <v>73</v>
      </c>
      <c r="Z84" s="92">
        <v>0</v>
      </c>
      <c r="AA84" s="92">
        <v>0</v>
      </c>
      <c r="AB84" s="92">
        <v>1</v>
      </c>
      <c r="AC84" s="92">
        <v>0</v>
      </c>
      <c r="AD84" s="92">
        <v>0</v>
      </c>
      <c r="AE84" s="92">
        <v>0</v>
      </c>
      <c r="AF84" s="92">
        <v>0</v>
      </c>
      <c r="AG84" s="92">
        <v>0</v>
      </c>
      <c r="AH84" s="92" t="s">
        <v>350</v>
      </c>
      <c r="AI84" s="92">
        <v>1</v>
      </c>
      <c r="AJ84" s="92">
        <v>0</v>
      </c>
      <c r="AK84" s="92">
        <v>0</v>
      </c>
      <c r="AL84" s="92">
        <v>0</v>
      </c>
      <c r="AM84" s="92">
        <v>0</v>
      </c>
      <c r="AN84" s="92">
        <v>0</v>
      </c>
      <c r="AO84" s="92">
        <v>0</v>
      </c>
      <c r="AP84" s="92">
        <v>0</v>
      </c>
      <c r="AQ84" s="92">
        <v>0</v>
      </c>
      <c r="AR84" s="92" t="s">
        <v>73</v>
      </c>
      <c r="AS84" s="92" t="s">
        <v>234</v>
      </c>
      <c r="AT84" t="s">
        <v>296</v>
      </c>
      <c r="AU84" s="92" t="s">
        <v>236</v>
      </c>
      <c r="AV84" s="198">
        <v>0.34599999999999997</v>
      </c>
      <c r="AW84" s="157" t="s">
        <v>80</v>
      </c>
      <c r="AX84" s="131">
        <v>0.26800000000000002</v>
      </c>
      <c r="AY84" s="92" t="s">
        <v>73</v>
      </c>
      <c r="AZ84" s="92">
        <v>3</v>
      </c>
      <c r="BA84" s="131">
        <f t="shared" si="41"/>
        <v>1.2910447761194028</v>
      </c>
      <c r="BB84" t="s">
        <v>73</v>
      </c>
      <c r="BC84" s="105">
        <f t="shared" si="42"/>
        <v>0.58564725444237853</v>
      </c>
      <c r="BD84" s="92" t="s">
        <v>73</v>
      </c>
      <c r="BE84" s="92" t="s">
        <v>73</v>
      </c>
      <c r="BF84" s="92" t="s">
        <v>73</v>
      </c>
      <c r="BG84" s="92" t="s">
        <v>73</v>
      </c>
      <c r="BH84" s="92" t="s">
        <v>73</v>
      </c>
      <c r="BI84" s="92" t="s">
        <v>73</v>
      </c>
      <c r="BJ84" s="131">
        <v>504</v>
      </c>
      <c r="BK84" s="92">
        <v>504</v>
      </c>
      <c r="BL84" s="92" t="s">
        <v>73</v>
      </c>
      <c r="BM84" s="92" t="s">
        <v>73</v>
      </c>
      <c r="BN84" s="92" t="s">
        <v>73</v>
      </c>
      <c r="BO84" s="92" t="s">
        <v>73</v>
      </c>
      <c r="BP84" s="92" t="s">
        <v>73</v>
      </c>
      <c r="BQ84" s="92">
        <v>0</v>
      </c>
      <c r="BR84" s="92" t="s">
        <v>73</v>
      </c>
      <c r="BS84" s="92">
        <v>0</v>
      </c>
      <c r="BT84" s="92" t="s">
        <v>73</v>
      </c>
      <c r="BU84" s="92" t="s">
        <v>332</v>
      </c>
      <c r="BV84" s="92">
        <v>0</v>
      </c>
      <c r="BW84" s="92">
        <v>0</v>
      </c>
      <c r="BX84" s="92">
        <v>1</v>
      </c>
      <c r="BY84" s="30">
        <f t="shared" si="31"/>
        <v>5.7412847349308176E-2</v>
      </c>
      <c r="BZ84" s="30">
        <f t="shared" si="33"/>
        <v>5.7476054483562668E-2</v>
      </c>
      <c r="CA84" s="30">
        <f t="shared" si="34"/>
        <v>1.9880498745698505E-3</v>
      </c>
      <c r="CB84" s="30">
        <f t="shared" si="35"/>
        <v>1.996007984031936E-3</v>
      </c>
      <c r="CC84" s="92" t="s">
        <v>73</v>
      </c>
      <c r="CD84">
        <f t="shared" si="39"/>
        <v>502</v>
      </c>
      <c r="CE84" s="92" t="s">
        <v>73</v>
      </c>
      <c r="CF84" s="30">
        <f t="shared" si="32"/>
        <v>5.7412847349308176E-2</v>
      </c>
      <c r="CG84" s="30">
        <f t="shared" si="36"/>
        <v>5.7476054483562668E-2</v>
      </c>
      <c r="CH84" s="30">
        <f t="shared" si="37"/>
        <v>1.9880498745698505E-3</v>
      </c>
      <c r="CI84" s="30">
        <f t="shared" si="38"/>
        <v>1.996007984031936E-3</v>
      </c>
    </row>
    <row r="85" spans="1:88">
      <c r="A85" s="92" t="s">
        <v>68</v>
      </c>
      <c r="B85" s="92"/>
      <c r="C85" s="92">
        <v>19</v>
      </c>
      <c r="D85" s="92">
        <v>1128</v>
      </c>
      <c r="E85" s="92">
        <v>128</v>
      </c>
      <c r="F85" s="92" t="s">
        <v>346</v>
      </c>
      <c r="G85" s="92">
        <v>2014</v>
      </c>
      <c r="H85" s="92" t="s">
        <v>347</v>
      </c>
      <c r="I85" s="131" t="s">
        <v>348</v>
      </c>
      <c r="J85" s="92">
        <v>2</v>
      </c>
      <c r="K85" s="92">
        <v>2014</v>
      </c>
      <c r="L85" s="92" t="s">
        <v>73</v>
      </c>
      <c r="M85" s="92">
        <v>133</v>
      </c>
      <c r="N85" s="185" t="s">
        <v>155</v>
      </c>
      <c r="O85" s="92" t="s">
        <v>227</v>
      </c>
      <c r="P85" s="112" t="s">
        <v>349</v>
      </c>
      <c r="Q85" s="92" t="s">
        <v>294</v>
      </c>
      <c r="R85" s="92" t="s">
        <v>311</v>
      </c>
      <c r="S85" t="s">
        <v>312</v>
      </c>
      <c r="T85" s="92">
        <v>1</v>
      </c>
      <c r="U85" s="92" t="s">
        <v>341</v>
      </c>
      <c r="V85" s="92">
        <v>1</v>
      </c>
      <c r="W85" s="92" t="s">
        <v>232</v>
      </c>
      <c r="X85" s="92" t="s">
        <v>232</v>
      </c>
      <c r="Y85" s="92" t="s">
        <v>73</v>
      </c>
      <c r="Z85" s="92">
        <v>0</v>
      </c>
      <c r="AA85" s="92">
        <v>0</v>
      </c>
      <c r="AB85" s="92">
        <v>1</v>
      </c>
      <c r="AC85" s="92">
        <v>0</v>
      </c>
      <c r="AD85" s="92">
        <v>0</v>
      </c>
      <c r="AE85" s="92">
        <v>0</v>
      </c>
      <c r="AF85" s="92">
        <v>0</v>
      </c>
      <c r="AG85" s="92">
        <v>0</v>
      </c>
      <c r="AH85" s="92" t="s">
        <v>350</v>
      </c>
      <c r="AI85" s="92">
        <v>0</v>
      </c>
      <c r="AJ85" s="92">
        <v>0</v>
      </c>
      <c r="AK85" s="92">
        <v>0</v>
      </c>
      <c r="AL85" s="92">
        <v>0</v>
      </c>
      <c r="AM85" s="92">
        <v>0</v>
      </c>
      <c r="AN85" s="92">
        <v>0</v>
      </c>
      <c r="AO85" s="92">
        <v>0</v>
      </c>
      <c r="AP85" s="92">
        <v>0</v>
      </c>
      <c r="AQ85" s="92">
        <v>1</v>
      </c>
      <c r="AR85" s="92" t="s">
        <v>73</v>
      </c>
      <c r="AS85" s="92" t="s">
        <v>234</v>
      </c>
      <c r="AT85" s="92" t="s">
        <v>296</v>
      </c>
      <c r="AU85" s="92" t="s">
        <v>236</v>
      </c>
      <c r="AV85" s="198">
        <v>0.47499999999999998</v>
      </c>
      <c r="AW85" s="157" t="s">
        <v>80</v>
      </c>
      <c r="AX85" s="131">
        <v>0.26700000000000002</v>
      </c>
      <c r="AY85" s="92">
        <v>0.1</v>
      </c>
      <c r="AZ85" s="92">
        <v>1</v>
      </c>
      <c r="BA85" s="131">
        <f t="shared" si="41"/>
        <v>1.7790262172284643</v>
      </c>
      <c r="BB85" t="s">
        <v>73</v>
      </c>
      <c r="BC85" s="105">
        <f t="shared" si="42"/>
        <v>0.61656650452131923</v>
      </c>
      <c r="BD85" s="92" t="s">
        <v>73</v>
      </c>
      <c r="BE85" s="92" t="s">
        <v>73</v>
      </c>
      <c r="BF85" s="92" t="s">
        <v>73</v>
      </c>
      <c r="BG85" s="92" t="s">
        <v>73</v>
      </c>
      <c r="BH85" s="92" t="s">
        <v>73</v>
      </c>
      <c r="BI85" s="92" t="s">
        <v>73</v>
      </c>
      <c r="BJ85" s="131">
        <v>504</v>
      </c>
      <c r="BK85" s="92">
        <v>504</v>
      </c>
      <c r="BL85" s="92" t="s">
        <v>73</v>
      </c>
      <c r="BM85" s="92" t="s">
        <v>73</v>
      </c>
      <c r="BN85" s="92" t="s">
        <v>73</v>
      </c>
      <c r="BO85" s="92" t="s">
        <v>73</v>
      </c>
      <c r="BP85" s="92" t="s">
        <v>73</v>
      </c>
      <c r="BQ85" s="92">
        <v>0</v>
      </c>
      <c r="BR85" s="92" t="s">
        <v>73</v>
      </c>
      <c r="BS85" s="92">
        <v>0</v>
      </c>
      <c r="BT85" s="92" t="s">
        <v>73</v>
      </c>
      <c r="BU85" s="92" t="s">
        <v>315</v>
      </c>
      <c r="BV85" s="92">
        <v>0</v>
      </c>
      <c r="BW85" s="92">
        <v>0</v>
      </c>
      <c r="BX85" s="92">
        <v>1</v>
      </c>
      <c r="BY85" s="30">
        <f t="shared" si="31"/>
        <v>7.8996479816553555E-2</v>
      </c>
      <c r="BZ85" s="30">
        <f t="shared" si="33"/>
        <v>7.9161422211521337E-2</v>
      </c>
      <c r="CA85" s="30">
        <f t="shared" si="34"/>
        <v>1.9879935001832043E-3</v>
      </c>
      <c r="CB85" s="30">
        <f t="shared" si="35"/>
        <v>1.996007984031936E-3</v>
      </c>
      <c r="CC85" s="92" t="s">
        <v>73</v>
      </c>
      <c r="CD85">
        <f t="shared" si="39"/>
        <v>502</v>
      </c>
      <c r="CE85" s="92" t="s">
        <v>73</v>
      </c>
      <c r="CF85" s="30">
        <f t="shared" si="32"/>
        <v>7.8996479816553555E-2</v>
      </c>
      <c r="CG85" s="30">
        <f t="shared" si="36"/>
        <v>7.9161422211521337E-2</v>
      </c>
      <c r="CH85" s="30">
        <f t="shared" si="37"/>
        <v>1.9879935001832043E-3</v>
      </c>
      <c r="CI85" s="30">
        <f t="shared" si="38"/>
        <v>1.996007984031936E-3</v>
      </c>
      <c r="CJ85" s="119"/>
    </row>
    <row r="86" spans="1:88">
      <c r="A86" s="11" t="s">
        <v>68</v>
      </c>
      <c r="B86" s="11"/>
      <c r="C86" s="11">
        <v>20</v>
      </c>
      <c r="D86" s="11">
        <v>1048</v>
      </c>
      <c r="E86" s="11">
        <v>108</v>
      </c>
      <c r="F86" t="s">
        <v>271</v>
      </c>
      <c r="G86" s="11">
        <v>2018</v>
      </c>
      <c r="H86" t="s">
        <v>272</v>
      </c>
      <c r="I86" t="s">
        <v>273</v>
      </c>
      <c r="J86" s="18">
        <v>2</v>
      </c>
      <c r="K86">
        <v>2014</v>
      </c>
      <c r="L86" s="10" t="s">
        <v>73</v>
      </c>
      <c r="M86" s="10">
        <v>566</v>
      </c>
      <c r="N86" s="18" t="s">
        <v>274</v>
      </c>
      <c r="O86" t="s">
        <v>242</v>
      </c>
      <c r="P86" t="s">
        <v>275</v>
      </c>
      <c r="Q86" s="18" t="s">
        <v>243</v>
      </c>
      <c r="R86" t="s">
        <v>244</v>
      </c>
      <c r="S86" t="s">
        <v>245</v>
      </c>
      <c r="T86">
        <v>1</v>
      </c>
      <c r="U86" t="s">
        <v>189</v>
      </c>
      <c r="V86">
        <v>0</v>
      </c>
      <c r="W86" s="18" t="s">
        <v>232</v>
      </c>
      <c r="X86" s="18" t="s">
        <v>232</v>
      </c>
      <c r="Y86" s="18" t="s">
        <v>73</v>
      </c>
      <c r="Z86">
        <v>0</v>
      </c>
      <c r="AA86">
        <v>0</v>
      </c>
      <c r="AB86">
        <v>0</v>
      </c>
      <c r="AC86">
        <v>0</v>
      </c>
      <c r="AD86">
        <v>0</v>
      </c>
      <c r="AE86">
        <v>1</v>
      </c>
      <c r="AF86">
        <v>0</v>
      </c>
      <c r="AG86">
        <v>0</v>
      </c>
      <c r="AH86" t="s">
        <v>73</v>
      </c>
      <c r="AI86">
        <v>0</v>
      </c>
      <c r="AJ86">
        <v>0</v>
      </c>
      <c r="AK86">
        <v>0</v>
      </c>
      <c r="AL86">
        <v>0</v>
      </c>
      <c r="AM86">
        <v>0</v>
      </c>
      <c r="AN86">
        <v>0</v>
      </c>
      <c r="AO86">
        <v>1</v>
      </c>
      <c r="AP86">
        <v>0</v>
      </c>
      <c r="AQ86">
        <v>0</v>
      </c>
      <c r="AR86" t="s">
        <v>278</v>
      </c>
      <c r="AS86" s="92" t="s">
        <v>234</v>
      </c>
      <c r="AT86" s="92" t="s">
        <v>277</v>
      </c>
      <c r="AU86" s="11" t="s">
        <v>236</v>
      </c>
      <c r="AV86" s="134">
        <v>0.57299999999999995</v>
      </c>
      <c r="AW86" s="7" t="s">
        <v>86</v>
      </c>
      <c r="AX86">
        <v>0.29399999999999998</v>
      </c>
      <c r="AY86">
        <v>0.1</v>
      </c>
      <c r="AZ86">
        <v>1</v>
      </c>
      <c r="BA86">
        <f t="shared" si="41"/>
        <v>1.9489795918367347</v>
      </c>
      <c r="BB86" t="s">
        <v>73</v>
      </c>
      <c r="BC86" s="105">
        <f t="shared" si="42"/>
        <v>0.63945512092377221</v>
      </c>
      <c r="BD86" t="s">
        <v>73</v>
      </c>
      <c r="BE86" t="s">
        <v>73</v>
      </c>
      <c r="BF86" t="s">
        <v>73</v>
      </c>
      <c r="BG86" t="s">
        <v>73</v>
      </c>
      <c r="BH86" s="18">
        <v>36</v>
      </c>
      <c r="BI86" t="s">
        <v>73</v>
      </c>
      <c r="BJ86" s="10">
        <v>3404</v>
      </c>
      <c r="BK86" s="10">
        <v>3404</v>
      </c>
      <c r="BL86" t="s">
        <v>73</v>
      </c>
      <c r="BM86" t="s">
        <v>73</v>
      </c>
      <c r="BN86" t="s">
        <v>73</v>
      </c>
      <c r="BO86">
        <v>0.13</v>
      </c>
      <c r="BP86" t="s">
        <v>73</v>
      </c>
      <c r="BQ86" t="s">
        <v>73</v>
      </c>
      <c r="BR86" t="s">
        <v>73</v>
      </c>
      <c r="BS86" t="s">
        <v>73</v>
      </c>
      <c r="BT86" t="s">
        <v>73</v>
      </c>
      <c r="BU86" t="s">
        <v>73</v>
      </c>
      <c r="BV86" s="18">
        <v>1</v>
      </c>
      <c r="BW86" s="18">
        <v>1</v>
      </c>
      <c r="BX86" s="18">
        <v>1</v>
      </c>
      <c r="BY86" s="30">
        <f t="shared" si="31"/>
        <v>3.3386457206729767E-2</v>
      </c>
      <c r="BZ86" s="30">
        <f t="shared" si="33"/>
        <v>3.339887030924775E-2</v>
      </c>
      <c r="CA86" s="30">
        <f t="shared" si="34"/>
        <v>2.9385799462070103E-4</v>
      </c>
      <c r="CB86" s="30">
        <f t="shared" si="35"/>
        <v>2.9403116730373417E-4</v>
      </c>
      <c r="CC86" s="92" t="s">
        <v>73</v>
      </c>
      <c r="CD86">
        <f t="shared" si="39"/>
        <v>3402</v>
      </c>
      <c r="CE86" s="92" t="s">
        <v>73</v>
      </c>
      <c r="CF86" s="30">
        <f t="shared" si="32"/>
        <v>3.3386457206729767E-2</v>
      </c>
      <c r="CG86" s="30">
        <f t="shared" si="36"/>
        <v>3.339887030924775E-2</v>
      </c>
      <c r="CH86" s="30">
        <f t="shared" si="37"/>
        <v>2.9385799462070103E-4</v>
      </c>
      <c r="CI86" s="30">
        <f t="shared" si="38"/>
        <v>2.9403116730373417E-4</v>
      </c>
    </row>
    <row r="87" spans="1:88">
      <c r="A87" s="11" t="s">
        <v>68</v>
      </c>
      <c r="B87" s="11"/>
      <c r="C87" s="11">
        <v>20</v>
      </c>
      <c r="D87" s="11">
        <v>1049</v>
      </c>
      <c r="E87" s="11">
        <v>108</v>
      </c>
      <c r="F87" t="s">
        <v>271</v>
      </c>
      <c r="G87" s="11">
        <v>2018</v>
      </c>
      <c r="H87" t="s">
        <v>272</v>
      </c>
      <c r="I87" t="s">
        <v>273</v>
      </c>
      <c r="J87" s="18">
        <v>2</v>
      </c>
      <c r="K87">
        <v>2014</v>
      </c>
      <c r="L87" s="10" t="s">
        <v>73</v>
      </c>
      <c r="M87" s="10">
        <v>566</v>
      </c>
      <c r="N87" s="18" t="s">
        <v>274</v>
      </c>
      <c r="O87" t="s">
        <v>242</v>
      </c>
      <c r="P87" t="s">
        <v>275</v>
      </c>
      <c r="Q87" s="18" t="s">
        <v>243</v>
      </c>
      <c r="R87" t="s">
        <v>244</v>
      </c>
      <c r="S87" t="s">
        <v>245</v>
      </c>
      <c r="T87">
        <v>1</v>
      </c>
      <c r="U87" t="s">
        <v>189</v>
      </c>
      <c r="V87">
        <v>0</v>
      </c>
      <c r="W87" s="18" t="s">
        <v>232</v>
      </c>
      <c r="X87" s="18" t="s">
        <v>232</v>
      </c>
      <c r="Y87" s="18" t="s">
        <v>73</v>
      </c>
      <c r="Z87">
        <v>0</v>
      </c>
      <c r="AA87">
        <v>0</v>
      </c>
      <c r="AB87">
        <v>0</v>
      </c>
      <c r="AC87">
        <v>0</v>
      </c>
      <c r="AD87">
        <v>0</v>
      </c>
      <c r="AE87">
        <v>1</v>
      </c>
      <c r="AF87">
        <v>0</v>
      </c>
      <c r="AG87">
        <v>0</v>
      </c>
      <c r="AH87" t="s">
        <v>73</v>
      </c>
      <c r="AI87">
        <v>0</v>
      </c>
      <c r="AJ87">
        <v>0</v>
      </c>
      <c r="AK87">
        <v>0</v>
      </c>
      <c r="AL87">
        <v>0</v>
      </c>
      <c r="AM87">
        <v>0</v>
      </c>
      <c r="AN87">
        <v>0</v>
      </c>
      <c r="AO87">
        <v>1</v>
      </c>
      <c r="AP87">
        <v>0</v>
      </c>
      <c r="AQ87">
        <v>0</v>
      </c>
      <c r="AR87" t="s">
        <v>278</v>
      </c>
      <c r="AS87" s="92" t="s">
        <v>234</v>
      </c>
      <c r="AT87" s="92" t="s">
        <v>277</v>
      </c>
      <c r="AU87" s="11" t="s">
        <v>236</v>
      </c>
      <c r="AV87" s="134">
        <v>1.0780000000000001</v>
      </c>
      <c r="AW87" s="7" t="s">
        <v>80</v>
      </c>
      <c r="AX87">
        <v>0.55600000000000005</v>
      </c>
      <c r="AY87">
        <v>0.1</v>
      </c>
      <c r="AZ87">
        <v>1</v>
      </c>
      <c r="BA87">
        <f t="shared" si="41"/>
        <v>1.9388489208633093</v>
      </c>
      <c r="BB87" t="s">
        <v>73</v>
      </c>
      <c r="BC87" s="105">
        <f t="shared" si="42"/>
        <v>0.7461153153527682</v>
      </c>
      <c r="BD87" t="s">
        <v>73</v>
      </c>
      <c r="BE87" t="s">
        <v>73</v>
      </c>
      <c r="BF87" t="s">
        <v>73</v>
      </c>
      <c r="BG87" t="s">
        <v>73</v>
      </c>
      <c r="BH87" t="s">
        <v>73</v>
      </c>
      <c r="BI87" t="s">
        <v>73</v>
      </c>
      <c r="BJ87" s="10">
        <v>3404</v>
      </c>
      <c r="BK87" s="10">
        <v>3404</v>
      </c>
      <c r="BL87" t="s">
        <v>73</v>
      </c>
      <c r="BM87" t="s">
        <v>73</v>
      </c>
      <c r="BN87" t="s">
        <v>73</v>
      </c>
      <c r="BO87">
        <v>0.13</v>
      </c>
      <c r="BP87" t="s">
        <v>73</v>
      </c>
      <c r="BQ87" t="s">
        <v>73</v>
      </c>
      <c r="BR87" t="s">
        <v>73</v>
      </c>
      <c r="BS87" t="s">
        <v>73</v>
      </c>
      <c r="BT87" t="s">
        <v>73</v>
      </c>
      <c r="BU87" t="s">
        <v>73</v>
      </c>
      <c r="BV87" s="18">
        <v>1</v>
      </c>
      <c r="BW87" s="18">
        <v>1</v>
      </c>
      <c r="BX87" s="18">
        <v>1</v>
      </c>
      <c r="BY87" s="30">
        <f t="shared" si="31"/>
        <v>3.3213108476623197E-2</v>
      </c>
      <c r="BZ87" s="30">
        <f t="shared" si="33"/>
        <v>3.3225329143150836E-2</v>
      </c>
      <c r="CA87" s="30">
        <f t="shared" si="34"/>
        <v>2.9385800216136389E-4</v>
      </c>
      <c r="CB87" s="30">
        <f t="shared" si="35"/>
        <v>2.9403116730373417E-4</v>
      </c>
      <c r="CC87" s="92" t="s">
        <v>73</v>
      </c>
      <c r="CD87">
        <f t="shared" si="39"/>
        <v>3402</v>
      </c>
      <c r="CE87" s="92" t="s">
        <v>73</v>
      </c>
      <c r="CF87" s="30">
        <f t="shared" si="32"/>
        <v>3.3213108476623197E-2</v>
      </c>
      <c r="CG87" s="30">
        <f t="shared" si="36"/>
        <v>3.3225329143150836E-2</v>
      </c>
      <c r="CH87" s="30">
        <f t="shared" si="37"/>
        <v>2.9385800216136389E-4</v>
      </c>
      <c r="CI87" s="30">
        <f t="shared" si="38"/>
        <v>2.9403116730373417E-4</v>
      </c>
    </row>
    <row r="88" spans="1:88">
      <c r="A88" s="11" t="s">
        <v>68</v>
      </c>
      <c r="B88" s="11"/>
      <c r="C88" s="11">
        <v>20</v>
      </c>
      <c r="D88" s="11">
        <v>1047</v>
      </c>
      <c r="E88" s="11">
        <v>108</v>
      </c>
      <c r="F88" t="s">
        <v>271</v>
      </c>
      <c r="G88" s="11">
        <v>2018</v>
      </c>
      <c r="H88" t="s">
        <v>272</v>
      </c>
      <c r="I88" t="s">
        <v>273</v>
      </c>
      <c r="J88" s="18">
        <v>2</v>
      </c>
      <c r="K88">
        <v>2014</v>
      </c>
      <c r="L88" s="10" t="s">
        <v>73</v>
      </c>
      <c r="M88" s="10">
        <v>566</v>
      </c>
      <c r="N88" s="18" t="s">
        <v>274</v>
      </c>
      <c r="O88" t="s">
        <v>242</v>
      </c>
      <c r="P88" t="s">
        <v>275</v>
      </c>
      <c r="Q88" s="18" t="s">
        <v>243</v>
      </c>
      <c r="R88" t="s">
        <v>244</v>
      </c>
      <c r="S88" t="s">
        <v>245</v>
      </c>
      <c r="T88">
        <v>1</v>
      </c>
      <c r="U88" t="s">
        <v>189</v>
      </c>
      <c r="V88">
        <v>0</v>
      </c>
      <c r="W88" s="18" t="s">
        <v>232</v>
      </c>
      <c r="X88" s="18" t="s">
        <v>232</v>
      </c>
      <c r="Y88" s="18" t="s">
        <v>73</v>
      </c>
      <c r="Z88">
        <v>0</v>
      </c>
      <c r="AA88">
        <v>0</v>
      </c>
      <c r="AB88">
        <v>0</v>
      </c>
      <c r="AC88">
        <v>0</v>
      </c>
      <c r="AD88">
        <v>0</v>
      </c>
      <c r="AE88">
        <v>1</v>
      </c>
      <c r="AF88">
        <v>0</v>
      </c>
      <c r="AG88">
        <v>0</v>
      </c>
      <c r="AH88" t="s">
        <v>73</v>
      </c>
      <c r="AI88">
        <v>0</v>
      </c>
      <c r="AJ88">
        <v>0</v>
      </c>
      <c r="AK88">
        <v>0</v>
      </c>
      <c r="AL88">
        <v>0</v>
      </c>
      <c r="AM88">
        <v>0</v>
      </c>
      <c r="AN88">
        <v>0</v>
      </c>
      <c r="AO88">
        <v>1</v>
      </c>
      <c r="AP88">
        <v>0</v>
      </c>
      <c r="AQ88">
        <v>0</v>
      </c>
      <c r="AR88" t="s">
        <v>276</v>
      </c>
      <c r="AS88" s="92" t="s">
        <v>234</v>
      </c>
      <c r="AT88" s="92" t="s">
        <v>277</v>
      </c>
      <c r="AU88" s="11" t="s">
        <v>236</v>
      </c>
      <c r="AV88" s="201">
        <v>1.651</v>
      </c>
      <c r="AW88" s="7" t="s">
        <v>86</v>
      </c>
      <c r="AX88">
        <v>0.58599999999999997</v>
      </c>
      <c r="AY88">
        <v>0.01</v>
      </c>
      <c r="AZ88">
        <v>1</v>
      </c>
      <c r="BA88">
        <f t="shared" si="41"/>
        <v>2.81740614334471</v>
      </c>
      <c r="BB88" t="s">
        <v>73</v>
      </c>
      <c r="BC88" s="105">
        <f t="shared" si="42"/>
        <v>0.83902615748152587</v>
      </c>
      <c r="BD88" t="s">
        <v>73</v>
      </c>
      <c r="BE88" t="s">
        <v>73</v>
      </c>
      <c r="BF88" t="s">
        <v>73</v>
      </c>
      <c r="BG88" t="s">
        <v>73</v>
      </c>
      <c r="BH88" s="18">
        <v>36</v>
      </c>
      <c r="BI88" t="s">
        <v>73</v>
      </c>
      <c r="BJ88" s="10">
        <v>3404</v>
      </c>
      <c r="BK88" s="10">
        <v>3404</v>
      </c>
      <c r="BL88" t="s">
        <v>73</v>
      </c>
      <c r="BM88" t="s">
        <v>73</v>
      </c>
      <c r="BN88" t="s">
        <v>73</v>
      </c>
      <c r="BO88">
        <v>0.13</v>
      </c>
      <c r="BP88" t="s">
        <v>73</v>
      </c>
      <c r="BQ88" t="s">
        <v>73</v>
      </c>
      <c r="BR88" t="s">
        <v>73</v>
      </c>
      <c r="BS88" t="s">
        <v>73</v>
      </c>
      <c r="BT88" t="s">
        <v>73</v>
      </c>
      <c r="BU88" t="s">
        <v>73</v>
      </c>
      <c r="BV88" s="18">
        <v>1</v>
      </c>
      <c r="BW88" s="18">
        <v>1</v>
      </c>
      <c r="BX88" s="18">
        <v>1</v>
      </c>
      <c r="BY88" s="30">
        <f t="shared" si="31"/>
        <v>4.823351432140318E-2</v>
      </c>
      <c r="BZ88" s="30">
        <f t="shared" si="33"/>
        <v>4.8270971259459908E-2</v>
      </c>
      <c r="CA88" s="30">
        <f t="shared" si="34"/>
        <v>2.9385676482401629E-4</v>
      </c>
      <c r="CB88" s="30">
        <f t="shared" si="35"/>
        <v>2.9403116730373417E-4</v>
      </c>
      <c r="CC88" s="92" t="s">
        <v>73</v>
      </c>
      <c r="CD88">
        <f t="shared" si="39"/>
        <v>3402</v>
      </c>
      <c r="CE88" s="92" t="s">
        <v>73</v>
      </c>
      <c r="CF88" s="30">
        <f t="shared" si="32"/>
        <v>4.823351432140318E-2</v>
      </c>
      <c r="CG88" s="30">
        <f t="shared" si="36"/>
        <v>4.8270971259459908E-2</v>
      </c>
      <c r="CH88" s="30">
        <f t="shared" si="37"/>
        <v>2.9385676482401629E-4</v>
      </c>
      <c r="CI88" s="30">
        <f t="shared" si="38"/>
        <v>2.9403116730373417E-4</v>
      </c>
    </row>
    <row r="89" spans="1:88">
      <c r="A89" s="11" t="s">
        <v>68</v>
      </c>
      <c r="B89" s="11"/>
      <c r="C89" s="11">
        <v>20</v>
      </c>
      <c r="D89" s="11">
        <v>1051</v>
      </c>
      <c r="E89" s="11">
        <v>108</v>
      </c>
      <c r="F89" t="s">
        <v>271</v>
      </c>
      <c r="G89" s="11">
        <v>2018</v>
      </c>
      <c r="H89" t="s">
        <v>272</v>
      </c>
      <c r="I89" t="s">
        <v>273</v>
      </c>
      <c r="J89" s="18">
        <v>2</v>
      </c>
      <c r="K89">
        <v>2014</v>
      </c>
      <c r="L89" s="10" t="s">
        <v>73</v>
      </c>
      <c r="M89" s="10">
        <v>567</v>
      </c>
      <c r="N89" s="18" t="s">
        <v>270</v>
      </c>
      <c r="O89" t="s">
        <v>242</v>
      </c>
      <c r="P89" t="s">
        <v>275</v>
      </c>
      <c r="Q89" s="18" t="s">
        <v>243</v>
      </c>
      <c r="R89" t="s">
        <v>244</v>
      </c>
      <c r="S89" t="s">
        <v>245</v>
      </c>
      <c r="T89">
        <v>1</v>
      </c>
      <c r="U89" t="s">
        <v>189</v>
      </c>
      <c r="V89">
        <v>0</v>
      </c>
      <c r="W89" s="18" t="s">
        <v>232</v>
      </c>
      <c r="X89" s="18" t="s">
        <v>232</v>
      </c>
      <c r="Y89" s="18" t="s">
        <v>73</v>
      </c>
      <c r="Z89">
        <v>0</v>
      </c>
      <c r="AA89">
        <v>0</v>
      </c>
      <c r="AB89">
        <v>0</v>
      </c>
      <c r="AC89">
        <v>0</v>
      </c>
      <c r="AD89">
        <v>0</v>
      </c>
      <c r="AE89">
        <v>1</v>
      </c>
      <c r="AF89">
        <v>0</v>
      </c>
      <c r="AG89">
        <v>0</v>
      </c>
      <c r="AH89" t="s">
        <v>73</v>
      </c>
      <c r="AI89">
        <v>0</v>
      </c>
      <c r="AJ89">
        <v>0</v>
      </c>
      <c r="AK89">
        <v>0</v>
      </c>
      <c r="AL89">
        <v>0</v>
      </c>
      <c r="AM89">
        <v>0</v>
      </c>
      <c r="AN89">
        <v>0</v>
      </c>
      <c r="AO89">
        <v>1</v>
      </c>
      <c r="AP89">
        <v>0</v>
      </c>
      <c r="AQ89">
        <v>0</v>
      </c>
      <c r="AR89" t="s">
        <v>278</v>
      </c>
      <c r="AS89" s="92" t="s">
        <v>234</v>
      </c>
      <c r="AT89" s="92" t="s">
        <v>277</v>
      </c>
      <c r="AU89" s="11" t="s">
        <v>236</v>
      </c>
      <c r="AV89" s="134">
        <v>0.77300000000000002</v>
      </c>
      <c r="AW89" s="7" t="s">
        <v>86</v>
      </c>
      <c r="AX89">
        <v>0.65300000000000002</v>
      </c>
      <c r="AY89">
        <v>0.1</v>
      </c>
      <c r="AZ89">
        <v>2</v>
      </c>
      <c r="BA89">
        <f t="shared" si="41"/>
        <v>1.1837672281776417</v>
      </c>
      <c r="BB89" t="s">
        <v>73</v>
      </c>
      <c r="BC89" s="105">
        <f t="shared" si="42"/>
        <v>0.68416949639812985</v>
      </c>
      <c r="BD89" t="s">
        <v>73</v>
      </c>
      <c r="BE89" t="s">
        <v>73</v>
      </c>
      <c r="BF89" t="s">
        <v>73</v>
      </c>
      <c r="BG89" t="s">
        <v>73</v>
      </c>
      <c r="BH89" t="s">
        <v>73</v>
      </c>
      <c r="BI89" t="s">
        <v>73</v>
      </c>
      <c r="BJ89" s="10">
        <v>3404</v>
      </c>
      <c r="BK89" s="10">
        <v>3404</v>
      </c>
      <c r="BL89" t="s">
        <v>73</v>
      </c>
      <c r="BM89" t="s">
        <v>73</v>
      </c>
      <c r="BN89" t="s">
        <v>73</v>
      </c>
      <c r="BO89">
        <v>0.13</v>
      </c>
      <c r="BP89" t="s">
        <v>73</v>
      </c>
      <c r="BQ89" t="s">
        <v>73</v>
      </c>
      <c r="BR89" t="s">
        <v>73</v>
      </c>
      <c r="BS89" t="s">
        <v>73</v>
      </c>
      <c r="BT89" t="s">
        <v>73</v>
      </c>
      <c r="BU89" t="s">
        <v>73</v>
      </c>
      <c r="BV89" s="18">
        <v>1</v>
      </c>
      <c r="BW89" s="18">
        <v>1</v>
      </c>
      <c r="BX89" s="18">
        <v>1</v>
      </c>
      <c r="BY89" s="30">
        <f t="shared" si="31"/>
        <v>2.0285334036980945E-2</v>
      </c>
      <c r="BZ89" s="30">
        <f t="shared" si="33"/>
        <v>2.0288117160492912E-2</v>
      </c>
      <c r="CA89" s="30">
        <f t="shared" si="34"/>
        <v>2.9385831048460269E-4</v>
      </c>
      <c r="CB89" s="30">
        <f t="shared" si="35"/>
        <v>2.9403116730373417E-4</v>
      </c>
      <c r="CC89" s="92" t="s">
        <v>73</v>
      </c>
      <c r="CD89">
        <f t="shared" si="39"/>
        <v>3402</v>
      </c>
      <c r="CE89" s="92" t="s">
        <v>73</v>
      </c>
      <c r="CF89" s="30">
        <f t="shared" si="32"/>
        <v>2.0285334036980945E-2</v>
      </c>
      <c r="CG89" s="30">
        <f t="shared" si="36"/>
        <v>2.0288117160492912E-2</v>
      </c>
      <c r="CH89" s="30">
        <f t="shared" si="37"/>
        <v>2.9385831048460269E-4</v>
      </c>
      <c r="CI89" s="30">
        <f t="shared" si="38"/>
        <v>2.9403116730373417E-4</v>
      </c>
    </row>
    <row r="90" spans="1:88">
      <c r="A90" s="11" t="s">
        <v>68</v>
      </c>
      <c r="B90" s="11"/>
      <c r="C90" s="11">
        <v>20</v>
      </c>
      <c r="D90" s="11">
        <v>1052</v>
      </c>
      <c r="E90" s="11">
        <v>108</v>
      </c>
      <c r="F90" t="s">
        <v>271</v>
      </c>
      <c r="G90" s="11">
        <v>2018</v>
      </c>
      <c r="H90" t="s">
        <v>272</v>
      </c>
      <c r="I90" t="s">
        <v>273</v>
      </c>
      <c r="J90" s="18">
        <v>2</v>
      </c>
      <c r="K90">
        <v>2014</v>
      </c>
      <c r="L90" s="10" t="s">
        <v>73</v>
      </c>
      <c r="M90" s="10">
        <v>567</v>
      </c>
      <c r="N90" s="18" t="s">
        <v>270</v>
      </c>
      <c r="O90" t="s">
        <v>242</v>
      </c>
      <c r="P90" t="s">
        <v>275</v>
      </c>
      <c r="Q90" s="18" t="s">
        <v>243</v>
      </c>
      <c r="R90" t="s">
        <v>244</v>
      </c>
      <c r="S90" t="s">
        <v>245</v>
      </c>
      <c r="T90">
        <v>1</v>
      </c>
      <c r="U90" t="s">
        <v>189</v>
      </c>
      <c r="V90">
        <v>0</v>
      </c>
      <c r="W90" s="18" t="s">
        <v>232</v>
      </c>
      <c r="X90" s="18" t="s">
        <v>232</v>
      </c>
      <c r="Y90" s="18" t="s">
        <v>73</v>
      </c>
      <c r="Z90">
        <v>0</v>
      </c>
      <c r="AA90">
        <v>0</v>
      </c>
      <c r="AB90">
        <v>0</v>
      </c>
      <c r="AC90">
        <v>0</v>
      </c>
      <c r="AD90">
        <v>0</v>
      </c>
      <c r="AE90">
        <v>1</v>
      </c>
      <c r="AF90">
        <v>0</v>
      </c>
      <c r="AG90">
        <v>0</v>
      </c>
      <c r="AH90" t="s">
        <v>73</v>
      </c>
      <c r="AI90">
        <v>0</v>
      </c>
      <c r="AJ90">
        <v>0</v>
      </c>
      <c r="AK90">
        <v>0</v>
      </c>
      <c r="AL90">
        <v>0</v>
      </c>
      <c r="AM90">
        <v>0</v>
      </c>
      <c r="AN90">
        <v>0</v>
      </c>
      <c r="AO90">
        <v>1</v>
      </c>
      <c r="AP90">
        <v>0</v>
      </c>
      <c r="AQ90">
        <v>0</v>
      </c>
      <c r="AR90" t="s">
        <v>279</v>
      </c>
      <c r="AS90" s="92" t="s">
        <v>234</v>
      </c>
      <c r="AT90" s="92" t="s">
        <v>277</v>
      </c>
      <c r="AU90" s="11" t="s">
        <v>236</v>
      </c>
      <c r="AV90" s="201">
        <v>1.107</v>
      </c>
      <c r="AW90" s="7" t="s">
        <v>80</v>
      </c>
      <c r="AX90">
        <v>0.83799999999999997</v>
      </c>
      <c r="AY90">
        <v>0.1</v>
      </c>
      <c r="AZ90">
        <v>2</v>
      </c>
      <c r="BA90">
        <f t="shared" si="41"/>
        <v>1.3210023866348448</v>
      </c>
      <c r="BB90" t="s">
        <v>73</v>
      </c>
      <c r="BC90" s="105">
        <f t="shared" si="42"/>
        <v>0.75156939576401494</v>
      </c>
      <c r="BD90" t="s">
        <v>73</v>
      </c>
      <c r="BE90" t="s">
        <v>73</v>
      </c>
      <c r="BF90" t="s">
        <v>73</v>
      </c>
      <c r="BG90" t="s">
        <v>73</v>
      </c>
      <c r="BH90" t="s">
        <v>73</v>
      </c>
      <c r="BI90" t="s">
        <v>73</v>
      </c>
      <c r="BJ90" s="10">
        <v>3404</v>
      </c>
      <c r="BK90" s="10">
        <v>3404</v>
      </c>
      <c r="BL90" t="s">
        <v>73</v>
      </c>
      <c r="BM90" t="s">
        <v>73</v>
      </c>
      <c r="BN90" t="s">
        <v>73</v>
      </c>
      <c r="BO90">
        <v>0.13</v>
      </c>
      <c r="BP90" t="s">
        <v>73</v>
      </c>
      <c r="BQ90" t="s">
        <v>73</v>
      </c>
      <c r="BR90" t="s">
        <v>73</v>
      </c>
      <c r="BS90" t="s">
        <v>73</v>
      </c>
      <c r="BT90" t="s">
        <v>73</v>
      </c>
      <c r="BU90" t="s">
        <v>73</v>
      </c>
      <c r="BV90" s="18">
        <v>1</v>
      </c>
      <c r="BW90" s="18">
        <v>1</v>
      </c>
      <c r="BX90" s="18">
        <v>1</v>
      </c>
      <c r="BY90" s="30">
        <f t="shared" si="31"/>
        <v>2.263588794559478E-2</v>
      </c>
      <c r="BZ90" s="30">
        <f t="shared" si="33"/>
        <v>2.2639755219163907E-2</v>
      </c>
      <c r="CA90" s="30">
        <f t="shared" si="34"/>
        <v>2.9385828306898831E-4</v>
      </c>
      <c r="CB90" s="30">
        <f t="shared" si="35"/>
        <v>2.9403116730373417E-4</v>
      </c>
      <c r="CC90" s="92" t="s">
        <v>73</v>
      </c>
      <c r="CD90">
        <f t="shared" si="39"/>
        <v>3402</v>
      </c>
      <c r="CE90" s="92" t="s">
        <v>73</v>
      </c>
      <c r="CF90" s="30">
        <f t="shared" si="32"/>
        <v>2.263588794559478E-2</v>
      </c>
      <c r="CG90" s="30">
        <f t="shared" si="36"/>
        <v>2.2639755219163907E-2</v>
      </c>
      <c r="CH90" s="30">
        <f t="shared" si="37"/>
        <v>2.9385828306898831E-4</v>
      </c>
      <c r="CI90" s="30">
        <f t="shared" si="38"/>
        <v>2.9403116730373417E-4</v>
      </c>
    </row>
    <row r="91" spans="1:88" s="92" customFormat="1">
      <c r="A91" s="11" t="s">
        <v>68</v>
      </c>
      <c r="B91" s="11"/>
      <c r="C91" s="11">
        <v>20</v>
      </c>
      <c r="D91" s="11">
        <v>1050</v>
      </c>
      <c r="E91" s="11">
        <v>108</v>
      </c>
      <c r="F91" t="s">
        <v>271</v>
      </c>
      <c r="G91" s="11">
        <v>2018</v>
      </c>
      <c r="H91" t="s">
        <v>272</v>
      </c>
      <c r="I91" t="s">
        <v>273</v>
      </c>
      <c r="J91" s="18">
        <v>2</v>
      </c>
      <c r="K91">
        <v>2014</v>
      </c>
      <c r="L91" s="10" t="s">
        <v>73</v>
      </c>
      <c r="M91" s="10">
        <v>567</v>
      </c>
      <c r="N91" s="18" t="s">
        <v>270</v>
      </c>
      <c r="O91" t="s">
        <v>242</v>
      </c>
      <c r="P91" t="s">
        <v>275</v>
      </c>
      <c r="Q91" s="18" t="s">
        <v>243</v>
      </c>
      <c r="R91" t="s">
        <v>244</v>
      </c>
      <c r="S91" t="s">
        <v>245</v>
      </c>
      <c r="T91">
        <v>1</v>
      </c>
      <c r="U91" t="s">
        <v>189</v>
      </c>
      <c r="V91">
        <v>0</v>
      </c>
      <c r="W91" s="18" t="s">
        <v>232</v>
      </c>
      <c r="X91" s="18" t="s">
        <v>232</v>
      </c>
      <c r="Y91" s="18" t="s">
        <v>73</v>
      </c>
      <c r="Z91">
        <v>0</v>
      </c>
      <c r="AA91">
        <v>0</v>
      </c>
      <c r="AB91">
        <v>0</v>
      </c>
      <c r="AC91">
        <v>0</v>
      </c>
      <c r="AD91">
        <v>0</v>
      </c>
      <c r="AE91">
        <v>1</v>
      </c>
      <c r="AF91">
        <v>0</v>
      </c>
      <c r="AG91">
        <v>0</v>
      </c>
      <c r="AH91" t="s">
        <v>73</v>
      </c>
      <c r="AI91">
        <v>0</v>
      </c>
      <c r="AJ91">
        <v>0</v>
      </c>
      <c r="AK91">
        <v>0</v>
      </c>
      <c r="AL91">
        <v>0</v>
      </c>
      <c r="AM91">
        <v>0</v>
      </c>
      <c r="AN91">
        <v>0</v>
      </c>
      <c r="AO91">
        <v>1</v>
      </c>
      <c r="AP91">
        <v>0</v>
      </c>
      <c r="AQ91">
        <v>0</v>
      </c>
      <c r="AR91" t="s">
        <v>276</v>
      </c>
      <c r="AS91" s="92" t="s">
        <v>234</v>
      </c>
      <c r="AT91" s="92" t="s">
        <v>277</v>
      </c>
      <c r="AU91" s="11" t="s">
        <v>236</v>
      </c>
      <c r="AV91" s="201">
        <v>1.881</v>
      </c>
      <c r="AW91" s="7" t="s">
        <v>86</v>
      </c>
      <c r="AX91">
        <v>1.145</v>
      </c>
      <c r="AY91">
        <v>0.1</v>
      </c>
      <c r="AZ91">
        <v>2</v>
      </c>
      <c r="BA91">
        <f t="shared" si="41"/>
        <v>1.6427947598253274</v>
      </c>
      <c r="BB91" t="s">
        <v>73</v>
      </c>
      <c r="BC91" s="105">
        <f t="shared" si="42"/>
        <v>0.86772594629901956</v>
      </c>
      <c r="BD91" t="s">
        <v>73</v>
      </c>
      <c r="BE91" t="s">
        <v>73</v>
      </c>
      <c r="BF91" t="s">
        <v>73</v>
      </c>
      <c r="BG91" t="s">
        <v>73</v>
      </c>
      <c r="BH91" t="s">
        <v>73</v>
      </c>
      <c r="BI91" t="s">
        <v>73</v>
      </c>
      <c r="BJ91" s="10">
        <v>3404</v>
      </c>
      <c r="BK91" s="10">
        <v>3404</v>
      </c>
      <c r="BL91" t="s">
        <v>73</v>
      </c>
      <c r="BM91" t="s">
        <v>73</v>
      </c>
      <c r="BN91" t="s">
        <v>73</v>
      </c>
      <c r="BO91">
        <v>0.13</v>
      </c>
      <c r="BP91" t="s">
        <v>73</v>
      </c>
      <c r="BQ91" t="s">
        <v>73</v>
      </c>
      <c r="BR91" t="s">
        <v>73</v>
      </c>
      <c r="BS91" t="s">
        <v>73</v>
      </c>
      <c r="BT91" t="s">
        <v>73</v>
      </c>
      <c r="BU91" t="s">
        <v>73</v>
      </c>
      <c r="BV91" s="18">
        <v>1</v>
      </c>
      <c r="BW91" s="18">
        <v>1</v>
      </c>
      <c r="BX91" s="18">
        <v>1</v>
      </c>
      <c r="BY91" s="30">
        <f t="shared" si="31"/>
        <v>2.8145984341816754E-2</v>
      </c>
      <c r="BZ91" s="30">
        <f t="shared" si="33"/>
        <v>2.8153420259375738E-2</v>
      </c>
      <c r="CA91" s="30">
        <f t="shared" si="34"/>
        <v>2.9385817565716929E-4</v>
      </c>
      <c r="CB91" s="30">
        <f t="shared" si="35"/>
        <v>2.9403116730373417E-4</v>
      </c>
      <c r="CC91" s="92" t="s">
        <v>73</v>
      </c>
      <c r="CD91">
        <f t="shared" si="39"/>
        <v>3402</v>
      </c>
      <c r="CE91" s="92" t="s">
        <v>73</v>
      </c>
      <c r="CF91" s="30">
        <f t="shared" si="32"/>
        <v>2.8145984341816754E-2</v>
      </c>
      <c r="CG91" s="30">
        <f t="shared" si="36"/>
        <v>2.8153420259375738E-2</v>
      </c>
      <c r="CH91" s="30">
        <f t="shared" si="37"/>
        <v>2.9385817565716929E-4</v>
      </c>
      <c r="CI91" s="30">
        <f t="shared" si="38"/>
        <v>2.9403116730373417E-4</v>
      </c>
      <c r="CJ91"/>
    </row>
    <row r="92" spans="1:88" s="92" customFormat="1">
      <c r="A92" s="108" t="s">
        <v>409</v>
      </c>
      <c r="B92" s="108"/>
      <c r="C92" s="108">
        <v>21</v>
      </c>
      <c r="D92" s="92">
        <v>1270</v>
      </c>
      <c r="E92" s="108">
        <v>313</v>
      </c>
      <c r="F92" t="s">
        <v>434</v>
      </c>
      <c r="G92">
        <v>2018</v>
      </c>
      <c r="H92" t="s">
        <v>435</v>
      </c>
      <c r="I92" t="s">
        <v>436</v>
      </c>
      <c r="J92" s="10">
        <v>2</v>
      </c>
      <c r="K92">
        <v>2015</v>
      </c>
      <c r="L92" t="s">
        <v>437</v>
      </c>
      <c r="M92">
        <v>13</v>
      </c>
      <c r="N92" s="18" t="s">
        <v>438</v>
      </c>
      <c r="O92" t="s">
        <v>439</v>
      </c>
      <c r="P92" t="s">
        <v>440</v>
      </c>
      <c r="Q92" s="10" t="s">
        <v>294</v>
      </c>
      <c r="R92" t="s">
        <v>244</v>
      </c>
      <c r="S92" t="s">
        <v>255</v>
      </c>
      <c r="T92">
        <v>1</v>
      </c>
      <c r="U92" t="s">
        <v>341</v>
      </c>
      <c r="V92">
        <v>0</v>
      </c>
      <c r="W92" t="s">
        <v>246</v>
      </c>
      <c r="X92" t="s">
        <v>232</v>
      </c>
      <c r="Y92" t="s">
        <v>441</v>
      </c>
      <c r="Z92" s="10">
        <v>0</v>
      </c>
      <c r="AA92" s="10">
        <v>1</v>
      </c>
      <c r="AB92" s="10">
        <v>0</v>
      </c>
      <c r="AC92" s="10">
        <v>0</v>
      </c>
      <c r="AD92" s="10">
        <v>0</v>
      </c>
      <c r="AE92" s="10">
        <v>0</v>
      </c>
      <c r="AF92" s="108">
        <v>0</v>
      </c>
      <c r="AG92" s="10">
        <v>0</v>
      </c>
      <c r="AH92" s="10" t="s">
        <v>442</v>
      </c>
      <c r="AI92" s="10">
        <v>0</v>
      </c>
      <c r="AJ92" s="10">
        <v>0</v>
      </c>
      <c r="AK92" s="10">
        <v>0</v>
      </c>
      <c r="AL92" s="10">
        <v>0</v>
      </c>
      <c r="AM92" s="10">
        <v>0</v>
      </c>
      <c r="AN92" s="10">
        <v>1</v>
      </c>
      <c r="AO92" s="10">
        <v>0</v>
      </c>
      <c r="AP92" s="10">
        <v>0</v>
      </c>
      <c r="AQ92" s="10">
        <v>0</v>
      </c>
      <c r="AR92" t="s">
        <v>443</v>
      </c>
      <c r="AS92" t="s">
        <v>234</v>
      </c>
      <c r="AT92" t="s">
        <v>444</v>
      </c>
      <c r="AU92" s="108" t="s">
        <v>236</v>
      </c>
      <c r="AV92" s="134">
        <v>0.09</v>
      </c>
      <c r="AW92" s="7" t="s">
        <v>80</v>
      </c>
      <c r="AX92">
        <v>0.12</v>
      </c>
      <c r="AY92">
        <v>0.05</v>
      </c>
      <c r="AZ92">
        <v>2</v>
      </c>
      <c r="BA92">
        <f>TINV(0.1,CD92)</f>
        <v>1.6474057119344734</v>
      </c>
      <c r="BB92" t="s">
        <v>73</v>
      </c>
      <c r="BC92" s="105">
        <f t="shared" si="42"/>
        <v>0.52248482479180014</v>
      </c>
      <c r="BD92" s="10" t="s">
        <v>73</v>
      </c>
      <c r="BE92" s="10" t="s">
        <v>73</v>
      </c>
      <c r="BF92" s="10" t="s">
        <v>73</v>
      </c>
      <c r="BG92" s="10" t="s">
        <v>73</v>
      </c>
      <c r="BH92" s="10" t="s">
        <v>73</v>
      </c>
      <c r="BI92" s="10" t="s">
        <v>73</v>
      </c>
      <c r="BJ92">
        <v>600</v>
      </c>
      <c r="BK92">
        <v>600</v>
      </c>
      <c r="BL92" s="10" t="s">
        <v>73</v>
      </c>
      <c r="BM92" s="10" t="s">
        <v>73</v>
      </c>
      <c r="BN92" t="s">
        <v>73</v>
      </c>
      <c r="BO92" t="s">
        <v>73</v>
      </c>
      <c r="BP92" s="108" t="s">
        <v>73</v>
      </c>
      <c r="BQ92" s="10" t="s">
        <v>73</v>
      </c>
      <c r="BR92" s="108" t="s">
        <v>73</v>
      </c>
      <c r="BS92" s="108" t="s">
        <v>73</v>
      </c>
      <c r="BT92" s="108" t="s">
        <v>73</v>
      </c>
      <c r="BU92" s="108" t="s">
        <v>73</v>
      </c>
      <c r="BV92">
        <v>0</v>
      </c>
      <c r="BW92">
        <v>1</v>
      </c>
      <c r="BX92">
        <v>1</v>
      </c>
      <c r="BY92" s="30">
        <f t="shared" si="31"/>
        <v>6.7103465160314887E-2</v>
      </c>
      <c r="BZ92" s="30">
        <f t="shared" si="33"/>
        <v>6.7204457661064573E-2</v>
      </c>
      <c r="CA92" s="30">
        <f t="shared" si="34"/>
        <v>1.6694150280093312E-3</v>
      </c>
      <c r="CB92" s="30">
        <f t="shared" si="35"/>
        <v>1.6750418760469012E-3</v>
      </c>
      <c r="CC92" s="92" t="s">
        <v>73</v>
      </c>
      <c r="CD92">
        <f t="shared" si="39"/>
        <v>598</v>
      </c>
      <c r="CE92" s="92" t="s">
        <v>73</v>
      </c>
      <c r="CF92" s="30">
        <f t="shared" si="32"/>
        <v>6.7103465160314887E-2</v>
      </c>
      <c r="CG92" s="30">
        <f t="shared" si="36"/>
        <v>6.7204457661064573E-2</v>
      </c>
      <c r="CH92" s="30">
        <f t="shared" si="37"/>
        <v>1.6694150280093312E-3</v>
      </c>
      <c r="CI92" s="30">
        <f t="shared" si="38"/>
        <v>1.6750418760469012E-3</v>
      </c>
      <c r="CJ92" s="119"/>
    </row>
    <row r="93" spans="1:88" s="92" customFormat="1">
      <c r="A93" s="108" t="s">
        <v>409</v>
      </c>
      <c r="B93" s="108"/>
      <c r="C93" s="108">
        <v>21</v>
      </c>
      <c r="D93" s="92">
        <v>1271</v>
      </c>
      <c r="E93" s="108">
        <v>313</v>
      </c>
      <c r="F93" t="s">
        <v>434</v>
      </c>
      <c r="G93">
        <v>2018</v>
      </c>
      <c r="H93" t="s">
        <v>435</v>
      </c>
      <c r="I93" t="s">
        <v>436</v>
      </c>
      <c r="J93" s="10">
        <v>2</v>
      </c>
      <c r="K93">
        <v>2015</v>
      </c>
      <c r="L93" t="s">
        <v>437</v>
      </c>
      <c r="M93">
        <v>13</v>
      </c>
      <c r="N93" s="18" t="s">
        <v>438</v>
      </c>
      <c r="O93" t="s">
        <v>439</v>
      </c>
      <c r="P93" t="s">
        <v>440</v>
      </c>
      <c r="Q93" s="10" t="s">
        <v>294</v>
      </c>
      <c r="R93" t="s">
        <v>244</v>
      </c>
      <c r="S93" t="s">
        <v>255</v>
      </c>
      <c r="T93">
        <v>1</v>
      </c>
      <c r="U93" t="s">
        <v>341</v>
      </c>
      <c r="V93">
        <v>0</v>
      </c>
      <c r="W93" t="s">
        <v>246</v>
      </c>
      <c r="X93" t="s">
        <v>232</v>
      </c>
      <c r="Y93" t="s">
        <v>441</v>
      </c>
      <c r="Z93" s="10">
        <v>0</v>
      </c>
      <c r="AA93" s="10">
        <v>1</v>
      </c>
      <c r="AB93" s="10">
        <v>0</v>
      </c>
      <c r="AC93" s="10">
        <v>0</v>
      </c>
      <c r="AD93" s="10">
        <v>0</v>
      </c>
      <c r="AE93" s="10">
        <v>0</v>
      </c>
      <c r="AF93" s="108">
        <v>0</v>
      </c>
      <c r="AG93" s="10">
        <v>0</v>
      </c>
      <c r="AH93" s="10" t="s">
        <v>442</v>
      </c>
      <c r="AI93" s="10">
        <v>0</v>
      </c>
      <c r="AJ93" s="10">
        <v>0</v>
      </c>
      <c r="AK93" s="10">
        <v>0</v>
      </c>
      <c r="AL93" s="10">
        <v>0</v>
      </c>
      <c r="AM93" s="10">
        <v>0</v>
      </c>
      <c r="AN93" s="10">
        <v>1</v>
      </c>
      <c r="AO93" s="10">
        <v>0</v>
      </c>
      <c r="AP93" s="10">
        <v>0</v>
      </c>
      <c r="AQ93" s="10">
        <v>0</v>
      </c>
      <c r="AR93" t="s">
        <v>443</v>
      </c>
      <c r="AS93" t="s">
        <v>234</v>
      </c>
      <c r="AT93" t="s">
        <v>444</v>
      </c>
      <c r="AU93" s="108" t="s">
        <v>236</v>
      </c>
      <c r="AV93" s="134">
        <v>0.1</v>
      </c>
      <c r="AW93" s="7" t="s">
        <v>80</v>
      </c>
      <c r="AX93">
        <v>0.11</v>
      </c>
      <c r="AY93">
        <v>0.05</v>
      </c>
      <c r="AZ93">
        <v>2</v>
      </c>
      <c r="BA93">
        <f>TINV(0.1,CD93)</f>
        <v>1.6474057119344734</v>
      </c>
      <c r="BB93" t="s">
        <v>73</v>
      </c>
      <c r="BC93" s="105">
        <f t="shared" si="42"/>
        <v>0.52497918747894001</v>
      </c>
      <c r="BD93" s="10" t="s">
        <v>73</v>
      </c>
      <c r="BE93" s="10" t="s">
        <v>73</v>
      </c>
      <c r="BF93" s="10" t="s">
        <v>73</v>
      </c>
      <c r="BG93" s="10" t="s">
        <v>73</v>
      </c>
      <c r="BH93" s="10" t="s">
        <v>73</v>
      </c>
      <c r="BI93" s="10" t="s">
        <v>73</v>
      </c>
      <c r="BJ93">
        <v>600</v>
      </c>
      <c r="BK93">
        <v>600</v>
      </c>
      <c r="BL93" s="10" t="s">
        <v>73</v>
      </c>
      <c r="BM93" s="10" t="s">
        <v>73</v>
      </c>
      <c r="BN93" t="s">
        <v>73</v>
      </c>
      <c r="BO93" t="s">
        <v>73</v>
      </c>
      <c r="BP93" s="108" t="s">
        <v>73</v>
      </c>
      <c r="BQ93" s="10" t="s">
        <v>73</v>
      </c>
      <c r="BR93" s="108" t="s">
        <v>73</v>
      </c>
      <c r="BS93" s="108" t="s">
        <v>73</v>
      </c>
      <c r="BT93" s="108" t="s">
        <v>73</v>
      </c>
      <c r="BU93" s="108" t="s">
        <v>73</v>
      </c>
      <c r="BV93">
        <v>0</v>
      </c>
      <c r="BW93">
        <v>1</v>
      </c>
      <c r="BX93">
        <v>1</v>
      </c>
      <c r="BY93" s="30">
        <f t="shared" si="31"/>
        <v>6.7103465160314887E-2</v>
      </c>
      <c r="BZ93" s="30">
        <f t="shared" si="33"/>
        <v>6.7204457661064573E-2</v>
      </c>
      <c r="CA93" s="30">
        <f t="shared" si="34"/>
        <v>1.6694150280093312E-3</v>
      </c>
      <c r="CB93" s="30">
        <f t="shared" si="35"/>
        <v>1.6750418760469012E-3</v>
      </c>
      <c r="CC93" s="92" t="s">
        <v>73</v>
      </c>
      <c r="CD93">
        <f t="shared" si="39"/>
        <v>598</v>
      </c>
      <c r="CE93" s="92" t="s">
        <v>73</v>
      </c>
      <c r="CF93" s="30">
        <f t="shared" si="32"/>
        <v>6.7103465160314887E-2</v>
      </c>
      <c r="CG93" s="30">
        <f t="shared" si="36"/>
        <v>6.7204457661064573E-2</v>
      </c>
      <c r="CH93" s="30">
        <f t="shared" si="37"/>
        <v>1.6694150280093312E-3</v>
      </c>
      <c r="CI93" s="30">
        <f t="shared" si="38"/>
        <v>1.6750418760469012E-3</v>
      </c>
      <c r="CJ93"/>
    </row>
    <row r="94" spans="1:88" s="119" customFormat="1">
      <c r="A94" s="108" t="s">
        <v>409</v>
      </c>
      <c r="B94" s="108"/>
      <c r="C94" s="108">
        <v>21</v>
      </c>
      <c r="D94" s="92">
        <v>1252</v>
      </c>
      <c r="E94" s="108">
        <v>313</v>
      </c>
      <c r="F94" t="s">
        <v>434</v>
      </c>
      <c r="G94">
        <v>2018</v>
      </c>
      <c r="H94" t="s">
        <v>435</v>
      </c>
      <c r="I94" t="s">
        <v>436</v>
      </c>
      <c r="J94" s="10">
        <v>2</v>
      </c>
      <c r="K94">
        <v>2015</v>
      </c>
      <c r="L94" t="s">
        <v>437</v>
      </c>
      <c r="M94">
        <v>13</v>
      </c>
      <c r="N94" s="18" t="s">
        <v>438</v>
      </c>
      <c r="O94" t="s">
        <v>439</v>
      </c>
      <c r="P94" t="s">
        <v>440</v>
      </c>
      <c r="Q94" s="10" t="s">
        <v>294</v>
      </c>
      <c r="R94" t="s">
        <v>244</v>
      </c>
      <c r="S94" t="s">
        <v>255</v>
      </c>
      <c r="T94">
        <v>1</v>
      </c>
      <c r="U94" t="s">
        <v>341</v>
      </c>
      <c r="V94">
        <v>0</v>
      </c>
      <c r="W94" t="s">
        <v>246</v>
      </c>
      <c r="X94" t="s">
        <v>232</v>
      </c>
      <c r="Y94" t="s">
        <v>441</v>
      </c>
      <c r="Z94" s="10">
        <v>0</v>
      </c>
      <c r="AA94" s="10">
        <v>1</v>
      </c>
      <c r="AB94" s="10">
        <v>0</v>
      </c>
      <c r="AC94" s="10">
        <v>0</v>
      </c>
      <c r="AD94" s="10">
        <v>0</v>
      </c>
      <c r="AE94" s="10">
        <v>0</v>
      </c>
      <c r="AF94" s="108">
        <v>0</v>
      </c>
      <c r="AG94" s="10">
        <v>0</v>
      </c>
      <c r="AH94" s="10" t="s">
        <v>442</v>
      </c>
      <c r="AI94" s="10">
        <v>0</v>
      </c>
      <c r="AJ94" s="10">
        <v>0</v>
      </c>
      <c r="AK94" s="10">
        <v>0</v>
      </c>
      <c r="AL94" s="10">
        <v>0</v>
      </c>
      <c r="AM94" s="10">
        <v>0</v>
      </c>
      <c r="AN94" s="10">
        <v>1</v>
      </c>
      <c r="AO94" s="10">
        <v>0</v>
      </c>
      <c r="AP94" s="10">
        <v>0</v>
      </c>
      <c r="AQ94" s="10">
        <v>0</v>
      </c>
      <c r="AR94" t="s">
        <v>443</v>
      </c>
      <c r="AS94" t="s">
        <v>234</v>
      </c>
      <c r="AT94" t="s">
        <v>444</v>
      </c>
      <c r="AU94" s="108" t="s">
        <v>236</v>
      </c>
      <c r="AV94" s="134">
        <v>0.21</v>
      </c>
      <c r="AW94" s="7" t="s">
        <v>80</v>
      </c>
      <c r="AX94">
        <v>0.03</v>
      </c>
      <c r="AY94">
        <v>0.05</v>
      </c>
      <c r="AZ94">
        <v>1</v>
      </c>
      <c r="BA94">
        <f>TINV(AY94,CD94)</f>
        <v>1.9639388980555066</v>
      </c>
      <c r="BB94" t="s">
        <v>73</v>
      </c>
      <c r="BC94" s="105">
        <f t="shared" si="42"/>
        <v>0.5523079095743253</v>
      </c>
      <c r="BD94" s="10" t="s">
        <v>73</v>
      </c>
      <c r="BE94" s="10" t="s">
        <v>73</v>
      </c>
      <c r="BF94" s="10" t="s">
        <v>73</v>
      </c>
      <c r="BG94" s="10" t="s">
        <v>73</v>
      </c>
      <c r="BH94" s="10" t="s">
        <v>73</v>
      </c>
      <c r="BI94" s="10" t="s">
        <v>73</v>
      </c>
      <c r="BJ94">
        <v>600</v>
      </c>
      <c r="BK94">
        <v>600</v>
      </c>
      <c r="BL94" s="10" t="s">
        <v>73</v>
      </c>
      <c r="BM94" s="10" t="s">
        <v>73</v>
      </c>
      <c r="BN94" t="s">
        <v>73</v>
      </c>
      <c r="BO94" t="s">
        <v>73</v>
      </c>
      <c r="BP94" s="108" t="s">
        <v>73</v>
      </c>
      <c r="BQ94" s="10" t="s">
        <v>73</v>
      </c>
      <c r="BR94" s="108" t="s">
        <v>73</v>
      </c>
      <c r="BS94" s="108" t="s">
        <v>73</v>
      </c>
      <c r="BT94" s="108" t="s">
        <v>73</v>
      </c>
      <c r="BU94" s="108" t="s">
        <v>73</v>
      </c>
      <c r="BV94">
        <v>0</v>
      </c>
      <c r="BW94">
        <v>1</v>
      </c>
      <c r="BX94">
        <v>1</v>
      </c>
      <c r="BY94" s="30">
        <f t="shared" si="31"/>
        <v>7.9920998150068992E-2</v>
      </c>
      <c r="BZ94" s="30">
        <f t="shared" si="33"/>
        <v>8.0091814824645752E-2</v>
      </c>
      <c r="CA94" s="30">
        <f t="shared" si="34"/>
        <v>1.6693803867099848E-3</v>
      </c>
      <c r="CB94" s="30">
        <f t="shared" si="35"/>
        <v>1.6750418760469012E-3</v>
      </c>
      <c r="CC94" s="92" t="s">
        <v>73</v>
      </c>
      <c r="CD94">
        <f t="shared" si="39"/>
        <v>598</v>
      </c>
      <c r="CE94" s="92" t="s">
        <v>73</v>
      </c>
      <c r="CF94" s="30">
        <f t="shared" si="32"/>
        <v>7.9920998150068992E-2</v>
      </c>
      <c r="CG94" s="30">
        <f t="shared" si="36"/>
        <v>8.0091814824645752E-2</v>
      </c>
      <c r="CH94" s="30">
        <f t="shared" si="37"/>
        <v>1.6693803867099848E-3</v>
      </c>
      <c r="CI94" s="30">
        <f t="shared" si="38"/>
        <v>1.6750418760469012E-3</v>
      </c>
      <c r="CJ94"/>
    </row>
    <row r="95" spans="1:88" s="119" customFormat="1">
      <c r="A95" s="108" t="s">
        <v>409</v>
      </c>
      <c r="B95" s="108"/>
      <c r="C95" s="108">
        <v>21</v>
      </c>
      <c r="D95" s="92">
        <v>1253</v>
      </c>
      <c r="E95" s="108">
        <v>313</v>
      </c>
      <c r="F95" t="s">
        <v>434</v>
      </c>
      <c r="G95">
        <v>2018</v>
      </c>
      <c r="H95" t="s">
        <v>435</v>
      </c>
      <c r="I95" t="s">
        <v>436</v>
      </c>
      <c r="J95" s="10">
        <v>2</v>
      </c>
      <c r="K95">
        <v>2015</v>
      </c>
      <c r="L95" t="s">
        <v>437</v>
      </c>
      <c r="M95">
        <v>13</v>
      </c>
      <c r="N95" s="18" t="s">
        <v>438</v>
      </c>
      <c r="O95" t="s">
        <v>439</v>
      </c>
      <c r="P95" t="s">
        <v>440</v>
      </c>
      <c r="Q95" s="10" t="s">
        <v>294</v>
      </c>
      <c r="R95" t="s">
        <v>244</v>
      </c>
      <c r="S95" t="s">
        <v>255</v>
      </c>
      <c r="T95">
        <v>1</v>
      </c>
      <c r="U95" t="s">
        <v>341</v>
      </c>
      <c r="V95">
        <v>0</v>
      </c>
      <c r="W95" t="s">
        <v>246</v>
      </c>
      <c r="X95" t="s">
        <v>232</v>
      </c>
      <c r="Y95" t="s">
        <v>441</v>
      </c>
      <c r="Z95" s="10">
        <v>0</v>
      </c>
      <c r="AA95" s="10">
        <v>1</v>
      </c>
      <c r="AB95" s="10">
        <v>0</v>
      </c>
      <c r="AC95" s="10">
        <v>0</v>
      </c>
      <c r="AD95" s="10">
        <v>0</v>
      </c>
      <c r="AE95" s="10">
        <v>0</v>
      </c>
      <c r="AF95" s="108">
        <v>0</v>
      </c>
      <c r="AG95" s="10">
        <v>0</v>
      </c>
      <c r="AH95" s="10" t="s">
        <v>442</v>
      </c>
      <c r="AI95" s="10">
        <v>0</v>
      </c>
      <c r="AJ95" s="10">
        <v>0</v>
      </c>
      <c r="AK95" s="10">
        <v>0</v>
      </c>
      <c r="AL95" s="10">
        <v>0</v>
      </c>
      <c r="AM95" s="10">
        <v>0</v>
      </c>
      <c r="AN95" s="10">
        <v>1</v>
      </c>
      <c r="AO95" s="10">
        <v>0</v>
      </c>
      <c r="AP95" s="10">
        <v>0</v>
      </c>
      <c r="AQ95" s="10">
        <v>0</v>
      </c>
      <c r="AR95" t="s">
        <v>443</v>
      </c>
      <c r="AS95" t="s">
        <v>234</v>
      </c>
      <c r="AT95" t="s">
        <v>444</v>
      </c>
      <c r="AU95" s="108" t="s">
        <v>236</v>
      </c>
      <c r="AV95" s="134">
        <v>0.27</v>
      </c>
      <c r="AW95" s="7" t="s">
        <v>80</v>
      </c>
      <c r="AX95">
        <v>0.05</v>
      </c>
      <c r="AY95">
        <v>0.05</v>
      </c>
      <c r="AZ95">
        <v>1</v>
      </c>
      <c r="BA95">
        <f>TINV(AY95,CD95)</f>
        <v>1.9639388980555066</v>
      </c>
      <c r="BB95" t="s">
        <v>73</v>
      </c>
      <c r="BC95" s="105">
        <f t="shared" si="42"/>
        <v>0.56709290496545439</v>
      </c>
      <c r="BD95" s="10" t="s">
        <v>73</v>
      </c>
      <c r="BE95" s="10" t="s">
        <v>73</v>
      </c>
      <c r="BF95" s="10" t="s">
        <v>73</v>
      </c>
      <c r="BG95" s="10" t="s">
        <v>73</v>
      </c>
      <c r="BH95" s="10" t="s">
        <v>73</v>
      </c>
      <c r="BI95" s="10" t="s">
        <v>73</v>
      </c>
      <c r="BJ95">
        <v>600</v>
      </c>
      <c r="BK95">
        <v>600</v>
      </c>
      <c r="BL95" s="10" t="s">
        <v>73</v>
      </c>
      <c r="BM95" s="10" t="s">
        <v>73</v>
      </c>
      <c r="BN95" t="s">
        <v>73</v>
      </c>
      <c r="BO95" t="s">
        <v>73</v>
      </c>
      <c r="BP95" s="108" t="s">
        <v>73</v>
      </c>
      <c r="BQ95" s="10" t="s">
        <v>73</v>
      </c>
      <c r="BR95" s="108" t="s">
        <v>73</v>
      </c>
      <c r="BS95" s="108" t="s">
        <v>73</v>
      </c>
      <c r="BT95" s="108" t="s">
        <v>73</v>
      </c>
      <c r="BU95" s="108" t="s">
        <v>73</v>
      </c>
      <c r="BV95">
        <v>0</v>
      </c>
      <c r="BW95">
        <v>1</v>
      </c>
      <c r="BX95">
        <v>1</v>
      </c>
      <c r="BY95" s="30">
        <f t="shared" si="31"/>
        <v>7.9920998150068992E-2</v>
      </c>
      <c r="BZ95" s="30">
        <f t="shared" si="33"/>
        <v>8.0091814824645752E-2</v>
      </c>
      <c r="CA95" s="30">
        <f t="shared" si="34"/>
        <v>1.6693803867099848E-3</v>
      </c>
      <c r="CB95" s="30">
        <f t="shared" si="35"/>
        <v>1.6750418760469012E-3</v>
      </c>
      <c r="CC95" s="92" t="s">
        <v>73</v>
      </c>
      <c r="CD95">
        <f t="shared" si="39"/>
        <v>598</v>
      </c>
      <c r="CE95" s="92" t="s">
        <v>73</v>
      </c>
      <c r="CF95" s="30">
        <f t="shared" si="32"/>
        <v>7.9920998150068992E-2</v>
      </c>
      <c r="CG95" s="30">
        <f t="shared" si="36"/>
        <v>8.0091814824645752E-2</v>
      </c>
      <c r="CH95" s="30">
        <f t="shared" si="37"/>
        <v>1.6693803867099848E-3</v>
      </c>
      <c r="CI95" s="30">
        <f t="shared" si="38"/>
        <v>1.6750418760469012E-3</v>
      </c>
      <c r="CJ95"/>
    </row>
    <row r="96" spans="1:88">
      <c r="A96" s="108" t="s">
        <v>409</v>
      </c>
      <c r="B96" s="108"/>
      <c r="C96" s="108">
        <v>21</v>
      </c>
      <c r="D96" s="92">
        <v>1273</v>
      </c>
      <c r="E96" s="108">
        <v>313</v>
      </c>
      <c r="F96" t="s">
        <v>434</v>
      </c>
      <c r="G96">
        <v>2018</v>
      </c>
      <c r="H96" t="s">
        <v>435</v>
      </c>
      <c r="I96" t="s">
        <v>436</v>
      </c>
      <c r="J96" s="10">
        <v>2</v>
      </c>
      <c r="K96">
        <v>2015</v>
      </c>
      <c r="L96" t="s">
        <v>437</v>
      </c>
      <c r="M96">
        <v>13</v>
      </c>
      <c r="N96" s="18" t="s">
        <v>438</v>
      </c>
      <c r="O96" t="s">
        <v>439</v>
      </c>
      <c r="P96" t="s">
        <v>440</v>
      </c>
      <c r="Q96" s="10" t="s">
        <v>294</v>
      </c>
      <c r="R96" t="s">
        <v>244</v>
      </c>
      <c r="S96" t="s">
        <v>255</v>
      </c>
      <c r="T96">
        <v>1</v>
      </c>
      <c r="U96" t="s">
        <v>341</v>
      </c>
      <c r="V96">
        <v>0</v>
      </c>
      <c r="W96" t="s">
        <v>246</v>
      </c>
      <c r="X96" t="s">
        <v>232</v>
      </c>
      <c r="Y96" t="s">
        <v>441</v>
      </c>
      <c r="Z96" s="10">
        <v>0</v>
      </c>
      <c r="AA96" s="10">
        <v>1</v>
      </c>
      <c r="AB96" s="10">
        <v>1</v>
      </c>
      <c r="AC96" s="10">
        <v>0</v>
      </c>
      <c r="AD96" s="10">
        <v>0</v>
      </c>
      <c r="AE96" s="10">
        <v>0</v>
      </c>
      <c r="AF96" s="108">
        <v>0</v>
      </c>
      <c r="AG96" s="10">
        <v>0</v>
      </c>
      <c r="AH96" s="10" t="s">
        <v>442</v>
      </c>
      <c r="AI96" s="10">
        <v>0</v>
      </c>
      <c r="AJ96" s="10">
        <v>0</v>
      </c>
      <c r="AK96" s="10">
        <v>0</v>
      </c>
      <c r="AL96" s="10">
        <v>0</v>
      </c>
      <c r="AM96" s="10">
        <v>0</v>
      </c>
      <c r="AN96" s="10">
        <v>1</v>
      </c>
      <c r="AO96" s="10">
        <v>0</v>
      </c>
      <c r="AP96" s="10">
        <v>0</v>
      </c>
      <c r="AQ96" s="10">
        <v>0</v>
      </c>
      <c r="AR96" t="s">
        <v>443</v>
      </c>
      <c r="AS96" t="s">
        <v>234</v>
      </c>
      <c r="AT96" t="s">
        <v>444</v>
      </c>
      <c r="AU96" s="108" t="s">
        <v>236</v>
      </c>
      <c r="AV96" s="134">
        <v>0.85</v>
      </c>
      <c r="AW96" s="7" t="s">
        <v>80</v>
      </c>
      <c r="AX96">
        <v>0.11</v>
      </c>
      <c r="AY96">
        <v>0.05</v>
      </c>
      <c r="AZ96">
        <v>1</v>
      </c>
      <c r="BA96">
        <f>TINV(AY96,CD96)</f>
        <v>1.9639388980555066</v>
      </c>
      <c r="BB96" t="s">
        <v>73</v>
      </c>
      <c r="BC96" s="105">
        <f t="shared" si="42"/>
        <v>0.70056714247397289</v>
      </c>
      <c r="BD96" s="10" t="s">
        <v>73</v>
      </c>
      <c r="BE96" s="10" t="s">
        <v>73</v>
      </c>
      <c r="BF96" s="10" t="s">
        <v>73</v>
      </c>
      <c r="BG96" s="10" t="s">
        <v>73</v>
      </c>
      <c r="BH96" s="10" t="s">
        <v>73</v>
      </c>
      <c r="BI96" s="10" t="s">
        <v>73</v>
      </c>
      <c r="BJ96">
        <v>600</v>
      </c>
      <c r="BK96">
        <v>600</v>
      </c>
      <c r="BL96" s="10" t="s">
        <v>73</v>
      </c>
      <c r="BM96" s="10" t="s">
        <v>73</v>
      </c>
      <c r="BN96" t="s">
        <v>73</v>
      </c>
      <c r="BO96" t="s">
        <v>73</v>
      </c>
      <c r="BP96" s="108" t="s">
        <v>73</v>
      </c>
      <c r="BQ96" s="10" t="s">
        <v>73</v>
      </c>
      <c r="BR96" s="108" t="s">
        <v>73</v>
      </c>
      <c r="BS96" s="108" t="s">
        <v>73</v>
      </c>
      <c r="BT96" s="108" t="s">
        <v>73</v>
      </c>
      <c r="BU96" s="108" t="s">
        <v>73</v>
      </c>
      <c r="BV96">
        <v>0</v>
      </c>
      <c r="BW96">
        <v>1</v>
      </c>
      <c r="BX96">
        <v>1</v>
      </c>
      <c r="BY96" s="30">
        <f t="shared" si="31"/>
        <v>7.9920998150068992E-2</v>
      </c>
      <c r="BZ96" s="30">
        <f t="shared" si="33"/>
        <v>8.0091814824645752E-2</v>
      </c>
      <c r="CA96" s="30">
        <f t="shared" si="34"/>
        <v>1.6693803867099848E-3</v>
      </c>
      <c r="CB96" s="30">
        <f t="shared" si="35"/>
        <v>1.6750418760469012E-3</v>
      </c>
      <c r="CC96" s="92" t="s">
        <v>73</v>
      </c>
      <c r="CD96">
        <f t="shared" si="39"/>
        <v>598</v>
      </c>
      <c r="CE96" s="92" t="s">
        <v>73</v>
      </c>
      <c r="CF96" s="30">
        <f t="shared" si="32"/>
        <v>7.9920998150068992E-2</v>
      </c>
      <c r="CG96" s="30">
        <f t="shared" si="36"/>
        <v>8.0091814824645752E-2</v>
      </c>
      <c r="CH96" s="30">
        <f t="shared" si="37"/>
        <v>1.6693803867099848E-3</v>
      </c>
      <c r="CI96" s="30">
        <f t="shared" si="38"/>
        <v>1.6750418760469012E-3</v>
      </c>
    </row>
    <row r="97" spans="1:88">
      <c r="A97" s="108" t="s">
        <v>409</v>
      </c>
      <c r="B97" s="108"/>
      <c r="C97" s="108">
        <v>21</v>
      </c>
      <c r="D97" s="92">
        <v>1272</v>
      </c>
      <c r="E97" s="108">
        <v>313</v>
      </c>
      <c r="F97" t="s">
        <v>434</v>
      </c>
      <c r="G97">
        <v>2018</v>
      </c>
      <c r="H97" t="s">
        <v>435</v>
      </c>
      <c r="I97" t="s">
        <v>436</v>
      </c>
      <c r="J97" s="10">
        <v>2</v>
      </c>
      <c r="K97">
        <v>2015</v>
      </c>
      <c r="L97" t="s">
        <v>437</v>
      </c>
      <c r="M97">
        <v>13</v>
      </c>
      <c r="N97" s="18" t="s">
        <v>438</v>
      </c>
      <c r="O97" t="s">
        <v>439</v>
      </c>
      <c r="P97" t="s">
        <v>440</v>
      </c>
      <c r="Q97" s="10" t="s">
        <v>294</v>
      </c>
      <c r="R97" t="s">
        <v>244</v>
      </c>
      <c r="S97" t="s">
        <v>255</v>
      </c>
      <c r="T97">
        <v>1</v>
      </c>
      <c r="U97" t="s">
        <v>341</v>
      </c>
      <c r="V97">
        <v>0</v>
      </c>
      <c r="W97" t="s">
        <v>246</v>
      </c>
      <c r="X97" t="s">
        <v>232</v>
      </c>
      <c r="Y97" t="s">
        <v>441</v>
      </c>
      <c r="Z97" s="10">
        <v>0</v>
      </c>
      <c r="AA97" s="10">
        <v>1</v>
      </c>
      <c r="AB97" s="10">
        <v>1</v>
      </c>
      <c r="AC97" s="10">
        <v>0</v>
      </c>
      <c r="AD97" s="10">
        <v>0</v>
      </c>
      <c r="AE97" s="10">
        <v>0</v>
      </c>
      <c r="AF97" s="108">
        <v>0</v>
      </c>
      <c r="AG97" s="10">
        <v>0</v>
      </c>
      <c r="AH97" s="10" t="s">
        <v>442</v>
      </c>
      <c r="AI97" s="10">
        <v>0</v>
      </c>
      <c r="AJ97" s="10">
        <v>0</v>
      </c>
      <c r="AK97" s="10">
        <v>0</v>
      </c>
      <c r="AL97" s="10">
        <v>0</v>
      </c>
      <c r="AM97" s="10">
        <v>0</v>
      </c>
      <c r="AN97" s="10">
        <v>1</v>
      </c>
      <c r="AO97" s="10">
        <v>0</v>
      </c>
      <c r="AP97" s="10">
        <v>0</v>
      </c>
      <c r="AQ97" s="10">
        <v>0</v>
      </c>
      <c r="AR97" t="s">
        <v>443</v>
      </c>
      <c r="AS97" t="s">
        <v>234</v>
      </c>
      <c r="AT97" t="s">
        <v>444</v>
      </c>
      <c r="AU97" s="108" t="s">
        <v>236</v>
      </c>
      <c r="AV97" s="134">
        <v>0.87</v>
      </c>
      <c r="AW97" s="7" t="s">
        <v>80</v>
      </c>
      <c r="AX97">
        <v>0.1</v>
      </c>
      <c r="AY97">
        <v>0.05</v>
      </c>
      <c r="AZ97">
        <v>1</v>
      </c>
      <c r="BA97">
        <f>TINV(AY97,CD97)</f>
        <v>1.9639388980555066</v>
      </c>
      <c r="BB97" t="s">
        <v>73</v>
      </c>
      <c r="BC97" s="105">
        <f t="shared" si="42"/>
        <v>0.70474569799809106</v>
      </c>
      <c r="BD97" s="10" t="s">
        <v>73</v>
      </c>
      <c r="BE97" s="10" t="s">
        <v>73</v>
      </c>
      <c r="BF97" s="10" t="s">
        <v>73</v>
      </c>
      <c r="BG97" s="10" t="s">
        <v>73</v>
      </c>
      <c r="BH97" s="10" t="s">
        <v>73</v>
      </c>
      <c r="BI97" s="10" t="s">
        <v>73</v>
      </c>
      <c r="BJ97">
        <v>600</v>
      </c>
      <c r="BK97">
        <v>600</v>
      </c>
      <c r="BL97" s="10" t="s">
        <v>73</v>
      </c>
      <c r="BM97" s="10" t="s">
        <v>73</v>
      </c>
      <c r="BN97" t="s">
        <v>73</v>
      </c>
      <c r="BO97" t="s">
        <v>73</v>
      </c>
      <c r="BP97" s="108" t="s">
        <v>73</v>
      </c>
      <c r="BQ97" s="10" t="s">
        <v>73</v>
      </c>
      <c r="BR97" s="108" t="s">
        <v>73</v>
      </c>
      <c r="BS97" s="108" t="s">
        <v>73</v>
      </c>
      <c r="BT97" s="108" t="s">
        <v>73</v>
      </c>
      <c r="BU97" s="108" t="s">
        <v>73</v>
      </c>
      <c r="BV97">
        <v>0</v>
      </c>
      <c r="BW97">
        <v>1</v>
      </c>
      <c r="BX97">
        <v>1</v>
      </c>
      <c r="BY97" s="30">
        <f t="shared" si="31"/>
        <v>7.9920998150068992E-2</v>
      </c>
      <c r="BZ97" s="30">
        <f t="shared" si="33"/>
        <v>8.0091814824645752E-2</v>
      </c>
      <c r="CA97" s="30">
        <f t="shared" si="34"/>
        <v>1.6693803867099848E-3</v>
      </c>
      <c r="CB97" s="30">
        <f t="shared" si="35"/>
        <v>1.6750418760469012E-3</v>
      </c>
      <c r="CC97" s="92" t="s">
        <v>73</v>
      </c>
      <c r="CD97">
        <f t="shared" si="39"/>
        <v>598</v>
      </c>
      <c r="CE97" s="92" t="s">
        <v>73</v>
      </c>
      <c r="CF97" s="30">
        <f t="shared" ref="CF97:CF128" si="43">((BA97^2)/(BA97^2+BK97))^(1/2)</f>
        <v>7.9920998150068992E-2</v>
      </c>
      <c r="CG97" s="30">
        <f t="shared" si="36"/>
        <v>8.0091814824645752E-2</v>
      </c>
      <c r="CH97" s="30">
        <f t="shared" si="37"/>
        <v>1.6693803867099848E-3</v>
      </c>
      <c r="CI97" s="30">
        <f t="shared" si="38"/>
        <v>1.6750418760469012E-3</v>
      </c>
      <c r="CJ97" s="119"/>
    </row>
    <row r="98" spans="1:88">
      <c r="A98" t="s">
        <v>445</v>
      </c>
      <c r="C98">
        <v>22</v>
      </c>
      <c r="D98" s="92">
        <v>1278</v>
      </c>
      <c r="E98">
        <v>407</v>
      </c>
      <c r="F98" t="s">
        <v>452</v>
      </c>
      <c r="G98">
        <v>2021</v>
      </c>
      <c r="H98" t="s">
        <v>453</v>
      </c>
      <c r="I98" t="s">
        <v>454</v>
      </c>
      <c r="J98">
        <v>2</v>
      </c>
      <c r="K98" t="s">
        <v>455</v>
      </c>
      <c r="L98" t="s">
        <v>73</v>
      </c>
      <c r="M98">
        <v>9</v>
      </c>
      <c r="N98" s="188" t="s">
        <v>93</v>
      </c>
      <c r="O98" t="s">
        <v>242</v>
      </c>
      <c r="P98" t="s">
        <v>148</v>
      </c>
      <c r="Q98" t="s">
        <v>294</v>
      </c>
      <c r="R98" t="s">
        <v>307</v>
      </c>
      <c r="S98" t="s">
        <v>336</v>
      </c>
      <c r="T98">
        <v>1</v>
      </c>
      <c r="U98" t="s">
        <v>231</v>
      </c>
      <c r="V98">
        <v>0</v>
      </c>
      <c r="W98" t="s">
        <v>232</v>
      </c>
      <c r="X98" t="s">
        <v>232</v>
      </c>
      <c r="Y98" t="s">
        <v>73</v>
      </c>
      <c r="Z98">
        <v>0</v>
      </c>
      <c r="AA98">
        <v>0</v>
      </c>
      <c r="AB98">
        <v>1</v>
      </c>
      <c r="AC98">
        <v>0</v>
      </c>
      <c r="AD98">
        <v>0</v>
      </c>
      <c r="AE98">
        <v>0</v>
      </c>
      <c r="AF98">
        <v>0</v>
      </c>
      <c r="AG98">
        <v>0</v>
      </c>
      <c r="AH98" t="s">
        <v>73</v>
      </c>
      <c r="AI98">
        <v>0</v>
      </c>
      <c r="AJ98">
        <v>0</v>
      </c>
      <c r="AK98">
        <v>0</v>
      </c>
      <c r="AL98">
        <v>0</v>
      </c>
      <c r="AM98">
        <v>1</v>
      </c>
      <c r="AN98">
        <v>0</v>
      </c>
      <c r="AO98">
        <v>0</v>
      </c>
      <c r="AP98">
        <v>0</v>
      </c>
      <c r="AQ98" s="10">
        <v>0</v>
      </c>
      <c r="AR98" t="s">
        <v>460</v>
      </c>
      <c r="AS98" t="s">
        <v>234</v>
      </c>
      <c r="AT98" s="41" t="s">
        <v>458</v>
      </c>
      <c r="AU98" t="s">
        <v>265</v>
      </c>
      <c r="AV98" s="134">
        <v>7.0000000000000001E-3</v>
      </c>
      <c r="AW98" s="7" t="s">
        <v>80</v>
      </c>
      <c r="AX98" s="7" t="s">
        <v>73</v>
      </c>
      <c r="AY98">
        <v>0.1</v>
      </c>
      <c r="AZ98">
        <v>2</v>
      </c>
      <c r="BA98">
        <f>TINV(0.1,CD98)</f>
        <v>1.6458012044463048</v>
      </c>
      <c r="BC98" s="94">
        <f t="shared" ref="BC98:BC109" si="44">AV98</f>
        <v>7.0000000000000001E-3</v>
      </c>
      <c r="BD98" t="s">
        <v>73</v>
      </c>
      <c r="BE98" t="s">
        <v>73</v>
      </c>
      <c r="BF98" s="10" t="s">
        <v>73</v>
      </c>
      <c r="BG98" t="s">
        <v>73</v>
      </c>
      <c r="BH98" t="s">
        <v>73</v>
      </c>
      <c r="BI98" t="s">
        <v>73</v>
      </c>
      <c r="BJ98">
        <v>1611</v>
      </c>
      <c r="BK98">
        <v>1611</v>
      </c>
      <c r="BL98" t="s">
        <v>73</v>
      </c>
      <c r="BM98" t="s">
        <v>73</v>
      </c>
      <c r="BN98" t="s">
        <v>73</v>
      </c>
      <c r="BO98" t="s">
        <v>73</v>
      </c>
      <c r="BP98" t="s">
        <v>73</v>
      </c>
      <c r="BQ98" t="s">
        <v>73</v>
      </c>
      <c r="BR98" t="s">
        <v>73</v>
      </c>
      <c r="BS98" t="s">
        <v>73</v>
      </c>
      <c r="BT98" t="s">
        <v>73</v>
      </c>
      <c r="BU98" t="s">
        <v>73</v>
      </c>
      <c r="BV98">
        <v>0</v>
      </c>
      <c r="BW98">
        <v>1</v>
      </c>
      <c r="BX98">
        <v>1</v>
      </c>
      <c r="BY98" s="30">
        <f t="shared" si="31"/>
        <v>4.0969891212699401E-2</v>
      </c>
      <c r="BZ98" s="30">
        <f t="shared" ref="BZ98:BZ129" si="45">0.5*LN((1+BY98)/(1-BY98))</f>
        <v>4.0992837417654034E-2</v>
      </c>
      <c r="CA98" s="30">
        <f t="shared" ref="CA98:CA129" si="46">((1-(BZ98^2)^2)/(BJ98-1))</f>
        <v>6.2111625851744845E-4</v>
      </c>
      <c r="CB98" s="30">
        <f t="shared" ref="CB98:CB129" si="47">1/(BJ98-3)</f>
        <v>6.2189054726368158E-4</v>
      </c>
      <c r="CC98" s="92" t="s">
        <v>73</v>
      </c>
      <c r="CD98">
        <f t="shared" si="39"/>
        <v>1609</v>
      </c>
      <c r="CE98" s="92" t="s">
        <v>73</v>
      </c>
      <c r="CF98" s="30">
        <f t="shared" si="43"/>
        <v>4.0969891212699401E-2</v>
      </c>
      <c r="CG98" s="30">
        <f t="shared" ref="CG98:CG129" si="48">0.5*LN((1+CF98)/(1-CF98))</f>
        <v>4.0992837417654034E-2</v>
      </c>
      <c r="CH98" s="30">
        <f t="shared" ref="CH98:CH129" si="49">((1-(CG98^2)^2)/(BK98-1))</f>
        <v>6.2111625851744845E-4</v>
      </c>
      <c r="CI98" s="30">
        <f t="shared" ref="CI98:CI129" si="50">1/(BK98-3)</f>
        <v>6.2189054726368158E-4</v>
      </c>
    </row>
    <row r="99" spans="1:88">
      <c r="A99" t="s">
        <v>445</v>
      </c>
      <c r="C99">
        <v>22</v>
      </c>
      <c r="D99" s="92">
        <v>1280</v>
      </c>
      <c r="E99">
        <v>407</v>
      </c>
      <c r="F99" t="s">
        <v>452</v>
      </c>
      <c r="G99">
        <v>2021</v>
      </c>
      <c r="H99" t="s">
        <v>453</v>
      </c>
      <c r="I99" t="s">
        <v>454</v>
      </c>
      <c r="J99">
        <v>2</v>
      </c>
      <c r="K99" t="s">
        <v>455</v>
      </c>
      <c r="L99" t="s">
        <v>73</v>
      </c>
      <c r="M99">
        <v>9</v>
      </c>
      <c r="N99" s="188" t="s">
        <v>93</v>
      </c>
      <c r="O99" t="s">
        <v>242</v>
      </c>
      <c r="P99" t="s">
        <v>300</v>
      </c>
      <c r="Q99" t="s">
        <v>294</v>
      </c>
      <c r="R99" t="s">
        <v>307</v>
      </c>
      <c r="S99" t="s">
        <v>336</v>
      </c>
      <c r="T99">
        <v>1</v>
      </c>
      <c r="U99" t="s">
        <v>231</v>
      </c>
      <c r="V99">
        <v>0</v>
      </c>
      <c r="W99" t="s">
        <v>232</v>
      </c>
      <c r="X99" t="s">
        <v>232</v>
      </c>
      <c r="Y99" t="s">
        <v>73</v>
      </c>
      <c r="Z99">
        <v>0</v>
      </c>
      <c r="AA99">
        <v>0</v>
      </c>
      <c r="AB99">
        <v>1</v>
      </c>
      <c r="AC99">
        <v>0</v>
      </c>
      <c r="AD99">
        <v>0</v>
      </c>
      <c r="AE99">
        <v>0</v>
      </c>
      <c r="AF99">
        <v>0</v>
      </c>
      <c r="AG99">
        <v>0</v>
      </c>
      <c r="AH99" t="s">
        <v>73</v>
      </c>
      <c r="AI99">
        <v>0</v>
      </c>
      <c r="AJ99">
        <v>0</v>
      </c>
      <c r="AK99">
        <v>0</v>
      </c>
      <c r="AL99">
        <v>0</v>
      </c>
      <c r="AM99">
        <v>1</v>
      </c>
      <c r="AN99">
        <v>0</v>
      </c>
      <c r="AO99">
        <v>0</v>
      </c>
      <c r="AP99">
        <v>0</v>
      </c>
      <c r="AQ99" s="10">
        <v>0</v>
      </c>
      <c r="AR99" t="s">
        <v>460</v>
      </c>
      <c r="AS99" t="s">
        <v>234</v>
      </c>
      <c r="AT99" s="41" t="s">
        <v>458</v>
      </c>
      <c r="AU99" t="s">
        <v>265</v>
      </c>
      <c r="AV99" s="134">
        <v>1.2999999999999999E-2</v>
      </c>
      <c r="AW99" s="7" t="s">
        <v>86</v>
      </c>
      <c r="AX99" s="7" t="s">
        <v>73</v>
      </c>
      <c r="AY99">
        <v>0.1</v>
      </c>
      <c r="AZ99">
        <v>2</v>
      </c>
      <c r="BA99">
        <f>TINV(0.1,CD99)</f>
        <v>1.6458012044463048</v>
      </c>
      <c r="BC99" s="94">
        <f t="shared" si="44"/>
        <v>1.2999999999999999E-2</v>
      </c>
      <c r="BD99" t="s">
        <v>73</v>
      </c>
      <c r="BE99" t="s">
        <v>73</v>
      </c>
      <c r="BF99" s="10" t="s">
        <v>73</v>
      </c>
      <c r="BG99" t="s">
        <v>73</v>
      </c>
      <c r="BH99" t="s">
        <v>73</v>
      </c>
      <c r="BI99" t="s">
        <v>73</v>
      </c>
      <c r="BJ99">
        <v>1611</v>
      </c>
      <c r="BK99">
        <v>1611</v>
      </c>
      <c r="BL99" t="s">
        <v>73</v>
      </c>
      <c r="BM99" t="s">
        <v>73</v>
      </c>
      <c r="BN99" t="s">
        <v>73</v>
      </c>
      <c r="BO99" t="s">
        <v>73</v>
      </c>
      <c r="BP99" t="s">
        <v>73</v>
      </c>
      <c r="BQ99" t="s">
        <v>73</v>
      </c>
      <c r="BR99" t="s">
        <v>73</v>
      </c>
      <c r="BS99" t="s">
        <v>73</v>
      </c>
      <c r="BT99" t="s">
        <v>73</v>
      </c>
      <c r="BU99" t="s">
        <v>73</v>
      </c>
      <c r="BV99">
        <v>0</v>
      </c>
      <c r="BW99">
        <v>1</v>
      </c>
      <c r="BX99">
        <v>1</v>
      </c>
      <c r="BY99" s="30">
        <f t="shared" si="31"/>
        <v>4.0969891212699401E-2</v>
      </c>
      <c r="BZ99" s="30">
        <f t="shared" si="45"/>
        <v>4.0992837417654034E-2</v>
      </c>
      <c r="CA99" s="30">
        <f t="shared" si="46"/>
        <v>6.2111625851744845E-4</v>
      </c>
      <c r="CB99" s="30">
        <f t="shared" si="47"/>
        <v>6.2189054726368158E-4</v>
      </c>
      <c r="CC99" s="92" t="s">
        <v>73</v>
      </c>
      <c r="CD99">
        <f t="shared" si="39"/>
        <v>1609</v>
      </c>
      <c r="CE99" s="92" t="s">
        <v>73</v>
      </c>
      <c r="CF99" s="30">
        <f t="shared" si="43"/>
        <v>4.0969891212699401E-2</v>
      </c>
      <c r="CG99" s="30">
        <f t="shared" si="48"/>
        <v>4.0992837417654034E-2</v>
      </c>
      <c r="CH99" s="30">
        <f t="shared" si="49"/>
        <v>6.2111625851744845E-4</v>
      </c>
      <c r="CI99" s="30">
        <f t="shared" si="50"/>
        <v>6.2189054726368158E-4</v>
      </c>
      <c r="CJ99" s="102"/>
    </row>
    <row r="100" spans="1:88">
      <c r="A100" t="s">
        <v>445</v>
      </c>
      <c r="C100">
        <v>22</v>
      </c>
      <c r="D100" s="92">
        <v>1279</v>
      </c>
      <c r="E100">
        <v>407</v>
      </c>
      <c r="F100" t="s">
        <v>452</v>
      </c>
      <c r="G100">
        <v>2021</v>
      </c>
      <c r="H100" t="s">
        <v>453</v>
      </c>
      <c r="I100" t="s">
        <v>454</v>
      </c>
      <c r="J100">
        <v>2</v>
      </c>
      <c r="K100" t="s">
        <v>455</v>
      </c>
      <c r="L100" t="s">
        <v>73</v>
      </c>
      <c r="M100">
        <v>9</v>
      </c>
      <c r="N100" s="188" t="s">
        <v>93</v>
      </c>
      <c r="O100" t="s">
        <v>242</v>
      </c>
      <c r="P100" t="s">
        <v>148</v>
      </c>
      <c r="Q100" t="s">
        <v>294</v>
      </c>
      <c r="R100" t="s">
        <v>307</v>
      </c>
      <c r="S100" t="s">
        <v>336</v>
      </c>
      <c r="T100">
        <v>1</v>
      </c>
      <c r="U100" t="s">
        <v>231</v>
      </c>
      <c r="V100">
        <v>0</v>
      </c>
      <c r="W100" t="s">
        <v>232</v>
      </c>
      <c r="X100" t="s">
        <v>232</v>
      </c>
      <c r="Y100" t="s">
        <v>73</v>
      </c>
      <c r="Z100">
        <v>0</v>
      </c>
      <c r="AA100">
        <v>0</v>
      </c>
      <c r="AB100">
        <v>1</v>
      </c>
      <c r="AC100">
        <v>0</v>
      </c>
      <c r="AD100">
        <v>0</v>
      </c>
      <c r="AE100">
        <v>0</v>
      </c>
      <c r="AF100">
        <v>0</v>
      </c>
      <c r="AG100">
        <v>0</v>
      </c>
      <c r="AH100" t="s">
        <v>73</v>
      </c>
      <c r="AI100">
        <v>0</v>
      </c>
      <c r="AJ100">
        <v>0</v>
      </c>
      <c r="AK100">
        <v>0</v>
      </c>
      <c r="AL100">
        <v>0</v>
      </c>
      <c r="AM100">
        <v>1</v>
      </c>
      <c r="AN100">
        <v>0</v>
      </c>
      <c r="AO100">
        <v>0</v>
      </c>
      <c r="AP100">
        <v>0</v>
      </c>
      <c r="AQ100" s="10">
        <v>0</v>
      </c>
      <c r="AR100" t="s">
        <v>457</v>
      </c>
      <c r="AS100" t="s">
        <v>234</v>
      </c>
      <c r="AT100" t="s">
        <v>460</v>
      </c>
      <c r="AU100" t="s">
        <v>265</v>
      </c>
      <c r="AV100" s="134">
        <v>1.4E-2</v>
      </c>
      <c r="AW100" s="7" t="s">
        <v>86</v>
      </c>
      <c r="AX100" s="7" t="s">
        <v>73</v>
      </c>
      <c r="AY100">
        <v>0.1</v>
      </c>
      <c r="AZ100">
        <v>2</v>
      </c>
      <c r="BA100">
        <f>TINV(0.1,CD100)</f>
        <v>1.6458012044463048</v>
      </c>
      <c r="BC100" s="94">
        <f t="shared" si="44"/>
        <v>1.4E-2</v>
      </c>
      <c r="BD100" t="s">
        <v>73</v>
      </c>
      <c r="BE100" t="s">
        <v>73</v>
      </c>
      <c r="BF100" s="10" t="s">
        <v>73</v>
      </c>
      <c r="BG100" t="s">
        <v>73</v>
      </c>
      <c r="BH100" t="s">
        <v>73</v>
      </c>
      <c r="BI100" t="s">
        <v>73</v>
      </c>
      <c r="BJ100">
        <v>1611</v>
      </c>
      <c r="BK100">
        <v>1611</v>
      </c>
      <c r="BL100" t="s">
        <v>73</v>
      </c>
      <c r="BM100" t="s">
        <v>73</v>
      </c>
      <c r="BN100" t="s">
        <v>73</v>
      </c>
      <c r="BO100" t="s">
        <v>73</v>
      </c>
      <c r="BP100" t="s">
        <v>73</v>
      </c>
      <c r="BQ100" t="s">
        <v>73</v>
      </c>
      <c r="BR100" t="s">
        <v>73</v>
      </c>
      <c r="BS100" t="s">
        <v>73</v>
      </c>
      <c r="BT100" t="s">
        <v>73</v>
      </c>
      <c r="BU100" t="s">
        <v>73</v>
      </c>
      <c r="BV100">
        <v>0</v>
      </c>
      <c r="BW100">
        <v>1</v>
      </c>
      <c r="BX100">
        <v>1</v>
      </c>
      <c r="BY100" s="30">
        <f t="shared" si="31"/>
        <v>4.0969891212699401E-2</v>
      </c>
      <c r="BZ100" s="30">
        <f t="shared" si="45"/>
        <v>4.0992837417654034E-2</v>
      </c>
      <c r="CA100" s="30">
        <f t="shared" si="46"/>
        <v>6.2111625851744845E-4</v>
      </c>
      <c r="CB100" s="30">
        <f t="shared" si="47"/>
        <v>6.2189054726368158E-4</v>
      </c>
      <c r="CC100" s="92" t="s">
        <v>73</v>
      </c>
      <c r="CD100">
        <f t="shared" si="39"/>
        <v>1609</v>
      </c>
      <c r="CE100" s="92" t="s">
        <v>73</v>
      </c>
      <c r="CF100" s="30">
        <f t="shared" si="43"/>
        <v>4.0969891212699401E-2</v>
      </c>
      <c r="CG100" s="30">
        <f t="shared" si="48"/>
        <v>4.0992837417654034E-2</v>
      </c>
      <c r="CH100" s="30">
        <f t="shared" si="49"/>
        <v>6.2111625851744845E-4</v>
      </c>
      <c r="CI100" s="30">
        <f t="shared" si="50"/>
        <v>6.2189054726368158E-4</v>
      </c>
      <c r="CJ100" s="102"/>
    </row>
    <row r="101" spans="1:88">
      <c r="A101" t="s">
        <v>445</v>
      </c>
      <c r="C101">
        <v>22</v>
      </c>
      <c r="D101" s="92">
        <v>1299</v>
      </c>
      <c r="E101">
        <v>407</v>
      </c>
      <c r="F101" t="s">
        <v>452</v>
      </c>
      <c r="G101">
        <v>2021</v>
      </c>
      <c r="H101" t="s">
        <v>453</v>
      </c>
      <c r="I101" t="s">
        <v>454</v>
      </c>
      <c r="J101">
        <v>2</v>
      </c>
      <c r="K101" t="s">
        <v>455</v>
      </c>
      <c r="L101" t="s">
        <v>73</v>
      </c>
      <c r="M101">
        <v>9</v>
      </c>
      <c r="N101" s="188" t="s">
        <v>93</v>
      </c>
      <c r="O101" t="s">
        <v>242</v>
      </c>
      <c r="P101" t="s">
        <v>320</v>
      </c>
      <c r="Q101" t="s">
        <v>294</v>
      </c>
      <c r="R101" t="s">
        <v>307</v>
      </c>
      <c r="S101" t="s">
        <v>336</v>
      </c>
      <c r="T101">
        <v>1</v>
      </c>
      <c r="U101" t="s">
        <v>231</v>
      </c>
      <c r="V101">
        <v>0</v>
      </c>
      <c r="W101" t="s">
        <v>232</v>
      </c>
      <c r="X101" t="s">
        <v>232</v>
      </c>
      <c r="Y101" t="s">
        <v>73</v>
      </c>
      <c r="Z101">
        <v>0</v>
      </c>
      <c r="AA101">
        <v>0</v>
      </c>
      <c r="AB101">
        <v>1</v>
      </c>
      <c r="AC101">
        <v>0</v>
      </c>
      <c r="AD101">
        <v>0</v>
      </c>
      <c r="AE101">
        <v>0</v>
      </c>
      <c r="AF101">
        <v>0</v>
      </c>
      <c r="AG101">
        <v>0</v>
      </c>
      <c r="AH101" t="s">
        <v>73</v>
      </c>
      <c r="AI101">
        <v>0</v>
      </c>
      <c r="AJ101">
        <v>0</v>
      </c>
      <c r="AK101">
        <v>0</v>
      </c>
      <c r="AL101">
        <v>0</v>
      </c>
      <c r="AM101">
        <v>1</v>
      </c>
      <c r="AN101">
        <v>0</v>
      </c>
      <c r="AO101">
        <v>0</v>
      </c>
      <c r="AP101">
        <v>0</v>
      </c>
      <c r="AQ101" s="10">
        <v>0</v>
      </c>
      <c r="AR101" t="s">
        <v>457</v>
      </c>
      <c r="AS101" t="s">
        <v>234</v>
      </c>
      <c r="AT101" t="s">
        <v>460</v>
      </c>
      <c r="AU101" t="s">
        <v>265</v>
      </c>
      <c r="AV101" s="134">
        <v>0.04</v>
      </c>
      <c r="AW101" s="7" t="s">
        <v>80</v>
      </c>
      <c r="AX101" s="7" t="s">
        <v>73</v>
      </c>
      <c r="AY101">
        <v>0.1</v>
      </c>
      <c r="AZ101">
        <v>1</v>
      </c>
      <c r="BA101">
        <f>TINV(AY101,CD101)</f>
        <v>1.6458012044463048</v>
      </c>
      <c r="BC101" s="94">
        <f t="shared" si="44"/>
        <v>0.04</v>
      </c>
      <c r="BD101" t="s">
        <v>73</v>
      </c>
      <c r="BE101" t="s">
        <v>73</v>
      </c>
      <c r="BF101" s="10" t="s">
        <v>73</v>
      </c>
      <c r="BG101" t="s">
        <v>73</v>
      </c>
      <c r="BH101" t="s">
        <v>73</v>
      </c>
      <c r="BI101" t="s">
        <v>73</v>
      </c>
      <c r="BJ101">
        <v>1611</v>
      </c>
      <c r="BK101">
        <v>1611</v>
      </c>
      <c r="BL101" t="s">
        <v>73</v>
      </c>
      <c r="BM101" t="s">
        <v>73</v>
      </c>
      <c r="BN101" t="s">
        <v>73</v>
      </c>
      <c r="BO101" t="s">
        <v>73</v>
      </c>
      <c r="BP101" t="s">
        <v>73</v>
      </c>
      <c r="BQ101" t="s">
        <v>73</v>
      </c>
      <c r="BR101" t="s">
        <v>73</v>
      </c>
      <c r="BS101" t="s">
        <v>73</v>
      </c>
      <c r="BT101" t="s">
        <v>73</v>
      </c>
      <c r="BU101" t="s">
        <v>73</v>
      </c>
      <c r="BV101">
        <v>0</v>
      </c>
      <c r="BW101">
        <v>1</v>
      </c>
      <c r="BX101">
        <v>1</v>
      </c>
      <c r="BY101" s="30">
        <f t="shared" si="31"/>
        <v>4.0969891212699401E-2</v>
      </c>
      <c r="BZ101" s="30">
        <f t="shared" si="45"/>
        <v>4.0992837417654034E-2</v>
      </c>
      <c r="CA101" s="30">
        <f t="shared" si="46"/>
        <v>6.2111625851744845E-4</v>
      </c>
      <c r="CB101" s="30">
        <f t="shared" si="47"/>
        <v>6.2189054726368158E-4</v>
      </c>
      <c r="CC101" s="92" t="s">
        <v>73</v>
      </c>
      <c r="CD101">
        <f t="shared" si="39"/>
        <v>1609</v>
      </c>
      <c r="CE101" s="92" t="s">
        <v>73</v>
      </c>
      <c r="CF101" s="30">
        <f t="shared" si="43"/>
        <v>4.0969891212699401E-2</v>
      </c>
      <c r="CG101" s="30">
        <f t="shared" si="48"/>
        <v>4.0992837417654034E-2</v>
      </c>
      <c r="CH101" s="30">
        <f t="shared" si="49"/>
        <v>6.2111625851744845E-4</v>
      </c>
      <c r="CI101" s="30">
        <f t="shared" si="50"/>
        <v>6.2189054726368158E-4</v>
      </c>
      <c r="CJ101" s="102"/>
    </row>
    <row r="102" spans="1:88">
      <c r="A102" t="s">
        <v>445</v>
      </c>
      <c r="C102">
        <v>22</v>
      </c>
      <c r="D102" s="92">
        <v>1298</v>
      </c>
      <c r="E102">
        <v>407</v>
      </c>
      <c r="F102" t="s">
        <v>452</v>
      </c>
      <c r="G102">
        <v>2021</v>
      </c>
      <c r="H102" t="s">
        <v>453</v>
      </c>
      <c r="I102" t="s">
        <v>454</v>
      </c>
      <c r="J102">
        <v>2</v>
      </c>
      <c r="K102" t="s">
        <v>455</v>
      </c>
      <c r="L102" t="s">
        <v>73</v>
      </c>
      <c r="M102">
        <v>9</v>
      </c>
      <c r="N102" s="188" t="s">
        <v>93</v>
      </c>
      <c r="O102" t="s">
        <v>242</v>
      </c>
      <c r="P102" t="s">
        <v>320</v>
      </c>
      <c r="Q102" t="s">
        <v>294</v>
      </c>
      <c r="R102" t="s">
        <v>307</v>
      </c>
      <c r="S102" t="s">
        <v>336</v>
      </c>
      <c r="T102">
        <v>1</v>
      </c>
      <c r="U102" t="s">
        <v>231</v>
      </c>
      <c r="V102">
        <v>0</v>
      </c>
      <c r="W102" t="s">
        <v>232</v>
      </c>
      <c r="X102" t="s">
        <v>232</v>
      </c>
      <c r="Y102" t="s">
        <v>73</v>
      </c>
      <c r="Z102">
        <v>0</v>
      </c>
      <c r="AA102">
        <v>0</v>
      </c>
      <c r="AB102">
        <v>1</v>
      </c>
      <c r="AC102">
        <v>0</v>
      </c>
      <c r="AD102">
        <v>0</v>
      </c>
      <c r="AE102">
        <v>0</v>
      </c>
      <c r="AF102">
        <v>0</v>
      </c>
      <c r="AG102">
        <v>0</v>
      </c>
      <c r="AH102" t="s">
        <v>73</v>
      </c>
      <c r="AI102">
        <v>0</v>
      </c>
      <c r="AJ102">
        <v>0</v>
      </c>
      <c r="AK102">
        <v>0</v>
      </c>
      <c r="AL102">
        <v>0</v>
      </c>
      <c r="AM102">
        <v>1</v>
      </c>
      <c r="AN102">
        <v>0</v>
      </c>
      <c r="AO102">
        <v>0</v>
      </c>
      <c r="AP102">
        <v>0</v>
      </c>
      <c r="AQ102" s="10">
        <v>0</v>
      </c>
      <c r="AR102" t="s">
        <v>460</v>
      </c>
      <c r="AS102" t="s">
        <v>234</v>
      </c>
      <c r="AT102" s="41" t="s">
        <v>458</v>
      </c>
      <c r="AU102" t="s">
        <v>265</v>
      </c>
      <c r="AV102" s="134">
        <v>4.1000000000000002E-2</v>
      </c>
      <c r="AW102" s="7" t="s">
        <v>86</v>
      </c>
      <c r="AX102" s="7" t="s">
        <v>73</v>
      </c>
      <c r="AY102">
        <v>0.1</v>
      </c>
      <c r="AZ102">
        <v>1</v>
      </c>
      <c r="BA102">
        <f>TINV(AY102,CD102)</f>
        <v>1.6458012044463048</v>
      </c>
      <c r="BC102" s="94">
        <f t="shared" si="44"/>
        <v>4.1000000000000002E-2</v>
      </c>
      <c r="BD102" t="s">
        <v>73</v>
      </c>
      <c r="BE102" t="s">
        <v>73</v>
      </c>
      <c r="BF102" s="10" t="s">
        <v>73</v>
      </c>
      <c r="BG102" t="s">
        <v>73</v>
      </c>
      <c r="BH102" t="s">
        <v>73</v>
      </c>
      <c r="BI102" t="s">
        <v>73</v>
      </c>
      <c r="BJ102">
        <v>1611</v>
      </c>
      <c r="BK102">
        <v>1611</v>
      </c>
      <c r="BL102" t="s">
        <v>73</v>
      </c>
      <c r="BM102" t="s">
        <v>73</v>
      </c>
      <c r="BN102" t="s">
        <v>73</v>
      </c>
      <c r="BO102" t="s">
        <v>73</v>
      </c>
      <c r="BP102" t="s">
        <v>73</v>
      </c>
      <c r="BQ102" t="s">
        <v>73</v>
      </c>
      <c r="BR102" t="s">
        <v>73</v>
      </c>
      <c r="BS102" t="s">
        <v>73</v>
      </c>
      <c r="BT102" t="s">
        <v>73</v>
      </c>
      <c r="BU102" t="s">
        <v>73</v>
      </c>
      <c r="BV102">
        <v>0</v>
      </c>
      <c r="BW102">
        <v>1</v>
      </c>
      <c r="BX102">
        <v>1</v>
      </c>
      <c r="BY102" s="30">
        <f t="shared" si="31"/>
        <v>4.0969891212699401E-2</v>
      </c>
      <c r="BZ102" s="30">
        <f t="shared" si="45"/>
        <v>4.0992837417654034E-2</v>
      </c>
      <c r="CA102" s="30">
        <f t="shared" si="46"/>
        <v>6.2111625851744845E-4</v>
      </c>
      <c r="CB102" s="30">
        <f t="shared" si="47"/>
        <v>6.2189054726368158E-4</v>
      </c>
      <c r="CC102" s="92" t="s">
        <v>73</v>
      </c>
      <c r="CD102">
        <f t="shared" si="39"/>
        <v>1609</v>
      </c>
      <c r="CE102" s="92" t="s">
        <v>73</v>
      </c>
      <c r="CF102" s="30">
        <f t="shared" si="43"/>
        <v>4.0969891212699401E-2</v>
      </c>
      <c r="CG102" s="30">
        <f t="shared" si="48"/>
        <v>4.0992837417654034E-2</v>
      </c>
      <c r="CH102" s="30">
        <f t="shared" si="49"/>
        <v>6.2111625851744845E-4</v>
      </c>
      <c r="CI102" s="30">
        <f t="shared" si="50"/>
        <v>6.2189054726368158E-4</v>
      </c>
      <c r="CJ102" s="102"/>
    </row>
    <row r="103" spans="1:88">
      <c r="A103" t="s">
        <v>445</v>
      </c>
      <c r="C103">
        <v>22</v>
      </c>
      <c r="D103" s="92">
        <v>1291</v>
      </c>
      <c r="E103">
        <v>407</v>
      </c>
      <c r="F103" t="s">
        <v>452</v>
      </c>
      <c r="G103">
        <v>2021</v>
      </c>
      <c r="H103" t="s">
        <v>453</v>
      </c>
      <c r="I103" t="s">
        <v>454</v>
      </c>
      <c r="J103">
        <v>2</v>
      </c>
      <c r="K103" t="s">
        <v>455</v>
      </c>
      <c r="L103" t="s">
        <v>73</v>
      </c>
      <c r="M103">
        <v>9</v>
      </c>
      <c r="N103" s="188" t="s">
        <v>93</v>
      </c>
      <c r="O103" t="s">
        <v>242</v>
      </c>
      <c r="P103" t="s">
        <v>300</v>
      </c>
      <c r="Q103" t="s">
        <v>294</v>
      </c>
      <c r="R103" t="s">
        <v>307</v>
      </c>
      <c r="S103" t="s">
        <v>336</v>
      </c>
      <c r="T103">
        <v>1</v>
      </c>
      <c r="U103" t="s">
        <v>231</v>
      </c>
      <c r="V103">
        <v>0</v>
      </c>
      <c r="W103" t="s">
        <v>232</v>
      </c>
      <c r="X103" t="s">
        <v>232</v>
      </c>
      <c r="Y103" t="s">
        <v>73</v>
      </c>
      <c r="Z103">
        <v>0</v>
      </c>
      <c r="AA103">
        <v>0</v>
      </c>
      <c r="AB103">
        <v>1</v>
      </c>
      <c r="AC103">
        <v>0</v>
      </c>
      <c r="AD103">
        <v>0</v>
      </c>
      <c r="AE103">
        <v>0</v>
      </c>
      <c r="AF103">
        <v>0</v>
      </c>
      <c r="AG103">
        <v>0</v>
      </c>
      <c r="AH103" t="s">
        <v>73</v>
      </c>
      <c r="AI103">
        <v>0</v>
      </c>
      <c r="AJ103">
        <v>0</v>
      </c>
      <c r="AK103">
        <v>0</v>
      </c>
      <c r="AL103">
        <v>0</v>
      </c>
      <c r="AM103">
        <v>1</v>
      </c>
      <c r="AN103">
        <v>0</v>
      </c>
      <c r="AO103">
        <v>0</v>
      </c>
      <c r="AP103">
        <v>0</v>
      </c>
      <c r="AQ103" s="10">
        <v>0</v>
      </c>
      <c r="AR103" t="s">
        <v>457</v>
      </c>
      <c r="AS103" t="s">
        <v>234</v>
      </c>
      <c r="AT103" t="s">
        <v>460</v>
      </c>
      <c r="AU103" t="s">
        <v>265</v>
      </c>
      <c r="AV103" s="134">
        <v>5.8999999999999997E-2</v>
      </c>
      <c r="AW103" s="7" t="s">
        <v>80</v>
      </c>
      <c r="AX103" s="7" t="s">
        <v>73</v>
      </c>
      <c r="AY103">
        <v>0.1</v>
      </c>
      <c r="AZ103">
        <v>2</v>
      </c>
      <c r="BA103">
        <f>TINV(0.1,CD103)</f>
        <v>1.6458012044463048</v>
      </c>
      <c r="BC103" s="94">
        <f t="shared" si="44"/>
        <v>5.8999999999999997E-2</v>
      </c>
      <c r="BD103" t="s">
        <v>73</v>
      </c>
      <c r="BE103" t="s">
        <v>73</v>
      </c>
      <c r="BF103" s="10" t="s">
        <v>73</v>
      </c>
      <c r="BG103" t="s">
        <v>73</v>
      </c>
      <c r="BH103" t="s">
        <v>73</v>
      </c>
      <c r="BI103" t="s">
        <v>73</v>
      </c>
      <c r="BJ103">
        <v>1611</v>
      </c>
      <c r="BK103">
        <v>1611</v>
      </c>
      <c r="BL103" t="s">
        <v>73</v>
      </c>
      <c r="BM103" t="s">
        <v>73</v>
      </c>
      <c r="BN103" t="s">
        <v>73</v>
      </c>
      <c r="BO103" t="s">
        <v>73</v>
      </c>
      <c r="BP103" t="s">
        <v>73</v>
      </c>
      <c r="BQ103" t="s">
        <v>73</v>
      </c>
      <c r="BR103" t="s">
        <v>73</v>
      </c>
      <c r="BS103" t="s">
        <v>73</v>
      </c>
      <c r="BT103" t="s">
        <v>73</v>
      </c>
      <c r="BU103" t="s">
        <v>73</v>
      </c>
      <c r="BV103">
        <v>0</v>
      </c>
      <c r="BW103">
        <v>1</v>
      </c>
      <c r="BX103">
        <v>1</v>
      </c>
      <c r="BY103" s="30">
        <f t="shared" si="31"/>
        <v>4.0969891212699401E-2</v>
      </c>
      <c r="BZ103" s="30">
        <f t="shared" si="45"/>
        <v>4.0992837417654034E-2</v>
      </c>
      <c r="CA103" s="30">
        <f t="shared" si="46"/>
        <v>6.2111625851744845E-4</v>
      </c>
      <c r="CB103" s="30">
        <f t="shared" si="47"/>
        <v>6.2189054726368158E-4</v>
      </c>
      <c r="CC103" s="92" t="s">
        <v>73</v>
      </c>
      <c r="CD103">
        <f t="shared" si="39"/>
        <v>1609</v>
      </c>
      <c r="CE103" s="92" t="s">
        <v>73</v>
      </c>
      <c r="CF103" s="30">
        <f t="shared" si="43"/>
        <v>4.0969891212699401E-2</v>
      </c>
      <c r="CG103" s="30">
        <f t="shared" si="48"/>
        <v>4.0992837417654034E-2</v>
      </c>
      <c r="CH103" s="30">
        <f t="shared" si="49"/>
        <v>6.2111625851744845E-4</v>
      </c>
      <c r="CI103" s="30">
        <f t="shared" si="50"/>
        <v>6.2189054726368158E-4</v>
      </c>
      <c r="CJ103" s="102"/>
    </row>
    <row r="104" spans="1:88">
      <c r="A104" t="s">
        <v>445</v>
      </c>
      <c r="C104">
        <v>22</v>
      </c>
      <c r="D104" s="92">
        <v>1275</v>
      </c>
      <c r="E104">
        <v>407</v>
      </c>
      <c r="F104" t="s">
        <v>452</v>
      </c>
      <c r="G104">
        <v>2021</v>
      </c>
      <c r="H104" t="s">
        <v>453</v>
      </c>
      <c r="I104" t="s">
        <v>454</v>
      </c>
      <c r="J104">
        <v>2</v>
      </c>
      <c r="K104" t="s">
        <v>455</v>
      </c>
      <c r="L104" t="s">
        <v>73</v>
      </c>
      <c r="M104">
        <v>8</v>
      </c>
      <c r="N104" s="188" t="s">
        <v>93</v>
      </c>
      <c r="O104" t="s">
        <v>242</v>
      </c>
      <c r="P104" s="112" t="s">
        <v>456</v>
      </c>
      <c r="Q104" t="s">
        <v>294</v>
      </c>
      <c r="R104" t="s">
        <v>307</v>
      </c>
      <c r="S104" t="s">
        <v>336</v>
      </c>
      <c r="T104">
        <v>1</v>
      </c>
      <c r="U104" t="s">
        <v>231</v>
      </c>
      <c r="V104">
        <v>0</v>
      </c>
      <c r="W104" t="s">
        <v>232</v>
      </c>
      <c r="X104" t="s">
        <v>232</v>
      </c>
      <c r="Y104" t="s">
        <v>73</v>
      </c>
      <c r="Z104">
        <v>0</v>
      </c>
      <c r="AA104">
        <v>0</v>
      </c>
      <c r="AB104">
        <v>1</v>
      </c>
      <c r="AC104">
        <v>0</v>
      </c>
      <c r="AD104">
        <v>0</v>
      </c>
      <c r="AE104">
        <v>0</v>
      </c>
      <c r="AF104">
        <v>0</v>
      </c>
      <c r="AG104">
        <v>0</v>
      </c>
      <c r="AH104" t="s">
        <v>73</v>
      </c>
      <c r="AI104">
        <v>0</v>
      </c>
      <c r="AJ104">
        <v>0</v>
      </c>
      <c r="AK104">
        <v>0</v>
      </c>
      <c r="AL104">
        <v>0</v>
      </c>
      <c r="AM104">
        <v>1</v>
      </c>
      <c r="AN104">
        <v>0</v>
      </c>
      <c r="AO104">
        <v>0</v>
      </c>
      <c r="AP104">
        <v>0</v>
      </c>
      <c r="AQ104" s="10">
        <v>0</v>
      </c>
      <c r="AR104" t="s">
        <v>457</v>
      </c>
      <c r="AS104" t="s">
        <v>234</v>
      </c>
      <c r="AT104" s="41" t="s">
        <v>458</v>
      </c>
      <c r="AU104" t="s">
        <v>265</v>
      </c>
      <c r="AV104" s="134">
        <v>6.4000000000000001E-2</v>
      </c>
      <c r="AW104" s="7" t="s">
        <v>86</v>
      </c>
      <c r="AX104" s="7" t="s">
        <v>73</v>
      </c>
      <c r="AY104">
        <v>0.05</v>
      </c>
      <c r="AZ104">
        <v>1</v>
      </c>
      <c r="BA104">
        <f>TINV(AY104,CD104)</f>
        <v>1.9614394515458273</v>
      </c>
      <c r="BC104" s="94">
        <f t="shared" si="44"/>
        <v>6.4000000000000001E-2</v>
      </c>
      <c r="BD104" t="s">
        <v>73</v>
      </c>
      <c r="BE104" t="s">
        <v>73</v>
      </c>
      <c r="BF104" s="10" t="s">
        <v>73</v>
      </c>
      <c r="BG104" t="s">
        <v>73</v>
      </c>
      <c r="BH104" t="s">
        <v>73</v>
      </c>
      <c r="BI104" t="s">
        <v>73</v>
      </c>
      <c r="BJ104">
        <v>1611</v>
      </c>
      <c r="BK104">
        <v>1611</v>
      </c>
      <c r="BL104" t="s">
        <v>73</v>
      </c>
      <c r="BM104" t="s">
        <v>73</v>
      </c>
      <c r="BN104" t="s">
        <v>73</v>
      </c>
      <c r="BO104" t="s">
        <v>73</v>
      </c>
      <c r="BP104" t="s">
        <v>73</v>
      </c>
      <c r="BQ104" t="s">
        <v>73</v>
      </c>
      <c r="BR104" t="s">
        <v>73</v>
      </c>
      <c r="BS104" t="s">
        <v>73</v>
      </c>
      <c r="BT104" t="s">
        <v>73</v>
      </c>
      <c r="BU104" t="s">
        <v>73</v>
      </c>
      <c r="BV104">
        <v>0</v>
      </c>
      <c r="BW104">
        <v>1</v>
      </c>
      <c r="BX104">
        <v>1</v>
      </c>
      <c r="BY104" s="30">
        <f t="shared" si="31"/>
        <v>4.8810042166661197E-2</v>
      </c>
      <c r="BZ104" s="30">
        <f t="shared" si="45"/>
        <v>4.8848859679970422E-2</v>
      </c>
      <c r="CA104" s="30">
        <f t="shared" si="46"/>
        <v>6.2111447577430079E-4</v>
      </c>
      <c r="CB104" s="30">
        <f t="shared" si="47"/>
        <v>6.2189054726368158E-4</v>
      </c>
      <c r="CC104" s="92" t="s">
        <v>73</v>
      </c>
      <c r="CD104">
        <f t="shared" si="39"/>
        <v>1609</v>
      </c>
      <c r="CE104" s="92" t="s">
        <v>73</v>
      </c>
      <c r="CF104" s="30">
        <f t="shared" si="43"/>
        <v>4.8810042166661197E-2</v>
      </c>
      <c r="CG104" s="30">
        <f t="shared" si="48"/>
        <v>4.8848859679970422E-2</v>
      </c>
      <c r="CH104" s="30">
        <f t="shared" si="49"/>
        <v>6.2111447577430079E-4</v>
      </c>
      <c r="CI104" s="30">
        <f t="shared" si="50"/>
        <v>6.2189054726368158E-4</v>
      </c>
    </row>
    <row r="105" spans="1:88">
      <c r="A105" t="s">
        <v>445</v>
      </c>
      <c r="C105">
        <v>22</v>
      </c>
      <c r="D105" s="92">
        <v>1275</v>
      </c>
      <c r="E105">
        <v>407</v>
      </c>
      <c r="F105" t="s">
        <v>452</v>
      </c>
      <c r="G105">
        <v>2021</v>
      </c>
      <c r="H105" t="s">
        <v>453</v>
      </c>
      <c r="I105" t="s">
        <v>454</v>
      </c>
      <c r="J105">
        <v>2</v>
      </c>
      <c r="K105" t="s">
        <v>455</v>
      </c>
      <c r="L105" t="s">
        <v>73</v>
      </c>
      <c r="M105">
        <v>8</v>
      </c>
      <c r="N105" s="188" t="s">
        <v>93</v>
      </c>
      <c r="O105" t="s">
        <v>242</v>
      </c>
      <c r="P105" s="112" t="s">
        <v>456</v>
      </c>
      <c r="Q105" t="s">
        <v>294</v>
      </c>
      <c r="R105" t="s">
        <v>307</v>
      </c>
      <c r="S105" t="s">
        <v>336</v>
      </c>
      <c r="T105">
        <v>1</v>
      </c>
      <c r="U105" t="s">
        <v>231</v>
      </c>
      <c r="V105">
        <v>0</v>
      </c>
      <c r="W105" t="s">
        <v>232</v>
      </c>
      <c r="X105" t="s">
        <v>232</v>
      </c>
      <c r="Y105" t="s">
        <v>73</v>
      </c>
      <c r="Z105">
        <v>0</v>
      </c>
      <c r="AA105">
        <v>0</v>
      </c>
      <c r="AB105">
        <v>1</v>
      </c>
      <c r="AC105">
        <v>0</v>
      </c>
      <c r="AD105">
        <v>0</v>
      </c>
      <c r="AE105">
        <v>0</v>
      </c>
      <c r="AF105">
        <v>0</v>
      </c>
      <c r="AG105">
        <v>0</v>
      </c>
      <c r="AH105" t="s">
        <v>73</v>
      </c>
      <c r="AI105">
        <v>0</v>
      </c>
      <c r="AJ105">
        <v>0</v>
      </c>
      <c r="AK105">
        <v>0</v>
      </c>
      <c r="AL105">
        <v>0</v>
      </c>
      <c r="AM105">
        <v>1</v>
      </c>
      <c r="AN105">
        <v>0</v>
      </c>
      <c r="AO105">
        <v>0</v>
      </c>
      <c r="AP105">
        <v>0</v>
      </c>
      <c r="AQ105" s="10">
        <v>0</v>
      </c>
      <c r="AR105" t="s">
        <v>457</v>
      </c>
      <c r="AS105" t="s">
        <v>234</v>
      </c>
      <c r="AT105" s="41" t="s">
        <v>458</v>
      </c>
      <c r="AU105" t="s">
        <v>265</v>
      </c>
      <c r="AV105" s="134">
        <v>6.7000000000000004E-2</v>
      </c>
      <c r="AW105" s="7" t="s">
        <v>86</v>
      </c>
      <c r="AX105" s="7" t="s">
        <v>73</v>
      </c>
      <c r="AY105">
        <v>0.05</v>
      </c>
      <c r="AZ105">
        <v>1</v>
      </c>
      <c r="BA105">
        <f>TINV(AY105,CD105)</f>
        <v>1.9614394515458273</v>
      </c>
      <c r="BC105" s="94">
        <f t="shared" si="44"/>
        <v>6.7000000000000004E-2</v>
      </c>
      <c r="BD105" t="s">
        <v>73</v>
      </c>
      <c r="BE105" t="s">
        <v>73</v>
      </c>
      <c r="BF105" s="10" t="s">
        <v>73</v>
      </c>
      <c r="BG105" t="s">
        <v>73</v>
      </c>
      <c r="BH105" t="s">
        <v>73</v>
      </c>
      <c r="BI105" t="s">
        <v>73</v>
      </c>
      <c r="BJ105">
        <v>1611</v>
      </c>
      <c r="BK105">
        <v>1611</v>
      </c>
      <c r="BL105" t="s">
        <v>73</v>
      </c>
      <c r="BM105" t="s">
        <v>73</v>
      </c>
      <c r="BN105" t="s">
        <v>73</v>
      </c>
      <c r="BO105" t="s">
        <v>73</v>
      </c>
      <c r="BP105" t="s">
        <v>73</v>
      </c>
      <c r="BQ105" t="s">
        <v>73</v>
      </c>
      <c r="BR105" t="s">
        <v>73</v>
      </c>
      <c r="BS105" t="s">
        <v>73</v>
      </c>
      <c r="BT105" t="s">
        <v>73</v>
      </c>
      <c r="BU105" t="s">
        <v>73</v>
      </c>
      <c r="BV105">
        <v>0</v>
      </c>
      <c r="BW105">
        <v>1</v>
      </c>
      <c r="BX105">
        <v>1</v>
      </c>
      <c r="BY105" s="30">
        <f t="shared" si="31"/>
        <v>4.8810042166661197E-2</v>
      </c>
      <c r="BZ105" s="30">
        <f t="shared" si="45"/>
        <v>4.8848859679970422E-2</v>
      </c>
      <c r="CA105" s="30">
        <f t="shared" si="46"/>
        <v>6.2111447577430079E-4</v>
      </c>
      <c r="CB105" s="30">
        <f t="shared" si="47"/>
        <v>6.2189054726368158E-4</v>
      </c>
      <c r="CC105" s="92" t="s">
        <v>73</v>
      </c>
      <c r="CD105">
        <f t="shared" si="39"/>
        <v>1609</v>
      </c>
      <c r="CE105" s="92" t="s">
        <v>73</v>
      </c>
      <c r="CF105" s="30">
        <f t="shared" si="43"/>
        <v>4.8810042166661197E-2</v>
      </c>
      <c r="CG105" s="30">
        <f t="shared" si="48"/>
        <v>4.8848859679970422E-2</v>
      </c>
      <c r="CH105" s="30">
        <f t="shared" si="49"/>
        <v>6.2111447577430079E-4</v>
      </c>
      <c r="CI105" s="30">
        <f t="shared" si="50"/>
        <v>6.2189054726368158E-4</v>
      </c>
    </row>
    <row r="106" spans="1:88">
      <c r="A106" t="s">
        <v>445</v>
      </c>
      <c r="C106">
        <v>22</v>
      </c>
      <c r="D106" s="92">
        <v>1296</v>
      </c>
      <c r="E106">
        <v>407</v>
      </c>
      <c r="F106" t="s">
        <v>452</v>
      </c>
      <c r="G106">
        <v>2021</v>
      </c>
      <c r="H106" t="s">
        <v>453</v>
      </c>
      <c r="I106" t="s">
        <v>454</v>
      </c>
      <c r="J106">
        <v>2</v>
      </c>
      <c r="K106" t="s">
        <v>455</v>
      </c>
      <c r="L106" t="s">
        <v>73</v>
      </c>
      <c r="M106">
        <v>9</v>
      </c>
      <c r="N106" s="188" t="s">
        <v>93</v>
      </c>
      <c r="O106" t="s">
        <v>242</v>
      </c>
      <c r="P106" t="s">
        <v>461</v>
      </c>
      <c r="Q106" t="s">
        <v>294</v>
      </c>
      <c r="R106" t="s">
        <v>307</v>
      </c>
      <c r="S106" t="s">
        <v>336</v>
      </c>
      <c r="T106">
        <v>1</v>
      </c>
      <c r="U106" t="s">
        <v>231</v>
      </c>
      <c r="V106">
        <v>0</v>
      </c>
      <c r="W106" t="s">
        <v>232</v>
      </c>
      <c r="X106" t="s">
        <v>232</v>
      </c>
      <c r="Y106" t="s">
        <v>73</v>
      </c>
      <c r="Z106">
        <v>0</v>
      </c>
      <c r="AA106">
        <v>0</v>
      </c>
      <c r="AB106">
        <v>1</v>
      </c>
      <c r="AC106">
        <v>0</v>
      </c>
      <c r="AD106">
        <v>0</v>
      </c>
      <c r="AE106">
        <v>0</v>
      </c>
      <c r="AF106">
        <v>0</v>
      </c>
      <c r="AG106">
        <v>0</v>
      </c>
      <c r="AH106" t="s">
        <v>73</v>
      </c>
      <c r="AI106">
        <v>0</v>
      </c>
      <c r="AJ106">
        <v>0</v>
      </c>
      <c r="AK106">
        <v>0</v>
      </c>
      <c r="AL106">
        <v>0</v>
      </c>
      <c r="AM106">
        <v>1</v>
      </c>
      <c r="AN106">
        <v>0</v>
      </c>
      <c r="AO106">
        <v>0</v>
      </c>
      <c r="AP106">
        <v>0</v>
      </c>
      <c r="AQ106" s="10">
        <v>0</v>
      </c>
      <c r="AR106" t="s">
        <v>460</v>
      </c>
      <c r="AS106" t="s">
        <v>234</v>
      </c>
      <c r="AT106" s="41" t="s">
        <v>458</v>
      </c>
      <c r="AU106" t="s">
        <v>265</v>
      </c>
      <c r="AV106" s="134">
        <v>7.2999999999999995E-2</v>
      </c>
      <c r="AW106" s="7" t="s">
        <v>86</v>
      </c>
      <c r="AX106" s="7" t="s">
        <v>73</v>
      </c>
      <c r="AY106">
        <v>0.1</v>
      </c>
      <c r="AZ106">
        <v>2</v>
      </c>
      <c r="BA106">
        <f>TINV(0.1,CD106)</f>
        <v>1.6458012044463048</v>
      </c>
      <c r="BC106" s="94">
        <f t="shared" si="44"/>
        <v>7.2999999999999995E-2</v>
      </c>
      <c r="BD106" t="s">
        <v>73</v>
      </c>
      <c r="BE106" t="s">
        <v>73</v>
      </c>
      <c r="BF106" s="10" t="s">
        <v>73</v>
      </c>
      <c r="BG106" t="s">
        <v>73</v>
      </c>
      <c r="BH106" t="s">
        <v>73</v>
      </c>
      <c r="BI106" t="s">
        <v>73</v>
      </c>
      <c r="BJ106">
        <v>1611</v>
      </c>
      <c r="BK106">
        <v>1611</v>
      </c>
      <c r="BL106" t="s">
        <v>73</v>
      </c>
      <c r="BM106" t="s">
        <v>73</v>
      </c>
      <c r="BN106" t="s">
        <v>73</v>
      </c>
      <c r="BO106" t="s">
        <v>73</v>
      </c>
      <c r="BP106" t="s">
        <v>73</v>
      </c>
      <c r="BQ106" t="s">
        <v>73</v>
      </c>
      <c r="BR106" t="s">
        <v>73</v>
      </c>
      <c r="BS106" t="s">
        <v>73</v>
      </c>
      <c r="BT106" t="s">
        <v>73</v>
      </c>
      <c r="BU106" t="s">
        <v>73</v>
      </c>
      <c r="BV106">
        <v>0</v>
      </c>
      <c r="BW106">
        <v>1</v>
      </c>
      <c r="BX106">
        <v>1</v>
      </c>
      <c r="BY106" s="30">
        <f t="shared" si="31"/>
        <v>4.0969891212699401E-2</v>
      </c>
      <c r="BZ106" s="30">
        <f t="shared" si="45"/>
        <v>4.0992837417654034E-2</v>
      </c>
      <c r="CA106" s="30">
        <f t="shared" si="46"/>
        <v>6.2111625851744845E-4</v>
      </c>
      <c r="CB106" s="30">
        <f t="shared" si="47"/>
        <v>6.2189054726368158E-4</v>
      </c>
      <c r="CC106" s="92" t="s">
        <v>73</v>
      </c>
      <c r="CD106">
        <f t="shared" si="39"/>
        <v>1609</v>
      </c>
      <c r="CE106" s="92" t="s">
        <v>73</v>
      </c>
      <c r="CF106" s="30">
        <f t="shared" si="43"/>
        <v>4.0969891212699401E-2</v>
      </c>
      <c r="CG106" s="30">
        <f t="shared" si="48"/>
        <v>4.0992837417654034E-2</v>
      </c>
      <c r="CH106" s="30">
        <f t="shared" si="49"/>
        <v>6.2111625851744845E-4</v>
      </c>
      <c r="CI106" s="30">
        <f t="shared" si="50"/>
        <v>6.2189054726368158E-4</v>
      </c>
    </row>
    <row r="107" spans="1:88">
      <c r="A107" t="s">
        <v>445</v>
      </c>
      <c r="C107">
        <v>22</v>
      </c>
      <c r="D107" s="92">
        <v>1297</v>
      </c>
      <c r="E107">
        <v>407</v>
      </c>
      <c r="F107" t="s">
        <v>452</v>
      </c>
      <c r="G107">
        <v>2021</v>
      </c>
      <c r="H107" t="s">
        <v>453</v>
      </c>
      <c r="I107" t="s">
        <v>454</v>
      </c>
      <c r="J107">
        <v>2</v>
      </c>
      <c r="K107" t="s">
        <v>455</v>
      </c>
      <c r="L107" t="s">
        <v>73</v>
      </c>
      <c r="M107">
        <v>9</v>
      </c>
      <c r="N107" s="188" t="s">
        <v>93</v>
      </c>
      <c r="O107" t="s">
        <v>242</v>
      </c>
      <c r="P107" t="s">
        <v>461</v>
      </c>
      <c r="Q107" t="s">
        <v>294</v>
      </c>
      <c r="R107" t="s">
        <v>307</v>
      </c>
      <c r="S107" t="s">
        <v>336</v>
      </c>
      <c r="T107">
        <v>1</v>
      </c>
      <c r="U107" t="s">
        <v>231</v>
      </c>
      <c r="V107">
        <v>0</v>
      </c>
      <c r="W107" t="s">
        <v>232</v>
      </c>
      <c r="X107" t="s">
        <v>232</v>
      </c>
      <c r="Y107" t="s">
        <v>73</v>
      </c>
      <c r="Z107">
        <v>0</v>
      </c>
      <c r="AA107">
        <v>0</v>
      </c>
      <c r="AB107">
        <v>1</v>
      </c>
      <c r="AC107">
        <v>0</v>
      </c>
      <c r="AD107">
        <v>0</v>
      </c>
      <c r="AE107">
        <v>0</v>
      </c>
      <c r="AF107">
        <v>0</v>
      </c>
      <c r="AG107">
        <v>0</v>
      </c>
      <c r="AH107" t="s">
        <v>73</v>
      </c>
      <c r="AI107">
        <v>0</v>
      </c>
      <c r="AJ107">
        <v>0</v>
      </c>
      <c r="AK107">
        <v>0</v>
      </c>
      <c r="AL107">
        <v>0</v>
      </c>
      <c r="AM107">
        <v>1</v>
      </c>
      <c r="AN107">
        <v>0</v>
      </c>
      <c r="AO107">
        <v>0</v>
      </c>
      <c r="AP107">
        <v>0</v>
      </c>
      <c r="AQ107" s="10">
        <v>0</v>
      </c>
      <c r="AR107" t="s">
        <v>457</v>
      </c>
      <c r="AS107" t="s">
        <v>234</v>
      </c>
      <c r="AT107" t="s">
        <v>460</v>
      </c>
      <c r="AU107" t="s">
        <v>265</v>
      </c>
      <c r="AV107" s="134">
        <v>7.2999999999999995E-2</v>
      </c>
      <c r="AW107" s="7" t="s">
        <v>80</v>
      </c>
      <c r="AX107" s="7" t="s">
        <v>73</v>
      </c>
      <c r="AY107">
        <v>0.1</v>
      </c>
      <c r="AZ107">
        <v>2</v>
      </c>
      <c r="BA107">
        <f>TINV(0.1,CD107)</f>
        <v>1.6458012044463048</v>
      </c>
      <c r="BC107" s="94">
        <f t="shared" si="44"/>
        <v>7.2999999999999995E-2</v>
      </c>
      <c r="BD107" t="s">
        <v>73</v>
      </c>
      <c r="BE107" t="s">
        <v>73</v>
      </c>
      <c r="BF107" s="10" t="s">
        <v>73</v>
      </c>
      <c r="BG107" t="s">
        <v>73</v>
      </c>
      <c r="BH107" t="s">
        <v>73</v>
      </c>
      <c r="BI107" t="s">
        <v>73</v>
      </c>
      <c r="BJ107">
        <v>1611</v>
      </c>
      <c r="BK107">
        <v>1611</v>
      </c>
      <c r="BL107" t="s">
        <v>73</v>
      </c>
      <c r="BM107" t="s">
        <v>73</v>
      </c>
      <c r="BN107" t="s">
        <v>73</v>
      </c>
      <c r="BO107" t="s">
        <v>73</v>
      </c>
      <c r="BP107" t="s">
        <v>73</v>
      </c>
      <c r="BQ107" t="s">
        <v>73</v>
      </c>
      <c r="BR107" t="s">
        <v>73</v>
      </c>
      <c r="BS107" t="s">
        <v>73</v>
      </c>
      <c r="BT107" t="s">
        <v>73</v>
      </c>
      <c r="BU107" t="s">
        <v>73</v>
      </c>
      <c r="BV107">
        <v>0</v>
      </c>
      <c r="BW107">
        <v>1</v>
      </c>
      <c r="BX107">
        <v>1</v>
      </c>
      <c r="BY107" s="30">
        <f t="shared" si="31"/>
        <v>4.0969891212699401E-2</v>
      </c>
      <c r="BZ107" s="30">
        <f t="shared" si="45"/>
        <v>4.0992837417654034E-2</v>
      </c>
      <c r="CA107" s="30">
        <f t="shared" si="46"/>
        <v>6.2111625851744845E-4</v>
      </c>
      <c r="CB107" s="30">
        <f t="shared" si="47"/>
        <v>6.2189054726368158E-4</v>
      </c>
      <c r="CC107" s="92" t="s">
        <v>73</v>
      </c>
      <c r="CD107">
        <f t="shared" si="39"/>
        <v>1609</v>
      </c>
      <c r="CE107" s="92" t="s">
        <v>73</v>
      </c>
      <c r="CF107" s="30">
        <f t="shared" si="43"/>
        <v>4.0969891212699401E-2</v>
      </c>
      <c r="CG107" s="30">
        <f t="shared" si="48"/>
        <v>4.0992837417654034E-2</v>
      </c>
      <c r="CH107" s="30">
        <f t="shared" si="49"/>
        <v>6.2111625851744845E-4</v>
      </c>
      <c r="CI107" s="30">
        <f t="shared" si="50"/>
        <v>6.2189054726368158E-4</v>
      </c>
    </row>
    <row r="108" spans="1:88">
      <c r="A108" t="s">
        <v>445</v>
      </c>
      <c r="C108">
        <v>22</v>
      </c>
      <c r="D108" s="92">
        <v>1277</v>
      </c>
      <c r="E108">
        <v>407</v>
      </c>
      <c r="F108" t="s">
        <v>452</v>
      </c>
      <c r="G108">
        <v>2021</v>
      </c>
      <c r="H108" t="s">
        <v>453</v>
      </c>
      <c r="I108" t="s">
        <v>454</v>
      </c>
      <c r="J108">
        <v>2</v>
      </c>
      <c r="K108" t="s">
        <v>455</v>
      </c>
      <c r="L108" t="s">
        <v>73</v>
      </c>
      <c r="M108">
        <v>9</v>
      </c>
      <c r="N108" s="188" t="s">
        <v>93</v>
      </c>
      <c r="O108" t="s">
        <v>242</v>
      </c>
      <c r="P108" t="s">
        <v>459</v>
      </c>
      <c r="Q108" t="s">
        <v>294</v>
      </c>
      <c r="R108" t="s">
        <v>307</v>
      </c>
      <c r="S108" t="s">
        <v>336</v>
      </c>
      <c r="T108">
        <v>1</v>
      </c>
      <c r="U108" t="s">
        <v>231</v>
      </c>
      <c r="V108">
        <v>0</v>
      </c>
      <c r="W108" t="s">
        <v>232</v>
      </c>
      <c r="X108" t="s">
        <v>232</v>
      </c>
      <c r="Y108" t="s">
        <v>73</v>
      </c>
      <c r="Z108">
        <v>0</v>
      </c>
      <c r="AA108">
        <v>0</v>
      </c>
      <c r="AB108">
        <v>1</v>
      </c>
      <c r="AC108">
        <v>0</v>
      </c>
      <c r="AD108">
        <v>0</v>
      </c>
      <c r="AE108">
        <v>0</v>
      </c>
      <c r="AF108">
        <v>0</v>
      </c>
      <c r="AG108">
        <v>0</v>
      </c>
      <c r="AH108" t="s">
        <v>73</v>
      </c>
      <c r="AI108">
        <v>0</v>
      </c>
      <c r="AJ108">
        <v>0</v>
      </c>
      <c r="AK108">
        <v>0</v>
      </c>
      <c r="AL108">
        <v>0</v>
      </c>
      <c r="AM108">
        <v>1</v>
      </c>
      <c r="AN108">
        <v>0</v>
      </c>
      <c r="AO108">
        <v>0</v>
      </c>
      <c r="AP108">
        <v>0</v>
      </c>
      <c r="AQ108" s="10">
        <v>0</v>
      </c>
      <c r="AR108" t="s">
        <v>457</v>
      </c>
      <c r="AS108" t="s">
        <v>234</v>
      </c>
      <c r="AT108" t="s">
        <v>460</v>
      </c>
      <c r="AU108" t="s">
        <v>265</v>
      </c>
      <c r="AV108" s="134">
        <v>9.9000000000000005E-2</v>
      </c>
      <c r="AW108" t="s">
        <v>80</v>
      </c>
      <c r="AX108" t="s">
        <v>73</v>
      </c>
      <c r="AY108">
        <v>0.05</v>
      </c>
      <c r="AZ108">
        <v>1</v>
      </c>
      <c r="BA108">
        <f t="shared" ref="BA108:BA119" si="51">TINV(AY108,CD108)</f>
        <v>1.9614394515458273</v>
      </c>
      <c r="BC108" s="94">
        <f t="shared" si="44"/>
        <v>9.9000000000000005E-2</v>
      </c>
      <c r="BD108" t="s">
        <v>73</v>
      </c>
      <c r="BE108" t="s">
        <v>73</v>
      </c>
      <c r="BF108" s="10" t="s">
        <v>73</v>
      </c>
      <c r="BG108" t="s">
        <v>73</v>
      </c>
      <c r="BH108" t="s">
        <v>73</v>
      </c>
      <c r="BI108" t="s">
        <v>73</v>
      </c>
      <c r="BJ108">
        <v>1611</v>
      </c>
      <c r="BK108">
        <v>1611</v>
      </c>
      <c r="BL108" t="s">
        <v>73</v>
      </c>
      <c r="BM108" t="s">
        <v>73</v>
      </c>
      <c r="BN108" t="s">
        <v>73</v>
      </c>
      <c r="BO108" t="s">
        <v>73</v>
      </c>
      <c r="BP108" t="s">
        <v>73</v>
      </c>
      <c r="BQ108" t="s">
        <v>73</v>
      </c>
      <c r="BR108" t="s">
        <v>73</v>
      </c>
      <c r="BS108" t="s">
        <v>73</v>
      </c>
      <c r="BT108" t="s">
        <v>73</v>
      </c>
      <c r="BU108" t="s">
        <v>73</v>
      </c>
      <c r="BV108">
        <v>0</v>
      </c>
      <c r="BW108">
        <v>1</v>
      </c>
      <c r="BX108">
        <v>1</v>
      </c>
      <c r="BY108" s="30">
        <f>((BA107^2)/(BA107^2+BJ108))^(1/2)</f>
        <v>4.0969891212699401E-2</v>
      </c>
      <c r="BZ108" s="30">
        <f t="shared" si="45"/>
        <v>4.0992837417654034E-2</v>
      </c>
      <c r="CA108" s="30">
        <f t="shared" si="46"/>
        <v>6.2111625851744845E-4</v>
      </c>
      <c r="CB108" s="30">
        <f t="shared" si="47"/>
        <v>6.2189054726368158E-4</v>
      </c>
      <c r="CC108" s="92" t="s">
        <v>73</v>
      </c>
      <c r="CD108">
        <f t="shared" si="39"/>
        <v>1609</v>
      </c>
      <c r="CE108" s="92" t="s">
        <v>73</v>
      </c>
      <c r="CF108" s="30">
        <f t="shared" si="43"/>
        <v>4.8810042166661197E-2</v>
      </c>
      <c r="CG108" s="30">
        <f t="shared" si="48"/>
        <v>4.8848859679970422E-2</v>
      </c>
      <c r="CH108" s="30">
        <f t="shared" si="49"/>
        <v>6.2111447577430079E-4</v>
      </c>
      <c r="CI108" s="30">
        <f t="shared" si="50"/>
        <v>6.2189054726368158E-4</v>
      </c>
    </row>
    <row r="109" spans="1:88">
      <c r="A109" t="s">
        <v>445</v>
      </c>
      <c r="C109">
        <v>22</v>
      </c>
      <c r="D109" s="92">
        <v>1276</v>
      </c>
      <c r="E109">
        <v>407</v>
      </c>
      <c r="F109" t="s">
        <v>452</v>
      </c>
      <c r="G109">
        <v>2021</v>
      </c>
      <c r="H109" t="s">
        <v>453</v>
      </c>
      <c r="I109" t="s">
        <v>454</v>
      </c>
      <c r="J109">
        <v>2</v>
      </c>
      <c r="K109" t="s">
        <v>455</v>
      </c>
      <c r="L109" t="s">
        <v>73</v>
      </c>
      <c r="M109">
        <v>8</v>
      </c>
      <c r="N109" s="188" t="s">
        <v>93</v>
      </c>
      <c r="O109" t="s">
        <v>242</v>
      </c>
      <c r="P109" t="s">
        <v>459</v>
      </c>
      <c r="Q109" t="s">
        <v>294</v>
      </c>
      <c r="R109" t="s">
        <v>307</v>
      </c>
      <c r="S109" t="s">
        <v>336</v>
      </c>
      <c r="T109">
        <v>1</v>
      </c>
      <c r="U109" t="s">
        <v>231</v>
      </c>
      <c r="V109">
        <v>0</v>
      </c>
      <c r="W109" t="s">
        <v>232</v>
      </c>
      <c r="X109" t="s">
        <v>232</v>
      </c>
      <c r="Y109" t="s">
        <v>73</v>
      </c>
      <c r="Z109">
        <v>0</v>
      </c>
      <c r="AA109">
        <v>0</v>
      </c>
      <c r="AB109">
        <v>1</v>
      </c>
      <c r="AC109">
        <v>0</v>
      </c>
      <c r="AD109">
        <v>0</v>
      </c>
      <c r="AE109">
        <v>0</v>
      </c>
      <c r="AF109">
        <v>0</v>
      </c>
      <c r="AG109">
        <v>0</v>
      </c>
      <c r="AH109" t="s">
        <v>73</v>
      </c>
      <c r="AI109">
        <v>0</v>
      </c>
      <c r="AJ109">
        <v>0</v>
      </c>
      <c r="AK109">
        <v>0</v>
      </c>
      <c r="AL109">
        <v>0</v>
      </c>
      <c r="AM109">
        <v>1</v>
      </c>
      <c r="AN109">
        <v>0</v>
      </c>
      <c r="AO109">
        <v>0</v>
      </c>
      <c r="AP109">
        <v>0</v>
      </c>
      <c r="AQ109" s="10">
        <v>0</v>
      </c>
      <c r="AR109" t="s">
        <v>460</v>
      </c>
      <c r="AS109" t="s">
        <v>234</v>
      </c>
      <c r="AT109" s="41" t="s">
        <v>458</v>
      </c>
      <c r="AU109" t="s">
        <v>265</v>
      </c>
      <c r="AV109" s="134">
        <v>0.161</v>
      </c>
      <c r="AW109" s="7" t="s">
        <v>86</v>
      </c>
      <c r="AX109" s="7" t="s">
        <v>73</v>
      </c>
      <c r="AY109">
        <v>0.01</v>
      </c>
      <c r="AZ109">
        <v>1</v>
      </c>
      <c r="BA109">
        <f t="shared" si="51"/>
        <v>2.5788883732398911</v>
      </c>
      <c r="BC109" s="94">
        <f t="shared" si="44"/>
        <v>0.161</v>
      </c>
      <c r="BD109" t="s">
        <v>73</v>
      </c>
      <c r="BE109" t="s">
        <v>73</v>
      </c>
      <c r="BF109" s="10" t="s">
        <v>73</v>
      </c>
      <c r="BG109" t="s">
        <v>73</v>
      </c>
      <c r="BH109" t="s">
        <v>73</v>
      </c>
      <c r="BI109" t="s">
        <v>73</v>
      </c>
      <c r="BJ109">
        <v>1611</v>
      </c>
      <c r="BK109">
        <v>1611</v>
      </c>
      <c r="BL109" t="s">
        <v>73</v>
      </c>
      <c r="BM109" t="s">
        <v>73</v>
      </c>
      <c r="BN109" t="s">
        <v>73</v>
      </c>
      <c r="BO109" t="s">
        <v>73</v>
      </c>
      <c r="BP109" t="s">
        <v>73</v>
      </c>
      <c r="BQ109" t="s">
        <v>73</v>
      </c>
      <c r="BR109" t="s">
        <v>73</v>
      </c>
      <c r="BS109" t="s">
        <v>73</v>
      </c>
      <c r="BT109" t="s">
        <v>73</v>
      </c>
      <c r="BU109" t="s">
        <v>73</v>
      </c>
      <c r="BV109">
        <v>0</v>
      </c>
      <c r="BW109">
        <v>1</v>
      </c>
      <c r="BX109">
        <v>1</v>
      </c>
      <c r="BY109" s="30">
        <f t="shared" ref="BY109:BY132" si="52">((BA109^2)/(BA109^2+BJ109))^(1/2)</f>
        <v>6.411950690189884E-2</v>
      </c>
      <c r="BZ109" s="30">
        <f t="shared" si="45"/>
        <v>6.4207596049565968E-2</v>
      </c>
      <c r="CA109" s="30">
        <f t="shared" si="46"/>
        <v>6.2110745592692065E-4</v>
      </c>
      <c r="CB109" s="30">
        <f t="shared" si="47"/>
        <v>6.2189054726368158E-4</v>
      </c>
      <c r="CC109" s="92" t="s">
        <v>73</v>
      </c>
      <c r="CD109">
        <f t="shared" si="39"/>
        <v>1609</v>
      </c>
      <c r="CE109" s="92" t="s">
        <v>73</v>
      </c>
      <c r="CF109" s="30">
        <f t="shared" si="43"/>
        <v>6.411950690189884E-2</v>
      </c>
      <c r="CG109" s="30">
        <f t="shared" si="48"/>
        <v>6.4207596049565968E-2</v>
      </c>
      <c r="CH109" s="30">
        <f t="shared" si="49"/>
        <v>6.2110745592692065E-4</v>
      </c>
      <c r="CI109" s="30">
        <f t="shared" si="50"/>
        <v>6.2189054726368158E-4</v>
      </c>
    </row>
    <row r="110" spans="1:88">
      <c r="A110" s="108" t="s">
        <v>409</v>
      </c>
      <c r="B110" s="108"/>
      <c r="C110" s="108">
        <v>23</v>
      </c>
      <c r="D110" s="92">
        <v>1219</v>
      </c>
      <c r="E110" s="108">
        <v>301</v>
      </c>
      <c r="F110" s="10" t="s">
        <v>410</v>
      </c>
      <c r="G110" s="108">
        <v>2019</v>
      </c>
      <c r="H110" t="s">
        <v>411</v>
      </c>
      <c r="I110" t="s">
        <v>412</v>
      </c>
      <c r="J110" s="10">
        <v>2</v>
      </c>
      <c r="K110" t="s">
        <v>413</v>
      </c>
      <c r="L110" s="108" t="s">
        <v>73</v>
      </c>
      <c r="M110" s="10">
        <v>163</v>
      </c>
      <c r="N110" s="18" t="s">
        <v>107</v>
      </c>
      <c r="O110" t="s">
        <v>394</v>
      </c>
      <c r="P110" s="10" t="s">
        <v>124</v>
      </c>
      <c r="Q110" s="10" t="s">
        <v>228</v>
      </c>
      <c r="R110" t="s">
        <v>414</v>
      </c>
      <c r="S110" s="10" t="s">
        <v>255</v>
      </c>
      <c r="T110">
        <v>0</v>
      </c>
      <c r="U110" s="10" t="s">
        <v>231</v>
      </c>
      <c r="V110">
        <v>0</v>
      </c>
      <c r="W110" s="10" t="s">
        <v>246</v>
      </c>
      <c r="X110" s="10" t="s">
        <v>246</v>
      </c>
      <c r="Y110" s="10" t="s">
        <v>415</v>
      </c>
      <c r="Z110" s="10">
        <v>0</v>
      </c>
      <c r="AA110" s="10">
        <v>0</v>
      </c>
      <c r="AB110" s="10">
        <v>0</v>
      </c>
      <c r="AC110" s="10">
        <v>1</v>
      </c>
      <c r="AD110" s="10">
        <v>0</v>
      </c>
      <c r="AE110" s="10">
        <v>0</v>
      </c>
      <c r="AF110" s="108">
        <v>0</v>
      </c>
      <c r="AG110" s="108">
        <v>0</v>
      </c>
      <c r="AH110" s="10" t="s">
        <v>416</v>
      </c>
      <c r="AI110" s="10">
        <v>0</v>
      </c>
      <c r="AJ110" s="10">
        <v>0</v>
      </c>
      <c r="AK110" s="10">
        <v>0</v>
      </c>
      <c r="AL110" s="10">
        <v>0</v>
      </c>
      <c r="AM110" s="10">
        <v>0</v>
      </c>
      <c r="AN110" s="10">
        <v>0</v>
      </c>
      <c r="AO110" s="10">
        <v>0</v>
      </c>
      <c r="AP110" s="10">
        <v>1</v>
      </c>
      <c r="AQ110" s="10">
        <v>0</v>
      </c>
      <c r="AR110" s="135" t="s">
        <v>73</v>
      </c>
      <c r="AS110" t="s">
        <v>234</v>
      </c>
      <c r="AT110" t="s">
        <v>417</v>
      </c>
      <c r="AU110" s="10" t="s">
        <v>236</v>
      </c>
      <c r="AV110" s="134" t="s">
        <v>73</v>
      </c>
      <c r="AW110" s="7" t="s">
        <v>80</v>
      </c>
      <c r="AX110" s="10" t="s">
        <v>73</v>
      </c>
      <c r="AY110">
        <v>0.01</v>
      </c>
      <c r="AZ110">
        <v>1</v>
      </c>
      <c r="BA110">
        <f t="shared" si="51"/>
        <v>2.5765924815279417</v>
      </c>
      <c r="BC110" s="158">
        <v>1.4999999999999999E-2</v>
      </c>
      <c r="BD110" s="10" t="s">
        <v>73</v>
      </c>
      <c r="BE110" s="10" t="s">
        <v>73</v>
      </c>
      <c r="BF110" s="10" t="s">
        <v>73</v>
      </c>
      <c r="BG110" s="10" t="s">
        <v>73</v>
      </c>
      <c r="BH110" s="10" t="s">
        <v>73</v>
      </c>
      <c r="BI110" s="10" t="s">
        <v>73</v>
      </c>
      <c r="BJ110" s="10">
        <v>6445</v>
      </c>
      <c r="BK110" s="10">
        <v>6445</v>
      </c>
      <c r="BL110" s="10" t="s">
        <v>73</v>
      </c>
      <c r="BM110" s="10" t="s">
        <v>73</v>
      </c>
      <c r="BN110" s="108">
        <v>10000</v>
      </c>
      <c r="BO110" s="108" t="s">
        <v>73</v>
      </c>
      <c r="BP110" s="108" t="s">
        <v>73</v>
      </c>
      <c r="BQ110" s="108" t="s">
        <v>73</v>
      </c>
      <c r="BR110" s="10" t="s">
        <v>73</v>
      </c>
      <c r="BS110" s="10" t="s">
        <v>73</v>
      </c>
      <c r="BT110" s="108" t="s">
        <v>73</v>
      </c>
      <c r="BU110" s="108" t="s">
        <v>73</v>
      </c>
      <c r="BV110" s="108">
        <v>1</v>
      </c>
      <c r="BW110" s="10">
        <v>0</v>
      </c>
      <c r="BX110" s="10">
        <v>0</v>
      </c>
      <c r="BY110" s="30">
        <f t="shared" si="52"/>
        <v>3.2078253247327888E-2</v>
      </c>
      <c r="BZ110" s="30">
        <f t="shared" si="45"/>
        <v>3.2089263039774128E-2</v>
      </c>
      <c r="CA110" s="30">
        <f t="shared" si="46"/>
        <v>1.5518295153244398E-4</v>
      </c>
      <c r="CB110" s="30">
        <f t="shared" si="47"/>
        <v>1.552312946289972E-4</v>
      </c>
      <c r="CC110" s="92" t="s">
        <v>73</v>
      </c>
      <c r="CD110">
        <f t="shared" ref="CD110:CD119" si="53">BJ110-1</f>
        <v>6444</v>
      </c>
      <c r="CE110" s="92" t="s">
        <v>73</v>
      </c>
      <c r="CF110" s="30">
        <f t="shared" si="43"/>
        <v>3.2078253247327888E-2</v>
      </c>
      <c r="CG110" s="30">
        <f t="shared" si="48"/>
        <v>3.2089263039774128E-2</v>
      </c>
      <c r="CH110" s="30">
        <f t="shared" si="49"/>
        <v>1.5518295153244398E-4</v>
      </c>
      <c r="CI110" s="30">
        <f t="shared" si="50"/>
        <v>1.552312946289972E-4</v>
      </c>
    </row>
    <row r="111" spans="1:88" ht="17.100000000000001" customHeight="1">
      <c r="A111" s="108" t="s">
        <v>409</v>
      </c>
      <c r="B111" s="108"/>
      <c r="C111" s="108">
        <v>23</v>
      </c>
      <c r="D111" s="92">
        <v>1220</v>
      </c>
      <c r="E111" s="108">
        <v>301</v>
      </c>
      <c r="F111" s="10" t="s">
        <v>410</v>
      </c>
      <c r="G111" s="108">
        <v>2019</v>
      </c>
      <c r="H111" t="s">
        <v>411</v>
      </c>
      <c r="I111" t="s">
        <v>412</v>
      </c>
      <c r="J111" s="10">
        <v>2</v>
      </c>
      <c r="K111" t="s">
        <v>413</v>
      </c>
      <c r="L111" s="108" t="s">
        <v>73</v>
      </c>
      <c r="M111" s="10">
        <v>163</v>
      </c>
      <c r="N111" s="18" t="s">
        <v>107</v>
      </c>
      <c r="O111" t="s">
        <v>394</v>
      </c>
      <c r="P111" s="10" t="s">
        <v>124</v>
      </c>
      <c r="Q111" s="10" t="s">
        <v>228</v>
      </c>
      <c r="R111" t="s">
        <v>414</v>
      </c>
      <c r="S111" s="10" t="s">
        <v>255</v>
      </c>
      <c r="T111">
        <v>0</v>
      </c>
      <c r="U111" s="10" t="s">
        <v>231</v>
      </c>
      <c r="V111">
        <v>0</v>
      </c>
      <c r="W111" s="10" t="s">
        <v>246</v>
      </c>
      <c r="X111" s="10" t="s">
        <v>246</v>
      </c>
      <c r="Y111" s="10" t="s">
        <v>415</v>
      </c>
      <c r="Z111" s="10">
        <v>0</v>
      </c>
      <c r="AA111" s="10">
        <v>0</v>
      </c>
      <c r="AB111" s="10">
        <v>0</v>
      </c>
      <c r="AC111" s="10">
        <v>1</v>
      </c>
      <c r="AD111" s="10">
        <v>0</v>
      </c>
      <c r="AE111" s="10">
        <v>0</v>
      </c>
      <c r="AF111" s="108">
        <v>0</v>
      </c>
      <c r="AG111" s="108">
        <v>0</v>
      </c>
      <c r="AH111" s="10" t="s">
        <v>416</v>
      </c>
      <c r="AI111" s="10">
        <v>0</v>
      </c>
      <c r="AJ111" s="10">
        <v>0</v>
      </c>
      <c r="AK111" s="10">
        <v>0</v>
      </c>
      <c r="AL111" s="10">
        <v>0</v>
      </c>
      <c r="AM111" s="10">
        <v>0</v>
      </c>
      <c r="AN111" s="10">
        <v>0</v>
      </c>
      <c r="AO111" s="10">
        <v>0</v>
      </c>
      <c r="AP111" s="10">
        <v>1</v>
      </c>
      <c r="AQ111" s="10">
        <v>0</v>
      </c>
      <c r="AR111" s="135" t="s">
        <v>73</v>
      </c>
      <c r="AS111" t="s">
        <v>234</v>
      </c>
      <c r="AT111" t="s">
        <v>417</v>
      </c>
      <c r="AU111" s="10" t="s">
        <v>236</v>
      </c>
      <c r="AV111" s="134" t="s">
        <v>73</v>
      </c>
      <c r="AW111" s="7" t="s">
        <v>80</v>
      </c>
      <c r="AX111" s="10" t="s">
        <v>73</v>
      </c>
      <c r="AY111">
        <v>0.01</v>
      </c>
      <c r="AZ111">
        <v>1</v>
      </c>
      <c r="BA111">
        <f t="shared" si="51"/>
        <v>2.5765924815279417</v>
      </c>
      <c r="BC111" s="158">
        <v>1.6E-2</v>
      </c>
      <c r="BD111" s="10" t="s">
        <v>73</v>
      </c>
      <c r="BE111" s="10" t="s">
        <v>73</v>
      </c>
      <c r="BF111" s="10" t="s">
        <v>73</v>
      </c>
      <c r="BG111" s="10" t="s">
        <v>73</v>
      </c>
      <c r="BH111" s="10" t="s">
        <v>73</v>
      </c>
      <c r="BI111" s="10" t="s">
        <v>73</v>
      </c>
      <c r="BJ111" s="10">
        <v>6445</v>
      </c>
      <c r="BK111" s="10">
        <v>6445</v>
      </c>
      <c r="BL111" s="10" t="s">
        <v>73</v>
      </c>
      <c r="BM111" s="10" t="s">
        <v>73</v>
      </c>
      <c r="BN111" s="108">
        <v>10000</v>
      </c>
      <c r="BO111" s="108" t="s">
        <v>73</v>
      </c>
      <c r="BP111" s="108" t="s">
        <v>73</v>
      </c>
      <c r="BQ111" s="108" t="s">
        <v>73</v>
      </c>
      <c r="BR111" s="10" t="s">
        <v>73</v>
      </c>
      <c r="BS111" s="10" t="s">
        <v>73</v>
      </c>
      <c r="BT111" s="108" t="s">
        <v>73</v>
      </c>
      <c r="BU111" s="108" t="s">
        <v>73</v>
      </c>
      <c r="BV111" s="108">
        <v>1</v>
      </c>
      <c r="BW111" s="10">
        <v>0</v>
      </c>
      <c r="BX111" s="10">
        <v>0</v>
      </c>
      <c r="BY111" s="30">
        <f t="shared" si="52"/>
        <v>3.2078253247327888E-2</v>
      </c>
      <c r="BZ111" s="30">
        <f t="shared" si="45"/>
        <v>3.2089263039774128E-2</v>
      </c>
      <c r="CA111" s="30">
        <f t="shared" si="46"/>
        <v>1.5518295153244398E-4</v>
      </c>
      <c r="CB111" s="30">
        <f t="shared" si="47"/>
        <v>1.552312946289972E-4</v>
      </c>
      <c r="CC111" s="92" t="s">
        <v>73</v>
      </c>
      <c r="CD111">
        <f t="shared" si="53"/>
        <v>6444</v>
      </c>
      <c r="CE111" s="92" t="s">
        <v>73</v>
      </c>
      <c r="CF111" s="30">
        <f t="shared" si="43"/>
        <v>3.2078253247327888E-2</v>
      </c>
      <c r="CG111" s="30">
        <f t="shared" si="48"/>
        <v>3.2089263039774128E-2</v>
      </c>
      <c r="CH111" s="30">
        <f t="shared" si="49"/>
        <v>1.5518295153244398E-4</v>
      </c>
      <c r="CI111" s="30">
        <f t="shared" si="50"/>
        <v>1.552312946289972E-4</v>
      </c>
    </row>
    <row r="112" spans="1:88" ht="17.100000000000001" customHeight="1">
      <c r="A112" s="108" t="s">
        <v>409</v>
      </c>
      <c r="B112" s="108"/>
      <c r="C112" s="108">
        <v>23</v>
      </c>
      <c r="D112" s="92">
        <v>1221</v>
      </c>
      <c r="E112" s="108">
        <v>301</v>
      </c>
      <c r="F112" s="10" t="s">
        <v>410</v>
      </c>
      <c r="G112" s="108">
        <v>2019</v>
      </c>
      <c r="H112" t="s">
        <v>411</v>
      </c>
      <c r="I112" t="s">
        <v>412</v>
      </c>
      <c r="J112" s="10">
        <v>2</v>
      </c>
      <c r="K112" t="s">
        <v>413</v>
      </c>
      <c r="L112" s="108" t="s">
        <v>73</v>
      </c>
      <c r="M112" s="10">
        <v>163</v>
      </c>
      <c r="N112" s="18" t="s">
        <v>107</v>
      </c>
      <c r="O112" t="s">
        <v>394</v>
      </c>
      <c r="P112" s="10" t="s">
        <v>124</v>
      </c>
      <c r="Q112" s="10" t="s">
        <v>228</v>
      </c>
      <c r="R112" t="s">
        <v>414</v>
      </c>
      <c r="S112" s="10" t="s">
        <v>255</v>
      </c>
      <c r="T112">
        <v>0</v>
      </c>
      <c r="U112" s="10" t="s">
        <v>231</v>
      </c>
      <c r="V112">
        <v>0</v>
      </c>
      <c r="W112" s="10" t="s">
        <v>246</v>
      </c>
      <c r="X112" s="10" t="s">
        <v>246</v>
      </c>
      <c r="Y112" s="10" t="s">
        <v>415</v>
      </c>
      <c r="Z112" s="10">
        <v>0</v>
      </c>
      <c r="AA112" s="10">
        <v>0</v>
      </c>
      <c r="AB112" s="10">
        <v>0</v>
      </c>
      <c r="AC112" s="10">
        <v>1</v>
      </c>
      <c r="AD112" s="10">
        <v>0</v>
      </c>
      <c r="AE112" s="10">
        <v>0</v>
      </c>
      <c r="AF112" s="108">
        <v>0</v>
      </c>
      <c r="AG112" s="108">
        <v>0</v>
      </c>
      <c r="AH112" s="10" t="s">
        <v>416</v>
      </c>
      <c r="AI112" s="10">
        <v>0</v>
      </c>
      <c r="AJ112" s="10">
        <v>0</v>
      </c>
      <c r="AK112" s="10">
        <v>0</v>
      </c>
      <c r="AL112" s="10">
        <v>0</v>
      </c>
      <c r="AM112" s="10">
        <v>0</v>
      </c>
      <c r="AN112" s="10">
        <v>0</v>
      </c>
      <c r="AO112" s="10">
        <v>0</v>
      </c>
      <c r="AP112" s="10">
        <v>1</v>
      </c>
      <c r="AQ112" s="10">
        <v>0</v>
      </c>
      <c r="AR112" s="135" t="s">
        <v>73</v>
      </c>
      <c r="AS112" t="s">
        <v>234</v>
      </c>
      <c r="AT112" t="s">
        <v>417</v>
      </c>
      <c r="AU112" s="10" t="s">
        <v>236</v>
      </c>
      <c r="AV112" s="134" t="s">
        <v>73</v>
      </c>
      <c r="AW112" s="7" t="s">
        <v>80</v>
      </c>
      <c r="AX112" s="10" t="s">
        <v>73</v>
      </c>
      <c r="AY112">
        <v>0.01</v>
      </c>
      <c r="AZ112">
        <v>1</v>
      </c>
      <c r="BA112">
        <f t="shared" si="51"/>
        <v>2.5765924815279417</v>
      </c>
      <c r="BC112" s="158">
        <v>1.7000000000000001E-2</v>
      </c>
      <c r="BD112" s="10" t="s">
        <v>73</v>
      </c>
      <c r="BE112" s="10" t="s">
        <v>73</v>
      </c>
      <c r="BF112" s="10" t="s">
        <v>73</v>
      </c>
      <c r="BG112" s="10" t="s">
        <v>73</v>
      </c>
      <c r="BH112" s="10" t="s">
        <v>73</v>
      </c>
      <c r="BI112" s="10" t="s">
        <v>73</v>
      </c>
      <c r="BJ112" s="10">
        <v>6445</v>
      </c>
      <c r="BK112" s="10">
        <v>6445</v>
      </c>
      <c r="BL112" s="10" t="s">
        <v>73</v>
      </c>
      <c r="BM112" s="10" t="s">
        <v>73</v>
      </c>
      <c r="BN112" s="108">
        <v>10000</v>
      </c>
      <c r="BO112" s="108" t="s">
        <v>73</v>
      </c>
      <c r="BP112" s="108" t="s">
        <v>73</v>
      </c>
      <c r="BQ112" s="108" t="s">
        <v>73</v>
      </c>
      <c r="BR112" s="10" t="s">
        <v>73</v>
      </c>
      <c r="BS112" s="10" t="s">
        <v>73</v>
      </c>
      <c r="BT112" s="108" t="s">
        <v>73</v>
      </c>
      <c r="BU112" s="108" t="s">
        <v>73</v>
      </c>
      <c r="BV112" s="108">
        <v>1</v>
      </c>
      <c r="BW112" s="10">
        <v>0</v>
      </c>
      <c r="BX112" s="10">
        <v>0</v>
      </c>
      <c r="BY112" s="30">
        <f t="shared" si="52"/>
        <v>3.2078253247327888E-2</v>
      </c>
      <c r="BZ112" s="30">
        <f t="shared" si="45"/>
        <v>3.2089263039774128E-2</v>
      </c>
      <c r="CA112" s="30">
        <f t="shared" si="46"/>
        <v>1.5518295153244398E-4</v>
      </c>
      <c r="CB112" s="30">
        <f t="shared" si="47"/>
        <v>1.552312946289972E-4</v>
      </c>
      <c r="CC112" s="92" t="s">
        <v>73</v>
      </c>
      <c r="CD112">
        <f t="shared" si="53"/>
        <v>6444</v>
      </c>
      <c r="CE112" s="92" t="s">
        <v>73</v>
      </c>
      <c r="CF112" s="30">
        <f t="shared" si="43"/>
        <v>3.2078253247327888E-2</v>
      </c>
      <c r="CG112" s="30">
        <f t="shared" si="48"/>
        <v>3.2089263039774128E-2</v>
      </c>
      <c r="CH112" s="30">
        <f t="shared" si="49"/>
        <v>1.5518295153244398E-4</v>
      </c>
      <c r="CI112" s="30">
        <f t="shared" si="50"/>
        <v>1.552312946289972E-4</v>
      </c>
      <c r="CJ112" s="92"/>
    </row>
    <row r="113" spans="1:88">
      <c r="A113" s="108" t="s">
        <v>409</v>
      </c>
      <c r="B113" s="108"/>
      <c r="C113" s="108">
        <v>23</v>
      </c>
      <c r="D113" s="92">
        <v>1222</v>
      </c>
      <c r="E113" s="108">
        <v>301</v>
      </c>
      <c r="F113" s="10" t="s">
        <v>410</v>
      </c>
      <c r="G113" s="108">
        <v>2019</v>
      </c>
      <c r="H113" t="s">
        <v>411</v>
      </c>
      <c r="I113" t="s">
        <v>412</v>
      </c>
      <c r="J113" s="10">
        <v>2</v>
      </c>
      <c r="K113" t="s">
        <v>413</v>
      </c>
      <c r="L113" s="108" t="s">
        <v>73</v>
      </c>
      <c r="M113" s="10">
        <v>163</v>
      </c>
      <c r="N113" s="18" t="s">
        <v>107</v>
      </c>
      <c r="O113" t="s">
        <v>394</v>
      </c>
      <c r="P113" s="10" t="s">
        <v>124</v>
      </c>
      <c r="Q113" s="10" t="s">
        <v>228</v>
      </c>
      <c r="R113" t="s">
        <v>414</v>
      </c>
      <c r="S113" s="10" t="s">
        <v>255</v>
      </c>
      <c r="T113">
        <v>0</v>
      </c>
      <c r="U113" s="10" t="s">
        <v>231</v>
      </c>
      <c r="V113">
        <v>0</v>
      </c>
      <c r="W113" s="10" t="s">
        <v>246</v>
      </c>
      <c r="X113" s="10" t="s">
        <v>246</v>
      </c>
      <c r="Y113" s="10" t="s">
        <v>415</v>
      </c>
      <c r="Z113" s="10">
        <v>0</v>
      </c>
      <c r="AA113" s="10">
        <v>0</v>
      </c>
      <c r="AB113" s="10">
        <v>0</v>
      </c>
      <c r="AC113" s="10">
        <v>1</v>
      </c>
      <c r="AD113" s="10">
        <v>0</v>
      </c>
      <c r="AE113" s="10">
        <v>0</v>
      </c>
      <c r="AF113" s="108">
        <v>0</v>
      </c>
      <c r="AG113" s="108">
        <v>0</v>
      </c>
      <c r="AH113" s="10" t="s">
        <v>416</v>
      </c>
      <c r="AI113" s="10">
        <v>0</v>
      </c>
      <c r="AJ113" s="10">
        <v>0</v>
      </c>
      <c r="AK113" s="10">
        <v>0</v>
      </c>
      <c r="AL113" s="10">
        <v>0</v>
      </c>
      <c r="AM113" s="10">
        <v>0</v>
      </c>
      <c r="AN113" s="10">
        <v>0</v>
      </c>
      <c r="AO113" s="10">
        <v>0</v>
      </c>
      <c r="AP113" s="10">
        <v>1</v>
      </c>
      <c r="AQ113" s="10">
        <v>0</v>
      </c>
      <c r="AR113" s="135" t="s">
        <v>73</v>
      </c>
      <c r="AS113" t="s">
        <v>234</v>
      </c>
      <c r="AT113" t="s">
        <v>417</v>
      </c>
      <c r="AU113" s="10" t="s">
        <v>236</v>
      </c>
      <c r="AV113" s="134" t="s">
        <v>73</v>
      </c>
      <c r="AW113" s="7" t="s">
        <v>80</v>
      </c>
      <c r="AX113" s="10" t="s">
        <v>73</v>
      </c>
      <c r="AY113">
        <v>0.01</v>
      </c>
      <c r="AZ113">
        <v>1</v>
      </c>
      <c r="BA113">
        <f t="shared" si="51"/>
        <v>2.5765924815279417</v>
      </c>
      <c r="BC113" s="158">
        <v>1.7999999999999999E-2</v>
      </c>
      <c r="BD113" s="10" t="s">
        <v>73</v>
      </c>
      <c r="BE113" s="10" t="s">
        <v>73</v>
      </c>
      <c r="BF113" s="10" t="s">
        <v>73</v>
      </c>
      <c r="BG113" s="10" t="s">
        <v>73</v>
      </c>
      <c r="BH113" s="10" t="s">
        <v>73</v>
      </c>
      <c r="BI113" s="10" t="s">
        <v>73</v>
      </c>
      <c r="BJ113" s="10">
        <v>6445</v>
      </c>
      <c r="BK113" s="10">
        <v>6445</v>
      </c>
      <c r="BL113" s="10" t="s">
        <v>73</v>
      </c>
      <c r="BM113" s="10" t="s">
        <v>73</v>
      </c>
      <c r="BN113" s="108">
        <v>10000</v>
      </c>
      <c r="BO113" s="108" t="s">
        <v>73</v>
      </c>
      <c r="BP113" s="108" t="s">
        <v>73</v>
      </c>
      <c r="BQ113" s="108" t="s">
        <v>73</v>
      </c>
      <c r="BR113" s="10" t="s">
        <v>73</v>
      </c>
      <c r="BS113" s="10" t="s">
        <v>73</v>
      </c>
      <c r="BT113" s="108" t="s">
        <v>73</v>
      </c>
      <c r="BU113" s="108" t="s">
        <v>73</v>
      </c>
      <c r="BV113" s="108">
        <v>1</v>
      </c>
      <c r="BW113" s="10">
        <v>0</v>
      </c>
      <c r="BX113" s="10">
        <v>0</v>
      </c>
      <c r="BY113" s="30">
        <f t="shared" si="52"/>
        <v>3.2078253247327888E-2</v>
      </c>
      <c r="BZ113" s="30">
        <f t="shared" si="45"/>
        <v>3.2089263039774128E-2</v>
      </c>
      <c r="CA113" s="30">
        <f t="shared" si="46"/>
        <v>1.5518295153244398E-4</v>
      </c>
      <c r="CB113" s="30">
        <f t="shared" si="47"/>
        <v>1.552312946289972E-4</v>
      </c>
      <c r="CC113" s="92" t="s">
        <v>73</v>
      </c>
      <c r="CD113">
        <f t="shared" si="53"/>
        <v>6444</v>
      </c>
      <c r="CE113" s="92" t="s">
        <v>73</v>
      </c>
      <c r="CF113" s="30">
        <f t="shared" si="43"/>
        <v>3.2078253247327888E-2</v>
      </c>
      <c r="CG113" s="30">
        <f t="shared" si="48"/>
        <v>3.2089263039774128E-2</v>
      </c>
      <c r="CH113" s="30">
        <f t="shared" si="49"/>
        <v>1.5518295153244398E-4</v>
      </c>
      <c r="CI113" s="30">
        <f t="shared" si="50"/>
        <v>1.552312946289972E-4</v>
      </c>
      <c r="CJ113" s="92"/>
    </row>
    <row r="114" spans="1:88">
      <c r="A114" s="108" t="s">
        <v>409</v>
      </c>
      <c r="B114" s="108"/>
      <c r="C114" s="108">
        <v>23</v>
      </c>
      <c r="D114" s="92">
        <v>1223</v>
      </c>
      <c r="E114" s="108">
        <v>301</v>
      </c>
      <c r="F114" s="10" t="s">
        <v>410</v>
      </c>
      <c r="G114" s="108">
        <v>2019</v>
      </c>
      <c r="H114" t="s">
        <v>411</v>
      </c>
      <c r="I114" t="s">
        <v>412</v>
      </c>
      <c r="J114" s="10">
        <v>2</v>
      </c>
      <c r="K114" t="s">
        <v>413</v>
      </c>
      <c r="L114" s="108" t="s">
        <v>73</v>
      </c>
      <c r="M114" s="10">
        <v>163</v>
      </c>
      <c r="N114" s="18" t="s">
        <v>107</v>
      </c>
      <c r="O114" t="s">
        <v>394</v>
      </c>
      <c r="P114" s="10" t="s">
        <v>124</v>
      </c>
      <c r="Q114" s="10" t="s">
        <v>228</v>
      </c>
      <c r="R114" t="s">
        <v>414</v>
      </c>
      <c r="S114" s="10" t="s">
        <v>255</v>
      </c>
      <c r="T114">
        <v>0</v>
      </c>
      <c r="U114" s="10" t="s">
        <v>231</v>
      </c>
      <c r="V114">
        <v>0</v>
      </c>
      <c r="W114" s="10" t="s">
        <v>246</v>
      </c>
      <c r="X114" s="10" t="s">
        <v>246</v>
      </c>
      <c r="Y114" s="10" t="s">
        <v>415</v>
      </c>
      <c r="Z114" s="10">
        <v>0</v>
      </c>
      <c r="AA114" s="10">
        <v>0</v>
      </c>
      <c r="AB114" s="10">
        <v>0</v>
      </c>
      <c r="AC114" s="10">
        <v>1</v>
      </c>
      <c r="AD114" s="10">
        <v>0</v>
      </c>
      <c r="AE114" s="10">
        <v>0</v>
      </c>
      <c r="AF114" s="108">
        <v>0</v>
      </c>
      <c r="AG114" s="108">
        <v>0</v>
      </c>
      <c r="AH114" s="10" t="s">
        <v>416</v>
      </c>
      <c r="AI114" s="10">
        <v>0</v>
      </c>
      <c r="AJ114" s="10">
        <v>0</v>
      </c>
      <c r="AK114" s="10">
        <v>0</v>
      </c>
      <c r="AL114" s="10">
        <v>0</v>
      </c>
      <c r="AM114" s="10">
        <v>0</v>
      </c>
      <c r="AN114" s="10">
        <v>0</v>
      </c>
      <c r="AO114" s="10">
        <v>0</v>
      </c>
      <c r="AP114" s="10">
        <v>1</v>
      </c>
      <c r="AQ114" s="10">
        <v>0</v>
      </c>
      <c r="AR114" s="135" t="s">
        <v>73</v>
      </c>
      <c r="AS114" t="s">
        <v>234</v>
      </c>
      <c r="AT114" t="s">
        <v>417</v>
      </c>
      <c r="AU114" s="10" t="s">
        <v>236</v>
      </c>
      <c r="AV114" s="134" t="s">
        <v>73</v>
      </c>
      <c r="AW114" s="7" t="s">
        <v>80</v>
      </c>
      <c r="AX114" s="10" t="s">
        <v>73</v>
      </c>
      <c r="AY114">
        <v>0.01</v>
      </c>
      <c r="AZ114">
        <v>1</v>
      </c>
      <c r="BA114">
        <f t="shared" si="51"/>
        <v>2.5765924815279417</v>
      </c>
      <c r="BC114" s="158">
        <v>1.9E-2</v>
      </c>
      <c r="BD114" s="10" t="s">
        <v>73</v>
      </c>
      <c r="BE114" s="10" t="s">
        <v>73</v>
      </c>
      <c r="BF114" s="10" t="s">
        <v>73</v>
      </c>
      <c r="BG114" s="10" t="s">
        <v>73</v>
      </c>
      <c r="BH114" s="10" t="s">
        <v>73</v>
      </c>
      <c r="BI114" s="10" t="s">
        <v>73</v>
      </c>
      <c r="BJ114" s="10">
        <v>6445</v>
      </c>
      <c r="BK114" s="10">
        <v>6445</v>
      </c>
      <c r="BL114" s="10" t="s">
        <v>73</v>
      </c>
      <c r="BM114" s="10" t="s">
        <v>73</v>
      </c>
      <c r="BN114" s="108">
        <v>10000</v>
      </c>
      <c r="BO114" s="108" t="s">
        <v>73</v>
      </c>
      <c r="BP114" s="108" t="s">
        <v>73</v>
      </c>
      <c r="BQ114" s="108" t="s">
        <v>73</v>
      </c>
      <c r="BR114" s="10" t="s">
        <v>73</v>
      </c>
      <c r="BS114" s="10" t="s">
        <v>73</v>
      </c>
      <c r="BT114" s="108" t="s">
        <v>73</v>
      </c>
      <c r="BU114" s="108" t="s">
        <v>73</v>
      </c>
      <c r="BV114" s="108">
        <v>1</v>
      </c>
      <c r="BW114" s="10">
        <v>0</v>
      </c>
      <c r="BX114" s="10">
        <v>0</v>
      </c>
      <c r="BY114" s="30">
        <f t="shared" si="52"/>
        <v>3.2078253247327888E-2</v>
      </c>
      <c r="BZ114" s="30">
        <f t="shared" si="45"/>
        <v>3.2089263039774128E-2</v>
      </c>
      <c r="CA114" s="30">
        <f t="shared" si="46"/>
        <v>1.5518295153244398E-4</v>
      </c>
      <c r="CB114" s="30">
        <f t="shared" si="47"/>
        <v>1.552312946289972E-4</v>
      </c>
      <c r="CC114" s="92" t="s">
        <v>73</v>
      </c>
      <c r="CD114">
        <f t="shared" si="53"/>
        <v>6444</v>
      </c>
      <c r="CE114" s="92" t="s">
        <v>73</v>
      </c>
      <c r="CF114" s="30">
        <f t="shared" si="43"/>
        <v>3.2078253247327888E-2</v>
      </c>
      <c r="CG114" s="30">
        <f t="shared" si="48"/>
        <v>3.2089263039774128E-2</v>
      </c>
      <c r="CH114" s="30">
        <f t="shared" si="49"/>
        <v>1.5518295153244398E-4</v>
      </c>
      <c r="CI114" s="30">
        <f t="shared" si="50"/>
        <v>1.552312946289972E-4</v>
      </c>
      <c r="CJ114" s="92"/>
    </row>
    <row r="115" spans="1:88">
      <c r="A115" s="108" t="s">
        <v>409</v>
      </c>
      <c r="B115" s="108"/>
      <c r="C115" s="108">
        <v>23</v>
      </c>
      <c r="D115" s="92">
        <v>1224</v>
      </c>
      <c r="E115" s="108">
        <v>301</v>
      </c>
      <c r="F115" s="10" t="s">
        <v>410</v>
      </c>
      <c r="G115" s="108">
        <v>2019</v>
      </c>
      <c r="H115" t="s">
        <v>411</v>
      </c>
      <c r="I115" t="s">
        <v>412</v>
      </c>
      <c r="J115" s="10">
        <v>2</v>
      </c>
      <c r="K115" t="s">
        <v>413</v>
      </c>
      <c r="L115" s="108" t="s">
        <v>73</v>
      </c>
      <c r="M115" s="10">
        <v>163</v>
      </c>
      <c r="N115" s="18" t="s">
        <v>107</v>
      </c>
      <c r="O115" t="s">
        <v>394</v>
      </c>
      <c r="P115" s="10" t="s">
        <v>124</v>
      </c>
      <c r="Q115" s="10" t="s">
        <v>228</v>
      </c>
      <c r="R115" t="s">
        <v>414</v>
      </c>
      <c r="S115" s="10" t="s">
        <v>255</v>
      </c>
      <c r="T115">
        <v>0</v>
      </c>
      <c r="U115" s="10" t="s">
        <v>231</v>
      </c>
      <c r="V115">
        <v>0</v>
      </c>
      <c r="W115" s="10" t="s">
        <v>246</v>
      </c>
      <c r="X115" s="10" t="s">
        <v>246</v>
      </c>
      <c r="Y115" s="10" t="s">
        <v>415</v>
      </c>
      <c r="Z115" s="10">
        <v>0</v>
      </c>
      <c r="AA115" s="10">
        <v>0</v>
      </c>
      <c r="AB115" s="10">
        <v>0</v>
      </c>
      <c r="AC115" s="10">
        <v>1</v>
      </c>
      <c r="AD115" s="10">
        <v>0</v>
      </c>
      <c r="AE115" s="10">
        <v>0</v>
      </c>
      <c r="AF115" s="108">
        <v>0</v>
      </c>
      <c r="AG115" s="108">
        <v>0</v>
      </c>
      <c r="AH115" s="10" t="s">
        <v>416</v>
      </c>
      <c r="AI115" s="10">
        <v>0</v>
      </c>
      <c r="AJ115" s="10">
        <v>0</v>
      </c>
      <c r="AK115" s="10">
        <v>0</v>
      </c>
      <c r="AL115" s="10">
        <v>0</v>
      </c>
      <c r="AM115" s="10">
        <v>0</v>
      </c>
      <c r="AN115" s="10">
        <v>0</v>
      </c>
      <c r="AO115" s="10">
        <v>0</v>
      </c>
      <c r="AP115" s="10">
        <v>1</v>
      </c>
      <c r="AQ115" s="10">
        <v>0</v>
      </c>
      <c r="AR115" s="135" t="s">
        <v>73</v>
      </c>
      <c r="AS115" t="s">
        <v>234</v>
      </c>
      <c r="AT115" t="s">
        <v>417</v>
      </c>
      <c r="AU115" s="10" t="s">
        <v>236</v>
      </c>
      <c r="AV115" s="134" t="s">
        <v>73</v>
      </c>
      <c r="AW115" s="7" t="s">
        <v>86</v>
      </c>
      <c r="AX115" s="10" t="s">
        <v>73</v>
      </c>
      <c r="AY115">
        <v>0.01</v>
      </c>
      <c r="AZ115">
        <v>1</v>
      </c>
      <c r="BA115">
        <f t="shared" si="51"/>
        <v>2.5765924815279417</v>
      </c>
      <c r="BC115" s="158">
        <v>1E-3</v>
      </c>
      <c r="BD115" s="10" t="s">
        <v>73</v>
      </c>
      <c r="BE115" s="10" t="s">
        <v>73</v>
      </c>
      <c r="BF115" s="10" t="s">
        <v>73</v>
      </c>
      <c r="BG115" s="10" t="s">
        <v>73</v>
      </c>
      <c r="BH115" s="10" t="s">
        <v>73</v>
      </c>
      <c r="BI115" s="10" t="s">
        <v>73</v>
      </c>
      <c r="BJ115" s="10">
        <v>6445</v>
      </c>
      <c r="BK115" s="10">
        <v>6445</v>
      </c>
      <c r="BL115" s="10" t="s">
        <v>73</v>
      </c>
      <c r="BM115" s="10" t="s">
        <v>73</v>
      </c>
      <c r="BN115" s="108">
        <v>4000</v>
      </c>
      <c r="BO115" s="108" t="s">
        <v>73</v>
      </c>
      <c r="BP115" s="108" t="s">
        <v>73</v>
      </c>
      <c r="BQ115" s="108" t="s">
        <v>73</v>
      </c>
      <c r="BR115" s="10" t="s">
        <v>73</v>
      </c>
      <c r="BS115" s="10" t="s">
        <v>73</v>
      </c>
      <c r="BT115" s="108" t="s">
        <v>73</v>
      </c>
      <c r="BU115" s="108" t="s">
        <v>73</v>
      </c>
      <c r="BV115" s="108">
        <v>1</v>
      </c>
      <c r="BW115" s="10">
        <v>0</v>
      </c>
      <c r="BX115" s="10">
        <v>0</v>
      </c>
      <c r="BY115" s="30">
        <f t="shared" si="52"/>
        <v>3.2078253247327888E-2</v>
      </c>
      <c r="BZ115" s="30">
        <f t="shared" si="45"/>
        <v>3.2089263039774128E-2</v>
      </c>
      <c r="CA115" s="30">
        <f t="shared" si="46"/>
        <v>1.5518295153244398E-4</v>
      </c>
      <c r="CB115" s="30">
        <f t="shared" si="47"/>
        <v>1.552312946289972E-4</v>
      </c>
      <c r="CC115" s="92" t="s">
        <v>73</v>
      </c>
      <c r="CD115">
        <f t="shared" si="53"/>
        <v>6444</v>
      </c>
      <c r="CE115" s="92" t="s">
        <v>73</v>
      </c>
      <c r="CF115" s="30">
        <f t="shared" si="43"/>
        <v>3.2078253247327888E-2</v>
      </c>
      <c r="CG115" s="30">
        <f t="shared" si="48"/>
        <v>3.2089263039774128E-2</v>
      </c>
      <c r="CH115" s="30">
        <f t="shared" si="49"/>
        <v>1.5518295153244398E-4</v>
      </c>
      <c r="CI115" s="30">
        <f t="shared" si="50"/>
        <v>1.552312946289972E-4</v>
      </c>
      <c r="CJ115" s="92"/>
    </row>
    <row r="116" spans="1:88">
      <c r="A116" s="108" t="s">
        <v>409</v>
      </c>
      <c r="B116" s="108"/>
      <c r="C116" s="108">
        <v>23</v>
      </c>
      <c r="D116" s="92">
        <v>1225</v>
      </c>
      <c r="E116" s="108">
        <v>301</v>
      </c>
      <c r="F116" s="10" t="s">
        <v>410</v>
      </c>
      <c r="G116" s="108">
        <v>2019</v>
      </c>
      <c r="H116" t="s">
        <v>411</v>
      </c>
      <c r="I116" t="s">
        <v>412</v>
      </c>
      <c r="J116" s="10">
        <v>2</v>
      </c>
      <c r="K116" t="s">
        <v>413</v>
      </c>
      <c r="L116" s="108" t="s">
        <v>73</v>
      </c>
      <c r="M116" s="10">
        <v>163</v>
      </c>
      <c r="N116" s="18" t="s">
        <v>107</v>
      </c>
      <c r="O116" t="s">
        <v>394</v>
      </c>
      <c r="P116" s="10" t="s">
        <v>124</v>
      </c>
      <c r="Q116" s="10" t="s">
        <v>228</v>
      </c>
      <c r="R116" t="s">
        <v>414</v>
      </c>
      <c r="S116" s="10" t="s">
        <v>255</v>
      </c>
      <c r="T116">
        <v>0</v>
      </c>
      <c r="U116" s="10" t="s">
        <v>231</v>
      </c>
      <c r="V116">
        <v>0</v>
      </c>
      <c r="W116" s="10" t="s">
        <v>246</v>
      </c>
      <c r="X116" s="10" t="s">
        <v>246</v>
      </c>
      <c r="Y116" s="10" t="s">
        <v>415</v>
      </c>
      <c r="Z116" s="10">
        <v>0</v>
      </c>
      <c r="AA116" s="10">
        <v>0</v>
      </c>
      <c r="AB116" s="10">
        <v>0</v>
      </c>
      <c r="AC116" s="10">
        <v>1</v>
      </c>
      <c r="AD116" s="10">
        <v>0</v>
      </c>
      <c r="AE116" s="10">
        <v>0</v>
      </c>
      <c r="AF116" s="108">
        <v>0</v>
      </c>
      <c r="AG116" s="108">
        <v>0</v>
      </c>
      <c r="AH116" s="10" t="s">
        <v>416</v>
      </c>
      <c r="AI116" s="10">
        <v>0</v>
      </c>
      <c r="AJ116" s="10">
        <v>0</v>
      </c>
      <c r="AK116" s="10">
        <v>0</v>
      </c>
      <c r="AL116" s="10">
        <v>0</v>
      </c>
      <c r="AM116" s="10">
        <v>0</v>
      </c>
      <c r="AN116" s="10">
        <v>0</v>
      </c>
      <c r="AO116" s="10">
        <v>0</v>
      </c>
      <c r="AP116" s="10">
        <v>1</v>
      </c>
      <c r="AQ116" s="10">
        <v>0</v>
      </c>
      <c r="AR116" s="135" t="s">
        <v>73</v>
      </c>
      <c r="AS116" t="s">
        <v>234</v>
      </c>
      <c r="AT116" t="s">
        <v>417</v>
      </c>
      <c r="AU116" s="10" t="s">
        <v>236</v>
      </c>
      <c r="AV116" s="134" t="s">
        <v>73</v>
      </c>
      <c r="AW116" s="7" t="s">
        <v>86</v>
      </c>
      <c r="AX116" s="10" t="s">
        <v>73</v>
      </c>
      <c r="AY116">
        <v>0.01</v>
      </c>
      <c r="AZ116">
        <v>1</v>
      </c>
      <c r="BA116">
        <f t="shared" si="51"/>
        <v>2.5765924815279417</v>
      </c>
      <c r="BC116" s="158">
        <v>1E-4</v>
      </c>
      <c r="BD116" s="10" t="s">
        <v>73</v>
      </c>
      <c r="BE116" s="10" t="s">
        <v>73</v>
      </c>
      <c r="BF116" s="10" t="s">
        <v>73</v>
      </c>
      <c r="BG116" s="10" t="s">
        <v>73</v>
      </c>
      <c r="BH116" s="10" t="s">
        <v>73</v>
      </c>
      <c r="BI116" s="10" t="s">
        <v>73</v>
      </c>
      <c r="BJ116" s="10">
        <v>6445</v>
      </c>
      <c r="BK116" s="10">
        <v>6445</v>
      </c>
      <c r="BL116" s="10" t="s">
        <v>73</v>
      </c>
      <c r="BM116" s="10" t="s">
        <v>73</v>
      </c>
      <c r="BN116" s="108">
        <v>4000</v>
      </c>
      <c r="BO116" s="108" t="s">
        <v>73</v>
      </c>
      <c r="BP116" s="108" t="s">
        <v>73</v>
      </c>
      <c r="BQ116" s="108" t="s">
        <v>73</v>
      </c>
      <c r="BR116" s="10" t="s">
        <v>73</v>
      </c>
      <c r="BS116" s="10" t="s">
        <v>73</v>
      </c>
      <c r="BT116" s="108" t="s">
        <v>73</v>
      </c>
      <c r="BU116" s="108" t="s">
        <v>73</v>
      </c>
      <c r="BV116" s="108">
        <v>1</v>
      </c>
      <c r="BW116" s="10">
        <v>0</v>
      </c>
      <c r="BX116" s="10">
        <v>0</v>
      </c>
      <c r="BY116" s="30">
        <f t="shared" si="52"/>
        <v>3.2078253247327888E-2</v>
      </c>
      <c r="BZ116" s="30">
        <f t="shared" si="45"/>
        <v>3.2089263039774128E-2</v>
      </c>
      <c r="CA116" s="30">
        <f t="shared" si="46"/>
        <v>1.5518295153244398E-4</v>
      </c>
      <c r="CB116" s="30">
        <f t="shared" si="47"/>
        <v>1.552312946289972E-4</v>
      </c>
      <c r="CC116" s="92" t="s">
        <v>73</v>
      </c>
      <c r="CD116">
        <f t="shared" si="53"/>
        <v>6444</v>
      </c>
      <c r="CE116" s="92" t="s">
        <v>73</v>
      </c>
      <c r="CF116" s="30">
        <f t="shared" si="43"/>
        <v>3.2078253247327888E-2</v>
      </c>
      <c r="CG116" s="30">
        <f t="shared" si="48"/>
        <v>3.2089263039774128E-2</v>
      </c>
      <c r="CH116" s="30">
        <f t="shared" si="49"/>
        <v>1.5518295153244398E-4</v>
      </c>
      <c r="CI116" s="30">
        <f t="shared" si="50"/>
        <v>1.552312946289972E-4</v>
      </c>
      <c r="CJ116" s="92"/>
    </row>
    <row r="117" spans="1:88" s="119" customFormat="1">
      <c r="A117" s="108" t="s">
        <v>409</v>
      </c>
      <c r="B117" s="108"/>
      <c r="C117" s="108">
        <v>23</v>
      </c>
      <c r="D117" s="92">
        <v>1226</v>
      </c>
      <c r="E117" s="108">
        <v>301</v>
      </c>
      <c r="F117" s="10" t="s">
        <v>410</v>
      </c>
      <c r="G117" s="108">
        <v>2019</v>
      </c>
      <c r="H117" t="s">
        <v>411</v>
      </c>
      <c r="I117" t="s">
        <v>412</v>
      </c>
      <c r="J117" s="10">
        <v>2</v>
      </c>
      <c r="K117" t="s">
        <v>413</v>
      </c>
      <c r="L117" s="108" t="s">
        <v>73</v>
      </c>
      <c r="M117" s="10">
        <v>163</v>
      </c>
      <c r="N117" s="18" t="s">
        <v>107</v>
      </c>
      <c r="O117" t="s">
        <v>394</v>
      </c>
      <c r="P117" s="10" t="s">
        <v>124</v>
      </c>
      <c r="Q117" s="10" t="s">
        <v>228</v>
      </c>
      <c r="R117" t="s">
        <v>414</v>
      </c>
      <c r="S117" s="10" t="s">
        <v>255</v>
      </c>
      <c r="T117">
        <v>0</v>
      </c>
      <c r="U117" s="10" t="s">
        <v>231</v>
      </c>
      <c r="V117">
        <v>0</v>
      </c>
      <c r="W117" s="10" t="s">
        <v>246</v>
      </c>
      <c r="X117" s="10" t="s">
        <v>246</v>
      </c>
      <c r="Y117" s="10" t="s">
        <v>415</v>
      </c>
      <c r="Z117" s="10">
        <v>0</v>
      </c>
      <c r="AA117" s="10">
        <v>0</v>
      </c>
      <c r="AB117" s="10">
        <v>0</v>
      </c>
      <c r="AC117" s="10">
        <v>1</v>
      </c>
      <c r="AD117" s="10">
        <v>0</v>
      </c>
      <c r="AE117" s="10">
        <v>0</v>
      </c>
      <c r="AF117" s="108">
        <v>0</v>
      </c>
      <c r="AG117" s="108">
        <v>0</v>
      </c>
      <c r="AH117" s="10" t="s">
        <v>416</v>
      </c>
      <c r="AI117" s="10">
        <v>0</v>
      </c>
      <c r="AJ117" s="10">
        <v>0</v>
      </c>
      <c r="AK117" s="10">
        <v>0</v>
      </c>
      <c r="AL117" s="10">
        <v>0</v>
      </c>
      <c r="AM117" s="10">
        <v>0</v>
      </c>
      <c r="AN117" s="10">
        <v>0</v>
      </c>
      <c r="AO117" s="10">
        <v>0</v>
      </c>
      <c r="AP117" s="10">
        <v>1</v>
      </c>
      <c r="AQ117" s="10">
        <v>0</v>
      </c>
      <c r="AR117" s="135" t="s">
        <v>73</v>
      </c>
      <c r="AS117" t="s">
        <v>234</v>
      </c>
      <c r="AT117" t="s">
        <v>417</v>
      </c>
      <c r="AU117" s="10" t="s">
        <v>236</v>
      </c>
      <c r="AV117" s="134" t="s">
        <v>73</v>
      </c>
      <c r="AW117" s="7" t="s">
        <v>80</v>
      </c>
      <c r="AX117" s="10" t="s">
        <v>73</v>
      </c>
      <c r="AY117">
        <v>0.01</v>
      </c>
      <c r="AZ117">
        <v>1</v>
      </c>
      <c r="BA117">
        <f t="shared" si="51"/>
        <v>2.5765924815279417</v>
      </c>
      <c r="BB117"/>
      <c r="BC117" s="158">
        <v>5.9999999999999995E-4</v>
      </c>
      <c r="BD117" s="10" t="s">
        <v>73</v>
      </c>
      <c r="BE117" s="10" t="s">
        <v>73</v>
      </c>
      <c r="BF117" s="10" t="s">
        <v>73</v>
      </c>
      <c r="BG117" s="10" t="s">
        <v>73</v>
      </c>
      <c r="BH117" s="10" t="s">
        <v>73</v>
      </c>
      <c r="BI117" s="10" t="s">
        <v>73</v>
      </c>
      <c r="BJ117" s="10">
        <v>6445</v>
      </c>
      <c r="BK117" s="10">
        <v>6445</v>
      </c>
      <c r="BL117" s="10" t="s">
        <v>73</v>
      </c>
      <c r="BM117" s="10" t="s">
        <v>73</v>
      </c>
      <c r="BN117" s="108">
        <v>4000</v>
      </c>
      <c r="BO117" s="108" t="s">
        <v>73</v>
      </c>
      <c r="BP117" s="108" t="s">
        <v>73</v>
      </c>
      <c r="BQ117" s="108" t="s">
        <v>73</v>
      </c>
      <c r="BR117" s="10" t="s">
        <v>73</v>
      </c>
      <c r="BS117" s="10" t="s">
        <v>73</v>
      </c>
      <c r="BT117" s="108" t="s">
        <v>73</v>
      </c>
      <c r="BU117" s="108" t="s">
        <v>73</v>
      </c>
      <c r="BV117" s="108">
        <v>1</v>
      </c>
      <c r="BW117" s="10">
        <v>0</v>
      </c>
      <c r="BX117" s="10">
        <v>0</v>
      </c>
      <c r="BY117" s="30">
        <f t="shared" si="52"/>
        <v>3.2078253247327888E-2</v>
      </c>
      <c r="BZ117" s="30">
        <f t="shared" si="45"/>
        <v>3.2089263039774128E-2</v>
      </c>
      <c r="CA117" s="30">
        <f t="shared" si="46"/>
        <v>1.5518295153244398E-4</v>
      </c>
      <c r="CB117" s="30">
        <f t="shared" si="47"/>
        <v>1.552312946289972E-4</v>
      </c>
      <c r="CC117" s="92" t="s">
        <v>73</v>
      </c>
      <c r="CD117">
        <f t="shared" si="53"/>
        <v>6444</v>
      </c>
      <c r="CE117" s="92" t="s">
        <v>73</v>
      </c>
      <c r="CF117" s="30">
        <f t="shared" si="43"/>
        <v>3.2078253247327888E-2</v>
      </c>
      <c r="CG117" s="30">
        <f t="shared" si="48"/>
        <v>3.2089263039774128E-2</v>
      </c>
      <c r="CH117" s="30">
        <f t="shared" si="49"/>
        <v>1.5518295153244398E-4</v>
      </c>
      <c r="CI117" s="30">
        <f t="shared" si="50"/>
        <v>1.552312946289972E-4</v>
      </c>
      <c r="CJ117" s="92"/>
    </row>
    <row r="118" spans="1:88">
      <c r="A118" s="108" t="s">
        <v>409</v>
      </c>
      <c r="B118" s="108"/>
      <c r="C118" s="108">
        <v>23</v>
      </c>
      <c r="D118" s="92">
        <v>1227</v>
      </c>
      <c r="E118" s="108">
        <v>301</v>
      </c>
      <c r="F118" s="10" t="s">
        <v>410</v>
      </c>
      <c r="G118" s="108">
        <v>2019</v>
      </c>
      <c r="H118" t="s">
        <v>411</v>
      </c>
      <c r="I118" t="s">
        <v>412</v>
      </c>
      <c r="J118" s="10">
        <v>2</v>
      </c>
      <c r="K118" t="s">
        <v>413</v>
      </c>
      <c r="L118" s="108" t="s">
        <v>73</v>
      </c>
      <c r="M118" s="10">
        <v>163</v>
      </c>
      <c r="N118" s="18" t="s">
        <v>107</v>
      </c>
      <c r="O118" t="s">
        <v>394</v>
      </c>
      <c r="P118" s="10" t="s">
        <v>124</v>
      </c>
      <c r="Q118" s="10" t="s">
        <v>228</v>
      </c>
      <c r="R118" t="s">
        <v>414</v>
      </c>
      <c r="S118" s="10" t="s">
        <v>255</v>
      </c>
      <c r="T118">
        <v>0</v>
      </c>
      <c r="U118" s="10" t="s">
        <v>231</v>
      </c>
      <c r="V118">
        <v>0</v>
      </c>
      <c r="W118" s="10" t="s">
        <v>246</v>
      </c>
      <c r="X118" s="10" t="s">
        <v>246</v>
      </c>
      <c r="Y118" s="10" t="s">
        <v>415</v>
      </c>
      <c r="Z118" s="10">
        <v>0</v>
      </c>
      <c r="AA118" s="10">
        <v>0</v>
      </c>
      <c r="AB118" s="10">
        <v>0</v>
      </c>
      <c r="AC118" s="10">
        <v>1</v>
      </c>
      <c r="AD118" s="10">
        <v>0</v>
      </c>
      <c r="AE118" s="10">
        <v>0</v>
      </c>
      <c r="AF118" s="108">
        <v>0</v>
      </c>
      <c r="AG118" s="108">
        <v>0</v>
      </c>
      <c r="AH118" s="10" t="s">
        <v>416</v>
      </c>
      <c r="AI118" s="10">
        <v>0</v>
      </c>
      <c r="AJ118" s="10">
        <v>0</v>
      </c>
      <c r="AK118" s="10">
        <v>0</v>
      </c>
      <c r="AL118" s="10">
        <v>0</v>
      </c>
      <c r="AM118" s="10">
        <v>0</v>
      </c>
      <c r="AN118" s="10">
        <v>0</v>
      </c>
      <c r="AO118" s="10">
        <v>0</v>
      </c>
      <c r="AP118" s="10">
        <v>1</v>
      </c>
      <c r="AQ118" s="10">
        <v>0</v>
      </c>
      <c r="AR118" s="135" t="s">
        <v>73</v>
      </c>
      <c r="AS118" t="s">
        <v>234</v>
      </c>
      <c r="AT118" t="s">
        <v>417</v>
      </c>
      <c r="AU118" s="10" t="s">
        <v>236</v>
      </c>
      <c r="AV118" s="134" t="s">
        <v>73</v>
      </c>
      <c r="AW118" s="7" t="s">
        <v>80</v>
      </c>
      <c r="AX118" s="10" t="s">
        <v>73</v>
      </c>
      <c r="AY118">
        <v>0.01</v>
      </c>
      <c r="AZ118">
        <v>1</v>
      </c>
      <c r="BA118">
        <f t="shared" si="51"/>
        <v>2.5765924815279417</v>
      </c>
      <c r="BC118" s="158">
        <v>1E-3</v>
      </c>
      <c r="BD118" s="10" t="s">
        <v>73</v>
      </c>
      <c r="BE118" s="10" t="s">
        <v>73</v>
      </c>
      <c r="BF118" s="10" t="s">
        <v>73</v>
      </c>
      <c r="BG118" s="10" t="s">
        <v>73</v>
      </c>
      <c r="BH118" s="10" t="s">
        <v>73</v>
      </c>
      <c r="BI118" s="10" t="s">
        <v>73</v>
      </c>
      <c r="BJ118" s="10">
        <v>6445</v>
      </c>
      <c r="BK118" s="10">
        <v>6445</v>
      </c>
      <c r="BL118" s="10" t="s">
        <v>73</v>
      </c>
      <c r="BM118" s="10" t="s">
        <v>73</v>
      </c>
      <c r="BN118" s="108">
        <v>4000</v>
      </c>
      <c r="BO118" s="108" t="s">
        <v>73</v>
      </c>
      <c r="BP118" s="108" t="s">
        <v>73</v>
      </c>
      <c r="BQ118" s="108" t="s">
        <v>73</v>
      </c>
      <c r="BR118" s="10" t="s">
        <v>73</v>
      </c>
      <c r="BS118" s="10" t="s">
        <v>73</v>
      </c>
      <c r="BT118" s="108" t="s">
        <v>73</v>
      </c>
      <c r="BU118" s="108" t="s">
        <v>73</v>
      </c>
      <c r="BV118" s="108">
        <v>1</v>
      </c>
      <c r="BW118" s="10">
        <v>0</v>
      </c>
      <c r="BX118" s="10">
        <v>0</v>
      </c>
      <c r="BY118" s="30">
        <f t="shared" si="52"/>
        <v>3.2078253247327888E-2</v>
      </c>
      <c r="BZ118" s="30">
        <f t="shared" si="45"/>
        <v>3.2089263039774128E-2</v>
      </c>
      <c r="CA118" s="30">
        <f t="shared" si="46"/>
        <v>1.5518295153244398E-4</v>
      </c>
      <c r="CB118" s="30">
        <f t="shared" si="47"/>
        <v>1.552312946289972E-4</v>
      </c>
      <c r="CC118" s="92" t="s">
        <v>73</v>
      </c>
      <c r="CD118">
        <f t="shared" si="53"/>
        <v>6444</v>
      </c>
      <c r="CE118" s="92" t="s">
        <v>73</v>
      </c>
      <c r="CF118" s="30">
        <f t="shared" si="43"/>
        <v>3.2078253247327888E-2</v>
      </c>
      <c r="CG118" s="30">
        <f t="shared" si="48"/>
        <v>3.2089263039774128E-2</v>
      </c>
      <c r="CH118" s="30">
        <f t="shared" si="49"/>
        <v>1.5518295153244398E-4</v>
      </c>
      <c r="CI118" s="30">
        <f t="shared" si="50"/>
        <v>1.552312946289972E-4</v>
      </c>
      <c r="CJ118" s="95"/>
    </row>
    <row r="119" spans="1:88">
      <c r="A119" s="108" t="s">
        <v>409</v>
      </c>
      <c r="B119" s="108"/>
      <c r="C119" s="108">
        <v>23</v>
      </c>
      <c r="D119" s="92">
        <v>1228</v>
      </c>
      <c r="E119" s="108">
        <v>301</v>
      </c>
      <c r="F119" s="10" t="s">
        <v>410</v>
      </c>
      <c r="G119" s="108">
        <v>2019</v>
      </c>
      <c r="H119" t="s">
        <v>411</v>
      </c>
      <c r="I119" t="s">
        <v>412</v>
      </c>
      <c r="J119" s="10">
        <v>2</v>
      </c>
      <c r="K119" t="s">
        <v>413</v>
      </c>
      <c r="L119" s="108" t="s">
        <v>73</v>
      </c>
      <c r="M119" s="10">
        <v>163</v>
      </c>
      <c r="N119" s="18" t="s">
        <v>107</v>
      </c>
      <c r="O119" t="s">
        <v>394</v>
      </c>
      <c r="P119" s="10" t="s">
        <v>124</v>
      </c>
      <c r="Q119" s="10" t="s">
        <v>228</v>
      </c>
      <c r="R119" t="s">
        <v>414</v>
      </c>
      <c r="S119" s="10" t="s">
        <v>255</v>
      </c>
      <c r="T119">
        <v>0</v>
      </c>
      <c r="U119" s="10" t="s">
        <v>231</v>
      </c>
      <c r="V119">
        <v>0</v>
      </c>
      <c r="W119" s="10" t="s">
        <v>246</v>
      </c>
      <c r="X119" s="10" t="s">
        <v>246</v>
      </c>
      <c r="Y119" s="10" t="s">
        <v>415</v>
      </c>
      <c r="Z119" s="10">
        <v>0</v>
      </c>
      <c r="AA119" s="10">
        <v>0</v>
      </c>
      <c r="AB119" s="10">
        <v>0</v>
      </c>
      <c r="AC119" s="10">
        <v>1</v>
      </c>
      <c r="AD119" s="10">
        <v>0</v>
      </c>
      <c r="AE119" s="10">
        <v>0</v>
      </c>
      <c r="AF119" s="108">
        <v>0</v>
      </c>
      <c r="AG119" s="108">
        <v>0</v>
      </c>
      <c r="AH119" s="10" t="s">
        <v>416</v>
      </c>
      <c r="AI119" s="10">
        <v>0</v>
      </c>
      <c r="AJ119" s="10">
        <v>0</v>
      </c>
      <c r="AK119" s="10">
        <v>0</v>
      </c>
      <c r="AL119" s="10">
        <v>0</v>
      </c>
      <c r="AM119" s="10">
        <v>0</v>
      </c>
      <c r="AN119" s="10">
        <v>0</v>
      </c>
      <c r="AO119" s="10">
        <v>0</v>
      </c>
      <c r="AP119" s="10">
        <v>1</v>
      </c>
      <c r="AQ119" s="10">
        <v>0</v>
      </c>
      <c r="AR119" s="135" t="s">
        <v>73</v>
      </c>
      <c r="AS119" t="s">
        <v>234</v>
      </c>
      <c r="AT119" t="s">
        <v>417</v>
      </c>
      <c r="AU119" s="10" t="s">
        <v>236</v>
      </c>
      <c r="AV119" s="134" t="s">
        <v>73</v>
      </c>
      <c r="AW119" s="7" t="s">
        <v>80</v>
      </c>
      <c r="AX119" s="10" t="s">
        <v>73</v>
      </c>
      <c r="AY119">
        <v>0.01</v>
      </c>
      <c r="AZ119">
        <v>1</v>
      </c>
      <c r="BA119">
        <f t="shared" si="51"/>
        <v>2.5765924815279417</v>
      </c>
      <c r="BC119" s="158">
        <v>2E-3</v>
      </c>
      <c r="BD119" s="10" t="s">
        <v>73</v>
      </c>
      <c r="BE119" s="10" t="s">
        <v>73</v>
      </c>
      <c r="BF119" s="10" t="s">
        <v>73</v>
      </c>
      <c r="BG119" s="10" t="s">
        <v>73</v>
      </c>
      <c r="BH119" s="10" t="s">
        <v>73</v>
      </c>
      <c r="BI119" s="10" t="s">
        <v>73</v>
      </c>
      <c r="BJ119" s="10">
        <v>6445</v>
      </c>
      <c r="BK119" s="10">
        <v>6445</v>
      </c>
      <c r="BL119" s="10" t="s">
        <v>73</v>
      </c>
      <c r="BM119" s="10" t="s">
        <v>73</v>
      </c>
      <c r="BN119" s="108">
        <v>4000</v>
      </c>
      <c r="BO119" s="108" t="s">
        <v>73</v>
      </c>
      <c r="BP119" s="108" t="s">
        <v>73</v>
      </c>
      <c r="BQ119" s="108" t="s">
        <v>73</v>
      </c>
      <c r="BR119" s="10" t="s">
        <v>73</v>
      </c>
      <c r="BS119" s="10" t="s">
        <v>73</v>
      </c>
      <c r="BT119" s="108" t="s">
        <v>73</v>
      </c>
      <c r="BU119" s="108" t="s">
        <v>73</v>
      </c>
      <c r="BV119" s="108">
        <v>1</v>
      </c>
      <c r="BW119" s="10">
        <v>0</v>
      </c>
      <c r="BX119" s="10">
        <v>0</v>
      </c>
      <c r="BY119" s="30">
        <f t="shared" si="52"/>
        <v>3.2078253247327888E-2</v>
      </c>
      <c r="BZ119" s="30">
        <f t="shared" si="45"/>
        <v>3.2089263039774128E-2</v>
      </c>
      <c r="CA119" s="30">
        <f t="shared" si="46"/>
        <v>1.5518295153244398E-4</v>
      </c>
      <c r="CB119" s="30">
        <f t="shared" si="47"/>
        <v>1.552312946289972E-4</v>
      </c>
      <c r="CC119" s="92" t="s">
        <v>73</v>
      </c>
      <c r="CD119">
        <f t="shared" si="53"/>
        <v>6444</v>
      </c>
      <c r="CE119" s="92" t="s">
        <v>73</v>
      </c>
      <c r="CF119" s="30">
        <f t="shared" si="43"/>
        <v>3.2078253247327888E-2</v>
      </c>
      <c r="CG119" s="30">
        <f t="shared" si="48"/>
        <v>3.2089263039774128E-2</v>
      </c>
      <c r="CH119" s="30">
        <f t="shared" si="49"/>
        <v>1.5518295153244398E-4</v>
      </c>
      <c r="CI119" s="30">
        <f t="shared" si="50"/>
        <v>1.552312946289972E-4</v>
      </c>
      <c r="CJ119" s="95"/>
    </row>
    <row r="120" spans="1:88">
      <c r="A120" s="11" t="s">
        <v>68</v>
      </c>
      <c r="B120" s="11"/>
      <c r="C120" s="11">
        <v>24</v>
      </c>
      <c r="D120" s="11">
        <v>1060</v>
      </c>
      <c r="E120">
        <v>111</v>
      </c>
      <c r="F120" t="s">
        <v>291</v>
      </c>
      <c r="G120" s="11">
        <v>1998</v>
      </c>
      <c r="H120" t="s">
        <v>292</v>
      </c>
      <c r="I120" t="s">
        <v>293</v>
      </c>
      <c r="J120">
        <v>2</v>
      </c>
      <c r="K120">
        <v>1998</v>
      </c>
      <c r="L120" s="10" t="s">
        <v>73</v>
      </c>
      <c r="M120">
        <v>651</v>
      </c>
      <c r="N120" s="18" t="s">
        <v>155</v>
      </c>
      <c r="O120" s="92" t="s">
        <v>227</v>
      </c>
      <c r="P120" t="s">
        <v>81</v>
      </c>
      <c r="Q120" s="18" t="s">
        <v>294</v>
      </c>
      <c r="R120" t="s">
        <v>244</v>
      </c>
      <c r="S120" t="s">
        <v>255</v>
      </c>
      <c r="T120">
        <v>1</v>
      </c>
      <c r="U120" t="s">
        <v>231</v>
      </c>
      <c r="V120">
        <v>0</v>
      </c>
      <c r="W120" s="18" t="s">
        <v>232</v>
      </c>
      <c r="X120" s="18" t="s">
        <v>232</v>
      </c>
      <c r="Y120" s="18" t="s">
        <v>73</v>
      </c>
      <c r="Z120">
        <v>0</v>
      </c>
      <c r="AA120">
        <v>0</v>
      </c>
      <c r="AB120">
        <v>0</v>
      </c>
      <c r="AC120">
        <v>1</v>
      </c>
      <c r="AD120">
        <v>0</v>
      </c>
      <c r="AE120">
        <v>0</v>
      </c>
      <c r="AF120">
        <v>0</v>
      </c>
      <c r="AG120">
        <v>0</v>
      </c>
      <c r="AH120" t="s">
        <v>73</v>
      </c>
      <c r="AI120">
        <v>0</v>
      </c>
      <c r="AJ120">
        <v>0</v>
      </c>
      <c r="AK120">
        <v>0</v>
      </c>
      <c r="AL120">
        <v>1</v>
      </c>
      <c r="AM120" s="32">
        <v>0</v>
      </c>
      <c r="AN120" s="32">
        <v>0</v>
      </c>
      <c r="AO120" s="32">
        <v>0</v>
      </c>
      <c r="AP120" s="32">
        <v>0</v>
      </c>
      <c r="AQ120" s="32">
        <v>0</v>
      </c>
      <c r="AR120" t="s">
        <v>295</v>
      </c>
      <c r="AS120" s="92" t="s">
        <v>234</v>
      </c>
      <c r="AT120" s="92" t="s">
        <v>296</v>
      </c>
      <c r="AU120" s="92" t="s">
        <v>236</v>
      </c>
      <c r="AV120" s="134">
        <v>0.22900000000000001</v>
      </c>
      <c r="AW120" s="7" t="s">
        <v>80</v>
      </c>
      <c r="AX120">
        <v>0.109</v>
      </c>
      <c r="AY120" t="s">
        <v>73</v>
      </c>
      <c r="AZ120">
        <v>3</v>
      </c>
      <c r="BA120">
        <f t="shared" ref="BA120:BA131" si="54">AV120/AX120</f>
        <v>2.1009174311926606</v>
      </c>
      <c r="BC120" s="105">
        <f t="shared" ref="BC120:BC131" si="55">EXP(AV120)/(1+EXP(AV120))</f>
        <v>0.55700111781082129</v>
      </c>
      <c r="BD120" t="s">
        <v>73</v>
      </c>
      <c r="BE120" t="s">
        <v>73</v>
      </c>
      <c r="BF120" t="s">
        <v>73</v>
      </c>
      <c r="BG120" t="s">
        <v>73</v>
      </c>
      <c r="BH120" t="s">
        <v>73</v>
      </c>
      <c r="BI120" t="s">
        <v>73</v>
      </c>
      <c r="BJ120">
        <v>375</v>
      </c>
      <c r="BK120">
        <v>6081</v>
      </c>
      <c r="BL120" t="s">
        <v>73</v>
      </c>
      <c r="BM120" t="s">
        <v>73</v>
      </c>
      <c r="BN120" t="s">
        <v>73</v>
      </c>
      <c r="BO120" t="s">
        <v>73</v>
      </c>
      <c r="BP120" t="s">
        <v>73</v>
      </c>
      <c r="BQ120" t="s">
        <v>73</v>
      </c>
      <c r="BR120" t="s">
        <v>73</v>
      </c>
      <c r="BS120" t="s">
        <v>73</v>
      </c>
      <c r="BT120" t="s">
        <v>73</v>
      </c>
      <c r="BU120" t="s">
        <v>73</v>
      </c>
      <c r="BV120">
        <v>0</v>
      </c>
      <c r="BW120">
        <v>0</v>
      </c>
      <c r="BX120">
        <v>0</v>
      </c>
      <c r="BY120" s="30">
        <f t="shared" si="52"/>
        <v>0.1078580072117359</v>
      </c>
      <c r="BZ120" s="30">
        <f t="shared" si="45"/>
        <v>0.10827920105368449</v>
      </c>
      <c r="CA120" s="30">
        <f t="shared" si="46"/>
        <v>2.6734292480947645E-3</v>
      </c>
      <c r="CB120" s="30">
        <f t="shared" si="47"/>
        <v>2.6881720430107529E-3</v>
      </c>
      <c r="CC120" s="92" t="s">
        <v>73</v>
      </c>
      <c r="CD120">
        <f t="shared" ref="CD120:CD129" si="56">BJ120-2</f>
        <v>373</v>
      </c>
      <c r="CE120" s="92" t="s">
        <v>73</v>
      </c>
      <c r="CF120" s="30">
        <f t="shared" si="43"/>
        <v>2.6931709728061359E-2</v>
      </c>
      <c r="CG120" s="30">
        <f t="shared" si="48"/>
        <v>2.6938223905404336E-2</v>
      </c>
      <c r="CH120" s="30">
        <f t="shared" si="49"/>
        <v>1.6447359759968561E-4</v>
      </c>
      <c r="CI120" s="30">
        <f t="shared" si="50"/>
        <v>1.6452780519907864E-4</v>
      </c>
      <c r="CJ120" s="95"/>
    </row>
    <row r="121" spans="1:88" ht="17.100000000000001" customHeight="1">
      <c r="A121" s="11" t="s">
        <v>68</v>
      </c>
      <c r="B121" s="11"/>
      <c r="C121" s="11">
        <v>24</v>
      </c>
      <c r="D121" s="11">
        <v>1062</v>
      </c>
      <c r="E121">
        <v>111</v>
      </c>
      <c r="F121" t="s">
        <v>291</v>
      </c>
      <c r="G121" s="11">
        <v>1998</v>
      </c>
      <c r="H121" t="s">
        <v>292</v>
      </c>
      <c r="I121" t="s">
        <v>293</v>
      </c>
      <c r="J121">
        <v>2</v>
      </c>
      <c r="K121">
        <v>1998</v>
      </c>
      <c r="L121" s="10" t="s">
        <v>73</v>
      </c>
      <c r="M121">
        <v>651</v>
      </c>
      <c r="N121" s="18" t="s">
        <v>261</v>
      </c>
      <c r="O121" s="92" t="s">
        <v>227</v>
      </c>
      <c r="P121" t="s">
        <v>81</v>
      </c>
      <c r="Q121" s="18" t="s">
        <v>294</v>
      </c>
      <c r="R121" t="s">
        <v>244</v>
      </c>
      <c r="S121" t="s">
        <v>255</v>
      </c>
      <c r="T121">
        <v>1</v>
      </c>
      <c r="U121" t="s">
        <v>231</v>
      </c>
      <c r="V121">
        <v>0</v>
      </c>
      <c r="W121" s="18" t="s">
        <v>232</v>
      </c>
      <c r="X121" s="18" t="s">
        <v>232</v>
      </c>
      <c r="Y121" s="18" t="s">
        <v>73</v>
      </c>
      <c r="Z121">
        <v>0</v>
      </c>
      <c r="AA121">
        <v>0</v>
      </c>
      <c r="AB121">
        <v>0</v>
      </c>
      <c r="AC121">
        <v>1</v>
      </c>
      <c r="AD121">
        <v>0</v>
      </c>
      <c r="AE121">
        <v>0</v>
      </c>
      <c r="AF121">
        <v>0</v>
      </c>
      <c r="AG121">
        <v>0</v>
      </c>
      <c r="AH121" t="s">
        <v>73</v>
      </c>
      <c r="AI121">
        <v>0</v>
      </c>
      <c r="AJ121">
        <v>0</v>
      </c>
      <c r="AK121">
        <v>0</v>
      </c>
      <c r="AL121">
        <v>1</v>
      </c>
      <c r="AM121" s="32">
        <v>0</v>
      </c>
      <c r="AN121" s="32">
        <v>0</v>
      </c>
      <c r="AO121" s="32">
        <v>0</v>
      </c>
      <c r="AP121" s="32">
        <v>0</v>
      </c>
      <c r="AQ121" s="32">
        <v>0</v>
      </c>
      <c r="AR121" t="s">
        <v>295</v>
      </c>
      <c r="AS121" s="92" t="s">
        <v>234</v>
      </c>
      <c r="AT121" s="92" t="s">
        <v>296</v>
      </c>
      <c r="AU121" s="92" t="s">
        <v>236</v>
      </c>
      <c r="AV121" s="134">
        <v>2.1999999999999999E-2</v>
      </c>
      <c r="AW121" s="7" t="s">
        <v>80</v>
      </c>
      <c r="AX121">
        <v>0.21199999999999999</v>
      </c>
      <c r="AY121" t="s">
        <v>73</v>
      </c>
      <c r="AZ121">
        <v>3</v>
      </c>
      <c r="BA121">
        <f t="shared" si="54"/>
        <v>0.10377358490566037</v>
      </c>
      <c r="BC121" s="105">
        <f t="shared" si="55"/>
        <v>0.50549977817740277</v>
      </c>
      <c r="BD121" t="s">
        <v>73</v>
      </c>
      <c r="BE121" t="s">
        <v>73</v>
      </c>
      <c r="BF121" t="s">
        <v>73</v>
      </c>
      <c r="BG121" t="s">
        <v>73</v>
      </c>
      <c r="BH121" t="s">
        <v>73</v>
      </c>
      <c r="BI121" t="s">
        <v>73</v>
      </c>
      <c r="BJ121">
        <v>375</v>
      </c>
      <c r="BK121">
        <v>6081</v>
      </c>
      <c r="BL121" t="s">
        <v>73</v>
      </c>
      <c r="BM121" t="s">
        <v>73</v>
      </c>
      <c r="BN121" t="s">
        <v>73</v>
      </c>
      <c r="BO121" t="s">
        <v>73</v>
      </c>
      <c r="BP121" t="s">
        <v>73</v>
      </c>
      <c r="BQ121" t="s">
        <v>73</v>
      </c>
      <c r="BR121" t="s">
        <v>73</v>
      </c>
      <c r="BS121" t="s">
        <v>73</v>
      </c>
      <c r="BT121" t="s">
        <v>73</v>
      </c>
      <c r="BU121" t="s">
        <v>73</v>
      </c>
      <c r="BV121">
        <v>0</v>
      </c>
      <c r="BW121">
        <v>0</v>
      </c>
      <c r="BX121">
        <v>0</v>
      </c>
      <c r="BY121" s="30">
        <f t="shared" si="52"/>
        <v>5.3587679376424701E-3</v>
      </c>
      <c r="BZ121" s="30">
        <f t="shared" si="45"/>
        <v>5.3588192333564287E-3</v>
      </c>
      <c r="CA121" s="30">
        <f t="shared" si="46"/>
        <v>2.6737967892388691E-3</v>
      </c>
      <c r="CB121" s="30">
        <f t="shared" si="47"/>
        <v>2.6881720430107529E-3</v>
      </c>
      <c r="CC121" s="92" t="s">
        <v>73</v>
      </c>
      <c r="CD121">
        <f t="shared" si="56"/>
        <v>373</v>
      </c>
      <c r="CE121" s="92" t="s">
        <v>73</v>
      </c>
      <c r="CF121" s="30">
        <f t="shared" si="43"/>
        <v>1.3307575341676675E-3</v>
      </c>
      <c r="CG121" s="30">
        <f t="shared" si="48"/>
        <v>1.3307583197216381E-3</v>
      </c>
      <c r="CH121" s="30">
        <f t="shared" si="49"/>
        <v>1.644736842100105E-4</v>
      </c>
      <c r="CI121" s="30">
        <f t="shared" si="50"/>
        <v>1.6452780519907864E-4</v>
      </c>
      <c r="CJ121" s="95"/>
    </row>
    <row r="122" spans="1:88" s="119" customFormat="1">
      <c r="A122" s="11" t="s">
        <v>68</v>
      </c>
      <c r="B122" s="11"/>
      <c r="C122" s="11">
        <v>24</v>
      </c>
      <c r="D122" s="11">
        <v>1064</v>
      </c>
      <c r="E122">
        <v>111</v>
      </c>
      <c r="F122" t="s">
        <v>291</v>
      </c>
      <c r="G122" s="11">
        <v>1998</v>
      </c>
      <c r="H122" t="s">
        <v>292</v>
      </c>
      <c r="I122" t="s">
        <v>293</v>
      </c>
      <c r="J122">
        <v>2</v>
      </c>
      <c r="K122">
        <v>1998</v>
      </c>
      <c r="L122" s="10" t="s">
        <v>73</v>
      </c>
      <c r="M122">
        <v>652</v>
      </c>
      <c r="N122" s="18" t="s">
        <v>261</v>
      </c>
      <c r="O122" s="92" t="s">
        <v>227</v>
      </c>
      <c r="P122" t="s">
        <v>81</v>
      </c>
      <c r="Q122" s="18" t="s">
        <v>294</v>
      </c>
      <c r="R122" t="s">
        <v>244</v>
      </c>
      <c r="S122" t="s">
        <v>255</v>
      </c>
      <c r="T122">
        <v>1</v>
      </c>
      <c r="U122" t="s">
        <v>231</v>
      </c>
      <c r="V122">
        <v>0</v>
      </c>
      <c r="W122" s="18" t="s">
        <v>232</v>
      </c>
      <c r="X122" s="18" t="s">
        <v>232</v>
      </c>
      <c r="Y122" s="18" t="s">
        <v>73</v>
      </c>
      <c r="Z122">
        <v>0</v>
      </c>
      <c r="AA122">
        <v>0</v>
      </c>
      <c r="AB122">
        <v>0</v>
      </c>
      <c r="AC122">
        <v>1</v>
      </c>
      <c r="AD122">
        <v>0</v>
      </c>
      <c r="AE122">
        <v>0</v>
      </c>
      <c r="AF122">
        <v>0</v>
      </c>
      <c r="AG122">
        <v>0</v>
      </c>
      <c r="AH122" t="s">
        <v>73</v>
      </c>
      <c r="AI122">
        <v>0</v>
      </c>
      <c r="AJ122">
        <v>0</v>
      </c>
      <c r="AK122">
        <v>0</v>
      </c>
      <c r="AL122">
        <v>1</v>
      </c>
      <c r="AM122" s="32">
        <v>0</v>
      </c>
      <c r="AN122" s="32">
        <v>0</v>
      </c>
      <c r="AO122" s="32">
        <v>0</v>
      </c>
      <c r="AP122" s="32">
        <v>0</v>
      </c>
      <c r="AQ122" s="32">
        <v>0</v>
      </c>
      <c r="AR122" t="s">
        <v>295</v>
      </c>
      <c r="AS122" s="92" t="s">
        <v>234</v>
      </c>
      <c r="AT122" s="92" t="s">
        <v>296</v>
      </c>
      <c r="AU122" s="92" t="s">
        <v>236</v>
      </c>
      <c r="AV122" s="134">
        <v>0.14599999999999999</v>
      </c>
      <c r="AW122" s="7" t="s">
        <v>86</v>
      </c>
      <c r="AX122">
        <v>0.188</v>
      </c>
      <c r="AY122" t="s">
        <v>73</v>
      </c>
      <c r="AZ122">
        <v>3</v>
      </c>
      <c r="BA122">
        <f t="shared" si="54"/>
        <v>0.77659574468085102</v>
      </c>
      <c r="BB122"/>
      <c r="BC122" s="105">
        <f t="shared" si="55"/>
        <v>0.53643530174064413</v>
      </c>
      <c r="BD122" t="s">
        <v>73</v>
      </c>
      <c r="BE122" t="s">
        <v>73</v>
      </c>
      <c r="BF122" t="s">
        <v>73</v>
      </c>
      <c r="BG122" t="s">
        <v>73</v>
      </c>
      <c r="BH122" t="s">
        <v>73</v>
      </c>
      <c r="BI122" t="s">
        <v>73</v>
      </c>
      <c r="BJ122">
        <v>375</v>
      </c>
      <c r="BK122">
        <v>6081</v>
      </c>
      <c r="BL122" t="s">
        <v>73</v>
      </c>
      <c r="BM122" t="s">
        <v>73</v>
      </c>
      <c r="BN122" t="s">
        <v>73</v>
      </c>
      <c r="BO122" t="s">
        <v>73</v>
      </c>
      <c r="BP122" t="s">
        <v>73</v>
      </c>
      <c r="BQ122" t="s">
        <v>73</v>
      </c>
      <c r="BR122" t="s">
        <v>73</v>
      </c>
      <c r="BS122" t="s">
        <v>73</v>
      </c>
      <c r="BT122" t="s">
        <v>73</v>
      </c>
      <c r="BU122" t="s">
        <v>73</v>
      </c>
      <c r="BV122">
        <v>0</v>
      </c>
      <c r="BW122">
        <v>0</v>
      </c>
      <c r="BX122">
        <v>1</v>
      </c>
      <c r="BY122" s="30">
        <f t="shared" si="52"/>
        <v>4.0071022261504372E-2</v>
      </c>
      <c r="BZ122" s="30">
        <f t="shared" si="45"/>
        <v>4.0092490118533643E-2</v>
      </c>
      <c r="CA122" s="30">
        <f t="shared" si="46"/>
        <v>2.6737898829954023E-3</v>
      </c>
      <c r="CB122" s="30">
        <f t="shared" si="47"/>
        <v>2.6881720430107529E-3</v>
      </c>
      <c r="CC122" s="92" t="s">
        <v>73</v>
      </c>
      <c r="CD122">
        <f t="shared" si="56"/>
        <v>373</v>
      </c>
      <c r="CE122" s="92" t="s">
        <v>73</v>
      </c>
      <c r="CF122" s="30">
        <f t="shared" si="43"/>
        <v>9.9583175216459603E-3</v>
      </c>
      <c r="CG122" s="30">
        <f t="shared" si="48"/>
        <v>9.9586467236696761E-3</v>
      </c>
      <c r="CH122" s="30">
        <f t="shared" si="49"/>
        <v>1.6447368259282728E-4</v>
      </c>
      <c r="CI122" s="30">
        <f t="shared" si="50"/>
        <v>1.6452780519907864E-4</v>
      </c>
      <c r="CJ122"/>
    </row>
    <row r="123" spans="1:88">
      <c r="A123" s="11" t="s">
        <v>68</v>
      </c>
      <c r="B123" s="11"/>
      <c r="C123" s="11">
        <v>24</v>
      </c>
      <c r="D123" s="11">
        <v>1066</v>
      </c>
      <c r="E123">
        <v>111</v>
      </c>
      <c r="F123" t="s">
        <v>291</v>
      </c>
      <c r="G123" s="11">
        <v>1998</v>
      </c>
      <c r="H123" t="s">
        <v>292</v>
      </c>
      <c r="I123" t="s">
        <v>293</v>
      </c>
      <c r="J123">
        <v>2</v>
      </c>
      <c r="K123">
        <v>1998</v>
      </c>
      <c r="L123" s="10" t="s">
        <v>73</v>
      </c>
      <c r="M123">
        <v>654</v>
      </c>
      <c r="N123" s="18" t="s">
        <v>261</v>
      </c>
      <c r="O123" s="92" t="s">
        <v>227</v>
      </c>
      <c r="P123" t="s">
        <v>81</v>
      </c>
      <c r="Q123" s="18" t="s">
        <v>294</v>
      </c>
      <c r="R123" t="s">
        <v>244</v>
      </c>
      <c r="S123" t="s">
        <v>255</v>
      </c>
      <c r="T123">
        <v>1</v>
      </c>
      <c r="U123" t="s">
        <v>231</v>
      </c>
      <c r="V123">
        <v>0</v>
      </c>
      <c r="W123" s="18" t="s">
        <v>232</v>
      </c>
      <c r="X123" s="18" t="s">
        <v>232</v>
      </c>
      <c r="Y123" s="18" t="s">
        <v>73</v>
      </c>
      <c r="Z123">
        <v>0</v>
      </c>
      <c r="AA123">
        <v>0</v>
      </c>
      <c r="AB123">
        <v>0</v>
      </c>
      <c r="AC123">
        <v>1</v>
      </c>
      <c r="AD123">
        <v>0</v>
      </c>
      <c r="AE123">
        <v>0</v>
      </c>
      <c r="AF123">
        <v>0</v>
      </c>
      <c r="AG123">
        <v>0</v>
      </c>
      <c r="AH123" t="s">
        <v>73</v>
      </c>
      <c r="AI123">
        <v>0</v>
      </c>
      <c r="AJ123">
        <v>0</v>
      </c>
      <c r="AK123">
        <v>0</v>
      </c>
      <c r="AL123">
        <v>1</v>
      </c>
      <c r="AM123" s="32">
        <v>0</v>
      </c>
      <c r="AN123" s="32">
        <v>0</v>
      </c>
      <c r="AO123" s="32">
        <v>0</v>
      </c>
      <c r="AP123" s="32">
        <v>0</v>
      </c>
      <c r="AQ123" s="32">
        <v>0</v>
      </c>
      <c r="AR123" t="s">
        <v>295</v>
      </c>
      <c r="AS123" s="92" t="s">
        <v>234</v>
      </c>
      <c r="AT123" s="92" t="s">
        <v>296</v>
      </c>
      <c r="AU123" s="92" t="s">
        <v>236</v>
      </c>
      <c r="AV123" s="134">
        <v>0.19900000000000001</v>
      </c>
      <c r="AW123" s="7" t="s">
        <v>80</v>
      </c>
      <c r="AX123">
        <v>0.188</v>
      </c>
      <c r="AY123" t="s">
        <v>73</v>
      </c>
      <c r="AZ123">
        <v>3</v>
      </c>
      <c r="BA123">
        <f t="shared" si="54"/>
        <v>1.0585106382978724</v>
      </c>
      <c r="BC123" s="105">
        <f t="shared" si="55"/>
        <v>0.54958646842503955</v>
      </c>
      <c r="BD123" t="s">
        <v>73</v>
      </c>
      <c r="BE123" t="s">
        <v>73</v>
      </c>
      <c r="BF123" t="s">
        <v>73</v>
      </c>
      <c r="BG123" t="s">
        <v>73</v>
      </c>
      <c r="BH123" t="s">
        <v>73</v>
      </c>
      <c r="BI123" t="s">
        <v>73</v>
      </c>
      <c r="BJ123">
        <v>375</v>
      </c>
      <c r="BK123">
        <v>6081</v>
      </c>
      <c r="BL123" t="s">
        <v>73</v>
      </c>
      <c r="BM123" t="s">
        <v>73</v>
      </c>
      <c r="BN123" t="s">
        <v>73</v>
      </c>
      <c r="BO123" t="s">
        <v>73</v>
      </c>
      <c r="BP123" t="s">
        <v>73</v>
      </c>
      <c r="BQ123" t="s">
        <v>73</v>
      </c>
      <c r="BR123" t="s">
        <v>73</v>
      </c>
      <c r="BS123" t="s">
        <v>73</v>
      </c>
      <c r="BT123" t="s">
        <v>73</v>
      </c>
      <c r="BU123" t="s">
        <v>73</v>
      </c>
      <c r="BV123">
        <v>0</v>
      </c>
      <c r="BW123">
        <v>0</v>
      </c>
      <c r="BX123">
        <v>1</v>
      </c>
      <c r="BY123" s="30">
        <f t="shared" si="52"/>
        <v>5.4579776966369314E-2</v>
      </c>
      <c r="BZ123" s="30">
        <f t="shared" si="45"/>
        <v>5.4634070889081947E-2</v>
      </c>
      <c r="CA123" s="30">
        <f t="shared" si="46"/>
        <v>2.6737729692011378E-3</v>
      </c>
      <c r="CB123" s="30">
        <f t="shared" si="47"/>
        <v>2.6881720430107529E-3</v>
      </c>
      <c r="CC123" s="92" t="s">
        <v>73</v>
      </c>
      <c r="CD123">
        <f t="shared" si="56"/>
        <v>373</v>
      </c>
      <c r="CE123" s="92" t="s">
        <v>73</v>
      </c>
      <c r="CF123" s="30">
        <f t="shared" si="43"/>
        <v>1.3572745913100221E-2</v>
      </c>
      <c r="CG123" s="30">
        <f t="shared" si="48"/>
        <v>1.3573579459748053E-2</v>
      </c>
      <c r="CH123" s="30">
        <f t="shared" si="49"/>
        <v>1.6447367862744465E-4</v>
      </c>
      <c r="CI123" s="30">
        <f t="shared" si="50"/>
        <v>1.6452780519907864E-4</v>
      </c>
    </row>
    <row r="124" spans="1:88">
      <c r="A124" s="11" t="s">
        <v>68</v>
      </c>
      <c r="B124" s="11"/>
      <c r="C124" s="11">
        <v>24</v>
      </c>
      <c r="D124" s="11">
        <v>1069</v>
      </c>
      <c r="E124">
        <v>111</v>
      </c>
      <c r="F124" t="s">
        <v>291</v>
      </c>
      <c r="G124" s="11">
        <v>1998</v>
      </c>
      <c r="H124" t="s">
        <v>292</v>
      </c>
      <c r="I124" t="s">
        <v>293</v>
      </c>
      <c r="J124">
        <v>2</v>
      </c>
      <c r="K124">
        <v>1998</v>
      </c>
      <c r="L124" s="10" t="s">
        <v>73</v>
      </c>
      <c r="M124">
        <v>654</v>
      </c>
      <c r="N124" s="18" t="s">
        <v>261</v>
      </c>
      <c r="O124" s="92" t="s">
        <v>227</v>
      </c>
      <c r="P124" t="s">
        <v>81</v>
      </c>
      <c r="Q124" s="18" t="s">
        <v>228</v>
      </c>
      <c r="R124" t="s">
        <v>244</v>
      </c>
      <c r="S124" t="s">
        <v>255</v>
      </c>
      <c r="T124">
        <v>1</v>
      </c>
      <c r="U124" t="s">
        <v>231</v>
      </c>
      <c r="V124">
        <v>0</v>
      </c>
      <c r="W124" s="18" t="s">
        <v>232</v>
      </c>
      <c r="X124" s="18" t="s">
        <v>232</v>
      </c>
      <c r="Y124" s="18" t="s">
        <v>73</v>
      </c>
      <c r="Z124">
        <v>0</v>
      </c>
      <c r="AA124">
        <v>0</v>
      </c>
      <c r="AB124">
        <v>0</v>
      </c>
      <c r="AC124">
        <v>1</v>
      </c>
      <c r="AD124">
        <v>0</v>
      </c>
      <c r="AE124">
        <v>0</v>
      </c>
      <c r="AF124">
        <v>0</v>
      </c>
      <c r="AG124">
        <v>0</v>
      </c>
      <c r="AH124" t="s">
        <v>73</v>
      </c>
      <c r="AI124">
        <v>0</v>
      </c>
      <c r="AJ124">
        <v>0</v>
      </c>
      <c r="AK124">
        <v>0</v>
      </c>
      <c r="AL124">
        <v>1</v>
      </c>
      <c r="AM124" s="32">
        <v>0</v>
      </c>
      <c r="AN124" s="32">
        <v>0</v>
      </c>
      <c r="AO124" s="32">
        <v>0</v>
      </c>
      <c r="AP124" s="32">
        <v>0</v>
      </c>
      <c r="AQ124" s="32">
        <v>0</v>
      </c>
      <c r="AR124" t="s">
        <v>295</v>
      </c>
      <c r="AS124" s="92" t="s">
        <v>234</v>
      </c>
      <c r="AT124" s="92" t="s">
        <v>296</v>
      </c>
      <c r="AU124" s="92" t="s">
        <v>236</v>
      </c>
      <c r="AV124" s="201">
        <v>3.01</v>
      </c>
      <c r="AW124" s="7" t="s">
        <v>86</v>
      </c>
      <c r="AX124">
        <v>2.17</v>
      </c>
      <c r="AY124" t="s">
        <v>73</v>
      </c>
      <c r="AZ124">
        <v>3</v>
      </c>
      <c r="BA124">
        <f t="shared" si="54"/>
        <v>1.3870967741935483</v>
      </c>
      <c r="BC124" s="105">
        <f t="shared" si="55"/>
        <v>0.95302385432171643</v>
      </c>
      <c r="BD124" t="s">
        <v>73</v>
      </c>
      <c r="BE124" t="s">
        <v>73</v>
      </c>
      <c r="BF124" t="s">
        <v>73</v>
      </c>
      <c r="BG124" t="s">
        <v>73</v>
      </c>
      <c r="BH124" t="s">
        <v>73</v>
      </c>
      <c r="BI124" t="s">
        <v>73</v>
      </c>
      <c r="BJ124">
        <v>163</v>
      </c>
      <c r="BK124">
        <v>163</v>
      </c>
      <c r="BL124" t="s">
        <v>73</v>
      </c>
      <c r="BM124" t="s">
        <v>73</v>
      </c>
      <c r="BN124" t="s">
        <v>73</v>
      </c>
      <c r="BO124" t="s">
        <v>73</v>
      </c>
      <c r="BP124" t="s">
        <v>73</v>
      </c>
      <c r="BQ124" t="s">
        <v>73</v>
      </c>
      <c r="BR124" t="s">
        <v>73</v>
      </c>
      <c r="BS124" t="s">
        <v>73</v>
      </c>
      <c r="BT124" t="s">
        <v>73</v>
      </c>
      <c r="BU124" t="s">
        <v>73</v>
      </c>
      <c r="BV124">
        <v>0</v>
      </c>
      <c r="BW124">
        <v>0</v>
      </c>
      <c r="BX124">
        <v>1</v>
      </c>
      <c r="BY124" s="30">
        <f t="shared" si="52"/>
        <v>0.10801020309415331</v>
      </c>
      <c r="BZ124" s="30">
        <f t="shared" si="45"/>
        <v>0.10843319088266559</v>
      </c>
      <c r="CA124" s="30">
        <f t="shared" si="46"/>
        <v>6.1719861429199588E-3</v>
      </c>
      <c r="CB124" s="30">
        <f t="shared" si="47"/>
        <v>6.2500000000000003E-3</v>
      </c>
      <c r="CC124" s="92" t="s">
        <v>73</v>
      </c>
      <c r="CD124">
        <f t="shared" si="56"/>
        <v>161</v>
      </c>
      <c r="CE124" s="92" t="s">
        <v>73</v>
      </c>
      <c r="CF124" s="30">
        <f t="shared" si="43"/>
        <v>0.10801020309415331</v>
      </c>
      <c r="CG124" s="30">
        <f t="shared" si="48"/>
        <v>0.10843319088266559</v>
      </c>
      <c r="CH124" s="30">
        <f t="shared" si="49"/>
        <v>6.1719861429199588E-3</v>
      </c>
      <c r="CI124" s="30">
        <f t="shared" si="50"/>
        <v>6.2500000000000003E-3</v>
      </c>
      <c r="CJ124" s="112"/>
    </row>
    <row r="125" spans="1:88">
      <c r="A125" s="11" t="s">
        <v>68</v>
      </c>
      <c r="B125" s="11"/>
      <c r="C125" s="11">
        <v>24</v>
      </c>
      <c r="D125" s="11">
        <v>1068</v>
      </c>
      <c r="E125">
        <v>111</v>
      </c>
      <c r="F125" t="s">
        <v>291</v>
      </c>
      <c r="G125" s="11">
        <v>1998</v>
      </c>
      <c r="H125" t="s">
        <v>292</v>
      </c>
      <c r="I125" t="s">
        <v>293</v>
      </c>
      <c r="J125">
        <v>2</v>
      </c>
      <c r="K125">
        <v>1998</v>
      </c>
      <c r="L125" s="10" t="s">
        <v>73</v>
      </c>
      <c r="M125">
        <v>654</v>
      </c>
      <c r="N125" s="18" t="s">
        <v>261</v>
      </c>
      <c r="O125" s="92" t="s">
        <v>227</v>
      </c>
      <c r="P125" t="s">
        <v>81</v>
      </c>
      <c r="Q125" s="18" t="s">
        <v>228</v>
      </c>
      <c r="R125" t="s">
        <v>244</v>
      </c>
      <c r="S125" t="s">
        <v>255</v>
      </c>
      <c r="T125">
        <v>1</v>
      </c>
      <c r="U125" t="s">
        <v>231</v>
      </c>
      <c r="V125">
        <v>0</v>
      </c>
      <c r="W125" s="18" t="s">
        <v>232</v>
      </c>
      <c r="X125" s="18" t="s">
        <v>232</v>
      </c>
      <c r="Y125" s="18" t="s">
        <v>73</v>
      </c>
      <c r="Z125">
        <v>0</v>
      </c>
      <c r="AA125">
        <v>0</v>
      </c>
      <c r="AB125">
        <v>0</v>
      </c>
      <c r="AC125">
        <v>1</v>
      </c>
      <c r="AD125">
        <v>0</v>
      </c>
      <c r="AE125">
        <v>0</v>
      </c>
      <c r="AF125">
        <v>0</v>
      </c>
      <c r="AG125">
        <v>0</v>
      </c>
      <c r="AH125" t="s">
        <v>73</v>
      </c>
      <c r="AI125">
        <v>0</v>
      </c>
      <c r="AJ125">
        <v>0</v>
      </c>
      <c r="AK125">
        <v>0</v>
      </c>
      <c r="AL125">
        <v>1</v>
      </c>
      <c r="AM125" s="32">
        <v>0</v>
      </c>
      <c r="AN125" s="32">
        <v>0</v>
      </c>
      <c r="AO125" s="32">
        <v>0</v>
      </c>
      <c r="AP125" s="32">
        <v>0</v>
      </c>
      <c r="AQ125" s="32">
        <v>0</v>
      </c>
      <c r="AR125" t="s">
        <v>295</v>
      </c>
      <c r="AS125" s="92" t="s">
        <v>234</v>
      </c>
      <c r="AT125" s="92" t="s">
        <v>296</v>
      </c>
      <c r="AU125" s="92" t="s">
        <v>236</v>
      </c>
      <c r="AV125" s="201">
        <v>3.7</v>
      </c>
      <c r="AW125" s="7" t="s">
        <v>86</v>
      </c>
      <c r="AX125">
        <v>7.31</v>
      </c>
      <c r="AY125" t="s">
        <v>73</v>
      </c>
      <c r="AZ125">
        <v>3</v>
      </c>
      <c r="BA125">
        <f t="shared" si="54"/>
        <v>0.50615595075239406</v>
      </c>
      <c r="BC125" s="105">
        <f t="shared" si="55"/>
        <v>0.9758729785823308</v>
      </c>
      <c r="BD125" t="s">
        <v>73</v>
      </c>
      <c r="BE125" t="s">
        <v>73</v>
      </c>
      <c r="BF125" t="s">
        <v>73</v>
      </c>
      <c r="BG125" t="s">
        <v>73</v>
      </c>
      <c r="BH125" t="s">
        <v>73</v>
      </c>
      <c r="BI125" t="s">
        <v>73</v>
      </c>
      <c r="BJ125">
        <v>163</v>
      </c>
      <c r="BK125">
        <v>163</v>
      </c>
      <c r="BL125" t="s">
        <v>73</v>
      </c>
      <c r="BM125" t="s">
        <v>73</v>
      </c>
      <c r="BN125" t="s">
        <v>73</v>
      </c>
      <c r="BO125" t="s">
        <v>73</v>
      </c>
      <c r="BP125" t="s">
        <v>73</v>
      </c>
      <c r="BQ125" t="s">
        <v>73</v>
      </c>
      <c r="BR125" t="s">
        <v>73</v>
      </c>
      <c r="BS125" t="s">
        <v>73</v>
      </c>
      <c r="BT125" t="s">
        <v>73</v>
      </c>
      <c r="BU125" t="s">
        <v>73</v>
      </c>
      <c r="BV125">
        <v>0</v>
      </c>
      <c r="BW125">
        <v>0</v>
      </c>
      <c r="BX125">
        <v>1</v>
      </c>
      <c r="BY125" s="30">
        <f t="shared" si="52"/>
        <v>3.9614074457903617E-2</v>
      </c>
      <c r="BZ125" s="30">
        <f t="shared" si="45"/>
        <v>3.9634815781559279E-2</v>
      </c>
      <c r="CA125" s="30">
        <f t="shared" si="46"/>
        <v>6.1728242729301415E-3</v>
      </c>
      <c r="CB125" s="30">
        <f t="shared" si="47"/>
        <v>6.2500000000000003E-3</v>
      </c>
      <c r="CC125" s="92" t="s">
        <v>73</v>
      </c>
      <c r="CD125">
        <f t="shared" si="56"/>
        <v>161</v>
      </c>
      <c r="CE125" s="92" t="s">
        <v>73</v>
      </c>
      <c r="CF125" s="30">
        <f t="shared" si="43"/>
        <v>3.9614074457903617E-2</v>
      </c>
      <c r="CG125" s="30">
        <f t="shared" si="48"/>
        <v>3.9634815781559279E-2</v>
      </c>
      <c r="CH125" s="30">
        <f t="shared" si="49"/>
        <v>6.1728242729301415E-3</v>
      </c>
      <c r="CI125" s="30">
        <f t="shared" si="50"/>
        <v>6.2500000000000003E-3</v>
      </c>
      <c r="CJ125" s="112"/>
    </row>
    <row r="126" spans="1:88">
      <c r="A126" s="11" t="s">
        <v>68</v>
      </c>
      <c r="B126" s="11"/>
      <c r="C126" s="11">
        <v>24</v>
      </c>
      <c r="D126" s="11">
        <v>1061</v>
      </c>
      <c r="E126">
        <v>111</v>
      </c>
      <c r="F126" t="s">
        <v>291</v>
      </c>
      <c r="G126" s="11">
        <v>1998</v>
      </c>
      <c r="H126" t="s">
        <v>292</v>
      </c>
      <c r="I126" t="s">
        <v>293</v>
      </c>
      <c r="J126">
        <v>2</v>
      </c>
      <c r="K126">
        <v>1998</v>
      </c>
      <c r="L126" s="10" t="s">
        <v>73</v>
      </c>
      <c r="M126">
        <v>651</v>
      </c>
      <c r="N126" s="18" t="s">
        <v>155</v>
      </c>
      <c r="O126" s="92" t="s">
        <v>227</v>
      </c>
      <c r="P126" t="s">
        <v>81</v>
      </c>
      <c r="Q126" s="18" t="s">
        <v>294</v>
      </c>
      <c r="R126" t="s">
        <v>244</v>
      </c>
      <c r="S126" t="s">
        <v>255</v>
      </c>
      <c r="T126">
        <v>1</v>
      </c>
      <c r="U126" t="s">
        <v>231</v>
      </c>
      <c r="V126">
        <v>0</v>
      </c>
      <c r="W126" s="18" t="s">
        <v>232</v>
      </c>
      <c r="X126" s="18" t="s">
        <v>232</v>
      </c>
      <c r="Y126" s="18" t="s">
        <v>73</v>
      </c>
      <c r="Z126">
        <v>0</v>
      </c>
      <c r="AA126">
        <v>0</v>
      </c>
      <c r="AB126">
        <v>0</v>
      </c>
      <c r="AC126">
        <v>0</v>
      </c>
      <c r="AD126">
        <v>0</v>
      </c>
      <c r="AE126">
        <v>0</v>
      </c>
      <c r="AF126">
        <v>1</v>
      </c>
      <c r="AG126">
        <v>0</v>
      </c>
      <c r="AH126" t="s">
        <v>73</v>
      </c>
      <c r="AI126">
        <v>0</v>
      </c>
      <c r="AJ126">
        <v>0</v>
      </c>
      <c r="AK126">
        <v>0</v>
      </c>
      <c r="AL126">
        <v>1</v>
      </c>
      <c r="AM126" s="32">
        <v>0</v>
      </c>
      <c r="AN126" s="32">
        <v>0</v>
      </c>
      <c r="AO126" s="32">
        <v>0</v>
      </c>
      <c r="AP126" s="32">
        <v>0</v>
      </c>
      <c r="AQ126" s="32">
        <v>0</v>
      </c>
      <c r="AR126" t="s">
        <v>295</v>
      </c>
      <c r="AS126" s="92" t="s">
        <v>234</v>
      </c>
      <c r="AT126" s="92" t="s">
        <v>296</v>
      </c>
      <c r="AU126" s="92" t="s">
        <v>236</v>
      </c>
      <c r="AV126" s="134">
        <v>1.7500000000000002E-2</v>
      </c>
      <c r="AW126" s="7" t="s">
        <v>86</v>
      </c>
      <c r="AX126">
        <v>0.26400000000000001</v>
      </c>
      <c r="AY126" t="s">
        <v>73</v>
      </c>
      <c r="AZ126">
        <v>3</v>
      </c>
      <c r="BA126">
        <f t="shared" si="54"/>
        <v>6.6287878787878785E-2</v>
      </c>
      <c r="BC126" s="105">
        <f t="shared" si="55"/>
        <v>0.50437488834977351</v>
      </c>
      <c r="BD126" t="s">
        <v>73</v>
      </c>
      <c r="BE126" t="s">
        <v>73</v>
      </c>
      <c r="BF126" t="s">
        <v>73</v>
      </c>
      <c r="BG126" t="s">
        <v>73</v>
      </c>
      <c r="BH126" t="s">
        <v>73</v>
      </c>
      <c r="BI126" t="s">
        <v>73</v>
      </c>
      <c r="BJ126">
        <v>375</v>
      </c>
      <c r="BK126">
        <v>6081</v>
      </c>
      <c r="BL126" t="s">
        <v>73</v>
      </c>
      <c r="BM126" t="s">
        <v>73</v>
      </c>
      <c r="BN126" t="s">
        <v>73</v>
      </c>
      <c r="BO126" t="s">
        <v>73</v>
      </c>
      <c r="BP126" t="s">
        <v>73</v>
      </c>
      <c r="BQ126" t="s">
        <v>73</v>
      </c>
      <c r="BR126" t="s">
        <v>73</v>
      </c>
      <c r="BS126" t="s">
        <v>73</v>
      </c>
      <c r="BT126" t="s">
        <v>73</v>
      </c>
      <c r="BU126" t="s">
        <v>73</v>
      </c>
      <c r="BV126">
        <v>0</v>
      </c>
      <c r="BW126">
        <v>0</v>
      </c>
      <c r="BX126">
        <v>0</v>
      </c>
      <c r="BY126" s="30">
        <f t="shared" si="52"/>
        <v>3.4230712863917989E-3</v>
      </c>
      <c r="BZ126" s="30">
        <f t="shared" si="45"/>
        <v>3.4230846563371624E-3</v>
      </c>
      <c r="CA126" s="30">
        <f t="shared" si="46"/>
        <v>2.673796791076738E-3</v>
      </c>
      <c r="CB126" s="30">
        <f t="shared" si="47"/>
        <v>2.6881720430107529E-3</v>
      </c>
      <c r="CC126" s="92" t="s">
        <v>73</v>
      </c>
      <c r="CD126">
        <f t="shared" si="56"/>
        <v>373</v>
      </c>
      <c r="CE126" s="92" t="s">
        <v>73</v>
      </c>
      <c r="CF126" s="30">
        <f t="shared" si="43"/>
        <v>8.5005389800475262E-4</v>
      </c>
      <c r="CG126" s="30">
        <f t="shared" si="48"/>
        <v>8.5005410275206428E-4</v>
      </c>
      <c r="CH126" s="30">
        <f t="shared" si="49"/>
        <v>1.6447368421044044E-4</v>
      </c>
      <c r="CI126" s="30">
        <f t="shared" si="50"/>
        <v>1.6452780519907864E-4</v>
      </c>
      <c r="CJ126" s="95"/>
    </row>
    <row r="127" spans="1:88">
      <c r="A127" s="11" t="s">
        <v>68</v>
      </c>
      <c r="B127" s="11"/>
      <c r="C127" s="11">
        <v>24</v>
      </c>
      <c r="D127" s="11">
        <v>1063</v>
      </c>
      <c r="E127">
        <v>111</v>
      </c>
      <c r="F127" t="s">
        <v>291</v>
      </c>
      <c r="G127" s="11">
        <v>1998</v>
      </c>
      <c r="H127" t="s">
        <v>292</v>
      </c>
      <c r="I127" t="s">
        <v>293</v>
      </c>
      <c r="J127">
        <v>2</v>
      </c>
      <c r="K127">
        <v>1998</v>
      </c>
      <c r="L127" s="10" t="s">
        <v>73</v>
      </c>
      <c r="M127">
        <v>651</v>
      </c>
      <c r="N127" s="18" t="s">
        <v>261</v>
      </c>
      <c r="O127" s="92" t="s">
        <v>227</v>
      </c>
      <c r="P127" t="s">
        <v>81</v>
      </c>
      <c r="Q127" s="18" t="s">
        <v>294</v>
      </c>
      <c r="R127" t="s">
        <v>244</v>
      </c>
      <c r="S127" t="s">
        <v>255</v>
      </c>
      <c r="T127">
        <v>1</v>
      </c>
      <c r="U127" t="s">
        <v>231</v>
      </c>
      <c r="V127">
        <v>0</v>
      </c>
      <c r="W127" s="18" t="s">
        <v>232</v>
      </c>
      <c r="X127" s="18" t="s">
        <v>232</v>
      </c>
      <c r="Y127" s="18" t="s">
        <v>73</v>
      </c>
      <c r="Z127">
        <v>0</v>
      </c>
      <c r="AA127">
        <v>0</v>
      </c>
      <c r="AB127">
        <v>0</v>
      </c>
      <c r="AC127">
        <v>0</v>
      </c>
      <c r="AD127">
        <v>0</v>
      </c>
      <c r="AE127">
        <v>0</v>
      </c>
      <c r="AF127">
        <v>1</v>
      </c>
      <c r="AG127">
        <v>0</v>
      </c>
      <c r="AH127" t="s">
        <v>73</v>
      </c>
      <c r="AI127">
        <v>0</v>
      </c>
      <c r="AJ127">
        <v>0</v>
      </c>
      <c r="AK127">
        <v>0</v>
      </c>
      <c r="AL127">
        <v>1</v>
      </c>
      <c r="AM127" s="32">
        <v>0</v>
      </c>
      <c r="AN127" s="32">
        <v>0</v>
      </c>
      <c r="AO127" s="32">
        <v>0</v>
      </c>
      <c r="AP127" s="32">
        <v>0</v>
      </c>
      <c r="AQ127" s="32">
        <v>0</v>
      </c>
      <c r="AR127" t="s">
        <v>295</v>
      </c>
      <c r="AS127" s="92" t="s">
        <v>234</v>
      </c>
      <c r="AT127" s="92" t="s">
        <v>296</v>
      </c>
      <c r="AU127" s="92" t="s">
        <v>236</v>
      </c>
      <c r="AV127" s="134">
        <v>0.156</v>
      </c>
      <c r="AW127" s="7" t="s">
        <v>80</v>
      </c>
      <c r="AX127">
        <v>0.621</v>
      </c>
      <c r="AY127" t="s">
        <v>73</v>
      </c>
      <c r="AZ127">
        <v>3</v>
      </c>
      <c r="BA127">
        <f t="shared" si="54"/>
        <v>0.25120772946859904</v>
      </c>
      <c r="BC127" s="105">
        <f t="shared" si="55"/>
        <v>0.53892110000546534</v>
      </c>
      <c r="BD127" t="s">
        <v>73</v>
      </c>
      <c r="BE127" t="s">
        <v>73</v>
      </c>
      <c r="BF127" t="s">
        <v>73</v>
      </c>
      <c r="BG127" t="s">
        <v>73</v>
      </c>
      <c r="BH127" t="s">
        <v>73</v>
      </c>
      <c r="BI127" t="s">
        <v>73</v>
      </c>
      <c r="BJ127">
        <v>375</v>
      </c>
      <c r="BK127">
        <v>6081</v>
      </c>
      <c r="BL127" t="s">
        <v>73</v>
      </c>
      <c r="BM127" t="s">
        <v>73</v>
      </c>
      <c r="BN127" t="s">
        <v>73</v>
      </c>
      <c r="BO127" t="s">
        <v>73</v>
      </c>
      <c r="BP127" t="s">
        <v>73</v>
      </c>
      <c r="BQ127" t="s">
        <v>73</v>
      </c>
      <c r="BR127" t="s">
        <v>73</v>
      </c>
      <c r="BS127" t="s">
        <v>73</v>
      </c>
      <c r="BT127" t="s">
        <v>73</v>
      </c>
      <c r="BU127" t="s">
        <v>73</v>
      </c>
      <c r="BV127">
        <v>0</v>
      </c>
      <c r="BW127">
        <v>0</v>
      </c>
      <c r="BX127">
        <v>0</v>
      </c>
      <c r="BY127" s="30">
        <f t="shared" si="52"/>
        <v>1.2971220010807293E-2</v>
      </c>
      <c r="BZ127" s="30">
        <f t="shared" si="45"/>
        <v>1.2971947564531299E-2</v>
      </c>
      <c r="CA127" s="30">
        <f t="shared" si="46"/>
        <v>2.6737967157345667E-3</v>
      </c>
      <c r="CB127" s="30">
        <f t="shared" si="47"/>
        <v>2.6881720430107529E-3</v>
      </c>
      <c r="CC127" s="92" t="s">
        <v>73</v>
      </c>
      <c r="CD127">
        <f t="shared" si="56"/>
        <v>373</v>
      </c>
      <c r="CE127" s="92" t="s">
        <v>73</v>
      </c>
      <c r="CF127" s="30">
        <f t="shared" si="43"/>
        <v>3.2213895316316066E-3</v>
      </c>
      <c r="CG127" s="30">
        <f t="shared" si="48"/>
        <v>3.2214006748637596E-3</v>
      </c>
      <c r="CH127" s="30">
        <f t="shared" si="49"/>
        <v>1.64473684192814E-4</v>
      </c>
      <c r="CI127" s="30">
        <f t="shared" si="50"/>
        <v>1.6452780519907864E-4</v>
      </c>
      <c r="CJ127" s="119"/>
    </row>
    <row r="128" spans="1:88">
      <c r="A128" s="11" t="s">
        <v>68</v>
      </c>
      <c r="B128" s="11"/>
      <c r="C128" s="11">
        <v>24</v>
      </c>
      <c r="D128" s="11">
        <v>1067</v>
      </c>
      <c r="E128">
        <v>111</v>
      </c>
      <c r="F128" t="s">
        <v>291</v>
      </c>
      <c r="G128" s="11">
        <v>1998</v>
      </c>
      <c r="H128" t="s">
        <v>292</v>
      </c>
      <c r="I128" t="s">
        <v>293</v>
      </c>
      <c r="J128">
        <v>2</v>
      </c>
      <c r="K128">
        <v>1998</v>
      </c>
      <c r="L128" s="10" t="s">
        <v>73</v>
      </c>
      <c r="M128">
        <v>654</v>
      </c>
      <c r="N128" s="18" t="s">
        <v>261</v>
      </c>
      <c r="O128" s="92" t="s">
        <v>227</v>
      </c>
      <c r="P128" t="s">
        <v>81</v>
      </c>
      <c r="Q128" s="18" t="s">
        <v>294</v>
      </c>
      <c r="R128" t="s">
        <v>244</v>
      </c>
      <c r="S128" t="s">
        <v>255</v>
      </c>
      <c r="T128">
        <v>1</v>
      </c>
      <c r="U128" t="s">
        <v>231</v>
      </c>
      <c r="V128">
        <v>0</v>
      </c>
      <c r="W128" s="18" t="s">
        <v>232</v>
      </c>
      <c r="X128" s="18" t="s">
        <v>232</v>
      </c>
      <c r="Y128" s="18" t="s">
        <v>73</v>
      </c>
      <c r="Z128">
        <v>0</v>
      </c>
      <c r="AA128">
        <v>0</v>
      </c>
      <c r="AB128">
        <v>0</v>
      </c>
      <c r="AC128">
        <v>0</v>
      </c>
      <c r="AD128">
        <v>0</v>
      </c>
      <c r="AE128">
        <v>0</v>
      </c>
      <c r="AF128">
        <v>1</v>
      </c>
      <c r="AG128">
        <v>0</v>
      </c>
      <c r="AH128" t="s">
        <v>73</v>
      </c>
      <c r="AI128">
        <v>0</v>
      </c>
      <c r="AJ128">
        <v>0</v>
      </c>
      <c r="AK128">
        <v>0</v>
      </c>
      <c r="AL128">
        <v>1</v>
      </c>
      <c r="AM128" s="32">
        <v>0</v>
      </c>
      <c r="AN128" s="32">
        <v>0</v>
      </c>
      <c r="AO128" s="32">
        <v>0</v>
      </c>
      <c r="AP128" s="32">
        <v>0</v>
      </c>
      <c r="AQ128" s="32">
        <v>0</v>
      </c>
      <c r="AR128" t="s">
        <v>295</v>
      </c>
      <c r="AS128" s="92" t="s">
        <v>234</v>
      </c>
      <c r="AT128" s="92" t="s">
        <v>296</v>
      </c>
      <c r="AU128" s="92" t="s">
        <v>236</v>
      </c>
      <c r="AV128" s="134">
        <v>0.191</v>
      </c>
      <c r="AW128" s="7" t="s">
        <v>86</v>
      </c>
      <c r="AX128">
        <v>0.53300000000000003</v>
      </c>
      <c r="AY128" t="s">
        <v>73</v>
      </c>
      <c r="AZ128">
        <v>3</v>
      </c>
      <c r="BA128">
        <f t="shared" si="54"/>
        <v>0.35834896810506567</v>
      </c>
      <c r="BC128" s="105">
        <f t="shared" si="55"/>
        <v>0.54760536364581069</v>
      </c>
      <c r="BD128" t="s">
        <v>73</v>
      </c>
      <c r="BE128" t="s">
        <v>73</v>
      </c>
      <c r="BF128" t="s">
        <v>73</v>
      </c>
      <c r="BG128" t="s">
        <v>73</v>
      </c>
      <c r="BH128" t="s">
        <v>73</v>
      </c>
      <c r="BI128" t="s">
        <v>73</v>
      </c>
      <c r="BJ128">
        <v>375</v>
      </c>
      <c r="BK128">
        <v>6081</v>
      </c>
      <c r="BL128" t="s">
        <v>73</v>
      </c>
      <c r="BM128" t="s">
        <v>73</v>
      </c>
      <c r="BN128" t="s">
        <v>73</v>
      </c>
      <c r="BO128" t="s">
        <v>73</v>
      </c>
      <c r="BP128" t="s">
        <v>73</v>
      </c>
      <c r="BQ128" t="s">
        <v>73</v>
      </c>
      <c r="BR128" t="s">
        <v>73</v>
      </c>
      <c r="BS128" t="s">
        <v>73</v>
      </c>
      <c r="BT128" t="s">
        <v>73</v>
      </c>
      <c r="BU128" t="s">
        <v>73</v>
      </c>
      <c r="BV128">
        <v>0</v>
      </c>
      <c r="BW128">
        <v>0</v>
      </c>
      <c r="BX128">
        <v>1</v>
      </c>
      <c r="BY128" s="30">
        <f t="shared" si="52"/>
        <v>1.8501893543383965E-2</v>
      </c>
      <c r="BZ128" s="30">
        <f t="shared" si="45"/>
        <v>1.8504005166909823E-2</v>
      </c>
      <c r="CA128" s="30">
        <f t="shared" si="46"/>
        <v>2.6737964779771865E-3</v>
      </c>
      <c r="CB128" s="30">
        <f t="shared" si="47"/>
        <v>2.6881720430107529E-3</v>
      </c>
      <c r="CC128" s="92" t="s">
        <v>73</v>
      </c>
      <c r="CD128">
        <f t="shared" si="56"/>
        <v>373</v>
      </c>
      <c r="CE128" s="92" t="s">
        <v>73</v>
      </c>
      <c r="CF128" s="30">
        <f t="shared" si="43"/>
        <v>4.5953021356990682E-3</v>
      </c>
      <c r="CG128" s="30">
        <f t="shared" si="48"/>
        <v>4.5953344821369176E-3</v>
      </c>
      <c r="CH128" s="30">
        <f t="shared" si="49"/>
        <v>1.6447368413718226E-4</v>
      </c>
      <c r="CI128" s="30">
        <f t="shared" si="50"/>
        <v>1.6452780519907864E-4</v>
      </c>
    </row>
    <row r="129" spans="1:88">
      <c r="A129" s="11" t="s">
        <v>68</v>
      </c>
      <c r="B129" s="11"/>
      <c r="C129" s="11">
        <v>24</v>
      </c>
      <c r="D129" s="11">
        <v>1065</v>
      </c>
      <c r="E129">
        <v>111</v>
      </c>
      <c r="F129" t="s">
        <v>291</v>
      </c>
      <c r="G129" s="11">
        <v>1998</v>
      </c>
      <c r="H129" t="s">
        <v>292</v>
      </c>
      <c r="I129" t="s">
        <v>293</v>
      </c>
      <c r="J129">
        <v>2</v>
      </c>
      <c r="K129">
        <v>1998</v>
      </c>
      <c r="L129" s="10" t="s">
        <v>73</v>
      </c>
      <c r="M129">
        <v>652</v>
      </c>
      <c r="N129" s="18" t="s">
        <v>261</v>
      </c>
      <c r="O129" s="92" t="s">
        <v>227</v>
      </c>
      <c r="P129" t="s">
        <v>81</v>
      </c>
      <c r="Q129" s="18" t="s">
        <v>294</v>
      </c>
      <c r="R129" t="s">
        <v>244</v>
      </c>
      <c r="S129" t="s">
        <v>255</v>
      </c>
      <c r="T129">
        <v>1</v>
      </c>
      <c r="U129" t="s">
        <v>231</v>
      </c>
      <c r="V129">
        <v>0</v>
      </c>
      <c r="W129" s="18" t="s">
        <v>232</v>
      </c>
      <c r="X129" s="18" t="s">
        <v>232</v>
      </c>
      <c r="Y129" s="18" t="s">
        <v>73</v>
      </c>
      <c r="Z129">
        <v>0</v>
      </c>
      <c r="AA129">
        <v>0</v>
      </c>
      <c r="AB129">
        <v>0</v>
      </c>
      <c r="AC129">
        <v>0</v>
      </c>
      <c r="AD129">
        <v>0</v>
      </c>
      <c r="AE129">
        <v>0</v>
      </c>
      <c r="AF129">
        <v>1</v>
      </c>
      <c r="AG129">
        <v>0</v>
      </c>
      <c r="AH129" t="s">
        <v>73</v>
      </c>
      <c r="AI129">
        <v>0</v>
      </c>
      <c r="AJ129">
        <v>0</v>
      </c>
      <c r="AK129">
        <v>0</v>
      </c>
      <c r="AL129">
        <v>1</v>
      </c>
      <c r="AM129" s="32">
        <v>0</v>
      </c>
      <c r="AN129" s="32">
        <v>0</v>
      </c>
      <c r="AO129" s="32">
        <v>0</v>
      </c>
      <c r="AP129" s="32">
        <v>0</v>
      </c>
      <c r="AQ129" s="32">
        <v>0</v>
      </c>
      <c r="AR129" t="s">
        <v>295</v>
      </c>
      <c r="AS129" s="92" t="s">
        <v>234</v>
      </c>
      <c r="AT129" s="92" t="s">
        <v>296</v>
      </c>
      <c r="AU129" s="92" t="s">
        <v>236</v>
      </c>
      <c r="AV129" s="134">
        <v>0.27500000000000002</v>
      </c>
      <c r="AW129" s="7" t="s">
        <v>80</v>
      </c>
      <c r="AX129">
        <v>0.77100000000000002</v>
      </c>
      <c r="AY129" t="s">
        <v>73</v>
      </c>
      <c r="AZ129">
        <v>3</v>
      </c>
      <c r="BA129">
        <f t="shared" si="54"/>
        <v>0.35667963683527887</v>
      </c>
      <c r="BC129" s="105">
        <f t="shared" si="55"/>
        <v>0.56831998347824808</v>
      </c>
      <c r="BD129" t="s">
        <v>73</v>
      </c>
      <c r="BE129" t="s">
        <v>73</v>
      </c>
      <c r="BF129" t="s">
        <v>73</v>
      </c>
      <c r="BG129" t="s">
        <v>73</v>
      </c>
      <c r="BH129" t="s">
        <v>73</v>
      </c>
      <c r="BI129" t="s">
        <v>73</v>
      </c>
      <c r="BJ129">
        <v>375</v>
      </c>
      <c r="BK129">
        <v>6081</v>
      </c>
      <c r="BL129" t="s">
        <v>73</v>
      </c>
      <c r="BM129" t="s">
        <v>73</v>
      </c>
      <c r="BN129" t="s">
        <v>73</v>
      </c>
      <c r="BO129" t="s">
        <v>73</v>
      </c>
      <c r="BP129" t="s">
        <v>73</v>
      </c>
      <c r="BQ129" t="s">
        <v>73</v>
      </c>
      <c r="BR129" t="s">
        <v>73</v>
      </c>
      <c r="BS129" t="s">
        <v>73</v>
      </c>
      <c r="BT129" t="s">
        <v>73</v>
      </c>
      <c r="BU129" t="s">
        <v>73</v>
      </c>
      <c r="BV129">
        <v>0</v>
      </c>
      <c r="BW129">
        <v>0</v>
      </c>
      <c r="BX129">
        <v>1</v>
      </c>
      <c r="BY129" s="30">
        <f t="shared" si="52"/>
        <v>1.8415733701710926E-2</v>
      </c>
      <c r="BZ129" s="30">
        <f t="shared" si="45"/>
        <v>1.8417815958123879E-2</v>
      </c>
      <c r="CA129" s="30">
        <f t="shared" si="46"/>
        <v>2.6737964837768528E-3</v>
      </c>
      <c r="CB129" s="30">
        <f t="shared" si="47"/>
        <v>2.6881720430107529E-3</v>
      </c>
      <c r="CC129" s="92" t="s">
        <v>73</v>
      </c>
      <c r="CD129">
        <f t="shared" si="56"/>
        <v>373</v>
      </c>
      <c r="CE129" s="92" t="s">
        <v>73</v>
      </c>
      <c r="CF129" s="30">
        <f t="shared" ref="CF129:CF156" si="57">((BA129^2)/(BA129^2+BK129))^(1/2)</f>
        <v>4.573895849164393E-3</v>
      </c>
      <c r="CG129" s="30">
        <f t="shared" si="48"/>
        <v>4.5739277456628979E-3</v>
      </c>
      <c r="CH129" s="30">
        <f t="shared" si="49"/>
        <v>1.6447368413853941E-4</v>
      </c>
      <c r="CI129" s="30">
        <f t="shared" si="50"/>
        <v>1.6452780519907864E-4</v>
      </c>
    </row>
    <row r="130" spans="1:88">
      <c r="A130" s="99" t="s">
        <v>68</v>
      </c>
      <c r="B130" s="99"/>
      <c r="C130" s="99">
        <v>25</v>
      </c>
      <c r="D130" s="99">
        <v>1102</v>
      </c>
      <c r="E130" s="102">
        <v>119</v>
      </c>
      <c r="F130" s="112" t="s">
        <v>309</v>
      </c>
      <c r="G130" s="99">
        <v>2006</v>
      </c>
      <c r="H130" s="102" t="s">
        <v>310</v>
      </c>
      <c r="I130" s="159" t="s">
        <v>154</v>
      </c>
      <c r="J130" s="102">
        <v>2</v>
      </c>
      <c r="K130" s="102">
        <v>2005</v>
      </c>
      <c r="L130" s="110" t="s">
        <v>73</v>
      </c>
      <c r="M130" s="102">
        <v>193</v>
      </c>
      <c r="N130" s="110" t="s">
        <v>155</v>
      </c>
      <c r="O130" s="102" t="s">
        <v>112</v>
      </c>
      <c r="P130" s="102" t="s">
        <v>156</v>
      </c>
      <c r="Q130" s="102" t="s">
        <v>228</v>
      </c>
      <c r="R130" s="102" t="s">
        <v>311</v>
      </c>
      <c r="S130" s="102" t="s">
        <v>312</v>
      </c>
      <c r="T130" s="102">
        <v>1</v>
      </c>
      <c r="U130" s="102" t="s">
        <v>231</v>
      </c>
      <c r="V130" s="102">
        <v>0</v>
      </c>
      <c r="W130" s="102" t="s">
        <v>246</v>
      </c>
      <c r="X130" s="102" t="s">
        <v>246</v>
      </c>
      <c r="Y130" s="102" t="s">
        <v>157</v>
      </c>
      <c r="Z130" s="102">
        <v>0</v>
      </c>
      <c r="AA130" s="102">
        <v>0</v>
      </c>
      <c r="AB130" s="102">
        <v>1</v>
      </c>
      <c r="AC130" s="102">
        <v>0</v>
      </c>
      <c r="AD130" s="102">
        <v>0</v>
      </c>
      <c r="AE130" s="102">
        <v>0</v>
      </c>
      <c r="AF130" s="102">
        <v>0</v>
      </c>
      <c r="AG130" s="102">
        <v>0</v>
      </c>
      <c r="AH130" s="102" t="s">
        <v>73</v>
      </c>
      <c r="AI130" s="102">
        <v>1</v>
      </c>
      <c r="AJ130" s="102">
        <v>0</v>
      </c>
      <c r="AK130" s="102">
        <v>0</v>
      </c>
      <c r="AL130" s="102">
        <v>0</v>
      </c>
      <c r="AM130" s="102">
        <v>0</v>
      </c>
      <c r="AN130" s="102">
        <v>0</v>
      </c>
      <c r="AO130" s="102">
        <v>0</v>
      </c>
      <c r="AP130" s="102">
        <v>0</v>
      </c>
      <c r="AQ130" s="102">
        <v>0</v>
      </c>
      <c r="AR130" s="102" t="s">
        <v>316</v>
      </c>
      <c r="AS130" s="102" t="s">
        <v>234</v>
      </c>
      <c r="AT130" s="102" t="s">
        <v>314</v>
      </c>
      <c r="AU130" s="92" t="s">
        <v>236</v>
      </c>
      <c r="AV130" s="160">
        <v>0.24340000000000001</v>
      </c>
      <c r="AW130" s="111" t="s">
        <v>80</v>
      </c>
      <c r="AX130" s="160">
        <v>8.2799999999999999E-2</v>
      </c>
      <c r="AY130" s="102">
        <v>0.01</v>
      </c>
      <c r="AZ130" s="102">
        <v>1</v>
      </c>
      <c r="BA130" s="102">
        <f t="shared" si="54"/>
        <v>2.9396135265700485</v>
      </c>
      <c r="BB130" s="102" t="s">
        <v>73</v>
      </c>
      <c r="BC130" s="105">
        <f t="shared" si="55"/>
        <v>0.56055135493614083</v>
      </c>
      <c r="BD130" s="102" t="s">
        <v>73</v>
      </c>
      <c r="BE130" s="102" t="s">
        <v>73</v>
      </c>
      <c r="BF130" s="102" t="s">
        <v>73</v>
      </c>
      <c r="BG130" s="102" t="s">
        <v>73</v>
      </c>
      <c r="BH130" s="102" t="s">
        <v>73</v>
      </c>
      <c r="BI130" s="102" t="s">
        <v>73</v>
      </c>
      <c r="BJ130" s="102">
        <v>151</v>
      </c>
      <c r="BK130" s="102">
        <v>151</v>
      </c>
      <c r="BL130" s="102" t="s">
        <v>73</v>
      </c>
      <c r="BM130" s="102" t="s">
        <v>73</v>
      </c>
      <c r="BN130" s="102" t="s">
        <v>73</v>
      </c>
      <c r="BO130" s="102" t="s">
        <v>73</v>
      </c>
      <c r="BP130" s="102" t="s">
        <v>73</v>
      </c>
      <c r="BQ130" s="102" t="s">
        <v>73</v>
      </c>
      <c r="BR130" s="102" t="s">
        <v>73</v>
      </c>
      <c r="BS130" s="102" t="s">
        <v>73</v>
      </c>
      <c r="BT130" s="102" t="s">
        <v>73</v>
      </c>
      <c r="BU130" s="102" t="s">
        <v>315</v>
      </c>
      <c r="BV130" s="102">
        <v>0</v>
      </c>
      <c r="BW130" s="102">
        <v>0</v>
      </c>
      <c r="BX130" s="102">
        <v>0</v>
      </c>
      <c r="BY130" s="113">
        <f t="shared" si="52"/>
        <v>0.23265777562024986</v>
      </c>
      <c r="BZ130" s="113">
        <f t="shared" ref="BZ130:BZ161" si="58">0.5*LN((1+BY130)/(1-BY130))</f>
        <v>0.23699751145474932</v>
      </c>
      <c r="CA130" s="113">
        <f t="shared" ref="CA130:CA161" si="59">((1-(BZ130^2)^2)/(BJ130-1))</f>
        <v>6.6456345063166536E-3</v>
      </c>
      <c r="CB130" s="113">
        <f t="shared" ref="CB130:CB156" si="60">1/(BJ130-3)</f>
        <v>6.7567567567567571E-3</v>
      </c>
      <c r="CC130" s="92" t="s">
        <v>73</v>
      </c>
      <c r="CD130">
        <f>BJ130-1</f>
        <v>150</v>
      </c>
      <c r="CE130" s="92" t="s">
        <v>73</v>
      </c>
      <c r="CF130" s="30">
        <f t="shared" si="57"/>
        <v>0.23265777562024986</v>
      </c>
      <c r="CG130" s="113">
        <f t="shared" ref="CG130:CG161" si="61">0.5*LN((1+CF130)/(1-CF130))</f>
        <v>0.23699751145474932</v>
      </c>
      <c r="CH130" s="30">
        <f t="shared" ref="CH130:CH161" si="62">((1-(CG130^2)^2)/(BK130-1))</f>
        <v>6.6456345063166536E-3</v>
      </c>
      <c r="CI130" s="30">
        <f t="shared" ref="CI130:CI156" si="63">1/(BK130-3)</f>
        <v>6.7567567567567571E-3</v>
      </c>
    </row>
    <row r="131" spans="1:88">
      <c r="A131" s="99" t="s">
        <v>68</v>
      </c>
      <c r="B131" s="99"/>
      <c r="C131" s="99">
        <v>25</v>
      </c>
      <c r="D131" s="99">
        <v>1101</v>
      </c>
      <c r="E131" s="102">
        <v>119</v>
      </c>
      <c r="F131" s="112" t="s">
        <v>309</v>
      </c>
      <c r="G131" s="99">
        <v>2006</v>
      </c>
      <c r="H131" s="102" t="s">
        <v>310</v>
      </c>
      <c r="I131" s="159" t="s">
        <v>154</v>
      </c>
      <c r="J131" s="102">
        <v>2</v>
      </c>
      <c r="K131" s="102">
        <v>2005</v>
      </c>
      <c r="L131" s="110" t="s">
        <v>73</v>
      </c>
      <c r="M131" s="102">
        <v>193</v>
      </c>
      <c r="N131" s="110" t="s">
        <v>155</v>
      </c>
      <c r="O131" s="102" t="s">
        <v>112</v>
      </c>
      <c r="P131" s="102" t="s">
        <v>156</v>
      </c>
      <c r="Q131" s="102" t="s">
        <v>228</v>
      </c>
      <c r="R131" s="102" t="s">
        <v>311</v>
      </c>
      <c r="S131" s="102" t="s">
        <v>312</v>
      </c>
      <c r="T131" s="102">
        <v>1</v>
      </c>
      <c r="U131" s="102" t="s">
        <v>231</v>
      </c>
      <c r="V131" s="102">
        <v>0</v>
      </c>
      <c r="W131" s="102" t="s">
        <v>246</v>
      </c>
      <c r="X131" s="102" t="s">
        <v>246</v>
      </c>
      <c r="Y131" s="102" t="s">
        <v>157</v>
      </c>
      <c r="Z131" s="102">
        <v>0</v>
      </c>
      <c r="AA131" s="102">
        <v>0</v>
      </c>
      <c r="AB131" s="102">
        <v>1</v>
      </c>
      <c r="AC131" s="102">
        <v>0</v>
      </c>
      <c r="AD131" s="102">
        <v>0</v>
      </c>
      <c r="AE131" s="102">
        <v>0</v>
      </c>
      <c r="AF131" s="102">
        <v>0</v>
      </c>
      <c r="AG131" s="102">
        <v>0</v>
      </c>
      <c r="AH131" s="102" t="s">
        <v>73</v>
      </c>
      <c r="AI131" s="102">
        <v>1</v>
      </c>
      <c r="AJ131" s="102">
        <v>0</v>
      </c>
      <c r="AK131" s="102">
        <v>0</v>
      </c>
      <c r="AL131" s="102">
        <v>0</v>
      </c>
      <c r="AM131" s="102">
        <v>0</v>
      </c>
      <c r="AN131" s="102">
        <v>0</v>
      </c>
      <c r="AO131" s="102">
        <v>0</v>
      </c>
      <c r="AP131" s="102">
        <v>0</v>
      </c>
      <c r="AQ131" s="102">
        <v>0</v>
      </c>
      <c r="AR131" s="102" t="s">
        <v>313</v>
      </c>
      <c r="AS131" s="102" t="s">
        <v>234</v>
      </c>
      <c r="AT131" s="102" t="s">
        <v>314</v>
      </c>
      <c r="AU131" s="92" t="s">
        <v>236</v>
      </c>
      <c r="AV131" s="160">
        <v>0.4874</v>
      </c>
      <c r="AW131" s="111" t="s">
        <v>80</v>
      </c>
      <c r="AX131" s="160">
        <v>9.1800000000000007E-2</v>
      </c>
      <c r="AY131" s="102">
        <v>0.01</v>
      </c>
      <c r="AZ131" s="102">
        <v>1</v>
      </c>
      <c r="BA131" s="102">
        <f t="shared" si="54"/>
        <v>5.3093681917211324</v>
      </c>
      <c r="BB131" s="102" t="s">
        <v>73</v>
      </c>
      <c r="BC131" s="105">
        <f t="shared" si="55"/>
        <v>0.61949374780434951</v>
      </c>
      <c r="BD131" s="102" t="s">
        <v>73</v>
      </c>
      <c r="BE131" s="102" t="s">
        <v>73</v>
      </c>
      <c r="BF131" s="102" t="s">
        <v>73</v>
      </c>
      <c r="BG131" s="102" t="s">
        <v>73</v>
      </c>
      <c r="BH131" s="102" t="s">
        <v>73</v>
      </c>
      <c r="BI131" s="102" t="s">
        <v>73</v>
      </c>
      <c r="BJ131" s="102">
        <v>151</v>
      </c>
      <c r="BK131" s="102">
        <v>151</v>
      </c>
      <c r="BL131" s="102" t="s">
        <v>73</v>
      </c>
      <c r="BM131" s="102" t="s">
        <v>73</v>
      </c>
      <c r="BN131" s="102" t="s">
        <v>73</v>
      </c>
      <c r="BO131" s="102" t="s">
        <v>73</v>
      </c>
      <c r="BP131" s="102" t="s">
        <v>73</v>
      </c>
      <c r="BQ131" s="102" t="s">
        <v>73</v>
      </c>
      <c r="BR131" s="102" t="s">
        <v>73</v>
      </c>
      <c r="BS131" s="102" t="s">
        <v>73</v>
      </c>
      <c r="BT131" s="102" t="s">
        <v>73</v>
      </c>
      <c r="BU131" s="102" t="s">
        <v>315</v>
      </c>
      <c r="BV131" s="102">
        <v>0</v>
      </c>
      <c r="BW131" s="102">
        <v>0</v>
      </c>
      <c r="BX131" s="102">
        <v>0</v>
      </c>
      <c r="BY131" s="113">
        <f t="shared" si="52"/>
        <v>0.39663103881354556</v>
      </c>
      <c r="BZ131" s="113">
        <f t="shared" si="58"/>
        <v>0.41964466459073052</v>
      </c>
      <c r="CA131" s="113">
        <f t="shared" si="59"/>
        <v>6.4599214053169289E-3</v>
      </c>
      <c r="CB131" s="113">
        <f t="shared" si="60"/>
        <v>6.7567567567567571E-3</v>
      </c>
      <c r="CC131" s="92" t="s">
        <v>73</v>
      </c>
      <c r="CD131">
        <f>BJ131-1</f>
        <v>150</v>
      </c>
      <c r="CE131" s="92" t="s">
        <v>73</v>
      </c>
      <c r="CF131" s="30">
        <f t="shared" si="57"/>
        <v>0.39663103881354556</v>
      </c>
      <c r="CG131" s="113">
        <f t="shared" si="61"/>
        <v>0.41964466459073052</v>
      </c>
      <c r="CH131" s="30">
        <f t="shared" si="62"/>
        <v>6.4599214053169289E-3</v>
      </c>
      <c r="CI131" s="30">
        <f t="shared" si="63"/>
        <v>6.7567567567567571E-3</v>
      </c>
    </row>
    <row r="132" spans="1:88" s="119" customFormat="1">
      <c r="A132" s="127" t="s">
        <v>409</v>
      </c>
      <c r="B132" s="127"/>
      <c r="C132" s="127">
        <v>26</v>
      </c>
      <c r="D132" s="126">
        <v>1251</v>
      </c>
      <c r="E132" s="127">
        <v>303</v>
      </c>
      <c r="F132" s="132" t="s">
        <v>428</v>
      </c>
      <c r="G132" s="127">
        <v>2015</v>
      </c>
      <c r="H132" s="125" t="s">
        <v>429</v>
      </c>
      <c r="I132" s="125" t="s">
        <v>430</v>
      </c>
      <c r="J132" s="132">
        <v>2</v>
      </c>
      <c r="K132" s="132">
        <v>2013</v>
      </c>
      <c r="L132" s="127" t="s">
        <v>73</v>
      </c>
      <c r="M132" s="125">
        <v>67</v>
      </c>
      <c r="N132" s="192" t="s">
        <v>107</v>
      </c>
      <c r="O132" s="130" t="s">
        <v>227</v>
      </c>
      <c r="P132" s="125" t="s">
        <v>81</v>
      </c>
      <c r="Q132" s="132" t="s">
        <v>228</v>
      </c>
      <c r="R132" s="125" t="s">
        <v>311</v>
      </c>
      <c r="S132" s="125" t="s">
        <v>312</v>
      </c>
      <c r="T132" s="125">
        <v>0</v>
      </c>
      <c r="U132" s="125" t="s">
        <v>189</v>
      </c>
      <c r="V132" s="125">
        <v>0</v>
      </c>
      <c r="W132" s="132" t="s">
        <v>246</v>
      </c>
      <c r="X132" s="132" t="s">
        <v>246</v>
      </c>
      <c r="Y132" s="125" t="s">
        <v>431</v>
      </c>
      <c r="Z132" s="132">
        <v>0</v>
      </c>
      <c r="AA132" s="132">
        <v>1</v>
      </c>
      <c r="AB132" s="132">
        <v>1</v>
      </c>
      <c r="AC132" s="132">
        <v>1</v>
      </c>
      <c r="AD132" s="132">
        <v>0</v>
      </c>
      <c r="AE132" s="132">
        <v>0</v>
      </c>
      <c r="AF132" s="127">
        <v>0</v>
      </c>
      <c r="AG132" s="127">
        <v>0</v>
      </c>
      <c r="AH132" s="132" t="s">
        <v>73</v>
      </c>
      <c r="AI132" s="132">
        <v>0</v>
      </c>
      <c r="AJ132" s="132">
        <v>0</v>
      </c>
      <c r="AK132" s="132">
        <v>0</v>
      </c>
      <c r="AL132" s="132">
        <v>0</v>
      </c>
      <c r="AM132" s="132">
        <v>0</v>
      </c>
      <c r="AN132" s="132">
        <v>1</v>
      </c>
      <c r="AO132" s="132">
        <v>0</v>
      </c>
      <c r="AP132" s="132">
        <v>0</v>
      </c>
      <c r="AQ132" s="132">
        <v>0</v>
      </c>
      <c r="AR132" s="125" t="s">
        <v>432</v>
      </c>
      <c r="AS132" s="125" t="s">
        <v>234</v>
      </c>
      <c r="AT132" s="125" t="s">
        <v>432</v>
      </c>
      <c r="AU132" s="125" t="s">
        <v>73</v>
      </c>
      <c r="AV132" s="204" t="s">
        <v>73</v>
      </c>
      <c r="AW132" s="128" t="s">
        <v>80</v>
      </c>
      <c r="AX132" s="125">
        <f>BA132/ABS(_xlfn.T.INV.2T(AY132,CD132))</f>
        <v>1</v>
      </c>
      <c r="AY132" s="125">
        <v>0.02</v>
      </c>
      <c r="AZ132" s="125">
        <v>1</v>
      </c>
      <c r="BA132" s="164">
        <f>TINV(AY132,CD132)</f>
        <v>3.7469473879791968</v>
      </c>
      <c r="BB132" s="164"/>
      <c r="BC132" s="162">
        <f>BL132/BD132</f>
        <v>34.655601659751035</v>
      </c>
      <c r="BD132" s="132">
        <v>241</v>
      </c>
      <c r="BE132" s="132">
        <v>3</v>
      </c>
      <c r="BF132" s="132" t="s">
        <v>73</v>
      </c>
      <c r="BG132" s="132">
        <v>8593</v>
      </c>
      <c r="BH132" s="132">
        <v>3</v>
      </c>
      <c r="BI132" s="132" t="s">
        <v>73</v>
      </c>
      <c r="BJ132" s="132">
        <v>6</v>
      </c>
      <c r="BK132" s="132">
        <v>6</v>
      </c>
      <c r="BL132" s="163">
        <v>8352</v>
      </c>
      <c r="BM132" s="132" t="s">
        <v>73</v>
      </c>
      <c r="BN132" s="132" t="s">
        <v>73</v>
      </c>
      <c r="BO132" s="125" t="s">
        <v>73</v>
      </c>
      <c r="BP132" s="127" t="s">
        <v>73</v>
      </c>
      <c r="BQ132" s="127" t="s">
        <v>73</v>
      </c>
      <c r="BR132" s="127" t="s">
        <v>73</v>
      </c>
      <c r="BS132" s="125">
        <v>1</v>
      </c>
      <c r="BT132" s="127" t="s">
        <v>73</v>
      </c>
      <c r="BU132" s="127" t="s">
        <v>73</v>
      </c>
      <c r="BV132" s="132">
        <v>0</v>
      </c>
      <c r="BW132" s="132">
        <v>0</v>
      </c>
      <c r="BX132" s="132">
        <v>0</v>
      </c>
      <c r="BY132" s="30">
        <f t="shared" si="52"/>
        <v>0.83701436442629074</v>
      </c>
      <c r="BZ132" s="133">
        <f t="shared" si="58"/>
        <v>1.2111174165391649</v>
      </c>
      <c r="CA132" s="30">
        <f t="shared" si="59"/>
        <v>-0.2303036143250865</v>
      </c>
      <c r="CB132" s="30">
        <f t="shared" si="60"/>
        <v>0.33333333333333331</v>
      </c>
      <c r="CC132" s="107">
        <f xml:space="preserve"> BA132*(((BE132+BH132)/(BE132*BH132))^(1/2))</f>
        <v>3.0593697312010879</v>
      </c>
      <c r="CD132" s="112">
        <f>BJ132-2</f>
        <v>4</v>
      </c>
      <c r="CE132" s="112" t="s">
        <v>433</v>
      </c>
      <c r="CF132" s="30">
        <f t="shared" si="57"/>
        <v>0.83701436442629074</v>
      </c>
      <c r="CG132" s="133">
        <f t="shared" si="61"/>
        <v>1.2111174165391649</v>
      </c>
      <c r="CH132" s="30">
        <f t="shared" si="62"/>
        <v>-0.2303036143250865</v>
      </c>
      <c r="CI132" s="30">
        <f t="shared" si="63"/>
        <v>0.33333333333333331</v>
      </c>
      <c r="CJ132"/>
    </row>
    <row r="133" spans="1:88" s="92" customFormat="1">
      <c r="A133" s="165" t="s">
        <v>68</v>
      </c>
      <c r="B133" s="165"/>
      <c r="C133" s="165">
        <v>27</v>
      </c>
      <c r="D133" s="165">
        <v>1193</v>
      </c>
      <c r="E133" s="165">
        <v>145</v>
      </c>
      <c r="F133" s="165" t="s">
        <v>385</v>
      </c>
      <c r="G133" s="165">
        <v>2018</v>
      </c>
      <c r="H133" s="165" t="s">
        <v>386</v>
      </c>
      <c r="I133" s="165" t="s">
        <v>387</v>
      </c>
      <c r="J133" s="165">
        <v>1</v>
      </c>
      <c r="K133" s="165">
        <v>2015</v>
      </c>
      <c r="L133" s="165" t="s">
        <v>73</v>
      </c>
      <c r="M133" s="165">
        <v>122</v>
      </c>
      <c r="N133" s="189" t="s">
        <v>107</v>
      </c>
      <c r="O133" s="165" t="s">
        <v>112</v>
      </c>
      <c r="P133" s="165" t="s">
        <v>156</v>
      </c>
      <c r="Q133" s="165" t="s">
        <v>228</v>
      </c>
      <c r="R133" s="165" t="s">
        <v>307</v>
      </c>
      <c r="S133" s="165" t="s">
        <v>336</v>
      </c>
      <c r="T133" s="165">
        <v>0</v>
      </c>
      <c r="U133" s="165" t="s">
        <v>231</v>
      </c>
      <c r="V133" s="165">
        <v>0</v>
      </c>
      <c r="W133" s="165" t="s">
        <v>246</v>
      </c>
      <c r="X133" s="165" t="s">
        <v>246</v>
      </c>
      <c r="Y133" s="165" t="s">
        <v>388</v>
      </c>
      <c r="Z133" s="165">
        <v>0</v>
      </c>
      <c r="AA133" s="165">
        <v>1</v>
      </c>
      <c r="AB133" s="165">
        <v>1</v>
      </c>
      <c r="AC133" s="165">
        <v>0</v>
      </c>
      <c r="AD133" s="165">
        <v>0</v>
      </c>
      <c r="AE133" s="165">
        <v>0</v>
      </c>
      <c r="AF133" s="165">
        <v>0</v>
      </c>
      <c r="AG133" s="165">
        <v>0</v>
      </c>
      <c r="AH133" s="165" t="s">
        <v>389</v>
      </c>
      <c r="AI133" s="165">
        <v>0</v>
      </c>
      <c r="AJ133" s="165">
        <v>0</v>
      </c>
      <c r="AK133" s="165">
        <v>0</v>
      </c>
      <c r="AL133" s="165">
        <v>1</v>
      </c>
      <c r="AM133" s="165">
        <v>0</v>
      </c>
      <c r="AN133" s="165">
        <v>0</v>
      </c>
      <c r="AO133" s="165">
        <v>0</v>
      </c>
      <c r="AP133" s="165">
        <v>0</v>
      </c>
      <c r="AQ133" s="165">
        <v>0</v>
      </c>
      <c r="AR133" s="165" t="s">
        <v>73</v>
      </c>
      <c r="AS133" s="165" t="s">
        <v>234</v>
      </c>
      <c r="AT133" s="165" t="s">
        <v>390</v>
      </c>
      <c r="AU133" s="165" t="s">
        <v>73</v>
      </c>
      <c r="AV133" s="202" t="s">
        <v>73</v>
      </c>
      <c r="AW133" s="166" t="s">
        <v>86</v>
      </c>
      <c r="AX133" s="165">
        <v>2.4</v>
      </c>
      <c r="AY133" s="167">
        <v>0.1</v>
      </c>
      <c r="AZ133" s="165">
        <v>2</v>
      </c>
      <c r="BA133" s="168">
        <f>TINV(AY133,CD133)</f>
        <v>1.6512273926074998</v>
      </c>
      <c r="BB133" s="168"/>
      <c r="BC133" s="123">
        <f>BL133/BD133</f>
        <v>0</v>
      </c>
      <c r="BD133" s="165">
        <v>199.5</v>
      </c>
      <c r="BE133" s="165">
        <v>100</v>
      </c>
      <c r="BF133" s="165">
        <v>2.1</v>
      </c>
      <c r="BG133" s="165">
        <v>199.5</v>
      </c>
      <c r="BH133" s="165">
        <v>141</v>
      </c>
      <c r="BI133" s="165">
        <v>1.4</v>
      </c>
      <c r="BJ133" s="165">
        <f>BH133+BE133</f>
        <v>241</v>
      </c>
      <c r="BK133" s="165">
        <v>241</v>
      </c>
      <c r="BL133" s="165">
        <f>ABS(BD133-BG133)</f>
        <v>0</v>
      </c>
      <c r="BM133" s="165" t="s">
        <v>73</v>
      </c>
      <c r="BN133" s="165" t="s">
        <v>73</v>
      </c>
      <c r="BO133" s="165" t="s">
        <v>73</v>
      </c>
      <c r="BP133" s="165" t="s">
        <v>73</v>
      </c>
      <c r="BQ133" s="165">
        <v>0</v>
      </c>
      <c r="BR133" s="165" t="s">
        <v>73</v>
      </c>
      <c r="BS133" s="165">
        <v>0</v>
      </c>
      <c r="BT133" s="169" t="s">
        <v>73</v>
      </c>
      <c r="BU133" s="165" t="s">
        <v>355</v>
      </c>
      <c r="BV133" s="165">
        <v>0</v>
      </c>
      <c r="BW133" s="165">
        <v>0</v>
      </c>
      <c r="BX133" s="165">
        <v>0</v>
      </c>
      <c r="BY133" s="124">
        <f>CC133/((CC133^2+4)^(1/2))</f>
        <v>0.10731503277134989</v>
      </c>
      <c r="BZ133" s="96">
        <f t="shared" si="58"/>
        <v>0.10772986814808778</v>
      </c>
      <c r="CA133" s="96">
        <f t="shared" si="59"/>
        <v>4.1661054464959763E-3</v>
      </c>
      <c r="CB133" s="96">
        <f t="shared" si="60"/>
        <v>4.2016806722689074E-3</v>
      </c>
      <c r="CC133" s="107">
        <f xml:space="preserve"> BA133*(((BE133+BH133)/(BE133*BH133))^(1/2))</f>
        <v>0.21587673926011353</v>
      </c>
      <c r="CD133" s="32">
        <f>BJ133-1</f>
        <v>240</v>
      </c>
      <c r="CE133" s="92" t="s">
        <v>73</v>
      </c>
      <c r="CF133" s="30">
        <f t="shared" si="57"/>
        <v>0.10576828499163173</v>
      </c>
      <c r="CG133" s="96">
        <f t="shared" si="61"/>
        <v>0.10616536112725267</v>
      </c>
      <c r="CH133" s="30">
        <f t="shared" si="62"/>
        <v>4.1661373444485221E-3</v>
      </c>
      <c r="CI133" s="30">
        <f t="shared" si="63"/>
        <v>4.2016806722689074E-3</v>
      </c>
      <c r="CJ133" s="125"/>
    </row>
    <row r="134" spans="1:88" s="92" customFormat="1">
      <c r="A134" s="130" t="s">
        <v>68</v>
      </c>
      <c r="B134" s="130"/>
      <c r="C134" s="165">
        <v>27</v>
      </c>
      <c r="D134" s="130">
        <v>1194</v>
      </c>
      <c r="E134" s="130">
        <v>145</v>
      </c>
      <c r="F134" s="130" t="s">
        <v>385</v>
      </c>
      <c r="G134" s="130">
        <v>2018</v>
      </c>
      <c r="H134" s="130" t="s">
        <v>386</v>
      </c>
      <c r="I134" s="130" t="s">
        <v>387</v>
      </c>
      <c r="J134" s="130">
        <v>1</v>
      </c>
      <c r="K134" s="130">
        <v>2015</v>
      </c>
      <c r="L134" s="130" t="s">
        <v>73</v>
      </c>
      <c r="M134" s="130">
        <v>122</v>
      </c>
      <c r="N134" s="189" t="s">
        <v>107</v>
      </c>
      <c r="O134" s="130" t="s">
        <v>112</v>
      </c>
      <c r="P134" s="130" t="s">
        <v>156</v>
      </c>
      <c r="Q134" s="130" t="s">
        <v>228</v>
      </c>
      <c r="R134" s="130" t="s">
        <v>307</v>
      </c>
      <c r="S134" s="130" t="s">
        <v>336</v>
      </c>
      <c r="T134" s="130">
        <v>0</v>
      </c>
      <c r="U134" s="130" t="s">
        <v>231</v>
      </c>
      <c r="V134" s="130">
        <v>0</v>
      </c>
      <c r="W134" s="130" t="s">
        <v>246</v>
      </c>
      <c r="X134" s="130" t="s">
        <v>246</v>
      </c>
      <c r="Y134" s="130" t="s">
        <v>388</v>
      </c>
      <c r="Z134" s="130">
        <v>0</v>
      </c>
      <c r="AA134" s="130">
        <v>1</v>
      </c>
      <c r="AB134" s="130">
        <v>1</v>
      </c>
      <c r="AC134" s="130">
        <v>0</v>
      </c>
      <c r="AD134" s="130">
        <v>0</v>
      </c>
      <c r="AE134" s="130">
        <v>0</v>
      </c>
      <c r="AF134" s="130">
        <v>0</v>
      </c>
      <c r="AG134" s="130">
        <v>0</v>
      </c>
      <c r="AH134" s="130" t="s">
        <v>389</v>
      </c>
      <c r="AI134" s="130">
        <v>0</v>
      </c>
      <c r="AJ134" s="130">
        <v>0</v>
      </c>
      <c r="AK134" s="130">
        <v>0</v>
      </c>
      <c r="AL134" s="130">
        <v>1</v>
      </c>
      <c r="AM134" s="130">
        <v>0</v>
      </c>
      <c r="AN134" s="130">
        <v>0</v>
      </c>
      <c r="AO134" s="130">
        <v>0</v>
      </c>
      <c r="AP134" s="130">
        <v>0</v>
      </c>
      <c r="AQ134" s="130">
        <v>0</v>
      </c>
      <c r="AR134" s="130" t="s">
        <v>73</v>
      </c>
      <c r="AS134" s="130" t="s">
        <v>234</v>
      </c>
      <c r="AT134" s="130" t="s">
        <v>390</v>
      </c>
      <c r="AU134" s="130" t="s">
        <v>73</v>
      </c>
      <c r="AV134" s="203" t="s">
        <v>73</v>
      </c>
      <c r="AW134" s="170" t="s">
        <v>80</v>
      </c>
      <c r="AX134" s="130">
        <v>2.8</v>
      </c>
      <c r="AY134" s="171">
        <v>0.1</v>
      </c>
      <c r="AZ134" s="130">
        <v>2</v>
      </c>
      <c r="BA134" s="19">
        <f>TINV(AY134,CD134)</f>
        <v>1.6521770093863108</v>
      </c>
      <c r="BB134" s="19"/>
      <c r="BC134" s="172">
        <f>BL134/BD134</f>
        <v>3.0075187969924528E-3</v>
      </c>
      <c r="BD134" s="130">
        <v>199.5</v>
      </c>
      <c r="BE134" s="130">
        <v>100</v>
      </c>
      <c r="BF134" s="130">
        <v>2.1</v>
      </c>
      <c r="BG134" s="130">
        <v>200.1</v>
      </c>
      <c r="BH134" s="130">
        <v>110</v>
      </c>
      <c r="BI134" s="130">
        <v>1.9</v>
      </c>
      <c r="BJ134" s="130">
        <f>BH134+BE134</f>
        <v>210</v>
      </c>
      <c r="BK134" s="130">
        <v>210</v>
      </c>
      <c r="BL134" s="130">
        <f>ABS(BD134-BG134)</f>
        <v>0.59999999999999432</v>
      </c>
      <c r="BM134" s="130" t="s">
        <v>73</v>
      </c>
      <c r="BN134" s="130" t="s">
        <v>73</v>
      </c>
      <c r="BO134" s="130" t="s">
        <v>73</v>
      </c>
      <c r="BP134" s="130" t="s">
        <v>73</v>
      </c>
      <c r="BQ134" s="130">
        <v>0</v>
      </c>
      <c r="BR134" s="130" t="s">
        <v>73</v>
      </c>
      <c r="BS134" s="130">
        <v>0</v>
      </c>
      <c r="BT134" s="161" t="s">
        <v>73</v>
      </c>
      <c r="BU134" s="130" t="s">
        <v>355</v>
      </c>
      <c r="BV134" s="130">
        <v>0</v>
      </c>
      <c r="BW134" s="130">
        <v>0</v>
      </c>
      <c r="BX134" s="130">
        <v>0</v>
      </c>
      <c r="BY134" s="118">
        <f>CC134/((CC134^2+4)^(1/2))</f>
        <v>0.11340420175731288</v>
      </c>
      <c r="BZ134" s="30">
        <f t="shared" si="58"/>
        <v>0.11389413321523402</v>
      </c>
      <c r="CA134" s="30">
        <f t="shared" si="59"/>
        <v>4.7838838779703467E-3</v>
      </c>
      <c r="CB134" s="30">
        <f t="shared" si="60"/>
        <v>4.830917874396135E-3</v>
      </c>
      <c r="CC134" s="107">
        <f xml:space="preserve"> BA134*(((BE134+BH134)/(BE134*BH134))^(1/2))</f>
        <v>0.22828105937684992</v>
      </c>
      <c r="CD134">
        <f>BJ134-1</f>
        <v>209</v>
      </c>
      <c r="CE134" s="92" t="s">
        <v>73</v>
      </c>
      <c r="CF134" s="30">
        <f t="shared" si="57"/>
        <v>0.11327720430916202</v>
      </c>
      <c r="CG134" s="30">
        <f t="shared" si="61"/>
        <v>0.11376548311289642</v>
      </c>
      <c r="CH134" s="30">
        <f t="shared" si="62"/>
        <v>4.783887509520043E-3</v>
      </c>
      <c r="CI134" s="30">
        <f t="shared" si="63"/>
        <v>4.830917874396135E-3</v>
      </c>
      <c r="CJ134"/>
    </row>
    <row r="135" spans="1:88" s="92" customFormat="1">
      <c r="A135" s="130" t="s">
        <v>68</v>
      </c>
      <c r="B135" s="130"/>
      <c r="C135" s="165">
        <v>27</v>
      </c>
      <c r="D135" s="130">
        <v>1195</v>
      </c>
      <c r="E135" s="130">
        <v>145</v>
      </c>
      <c r="F135" s="130" t="s">
        <v>385</v>
      </c>
      <c r="G135" s="130">
        <v>2018</v>
      </c>
      <c r="H135" s="130" t="s">
        <v>386</v>
      </c>
      <c r="I135" s="130" t="s">
        <v>387</v>
      </c>
      <c r="J135" s="130">
        <v>1</v>
      </c>
      <c r="K135" s="130">
        <v>2015</v>
      </c>
      <c r="L135" s="130" t="s">
        <v>73</v>
      </c>
      <c r="M135" s="130">
        <v>122</v>
      </c>
      <c r="N135" s="189" t="s">
        <v>107</v>
      </c>
      <c r="O135" s="130" t="s">
        <v>112</v>
      </c>
      <c r="P135" s="130" t="s">
        <v>156</v>
      </c>
      <c r="Q135" s="130" t="s">
        <v>228</v>
      </c>
      <c r="R135" s="130" t="s">
        <v>307</v>
      </c>
      <c r="S135" s="130" t="s">
        <v>336</v>
      </c>
      <c r="T135" s="130">
        <v>0</v>
      </c>
      <c r="U135" s="130" t="s">
        <v>231</v>
      </c>
      <c r="V135" s="130">
        <v>0</v>
      </c>
      <c r="W135" s="130" t="s">
        <v>246</v>
      </c>
      <c r="X135" s="130" t="s">
        <v>246</v>
      </c>
      <c r="Y135" s="130" t="s">
        <v>388</v>
      </c>
      <c r="Z135" s="130">
        <v>0</v>
      </c>
      <c r="AA135" s="130">
        <v>1</v>
      </c>
      <c r="AB135" s="130">
        <v>1</v>
      </c>
      <c r="AC135" s="130">
        <v>0</v>
      </c>
      <c r="AD135" s="130">
        <v>0</v>
      </c>
      <c r="AE135" s="130">
        <v>0</v>
      </c>
      <c r="AF135" s="130">
        <v>0</v>
      </c>
      <c r="AG135" s="130">
        <v>0</v>
      </c>
      <c r="AH135" s="130" t="s">
        <v>389</v>
      </c>
      <c r="AI135" s="130">
        <v>0</v>
      </c>
      <c r="AJ135" s="130">
        <v>1</v>
      </c>
      <c r="AK135" s="130">
        <v>0</v>
      </c>
      <c r="AL135" s="130">
        <v>0</v>
      </c>
      <c r="AM135" s="130">
        <v>0</v>
      </c>
      <c r="AN135" s="130">
        <v>0</v>
      </c>
      <c r="AO135" s="130">
        <v>0</v>
      </c>
      <c r="AP135" s="130">
        <v>0</v>
      </c>
      <c r="AQ135" s="130">
        <v>0</v>
      </c>
      <c r="AR135" s="130" t="s">
        <v>73</v>
      </c>
      <c r="AS135" s="130" t="s">
        <v>234</v>
      </c>
      <c r="AT135" s="130" t="s">
        <v>390</v>
      </c>
      <c r="AU135" s="130" t="s">
        <v>73</v>
      </c>
      <c r="AV135" s="203" t="s">
        <v>73</v>
      </c>
      <c r="AW135" s="170" t="s">
        <v>86</v>
      </c>
      <c r="AX135" s="130">
        <v>9.5</v>
      </c>
      <c r="AY135" s="171">
        <v>0.05</v>
      </c>
      <c r="AZ135" s="130">
        <v>1</v>
      </c>
      <c r="BA135" s="130">
        <v>1.9776</v>
      </c>
      <c r="BB135" s="130"/>
      <c r="BC135" s="172">
        <f>BL135/BD135</f>
        <v>8.0264791063301519E-2</v>
      </c>
      <c r="BD135" s="130">
        <v>241.7</v>
      </c>
      <c r="BE135" s="130">
        <v>66</v>
      </c>
      <c r="BF135" s="130">
        <v>7.5</v>
      </c>
      <c r="BG135" s="130">
        <v>222.3</v>
      </c>
      <c r="BH135" s="130">
        <v>70</v>
      </c>
      <c r="BI135" s="130">
        <v>5.8</v>
      </c>
      <c r="BJ135" s="130">
        <f>BH135+BE135</f>
        <v>136</v>
      </c>
      <c r="BK135" s="130">
        <v>136</v>
      </c>
      <c r="BL135" s="130">
        <f>ABS(BD135-BG135)</f>
        <v>19.399999999999977</v>
      </c>
      <c r="BM135" s="130" t="s">
        <v>73</v>
      </c>
      <c r="BN135" s="130" t="s">
        <v>73</v>
      </c>
      <c r="BO135" s="130" t="s">
        <v>73</v>
      </c>
      <c r="BP135" s="130" t="s">
        <v>73</v>
      </c>
      <c r="BQ135" s="130">
        <v>0</v>
      </c>
      <c r="BR135" s="130" t="s">
        <v>73</v>
      </c>
      <c r="BS135" s="130">
        <v>0</v>
      </c>
      <c r="BT135" s="161" t="s">
        <v>73</v>
      </c>
      <c r="BU135" s="130" t="s">
        <v>355</v>
      </c>
      <c r="BV135" s="130">
        <v>0</v>
      </c>
      <c r="BW135" s="130">
        <v>0</v>
      </c>
      <c r="BX135" s="130">
        <v>0</v>
      </c>
      <c r="BY135" s="118">
        <f>CC135/((CC135^2+4)^(1/2))</f>
        <v>0.16726125275016618</v>
      </c>
      <c r="BZ135" s="133">
        <f t="shared" si="58"/>
        <v>0.16884775498772459</v>
      </c>
      <c r="CA135" s="30">
        <f t="shared" si="59"/>
        <v>7.401386701775944E-3</v>
      </c>
      <c r="CB135" s="30">
        <f t="shared" si="60"/>
        <v>7.5187969924812026E-3</v>
      </c>
      <c r="CC135" s="107">
        <f xml:space="preserve"> BA135*(((BE135+BH135)/(BE135*BH135))^(1/2))</f>
        <v>0.33930239081914004</v>
      </c>
      <c r="CD135">
        <f>BJ135-1</f>
        <v>135</v>
      </c>
      <c r="CE135" s="92" t="s">
        <v>73</v>
      </c>
      <c r="CF135" s="30">
        <f t="shared" si="57"/>
        <v>0.16719091536917316</v>
      </c>
      <c r="CG135" s="133">
        <f t="shared" si="61"/>
        <v>0.16877539406510517</v>
      </c>
      <c r="CH135" s="30">
        <f t="shared" si="62"/>
        <v>7.4013970160104218E-3</v>
      </c>
      <c r="CI135" s="30">
        <f t="shared" si="63"/>
        <v>7.5187969924812026E-3</v>
      </c>
      <c r="CJ135" s="98"/>
    </row>
    <row r="136" spans="1:88" s="98" customFormat="1">
      <c r="A136" s="130" t="s">
        <v>68</v>
      </c>
      <c r="B136" s="130"/>
      <c r="C136" s="165">
        <v>27</v>
      </c>
      <c r="D136" s="130">
        <v>1196</v>
      </c>
      <c r="E136" s="130">
        <v>145</v>
      </c>
      <c r="F136" s="130" t="s">
        <v>385</v>
      </c>
      <c r="G136" s="130">
        <v>2018</v>
      </c>
      <c r="H136" s="130" t="s">
        <v>386</v>
      </c>
      <c r="I136" s="130" t="s">
        <v>387</v>
      </c>
      <c r="J136" s="130">
        <v>1</v>
      </c>
      <c r="K136" s="130">
        <v>2015</v>
      </c>
      <c r="L136" s="130" t="s">
        <v>73</v>
      </c>
      <c r="M136" s="130">
        <v>122</v>
      </c>
      <c r="N136" s="189" t="s">
        <v>107</v>
      </c>
      <c r="O136" s="130" t="s">
        <v>112</v>
      </c>
      <c r="P136" s="130" t="s">
        <v>156</v>
      </c>
      <c r="Q136" s="130" t="s">
        <v>228</v>
      </c>
      <c r="R136" s="130" t="s">
        <v>307</v>
      </c>
      <c r="S136" s="130" t="s">
        <v>336</v>
      </c>
      <c r="T136" s="130">
        <v>0</v>
      </c>
      <c r="U136" s="130" t="s">
        <v>231</v>
      </c>
      <c r="V136" s="130">
        <v>0</v>
      </c>
      <c r="W136" s="130" t="s">
        <v>246</v>
      </c>
      <c r="X136" s="130" t="s">
        <v>246</v>
      </c>
      <c r="Y136" s="130" t="s">
        <v>388</v>
      </c>
      <c r="Z136" s="130">
        <v>0</v>
      </c>
      <c r="AA136" s="130">
        <v>1</v>
      </c>
      <c r="AB136" s="130">
        <v>1</v>
      </c>
      <c r="AC136" s="130">
        <v>0</v>
      </c>
      <c r="AD136" s="130">
        <v>0</v>
      </c>
      <c r="AE136" s="130">
        <v>0</v>
      </c>
      <c r="AF136" s="130">
        <v>0</v>
      </c>
      <c r="AG136" s="130">
        <v>0</v>
      </c>
      <c r="AH136" s="130" t="s">
        <v>389</v>
      </c>
      <c r="AI136" s="130">
        <v>0</v>
      </c>
      <c r="AJ136" s="130">
        <v>1</v>
      </c>
      <c r="AK136" s="130">
        <v>0</v>
      </c>
      <c r="AL136" s="130">
        <v>0</v>
      </c>
      <c r="AM136" s="130">
        <v>0</v>
      </c>
      <c r="AN136" s="130">
        <v>0</v>
      </c>
      <c r="AO136" s="130">
        <v>0</v>
      </c>
      <c r="AP136" s="130">
        <v>0</v>
      </c>
      <c r="AQ136" s="130">
        <v>0</v>
      </c>
      <c r="AR136" s="130" t="s">
        <v>73</v>
      </c>
      <c r="AS136" s="130" t="s">
        <v>234</v>
      </c>
      <c r="AT136" s="130" t="s">
        <v>390</v>
      </c>
      <c r="AU136" s="130" t="s">
        <v>73</v>
      </c>
      <c r="AV136" s="203" t="s">
        <v>73</v>
      </c>
      <c r="AW136" s="170" t="s">
        <v>86</v>
      </c>
      <c r="AX136" s="130">
        <v>9.9</v>
      </c>
      <c r="AY136" s="171">
        <v>0.05</v>
      </c>
      <c r="AZ136" s="130">
        <v>1</v>
      </c>
      <c r="BA136" s="130">
        <v>1.9776</v>
      </c>
      <c r="BB136" s="130"/>
      <c r="BC136" s="172">
        <f>BL136/BD136</f>
        <v>9.6400496483243628E-2</v>
      </c>
      <c r="BD136" s="130">
        <v>241.7</v>
      </c>
      <c r="BE136" s="130">
        <v>66</v>
      </c>
      <c r="BF136" s="130">
        <v>7.5</v>
      </c>
      <c r="BG136" s="130">
        <v>218.4</v>
      </c>
      <c r="BH136" s="130">
        <v>58</v>
      </c>
      <c r="BI136" s="130">
        <v>6.2</v>
      </c>
      <c r="BJ136" s="130">
        <f>BH136+BE136</f>
        <v>124</v>
      </c>
      <c r="BK136" s="130">
        <v>124</v>
      </c>
      <c r="BL136" s="130">
        <f>ABS(BD136-BG136)</f>
        <v>23.299999999999983</v>
      </c>
      <c r="BM136" s="130" t="s">
        <v>73</v>
      </c>
      <c r="BN136" s="130" t="s">
        <v>73</v>
      </c>
      <c r="BO136" s="130" t="s">
        <v>73</v>
      </c>
      <c r="BP136" s="130" t="s">
        <v>73</v>
      </c>
      <c r="BQ136" s="130">
        <v>0</v>
      </c>
      <c r="BR136" s="130" t="s">
        <v>73</v>
      </c>
      <c r="BS136" s="130">
        <v>0</v>
      </c>
      <c r="BT136" s="161" t="s">
        <v>73</v>
      </c>
      <c r="BU136" s="130" t="s">
        <v>355</v>
      </c>
      <c r="BV136" s="130">
        <v>0</v>
      </c>
      <c r="BW136" s="130">
        <v>0</v>
      </c>
      <c r="BX136" s="130">
        <v>0</v>
      </c>
      <c r="BY136" s="118">
        <f>CC136/((CC136^2+4)^(1/2))</f>
        <v>0.17521151676685395</v>
      </c>
      <c r="BZ136" s="133">
        <f t="shared" si="58"/>
        <v>0.17703822757221296</v>
      </c>
      <c r="CA136" s="30">
        <f t="shared" si="59"/>
        <v>8.1220946793584183E-3</v>
      </c>
      <c r="CB136" s="30">
        <f t="shared" si="60"/>
        <v>8.2644628099173556E-3</v>
      </c>
      <c r="CC136" s="107">
        <f xml:space="preserve"> BA136*(((BE136+BH136)/(BE136*BH136))^(1/2))</f>
        <v>0.35592896477019459</v>
      </c>
      <c r="CD136">
        <f>BJ136-1</f>
        <v>123</v>
      </c>
      <c r="CE136" s="92" t="s">
        <v>73</v>
      </c>
      <c r="CF136" s="30">
        <f t="shared" si="57"/>
        <v>0.17485766436492306</v>
      </c>
      <c r="CG136" s="133">
        <f t="shared" si="61"/>
        <v>0.17667319151698216</v>
      </c>
      <c r="CH136" s="30">
        <f t="shared" si="62"/>
        <v>8.1221603465374409E-3</v>
      </c>
      <c r="CI136" s="30">
        <f t="shared" si="63"/>
        <v>8.2644628099173556E-3</v>
      </c>
      <c r="CJ136" s="92"/>
    </row>
    <row r="137" spans="1:88">
      <c r="A137" s="92" t="s">
        <v>68</v>
      </c>
      <c r="B137" s="92"/>
      <c r="C137" s="92">
        <v>28</v>
      </c>
      <c r="D137" s="11">
        <v>1116</v>
      </c>
      <c r="E137" s="92">
        <v>123</v>
      </c>
      <c r="F137" s="92" t="s">
        <v>333</v>
      </c>
      <c r="G137" s="92">
        <v>1995</v>
      </c>
      <c r="H137" s="92" t="s">
        <v>334</v>
      </c>
      <c r="I137" s="92" t="s">
        <v>335</v>
      </c>
      <c r="J137" s="92">
        <v>2</v>
      </c>
      <c r="K137" s="92">
        <v>1995</v>
      </c>
      <c r="L137" s="92" t="s">
        <v>73</v>
      </c>
      <c r="M137" s="92">
        <v>64</v>
      </c>
      <c r="N137" s="188" t="s">
        <v>270</v>
      </c>
      <c r="O137" s="92" t="s">
        <v>242</v>
      </c>
      <c r="P137" s="92" t="s">
        <v>81</v>
      </c>
      <c r="Q137" s="92" t="s">
        <v>228</v>
      </c>
      <c r="R137" s="92" t="s">
        <v>244</v>
      </c>
      <c r="S137" s="92" t="s">
        <v>336</v>
      </c>
      <c r="T137" s="92">
        <v>0</v>
      </c>
      <c r="U137" s="135" t="s">
        <v>231</v>
      </c>
      <c r="V137" s="92">
        <v>0</v>
      </c>
      <c r="W137" s="92" t="s">
        <v>232</v>
      </c>
      <c r="X137" s="92" t="s">
        <v>232</v>
      </c>
      <c r="Y137" s="92" t="s">
        <v>73</v>
      </c>
      <c r="Z137" s="92">
        <v>0</v>
      </c>
      <c r="AA137" s="92">
        <v>0</v>
      </c>
      <c r="AB137" s="92">
        <v>0</v>
      </c>
      <c r="AC137" s="92">
        <v>1</v>
      </c>
      <c r="AD137" s="92">
        <v>0</v>
      </c>
      <c r="AE137" s="92">
        <v>0</v>
      </c>
      <c r="AF137" s="92">
        <v>0</v>
      </c>
      <c r="AG137" s="92">
        <v>0</v>
      </c>
      <c r="AH137" s="92" t="s">
        <v>73</v>
      </c>
      <c r="AI137" s="92">
        <v>0</v>
      </c>
      <c r="AJ137" s="92">
        <v>0</v>
      </c>
      <c r="AK137" s="92">
        <v>0</v>
      </c>
      <c r="AL137" s="92">
        <v>1</v>
      </c>
      <c r="AM137" s="92">
        <v>0</v>
      </c>
      <c r="AN137" s="92">
        <v>0</v>
      </c>
      <c r="AO137" s="92">
        <v>0</v>
      </c>
      <c r="AP137" s="92">
        <v>0</v>
      </c>
      <c r="AQ137" s="92">
        <v>0</v>
      </c>
      <c r="AR137" s="92" t="s">
        <v>73</v>
      </c>
      <c r="AS137" s="92" t="s">
        <v>234</v>
      </c>
      <c r="AT137" s="92" t="s">
        <v>296</v>
      </c>
      <c r="AU137" s="92" t="s">
        <v>236</v>
      </c>
      <c r="AV137" s="195">
        <v>0.46400000000000002</v>
      </c>
      <c r="AW137" s="93" t="s">
        <v>86</v>
      </c>
      <c r="AX137" s="92">
        <f t="shared" ref="AX137:AX148" si="64">AV137/BA137</f>
        <v>0.27294117647058824</v>
      </c>
      <c r="AY137" s="92" t="s">
        <v>73</v>
      </c>
      <c r="AZ137" s="92">
        <v>3</v>
      </c>
      <c r="BA137" s="92">
        <v>1.7</v>
      </c>
      <c r="BB137" s="92"/>
      <c r="BC137" s="105">
        <f t="shared" ref="BC137:BC148" si="65">EXP(AV137)/(1+EXP(AV137))</f>
        <v>0.61396265729139654</v>
      </c>
      <c r="BD137" s="92" t="s">
        <v>73</v>
      </c>
      <c r="BE137" s="92" t="s">
        <v>73</v>
      </c>
      <c r="BF137" s="92" t="s">
        <v>73</v>
      </c>
      <c r="BG137" s="92" t="s">
        <v>73</v>
      </c>
      <c r="BH137" s="92" t="s">
        <v>73</v>
      </c>
      <c r="BI137" s="92" t="s">
        <v>73</v>
      </c>
      <c r="BJ137" s="92">
        <v>163</v>
      </c>
      <c r="BK137" s="92">
        <v>163</v>
      </c>
      <c r="BL137" s="92" t="s">
        <v>73</v>
      </c>
      <c r="BM137" s="92" t="s">
        <v>73</v>
      </c>
      <c r="BN137" s="92" t="s">
        <v>73</v>
      </c>
      <c r="BO137" s="92" t="s">
        <v>73</v>
      </c>
      <c r="BP137" s="92" t="s">
        <v>237</v>
      </c>
      <c r="BQ137" s="92">
        <v>0</v>
      </c>
      <c r="BR137" s="92" t="s">
        <v>73</v>
      </c>
      <c r="BS137" s="92">
        <v>0</v>
      </c>
      <c r="BT137" s="92" t="s">
        <v>73</v>
      </c>
      <c r="BU137" s="92" t="s">
        <v>73</v>
      </c>
      <c r="BV137" s="92">
        <v>0</v>
      </c>
      <c r="BW137" s="92">
        <v>0</v>
      </c>
      <c r="BX137" s="92">
        <v>1</v>
      </c>
      <c r="BY137" s="30">
        <f t="shared" ref="BY137:BY156" si="66">((BA137^2)/(BA137^2+BJ137))^(1/2)</f>
        <v>0.13198932802100058</v>
      </c>
      <c r="BZ137" s="30">
        <f t="shared" si="58"/>
        <v>0.13276391084197656</v>
      </c>
      <c r="CA137" s="30">
        <f t="shared" si="59"/>
        <v>6.1709216981397832E-3</v>
      </c>
      <c r="CB137" s="30">
        <f t="shared" si="60"/>
        <v>6.2500000000000003E-3</v>
      </c>
      <c r="CC137" s="92" t="s">
        <v>73</v>
      </c>
      <c r="CD137">
        <f t="shared" ref="CD137:CD156" si="67">BJ137-2</f>
        <v>161</v>
      </c>
      <c r="CE137" s="92" t="s">
        <v>73</v>
      </c>
      <c r="CF137" s="30">
        <f t="shared" si="57"/>
        <v>0.13198932802100058</v>
      </c>
      <c r="CG137" s="30">
        <f t="shared" si="61"/>
        <v>0.13276391084197656</v>
      </c>
      <c r="CH137" s="30">
        <f t="shared" si="62"/>
        <v>6.1709216981397832E-3</v>
      </c>
      <c r="CI137" s="30">
        <f t="shared" si="63"/>
        <v>6.2500000000000003E-3</v>
      </c>
      <c r="CJ137" s="95"/>
    </row>
    <row r="138" spans="1:88">
      <c r="A138" s="92" t="s">
        <v>68</v>
      </c>
      <c r="B138" s="92"/>
      <c r="C138" s="92">
        <v>28</v>
      </c>
      <c r="D138" s="11">
        <v>1117</v>
      </c>
      <c r="E138" s="92">
        <v>123</v>
      </c>
      <c r="F138" s="92" t="s">
        <v>333</v>
      </c>
      <c r="G138" s="92">
        <v>1995</v>
      </c>
      <c r="H138" s="92" t="s">
        <v>334</v>
      </c>
      <c r="I138" s="92" t="s">
        <v>335</v>
      </c>
      <c r="J138" s="92">
        <v>2</v>
      </c>
      <c r="K138" s="92">
        <v>1995</v>
      </c>
      <c r="L138" s="92" t="s">
        <v>73</v>
      </c>
      <c r="M138" s="92">
        <v>64</v>
      </c>
      <c r="N138" s="188" t="s">
        <v>270</v>
      </c>
      <c r="O138" s="92" t="s">
        <v>242</v>
      </c>
      <c r="P138" s="92" t="s">
        <v>81</v>
      </c>
      <c r="Q138" s="92" t="s">
        <v>228</v>
      </c>
      <c r="R138" s="92" t="s">
        <v>244</v>
      </c>
      <c r="S138" s="92" t="s">
        <v>336</v>
      </c>
      <c r="T138" s="92">
        <v>0</v>
      </c>
      <c r="U138" s="135" t="s">
        <v>231</v>
      </c>
      <c r="V138" s="92">
        <v>0</v>
      </c>
      <c r="W138" s="92" t="s">
        <v>232</v>
      </c>
      <c r="X138" s="92" t="s">
        <v>232</v>
      </c>
      <c r="Y138" s="92" t="s">
        <v>73</v>
      </c>
      <c r="Z138" s="92">
        <v>0</v>
      </c>
      <c r="AA138" s="92">
        <v>0</v>
      </c>
      <c r="AB138" s="92">
        <v>0</v>
      </c>
      <c r="AC138" s="92">
        <v>1</v>
      </c>
      <c r="AD138" s="92">
        <v>0</v>
      </c>
      <c r="AE138" s="92">
        <v>0</v>
      </c>
      <c r="AF138" s="92">
        <v>0</v>
      </c>
      <c r="AG138" s="92">
        <v>0</v>
      </c>
      <c r="AH138" s="92" t="s">
        <v>73</v>
      </c>
      <c r="AI138" s="92">
        <v>0</v>
      </c>
      <c r="AJ138" s="92">
        <v>0</v>
      </c>
      <c r="AK138" s="92">
        <v>0</v>
      </c>
      <c r="AL138" s="92">
        <v>0</v>
      </c>
      <c r="AM138" s="92">
        <v>0</v>
      </c>
      <c r="AN138" s="92">
        <v>0</v>
      </c>
      <c r="AO138" s="92">
        <v>0</v>
      </c>
      <c r="AP138" s="92">
        <v>1</v>
      </c>
      <c r="AQ138" s="92">
        <v>0</v>
      </c>
      <c r="AR138" s="92" t="s">
        <v>73</v>
      </c>
      <c r="AS138" s="92" t="s">
        <v>234</v>
      </c>
      <c r="AT138" t="s">
        <v>296</v>
      </c>
      <c r="AU138" t="s">
        <v>236</v>
      </c>
      <c r="AV138" s="195">
        <v>0.72899999999999998</v>
      </c>
      <c r="AW138" s="93" t="s">
        <v>86</v>
      </c>
      <c r="AX138" s="92">
        <f t="shared" si="64"/>
        <v>0.38368421052631579</v>
      </c>
      <c r="AY138" s="92" t="s">
        <v>73</v>
      </c>
      <c r="AZ138" s="92">
        <v>3</v>
      </c>
      <c r="BA138" s="92">
        <v>1.9</v>
      </c>
      <c r="BB138" s="92"/>
      <c r="BC138" s="105">
        <f t="shared" si="65"/>
        <v>0.67458579111740891</v>
      </c>
      <c r="BD138" s="92" t="s">
        <v>73</v>
      </c>
      <c r="BE138" s="92" t="s">
        <v>73</v>
      </c>
      <c r="BF138" s="92" t="s">
        <v>73</v>
      </c>
      <c r="BG138" s="92" t="s">
        <v>73</v>
      </c>
      <c r="BH138" s="92" t="s">
        <v>73</v>
      </c>
      <c r="BI138" s="92" t="s">
        <v>73</v>
      </c>
      <c r="BJ138" s="92">
        <v>68</v>
      </c>
      <c r="BK138" s="92">
        <v>68</v>
      </c>
      <c r="BL138" s="92" t="s">
        <v>73</v>
      </c>
      <c r="BM138" s="92" t="s">
        <v>73</v>
      </c>
      <c r="BN138" s="92" t="s">
        <v>73</v>
      </c>
      <c r="BO138" s="92" t="s">
        <v>73</v>
      </c>
      <c r="BP138" s="92" t="s">
        <v>237</v>
      </c>
      <c r="BQ138" s="92">
        <v>0</v>
      </c>
      <c r="BR138" s="92" t="s">
        <v>73</v>
      </c>
      <c r="BS138" s="92">
        <v>0</v>
      </c>
      <c r="BT138" s="92" t="s">
        <v>73</v>
      </c>
      <c r="BU138" s="92" t="s">
        <v>73</v>
      </c>
      <c r="BV138" s="92">
        <v>0</v>
      </c>
      <c r="BW138" s="92">
        <v>0</v>
      </c>
      <c r="BX138" s="92">
        <v>1</v>
      </c>
      <c r="BY138" s="30">
        <f t="shared" si="66"/>
        <v>0.22452606449532778</v>
      </c>
      <c r="BZ138" s="30">
        <f t="shared" si="58"/>
        <v>0.22841739493205201</v>
      </c>
      <c r="CA138" s="30">
        <f t="shared" si="59"/>
        <v>1.4884743595396476E-2</v>
      </c>
      <c r="CB138" s="30">
        <f t="shared" si="60"/>
        <v>1.5384615384615385E-2</v>
      </c>
      <c r="CC138" s="92" t="s">
        <v>73</v>
      </c>
      <c r="CD138">
        <f t="shared" si="67"/>
        <v>66</v>
      </c>
      <c r="CE138" s="92" t="s">
        <v>73</v>
      </c>
      <c r="CF138" s="30">
        <f t="shared" si="57"/>
        <v>0.22452606449532778</v>
      </c>
      <c r="CG138" s="30">
        <f t="shared" si="61"/>
        <v>0.22841739493205201</v>
      </c>
      <c r="CH138" s="30">
        <f t="shared" si="62"/>
        <v>1.4884743595396476E-2</v>
      </c>
      <c r="CI138" s="30">
        <f t="shared" si="63"/>
        <v>1.5384615384615385E-2</v>
      </c>
      <c r="CJ138" s="95"/>
    </row>
    <row r="139" spans="1:88">
      <c r="A139" s="92" t="s">
        <v>68</v>
      </c>
      <c r="B139" s="92"/>
      <c r="C139" s="92">
        <v>28</v>
      </c>
      <c r="D139" s="11">
        <v>1115</v>
      </c>
      <c r="E139" s="92">
        <v>123</v>
      </c>
      <c r="F139" s="112" t="s">
        <v>333</v>
      </c>
      <c r="G139" s="92">
        <v>1995</v>
      </c>
      <c r="H139" s="92" t="s">
        <v>334</v>
      </c>
      <c r="I139" s="92" t="s">
        <v>335</v>
      </c>
      <c r="J139" s="92">
        <v>2</v>
      </c>
      <c r="K139" s="92">
        <v>1995</v>
      </c>
      <c r="L139" s="92" t="s">
        <v>73</v>
      </c>
      <c r="M139" s="92">
        <v>58</v>
      </c>
      <c r="N139" s="188" t="s">
        <v>270</v>
      </c>
      <c r="O139" s="112" t="s">
        <v>242</v>
      </c>
      <c r="P139" s="92" t="s">
        <v>81</v>
      </c>
      <c r="Q139" s="92" t="s">
        <v>294</v>
      </c>
      <c r="R139" s="92" t="s">
        <v>244</v>
      </c>
      <c r="S139" s="92" t="s">
        <v>336</v>
      </c>
      <c r="T139" s="92">
        <v>1</v>
      </c>
      <c r="U139" s="135" t="s">
        <v>231</v>
      </c>
      <c r="V139" s="92">
        <v>0</v>
      </c>
      <c r="W139" s="92" t="s">
        <v>232</v>
      </c>
      <c r="X139" s="92" t="s">
        <v>232</v>
      </c>
      <c r="Y139" s="92" t="s">
        <v>73</v>
      </c>
      <c r="Z139" s="92">
        <v>0</v>
      </c>
      <c r="AA139" s="92">
        <v>0</v>
      </c>
      <c r="AB139" s="92">
        <v>0</v>
      </c>
      <c r="AC139" s="92">
        <v>1</v>
      </c>
      <c r="AD139" s="92">
        <v>0</v>
      </c>
      <c r="AE139" s="92">
        <v>0</v>
      </c>
      <c r="AF139" s="92">
        <v>0</v>
      </c>
      <c r="AG139" s="92">
        <v>0</v>
      </c>
      <c r="AH139" s="92" t="s">
        <v>73</v>
      </c>
      <c r="AI139" s="92">
        <v>0</v>
      </c>
      <c r="AJ139" s="92">
        <v>0</v>
      </c>
      <c r="AK139" s="92">
        <v>0</v>
      </c>
      <c r="AL139" s="92">
        <v>0</v>
      </c>
      <c r="AM139" s="92">
        <v>0</v>
      </c>
      <c r="AN139" s="92">
        <v>0</v>
      </c>
      <c r="AO139" s="92">
        <v>0</v>
      </c>
      <c r="AP139" s="92">
        <v>1</v>
      </c>
      <c r="AQ139" s="92">
        <v>0</v>
      </c>
      <c r="AR139" s="92" t="s">
        <v>73</v>
      </c>
      <c r="AS139" s="92" t="s">
        <v>234</v>
      </c>
      <c r="AT139" s="92" t="s">
        <v>296</v>
      </c>
      <c r="AU139" s="92" t="s">
        <v>236</v>
      </c>
      <c r="AV139" s="200">
        <v>1.05</v>
      </c>
      <c r="AW139" s="93" t="s">
        <v>80</v>
      </c>
      <c r="AX139" s="92">
        <f t="shared" si="64"/>
        <v>0.16666666666666669</v>
      </c>
      <c r="AY139" s="92" t="s">
        <v>73</v>
      </c>
      <c r="AZ139" s="92">
        <v>3</v>
      </c>
      <c r="BA139" s="92">
        <v>6.3</v>
      </c>
      <c r="BB139" s="92"/>
      <c r="BC139" s="105">
        <f t="shared" si="65"/>
        <v>0.740774899182154</v>
      </c>
      <c r="BD139" s="92" t="s">
        <v>73</v>
      </c>
      <c r="BE139" s="92" t="s">
        <v>73</v>
      </c>
      <c r="BF139" s="92" t="s">
        <v>73</v>
      </c>
      <c r="BG139" s="92" t="s">
        <v>73</v>
      </c>
      <c r="BH139" s="92" t="s">
        <v>73</v>
      </c>
      <c r="BI139" s="92" t="s">
        <v>73</v>
      </c>
      <c r="BJ139" s="92">
        <v>188</v>
      </c>
      <c r="BK139" s="92">
        <v>188</v>
      </c>
      <c r="BL139" s="92" t="s">
        <v>73</v>
      </c>
      <c r="BM139" s="92" t="s">
        <v>73</v>
      </c>
      <c r="BN139" s="92" t="s">
        <v>73</v>
      </c>
      <c r="BO139" s="92" t="s">
        <v>73</v>
      </c>
      <c r="BP139" s="92" t="s">
        <v>237</v>
      </c>
      <c r="BQ139" s="92">
        <v>0</v>
      </c>
      <c r="BR139" s="92" t="s">
        <v>73</v>
      </c>
      <c r="BS139" s="92">
        <v>0</v>
      </c>
      <c r="BT139" s="92" t="s">
        <v>73</v>
      </c>
      <c r="BU139" s="92" t="s">
        <v>73</v>
      </c>
      <c r="BV139" s="92">
        <v>0</v>
      </c>
      <c r="BW139" s="92">
        <v>0</v>
      </c>
      <c r="BX139" s="92">
        <v>1</v>
      </c>
      <c r="BY139" s="30">
        <f t="shared" si="66"/>
        <v>0.41751162367646544</v>
      </c>
      <c r="BZ139" s="30">
        <f t="shared" si="58"/>
        <v>0.44467450263070185</v>
      </c>
      <c r="CA139" s="30">
        <f t="shared" si="59"/>
        <v>5.1385064509683826E-3</v>
      </c>
      <c r="CB139" s="30">
        <f t="shared" si="60"/>
        <v>5.4054054054054057E-3</v>
      </c>
      <c r="CC139" s="92" t="s">
        <v>73</v>
      </c>
      <c r="CD139">
        <f t="shared" si="67"/>
        <v>186</v>
      </c>
      <c r="CE139" s="92" t="s">
        <v>73</v>
      </c>
      <c r="CF139" s="30">
        <f t="shared" si="57"/>
        <v>0.41751162367646544</v>
      </c>
      <c r="CG139" s="30">
        <f t="shared" si="61"/>
        <v>0.44467450263070185</v>
      </c>
      <c r="CH139" s="30">
        <f t="shared" si="62"/>
        <v>5.1385064509683826E-3</v>
      </c>
      <c r="CI139" s="30">
        <f t="shared" si="63"/>
        <v>5.4054054054054057E-3</v>
      </c>
      <c r="CJ139" s="107"/>
    </row>
    <row r="140" spans="1:88">
      <c r="A140" s="92" t="s">
        <v>68</v>
      </c>
      <c r="B140" s="92"/>
      <c r="C140" s="92">
        <v>28</v>
      </c>
      <c r="D140" s="11">
        <v>1114</v>
      </c>
      <c r="E140" s="92">
        <v>123</v>
      </c>
      <c r="F140" s="112" t="s">
        <v>333</v>
      </c>
      <c r="G140" s="92">
        <v>1995</v>
      </c>
      <c r="H140" s="92" t="s">
        <v>334</v>
      </c>
      <c r="I140" s="92" t="s">
        <v>335</v>
      </c>
      <c r="J140" s="92">
        <v>2</v>
      </c>
      <c r="K140" s="92">
        <v>1995</v>
      </c>
      <c r="L140" s="92" t="s">
        <v>73</v>
      </c>
      <c r="M140" s="92">
        <v>58</v>
      </c>
      <c r="N140" s="188" t="s">
        <v>270</v>
      </c>
      <c r="O140" s="112" t="s">
        <v>242</v>
      </c>
      <c r="P140" s="92" t="s">
        <v>81</v>
      </c>
      <c r="Q140" s="92" t="s">
        <v>294</v>
      </c>
      <c r="R140" s="92" t="s">
        <v>244</v>
      </c>
      <c r="S140" s="92" t="s">
        <v>336</v>
      </c>
      <c r="T140" s="92">
        <v>1</v>
      </c>
      <c r="U140" s="135" t="s">
        <v>231</v>
      </c>
      <c r="V140" s="92">
        <v>0</v>
      </c>
      <c r="W140" s="92" t="s">
        <v>232</v>
      </c>
      <c r="X140" s="92" t="s">
        <v>232</v>
      </c>
      <c r="Y140" s="92" t="s">
        <v>73</v>
      </c>
      <c r="Z140" s="92">
        <v>0</v>
      </c>
      <c r="AA140" s="92">
        <v>0</v>
      </c>
      <c r="AB140" s="92">
        <v>0</v>
      </c>
      <c r="AC140" s="92">
        <v>1</v>
      </c>
      <c r="AD140" s="92">
        <v>0</v>
      </c>
      <c r="AE140" s="92">
        <v>0</v>
      </c>
      <c r="AF140" s="92">
        <v>0</v>
      </c>
      <c r="AG140" s="92">
        <v>0</v>
      </c>
      <c r="AH140" s="92" t="s">
        <v>73</v>
      </c>
      <c r="AI140" s="92">
        <v>0</v>
      </c>
      <c r="AJ140" s="92">
        <v>0</v>
      </c>
      <c r="AK140" s="92">
        <v>0</v>
      </c>
      <c r="AL140" s="92">
        <v>1</v>
      </c>
      <c r="AM140" s="92">
        <v>0</v>
      </c>
      <c r="AN140" s="92">
        <v>0</v>
      </c>
      <c r="AO140" s="92">
        <v>0</v>
      </c>
      <c r="AP140" s="92">
        <v>0</v>
      </c>
      <c r="AQ140" s="92">
        <v>0</v>
      </c>
      <c r="AR140" s="92" t="s">
        <v>73</v>
      </c>
      <c r="AS140" s="92" t="s">
        <v>234</v>
      </c>
      <c r="AT140" s="92" t="s">
        <v>296</v>
      </c>
      <c r="AU140" s="92" t="s">
        <v>236</v>
      </c>
      <c r="AV140" s="200">
        <v>1.68</v>
      </c>
      <c r="AW140" s="93" t="s">
        <v>80</v>
      </c>
      <c r="AX140" s="92">
        <f t="shared" si="64"/>
        <v>6.4864864864864868E-2</v>
      </c>
      <c r="AY140" s="92" t="s">
        <v>73</v>
      </c>
      <c r="AZ140" s="92">
        <v>3</v>
      </c>
      <c r="BA140" s="92">
        <v>25.9</v>
      </c>
      <c r="BB140" s="92"/>
      <c r="BC140" s="105">
        <f t="shared" si="65"/>
        <v>0.84290453111454722</v>
      </c>
      <c r="BD140" s="92" t="s">
        <v>73</v>
      </c>
      <c r="BE140" s="92" t="s">
        <v>73</v>
      </c>
      <c r="BF140" s="92" t="s">
        <v>73</v>
      </c>
      <c r="BG140" s="92" t="s">
        <v>73</v>
      </c>
      <c r="BH140" s="92" t="s">
        <v>73</v>
      </c>
      <c r="BI140" s="92" t="s">
        <v>73</v>
      </c>
      <c r="BJ140" s="92">
        <v>400</v>
      </c>
      <c r="BK140" s="92">
        <v>400</v>
      </c>
      <c r="BL140" s="92" t="s">
        <v>73</v>
      </c>
      <c r="BM140" s="92" t="s">
        <v>73</v>
      </c>
      <c r="BN140" s="92" t="s">
        <v>73</v>
      </c>
      <c r="BO140" s="92" t="s">
        <v>73</v>
      </c>
      <c r="BP140" s="92" t="s">
        <v>237</v>
      </c>
      <c r="BQ140" s="92">
        <v>0</v>
      </c>
      <c r="BR140" s="92" t="s">
        <v>73</v>
      </c>
      <c r="BS140" s="92">
        <v>0</v>
      </c>
      <c r="BT140" s="92" t="s">
        <v>73</v>
      </c>
      <c r="BU140" s="92" t="s">
        <v>73</v>
      </c>
      <c r="BV140" s="92">
        <v>0</v>
      </c>
      <c r="BW140" s="92">
        <v>0</v>
      </c>
      <c r="BX140" s="92">
        <v>1</v>
      </c>
      <c r="BY140" s="30">
        <f t="shared" si="66"/>
        <v>0.79148657877430995</v>
      </c>
      <c r="BZ140" s="133">
        <f t="shared" si="58"/>
        <v>1.0753988177746068</v>
      </c>
      <c r="CA140" s="30">
        <f t="shared" si="59"/>
        <v>-8.4574447130334037E-4</v>
      </c>
      <c r="CB140" s="30">
        <f t="shared" si="60"/>
        <v>2.5188916876574307E-3</v>
      </c>
      <c r="CC140" s="92" t="s">
        <v>73</v>
      </c>
      <c r="CD140">
        <f t="shared" si="67"/>
        <v>398</v>
      </c>
      <c r="CE140" s="92" t="s">
        <v>73</v>
      </c>
      <c r="CF140" s="30">
        <f t="shared" si="57"/>
        <v>0.79148657877430995</v>
      </c>
      <c r="CG140" s="133">
        <f t="shared" si="61"/>
        <v>1.0753988177746068</v>
      </c>
      <c r="CH140" s="30">
        <f t="shared" si="62"/>
        <v>-8.4574447130334037E-4</v>
      </c>
      <c r="CI140" s="30">
        <f t="shared" si="63"/>
        <v>2.5188916876574307E-3</v>
      </c>
    </row>
    <row r="141" spans="1:88">
      <c r="A141" s="92" t="s">
        <v>68</v>
      </c>
      <c r="B141" s="92"/>
      <c r="C141" s="92">
        <v>28</v>
      </c>
      <c r="D141" s="11">
        <v>1404</v>
      </c>
      <c r="E141" s="92">
        <v>123</v>
      </c>
      <c r="F141" s="92" t="s">
        <v>333</v>
      </c>
      <c r="G141" s="92">
        <v>1995</v>
      </c>
      <c r="H141" s="92" t="s">
        <v>334</v>
      </c>
      <c r="I141" s="92" t="s">
        <v>335</v>
      </c>
      <c r="J141" s="92">
        <v>2</v>
      </c>
      <c r="K141" s="92">
        <v>1995</v>
      </c>
      <c r="L141" s="92" t="s">
        <v>73</v>
      </c>
      <c r="M141" s="92">
        <v>62</v>
      </c>
      <c r="N141" s="188" t="s">
        <v>270</v>
      </c>
      <c r="O141" s="92" t="s">
        <v>242</v>
      </c>
      <c r="P141" s="92" t="s">
        <v>81</v>
      </c>
      <c r="Q141" s="92" t="s">
        <v>294</v>
      </c>
      <c r="R141" s="92" t="s">
        <v>244</v>
      </c>
      <c r="S141" s="92" t="s">
        <v>336</v>
      </c>
      <c r="T141" s="92">
        <v>0</v>
      </c>
      <c r="U141" s="135" t="s">
        <v>231</v>
      </c>
      <c r="V141" s="92">
        <v>0</v>
      </c>
      <c r="W141" s="92" t="s">
        <v>232</v>
      </c>
      <c r="X141" s="92" t="s">
        <v>232</v>
      </c>
      <c r="Y141" s="92" t="s">
        <v>73</v>
      </c>
      <c r="Z141" s="92">
        <v>0</v>
      </c>
      <c r="AA141" s="92">
        <v>0</v>
      </c>
      <c r="AB141" s="92">
        <v>0</v>
      </c>
      <c r="AC141" s="92">
        <v>1</v>
      </c>
      <c r="AD141" s="92">
        <v>0</v>
      </c>
      <c r="AE141" s="92">
        <v>0</v>
      </c>
      <c r="AF141" s="92">
        <v>0</v>
      </c>
      <c r="AG141" s="92">
        <v>0</v>
      </c>
      <c r="AH141" s="92" t="s">
        <v>73</v>
      </c>
      <c r="AI141" s="92">
        <v>0</v>
      </c>
      <c r="AJ141" s="92">
        <v>0</v>
      </c>
      <c r="AK141" s="92">
        <v>0</v>
      </c>
      <c r="AL141" s="92">
        <v>1</v>
      </c>
      <c r="AM141" s="92">
        <v>0</v>
      </c>
      <c r="AN141" s="92">
        <v>0</v>
      </c>
      <c r="AO141" s="92">
        <v>0</v>
      </c>
      <c r="AP141" s="92">
        <v>0</v>
      </c>
      <c r="AQ141" s="92">
        <v>0</v>
      </c>
      <c r="AR141" s="92" t="s">
        <v>73</v>
      </c>
      <c r="AS141" s="92" t="s">
        <v>234</v>
      </c>
      <c r="AT141" s="92" t="s">
        <v>296</v>
      </c>
      <c r="AU141" s="92" t="s">
        <v>236</v>
      </c>
      <c r="AV141" s="195">
        <v>1.61</v>
      </c>
      <c r="AW141" s="93" t="s">
        <v>80</v>
      </c>
      <c r="AX141" s="92">
        <f t="shared" si="64"/>
        <v>7.351598173515983E-2</v>
      </c>
      <c r="AY141" s="92" t="s">
        <v>73</v>
      </c>
      <c r="AZ141" s="92">
        <v>3</v>
      </c>
      <c r="BA141" s="92">
        <v>21.9</v>
      </c>
      <c r="BB141" s="92"/>
      <c r="BC141" s="105">
        <f t="shared" si="65"/>
        <v>0.83341138642454038</v>
      </c>
      <c r="BD141" s="92" t="s">
        <v>73</v>
      </c>
      <c r="BE141" s="92" t="s">
        <v>73</v>
      </c>
      <c r="BF141" s="92" t="s">
        <v>73</v>
      </c>
      <c r="BG141" s="92" t="s">
        <v>73</v>
      </c>
      <c r="BH141" s="92" t="s">
        <v>73</v>
      </c>
      <c r="BI141" s="92" t="s">
        <v>73</v>
      </c>
      <c r="BJ141" s="92">
        <v>163</v>
      </c>
      <c r="BK141" s="92">
        <v>163</v>
      </c>
      <c r="BL141" s="92" t="s">
        <v>73</v>
      </c>
      <c r="BM141" s="92" t="s">
        <v>73</v>
      </c>
      <c r="BN141" s="92" t="s">
        <v>73</v>
      </c>
      <c r="BO141" s="92" t="s">
        <v>73</v>
      </c>
      <c r="BP141" s="92" t="s">
        <v>237</v>
      </c>
      <c r="BQ141" s="92">
        <v>0</v>
      </c>
      <c r="BR141" s="92" t="s">
        <v>73</v>
      </c>
      <c r="BS141" s="92">
        <v>0</v>
      </c>
      <c r="BT141" s="92" t="s">
        <v>73</v>
      </c>
      <c r="BU141" s="92" t="s">
        <v>73</v>
      </c>
      <c r="BV141" s="92">
        <v>0</v>
      </c>
      <c r="BW141" s="92">
        <v>0</v>
      </c>
      <c r="BX141" s="92">
        <v>1</v>
      </c>
      <c r="BY141" s="30">
        <f t="shared" si="66"/>
        <v>0.86391372771270136</v>
      </c>
      <c r="BZ141" s="30">
        <f t="shared" si="58"/>
        <v>1.3085723355434464</v>
      </c>
      <c r="CA141" s="30">
        <f t="shared" si="59"/>
        <v>-1.192705001906698E-2</v>
      </c>
      <c r="CB141" s="30">
        <f t="shared" si="60"/>
        <v>6.2500000000000003E-3</v>
      </c>
      <c r="CC141" s="92" t="s">
        <v>73</v>
      </c>
      <c r="CD141">
        <f t="shared" si="67"/>
        <v>161</v>
      </c>
      <c r="CE141" s="92" t="s">
        <v>73</v>
      </c>
      <c r="CF141" s="30">
        <f t="shared" si="57"/>
        <v>0.86391372771270136</v>
      </c>
      <c r="CG141" s="30">
        <f t="shared" si="61"/>
        <v>1.3085723355434464</v>
      </c>
      <c r="CH141" s="30">
        <f t="shared" si="62"/>
        <v>-1.192705001906698E-2</v>
      </c>
      <c r="CI141" s="30">
        <f t="shared" si="63"/>
        <v>6.2500000000000003E-3</v>
      </c>
      <c r="CJ141" s="95"/>
    </row>
    <row r="142" spans="1:88">
      <c r="A142" s="92" t="s">
        <v>68</v>
      </c>
      <c r="B142" s="92"/>
      <c r="C142" s="92">
        <v>28</v>
      </c>
      <c r="D142" s="11">
        <v>1405</v>
      </c>
      <c r="E142" s="92">
        <v>123</v>
      </c>
      <c r="F142" s="92" t="s">
        <v>333</v>
      </c>
      <c r="G142" s="92">
        <v>1995</v>
      </c>
      <c r="H142" s="92" t="s">
        <v>334</v>
      </c>
      <c r="I142" s="92" t="s">
        <v>335</v>
      </c>
      <c r="J142" s="92">
        <v>2</v>
      </c>
      <c r="K142" s="92">
        <v>1995</v>
      </c>
      <c r="L142" s="92" t="s">
        <v>73</v>
      </c>
      <c r="M142" s="92">
        <v>62</v>
      </c>
      <c r="N142" s="188" t="s">
        <v>270</v>
      </c>
      <c r="O142" s="92" t="s">
        <v>242</v>
      </c>
      <c r="P142" s="92" t="s">
        <v>81</v>
      </c>
      <c r="Q142" s="92" t="s">
        <v>294</v>
      </c>
      <c r="R142" s="92" t="s">
        <v>244</v>
      </c>
      <c r="S142" s="92" t="s">
        <v>336</v>
      </c>
      <c r="T142" s="92">
        <v>0</v>
      </c>
      <c r="U142" s="135" t="s">
        <v>231</v>
      </c>
      <c r="V142" s="92">
        <v>0</v>
      </c>
      <c r="W142" s="92" t="s">
        <v>232</v>
      </c>
      <c r="X142" s="92" t="s">
        <v>232</v>
      </c>
      <c r="Y142" s="92" t="s">
        <v>73</v>
      </c>
      <c r="Z142" s="92">
        <v>0</v>
      </c>
      <c r="AA142" s="92">
        <v>0</v>
      </c>
      <c r="AB142" s="92">
        <v>0</v>
      </c>
      <c r="AC142" s="92">
        <v>1</v>
      </c>
      <c r="AD142" s="92">
        <v>0</v>
      </c>
      <c r="AE142" s="92">
        <v>0</v>
      </c>
      <c r="AF142" s="92">
        <v>0</v>
      </c>
      <c r="AG142" s="92">
        <v>0</v>
      </c>
      <c r="AH142" s="92" t="s">
        <v>73</v>
      </c>
      <c r="AI142" s="92">
        <v>0</v>
      </c>
      <c r="AJ142" s="92">
        <v>0</v>
      </c>
      <c r="AK142" s="92">
        <v>0</v>
      </c>
      <c r="AL142" s="92">
        <v>0</v>
      </c>
      <c r="AM142" s="92">
        <v>0</v>
      </c>
      <c r="AN142" s="92">
        <v>0</v>
      </c>
      <c r="AO142" s="92">
        <v>0</v>
      </c>
      <c r="AP142" s="92">
        <v>1</v>
      </c>
      <c r="AQ142" s="92">
        <v>0</v>
      </c>
      <c r="AR142" s="92" t="s">
        <v>73</v>
      </c>
      <c r="AS142" s="92" t="s">
        <v>234</v>
      </c>
      <c r="AT142" t="s">
        <v>296</v>
      </c>
      <c r="AU142" t="s">
        <v>236</v>
      </c>
      <c r="AV142" s="195">
        <v>1.03</v>
      </c>
      <c r="AW142" s="93" t="s">
        <v>80</v>
      </c>
      <c r="AX142" s="92">
        <f t="shared" si="64"/>
        <v>0.16349206349206349</v>
      </c>
      <c r="AY142" s="92" t="s">
        <v>73</v>
      </c>
      <c r="AZ142" s="92">
        <v>3</v>
      </c>
      <c r="BA142" s="92">
        <v>6.3</v>
      </c>
      <c r="BB142" s="92"/>
      <c r="BC142" s="105">
        <f t="shared" si="65"/>
        <v>0.73691589583342021</v>
      </c>
      <c r="BD142" s="92" t="s">
        <v>73</v>
      </c>
      <c r="BE142" s="92" t="s">
        <v>73</v>
      </c>
      <c r="BF142" s="92" t="s">
        <v>73</v>
      </c>
      <c r="BG142" s="92" t="s">
        <v>73</v>
      </c>
      <c r="BH142" s="92" t="s">
        <v>73</v>
      </c>
      <c r="BI142" s="92" t="s">
        <v>73</v>
      </c>
      <c r="BJ142" s="92">
        <v>68</v>
      </c>
      <c r="BK142" s="92">
        <v>68</v>
      </c>
      <c r="BL142" s="92" t="s">
        <v>73</v>
      </c>
      <c r="BM142" s="92" t="s">
        <v>73</v>
      </c>
      <c r="BN142" s="92" t="s">
        <v>73</v>
      </c>
      <c r="BO142" s="92" t="s">
        <v>73</v>
      </c>
      <c r="BP142" s="92" t="s">
        <v>237</v>
      </c>
      <c r="BQ142" s="92">
        <v>0</v>
      </c>
      <c r="BR142" s="92" t="s">
        <v>73</v>
      </c>
      <c r="BS142" s="92">
        <v>0</v>
      </c>
      <c r="BT142" s="92" t="s">
        <v>73</v>
      </c>
      <c r="BU142" s="92" t="s">
        <v>73</v>
      </c>
      <c r="BV142" s="92">
        <v>0</v>
      </c>
      <c r="BW142" s="92">
        <v>0</v>
      </c>
      <c r="BX142" s="92">
        <v>1</v>
      </c>
      <c r="BY142" s="30">
        <f t="shared" si="66"/>
        <v>0.60708969491273346</v>
      </c>
      <c r="BZ142" s="30">
        <f t="shared" si="58"/>
        <v>0.70429941240937843</v>
      </c>
      <c r="CA142" s="30">
        <f t="shared" si="59"/>
        <v>1.1252934888953962E-2</v>
      </c>
      <c r="CB142" s="30">
        <f t="shared" si="60"/>
        <v>1.5384615384615385E-2</v>
      </c>
      <c r="CC142" s="92" t="s">
        <v>73</v>
      </c>
      <c r="CD142">
        <f t="shared" si="67"/>
        <v>66</v>
      </c>
      <c r="CE142" s="92" t="s">
        <v>73</v>
      </c>
      <c r="CF142" s="30">
        <f t="shared" si="57"/>
        <v>0.60708969491273346</v>
      </c>
      <c r="CG142" s="30">
        <f t="shared" si="61"/>
        <v>0.70429941240937843</v>
      </c>
      <c r="CH142" s="30">
        <f t="shared" si="62"/>
        <v>1.1252934888953962E-2</v>
      </c>
      <c r="CI142" s="30">
        <f t="shared" si="63"/>
        <v>1.5384615384615385E-2</v>
      </c>
      <c r="CJ142" s="95"/>
    </row>
    <row r="143" spans="1:88">
      <c r="A143" s="92" t="s">
        <v>68</v>
      </c>
      <c r="B143" s="92"/>
      <c r="C143" s="92">
        <v>28</v>
      </c>
      <c r="D143" s="11">
        <v>1400</v>
      </c>
      <c r="E143" s="92">
        <v>123</v>
      </c>
      <c r="F143" s="92" t="s">
        <v>333</v>
      </c>
      <c r="G143" s="92">
        <v>1995</v>
      </c>
      <c r="H143" s="92" t="s">
        <v>334</v>
      </c>
      <c r="I143" s="92" t="s">
        <v>335</v>
      </c>
      <c r="J143" s="92">
        <v>2</v>
      </c>
      <c r="K143" s="92">
        <v>1995</v>
      </c>
      <c r="L143" s="92" t="s">
        <v>73</v>
      </c>
      <c r="M143" s="92">
        <v>64</v>
      </c>
      <c r="N143" s="188" t="s">
        <v>270</v>
      </c>
      <c r="O143" s="92" t="s">
        <v>242</v>
      </c>
      <c r="P143" s="92" t="s">
        <v>81</v>
      </c>
      <c r="Q143" s="92" t="s">
        <v>228</v>
      </c>
      <c r="R143" s="92" t="s">
        <v>244</v>
      </c>
      <c r="S143" s="92" t="s">
        <v>336</v>
      </c>
      <c r="T143" s="92">
        <v>0</v>
      </c>
      <c r="U143" s="135" t="s">
        <v>231</v>
      </c>
      <c r="V143" s="92">
        <v>0</v>
      </c>
      <c r="W143" s="92" t="s">
        <v>232</v>
      </c>
      <c r="X143" s="92" t="s">
        <v>232</v>
      </c>
      <c r="Y143" s="92" t="s">
        <v>73</v>
      </c>
      <c r="Z143" s="92">
        <v>0</v>
      </c>
      <c r="AA143" s="92">
        <v>0</v>
      </c>
      <c r="AB143" s="92">
        <v>0</v>
      </c>
      <c r="AC143" s="92">
        <v>0</v>
      </c>
      <c r="AD143" s="92">
        <v>0</v>
      </c>
      <c r="AE143" s="92">
        <v>0</v>
      </c>
      <c r="AF143" s="92">
        <v>1</v>
      </c>
      <c r="AG143" s="92">
        <v>0</v>
      </c>
      <c r="AH143" s="92" t="s">
        <v>73</v>
      </c>
      <c r="AI143" s="92">
        <v>0</v>
      </c>
      <c r="AJ143" s="92">
        <v>0</v>
      </c>
      <c r="AK143" s="92">
        <v>0</v>
      </c>
      <c r="AL143" s="92">
        <v>1</v>
      </c>
      <c r="AM143" s="92">
        <v>0</v>
      </c>
      <c r="AN143" s="92">
        <v>0</v>
      </c>
      <c r="AO143" s="92">
        <v>0</v>
      </c>
      <c r="AP143" s="92">
        <v>0</v>
      </c>
      <c r="AQ143" s="92">
        <v>0</v>
      </c>
      <c r="AR143" s="92" t="s">
        <v>73</v>
      </c>
      <c r="AS143" s="92" t="s">
        <v>234</v>
      </c>
      <c r="AT143" s="92" t="s">
        <v>296</v>
      </c>
      <c r="AU143" s="92" t="s">
        <v>236</v>
      </c>
      <c r="AV143" s="195">
        <v>0.73799999999999999</v>
      </c>
      <c r="AW143" s="93" t="s">
        <v>86</v>
      </c>
      <c r="AX143" s="92">
        <f t="shared" si="64"/>
        <v>0.28384615384615386</v>
      </c>
      <c r="AY143" s="92" t="s">
        <v>73</v>
      </c>
      <c r="AZ143" s="92">
        <v>3</v>
      </c>
      <c r="BA143" s="92">
        <v>2.6</v>
      </c>
      <c r="BB143" s="92"/>
      <c r="BC143" s="105">
        <f t="shared" si="65"/>
        <v>0.67655835657935381</v>
      </c>
      <c r="BD143" s="92" t="s">
        <v>73</v>
      </c>
      <c r="BE143" s="92" t="s">
        <v>73</v>
      </c>
      <c r="BF143" s="92" t="s">
        <v>73</v>
      </c>
      <c r="BG143" s="92" t="s">
        <v>73</v>
      </c>
      <c r="BH143" s="92" t="s">
        <v>73</v>
      </c>
      <c r="BI143" s="92" t="s">
        <v>73</v>
      </c>
      <c r="BJ143" s="92">
        <v>163</v>
      </c>
      <c r="BK143" s="92">
        <v>163</v>
      </c>
      <c r="BL143" s="92" t="s">
        <v>73</v>
      </c>
      <c r="BM143" s="92" t="s">
        <v>73</v>
      </c>
      <c r="BN143" s="92" t="s">
        <v>73</v>
      </c>
      <c r="BO143" s="92" t="s">
        <v>73</v>
      </c>
      <c r="BP143" s="92" t="s">
        <v>237</v>
      </c>
      <c r="BQ143" s="92">
        <v>0</v>
      </c>
      <c r="BR143" s="92" t="s">
        <v>73</v>
      </c>
      <c r="BS143" s="92">
        <v>0</v>
      </c>
      <c r="BT143" s="92" t="s">
        <v>73</v>
      </c>
      <c r="BU143" s="92" t="s">
        <v>73</v>
      </c>
      <c r="BV143" s="92">
        <v>0</v>
      </c>
      <c r="BW143" s="92">
        <v>0</v>
      </c>
      <c r="BX143" s="92">
        <v>1</v>
      </c>
      <c r="BY143" s="30">
        <f t="shared" si="66"/>
        <v>0.19955180694979294</v>
      </c>
      <c r="BZ143" s="30">
        <f t="shared" si="58"/>
        <v>0.20226572984857011</v>
      </c>
      <c r="CA143" s="30">
        <f t="shared" si="59"/>
        <v>6.1625077485550402E-3</v>
      </c>
      <c r="CB143" s="30">
        <f t="shared" si="60"/>
        <v>6.2500000000000003E-3</v>
      </c>
      <c r="CC143" s="92" t="s">
        <v>73</v>
      </c>
      <c r="CD143">
        <f t="shared" si="67"/>
        <v>161</v>
      </c>
      <c r="CE143" s="92" t="s">
        <v>73</v>
      </c>
      <c r="CF143" s="30">
        <f t="shared" si="57"/>
        <v>0.19955180694979294</v>
      </c>
      <c r="CG143" s="30">
        <f t="shared" si="61"/>
        <v>0.20226572984857011</v>
      </c>
      <c r="CH143" s="30">
        <f t="shared" si="62"/>
        <v>6.1625077485550402E-3</v>
      </c>
      <c r="CI143" s="30">
        <f t="shared" si="63"/>
        <v>6.2500000000000003E-3</v>
      </c>
      <c r="CJ143" s="95"/>
    </row>
    <row r="144" spans="1:88" ht="17.100000000000001" customHeight="1">
      <c r="A144" s="92" t="s">
        <v>68</v>
      </c>
      <c r="B144" s="92"/>
      <c r="C144" s="92">
        <v>28</v>
      </c>
      <c r="D144" s="11">
        <v>1401</v>
      </c>
      <c r="E144" s="92">
        <v>123</v>
      </c>
      <c r="F144" s="92" t="s">
        <v>333</v>
      </c>
      <c r="G144" s="92">
        <v>1995</v>
      </c>
      <c r="H144" s="92" t="s">
        <v>334</v>
      </c>
      <c r="I144" s="92" t="s">
        <v>335</v>
      </c>
      <c r="J144" s="92">
        <v>2</v>
      </c>
      <c r="K144" s="92">
        <v>1995</v>
      </c>
      <c r="L144" s="92" t="s">
        <v>73</v>
      </c>
      <c r="M144" s="92">
        <v>64</v>
      </c>
      <c r="N144" s="188" t="s">
        <v>270</v>
      </c>
      <c r="O144" s="92" t="s">
        <v>242</v>
      </c>
      <c r="P144" s="92" t="s">
        <v>81</v>
      </c>
      <c r="Q144" s="92" t="s">
        <v>228</v>
      </c>
      <c r="R144" s="92" t="s">
        <v>244</v>
      </c>
      <c r="S144" s="92" t="s">
        <v>336</v>
      </c>
      <c r="T144" s="92">
        <v>0</v>
      </c>
      <c r="U144" s="135" t="s">
        <v>231</v>
      </c>
      <c r="V144" s="92">
        <v>0</v>
      </c>
      <c r="W144" s="92" t="s">
        <v>232</v>
      </c>
      <c r="X144" s="92" t="s">
        <v>232</v>
      </c>
      <c r="Y144" s="92" t="s">
        <v>73</v>
      </c>
      <c r="Z144" s="92">
        <v>0</v>
      </c>
      <c r="AA144" s="92">
        <v>0</v>
      </c>
      <c r="AB144" s="92">
        <v>0</v>
      </c>
      <c r="AC144" s="92">
        <v>0</v>
      </c>
      <c r="AD144" s="92">
        <v>0</v>
      </c>
      <c r="AE144" s="92">
        <v>0</v>
      </c>
      <c r="AF144" s="92">
        <v>1</v>
      </c>
      <c r="AG144" s="92">
        <v>0</v>
      </c>
      <c r="AH144" s="92" t="s">
        <v>73</v>
      </c>
      <c r="AI144" s="92">
        <v>0</v>
      </c>
      <c r="AJ144" s="92">
        <v>0</v>
      </c>
      <c r="AK144" s="92">
        <v>0</v>
      </c>
      <c r="AL144" s="92">
        <v>0</v>
      </c>
      <c r="AM144" s="92">
        <v>0</v>
      </c>
      <c r="AN144" s="92">
        <v>0</v>
      </c>
      <c r="AO144" s="92">
        <v>0</v>
      </c>
      <c r="AP144" s="92">
        <v>1</v>
      </c>
      <c r="AQ144" s="92">
        <v>0</v>
      </c>
      <c r="AR144" s="92" t="s">
        <v>73</v>
      </c>
      <c r="AS144" s="92" t="s">
        <v>234</v>
      </c>
      <c r="AT144" t="s">
        <v>296</v>
      </c>
      <c r="AU144" t="s">
        <v>236</v>
      </c>
      <c r="AV144" s="195">
        <v>1.1519999999999999</v>
      </c>
      <c r="AW144" s="93" t="s">
        <v>86</v>
      </c>
      <c r="AX144" s="92">
        <f t="shared" si="64"/>
        <v>0.38399999999999995</v>
      </c>
      <c r="AY144" s="92" t="s">
        <v>73</v>
      </c>
      <c r="AZ144" s="92">
        <v>3</v>
      </c>
      <c r="BA144" s="92">
        <v>3</v>
      </c>
      <c r="BB144" s="92"/>
      <c r="BC144" s="105">
        <f t="shared" si="65"/>
        <v>0.75987603549087823</v>
      </c>
      <c r="BD144" s="92" t="s">
        <v>73</v>
      </c>
      <c r="BE144" s="92" t="s">
        <v>73</v>
      </c>
      <c r="BF144" s="92" t="s">
        <v>73</v>
      </c>
      <c r="BG144" s="92" t="s">
        <v>73</v>
      </c>
      <c r="BH144" s="92" t="s">
        <v>73</v>
      </c>
      <c r="BI144" s="92" t="s">
        <v>73</v>
      </c>
      <c r="BJ144" s="92">
        <v>68</v>
      </c>
      <c r="BK144" s="92">
        <v>68</v>
      </c>
      <c r="BL144" s="92" t="s">
        <v>73</v>
      </c>
      <c r="BM144" s="92" t="s">
        <v>73</v>
      </c>
      <c r="BN144" s="92" t="s">
        <v>73</v>
      </c>
      <c r="BO144" s="92" t="s">
        <v>73</v>
      </c>
      <c r="BP144" s="92" t="s">
        <v>237</v>
      </c>
      <c r="BQ144" s="92">
        <v>0</v>
      </c>
      <c r="BR144" s="92" t="s">
        <v>73</v>
      </c>
      <c r="BS144" s="92">
        <v>0</v>
      </c>
      <c r="BT144" s="92" t="s">
        <v>73</v>
      </c>
      <c r="BU144" s="92" t="s">
        <v>73</v>
      </c>
      <c r="BV144" s="92">
        <v>0</v>
      </c>
      <c r="BW144" s="92">
        <v>0</v>
      </c>
      <c r="BX144" s="92">
        <v>1</v>
      </c>
      <c r="BY144" s="30">
        <f t="shared" si="66"/>
        <v>0.34188172937891387</v>
      </c>
      <c r="BZ144" s="30">
        <f t="shared" si="58"/>
        <v>0.35622176288455693</v>
      </c>
      <c r="CA144" s="30">
        <f t="shared" si="59"/>
        <v>1.4685043684875282E-2</v>
      </c>
      <c r="CB144" s="30">
        <f t="shared" si="60"/>
        <v>1.5384615384615385E-2</v>
      </c>
      <c r="CC144" s="92" t="s">
        <v>73</v>
      </c>
      <c r="CD144">
        <f t="shared" si="67"/>
        <v>66</v>
      </c>
      <c r="CE144" s="92" t="s">
        <v>73</v>
      </c>
      <c r="CF144" s="30">
        <f t="shared" si="57"/>
        <v>0.34188172937891387</v>
      </c>
      <c r="CG144" s="30">
        <f t="shared" si="61"/>
        <v>0.35622176288455693</v>
      </c>
      <c r="CH144" s="30">
        <f t="shared" si="62"/>
        <v>1.4685043684875282E-2</v>
      </c>
      <c r="CI144" s="30">
        <f t="shared" si="63"/>
        <v>1.5384615384615385E-2</v>
      </c>
      <c r="CJ144" s="95"/>
    </row>
    <row r="145" spans="1:88">
      <c r="A145" s="92" t="s">
        <v>68</v>
      </c>
      <c r="B145" s="92"/>
      <c r="C145" s="92">
        <v>28</v>
      </c>
      <c r="D145" s="11">
        <v>1402</v>
      </c>
      <c r="E145" s="92">
        <v>123</v>
      </c>
      <c r="F145" s="112" t="s">
        <v>333</v>
      </c>
      <c r="G145" s="92">
        <v>1995</v>
      </c>
      <c r="H145" s="92" t="s">
        <v>334</v>
      </c>
      <c r="I145" s="92" t="s">
        <v>335</v>
      </c>
      <c r="J145" s="92">
        <v>2</v>
      </c>
      <c r="K145" s="92">
        <v>1995</v>
      </c>
      <c r="L145" s="92" t="s">
        <v>73</v>
      </c>
      <c r="M145" s="92">
        <v>58</v>
      </c>
      <c r="N145" s="188" t="s">
        <v>270</v>
      </c>
      <c r="O145" s="112" t="s">
        <v>242</v>
      </c>
      <c r="P145" s="92" t="s">
        <v>81</v>
      </c>
      <c r="Q145" s="92" t="s">
        <v>294</v>
      </c>
      <c r="R145" s="92" t="s">
        <v>244</v>
      </c>
      <c r="S145" s="92" t="s">
        <v>336</v>
      </c>
      <c r="T145" s="92">
        <v>1</v>
      </c>
      <c r="U145" s="135" t="s">
        <v>231</v>
      </c>
      <c r="V145" s="92">
        <v>0</v>
      </c>
      <c r="W145" s="92" t="s">
        <v>232</v>
      </c>
      <c r="X145" s="92" t="s">
        <v>232</v>
      </c>
      <c r="Y145" s="92" t="s">
        <v>73</v>
      </c>
      <c r="Z145" s="92">
        <v>0</v>
      </c>
      <c r="AA145" s="92">
        <v>0</v>
      </c>
      <c r="AB145" s="92">
        <v>0</v>
      </c>
      <c r="AC145" s="92">
        <v>0</v>
      </c>
      <c r="AD145" s="92">
        <v>0</v>
      </c>
      <c r="AE145" s="92">
        <v>0</v>
      </c>
      <c r="AF145" s="92">
        <v>1</v>
      </c>
      <c r="AG145" s="92">
        <v>0</v>
      </c>
      <c r="AH145" s="92" t="s">
        <v>73</v>
      </c>
      <c r="AI145" s="92">
        <v>0</v>
      </c>
      <c r="AJ145" s="92">
        <v>0</v>
      </c>
      <c r="AK145" s="92">
        <v>0</v>
      </c>
      <c r="AL145" s="92">
        <v>1</v>
      </c>
      <c r="AM145" s="92">
        <v>0</v>
      </c>
      <c r="AN145" s="92">
        <v>0</v>
      </c>
      <c r="AO145" s="92">
        <v>0</v>
      </c>
      <c r="AP145" s="92">
        <v>0</v>
      </c>
      <c r="AQ145" s="92">
        <v>0</v>
      </c>
      <c r="AR145" s="92" t="s">
        <v>73</v>
      </c>
      <c r="AS145" s="92" t="s">
        <v>234</v>
      </c>
      <c r="AT145" s="92" t="s">
        <v>296</v>
      </c>
      <c r="AU145" s="92" t="s">
        <v>236</v>
      </c>
      <c r="AV145" s="200">
        <v>1.02</v>
      </c>
      <c r="AW145" s="93" t="s">
        <v>80</v>
      </c>
      <c r="AX145" s="92">
        <f t="shared" si="64"/>
        <v>8.9473684210526316E-2</v>
      </c>
      <c r="AY145" s="92" t="s">
        <v>73</v>
      </c>
      <c r="AZ145" s="92">
        <v>3</v>
      </c>
      <c r="BA145" s="92">
        <v>11.4</v>
      </c>
      <c r="BB145" s="92"/>
      <c r="BC145" s="105">
        <f t="shared" si="65"/>
        <v>0.73497259946651883</v>
      </c>
      <c r="BD145" s="92" t="s">
        <v>73</v>
      </c>
      <c r="BE145" s="92" t="s">
        <v>73</v>
      </c>
      <c r="BF145" s="92" t="s">
        <v>73</v>
      </c>
      <c r="BG145" s="92" t="s">
        <v>73</v>
      </c>
      <c r="BH145" s="92" t="s">
        <v>73</v>
      </c>
      <c r="BI145" s="92" t="s">
        <v>73</v>
      </c>
      <c r="BJ145" s="92">
        <v>188</v>
      </c>
      <c r="BK145" s="92">
        <v>188</v>
      </c>
      <c r="BL145" s="92" t="s">
        <v>73</v>
      </c>
      <c r="BM145" s="92" t="s">
        <v>73</v>
      </c>
      <c r="BN145" s="92" t="s">
        <v>73</v>
      </c>
      <c r="BO145" s="92" t="s">
        <v>73</v>
      </c>
      <c r="BP145" s="92" t="s">
        <v>237</v>
      </c>
      <c r="BQ145" s="92">
        <v>0</v>
      </c>
      <c r="BR145" s="92" t="s">
        <v>73</v>
      </c>
      <c r="BS145" s="92">
        <v>0</v>
      </c>
      <c r="BT145" s="92" t="s">
        <v>73</v>
      </c>
      <c r="BU145" s="92" t="s">
        <v>73</v>
      </c>
      <c r="BV145" s="92">
        <v>0</v>
      </c>
      <c r="BW145" s="92">
        <v>0</v>
      </c>
      <c r="BX145" s="92">
        <v>1</v>
      </c>
      <c r="BY145" s="30">
        <f t="shared" si="66"/>
        <v>0.63932046576376356</v>
      </c>
      <c r="BZ145" s="30">
        <f t="shared" si="58"/>
        <v>0.75702361876280078</v>
      </c>
      <c r="CA145" s="30">
        <f t="shared" si="59"/>
        <v>3.5913040565982552E-3</v>
      </c>
      <c r="CB145" s="30">
        <f t="shared" si="60"/>
        <v>5.4054054054054057E-3</v>
      </c>
      <c r="CC145" s="92" t="s">
        <v>73</v>
      </c>
      <c r="CD145">
        <f t="shared" si="67"/>
        <v>186</v>
      </c>
      <c r="CE145" s="92" t="s">
        <v>73</v>
      </c>
      <c r="CF145" s="30">
        <f t="shared" si="57"/>
        <v>0.63932046576376356</v>
      </c>
      <c r="CG145" s="30">
        <f t="shared" si="61"/>
        <v>0.75702361876280078</v>
      </c>
      <c r="CH145" s="30">
        <f t="shared" si="62"/>
        <v>3.5913040565982552E-3</v>
      </c>
      <c r="CI145" s="30">
        <f t="shared" si="63"/>
        <v>5.4054054054054057E-3</v>
      </c>
      <c r="CJ145" s="107"/>
    </row>
    <row r="146" spans="1:88">
      <c r="A146" s="92" t="s">
        <v>68</v>
      </c>
      <c r="B146" s="92"/>
      <c r="C146" s="92">
        <v>28</v>
      </c>
      <c r="D146" s="11">
        <v>1403</v>
      </c>
      <c r="E146" s="92">
        <v>123</v>
      </c>
      <c r="F146" s="112" t="s">
        <v>333</v>
      </c>
      <c r="G146" s="92">
        <v>1995</v>
      </c>
      <c r="H146" s="92" t="s">
        <v>334</v>
      </c>
      <c r="I146" s="92" t="s">
        <v>335</v>
      </c>
      <c r="J146" s="92">
        <v>2</v>
      </c>
      <c r="K146" s="92">
        <v>1995</v>
      </c>
      <c r="L146" s="92" t="s">
        <v>73</v>
      </c>
      <c r="M146" s="92">
        <v>58</v>
      </c>
      <c r="N146" s="188" t="s">
        <v>270</v>
      </c>
      <c r="O146" s="112" t="s">
        <v>242</v>
      </c>
      <c r="P146" s="92" t="s">
        <v>81</v>
      </c>
      <c r="Q146" s="92" t="s">
        <v>294</v>
      </c>
      <c r="R146" s="92" t="s">
        <v>244</v>
      </c>
      <c r="S146" s="92" t="s">
        <v>336</v>
      </c>
      <c r="T146" s="92">
        <v>1</v>
      </c>
      <c r="U146" s="135" t="s">
        <v>231</v>
      </c>
      <c r="V146" s="92">
        <v>0</v>
      </c>
      <c r="W146" s="92" t="s">
        <v>232</v>
      </c>
      <c r="X146" s="92" t="s">
        <v>232</v>
      </c>
      <c r="Y146" s="92" t="s">
        <v>73</v>
      </c>
      <c r="Z146" s="92">
        <v>0</v>
      </c>
      <c r="AA146" s="92">
        <v>0</v>
      </c>
      <c r="AB146" s="92">
        <v>0</v>
      </c>
      <c r="AC146" s="92">
        <v>0</v>
      </c>
      <c r="AD146" s="92">
        <v>0</v>
      </c>
      <c r="AE146" s="92">
        <v>0</v>
      </c>
      <c r="AF146" s="92">
        <v>1</v>
      </c>
      <c r="AG146" s="92">
        <v>0</v>
      </c>
      <c r="AH146" s="92" t="s">
        <v>73</v>
      </c>
      <c r="AI146" s="92">
        <v>0</v>
      </c>
      <c r="AJ146" s="92">
        <v>0</v>
      </c>
      <c r="AK146" s="92">
        <v>0</v>
      </c>
      <c r="AL146" s="92">
        <v>0</v>
      </c>
      <c r="AM146" s="92">
        <v>0</v>
      </c>
      <c r="AN146" s="92">
        <v>0</v>
      </c>
      <c r="AO146" s="92">
        <v>0</v>
      </c>
      <c r="AP146" s="92">
        <v>1</v>
      </c>
      <c r="AQ146" s="92">
        <v>0</v>
      </c>
      <c r="AR146" s="92" t="s">
        <v>73</v>
      </c>
      <c r="AS146" s="92" t="s">
        <v>234</v>
      </c>
      <c r="AT146" s="92" t="s">
        <v>296</v>
      </c>
      <c r="AU146" s="92" t="s">
        <v>236</v>
      </c>
      <c r="AV146" s="200">
        <v>6.3700000000000007E-2</v>
      </c>
      <c r="AW146" s="93" t="s">
        <v>80</v>
      </c>
      <c r="AX146" s="92">
        <f t="shared" si="64"/>
        <v>0.21233333333333337</v>
      </c>
      <c r="AY146" s="92" t="s">
        <v>73</v>
      </c>
      <c r="AZ146" s="92">
        <v>3</v>
      </c>
      <c r="BA146" s="92">
        <v>0.3</v>
      </c>
      <c r="BB146" s="92"/>
      <c r="BC146" s="105">
        <f t="shared" si="65"/>
        <v>0.51591961729135494</v>
      </c>
      <c r="BD146" s="92" t="s">
        <v>73</v>
      </c>
      <c r="BE146" s="92" t="s">
        <v>73</v>
      </c>
      <c r="BF146" s="92" t="s">
        <v>73</v>
      </c>
      <c r="BG146" s="92" t="s">
        <v>73</v>
      </c>
      <c r="BH146" s="92" t="s">
        <v>73</v>
      </c>
      <c r="BI146" s="92" t="s">
        <v>73</v>
      </c>
      <c r="BJ146" s="92">
        <v>400</v>
      </c>
      <c r="BK146" s="92">
        <v>400</v>
      </c>
      <c r="BL146" s="92" t="s">
        <v>73</v>
      </c>
      <c r="BM146" s="92" t="s">
        <v>73</v>
      </c>
      <c r="BN146" s="92" t="s">
        <v>73</v>
      </c>
      <c r="BO146" s="92" t="s">
        <v>73</v>
      </c>
      <c r="BP146" s="92" t="s">
        <v>237</v>
      </c>
      <c r="BQ146" s="92">
        <v>0</v>
      </c>
      <c r="BR146" s="92" t="s">
        <v>73</v>
      </c>
      <c r="BS146" s="92">
        <v>0</v>
      </c>
      <c r="BT146" s="92" t="s">
        <v>73</v>
      </c>
      <c r="BU146" s="92" t="s">
        <v>73</v>
      </c>
      <c r="BV146" s="92">
        <v>0</v>
      </c>
      <c r="BW146" s="92">
        <v>0</v>
      </c>
      <c r="BX146" s="92">
        <v>1</v>
      </c>
      <c r="BY146" s="30">
        <f t="shared" si="66"/>
        <v>1.4998312784712243E-2</v>
      </c>
      <c r="BZ146" s="133">
        <f t="shared" si="58"/>
        <v>1.49994375569454E-2</v>
      </c>
      <c r="CA146" s="30">
        <f t="shared" si="59"/>
        <v>2.5062655372997305E-3</v>
      </c>
      <c r="CB146" s="30">
        <f t="shared" si="60"/>
        <v>2.5188916876574307E-3</v>
      </c>
      <c r="CC146" s="92" t="s">
        <v>73</v>
      </c>
      <c r="CD146">
        <f t="shared" si="67"/>
        <v>398</v>
      </c>
      <c r="CE146" s="92" t="s">
        <v>73</v>
      </c>
      <c r="CF146" s="30">
        <f t="shared" si="57"/>
        <v>1.4998312784712243E-2</v>
      </c>
      <c r="CG146" s="133">
        <f t="shared" si="61"/>
        <v>1.49994375569454E-2</v>
      </c>
      <c r="CH146" s="30">
        <f t="shared" si="62"/>
        <v>2.5062655372997305E-3</v>
      </c>
      <c r="CI146" s="30">
        <f t="shared" si="63"/>
        <v>2.5188916876574307E-3</v>
      </c>
    </row>
    <row r="147" spans="1:88" s="32" customFormat="1">
      <c r="A147" s="92" t="s">
        <v>68</v>
      </c>
      <c r="B147" s="92"/>
      <c r="C147" s="92">
        <v>28</v>
      </c>
      <c r="D147" s="11">
        <v>1406</v>
      </c>
      <c r="E147" s="92">
        <v>123</v>
      </c>
      <c r="F147" s="112" t="s">
        <v>333</v>
      </c>
      <c r="G147" s="92">
        <v>1995</v>
      </c>
      <c r="H147" s="92" t="s">
        <v>334</v>
      </c>
      <c r="I147" s="92" t="s">
        <v>335</v>
      </c>
      <c r="J147" s="92">
        <v>2</v>
      </c>
      <c r="K147" s="92">
        <v>1995</v>
      </c>
      <c r="L147" s="92" t="s">
        <v>73</v>
      </c>
      <c r="M147" s="92">
        <v>62</v>
      </c>
      <c r="N147" s="188" t="s">
        <v>270</v>
      </c>
      <c r="O147" s="112" t="s">
        <v>242</v>
      </c>
      <c r="P147" s="92" t="s">
        <v>81</v>
      </c>
      <c r="Q147" s="92" t="s">
        <v>294</v>
      </c>
      <c r="R147" s="92" t="s">
        <v>244</v>
      </c>
      <c r="S147" s="92" t="s">
        <v>336</v>
      </c>
      <c r="T147" s="92">
        <v>1</v>
      </c>
      <c r="U147" s="135" t="s">
        <v>231</v>
      </c>
      <c r="V147" s="92">
        <v>0</v>
      </c>
      <c r="W147" s="92" t="s">
        <v>232</v>
      </c>
      <c r="X147" s="92" t="s">
        <v>232</v>
      </c>
      <c r="Y147" s="92" t="s">
        <v>73</v>
      </c>
      <c r="Z147" s="92">
        <v>0</v>
      </c>
      <c r="AA147" s="92">
        <v>0</v>
      </c>
      <c r="AB147" s="92">
        <v>0</v>
      </c>
      <c r="AC147" s="92">
        <v>0</v>
      </c>
      <c r="AD147" s="92">
        <v>0</v>
      </c>
      <c r="AE147" s="92">
        <v>0</v>
      </c>
      <c r="AF147" s="92">
        <v>1</v>
      </c>
      <c r="AG147" s="92">
        <v>0</v>
      </c>
      <c r="AH147" s="92" t="s">
        <v>73</v>
      </c>
      <c r="AI147" s="92">
        <v>0</v>
      </c>
      <c r="AJ147" s="92">
        <v>0</v>
      </c>
      <c r="AK147" s="92">
        <v>0</v>
      </c>
      <c r="AL147" s="92">
        <v>1</v>
      </c>
      <c r="AM147" s="92">
        <v>0</v>
      </c>
      <c r="AN147" s="92">
        <v>0</v>
      </c>
      <c r="AO147" s="92">
        <v>0</v>
      </c>
      <c r="AP147" s="92">
        <v>0</v>
      </c>
      <c r="AQ147" s="92">
        <v>0</v>
      </c>
      <c r="AR147" s="92" t="s">
        <v>73</v>
      </c>
      <c r="AS147" s="92" t="s">
        <v>234</v>
      </c>
      <c r="AT147" s="92" t="s">
        <v>296</v>
      </c>
      <c r="AU147" s="92" t="s">
        <v>236</v>
      </c>
      <c r="AV147" s="200">
        <v>0.9</v>
      </c>
      <c r="AW147" s="93" t="s">
        <v>80</v>
      </c>
      <c r="AX147" s="92">
        <f t="shared" si="64"/>
        <v>9.7826086956521743E-2</v>
      </c>
      <c r="AY147" s="92" t="s">
        <v>73</v>
      </c>
      <c r="AZ147" s="92">
        <v>3</v>
      </c>
      <c r="BA147" s="92">
        <v>9.1999999999999993</v>
      </c>
      <c r="BB147" s="92"/>
      <c r="BC147" s="105">
        <f t="shared" si="65"/>
        <v>0.710949502625004</v>
      </c>
      <c r="BD147" s="92" t="s">
        <v>73</v>
      </c>
      <c r="BE147" s="92" t="s">
        <v>73</v>
      </c>
      <c r="BF147" s="92" t="s">
        <v>73</v>
      </c>
      <c r="BG147" s="92" t="s">
        <v>73</v>
      </c>
      <c r="BH147" s="92" t="s">
        <v>73</v>
      </c>
      <c r="BI147" s="92" t="s">
        <v>73</v>
      </c>
      <c r="BJ147" s="92">
        <v>188</v>
      </c>
      <c r="BK147" s="92">
        <v>188</v>
      </c>
      <c r="BL147" s="92" t="s">
        <v>73</v>
      </c>
      <c r="BM147" s="92" t="s">
        <v>73</v>
      </c>
      <c r="BN147" s="92" t="s">
        <v>73</v>
      </c>
      <c r="BO147" s="92" t="s">
        <v>73</v>
      </c>
      <c r="BP147" s="92" t="s">
        <v>237</v>
      </c>
      <c r="BQ147" s="92">
        <v>0</v>
      </c>
      <c r="BR147" s="92" t="s">
        <v>73</v>
      </c>
      <c r="BS147" s="92">
        <v>0</v>
      </c>
      <c r="BT147" s="92" t="s">
        <v>73</v>
      </c>
      <c r="BU147" s="92" t="s">
        <v>73</v>
      </c>
      <c r="BV147" s="92">
        <v>0</v>
      </c>
      <c r="BW147" s="92">
        <v>0</v>
      </c>
      <c r="BX147" s="92">
        <v>1</v>
      </c>
      <c r="BY147" s="30">
        <f t="shared" si="66"/>
        <v>0.55717682057823559</v>
      </c>
      <c r="BZ147" s="30">
        <f t="shared" si="58"/>
        <v>0.62872959172793907</v>
      </c>
      <c r="CA147" s="30">
        <f t="shared" si="59"/>
        <v>4.5119636301771187E-3</v>
      </c>
      <c r="CB147" s="30">
        <f t="shared" si="60"/>
        <v>5.4054054054054057E-3</v>
      </c>
      <c r="CC147" s="92" t="s">
        <v>73</v>
      </c>
      <c r="CD147">
        <f t="shared" si="67"/>
        <v>186</v>
      </c>
      <c r="CE147" s="92" t="s">
        <v>73</v>
      </c>
      <c r="CF147" s="30">
        <f t="shared" si="57"/>
        <v>0.55717682057823559</v>
      </c>
      <c r="CG147" s="30">
        <f t="shared" si="61"/>
        <v>0.62872959172793907</v>
      </c>
      <c r="CH147" s="30">
        <f t="shared" si="62"/>
        <v>4.5119636301771187E-3</v>
      </c>
      <c r="CI147" s="30">
        <f t="shared" si="63"/>
        <v>5.4054054054054057E-3</v>
      </c>
      <c r="CJ147" s="107"/>
    </row>
    <row r="148" spans="1:88" s="32" customFormat="1">
      <c r="A148" s="92" t="s">
        <v>68</v>
      </c>
      <c r="B148" s="92"/>
      <c r="C148" s="92">
        <v>28</v>
      </c>
      <c r="D148" s="11">
        <v>1407</v>
      </c>
      <c r="E148" s="92">
        <v>123</v>
      </c>
      <c r="F148" s="112" t="s">
        <v>333</v>
      </c>
      <c r="G148" s="92">
        <v>1995</v>
      </c>
      <c r="H148" s="92" t="s">
        <v>334</v>
      </c>
      <c r="I148" s="92" t="s">
        <v>335</v>
      </c>
      <c r="J148" s="92">
        <v>2</v>
      </c>
      <c r="K148" s="92">
        <v>1995</v>
      </c>
      <c r="L148" s="92" t="s">
        <v>73</v>
      </c>
      <c r="M148" s="92">
        <v>62</v>
      </c>
      <c r="N148" s="188" t="s">
        <v>270</v>
      </c>
      <c r="O148" s="112" t="s">
        <v>242</v>
      </c>
      <c r="P148" s="92" t="s">
        <v>81</v>
      </c>
      <c r="Q148" s="92" t="s">
        <v>294</v>
      </c>
      <c r="R148" s="92" t="s">
        <v>244</v>
      </c>
      <c r="S148" s="92" t="s">
        <v>336</v>
      </c>
      <c r="T148" s="92">
        <v>1</v>
      </c>
      <c r="U148" s="135" t="s">
        <v>231</v>
      </c>
      <c r="V148" s="92">
        <v>0</v>
      </c>
      <c r="W148" s="92" t="s">
        <v>232</v>
      </c>
      <c r="X148" s="92" t="s">
        <v>232</v>
      </c>
      <c r="Y148" s="92" t="s">
        <v>73</v>
      </c>
      <c r="Z148" s="92">
        <v>0</v>
      </c>
      <c r="AA148" s="92">
        <v>0</v>
      </c>
      <c r="AB148" s="92">
        <v>0</v>
      </c>
      <c r="AC148" s="92">
        <v>0</v>
      </c>
      <c r="AD148" s="92">
        <v>0</v>
      </c>
      <c r="AE148" s="92">
        <v>0</v>
      </c>
      <c r="AF148" s="92">
        <v>1</v>
      </c>
      <c r="AG148" s="92">
        <v>0</v>
      </c>
      <c r="AH148" s="92" t="s">
        <v>73</v>
      </c>
      <c r="AI148" s="92">
        <v>0</v>
      </c>
      <c r="AJ148" s="92">
        <v>0</v>
      </c>
      <c r="AK148" s="92">
        <v>0</v>
      </c>
      <c r="AL148" s="92">
        <v>0</v>
      </c>
      <c r="AM148" s="92">
        <v>0</v>
      </c>
      <c r="AN148" s="92">
        <v>0</v>
      </c>
      <c r="AO148" s="92">
        <v>0</v>
      </c>
      <c r="AP148" s="92">
        <v>1</v>
      </c>
      <c r="AQ148" s="92">
        <v>0</v>
      </c>
      <c r="AR148" s="92" t="s">
        <v>73</v>
      </c>
      <c r="AS148" s="92" t="s">
        <v>234</v>
      </c>
      <c r="AT148" s="92" t="s">
        <v>296</v>
      </c>
      <c r="AU148" s="92" t="s">
        <v>236</v>
      </c>
      <c r="AV148" s="200">
        <v>6.6699999999999995E-2</v>
      </c>
      <c r="AW148" s="93" t="s">
        <v>86</v>
      </c>
      <c r="AX148" s="92">
        <f t="shared" si="64"/>
        <v>0.22233333333333333</v>
      </c>
      <c r="AY148" s="92" t="s">
        <v>73</v>
      </c>
      <c r="AZ148" s="92">
        <v>3</v>
      </c>
      <c r="BA148" s="92">
        <v>0.3</v>
      </c>
      <c r="BB148" s="92"/>
      <c r="BC148" s="105">
        <f t="shared" si="65"/>
        <v>0.51666882064571629</v>
      </c>
      <c r="BD148" s="92" t="s">
        <v>73</v>
      </c>
      <c r="BE148" s="92" t="s">
        <v>73</v>
      </c>
      <c r="BF148" s="92" t="s">
        <v>73</v>
      </c>
      <c r="BG148" s="92" t="s">
        <v>73</v>
      </c>
      <c r="BH148" s="92" t="s">
        <v>73</v>
      </c>
      <c r="BI148" s="92" t="s">
        <v>73</v>
      </c>
      <c r="BJ148" s="92">
        <v>400</v>
      </c>
      <c r="BK148" s="92">
        <v>400</v>
      </c>
      <c r="BL148" s="92" t="s">
        <v>73</v>
      </c>
      <c r="BM148" s="92" t="s">
        <v>73</v>
      </c>
      <c r="BN148" s="92" t="s">
        <v>73</v>
      </c>
      <c r="BO148" s="92" t="s">
        <v>73</v>
      </c>
      <c r="BP148" s="92" t="s">
        <v>237</v>
      </c>
      <c r="BQ148" s="92">
        <v>0</v>
      </c>
      <c r="BR148" s="92" t="s">
        <v>73</v>
      </c>
      <c r="BS148" s="92">
        <v>0</v>
      </c>
      <c r="BT148" s="92" t="s">
        <v>73</v>
      </c>
      <c r="BU148" s="92" t="s">
        <v>73</v>
      </c>
      <c r="BV148" s="92">
        <v>0</v>
      </c>
      <c r="BW148" s="92">
        <v>0</v>
      </c>
      <c r="BX148" s="92">
        <v>1</v>
      </c>
      <c r="BY148" s="30">
        <f t="shared" si="66"/>
        <v>1.4998312784712243E-2</v>
      </c>
      <c r="BZ148" s="133">
        <f t="shared" si="58"/>
        <v>1.49994375569454E-2</v>
      </c>
      <c r="CA148" s="30">
        <f t="shared" si="59"/>
        <v>2.5062655372997305E-3</v>
      </c>
      <c r="CB148" s="30">
        <f t="shared" si="60"/>
        <v>2.5188916876574307E-3</v>
      </c>
      <c r="CC148" s="92" t="s">
        <v>73</v>
      </c>
      <c r="CD148">
        <f t="shared" si="67"/>
        <v>398</v>
      </c>
      <c r="CE148" s="92" t="s">
        <v>73</v>
      </c>
      <c r="CF148" s="30">
        <f t="shared" si="57"/>
        <v>1.4998312784712243E-2</v>
      </c>
      <c r="CG148" s="133">
        <f t="shared" si="61"/>
        <v>1.49994375569454E-2</v>
      </c>
      <c r="CH148" s="30">
        <f t="shared" si="62"/>
        <v>2.5062655372997305E-3</v>
      </c>
      <c r="CI148" s="30">
        <f t="shared" si="63"/>
        <v>2.5188916876574307E-3</v>
      </c>
      <c r="CJ148"/>
    </row>
    <row r="149" spans="1:88">
      <c r="A149" s="11" t="s">
        <v>68</v>
      </c>
      <c r="B149" s="11"/>
      <c r="C149" s="11">
        <v>29</v>
      </c>
      <c r="D149" s="11">
        <v>1057</v>
      </c>
      <c r="E149" s="11">
        <v>109</v>
      </c>
      <c r="F149" t="s">
        <v>280</v>
      </c>
      <c r="G149" s="11">
        <v>2013</v>
      </c>
      <c r="H149" t="s">
        <v>281</v>
      </c>
      <c r="I149" t="s">
        <v>282</v>
      </c>
      <c r="J149" s="18">
        <v>2</v>
      </c>
      <c r="K149" t="s">
        <v>102</v>
      </c>
      <c r="L149" s="10" t="s">
        <v>73</v>
      </c>
      <c r="M149">
        <v>649</v>
      </c>
      <c r="N149" s="18" t="s">
        <v>155</v>
      </c>
      <c r="O149" t="s">
        <v>283</v>
      </c>
      <c r="P149" t="s">
        <v>284</v>
      </c>
      <c r="Q149" s="18" t="s">
        <v>228</v>
      </c>
      <c r="R149" t="s">
        <v>244</v>
      </c>
      <c r="S149" t="s">
        <v>245</v>
      </c>
      <c r="T149">
        <v>0</v>
      </c>
      <c r="U149" t="s">
        <v>189</v>
      </c>
      <c r="V149">
        <v>0</v>
      </c>
      <c r="W149" s="18" t="s">
        <v>232</v>
      </c>
      <c r="X149" s="18" t="s">
        <v>232</v>
      </c>
      <c r="Y149" s="18" t="s">
        <v>73</v>
      </c>
      <c r="Z149">
        <v>0</v>
      </c>
      <c r="AA149">
        <v>0</v>
      </c>
      <c r="AB149">
        <v>0</v>
      </c>
      <c r="AC149">
        <v>1</v>
      </c>
      <c r="AD149">
        <v>0</v>
      </c>
      <c r="AE149">
        <v>0</v>
      </c>
      <c r="AF149">
        <v>0</v>
      </c>
      <c r="AG149">
        <v>0</v>
      </c>
      <c r="AH149" t="s">
        <v>73</v>
      </c>
      <c r="AI149">
        <v>0</v>
      </c>
      <c r="AJ149">
        <v>0</v>
      </c>
      <c r="AK149">
        <v>0</v>
      </c>
      <c r="AL149">
        <v>0</v>
      </c>
      <c r="AM149">
        <v>0</v>
      </c>
      <c r="AN149">
        <v>0</v>
      </c>
      <c r="AO149">
        <v>1</v>
      </c>
      <c r="AP149">
        <v>0</v>
      </c>
      <c r="AQ149">
        <v>0</v>
      </c>
      <c r="AR149" t="s">
        <v>285</v>
      </c>
      <c r="AS149" s="92" t="s">
        <v>234</v>
      </c>
      <c r="AT149" s="92" t="s">
        <v>288</v>
      </c>
      <c r="AU149" t="s">
        <v>236</v>
      </c>
      <c r="AV149" s="134">
        <v>0.16</v>
      </c>
      <c r="AW149" s="7" t="s">
        <v>80</v>
      </c>
      <c r="AX149">
        <v>0.06</v>
      </c>
      <c r="AY149">
        <v>0.05</v>
      </c>
      <c r="AZ149">
        <v>1</v>
      </c>
      <c r="BA149">
        <f t="shared" ref="BA149:BA156" si="68">AV149/AX149</f>
        <v>2.666666666666667</v>
      </c>
      <c r="BC149" s="152">
        <v>0.16</v>
      </c>
      <c r="BD149" t="s">
        <v>73</v>
      </c>
      <c r="BE149" t="s">
        <v>73</v>
      </c>
      <c r="BF149" t="s">
        <v>73</v>
      </c>
      <c r="BG149" t="s">
        <v>73</v>
      </c>
      <c r="BH149">
        <v>408</v>
      </c>
      <c r="BI149" t="s">
        <v>73</v>
      </c>
      <c r="BJ149">
        <v>408</v>
      </c>
      <c r="BK149">
        <v>408</v>
      </c>
      <c r="BL149" t="s">
        <v>73</v>
      </c>
      <c r="BM149" t="s">
        <v>73</v>
      </c>
      <c r="BN149">
        <v>1000</v>
      </c>
      <c r="BO149" t="s">
        <v>289</v>
      </c>
      <c r="BP149" t="s">
        <v>73</v>
      </c>
      <c r="BQ149" t="s">
        <v>73</v>
      </c>
      <c r="BR149" t="s">
        <v>73</v>
      </c>
      <c r="BS149" t="s">
        <v>73</v>
      </c>
      <c r="BT149" t="s">
        <v>73</v>
      </c>
      <c r="BU149" t="s">
        <v>73</v>
      </c>
      <c r="BV149" s="18">
        <v>1</v>
      </c>
      <c r="BW149" s="18">
        <v>0</v>
      </c>
      <c r="BX149" s="18">
        <v>1</v>
      </c>
      <c r="BY149" s="30">
        <f t="shared" si="66"/>
        <v>0.13088399820073771</v>
      </c>
      <c r="BZ149" s="30">
        <f t="shared" si="58"/>
        <v>0.13163914998451526</v>
      </c>
      <c r="CA149" s="30">
        <f t="shared" si="59"/>
        <v>2.456264644741489E-3</v>
      </c>
      <c r="CB149" s="30">
        <f t="shared" si="60"/>
        <v>2.4691358024691358E-3</v>
      </c>
      <c r="CC149" s="92" t="s">
        <v>73</v>
      </c>
      <c r="CD149">
        <f t="shared" si="67"/>
        <v>406</v>
      </c>
      <c r="CE149" s="92" t="s">
        <v>73</v>
      </c>
      <c r="CF149" s="30">
        <f t="shared" si="57"/>
        <v>0.13088399820073771</v>
      </c>
      <c r="CG149" s="30">
        <f t="shared" si="61"/>
        <v>0.13163914998451526</v>
      </c>
      <c r="CH149" s="30">
        <f t="shared" si="62"/>
        <v>2.456264644741489E-3</v>
      </c>
      <c r="CI149" s="30">
        <f t="shared" si="63"/>
        <v>2.4691358024691358E-3</v>
      </c>
    </row>
    <row r="150" spans="1:88">
      <c r="A150" s="11" t="s">
        <v>68</v>
      </c>
      <c r="B150" s="11"/>
      <c r="C150" s="11">
        <v>29</v>
      </c>
      <c r="D150" s="11">
        <v>1054</v>
      </c>
      <c r="E150" s="11">
        <v>109</v>
      </c>
      <c r="F150" t="s">
        <v>280</v>
      </c>
      <c r="G150" s="11">
        <v>2013</v>
      </c>
      <c r="H150" t="s">
        <v>281</v>
      </c>
      <c r="I150" t="s">
        <v>282</v>
      </c>
      <c r="J150" s="18">
        <v>2</v>
      </c>
      <c r="K150" t="s">
        <v>102</v>
      </c>
      <c r="L150" s="10" t="s">
        <v>73</v>
      </c>
      <c r="M150">
        <v>649</v>
      </c>
      <c r="N150" s="18" t="s">
        <v>155</v>
      </c>
      <c r="O150" t="s">
        <v>283</v>
      </c>
      <c r="P150" t="s">
        <v>284</v>
      </c>
      <c r="Q150" s="18" t="s">
        <v>228</v>
      </c>
      <c r="R150" t="s">
        <v>244</v>
      </c>
      <c r="S150" t="s">
        <v>245</v>
      </c>
      <c r="T150">
        <v>0</v>
      </c>
      <c r="U150" t="s">
        <v>189</v>
      </c>
      <c r="V150">
        <v>0</v>
      </c>
      <c r="W150" s="18" t="s">
        <v>232</v>
      </c>
      <c r="X150" s="18" t="s">
        <v>232</v>
      </c>
      <c r="Y150" s="18" t="s">
        <v>73</v>
      </c>
      <c r="Z150">
        <v>0</v>
      </c>
      <c r="AA150">
        <v>0</v>
      </c>
      <c r="AB150">
        <v>0</v>
      </c>
      <c r="AC150">
        <v>1</v>
      </c>
      <c r="AD150">
        <v>0</v>
      </c>
      <c r="AE150">
        <v>0</v>
      </c>
      <c r="AF150">
        <v>0</v>
      </c>
      <c r="AG150">
        <v>0</v>
      </c>
      <c r="AH150" t="s">
        <v>73</v>
      </c>
      <c r="AI150">
        <v>0</v>
      </c>
      <c r="AJ150">
        <v>0</v>
      </c>
      <c r="AK150">
        <v>0</v>
      </c>
      <c r="AL150">
        <v>0</v>
      </c>
      <c r="AM150">
        <v>0</v>
      </c>
      <c r="AN150">
        <v>0</v>
      </c>
      <c r="AO150">
        <v>1</v>
      </c>
      <c r="AP150">
        <v>0</v>
      </c>
      <c r="AQ150">
        <v>0</v>
      </c>
      <c r="AR150" t="s">
        <v>285</v>
      </c>
      <c r="AS150" s="92" t="s">
        <v>234</v>
      </c>
      <c r="AT150" s="92" t="s">
        <v>288</v>
      </c>
      <c r="AU150" t="s">
        <v>236</v>
      </c>
      <c r="AV150" s="134">
        <v>0.19</v>
      </c>
      <c r="AW150" s="7" t="s">
        <v>80</v>
      </c>
      <c r="AX150">
        <v>0.06</v>
      </c>
      <c r="AY150">
        <v>0.05</v>
      </c>
      <c r="AZ150">
        <v>1</v>
      </c>
      <c r="BA150">
        <f t="shared" si="68"/>
        <v>3.166666666666667</v>
      </c>
      <c r="BC150" s="152">
        <v>0.19</v>
      </c>
      <c r="BD150" t="s">
        <v>73</v>
      </c>
      <c r="BE150" t="s">
        <v>73</v>
      </c>
      <c r="BF150" t="s">
        <v>73</v>
      </c>
      <c r="BG150" t="s">
        <v>73</v>
      </c>
      <c r="BH150">
        <v>408</v>
      </c>
      <c r="BI150" t="s">
        <v>73</v>
      </c>
      <c r="BJ150">
        <v>408</v>
      </c>
      <c r="BK150">
        <v>408</v>
      </c>
      <c r="BL150" t="s">
        <v>73</v>
      </c>
      <c r="BM150" t="s">
        <v>73</v>
      </c>
      <c r="BN150">
        <v>1000</v>
      </c>
      <c r="BO150" t="s">
        <v>289</v>
      </c>
      <c r="BP150" t="s">
        <v>73</v>
      </c>
      <c r="BQ150" t="s">
        <v>73</v>
      </c>
      <c r="BR150" t="s">
        <v>73</v>
      </c>
      <c r="BS150" t="s">
        <v>73</v>
      </c>
      <c r="BT150" t="s">
        <v>73</v>
      </c>
      <c r="BU150" t="s">
        <v>73</v>
      </c>
      <c r="BV150" s="18">
        <v>0</v>
      </c>
      <c r="BW150" s="18">
        <v>0</v>
      </c>
      <c r="BX150" s="18">
        <v>0</v>
      </c>
      <c r="BY150" s="30">
        <f t="shared" si="66"/>
        <v>0.15488158338148386</v>
      </c>
      <c r="BZ150" s="30">
        <f t="shared" si="58"/>
        <v>0.15613816847007514</v>
      </c>
      <c r="CA150" s="30">
        <f t="shared" si="59"/>
        <v>2.4555421575795317E-3</v>
      </c>
      <c r="CB150" s="30">
        <f t="shared" si="60"/>
        <v>2.4691358024691358E-3</v>
      </c>
      <c r="CC150" s="92" t="s">
        <v>73</v>
      </c>
      <c r="CD150">
        <f t="shared" si="67"/>
        <v>406</v>
      </c>
      <c r="CE150" s="92" t="s">
        <v>73</v>
      </c>
      <c r="CF150" s="30">
        <f t="shared" si="57"/>
        <v>0.15488158338148386</v>
      </c>
      <c r="CG150" s="30">
        <f t="shared" si="61"/>
        <v>0.15613816847007514</v>
      </c>
      <c r="CH150" s="30">
        <f t="shared" si="62"/>
        <v>2.4555421575795317E-3</v>
      </c>
      <c r="CI150" s="30">
        <f t="shared" si="63"/>
        <v>2.4691358024691358E-3</v>
      </c>
    </row>
    <row r="151" spans="1:88">
      <c r="A151" s="11" t="s">
        <v>68</v>
      </c>
      <c r="B151" s="11"/>
      <c r="C151" s="11">
        <v>29</v>
      </c>
      <c r="D151" s="11">
        <v>1056</v>
      </c>
      <c r="E151" s="11">
        <v>109</v>
      </c>
      <c r="F151" t="s">
        <v>280</v>
      </c>
      <c r="G151" s="11">
        <v>2013</v>
      </c>
      <c r="H151" t="s">
        <v>281</v>
      </c>
      <c r="I151" t="s">
        <v>282</v>
      </c>
      <c r="J151" s="18">
        <v>2</v>
      </c>
      <c r="K151" t="s">
        <v>102</v>
      </c>
      <c r="L151" s="10" t="s">
        <v>73</v>
      </c>
      <c r="M151">
        <v>649</v>
      </c>
      <c r="N151" s="18" t="s">
        <v>155</v>
      </c>
      <c r="O151" t="s">
        <v>283</v>
      </c>
      <c r="P151" t="s">
        <v>284</v>
      </c>
      <c r="Q151" s="18" t="s">
        <v>228</v>
      </c>
      <c r="R151" t="s">
        <v>244</v>
      </c>
      <c r="S151" t="s">
        <v>245</v>
      </c>
      <c r="T151">
        <v>0</v>
      </c>
      <c r="U151" t="s">
        <v>189</v>
      </c>
      <c r="V151">
        <v>0</v>
      </c>
      <c r="W151" s="18" t="s">
        <v>232</v>
      </c>
      <c r="X151" s="18" t="s">
        <v>232</v>
      </c>
      <c r="Y151" s="18" t="s">
        <v>73</v>
      </c>
      <c r="Z151">
        <v>0</v>
      </c>
      <c r="AA151">
        <v>0</v>
      </c>
      <c r="AB151">
        <v>0</v>
      </c>
      <c r="AC151">
        <v>1</v>
      </c>
      <c r="AD151">
        <v>0</v>
      </c>
      <c r="AE151">
        <v>0</v>
      </c>
      <c r="AF151">
        <v>0</v>
      </c>
      <c r="AG151">
        <v>0</v>
      </c>
      <c r="AH151" t="s">
        <v>73</v>
      </c>
      <c r="AI151">
        <v>0</v>
      </c>
      <c r="AJ151">
        <v>0</v>
      </c>
      <c r="AK151">
        <v>0</v>
      </c>
      <c r="AL151">
        <v>0</v>
      </c>
      <c r="AM151">
        <v>0</v>
      </c>
      <c r="AN151">
        <v>0</v>
      </c>
      <c r="AO151">
        <v>1</v>
      </c>
      <c r="AP151">
        <v>0</v>
      </c>
      <c r="AQ151">
        <v>0</v>
      </c>
      <c r="AR151" t="s">
        <v>285</v>
      </c>
      <c r="AS151" s="92" t="s">
        <v>234</v>
      </c>
      <c r="AT151" s="92" t="s">
        <v>286</v>
      </c>
      <c r="AU151" t="s">
        <v>236</v>
      </c>
      <c r="AV151" s="134">
        <v>0.25</v>
      </c>
      <c r="AW151" s="7" t="s">
        <v>86</v>
      </c>
      <c r="AX151">
        <v>0.13</v>
      </c>
      <c r="AY151">
        <v>0.1</v>
      </c>
      <c r="AZ151">
        <v>1</v>
      </c>
      <c r="BA151">
        <f t="shared" si="68"/>
        <v>1.9230769230769229</v>
      </c>
      <c r="BC151" s="152">
        <v>0.25</v>
      </c>
      <c r="BD151" t="s">
        <v>73</v>
      </c>
      <c r="BE151" t="s">
        <v>73</v>
      </c>
      <c r="BF151" t="s">
        <v>73</v>
      </c>
      <c r="BG151" t="s">
        <v>73</v>
      </c>
      <c r="BH151">
        <v>408</v>
      </c>
      <c r="BI151" t="s">
        <v>73</v>
      </c>
      <c r="BJ151">
        <v>408</v>
      </c>
      <c r="BK151">
        <v>408</v>
      </c>
      <c r="BL151" t="s">
        <v>73</v>
      </c>
      <c r="BM151" t="s">
        <v>73</v>
      </c>
      <c r="BN151">
        <v>300</v>
      </c>
      <c r="BO151" t="s">
        <v>287</v>
      </c>
      <c r="BP151" t="s">
        <v>73</v>
      </c>
      <c r="BQ151" t="s">
        <v>73</v>
      </c>
      <c r="BR151" t="s">
        <v>73</v>
      </c>
      <c r="BS151" t="s">
        <v>73</v>
      </c>
      <c r="BT151" t="s">
        <v>73</v>
      </c>
      <c r="BU151" t="s">
        <v>73</v>
      </c>
      <c r="BV151" s="18">
        <v>1</v>
      </c>
      <c r="BW151" s="18">
        <v>0</v>
      </c>
      <c r="BX151" s="18">
        <v>1</v>
      </c>
      <c r="BY151" s="30">
        <f t="shared" si="66"/>
        <v>9.4777916885651653E-2</v>
      </c>
      <c r="BZ151" s="30">
        <f t="shared" si="58"/>
        <v>9.5063248374700635E-2</v>
      </c>
      <c r="CA151" s="30">
        <f t="shared" si="59"/>
        <v>2.4568017991350942E-3</v>
      </c>
      <c r="CB151" s="30">
        <f t="shared" si="60"/>
        <v>2.4691358024691358E-3</v>
      </c>
      <c r="CC151" s="92" t="s">
        <v>73</v>
      </c>
      <c r="CD151">
        <f t="shared" si="67"/>
        <v>406</v>
      </c>
      <c r="CE151" s="92" t="s">
        <v>73</v>
      </c>
      <c r="CF151" s="30">
        <f t="shared" si="57"/>
        <v>9.4777916885651653E-2</v>
      </c>
      <c r="CG151" s="30">
        <f t="shared" si="61"/>
        <v>9.5063248374700635E-2</v>
      </c>
      <c r="CH151" s="30">
        <f t="shared" si="62"/>
        <v>2.4568017991350942E-3</v>
      </c>
      <c r="CI151" s="30">
        <f t="shared" si="63"/>
        <v>2.4691358024691358E-3</v>
      </c>
      <c r="CJ151" s="119"/>
    </row>
    <row r="152" spans="1:88">
      <c r="A152" s="11" t="s">
        <v>68</v>
      </c>
      <c r="B152" s="11"/>
      <c r="C152" s="11">
        <v>29</v>
      </c>
      <c r="D152" s="11">
        <v>1053</v>
      </c>
      <c r="E152" s="11">
        <v>109</v>
      </c>
      <c r="F152" t="s">
        <v>280</v>
      </c>
      <c r="G152" s="11">
        <v>2013</v>
      </c>
      <c r="H152" t="s">
        <v>281</v>
      </c>
      <c r="I152" t="s">
        <v>282</v>
      </c>
      <c r="J152" s="18">
        <v>2</v>
      </c>
      <c r="K152" t="s">
        <v>102</v>
      </c>
      <c r="L152" s="10" t="s">
        <v>73</v>
      </c>
      <c r="M152">
        <v>649</v>
      </c>
      <c r="N152" s="18" t="s">
        <v>155</v>
      </c>
      <c r="O152" t="s">
        <v>283</v>
      </c>
      <c r="P152" t="s">
        <v>284</v>
      </c>
      <c r="Q152" s="18" t="s">
        <v>228</v>
      </c>
      <c r="R152" t="s">
        <v>244</v>
      </c>
      <c r="S152" t="s">
        <v>245</v>
      </c>
      <c r="T152">
        <v>0</v>
      </c>
      <c r="U152" t="s">
        <v>189</v>
      </c>
      <c r="V152">
        <v>0</v>
      </c>
      <c r="W152" s="18" t="s">
        <v>232</v>
      </c>
      <c r="X152" s="18" t="s">
        <v>232</v>
      </c>
      <c r="Y152" s="18" t="s">
        <v>73</v>
      </c>
      <c r="Z152">
        <v>0</v>
      </c>
      <c r="AA152">
        <v>0</v>
      </c>
      <c r="AB152">
        <v>0</v>
      </c>
      <c r="AC152">
        <v>1</v>
      </c>
      <c r="AD152">
        <v>0</v>
      </c>
      <c r="AE152">
        <v>0</v>
      </c>
      <c r="AF152">
        <v>0</v>
      </c>
      <c r="AG152">
        <v>0</v>
      </c>
      <c r="AH152" t="s">
        <v>73</v>
      </c>
      <c r="AI152">
        <v>0</v>
      </c>
      <c r="AJ152">
        <v>0</v>
      </c>
      <c r="AK152">
        <v>0</v>
      </c>
      <c r="AL152">
        <v>0</v>
      </c>
      <c r="AM152">
        <v>0</v>
      </c>
      <c r="AN152">
        <v>0</v>
      </c>
      <c r="AO152">
        <v>1</v>
      </c>
      <c r="AP152">
        <v>0</v>
      </c>
      <c r="AQ152">
        <v>0</v>
      </c>
      <c r="AR152" t="s">
        <v>285</v>
      </c>
      <c r="AS152" s="92" t="s">
        <v>234</v>
      </c>
      <c r="AT152" s="92" t="s">
        <v>286</v>
      </c>
      <c r="AU152" t="s">
        <v>236</v>
      </c>
      <c r="AV152" s="134">
        <v>0.27</v>
      </c>
      <c r="AW152" s="7" t="s">
        <v>86</v>
      </c>
      <c r="AX152">
        <v>0.11</v>
      </c>
      <c r="AY152">
        <v>0.05</v>
      </c>
      <c r="AZ152">
        <v>1</v>
      </c>
      <c r="BA152">
        <f t="shared" si="68"/>
        <v>2.4545454545454546</v>
      </c>
      <c r="BC152" s="152">
        <v>0.27</v>
      </c>
      <c r="BD152" t="s">
        <v>73</v>
      </c>
      <c r="BE152" t="s">
        <v>73</v>
      </c>
      <c r="BF152" t="s">
        <v>73</v>
      </c>
      <c r="BG152" t="s">
        <v>73</v>
      </c>
      <c r="BH152">
        <v>408</v>
      </c>
      <c r="BI152" t="s">
        <v>73</v>
      </c>
      <c r="BJ152">
        <v>408</v>
      </c>
      <c r="BK152">
        <v>408</v>
      </c>
      <c r="BL152" t="s">
        <v>73</v>
      </c>
      <c r="BM152" t="s">
        <v>73</v>
      </c>
      <c r="BN152">
        <v>300</v>
      </c>
      <c r="BO152" t="s">
        <v>287</v>
      </c>
      <c r="BP152" t="s">
        <v>73</v>
      </c>
      <c r="BQ152" t="s">
        <v>73</v>
      </c>
      <c r="BR152" t="s">
        <v>73</v>
      </c>
      <c r="BS152" t="s">
        <v>73</v>
      </c>
      <c r="BT152" t="s">
        <v>73</v>
      </c>
      <c r="BU152" t="s">
        <v>73</v>
      </c>
      <c r="BV152" s="18">
        <v>0</v>
      </c>
      <c r="BW152" s="18">
        <v>0</v>
      </c>
      <c r="BX152" s="18">
        <v>0</v>
      </c>
      <c r="BY152" s="30">
        <f t="shared" si="66"/>
        <v>0.12063071568651137</v>
      </c>
      <c r="BZ152" s="30">
        <f t="shared" si="58"/>
        <v>0.12122100832937013</v>
      </c>
      <c r="CA152" s="30">
        <f t="shared" si="59"/>
        <v>2.4564719181916828E-3</v>
      </c>
      <c r="CB152" s="30">
        <f t="shared" si="60"/>
        <v>2.4691358024691358E-3</v>
      </c>
      <c r="CC152" s="92" t="s">
        <v>73</v>
      </c>
      <c r="CD152">
        <f t="shared" si="67"/>
        <v>406</v>
      </c>
      <c r="CE152" s="92" t="s">
        <v>73</v>
      </c>
      <c r="CF152" s="30">
        <f t="shared" si="57"/>
        <v>0.12063071568651137</v>
      </c>
      <c r="CG152" s="30">
        <f t="shared" si="61"/>
        <v>0.12122100832937013</v>
      </c>
      <c r="CH152" s="30">
        <f t="shared" si="62"/>
        <v>2.4564719181916828E-3</v>
      </c>
      <c r="CI152" s="30">
        <f t="shared" si="63"/>
        <v>2.4691358024691358E-3</v>
      </c>
    </row>
    <row r="153" spans="1:88">
      <c r="A153" s="11" t="s">
        <v>68</v>
      </c>
      <c r="B153" s="11"/>
      <c r="C153" s="11">
        <v>29</v>
      </c>
      <c r="D153" s="11">
        <v>1058</v>
      </c>
      <c r="E153" s="11">
        <v>109</v>
      </c>
      <c r="F153" t="s">
        <v>280</v>
      </c>
      <c r="G153" s="11">
        <v>2013</v>
      </c>
      <c r="H153" t="s">
        <v>281</v>
      </c>
      <c r="I153" t="s">
        <v>282</v>
      </c>
      <c r="J153" s="18">
        <v>2</v>
      </c>
      <c r="K153" t="s">
        <v>102</v>
      </c>
      <c r="L153" s="10" t="s">
        <v>73</v>
      </c>
      <c r="M153">
        <v>649</v>
      </c>
      <c r="N153" s="18" t="s">
        <v>155</v>
      </c>
      <c r="O153" t="s">
        <v>283</v>
      </c>
      <c r="P153" t="s">
        <v>284</v>
      </c>
      <c r="Q153" s="18" t="s">
        <v>228</v>
      </c>
      <c r="R153" t="s">
        <v>244</v>
      </c>
      <c r="S153" t="s">
        <v>245</v>
      </c>
      <c r="T153">
        <v>0</v>
      </c>
      <c r="U153" t="s">
        <v>189</v>
      </c>
      <c r="V153">
        <v>0</v>
      </c>
      <c r="W153" s="18" t="s">
        <v>232</v>
      </c>
      <c r="X153" s="18" t="s">
        <v>232</v>
      </c>
      <c r="Y153" s="18" t="s">
        <v>73</v>
      </c>
      <c r="Z153">
        <v>0</v>
      </c>
      <c r="AA153">
        <v>0</v>
      </c>
      <c r="AB153">
        <v>0</v>
      </c>
      <c r="AC153">
        <v>1</v>
      </c>
      <c r="AD153">
        <v>0</v>
      </c>
      <c r="AE153">
        <v>0</v>
      </c>
      <c r="AF153">
        <v>0</v>
      </c>
      <c r="AG153">
        <v>0</v>
      </c>
      <c r="AH153" t="s">
        <v>73</v>
      </c>
      <c r="AI153">
        <v>0</v>
      </c>
      <c r="AJ153">
        <v>0</v>
      </c>
      <c r="AK153">
        <v>0</v>
      </c>
      <c r="AL153">
        <v>0</v>
      </c>
      <c r="AM153">
        <v>0</v>
      </c>
      <c r="AN153">
        <v>0</v>
      </c>
      <c r="AO153">
        <v>1</v>
      </c>
      <c r="AP153">
        <v>0</v>
      </c>
      <c r="AQ153">
        <v>0</v>
      </c>
      <c r="AR153" t="s">
        <v>290</v>
      </c>
      <c r="AS153" s="92" t="s">
        <v>234</v>
      </c>
      <c r="AT153" s="92" t="s">
        <v>288</v>
      </c>
      <c r="AU153" t="s">
        <v>236</v>
      </c>
      <c r="AV153" s="134">
        <v>0.41</v>
      </c>
      <c r="AW153" s="7" t="s">
        <v>80</v>
      </c>
      <c r="AX153">
        <v>0.08</v>
      </c>
      <c r="AY153">
        <v>0.05</v>
      </c>
      <c r="AZ153">
        <v>1</v>
      </c>
      <c r="BA153">
        <f t="shared" si="68"/>
        <v>5.125</v>
      </c>
      <c r="BC153" s="152">
        <v>0.41</v>
      </c>
      <c r="BD153" t="s">
        <v>73</v>
      </c>
      <c r="BE153" t="s">
        <v>73</v>
      </c>
      <c r="BF153" t="s">
        <v>73</v>
      </c>
      <c r="BG153" t="s">
        <v>73</v>
      </c>
      <c r="BH153">
        <v>504</v>
      </c>
      <c r="BI153" t="s">
        <v>73</v>
      </c>
      <c r="BJ153">
        <v>504</v>
      </c>
      <c r="BK153">
        <v>504</v>
      </c>
      <c r="BL153" t="s">
        <v>73</v>
      </c>
      <c r="BM153" t="s">
        <v>73</v>
      </c>
      <c r="BN153">
        <v>1000</v>
      </c>
      <c r="BO153" t="s">
        <v>289</v>
      </c>
      <c r="BP153" t="s">
        <v>73</v>
      </c>
      <c r="BQ153" t="s">
        <v>73</v>
      </c>
      <c r="BR153" t="s">
        <v>73</v>
      </c>
      <c r="BS153" t="s">
        <v>73</v>
      </c>
      <c r="BT153" t="s">
        <v>73</v>
      </c>
      <c r="BU153" t="s">
        <v>73</v>
      </c>
      <c r="BV153" s="18">
        <v>1</v>
      </c>
      <c r="BW153" s="18">
        <v>0</v>
      </c>
      <c r="BX153" s="18">
        <v>1</v>
      </c>
      <c r="BY153" s="30">
        <f t="shared" si="66"/>
        <v>0.22256001017320373</v>
      </c>
      <c r="BZ153" s="30">
        <f t="shared" si="58"/>
        <v>0.22634792532420528</v>
      </c>
      <c r="CA153" s="30">
        <f t="shared" si="59"/>
        <v>1.9828531619001622E-3</v>
      </c>
      <c r="CB153" s="30">
        <f t="shared" si="60"/>
        <v>1.996007984031936E-3</v>
      </c>
      <c r="CC153" s="92" t="s">
        <v>73</v>
      </c>
      <c r="CD153">
        <f t="shared" si="67"/>
        <v>502</v>
      </c>
      <c r="CE153" s="92" t="s">
        <v>73</v>
      </c>
      <c r="CF153" s="30">
        <f t="shared" si="57"/>
        <v>0.22256001017320373</v>
      </c>
      <c r="CG153" s="30">
        <f t="shared" si="61"/>
        <v>0.22634792532420528</v>
      </c>
      <c r="CH153" s="30">
        <f t="shared" si="62"/>
        <v>1.9828531619001622E-3</v>
      </c>
      <c r="CI153" s="30">
        <f t="shared" si="63"/>
        <v>1.996007984031936E-3</v>
      </c>
    </row>
    <row r="154" spans="1:88">
      <c r="A154" s="11" t="s">
        <v>68</v>
      </c>
      <c r="B154" s="11"/>
      <c r="C154" s="11">
        <v>29</v>
      </c>
      <c r="D154" s="11">
        <v>1055</v>
      </c>
      <c r="E154" s="11">
        <v>109</v>
      </c>
      <c r="F154" t="s">
        <v>280</v>
      </c>
      <c r="G154" s="11">
        <v>2013</v>
      </c>
      <c r="H154" t="s">
        <v>281</v>
      </c>
      <c r="I154" t="s">
        <v>282</v>
      </c>
      <c r="J154" s="18">
        <v>2</v>
      </c>
      <c r="K154" t="s">
        <v>102</v>
      </c>
      <c r="L154" s="10" t="s">
        <v>73</v>
      </c>
      <c r="M154">
        <v>649</v>
      </c>
      <c r="N154" s="18" t="s">
        <v>155</v>
      </c>
      <c r="O154" t="s">
        <v>283</v>
      </c>
      <c r="P154" t="s">
        <v>284</v>
      </c>
      <c r="Q154" s="18" t="s">
        <v>228</v>
      </c>
      <c r="R154" t="s">
        <v>244</v>
      </c>
      <c r="S154" t="s">
        <v>245</v>
      </c>
      <c r="T154">
        <v>0</v>
      </c>
      <c r="U154" t="s">
        <v>189</v>
      </c>
      <c r="V154">
        <v>0</v>
      </c>
      <c r="W154" s="18" t="s">
        <v>232</v>
      </c>
      <c r="X154" s="18" t="s">
        <v>232</v>
      </c>
      <c r="Y154" s="18" t="s">
        <v>73</v>
      </c>
      <c r="Z154">
        <v>0</v>
      </c>
      <c r="AA154">
        <v>0</v>
      </c>
      <c r="AB154">
        <v>0</v>
      </c>
      <c r="AC154">
        <v>1</v>
      </c>
      <c r="AD154">
        <v>0</v>
      </c>
      <c r="AE154">
        <v>0</v>
      </c>
      <c r="AF154">
        <v>0</v>
      </c>
      <c r="AG154">
        <v>0</v>
      </c>
      <c r="AH154" t="s">
        <v>73</v>
      </c>
      <c r="AI154">
        <v>0</v>
      </c>
      <c r="AJ154">
        <v>0</v>
      </c>
      <c r="AK154">
        <v>0</v>
      </c>
      <c r="AL154">
        <v>0</v>
      </c>
      <c r="AM154">
        <v>0</v>
      </c>
      <c r="AN154">
        <v>0</v>
      </c>
      <c r="AO154">
        <v>1</v>
      </c>
      <c r="AP154">
        <v>0</v>
      </c>
      <c r="AQ154">
        <v>0</v>
      </c>
      <c r="AR154" t="s">
        <v>290</v>
      </c>
      <c r="AS154" s="92" t="s">
        <v>234</v>
      </c>
      <c r="AT154" s="92" t="s">
        <v>288</v>
      </c>
      <c r="AU154" t="s">
        <v>236</v>
      </c>
      <c r="AV154" s="134">
        <v>0.43</v>
      </c>
      <c r="AW154" s="7" t="s">
        <v>80</v>
      </c>
      <c r="AX154">
        <v>0.06</v>
      </c>
      <c r="AY154">
        <v>0.05</v>
      </c>
      <c r="AZ154">
        <v>1</v>
      </c>
      <c r="BA154">
        <f t="shared" si="68"/>
        <v>7.166666666666667</v>
      </c>
      <c r="BC154" s="152">
        <v>0.43</v>
      </c>
      <c r="BD154" t="s">
        <v>73</v>
      </c>
      <c r="BE154" t="s">
        <v>73</v>
      </c>
      <c r="BF154" t="s">
        <v>73</v>
      </c>
      <c r="BG154" t="s">
        <v>73</v>
      </c>
      <c r="BH154">
        <v>504</v>
      </c>
      <c r="BI154" t="s">
        <v>73</v>
      </c>
      <c r="BJ154">
        <v>504</v>
      </c>
      <c r="BK154">
        <v>504</v>
      </c>
      <c r="BL154" t="s">
        <v>73</v>
      </c>
      <c r="BM154" t="s">
        <v>73</v>
      </c>
      <c r="BN154">
        <v>1000</v>
      </c>
      <c r="BO154" t="s">
        <v>289</v>
      </c>
      <c r="BP154" t="s">
        <v>73</v>
      </c>
      <c r="BQ154" t="s">
        <v>73</v>
      </c>
      <c r="BR154" t="s">
        <v>73</v>
      </c>
      <c r="BS154" t="s">
        <v>73</v>
      </c>
      <c r="BT154" t="s">
        <v>73</v>
      </c>
      <c r="BU154" t="s">
        <v>73</v>
      </c>
      <c r="BV154" s="18">
        <v>0</v>
      </c>
      <c r="BW154" s="18">
        <v>0</v>
      </c>
      <c r="BX154" s="18">
        <v>0</v>
      </c>
      <c r="BY154" s="30">
        <f t="shared" si="66"/>
        <v>0.30410913966714348</v>
      </c>
      <c r="BZ154" s="30">
        <f t="shared" si="58"/>
        <v>0.31404129843807849</v>
      </c>
      <c r="CA154" s="30">
        <f t="shared" si="59"/>
        <v>1.96873501693395E-3</v>
      </c>
      <c r="CB154" s="30">
        <f t="shared" si="60"/>
        <v>1.996007984031936E-3</v>
      </c>
      <c r="CC154" s="92" t="s">
        <v>73</v>
      </c>
      <c r="CD154">
        <f t="shared" si="67"/>
        <v>502</v>
      </c>
      <c r="CE154" s="92" t="s">
        <v>73</v>
      </c>
      <c r="CF154" s="30">
        <f t="shared" si="57"/>
        <v>0.30410913966714348</v>
      </c>
      <c r="CG154" s="30">
        <f t="shared" si="61"/>
        <v>0.31404129843807849</v>
      </c>
      <c r="CH154" s="30">
        <f t="shared" si="62"/>
        <v>1.96873501693395E-3</v>
      </c>
      <c r="CI154" s="30">
        <f t="shared" si="63"/>
        <v>1.996007984031936E-3</v>
      </c>
    </row>
    <row r="155" spans="1:88">
      <c r="A155" s="108" t="s">
        <v>68</v>
      </c>
      <c r="B155" s="108"/>
      <c r="C155" s="108">
        <v>30</v>
      </c>
      <c r="D155" s="108">
        <v>1147</v>
      </c>
      <c r="E155" s="135">
        <v>132</v>
      </c>
      <c r="F155" t="s">
        <v>357</v>
      </c>
      <c r="G155" s="108">
        <v>2020</v>
      </c>
      <c r="H155" t="s">
        <v>358</v>
      </c>
      <c r="I155" t="s">
        <v>359</v>
      </c>
      <c r="J155" s="135">
        <v>2</v>
      </c>
      <c r="K155">
        <v>2017</v>
      </c>
      <c r="L155" s="108" t="s">
        <v>73</v>
      </c>
      <c r="M155" s="135">
        <v>5</v>
      </c>
      <c r="N155" s="11" t="s">
        <v>261</v>
      </c>
      <c r="O155" t="s">
        <v>242</v>
      </c>
      <c r="P155" t="s">
        <v>275</v>
      </c>
      <c r="Q155" t="s">
        <v>294</v>
      </c>
      <c r="R155" t="s">
        <v>311</v>
      </c>
      <c r="S155" t="s">
        <v>336</v>
      </c>
      <c r="T155">
        <v>1</v>
      </c>
      <c r="U155" t="s">
        <v>341</v>
      </c>
      <c r="V155">
        <v>1</v>
      </c>
      <c r="W155" s="108" t="s">
        <v>232</v>
      </c>
      <c r="X155" s="108" t="s">
        <v>232</v>
      </c>
      <c r="Y155" s="108" t="s">
        <v>73</v>
      </c>
      <c r="Z155" s="135">
        <v>0</v>
      </c>
      <c r="AA155" s="135">
        <v>0</v>
      </c>
      <c r="AB155" s="135">
        <v>1</v>
      </c>
      <c r="AC155" s="135">
        <v>0</v>
      </c>
      <c r="AD155" s="135">
        <v>0</v>
      </c>
      <c r="AE155" s="135">
        <v>0</v>
      </c>
      <c r="AF155" s="135">
        <v>0</v>
      </c>
      <c r="AG155" s="135">
        <v>0</v>
      </c>
      <c r="AH155" t="s">
        <v>360</v>
      </c>
      <c r="AI155" s="135">
        <v>0</v>
      </c>
      <c r="AJ155" s="135">
        <v>0</v>
      </c>
      <c r="AK155" s="135">
        <v>0</v>
      </c>
      <c r="AL155" s="135">
        <v>1</v>
      </c>
      <c r="AM155" s="135">
        <v>0</v>
      </c>
      <c r="AN155" s="135">
        <v>0</v>
      </c>
      <c r="AO155" s="135">
        <v>0</v>
      </c>
      <c r="AP155" s="135">
        <v>0</v>
      </c>
      <c r="AQ155" s="135">
        <v>0</v>
      </c>
      <c r="AR155" t="s">
        <v>73</v>
      </c>
      <c r="AS155" t="s">
        <v>234</v>
      </c>
      <c r="AT155" t="s">
        <v>361</v>
      </c>
      <c r="AU155" t="s">
        <v>236</v>
      </c>
      <c r="AV155" s="134">
        <v>0.34670000000000001</v>
      </c>
      <c r="AW155" s="7" t="s">
        <v>80</v>
      </c>
      <c r="AX155">
        <v>4.1000000000000002E-2</v>
      </c>
      <c r="AY155">
        <v>0.01</v>
      </c>
      <c r="AZ155">
        <v>1</v>
      </c>
      <c r="BA155">
        <f t="shared" si="68"/>
        <v>8.4560975609756088</v>
      </c>
      <c r="BB155" t="s">
        <v>73</v>
      </c>
      <c r="BC155" s="105">
        <f>EXP(AV155)/(1+EXP(AV155))</f>
        <v>0.58581710943557763</v>
      </c>
      <c r="BD155" t="s">
        <v>73</v>
      </c>
      <c r="BE155" t="s">
        <v>73</v>
      </c>
      <c r="BF155" t="s">
        <v>73</v>
      </c>
      <c r="BG155" t="s">
        <v>73</v>
      </c>
      <c r="BH155" t="s">
        <v>73</v>
      </c>
      <c r="BI155" t="s">
        <v>73</v>
      </c>
      <c r="BJ155" s="135">
        <v>325</v>
      </c>
      <c r="BK155" s="135">
        <v>5200</v>
      </c>
      <c r="BL155" s="135" t="s">
        <v>73</v>
      </c>
      <c r="BM155" s="135" t="s">
        <v>73</v>
      </c>
      <c r="BN155" s="135" t="s">
        <v>73</v>
      </c>
      <c r="BO155" s="135" t="s">
        <v>73</v>
      </c>
      <c r="BP155" s="135" t="s">
        <v>73</v>
      </c>
      <c r="BQ155" s="135" t="s">
        <v>73</v>
      </c>
      <c r="BR155" s="135" t="s">
        <v>73</v>
      </c>
      <c r="BS155" s="135" t="s">
        <v>73</v>
      </c>
      <c r="BT155" s="135" t="s">
        <v>73</v>
      </c>
      <c r="BU155" s="135" t="s">
        <v>73</v>
      </c>
      <c r="BV155" s="135">
        <v>0</v>
      </c>
      <c r="BW155" s="135">
        <v>1</v>
      </c>
      <c r="BX155" s="135">
        <v>1</v>
      </c>
      <c r="BY155" s="30">
        <f t="shared" si="66"/>
        <v>0.42466388635349994</v>
      </c>
      <c r="BZ155" s="30">
        <f t="shared" si="58"/>
        <v>0.45336839008312346</v>
      </c>
      <c r="CA155" s="30">
        <f t="shared" si="59"/>
        <v>2.9560250538296882E-3</v>
      </c>
      <c r="CB155" s="30">
        <f t="shared" si="60"/>
        <v>3.105590062111801E-3</v>
      </c>
      <c r="CC155" s="92" t="s">
        <v>73</v>
      </c>
      <c r="CD155">
        <f t="shared" si="67"/>
        <v>323</v>
      </c>
      <c r="CE155" s="92" t="s">
        <v>73</v>
      </c>
      <c r="CF155" s="30">
        <f t="shared" si="57"/>
        <v>0.11646693577511889</v>
      </c>
      <c r="CG155" s="30">
        <f t="shared" si="61"/>
        <v>0.1169978707358736</v>
      </c>
      <c r="CH155" s="30">
        <f t="shared" si="62"/>
        <v>1.9230864106937028E-4</v>
      </c>
      <c r="CI155" s="30">
        <f t="shared" si="63"/>
        <v>1.9241870309794111E-4</v>
      </c>
    </row>
    <row r="156" spans="1:88" ht="17.100000000000001" customHeight="1">
      <c r="A156" s="108" t="s">
        <v>68</v>
      </c>
      <c r="B156" s="108"/>
      <c r="C156" s="108">
        <v>30</v>
      </c>
      <c r="D156" s="108">
        <v>1148</v>
      </c>
      <c r="E156" s="135">
        <v>132</v>
      </c>
      <c r="F156" t="s">
        <v>357</v>
      </c>
      <c r="G156" s="108">
        <v>2020</v>
      </c>
      <c r="H156" t="s">
        <v>358</v>
      </c>
      <c r="I156" t="s">
        <v>359</v>
      </c>
      <c r="J156" s="135">
        <v>2</v>
      </c>
      <c r="K156">
        <v>2017</v>
      </c>
      <c r="L156" s="108" t="s">
        <v>73</v>
      </c>
      <c r="M156" s="135">
        <v>5</v>
      </c>
      <c r="N156" s="11" t="s">
        <v>261</v>
      </c>
      <c r="O156" t="s">
        <v>242</v>
      </c>
      <c r="P156" t="s">
        <v>275</v>
      </c>
      <c r="Q156" t="s">
        <v>294</v>
      </c>
      <c r="R156" t="s">
        <v>311</v>
      </c>
      <c r="S156" t="s">
        <v>336</v>
      </c>
      <c r="T156">
        <v>1</v>
      </c>
      <c r="U156" t="s">
        <v>341</v>
      </c>
      <c r="V156">
        <v>1</v>
      </c>
      <c r="W156" s="108" t="s">
        <v>232</v>
      </c>
      <c r="X156" s="108" t="s">
        <v>232</v>
      </c>
      <c r="Y156" s="108" t="s">
        <v>73</v>
      </c>
      <c r="Z156" s="135">
        <v>0</v>
      </c>
      <c r="AA156" s="135">
        <v>0</v>
      </c>
      <c r="AB156" s="135">
        <v>1</v>
      </c>
      <c r="AC156" s="135">
        <v>0</v>
      </c>
      <c r="AD156" s="135">
        <v>0</v>
      </c>
      <c r="AE156" s="135">
        <v>0</v>
      </c>
      <c r="AF156" s="135">
        <v>0</v>
      </c>
      <c r="AG156" s="135">
        <v>0</v>
      </c>
      <c r="AH156" t="s">
        <v>360</v>
      </c>
      <c r="AI156" s="135">
        <v>1</v>
      </c>
      <c r="AJ156" s="135">
        <v>0</v>
      </c>
      <c r="AK156" s="135">
        <v>0</v>
      </c>
      <c r="AL156" s="135">
        <v>0</v>
      </c>
      <c r="AM156" s="135">
        <v>0</v>
      </c>
      <c r="AN156" s="135">
        <v>0</v>
      </c>
      <c r="AO156" s="135">
        <v>0</v>
      </c>
      <c r="AP156" s="135">
        <v>0</v>
      </c>
      <c r="AQ156" s="135">
        <v>0</v>
      </c>
      <c r="AR156" t="s">
        <v>73</v>
      </c>
      <c r="AS156" t="s">
        <v>234</v>
      </c>
      <c r="AT156" t="s">
        <v>361</v>
      </c>
      <c r="AU156" t="s">
        <v>236</v>
      </c>
      <c r="AV156" s="134">
        <v>0.35460000000000003</v>
      </c>
      <c r="AW156" s="7" t="s">
        <v>80</v>
      </c>
      <c r="AX156">
        <v>4.02E-2</v>
      </c>
      <c r="AY156">
        <v>0.01</v>
      </c>
      <c r="AZ156">
        <v>1</v>
      </c>
      <c r="BA156">
        <f t="shared" si="68"/>
        <v>8.8208955223880601</v>
      </c>
      <c r="BB156" t="s">
        <v>73</v>
      </c>
      <c r="BC156" s="105">
        <f>EXP(AV156)/(1+EXP(AV156))</f>
        <v>0.58773262069003773</v>
      </c>
      <c r="BD156" t="s">
        <v>73</v>
      </c>
      <c r="BE156" t="s">
        <v>73</v>
      </c>
      <c r="BF156" t="s">
        <v>73</v>
      </c>
      <c r="BG156" t="s">
        <v>73</v>
      </c>
      <c r="BH156" t="s">
        <v>73</v>
      </c>
      <c r="BI156" t="s">
        <v>73</v>
      </c>
      <c r="BJ156" s="135">
        <v>325</v>
      </c>
      <c r="BK156" s="135">
        <v>5200</v>
      </c>
      <c r="BL156" s="135" t="s">
        <v>73</v>
      </c>
      <c r="BM156" s="135" t="s">
        <v>73</v>
      </c>
      <c r="BN156" s="135" t="s">
        <v>73</v>
      </c>
      <c r="BO156" s="135" t="s">
        <v>73</v>
      </c>
      <c r="BP156" s="135" t="s">
        <v>73</v>
      </c>
      <c r="BQ156" s="135" t="s">
        <v>73</v>
      </c>
      <c r="BR156" s="135" t="s">
        <v>73</v>
      </c>
      <c r="BS156" s="135" t="s">
        <v>73</v>
      </c>
      <c r="BT156" s="135" t="s">
        <v>73</v>
      </c>
      <c r="BU156" s="135" t="s">
        <v>73</v>
      </c>
      <c r="BV156" s="135">
        <v>0</v>
      </c>
      <c r="BW156" s="135">
        <v>1</v>
      </c>
      <c r="BX156" s="135">
        <v>1</v>
      </c>
      <c r="BY156" s="30">
        <f t="shared" si="66"/>
        <v>0.43950470421982007</v>
      </c>
      <c r="BZ156" s="30">
        <f t="shared" si="58"/>
        <v>0.47161676421139942</v>
      </c>
      <c r="CA156" s="30">
        <f t="shared" si="59"/>
        <v>2.9337292848981796E-3</v>
      </c>
      <c r="CB156" s="30">
        <f t="shared" si="60"/>
        <v>3.105590062111801E-3</v>
      </c>
      <c r="CC156" s="92" t="s">
        <v>73</v>
      </c>
      <c r="CD156">
        <f t="shared" si="67"/>
        <v>323</v>
      </c>
      <c r="CE156" s="92" t="s">
        <v>73</v>
      </c>
      <c r="CF156" s="30">
        <f t="shared" si="57"/>
        <v>0.12141878326375445</v>
      </c>
      <c r="CG156" s="30">
        <f t="shared" si="61"/>
        <v>0.12202079034970886</v>
      </c>
      <c r="CH156" s="30">
        <f t="shared" si="62"/>
        <v>1.9230204183437875E-4</v>
      </c>
      <c r="CI156" s="30">
        <f t="shared" si="63"/>
        <v>1.9241870309794111E-4</v>
      </c>
      <c r="CJ156" s="32"/>
    </row>
  </sheetData>
  <autoFilter ref="AS1:AS148"/>
  <sortState ref="A2:CJ156">
    <sortCondition ref="F1:F156"/>
  </sortState>
  <dataConsolidate/>
  <phoneticPr fontId="27" type="noConversion"/>
  <conditionalFormatting sqref="AV1:AV1048576">
    <cfRule type="cellIs" dxfId="0" priority="1" operator="between">
      <formula>1</formula>
      <formula>5</formula>
    </cfRule>
  </conditionalFormatting>
  <dataValidations xWindow="603" yWindow="1085" count="96">
    <dataValidation type="whole" allowBlank="1" showInputMessage="1" showErrorMessage="1" sqref="BS21:BS29 BQ21:BQ29 V1:V122 T1:T122 T157:T1048576 AI157:AQ1048576 AI1:AJ136 V132:V136 T132:T136 AK2:AK136 AL1:AQ136 V157:V104857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J1:J136 J157:J1048576">
      <formula1>0</formula1>
      <formula2>2</formula2>
    </dataValidation>
    <dataValidation allowBlank="1" showInputMessage="1" showErrorMessage="1" errorTitle="int" error="Choose 1 or 0" promptTitle="Intervention" prompt="Yes - 1_x000a_No - 0" sqref="Y30 AE1:AG1 AG61 AE66:AF86 AE91:AF117 AG66:AG117 AE2:AF61 AH1:AH136 AE118:AG136 AE157:AH1048576"/>
    <dataValidation type="whole" allowBlank="1" showInputMessage="1" showErrorMessage="1" errorTitle="int" error="Choose 1 or 0" promptTitle="Intervention" prompt="Yes - 1_x000a_No - 0" sqref="Z1:AD1 AA62:AG65 AA66:AD86 AA87:AF90 AG2:AG60 AA2:AD61 Z2:Z136 AA91:AD136 Z157:AD1048576">
      <formula1>0</formula1>
      <formula2>1</formula2>
    </dataValidation>
    <dataValidation errorStyle="warning" allowBlank="1" showInputMessage="1" showErrorMessage="1" sqref="BO30:BO35 BO61 BO66 BO80:BO86 BO115:BO117 BO122 BO132 BO1:BO16 BO157:BO1048576"/>
    <dataValidation type="whole" allowBlank="1" showInputMessage="1" showErrorMessage="1" prompt="1- lower bound_x000a_2 - upper bound_x000a_3- actual" sqref="AZ38">
      <formula1>0</formula1>
      <formula2>3</formula2>
    </dataValidation>
    <dataValidation type="whole" allowBlank="1" showInputMessage="1" showErrorMessage="1" sqref="AZ36:AZ37">
      <formula1>1</formula1>
      <formula2>3</formula2>
    </dataValidation>
    <dataValidation type="list" allowBlank="1" showInputMessage="1" showErrorMessage="1" sqref="V133:V136">
      <formula1>$C$2:$C$4</formula1>
    </dataValidation>
    <dataValidation type="list" allowBlank="1" showInputMessage="1" showErrorMessage="1" sqref="V157:V1048576">
      <formula1>$C$2:$C$4</formula1>
    </dataValidation>
    <dataValidation type="list" allowBlank="1" showInputMessage="1" showErrorMessage="1" sqref="BV133:BV135">
      <formula1>$B$2:$B$4</formula1>
    </dataValidation>
    <dataValidation type="list" allowBlank="1" showInputMessage="1" showErrorMessage="1" sqref="BW133:BX136">
      <formula1>$B$2:$B$4</formula1>
    </dataValidation>
    <dataValidation type="list" allowBlank="1" showInputMessage="1" showErrorMessage="1" sqref="BV157:BX1048576">
      <formula1>$B$2:$B$4</formula1>
    </dataValidation>
    <dataValidation type="list" allowBlank="1" showInputMessage="1" showErrorMessage="1" sqref="BP61">
      <formula1>$D$2:$D$4</formula1>
    </dataValidation>
    <dataValidation type="list" allowBlank="1" showInputMessage="1" showErrorMessage="1" sqref="BP66">
      <formula1>$D$2:$D$4</formula1>
    </dataValidation>
    <dataValidation type="list" allowBlank="1" showInputMessage="1" showErrorMessage="1" sqref="BP80:BP86">
      <formula1>$D$2:$D$4</formula1>
    </dataValidation>
    <dataValidation type="list" allowBlank="1" showInputMessage="1" showErrorMessage="1" sqref="BP115:BP117">
      <formula1>$D$2:$D$4</formula1>
    </dataValidation>
    <dataValidation type="list" allowBlank="1" showInputMessage="1" showErrorMessage="1" sqref="BP1:BP16">
      <formula1>$D$2:$D$4</formula1>
    </dataValidation>
    <dataValidation type="list" allowBlank="1" showInputMessage="1" showErrorMessage="1" sqref="BP157:BP1048576">
      <formula1>$D$2:$D$4</formula1>
    </dataValidation>
    <dataValidation type="list" allowBlank="1" showInputMessage="1" showErrorMessage="1" sqref="AW3:AW7">
      <formula1>$J$2:$J$3</formula1>
    </dataValidation>
    <dataValidation type="list" allowBlank="1" showInputMessage="1" showErrorMessage="1" sqref="AW53:AW117">
      <formula1>$J$2:$J$3</formula1>
    </dataValidation>
    <dataValidation type="list" allowBlank="1" showInputMessage="1" showErrorMessage="1" sqref="AW136">
      <formula1>$J$2:$J$3</formula1>
    </dataValidation>
    <dataValidation type="list" allowBlank="1" showInputMessage="1" showErrorMessage="1" sqref="AW157:AW1048576">
      <formula1>$J$2:$J$3</formula1>
    </dataValidation>
    <dataValidation type="list" allowBlank="1" showInputMessage="1" showErrorMessage="1" sqref="V1:V117">
      <formula1>$M$2:$M$9</formula1>
    </dataValidation>
    <dataValidation type="list" allowBlank="1" showInputMessage="1" showErrorMessage="1" sqref="V157:V1048576">
      <formula1>$M$2:$M$9</formula1>
    </dataValidation>
    <dataValidation type="list" allowBlank="1" showInputMessage="1" showErrorMessage="1" sqref="T133:T136">
      <formula1>$M$2:$M$9</formula1>
    </dataValidation>
    <dataValidation type="list" allowBlank="1" showInputMessage="1" showErrorMessage="1" sqref="V133:V136">
      <formula1>$M$2:$M$9</formula1>
    </dataValidation>
    <dataValidation type="list" allowBlank="1" showInputMessage="1" showErrorMessage="1" sqref="T157:T1048576">
      <formula1>$M$2:$M$9</formula1>
    </dataValidation>
    <dataValidation type="list" allowBlank="1" showInputMessage="1" showErrorMessage="1" sqref="T1:T117">
      <formula1>$L$2:$L$3</formula1>
    </dataValidation>
    <dataValidation type="list" allowBlank="1" showInputMessage="1" showErrorMessage="1" sqref="V1:X117">
      <formula1>$L$2:$L$3</formula1>
    </dataValidation>
    <dataValidation type="list" allowBlank="1" showInputMessage="1" showErrorMessage="1" sqref="V157:X1048576">
      <formula1>$L$2:$L$3</formula1>
    </dataValidation>
    <dataValidation type="list" allowBlank="1" showInputMessage="1" showErrorMessage="1" sqref="V133:V136">
      <formula1>$L$2:$L$3</formula1>
    </dataValidation>
    <dataValidation type="list" allowBlank="1" showInputMessage="1" showErrorMessage="1" sqref="T133:T136">
      <formula1>$L$2:$L$3</formula1>
    </dataValidation>
    <dataValidation type="list" allowBlank="1" showInputMessage="1" showErrorMessage="1" sqref="T157:T1048576">
      <formula1>$L$2:$L$3</formula1>
    </dataValidation>
    <dataValidation type="list" allowBlank="1" showInputMessage="1" showErrorMessage="1" sqref="T1:T117">
      <formula1>$O$2:$O$7</formula1>
    </dataValidation>
    <dataValidation type="list" allowBlank="1" showInputMessage="1" showErrorMessage="1" sqref="V1:X117">
      <formula1>$O$2:$O$7</formula1>
    </dataValidation>
    <dataValidation type="list" allowBlank="1" showInputMessage="1" showErrorMessage="1" sqref="V157:X1048576">
      <formula1>$O$2:$O$7</formula1>
    </dataValidation>
    <dataValidation type="list" allowBlank="1" showInputMessage="1" showErrorMessage="1" sqref="V133:V136">
      <formula1>$O$2:$O$7</formula1>
    </dataValidation>
    <dataValidation type="list" allowBlank="1" showInputMessage="1" showErrorMessage="1" sqref="T133:T136">
      <formula1>$O$2:$O$7</formula1>
    </dataValidation>
    <dataValidation type="list" allowBlank="1" showInputMessage="1" showErrorMessage="1" sqref="T157:T1048576">
      <formula1>$O$2:$O$7</formula1>
    </dataValidation>
    <dataValidation type="list" allowBlank="1" showInputMessage="1" showErrorMessage="1" sqref="L157:L1048576">
      <formula1>$K$2:$K$12</formula1>
    </dataValidation>
    <dataValidation type="list" allowBlank="1" showInputMessage="1" showErrorMessage="1" sqref="BU30:BU40">
      <formula1>$P:$P</formula1>
    </dataValidation>
    <dataValidation type="list" allowBlank="1" showInputMessage="1" showErrorMessage="1" sqref="BU94:BU117">
      <formula1>$P:$P</formula1>
    </dataValidation>
    <dataValidation type="list" allowBlank="1" showInputMessage="1" showErrorMessage="1" sqref="BU85:BU86">
      <formula1>$P:$P</formula1>
    </dataValidation>
    <dataValidation type="list" allowBlank="1" showInputMessage="1" showErrorMessage="1" sqref="BU80">
      <formula1>$P:$P</formula1>
    </dataValidation>
    <dataValidation type="list" allowBlank="1" showInputMessage="1" showErrorMessage="1" sqref="BU73:BU77">
      <formula1>$P:$P</formula1>
    </dataValidation>
    <dataValidation type="list" allowBlank="1" showInputMessage="1" showErrorMessage="1" sqref="BU61">
      <formula1>$P:$P</formula1>
    </dataValidation>
    <dataValidation type="list" allowBlank="1" showInputMessage="1" showErrorMessage="1" sqref="BU47:BU52">
      <formula1>$P:$P</formula1>
    </dataValidation>
    <dataValidation type="list" allowBlank="1" showInputMessage="1" showErrorMessage="1" sqref="BU133:BU135">
      <formula1>$P:$P</formula1>
    </dataValidation>
    <dataValidation type="list" allowBlank="1" showInputMessage="1" showErrorMessage="1" sqref="BU157:BU1048576">
      <formula1>$P:$P</formula1>
    </dataValidation>
    <dataValidation type="list" allowBlank="1" showInputMessage="1" showErrorMessage="1" sqref="H1:H7">
      <formula1>$T:$T</formula1>
    </dataValidation>
    <dataValidation type="list" allowBlank="1" showInputMessage="1" showErrorMessage="1" sqref="H133:H136">
      <formula1>$T:$T</formula1>
    </dataValidation>
    <dataValidation type="list" allowBlank="1" showInputMessage="1" showErrorMessage="1" sqref="H157:H1048576">
      <formula1>$T:$T</formula1>
    </dataValidation>
    <dataValidation type="list" allowBlank="1" showInputMessage="1" showErrorMessage="1" sqref="AS1:AS37">
      <formula1>$H:$H</formula1>
    </dataValidation>
    <dataValidation type="list" allowBlank="1" showInputMessage="1" showErrorMessage="1" sqref="AS133:AS136">
      <formula1>$H:$H</formula1>
    </dataValidation>
    <dataValidation type="list" allowBlank="1" showInputMessage="1" showErrorMessage="1" sqref="AS157:AS1048576">
      <formula1>$H:$H</formula1>
    </dataValidation>
    <dataValidation type="list" allowBlank="1" showInputMessage="1" showErrorMessage="1" sqref="AU1:AU34">
      <formula1>$Q:$Q</formula1>
    </dataValidation>
    <dataValidation type="list" allowBlank="1" showInputMessage="1" showErrorMessage="1" sqref="AU36:AU117">
      <formula1>$Q:$Q</formula1>
    </dataValidation>
    <dataValidation type="list" allowBlank="1" showInputMessage="1" showErrorMessage="1" sqref="AU157:AU1048576">
      <formula1>$Q:$Q</formula1>
    </dataValidation>
    <dataValidation type="list" allowBlank="1" showInputMessage="1" showErrorMessage="1" sqref="V1:X117">
      <formula1>$E:$E</formula1>
    </dataValidation>
    <dataValidation type="list" allowBlank="1" showInputMessage="1" showErrorMessage="1" sqref="T1:T117">
      <formula1>$E:$E</formula1>
    </dataValidation>
    <dataValidation type="list" allowBlank="1" showInputMessage="1" showErrorMessage="1" sqref="O133:O136">
      <formula1>$E:$E</formula1>
    </dataValidation>
    <dataValidation type="list" allowBlank="1" showInputMessage="1" showErrorMessage="1" sqref="V157:X1048576">
      <formula1>$E:$E</formula1>
    </dataValidation>
    <dataValidation type="list" allowBlank="1" showInputMessage="1" showErrorMessage="1" sqref="O157:O1048576">
      <formula1>$E:$E</formula1>
    </dataValidation>
    <dataValidation type="list" allowBlank="1" showInputMessage="1" showErrorMessage="1" sqref="O1:O117">
      <formula1>$E:$E</formula1>
    </dataValidation>
    <dataValidation type="list" allowBlank="1" showInputMessage="1" showErrorMessage="1" sqref="V133:V136">
      <formula1>$E:$E</formula1>
    </dataValidation>
    <dataValidation type="list" allowBlank="1" showInputMessage="1" showErrorMessage="1" sqref="T133:T136">
      <formula1>$E:$E</formula1>
    </dataValidation>
    <dataValidation type="list" allowBlank="1" showInputMessage="1" showErrorMessage="1" sqref="T157:T1048576">
      <formula1>$E:$E</formula1>
    </dataValidation>
    <dataValidation type="list" allowBlank="1" showInputMessage="1" showErrorMessage="1" sqref="P1:P117">
      <formula1>$O:$O</formula1>
    </dataValidation>
    <dataValidation type="list" allowBlank="1" showInputMessage="1" showErrorMessage="1" sqref="P157:P1048576">
      <formula1>$O:$O</formula1>
    </dataValidation>
    <dataValidation type="list" allowBlank="1" showInputMessage="1" showErrorMessage="1" sqref="U61:U66">
      <formula1>$C:$C</formula1>
    </dataValidation>
    <dataValidation type="list" allowBlank="1" showInputMessage="1" showErrorMessage="1" sqref="U73">
      <formula1>$C:$C</formula1>
    </dataValidation>
    <dataValidation type="list" allowBlank="1" showInputMessage="1" showErrorMessage="1" sqref="U80:U95">
      <formula1>$C:$C</formula1>
    </dataValidation>
    <dataValidation type="list" allowBlank="1" showInputMessage="1" showErrorMessage="1" sqref="U111">
      <formula1>$C:$C</formula1>
    </dataValidation>
    <dataValidation type="list" allowBlank="1" showInputMessage="1" showErrorMessage="1" sqref="U133:U136">
      <formula1>$C:$C</formula1>
    </dataValidation>
    <dataValidation type="list" allowBlank="1" showInputMessage="1" showErrorMessage="1" sqref="U1:U52">
      <formula1>$C:$C</formula1>
    </dataValidation>
    <dataValidation type="list" allowBlank="1" showInputMessage="1" showErrorMessage="1" sqref="U157:U1048576">
      <formula1>$C:$C</formula1>
    </dataValidation>
    <dataValidation type="list" allowBlank="1" showInputMessage="1" showErrorMessage="1" sqref="F157:F1048576">
      <formula1>$S:$S</formula1>
    </dataValidation>
    <dataValidation type="list" allowBlank="1" showInputMessage="1" showErrorMessage="1" sqref="F1:F117">
      <formula1>$S:$S</formula1>
    </dataValidation>
    <dataValidation type="list" allowBlank="1" showInputMessage="1" showErrorMessage="1" sqref="V1:V117">
      <formula1>$I:$I</formula1>
    </dataValidation>
    <dataValidation type="list" allowBlank="1" showInputMessage="1" showErrorMessage="1" sqref="T157:T1048576">
      <formula1>$I:$I</formula1>
    </dataValidation>
    <dataValidation type="list" allowBlank="1" showInputMessage="1" showErrorMessage="1" sqref="V133:V136">
      <formula1>$I:$I</formula1>
    </dataValidation>
    <dataValidation type="list" allowBlank="1" showInputMessage="1" showErrorMessage="1" sqref="T133:T136">
      <formula1>$I:$I</formula1>
    </dataValidation>
    <dataValidation type="list" allowBlank="1" showInputMessage="1" showErrorMessage="1" sqref="V157:V1048576">
      <formula1>$I:$I</formula1>
    </dataValidation>
    <dataValidation type="list" allowBlank="1" showInputMessage="1" showErrorMessage="1" sqref="T133:T136">
      <formula1>$N:$N</formula1>
    </dataValidation>
    <dataValidation type="list" allowBlank="1" showInputMessage="1" showErrorMessage="1" sqref="T1:T117">
      <formula1>$N:$N</formula1>
    </dataValidation>
    <dataValidation type="list" allowBlank="1" showInputMessage="1" showErrorMessage="1" sqref="Q157:Q1048576">
      <formula1>$N:$N</formula1>
    </dataValidation>
    <dataValidation type="list" allowBlank="1" showInputMessage="1" showErrorMessage="1" sqref="V157:V1048576">
      <formula1>$N:$N</formula1>
    </dataValidation>
    <dataValidation type="list" allowBlank="1" showInputMessage="1" showErrorMessage="1" sqref="Q1:Q117">
      <formula1>$N:$N</formula1>
    </dataValidation>
    <dataValidation type="list" allowBlank="1" showInputMessage="1" showErrorMessage="1" sqref="Q133:Q136">
      <formula1>$N:$N</formula1>
    </dataValidation>
    <dataValidation type="list" allowBlank="1" showInputMessage="1" showErrorMessage="1" sqref="V133:V136">
      <formula1>$N:$N</formula1>
    </dataValidation>
    <dataValidation type="list" allowBlank="1" showInputMessage="1" showErrorMessage="1" sqref="T157:T1048576">
      <formula1>$N:$N</formula1>
    </dataValidation>
    <dataValidation type="list" allowBlank="1" showInputMessage="1" showErrorMessage="1" sqref="S87:S110">
      <formula1>$M$2:$M$10</formula1>
    </dataValidation>
    <dataValidation type="list" allowBlank="1" showInputMessage="1" showErrorMessage="1" sqref="S47:S77">
      <formula1>$M$2:$M$10</formula1>
    </dataValidation>
    <dataValidation type="list" allowBlank="1" showInputMessage="1" showErrorMessage="1" sqref="S1:S44">
      <formula1>$M$2:$M$10</formula1>
    </dataValidation>
    <dataValidation type="list" allowBlank="1" showInputMessage="1" showErrorMessage="1" sqref="S117:S135">
      <formula1>$M$2:$M$10</formula1>
    </dataValidation>
    <dataValidation type="list" allowBlank="1" showInputMessage="1" showErrorMessage="1" sqref="S137:S1048576">
      <formula1>$M$2:$M$10</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3">
        <x14:dataValidation type="list" allowBlank="1" showInputMessage="1" showErrorMessage="1">
          <x14:formula1>
            <xm:f>'Lists for variables'!$C$2:$C$4</xm:f>
          </x14:formula1>
          <xm:sqref>V1:V117</xm:sqref>
        </x14:dataValidation>
        <x14:dataValidation type="list" allowBlank="1" showInputMessage="1" showErrorMessage="1">
          <x14:formula1>
            <xm:f>'Lists for variables'!$B$2:$B$4</xm:f>
          </x14:formula1>
          <xm:sqref>BV2:BX117</xm:sqref>
        </x14:dataValidation>
        <x14:dataValidation type="list" allowBlank="1" showInputMessage="1" showErrorMessage="1">
          <x14:formula1>
            <xm:f>'Lists for variables'!$D$2:$D$4</xm:f>
          </x14:formula1>
          <xm:sqref>BP30:BP35</xm:sqref>
        </x14:dataValidation>
        <x14:dataValidation type="list" allowBlank="1" showInputMessage="1" showErrorMessage="1">
          <x14:formula1>
            <xm:f>'Lists for variables'!$J$2:$J$3</xm:f>
          </x14:formula1>
          <xm:sqref>AW1</xm:sqref>
        </x14:dataValidation>
        <x14:dataValidation type="list" allowBlank="1" showInputMessage="1" showErrorMessage="1">
          <x14:formula1>
            <xm:f>'Lists for variables'!$M$2:$M$9</xm:f>
          </x14:formula1>
          <xm:sqref>T1:T117</xm:sqref>
        </x14:dataValidation>
        <x14:dataValidation type="list" allowBlank="1" showInputMessage="1" showErrorMessage="1">
          <x14:formula1>
            <xm:f>'Lists for variables'!$L$2:$L$3</xm:f>
          </x14:formula1>
          <xm:sqref>W136:X136</xm:sqref>
        </x14:dataValidation>
        <x14:dataValidation type="list" allowBlank="1" showInputMessage="1" showErrorMessage="1">
          <x14:formula1>
            <xm:f>'Lists for variables'!$O$2:$O$7</xm:f>
          </x14:formula1>
          <xm:sqref>W136:X136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AZ30:AZ35</xm:sqref>
        </x14:dataValidation>
        <x14:dataValidation type="list" allowBlank="1" showInputMessage="1" showErrorMessage="1">
          <x14:formula1>
            <xm:f>'Lists for variables'!$K$2:$K$12</xm:f>
          </x14:formula1>
          <xm:sqref>L1:L136</xm:sqref>
        </x14:dataValidation>
        <x14:dataValidation type="list" allowBlank="1" showInputMessage="1" showErrorMessage="1">
          <x14:formula1>
            <xm:f>'Lists for variables'!$P:$P</xm:f>
          </x14:formula1>
          <xm:sqref>BU1</xm:sqref>
        </x14:dataValidation>
        <x14:dataValidation type="list" allowBlank="1" showInputMessage="1" showErrorMessage="1">
          <x14:formula1>
            <xm:f>'Lists for variables'!$T:$T</xm:f>
          </x14:formula1>
          <xm:sqref>H17:H117</xm:sqref>
        </x14:dataValidation>
        <x14:dataValidation type="list" allowBlank="1" showInputMessage="1" showErrorMessage="1">
          <x14:formula1>
            <xm:f>'Lists for variables'!$H:$H</xm:f>
          </x14:formula1>
          <xm:sqref>AS39:AS117</xm:sqref>
        </x14:dataValidation>
        <x14:dataValidation type="list" allowBlank="1" showInputMessage="1" showErrorMessage="1">
          <x14:formula1>
            <xm:f>'Lists for variables'!$G:$G</xm:f>
          </x14:formula1>
          <xm:sqref>N157:N1048576</xm:sqref>
        </x14:dataValidation>
        <x14:dataValidation type="list" allowBlank="1" showInputMessage="1" showErrorMessage="1">
          <x14:formula1>
            <xm:f>'Lists for variables'!$Q:$Q</xm:f>
          </x14:formula1>
          <xm:sqref>AU133:AU136</xm:sqref>
        </x14:dataValidation>
        <x14:dataValidation type="list" allowBlank="1" showInputMessage="1" showErrorMessage="1">
          <x14:formula1>
            <xm:f>'Lists for variables'!$E:$E</xm:f>
          </x14:formula1>
          <xm:sqref>W136:X136</xm:sqref>
        </x14:dataValidation>
        <x14:dataValidation type="list" allowBlank="1" showInputMessage="1" showErrorMessage="1">
          <x14:formula1>
            <xm:f>'Lists for variables'!$O:$O</xm:f>
          </x14:formula1>
          <xm:sqref>P133:P136</xm:sqref>
        </x14:dataValidation>
        <x14:dataValidation type="list" allowBlank="1" showInputMessage="1" showErrorMessage="1">
          <x14:formula1>
            <xm:f>'Lists for variables'!$C:$C</xm:f>
          </x14:formula1>
          <xm:sqref>U117</xm:sqref>
        </x14:dataValidation>
        <x14:dataValidation type="list" allowBlank="1" showInputMessage="1" showErrorMessage="1">
          <x14:formula1>
            <xm:f>'Lists for variables'!$S:$S</xm:f>
          </x14:formula1>
          <xm:sqref>F136</xm:sqref>
        </x14:dataValidation>
        <x14:dataValidation type="list" allowBlank="1" showInputMessage="1" showErrorMessage="1">
          <x14:formula1>
            <xm:f>'Lists for variables'!$I:$I</xm:f>
          </x14:formula1>
          <xm:sqref>T1:T117</xm:sqref>
        </x14:dataValidation>
        <x14:dataValidation type="list" allowBlank="1" showInputMessage="1" showErrorMessage="1">
          <x14:formula1>
            <xm:f>'Lists for variables'!$N:$N</xm:f>
          </x14:formula1>
          <xm:sqref>V1:V117</xm:sqref>
        </x14:dataValidation>
        <x14:dataValidation type="list" allowBlank="1" showInputMessage="1" showErrorMessage="1">
          <x14:formula1>
            <xm:f>'Lists for variables'!$M$2:$M$10</xm:f>
          </x14:formula1>
          <xm:sqref>S80:S84</xm:sqref>
        </x14:dataValidation>
        <x14:dataValidation type="list" allowBlank="1" showInputMessage="1" showErrorMessage="1">
          <x14:formula1>
            <xm:f>'Lists for variables'!$I$1:$I$7</xm:f>
          </x14:formula1>
          <xm:sqref>R1:R1048576</xm:sqref>
        </x14:dataValidation>
        <x14:dataValidation type="list" allowBlank="1" showInputMessage="1" showErrorMessage="1">
          <x14:formula1>
            <xm:f>'Lists for variables'!$A$2:$A$5</xm:f>
          </x14:formula1>
          <xm:sqref>B1:B1048576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75"/>
  <cols>
    <col min="1" max="1" width="28.5" bestFit="1" customWidth="1"/>
    <col min="2" max="2" width="41" bestFit="1" customWidth="1"/>
    <col min="3" max="3" width="29.625" bestFit="1" customWidth="1"/>
    <col min="4" max="4" width="20.5" bestFit="1" customWidth="1"/>
    <col min="5" max="5" width="18.125" bestFit="1" customWidth="1"/>
    <col min="6" max="6" width="20.625" bestFit="1" customWidth="1"/>
    <col min="7" max="7" width="18.125" bestFit="1" customWidth="1"/>
    <col min="8" max="8" width="15.625" bestFit="1" customWidth="1"/>
    <col min="9" max="9" width="22.5" bestFit="1" customWidth="1"/>
    <col min="10" max="10" width="23" bestFit="1" customWidth="1"/>
    <col min="11" max="11" width="25.625" bestFit="1" customWidth="1"/>
    <col min="12" max="12" width="19.5" bestFit="1" customWidth="1"/>
    <col min="13" max="13" width="14.625" bestFit="1" customWidth="1"/>
    <col min="14" max="14" width="30" bestFit="1" customWidth="1"/>
    <col min="15" max="15" width="26.625" bestFit="1" customWidth="1"/>
    <col min="16"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125" bestFit="1" customWidth="1"/>
    <col min="24" max="24" width="11.5" bestFit="1" customWidth="1"/>
    <col min="25" max="25" width="12.625" bestFit="1" customWidth="1"/>
    <col min="26" max="26" width="15.625" bestFit="1" customWidth="1"/>
    <col min="27" max="27" width="13.625" bestFit="1" customWidth="1"/>
    <col min="28" max="28" width="11" bestFit="1" customWidth="1"/>
    <col min="29" max="29" width="23.625" bestFit="1" customWidth="1"/>
    <col min="30" max="30" width="18.625" bestFit="1" customWidth="1"/>
    <col min="31" max="31" width="22.625" bestFit="1" customWidth="1"/>
    <col min="32" max="32" width="15.625" bestFit="1" customWidth="1"/>
    <col min="33" max="33" width="17.125" bestFit="1" customWidth="1"/>
    <col min="34" max="34" width="17" bestFit="1" customWidth="1"/>
    <col min="35" max="35" width="13.625" bestFit="1" customWidth="1"/>
    <col min="36" max="36" width="18.625" bestFit="1" customWidth="1"/>
    <col min="37" max="38" width="9.125" bestFit="1" customWidth="1"/>
    <col min="39" max="39" width="36.125" bestFit="1" customWidth="1"/>
    <col min="40" max="40" width="29" bestFit="1" customWidth="1"/>
    <col min="41" max="41" width="17.625" bestFit="1" customWidth="1"/>
    <col min="42" max="42" width="21.625" bestFit="1" customWidth="1"/>
    <col min="43" max="43" width="20.125" bestFit="1" customWidth="1"/>
    <col min="44" max="44" width="15" bestFit="1" customWidth="1"/>
    <col min="45" max="45" width="24.5" bestFit="1" customWidth="1"/>
    <col min="46" max="46" width="13.125" bestFit="1" customWidth="1"/>
    <col min="47" max="47" width="21.625" bestFit="1" customWidth="1"/>
    <col min="48" max="48" width="36.5" bestFit="1" customWidth="1"/>
    <col min="49" max="49" width="23.625" bestFit="1" customWidth="1"/>
    <col min="50" max="50" width="17.125" bestFit="1" customWidth="1"/>
    <col min="51" max="51" width="29.625" bestFit="1" customWidth="1"/>
    <col min="52" max="52" width="33" bestFit="1" customWidth="1"/>
    <col min="53" max="53" width="35.5" bestFit="1" customWidth="1"/>
    <col min="54" max="54" width="21.625" bestFit="1" customWidth="1"/>
    <col min="55" max="55" width="24.125" bestFit="1" customWidth="1"/>
    <col min="56" max="56" width="17.625" bestFit="1" customWidth="1"/>
    <col min="57" max="57" width="25.625" bestFit="1" customWidth="1"/>
    <col min="58" max="58" width="35" bestFit="1" customWidth="1"/>
    <col min="59" max="59" width="26.125" bestFit="1" customWidth="1"/>
    <col min="60" max="60" width="12.125" bestFit="1" customWidth="1"/>
    <col min="61" max="61" width="20.5" bestFit="1" customWidth="1"/>
    <col min="62" max="62" width="15.625" bestFit="1" customWidth="1"/>
    <col min="63" max="64" width="18.5" bestFit="1" customWidth="1"/>
  </cols>
  <sheetData>
    <row r="1" spans="1:62">
      <c r="A1" s="173" t="s">
        <v>7</v>
      </c>
      <c r="B1" t="s">
        <v>73</v>
      </c>
    </row>
    <row r="2" spans="1:62">
      <c r="A2" s="173" t="s">
        <v>199</v>
      </c>
      <c r="B2" t="s">
        <v>234</v>
      </c>
    </row>
    <row r="4" spans="1:62">
      <c r="A4" s="173" t="s">
        <v>462</v>
      </c>
      <c r="B4" t="s">
        <v>463</v>
      </c>
      <c r="C4" t="s">
        <v>464</v>
      </c>
      <c r="D4" t="s">
        <v>465</v>
      </c>
      <c r="E4" t="s">
        <v>466</v>
      </c>
      <c r="F4" t="s">
        <v>467</v>
      </c>
      <c r="G4" t="s">
        <v>468</v>
      </c>
      <c r="H4" t="s">
        <v>469</v>
      </c>
      <c r="I4" t="s">
        <v>470</v>
      </c>
      <c r="J4" t="s">
        <v>471</v>
      </c>
      <c r="K4" t="s">
        <v>472</v>
      </c>
      <c r="L4" t="s">
        <v>473</v>
      </c>
      <c r="M4" t="s">
        <v>474</v>
      </c>
      <c r="N4" t="s">
        <v>475</v>
      </c>
      <c r="O4" t="s">
        <v>476</v>
      </c>
      <c r="P4" t="s">
        <v>477</v>
      </c>
      <c r="Q4" t="s">
        <v>478</v>
      </c>
      <c r="R4" t="s">
        <v>479</v>
      </c>
      <c r="S4" t="s">
        <v>480</v>
      </c>
      <c r="T4" t="s">
        <v>481</v>
      </c>
      <c r="U4" t="s">
        <v>482</v>
      </c>
      <c r="V4" t="s">
        <v>483</v>
      </c>
      <c r="W4" t="s">
        <v>484</v>
      </c>
      <c r="X4" t="s">
        <v>485</v>
      </c>
      <c r="Y4" t="s">
        <v>486</v>
      </c>
      <c r="Z4" t="s">
        <v>487</v>
      </c>
      <c r="AA4" t="s">
        <v>488</v>
      </c>
      <c r="AB4" t="s">
        <v>489</v>
      </c>
      <c r="AC4" t="s">
        <v>490</v>
      </c>
      <c r="AD4" t="s">
        <v>491</v>
      </c>
      <c r="AE4" t="s">
        <v>492</v>
      </c>
      <c r="AF4" t="s">
        <v>493</v>
      </c>
      <c r="AG4" t="s">
        <v>494</v>
      </c>
      <c r="AH4" t="s">
        <v>495</v>
      </c>
      <c r="AI4" t="s">
        <v>496</v>
      </c>
      <c r="AJ4" t="s">
        <v>497</v>
      </c>
      <c r="AK4" t="s">
        <v>498</v>
      </c>
      <c r="AL4" t="s">
        <v>499</v>
      </c>
      <c r="AM4" t="s">
        <v>500</v>
      </c>
      <c r="AN4" t="s">
        <v>501</v>
      </c>
      <c r="AO4" t="s">
        <v>502</v>
      </c>
      <c r="AP4" t="s">
        <v>503</v>
      </c>
      <c r="AQ4" t="s">
        <v>504</v>
      </c>
      <c r="AR4" t="s">
        <v>505</v>
      </c>
      <c r="AS4" t="s">
        <v>506</v>
      </c>
      <c r="AT4" t="s">
        <v>507</v>
      </c>
      <c r="AU4" t="s">
        <v>508</v>
      </c>
      <c r="AV4" t="s">
        <v>509</v>
      </c>
      <c r="AW4" t="s">
        <v>510</v>
      </c>
      <c r="AX4" t="s">
        <v>511</v>
      </c>
      <c r="AY4" t="s">
        <v>512</v>
      </c>
      <c r="AZ4" t="s">
        <v>513</v>
      </c>
      <c r="BA4" t="s">
        <v>514</v>
      </c>
      <c r="BB4" t="s">
        <v>515</v>
      </c>
      <c r="BC4" t="s">
        <v>516</v>
      </c>
      <c r="BD4" t="s">
        <v>517</v>
      </c>
      <c r="BE4" t="s">
        <v>518</v>
      </c>
      <c r="BF4" t="s">
        <v>519</v>
      </c>
      <c r="BG4" t="s">
        <v>520</v>
      </c>
      <c r="BH4" t="s">
        <v>521</v>
      </c>
      <c r="BI4" t="s">
        <v>522</v>
      </c>
      <c r="BJ4" t="s">
        <v>523</v>
      </c>
    </row>
    <row r="5" spans="1:62">
      <c r="A5" s="174" t="s">
        <v>365</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380</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524</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525</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99"/>
  <sheetViews>
    <sheetView topLeftCell="G1" zoomScale="115" zoomScaleNormal="70" workbookViewId="0">
      <pane ySplit="1" topLeftCell="A2" activePane="bottomLeft" state="frozen"/>
      <selection pane="bottomLeft" activeCell="S3" sqref="S3"/>
    </sheetView>
  </sheetViews>
  <sheetFormatPr baseColWidth="10" defaultColWidth="11" defaultRowHeight="15.75"/>
  <cols>
    <col min="4" max="4" width="15.5" customWidth="1"/>
    <col min="6" max="6" width="19.625" customWidth="1"/>
    <col min="7" max="7" width="22" customWidth="1"/>
    <col min="8" max="8" width="18.125" style="26" customWidth="1"/>
    <col min="9" max="9" width="20.5" customWidth="1"/>
    <col min="10" max="10" width="14.125" customWidth="1"/>
    <col min="11" max="11" width="15.125" customWidth="1"/>
  </cols>
  <sheetData>
    <row r="1" spans="1:20">
      <c r="A1" t="s">
        <v>715</v>
      </c>
      <c r="B1" t="s">
        <v>526</v>
      </c>
      <c r="C1" t="s">
        <v>189</v>
      </c>
      <c r="D1" s="1" t="s">
        <v>527</v>
      </c>
      <c r="E1" t="s">
        <v>10</v>
      </c>
      <c r="F1" s="1" t="s">
        <v>40</v>
      </c>
      <c r="G1" s="2" t="s">
        <v>9</v>
      </c>
      <c r="H1" s="37" t="s">
        <v>528</v>
      </c>
      <c r="I1" s="38" t="s">
        <v>186</v>
      </c>
      <c r="J1" s="39" t="s">
        <v>28</v>
      </c>
      <c r="K1" s="39" t="s">
        <v>7</v>
      </c>
      <c r="L1" s="39" t="s">
        <v>529</v>
      </c>
      <c r="M1" s="39" t="s">
        <v>187</v>
      </c>
      <c r="N1" s="39" t="s">
        <v>185</v>
      </c>
      <c r="O1" s="39" t="s">
        <v>50</v>
      </c>
      <c r="P1" s="39" t="s">
        <v>211</v>
      </c>
      <c r="Q1" s="42" t="s">
        <v>201</v>
      </c>
      <c r="S1" s="39" t="s">
        <v>183</v>
      </c>
      <c r="T1" s="39" t="s">
        <v>4</v>
      </c>
    </row>
    <row r="2" spans="1:20" ht="31.5">
      <c r="A2" t="s">
        <v>716</v>
      </c>
      <c r="B2">
        <v>0</v>
      </c>
      <c r="C2" t="s">
        <v>189</v>
      </c>
      <c r="D2" t="s">
        <v>237</v>
      </c>
      <c r="E2" t="s">
        <v>112</v>
      </c>
      <c r="F2">
        <v>1</v>
      </c>
      <c r="G2" t="s">
        <v>93</v>
      </c>
      <c r="H2" s="26" t="s">
        <v>530</v>
      </c>
      <c r="I2" t="s">
        <v>311</v>
      </c>
      <c r="J2" t="s">
        <v>80</v>
      </c>
      <c r="K2" t="s">
        <v>531</v>
      </c>
      <c r="L2" t="s">
        <v>232</v>
      </c>
      <c r="M2" t="s">
        <v>532</v>
      </c>
      <c r="N2" t="s">
        <v>228</v>
      </c>
      <c r="O2" t="s">
        <v>81</v>
      </c>
      <c r="P2" t="s">
        <v>344</v>
      </c>
      <c r="Q2" s="41" t="s">
        <v>236</v>
      </c>
      <c r="S2" s="47" t="s">
        <v>721</v>
      </c>
      <c r="T2" s="47" t="s">
        <v>533</v>
      </c>
    </row>
    <row r="3" spans="1:20" ht="31.5">
      <c r="A3" t="s">
        <v>717</v>
      </c>
      <c r="B3">
        <v>1</v>
      </c>
      <c r="C3" t="s">
        <v>341</v>
      </c>
      <c r="D3" t="s">
        <v>302</v>
      </c>
      <c r="E3" t="s">
        <v>227</v>
      </c>
      <c r="F3">
        <v>2</v>
      </c>
      <c r="G3" t="s">
        <v>421</v>
      </c>
      <c r="H3" s="26" t="s">
        <v>534</v>
      </c>
      <c r="I3" t="s">
        <v>307</v>
      </c>
      <c r="J3" t="s">
        <v>86</v>
      </c>
      <c r="K3" t="s">
        <v>535</v>
      </c>
      <c r="L3" t="s">
        <v>246</v>
      </c>
      <c r="M3" t="s">
        <v>312</v>
      </c>
      <c r="N3" t="s">
        <v>294</v>
      </c>
      <c r="O3" t="s">
        <v>148</v>
      </c>
      <c r="P3" t="s">
        <v>315</v>
      </c>
      <c r="Q3" s="41" t="s">
        <v>265</v>
      </c>
      <c r="S3" s="46" t="s">
        <v>720</v>
      </c>
      <c r="T3" s="46" t="s">
        <v>536</v>
      </c>
    </row>
    <row r="4" spans="1:20" ht="47.25">
      <c r="A4" t="s">
        <v>718</v>
      </c>
      <c r="B4" t="s">
        <v>73</v>
      </c>
      <c r="C4" t="s">
        <v>231</v>
      </c>
      <c r="D4" t="s">
        <v>73</v>
      </c>
      <c r="E4" t="s">
        <v>242</v>
      </c>
      <c r="F4">
        <v>3</v>
      </c>
      <c r="G4" t="s">
        <v>537</v>
      </c>
      <c r="H4" s="26" t="s">
        <v>234</v>
      </c>
      <c r="I4" t="s">
        <v>538</v>
      </c>
      <c r="K4" t="s">
        <v>539</v>
      </c>
      <c r="M4" t="s">
        <v>245</v>
      </c>
      <c r="N4" t="s">
        <v>243</v>
      </c>
      <c r="O4" t="s">
        <v>300</v>
      </c>
      <c r="P4" t="s">
        <v>355</v>
      </c>
      <c r="Q4" s="41" t="s">
        <v>331</v>
      </c>
      <c r="S4" s="44" t="s">
        <v>722</v>
      </c>
      <c r="T4" s="44" t="s">
        <v>540</v>
      </c>
    </row>
    <row r="5" spans="1:20" ht="47.25">
      <c r="A5" t="s">
        <v>719</v>
      </c>
      <c r="E5" t="s">
        <v>283</v>
      </c>
      <c r="G5" t="s">
        <v>120</v>
      </c>
      <c r="H5" s="40" t="s">
        <v>541</v>
      </c>
      <c r="I5" t="s">
        <v>229</v>
      </c>
      <c r="K5" s="41" t="s">
        <v>542</v>
      </c>
      <c r="M5" t="s">
        <v>543</v>
      </c>
      <c r="N5" t="s">
        <v>73</v>
      </c>
      <c r="O5" t="s">
        <v>124</v>
      </c>
      <c r="P5" s="41" t="s">
        <v>544</v>
      </c>
      <c r="Q5" t="s">
        <v>73</v>
      </c>
      <c r="S5" s="46" t="s">
        <v>223</v>
      </c>
      <c r="T5" s="46" t="s">
        <v>545</v>
      </c>
    </row>
    <row r="6" spans="1:20">
      <c r="E6" s="41" t="s">
        <v>546</v>
      </c>
      <c r="G6" t="s">
        <v>547</v>
      </c>
      <c r="I6" t="s">
        <v>244</v>
      </c>
      <c r="K6" t="s">
        <v>548</v>
      </c>
      <c r="M6" t="s">
        <v>549</v>
      </c>
      <c r="O6" t="s">
        <v>275</v>
      </c>
      <c r="P6" t="s">
        <v>73</v>
      </c>
      <c r="S6" s="46" t="s">
        <v>303</v>
      </c>
      <c r="T6" s="46" t="s">
        <v>304</v>
      </c>
    </row>
    <row r="7" spans="1:20">
      <c r="E7" t="s">
        <v>394</v>
      </c>
      <c r="G7" t="s">
        <v>550</v>
      </c>
      <c r="I7" t="s">
        <v>414</v>
      </c>
      <c r="K7" s="41" t="s">
        <v>551</v>
      </c>
      <c r="M7" t="s">
        <v>255</v>
      </c>
      <c r="O7" t="s">
        <v>552</v>
      </c>
      <c r="P7" t="s">
        <v>332</v>
      </c>
      <c r="S7" s="46" t="s">
        <v>324</v>
      </c>
      <c r="T7" s="46" t="s">
        <v>325</v>
      </c>
    </row>
    <row r="8" spans="1:20">
      <c r="G8" t="s">
        <v>107</v>
      </c>
      <c r="K8" s="41" t="s">
        <v>553</v>
      </c>
      <c r="M8" t="s">
        <v>332</v>
      </c>
      <c r="O8" t="s">
        <v>340</v>
      </c>
      <c r="S8" s="46" t="s">
        <v>554</v>
      </c>
      <c r="T8" s="46" t="s">
        <v>555</v>
      </c>
    </row>
    <row r="9" spans="1:20">
      <c r="G9" t="s">
        <v>365</v>
      </c>
      <c r="K9" t="s">
        <v>332</v>
      </c>
      <c r="M9" t="s">
        <v>556</v>
      </c>
      <c r="O9" t="s">
        <v>557</v>
      </c>
      <c r="S9" s="44" t="s">
        <v>558</v>
      </c>
      <c r="T9" s="44" t="s">
        <v>559</v>
      </c>
    </row>
    <row r="10" spans="1:20">
      <c r="G10" t="s">
        <v>155</v>
      </c>
      <c r="K10" t="s">
        <v>560</v>
      </c>
      <c r="M10" t="s">
        <v>336</v>
      </c>
      <c r="O10" t="s">
        <v>320</v>
      </c>
      <c r="S10" s="44" t="s">
        <v>561</v>
      </c>
      <c r="T10" s="44" t="s">
        <v>562</v>
      </c>
    </row>
    <row r="11" spans="1:20">
      <c r="G11" t="s">
        <v>563</v>
      </c>
      <c r="K11" t="s">
        <v>564</v>
      </c>
      <c r="O11" t="s">
        <v>565</v>
      </c>
      <c r="S11" s="44" t="s">
        <v>566</v>
      </c>
      <c r="T11" s="44" t="s">
        <v>567</v>
      </c>
    </row>
    <row r="12" spans="1:20">
      <c r="G12" t="s">
        <v>568</v>
      </c>
      <c r="K12" t="s">
        <v>73</v>
      </c>
      <c r="O12" t="s">
        <v>254</v>
      </c>
      <c r="S12" s="44" t="s">
        <v>569</v>
      </c>
      <c r="T12" s="44" t="s">
        <v>570</v>
      </c>
    </row>
    <row r="13" spans="1:20">
      <c r="G13" t="s">
        <v>226</v>
      </c>
      <c r="O13" t="s">
        <v>96</v>
      </c>
      <c r="S13" s="46" t="s">
        <v>571</v>
      </c>
      <c r="T13" s="46" t="s">
        <v>572</v>
      </c>
    </row>
    <row r="14" spans="1:20">
      <c r="G14" s="41" t="s">
        <v>241</v>
      </c>
      <c r="O14" t="s">
        <v>573</v>
      </c>
      <c r="S14" s="44" t="s">
        <v>574</v>
      </c>
      <c r="T14" s="44" t="s">
        <v>575</v>
      </c>
    </row>
    <row r="15" spans="1:20">
      <c r="G15" s="41" t="s">
        <v>155</v>
      </c>
      <c r="O15" t="s">
        <v>284</v>
      </c>
      <c r="S15" s="46" t="s">
        <v>576</v>
      </c>
      <c r="T15" s="46" t="s">
        <v>577</v>
      </c>
    </row>
    <row r="16" spans="1:20">
      <c r="G16" s="41" t="s">
        <v>578</v>
      </c>
      <c r="O16" t="s">
        <v>156</v>
      </c>
      <c r="S16" s="46" t="s">
        <v>579</v>
      </c>
      <c r="T16" s="46" t="s">
        <v>580</v>
      </c>
    </row>
    <row r="17" spans="7:20">
      <c r="G17" s="41" t="s">
        <v>261</v>
      </c>
      <c r="O17" t="s">
        <v>327</v>
      </c>
      <c r="S17" s="44" t="s">
        <v>581</v>
      </c>
      <c r="T17" s="44" t="s">
        <v>582</v>
      </c>
    </row>
    <row r="18" spans="7:20">
      <c r="G18" s="41" t="s">
        <v>270</v>
      </c>
      <c r="O18" t="s">
        <v>583</v>
      </c>
      <c r="S18" s="46" t="s">
        <v>584</v>
      </c>
      <c r="T18" s="46" t="s">
        <v>127</v>
      </c>
    </row>
    <row r="19" spans="7:20">
      <c r="G19" s="41" t="s">
        <v>585</v>
      </c>
      <c r="O19" t="s">
        <v>586</v>
      </c>
      <c r="S19" s="44" t="s">
        <v>587</v>
      </c>
      <c r="T19" t="s">
        <v>588</v>
      </c>
    </row>
    <row r="20" spans="7:20">
      <c r="G20" s="41" t="s">
        <v>589</v>
      </c>
      <c r="O20" t="s">
        <v>590</v>
      </c>
      <c r="S20" s="46" t="s">
        <v>317</v>
      </c>
      <c r="T20" s="46" t="s">
        <v>318</v>
      </c>
    </row>
    <row r="21" spans="7:20">
      <c r="G21" s="41" t="s">
        <v>591</v>
      </c>
      <c r="O21" t="s">
        <v>422</v>
      </c>
      <c r="S21" s="44" t="s">
        <v>377</v>
      </c>
      <c r="T21" s="44" t="s">
        <v>378</v>
      </c>
    </row>
    <row r="22" spans="7:20">
      <c r="G22" s="41" t="s">
        <v>274</v>
      </c>
      <c r="O22" t="s">
        <v>138</v>
      </c>
      <c r="S22" s="46" t="s">
        <v>377</v>
      </c>
      <c r="T22" s="46" t="s">
        <v>592</v>
      </c>
    </row>
    <row r="23" spans="7:20">
      <c r="G23" s="41" t="s">
        <v>524</v>
      </c>
      <c r="O23" t="s">
        <v>593</v>
      </c>
      <c r="S23" s="44" t="s">
        <v>594</v>
      </c>
      <c r="T23" s="44" t="s">
        <v>419</v>
      </c>
    </row>
    <row r="24" spans="7:20">
      <c r="G24" s="41" t="s">
        <v>595</v>
      </c>
      <c r="O24" t="s">
        <v>374</v>
      </c>
      <c r="S24" s="44" t="s">
        <v>596</v>
      </c>
      <c r="T24" s="44" t="s">
        <v>597</v>
      </c>
    </row>
    <row r="25" spans="7:20">
      <c r="G25" s="41" t="s">
        <v>380</v>
      </c>
      <c r="O25" t="s">
        <v>598</v>
      </c>
      <c r="S25" s="44" t="s">
        <v>599</v>
      </c>
      <c r="T25" s="44" t="s">
        <v>600</v>
      </c>
    </row>
    <row r="26" spans="7:20">
      <c r="G26" s="41" t="s">
        <v>601</v>
      </c>
      <c r="O26" t="s">
        <v>602</v>
      </c>
      <c r="S26" s="44" t="s">
        <v>603</v>
      </c>
      <c r="T26" s="44" t="s">
        <v>604</v>
      </c>
    </row>
    <row r="27" spans="7:20">
      <c r="G27" s="41" t="s">
        <v>605</v>
      </c>
      <c r="O27" t="s">
        <v>459</v>
      </c>
      <c r="S27" s="44" t="s">
        <v>606</v>
      </c>
      <c r="T27" s="44" t="s">
        <v>607</v>
      </c>
    </row>
    <row r="28" spans="7:20">
      <c r="G28" s="41" t="s">
        <v>608</v>
      </c>
      <c r="O28" t="s">
        <v>609</v>
      </c>
      <c r="S28" s="44" t="s">
        <v>610</v>
      </c>
      <c r="T28" s="44" t="s">
        <v>611</v>
      </c>
    </row>
    <row r="29" spans="7:20">
      <c r="G29" s="41" t="s">
        <v>172</v>
      </c>
      <c r="O29" t="s">
        <v>612</v>
      </c>
      <c r="S29" s="44" t="s">
        <v>613</v>
      </c>
      <c r="T29" s="44" t="s">
        <v>614</v>
      </c>
    </row>
    <row r="30" spans="7:20">
      <c r="G30" s="41" t="s">
        <v>615</v>
      </c>
      <c r="O30" t="s">
        <v>616</v>
      </c>
      <c r="S30" s="44" t="s">
        <v>617</v>
      </c>
      <c r="T30" s="44" t="s">
        <v>618</v>
      </c>
    </row>
    <row r="31" spans="7:20">
      <c r="O31" t="s">
        <v>174</v>
      </c>
      <c r="S31" s="44" t="s">
        <v>258</v>
      </c>
      <c r="T31" s="44" t="s">
        <v>259</v>
      </c>
    </row>
    <row r="32" spans="7:20">
      <c r="O32" t="s">
        <v>349</v>
      </c>
      <c r="S32" s="44" t="s">
        <v>619</v>
      </c>
      <c r="T32" s="44" t="s">
        <v>620</v>
      </c>
    </row>
    <row r="33" spans="15:20">
      <c r="O33" t="s">
        <v>131</v>
      </c>
      <c r="S33" s="44" t="s">
        <v>621</v>
      </c>
      <c r="T33" s="44" t="s">
        <v>622</v>
      </c>
    </row>
    <row r="34" spans="15:20">
      <c r="S34" s="44" t="s">
        <v>362</v>
      </c>
      <c r="T34" s="44" t="s">
        <v>363</v>
      </c>
    </row>
    <row r="35" spans="15:20">
      <c r="S35" s="44" t="s">
        <v>623</v>
      </c>
      <c r="T35" s="44" t="s">
        <v>624</v>
      </c>
    </row>
    <row r="36" spans="15:20">
      <c r="S36" s="44" t="s">
        <v>625</v>
      </c>
      <c r="T36" s="44" t="s">
        <v>626</v>
      </c>
    </row>
    <row r="37" spans="15:20">
      <c r="S37" s="46" t="s">
        <v>627</v>
      </c>
      <c r="T37" s="46" t="s">
        <v>628</v>
      </c>
    </row>
    <row r="38" spans="15:20">
      <c r="S38" s="46" t="s">
        <v>351</v>
      </c>
      <c r="T38" s="46" t="s">
        <v>629</v>
      </c>
    </row>
    <row r="39" spans="15:20">
      <c r="S39" s="46" t="s">
        <v>351</v>
      </c>
      <c r="T39" s="46" t="s">
        <v>352</v>
      </c>
    </row>
    <row r="40" spans="15:20">
      <c r="S40" s="44" t="s">
        <v>630</v>
      </c>
      <c r="T40" s="44" t="s">
        <v>631</v>
      </c>
    </row>
    <row r="41" spans="15:20">
      <c r="S41" s="44" t="s">
        <v>632</v>
      </c>
      <c r="T41" s="44" t="s">
        <v>633</v>
      </c>
    </row>
    <row r="42" spans="15:20">
      <c r="S42" s="46" t="s">
        <v>634</v>
      </c>
      <c r="T42" s="46" t="s">
        <v>635</v>
      </c>
    </row>
    <row r="43" spans="15:20">
      <c r="S43" s="46" t="s">
        <v>634</v>
      </c>
      <c r="T43" s="46" t="s">
        <v>636</v>
      </c>
    </row>
    <row r="44" spans="15:20">
      <c r="S44" s="44" t="s">
        <v>637</v>
      </c>
      <c r="T44" s="17" t="s">
        <v>117</v>
      </c>
    </row>
    <row r="45" spans="15:20">
      <c r="S45" s="46" t="s">
        <v>337</v>
      </c>
      <c r="T45" s="46" t="s">
        <v>338</v>
      </c>
    </row>
    <row r="46" spans="15:20">
      <c r="S46" s="44" t="s">
        <v>371</v>
      </c>
      <c r="T46" s="44" t="s">
        <v>372</v>
      </c>
    </row>
    <row r="47" spans="15:20">
      <c r="S47" s="46" t="s">
        <v>391</v>
      </c>
      <c r="T47" s="46" t="s">
        <v>392</v>
      </c>
    </row>
    <row r="48" spans="15:20">
      <c r="S48" s="44" t="s">
        <v>638</v>
      </c>
      <c r="T48" s="44" t="s">
        <v>639</v>
      </c>
    </row>
    <row r="49" spans="19:20">
      <c r="S49" s="44" t="s">
        <v>403</v>
      </c>
      <c r="T49" s="44" t="s">
        <v>404</v>
      </c>
    </row>
    <row r="50" spans="19:20">
      <c r="S50" s="44" t="s">
        <v>640</v>
      </c>
      <c r="T50" s="44" t="s">
        <v>641</v>
      </c>
    </row>
    <row r="51" spans="19:20">
      <c r="S51" s="44" t="s">
        <v>642</v>
      </c>
      <c r="T51" s="44" t="s">
        <v>643</v>
      </c>
    </row>
    <row r="52" spans="19:20">
      <c r="S52" s="44" t="s">
        <v>238</v>
      </c>
      <c r="T52" s="44" t="s">
        <v>644</v>
      </c>
    </row>
    <row r="53" spans="19:20">
      <c r="S53" s="44" t="s">
        <v>346</v>
      </c>
      <c r="T53" s="17" t="s">
        <v>347</v>
      </c>
    </row>
    <row r="54" spans="19:20">
      <c r="S54" s="44" t="s">
        <v>271</v>
      </c>
      <c r="T54" s="44" t="s">
        <v>272</v>
      </c>
    </row>
    <row r="55" spans="19:20">
      <c r="S55" s="44" t="s">
        <v>645</v>
      </c>
      <c r="T55" s="44" t="s">
        <v>646</v>
      </c>
    </row>
    <row r="56" spans="19:20">
      <c r="S56" s="44" t="s">
        <v>647</v>
      </c>
      <c r="T56" s="44" t="s">
        <v>648</v>
      </c>
    </row>
    <row r="57" spans="19:20">
      <c r="S57" s="44" t="s">
        <v>649</v>
      </c>
      <c r="T57" s="44" t="s">
        <v>650</v>
      </c>
    </row>
    <row r="58" spans="19:20">
      <c r="S58" s="44" t="s">
        <v>651</v>
      </c>
      <c r="T58" s="44" t="s">
        <v>652</v>
      </c>
    </row>
    <row r="59" spans="19:20">
      <c r="S59" s="44" t="s">
        <v>653</v>
      </c>
      <c r="T59" s="44" t="s">
        <v>654</v>
      </c>
    </row>
    <row r="60" spans="19:20">
      <c r="S60" s="44" t="s">
        <v>655</v>
      </c>
      <c r="T60" s="44" t="s">
        <v>656</v>
      </c>
    </row>
    <row r="61" spans="19:20">
      <c r="S61" s="44" t="s">
        <v>434</v>
      </c>
      <c r="T61" s="44" t="s">
        <v>657</v>
      </c>
    </row>
    <row r="62" spans="19:20">
      <c r="S62" s="44" t="s">
        <v>452</v>
      </c>
      <c r="T62" s="44" t="s">
        <v>658</v>
      </c>
    </row>
    <row r="63" spans="19:20">
      <c r="S63" s="44" t="s">
        <v>410</v>
      </c>
      <c r="T63" s="44" t="s">
        <v>411</v>
      </c>
    </row>
    <row r="64" spans="19:20">
      <c r="S64" s="44" t="s">
        <v>659</v>
      </c>
      <c r="T64" s="44" t="s">
        <v>660</v>
      </c>
    </row>
    <row r="65" spans="19:20">
      <c r="S65" s="44" t="s">
        <v>661</v>
      </c>
      <c r="T65" s="44" t="s">
        <v>662</v>
      </c>
    </row>
    <row r="66" spans="19:20">
      <c r="S66" s="44" t="s">
        <v>663</v>
      </c>
      <c r="T66" s="44" t="s">
        <v>664</v>
      </c>
    </row>
    <row r="67" spans="19:20">
      <c r="S67" s="44" t="s">
        <v>665</v>
      </c>
      <c r="T67" s="44" t="s">
        <v>666</v>
      </c>
    </row>
    <row r="68" spans="19:20">
      <c r="S68" s="44" t="s">
        <v>667</v>
      </c>
      <c r="T68" s="44" t="s">
        <v>668</v>
      </c>
    </row>
    <row r="69" spans="19:20">
      <c r="S69" s="44" t="s">
        <v>669</v>
      </c>
      <c r="T69" s="44" t="s">
        <v>670</v>
      </c>
    </row>
    <row r="70" spans="19:20">
      <c r="S70" s="44" t="s">
        <v>671</v>
      </c>
      <c r="T70" s="44" t="s">
        <v>672</v>
      </c>
    </row>
    <row r="71" spans="19:20">
      <c r="S71" s="44" t="s">
        <v>673</v>
      </c>
      <c r="T71" s="44" t="s">
        <v>674</v>
      </c>
    </row>
    <row r="72" spans="19:20">
      <c r="S72" s="44" t="s">
        <v>291</v>
      </c>
      <c r="T72" t="s">
        <v>292</v>
      </c>
    </row>
    <row r="73" spans="19:20">
      <c r="S73" s="46" t="s">
        <v>291</v>
      </c>
      <c r="T73" s="46" t="s">
        <v>675</v>
      </c>
    </row>
    <row r="74" spans="19:20">
      <c r="S74" s="44" t="s">
        <v>676</v>
      </c>
      <c r="T74" s="44" t="s">
        <v>677</v>
      </c>
    </row>
    <row r="75" spans="19:20">
      <c r="S75" s="46" t="s">
        <v>309</v>
      </c>
      <c r="T75" s="46" t="s">
        <v>310</v>
      </c>
    </row>
    <row r="76" spans="19:20">
      <c r="S76" s="44" t="s">
        <v>678</v>
      </c>
      <c r="T76" s="44" t="s">
        <v>679</v>
      </c>
    </row>
    <row r="77" spans="19:20">
      <c r="S77" s="44" t="s">
        <v>428</v>
      </c>
      <c r="T77" s="44" t="s">
        <v>429</v>
      </c>
    </row>
    <row r="78" spans="19:20">
      <c r="S78" s="46" t="s">
        <v>680</v>
      </c>
      <c r="T78" s="46" t="s">
        <v>681</v>
      </c>
    </row>
    <row r="79" spans="19:20">
      <c r="S79" s="46" t="s">
        <v>385</v>
      </c>
      <c r="T79" s="46" t="s">
        <v>386</v>
      </c>
    </row>
    <row r="80" spans="19:20">
      <c r="S80" s="44" t="s">
        <v>682</v>
      </c>
      <c r="T80" s="44" t="s">
        <v>683</v>
      </c>
    </row>
    <row r="81" spans="19:20">
      <c r="S81" s="44" t="s">
        <v>684</v>
      </c>
      <c r="T81" s="44" t="s">
        <v>685</v>
      </c>
    </row>
    <row r="82" spans="19:20">
      <c r="S82" s="44" t="s">
        <v>686</v>
      </c>
      <c r="T82" s="44" t="s">
        <v>687</v>
      </c>
    </row>
    <row r="83" spans="19:20">
      <c r="S83" s="46" t="s">
        <v>333</v>
      </c>
      <c r="T83" s="46" t="s">
        <v>334</v>
      </c>
    </row>
    <row r="84" spans="19:20">
      <c r="S84" s="46" t="s">
        <v>333</v>
      </c>
      <c r="T84" s="46" t="s">
        <v>688</v>
      </c>
    </row>
    <row r="85" spans="19:20">
      <c r="S85" s="44" t="s">
        <v>689</v>
      </c>
      <c r="T85" s="44" t="s">
        <v>690</v>
      </c>
    </row>
    <row r="86" spans="19:20">
      <c r="S86" s="44" t="s">
        <v>691</v>
      </c>
      <c r="T86" s="44" t="s">
        <v>692</v>
      </c>
    </row>
    <row r="87" spans="19:20">
      <c r="S87" s="44" t="s">
        <v>693</v>
      </c>
      <c r="T87" s="44" t="s">
        <v>694</v>
      </c>
    </row>
    <row r="88" spans="19:20">
      <c r="S88" s="44" t="s">
        <v>280</v>
      </c>
      <c r="T88" s="44" t="s">
        <v>281</v>
      </c>
    </row>
    <row r="89" spans="19:20">
      <c r="S89" s="44" t="s">
        <v>695</v>
      </c>
      <c r="T89" s="44" t="s">
        <v>696</v>
      </c>
    </row>
    <row r="90" spans="19:20">
      <c r="S90" s="44" t="s">
        <v>697</v>
      </c>
      <c r="T90" s="44" t="s">
        <v>698</v>
      </c>
    </row>
    <row r="91" spans="19:20">
      <c r="S91" s="44" t="s">
        <v>357</v>
      </c>
      <c r="T91" s="44" t="s">
        <v>358</v>
      </c>
    </row>
    <row r="92" spans="19:20">
      <c r="S92" s="44" t="s">
        <v>699</v>
      </c>
      <c r="T92" s="44" t="s">
        <v>700</v>
      </c>
    </row>
    <row r="93" spans="19:20">
      <c r="S93" s="44" t="s">
        <v>701</v>
      </c>
      <c r="T93" t="s">
        <v>702</v>
      </c>
    </row>
    <row r="94" spans="19:20">
      <c r="S94" s="44" t="s">
        <v>703</v>
      </c>
      <c r="T94" s="44" t="s">
        <v>704</v>
      </c>
    </row>
    <row r="95" spans="19:20">
      <c r="S95" s="44" t="s">
        <v>705</v>
      </c>
      <c r="T95" s="44" t="s">
        <v>706</v>
      </c>
    </row>
    <row r="96" spans="19:20">
      <c r="S96" s="44" t="s">
        <v>707</v>
      </c>
      <c r="T96" t="s">
        <v>708</v>
      </c>
    </row>
    <row r="97" spans="19:20">
      <c r="S97" s="44" t="s">
        <v>709</v>
      </c>
      <c r="T97" s="57" t="s">
        <v>688</v>
      </c>
    </row>
    <row r="98" spans="19:20">
      <c r="S98" s="57" t="s">
        <v>398</v>
      </c>
      <c r="T98" s="32" t="s">
        <v>133</v>
      </c>
    </row>
    <row r="99" spans="19:20">
      <c r="S99" s="44" t="s">
        <v>710</v>
      </c>
      <c r="T99" t="s">
        <v>711</v>
      </c>
    </row>
  </sheetData>
  <sortState ref="S2:T91">
    <sortCondition ref="S2:S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2023-07-21T12:54:09Z</dcterms:modified>
  <cp:category/>
  <cp:contentStatus/>
</cp:coreProperties>
</file>