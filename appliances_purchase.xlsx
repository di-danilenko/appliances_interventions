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4470" yWindow="-21600" windowWidth="19080" windowHeight="21600" firstSheet="1" activeTab="1"/>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Appliances!$AR$1:$AR$148</definedName>
    <definedName name="_xlnm._FilterDatabase" localSheetId="0" hidden="1">Usage!$A$1:$BN$53</definedName>
  </definedNames>
  <calcPr calcId="162913"/>
  <pivotCaches>
    <pivotCache cacheId="2"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118" i="4" l="1"/>
  <c r="BA119" i="4"/>
  <c r="BA120" i="4"/>
  <c r="BA121" i="4"/>
  <c r="BA122" i="4"/>
  <c r="BA123" i="4"/>
  <c r="BA124" i="4"/>
  <c r="BA125" i="4"/>
  <c r="BA126" i="4"/>
  <c r="BA127" i="4"/>
  <c r="BA128" i="4"/>
  <c r="BA129" i="4"/>
  <c r="BA130" i="4"/>
  <c r="BA117" i="4"/>
  <c r="BA147" i="4"/>
  <c r="BA146" i="4"/>
  <c r="BA145" i="4"/>
  <c r="BA144" i="4"/>
  <c r="BA131" i="4"/>
  <c r="BA116" i="4"/>
  <c r="BA115" i="4"/>
  <c r="BA114" i="4"/>
  <c r="BA113" i="4"/>
  <c r="BA112" i="4"/>
  <c r="BA111" i="4"/>
  <c r="BA110" i="4"/>
  <c r="BA109" i="4"/>
  <c r="BA108" i="4"/>
  <c r="BA101" i="4"/>
  <c r="BA100" i="4"/>
  <c r="BA99" i="4"/>
  <c r="BA98" i="4"/>
  <c r="BA97" i="4"/>
  <c r="BA96" i="4"/>
  <c r="BA95" i="4"/>
  <c r="BA94" i="4"/>
  <c r="BA93" i="4"/>
  <c r="BA92" i="4"/>
  <c r="BA91" i="4"/>
  <c r="BA90" i="4"/>
  <c r="BA89" i="4"/>
  <c r="BA88" i="4"/>
  <c r="BA87" i="4"/>
  <c r="BA86" i="4"/>
  <c r="BA85" i="4"/>
  <c r="BA84" i="4"/>
  <c r="BA83" i="4"/>
  <c r="BA82" i="4"/>
  <c r="BA81" i="4"/>
  <c r="BA80" i="4"/>
  <c r="BA79" i="4"/>
  <c r="BA78" i="4"/>
  <c r="BA77" i="4"/>
  <c r="BA76" i="4"/>
  <c r="BA75" i="4"/>
  <c r="BA74" i="4"/>
  <c r="BA73" i="4"/>
  <c r="BA72" i="4"/>
  <c r="BA71" i="4"/>
  <c r="BA70" i="4"/>
  <c r="BA69" i="4"/>
  <c r="BA68" i="4"/>
  <c r="BA67" i="4"/>
  <c r="BA66" i="4"/>
  <c r="BA65" i="4"/>
  <c r="BA63" i="4"/>
  <c r="BA62" i="4"/>
  <c r="BA64" i="4"/>
  <c r="BA61" i="4"/>
  <c r="BA60" i="4"/>
  <c r="BA59" i="4"/>
  <c r="BA58" i="4"/>
  <c r="BA57" i="4"/>
  <c r="BA56" i="4"/>
  <c r="BA55" i="4"/>
  <c r="BA54" i="4"/>
  <c r="BA47" i="4"/>
  <c r="BA46" i="4"/>
  <c r="BA45" i="4"/>
  <c r="BA44" i="4"/>
  <c r="BA43" i="4"/>
  <c r="BA42" i="4"/>
  <c r="BA41" i="4"/>
  <c r="BA40" i="4"/>
  <c r="BA39" i="4"/>
  <c r="BA38" i="4"/>
  <c r="BA37" i="4"/>
  <c r="BA36" i="4"/>
  <c r="BA35" i="4"/>
  <c r="BA34" i="4"/>
  <c r="BA27" i="4"/>
  <c r="BA26" i="4"/>
  <c r="BA25" i="4"/>
  <c r="BA24" i="4"/>
  <c r="BA23" i="4"/>
  <c r="BA22" i="4"/>
  <c r="BA21" i="4"/>
  <c r="CA148" i="4"/>
  <c r="CA2" i="4"/>
  <c r="CA9" i="4"/>
  <c r="CA138" i="4"/>
  <c r="CA139" i="4"/>
  <c r="AZ20" i="4" l="1"/>
  <c r="CD20" i="4" s="1"/>
  <c r="CE20" i="4" s="1"/>
  <c r="CF20" i="4" s="1"/>
  <c r="BA20" i="4"/>
  <c r="BF20" i="4"/>
  <c r="BW20" i="4"/>
  <c r="BX20" i="4" s="1"/>
  <c r="BY20" i="4" s="1"/>
  <c r="BZ20" i="4"/>
  <c r="CB20" i="4"/>
  <c r="CG20" i="4"/>
  <c r="AZ21" i="4"/>
  <c r="CD21" i="4" s="1"/>
  <c r="CE21" i="4" s="1"/>
  <c r="CF21" i="4" s="1"/>
  <c r="BF21" i="4"/>
  <c r="BZ21" i="4"/>
  <c r="CB21" i="4"/>
  <c r="CG21" i="4"/>
  <c r="AZ22" i="4"/>
  <c r="CD22" i="4" s="1"/>
  <c r="CE22" i="4" s="1"/>
  <c r="CF22" i="4" s="1"/>
  <c r="BF22" i="4"/>
  <c r="BZ22" i="4"/>
  <c r="CB22" i="4"/>
  <c r="CG22" i="4"/>
  <c r="BZ105" i="4"/>
  <c r="CB105" i="4"/>
  <c r="AZ105" i="4" s="1"/>
  <c r="CG105" i="4"/>
  <c r="BZ102" i="4"/>
  <c r="CB102" i="4"/>
  <c r="AZ102" i="4" s="1"/>
  <c r="CG102" i="4"/>
  <c r="BZ106" i="4"/>
  <c r="CB106" i="4"/>
  <c r="AZ106" i="4" s="1"/>
  <c r="BW106" i="4" s="1"/>
  <c r="BX106" i="4" s="1"/>
  <c r="BY106" i="4" s="1"/>
  <c r="CG106" i="4"/>
  <c r="BZ103" i="4"/>
  <c r="CB103" i="4"/>
  <c r="AZ103" i="4" s="1"/>
  <c r="BW103" i="4" s="1"/>
  <c r="BX103" i="4" s="1"/>
  <c r="BY103" i="4" s="1"/>
  <c r="CG103" i="4"/>
  <c r="BZ107" i="4"/>
  <c r="CB107" i="4"/>
  <c r="AZ107" i="4" s="1"/>
  <c r="CG107" i="4"/>
  <c r="BZ104" i="4"/>
  <c r="CB104" i="4"/>
  <c r="AZ104" i="4" s="1"/>
  <c r="BW104" i="4" s="1"/>
  <c r="BX104" i="4" s="1"/>
  <c r="BY104" i="4" s="1"/>
  <c r="CG104" i="4"/>
  <c r="AZ42" i="4"/>
  <c r="CD42" i="4" s="1"/>
  <c r="CE42" i="4" s="1"/>
  <c r="CF42" i="4" s="1"/>
  <c r="BZ42" i="4"/>
  <c r="CB42" i="4"/>
  <c r="CG42" i="4"/>
  <c r="AZ43" i="4"/>
  <c r="BZ43" i="4"/>
  <c r="CB43" i="4"/>
  <c r="CG43" i="4"/>
  <c r="AZ44" i="4"/>
  <c r="BZ44" i="4"/>
  <c r="CB44" i="4"/>
  <c r="CG44" i="4"/>
  <c r="AZ45" i="4"/>
  <c r="BZ45" i="4"/>
  <c r="CB45" i="4"/>
  <c r="CG45" i="4"/>
  <c r="AZ46" i="4"/>
  <c r="CD46" i="4" s="1"/>
  <c r="CE46" i="4" s="1"/>
  <c r="CF46" i="4" s="1"/>
  <c r="BZ46" i="4"/>
  <c r="CB46" i="4"/>
  <c r="CG46" i="4"/>
  <c r="AZ47" i="4"/>
  <c r="BZ47" i="4"/>
  <c r="CB47" i="4"/>
  <c r="CG47" i="4"/>
  <c r="BZ67" i="4"/>
  <c r="CB67" i="4"/>
  <c r="AZ67" i="4" s="1"/>
  <c r="BW67" i="4" s="1"/>
  <c r="BX67" i="4" s="1"/>
  <c r="BY67" i="4" s="1"/>
  <c r="CG67" i="4"/>
  <c r="BZ68" i="4"/>
  <c r="CB68" i="4"/>
  <c r="AZ68" i="4" s="1"/>
  <c r="CG68" i="4"/>
  <c r="BZ69" i="4"/>
  <c r="CB69" i="4"/>
  <c r="AZ69" i="4" s="1"/>
  <c r="BW69" i="4" s="1"/>
  <c r="BX69" i="4" s="1"/>
  <c r="BY69" i="4" s="1"/>
  <c r="CG69" i="4"/>
  <c r="BZ70" i="4"/>
  <c r="CB70" i="4"/>
  <c r="AZ70" i="4" s="1"/>
  <c r="CG70" i="4"/>
  <c r="BZ71" i="4"/>
  <c r="CB71" i="4"/>
  <c r="AZ71" i="4" s="1"/>
  <c r="CG71" i="4"/>
  <c r="BZ72" i="4"/>
  <c r="CB72" i="4"/>
  <c r="AZ72" i="4" s="1"/>
  <c r="BW72" i="4" s="1"/>
  <c r="BX72" i="4" s="1"/>
  <c r="BY72" i="4" s="1"/>
  <c r="CG72" i="4"/>
  <c r="BZ95" i="4"/>
  <c r="CB95" i="4"/>
  <c r="AZ95" i="4" s="1"/>
  <c r="BW95" i="4" s="1"/>
  <c r="BX95" i="4" s="1"/>
  <c r="BY95" i="4" s="1"/>
  <c r="CG95" i="4"/>
  <c r="BZ96" i="4"/>
  <c r="CB96" i="4"/>
  <c r="AZ96" i="4" s="1"/>
  <c r="CG96" i="4"/>
  <c r="BZ97" i="4"/>
  <c r="CB97" i="4"/>
  <c r="AZ97" i="4" s="1"/>
  <c r="BW97" i="4" s="1"/>
  <c r="BX97" i="4" s="1"/>
  <c r="BY97" i="4" s="1"/>
  <c r="CG97" i="4"/>
  <c r="BZ73" i="4"/>
  <c r="CB73" i="4"/>
  <c r="AZ73" i="4" s="1"/>
  <c r="CG73" i="4"/>
  <c r="BZ74" i="4"/>
  <c r="CB74" i="4"/>
  <c r="AZ74" i="4" s="1"/>
  <c r="BW74" i="4" s="1"/>
  <c r="BX74" i="4" s="1"/>
  <c r="BY74" i="4" s="1"/>
  <c r="CG74" i="4"/>
  <c r="BZ75" i="4"/>
  <c r="CB75" i="4"/>
  <c r="AZ75" i="4" s="1"/>
  <c r="CG75" i="4"/>
  <c r="BZ76" i="4"/>
  <c r="CB76" i="4"/>
  <c r="AZ76" i="4" s="1"/>
  <c r="CG76" i="4"/>
  <c r="BZ77" i="4"/>
  <c r="CB77" i="4"/>
  <c r="AZ77" i="4" s="1"/>
  <c r="BW77" i="4" s="1"/>
  <c r="BX77" i="4" s="1"/>
  <c r="BY77" i="4" s="1"/>
  <c r="CD77" i="4"/>
  <c r="CE77" i="4" s="1"/>
  <c r="CF77" i="4" s="1"/>
  <c r="CG77" i="4"/>
  <c r="BZ78" i="4"/>
  <c r="CB78" i="4"/>
  <c r="AZ78" i="4" s="1"/>
  <c r="BW78" i="4" s="1"/>
  <c r="BX78" i="4" s="1"/>
  <c r="BY78" i="4" s="1"/>
  <c r="CG78" i="4"/>
  <c r="AZ88" i="4"/>
  <c r="BW88" i="4" s="1"/>
  <c r="BX88" i="4" s="1"/>
  <c r="BY88" i="4" s="1"/>
  <c r="BZ88" i="4"/>
  <c r="CB88" i="4"/>
  <c r="CD88" i="4"/>
  <c r="CE88" i="4" s="1"/>
  <c r="CF88" i="4" s="1"/>
  <c r="CG88" i="4"/>
  <c r="AZ89" i="4"/>
  <c r="BW89" i="4" s="1"/>
  <c r="BX89" i="4" s="1"/>
  <c r="BY89" i="4" s="1"/>
  <c r="BZ89" i="4"/>
  <c r="CB89" i="4"/>
  <c r="CD89" i="4"/>
  <c r="CE89" i="4" s="1"/>
  <c r="CF89" i="4" s="1"/>
  <c r="CG89" i="4"/>
  <c r="AZ90" i="4"/>
  <c r="BW90" i="4" s="1"/>
  <c r="BX90" i="4" s="1"/>
  <c r="BY90" i="4" s="1"/>
  <c r="BZ90" i="4"/>
  <c r="CB90" i="4"/>
  <c r="CD90" i="4"/>
  <c r="CE90" i="4" s="1"/>
  <c r="CF90" i="4" s="1"/>
  <c r="CG90" i="4"/>
  <c r="AZ92" i="4"/>
  <c r="BW92" i="4" s="1"/>
  <c r="BX92" i="4" s="1"/>
  <c r="BY92" i="4" s="1"/>
  <c r="BZ92" i="4"/>
  <c r="CB92" i="4"/>
  <c r="CG92" i="4"/>
  <c r="AZ93" i="4"/>
  <c r="CD93" i="4" s="1"/>
  <c r="CE93" i="4" s="1"/>
  <c r="CF93" i="4" s="1"/>
  <c r="BZ93" i="4"/>
  <c r="CB93" i="4"/>
  <c r="CG93" i="4"/>
  <c r="AZ94" i="4"/>
  <c r="CD94" i="4" s="1"/>
  <c r="CE94" i="4" s="1"/>
  <c r="CF94" i="4" s="1"/>
  <c r="BZ94" i="4"/>
  <c r="CB94" i="4"/>
  <c r="CG94" i="4"/>
  <c r="AZ28" i="4"/>
  <c r="BW28" i="4" s="1"/>
  <c r="BX28" i="4" s="1"/>
  <c r="BY28" i="4" s="1"/>
  <c r="BZ28" i="4"/>
  <c r="CB28" i="4"/>
  <c r="CG28" i="4"/>
  <c r="AZ29" i="4"/>
  <c r="BZ29" i="4"/>
  <c r="CB29" i="4"/>
  <c r="CG29" i="4"/>
  <c r="AZ30" i="4"/>
  <c r="CD30" i="4" s="1"/>
  <c r="CE30" i="4" s="1"/>
  <c r="CF30" i="4" s="1"/>
  <c r="BW30" i="4"/>
  <c r="BX30" i="4" s="1"/>
  <c r="BY30" i="4" s="1"/>
  <c r="BZ30" i="4"/>
  <c r="CB30" i="4"/>
  <c r="CG30" i="4"/>
  <c r="AZ31" i="4"/>
  <c r="BW31" i="4" s="1"/>
  <c r="BX31" i="4" s="1"/>
  <c r="BY31" i="4" s="1"/>
  <c r="BZ31" i="4"/>
  <c r="CB31" i="4"/>
  <c r="CG31" i="4"/>
  <c r="AZ32" i="4"/>
  <c r="BZ32" i="4"/>
  <c r="CB32" i="4"/>
  <c r="CG32" i="4"/>
  <c r="AZ33" i="4"/>
  <c r="BW33" i="4" s="1"/>
  <c r="BX33" i="4" s="1"/>
  <c r="BY33" i="4" s="1"/>
  <c r="BZ33" i="4"/>
  <c r="CB33" i="4"/>
  <c r="CG33" i="4"/>
  <c r="AZ56" i="4"/>
  <c r="BW56" i="4" s="1"/>
  <c r="BX56" i="4" s="1"/>
  <c r="BY56" i="4" s="1"/>
  <c r="BZ56" i="4"/>
  <c r="CB56" i="4"/>
  <c r="CG56" i="4"/>
  <c r="AZ57" i="4"/>
  <c r="BZ57" i="4"/>
  <c r="CB57" i="4"/>
  <c r="CG57" i="4"/>
  <c r="AZ80" i="4"/>
  <c r="BW80" i="4" s="1"/>
  <c r="BX80" i="4" s="1"/>
  <c r="BY80" i="4" s="1"/>
  <c r="BZ80" i="4"/>
  <c r="CB80" i="4"/>
  <c r="CG80" i="4"/>
  <c r="AZ81" i="4"/>
  <c r="BZ81" i="4"/>
  <c r="CB81" i="4"/>
  <c r="CG81" i="4"/>
  <c r="AZ82" i="4"/>
  <c r="BW82" i="4" s="1"/>
  <c r="BX82" i="4" s="1"/>
  <c r="BY82" i="4" s="1"/>
  <c r="BZ82" i="4"/>
  <c r="CB82" i="4"/>
  <c r="CG82" i="4"/>
  <c r="AZ83" i="4"/>
  <c r="BZ83" i="4"/>
  <c r="CB83" i="4"/>
  <c r="CG83" i="4"/>
  <c r="AZ84" i="4"/>
  <c r="BW84" i="4" s="1"/>
  <c r="BX84" i="4" s="1"/>
  <c r="BY84" i="4" s="1"/>
  <c r="BZ84" i="4"/>
  <c r="CB84" i="4"/>
  <c r="CG84" i="4"/>
  <c r="AZ85" i="4"/>
  <c r="BW85" i="4" s="1"/>
  <c r="BX85" i="4" s="1"/>
  <c r="BY85" i="4" s="1"/>
  <c r="BZ85" i="4"/>
  <c r="CB85" i="4"/>
  <c r="CG85" i="4"/>
  <c r="AZ86" i="4"/>
  <c r="BW86" i="4" s="1"/>
  <c r="BX86" i="4" s="1"/>
  <c r="BY86" i="4" s="1"/>
  <c r="BZ86" i="4"/>
  <c r="CB86" i="4"/>
  <c r="CG86" i="4"/>
  <c r="AZ87" i="4"/>
  <c r="BZ87" i="4"/>
  <c r="CB87" i="4"/>
  <c r="CG87" i="4"/>
  <c r="BW23" i="4"/>
  <c r="BX23" i="4" s="1"/>
  <c r="BY23" i="4" s="1"/>
  <c r="BZ23" i="4"/>
  <c r="CB23" i="4"/>
  <c r="CD23" i="4"/>
  <c r="CE23" i="4" s="1"/>
  <c r="CF23" i="4" s="1"/>
  <c r="CG23" i="4"/>
  <c r="AW24" i="4"/>
  <c r="BW24" i="4"/>
  <c r="BX24" i="4" s="1"/>
  <c r="BY24" i="4" s="1"/>
  <c r="BZ24" i="4"/>
  <c r="CB24" i="4"/>
  <c r="CD24" i="4"/>
  <c r="CE24" i="4" s="1"/>
  <c r="CF24" i="4" s="1"/>
  <c r="CG24" i="4"/>
  <c r="AZ134" i="4"/>
  <c r="BC134" i="4"/>
  <c r="BZ134" i="4"/>
  <c r="CB134" i="4"/>
  <c r="CG134" i="4"/>
  <c r="AZ135" i="4"/>
  <c r="BC135" i="4"/>
  <c r="BZ135" i="4"/>
  <c r="CB135" i="4"/>
  <c r="CG135" i="4"/>
  <c r="AZ25" i="4"/>
  <c r="BW25" i="4" s="1"/>
  <c r="BX25" i="4" s="1"/>
  <c r="BY25" i="4" s="1"/>
  <c r="BZ25" i="4"/>
  <c r="CB25" i="4"/>
  <c r="CG25" i="4"/>
  <c r="AZ26" i="4"/>
  <c r="BW26" i="4" s="1"/>
  <c r="BX26" i="4" s="1"/>
  <c r="BY26" i="4" s="1"/>
  <c r="BZ26" i="4"/>
  <c r="CB26" i="4"/>
  <c r="CG26" i="4"/>
  <c r="AZ27" i="4"/>
  <c r="BW27" i="4" s="1"/>
  <c r="BX27" i="4" s="1"/>
  <c r="BY27" i="4" s="1"/>
  <c r="BZ27" i="4"/>
  <c r="CB27" i="4"/>
  <c r="CG27" i="4"/>
  <c r="AZ54" i="4"/>
  <c r="CD54" i="4" s="1"/>
  <c r="CE54" i="4" s="1"/>
  <c r="CF54" i="4" s="1"/>
  <c r="BZ54" i="4"/>
  <c r="CB54" i="4"/>
  <c r="CG54" i="4"/>
  <c r="AZ55" i="4"/>
  <c r="BW55" i="4" s="1"/>
  <c r="BX55" i="4" s="1"/>
  <c r="BY55" i="4" s="1"/>
  <c r="BZ55" i="4"/>
  <c r="CB55" i="4"/>
  <c r="CG55" i="4"/>
  <c r="AZ48" i="4"/>
  <c r="BW48" i="4" s="1"/>
  <c r="BX48" i="4" s="1"/>
  <c r="BY48" i="4" s="1"/>
  <c r="BA48" i="4"/>
  <c r="BZ48" i="4"/>
  <c r="CB48" i="4"/>
  <c r="CG48" i="4"/>
  <c r="AZ49" i="4"/>
  <c r="BW49" i="4" s="1"/>
  <c r="BX49" i="4" s="1"/>
  <c r="BY49" i="4" s="1"/>
  <c r="BA49" i="4"/>
  <c r="BZ49" i="4"/>
  <c r="CB49" i="4"/>
  <c r="CG49" i="4"/>
  <c r="AZ50" i="4"/>
  <c r="BW50" i="4" s="1"/>
  <c r="BX50" i="4" s="1"/>
  <c r="BY50" i="4" s="1"/>
  <c r="BA50" i="4"/>
  <c r="BZ50" i="4"/>
  <c r="CB50" i="4"/>
  <c r="CG50" i="4"/>
  <c r="AZ51" i="4"/>
  <c r="BW51" i="4" s="1"/>
  <c r="BX51" i="4" s="1"/>
  <c r="BY51" i="4" s="1"/>
  <c r="BA51" i="4"/>
  <c r="BZ51" i="4"/>
  <c r="CB51" i="4"/>
  <c r="CG51" i="4"/>
  <c r="AZ52" i="4"/>
  <c r="BW52" i="4" s="1"/>
  <c r="BX52" i="4" s="1"/>
  <c r="BY52" i="4" s="1"/>
  <c r="BA52" i="4"/>
  <c r="BZ52" i="4"/>
  <c r="CB52" i="4"/>
  <c r="CG52" i="4"/>
  <c r="AZ53" i="4"/>
  <c r="BW53" i="4" s="1"/>
  <c r="BX53" i="4" s="1"/>
  <c r="BY53" i="4" s="1"/>
  <c r="BA53" i="4"/>
  <c r="BZ53" i="4"/>
  <c r="CB53" i="4"/>
  <c r="CG53" i="4"/>
  <c r="AZ62" i="4"/>
  <c r="CD62" i="4" s="1"/>
  <c r="CE62" i="4" s="1"/>
  <c r="CF62" i="4" s="1"/>
  <c r="BZ62" i="4"/>
  <c r="CB62" i="4"/>
  <c r="CG62" i="4"/>
  <c r="AZ63" i="4"/>
  <c r="BW63" i="4" s="1"/>
  <c r="BX63" i="4" s="1"/>
  <c r="BY63" i="4" s="1"/>
  <c r="BZ63" i="4"/>
  <c r="CB63" i="4"/>
  <c r="CG63" i="4"/>
  <c r="AZ64" i="4"/>
  <c r="BW64" i="4" s="1"/>
  <c r="BX64" i="4" s="1"/>
  <c r="BY64" i="4" s="1"/>
  <c r="BZ64" i="4"/>
  <c r="CB64" i="4"/>
  <c r="CG64" i="4"/>
  <c r="BJ148" i="4"/>
  <c r="BZ148" i="4"/>
  <c r="CB148" i="4"/>
  <c r="AW148" i="4" s="1"/>
  <c r="CD148" i="4"/>
  <c r="CE148" i="4" s="1"/>
  <c r="CF148" i="4" s="1"/>
  <c r="CG148" i="4"/>
  <c r="AW98" i="4"/>
  <c r="BW98" i="4"/>
  <c r="BX98" i="4" s="1"/>
  <c r="BY98" i="4" s="1"/>
  <c r="BZ98" i="4"/>
  <c r="CB98" i="4"/>
  <c r="CD98" i="4"/>
  <c r="CE98" i="4" s="1"/>
  <c r="CF98" i="4" s="1"/>
  <c r="CG98" i="4"/>
  <c r="AW100" i="4"/>
  <c r="BW100" i="4"/>
  <c r="BX100" i="4" s="1"/>
  <c r="BY100" i="4" s="1"/>
  <c r="BZ100" i="4"/>
  <c r="CB100" i="4"/>
  <c r="CD100" i="4"/>
  <c r="CE100" i="4" s="1"/>
  <c r="CF100" i="4" s="1"/>
  <c r="CG100" i="4"/>
  <c r="AW99" i="4"/>
  <c r="BW99" i="4"/>
  <c r="BX99" i="4" s="1"/>
  <c r="BY99" i="4" s="1"/>
  <c r="BZ99" i="4"/>
  <c r="CB99" i="4"/>
  <c r="CD99" i="4"/>
  <c r="CE99" i="4" s="1"/>
  <c r="CF99" i="4" s="1"/>
  <c r="CG99" i="4"/>
  <c r="AW101" i="4"/>
  <c r="BW101" i="4"/>
  <c r="BX101" i="4" s="1"/>
  <c r="BY101" i="4" s="1"/>
  <c r="BZ101" i="4"/>
  <c r="CB101" i="4"/>
  <c r="CD101" i="4"/>
  <c r="CE101" i="4" s="1"/>
  <c r="CF101" i="4" s="1"/>
  <c r="CG101" i="4"/>
  <c r="AZ60" i="4"/>
  <c r="BW60" i="4" s="1"/>
  <c r="BX60" i="4" s="1"/>
  <c r="BY60" i="4" s="1"/>
  <c r="BZ60" i="4"/>
  <c r="CB60" i="4"/>
  <c r="CG60" i="4"/>
  <c r="AZ61" i="4"/>
  <c r="BW61" i="4" s="1"/>
  <c r="BX61" i="4" s="1"/>
  <c r="BY61" i="4" s="1"/>
  <c r="BZ61" i="4"/>
  <c r="CB61" i="4"/>
  <c r="CG61" i="4"/>
  <c r="AZ36" i="4"/>
  <c r="BW36" i="4" s="1"/>
  <c r="BX36" i="4" s="1"/>
  <c r="BY36" i="4" s="1"/>
  <c r="BZ36" i="4"/>
  <c r="CB36" i="4"/>
  <c r="CG36" i="4"/>
  <c r="AZ37" i="4"/>
  <c r="BW37" i="4" s="1"/>
  <c r="BX37" i="4" s="1"/>
  <c r="BY37" i="4" s="1"/>
  <c r="BZ37" i="4"/>
  <c r="CB37" i="4"/>
  <c r="CG37" i="4"/>
  <c r="AZ38" i="4"/>
  <c r="BW38" i="4" s="1"/>
  <c r="BX38" i="4" s="1"/>
  <c r="BY38" i="4" s="1"/>
  <c r="BZ38" i="4"/>
  <c r="CB38" i="4"/>
  <c r="CG38" i="4"/>
  <c r="AZ39" i="4"/>
  <c r="BW39" i="4" s="1"/>
  <c r="BX39" i="4" s="1"/>
  <c r="BY39" i="4" s="1"/>
  <c r="BZ39" i="4"/>
  <c r="CB39" i="4"/>
  <c r="CG39" i="4"/>
  <c r="AZ40" i="4"/>
  <c r="BW40" i="4" s="1"/>
  <c r="BX40" i="4" s="1"/>
  <c r="BY40" i="4" s="1"/>
  <c r="BZ40" i="4"/>
  <c r="CB40" i="4"/>
  <c r="CG40" i="4"/>
  <c r="AZ41" i="4"/>
  <c r="BW41" i="4" s="1"/>
  <c r="BX41" i="4" s="1"/>
  <c r="BY41" i="4" s="1"/>
  <c r="BZ41" i="4"/>
  <c r="CB41" i="4"/>
  <c r="CG41" i="4"/>
  <c r="AU2" i="4"/>
  <c r="BZ2" i="4"/>
  <c r="CB2" i="4"/>
  <c r="AZ2" i="4" s="1"/>
  <c r="CG2" i="4"/>
  <c r="AU3" i="4"/>
  <c r="BZ3" i="4"/>
  <c r="CA3" i="4"/>
  <c r="CB3" i="4"/>
  <c r="AZ3" i="4" s="1"/>
  <c r="CG3" i="4"/>
  <c r="AU4" i="4"/>
  <c r="BZ4" i="4"/>
  <c r="CA4" i="4"/>
  <c r="BW4" i="4" s="1"/>
  <c r="BX4" i="4" s="1"/>
  <c r="BY4" i="4" s="1"/>
  <c r="CB4" i="4"/>
  <c r="AZ4" i="4" s="1"/>
  <c r="CG4" i="4"/>
  <c r="AU5" i="4"/>
  <c r="BZ5" i="4"/>
  <c r="CA5" i="4"/>
  <c r="BW5" i="4" s="1"/>
  <c r="BX5" i="4" s="1"/>
  <c r="BY5" i="4" s="1"/>
  <c r="CB5" i="4"/>
  <c r="AZ5" i="4" s="1"/>
  <c r="CG5" i="4"/>
  <c r="AU6" i="4"/>
  <c r="BZ6" i="4"/>
  <c r="CA6" i="4"/>
  <c r="CB6" i="4"/>
  <c r="AZ6" i="4" s="1"/>
  <c r="CG6" i="4"/>
  <c r="AU7" i="4"/>
  <c r="BZ7" i="4"/>
  <c r="CA7" i="4"/>
  <c r="CB7" i="4"/>
  <c r="AZ7" i="4" s="1"/>
  <c r="CG7" i="4"/>
  <c r="AU9" i="4"/>
  <c r="BZ9" i="4"/>
  <c r="BW9" i="4"/>
  <c r="BX9" i="4" s="1"/>
  <c r="BY9" i="4" s="1"/>
  <c r="CB9" i="4"/>
  <c r="AZ9" i="4" s="1"/>
  <c r="CG9" i="4"/>
  <c r="AU8" i="4"/>
  <c r="BZ8" i="4"/>
  <c r="CA8" i="4"/>
  <c r="CB8" i="4"/>
  <c r="AZ8" i="4" s="1"/>
  <c r="CG8" i="4"/>
  <c r="AZ65" i="4"/>
  <c r="BW65" i="4" s="1"/>
  <c r="BX65" i="4" s="1"/>
  <c r="BY65" i="4" s="1"/>
  <c r="BZ65" i="4"/>
  <c r="CB65" i="4"/>
  <c r="CG65" i="4"/>
  <c r="AZ66" i="4"/>
  <c r="BW66" i="4" s="1"/>
  <c r="BX66" i="4" s="1"/>
  <c r="BY66" i="4" s="1"/>
  <c r="BZ66" i="4"/>
  <c r="CB66" i="4"/>
  <c r="CG66" i="4"/>
  <c r="BZ144" i="4"/>
  <c r="CB144" i="4"/>
  <c r="AZ144" i="4" s="1"/>
  <c r="BW144" i="4" s="1"/>
  <c r="BX144" i="4" s="1"/>
  <c r="BY144" i="4" s="1"/>
  <c r="CG144" i="4"/>
  <c r="BZ145" i="4"/>
  <c r="CB145" i="4"/>
  <c r="AZ145" i="4" s="1"/>
  <c r="CG145" i="4"/>
  <c r="BZ146" i="4"/>
  <c r="CB146" i="4"/>
  <c r="AZ146" i="4" s="1"/>
  <c r="BW146" i="4" s="1"/>
  <c r="BX146" i="4" s="1"/>
  <c r="BY146" i="4" s="1"/>
  <c r="CG146" i="4"/>
  <c r="BZ147" i="4"/>
  <c r="CB147" i="4"/>
  <c r="AZ147" i="4" s="1"/>
  <c r="CG147" i="4"/>
  <c r="BZ91" i="4"/>
  <c r="CB91" i="4"/>
  <c r="AZ91" i="4" s="1"/>
  <c r="CG91" i="4"/>
  <c r="BZ79" i="4"/>
  <c r="CB79" i="4"/>
  <c r="AZ79" i="4" s="1"/>
  <c r="CG79" i="4"/>
  <c r="AW129" i="4"/>
  <c r="BW129" i="4"/>
  <c r="BX129" i="4" s="1"/>
  <c r="BY129" i="4" s="1"/>
  <c r="BZ129" i="4"/>
  <c r="CB129" i="4"/>
  <c r="CD129" i="4"/>
  <c r="CE129" i="4" s="1"/>
  <c r="CF129" i="4" s="1"/>
  <c r="CG129" i="4"/>
  <c r="AW130" i="4"/>
  <c r="BW130" i="4"/>
  <c r="BX130" i="4" s="1"/>
  <c r="BY130" i="4" s="1"/>
  <c r="BZ130" i="4"/>
  <c r="CB130" i="4"/>
  <c r="CD130" i="4"/>
  <c r="CE130" i="4" s="1"/>
  <c r="CF130" i="4" s="1"/>
  <c r="CG130" i="4"/>
  <c r="BH131" i="4"/>
  <c r="BZ131" i="4" s="1"/>
  <c r="BJ131" i="4"/>
  <c r="CG131" i="4"/>
  <c r="BH132" i="4"/>
  <c r="CB132" i="4" s="1"/>
  <c r="AZ132" i="4" s="1"/>
  <c r="BJ132" i="4"/>
  <c r="CG132" i="4"/>
  <c r="BH138" i="4"/>
  <c r="BZ138" i="4" s="1"/>
  <c r="BJ138" i="4"/>
  <c r="BW138" i="4" s="1"/>
  <c r="BX138" i="4" s="1"/>
  <c r="CD138" i="4"/>
  <c r="CE138" i="4" s="1"/>
  <c r="CF138" i="4" s="1"/>
  <c r="CG138" i="4"/>
  <c r="BH139" i="4"/>
  <c r="CB139" i="4" s="1"/>
  <c r="BJ139" i="4"/>
  <c r="CD139" i="4"/>
  <c r="CE139" i="4" s="1"/>
  <c r="CF139" i="4" s="1"/>
  <c r="CG139" i="4"/>
  <c r="BA143" i="4"/>
  <c r="BP143" i="4"/>
  <c r="BZ143" i="4"/>
  <c r="CB143" i="4"/>
  <c r="AZ143" i="4" s="1"/>
  <c r="BW143" i="4" s="1"/>
  <c r="BX143" i="4" s="1"/>
  <c r="BY143" i="4" s="1"/>
  <c r="CG143" i="4"/>
  <c r="BZ133" i="4"/>
  <c r="CB133" i="4"/>
  <c r="AZ133" i="4" s="1"/>
  <c r="CG133" i="4"/>
  <c r="BZ140" i="4"/>
  <c r="CA140" i="4"/>
  <c r="BW140" i="4" s="1"/>
  <c r="BX140" i="4" s="1"/>
  <c r="BY140" i="4" s="1"/>
  <c r="CB140" i="4"/>
  <c r="AW140" i="4" s="1"/>
  <c r="CD140" i="4"/>
  <c r="CE140" i="4" s="1"/>
  <c r="CF140" i="4" s="1"/>
  <c r="CG140" i="4"/>
  <c r="BZ141" i="4"/>
  <c r="CB141" i="4"/>
  <c r="AZ141" i="4" s="1"/>
  <c r="CD141" i="4" s="1"/>
  <c r="CE141" i="4" s="1"/>
  <c r="CF141" i="4" s="1"/>
  <c r="CG141" i="4"/>
  <c r="BZ142" i="4"/>
  <c r="CB142" i="4"/>
  <c r="AZ142" i="4" s="1"/>
  <c r="CD142" i="4" s="1"/>
  <c r="CE142" i="4" s="1"/>
  <c r="CF142" i="4" s="1"/>
  <c r="CG142" i="4"/>
  <c r="BI58" i="4"/>
  <c r="CG58" i="4" s="1"/>
  <c r="BZ58" i="4"/>
  <c r="CB58" i="4"/>
  <c r="AZ58" i="4" s="1"/>
  <c r="BW58" i="4" s="1"/>
  <c r="BX58" i="4" s="1"/>
  <c r="BY58" i="4" s="1"/>
  <c r="BI59" i="4"/>
  <c r="CG59" i="4" s="1"/>
  <c r="BZ59" i="4"/>
  <c r="CB59" i="4"/>
  <c r="AZ59" i="4" s="1"/>
  <c r="BW59" i="4" s="1"/>
  <c r="BX59" i="4" s="1"/>
  <c r="BY59" i="4" s="1"/>
  <c r="BI34" i="4"/>
  <c r="CG34" i="4" s="1"/>
  <c r="BZ34" i="4"/>
  <c r="CB34" i="4"/>
  <c r="AZ34" i="4" s="1"/>
  <c r="BW34" i="4" s="1"/>
  <c r="BX34" i="4" s="1"/>
  <c r="BY34" i="4" s="1"/>
  <c r="BI35" i="4"/>
  <c r="CG35" i="4" s="1"/>
  <c r="BZ35" i="4"/>
  <c r="CB35" i="4"/>
  <c r="AZ35" i="4" s="1"/>
  <c r="BW35" i="4" s="1"/>
  <c r="BX35" i="4" s="1"/>
  <c r="BY35" i="4" s="1"/>
  <c r="BZ10" i="4"/>
  <c r="CB10" i="4"/>
  <c r="AZ10" i="4" s="1"/>
  <c r="BW10" i="4" s="1"/>
  <c r="BX10" i="4" s="1"/>
  <c r="BY10" i="4" s="1"/>
  <c r="CG10" i="4"/>
  <c r="BZ11" i="4"/>
  <c r="CB11" i="4"/>
  <c r="AZ11" i="4" s="1"/>
  <c r="BW11" i="4" s="1"/>
  <c r="BX11" i="4" s="1"/>
  <c r="BY11" i="4" s="1"/>
  <c r="CG11" i="4"/>
  <c r="BZ12" i="4"/>
  <c r="CB12" i="4"/>
  <c r="AZ12" i="4" s="1"/>
  <c r="BW12" i="4" s="1"/>
  <c r="BX12" i="4" s="1"/>
  <c r="BY12" i="4" s="1"/>
  <c r="CG12" i="4"/>
  <c r="BZ13" i="4"/>
  <c r="CB13" i="4"/>
  <c r="AZ13" i="4" s="1"/>
  <c r="BW13" i="4" s="1"/>
  <c r="BX13" i="4" s="1"/>
  <c r="BY13" i="4" s="1"/>
  <c r="CG13" i="4"/>
  <c r="BZ14" i="4"/>
  <c r="CB14" i="4"/>
  <c r="AZ14" i="4" s="1"/>
  <c r="BW14" i="4" s="1"/>
  <c r="BX14" i="4" s="1"/>
  <c r="BY14" i="4" s="1"/>
  <c r="CG14" i="4"/>
  <c r="BZ15" i="4"/>
  <c r="CB15" i="4"/>
  <c r="AZ15" i="4" s="1"/>
  <c r="BW15" i="4" s="1"/>
  <c r="BX15" i="4" s="1"/>
  <c r="BY15" i="4" s="1"/>
  <c r="CG15" i="4"/>
  <c r="BZ16" i="4"/>
  <c r="CB16" i="4"/>
  <c r="AZ16" i="4" s="1"/>
  <c r="BW16" i="4" s="1"/>
  <c r="BX16" i="4" s="1"/>
  <c r="BY16" i="4" s="1"/>
  <c r="CG16" i="4"/>
  <c r="BZ17" i="4"/>
  <c r="CB17" i="4"/>
  <c r="AZ17" i="4" s="1"/>
  <c r="BW17" i="4" s="1"/>
  <c r="BX17" i="4" s="1"/>
  <c r="BY17" i="4" s="1"/>
  <c r="CG17" i="4"/>
  <c r="BZ18" i="4"/>
  <c r="CB18" i="4"/>
  <c r="AZ18" i="4" s="1"/>
  <c r="BW18" i="4" s="1"/>
  <c r="BX18" i="4" s="1"/>
  <c r="BY18" i="4" s="1"/>
  <c r="CG18" i="4"/>
  <c r="BZ19" i="4"/>
  <c r="CB19" i="4"/>
  <c r="AZ19" i="4" s="1"/>
  <c r="BW19" i="4" s="1"/>
  <c r="BX19" i="4" s="1"/>
  <c r="BY19" i="4" s="1"/>
  <c r="CG19" i="4"/>
  <c r="BZ114" i="4"/>
  <c r="CB114" i="4"/>
  <c r="AZ114" i="4" s="1"/>
  <c r="BW114" i="4" s="1"/>
  <c r="BX114" i="4" s="1"/>
  <c r="BY114" i="4" s="1"/>
  <c r="CG114" i="4"/>
  <c r="BZ115" i="4"/>
  <c r="CB115" i="4"/>
  <c r="AZ115" i="4" s="1"/>
  <c r="BW115" i="4" s="1"/>
  <c r="BX115" i="4" s="1"/>
  <c r="BY115" i="4" s="1"/>
  <c r="CG115" i="4"/>
  <c r="BZ116" i="4"/>
  <c r="CB116" i="4"/>
  <c r="AZ116" i="4" s="1"/>
  <c r="BW116" i="4" s="1"/>
  <c r="BX116" i="4" s="1"/>
  <c r="BY116" i="4" s="1"/>
  <c r="CG116" i="4"/>
  <c r="BA136" i="4"/>
  <c r="BZ136" i="4"/>
  <c r="CB136" i="4"/>
  <c r="AZ136" i="4" s="1"/>
  <c r="CG136" i="4"/>
  <c r="BZ108" i="4"/>
  <c r="CB108" i="4"/>
  <c r="AZ108" i="4" s="1"/>
  <c r="BW108" i="4" s="1"/>
  <c r="BX108" i="4" s="1"/>
  <c r="BY108" i="4" s="1"/>
  <c r="CG108" i="4"/>
  <c r="BZ109" i="4"/>
  <c r="CB109" i="4"/>
  <c r="AZ109" i="4" s="1"/>
  <c r="BW109" i="4" s="1"/>
  <c r="BX109" i="4" s="1"/>
  <c r="BY109" i="4" s="1"/>
  <c r="CG109" i="4"/>
  <c r="BZ110" i="4"/>
  <c r="CB110" i="4"/>
  <c r="AZ110" i="4" s="1"/>
  <c r="BW110" i="4" s="1"/>
  <c r="BX110" i="4" s="1"/>
  <c r="BY110" i="4" s="1"/>
  <c r="CG110" i="4"/>
  <c r="BZ111" i="4"/>
  <c r="CB111" i="4"/>
  <c r="AZ111" i="4" s="1"/>
  <c r="BW111" i="4" s="1"/>
  <c r="BX111" i="4" s="1"/>
  <c r="BY111" i="4" s="1"/>
  <c r="CG111" i="4"/>
  <c r="BZ112" i="4"/>
  <c r="CB112" i="4"/>
  <c r="AZ112" i="4" s="1"/>
  <c r="BW112" i="4" s="1"/>
  <c r="BX112" i="4" s="1"/>
  <c r="BY112" i="4" s="1"/>
  <c r="CG112" i="4"/>
  <c r="BZ113" i="4"/>
  <c r="CB113" i="4"/>
  <c r="AZ113" i="4" s="1"/>
  <c r="BW113" i="4" s="1"/>
  <c r="BX113" i="4" s="1"/>
  <c r="BY113" i="4" s="1"/>
  <c r="CG113" i="4"/>
  <c r="BZ137" i="4"/>
  <c r="CB137" i="4"/>
  <c r="AZ137" i="4" s="1"/>
  <c r="CA137" i="4" s="1"/>
  <c r="BW137" i="4" s="1"/>
  <c r="BX137" i="4" s="1"/>
  <c r="BY137" i="4" s="1"/>
  <c r="CG137" i="4"/>
  <c r="BZ119" i="4"/>
  <c r="CB119" i="4"/>
  <c r="AZ119" i="4" s="1"/>
  <c r="BW119" i="4" s="1"/>
  <c r="BX119" i="4" s="1"/>
  <c r="BY119" i="4" s="1"/>
  <c r="CG119" i="4"/>
  <c r="BZ120" i="4"/>
  <c r="CB120" i="4"/>
  <c r="AZ120" i="4" s="1"/>
  <c r="BW120" i="4" s="1"/>
  <c r="BX120" i="4" s="1"/>
  <c r="BY120" i="4" s="1"/>
  <c r="CG120" i="4"/>
  <c r="BZ117" i="4"/>
  <c r="CB117" i="4"/>
  <c r="AZ117" i="4" s="1"/>
  <c r="BW117" i="4" s="1"/>
  <c r="BX117" i="4" s="1"/>
  <c r="BY117" i="4" s="1"/>
  <c r="CG117" i="4"/>
  <c r="BZ118" i="4"/>
  <c r="CB118" i="4"/>
  <c r="AZ118" i="4" s="1"/>
  <c r="CD118" i="4" s="1"/>
  <c r="CE118" i="4" s="1"/>
  <c r="CF118" i="4" s="1"/>
  <c r="CG118" i="4"/>
  <c r="BZ121" i="4"/>
  <c r="CB121" i="4"/>
  <c r="AZ121" i="4" s="1"/>
  <c r="BW121" i="4" s="1"/>
  <c r="BX121" i="4" s="1"/>
  <c r="BY121" i="4" s="1"/>
  <c r="CG121" i="4"/>
  <c r="BZ122" i="4"/>
  <c r="CB122" i="4"/>
  <c r="AZ122" i="4" s="1"/>
  <c r="BW122" i="4" s="1"/>
  <c r="BX122" i="4" s="1"/>
  <c r="BY122" i="4" s="1"/>
  <c r="CG122" i="4"/>
  <c r="BZ123" i="4"/>
  <c r="CB123" i="4"/>
  <c r="AZ123" i="4" s="1"/>
  <c r="BW123" i="4" s="1"/>
  <c r="BX123" i="4" s="1"/>
  <c r="BY123" i="4" s="1"/>
  <c r="CG123" i="4"/>
  <c r="BZ124" i="4"/>
  <c r="CB124" i="4"/>
  <c r="AZ124" i="4" s="1"/>
  <c r="BW124" i="4" s="1"/>
  <c r="BX124" i="4" s="1"/>
  <c r="BY124" i="4" s="1"/>
  <c r="CG124" i="4"/>
  <c r="BZ125" i="4"/>
  <c r="CB125" i="4"/>
  <c r="AZ125" i="4" s="1"/>
  <c r="BW125" i="4" s="1"/>
  <c r="BX125" i="4" s="1"/>
  <c r="BY125" i="4" s="1"/>
  <c r="CG125" i="4"/>
  <c r="BZ126" i="4"/>
  <c r="CB126" i="4"/>
  <c r="AZ126" i="4" s="1"/>
  <c r="BW126" i="4" s="1"/>
  <c r="BX126" i="4" s="1"/>
  <c r="BY126" i="4" s="1"/>
  <c r="CG126" i="4"/>
  <c r="BZ127" i="4"/>
  <c r="CB127" i="4"/>
  <c r="AZ127" i="4" s="1"/>
  <c r="BW127" i="4" s="1"/>
  <c r="BX127" i="4" s="1"/>
  <c r="BY127" i="4" s="1"/>
  <c r="CG127" i="4"/>
  <c r="BZ128" i="4"/>
  <c r="CB128" i="4"/>
  <c r="AZ128" i="4" s="1"/>
  <c r="BW128" i="4" s="1"/>
  <c r="BX128" i="4" s="1"/>
  <c r="BY128" i="4" s="1"/>
  <c r="CG128" i="4"/>
  <c r="CD33" i="4" l="1"/>
  <c r="CE33" i="4" s="1"/>
  <c r="CF33" i="4" s="1"/>
  <c r="BW21" i="4"/>
  <c r="BX21" i="4" s="1"/>
  <c r="BY21" i="4" s="1"/>
  <c r="CD31" i="4"/>
  <c r="CE31" i="4" s="1"/>
  <c r="CF31" i="4" s="1"/>
  <c r="CD74" i="4"/>
  <c r="CE74" i="4" s="1"/>
  <c r="CF74" i="4" s="1"/>
  <c r="BW22" i="4"/>
  <c r="BX22" i="4" s="1"/>
  <c r="BY22" i="4" s="1"/>
  <c r="CD26" i="4"/>
  <c r="CE26" i="4" s="1"/>
  <c r="CF26" i="4" s="1"/>
  <c r="CD51" i="4"/>
  <c r="CE51" i="4" s="1"/>
  <c r="CF51" i="4" s="1"/>
  <c r="BW118" i="4"/>
  <c r="BX118" i="4" s="1"/>
  <c r="BY118" i="4" s="1"/>
  <c r="CB138" i="4"/>
  <c r="BY138" i="4"/>
  <c r="CD36" i="4"/>
  <c r="CE36" i="4" s="1"/>
  <c r="CF36" i="4" s="1"/>
  <c r="CD136" i="4"/>
  <c r="CE136" i="4" s="1"/>
  <c r="CF136" i="4" s="1"/>
  <c r="CA136" i="4"/>
  <c r="CD135" i="4"/>
  <c r="CE135" i="4" s="1"/>
  <c r="CF135" i="4" s="1"/>
  <c r="CA135" i="4"/>
  <c r="BW135" i="4" s="1"/>
  <c r="BX135" i="4" s="1"/>
  <c r="BY135" i="4" s="1"/>
  <c r="CD132" i="4"/>
  <c r="CE132" i="4" s="1"/>
  <c r="CF132" i="4" s="1"/>
  <c r="CA132" i="4"/>
  <c r="CD133" i="4"/>
  <c r="CE133" i="4" s="1"/>
  <c r="CF133" i="4" s="1"/>
  <c r="CA133" i="4"/>
  <c r="BW133" i="4" s="1"/>
  <c r="BX133" i="4" s="1"/>
  <c r="BY133" i="4" s="1"/>
  <c r="CD52" i="4"/>
  <c r="CE52" i="4" s="1"/>
  <c r="CF52" i="4" s="1"/>
  <c r="CD80" i="4"/>
  <c r="CE80" i="4" s="1"/>
  <c r="CF80" i="4" s="1"/>
  <c r="CD134" i="4"/>
  <c r="CE134" i="4" s="1"/>
  <c r="CF134" i="4" s="1"/>
  <c r="CA134" i="4"/>
  <c r="BW134" i="4" s="1"/>
  <c r="BX134" i="4" s="1"/>
  <c r="BY134" i="4" s="1"/>
  <c r="BW94" i="4"/>
  <c r="BX94" i="4" s="1"/>
  <c r="BY94" i="4" s="1"/>
  <c r="BW93" i="4"/>
  <c r="BX93" i="4" s="1"/>
  <c r="BY93" i="4" s="1"/>
  <c r="BW42" i="4"/>
  <c r="BX42" i="4" s="1"/>
  <c r="BY42" i="4" s="1"/>
  <c r="BZ139" i="4"/>
  <c r="CD5" i="4"/>
  <c r="CE5" i="4" s="1"/>
  <c r="CF5" i="4" s="1"/>
  <c r="CD60" i="4"/>
  <c r="CE60" i="4" s="1"/>
  <c r="CF60" i="4" s="1"/>
  <c r="CD84" i="4"/>
  <c r="CE84" i="4" s="1"/>
  <c r="CF84" i="4" s="1"/>
  <c r="CD56" i="4"/>
  <c r="CE56" i="4" s="1"/>
  <c r="CF56" i="4" s="1"/>
  <c r="CD28" i="4"/>
  <c r="CE28" i="4" s="1"/>
  <c r="CF28" i="4" s="1"/>
  <c r="CB131" i="4"/>
  <c r="AZ131" i="4" s="1"/>
  <c r="CD50" i="4"/>
  <c r="CE50" i="4" s="1"/>
  <c r="CF50" i="4" s="1"/>
  <c r="CD25" i="4"/>
  <c r="CE25" i="4" s="1"/>
  <c r="CF25" i="4" s="1"/>
  <c r="CD72" i="4"/>
  <c r="CE72" i="4" s="1"/>
  <c r="CF72" i="4" s="1"/>
  <c r="CD69" i="4"/>
  <c r="CE69" i="4" s="1"/>
  <c r="CF69" i="4" s="1"/>
  <c r="BW46" i="4"/>
  <c r="BX46" i="4" s="1"/>
  <c r="BY46" i="4" s="1"/>
  <c r="CD40" i="4"/>
  <c r="CE40" i="4" s="1"/>
  <c r="CF40" i="4" s="1"/>
  <c r="CD38" i="4"/>
  <c r="CE38" i="4" s="1"/>
  <c r="CF38" i="4" s="1"/>
  <c r="CD63" i="4"/>
  <c r="CE63" i="4" s="1"/>
  <c r="CF63" i="4" s="1"/>
  <c r="CD55" i="4"/>
  <c r="CE55" i="4" s="1"/>
  <c r="CF55" i="4" s="1"/>
  <c r="CD86" i="4"/>
  <c r="CE86" i="4" s="1"/>
  <c r="CF86" i="4" s="1"/>
  <c r="CD112" i="4"/>
  <c r="CE112" i="4" s="1"/>
  <c r="CF112" i="4" s="1"/>
  <c r="CD110" i="4"/>
  <c r="CE110" i="4" s="1"/>
  <c r="CF110" i="4" s="1"/>
  <c r="CD108" i="4"/>
  <c r="CE108" i="4" s="1"/>
  <c r="CF108" i="4" s="1"/>
  <c r="CD34" i="4"/>
  <c r="CE34" i="4" s="1"/>
  <c r="CF34" i="4" s="1"/>
  <c r="CD66" i="4"/>
  <c r="CE66" i="4" s="1"/>
  <c r="CF66" i="4" s="1"/>
  <c r="CD4" i="4"/>
  <c r="CE4" i="4" s="1"/>
  <c r="CF4" i="4" s="1"/>
  <c r="CD39" i="4"/>
  <c r="CE39" i="4" s="1"/>
  <c r="CF39" i="4" s="1"/>
  <c r="CD37" i="4"/>
  <c r="CE37" i="4" s="1"/>
  <c r="CF37" i="4" s="1"/>
  <c r="CD53" i="4"/>
  <c r="CE53" i="4" s="1"/>
  <c r="CF53" i="4" s="1"/>
  <c r="CD27" i="4"/>
  <c r="CE27" i="4" s="1"/>
  <c r="CF27" i="4" s="1"/>
  <c r="CD78" i="4"/>
  <c r="CE78" i="4" s="1"/>
  <c r="CF78" i="4" s="1"/>
  <c r="CD67" i="4"/>
  <c r="CE67" i="4" s="1"/>
  <c r="CF67" i="4" s="1"/>
  <c r="CD106" i="4"/>
  <c r="CE106" i="4" s="1"/>
  <c r="CF106" i="4" s="1"/>
  <c r="BA139" i="4"/>
  <c r="BA138" i="4"/>
  <c r="BA148" i="4"/>
  <c r="CD119" i="4"/>
  <c r="CE119" i="4" s="1"/>
  <c r="CF119" i="4" s="1"/>
  <c r="CD137" i="4"/>
  <c r="CE137" i="4" s="1"/>
  <c r="CF137" i="4" s="1"/>
  <c r="CD113" i="4"/>
  <c r="CE113" i="4" s="1"/>
  <c r="CF113" i="4" s="1"/>
  <c r="CD111" i="4"/>
  <c r="CE111" i="4" s="1"/>
  <c r="CF111" i="4" s="1"/>
  <c r="CD109" i="4"/>
  <c r="CE109" i="4" s="1"/>
  <c r="CF109" i="4" s="1"/>
  <c r="CD10" i="4"/>
  <c r="CE10" i="4" s="1"/>
  <c r="CF10" i="4" s="1"/>
  <c r="CD143" i="4"/>
  <c r="CE143" i="4" s="1"/>
  <c r="CF143" i="4" s="1"/>
  <c r="CD144" i="4"/>
  <c r="CE144" i="4" s="1"/>
  <c r="CF144" i="4" s="1"/>
  <c r="CD65" i="4"/>
  <c r="CE65" i="4" s="1"/>
  <c r="CF65" i="4" s="1"/>
  <c r="CD41" i="4"/>
  <c r="CE41" i="4" s="1"/>
  <c r="CF41" i="4" s="1"/>
  <c r="CD61" i="4"/>
  <c r="CE61" i="4" s="1"/>
  <c r="CF61" i="4" s="1"/>
  <c r="BW62" i="4"/>
  <c r="BX62" i="4" s="1"/>
  <c r="BY62" i="4" s="1"/>
  <c r="CD49" i="4"/>
  <c r="CE49" i="4" s="1"/>
  <c r="CF49" i="4" s="1"/>
  <c r="BW54" i="4"/>
  <c r="BX54" i="4" s="1"/>
  <c r="BY54" i="4" s="1"/>
  <c r="CD97" i="4"/>
  <c r="CE97" i="4" s="1"/>
  <c r="CF97" i="4" s="1"/>
  <c r="CD95" i="4"/>
  <c r="CE95" i="4" s="1"/>
  <c r="CF95" i="4" s="1"/>
  <c r="CD103" i="4"/>
  <c r="CE103" i="4" s="1"/>
  <c r="CF103" i="4" s="1"/>
  <c r="CD64" i="4"/>
  <c r="CE64" i="4" s="1"/>
  <c r="CF64" i="4" s="1"/>
  <c r="CD48" i="4"/>
  <c r="CE48" i="4" s="1"/>
  <c r="CF48" i="4" s="1"/>
  <c r="CD85" i="4"/>
  <c r="CE85" i="4" s="1"/>
  <c r="CF85" i="4" s="1"/>
  <c r="BA132" i="4"/>
  <c r="BW132" i="4"/>
  <c r="BX132" i="4" s="1"/>
  <c r="BY132" i="4" s="1"/>
  <c r="BW68" i="4"/>
  <c r="BX68" i="4" s="1"/>
  <c r="BY68" i="4" s="1"/>
  <c r="CD68" i="4"/>
  <c r="CE68" i="4" s="1"/>
  <c r="CF68" i="4" s="1"/>
  <c r="CD128" i="4"/>
  <c r="CE128" i="4" s="1"/>
  <c r="CF128" i="4" s="1"/>
  <c r="CD127" i="4"/>
  <c r="CE127" i="4" s="1"/>
  <c r="CF127" i="4" s="1"/>
  <c r="CD126" i="4"/>
  <c r="CE126" i="4" s="1"/>
  <c r="CF126" i="4" s="1"/>
  <c r="CD125" i="4"/>
  <c r="CE125" i="4" s="1"/>
  <c r="CF125" i="4" s="1"/>
  <c r="CD124" i="4"/>
  <c r="CE124" i="4" s="1"/>
  <c r="CF124" i="4" s="1"/>
  <c r="CD123" i="4"/>
  <c r="CE123" i="4" s="1"/>
  <c r="CF123" i="4" s="1"/>
  <c r="CD122" i="4"/>
  <c r="CE122" i="4" s="1"/>
  <c r="CF122" i="4" s="1"/>
  <c r="CD121" i="4"/>
  <c r="CE121" i="4" s="1"/>
  <c r="CF121" i="4" s="1"/>
  <c r="CD116" i="4"/>
  <c r="CE116" i="4" s="1"/>
  <c r="CF116" i="4" s="1"/>
  <c r="CD115" i="4"/>
  <c r="CE115" i="4" s="1"/>
  <c r="CF115" i="4" s="1"/>
  <c r="CD114" i="4"/>
  <c r="CE114" i="4" s="1"/>
  <c r="CF114" i="4" s="1"/>
  <c r="CD19" i="4"/>
  <c r="CE19" i="4" s="1"/>
  <c r="CF19" i="4" s="1"/>
  <c r="CD17" i="4"/>
  <c r="CE17" i="4" s="1"/>
  <c r="CF17" i="4" s="1"/>
  <c r="CD15" i="4"/>
  <c r="CE15" i="4" s="1"/>
  <c r="CF15" i="4" s="1"/>
  <c r="CD13" i="4"/>
  <c r="CE13" i="4" s="1"/>
  <c r="CF13" i="4" s="1"/>
  <c r="CD11" i="4"/>
  <c r="CE11" i="4" s="1"/>
  <c r="CF11" i="4" s="1"/>
  <c r="CD35" i="4"/>
  <c r="CE35" i="4" s="1"/>
  <c r="CF35" i="4" s="1"/>
  <c r="BW139" i="4"/>
  <c r="BX139" i="4" s="1"/>
  <c r="BY139" i="4" s="1"/>
  <c r="BZ132" i="4"/>
  <c r="BW91" i="4"/>
  <c r="BX91" i="4" s="1"/>
  <c r="BY91" i="4" s="1"/>
  <c r="CD91" i="4"/>
  <c r="CE91" i="4" s="1"/>
  <c r="CF91" i="4" s="1"/>
  <c r="BW7" i="4"/>
  <c r="BX7" i="4" s="1"/>
  <c r="BY7" i="4" s="1"/>
  <c r="CD7" i="4"/>
  <c r="CE7" i="4" s="1"/>
  <c r="CF7" i="4" s="1"/>
  <c r="BW87" i="4"/>
  <c r="BX87" i="4" s="1"/>
  <c r="BY87" i="4" s="1"/>
  <c r="CD87" i="4"/>
  <c r="CE87" i="4" s="1"/>
  <c r="CF87" i="4" s="1"/>
  <c r="BW83" i="4"/>
  <c r="BX83" i="4" s="1"/>
  <c r="BY83" i="4" s="1"/>
  <c r="CD83" i="4"/>
  <c r="CE83" i="4" s="1"/>
  <c r="CF83" i="4" s="1"/>
  <c r="BW57" i="4"/>
  <c r="BX57" i="4" s="1"/>
  <c r="BY57" i="4" s="1"/>
  <c r="CD57" i="4"/>
  <c r="CE57" i="4" s="1"/>
  <c r="CF57" i="4" s="1"/>
  <c r="BW71" i="4"/>
  <c r="BX71" i="4" s="1"/>
  <c r="BY71" i="4" s="1"/>
  <c r="CD71" i="4"/>
  <c r="CE71" i="4" s="1"/>
  <c r="CF71" i="4" s="1"/>
  <c r="BW47" i="4"/>
  <c r="BX47" i="4" s="1"/>
  <c r="BY47" i="4" s="1"/>
  <c r="CD47" i="4"/>
  <c r="CE47" i="4" s="1"/>
  <c r="CF47" i="4" s="1"/>
  <c r="BW44" i="4"/>
  <c r="BX44" i="4" s="1"/>
  <c r="BY44" i="4" s="1"/>
  <c r="CD44" i="4"/>
  <c r="CE44" i="4" s="1"/>
  <c r="CF44" i="4" s="1"/>
  <c r="BW145" i="4"/>
  <c r="BX145" i="4" s="1"/>
  <c r="BY145" i="4" s="1"/>
  <c r="CD145" i="4"/>
  <c r="CE145" i="4" s="1"/>
  <c r="CF145" i="4" s="1"/>
  <c r="BW96" i="4"/>
  <c r="BX96" i="4" s="1"/>
  <c r="BY96" i="4" s="1"/>
  <c r="CD96" i="4"/>
  <c r="CE96" i="4" s="1"/>
  <c r="CF96" i="4" s="1"/>
  <c r="CD18" i="4"/>
  <c r="CE18" i="4" s="1"/>
  <c r="CF18" i="4" s="1"/>
  <c r="CD16" i="4"/>
  <c r="CE16" i="4" s="1"/>
  <c r="CF16" i="4" s="1"/>
  <c r="CD14" i="4"/>
  <c r="CE14" i="4" s="1"/>
  <c r="CF14" i="4" s="1"/>
  <c r="CD12" i="4"/>
  <c r="CE12" i="4" s="1"/>
  <c r="CF12" i="4" s="1"/>
  <c r="CD59" i="4"/>
  <c r="CE59" i="4" s="1"/>
  <c r="CF59" i="4" s="1"/>
  <c r="BW8" i="4"/>
  <c r="BX8" i="4" s="1"/>
  <c r="BY8" i="4" s="1"/>
  <c r="CD8" i="4"/>
  <c r="CE8" i="4" s="1"/>
  <c r="CF8" i="4" s="1"/>
  <c r="BW6" i="4"/>
  <c r="BX6" i="4" s="1"/>
  <c r="BY6" i="4" s="1"/>
  <c r="CD6" i="4"/>
  <c r="CE6" i="4" s="1"/>
  <c r="CF6" i="4" s="1"/>
  <c r="BW81" i="4"/>
  <c r="BX81" i="4" s="1"/>
  <c r="BY81" i="4" s="1"/>
  <c r="CD81" i="4"/>
  <c r="CE81" i="4" s="1"/>
  <c r="CF81" i="4" s="1"/>
  <c r="CD92" i="4"/>
  <c r="CE92" i="4" s="1"/>
  <c r="CF92" i="4" s="1"/>
  <c r="BW73" i="4"/>
  <c r="BX73" i="4" s="1"/>
  <c r="BY73" i="4" s="1"/>
  <c r="CD73" i="4"/>
  <c r="CE73" i="4" s="1"/>
  <c r="CF73" i="4" s="1"/>
  <c r="BW43" i="4"/>
  <c r="BX43" i="4" s="1"/>
  <c r="BY43" i="4" s="1"/>
  <c r="CD43" i="4"/>
  <c r="CE43" i="4" s="1"/>
  <c r="CF43" i="4" s="1"/>
  <c r="BW79" i="4"/>
  <c r="BX79" i="4" s="1"/>
  <c r="BY79" i="4" s="1"/>
  <c r="CD79" i="4"/>
  <c r="CE79" i="4" s="1"/>
  <c r="CF79" i="4" s="1"/>
  <c r="BW2" i="4"/>
  <c r="BX2" i="4" s="1"/>
  <c r="BY2" i="4" s="1"/>
  <c r="CD2" i="4"/>
  <c r="CE2" i="4" s="1"/>
  <c r="CF2" i="4" s="1"/>
  <c r="BW32" i="4"/>
  <c r="BX32" i="4" s="1"/>
  <c r="BY32" i="4" s="1"/>
  <c r="CD32" i="4"/>
  <c r="CE32" i="4" s="1"/>
  <c r="CF32" i="4" s="1"/>
  <c r="BW76" i="4"/>
  <c r="BX76" i="4" s="1"/>
  <c r="BY76" i="4" s="1"/>
  <c r="CD76" i="4"/>
  <c r="CE76" i="4" s="1"/>
  <c r="CF76" i="4" s="1"/>
  <c r="CD117" i="4"/>
  <c r="CE117" i="4" s="1"/>
  <c r="CF117" i="4" s="1"/>
  <c r="CD120" i="4"/>
  <c r="CE120" i="4" s="1"/>
  <c r="CF120" i="4" s="1"/>
  <c r="CD58" i="4"/>
  <c r="CE58" i="4" s="1"/>
  <c r="CF58" i="4" s="1"/>
  <c r="BW147" i="4"/>
  <c r="BX147" i="4" s="1"/>
  <c r="BY147" i="4" s="1"/>
  <c r="CD147" i="4"/>
  <c r="CE147" i="4" s="1"/>
  <c r="CF147" i="4" s="1"/>
  <c r="CD146" i="4"/>
  <c r="CE146" i="4" s="1"/>
  <c r="CF146" i="4" s="1"/>
  <c r="CD9" i="4"/>
  <c r="CE9" i="4" s="1"/>
  <c r="CF9" i="4" s="1"/>
  <c r="BW3" i="4"/>
  <c r="BX3" i="4" s="1"/>
  <c r="BY3" i="4" s="1"/>
  <c r="CD3" i="4"/>
  <c r="CE3" i="4" s="1"/>
  <c r="CF3" i="4" s="1"/>
  <c r="CD82" i="4"/>
  <c r="CE82" i="4" s="1"/>
  <c r="CF82" i="4" s="1"/>
  <c r="BW29" i="4"/>
  <c r="BX29" i="4" s="1"/>
  <c r="BY29" i="4" s="1"/>
  <c r="CD29" i="4"/>
  <c r="CE29" i="4" s="1"/>
  <c r="CF29" i="4" s="1"/>
  <c r="BW75" i="4"/>
  <c r="BX75" i="4" s="1"/>
  <c r="BY75" i="4" s="1"/>
  <c r="CD75" i="4"/>
  <c r="CE75" i="4" s="1"/>
  <c r="CF75" i="4" s="1"/>
  <c r="BW70" i="4"/>
  <c r="BX70" i="4" s="1"/>
  <c r="BY70" i="4" s="1"/>
  <c r="CD70" i="4"/>
  <c r="CE70" i="4" s="1"/>
  <c r="CF70" i="4" s="1"/>
  <c r="BW45" i="4"/>
  <c r="BX45" i="4" s="1"/>
  <c r="BY45" i="4" s="1"/>
  <c r="CD45" i="4"/>
  <c r="CE45" i="4" s="1"/>
  <c r="CF45" i="4" s="1"/>
  <c r="BW107" i="4"/>
  <c r="BX107" i="4" s="1"/>
  <c r="BY107" i="4" s="1"/>
  <c r="CD107" i="4"/>
  <c r="CE107" i="4" s="1"/>
  <c r="CF107" i="4" s="1"/>
  <c r="BW102" i="4"/>
  <c r="BX102" i="4" s="1"/>
  <c r="BY102" i="4" s="1"/>
  <c r="CD102" i="4"/>
  <c r="CE102" i="4" s="1"/>
  <c r="CF102" i="4" s="1"/>
  <c r="CD104" i="4"/>
  <c r="CE104" i="4" s="1"/>
  <c r="CF104" i="4" s="1"/>
  <c r="BW105" i="4"/>
  <c r="BX105" i="4" s="1"/>
  <c r="BY105" i="4" s="1"/>
  <c r="CD105" i="4"/>
  <c r="CE105" i="4" s="1"/>
  <c r="CF105" i="4" s="1"/>
  <c r="BW148" i="4"/>
  <c r="BX148" i="4" s="1"/>
  <c r="BY148" i="4" s="1"/>
  <c r="AW136" i="4"/>
  <c r="BW136" i="4"/>
  <c r="BX136" i="4" s="1"/>
  <c r="BY136" i="4" s="1"/>
  <c r="AW142" i="4"/>
  <c r="CA142" i="4"/>
  <c r="BW142" i="4" s="1"/>
  <c r="BX142" i="4" s="1"/>
  <c r="BY142" i="4" s="1"/>
  <c r="AW141" i="4"/>
  <c r="CA141" i="4"/>
  <c r="BW141" i="4" s="1"/>
  <c r="BX141" i="4" s="1"/>
  <c r="BY141" i="4" s="1"/>
  <c r="AW133" i="4"/>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CD131" i="4" l="1"/>
  <c r="CE131" i="4" s="1"/>
  <c r="CF131" i="4" s="1"/>
  <c r="CA131" i="4"/>
  <c r="BW131" i="4" s="1"/>
  <c r="BX131" i="4" s="1"/>
  <c r="BY131" i="4" s="1"/>
  <c r="BI41" i="5"/>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Diana Danilenko</author>
    <author>tc={9F47CB00-27A0-CE4B-BCAE-E38E0BB97778}</author>
    <author>tc={1F7A7D95-9782-8549-84C7-AF86FD10A3A0}</author>
    <author>tc={82F1C3F7-426B-1A49-BF17-3AE9A7F3075E}</author>
    <author>tc={1762D52C-C952-7F43-847B-B050969DF7F7}</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 ref="BF88" authorId="1" shapeId="0">
      <text>
        <r>
          <rPr>
            <b/>
            <sz val="9"/>
            <color indexed="81"/>
            <rFont val="Segoe UI"/>
            <charset val="1"/>
          </rPr>
          <t>Diana Danilenko:</t>
        </r>
        <r>
          <rPr>
            <sz val="9"/>
            <color indexed="81"/>
            <rFont val="Segoe UI"/>
            <charset val="1"/>
          </rPr>
          <t xml:space="preserve">
degree of freedom</t>
        </r>
      </text>
    </comment>
    <comment ref="M121" authorId="2"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structural equation modelling
</t>
        </r>
      </text>
    </comment>
    <comment ref="BI136" authorId="3"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number of stores -what should we actually use as observations
</t>
        </r>
      </text>
    </comment>
    <comment ref="BA137" authorId="4"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Delta = 81 - 63 percent</t>
        </r>
      </text>
    </comment>
    <comment ref="AW144" authorId="5"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we have confidence intervals but no SE</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<sst xmlns="http://schemas.openxmlformats.org/spreadsheetml/2006/main" count="7487" uniqueCount="715">
  <si>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</si>
  <si>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</si>
  <si>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</si>
  <si>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</si>
  <si>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</si>
  <si>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</si>
  <si>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</si>
  <si>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</si>
  <si>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</si>
  <si>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</si>
  <si>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</si>
  <si>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</si>
  <si>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</si>
  <si>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</si>
  <si>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</si>
  <si>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</si>
  <si>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</si>
  <si>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</si>
  <si>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</si>
  <si>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</si>
  <si>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</si>
  <si>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</si>
  <si>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</si>
  <si>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</si>
  <si>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</si>
  <si>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</si>
  <si>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</si>
  <si>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</si>
  <si>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</si>
  <si>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</si>
  <si>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</si>
  <si>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</si>
  <si>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</si>
  <si>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</si>
  <si>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</si>
  <si>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</si>
  <si>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</si>
  <si>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</si>
  <si>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</si>
  <si>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</si>
  <si>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</si>
  <si>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</si>
  <si>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</si>
  <si>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</si>
  <si>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</si>
  <si>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</si>
  <si>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</si>
  <si>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</si>
  <si>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</si>
  <si>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</si>
  <si>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</si>
  <si>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</si>
  <si>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</si>
  <si>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</si>
  <si>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</si>
  <si>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</si>
  <si>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</si>
  <si>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</si>
  <si>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</si>
  <si>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</si>
  <si>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</si>
  <si>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</si>
  <si>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</si>
  <si>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</si>
  <si>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</si>
  <si>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</si>
  <si>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</si>
  <si>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</si>
  <si>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</si>
  <si>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</si>
  <si>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</si>
  <si>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</si>
  <si>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</si>
  <si>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</si>
  <si>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</si>
  <si>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</si>
  <si>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</si>
  <si>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</si>
  <si>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</si>
  <si>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</si>
  <si>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</si>
  <si>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</si>
  <si>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</si>
  <si>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</si>
  <si>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</si>
  <si>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</si>
  <si>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</si>
  <si>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</si>
  <si>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</si>
  <si>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</si>
  <si>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</si>
  <si>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</si>
  <si>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</si>
  <si>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</si>
  <si>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</si>
  <si>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</si>
  <si>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</si>
  <si>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</si>
  <si>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</si>
  <si>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</si>
  <si>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</si>
  <si>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</si>
  <si>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</si>
  <si>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</si>
  <si>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</si>
  <si>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</si>
  <si>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</si>
  <si>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</si>
  <si>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</si>
  <si>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</si>
  <si>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</si>
  <si>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</si>
  <si>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</si>
  <si>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</si>
  <si>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</si>
  <si>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</si>
  <si>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</si>
  <si>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</si>
  <si>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</si>
  <si>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</si>
  <si>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</si>
  <si>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</si>
  <si>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</si>
  <si>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</si>
  <si>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</si>
  <si>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</si>
  <si>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</si>
  <si>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</si>
  <si>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</si>
  <si>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</si>
  <si>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</si>
  <si>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</si>
  <si>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</si>
  <si>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</si>
  <si>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</si>
  <si>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</si>
  <si>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</si>
  <si>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</si>
  <si>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</si>
  <si>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</si>
  <si>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</si>
  <si>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</si>
  <si>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</si>
  <si>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</si>
  <si>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</si>
  <si>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</si>
  <si>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</si>
  <si>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</si>
  <si>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</si>
  <si>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</si>
  <si>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</si>
  <si>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</si>
  <si>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</si>
  <si>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</si>
  <si>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</si>
  <si>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</si>
  <si>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</si>
  <si>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</si>
  <si>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</si>
  <si>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</si>
  <si>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</si>
  <si>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</si>
  <si>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</si>
  <si>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</si>
  <si>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</si>
  <si>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</si>
  <si>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</si>
  <si>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</si>
  <si>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</si>
  <si>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</si>
  <si>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</si>
  <si>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</si>
  <si>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</si>
  <si>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</si>
  <si>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</si>
  <si>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</si>
  <si>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</si>
  <si>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</si>
  <si>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</si>
  <si>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</si>
  <si>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</si>
  <si>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</si>
  <si>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</si>
  <si>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</si>
  <si>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</si>
  <si>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</si>
  <si>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</si>
  <si>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</si>
  <si>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</si>
  <si>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</si>
  <si>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</si>
  <si>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</si>
  <si>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</si>
  <si>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</si>
  <si>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</si>
  <si>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</si>
  <si>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dishwasher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</si>
  <si>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</si>
  <si>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</si>
  <si>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</si>
  <si>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</si>
  <si>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</si>
  <si>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</si>
  <si>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</si>
  <si>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</si>
  <si>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</si>
  <si>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</si>
  <si>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</si>
  <si>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</si>
  <si>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</si>
  <si>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</si>
  <si>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</si>
  <si>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</si>
  <si>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</si>
  <si>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</si>
  <si>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</si>
  <si>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</si>
  <si>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</si>
  <si>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</si>
  <si>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</si>
  <si>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</si>
  <si>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</si>
  <si>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all</t>
  </si>
  <si>
    <t>Allcott, Sweeney</t>
  </si>
  <si>
    <t>The Role of Sales Agents in Information Disclosure:
Evidence from a Field Experiment</t>
  </si>
  <si>
    <t>With a large nationwide retailer, we run a natural field experiment to measure the effects of energy use
information disclosure, customer rebates, and sales agent incentives on demand for energy-efficient durable
goods. Although a combination of large rebates plus sales incentives substantially increases market share,
information and sales incentives alone each have zero statistical effect and explain at most a small fraction of
the low baseline market share. Sales agents strategically comply only partially with the experiment, targeting
information to more interested consumers but not discussing energy efficiency with the disinterested majority.
These results suggest that seller-provided information is not a major barrier to energy-efficiency investments at
current prices in this context.</t>
  </si>
  <si>
    <t>ITT</t>
  </si>
  <si>
    <t>control &amp; treatment</t>
  </si>
  <si>
    <t>revealed preference</t>
  </si>
  <si>
    <t>sales agent</t>
  </si>
  <si>
    <t>caller</t>
  </si>
  <si>
    <t>no such option</t>
  </si>
  <si>
    <t>probably no</t>
  </si>
  <si>
    <t>focus on phase 1 as there the effect is separated from agent incentivisation</t>
  </si>
  <si>
    <t>purschase (probability) of efficient appliance</t>
  </si>
  <si>
    <t>whether the consumer purchases an Energy Star model</t>
  </si>
  <si>
    <t>dummy (0/1)</t>
  </si>
  <si>
    <t xml:space="preserve">current </t>
  </si>
  <si>
    <t>Liu, Jin</t>
  </si>
  <si>
    <t>Visualisation Approach and Economic Incentives toward Low Carbon Practices in
Households: A Survey Study in Hyogo, Japan</t>
  </si>
  <si>
    <t>Considering the great significance of residential sector for deep decarbonisation in
the medium and long term, this study analyses the effectiveness of an emissions visualisation
approach and economic incentives in promoting household low-carbon practices. The data was
gathered by a questionnaire survey from 406 households in Hyogo Prefecture, Japan, which
received eco-home diagnosis in the past three years. The result confirms that around 40% of the
samples installed home energy management system (HEMS) as the visualisation tool, and many
households received low-carbon subsidies; however, few of them have utilised the low-interest
loan from the government of Hyogo. Household lifestyle efforts are less associated with the policy
measures and some differ due to family characteristics, i.e., the age of head of the household.
Replacing household equipment with low-carbon items is largely determined by the visualisation
approach and availability of economic incentives. As an example, the installation of HEMS would
increase the probability of replacement with an electric heat pump water heater by 25.6% and the
introduction of solar PV system by 55.9%. This study assists in understanding household lowcarbon
practices and their relationship with the related policy measures.</t>
  </si>
  <si>
    <t>ordered probit</t>
  </si>
  <si>
    <t>quasi-experimental</t>
  </si>
  <si>
    <t>self-reported behaviour</t>
  </si>
  <si>
    <t>household</t>
  </si>
  <si>
    <t>homeowners</t>
  </si>
  <si>
    <t>probably yes</t>
  </si>
  <si>
    <t>aggregated already implemented and planned installations together?</t>
  </si>
  <si>
    <t xml:space="preserve">adoption of renewable and energy saving appliances </t>
  </si>
  <si>
    <t>adoption of renewable and energy saving appliances</t>
  </si>
  <si>
    <t>Figueroa, Molière, Pegels, Never, Kutzner</t>
  </si>
  <si>
    <t>Show me (more than) the money! Assessing the social and psychological
dimensions to energy efficient lighting in Kenya</t>
  </si>
  <si>
    <t>Despite economic, social and environmental benefits, the uptake of energy-saving compact fluorescent lamp
light bulbs (CFLs) in Kibera, an informal settlement in Nairobi, remains low. We conducted a randomized
controlled field experiment involving 651 Kibera residents assessing whether the joint impact of monetary incentives
and behavioral interventions (pre-commitment and simplified information highlighting CFL benefits)
could increase CFL uptake. A monetary incentive covering the incremental cost of a CFL compared to an incandescent
bulb positively impacted uptake. However, adding simplified information more than tripled the
impact of the monetary incentive alone, resulting in a remarkable uptake rate of about 84%. While a post endline
survey conducted two years following the administration of the randomized control trial does not find lasting
effects, this paper provides evidence for additional behavioral hypotheses in developing countries, also assessing
the contribution of intelligence and measured discount rates to account for potential household present bias. It is
to date the only intervention of its type that explores the extent to which behavioral interventions can complement
monetary incentives.</t>
  </si>
  <si>
    <t>2014-2016</t>
  </si>
  <si>
    <t>Kenya</t>
  </si>
  <si>
    <t>residents</t>
  </si>
  <si>
    <t>informal settlement in Kibera (poor population)</t>
  </si>
  <si>
    <t>CFL uptake</t>
  </si>
  <si>
    <t>Goto H, Goto M, Sueyoshi</t>
  </si>
  <si>
    <t>Consumer choice on ecologically efficient water heaters: Marketing strategy and policy implications in Japan</t>
  </si>
  <si>
    <t>This study examines how consumers select ecologically efficient water heaters in Japan. Energy conservation
in household water heating is increasingly important for reducing an amount of CO2 emission, because the
share of water heating in household energy consumption is approximately 30%. Recently, Japanese
households have widely used ecologically efficient electric heat pump water heaters (Eco Cute) or gasfired
water heaters (Eco Jozu). The total number of such efficient water heaters sold in Japan was more than
2.5 million at the end of 2008. This study investigates various factors and impacts of marketing strategy for
promoting the appliances in Japan. We apply mixed and nested logit models to a disaggregated choice data on
water heaters from 2004 to 2008. This study considers retail energy prices, a government financial support
and marketing activities as important factors for appliance selection. In addition, we consider consumers'
housing attributes such as floor space and age of building. This empirical study finds two business
implications. One of the two implications is that an increase in an energy price may enhance a choice
probability of Eco Cute and Eco Jozu because a price increase invites consumer's consciousness on energy
conservation so that a cost reduction on energy consumption becomes essential in a use of the efficient
appliances. The other implication is that marketing activities, especially by recommendations from sales
representatives and/or housing suppliers, are important for consumer behaviors. The other important
findings are discussed in this study. This business experience in Japan is useful to the other countries where
ecologically efficient water heaters are not popular at the current moment.</t>
  </si>
  <si>
    <t>mixed logit</t>
  </si>
  <si>
    <t>cognition of subsidy (0=not know 1=know)</t>
  </si>
  <si>
    <t>eco jozu</t>
  </si>
  <si>
    <t>a selection probability of a specific type of water
heater, compared to the conventional gas/oil water heater (as a base
category)</t>
  </si>
  <si>
    <t>log scale</t>
  </si>
  <si>
    <t>from 0,05 to 0,1</t>
  </si>
  <si>
    <t>conventional electric</t>
  </si>
  <si>
    <t>eco cute</t>
  </si>
  <si>
    <t xml:space="preserve">from 0,04 to 0,07 </t>
  </si>
  <si>
    <t>nested logit</t>
  </si>
  <si>
    <t>Ma, Yu, Urban</t>
  </si>
  <si>
    <t>Green transition of energy systems in rural China: National survey evidence of households' discrete choices on water heaters</t>
  </si>
  <si>
    <t>Energy systems in rural China are experiencing a transition from traditional fossil fuels to renewables. This paper
aims to investigate the potential factors that influence the choices of rural residents regarding water heaters with
a focus on the low-carbon transition to solar water heating systems. To this end, a face-to-face questionnaire
survey is undertaken with 3404 rural households randomly selected among 12 representative provinces. A
comprehensive set of discrete choice modelling approaches were used. The empirical results show that (1)
sociodemographic variables have significant effects on residents’ first-stage choice of a water heater (to buy or not
to buy) but few effects on the second-stage decision to choose electric, LPG, or solar water heaters (which type to
buy); (2) information spillover is important to facilitate the usage of water heaters, particularly of solar products;
(3) the electricity price, which is regulated at a very low rate, has no apparent effect on the choice of solar water
heaters; (4) government subsidy has a significant effect in the first stage but no differentiated effect on the
decision choice in the second stage. Policy and managerial implications are presented to speed up the ongoing
low-carbon transition of energy systems in China.</t>
  </si>
  <si>
    <t>multinomial logit</t>
  </si>
  <si>
    <t>China</t>
  </si>
  <si>
    <t>LPG, base elec.</t>
  </si>
  <si>
    <t>water heater usage (electricity, LPG, solar, others)</t>
  </si>
  <si>
    <t>solar, base elc.</t>
  </si>
  <si>
    <t>solar, base LPG</t>
  </si>
  <si>
    <t>Wasi, Carson</t>
  </si>
  <si>
    <t>The influence of rebate programs on the demand for water heaters: The case of New South Wales</t>
  </si>
  <si>
    <t>This paper examines the role of Australian hotwater systemrebate programs in shifting the existing stock of electric
water heaters toward more climate friendly versions using two unique data sets from New South Wales
homeowners. The first data set is based on a survey of householdswho recently purchased awater heater before
and after the rebate programs were in place. The other is based on a set of stated preference questions asked of
households soon to face a replacement decision.While the former allows us to look at recent responses, the latter
enables us to forecast future demand.We find that the programs significantly increase shares of solar/heat pump
systems. The programs, however, appear less effective in reducing the stock of electric heaters for households
with access to natural gas. This pattern is consistent in both datasets. Results from the discrete choice
experiments suggest considerable heterogeneity with respect to household preferences toward different types
of water heaters and the discount rates they hold. The effective cost of reducing carbon emissions via incentives
for water heater replacement is considered from the counterfactual perspective of no government incentives.</t>
  </si>
  <si>
    <t>diff-in-diff</t>
  </si>
  <si>
    <t>Australia</t>
  </si>
  <si>
    <t>sample with gas access</t>
  </si>
  <si>
    <t>probability of switching from electric to gas</t>
  </si>
  <si>
    <t>from 0,12 to 0,2</t>
  </si>
  <si>
    <t>probability of switching from electric to solar/heat pump</t>
  </si>
  <si>
    <t>from 0,15 to 0,29</t>
  </si>
  <si>
    <t>sample without gas access</t>
  </si>
  <si>
    <t>Revelt, Train</t>
  </si>
  <si>
    <t>MIXED LOGIT WITH REPEATED CHOICES: HOUSEHOLDS’ CHOICES
OF APPLIANCE EFFICIENCY LEVEL</t>
  </si>
  <si>
    <t>Mixed logit models, also called random-parameters or errorcomponents
logit, are a generalization of standard logit that do not exhibit
the restrictive ‘‘independence from irrelevant alternatives’’ property and
explicitly account for correlations in unobserved utility over repeated
choices by each customer. Mixed logits are estimated for households’
choices of appliances under utility-sponsored programs that offer rebates
or loans on high-efficiency appliances.</t>
  </si>
  <si>
    <t>stated preference</t>
  </si>
  <si>
    <t>confusing between WTP and probability to purchase</t>
  </si>
  <si>
    <t>choice of a high-efficiency appliance</t>
  </si>
  <si>
    <t>Alberini, Bigano, Boeri</t>
  </si>
  <si>
    <t>Looking for free riding: energy efficiency incentives and Italian homeowners </t>
  </si>
  <si>
    <t>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t>
  </si>
  <si>
    <t>2004-2009</t>
  </si>
  <si>
    <t>Italy</t>
  </si>
  <si>
    <t>likelihood of replacing the heating system</t>
  </si>
  <si>
    <t>delayed</t>
  </si>
  <si>
    <t>Allcott, Taubinsky</t>
  </si>
  <si>
    <t>Evaluating Behaviorally Motivated Policy: Experimental Evidence from the Lightbulb Market</t>
  </si>
  <si>
    <r>
      <t>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t>
    </r>
    <r>
      <rPr>
        <sz val="12"/>
        <rFont val="TimesLTStd"/>
      </rPr>
      <t xml:space="preserve">, </t>
    </r>
    <r>
      <rPr>
        <i/>
        <sz val="12"/>
        <rFont val="TimesLTStd"/>
      </rPr>
      <t>which we estimate using a novel within-subject information disclosure experiment. The main results suggest that moderate subsidies for energy-efficient lightbulbs may increase welfare</t>
    </r>
    <r>
      <rPr>
        <sz val="12"/>
        <rFont val="TimesLTStd"/>
      </rPr>
      <t xml:space="preserve">, </t>
    </r>
    <r>
      <rPr>
        <i/>
        <sz val="12"/>
        <rFont val="TimesLTStd"/>
      </rPr>
      <t xml:space="preserve">but informational and attentional biases alone do not justify a ban on incandescent lightbulbs. Our results and techniques generate broader methodological insights into welfare analysis with misoptimizing consumers. </t>
    </r>
  </si>
  <si>
    <t>NA (TESS)</t>
  </si>
  <si>
    <t>online</t>
  </si>
  <si>
    <t>purchased CFL</t>
  </si>
  <si>
    <t>Sammer, Wuestenhagen</t>
  </si>
  <si>
    <t>The influence of eco-labelling on consumer behaviour – results of a discrete choice analysis for washing machines</t>
  </si>
  <si>
    <t>retailer</t>
  </si>
  <si>
    <t>store visitors</t>
  </si>
  <si>
    <t>importance of the label in choice of energy efficient appliance - energy efficiency rating A</t>
  </si>
  <si>
    <t>probability of choice of energy efficient appliance</t>
  </si>
  <si>
    <t>alphabetical</t>
  </si>
  <si>
    <t>importance of the label in choice of energy efficient appliance - energy efficiency rating B</t>
  </si>
  <si>
    <t>del Mar Sola, de Ayala, Galarraga</t>
  </si>
  <si>
    <t>The Effect of Providing Monetary Information on Energy Savings for Household Appliances: A Field Trial in Spain</t>
  </si>
  <si>
    <r>
      <t>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t>
    </r>
    <r>
      <rPr>
        <sz val="12"/>
        <color rgb="FF111111"/>
        <rFont val="AdvTT3713a231"/>
      </rPr>
      <t xml:space="preserve">+++ fridges. Surprisingly, no effect is found for dishwashers. </t>
    </r>
  </si>
  <si>
    <t>Spain</t>
  </si>
  <si>
    <t>additional information - on the label</t>
  </si>
  <si>
    <t>the marginal effects of the explanatory variables for all the appliances on the
probability of purchasers acquiring an appliance labelled with high energy efficiency</t>
  </si>
  <si>
    <t>probability of appliance purchase</t>
  </si>
  <si>
    <t>Anderson, Claxton</t>
  </si>
  <si>
    <t>Barriers to Consumer Choice of Energy Efficient Products</t>
  </si>
  <si>
    <t>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t>
  </si>
  <si>
    <t>Canada</t>
  </si>
  <si>
    <t>can't disentangle scepific effects for each intervention ?</t>
  </si>
  <si>
    <t xml:space="preserve">can't disentangle scepific effects for each intervention - emphasis on energy information and label </t>
  </si>
  <si>
    <t>treatments effect not differentiated</t>
  </si>
  <si>
    <t>odds ratio</t>
  </si>
  <si>
    <t>other</t>
  </si>
  <si>
    <t>Train, Atherton</t>
  </si>
  <si>
    <t>REBATES, LOANS, AND CUSTOMERS CHOICE OF APPLIANCE EFFICIENCY LEVEL - COMBINING STATED AND REVEALED-PREFERENCE DATA</t>
  </si>
  <si>
    <t xml:space="preserve">
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
provides information on customers' willingness to pay for energy savings, the importance of rebates in customers' decisions, and customers' response to DSM
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
programs. We find that attractive loans (e.g., low interest rates, long repayment periods) are necessary to have the same effect as rebates. Programs that offer
customers the option of loans or rebates are found to be far more effective than programs that offer only loans or only rebates.</t>
  </si>
  <si>
    <t>individuals</t>
  </si>
  <si>
    <t>Jain, Rao, Patwardhan</t>
  </si>
  <si>
    <t>Consumer preference for labels in the purchase decisions of air conditioners in India</t>
  </si>
  <si>
    <t xml:space="preserve">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t>
  </si>
  <si>
    <t>India</t>
  </si>
  <si>
    <t>opt_out</t>
  </si>
  <si>
    <t>base - no label for not efficient</t>
  </si>
  <si>
    <t>3-star rating</t>
  </si>
  <si>
    <t>numerical</t>
  </si>
  <si>
    <t>5-star rating</t>
  </si>
  <si>
    <t>London Economics</t>
  </si>
  <si>
    <t>Study on the impact of the energy label – and potential changes to it – on consumer understanding and on purchase decisions</t>
  </si>
  <si>
    <t>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t>
  </si>
  <si>
    <t xml:space="preserve">France, Slovenia, Czech Republic, Portugal </t>
  </si>
  <si>
    <t>baseline is the existing EU labelling programme</t>
  </si>
  <si>
    <t>Heinzle, Wüstenhagen</t>
  </si>
  <si>
    <t>Dynamic Adjustment of Eco-labeling Schemes and Consumer Choice - the Revision of the EU Energy Label as a Missed Opportunity?: Dynamic Adjustment of Eco-labelling Schemes &amp; Consumer Choice</t>
  </si>
  <si>
    <t xml:space="preserve">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t>
  </si>
  <si>
    <t>Baysian Hierarchical modeling</t>
  </si>
  <si>
    <t>alphabetical with +</t>
  </si>
  <si>
    <t>different price levels</t>
  </si>
  <si>
    <t>Zha, Yang, Wang, Zhou</t>
  </si>
  <si>
    <t>Appliance energy labels and consumer heterogeneity: A latent class approach based on a discrete choice experiment in China</t>
  </si>
  <si>
    <t>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t>
  </si>
  <si>
    <t>effect of energy efficiency in itself rather than label (China Energy Label program)</t>
  </si>
  <si>
    <t>probability of a consumer choosing an energy-efficient appliance</t>
  </si>
  <si>
    <t>Hafner, Elmes, Read, White</t>
  </si>
  <si>
    <t>Exploring the role of normative, financial and environmental information in promoting uptake of energy efficient technologies</t>
  </si>
  <si>
    <t>The potential of normative and feedback (financial vs. environmental) information in guiding pro-environmental
decision-making behaviour was explored in a 2 × 2 (plus control) choice experiment. Using the context of home
heating, 599 non-student participants from the UK general public were asked to choose between a standard
heating system (a gas boiler) and a relatively more-energy efficient option (a heat pump). In line with evidence
for the energy efficiency gap for sustainable innovations, there was low uptake of the heat pump (32.5%) in the
control condition where no frame information was provided. Yet, in both conditions where normative information
was provided, respondents were significantly more likely (vs. control) to choose the heat pump (financial
+ norm OR 3.63; 95% CIs 2.13,6.19; environmental + norm OR 3.09; 95% CIs 1.67,4.79), advancing
understanding of normative social influence in the context of pro-environmental purchase behaviour. When
normative information was not provided, only financial (OR 2.82; 95% CIs 1.67,4.79) but not environmental
(OR 1.33; 95% CIs 0.78,2.26), feedback was associated with a significantly greater likelihood of heat pump
choice. The main effect of normative information was replicated for behavioural intentions (though only for
homeowners), but there was no norm-feedback interaction (regardless of homeownership). The implications for
researchers looking to promote ‘green’ choice in the context of new technology adoption are discussed.</t>
  </si>
  <si>
    <t>ANOVA</t>
  </si>
  <si>
    <t>environmental + no normative information</t>
  </si>
  <si>
    <t>likelihood of a participant in the comparison condition to choose a more energy-efficient appliance compared to the odds if a participant in the control grpup to choose a less efficient appliance</t>
  </si>
  <si>
    <t>financial + no normative information</t>
  </si>
  <si>
    <t>environmental +  normative information</t>
  </si>
  <si>
    <t>financial +  normative information</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</si>
  <si>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</si>
  <si>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</si>
  <si>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</si>
  <si>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</si>
  <si>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</si>
  <si>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estimation results for refrigerator choice (highest efficiency grade)</t>
  </si>
  <si>
    <t>Deutsch</t>
  </si>
  <si>
    <t>The effect of life-cycle cost disclosure on consumer behavior: evidence from a field experiment with cooling appliances</t>
  </si>
  <si>
    <t>Theory suggests that providing consumers
with an estimated life-cycle cost (LCC) may make
them buy more energy-efficient household appliances
in cases where energy efficiency is cost effective. This
article evaluates the link between the provision of
LCC and consumer behavior by using an online field
experiment for cooling appliances. Internet users
arriving at a commercially operating price comparison
website were randomly assigned to two experimental
groups, and the groups were exposed to different
visual stimuli. The control group received regular
product price information, whereas the treatment
group was offered additional information about
estimated operating cost and total LCC. Consumers’
click behavior was evaluated with multiple regression
controlling for several product characteristics (n=
1,969 clicks). We find that LCC disclosure reduces
the mean specific energy use of chosen cooling
appliances by 2.5% (p&lt;0.01), making it a potentially
interesting approach for environmental policy regarding
the market transformation toward more energy-efficient
household appliances. However, LCC disclosure also
decreases the number of clicks from the price comparison
website to final retailers by about 23% (p&lt;0.01),
which makes it—in the format chosen here—undesirable
from a business perspective. Therefore, future research
should clarify under what (if any) conditions can
monetary energy cost disclosure be associated with
more positive effects for price comparison websites.</t>
  </si>
  <si>
    <t>negative binomial regression</t>
  </si>
  <si>
    <t>LCC information disclosed to the treatment group</t>
  </si>
  <si>
    <t>click-throughs (not even stated preference purchase strictly)</t>
  </si>
  <si>
    <t>Effect of life-cycle
cost disclosure on the
overall number of
click-throughs</t>
  </si>
  <si>
    <t xml:space="preserve">probably no </t>
  </si>
  <si>
    <t>Stadelmann, Schubert</t>
  </si>
  <si>
    <t>How Do Different Designs of Energy Labels Influence Purchases of Household Appliances? A Field Study in Switzerland</t>
  </si>
  <si>
    <t xml:space="preserve">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t>
  </si>
  <si>
    <t>country specific (?)</t>
  </si>
  <si>
    <t>additional information - in the description, base is just the label</t>
  </si>
  <si>
    <t>mean expected annual electricity consumption of appliances purchased</t>
  </si>
  <si>
    <t>Kallbekken, Saelen, Hermansen</t>
  </si>
  <si>
    <t>Bridging the Energy Efficiency Gap: A Field Experiment on Lifetime Energy Costs and Household Appliances</t>
  </si>
  <si>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</si>
  <si>
    <t xml:space="preserve">simulated counterfactual </t>
  </si>
  <si>
    <t>additional label - compared to the EU A+++ label scale</t>
  </si>
  <si>
    <t>average energy use of the appliance sold</t>
  </si>
  <si>
    <t>dep_var - energy use of the appliance sold - opposite sign</t>
  </si>
  <si>
    <t>DECC</t>
  </si>
  <si>
    <t>interval outcome measure denoting the kWh/year for a given product type purchased</t>
  </si>
  <si>
    <t>energy consumption (in kWh/year) of appliance sold</t>
  </si>
  <si>
    <t>these have only % change reported and no absolute diff of means</t>
  </si>
  <si>
    <t>TK</t>
  </si>
  <si>
    <t>Li, Cao</t>
  </si>
  <si>
    <t>Effectiveness of China's Labeling and Incentive Programs for Household Energy Conservation and Policy Implications</t>
  </si>
  <si>
    <t>With incomplete information about the potential benefits and costs of energy-using
durables, households may be unwilling to invest in products that are more energy-efficient but
also more expensive in purchase decisions. To deal with this problem, labeling policy has been developed
to guide customers’ energy consumption decisions by providing understandable information to
evaluate the energy efficiency of products. Over the last 20 years, China has implemented a series of
mandatory and voluntary energy labeling and incentive policies to reduce energy use and improve
the energy efficiency of durable goods in dwellings. This study has employed empirical survey
data from the Chinese General Social Survey to study the implementation effectiveness of these
policies and explore demographic factors behind consumer investments in energy-saving durables by
using the logistic regression model. Statistical results show that energy efficiency labeling, incentive
programs, education levels, and regional differences of customers appear to be strong predictors for
investing in energy-efficient air conditioners and washing machines. House size is a decisive factor
in driving consumers to choose energy-saving air conditioners. In light of the above results, the
study suggests improved policy for motivating consumers to purchase energy-efficient appliances
in dwellings.</t>
  </si>
  <si>
    <t xml:space="preserve">household panel,  no causation, considers year of labeling law same as purchase of a labeled appliance, survey sample not representative of the general population </t>
  </si>
  <si>
    <t>y represents the possession of energy-efficient</t>
  </si>
  <si>
    <t>household panel,  no causation, considers year of labeling law same as purchase of a labeled appliance, survey sample not representative of the general population, overall a paper with very poor study design (not experimental) and low internal and external validity</t>
  </si>
  <si>
    <t>LT</t>
  </si>
  <si>
    <t>Nishijima, Kagawa, Nansai, Oguchi</t>
  </si>
  <si>
    <t>Effects of product replacement programs on climate change</t>
  </si>
  <si>
    <t>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t>
  </si>
  <si>
    <t>2005-2013</t>
  </si>
  <si>
    <t>pre-recorded (no experiment)</t>
  </si>
  <si>
    <t>results are simulations from an estimated discrete choice model, likely not very robust</t>
  </si>
  <si>
    <t>Program that grants a reward when an old appliance was replaced by a more efficient one</t>
  </si>
  <si>
    <t>AC replacement rate</t>
  </si>
  <si>
    <t>Dieu-Hang, Grafton, Matrinez-Espineira, Garcia-Valinas</t>
  </si>
  <si>
    <t>Household adoption of energy and water-efficient appliances: An analysis of attitudes, labelling and complementary green behaviours in selected OECD countries</t>
  </si>
  <si>
    <t>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t>
  </si>
  <si>
    <t>probit</t>
  </si>
  <si>
    <t>Australia, Canada, Chile, France, Israel, Korea, Japan, Netherlands, Spain, Sweden, Switzerland</t>
  </si>
  <si>
    <t>"Recognize" Energy Label</t>
  </si>
  <si>
    <t>investing in energy-efficient appliances; coefficients are marginal effects</t>
  </si>
  <si>
    <t>investing in energy-efficient appliances</t>
  </si>
  <si>
    <t>unclear N sample size for this specification</t>
  </si>
  <si>
    <t>"Trust" Energy Label</t>
  </si>
  <si>
    <t>Schultz, Colehour, Vohr, Bonn, Bullock, Sadler</t>
  </si>
  <si>
    <t>Using Social Marketing to Spur Residential Adoption of ENERGY STAR®-Certified LED Lighting</t>
  </si>
  <si>
    <t>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t>
  </si>
  <si>
    <t>study under contract with Energy Star, at least one number (896%) was reported incorrectly, which was spotted while coding</t>
  </si>
  <si>
    <t>LED bulbs sold</t>
  </si>
  <si>
    <t>outlier</t>
  </si>
  <si>
    <t>Nakano, Zusman, Nugroho, Kaswanto, Arifin N, Munandar, Arifin HS, Muchtar, Gomi, Fujita</t>
  </si>
  <si>
    <t>Determinants of Energy Savings in Indonesia: the case of LED lighting in Bogor</t>
  </si>
  <si>
    <t>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t>
  </si>
  <si>
    <t>stated preferences; there is no real intervention. They measure the effect of knowledge about policies and labels on the willingness to adopt efficient lighting</t>
  </si>
  <si>
    <t>ordinal logit</t>
  </si>
  <si>
    <t>choice experiment</t>
  </si>
  <si>
    <t>Indonesia</t>
  </si>
  <si>
    <t>just study one city of Indonesia (Bogor), but they are convincing that the sample is quite representative regarding the population in the city; As it is stated preference, hypothetical bias may be an issue</t>
  </si>
  <si>
    <t>there is no real intervention. They measure the effect of knowledge about policies and labels on the willingness to adopt efficient lighting</t>
  </si>
  <si>
    <t>whether the respondent is willing to change from conventional lightning to LED; the coding of the dependent variable is not clear though</t>
  </si>
  <si>
    <t>coefficient form ordered logit model</t>
  </si>
  <si>
    <t>SH</t>
  </si>
  <si>
    <t>Caldwell, Vaughan, Harrod, Harrod</t>
  </si>
  <si>
    <t>Social Marketing–Enhanced Home Energy Education Encourages Adoption of Energy-Saving Practices</t>
  </si>
  <si>
    <t>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t>
  </si>
  <si>
    <t>small sample size, outcome reported in percentage of households</t>
  </si>
  <si>
    <t>Intervention is combination of energy audit + energy education visit vs. audit only. Customers qualify for the study by requesting an  audit.</t>
  </si>
  <si>
    <t>percentage of households who purchased efficient lighting</t>
  </si>
  <si>
    <t>Neves, Oliveira</t>
  </si>
  <si>
    <t>Drivers of consumers’ change to an energy-efficient heating appliance (EEHA) in households: Evidence from five European countries</t>
  </si>
  <si>
    <t>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t>
  </si>
  <si>
    <t>2019-2020</t>
  </si>
  <si>
    <t>France, Germany, Italy, Portugal, Spain</t>
  </si>
  <si>
    <t>attitude on heating equipment use</t>
  </si>
  <si>
    <t>attitude on heating equipment use - behavior change</t>
  </si>
  <si>
    <t>France</t>
  </si>
  <si>
    <t>Behavior intention to change to Energy efficient household appliance</t>
  </si>
  <si>
    <t>Portugal</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</si>
  <si>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</si>
  <si>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</si>
  <si>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</si>
  <si>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</si>
  <si>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</si>
  <si>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</si>
  <si>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</si>
  <si>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</si>
  <si>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</si>
  <si>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</si>
  <si>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</si>
  <si>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</si>
  <si>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</si>
  <si>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</si>
  <si>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</si>
  <si>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</si>
  <si>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</si>
  <si>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</si>
  <si>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</si>
  <si>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</si>
  <si>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</si>
  <si>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</si>
  <si>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</si>
  <si>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</si>
  <si>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</si>
  <si>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</si>
  <si>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</si>
  <si>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</si>
  <si>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</si>
  <si>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</si>
  <si>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</si>
  <si>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</si>
  <si>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</si>
  <si>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</si>
  <si>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</si>
  <si>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</si>
  <si>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</si>
  <si>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</si>
  <si>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</si>
  <si>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</si>
  <si>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</si>
  <si>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</si>
  <si>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</si>
  <si>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</si>
  <si>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</si>
  <si>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</si>
  <si>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</si>
  <si>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</si>
  <si>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</si>
  <si>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</si>
  <si>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</si>
  <si>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</si>
  <si>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</si>
  <si>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</si>
  <si>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</si>
  <si>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</si>
  <si>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</si>
  <si>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</si>
  <si>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</si>
  <si>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</si>
  <si>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</si>
  <si>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</si>
  <si>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structural model</t>
  </si>
  <si>
    <t>Grand Total</t>
  </si>
  <si>
    <t>controlls</t>
  </si>
  <si>
    <t>rebate_timeframe</t>
  </si>
  <si>
    <t>dep_var_category</t>
  </si>
  <si>
    <t>bias</t>
  </si>
  <si>
    <t>WTP for efficient appliance</t>
  </si>
  <si>
    <t>simulation</t>
  </si>
  <si>
    <t>students</t>
  </si>
  <si>
    <t>Alberini, Bigano</t>
  </si>
  <si>
    <t>How effective are energy-efficiency incentive programs? Evidence from Italian homeowners</t>
  </si>
  <si>
    <t>market share of efficient appliance</t>
  </si>
  <si>
    <t>PoC</t>
  </si>
  <si>
    <t>Looking for free riding: energy efficiency incentives and Italian homeowners</t>
  </si>
  <si>
    <t>RDD</t>
  </si>
  <si>
    <t>lab</t>
  </si>
  <si>
    <t>dep_var</t>
  </si>
  <si>
    <t>Alberini, Towe</t>
  </si>
  <si>
    <t>Information v. energy efficiency incentives: Evidence from residential electricity consumption in Maryland</t>
  </si>
  <si>
    <t>energy use after switching to a more efficient appliance</t>
  </si>
  <si>
    <t>review</t>
  </si>
  <si>
    <t>tenants</t>
  </si>
  <si>
    <t>binary</t>
  </si>
  <si>
    <t>The Role of Sales Agents in Information Disclosure: Evidence from a Field Experiment</t>
  </si>
  <si>
    <t>correlation</t>
  </si>
  <si>
    <t>propensity score matching</t>
  </si>
  <si>
    <t>uncertainty / sample size missing</t>
  </si>
  <si>
    <t>callers</t>
  </si>
  <si>
    <t>IV</t>
  </si>
  <si>
    <t>quality</t>
  </si>
  <si>
    <t>Ireland</t>
  </si>
  <si>
    <t>case study</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</si>
  <si>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</si>
  <si>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</si>
  <si>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</si>
  <si>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</si>
  <si>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</si>
  <si>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</si>
  <si>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</si>
  <si>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</si>
  <si>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</si>
  <si>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</si>
  <si>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</si>
  <si>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</si>
  <si>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</si>
  <si>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</si>
  <si>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</si>
  <si>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</si>
  <si>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</si>
  <si>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</si>
  <si>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</si>
  <si>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</si>
  <si>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</si>
  <si>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</si>
  <si>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Datta, Filippini</t>
  </si>
  <si>
    <t>Analysing the impact of ENERGY STAR rebate policies in the US</t>
  </si>
  <si>
    <t>log-linear model</t>
  </si>
  <si>
    <t>Datta, Gulati</t>
  </si>
  <si>
    <t>Utility rebates for ENERGY STAR appliances: Are they effective?</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</si>
  <si>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</si>
  <si>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</si>
  <si>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</si>
  <si>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</si>
  <si>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</si>
  <si>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</si>
  <si>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</si>
  <si>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</si>
  <si>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</si>
  <si>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</si>
  <si>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OLS - RE</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</si>
  <si>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</si>
  <si>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</si>
  <si>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</si>
  <si>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</si>
  <si>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</si>
  <si>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</si>
  <si>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</si>
  <si>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</si>
  <si>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</si>
  <si>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</si>
  <si>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</si>
  <si>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</si>
  <si>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</si>
  <si>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</si>
  <si>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</si>
  <si>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</si>
  <si>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</si>
  <si>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</si>
  <si>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</si>
  <si>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</si>
  <si>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</si>
  <si>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</si>
  <si>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</si>
  <si>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</si>
  <si>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</si>
  <si>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</si>
  <si>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</si>
  <si>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Granda, Birner, Aron, Woodward</t>
  </si>
  <si>
    <t>The IFC/GEF Poland Efficient Lighting Project (PELP) final results</t>
  </si>
  <si>
    <t>Haas</t>
  </si>
  <si>
    <t>Some empirical findings of an Austrian appliance turn-in program</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</si>
  <si>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</si>
  <si>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</si>
  <si>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</si>
  <si>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</si>
  <si>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</si>
  <si>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</si>
  <si>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Disimproving the European Energy Label's value for consumers? Results from a consumer survey</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</si>
  <si>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</si>
  <si>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</si>
  <si>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</si>
  <si>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</si>
  <si>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</si>
  <si>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</si>
  <si>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</si>
  <si>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</si>
  <si>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Kusaka, Kojima, Watanabe</t>
  </si>
  <si>
    <t>Environmental consciousness, economic gain and consumer choice of energy efficient appliances in Thailand, China and India</t>
  </si>
  <si>
    <t>Liang, Liu, Qiu, Wang, Xing</t>
  </si>
  <si>
    <t>Time-of-Use Electricity Pricing and Residential Low-carbon Energy Technology Adoption</t>
  </si>
  <si>
    <t>Liddle, Loi, Owen, Tao</t>
  </si>
  <si>
    <t>Evaluating consumption and cost savings from new air-conditioner purchases: The case of Singapore</t>
  </si>
  <si>
    <t>Visualisation approach and economic incentives toward low carbon practices in households: A survey study in Hyogo, Japan</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</si>
  <si>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</si>
  <si>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</si>
  <si>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</si>
  <si>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</si>
  <si>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</si>
  <si>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</si>
  <si>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</si>
  <si>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</si>
  <si>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</si>
  <si>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</si>
  <si>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</si>
  <si>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</si>
  <si>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</si>
  <si>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</si>
  <si>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</si>
  <si>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</si>
  <si>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</si>
  <si>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</si>
  <si>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</si>
  <si>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</si>
  <si>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</si>
  <si>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</si>
  <si>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</si>
  <si>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</si>
  <si>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</si>
  <si>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</si>
  <si>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</si>
  <si>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</si>
  <si>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</si>
  <si>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</si>
  <si>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Mixed logit with repeated choices: households' choices of appliance efficiency level</t>
  </si>
  <si>
    <t>Ridge</t>
  </si>
  <si>
    <t>Energy Conservation for Low-Income Households: The Evaporative Cooler Experience</t>
  </si>
  <si>
    <t>Schleich, Durand, Brugger</t>
  </si>
  <si>
    <t>How effective are EU minimum energy performance standards and energy labels for cold appliances?</t>
  </si>
  <si>
    <t>Skourtos, Damigos, Tourkolias, Kontogianni</t>
  </si>
  <si>
    <t>Efficient energy labelling: the impact of information content and style on product choice</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</si>
  <si>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</si>
  <si>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</si>
  <si>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</si>
  <si>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</si>
  <si>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</si>
  <si>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</si>
  <si>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</si>
  <si>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</si>
  <si>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</si>
  <si>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</si>
  <si>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</si>
  <si>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</si>
  <si>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</si>
  <si>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Webber, Brown, Koomey</t>
  </si>
  <si>
    <t>Savings estimates for the ENERGY STAR (R) voluntary labeling program</t>
  </si>
  <si>
    <t>Yao, Liu, Yan</t>
  </si>
  <si>
    <t>A quantile approach to assess the effectiveness of the subsidy policy for energy-efficient home appliances: Evidence from Rizhao,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</si>
  <si>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</si>
  <si>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</si>
  <si>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</si>
  <si>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</si>
  <si>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</si>
  <si>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</si>
  <si>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</si>
  <si>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</si>
  <si>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</si>
  <si>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</si>
  <si>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</si>
  <si>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Oländer, Thogersen</t>
  </si>
  <si>
    <t>Informing Versus Nudging in Environmental Policy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</si>
</sst>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s>
  <fonts count="5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12"/>
      <color rgb="FF111111"/>
      <name val="Calibri"/>
      <family val="2"/>
      <scheme val="minor"/>
    </font>
    <font>
      <sz val="12"/>
      <color rgb="FF000000"/>
      <name val="Calibri"/>
      <family val="2"/>
      <charset val="1"/>
      <scheme val="minor"/>
    </font>
    <font>
      <sz val="8"/>
      <name val="Calibri"/>
      <family val="2"/>
      <scheme val="minor"/>
    </font>
    <font>
      <sz val="12"/>
      <color theme="1"/>
      <name val="Calibri"/>
      <family val="2"/>
      <scheme val="minor"/>
    </font>
    <font>
      <sz val="9"/>
      <color indexed="81"/>
      <name val="Segoe UI"/>
      <charset val="1"/>
    </font>
    <font>
      <b/>
      <sz val="9"/>
      <color indexed="81"/>
      <name val="Segoe UI"/>
      <charset val="1"/>
    </font>
    <font>
      <sz val="11"/>
      <name val="Calibri"/>
      <family val="2"/>
      <scheme val="minor"/>
    </font>
    <font>
      <sz val="12"/>
      <name val="Calibri"/>
      <family val="2"/>
    </font>
    <font>
      <sz val="12"/>
      <color rgb="FF111111"/>
      <name val="AdvTT3713a231"/>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2"/>
      <color theme="1"/>
      <name val="Calibri"/>
      <family val="2"/>
      <charset val="1"/>
      <scheme val="minor"/>
    </font>
    <font>
      <sz val="12"/>
      <color rgb="FFFF0000"/>
      <name val="Calibri"/>
      <family val="2"/>
      <scheme val="minor"/>
    </font>
    <font>
      <sz val="12"/>
      <color rgb="FFFF0000"/>
      <name val="Calibri (Body)"/>
    </font>
    <font>
      <sz val="12"/>
      <color rgb="FFFF0000"/>
      <name val="Calibri"/>
      <family val="2"/>
      <charset val="1"/>
    </font>
    <font>
      <sz val="12"/>
      <color rgb="FFFF0000"/>
      <name val="Calibri"/>
      <family val="2"/>
    </font>
    <font>
      <sz val="12"/>
      <name val="TimesNewRoman"/>
    </font>
    <font>
      <sz val="12"/>
      <name val="Calibri (Body)"/>
    </font>
    <font>
      <sz val="12"/>
      <name val="TimesLTStd"/>
    </font>
    <font>
      <i/>
      <sz val="12"/>
      <name val="TimesLTStd"/>
    </font>
    <font>
      <sz val="12"/>
      <color rgb="FF000000"/>
      <name val="Calibri (Body)"/>
    </font>
    <font>
      <sz val="11"/>
      <color rgb="FF000000"/>
      <name val="Calibri"/>
      <family val="2"/>
      <charset val="1"/>
    </font>
    <font>
      <sz val="11"/>
      <color rgb="FFFF0000"/>
      <name val="Calibri"/>
      <family val="2"/>
      <charset val="1"/>
    </font>
    <font>
      <sz val="11"/>
      <color theme="1"/>
      <name val="Calibri (Body)"/>
    </font>
    <font>
      <sz val="11"/>
      <color theme="1"/>
      <name val="Calibri"/>
      <family val="2"/>
      <charset val="1"/>
    </font>
    <font>
      <b/>
      <sz val="12"/>
      <color rgb="FF000000"/>
      <name val="Calibri"/>
    </font>
    <font>
      <sz val="12"/>
      <color rgb="FF000000"/>
      <name val="Calibri"/>
    </font>
    <font>
      <sz val="12"/>
      <color rgb="FFFF0000"/>
      <name val="Calibri"/>
    </font>
  </fonts>
  <fills count="23">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DDEBF7"/>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9" fontId="28" fillId="0" borderId="0" applyFont="0" applyFill="0" applyBorder="0" applyAlignment="0" applyProtection="0"/>
  </cellStyleXfs>
  <cellXfs count="214">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31" fillId="0" borderId="0" xfId="0" applyFont="1"/>
    <xf numFmtId="0" fontId="31"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36"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10" fontId="37" fillId="0" borderId="0" xfId="1" applyNumberFormat="1" applyFont="1" applyFill="1" applyAlignment="1"/>
    <xf numFmtId="0" fontId="47" fillId="0" borderId="0" xfId="0" applyFont="1"/>
    <xf numFmtId="170" fontId="12" fillId="0" borderId="0" xfId="0" applyNumberFormat="1" applyFont="1"/>
    <xf numFmtId="1" fontId="0" fillId="0" borderId="0" xfId="0" applyNumberFormat="1"/>
    <xf numFmtId="0" fontId="40" fillId="0" borderId="0" xfId="0" applyFont="1"/>
    <xf numFmtId="0" fontId="34" fillId="0" borderId="0" xfId="0" applyFont="1"/>
    <xf numFmtId="0" fontId="35" fillId="0" borderId="0" xfId="0" applyFont="1"/>
    <xf numFmtId="10" fontId="0" fillId="0" borderId="0" xfId="1" applyNumberFormat="1" applyFont="1" applyAlignment="1"/>
    <xf numFmtId="0" fontId="24" fillId="0" borderId="0" xfId="0" applyFont="1"/>
    <xf numFmtId="3" fontId="0" fillId="0" borderId="0" xfId="0" applyNumberFormat="1"/>
    <xf numFmtId="0" fontId="25" fillId="0" borderId="0" xfId="0" applyFont="1"/>
    <xf numFmtId="10" fontId="37" fillId="15" borderId="0" xfId="1" applyNumberFormat="1" applyFont="1" applyFill="1" applyAlignment="1"/>
    <xf numFmtId="0" fontId="7" fillId="0" borderId="0" xfId="0" applyFont="1"/>
    <xf numFmtId="0" fontId="0" fillId="8" borderId="0" xfId="0" applyFill="1"/>
    <xf numFmtId="0" fontId="37" fillId="0" borderId="0" xfId="0" applyFont="1"/>
    <xf numFmtId="0" fontId="32" fillId="19" borderId="0" xfId="0" applyFont="1" applyFill="1"/>
    <xf numFmtId="0" fontId="32" fillId="0" borderId="0" xfId="0" applyFont="1"/>
    <xf numFmtId="164" fontId="24" fillId="0" borderId="0" xfId="0" applyNumberFormat="1" applyFont="1"/>
    <xf numFmtId="0" fontId="39" fillId="0" borderId="0" xfId="0" applyFont="1"/>
    <xf numFmtId="170" fontId="24" fillId="0" borderId="0" xfId="0" applyNumberFormat="1" applyFont="1"/>
    <xf numFmtId="0" fontId="34" fillId="8" borderId="0" xfId="0" applyFont="1" applyFill="1"/>
    <xf numFmtId="0" fontId="24" fillId="8" borderId="0" xfId="0" applyFont="1" applyFill="1"/>
    <xf numFmtId="0" fontId="32" fillId="8" borderId="0" xfId="0" applyFont="1" applyFill="1"/>
    <xf numFmtId="164" fontId="24" fillId="8" borderId="0" xfId="0" applyNumberFormat="1" applyFont="1" applyFill="1"/>
    <xf numFmtId="170" fontId="0" fillId="8" borderId="0" xfId="0" applyNumberFormat="1" applyFill="1"/>
    <xf numFmtId="0" fontId="0" fillId="18" borderId="0" xfId="0" applyFill="1"/>
    <xf numFmtId="0" fontId="12" fillId="8" borderId="0" xfId="0" applyFont="1" applyFill="1"/>
    <xf numFmtId="0" fontId="6" fillId="8" borderId="0" xfId="0" applyFont="1" applyFill="1"/>
    <xf numFmtId="164" fontId="12" fillId="8" borderId="0" xfId="0" applyNumberFormat="1" applyFont="1" applyFill="1"/>
    <xf numFmtId="10" fontId="12" fillId="8" borderId="0" xfId="0" applyNumberFormat="1" applyFont="1" applyFill="1"/>
    <xf numFmtId="170" fontId="12" fillId="8" borderId="0" xfId="0" applyNumberFormat="1" applyFont="1" applyFill="1"/>
    <xf numFmtId="0" fontId="39" fillId="8" borderId="0" xfId="0" applyFont="1" applyFill="1"/>
    <xf numFmtId="0" fontId="40" fillId="8" borderId="0" xfId="0" applyFont="1" applyFill="1"/>
    <xf numFmtId="0" fontId="41" fillId="8" borderId="0" xfId="0" applyFont="1" applyFill="1"/>
    <xf numFmtId="164" fontId="39" fillId="8" borderId="0" xfId="0" applyNumberFormat="1" applyFont="1" applyFill="1"/>
    <xf numFmtId="164" fontId="5" fillId="0" borderId="0" xfId="0" applyNumberFormat="1" applyFont="1"/>
    <xf numFmtId="0" fontId="21" fillId="8" borderId="0" xfId="0" applyFont="1" applyFill="1"/>
    <xf numFmtId="0" fontId="21" fillId="5" borderId="0" xfId="0" applyFont="1" applyFill="1"/>
    <xf numFmtId="0" fontId="42" fillId="8" borderId="0" xfId="0" applyFont="1" applyFill="1"/>
    <xf numFmtId="170" fontId="39" fillId="0" borderId="0" xfId="0" applyNumberFormat="1" applyFont="1"/>
    <xf numFmtId="171" fontId="0" fillId="0" borderId="0" xfId="0" applyNumberFormat="1"/>
    <xf numFmtId="0" fontId="38" fillId="0" borderId="0" xfId="0" applyFont="1"/>
    <xf numFmtId="0" fontId="21" fillId="7" borderId="0" xfId="0" applyFont="1" applyFill="1"/>
    <xf numFmtId="0" fontId="0" fillId="7" borderId="0" xfId="0" applyFill="1"/>
    <xf numFmtId="0" fontId="26" fillId="0" borderId="0" xfId="0" applyFont="1"/>
    <xf numFmtId="164" fontId="47" fillId="0" borderId="0" xfId="0" applyNumberFormat="1" applyFont="1"/>
    <xf numFmtId="0" fontId="47" fillId="15" borderId="0" xfId="0" applyFont="1" applyFill="1"/>
    <xf numFmtId="0" fontId="48" fillId="15" borderId="0" xfId="0" quotePrefix="1" applyFont="1" applyFill="1"/>
    <xf numFmtId="10" fontId="47" fillId="0" borderId="0" xfId="1" applyNumberFormat="1" applyFont="1" applyAlignment="1"/>
    <xf numFmtId="0" fontId="47" fillId="5" borderId="0" xfId="0" applyFont="1" applyFill="1"/>
    <xf numFmtId="0" fontId="38" fillId="15" borderId="0" xfId="0" applyFont="1" applyFill="1"/>
    <xf numFmtId="0" fontId="12" fillId="7" borderId="0" xfId="0" applyFont="1" applyFill="1"/>
    <xf numFmtId="0" fontId="47" fillId="7" borderId="0" xfId="0" applyFont="1" applyFill="1"/>
    <xf numFmtId="0" fontId="36" fillId="7" borderId="0" xfId="0" applyFont="1" applyFill="1"/>
    <xf numFmtId="164" fontId="12" fillId="7" borderId="0" xfId="0" applyNumberFormat="1" applyFont="1" applyFill="1"/>
    <xf numFmtId="10" fontId="12" fillId="7" borderId="0" xfId="1" applyNumberFormat="1" applyFont="1" applyFill="1" applyAlignment="1"/>
    <xf numFmtId="170" fontId="12" fillId="7" borderId="0" xfId="0" applyNumberFormat="1" applyFont="1" applyFill="1"/>
    <xf numFmtId="0" fontId="34" fillId="7" borderId="0" xfId="0" applyFont="1" applyFill="1"/>
    <xf numFmtId="9" fontId="0" fillId="0" borderId="0" xfId="0" applyNumberFormat="1"/>
    <xf numFmtId="0" fontId="6" fillId="7" borderId="0" xfId="0" applyFont="1" applyFill="1"/>
    <xf numFmtId="0" fontId="8" fillId="7" borderId="0" xfId="0" applyFont="1" applyFill="1"/>
    <xf numFmtId="10" fontId="6" fillId="0" borderId="0" xfId="0" applyNumberFormat="1" applyFont="1"/>
    <xf numFmtId="9" fontId="6" fillId="0" borderId="0" xfId="0" applyNumberFormat="1" applyFont="1"/>
    <xf numFmtId="164" fontId="21" fillId="5" borderId="0" xfId="0" applyNumberFormat="1" applyFont="1" applyFill="1"/>
    <xf numFmtId="10" fontId="5" fillId="0" borderId="0" xfId="1" applyNumberFormat="1" applyFont="1" applyFill="1" applyAlignment="1"/>
    <xf numFmtId="0" fontId="43" fillId="0" borderId="0" xfId="0" applyFont="1"/>
    <xf numFmtId="171" fontId="24" fillId="0" borderId="0" xfId="0" applyNumberFormat="1" applyFont="1"/>
    <xf numFmtId="0" fontId="38" fillId="8" borderId="0" xfId="0" applyFont="1" applyFill="1"/>
    <xf numFmtId="9" fontId="42" fillId="8" borderId="0" xfId="1" applyFont="1" applyFill="1" applyAlignment="1"/>
    <xf numFmtId="168" fontId="39" fillId="8" borderId="0" xfId="0" applyNumberFormat="1" applyFont="1" applyFill="1"/>
    <xf numFmtId="0" fontId="49" fillId="20" borderId="0" xfId="0" quotePrefix="1" applyFont="1" applyFill="1"/>
    <xf numFmtId="0" fontId="47" fillId="8" borderId="0" xfId="0" applyFont="1" applyFill="1"/>
    <xf numFmtId="164" fontId="47" fillId="8" borderId="0" xfId="0" applyNumberFormat="1" applyFont="1" applyFill="1"/>
    <xf numFmtId="2" fontId="47" fillId="8" borderId="0" xfId="0" applyNumberFormat="1" applyFont="1" applyFill="1"/>
    <xf numFmtId="0" fontId="48" fillId="0" borderId="0" xfId="0" quotePrefix="1" applyFont="1"/>
    <xf numFmtId="0" fontId="26" fillId="8" borderId="0" xfId="0" applyFont="1" applyFill="1"/>
    <xf numFmtId="164" fontId="21" fillId="8" borderId="0" xfId="0" applyNumberFormat="1" applyFont="1" applyFill="1"/>
    <xf numFmtId="2" fontId="21" fillId="8" borderId="0" xfId="0" applyNumberFormat="1" applyFont="1" applyFill="1"/>
    <xf numFmtId="10" fontId="0" fillId="8" borderId="0" xfId="0" applyNumberFormat="1" applyFill="1"/>
    <xf numFmtId="0" fontId="0" fillId="0" borderId="0" xfId="0" pivotButton="1"/>
    <xf numFmtId="0" fontId="0" fillId="0" borderId="0" xfId="0" applyAlignment="1">
      <alignment horizontal="left"/>
    </xf>
    <xf numFmtId="0" fontId="5" fillId="8" borderId="0" xfId="0" applyFont="1" applyFill="1"/>
    <xf numFmtId="0" fontId="50" fillId="8" borderId="0" xfId="0" applyFont="1" applyFill="1"/>
    <xf numFmtId="0" fontId="51" fillId="0" borderId="0" xfId="0" quotePrefix="1" applyFont="1"/>
    <xf numFmtId="9" fontId="21" fillId="8" borderId="0" xfId="1" applyFont="1" applyFill="1" applyAlignment="1"/>
    <xf numFmtId="0" fontId="23" fillId="8" borderId="0" xfId="0" applyFont="1" applyFill="1"/>
    <xf numFmtId="0" fontId="37" fillId="8" borderId="0" xfId="0" applyFont="1" applyFill="1"/>
    <xf numFmtId="164" fontId="0" fillId="8" borderId="0" xfId="0" applyNumberFormat="1" applyFill="1"/>
    <xf numFmtId="10" fontId="0" fillId="8" borderId="0" xfId="1" applyNumberFormat="1" applyFont="1" applyFill="1" applyAlignment="1"/>
    <xf numFmtId="9" fontId="0" fillId="8" borderId="0" xfId="0" applyNumberFormat="1" applyFill="1"/>
    <xf numFmtId="2" fontId="2" fillId="10" borderId="0" xfId="0" applyNumberFormat="1" applyFont="1" applyFill="1"/>
    <xf numFmtId="2" fontId="6" fillId="0" borderId="0" xfId="0" applyNumberFormat="1" applyFont="1" applyAlignment="1">
      <alignment horizontal="right"/>
    </xf>
    <xf numFmtId="2" fontId="21" fillId="0" borderId="0" xfId="0" applyNumberFormat="1" applyFont="1"/>
    <xf numFmtId="2" fontId="0" fillId="0" borderId="0" xfId="0" applyNumberFormat="1"/>
    <xf numFmtId="2" fontId="24" fillId="0" borderId="0" xfId="0" applyNumberFormat="1" applyFont="1"/>
    <xf numFmtId="2" fontId="21" fillId="5" borderId="0" xfId="0" applyNumberFormat="1" applyFont="1" applyFill="1"/>
    <xf numFmtId="2" fontId="12" fillId="7" borderId="0" xfId="0" applyNumberFormat="1" applyFont="1" applyFill="1"/>
    <xf numFmtId="2" fontId="37" fillId="0" borderId="0" xfId="0" applyNumberFormat="1" applyFont="1" applyAlignment="1">
      <alignment horizontal="right"/>
    </xf>
    <xf numFmtId="2" fontId="47" fillId="15" borderId="0" xfId="0" applyNumberFormat="1" applyFont="1" applyFill="1"/>
    <xf numFmtId="2" fontId="0" fillId="15" borderId="0" xfId="0" applyNumberFormat="1" applyFill="1"/>
    <xf numFmtId="2" fontId="12" fillId="8" borderId="0" xfId="0" applyNumberFormat="1" applyFont="1" applyFill="1"/>
    <xf numFmtId="2" fontId="0" fillId="8" borderId="0" xfId="0" applyNumberFormat="1" applyFill="1"/>
    <xf numFmtId="2" fontId="24" fillId="8" borderId="0" xfId="0" applyNumberFormat="1" applyFont="1" applyFill="1"/>
    <xf numFmtId="2" fontId="5" fillId="0" borderId="0" xfId="0" applyNumberFormat="1" applyFont="1"/>
    <xf numFmtId="2" fontId="21" fillId="15" borderId="0" xfId="0" applyNumberFormat="1" applyFont="1" applyFill="1"/>
    <xf numFmtId="2" fontId="39" fillId="8" borderId="0" xfId="0" applyNumberFormat="1" applyFont="1" applyFill="1"/>
    <xf numFmtId="0" fontId="52" fillId="21" borderId="0" xfId="0" applyFont="1" applyFill="1" applyBorder="1" applyAlignment="1"/>
    <xf numFmtId="0" fontId="6" fillId="0" borderId="0" xfId="0" applyFont="1" applyFill="1" applyBorder="1" applyAlignment="1"/>
    <xf numFmtId="0" fontId="8" fillId="0" borderId="0" xfId="0" applyFont="1" applyFill="1" applyBorder="1" applyAlignment="1"/>
    <xf numFmtId="0" fontId="53" fillId="0" borderId="0" xfId="0" applyFont="1" applyFill="1" applyBorder="1" applyAlignment="1"/>
    <xf numFmtId="0" fontId="32" fillId="22" borderId="0" xfId="0" applyFont="1" applyFill="1" applyBorder="1" applyAlignment="1"/>
    <xf numFmtId="0" fontId="32" fillId="0" borderId="0" xfId="0" applyFont="1" applyFill="1" applyBorder="1" applyAlignment="1"/>
    <xf numFmtId="0" fontId="8" fillId="22" borderId="0" xfId="0" applyFont="1" applyFill="1" applyBorder="1" applyAlignment="1"/>
    <xf numFmtId="0" fontId="42" fillId="0" borderId="0" xfId="0" applyFont="1" applyFill="1" applyBorder="1" applyAlignment="1"/>
    <xf numFmtId="0" fontId="34" fillId="0" borderId="0" xfId="0" applyFont="1" applyFill="1" applyBorder="1" applyAlignment="1"/>
    <xf numFmtId="0" fontId="53" fillId="22" borderId="0" xfId="0" applyFont="1" applyFill="1" applyBorder="1" applyAlignment="1"/>
    <xf numFmtId="0" fontId="8" fillId="21" borderId="0" xfId="0" applyFont="1" applyFill="1" applyBorder="1" applyAlignment="1"/>
    <xf numFmtId="0" fontId="54" fillId="22" borderId="0" xfId="0" applyFont="1" applyFill="1" applyBorder="1" applyAlignment="1"/>
    <xf numFmtId="0" fontId="42" fillId="22" borderId="0" xfId="0" applyFont="1" applyFill="1" applyBorder="1" applyAlignment="1"/>
    <xf numFmtId="9" fontId="44" fillId="15" borderId="0" xfId="1" applyFont="1" applyFill="1" applyAlignment="1"/>
  </cellXfs>
  <cellStyles count="2">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Users/dianadanilenko/Library/Containers/com.microsoft.Excel/Data/Documents/Users/dianadanilenko/Library/Containers/com.microsoft.Excel/Data/Documents/C:/Users/dianadanilenko/Downloads/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Hansteen, Sven" id="{4972B049-9CE6-AC49-9D28-FAEEEEB34A16}" userId="S::shansteen@rwi-essen.de::722ee81c-730f-49c5-b2e8-5ba9991bffdd" providerId="AD"/>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C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W95" dT="2022-11-28T14:59:57.62" personId="{07E012BB-865F-6142-9A86-EDCC0A8503F7}" id="{1762D52C-C952-7F43-847B-B050969DF7F7}">
    <text>we have confidence intervals but no SE</text>
  </threadedComment>
  <threadedComment ref="BJ129" dT="2023-05-16T16:01:52.70" personId="{07E012BB-865F-6142-9A86-EDCC0A8503F7}" id="{1F7A7D95-9782-8549-84C7-AF86FD10A3A0}">
    <text xml:space="preserve">number of stores -what should we actually use as observations
</text>
  </threadedComment>
  <threadedComment ref="BA136" dT="2022-12-06T15:31:30.94" personId="{4972B049-9CE6-AC49-9D28-FAEEEEB34A16}" id="{82F1C3F7-426B-1A49-BF17-3AE9A7F3075E}">
    <text>Delta = 81 - 63 percent</text>
  </threadedComment>
  <threadedComment ref="M141" dT="2023-05-22T12:29:41.21" personId="{07E012BB-865F-6142-9A86-EDCC0A8503F7}" id="{9F47CB00-27A0-CE4B-BCAE-E38E0BB97778}">
    <text xml:space="preserve">structural equation modelling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75"/>
  <cols>
    <col min="4" max="4" width="20.625" customWidth="1"/>
    <col min="5" max="5" width="14.125" customWidth="1"/>
    <col min="7" max="7" width="16.125" customWidth="1"/>
    <col min="8" max="8" width="16.625" customWidth="1"/>
    <col min="10" max="10" width="18.125" bestFit="1" customWidth="1"/>
    <col min="11" max="11" width="12" hidden="1" customWidth="1"/>
    <col min="12" max="17" width="0" hidden="1" customWidth="1"/>
    <col min="18" max="18" width="16" hidden="1" customWidth="1"/>
    <col min="19" max="22" width="0" hidden="1" customWidth="1"/>
    <col min="23" max="24" width="12.125" hidden="1" customWidth="1"/>
    <col min="25" max="25" width="0" hidden="1" customWidth="1"/>
    <col min="26" max="26" width="0" style="12" hidden="1" customWidth="1"/>
    <col min="27" max="27" width="18.625" hidden="1" customWidth="1"/>
    <col min="28" max="28" width="14.125" style="7" bestFit="1" customWidth="1"/>
    <col min="29" max="29" width="14.625" style="7" customWidth="1"/>
    <col min="30" max="30" width="13.625" customWidth="1"/>
    <col min="31" max="31" width="14.625" customWidth="1"/>
    <col min="32" max="32" width="13.625" hidden="1" customWidth="1"/>
    <col min="33" max="33" width="19.125" hidden="1" customWidth="1"/>
    <col min="34" max="34" width="10.625" hidden="1" customWidth="1"/>
    <col min="35" max="35" width="13.125" hidden="1" customWidth="1"/>
    <col min="36" max="36" width="22.125" hidden="1" customWidth="1"/>
    <col min="37" max="37" width="10.625" hidden="1" customWidth="1"/>
    <col min="38" max="38" width="18.125" customWidth="1"/>
    <col min="39" max="39" width="14.125" customWidth="1"/>
    <col min="40" max="40" width="9.625" customWidth="1"/>
    <col min="41" max="41" width="19.125" customWidth="1"/>
    <col min="42" max="42" width="12.125" customWidth="1"/>
    <col min="44" max="45" width="0" hidden="1" customWidth="1"/>
    <col min="46" max="47" width="13.125" hidden="1" customWidth="1"/>
    <col min="48" max="51" width="0" hidden="1" customWidth="1"/>
    <col min="52" max="52" width="13.625" style="17" hidden="1" customWidth="1"/>
    <col min="53" max="53" width="26.5" hidden="1" customWidth="1"/>
    <col min="54" max="54" width="20.625" hidden="1" customWidth="1"/>
    <col min="55" max="55" width="0" hidden="1" customWidth="1"/>
    <col min="56" max="56" width="17.625" hidden="1" customWidth="1"/>
    <col min="57" max="57" width="16.125" hidden="1" customWidth="1"/>
    <col min="58" max="58" width="15.125" hidden="1" customWidth="1"/>
    <col min="59" max="59" width="20.625" hidden="1" customWidth="1"/>
    <col min="60" max="60" width="24.625" hidden="1" customWidth="1"/>
    <col min="61" max="61" width="19.625" style="30" bestFit="1" customWidth="1"/>
    <col min="62" max="62" width="24.125" style="30" bestFit="1" customWidth="1"/>
    <col min="63" max="65" width="11" style="30"/>
    <col min="67" max="67" width="25.125" bestFit="1" customWidth="1"/>
  </cols>
  <sheetData>
    <row r="1" spans="1:68" ht="45">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5">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5">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5">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5">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H148"/>
  <sheetViews>
    <sheetView tabSelected="1" zoomScale="77" zoomScaleNormal="77" workbookViewId="0">
      <pane xSplit="1" ySplit="1" topLeftCell="AS115" activePane="bottomRight" state="frozen"/>
      <selection pane="topRight" activeCell="B1" sqref="B1"/>
      <selection pane="bottomLeft" activeCell="A2" sqref="A2"/>
      <selection pane="bottomRight" activeCell="BA117" sqref="BA117:BA130"/>
    </sheetView>
  </sheetViews>
  <sheetFormatPr baseColWidth="10" defaultColWidth="11" defaultRowHeight="15.75" customHeight="1"/>
  <cols>
    <col min="5" max="5" width="24.625" customWidth="1"/>
    <col min="6" max="6" width="17.625" customWidth="1"/>
    <col min="7" max="7" width="14.125" customWidth="1"/>
    <col min="8" max="8" width="16.5" customWidth="1"/>
    <col min="9" max="9" width="11" customWidth="1"/>
    <col min="10" max="10" width="16.125" customWidth="1"/>
    <col min="11" max="11" width="15.125" bestFit="1" customWidth="1"/>
    <col min="13" max="13" width="20.625" bestFit="1" customWidth="1"/>
    <col min="14" max="14" width="13.125" customWidth="1"/>
    <col min="15" max="15" width="11" customWidth="1"/>
    <col min="16" max="16" width="14.625" customWidth="1"/>
    <col min="17" max="17" width="13.125" customWidth="1"/>
    <col min="18" max="18" width="15" customWidth="1"/>
    <col min="19" max="19" width="14.125" customWidth="1"/>
    <col min="20" max="20" width="11" customWidth="1"/>
    <col min="21" max="21" width="21.125" customWidth="1"/>
    <col min="22" max="22" width="16" customWidth="1"/>
    <col min="23" max="23" width="14.625" customWidth="1"/>
    <col min="24" max="24" width="12.5" customWidth="1"/>
    <col min="25" max="33" width="11" customWidth="1"/>
    <col min="34" max="35" width="16" customWidth="1"/>
    <col min="36" max="39" width="11" customWidth="1"/>
    <col min="40" max="41" width="12.125" customWidth="1"/>
    <col min="42" max="42" width="11" customWidth="1"/>
    <col min="43" max="43" width="27.625" customWidth="1"/>
    <col min="44" max="44" width="41.125" bestFit="1" customWidth="1"/>
    <col min="45" max="45" width="54.625" customWidth="1"/>
    <col min="46" max="46" width="21" customWidth="1"/>
    <col min="47" max="47" width="26.625" style="187" customWidth="1"/>
    <col min="48" max="48" width="14.125" style="7" customWidth="1"/>
    <col min="49" max="49" width="13.125" customWidth="1"/>
    <col min="50" max="50" width="9.625" customWidth="1"/>
    <col min="51" max="51" width="17" customWidth="1"/>
    <col min="52" max="52" width="9"/>
    <col min="53" max="53" width="14.125" customWidth="1"/>
    <col min="54" max="54" width="13.625" customWidth="1"/>
    <col min="55" max="55" width="12.625" customWidth="1"/>
    <col min="56" max="56" width="10.625" customWidth="1"/>
    <col min="57" max="57" width="13" customWidth="1"/>
    <col min="58" max="59" width="10.625" customWidth="1"/>
    <col min="60" max="61" width="11.125" customWidth="1"/>
    <col min="62" max="63" width="11" customWidth="1"/>
    <col min="64" max="64" width="12.625" customWidth="1"/>
    <col min="65" max="65" width="18.125" customWidth="1"/>
    <col min="66" max="66" width="22.125" customWidth="1"/>
    <col min="67" max="67" width="15.125" customWidth="1"/>
    <col min="68" max="68" width="18" customWidth="1"/>
    <col min="69" max="69" width="17.125" customWidth="1"/>
    <col min="70" max="70" width="21.125" customWidth="1"/>
    <col min="71" max="71" width="10.125" customWidth="1"/>
    <col min="72" max="72" width="13" customWidth="1"/>
    <col min="73" max="73" width="14" customWidth="1"/>
    <col min="74" max="74" width="13.125" customWidth="1"/>
    <col min="77" max="77" width="11.875" customWidth="1"/>
    <col min="81" max="81" width="10.375" customWidth="1"/>
    <col min="84" max="84" width="11.875" customWidth="1"/>
  </cols>
  <sheetData>
    <row r="1" spans="1:86" ht="17.100000000000001" customHeight="1">
      <c r="A1" s="58" t="s">
        <v>181</v>
      </c>
      <c r="B1" s="58" t="s">
        <v>182</v>
      </c>
      <c r="C1" s="58" t="s">
        <v>1</v>
      </c>
      <c r="D1" s="58" t="s">
        <v>2</v>
      </c>
      <c r="E1" s="59" t="s">
        <v>183</v>
      </c>
      <c r="F1" s="60" t="s">
        <v>184</v>
      </c>
      <c r="G1" s="61" t="s">
        <v>4</v>
      </c>
      <c r="H1" s="62" t="s">
        <v>5</v>
      </c>
      <c r="I1" s="63" t="s">
        <v>11</v>
      </c>
      <c r="J1" s="63" t="s">
        <v>6</v>
      </c>
      <c r="K1" s="63" t="s">
        <v>7</v>
      </c>
      <c r="L1" s="63" t="s">
        <v>8</v>
      </c>
      <c r="M1" s="200"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196</v>
      </c>
      <c r="AK1" s="74" t="s">
        <v>19</v>
      </c>
      <c r="AL1" s="74" t="s">
        <v>20</v>
      </c>
      <c r="AM1" s="74" t="s">
        <v>21</v>
      </c>
      <c r="AN1" s="74" t="s">
        <v>22</v>
      </c>
      <c r="AO1" s="74" t="s">
        <v>197</v>
      </c>
      <c r="AP1" s="74" t="s">
        <v>24</v>
      </c>
      <c r="AQ1" s="75" t="s">
        <v>198</v>
      </c>
      <c r="AR1" s="58" t="s">
        <v>199</v>
      </c>
      <c r="AS1" s="58" t="s">
        <v>200</v>
      </c>
      <c r="AT1" s="58" t="s">
        <v>201</v>
      </c>
      <c r="AU1" s="184" t="s">
        <v>27</v>
      </c>
      <c r="AV1" s="58" t="s">
        <v>28</v>
      </c>
      <c r="AW1" s="59" t="s">
        <v>29</v>
      </c>
      <c r="AX1" s="76" t="s">
        <v>39</v>
      </c>
      <c r="AY1" s="77" t="s">
        <v>40</v>
      </c>
      <c r="AZ1" s="77" t="s">
        <v>202</v>
      </c>
      <c r="BA1" s="78" t="s">
        <v>203</v>
      </c>
      <c r="BB1" s="79" t="s">
        <v>31</v>
      </c>
      <c r="BC1" s="80" t="s">
        <v>32</v>
      </c>
      <c r="BD1" s="80" t="s">
        <v>33</v>
      </c>
      <c r="BE1" s="80" t="s">
        <v>34</v>
      </c>
      <c r="BF1" s="80" t="s">
        <v>35</v>
      </c>
      <c r="BG1" s="80" t="s">
        <v>36</v>
      </c>
      <c r="BH1" s="80" t="s">
        <v>37</v>
      </c>
      <c r="BI1" s="80" t="s">
        <v>38</v>
      </c>
      <c r="BJ1" s="80" t="s">
        <v>42</v>
      </c>
      <c r="BK1" s="81" t="s">
        <v>43</v>
      </c>
      <c r="BL1" s="82" t="s">
        <v>204</v>
      </c>
      <c r="BM1" s="83" t="s">
        <v>205</v>
      </c>
      <c r="BN1" s="84" t="s">
        <v>206</v>
      </c>
      <c r="BO1" s="85" t="s">
        <v>207</v>
      </c>
      <c r="BP1" s="86" t="s">
        <v>208</v>
      </c>
      <c r="BQ1" s="86" t="s">
        <v>209</v>
      </c>
      <c r="BR1" s="86" t="s">
        <v>210</v>
      </c>
      <c r="BS1" s="84" t="s">
        <v>211</v>
      </c>
      <c r="BT1" s="87" t="s">
        <v>212</v>
      </c>
      <c r="BU1" s="88" t="s">
        <v>213</v>
      </c>
      <c r="BV1" s="89" t="s">
        <v>214</v>
      </c>
      <c r="BW1" s="28" t="s">
        <v>215</v>
      </c>
      <c r="BX1" s="90" t="s">
        <v>62</v>
      </c>
      <c r="BY1" s="91" t="s">
        <v>63</v>
      </c>
      <c r="BZ1" s="91" t="s">
        <v>64</v>
      </c>
      <c r="CA1" t="s">
        <v>65</v>
      </c>
      <c r="CB1" t="s">
        <v>216</v>
      </c>
      <c r="CC1" t="s">
        <v>217</v>
      </c>
      <c r="CD1" s="28" t="s">
        <v>218</v>
      </c>
      <c r="CE1" s="90" t="s">
        <v>219</v>
      </c>
      <c r="CF1" s="91" t="s">
        <v>220</v>
      </c>
      <c r="CG1" s="91" t="s">
        <v>221</v>
      </c>
    </row>
    <row r="2" spans="1:86" ht="15.75" customHeight="1">
      <c r="A2" s="95" t="s">
        <v>68</v>
      </c>
      <c r="B2" s="92">
        <v>13</v>
      </c>
      <c r="C2" s="95">
        <v>1134</v>
      </c>
      <c r="D2" s="95">
        <v>129</v>
      </c>
      <c r="E2" s="95" t="s">
        <v>352</v>
      </c>
      <c r="F2" s="95">
        <v>2012</v>
      </c>
      <c r="G2" s="95" t="s">
        <v>353</v>
      </c>
      <c r="H2" s="95" t="s">
        <v>354</v>
      </c>
      <c r="I2" s="95">
        <v>2</v>
      </c>
      <c r="J2" s="95">
        <v>2009</v>
      </c>
      <c r="K2" s="95" t="s">
        <v>73</v>
      </c>
      <c r="L2" s="95">
        <v>68</v>
      </c>
      <c r="M2" s="203" t="s">
        <v>107</v>
      </c>
      <c r="N2" s="95" t="s">
        <v>112</v>
      </c>
      <c r="O2" s="95" t="s">
        <v>148</v>
      </c>
      <c r="P2" s="95" t="s">
        <v>294</v>
      </c>
      <c r="Q2" s="95" t="s">
        <v>308</v>
      </c>
      <c r="R2" s="95" t="s">
        <v>337</v>
      </c>
      <c r="S2" s="95">
        <v>1</v>
      </c>
      <c r="T2" s="95" t="s">
        <v>342</v>
      </c>
      <c r="U2" s="95">
        <v>0</v>
      </c>
      <c r="V2" s="95" t="s">
        <v>232</v>
      </c>
      <c r="W2" s="95" t="s">
        <v>232</v>
      </c>
      <c r="X2" s="95" t="s">
        <v>73</v>
      </c>
      <c r="Y2" s="95">
        <v>0</v>
      </c>
      <c r="Z2" s="95">
        <v>0</v>
      </c>
      <c r="AA2" s="95">
        <v>1</v>
      </c>
      <c r="AB2" s="95">
        <v>0</v>
      </c>
      <c r="AC2" s="95">
        <v>0</v>
      </c>
      <c r="AD2" s="95">
        <v>0</v>
      </c>
      <c r="AE2" s="95">
        <v>0</v>
      </c>
      <c r="AF2" s="95">
        <v>0</v>
      </c>
      <c r="AG2" s="95" t="s">
        <v>73</v>
      </c>
      <c r="AH2" s="95">
        <v>0</v>
      </c>
      <c r="AI2" s="95">
        <v>0</v>
      </c>
      <c r="AJ2" s="95">
        <v>0</v>
      </c>
      <c r="AK2" s="95">
        <v>0</v>
      </c>
      <c r="AL2" s="95">
        <v>0</v>
      </c>
      <c r="AM2" s="95">
        <v>0</v>
      </c>
      <c r="AN2" s="95">
        <v>0</v>
      </c>
      <c r="AO2" s="95">
        <v>0</v>
      </c>
      <c r="AP2" s="95">
        <v>1</v>
      </c>
      <c r="AQ2" s="95" t="s">
        <v>355</v>
      </c>
      <c r="AR2" s="95" t="s">
        <v>234</v>
      </c>
      <c r="AS2" s="32" t="s">
        <v>296</v>
      </c>
      <c r="AT2" s="95" t="s">
        <v>236</v>
      </c>
      <c r="AU2" s="192" t="e">
        <f>LN(BA2-1)</f>
        <v>#NUM!</v>
      </c>
      <c r="AV2" s="139" t="s">
        <v>80</v>
      </c>
      <c r="AW2" s="95">
        <v>4</v>
      </c>
      <c r="AX2" s="140" t="s">
        <v>73</v>
      </c>
      <c r="AY2" s="140" t="s">
        <v>73</v>
      </c>
      <c r="AZ2" s="141" t="e">
        <f>TINV(AX2,CB2)</f>
        <v>#VALUE!</v>
      </c>
      <c r="BA2" s="142">
        <v>0.33700000000000002</v>
      </c>
      <c r="BB2" s="95" t="s">
        <v>73</v>
      </c>
      <c r="BC2" s="95" t="s">
        <v>73</v>
      </c>
      <c r="BD2" s="95" t="s">
        <v>73</v>
      </c>
      <c r="BE2" s="95" t="s">
        <v>73</v>
      </c>
      <c r="BF2" s="95" t="s">
        <v>73</v>
      </c>
      <c r="BG2" s="95" t="s">
        <v>73</v>
      </c>
      <c r="BH2" s="143">
        <v>90</v>
      </c>
      <c r="BI2" s="95">
        <v>1080</v>
      </c>
      <c r="BJ2" s="95" t="s">
        <v>73</v>
      </c>
      <c r="BK2" s="95" t="s">
        <v>73</v>
      </c>
      <c r="BL2" s="95" t="s">
        <v>73</v>
      </c>
      <c r="BM2" s="95" t="s">
        <v>73</v>
      </c>
      <c r="BN2" s="95" t="s">
        <v>73</v>
      </c>
      <c r="BO2" s="95">
        <v>0</v>
      </c>
      <c r="BP2" s="95" t="s">
        <v>73</v>
      </c>
      <c r="BQ2" s="95">
        <v>0</v>
      </c>
      <c r="BR2" s="95" t="s">
        <v>73</v>
      </c>
      <c r="BS2" s="95" t="s">
        <v>316</v>
      </c>
      <c r="BT2" s="95">
        <v>0</v>
      </c>
      <c r="BU2" s="95">
        <v>0</v>
      </c>
      <c r="BV2" s="95">
        <v>0</v>
      </c>
      <c r="BW2" s="133">
        <f>CA2/((CA2^2+4)^(1/2))</f>
        <v>4.2087673934074338E-2</v>
      </c>
      <c r="BX2" s="133">
        <f>0.5*LN((1+BW2)/(1-BW2))</f>
        <v>4.2112551359627833E-2</v>
      </c>
      <c r="BY2" s="133">
        <f>((1-(BX2^2)^2)/(BH2-1))</f>
        <v>1.123591971702094E-2</v>
      </c>
      <c r="BZ2" s="133">
        <f>1/(BH2-3)</f>
        <v>1.1494252873563218E-2</v>
      </c>
      <c r="CA2" s="112">
        <f>BA2/AW2</f>
        <v>8.4250000000000005E-2</v>
      </c>
      <c r="CB2" s="32">
        <f>BH2-1</f>
        <v>89</v>
      </c>
      <c r="CC2" s="92" t="s">
        <v>73</v>
      </c>
      <c r="CD2" s="30">
        <f>CA2/((CA2^2+4)^(1/2))</f>
        <v>4.2087673934074338E-2</v>
      </c>
      <c r="CE2" s="133">
        <f>0.5*LN((1+CD2)/(1-CD2))</f>
        <v>4.2112551359627833E-2</v>
      </c>
      <c r="CF2" s="30">
        <f>((1-(CE2^2)^2)/(BI2-1))</f>
        <v>9.267811444067318E-4</v>
      </c>
      <c r="CG2" s="30">
        <f>1/(BI2-3)</f>
        <v>9.2850510677808728E-4</v>
      </c>
    </row>
    <row r="3" spans="1:86" s="102" customFormat="1">
      <c r="A3" s="95" t="s">
        <v>68</v>
      </c>
      <c r="B3" s="92">
        <v>13</v>
      </c>
      <c r="C3" s="95">
        <v>1135</v>
      </c>
      <c r="D3" s="95">
        <v>129</v>
      </c>
      <c r="E3" s="95" t="s">
        <v>352</v>
      </c>
      <c r="F3" s="95">
        <v>2012</v>
      </c>
      <c r="G3" s="95" t="s">
        <v>353</v>
      </c>
      <c r="H3" s="95" t="s">
        <v>354</v>
      </c>
      <c r="I3" s="95">
        <v>2</v>
      </c>
      <c r="J3" s="95">
        <v>2009</v>
      </c>
      <c r="K3" s="95" t="s">
        <v>73</v>
      </c>
      <c r="L3" s="95">
        <v>68</v>
      </c>
      <c r="M3" s="203" t="s">
        <v>107</v>
      </c>
      <c r="N3" s="95" t="s">
        <v>112</v>
      </c>
      <c r="O3" s="95" t="s">
        <v>148</v>
      </c>
      <c r="P3" s="95" t="s">
        <v>294</v>
      </c>
      <c r="Q3" s="95" t="s">
        <v>308</v>
      </c>
      <c r="R3" s="95" t="s">
        <v>337</v>
      </c>
      <c r="S3" s="95">
        <v>1</v>
      </c>
      <c r="T3" s="95" t="s">
        <v>342</v>
      </c>
      <c r="U3" s="95">
        <v>0</v>
      </c>
      <c r="V3" s="95" t="s">
        <v>232</v>
      </c>
      <c r="W3" s="95" t="s">
        <v>232</v>
      </c>
      <c r="X3" s="95" t="s">
        <v>73</v>
      </c>
      <c r="Y3" s="95">
        <v>0</v>
      </c>
      <c r="Z3" s="95">
        <v>0</v>
      </c>
      <c r="AA3" s="95">
        <v>1</v>
      </c>
      <c r="AB3" s="95">
        <v>0</v>
      </c>
      <c r="AC3" s="95">
        <v>0</v>
      </c>
      <c r="AD3" s="95">
        <v>0</v>
      </c>
      <c r="AE3" s="95">
        <v>0</v>
      </c>
      <c r="AF3" s="95">
        <v>0</v>
      </c>
      <c r="AG3" s="95" t="s">
        <v>73</v>
      </c>
      <c r="AH3" s="95">
        <v>0</v>
      </c>
      <c r="AI3" s="95">
        <v>0</v>
      </c>
      <c r="AJ3" s="95">
        <v>0</v>
      </c>
      <c r="AK3" s="95">
        <v>0</v>
      </c>
      <c r="AL3" s="95">
        <v>0</v>
      </c>
      <c r="AM3" s="95">
        <v>0</v>
      </c>
      <c r="AN3" s="95">
        <v>0</v>
      </c>
      <c r="AO3" s="95">
        <v>0</v>
      </c>
      <c r="AP3" s="95">
        <v>1</v>
      </c>
      <c r="AQ3" s="95" t="s">
        <v>355</v>
      </c>
      <c r="AR3" s="95" t="s">
        <v>234</v>
      </c>
      <c r="AS3" s="32" t="s">
        <v>296</v>
      </c>
      <c r="AT3" s="95" t="s">
        <v>236</v>
      </c>
      <c r="AU3" s="192" t="e">
        <f>LN(BA3-1)</f>
        <v>#NUM!</v>
      </c>
      <c r="AV3" s="139" t="s">
        <v>80</v>
      </c>
      <c r="AW3" s="139">
        <v>2.1</v>
      </c>
      <c r="AX3" s="140" t="s">
        <v>73</v>
      </c>
      <c r="AY3" s="140" t="s">
        <v>73</v>
      </c>
      <c r="AZ3" s="141" t="e">
        <f>TINV(AX3,CB3)</f>
        <v>#VALUE!</v>
      </c>
      <c r="BA3" s="142">
        <v>7.4999999999999997E-2</v>
      </c>
      <c r="BB3" s="95" t="s">
        <v>73</v>
      </c>
      <c r="BC3" s="95" t="s">
        <v>73</v>
      </c>
      <c r="BD3" s="95" t="s">
        <v>73</v>
      </c>
      <c r="BE3" s="95" t="s">
        <v>73</v>
      </c>
      <c r="BF3" s="95" t="s">
        <v>73</v>
      </c>
      <c r="BG3" s="95" t="s">
        <v>73</v>
      </c>
      <c r="BH3" s="143">
        <v>97</v>
      </c>
      <c r="BI3" s="95">
        <v>1164</v>
      </c>
      <c r="BJ3" s="95" t="s">
        <v>73</v>
      </c>
      <c r="BK3" s="95" t="s">
        <v>73</v>
      </c>
      <c r="BL3" s="95" t="s">
        <v>73</v>
      </c>
      <c r="BM3" s="95" t="s">
        <v>73</v>
      </c>
      <c r="BN3" s="95" t="s">
        <v>73</v>
      </c>
      <c r="BO3" s="95">
        <v>0</v>
      </c>
      <c r="BP3" s="95" t="s">
        <v>73</v>
      </c>
      <c r="BQ3" s="95">
        <v>0</v>
      </c>
      <c r="BR3" s="95" t="s">
        <v>73</v>
      </c>
      <c r="BS3" s="95" t="s">
        <v>356</v>
      </c>
      <c r="BT3" s="95">
        <v>0</v>
      </c>
      <c r="BU3" s="95">
        <v>0</v>
      </c>
      <c r="BV3" s="95">
        <v>0</v>
      </c>
      <c r="BW3" s="133">
        <f>CA3/((CA3^2+4)^(1/2))</f>
        <v>1.785429641688294E-2</v>
      </c>
      <c r="BX3" s="133">
        <f>0.5*LN((1+BW3)/(1-BW3))</f>
        <v>1.7856193952969043E-2</v>
      </c>
      <c r="BY3" s="133">
        <f>((1-(BX3^2)^2)/(BH3-1))</f>
        <v>1.0416665607694988E-2</v>
      </c>
      <c r="BZ3" s="133">
        <f>1/(BH3-3)</f>
        <v>1.0638297872340425E-2</v>
      </c>
      <c r="CA3" s="112">
        <f>BA3/AW3</f>
        <v>3.5714285714285712E-2</v>
      </c>
      <c r="CB3" s="32">
        <f>BH3-1</f>
        <v>96</v>
      </c>
      <c r="CC3" s="92" t="s">
        <v>73</v>
      </c>
      <c r="CD3" s="30">
        <f>CA3/((CA3^2+4)^(1/2))</f>
        <v>1.785429641688294E-2</v>
      </c>
      <c r="CE3" s="133">
        <f>0.5*LN((1+CD3)/(1-CD3))</f>
        <v>1.7856193952969043E-2</v>
      </c>
      <c r="CF3" s="30">
        <f>((1-(CE3^2)^2)/(BI3-1))</f>
        <v>8.5984514044601802E-4</v>
      </c>
      <c r="CG3" s="30">
        <f>1/(BI3-3)</f>
        <v>8.6132644272179156E-4</v>
      </c>
      <c r="CH3" s="92" t="s">
        <v>357</v>
      </c>
    </row>
    <row r="4" spans="1:86" s="102" customFormat="1">
      <c r="A4" s="95" t="s">
        <v>68</v>
      </c>
      <c r="B4" s="92">
        <v>13</v>
      </c>
      <c r="C4" s="95">
        <v>1136</v>
      </c>
      <c r="D4" s="95">
        <v>129</v>
      </c>
      <c r="E4" s="95" t="s">
        <v>352</v>
      </c>
      <c r="F4" s="95">
        <v>2012</v>
      </c>
      <c r="G4" s="95" t="s">
        <v>353</v>
      </c>
      <c r="H4" s="95" t="s">
        <v>354</v>
      </c>
      <c r="I4" s="95">
        <v>2</v>
      </c>
      <c r="J4" s="95">
        <v>2009</v>
      </c>
      <c r="K4" s="95" t="s">
        <v>73</v>
      </c>
      <c r="L4" s="95">
        <v>68</v>
      </c>
      <c r="M4" s="203" t="s">
        <v>107</v>
      </c>
      <c r="N4" s="95" t="s">
        <v>112</v>
      </c>
      <c r="O4" s="95" t="s">
        <v>148</v>
      </c>
      <c r="P4" s="95" t="s">
        <v>294</v>
      </c>
      <c r="Q4" s="95" t="s">
        <v>308</v>
      </c>
      <c r="R4" s="95" t="s">
        <v>337</v>
      </c>
      <c r="S4" s="95">
        <v>1</v>
      </c>
      <c r="T4" s="95" t="s">
        <v>342</v>
      </c>
      <c r="U4" s="95">
        <v>0</v>
      </c>
      <c r="V4" s="95" t="s">
        <v>232</v>
      </c>
      <c r="W4" s="95" t="s">
        <v>232</v>
      </c>
      <c r="X4" s="95" t="s">
        <v>73</v>
      </c>
      <c r="Y4" s="95">
        <v>0</v>
      </c>
      <c r="Z4" s="95">
        <v>0</v>
      </c>
      <c r="AA4" s="95">
        <v>1</v>
      </c>
      <c r="AB4" s="95">
        <v>0</v>
      </c>
      <c r="AC4" s="95">
        <v>0</v>
      </c>
      <c r="AD4" s="95">
        <v>0</v>
      </c>
      <c r="AE4" s="95">
        <v>0</v>
      </c>
      <c r="AF4" s="95">
        <v>0</v>
      </c>
      <c r="AG4" s="95" t="s">
        <v>73</v>
      </c>
      <c r="AH4" s="95">
        <v>0</v>
      </c>
      <c r="AI4" s="95">
        <v>0</v>
      </c>
      <c r="AJ4" s="95">
        <v>0</v>
      </c>
      <c r="AK4" s="95">
        <v>0</v>
      </c>
      <c r="AL4" s="95">
        <v>0</v>
      </c>
      <c r="AM4" s="95">
        <v>0</v>
      </c>
      <c r="AN4" s="95">
        <v>0</v>
      </c>
      <c r="AO4" s="95">
        <v>0</v>
      </c>
      <c r="AP4" s="95">
        <v>1</v>
      </c>
      <c r="AQ4" s="95" t="s">
        <v>355</v>
      </c>
      <c r="AR4" s="95" t="s">
        <v>234</v>
      </c>
      <c r="AS4" s="32" t="s">
        <v>296</v>
      </c>
      <c r="AT4" s="95" t="s">
        <v>236</v>
      </c>
      <c r="AU4" s="192" t="e">
        <f>LN(BA4-1)</f>
        <v>#NUM!</v>
      </c>
      <c r="AV4" s="139" t="s">
        <v>80</v>
      </c>
      <c r="AW4" s="95">
        <v>2.6</v>
      </c>
      <c r="AX4" s="140" t="s">
        <v>73</v>
      </c>
      <c r="AY4" s="140" t="s">
        <v>73</v>
      </c>
      <c r="AZ4" s="141" t="e">
        <f>TINV(AX4,CB4)</f>
        <v>#VALUE!</v>
      </c>
      <c r="BA4" s="142">
        <v>0.191</v>
      </c>
      <c r="BB4" s="95" t="s">
        <v>73</v>
      </c>
      <c r="BC4" s="95" t="s">
        <v>73</v>
      </c>
      <c r="BD4" s="95" t="s">
        <v>73</v>
      </c>
      <c r="BE4" s="95" t="s">
        <v>73</v>
      </c>
      <c r="BF4" s="95" t="s">
        <v>73</v>
      </c>
      <c r="BG4" s="95" t="s">
        <v>73</v>
      </c>
      <c r="BH4" s="143">
        <v>90</v>
      </c>
      <c r="BI4" s="95">
        <v>1080</v>
      </c>
      <c r="BJ4" s="95" t="s">
        <v>73</v>
      </c>
      <c r="BK4" s="95" t="s">
        <v>73</v>
      </c>
      <c r="BL4" s="95" t="s">
        <v>73</v>
      </c>
      <c r="BM4" s="95" t="s">
        <v>73</v>
      </c>
      <c r="BN4" s="95" t="s">
        <v>73</v>
      </c>
      <c r="BO4" s="95">
        <v>0</v>
      </c>
      <c r="BP4" s="95" t="s">
        <v>73</v>
      </c>
      <c r="BQ4" s="95">
        <v>0</v>
      </c>
      <c r="BR4" s="95" t="s">
        <v>73</v>
      </c>
      <c r="BS4" s="95" t="s">
        <v>316</v>
      </c>
      <c r="BT4" s="95">
        <v>0</v>
      </c>
      <c r="BU4" s="95">
        <v>0</v>
      </c>
      <c r="BV4" s="95">
        <v>0</v>
      </c>
      <c r="BW4" s="133">
        <f>CA4/((CA4^2+4)^(1/2))</f>
        <v>3.6706016626389615E-2</v>
      </c>
      <c r="BX4" s="133">
        <f>0.5*LN((1+BW4)/(1-BW4))</f>
        <v>3.6722515025129569E-2</v>
      </c>
      <c r="BY4" s="133">
        <f>((1-(BX4^2)^2)/(BH4-1))</f>
        <v>1.1235934622825631E-2</v>
      </c>
      <c r="BZ4" s="133">
        <f>1/(BH4-3)</f>
        <v>1.1494252873563218E-2</v>
      </c>
      <c r="CA4" s="112">
        <f>BA4/AW4</f>
        <v>7.3461538461538467E-2</v>
      </c>
      <c r="CB4" s="32">
        <f>BH4-1</f>
        <v>89</v>
      </c>
      <c r="CC4" s="92" t="s">
        <v>73</v>
      </c>
      <c r="CD4" s="30">
        <f>CA4/((CA4^2+4)^(1/2))</f>
        <v>3.6706016626389615E-2</v>
      </c>
      <c r="CE4" s="133">
        <f>0.5*LN((1+CD4)/(1-CD4))</f>
        <v>3.6722515025129569E-2</v>
      </c>
      <c r="CF4" s="30">
        <f>((1-(CE4^2)^2)/(BI4-1))</f>
        <v>9.2678237389386576E-4</v>
      </c>
      <c r="CG4" s="30">
        <f>1/(BI4-3)</f>
        <v>9.2850510677808728E-4</v>
      </c>
      <c r="CH4"/>
    </row>
    <row r="5" spans="1:86" s="102" customFormat="1">
      <c r="A5" s="95" t="s">
        <v>68</v>
      </c>
      <c r="B5" s="92">
        <v>13</v>
      </c>
      <c r="C5" s="95">
        <v>1137</v>
      </c>
      <c r="D5" s="95">
        <v>129</v>
      </c>
      <c r="E5" s="95" t="s">
        <v>352</v>
      </c>
      <c r="F5" s="95">
        <v>2012</v>
      </c>
      <c r="G5" s="95" t="s">
        <v>353</v>
      </c>
      <c r="H5" s="95" t="s">
        <v>354</v>
      </c>
      <c r="I5" s="95">
        <v>2</v>
      </c>
      <c r="J5" s="95">
        <v>2009</v>
      </c>
      <c r="K5" s="95" t="s">
        <v>73</v>
      </c>
      <c r="L5" s="95">
        <v>68</v>
      </c>
      <c r="M5" s="203" t="s">
        <v>107</v>
      </c>
      <c r="N5" s="95" t="s">
        <v>112</v>
      </c>
      <c r="O5" s="95" t="s">
        <v>148</v>
      </c>
      <c r="P5" s="95" t="s">
        <v>294</v>
      </c>
      <c r="Q5" s="95" t="s">
        <v>308</v>
      </c>
      <c r="R5" s="95" t="s">
        <v>337</v>
      </c>
      <c r="S5" s="95">
        <v>1</v>
      </c>
      <c r="T5" s="95" t="s">
        <v>342</v>
      </c>
      <c r="U5" s="95">
        <v>0</v>
      </c>
      <c r="V5" s="95" t="s">
        <v>232</v>
      </c>
      <c r="W5" s="95" t="s">
        <v>232</v>
      </c>
      <c r="X5" s="95" t="s">
        <v>73</v>
      </c>
      <c r="Y5" s="95">
        <v>0</v>
      </c>
      <c r="Z5" s="95">
        <v>0</v>
      </c>
      <c r="AA5" s="95">
        <v>1</v>
      </c>
      <c r="AB5" s="95">
        <v>0</v>
      </c>
      <c r="AC5" s="95">
        <v>0</v>
      </c>
      <c r="AD5" s="95">
        <v>0</v>
      </c>
      <c r="AE5" s="95">
        <v>0</v>
      </c>
      <c r="AF5" s="95">
        <v>0</v>
      </c>
      <c r="AG5" s="95" t="s">
        <v>73</v>
      </c>
      <c r="AH5" s="95">
        <v>0</v>
      </c>
      <c r="AI5" s="95">
        <v>0</v>
      </c>
      <c r="AJ5" s="95">
        <v>0</v>
      </c>
      <c r="AK5" s="95">
        <v>0</v>
      </c>
      <c r="AL5" s="95">
        <v>0</v>
      </c>
      <c r="AM5" s="95">
        <v>0</v>
      </c>
      <c r="AN5" s="95">
        <v>0</v>
      </c>
      <c r="AO5" s="95">
        <v>0</v>
      </c>
      <c r="AP5" s="95">
        <v>1</v>
      </c>
      <c r="AQ5" s="95" t="s">
        <v>355</v>
      </c>
      <c r="AR5" s="95" t="s">
        <v>234</v>
      </c>
      <c r="AS5" s="32" t="s">
        <v>296</v>
      </c>
      <c r="AT5" s="95" t="s">
        <v>236</v>
      </c>
      <c r="AU5" s="192" t="e">
        <f>LN(BA5-1)</f>
        <v>#NUM!</v>
      </c>
      <c r="AV5" s="139" t="s">
        <v>80</v>
      </c>
      <c r="AW5" s="95">
        <v>3.1</v>
      </c>
      <c r="AX5" s="140" t="s">
        <v>73</v>
      </c>
      <c r="AY5" s="140" t="s">
        <v>73</v>
      </c>
      <c r="AZ5" s="141" t="e">
        <f>TINV(AX5,CB5)</f>
        <v>#VALUE!</v>
      </c>
      <c r="BA5" s="142">
        <v>0.214</v>
      </c>
      <c r="BB5" s="95" t="s">
        <v>73</v>
      </c>
      <c r="BC5" s="95" t="s">
        <v>73</v>
      </c>
      <c r="BD5" s="95" t="s">
        <v>73</v>
      </c>
      <c r="BE5" s="95" t="s">
        <v>73</v>
      </c>
      <c r="BF5" s="95" t="s">
        <v>73</v>
      </c>
      <c r="BG5" s="95" t="s">
        <v>73</v>
      </c>
      <c r="BH5" s="143">
        <v>97</v>
      </c>
      <c r="BI5" s="95">
        <v>1164</v>
      </c>
      <c r="BJ5" s="95" t="s">
        <v>73</v>
      </c>
      <c r="BK5" s="95" t="s">
        <v>73</v>
      </c>
      <c r="BL5" s="95" t="s">
        <v>73</v>
      </c>
      <c r="BM5" s="95" t="s">
        <v>73</v>
      </c>
      <c r="BN5" s="95" t="s">
        <v>73</v>
      </c>
      <c r="BO5" s="95">
        <v>0</v>
      </c>
      <c r="BP5" s="95" t="s">
        <v>73</v>
      </c>
      <c r="BQ5" s="95">
        <v>0</v>
      </c>
      <c r="BR5" s="95" t="s">
        <v>73</v>
      </c>
      <c r="BS5" s="95" t="s">
        <v>356</v>
      </c>
      <c r="BT5" s="95">
        <v>0</v>
      </c>
      <c r="BU5" s="95">
        <v>0</v>
      </c>
      <c r="BV5" s="95">
        <v>0</v>
      </c>
      <c r="BW5" s="133">
        <f>CA5/((CA5^2+4)^(1/2))</f>
        <v>3.4495586763078345E-2</v>
      </c>
      <c r="BX5" s="133">
        <f>0.5*LN((1+BW5)/(1-BW5))</f>
        <v>3.4509279163151156E-2</v>
      </c>
      <c r="BY5" s="133">
        <f>((1-(BX5^2)^2)/(BH5-1))</f>
        <v>1.0416651893543523E-2</v>
      </c>
      <c r="BZ5" s="133">
        <f>1/(BH5-3)</f>
        <v>1.0638297872340425E-2</v>
      </c>
      <c r="CA5" s="112">
        <f>BA5/AW5</f>
        <v>6.9032258064516128E-2</v>
      </c>
      <c r="CB5" s="32">
        <f>BH5-1</f>
        <v>96</v>
      </c>
      <c r="CC5" s="92" t="s">
        <v>73</v>
      </c>
      <c r="CD5" s="30">
        <f>CA5/((CA5^2+4)^(1/2))</f>
        <v>3.4495586763078345E-2</v>
      </c>
      <c r="CE5" s="133">
        <f>0.5*LN((1+CD5)/(1-CD5))</f>
        <v>3.4509279163151156E-2</v>
      </c>
      <c r="CF5" s="30">
        <f>((1-(CE5^2)^2)/(BI5-1))</f>
        <v>8.598440084094395E-4</v>
      </c>
      <c r="CG5" s="30">
        <f>1/(BI5-3)</f>
        <v>8.6132644272179156E-4</v>
      </c>
      <c r="CH5"/>
    </row>
    <row r="6" spans="1:86" s="102" customFormat="1">
      <c r="A6" s="95" t="s">
        <v>68</v>
      </c>
      <c r="B6" s="92">
        <v>13</v>
      </c>
      <c r="C6" s="95">
        <v>1138</v>
      </c>
      <c r="D6" s="95">
        <v>129</v>
      </c>
      <c r="E6" s="95" t="s">
        <v>352</v>
      </c>
      <c r="F6" s="95">
        <v>2012</v>
      </c>
      <c r="G6" s="95" t="s">
        <v>353</v>
      </c>
      <c r="H6" s="95" t="s">
        <v>354</v>
      </c>
      <c r="I6" s="95">
        <v>2</v>
      </c>
      <c r="J6" s="95">
        <v>2009</v>
      </c>
      <c r="K6" s="95" t="s">
        <v>73</v>
      </c>
      <c r="L6" s="95">
        <v>68</v>
      </c>
      <c r="M6" s="203" t="s">
        <v>107</v>
      </c>
      <c r="N6" s="95" t="s">
        <v>112</v>
      </c>
      <c r="O6" s="95" t="s">
        <v>148</v>
      </c>
      <c r="P6" s="95" t="s">
        <v>294</v>
      </c>
      <c r="Q6" s="95" t="s">
        <v>308</v>
      </c>
      <c r="R6" s="95" t="s">
        <v>337</v>
      </c>
      <c r="S6" s="95">
        <v>1</v>
      </c>
      <c r="T6" s="95" t="s">
        <v>342</v>
      </c>
      <c r="U6" s="95">
        <v>0</v>
      </c>
      <c r="V6" s="95" t="s">
        <v>232</v>
      </c>
      <c r="W6" s="95" t="s">
        <v>232</v>
      </c>
      <c r="X6" s="95" t="s">
        <v>73</v>
      </c>
      <c r="Y6" s="95">
        <v>0</v>
      </c>
      <c r="Z6" s="95">
        <v>0</v>
      </c>
      <c r="AA6" s="95">
        <v>1</v>
      </c>
      <c r="AB6" s="95">
        <v>0</v>
      </c>
      <c r="AC6" s="95">
        <v>0</v>
      </c>
      <c r="AD6" s="95">
        <v>0</v>
      </c>
      <c r="AE6" s="95">
        <v>0</v>
      </c>
      <c r="AF6" s="95">
        <v>0</v>
      </c>
      <c r="AG6" s="95" t="s">
        <v>73</v>
      </c>
      <c r="AH6" s="95">
        <v>0</v>
      </c>
      <c r="AI6" s="95">
        <v>0</v>
      </c>
      <c r="AJ6" s="95">
        <v>0</v>
      </c>
      <c r="AK6" s="95">
        <v>0</v>
      </c>
      <c r="AL6" s="95">
        <v>0</v>
      </c>
      <c r="AM6" s="95">
        <v>0</v>
      </c>
      <c r="AN6" s="95">
        <v>0</v>
      </c>
      <c r="AO6" s="95">
        <v>0</v>
      </c>
      <c r="AP6" s="95">
        <v>1</v>
      </c>
      <c r="AQ6" s="95" t="s">
        <v>355</v>
      </c>
      <c r="AR6" s="95" t="s">
        <v>234</v>
      </c>
      <c r="AS6" s="32" t="s">
        <v>296</v>
      </c>
      <c r="AT6" s="95" t="s">
        <v>236</v>
      </c>
      <c r="AU6" s="192" t="e">
        <f>LN(BA6-1)</f>
        <v>#NUM!</v>
      </c>
      <c r="AV6" s="139" t="s">
        <v>80</v>
      </c>
      <c r="AW6" s="95">
        <v>2.8</v>
      </c>
      <c r="AX6" s="140" t="s">
        <v>73</v>
      </c>
      <c r="AY6" s="140" t="s">
        <v>73</v>
      </c>
      <c r="AZ6" s="141" t="e">
        <f>TINV(AX6,CB6)</f>
        <v>#VALUE!</v>
      </c>
      <c r="BA6" s="142">
        <v>0.16500000000000001</v>
      </c>
      <c r="BB6" s="95" t="s">
        <v>73</v>
      </c>
      <c r="BC6" s="95" t="s">
        <v>73</v>
      </c>
      <c r="BD6" s="95" t="s">
        <v>73</v>
      </c>
      <c r="BE6" s="95" t="s">
        <v>73</v>
      </c>
      <c r="BF6" s="95" t="s">
        <v>73</v>
      </c>
      <c r="BG6" s="95" t="s">
        <v>73</v>
      </c>
      <c r="BH6" s="143">
        <v>90</v>
      </c>
      <c r="BI6" s="95">
        <v>1080</v>
      </c>
      <c r="BJ6" s="95" t="s">
        <v>73</v>
      </c>
      <c r="BK6" s="95" t="s">
        <v>73</v>
      </c>
      <c r="BL6" s="95" t="s">
        <v>73</v>
      </c>
      <c r="BM6" s="95" t="s">
        <v>73</v>
      </c>
      <c r="BN6" s="95" t="s">
        <v>73</v>
      </c>
      <c r="BO6" s="95">
        <v>0</v>
      </c>
      <c r="BP6" s="95" t="s">
        <v>73</v>
      </c>
      <c r="BQ6" s="95">
        <v>0</v>
      </c>
      <c r="BR6" s="95" t="s">
        <v>73</v>
      </c>
      <c r="BS6" s="95" t="s">
        <v>316</v>
      </c>
      <c r="BT6" s="95">
        <v>0</v>
      </c>
      <c r="BU6" s="95">
        <v>0</v>
      </c>
      <c r="BV6" s="95">
        <v>0</v>
      </c>
      <c r="BW6" s="133">
        <f>CA6/((CA6^2+4)^(1/2))</f>
        <v>2.9451504412310325E-2</v>
      </c>
      <c r="BX6" s="133">
        <f>0.5*LN((1+BW6)/(1-BW6))</f>
        <v>2.946002417111681E-2</v>
      </c>
      <c r="BY6" s="133">
        <f>((1-(BX6^2)^2)/(BH6-1))</f>
        <v>1.1235946592828075E-2</v>
      </c>
      <c r="BZ6" s="133">
        <f>1/(BH6-3)</f>
        <v>1.1494252873563218E-2</v>
      </c>
      <c r="CA6" s="112">
        <f>BA6/AW6</f>
        <v>5.8928571428571434E-2</v>
      </c>
      <c r="CB6" s="32">
        <f>BH6-1</f>
        <v>89</v>
      </c>
      <c r="CC6" s="92" t="s">
        <v>73</v>
      </c>
      <c r="CD6" s="30">
        <f>CA6/((CA6^2+4)^(1/2))</f>
        <v>2.9451504412310325E-2</v>
      </c>
      <c r="CE6" s="133">
        <f>0.5*LN((1+CD6)/(1-CD6))</f>
        <v>2.946002417111681E-2</v>
      </c>
      <c r="CF6" s="30">
        <f>((1-(CE6^2)^2)/(BI6-1))</f>
        <v>9.2678336122492923E-4</v>
      </c>
      <c r="CG6" s="30">
        <f>1/(BI6-3)</f>
        <v>9.2850510677808728E-4</v>
      </c>
      <c r="CH6" s="98"/>
    </row>
    <row r="7" spans="1:86" s="102" customFormat="1">
      <c r="A7" s="95" t="s">
        <v>68</v>
      </c>
      <c r="B7" s="92">
        <v>13</v>
      </c>
      <c r="C7" s="95">
        <v>1139</v>
      </c>
      <c r="D7" s="95">
        <v>129</v>
      </c>
      <c r="E7" s="95" t="s">
        <v>352</v>
      </c>
      <c r="F7" s="95">
        <v>2012</v>
      </c>
      <c r="G7" s="95" t="s">
        <v>353</v>
      </c>
      <c r="H7" s="95" t="s">
        <v>354</v>
      </c>
      <c r="I7" s="95">
        <v>2</v>
      </c>
      <c r="J7" s="95">
        <v>2009</v>
      </c>
      <c r="K7" s="95" t="s">
        <v>73</v>
      </c>
      <c r="L7" s="95">
        <v>68</v>
      </c>
      <c r="M7" s="203" t="s">
        <v>107</v>
      </c>
      <c r="N7" s="95" t="s">
        <v>112</v>
      </c>
      <c r="O7" s="95" t="s">
        <v>148</v>
      </c>
      <c r="P7" s="95" t="s">
        <v>294</v>
      </c>
      <c r="Q7" s="95" t="s">
        <v>308</v>
      </c>
      <c r="R7" s="95" t="s">
        <v>337</v>
      </c>
      <c r="S7" s="95">
        <v>1</v>
      </c>
      <c r="T7" s="95" t="s">
        <v>342</v>
      </c>
      <c r="U7" s="95">
        <v>0</v>
      </c>
      <c r="V7" s="95" t="s">
        <v>232</v>
      </c>
      <c r="W7" s="95" t="s">
        <v>232</v>
      </c>
      <c r="X7" s="95" t="s">
        <v>73</v>
      </c>
      <c r="Y7" s="95">
        <v>0</v>
      </c>
      <c r="Z7" s="95">
        <v>0</v>
      </c>
      <c r="AA7" s="95">
        <v>1</v>
      </c>
      <c r="AB7" s="95">
        <v>0</v>
      </c>
      <c r="AC7" s="95">
        <v>0</v>
      </c>
      <c r="AD7" s="95">
        <v>0</v>
      </c>
      <c r="AE7" s="95">
        <v>0</v>
      </c>
      <c r="AF7" s="95">
        <v>0</v>
      </c>
      <c r="AG7" s="95" t="s">
        <v>73</v>
      </c>
      <c r="AH7" s="95">
        <v>0</v>
      </c>
      <c r="AI7" s="95">
        <v>0</v>
      </c>
      <c r="AJ7" s="95">
        <v>0</v>
      </c>
      <c r="AK7" s="95">
        <v>0</v>
      </c>
      <c r="AL7" s="95">
        <v>0</v>
      </c>
      <c r="AM7" s="95">
        <v>0</v>
      </c>
      <c r="AN7" s="95">
        <v>0</v>
      </c>
      <c r="AO7" s="95">
        <v>0</v>
      </c>
      <c r="AP7" s="95">
        <v>1</v>
      </c>
      <c r="AQ7" s="95" t="s">
        <v>355</v>
      </c>
      <c r="AR7" s="95" t="s">
        <v>234</v>
      </c>
      <c r="AS7" s="32" t="s">
        <v>296</v>
      </c>
      <c r="AT7" s="95" t="s">
        <v>236</v>
      </c>
      <c r="AU7" s="192" t="e">
        <f>LN(BA7-1)</f>
        <v>#NUM!</v>
      </c>
      <c r="AV7" s="139" t="s">
        <v>80</v>
      </c>
      <c r="AW7" s="95">
        <v>3.2</v>
      </c>
      <c r="AX7" s="140" t="s">
        <v>73</v>
      </c>
      <c r="AY7" s="140" t="s">
        <v>73</v>
      </c>
      <c r="AZ7" s="141" t="e">
        <f>TINV(AX7,CB7)</f>
        <v>#VALUE!</v>
      </c>
      <c r="BA7" s="142">
        <v>0.254</v>
      </c>
      <c r="BB7" s="95" t="s">
        <v>73</v>
      </c>
      <c r="BC7" s="95" t="s">
        <v>73</v>
      </c>
      <c r="BD7" s="95" t="s">
        <v>73</v>
      </c>
      <c r="BE7" s="95" t="s">
        <v>73</v>
      </c>
      <c r="BF7" s="95" t="s">
        <v>73</v>
      </c>
      <c r="BG7" s="95" t="s">
        <v>73</v>
      </c>
      <c r="BH7" s="143">
        <v>97</v>
      </c>
      <c r="BI7" s="95">
        <v>1164</v>
      </c>
      <c r="BJ7" s="95" t="s">
        <v>73</v>
      </c>
      <c r="BK7" s="95" t="s">
        <v>73</v>
      </c>
      <c r="BL7" s="95" t="s">
        <v>73</v>
      </c>
      <c r="BM7" s="95" t="s">
        <v>73</v>
      </c>
      <c r="BN7" s="95" t="s">
        <v>73</v>
      </c>
      <c r="BO7" s="95">
        <v>0</v>
      </c>
      <c r="BP7" s="95" t="s">
        <v>73</v>
      </c>
      <c r="BQ7" s="95">
        <v>0</v>
      </c>
      <c r="BR7" s="95" t="s">
        <v>73</v>
      </c>
      <c r="BS7" s="95" t="s">
        <v>356</v>
      </c>
      <c r="BT7" s="95">
        <v>0</v>
      </c>
      <c r="BU7" s="95">
        <v>0</v>
      </c>
      <c r="BV7" s="95">
        <v>0</v>
      </c>
      <c r="BW7" s="133">
        <f>CA7/((CA7^2+4)^(1/2))</f>
        <v>3.9656281030740814E-2</v>
      </c>
      <c r="BX7" s="133">
        <f>0.5*LN((1+BW7)/(1-BW7))</f>
        <v>3.9677088763029514E-2</v>
      </c>
      <c r="BY7" s="133">
        <f>((1-(BX7^2)^2)/(BH7-1))</f>
        <v>1.0416640850725469E-2</v>
      </c>
      <c r="BZ7" s="133">
        <f>1/(BH7-3)</f>
        <v>1.0638297872340425E-2</v>
      </c>
      <c r="CA7" s="112">
        <f>BA7/AW7</f>
        <v>7.9375000000000001E-2</v>
      </c>
      <c r="CB7" s="32">
        <f>BH7-1</f>
        <v>96</v>
      </c>
      <c r="CC7" s="92" t="s">
        <v>73</v>
      </c>
      <c r="CD7" s="30">
        <f>CA7/((CA7^2+4)^(1/2))</f>
        <v>3.9656281030740814E-2</v>
      </c>
      <c r="CE7" s="133">
        <f>0.5*LN((1+CD7)/(1-CD7))</f>
        <v>3.9677088763029514E-2</v>
      </c>
      <c r="CF7" s="30">
        <f>((1-(CE7^2)^2)/(BI7-1))</f>
        <v>8.5984309687845665E-4</v>
      </c>
      <c r="CG7" s="30">
        <f>1/(BI7-3)</f>
        <v>8.6132644272179156E-4</v>
      </c>
      <c r="CH7"/>
    </row>
    <row r="8" spans="1:86">
      <c r="A8" s="95" t="s">
        <v>68</v>
      </c>
      <c r="B8" s="92">
        <v>13</v>
      </c>
      <c r="C8" s="95">
        <v>1141</v>
      </c>
      <c r="D8" s="95">
        <v>129</v>
      </c>
      <c r="E8" s="95" t="s">
        <v>352</v>
      </c>
      <c r="F8" s="95">
        <v>2012</v>
      </c>
      <c r="G8" s="95" t="s">
        <v>353</v>
      </c>
      <c r="H8" s="95" t="s">
        <v>354</v>
      </c>
      <c r="I8" s="95">
        <v>2</v>
      </c>
      <c r="J8" s="95">
        <v>2009</v>
      </c>
      <c r="K8" s="95" t="s">
        <v>73</v>
      </c>
      <c r="L8" s="95">
        <v>68</v>
      </c>
      <c r="M8" s="203" t="s">
        <v>107</v>
      </c>
      <c r="N8" s="95" t="s">
        <v>112</v>
      </c>
      <c r="O8" s="95" t="s">
        <v>148</v>
      </c>
      <c r="P8" s="95" t="s">
        <v>294</v>
      </c>
      <c r="Q8" s="95" t="s">
        <v>308</v>
      </c>
      <c r="R8" s="95" t="s">
        <v>337</v>
      </c>
      <c r="S8" s="95">
        <v>1</v>
      </c>
      <c r="T8" s="95" t="s">
        <v>342</v>
      </c>
      <c r="U8" s="95">
        <v>0</v>
      </c>
      <c r="V8" s="95" t="s">
        <v>232</v>
      </c>
      <c r="W8" s="95" t="s">
        <v>232</v>
      </c>
      <c r="X8" s="95" t="s">
        <v>73</v>
      </c>
      <c r="Y8" s="95">
        <v>0</v>
      </c>
      <c r="Z8" s="95">
        <v>0</v>
      </c>
      <c r="AA8" s="95">
        <v>1</v>
      </c>
      <c r="AB8" s="95">
        <v>0</v>
      </c>
      <c r="AC8" s="95">
        <v>0</v>
      </c>
      <c r="AD8" s="95">
        <v>0</v>
      </c>
      <c r="AE8" s="95">
        <v>0</v>
      </c>
      <c r="AF8" s="95">
        <v>0</v>
      </c>
      <c r="AG8" s="95" t="s">
        <v>73</v>
      </c>
      <c r="AH8" s="95">
        <v>0</v>
      </c>
      <c r="AI8" s="95">
        <v>0</v>
      </c>
      <c r="AJ8" s="95">
        <v>0</v>
      </c>
      <c r="AK8" s="95">
        <v>0</v>
      </c>
      <c r="AL8" s="95">
        <v>0</v>
      </c>
      <c r="AM8" s="95">
        <v>0</v>
      </c>
      <c r="AN8" s="95">
        <v>0</v>
      </c>
      <c r="AO8" s="95">
        <v>0</v>
      </c>
      <c r="AP8" s="95">
        <v>1</v>
      </c>
      <c r="AQ8" s="95" t="s">
        <v>355</v>
      </c>
      <c r="AR8" s="95" t="s">
        <v>234</v>
      </c>
      <c r="AS8" s="32" t="s">
        <v>296</v>
      </c>
      <c r="AT8" s="95" t="s">
        <v>236</v>
      </c>
      <c r="AU8" s="192" t="e">
        <f>LN(BA8-1)</f>
        <v>#NUM!</v>
      </c>
      <c r="AV8" s="139" t="s">
        <v>80</v>
      </c>
      <c r="AW8" s="95">
        <v>4.3</v>
      </c>
      <c r="AX8" s="140" t="s">
        <v>73</v>
      </c>
      <c r="AY8" s="140" t="s">
        <v>73</v>
      </c>
      <c r="AZ8" s="141" t="e">
        <f>TINV(AX8,CB8)</f>
        <v>#VALUE!</v>
      </c>
      <c r="BA8" s="142">
        <v>0.45700000000000002</v>
      </c>
      <c r="BB8" s="95" t="s">
        <v>73</v>
      </c>
      <c r="BC8" s="95" t="s">
        <v>73</v>
      </c>
      <c r="BD8" s="95" t="s">
        <v>73</v>
      </c>
      <c r="BE8" s="95" t="s">
        <v>73</v>
      </c>
      <c r="BF8" s="95" t="s">
        <v>73</v>
      </c>
      <c r="BG8" s="95" t="s">
        <v>73</v>
      </c>
      <c r="BH8" s="143">
        <v>97</v>
      </c>
      <c r="BI8" s="95">
        <v>1164</v>
      </c>
      <c r="BJ8" s="95" t="s">
        <v>73</v>
      </c>
      <c r="BK8" s="95" t="s">
        <v>73</v>
      </c>
      <c r="BL8" s="95" t="s">
        <v>73</v>
      </c>
      <c r="BM8" s="95" t="s">
        <v>73</v>
      </c>
      <c r="BN8" s="95" t="s">
        <v>73</v>
      </c>
      <c r="BO8" s="95">
        <v>0</v>
      </c>
      <c r="BP8" s="95" t="s">
        <v>73</v>
      </c>
      <c r="BQ8" s="95">
        <v>0</v>
      </c>
      <c r="BR8" s="95" t="s">
        <v>73</v>
      </c>
      <c r="BS8" s="95" t="s">
        <v>356</v>
      </c>
      <c r="BT8" s="95">
        <v>0</v>
      </c>
      <c r="BU8" s="95">
        <v>0</v>
      </c>
      <c r="BV8" s="95">
        <v>0</v>
      </c>
      <c r="BW8" s="133">
        <f>CA8/((CA8^2+4)^(1/2))</f>
        <v>5.306466542985009E-2</v>
      </c>
      <c r="BX8" s="133">
        <f>0.5*LN((1+BW8)/(1-BW8))</f>
        <v>5.3114557283637655E-2</v>
      </c>
      <c r="BY8" s="133">
        <f>((1-(BX8^2)^2)/(BH8-1))</f>
        <v>1.0416583761226261E-2</v>
      </c>
      <c r="BZ8" s="133">
        <f>1/(BH8-3)</f>
        <v>1.0638297872340425E-2</v>
      </c>
      <c r="CA8" s="112">
        <f>BA8/AW8</f>
        <v>0.10627906976744186</v>
      </c>
      <c r="CB8" s="32">
        <f>BH8-1</f>
        <v>96</v>
      </c>
      <c r="CC8" s="92" t="s">
        <v>73</v>
      </c>
      <c r="CD8" s="30">
        <f>CA8/((CA8^2+4)^(1/2))</f>
        <v>5.306466542985009E-2</v>
      </c>
      <c r="CE8" s="133">
        <f>0.5*LN((1+CD8)/(1-CD8))</f>
        <v>5.3114557283637655E-2</v>
      </c>
      <c r="CF8" s="30">
        <f>((1-(CE8^2)^2)/(BI8-1))</f>
        <v>8.5983838441764488E-4</v>
      </c>
      <c r="CG8" s="30">
        <f>1/(BI8-3)</f>
        <v>8.6132644272179156E-4</v>
      </c>
    </row>
    <row r="9" spans="1:86">
      <c r="A9" s="95" t="s">
        <v>68</v>
      </c>
      <c r="B9" s="92">
        <v>13</v>
      </c>
      <c r="C9" s="95">
        <v>1140</v>
      </c>
      <c r="D9" s="95">
        <v>129</v>
      </c>
      <c r="E9" s="95" t="s">
        <v>352</v>
      </c>
      <c r="F9" s="95">
        <v>2012</v>
      </c>
      <c r="G9" s="95" t="s">
        <v>353</v>
      </c>
      <c r="H9" s="95" t="s">
        <v>354</v>
      </c>
      <c r="I9" s="95">
        <v>2</v>
      </c>
      <c r="J9" s="95">
        <v>2009</v>
      </c>
      <c r="K9" s="95" t="s">
        <v>73</v>
      </c>
      <c r="L9" s="95">
        <v>68</v>
      </c>
      <c r="M9" s="203" t="s">
        <v>107</v>
      </c>
      <c r="N9" s="95" t="s">
        <v>112</v>
      </c>
      <c r="O9" s="95" t="s">
        <v>148</v>
      </c>
      <c r="P9" s="95" t="s">
        <v>294</v>
      </c>
      <c r="Q9" s="95" t="s">
        <v>308</v>
      </c>
      <c r="R9" s="95" t="s">
        <v>337</v>
      </c>
      <c r="S9" s="95">
        <v>1</v>
      </c>
      <c r="T9" s="95" t="s">
        <v>342</v>
      </c>
      <c r="U9" s="95">
        <v>0</v>
      </c>
      <c r="V9" s="95" t="s">
        <v>232</v>
      </c>
      <c r="W9" s="95" t="s">
        <v>232</v>
      </c>
      <c r="X9" s="95" t="s">
        <v>73</v>
      </c>
      <c r="Y9" s="95">
        <v>0</v>
      </c>
      <c r="Z9" s="95">
        <v>0</v>
      </c>
      <c r="AA9" s="95">
        <v>1</v>
      </c>
      <c r="AB9" s="95">
        <v>0</v>
      </c>
      <c r="AC9" s="95">
        <v>0</v>
      </c>
      <c r="AD9" s="95">
        <v>0</v>
      </c>
      <c r="AE9" s="95">
        <v>0</v>
      </c>
      <c r="AF9" s="95">
        <v>0</v>
      </c>
      <c r="AG9" s="95" t="s">
        <v>73</v>
      </c>
      <c r="AH9" s="95">
        <v>0</v>
      </c>
      <c r="AI9" s="95">
        <v>0</v>
      </c>
      <c r="AJ9" s="95">
        <v>0</v>
      </c>
      <c r="AK9" s="95">
        <v>0</v>
      </c>
      <c r="AL9" s="95">
        <v>0</v>
      </c>
      <c r="AM9" s="95">
        <v>0</v>
      </c>
      <c r="AN9" s="95">
        <v>0</v>
      </c>
      <c r="AO9" s="95">
        <v>0</v>
      </c>
      <c r="AP9" s="95">
        <v>1</v>
      </c>
      <c r="AQ9" s="95" t="s">
        <v>355</v>
      </c>
      <c r="AR9" s="95" t="s">
        <v>234</v>
      </c>
      <c r="AS9" s="32" t="s">
        <v>296</v>
      </c>
      <c r="AT9" s="95" t="s">
        <v>236</v>
      </c>
      <c r="AU9" s="192" t="e">
        <f>LN(BA9-1)</f>
        <v>#NUM!</v>
      </c>
      <c r="AV9" s="139" t="s">
        <v>80</v>
      </c>
      <c r="AW9" s="95">
        <v>4.0999999999999996</v>
      </c>
      <c r="AX9" s="140" t="s">
        <v>73</v>
      </c>
      <c r="AY9" s="140" t="s">
        <v>73</v>
      </c>
      <c r="AZ9" s="141" t="e">
        <f>TINV(AX9,CB9)</f>
        <v>#VALUE!</v>
      </c>
      <c r="BA9" s="142">
        <v>0.30880000000000002</v>
      </c>
      <c r="BB9" s="95" t="s">
        <v>73</v>
      </c>
      <c r="BC9" s="95" t="s">
        <v>73</v>
      </c>
      <c r="BD9" s="95" t="s">
        <v>73</v>
      </c>
      <c r="BE9" s="95" t="s">
        <v>73</v>
      </c>
      <c r="BF9" s="95" t="s">
        <v>73</v>
      </c>
      <c r="BG9" s="95" t="s">
        <v>73</v>
      </c>
      <c r="BH9" s="143">
        <v>90</v>
      </c>
      <c r="BI9" s="95">
        <v>1080</v>
      </c>
      <c r="BJ9" s="95" t="s">
        <v>73</v>
      </c>
      <c r="BK9" s="95" t="s">
        <v>73</v>
      </c>
      <c r="BL9" s="95" t="s">
        <v>73</v>
      </c>
      <c r="BM9" s="95" t="s">
        <v>73</v>
      </c>
      <c r="BN9" s="95" t="s">
        <v>73</v>
      </c>
      <c r="BO9" s="95">
        <v>0</v>
      </c>
      <c r="BP9" s="95" t="s">
        <v>73</v>
      </c>
      <c r="BQ9" s="95">
        <v>0</v>
      </c>
      <c r="BR9" s="95" t="s">
        <v>73</v>
      </c>
      <c r="BS9" s="95" t="s">
        <v>316</v>
      </c>
      <c r="BT9" s="95">
        <v>0</v>
      </c>
      <c r="BU9" s="95">
        <v>0</v>
      </c>
      <c r="BV9" s="95">
        <v>0</v>
      </c>
      <c r="BW9" s="133">
        <f>CA9/((CA9^2+4)^(1/2))</f>
        <v>3.7631861937430795E-2</v>
      </c>
      <c r="BX9" s="133">
        <f>0.5*LN((1+BW9)/(1-BW9))</f>
        <v>3.7649641255509014E-2</v>
      </c>
      <c r="BY9" s="133">
        <f>((1-(BX9^2)^2)/(BH9-1))</f>
        <v>1.1235932479848823E-2</v>
      </c>
      <c r="BZ9" s="133">
        <f>1/(BH9-3)</f>
        <v>1.1494252873563218E-2</v>
      </c>
      <c r="CA9" s="112">
        <f>BA9/AW9</f>
        <v>7.5317073170731719E-2</v>
      </c>
      <c r="CB9" s="32">
        <f>BH9-1</f>
        <v>89</v>
      </c>
      <c r="CC9" s="92" t="s">
        <v>73</v>
      </c>
      <c r="CD9" s="30">
        <f>CA9/((CA9^2+4)^(1/2))</f>
        <v>3.7631861937430795E-2</v>
      </c>
      <c r="CE9" s="133">
        <f>0.5*LN((1+CD9)/(1-CD9))</f>
        <v>3.7649641255509014E-2</v>
      </c>
      <c r="CF9" s="30">
        <f>((1-(CE9^2)^2)/(BI9-1))</f>
        <v>9.267821971330355E-4</v>
      </c>
      <c r="CG9" s="30">
        <f>1/(BI9-3)</f>
        <v>9.2850510677808728E-4</v>
      </c>
    </row>
    <row r="10" spans="1:86">
      <c r="A10" s="108" t="s">
        <v>410</v>
      </c>
      <c r="B10" s="108">
        <v>23</v>
      </c>
      <c r="C10" s="92">
        <v>1219</v>
      </c>
      <c r="D10" s="108">
        <v>301</v>
      </c>
      <c r="E10" s="10" t="s">
        <v>411</v>
      </c>
      <c r="F10" s="108">
        <v>2019</v>
      </c>
      <c r="G10" t="s">
        <v>412</v>
      </c>
      <c r="H10" t="s">
        <v>413</v>
      </c>
      <c r="I10" s="10">
        <v>2</v>
      </c>
      <c r="J10" t="s">
        <v>414</v>
      </c>
      <c r="K10" s="108" t="s">
        <v>73</v>
      </c>
      <c r="L10" s="10">
        <v>163</v>
      </c>
      <c r="M10" s="202" t="s">
        <v>107</v>
      </c>
      <c r="N10" t="s">
        <v>395</v>
      </c>
      <c r="O10" s="10" t="s">
        <v>124</v>
      </c>
      <c r="P10" s="10" t="s">
        <v>228</v>
      </c>
      <c r="Q10" t="s">
        <v>415</v>
      </c>
      <c r="R10" s="10" t="s">
        <v>255</v>
      </c>
      <c r="S10">
        <v>0</v>
      </c>
      <c r="T10" s="10" t="s">
        <v>231</v>
      </c>
      <c r="U10">
        <v>0</v>
      </c>
      <c r="V10" s="10" t="s">
        <v>246</v>
      </c>
      <c r="W10" s="10" t="s">
        <v>246</v>
      </c>
      <c r="X10" s="10" t="s">
        <v>416</v>
      </c>
      <c r="Y10" s="10">
        <v>0</v>
      </c>
      <c r="Z10" s="10">
        <v>0</v>
      </c>
      <c r="AA10" s="10">
        <v>0</v>
      </c>
      <c r="AB10" s="10">
        <v>1</v>
      </c>
      <c r="AC10" s="10">
        <v>0</v>
      </c>
      <c r="AD10" s="10">
        <v>0</v>
      </c>
      <c r="AE10" s="108">
        <v>0</v>
      </c>
      <c r="AF10" s="108">
        <v>0</v>
      </c>
      <c r="AG10" s="10" t="s">
        <v>417</v>
      </c>
      <c r="AH10" s="10">
        <v>0</v>
      </c>
      <c r="AI10" s="10">
        <v>0</v>
      </c>
      <c r="AJ10" s="10">
        <v>0</v>
      </c>
      <c r="AK10" s="10">
        <v>0</v>
      </c>
      <c r="AL10" s="10">
        <v>0</v>
      </c>
      <c r="AM10" s="10">
        <v>0</v>
      </c>
      <c r="AN10" s="10">
        <v>0</v>
      </c>
      <c r="AO10" s="10">
        <v>1</v>
      </c>
      <c r="AP10" s="10">
        <v>0</v>
      </c>
      <c r="AQ10" s="135" t="s">
        <v>73</v>
      </c>
      <c r="AR10" t="s">
        <v>234</v>
      </c>
      <c r="AS10" t="s">
        <v>418</v>
      </c>
      <c r="AT10" s="10" t="s">
        <v>236</v>
      </c>
      <c r="AU10" s="187" t="s">
        <v>73</v>
      </c>
      <c r="AV10" s="7" t="s">
        <v>80</v>
      </c>
      <c r="AW10" s="10" t="s">
        <v>73</v>
      </c>
      <c r="AX10">
        <v>0.01</v>
      </c>
      <c r="AY10">
        <v>1</v>
      </c>
      <c r="AZ10">
        <f>TINV(AX10,CB10)</f>
        <v>2.5765924815279417</v>
      </c>
      <c r="BA10" s="158">
        <v>1.4999999999999999E-2</v>
      </c>
      <c r="BB10" s="10" t="s">
        <v>73</v>
      </c>
      <c r="BC10" s="10" t="s">
        <v>73</v>
      </c>
      <c r="BD10" s="10" t="s">
        <v>73</v>
      </c>
      <c r="BE10" s="10" t="s">
        <v>73</v>
      </c>
      <c r="BF10" s="10" t="s">
        <v>73</v>
      </c>
      <c r="BG10" s="10" t="s">
        <v>73</v>
      </c>
      <c r="BH10" s="10">
        <v>6445</v>
      </c>
      <c r="BI10" s="10">
        <v>6445</v>
      </c>
      <c r="BJ10" s="10" t="s">
        <v>73</v>
      </c>
      <c r="BK10" s="10" t="s">
        <v>73</v>
      </c>
      <c r="BL10" s="108">
        <v>10000</v>
      </c>
      <c r="BM10" s="108" t="s">
        <v>73</v>
      </c>
      <c r="BN10" s="108" t="s">
        <v>73</v>
      </c>
      <c r="BO10" s="108" t="s">
        <v>73</v>
      </c>
      <c r="BP10" s="10" t="s">
        <v>73</v>
      </c>
      <c r="BQ10" s="10" t="s">
        <v>73</v>
      </c>
      <c r="BR10" s="108" t="s">
        <v>73</v>
      </c>
      <c r="BS10" s="108" t="s">
        <v>73</v>
      </c>
      <c r="BT10" s="108">
        <v>1</v>
      </c>
      <c r="BU10" s="10">
        <v>0</v>
      </c>
      <c r="BV10" s="10">
        <v>0</v>
      </c>
      <c r="BW10" s="30">
        <f>((AZ10^2)/(AZ10^2+BH10))^(1/2)</f>
        <v>3.2078253247327888E-2</v>
      </c>
      <c r="BX10" s="30">
        <f>0.5*LN((1+BW10)/(1-BW10))</f>
        <v>3.2089263039774128E-2</v>
      </c>
      <c r="BY10" s="30">
        <f>((1-(BX10^2)^2)/(BH10-1))</f>
        <v>1.5518295153244398E-4</v>
      </c>
      <c r="BZ10" s="30">
        <f>1/(BH10-3)</f>
        <v>1.552312946289972E-4</v>
      </c>
      <c r="CA10" s="92" t="s">
        <v>73</v>
      </c>
      <c r="CB10">
        <f>BH10-1</f>
        <v>6444</v>
      </c>
      <c r="CC10" s="92" t="s">
        <v>73</v>
      </c>
      <c r="CD10" s="30">
        <f>((AZ10^2)/(AZ10^2+BI10))^(1/2)</f>
        <v>3.2078253247327888E-2</v>
      </c>
      <c r="CE10" s="30">
        <f>0.5*LN((1+CD10)/(1-CD10))</f>
        <v>3.2089263039774128E-2</v>
      </c>
      <c r="CF10" s="30">
        <f>((1-(CE10^2)^2)/(BI10-1))</f>
        <v>1.5518295153244398E-4</v>
      </c>
      <c r="CG10" s="30">
        <f>1/(BI10-3)</f>
        <v>1.552312946289972E-4</v>
      </c>
    </row>
    <row r="11" spans="1:86">
      <c r="A11" s="108" t="s">
        <v>410</v>
      </c>
      <c r="B11" s="108">
        <v>23</v>
      </c>
      <c r="C11" s="92">
        <v>1220</v>
      </c>
      <c r="D11" s="108">
        <v>301</v>
      </c>
      <c r="E11" s="10" t="s">
        <v>411</v>
      </c>
      <c r="F11" s="108">
        <v>2019</v>
      </c>
      <c r="G11" t="s">
        <v>412</v>
      </c>
      <c r="H11" t="s">
        <v>413</v>
      </c>
      <c r="I11" s="10">
        <v>2</v>
      </c>
      <c r="J11" t="s">
        <v>414</v>
      </c>
      <c r="K11" s="108" t="s">
        <v>73</v>
      </c>
      <c r="L11" s="10">
        <v>163</v>
      </c>
      <c r="M11" s="202" t="s">
        <v>107</v>
      </c>
      <c r="N11" t="s">
        <v>395</v>
      </c>
      <c r="O11" s="10" t="s">
        <v>124</v>
      </c>
      <c r="P11" s="10" t="s">
        <v>228</v>
      </c>
      <c r="Q11" t="s">
        <v>415</v>
      </c>
      <c r="R11" s="10" t="s">
        <v>255</v>
      </c>
      <c r="S11">
        <v>0</v>
      </c>
      <c r="T11" s="10" t="s">
        <v>231</v>
      </c>
      <c r="U11">
        <v>0</v>
      </c>
      <c r="V11" s="10" t="s">
        <v>246</v>
      </c>
      <c r="W11" s="10" t="s">
        <v>246</v>
      </c>
      <c r="X11" s="10" t="s">
        <v>416</v>
      </c>
      <c r="Y11" s="10">
        <v>0</v>
      </c>
      <c r="Z11" s="10">
        <v>0</v>
      </c>
      <c r="AA11" s="10">
        <v>0</v>
      </c>
      <c r="AB11" s="10">
        <v>1</v>
      </c>
      <c r="AC11" s="10">
        <v>0</v>
      </c>
      <c r="AD11" s="10">
        <v>0</v>
      </c>
      <c r="AE11" s="108">
        <v>0</v>
      </c>
      <c r="AF11" s="108">
        <v>0</v>
      </c>
      <c r="AG11" s="10" t="s">
        <v>417</v>
      </c>
      <c r="AH11" s="10">
        <v>0</v>
      </c>
      <c r="AI11" s="10">
        <v>0</v>
      </c>
      <c r="AJ11" s="10">
        <v>0</v>
      </c>
      <c r="AK11" s="10">
        <v>0</v>
      </c>
      <c r="AL11" s="10">
        <v>0</v>
      </c>
      <c r="AM11" s="10">
        <v>0</v>
      </c>
      <c r="AN11" s="10">
        <v>0</v>
      </c>
      <c r="AO11" s="10">
        <v>1</v>
      </c>
      <c r="AP11" s="10">
        <v>0</v>
      </c>
      <c r="AQ11" s="135" t="s">
        <v>73</v>
      </c>
      <c r="AR11" t="s">
        <v>234</v>
      </c>
      <c r="AS11" t="s">
        <v>418</v>
      </c>
      <c r="AT11" s="10" t="s">
        <v>236</v>
      </c>
      <c r="AU11" s="187" t="s">
        <v>73</v>
      </c>
      <c r="AV11" s="7" t="s">
        <v>80</v>
      </c>
      <c r="AW11" s="10" t="s">
        <v>73</v>
      </c>
      <c r="AX11">
        <v>0.01</v>
      </c>
      <c r="AY11">
        <v>1</v>
      </c>
      <c r="AZ11">
        <f>TINV(AX11,CB11)</f>
        <v>2.5765924815279417</v>
      </c>
      <c r="BA11" s="158">
        <v>1.6E-2</v>
      </c>
      <c r="BB11" s="10" t="s">
        <v>73</v>
      </c>
      <c r="BC11" s="10" t="s">
        <v>73</v>
      </c>
      <c r="BD11" s="10" t="s">
        <v>73</v>
      </c>
      <c r="BE11" s="10" t="s">
        <v>73</v>
      </c>
      <c r="BF11" s="10" t="s">
        <v>73</v>
      </c>
      <c r="BG11" s="10" t="s">
        <v>73</v>
      </c>
      <c r="BH11" s="10">
        <v>6445</v>
      </c>
      <c r="BI11" s="10">
        <v>6445</v>
      </c>
      <c r="BJ11" s="10" t="s">
        <v>73</v>
      </c>
      <c r="BK11" s="10" t="s">
        <v>73</v>
      </c>
      <c r="BL11" s="108">
        <v>10000</v>
      </c>
      <c r="BM11" s="108" t="s">
        <v>73</v>
      </c>
      <c r="BN11" s="108" t="s">
        <v>73</v>
      </c>
      <c r="BO11" s="108" t="s">
        <v>73</v>
      </c>
      <c r="BP11" s="10" t="s">
        <v>73</v>
      </c>
      <c r="BQ11" s="10" t="s">
        <v>73</v>
      </c>
      <c r="BR11" s="108" t="s">
        <v>73</v>
      </c>
      <c r="BS11" s="108" t="s">
        <v>73</v>
      </c>
      <c r="BT11" s="108">
        <v>1</v>
      </c>
      <c r="BU11" s="10">
        <v>0</v>
      </c>
      <c r="BV11" s="10">
        <v>0</v>
      </c>
      <c r="BW11" s="30">
        <f>((AZ11^2)/(AZ11^2+BH11))^(1/2)</f>
        <v>3.2078253247327888E-2</v>
      </c>
      <c r="BX11" s="30">
        <f>0.5*LN((1+BW11)/(1-BW11))</f>
        <v>3.2089263039774128E-2</v>
      </c>
      <c r="BY11" s="30">
        <f>((1-(BX11^2)^2)/(BH11-1))</f>
        <v>1.5518295153244398E-4</v>
      </c>
      <c r="BZ11" s="30">
        <f>1/(BH11-3)</f>
        <v>1.552312946289972E-4</v>
      </c>
      <c r="CA11" s="92" t="s">
        <v>73</v>
      </c>
      <c r="CB11">
        <f>BH11-1</f>
        <v>6444</v>
      </c>
      <c r="CC11" s="92" t="s">
        <v>73</v>
      </c>
      <c r="CD11" s="30">
        <f>((AZ11^2)/(AZ11^2+BI11))^(1/2)</f>
        <v>3.2078253247327888E-2</v>
      </c>
      <c r="CE11" s="30">
        <f>0.5*LN((1+CD11)/(1-CD11))</f>
        <v>3.2089263039774128E-2</v>
      </c>
      <c r="CF11" s="30">
        <f>((1-(CE11^2)^2)/(BI11-1))</f>
        <v>1.5518295153244398E-4</v>
      </c>
      <c r="CG11" s="30">
        <f>1/(BI11-3)</f>
        <v>1.552312946289972E-4</v>
      </c>
    </row>
    <row r="12" spans="1:86">
      <c r="A12" s="108" t="s">
        <v>410</v>
      </c>
      <c r="B12" s="108">
        <v>23</v>
      </c>
      <c r="C12" s="92">
        <v>1221</v>
      </c>
      <c r="D12" s="108">
        <v>301</v>
      </c>
      <c r="E12" s="10" t="s">
        <v>411</v>
      </c>
      <c r="F12" s="108">
        <v>2019</v>
      </c>
      <c r="G12" t="s">
        <v>412</v>
      </c>
      <c r="H12" t="s">
        <v>413</v>
      </c>
      <c r="I12" s="10">
        <v>2</v>
      </c>
      <c r="J12" t="s">
        <v>414</v>
      </c>
      <c r="K12" s="108" t="s">
        <v>73</v>
      </c>
      <c r="L12" s="10">
        <v>163</v>
      </c>
      <c r="M12" s="202" t="s">
        <v>107</v>
      </c>
      <c r="N12" t="s">
        <v>395</v>
      </c>
      <c r="O12" s="10" t="s">
        <v>124</v>
      </c>
      <c r="P12" s="10" t="s">
        <v>228</v>
      </c>
      <c r="Q12" t="s">
        <v>415</v>
      </c>
      <c r="R12" s="10" t="s">
        <v>255</v>
      </c>
      <c r="S12">
        <v>0</v>
      </c>
      <c r="T12" s="10" t="s">
        <v>231</v>
      </c>
      <c r="U12">
        <v>0</v>
      </c>
      <c r="V12" s="10" t="s">
        <v>246</v>
      </c>
      <c r="W12" s="10" t="s">
        <v>246</v>
      </c>
      <c r="X12" s="10" t="s">
        <v>416</v>
      </c>
      <c r="Y12" s="10">
        <v>0</v>
      </c>
      <c r="Z12" s="10">
        <v>0</v>
      </c>
      <c r="AA12" s="10">
        <v>0</v>
      </c>
      <c r="AB12" s="10">
        <v>1</v>
      </c>
      <c r="AC12" s="10">
        <v>0</v>
      </c>
      <c r="AD12" s="10">
        <v>0</v>
      </c>
      <c r="AE12" s="108">
        <v>0</v>
      </c>
      <c r="AF12" s="108">
        <v>0</v>
      </c>
      <c r="AG12" s="10" t="s">
        <v>417</v>
      </c>
      <c r="AH12" s="10">
        <v>0</v>
      </c>
      <c r="AI12" s="10">
        <v>0</v>
      </c>
      <c r="AJ12" s="10">
        <v>0</v>
      </c>
      <c r="AK12" s="10">
        <v>0</v>
      </c>
      <c r="AL12" s="10">
        <v>0</v>
      </c>
      <c r="AM12" s="10">
        <v>0</v>
      </c>
      <c r="AN12" s="10">
        <v>0</v>
      </c>
      <c r="AO12" s="10">
        <v>1</v>
      </c>
      <c r="AP12" s="10">
        <v>0</v>
      </c>
      <c r="AQ12" s="135" t="s">
        <v>73</v>
      </c>
      <c r="AR12" t="s">
        <v>234</v>
      </c>
      <c r="AS12" t="s">
        <v>418</v>
      </c>
      <c r="AT12" s="10" t="s">
        <v>236</v>
      </c>
      <c r="AU12" s="187" t="s">
        <v>73</v>
      </c>
      <c r="AV12" s="7" t="s">
        <v>80</v>
      </c>
      <c r="AW12" s="10" t="s">
        <v>73</v>
      </c>
      <c r="AX12">
        <v>0.01</v>
      </c>
      <c r="AY12">
        <v>1</v>
      </c>
      <c r="AZ12">
        <f>TINV(AX12,CB12)</f>
        <v>2.5765924815279417</v>
      </c>
      <c r="BA12" s="158">
        <v>1.7000000000000001E-2</v>
      </c>
      <c r="BB12" s="10" t="s">
        <v>73</v>
      </c>
      <c r="BC12" s="10" t="s">
        <v>73</v>
      </c>
      <c r="BD12" s="10" t="s">
        <v>73</v>
      </c>
      <c r="BE12" s="10" t="s">
        <v>73</v>
      </c>
      <c r="BF12" s="10" t="s">
        <v>73</v>
      </c>
      <c r="BG12" s="10" t="s">
        <v>73</v>
      </c>
      <c r="BH12" s="10">
        <v>6445</v>
      </c>
      <c r="BI12" s="10">
        <v>6445</v>
      </c>
      <c r="BJ12" s="10" t="s">
        <v>73</v>
      </c>
      <c r="BK12" s="10" t="s">
        <v>73</v>
      </c>
      <c r="BL12" s="108">
        <v>10000</v>
      </c>
      <c r="BM12" s="108" t="s">
        <v>73</v>
      </c>
      <c r="BN12" s="108" t="s">
        <v>73</v>
      </c>
      <c r="BO12" s="108" t="s">
        <v>73</v>
      </c>
      <c r="BP12" s="10" t="s">
        <v>73</v>
      </c>
      <c r="BQ12" s="10" t="s">
        <v>73</v>
      </c>
      <c r="BR12" s="108" t="s">
        <v>73</v>
      </c>
      <c r="BS12" s="108" t="s">
        <v>73</v>
      </c>
      <c r="BT12" s="108">
        <v>1</v>
      </c>
      <c r="BU12" s="10">
        <v>0</v>
      </c>
      <c r="BV12" s="10">
        <v>0</v>
      </c>
      <c r="BW12" s="30">
        <f>((AZ12^2)/(AZ12^2+BH12))^(1/2)</f>
        <v>3.2078253247327888E-2</v>
      </c>
      <c r="BX12" s="30">
        <f>0.5*LN((1+BW12)/(1-BW12))</f>
        <v>3.2089263039774128E-2</v>
      </c>
      <c r="BY12" s="30">
        <f>((1-(BX12^2)^2)/(BH12-1))</f>
        <v>1.5518295153244398E-4</v>
      </c>
      <c r="BZ12" s="30">
        <f>1/(BH12-3)</f>
        <v>1.552312946289972E-4</v>
      </c>
      <c r="CA12" s="92" t="s">
        <v>73</v>
      </c>
      <c r="CB12">
        <f>BH12-1</f>
        <v>6444</v>
      </c>
      <c r="CC12" s="92" t="s">
        <v>73</v>
      </c>
      <c r="CD12" s="30">
        <f>((AZ12^2)/(AZ12^2+BI12))^(1/2)</f>
        <v>3.2078253247327888E-2</v>
      </c>
      <c r="CE12" s="30">
        <f>0.5*LN((1+CD12)/(1-CD12))</f>
        <v>3.2089263039774128E-2</v>
      </c>
      <c r="CF12" s="30">
        <f>((1-(CE12^2)^2)/(BI12-1))</f>
        <v>1.5518295153244398E-4</v>
      </c>
      <c r="CG12" s="30">
        <f>1/(BI12-3)</f>
        <v>1.552312946289972E-4</v>
      </c>
      <c r="CH12" s="92"/>
    </row>
    <row r="13" spans="1:86">
      <c r="A13" s="108" t="s">
        <v>410</v>
      </c>
      <c r="B13" s="108">
        <v>23</v>
      </c>
      <c r="C13" s="92">
        <v>1222</v>
      </c>
      <c r="D13" s="108">
        <v>301</v>
      </c>
      <c r="E13" s="10" t="s">
        <v>411</v>
      </c>
      <c r="F13" s="108">
        <v>2019</v>
      </c>
      <c r="G13" t="s">
        <v>412</v>
      </c>
      <c r="H13" t="s">
        <v>413</v>
      </c>
      <c r="I13" s="10">
        <v>2</v>
      </c>
      <c r="J13" t="s">
        <v>414</v>
      </c>
      <c r="K13" s="108" t="s">
        <v>73</v>
      </c>
      <c r="L13" s="10">
        <v>163</v>
      </c>
      <c r="M13" s="202" t="s">
        <v>107</v>
      </c>
      <c r="N13" t="s">
        <v>395</v>
      </c>
      <c r="O13" s="10" t="s">
        <v>124</v>
      </c>
      <c r="P13" s="10" t="s">
        <v>228</v>
      </c>
      <c r="Q13" t="s">
        <v>415</v>
      </c>
      <c r="R13" s="10" t="s">
        <v>255</v>
      </c>
      <c r="S13">
        <v>0</v>
      </c>
      <c r="T13" s="10" t="s">
        <v>231</v>
      </c>
      <c r="U13">
        <v>0</v>
      </c>
      <c r="V13" s="10" t="s">
        <v>246</v>
      </c>
      <c r="W13" s="10" t="s">
        <v>246</v>
      </c>
      <c r="X13" s="10" t="s">
        <v>416</v>
      </c>
      <c r="Y13" s="10">
        <v>0</v>
      </c>
      <c r="Z13" s="10">
        <v>0</v>
      </c>
      <c r="AA13" s="10">
        <v>0</v>
      </c>
      <c r="AB13" s="10">
        <v>1</v>
      </c>
      <c r="AC13" s="10">
        <v>0</v>
      </c>
      <c r="AD13" s="10">
        <v>0</v>
      </c>
      <c r="AE13" s="108">
        <v>0</v>
      </c>
      <c r="AF13" s="108">
        <v>0</v>
      </c>
      <c r="AG13" s="10" t="s">
        <v>417</v>
      </c>
      <c r="AH13" s="10">
        <v>0</v>
      </c>
      <c r="AI13" s="10">
        <v>0</v>
      </c>
      <c r="AJ13" s="10">
        <v>0</v>
      </c>
      <c r="AK13" s="10">
        <v>0</v>
      </c>
      <c r="AL13" s="10">
        <v>0</v>
      </c>
      <c r="AM13" s="10">
        <v>0</v>
      </c>
      <c r="AN13" s="10">
        <v>0</v>
      </c>
      <c r="AO13" s="10">
        <v>1</v>
      </c>
      <c r="AP13" s="10">
        <v>0</v>
      </c>
      <c r="AQ13" s="135" t="s">
        <v>73</v>
      </c>
      <c r="AR13" t="s">
        <v>234</v>
      </c>
      <c r="AS13" t="s">
        <v>418</v>
      </c>
      <c r="AT13" s="10" t="s">
        <v>236</v>
      </c>
      <c r="AU13" s="187" t="s">
        <v>73</v>
      </c>
      <c r="AV13" s="7" t="s">
        <v>80</v>
      </c>
      <c r="AW13" s="10" t="s">
        <v>73</v>
      </c>
      <c r="AX13">
        <v>0.01</v>
      </c>
      <c r="AY13">
        <v>1</v>
      </c>
      <c r="AZ13">
        <f>TINV(AX13,CB13)</f>
        <v>2.5765924815279417</v>
      </c>
      <c r="BA13" s="158">
        <v>1.7999999999999999E-2</v>
      </c>
      <c r="BB13" s="10" t="s">
        <v>73</v>
      </c>
      <c r="BC13" s="10" t="s">
        <v>73</v>
      </c>
      <c r="BD13" s="10" t="s">
        <v>73</v>
      </c>
      <c r="BE13" s="10" t="s">
        <v>73</v>
      </c>
      <c r="BF13" s="10" t="s">
        <v>73</v>
      </c>
      <c r="BG13" s="10" t="s">
        <v>73</v>
      </c>
      <c r="BH13" s="10">
        <v>6445</v>
      </c>
      <c r="BI13" s="10">
        <v>6445</v>
      </c>
      <c r="BJ13" s="10" t="s">
        <v>73</v>
      </c>
      <c r="BK13" s="10" t="s">
        <v>73</v>
      </c>
      <c r="BL13" s="108">
        <v>10000</v>
      </c>
      <c r="BM13" s="108" t="s">
        <v>73</v>
      </c>
      <c r="BN13" s="108" t="s">
        <v>73</v>
      </c>
      <c r="BO13" s="108" t="s">
        <v>73</v>
      </c>
      <c r="BP13" s="10" t="s">
        <v>73</v>
      </c>
      <c r="BQ13" s="10" t="s">
        <v>73</v>
      </c>
      <c r="BR13" s="108" t="s">
        <v>73</v>
      </c>
      <c r="BS13" s="108" t="s">
        <v>73</v>
      </c>
      <c r="BT13" s="108">
        <v>1</v>
      </c>
      <c r="BU13" s="10">
        <v>0</v>
      </c>
      <c r="BV13" s="10">
        <v>0</v>
      </c>
      <c r="BW13" s="30">
        <f>((AZ13^2)/(AZ13^2+BH13))^(1/2)</f>
        <v>3.2078253247327888E-2</v>
      </c>
      <c r="BX13" s="30">
        <f>0.5*LN((1+BW13)/(1-BW13))</f>
        <v>3.2089263039774128E-2</v>
      </c>
      <c r="BY13" s="30">
        <f>((1-(BX13^2)^2)/(BH13-1))</f>
        <v>1.5518295153244398E-4</v>
      </c>
      <c r="BZ13" s="30">
        <f>1/(BH13-3)</f>
        <v>1.552312946289972E-4</v>
      </c>
      <c r="CA13" s="92" t="s">
        <v>73</v>
      </c>
      <c r="CB13">
        <f>BH13-1</f>
        <v>6444</v>
      </c>
      <c r="CC13" s="92" t="s">
        <v>73</v>
      </c>
      <c r="CD13" s="30">
        <f>((AZ13^2)/(AZ13^2+BI13))^(1/2)</f>
        <v>3.2078253247327888E-2</v>
      </c>
      <c r="CE13" s="30">
        <f>0.5*LN((1+CD13)/(1-CD13))</f>
        <v>3.2089263039774128E-2</v>
      </c>
      <c r="CF13" s="30">
        <f>((1-(CE13^2)^2)/(BI13-1))</f>
        <v>1.5518295153244398E-4</v>
      </c>
      <c r="CG13" s="30">
        <f>1/(BI13-3)</f>
        <v>1.552312946289972E-4</v>
      </c>
      <c r="CH13" s="92"/>
    </row>
    <row r="14" spans="1:86">
      <c r="A14" s="108" t="s">
        <v>410</v>
      </c>
      <c r="B14" s="108">
        <v>23</v>
      </c>
      <c r="C14" s="92">
        <v>1223</v>
      </c>
      <c r="D14" s="108">
        <v>301</v>
      </c>
      <c r="E14" s="10" t="s">
        <v>411</v>
      </c>
      <c r="F14" s="108">
        <v>2019</v>
      </c>
      <c r="G14" t="s">
        <v>412</v>
      </c>
      <c r="H14" t="s">
        <v>413</v>
      </c>
      <c r="I14" s="10">
        <v>2</v>
      </c>
      <c r="J14" t="s">
        <v>414</v>
      </c>
      <c r="K14" s="108" t="s">
        <v>73</v>
      </c>
      <c r="L14" s="10">
        <v>163</v>
      </c>
      <c r="M14" s="202" t="s">
        <v>107</v>
      </c>
      <c r="N14" t="s">
        <v>395</v>
      </c>
      <c r="O14" s="10" t="s">
        <v>124</v>
      </c>
      <c r="P14" s="10" t="s">
        <v>228</v>
      </c>
      <c r="Q14" t="s">
        <v>415</v>
      </c>
      <c r="R14" s="10" t="s">
        <v>255</v>
      </c>
      <c r="S14">
        <v>0</v>
      </c>
      <c r="T14" s="10" t="s">
        <v>231</v>
      </c>
      <c r="U14">
        <v>0</v>
      </c>
      <c r="V14" s="10" t="s">
        <v>246</v>
      </c>
      <c r="W14" s="10" t="s">
        <v>246</v>
      </c>
      <c r="X14" s="10" t="s">
        <v>416</v>
      </c>
      <c r="Y14" s="10">
        <v>0</v>
      </c>
      <c r="Z14" s="10">
        <v>0</v>
      </c>
      <c r="AA14" s="10">
        <v>0</v>
      </c>
      <c r="AB14" s="10">
        <v>1</v>
      </c>
      <c r="AC14" s="10">
        <v>0</v>
      </c>
      <c r="AD14" s="10">
        <v>0</v>
      </c>
      <c r="AE14" s="108">
        <v>0</v>
      </c>
      <c r="AF14" s="108">
        <v>0</v>
      </c>
      <c r="AG14" s="10" t="s">
        <v>417</v>
      </c>
      <c r="AH14" s="10">
        <v>0</v>
      </c>
      <c r="AI14" s="10">
        <v>0</v>
      </c>
      <c r="AJ14" s="10">
        <v>0</v>
      </c>
      <c r="AK14" s="10">
        <v>0</v>
      </c>
      <c r="AL14" s="10">
        <v>0</v>
      </c>
      <c r="AM14" s="10">
        <v>0</v>
      </c>
      <c r="AN14" s="10">
        <v>0</v>
      </c>
      <c r="AO14" s="10">
        <v>1</v>
      </c>
      <c r="AP14" s="10">
        <v>0</v>
      </c>
      <c r="AQ14" s="135" t="s">
        <v>73</v>
      </c>
      <c r="AR14" t="s">
        <v>234</v>
      </c>
      <c r="AS14" t="s">
        <v>418</v>
      </c>
      <c r="AT14" s="10" t="s">
        <v>236</v>
      </c>
      <c r="AU14" s="187" t="s">
        <v>73</v>
      </c>
      <c r="AV14" s="7" t="s">
        <v>80</v>
      </c>
      <c r="AW14" s="10" t="s">
        <v>73</v>
      </c>
      <c r="AX14">
        <v>0.01</v>
      </c>
      <c r="AY14">
        <v>1</v>
      </c>
      <c r="AZ14">
        <f>TINV(AX14,CB14)</f>
        <v>2.5765924815279417</v>
      </c>
      <c r="BA14" s="158">
        <v>1.9E-2</v>
      </c>
      <c r="BB14" s="10" t="s">
        <v>73</v>
      </c>
      <c r="BC14" s="10" t="s">
        <v>73</v>
      </c>
      <c r="BD14" s="10" t="s">
        <v>73</v>
      </c>
      <c r="BE14" s="10" t="s">
        <v>73</v>
      </c>
      <c r="BF14" s="10" t="s">
        <v>73</v>
      </c>
      <c r="BG14" s="10" t="s">
        <v>73</v>
      </c>
      <c r="BH14" s="10">
        <v>6445</v>
      </c>
      <c r="BI14" s="10">
        <v>6445</v>
      </c>
      <c r="BJ14" s="10" t="s">
        <v>73</v>
      </c>
      <c r="BK14" s="10" t="s">
        <v>73</v>
      </c>
      <c r="BL14" s="108">
        <v>10000</v>
      </c>
      <c r="BM14" s="108" t="s">
        <v>73</v>
      </c>
      <c r="BN14" s="108" t="s">
        <v>73</v>
      </c>
      <c r="BO14" s="108" t="s">
        <v>73</v>
      </c>
      <c r="BP14" s="10" t="s">
        <v>73</v>
      </c>
      <c r="BQ14" s="10" t="s">
        <v>73</v>
      </c>
      <c r="BR14" s="108" t="s">
        <v>73</v>
      </c>
      <c r="BS14" s="108" t="s">
        <v>73</v>
      </c>
      <c r="BT14" s="108">
        <v>1</v>
      </c>
      <c r="BU14" s="10">
        <v>0</v>
      </c>
      <c r="BV14" s="10">
        <v>0</v>
      </c>
      <c r="BW14" s="30">
        <f>((AZ14^2)/(AZ14^2+BH14))^(1/2)</f>
        <v>3.2078253247327888E-2</v>
      </c>
      <c r="BX14" s="30">
        <f>0.5*LN((1+BW14)/(1-BW14))</f>
        <v>3.2089263039774128E-2</v>
      </c>
      <c r="BY14" s="30">
        <f>((1-(BX14^2)^2)/(BH14-1))</f>
        <v>1.5518295153244398E-4</v>
      </c>
      <c r="BZ14" s="30">
        <f>1/(BH14-3)</f>
        <v>1.552312946289972E-4</v>
      </c>
      <c r="CA14" s="92" t="s">
        <v>73</v>
      </c>
      <c r="CB14">
        <f>BH14-1</f>
        <v>6444</v>
      </c>
      <c r="CC14" s="92" t="s">
        <v>73</v>
      </c>
      <c r="CD14" s="30">
        <f>((AZ14^2)/(AZ14^2+BI14))^(1/2)</f>
        <v>3.2078253247327888E-2</v>
      </c>
      <c r="CE14" s="30">
        <f>0.5*LN((1+CD14)/(1-CD14))</f>
        <v>3.2089263039774128E-2</v>
      </c>
      <c r="CF14" s="30">
        <f>((1-(CE14^2)^2)/(BI14-1))</f>
        <v>1.5518295153244398E-4</v>
      </c>
      <c r="CG14" s="30">
        <f>1/(BI14-3)</f>
        <v>1.552312946289972E-4</v>
      </c>
      <c r="CH14" s="92"/>
    </row>
    <row r="15" spans="1:86">
      <c r="A15" s="108" t="s">
        <v>410</v>
      </c>
      <c r="B15" s="108">
        <v>23</v>
      </c>
      <c r="C15" s="92">
        <v>1224</v>
      </c>
      <c r="D15" s="108">
        <v>301</v>
      </c>
      <c r="E15" s="10" t="s">
        <v>411</v>
      </c>
      <c r="F15" s="108">
        <v>2019</v>
      </c>
      <c r="G15" t="s">
        <v>412</v>
      </c>
      <c r="H15" t="s">
        <v>413</v>
      </c>
      <c r="I15" s="10">
        <v>2</v>
      </c>
      <c r="J15" t="s">
        <v>414</v>
      </c>
      <c r="K15" s="108" t="s">
        <v>73</v>
      </c>
      <c r="L15" s="10">
        <v>163</v>
      </c>
      <c r="M15" s="202" t="s">
        <v>107</v>
      </c>
      <c r="N15" t="s">
        <v>395</v>
      </c>
      <c r="O15" s="10" t="s">
        <v>124</v>
      </c>
      <c r="P15" s="10" t="s">
        <v>228</v>
      </c>
      <c r="Q15" t="s">
        <v>415</v>
      </c>
      <c r="R15" s="10" t="s">
        <v>255</v>
      </c>
      <c r="S15">
        <v>0</v>
      </c>
      <c r="T15" s="10" t="s">
        <v>231</v>
      </c>
      <c r="U15">
        <v>0</v>
      </c>
      <c r="V15" s="10" t="s">
        <v>246</v>
      </c>
      <c r="W15" s="10" t="s">
        <v>246</v>
      </c>
      <c r="X15" s="10" t="s">
        <v>416</v>
      </c>
      <c r="Y15" s="10">
        <v>0</v>
      </c>
      <c r="Z15" s="10">
        <v>0</v>
      </c>
      <c r="AA15" s="10">
        <v>0</v>
      </c>
      <c r="AB15" s="10">
        <v>1</v>
      </c>
      <c r="AC15" s="10">
        <v>0</v>
      </c>
      <c r="AD15" s="10">
        <v>0</v>
      </c>
      <c r="AE15" s="108">
        <v>0</v>
      </c>
      <c r="AF15" s="108">
        <v>0</v>
      </c>
      <c r="AG15" s="10" t="s">
        <v>417</v>
      </c>
      <c r="AH15" s="10">
        <v>0</v>
      </c>
      <c r="AI15" s="10">
        <v>0</v>
      </c>
      <c r="AJ15" s="10">
        <v>0</v>
      </c>
      <c r="AK15" s="10">
        <v>0</v>
      </c>
      <c r="AL15" s="10">
        <v>0</v>
      </c>
      <c r="AM15" s="10">
        <v>0</v>
      </c>
      <c r="AN15" s="10">
        <v>0</v>
      </c>
      <c r="AO15" s="10">
        <v>1</v>
      </c>
      <c r="AP15" s="10">
        <v>0</v>
      </c>
      <c r="AQ15" s="135" t="s">
        <v>73</v>
      </c>
      <c r="AR15" t="s">
        <v>234</v>
      </c>
      <c r="AS15" t="s">
        <v>418</v>
      </c>
      <c r="AT15" s="10" t="s">
        <v>236</v>
      </c>
      <c r="AU15" s="187" t="s">
        <v>73</v>
      </c>
      <c r="AV15" s="7" t="s">
        <v>86</v>
      </c>
      <c r="AW15" s="10" t="s">
        <v>73</v>
      </c>
      <c r="AX15">
        <v>0.01</v>
      </c>
      <c r="AY15">
        <v>1</v>
      </c>
      <c r="AZ15">
        <f>TINV(AX15,CB15)</f>
        <v>2.5765924815279417</v>
      </c>
      <c r="BA15" s="158">
        <v>1E-3</v>
      </c>
      <c r="BB15" s="10" t="s">
        <v>73</v>
      </c>
      <c r="BC15" s="10" t="s">
        <v>73</v>
      </c>
      <c r="BD15" s="10" t="s">
        <v>73</v>
      </c>
      <c r="BE15" s="10" t="s">
        <v>73</v>
      </c>
      <c r="BF15" s="10" t="s">
        <v>73</v>
      </c>
      <c r="BG15" s="10" t="s">
        <v>73</v>
      </c>
      <c r="BH15" s="10">
        <v>6445</v>
      </c>
      <c r="BI15" s="10">
        <v>6445</v>
      </c>
      <c r="BJ15" s="10" t="s">
        <v>73</v>
      </c>
      <c r="BK15" s="10" t="s">
        <v>73</v>
      </c>
      <c r="BL15" s="108">
        <v>4000</v>
      </c>
      <c r="BM15" s="108" t="s">
        <v>73</v>
      </c>
      <c r="BN15" s="108" t="s">
        <v>73</v>
      </c>
      <c r="BO15" s="108" t="s">
        <v>73</v>
      </c>
      <c r="BP15" s="10" t="s">
        <v>73</v>
      </c>
      <c r="BQ15" s="10" t="s">
        <v>73</v>
      </c>
      <c r="BR15" s="108" t="s">
        <v>73</v>
      </c>
      <c r="BS15" s="108" t="s">
        <v>73</v>
      </c>
      <c r="BT15" s="108">
        <v>1</v>
      </c>
      <c r="BU15" s="10">
        <v>0</v>
      </c>
      <c r="BV15" s="10">
        <v>0</v>
      </c>
      <c r="BW15" s="30">
        <f>((AZ15^2)/(AZ15^2+BH15))^(1/2)</f>
        <v>3.2078253247327888E-2</v>
      </c>
      <c r="BX15" s="30">
        <f>0.5*LN((1+BW15)/(1-BW15))</f>
        <v>3.2089263039774128E-2</v>
      </c>
      <c r="BY15" s="30">
        <f>((1-(BX15^2)^2)/(BH15-1))</f>
        <v>1.5518295153244398E-4</v>
      </c>
      <c r="BZ15" s="30">
        <f>1/(BH15-3)</f>
        <v>1.552312946289972E-4</v>
      </c>
      <c r="CA15" s="92" t="s">
        <v>73</v>
      </c>
      <c r="CB15">
        <f>BH15-1</f>
        <v>6444</v>
      </c>
      <c r="CC15" s="92" t="s">
        <v>73</v>
      </c>
      <c r="CD15" s="30">
        <f>((AZ15^2)/(AZ15^2+BI15))^(1/2)</f>
        <v>3.2078253247327888E-2</v>
      </c>
      <c r="CE15" s="30">
        <f>0.5*LN((1+CD15)/(1-CD15))</f>
        <v>3.2089263039774128E-2</v>
      </c>
      <c r="CF15" s="30">
        <f>((1-(CE15^2)^2)/(BI15-1))</f>
        <v>1.5518295153244398E-4</v>
      </c>
      <c r="CG15" s="30">
        <f>1/(BI15-3)</f>
        <v>1.552312946289972E-4</v>
      </c>
      <c r="CH15" s="92"/>
    </row>
    <row r="16" spans="1:86">
      <c r="A16" s="108" t="s">
        <v>410</v>
      </c>
      <c r="B16" s="108">
        <v>23</v>
      </c>
      <c r="C16" s="92">
        <v>1225</v>
      </c>
      <c r="D16" s="108">
        <v>301</v>
      </c>
      <c r="E16" s="10" t="s">
        <v>411</v>
      </c>
      <c r="F16" s="108">
        <v>2019</v>
      </c>
      <c r="G16" t="s">
        <v>412</v>
      </c>
      <c r="H16" t="s">
        <v>413</v>
      </c>
      <c r="I16" s="10">
        <v>2</v>
      </c>
      <c r="J16" t="s">
        <v>414</v>
      </c>
      <c r="K16" s="108" t="s">
        <v>73</v>
      </c>
      <c r="L16" s="10">
        <v>163</v>
      </c>
      <c r="M16" s="202" t="s">
        <v>107</v>
      </c>
      <c r="N16" t="s">
        <v>395</v>
      </c>
      <c r="O16" s="10" t="s">
        <v>124</v>
      </c>
      <c r="P16" s="10" t="s">
        <v>228</v>
      </c>
      <c r="Q16" t="s">
        <v>415</v>
      </c>
      <c r="R16" s="10" t="s">
        <v>255</v>
      </c>
      <c r="S16">
        <v>0</v>
      </c>
      <c r="T16" s="10" t="s">
        <v>231</v>
      </c>
      <c r="U16">
        <v>0</v>
      </c>
      <c r="V16" s="10" t="s">
        <v>246</v>
      </c>
      <c r="W16" s="10" t="s">
        <v>246</v>
      </c>
      <c r="X16" s="10" t="s">
        <v>416</v>
      </c>
      <c r="Y16" s="10">
        <v>0</v>
      </c>
      <c r="Z16" s="10">
        <v>0</v>
      </c>
      <c r="AA16" s="10">
        <v>0</v>
      </c>
      <c r="AB16" s="10">
        <v>1</v>
      </c>
      <c r="AC16" s="10">
        <v>0</v>
      </c>
      <c r="AD16" s="10">
        <v>0</v>
      </c>
      <c r="AE16" s="108">
        <v>0</v>
      </c>
      <c r="AF16" s="108">
        <v>0</v>
      </c>
      <c r="AG16" s="10" t="s">
        <v>417</v>
      </c>
      <c r="AH16" s="10">
        <v>0</v>
      </c>
      <c r="AI16" s="10">
        <v>0</v>
      </c>
      <c r="AJ16" s="10">
        <v>0</v>
      </c>
      <c r="AK16" s="10">
        <v>0</v>
      </c>
      <c r="AL16" s="10">
        <v>0</v>
      </c>
      <c r="AM16" s="10">
        <v>0</v>
      </c>
      <c r="AN16" s="10">
        <v>0</v>
      </c>
      <c r="AO16" s="10">
        <v>1</v>
      </c>
      <c r="AP16" s="10">
        <v>0</v>
      </c>
      <c r="AQ16" s="135" t="s">
        <v>73</v>
      </c>
      <c r="AR16" t="s">
        <v>234</v>
      </c>
      <c r="AS16" t="s">
        <v>418</v>
      </c>
      <c r="AT16" s="10" t="s">
        <v>236</v>
      </c>
      <c r="AU16" s="187" t="s">
        <v>73</v>
      </c>
      <c r="AV16" s="7" t="s">
        <v>86</v>
      </c>
      <c r="AW16" s="10" t="s">
        <v>73</v>
      </c>
      <c r="AX16">
        <v>0.01</v>
      </c>
      <c r="AY16">
        <v>1</v>
      </c>
      <c r="AZ16">
        <f>TINV(AX16,CB16)</f>
        <v>2.5765924815279417</v>
      </c>
      <c r="BA16" s="158">
        <v>1E-4</v>
      </c>
      <c r="BB16" s="10" t="s">
        <v>73</v>
      </c>
      <c r="BC16" s="10" t="s">
        <v>73</v>
      </c>
      <c r="BD16" s="10" t="s">
        <v>73</v>
      </c>
      <c r="BE16" s="10" t="s">
        <v>73</v>
      </c>
      <c r="BF16" s="10" t="s">
        <v>73</v>
      </c>
      <c r="BG16" s="10" t="s">
        <v>73</v>
      </c>
      <c r="BH16" s="10">
        <v>6445</v>
      </c>
      <c r="BI16" s="10">
        <v>6445</v>
      </c>
      <c r="BJ16" s="10" t="s">
        <v>73</v>
      </c>
      <c r="BK16" s="10" t="s">
        <v>73</v>
      </c>
      <c r="BL16" s="108">
        <v>4000</v>
      </c>
      <c r="BM16" s="108" t="s">
        <v>73</v>
      </c>
      <c r="BN16" s="108" t="s">
        <v>73</v>
      </c>
      <c r="BO16" s="108" t="s">
        <v>73</v>
      </c>
      <c r="BP16" s="10" t="s">
        <v>73</v>
      </c>
      <c r="BQ16" s="10" t="s">
        <v>73</v>
      </c>
      <c r="BR16" s="108" t="s">
        <v>73</v>
      </c>
      <c r="BS16" s="108" t="s">
        <v>73</v>
      </c>
      <c r="BT16" s="108">
        <v>1</v>
      </c>
      <c r="BU16" s="10">
        <v>0</v>
      </c>
      <c r="BV16" s="10">
        <v>0</v>
      </c>
      <c r="BW16" s="30">
        <f>((AZ16^2)/(AZ16^2+BH16))^(1/2)</f>
        <v>3.2078253247327888E-2</v>
      </c>
      <c r="BX16" s="30">
        <f>0.5*LN((1+BW16)/(1-BW16))</f>
        <v>3.2089263039774128E-2</v>
      </c>
      <c r="BY16" s="30">
        <f>((1-(BX16^2)^2)/(BH16-1))</f>
        <v>1.5518295153244398E-4</v>
      </c>
      <c r="BZ16" s="30">
        <f>1/(BH16-3)</f>
        <v>1.552312946289972E-4</v>
      </c>
      <c r="CA16" s="92" t="s">
        <v>73</v>
      </c>
      <c r="CB16">
        <f>BH16-1</f>
        <v>6444</v>
      </c>
      <c r="CC16" s="92" t="s">
        <v>73</v>
      </c>
      <c r="CD16" s="30">
        <f>((AZ16^2)/(AZ16^2+BI16))^(1/2)</f>
        <v>3.2078253247327888E-2</v>
      </c>
      <c r="CE16" s="30">
        <f>0.5*LN((1+CD16)/(1-CD16))</f>
        <v>3.2089263039774128E-2</v>
      </c>
      <c r="CF16" s="30">
        <f>((1-(CE16^2)^2)/(BI16-1))</f>
        <v>1.5518295153244398E-4</v>
      </c>
      <c r="CG16" s="30">
        <f>1/(BI16-3)</f>
        <v>1.552312946289972E-4</v>
      </c>
      <c r="CH16" s="92"/>
    </row>
    <row r="17" spans="1:86">
      <c r="A17" s="108" t="s">
        <v>410</v>
      </c>
      <c r="B17" s="108">
        <v>23</v>
      </c>
      <c r="C17" s="92">
        <v>1226</v>
      </c>
      <c r="D17" s="108">
        <v>301</v>
      </c>
      <c r="E17" s="10" t="s">
        <v>411</v>
      </c>
      <c r="F17" s="108">
        <v>2019</v>
      </c>
      <c r="G17" t="s">
        <v>412</v>
      </c>
      <c r="H17" t="s">
        <v>413</v>
      </c>
      <c r="I17" s="10">
        <v>2</v>
      </c>
      <c r="J17" t="s">
        <v>414</v>
      </c>
      <c r="K17" s="108" t="s">
        <v>73</v>
      </c>
      <c r="L17" s="10">
        <v>163</v>
      </c>
      <c r="M17" s="202" t="s">
        <v>107</v>
      </c>
      <c r="N17" t="s">
        <v>395</v>
      </c>
      <c r="O17" s="10" t="s">
        <v>124</v>
      </c>
      <c r="P17" s="10" t="s">
        <v>228</v>
      </c>
      <c r="Q17" t="s">
        <v>415</v>
      </c>
      <c r="R17" s="10" t="s">
        <v>255</v>
      </c>
      <c r="S17">
        <v>0</v>
      </c>
      <c r="T17" s="10" t="s">
        <v>231</v>
      </c>
      <c r="U17">
        <v>0</v>
      </c>
      <c r="V17" s="10" t="s">
        <v>246</v>
      </c>
      <c r="W17" s="10" t="s">
        <v>246</v>
      </c>
      <c r="X17" s="10" t="s">
        <v>416</v>
      </c>
      <c r="Y17" s="10">
        <v>0</v>
      </c>
      <c r="Z17" s="10">
        <v>0</v>
      </c>
      <c r="AA17" s="10">
        <v>0</v>
      </c>
      <c r="AB17" s="10">
        <v>1</v>
      </c>
      <c r="AC17" s="10">
        <v>0</v>
      </c>
      <c r="AD17" s="10">
        <v>0</v>
      </c>
      <c r="AE17" s="108">
        <v>0</v>
      </c>
      <c r="AF17" s="108">
        <v>0</v>
      </c>
      <c r="AG17" s="10" t="s">
        <v>417</v>
      </c>
      <c r="AH17" s="10">
        <v>0</v>
      </c>
      <c r="AI17" s="10">
        <v>0</v>
      </c>
      <c r="AJ17" s="10">
        <v>0</v>
      </c>
      <c r="AK17" s="10">
        <v>0</v>
      </c>
      <c r="AL17" s="10">
        <v>0</v>
      </c>
      <c r="AM17" s="10">
        <v>0</v>
      </c>
      <c r="AN17" s="10">
        <v>0</v>
      </c>
      <c r="AO17" s="10">
        <v>1</v>
      </c>
      <c r="AP17" s="10">
        <v>0</v>
      </c>
      <c r="AQ17" s="135" t="s">
        <v>73</v>
      </c>
      <c r="AR17" t="s">
        <v>234</v>
      </c>
      <c r="AS17" t="s">
        <v>418</v>
      </c>
      <c r="AT17" s="10" t="s">
        <v>236</v>
      </c>
      <c r="AU17" s="187" t="s">
        <v>73</v>
      </c>
      <c r="AV17" s="7" t="s">
        <v>80</v>
      </c>
      <c r="AW17" s="10" t="s">
        <v>73</v>
      </c>
      <c r="AX17">
        <v>0.01</v>
      </c>
      <c r="AY17">
        <v>1</v>
      </c>
      <c r="AZ17">
        <f>TINV(AX17,CB17)</f>
        <v>2.5765924815279417</v>
      </c>
      <c r="BA17" s="158">
        <v>5.9999999999999995E-4</v>
      </c>
      <c r="BB17" s="10" t="s">
        <v>73</v>
      </c>
      <c r="BC17" s="10" t="s">
        <v>73</v>
      </c>
      <c r="BD17" s="10" t="s">
        <v>73</v>
      </c>
      <c r="BE17" s="10" t="s">
        <v>73</v>
      </c>
      <c r="BF17" s="10" t="s">
        <v>73</v>
      </c>
      <c r="BG17" s="10" t="s">
        <v>73</v>
      </c>
      <c r="BH17" s="10">
        <v>6445</v>
      </c>
      <c r="BI17" s="10">
        <v>6445</v>
      </c>
      <c r="BJ17" s="10" t="s">
        <v>73</v>
      </c>
      <c r="BK17" s="10" t="s">
        <v>73</v>
      </c>
      <c r="BL17" s="108">
        <v>4000</v>
      </c>
      <c r="BM17" s="108" t="s">
        <v>73</v>
      </c>
      <c r="BN17" s="108" t="s">
        <v>73</v>
      </c>
      <c r="BO17" s="108" t="s">
        <v>73</v>
      </c>
      <c r="BP17" s="10" t="s">
        <v>73</v>
      </c>
      <c r="BQ17" s="10" t="s">
        <v>73</v>
      </c>
      <c r="BR17" s="108" t="s">
        <v>73</v>
      </c>
      <c r="BS17" s="108" t="s">
        <v>73</v>
      </c>
      <c r="BT17" s="108">
        <v>1</v>
      </c>
      <c r="BU17" s="10">
        <v>0</v>
      </c>
      <c r="BV17" s="10">
        <v>0</v>
      </c>
      <c r="BW17" s="30">
        <f>((AZ17^2)/(AZ17^2+BH17))^(1/2)</f>
        <v>3.2078253247327888E-2</v>
      </c>
      <c r="BX17" s="30">
        <f>0.5*LN((1+BW17)/(1-BW17))</f>
        <v>3.2089263039774128E-2</v>
      </c>
      <c r="BY17" s="30">
        <f>((1-(BX17^2)^2)/(BH17-1))</f>
        <v>1.5518295153244398E-4</v>
      </c>
      <c r="BZ17" s="30">
        <f>1/(BH17-3)</f>
        <v>1.552312946289972E-4</v>
      </c>
      <c r="CA17" s="92" t="s">
        <v>73</v>
      </c>
      <c r="CB17">
        <f>BH17-1</f>
        <v>6444</v>
      </c>
      <c r="CC17" s="92" t="s">
        <v>73</v>
      </c>
      <c r="CD17" s="30">
        <f>((AZ17^2)/(AZ17^2+BI17))^(1/2)</f>
        <v>3.2078253247327888E-2</v>
      </c>
      <c r="CE17" s="30">
        <f>0.5*LN((1+CD17)/(1-CD17))</f>
        <v>3.2089263039774128E-2</v>
      </c>
      <c r="CF17" s="30">
        <f>((1-(CE17^2)^2)/(BI17-1))</f>
        <v>1.5518295153244398E-4</v>
      </c>
      <c r="CG17" s="30">
        <f>1/(BI17-3)</f>
        <v>1.552312946289972E-4</v>
      </c>
      <c r="CH17" s="92"/>
    </row>
    <row r="18" spans="1:86">
      <c r="A18" s="108" t="s">
        <v>410</v>
      </c>
      <c r="B18" s="108">
        <v>23</v>
      </c>
      <c r="C18" s="92">
        <v>1227</v>
      </c>
      <c r="D18" s="108">
        <v>301</v>
      </c>
      <c r="E18" s="10" t="s">
        <v>411</v>
      </c>
      <c r="F18" s="108">
        <v>2019</v>
      </c>
      <c r="G18" t="s">
        <v>412</v>
      </c>
      <c r="H18" t="s">
        <v>413</v>
      </c>
      <c r="I18" s="10">
        <v>2</v>
      </c>
      <c r="J18" t="s">
        <v>414</v>
      </c>
      <c r="K18" s="108" t="s">
        <v>73</v>
      </c>
      <c r="L18" s="10">
        <v>163</v>
      </c>
      <c r="M18" s="202" t="s">
        <v>107</v>
      </c>
      <c r="N18" t="s">
        <v>395</v>
      </c>
      <c r="O18" s="10" t="s">
        <v>124</v>
      </c>
      <c r="P18" s="10" t="s">
        <v>228</v>
      </c>
      <c r="Q18" t="s">
        <v>415</v>
      </c>
      <c r="R18" s="10" t="s">
        <v>255</v>
      </c>
      <c r="S18">
        <v>0</v>
      </c>
      <c r="T18" s="10" t="s">
        <v>231</v>
      </c>
      <c r="U18">
        <v>0</v>
      </c>
      <c r="V18" s="10" t="s">
        <v>246</v>
      </c>
      <c r="W18" s="10" t="s">
        <v>246</v>
      </c>
      <c r="X18" s="10" t="s">
        <v>416</v>
      </c>
      <c r="Y18" s="10">
        <v>0</v>
      </c>
      <c r="Z18" s="10">
        <v>0</v>
      </c>
      <c r="AA18" s="10">
        <v>0</v>
      </c>
      <c r="AB18" s="10">
        <v>1</v>
      </c>
      <c r="AC18" s="10">
        <v>0</v>
      </c>
      <c r="AD18" s="10">
        <v>0</v>
      </c>
      <c r="AE18" s="108">
        <v>0</v>
      </c>
      <c r="AF18" s="108">
        <v>0</v>
      </c>
      <c r="AG18" s="10" t="s">
        <v>417</v>
      </c>
      <c r="AH18" s="10">
        <v>0</v>
      </c>
      <c r="AI18" s="10">
        <v>0</v>
      </c>
      <c r="AJ18" s="10">
        <v>0</v>
      </c>
      <c r="AK18" s="10">
        <v>0</v>
      </c>
      <c r="AL18" s="10">
        <v>0</v>
      </c>
      <c r="AM18" s="10">
        <v>0</v>
      </c>
      <c r="AN18" s="10">
        <v>0</v>
      </c>
      <c r="AO18" s="10">
        <v>1</v>
      </c>
      <c r="AP18" s="10">
        <v>0</v>
      </c>
      <c r="AQ18" s="135" t="s">
        <v>73</v>
      </c>
      <c r="AR18" t="s">
        <v>234</v>
      </c>
      <c r="AS18" t="s">
        <v>418</v>
      </c>
      <c r="AT18" s="10" t="s">
        <v>236</v>
      </c>
      <c r="AU18" s="187" t="s">
        <v>73</v>
      </c>
      <c r="AV18" s="7" t="s">
        <v>80</v>
      </c>
      <c r="AW18" s="10" t="s">
        <v>73</v>
      </c>
      <c r="AX18">
        <v>0.01</v>
      </c>
      <c r="AY18">
        <v>1</v>
      </c>
      <c r="AZ18">
        <f>TINV(AX18,CB18)</f>
        <v>2.5765924815279417</v>
      </c>
      <c r="BA18" s="158">
        <v>1E-3</v>
      </c>
      <c r="BB18" s="10" t="s">
        <v>73</v>
      </c>
      <c r="BC18" s="10" t="s">
        <v>73</v>
      </c>
      <c r="BD18" s="10" t="s">
        <v>73</v>
      </c>
      <c r="BE18" s="10" t="s">
        <v>73</v>
      </c>
      <c r="BF18" s="10" t="s">
        <v>73</v>
      </c>
      <c r="BG18" s="10" t="s">
        <v>73</v>
      </c>
      <c r="BH18" s="10">
        <v>6445</v>
      </c>
      <c r="BI18" s="10">
        <v>6445</v>
      </c>
      <c r="BJ18" s="10" t="s">
        <v>73</v>
      </c>
      <c r="BK18" s="10" t="s">
        <v>73</v>
      </c>
      <c r="BL18" s="108">
        <v>4000</v>
      </c>
      <c r="BM18" s="108" t="s">
        <v>73</v>
      </c>
      <c r="BN18" s="108" t="s">
        <v>73</v>
      </c>
      <c r="BO18" s="108" t="s">
        <v>73</v>
      </c>
      <c r="BP18" s="10" t="s">
        <v>73</v>
      </c>
      <c r="BQ18" s="10" t="s">
        <v>73</v>
      </c>
      <c r="BR18" s="108" t="s">
        <v>73</v>
      </c>
      <c r="BS18" s="108" t="s">
        <v>73</v>
      </c>
      <c r="BT18" s="108">
        <v>1</v>
      </c>
      <c r="BU18" s="10">
        <v>0</v>
      </c>
      <c r="BV18" s="10">
        <v>0</v>
      </c>
      <c r="BW18" s="30">
        <f>((AZ18^2)/(AZ18^2+BH18))^(1/2)</f>
        <v>3.2078253247327888E-2</v>
      </c>
      <c r="BX18" s="30">
        <f>0.5*LN((1+BW18)/(1-BW18))</f>
        <v>3.2089263039774128E-2</v>
      </c>
      <c r="BY18" s="30">
        <f>((1-(BX18^2)^2)/(BH18-1))</f>
        <v>1.5518295153244398E-4</v>
      </c>
      <c r="BZ18" s="30">
        <f>1/(BH18-3)</f>
        <v>1.552312946289972E-4</v>
      </c>
      <c r="CA18" s="92" t="s">
        <v>73</v>
      </c>
      <c r="CB18">
        <f>BH18-1</f>
        <v>6444</v>
      </c>
      <c r="CC18" s="92" t="s">
        <v>73</v>
      </c>
      <c r="CD18" s="30">
        <f>((AZ18^2)/(AZ18^2+BI18))^(1/2)</f>
        <v>3.2078253247327888E-2</v>
      </c>
      <c r="CE18" s="30">
        <f>0.5*LN((1+CD18)/(1-CD18))</f>
        <v>3.2089263039774128E-2</v>
      </c>
      <c r="CF18" s="30">
        <f>((1-(CE18^2)^2)/(BI18-1))</f>
        <v>1.5518295153244398E-4</v>
      </c>
      <c r="CG18" s="30">
        <f>1/(BI18-3)</f>
        <v>1.552312946289972E-4</v>
      </c>
      <c r="CH18" s="95"/>
    </row>
    <row r="19" spans="1:86" s="102" customFormat="1">
      <c r="A19" s="108" t="s">
        <v>410</v>
      </c>
      <c r="B19" s="108">
        <v>23</v>
      </c>
      <c r="C19" s="92">
        <v>1228</v>
      </c>
      <c r="D19" s="108">
        <v>301</v>
      </c>
      <c r="E19" s="10" t="s">
        <v>411</v>
      </c>
      <c r="F19" s="108">
        <v>2019</v>
      </c>
      <c r="G19" t="s">
        <v>412</v>
      </c>
      <c r="H19" t="s">
        <v>413</v>
      </c>
      <c r="I19" s="10">
        <v>2</v>
      </c>
      <c r="J19" t="s">
        <v>414</v>
      </c>
      <c r="K19" s="108" t="s">
        <v>73</v>
      </c>
      <c r="L19" s="10">
        <v>163</v>
      </c>
      <c r="M19" s="202" t="s">
        <v>107</v>
      </c>
      <c r="N19" t="s">
        <v>395</v>
      </c>
      <c r="O19" s="10" t="s">
        <v>124</v>
      </c>
      <c r="P19" s="10" t="s">
        <v>228</v>
      </c>
      <c r="Q19" t="s">
        <v>415</v>
      </c>
      <c r="R19" s="10" t="s">
        <v>255</v>
      </c>
      <c r="S19">
        <v>0</v>
      </c>
      <c r="T19" s="10" t="s">
        <v>231</v>
      </c>
      <c r="U19">
        <v>0</v>
      </c>
      <c r="V19" s="10" t="s">
        <v>246</v>
      </c>
      <c r="W19" s="10" t="s">
        <v>246</v>
      </c>
      <c r="X19" s="10" t="s">
        <v>416</v>
      </c>
      <c r="Y19" s="10">
        <v>0</v>
      </c>
      <c r="Z19" s="10">
        <v>0</v>
      </c>
      <c r="AA19" s="10">
        <v>0</v>
      </c>
      <c r="AB19" s="10">
        <v>1</v>
      </c>
      <c r="AC19" s="10">
        <v>0</v>
      </c>
      <c r="AD19" s="10">
        <v>0</v>
      </c>
      <c r="AE19" s="108">
        <v>0</v>
      </c>
      <c r="AF19" s="108">
        <v>0</v>
      </c>
      <c r="AG19" s="10" t="s">
        <v>417</v>
      </c>
      <c r="AH19" s="10">
        <v>0</v>
      </c>
      <c r="AI19" s="10">
        <v>0</v>
      </c>
      <c r="AJ19" s="10">
        <v>0</v>
      </c>
      <c r="AK19" s="10">
        <v>0</v>
      </c>
      <c r="AL19" s="10">
        <v>0</v>
      </c>
      <c r="AM19" s="10">
        <v>0</v>
      </c>
      <c r="AN19" s="10">
        <v>0</v>
      </c>
      <c r="AO19" s="10">
        <v>1</v>
      </c>
      <c r="AP19" s="10">
        <v>0</v>
      </c>
      <c r="AQ19" s="135" t="s">
        <v>73</v>
      </c>
      <c r="AR19" t="s">
        <v>234</v>
      </c>
      <c r="AS19" t="s">
        <v>418</v>
      </c>
      <c r="AT19" s="10" t="s">
        <v>236</v>
      </c>
      <c r="AU19" s="187" t="s">
        <v>73</v>
      </c>
      <c r="AV19" s="7" t="s">
        <v>80</v>
      </c>
      <c r="AW19" s="10" t="s">
        <v>73</v>
      </c>
      <c r="AX19">
        <v>0.01</v>
      </c>
      <c r="AY19">
        <v>1</v>
      </c>
      <c r="AZ19">
        <f>TINV(AX19,CB19)</f>
        <v>2.5765924815279417</v>
      </c>
      <c r="BA19" s="158">
        <v>2E-3</v>
      </c>
      <c r="BB19" s="10" t="s">
        <v>73</v>
      </c>
      <c r="BC19" s="10" t="s">
        <v>73</v>
      </c>
      <c r="BD19" s="10" t="s">
        <v>73</v>
      </c>
      <c r="BE19" s="10" t="s">
        <v>73</v>
      </c>
      <c r="BF19" s="10" t="s">
        <v>73</v>
      </c>
      <c r="BG19" s="10" t="s">
        <v>73</v>
      </c>
      <c r="BH19" s="10">
        <v>6445</v>
      </c>
      <c r="BI19" s="10">
        <v>6445</v>
      </c>
      <c r="BJ19" s="10" t="s">
        <v>73</v>
      </c>
      <c r="BK19" s="10" t="s">
        <v>73</v>
      </c>
      <c r="BL19" s="108">
        <v>4000</v>
      </c>
      <c r="BM19" s="108" t="s">
        <v>73</v>
      </c>
      <c r="BN19" s="108" t="s">
        <v>73</v>
      </c>
      <c r="BO19" s="108" t="s">
        <v>73</v>
      </c>
      <c r="BP19" s="10" t="s">
        <v>73</v>
      </c>
      <c r="BQ19" s="10" t="s">
        <v>73</v>
      </c>
      <c r="BR19" s="108" t="s">
        <v>73</v>
      </c>
      <c r="BS19" s="108" t="s">
        <v>73</v>
      </c>
      <c r="BT19" s="108">
        <v>1</v>
      </c>
      <c r="BU19" s="10">
        <v>0</v>
      </c>
      <c r="BV19" s="10">
        <v>0</v>
      </c>
      <c r="BW19" s="30">
        <f>((AZ19^2)/(AZ19^2+BH19))^(1/2)</f>
        <v>3.2078253247327888E-2</v>
      </c>
      <c r="BX19" s="30">
        <f>0.5*LN((1+BW19)/(1-BW19))</f>
        <v>3.2089263039774128E-2</v>
      </c>
      <c r="BY19" s="30">
        <f>((1-(BX19^2)^2)/(BH19-1))</f>
        <v>1.5518295153244398E-4</v>
      </c>
      <c r="BZ19" s="30">
        <f>1/(BH19-3)</f>
        <v>1.552312946289972E-4</v>
      </c>
      <c r="CA19" s="92" t="s">
        <v>73</v>
      </c>
      <c r="CB19">
        <f>BH19-1</f>
        <v>6444</v>
      </c>
      <c r="CC19" s="92" t="s">
        <v>73</v>
      </c>
      <c r="CD19" s="30">
        <f>((AZ19^2)/(AZ19^2+BI19))^(1/2)</f>
        <v>3.2078253247327888E-2</v>
      </c>
      <c r="CE19" s="30">
        <f>0.5*LN((1+CD19)/(1-CD19))</f>
        <v>3.2089263039774128E-2</v>
      </c>
      <c r="CF19" s="30">
        <f>((1-(CE19^2)^2)/(BI19-1))</f>
        <v>1.5518295153244398E-4</v>
      </c>
      <c r="CG19" s="30">
        <f>1/(BI19-3)</f>
        <v>1.552312946289972E-4</v>
      </c>
      <c r="CH19" s="95"/>
    </row>
    <row r="20" spans="1:86" s="102" customFormat="1">
      <c r="A20" s="108" t="s">
        <v>222</v>
      </c>
      <c r="B20" s="108">
        <v>2</v>
      </c>
      <c r="C20" s="108">
        <v>1001</v>
      </c>
      <c r="D20" s="108">
        <v>101</v>
      </c>
      <c r="E20" s="108" t="s">
        <v>223</v>
      </c>
      <c r="F20" s="108">
        <v>2016</v>
      </c>
      <c r="G20" t="s">
        <v>224</v>
      </c>
      <c r="H20" s="108" t="s">
        <v>225</v>
      </c>
      <c r="I20" s="108">
        <v>2</v>
      </c>
      <c r="J20" s="108" t="s">
        <v>119</v>
      </c>
      <c r="K20" s="108" t="s">
        <v>73</v>
      </c>
      <c r="L20" s="108">
        <v>13</v>
      </c>
      <c r="M20" s="201" t="s">
        <v>226</v>
      </c>
      <c r="N20" s="92" t="s">
        <v>227</v>
      </c>
      <c r="O20" s="108" t="s">
        <v>81</v>
      </c>
      <c r="P20" s="108" t="s">
        <v>228</v>
      </c>
      <c r="Q20" s="108" t="s">
        <v>229</v>
      </c>
      <c r="R20" s="108" t="s">
        <v>230</v>
      </c>
      <c r="S20" s="108">
        <v>0</v>
      </c>
      <c r="T20" s="108" t="s">
        <v>231</v>
      </c>
      <c r="U20" s="108">
        <v>1</v>
      </c>
      <c r="V20" s="108" t="s">
        <v>232</v>
      </c>
      <c r="W20" s="108" t="s">
        <v>232</v>
      </c>
      <c r="X20" s="108" t="s">
        <v>73</v>
      </c>
      <c r="Y20" s="108">
        <v>0</v>
      </c>
      <c r="Z20" s="108">
        <v>0</v>
      </c>
      <c r="AA20" s="108">
        <v>0</v>
      </c>
      <c r="AB20" s="108">
        <v>1</v>
      </c>
      <c r="AC20" s="108">
        <v>0</v>
      </c>
      <c r="AD20" s="108">
        <v>0</v>
      </c>
      <c r="AE20" s="108">
        <v>0</v>
      </c>
      <c r="AF20" s="108">
        <v>0</v>
      </c>
      <c r="AG20" s="108" t="s">
        <v>233</v>
      </c>
      <c r="AH20" s="108">
        <v>0</v>
      </c>
      <c r="AI20" s="108">
        <v>0</v>
      </c>
      <c r="AJ20" s="108">
        <v>0</v>
      </c>
      <c r="AK20" s="108">
        <v>0</v>
      </c>
      <c r="AL20" s="108">
        <v>0</v>
      </c>
      <c r="AM20" s="108">
        <v>0</v>
      </c>
      <c r="AN20" s="108">
        <v>1</v>
      </c>
      <c r="AO20" s="108">
        <v>0</v>
      </c>
      <c r="AP20" s="108">
        <v>0</v>
      </c>
      <c r="AQ20" s="108" t="s">
        <v>73</v>
      </c>
      <c r="AR20" s="108" t="s">
        <v>234</v>
      </c>
      <c r="AS20" s="108" t="s">
        <v>235</v>
      </c>
      <c r="AT20" s="108" t="s">
        <v>236</v>
      </c>
      <c r="AU20" s="191">
        <v>6.0000000000000001E-3</v>
      </c>
      <c r="AV20" s="108" t="s">
        <v>80</v>
      </c>
      <c r="AW20" s="108">
        <v>3.0000000000000001E-3</v>
      </c>
      <c r="AX20" s="108">
        <v>0.05</v>
      </c>
      <c r="AY20" s="108">
        <v>1</v>
      </c>
      <c r="AZ20" s="10">
        <f>AU20/AW20</f>
        <v>2</v>
      </c>
      <c r="BA20" s="105">
        <f>EXP(AU20)/(1+EXP(AU20))</f>
        <v>0.50149999550001623</v>
      </c>
      <c r="BB20" s="108" t="s">
        <v>73</v>
      </c>
      <c r="BC20" s="108" t="s">
        <v>73</v>
      </c>
      <c r="BD20" s="108" t="s">
        <v>73</v>
      </c>
      <c r="BE20" s="108" t="s">
        <v>73</v>
      </c>
      <c r="BF20" s="108">
        <f>12629/5</f>
        <v>2525.8000000000002</v>
      </c>
      <c r="BG20" s="108" t="s">
        <v>73</v>
      </c>
      <c r="BH20" s="108">
        <v>23347</v>
      </c>
      <c r="BI20" s="108">
        <v>23347</v>
      </c>
      <c r="BJ20" s="108" t="s">
        <v>73</v>
      </c>
      <c r="BK20" s="108" t="s">
        <v>73</v>
      </c>
      <c r="BL20" s="108">
        <v>100</v>
      </c>
      <c r="BM20" s="108" t="s">
        <v>73</v>
      </c>
      <c r="BN20" s="108" t="s">
        <v>237</v>
      </c>
      <c r="BO20" s="108" t="s">
        <v>73</v>
      </c>
      <c r="BP20" s="108" t="s">
        <v>73</v>
      </c>
      <c r="BQ20" s="108" t="s">
        <v>73</v>
      </c>
      <c r="BR20" s="108" t="s">
        <v>73</v>
      </c>
      <c r="BS20" s="108" t="s">
        <v>73</v>
      </c>
      <c r="BT20" s="108">
        <v>0</v>
      </c>
      <c r="BU20" s="108">
        <v>1</v>
      </c>
      <c r="BV20" s="108">
        <v>1</v>
      </c>
      <c r="BW20" s="30">
        <f>((AZ20^2)/(AZ20^2+BH20))^(1/2)</f>
        <v>1.308811956355478E-2</v>
      </c>
      <c r="BX20" s="30">
        <f>0.5*LN((1+BW20)/(1-BW20))</f>
        <v>1.3088866967087377E-2</v>
      </c>
      <c r="BY20" s="30">
        <f>((1-(BX20^2)^2)/(BH20-1))</f>
        <v>4.2833888916730603E-5</v>
      </c>
      <c r="BZ20" s="30">
        <f>1/(BH20-3)</f>
        <v>4.2837559972583965E-5</v>
      </c>
      <c r="CA20" s="92" t="s">
        <v>73</v>
      </c>
      <c r="CB20">
        <f>BH20-2</f>
        <v>23345</v>
      </c>
      <c r="CC20" s="92" t="s">
        <v>73</v>
      </c>
      <c r="CD20" s="30">
        <f>((AZ20^2)/(AZ20^2+BI20))^(1/2)</f>
        <v>1.308811956355478E-2</v>
      </c>
      <c r="CE20" s="30">
        <f>0.5*LN((1+CD20)/(1-CD20))</f>
        <v>1.3088866967087377E-2</v>
      </c>
      <c r="CF20" s="30">
        <f>((1-(CE20^2)^2)/(BI20-1))</f>
        <v>4.2833888916730603E-5</v>
      </c>
      <c r="CG20" s="30">
        <f>1/(BI20-3)</f>
        <v>4.2837559972583965E-5</v>
      </c>
      <c r="CH20"/>
    </row>
    <row r="21" spans="1:86">
      <c r="A21" s="11" t="s">
        <v>222</v>
      </c>
      <c r="B21" s="11">
        <v>2</v>
      </c>
      <c r="C21" s="11">
        <v>1002</v>
      </c>
      <c r="D21" s="11">
        <v>101</v>
      </c>
      <c r="E21" s="11" t="s">
        <v>223</v>
      </c>
      <c r="F21" s="11">
        <v>2016</v>
      </c>
      <c r="G21" s="104" t="s">
        <v>224</v>
      </c>
      <c r="H21" s="11" t="s">
        <v>225</v>
      </c>
      <c r="I21" s="11">
        <v>2</v>
      </c>
      <c r="J21" s="11" t="s">
        <v>119</v>
      </c>
      <c r="K21" s="11" t="s">
        <v>73</v>
      </c>
      <c r="L21" s="11">
        <v>13</v>
      </c>
      <c r="M21" s="201" t="s">
        <v>226</v>
      </c>
      <c r="N21" s="92" t="s">
        <v>227</v>
      </c>
      <c r="O21" s="11" t="s">
        <v>81</v>
      </c>
      <c r="P21" s="11" t="s">
        <v>228</v>
      </c>
      <c r="Q21" s="11" t="s">
        <v>229</v>
      </c>
      <c r="R21" s="11" t="s">
        <v>230</v>
      </c>
      <c r="S21" s="11">
        <v>0</v>
      </c>
      <c r="T21" s="11" t="s">
        <v>231</v>
      </c>
      <c r="U21" s="11">
        <v>1</v>
      </c>
      <c r="V21" s="11" t="s">
        <v>232</v>
      </c>
      <c r="W21" s="11" t="s">
        <v>232</v>
      </c>
      <c r="X21" s="11" t="s">
        <v>73</v>
      </c>
      <c r="Y21" s="11">
        <v>0</v>
      </c>
      <c r="Z21" s="11">
        <v>0</v>
      </c>
      <c r="AA21" s="11">
        <v>0</v>
      </c>
      <c r="AB21" s="11">
        <v>1</v>
      </c>
      <c r="AC21" s="11">
        <v>0</v>
      </c>
      <c r="AD21" s="11">
        <v>0</v>
      </c>
      <c r="AE21" s="11">
        <v>0</v>
      </c>
      <c r="AF21" s="11">
        <v>0</v>
      </c>
      <c r="AG21" s="11" t="s">
        <v>233</v>
      </c>
      <c r="AH21" s="11">
        <v>0</v>
      </c>
      <c r="AI21" s="11">
        <v>0</v>
      </c>
      <c r="AJ21" s="11">
        <v>0</v>
      </c>
      <c r="AK21" s="11">
        <v>0</v>
      </c>
      <c r="AL21" s="11">
        <v>0</v>
      </c>
      <c r="AM21" s="11">
        <v>0</v>
      </c>
      <c r="AN21" s="11">
        <v>1</v>
      </c>
      <c r="AO21" s="11">
        <v>0</v>
      </c>
      <c r="AP21" s="11">
        <v>0</v>
      </c>
      <c r="AQ21" s="11" t="s">
        <v>73</v>
      </c>
      <c r="AR21" s="11" t="s">
        <v>234</v>
      </c>
      <c r="AS21" s="11" t="s">
        <v>235</v>
      </c>
      <c r="AT21" s="11" t="s">
        <v>236</v>
      </c>
      <c r="AU21" s="185">
        <v>1E-3</v>
      </c>
      <c r="AV21" s="11" t="s">
        <v>80</v>
      </c>
      <c r="AW21" s="11">
        <v>1E-3</v>
      </c>
      <c r="AX21" s="11">
        <v>0.1</v>
      </c>
      <c r="AY21" s="11">
        <v>2</v>
      </c>
      <c r="AZ21" s="18">
        <f>AU21/AW21</f>
        <v>1</v>
      </c>
      <c r="BA21" s="105">
        <f>EXP(AU21)/(1+EXP(AU21))</f>
        <v>0.50024999997916664</v>
      </c>
      <c r="BB21" s="11" t="s">
        <v>73</v>
      </c>
      <c r="BC21" s="11" t="s">
        <v>73</v>
      </c>
      <c r="BD21" s="11" t="s">
        <v>73</v>
      </c>
      <c r="BE21" s="11" t="s">
        <v>73</v>
      </c>
      <c r="BF21" s="11">
        <f>12629/5</f>
        <v>2525.8000000000002</v>
      </c>
      <c r="BG21" s="11" t="s">
        <v>73</v>
      </c>
      <c r="BH21" s="106">
        <v>23347</v>
      </c>
      <c r="BI21" s="106">
        <v>23347</v>
      </c>
      <c r="BJ21" s="11" t="s">
        <v>73</v>
      </c>
      <c r="BK21" s="11" t="s">
        <v>73</v>
      </c>
      <c r="BL21" s="11">
        <v>25</v>
      </c>
      <c r="BM21" s="11" t="s">
        <v>73</v>
      </c>
      <c r="BN21" s="11" t="s">
        <v>237</v>
      </c>
      <c r="BO21" s="11" t="s">
        <v>73</v>
      </c>
      <c r="BP21" s="11" t="s">
        <v>73</v>
      </c>
      <c r="BQ21" s="11" t="s">
        <v>73</v>
      </c>
      <c r="BR21" s="11" t="s">
        <v>73</v>
      </c>
      <c r="BS21" s="11" t="s">
        <v>73</v>
      </c>
      <c r="BT21" s="11">
        <v>0</v>
      </c>
      <c r="BU21" s="11">
        <v>1</v>
      </c>
      <c r="BV21" s="11">
        <v>1</v>
      </c>
      <c r="BW21" s="30">
        <f>((AZ21^2)/(AZ21^2+BH21))^(1/2)</f>
        <v>6.5444801935631517E-3</v>
      </c>
      <c r="BX21" s="30">
        <f>0.5*LN((1+BW21)/(1-BW21))</f>
        <v>6.5445736298086485E-3</v>
      </c>
      <c r="BY21" s="30">
        <f>((1-(BX21^2)^2)/(BH21-1))</f>
        <v>4.2833890095325423E-5</v>
      </c>
      <c r="BZ21" s="30">
        <f>1/(BH21-3)</f>
        <v>4.2837559972583965E-5</v>
      </c>
      <c r="CA21" s="92" t="s">
        <v>73</v>
      </c>
      <c r="CB21">
        <f>BH21-2</f>
        <v>23345</v>
      </c>
      <c r="CC21" s="92" t="s">
        <v>73</v>
      </c>
      <c r="CD21" s="30">
        <f>((AZ21^2)/(AZ21^2+BI21))^(1/2)</f>
        <v>6.5444801935631517E-3</v>
      </c>
      <c r="CE21" s="30">
        <f>0.5*LN((1+CD21)/(1-CD21))</f>
        <v>6.5445736298086485E-3</v>
      </c>
      <c r="CF21" s="30">
        <f>((1-(CE21^2)^2)/(BI21-1))</f>
        <v>4.2833890095325423E-5</v>
      </c>
      <c r="CG21" s="30">
        <f>1/(BI21-3)</f>
        <v>4.2837559972583965E-5</v>
      </c>
    </row>
    <row r="22" spans="1:86">
      <c r="A22" s="11" t="s">
        <v>222</v>
      </c>
      <c r="B22" s="11">
        <v>2</v>
      </c>
      <c r="C22" s="11">
        <v>1003</v>
      </c>
      <c r="D22" s="11">
        <v>101</v>
      </c>
      <c r="E22" s="11" t="s">
        <v>223</v>
      </c>
      <c r="F22" s="11">
        <v>2016</v>
      </c>
      <c r="G22" s="104" t="s">
        <v>224</v>
      </c>
      <c r="H22" s="11" t="s">
        <v>225</v>
      </c>
      <c r="I22" s="11">
        <v>2</v>
      </c>
      <c r="J22" s="11" t="s">
        <v>119</v>
      </c>
      <c r="K22" s="11" t="s">
        <v>73</v>
      </c>
      <c r="L22" s="11">
        <v>13</v>
      </c>
      <c r="M22" s="201" t="s">
        <v>226</v>
      </c>
      <c r="N22" s="92" t="s">
        <v>227</v>
      </c>
      <c r="O22" s="11" t="s">
        <v>81</v>
      </c>
      <c r="P22" s="11" t="s">
        <v>228</v>
      </c>
      <c r="Q22" s="11" t="s">
        <v>229</v>
      </c>
      <c r="R22" s="11" t="s">
        <v>230</v>
      </c>
      <c r="S22" s="11">
        <v>0</v>
      </c>
      <c r="T22" s="11" t="s">
        <v>231</v>
      </c>
      <c r="U22" s="11">
        <v>1</v>
      </c>
      <c r="V22" s="11" t="s">
        <v>232</v>
      </c>
      <c r="W22" s="11" t="s">
        <v>232</v>
      </c>
      <c r="X22" s="11" t="s">
        <v>73</v>
      </c>
      <c r="Y22" s="11">
        <v>0</v>
      </c>
      <c r="Z22" s="11">
        <v>1</v>
      </c>
      <c r="AA22" s="11">
        <v>0</v>
      </c>
      <c r="AB22" s="11">
        <v>0</v>
      </c>
      <c r="AC22" s="11">
        <v>0</v>
      </c>
      <c r="AD22" s="11">
        <v>0</v>
      </c>
      <c r="AE22" s="11">
        <v>0</v>
      </c>
      <c r="AF22" s="11">
        <v>0</v>
      </c>
      <c r="AG22" s="11" t="s">
        <v>233</v>
      </c>
      <c r="AH22" s="11">
        <v>0</v>
      </c>
      <c r="AI22" s="11">
        <v>0</v>
      </c>
      <c r="AJ22" s="11">
        <v>0</v>
      </c>
      <c r="AK22" s="11">
        <v>0</v>
      </c>
      <c r="AL22" s="11">
        <v>0</v>
      </c>
      <c r="AM22" s="11">
        <v>0</v>
      </c>
      <c r="AN22" s="11">
        <v>1</v>
      </c>
      <c r="AO22" s="11">
        <v>0</v>
      </c>
      <c r="AP22" s="11">
        <v>0</v>
      </c>
      <c r="AQ22" s="11" t="s">
        <v>73</v>
      </c>
      <c r="AR22" s="11" t="s">
        <v>234</v>
      </c>
      <c r="AS22" s="11" t="s">
        <v>235</v>
      </c>
      <c r="AT22" s="11" t="s">
        <v>236</v>
      </c>
      <c r="AU22" s="185">
        <v>0</v>
      </c>
      <c r="AV22" s="11" t="s">
        <v>80</v>
      </c>
      <c r="AW22" s="11">
        <v>2E-3</v>
      </c>
      <c r="AX22" s="11">
        <v>0.1</v>
      </c>
      <c r="AY22" s="11">
        <v>2</v>
      </c>
      <c r="AZ22" s="18">
        <f>AU22/AW22</f>
        <v>0</v>
      </c>
      <c r="BA22" s="105">
        <f>EXP(AU22)/(1+EXP(AU22))</f>
        <v>0.5</v>
      </c>
      <c r="BB22" s="11" t="s">
        <v>73</v>
      </c>
      <c r="BC22" s="11" t="s">
        <v>73</v>
      </c>
      <c r="BD22" s="11" t="s">
        <v>73</v>
      </c>
      <c r="BE22" s="11" t="s">
        <v>73</v>
      </c>
      <c r="BF22" s="11">
        <f>12629/5</f>
        <v>2525.8000000000002</v>
      </c>
      <c r="BG22" s="11" t="s">
        <v>73</v>
      </c>
      <c r="BH22" s="106">
        <v>23347</v>
      </c>
      <c r="BI22" s="106">
        <v>23347</v>
      </c>
      <c r="BJ22" s="11" t="s">
        <v>73</v>
      </c>
      <c r="BK22" s="11" t="s">
        <v>73</v>
      </c>
      <c r="BL22" s="11" t="s">
        <v>73</v>
      </c>
      <c r="BM22" s="11" t="s">
        <v>73</v>
      </c>
      <c r="BN22" s="11" t="s">
        <v>73</v>
      </c>
      <c r="BO22" s="11" t="s">
        <v>73</v>
      </c>
      <c r="BP22" s="11" t="s">
        <v>73</v>
      </c>
      <c r="BQ22" s="11" t="s">
        <v>73</v>
      </c>
      <c r="BR22" s="11" t="s">
        <v>73</v>
      </c>
      <c r="BS22" s="11" t="s">
        <v>73</v>
      </c>
      <c r="BT22" s="11">
        <v>0</v>
      </c>
      <c r="BU22" s="11">
        <v>1</v>
      </c>
      <c r="BV22" s="11">
        <v>1</v>
      </c>
      <c r="BW22" s="30">
        <f>((AZ22^2)/(AZ22^2+BH22))^(1/2)</f>
        <v>0</v>
      </c>
      <c r="BX22" s="30">
        <f>0.5*LN((1+BW22)/(1-BW22))</f>
        <v>0</v>
      </c>
      <c r="BY22" s="30">
        <f>((1-(BX22^2)^2)/(BH22-1))</f>
        <v>4.2833890173905597E-5</v>
      </c>
      <c r="BZ22" s="30">
        <f>1/(BH22-3)</f>
        <v>4.2837559972583965E-5</v>
      </c>
      <c r="CA22" s="92" t="s">
        <v>73</v>
      </c>
      <c r="CB22">
        <f>BH22-2</f>
        <v>23345</v>
      </c>
      <c r="CC22" s="92" t="s">
        <v>73</v>
      </c>
      <c r="CD22" s="30">
        <f>((AZ22^2)/(AZ22^2+BI22))^(1/2)</f>
        <v>0</v>
      </c>
      <c r="CE22" s="30">
        <f>0.5*LN((1+CD22)/(1-CD22))</f>
        <v>0</v>
      </c>
      <c r="CF22" s="30">
        <f>((1-(CE22^2)^2)/(BI22-1))</f>
        <v>4.2833890173905597E-5</v>
      </c>
      <c r="CG22" s="30">
        <f>1/(BI22-3)</f>
        <v>4.2837559972583965E-5</v>
      </c>
    </row>
    <row r="23" spans="1:86">
      <c r="A23" s="92" t="s">
        <v>68</v>
      </c>
      <c r="B23" s="92">
        <v>1</v>
      </c>
      <c r="C23" s="92">
        <v>1070</v>
      </c>
      <c r="D23" s="92">
        <v>112</v>
      </c>
      <c r="E23" s="92" t="s">
        <v>297</v>
      </c>
      <c r="F23" s="92">
        <v>2013</v>
      </c>
      <c r="G23" s="92" t="s">
        <v>298</v>
      </c>
      <c r="H23" s="92" t="s">
        <v>299</v>
      </c>
      <c r="I23" s="92">
        <v>2</v>
      </c>
      <c r="J23" s="92" t="s">
        <v>300</v>
      </c>
      <c r="K23" s="92" t="s">
        <v>73</v>
      </c>
      <c r="L23" s="92">
        <v>14</v>
      </c>
      <c r="M23" s="203" t="s">
        <v>93</v>
      </c>
      <c r="N23" s="92" t="s">
        <v>112</v>
      </c>
      <c r="O23" s="92" t="s">
        <v>301</v>
      </c>
      <c r="P23" s="92" t="s">
        <v>243</v>
      </c>
      <c r="Q23" s="92" t="s">
        <v>244</v>
      </c>
      <c r="R23" s="92" t="s">
        <v>245</v>
      </c>
      <c r="S23" s="92">
        <v>0</v>
      </c>
      <c r="T23" s="92" t="s">
        <v>189</v>
      </c>
      <c r="U23" s="92">
        <v>0</v>
      </c>
      <c r="V23" s="92" t="s">
        <v>232</v>
      </c>
      <c r="W23" s="92" t="s">
        <v>232</v>
      </c>
      <c r="X23" s="92" t="s">
        <v>73</v>
      </c>
      <c r="Y23" s="92">
        <v>0</v>
      </c>
      <c r="Z23" s="92">
        <v>1</v>
      </c>
      <c r="AA23" s="92">
        <v>0</v>
      </c>
      <c r="AB23" s="92">
        <v>0</v>
      </c>
      <c r="AC23" s="92">
        <v>1</v>
      </c>
      <c r="AD23" s="92">
        <v>0</v>
      </c>
      <c r="AE23" s="92">
        <v>0</v>
      </c>
      <c r="AF23" s="92">
        <v>0</v>
      </c>
      <c r="AG23" s="92" t="s">
        <v>73</v>
      </c>
      <c r="AH23" s="92">
        <v>0</v>
      </c>
      <c r="AI23" s="92">
        <v>0</v>
      </c>
      <c r="AJ23" s="92">
        <v>0</v>
      </c>
      <c r="AK23" s="92">
        <v>0</v>
      </c>
      <c r="AL23" s="92">
        <v>1</v>
      </c>
      <c r="AM23" s="92">
        <v>0</v>
      </c>
      <c r="AN23" s="92">
        <v>0</v>
      </c>
      <c r="AO23" s="92">
        <v>0</v>
      </c>
      <c r="AP23" s="92">
        <v>0</v>
      </c>
      <c r="AQ23" s="92" t="s">
        <v>73</v>
      </c>
      <c r="AR23" s="92" t="s">
        <v>234</v>
      </c>
      <c r="AS23" s="92" t="s">
        <v>302</v>
      </c>
      <c r="AT23" s="92" t="s">
        <v>236</v>
      </c>
      <c r="AU23" s="186">
        <v>1.6000000000000001E-4</v>
      </c>
      <c r="AV23" s="93" t="s">
        <v>86</v>
      </c>
      <c r="AW23" s="92">
        <v>1.4545454545454547E-3</v>
      </c>
      <c r="AX23" s="92" t="s">
        <v>73</v>
      </c>
      <c r="AY23" s="92">
        <v>3</v>
      </c>
      <c r="AZ23" s="92">
        <v>0.11</v>
      </c>
      <c r="BA23" s="105">
        <f>EXP(AU23)/(1+EXP(AU23))</f>
        <v>0.50003999999991466</v>
      </c>
      <c r="BB23" s="92" t="s">
        <v>73</v>
      </c>
      <c r="BC23" s="92" t="s">
        <v>73</v>
      </c>
      <c r="BD23" s="92" t="s">
        <v>73</v>
      </c>
      <c r="BE23" s="92" t="s">
        <v>73</v>
      </c>
      <c r="BF23" s="92" t="s">
        <v>73</v>
      </c>
      <c r="BG23" s="92" t="s">
        <v>73</v>
      </c>
      <c r="BH23" s="92">
        <v>81095</v>
      </c>
      <c r="BI23" s="92">
        <v>81095</v>
      </c>
      <c r="BJ23" s="92" t="s">
        <v>73</v>
      </c>
      <c r="BK23" s="92" t="s">
        <v>73</v>
      </c>
      <c r="BL23" s="92" t="s">
        <v>73</v>
      </c>
      <c r="BM23" s="92">
        <v>0.55000000000000004</v>
      </c>
      <c r="BN23" s="92" t="s">
        <v>303</v>
      </c>
      <c r="BO23" s="95">
        <v>0</v>
      </c>
      <c r="BP23" s="95">
        <v>0</v>
      </c>
      <c r="BQ23" s="95">
        <v>1</v>
      </c>
      <c r="BR23" s="96">
        <v>3.8627412167859866E-4</v>
      </c>
      <c r="BS23" s="96">
        <v>3.8627414089036701E-4</v>
      </c>
      <c r="BT23" s="97">
        <v>0</v>
      </c>
      <c r="BU23" s="97">
        <v>0</v>
      </c>
      <c r="BV23" s="92">
        <v>1</v>
      </c>
      <c r="BW23" s="30">
        <f>((AZ23^2)/(AZ23^2+BH23))^(1/2)</f>
        <v>3.8627412167859866E-4</v>
      </c>
      <c r="BX23" s="30">
        <f>0.5*LN((1+BW23)/(1-BW23))</f>
        <v>3.8627414089036701E-4</v>
      </c>
      <c r="BY23" s="30">
        <f>((1-(BX23^2)^2)/(BH23-1))</f>
        <v>1.233136853527977E-5</v>
      </c>
      <c r="BZ23" s="30">
        <f>1/(BH23-3)</f>
        <v>1.2331672668080699E-5</v>
      </c>
      <c r="CA23" s="92" t="s">
        <v>73</v>
      </c>
      <c r="CB23">
        <f>BH23-1</f>
        <v>81094</v>
      </c>
      <c r="CC23" s="92" t="s">
        <v>73</v>
      </c>
      <c r="CD23" s="30">
        <f>((AZ23^2)/(AZ23^2+BI23))^(1/2)</f>
        <v>3.8627412167859866E-4</v>
      </c>
      <c r="CE23" s="30">
        <f>0.5*LN((1+CD23)/(1-CD23))</f>
        <v>3.8627414089036701E-4</v>
      </c>
      <c r="CF23" s="30">
        <f>((1-(CE23^2)^2)/(BI23-1))</f>
        <v>1.233136853527977E-5</v>
      </c>
      <c r="CG23" s="30">
        <f>1/(BI23-3)</f>
        <v>1.2331672668080699E-5</v>
      </c>
    </row>
    <row r="24" spans="1:86" s="112" customFormat="1">
      <c r="A24" s="92" t="s">
        <v>68</v>
      </c>
      <c r="B24" s="92">
        <v>1</v>
      </c>
      <c r="C24" s="92">
        <v>1070</v>
      </c>
      <c r="D24" s="92">
        <v>112</v>
      </c>
      <c r="E24" s="92" t="s">
        <v>297</v>
      </c>
      <c r="F24" s="92">
        <v>2013</v>
      </c>
      <c r="G24" s="92" t="s">
        <v>298</v>
      </c>
      <c r="H24" s="92" t="s">
        <v>299</v>
      </c>
      <c r="I24" s="92">
        <v>2</v>
      </c>
      <c r="J24" s="92" t="s">
        <v>300</v>
      </c>
      <c r="K24" s="92" t="s">
        <v>73</v>
      </c>
      <c r="L24" s="92">
        <v>14</v>
      </c>
      <c r="M24" s="203" t="s">
        <v>93</v>
      </c>
      <c r="N24" s="92" t="s">
        <v>112</v>
      </c>
      <c r="O24" s="92" t="s">
        <v>301</v>
      </c>
      <c r="P24" s="92" t="s">
        <v>243</v>
      </c>
      <c r="Q24" s="92" t="s">
        <v>244</v>
      </c>
      <c r="R24" s="92" t="s">
        <v>245</v>
      </c>
      <c r="S24" s="92">
        <v>0</v>
      </c>
      <c r="T24" s="92" t="s">
        <v>189</v>
      </c>
      <c r="U24" s="92">
        <v>0</v>
      </c>
      <c r="V24" s="92" t="s">
        <v>232</v>
      </c>
      <c r="W24" s="92" t="s">
        <v>232</v>
      </c>
      <c r="X24" s="92" t="s">
        <v>73</v>
      </c>
      <c r="Y24" s="92">
        <v>0</v>
      </c>
      <c r="Z24" s="92">
        <v>1</v>
      </c>
      <c r="AA24" s="92">
        <v>0</v>
      </c>
      <c r="AB24" s="92">
        <v>0</v>
      </c>
      <c r="AC24" s="92">
        <v>1</v>
      </c>
      <c r="AD24" s="92">
        <v>0</v>
      </c>
      <c r="AE24" s="92">
        <v>0</v>
      </c>
      <c r="AF24" s="92">
        <v>0</v>
      </c>
      <c r="AG24" s="92" t="s">
        <v>73</v>
      </c>
      <c r="AH24" s="92">
        <v>0</v>
      </c>
      <c r="AI24" s="92">
        <v>0</v>
      </c>
      <c r="AJ24" s="92">
        <v>0</v>
      </c>
      <c r="AK24" s="92">
        <v>0</v>
      </c>
      <c r="AL24" s="92">
        <v>1</v>
      </c>
      <c r="AM24" s="92">
        <v>0</v>
      </c>
      <c r="AN24" s="92">
        <v>0</v>
      </c>
      <c r="AO24" s="92">
        <v>0</v>
      </c>
      <c r="AP24" s="92">
        <v>0</v>
      </c>
      <c r="AQ24" s="92" t="s">
        <v>73</v>
      </c>
      <c r="AR24" s="92" t="s">
        <v>234</v>
      </c>
      <c r="AS24" s="92" t="s">
        <v>302</v>
      </c>
      <c r="AT24" s="92" t="s">
        <v>236</v>
      </c>
      <c r="AU24" s="186">
        <v>3.8500000000000001E-3</v>
      </c>
      <c r="AV24" s="93" t="s">
        <v>86</v>
      </c>
      <c r="AW24" s="92">
        <f>AU24/AZ24</f>
        <v>2.3765432098765433E-3</v>
      </c>
      <c r="AX24" s="92" t="s">
        <v>73</v>
      </c>
      <c r="AY24" s="92">
        <v>3</v>
      </c>
      <c r="AZ24" s="92">
        <v>1.62</v>
      </c>
      <c r="BA24" s="105">
        <f>EXP(AU24)/(1+EXP(AU24))</f>
        <v>0.50096249881111377</v>
      </c>
      <c r="BB24" s="92" t="s">
        <v>73</v>
      </c>
      <c r="BC24" s="92" t="s">
        <v>73</v>
      </c>
      <c r="BD24" s="92" t="s">
        <v>73</v>
      </c>
      <c r="BE24" s="92" t="s">
        <v>73</v>
      </c>
      <c r="BF24" s="92" t="s">
        <v>73</v>
      </c>
      <c r="BG24" s="92" t="s">
        <v>73</v>
      </c>
      <c r="BH24" s="92">
        <v>81095</v>
      </c>
      <c r="BI24" s="92">
        <v>81095</v>
      </c>
      <c r="BJ24" s="92" t="s">
        <v>73</v>
      </c>
      <c r="BK24" s="92" t="s">
        <v>73</v>
      </c>
      <c r="BL24" s="92" t="s">
        <v>73</v>
      </c>
      <c r="BM24" s="92">
        <v>0.55000000000000004</v>
      </c>
      <c r="BN24" s="92" t="s">
        <v>303</v>
      </c>
      <c r="BO24" s="95" t="s">
        <v>73</v>
      </c>
      <c r="BP24" s="95" t="s">
        <v>73</v>
      </c>
      <c r="BQ24" s="95" t="s">
        <v>73</v>
      </c>
      <c r="BR24" s="95" t="s">
        <v>73</v>
      </c>
      <c r="BS24" s="95" t="s">
        <v>73</v>
      </c>
      <c r="BT24" s="92">
        <v>0</v>
      </c>
      <c r="BU24" s="92">
        <v>0</v>
      </c>
      <c r="BV24" s="92">
        <v>1</v>
      </c>
      <c r="BW24" s="30">
        <f>((AZ24^2)/(AZ24^2+BH24))^(1/2)</f>
        <v>5.6886727140571178E-3</v>
      </c>
      <c r="BX24" s="30">
        <f>0.5*LN((1+BW24)/(1-BW24))</f>
        <v>5.688734078955906E-3</v>
      </c>
      <c r="BY24" s="30">
        <f>((1-(BX24^2)^2)/(BH24-1))</f>
        <v>1.2331368522365657E-5</v>
      </c>
      <c r="BZ24" s="30">
        <f>1/(BH24-3)</f>
        <v>1.2331672668080699E-5</v>
      </c>
      <c r="CA24" s="92" t="s">
        <v>73</v>
      </c>
      <c r="CB24">
        <f>BH24-1</f>
        <v>81094</v>
      </c>
      <c r="CC24" s="92" t="s">
        <v>73</v>
      </c>
      <c r="CD24" s="30">
        <f>((AZ24^2)/(AZ24^2+BI24))^(1/2)</f>
        <v>5.6886727140571178E-3</v>
      </c>
      <c r="CE24" s="30">
        <f>0.5*LN((1+CD24)/(1-CD24))</f>
        <v>5.688734078955906E-3</v>
      </c>
      <c r="CF24" s="30">
        <f>((1-(CE24^2)^2)/(BI24-1))</f>
        <v>1.2331368522365657E-5</v>
      </c>
      <c r="CG24" s="30">
        <f>1/(BI24-3)</f>
        <v>1.2331672668080699E-5</v>
      </c>
      <c r="CH24"/>
    </row>
    <row r="25" spans="1:86" s="112" customFormat="1">
      <c r="A25" s="99" t="s">
        <v>68</v>
      </c>
      <c r="B25" s="99">
        <v>3</v>
      </c>
      <c r="C25" s="99">
        <v>1087</v>
      </c>
      <c r="D25" s="102">
        <v>115</v>
      </c>
      <c r="E25" s="102" t="s">
        <v>304</v>
      </c>
      <c r="F25" s="99">
        <v>2016</v>
      </c>
      <c r="G25" s="102" t="s">
        <v>305</v>
      </c>
      <c r="H25" s="109" t="s">
        <v>306</v>
      </c>
      <c r="I25" s="102">
        <v>2</v>
      </c>
      <c r="J25" s="102" t="s">
        <v>307</v>
      </c>
      <c r="K25" s="110" t="s">
        <v>73</v>
      </c>
      <c r="L25" s="102">
        <v>2532</v>
      </c>
      <c r="M25" s="205" t="s">
        <v>93</v>
      </c>
      <c r="N25" s="92" t="s">
        <v>227</v>
      </c>
      <c r="O25" s="102" t="s">
        <v>81</v>
      </c>
      <c r="P25" s="110" t="s">
        <v>228</v>
      </c>
      <c r="Q25" s="102" t="s">
        <v>308</v>
      </c>
      <c r="R25" s="102" t="s">
        <v>255</v>
      </c>
      <c r="S25" s="102">
        <v>1</v>
      </c>
      <c r="T25" s="102" t="s">
        <v>231</v>
      </c>
      <c r="U25" s="102">
        <v>1</v>
      </c>
      <c r="V25" s="110" t="s">
        <v>232</v>
      </c>
      <c r="W25" s="110" t="s">
        <v>232</v>
      </c>
      <c r="X25" s="110" t="s">
        <v>73</v>
      </c>
      <c r="Y25" s="102">
        <v>0</v>
      </c>
      <c r="Z25" s="102">
        <v>1</v>
      </c>
      <c r="AA25" s="102">
        <v>0</v>
      </c>
      <c r="AB25" s="102">
        <v>0</v>
      </c>
      <c r="AC25" s="102">
        <v>0</v>
      </c>
      <c r="AD25" s="102">
        <v>0</v>
      </c>
      <c r="AE25" s="102">
        <v>0</v>
      </c>
      <c r="AF25" s="102">
        <v>0</v>
      </c>
      <c r="AG25" s="102" t="s">
        <v>73</v>
      </c>
      <c r="AH25" s="102">
        <v>0</v>
      </c>
      <c r="AI25" s="102">
        <v>0</v>
      </c>
      <c r="AJ25" s="102">
        <v>0</v>
      </c>
      <c r="AK25" s="102">
        <v>0</v>
      </c>
      <c r="AL25" s="102">
        <v>0</v>
      </c>
      <c r="AM25" s="102">
        <v>1</v>
      </c>
      <c r="AN25" s="102">
        <v>0</v>
      </c>
      <c r="AO25" s="102">
        <v>0</v>
      </c>
      <c r="AP25" s="102">
        <v>0</v>
      </c>
      <c r="AQ25" s="102" t="s">
        <v>73</v>
      </c>
      <c r="AR25" s="102" t="s">
        <v>234</v>
      </c>
      <c r="AS25" s="102" t="s">
        <v>309</v>
      </c>
      <c r="AT25" s="102" t="s">
        <v>236</v>
      </c>
      <c r="AU25" s="188">
        <v>4.0000000000000001E-3</v>
      </c>
      <c r="AV25" s="111" t="s">
        <v>80</v>
      </c>
      <c r="AW25" s="102">
        <v>3.3000000000000002E-2</v>
      </c>
      <c r="AX25" s="102">
        <v>0.1</v>
      </c>
      <c r="AY25" s="102">
        <v>2</v>
      </c>
      <c r="AZ25" s="102">
        <f>AU25/AW25</f>
        <v>0.12121212121212122</v>
      </c>
      <c r="BA25" s="105">
        <f>EXP(AU25)/(1+EXP(AU25))</f>
        <v>0.50099999866666878</v>
      </c>
      <c r="BB25" s="110" t="s">
        <v>73</v>
      </c>
      <c r="BC25" s="110" t="s">
        <v>73</v>
      </c>
      <c r="BD25" s="110" t="s">
        <v>73</v>
      </c>
      <c r="BE25" s="110" t="s">
        <v>73</v>
      </c>
      <c r="BF25" s="110" t="s">
        <v>73</v>
      </c>
      <c r="BG25" s="110" t="s">
        <v>73</v>
      </c>
      <c r="BH25" s="110">
        <v>1087</v>
      </c>
      <c r="BI25" s="110">
        <v>1087</v>
      </c>
      <c r="BJ25" s="110" t="s">
        <v>73</v>
      </c>
      <c r="BK25" s="110" t="s">
        <v>73</v>
      </c>
      <c r="BL25" s="102" t="s">
        <v>73</v>
      </c>
      <c r="BM25" s="102" t="s">
        <v>73</v>
      </c>
      <c r="BN25" s="110" t="s">
        <v>73</v>
      </c>
      <c r="BO25" s="110" t="s">
        <v>73</v>
      </c>
      <c r="BP25" s="110" t="s">
        <v>73</v>
      </c>
      <c r="BQ25" s="110" t="s">
        <v>73</v>
      </c>
      <c r="BR25" s="110" t="s">
        <v>73</v>
      </c>
      <c r="BS25" s="110" t="s">
        <v>73</v>
      </c>
      <c r="BT25" s="102">
        <v>0</v>
      </c>
      <c r="BU25" s="102">
        <v>0</v>
      </c>
      <c r="BV25" s="102">
        <v>1</v>
      </c>
      <c r="BW25" s="113">
        <f>((AZ25^2)/(AZ25^2+BH25))^(1/2)</f>
        <v>3.6764472949663419E-3</v>
      </c>
      <c r="BX25" s="113">
        <f>0.5*LN((1+BW25)/(1-BW25))</f>
        <v>3.6764638590456372E-3</v>
      </c>
      <c r="BY25" s="113">
        <f>((1-(BX25^2)^2)/(BH25-1))</f>
        <v>9.2081031290728113E-4</v>
      </c>
      <c r="BZ25" s="113">
        <f>1/(BH25-3)</f>
        <v>9.225092250922509E-4</v>
      </c>
      <c r="CA25" s="92" t="s">
        <v>73</v>
      </c>
      <c r="CB25">
        <f>BH25-2</f>
        <v>1085</v>
      </c>
      <c r="CC25" s="92" t="s">
        <v>73</v>
      </c>
      <c r="CD25" s="30">
        <f>((AZ25^2)/(AZ25^2+BI25))^(1/2)</f>
        <v>3.6764472949663419E-3</v>
      </c>
      <c r="CE25" s="113">
        <f>0.5*LN((1+CD25)/(1-CD25))</f>
        <v>3.6764638590456372E-3</v>
      </c>
      <c r="CF25" s="30">
        <f>((1-(CE25^2)^2)/(BI25-1))</f>
        <v>9.2081031290728113E-4</v>
      </c>
      <c r="CG25" s="30">
        <f>1/(BI25-3)</f>
        <v>9.225092250922509E-4</v>
      </c>
    </row>
    <row r="26" spans="1:86" s="112" customFormat="1">
      <c r="A26" s="99" t="s">
        <v>68</v>
      </c>
      <c r="B26" s="99">
        <v>3</v>
      </c>
      <c r="C26" s="99">
        <v>1088</v>
      </c>
      <c r="D26" s="102">
        <v>115</v>
      </c>
      <c r="E26" s="102" t="s">
        <v>304</v>
      </c>
      <c r="F26" s="99">
        <v>2016</v>
      </c>
      <c r="G26" s="102" t="s">
        <v>305</v>
      </c>
      <c r="H26" s="109" t="s">
        <v>306</v>
      </c>
      <c r="I26" s="102">
        <v>2</v>
      </c>
      <c r="J26" s="102" t="s">
        <v>307</v>
      </c>
      <c r="K26" s="110" t="s">
        <v>73</v>
      </c>
      <c r="L26" s="102">
        <v>2532</v>
      </c>
      <c r="M26" s="205" t="s">
        <v>93</v>
      </c>
      <c r="N26" s="92" t="s">
        <v>227</v>
      </c>
      <c r="O26" s="102" t="s">
        <v>81</v>
      </c>
      <c r="P26" s="110" t="s">
        <v>228</v>
      </c>
      <c r="Q26" s="102" t="s">
        <v>308</v>
      </c>
      <c r="R26" s="102" t="s">
        <v>255</v>
      </c>
      <c r="S26" s="102">
        <v>1</v>
      </c>
      <c r="T26" s="102" t="s">
        <v>231</v>
      </c>
      <c r="U26" s="102">
        <v>1</v>
      </c>
      <c r="V26" s="110" t="s">
        <v>232</v>
      </c>
      <c r="W26" s="110" t="s">
        <v>232</v>
      </c>
      <c r="X26" s="110" t="s">
        <v>73</v>
      </c>
      <c r="Y26" s="102">
        <v>0</v>
      </c>
      <c r="Z26" s="102">
        <v>0</v>
      </c>
      <c r="AA26" s="102">
        <v>0</v>
      </c>
      <c r="AB26" s="102">
        <v>1</v>
      </c>
      <c r="AC26" s="102">
        <v>0</v>
      </c>
      <c r="AD26" s="102">
        <v>0</v>
      </c>
      <c r="AE26" s="102">
        <v>0</v>
      </c>
      <c r="AF26" s="102">
        <v>0</v>
      </c>
      <c r="AG26" s="102" t="s">
        <v>73</v>
      </c>
      <c r="AH26" s="102">
        <v>0</v>
      </c>
      <c r="AI26" s="102">
        <v>0</v>
      </c>
      <c r="AJ26" s="102">
        <v>0</v>
      </c>
      <c r="AK26" s="102">
        <v>0</v>
      </c>
      <c r="AL26" s="102">
        <v>0</v>
      </c>
      <c r="AM26" s="102">
        <v>1</v>
      </c>
      <c r="AN26" s="102">
        <v>0</v>
      </c>
      <c r="AO26" s="102">
        <v>0</v>
      </c>
      <c r="AP26" s="102">
        <v>0</v>
      </c>
      <c r="AQ26" s="102" t="s">
        <v>73</v>
      </c>
      <c r="AR26" s="102" t="s">
        <v>234</v>
      </c>
      <c r="AS26" s="102" t="s">
        <v>309</v>
      </c>
      <c r="AT26" s="102" t="s">
        <v>236</v>
      </c>
      <c r="AU26" s="188">
        <v>0.105</v>
      </c>
      <c r="AV26" s="111" t="s">
        <v>80</v>
      </c>
      <c r="AW26" s="102">
        <v>3.3000000000000002E-2</v>
      </c>
      <c r="AX26" s="102">
        <v>0.01</v>
      </c>
      <c r="AY26" s="102">
        <v>1</v>
      </c>
      <c r="AZ26" s="102">
        <f>AU26/AW26</f>
        <v>3.1818181818181817</v>
      </c>
      <c r="BA26" s="105">
        <f>EXP(AU26)/(1+EXP(AU26))</f>
        <v>0.5262259093720687</v>
      </c>
      <c r="BB26" s="110" t="s">
        <v>73</v>
      </c>
      <c r="BC26" s="110" t="s">
        <v>73</v>
      </c>
      <c r="BD26" s="110" t="s">
        <v>73</v>
      </c>
      <c r="BE26" s="110" t="s">
        <v>73</v>
      </c>
      <c r="BF26" s="110" t="s">
        <v>73</v>
      </c>
      <c r="BG26" s="110" t="s">
        <v>73</v>
      </c>
      <c r="BH26" s="110">
        <v>1087</v>
      </c>
      <c r="BI26" s="110">
        <v>1087</v>
      </c>
      <c r="BJ26" s="110" t="s">
        <v>73</v>
      </c>
      <c r="BK26" s="110" t="s">
        <v>73</v>
      </c>
      <c r="BL26" s="102" t="s">
        <v>73</v>
      </c>
      <c r="BM26" s="102" t="s">
        <v>73</v>
      </c>
      <c r="BN26" s="102" t="s">
        <v>237</v>
      </c>
      <c r="BO26" s="110" t="s">
        <v>73</v>
      </c>
      <c r="BP26" s="110" t="s">
        <v>73</v>
      </c>
      <c r="BQ26" s="110" t="s">
        <v>73</v>
      </c>
      <c r="BR26" s="110" t="s">
        <v>73</v>
      </c>
      <c r="BS26" s="110" t="s">
        <v>73</v>
      </c>
      <c r="BT26" s="102">
        <v>0</v>
      </c>
      <c r="BU26" s="102">
        <v>0</v>
      </c>
      <c r="BV26" s="102">
        <v>1</v>
      </c>
      <c r="BW26" s="113">
        <f>((AZ26^2)/(AZ26^2+BH26))^(1/2)</f>
        <v>9.6061089497837926E-2</v>
      </c>
      <c r="BX26" s="113">
        <f>0.5*LN((1+BW26)/(1-BW26))</f>
        <v>9.6358211658461979E-2</v>
      </c>
      <c r="BY26" s="113">
        <f>((1-(BX26^2)^2)/(BH26-1))</f>
        <v>9.2073093051564905E-4</v>
      </c>
      <c r="BZ26" s="113">
        <f>1/(BH26-3)</f>
        <v>9.225092250922509E-4</v>
      </c>
      <c r="CA26" s="92" t="s">
        <v>73</v>
      </c>
      <c r="CB26">
        <f>BH26-2</f>
        <v>1085</v>
      </c>
      <c r="CC26" s="92" t="s">
        <v>73</v>
      </c>
      <c r="CD26" s="30">
        <f>((AZ26^2)/(AZ26^2+BI26))^(1/2)</f>
        <v>9.6061089497837926E-2</v>
      </c>
      <c r="CE26" s="113">
        <f>0.5*LN((1+CD26)/(1-CD26))</f>
        <v>9.6358211658461979E-2</v>
      </c>
      <c r="CF26" s="30">
        <f>((1-(CE26^2)^2)/(BI26-1))</f>
        <v>9.2073093051564905E-4</v>
      </c>
      <c r="CG26" s="30">
        <f>1/(BI26-3)</f>
        <v>9.225092250922509E-4</v>
      </c>
    </row>
    <row r="27" spans="1:86" s="112" customFormat="1">
      <c r="A27" s="99" t="s">
        <v>68</v>
      </c>
      <c r="B27" s="99">
        <v>3</v>
      </c>
      <c r="C27" s="99">
        <v>1089</v>
      </c>
      <c r="D27" s="102">
        <v>115</v>
      </c>
      <c r="E27" s="102" t="s">
        <v>304</v>
      </c>
      <c r="F27" s="99">
        <v>2016</v>
      </c>
      <c r="G27" s="102" t="s">
        <v>305</v>
      </c>
      <c r="H27" s="109" t="s">
        <v>306</v>
      </c>
      <c r="I27" s="102">
        <v>2</v>
      </c>
      <c r="J27" s="102" t="s">
        <v>307</v>
      </c>
      <c r="K27" s="110" t="s">
        <v>73</v>
      </c>
      <c r="L27" s="102">
        <v>2532</v>
      </c>
      <c r="M27" s="205" t="s">
        <v>93</v>
      </c>
      <c r="N27" s="92" t="s">
        <v>227</v>
      </c>
      <c r="O27" s="102" t="s">
        <v>81</v>
      </c>
      <c r="P27" s="110" t="s">
        <v>228</v>
      </c>
      <c r="Q27" s="102" t="s">
        <v>308</v>
      </c>
      <c r="R27" s="102" t="s">
        <v>255</v>
      </c>
      <c r="S27" s="102">
        <v>1</v>
      </c>
      <c r="T27" s="102" t="s">
        <v>231</v>
      </c>
      <c r="U27" s="102">
        <v>1</v>
      </c>
      <c r="V27" s="110" t="s">
        <v>232</v>
      </c>
      <c r="W27" s="110" t="s">
        <v>232</v>
      </c>
      <c r="X27" s="110" t="s">
        <v>73</v>
      </c>
      <c r="Y27" s="102">
        <v>0</v>
      </c>
      <c r="Z27" s="102">
        <v>1</v>
      </c>
      <c r="AA27" s="102">
        <v>0</v>
      </c>
      <c r="AB27" s="102">
        <v>1</v>
      </c>
      <c r="AC27" s="102">
        <v>0</v>
      </c>
      <c r="AD27" s="102">
        <v>0</v>
      </c>
      <c r="AE27" s="102">
        <v>0</v>
      </c>
      <c r="AF27" s="102">
        <v>0</v>
      </c>
      <c r="AG27" s="102" t="s">
        <v>73</v>
      </c>
      <c r="AH27" s="102">
        <v>0</v>
      </c>
      <c r="AI27" s="102">
        <v>0</v>
      </c>
      <c r="AJ27" s="102">
        <v>0</v>
      </c>
      <c r="AK27" s="102">
        <v>0</v>
      </c>
      <c r="AL27" s="102">
        <v>0</v>
      </c>
      <c r="AM27" s="102">
        <v>1</v>
      </c>
      <c r="AN27" s="102">
        <v>0</v>
      </c>
      <c r="AO27" s="102">
        <v>0</v>
      </c>
      <c r="AP27" s="102">
        <v>0</v>
      </c>
      <c r="AQ27" s="102" t="s">
        <v>73</v>
      </c>
      <c r="AR27" s="102" t="s">
        <v>234</v>
      </c>
      <c r="AS27" s="102" t="s">
        <v>309</v>
      </c>
      <c r="AT27" s="102" t="s">
        <v>236</v>
      </c>
      <c r="AU27" s="188">
        <v>5.3999999999999999E-2</v>
      </c>
      <c r="AV27" s="111" t="s">
        <v>80</v>
      </c>
      <c r="AW27" s="102">
        <v>6.6000000000000003E-2</v>
      </c>
      <c r="AX27" s="102">
        <v>0.1</v>
      </c>
      <c r="AY27" s="102">
        <v>2</v>
      </c>
      <c r="AZ27" s="102">
        <f>AU27/AW27</f>
        <v>0.81818181818181812</v>
      </c>
      <c r="BA27" s="105">
        <f>EXP(AU27)/(1+EXP(AU27))</f>
        <v>0.51349672045631156</v>
      </c>
      <c r="BB27" s="110" t="s">
        <v>73</v>
      </c>
      <c r="BC27" s="110" t="s">
        <v>73</v>
      </c>
      <c r="BD27" s="110" t="s">
        <v>73</v>
      </c>
      <c r="BE27" s="110" t="s">
        <v>73</v>
      </c>
      <c r="BF27" s="110" t="s">
        <v>73</v>
      </c>
      <c r="BG27" s="110" t="s">
        <v>73</v>
      </c>
      <c r="BH27" s="110">
        <v>1087</v>
      </c>
      <c r="BI27" s="110">
        <v>1087</v>
      </c>
      <c r="BJ27" s="110" t="s">
        <v>73</v>
      </c>
      <c r="BK27" s="110" t="s">
        <v>73</v>
      </c>
      <c r="BL27" s="102" t="s">
        <v>73</v>
      </c>
      <c r="BM27" s="102" t="s">
        <v>73</v>
      </c>
      <c r="BN27" s="102" t="s">
        <v>237</v>
      </c>
      <c r="BO27" s="110" t="s">
        <v>73</v>
      </c>
      <c r="BP27" s="110" t="s">
        <v>73</v>
      </c>
      <c r="BQ27" s="110" t="s">
        <v>73</v>
      </c>
      <c r="BR27" s="110" t="s">
        <v>73</v>
      </c>
      <c r="BS27" s="110" t="s">
        <v>73</v>
      </c>
      <c r="BT27" s="102">
        <v>0</v>
      </c>
      <c r="BU27" s="102">
        <v>0</v>
      </c>
      <c r="BV27" s="102">
        <v>1</v>
      </c>
      <c r="BW27" s="113">
        <f>((AZ27^2)/(AZ27^2+BH27))^(1/2)</f>
        <v>2.4808549041116852E-2</v>
      </c>
      <c r="BX27" s="113">
        <f>0.5*LN((1+BW27)/(1-BW27))</f>
        <v>2.4813640511901335E-2</v>
      </c>
      <c r="BY27" s="113">
        <f>((1-(BX27^2)^2)/(BH27-1))</f>
        <v>9.2080996398975789E-4</v>
      </c>
      <c r="BZ27" s="113">
        <f>1/(BH27-3)</f>
        <v>9.225092250922509E-4</v>
      </c>
      <c r="CA27" s="92" t="s">
        <v>73</v>
      </c>
      <c r="CB27">
        <f>BH27-2</f>
        <v>1085</v>
      </c>
      <c r="CC27" s="92" t="s">
        <v>73</v>
      </c>
      <c r="CD27" s="30">
        <f>((AZ27^2)/(AZ27^2+BI27))^(1/2)</f>
        <v>2.4808549041116852E-2</v>
      </c>
      <c r="CE27" s="113">
        <f>0.5*LN((1+CD27)/(1-CD27))</f>
        <v>2.4813640511901335E-2</v>
      </c>
      <c r="CF27" s="30">
        <f>((1-(CE27^2)^2)/(BI27-1))</f>
        <v>9.2080996398975789E-4</v>
      </c>
      <c r="CG27" s="30">
        <f>1/(BI27-3)</f>
        <v>9.225092250922509E-4</v>
      </c>
    </row>
    <row r="28" spans="1:86" s="112" customFormat="1">
      <c r="A28" s="11" t="s">
        <v>68</v>
      </c>
      <c r="B28" s="11">
        <v>29</v>
      </c>
      <c r="C28" s="11">
        <v>1053</v>
      </c>
      <c r="D28" s="11">
        <v>109</v>
      </c>
      <c r="E28" t="s">
        <v>280</v>
      </c>
      <c r="F28" s="11">
        <v>2013</v>
      </c>
      <c r="G28" t="s">
        <v>281</v>
      </c>
      <c r="H28" t="s">
        <v>282</v>
      </c>
      <c r="I28" s="18">
        <v>2</v>
      </c>
      <c r="J28" t="s">
        <v>102</v>
      </c>
      <c r="K28" s="10" t="s">
        <v>73</v>
      </c>
      <c r="L28">
        <v>649</v>
      </c>
      <c r="M28" s="202" t="s">
        <v>155</v>
      </c>
      <c r="N28" t="s">
        <v>283</v>
      </c>
      <c r="O28" t="s">
        <v>284</v>
      </c>
      <c r="P28" s="18" t="s">
        <v>228</v>
      </c>
      <c r="Q28" t="s">
        <v>244</v>
      </c>
      <c r="R28" t="s">
        <v>245</v>
      </c>
      <c r="S28">
        <v>0</v>
      </c>
      <c r="T28" t="s">
        <v>189</v>
      </c>
      <c r="U28">
        <v>0</v>
      </c>
      <c r="V28" s="18" t="s">
        <v>232</v>
      </c>
      <c r="W28" s="18" t="s">
        <v>232</v>
      </c>
      <c r="X28" s="18" t="s">
        <v>73</v>
      </c>
      <c r="Y28">
        <v>0</v>
      </c>
      <c r="Z28">
        <v>0</v>
      </c>
      <c r="AA28">
        <v>0</v>
      </c>
      <c r="AB28">
        <v>1</v>
      </c>
      <c r="AC28">
        <v>0</v>
      </c>
      <c r="AD28">
        <v>0</v>
      </c>
      <c r="AE28">
        <v>0</v>
      </c>
      <c r="AF28">
        <v>0</v>
      </c>
      <c r="AG28" t="s">
        <v>73</v>
      </c>
      <c r="AH28">
        <v>0</v>
      </c>
      <c r="AI28">
        <v>0</v>
      </c>
      <c r="AJ28">
        <v>0</v>
      </c>
      <c r="AK28">
        <v>0</v>
      </c>
      <c r="AL28">
        <v>0</v>
      </c>
      <c r="AM28">
        <v>0</v>
      </c>
      <c r="AN28">
        <v>1</v>
      </c>
      <c r="AO28">
        <v>0</v>
      </c>
      <c r="AP28">
        <v>0</v>
      </c>
      <c r="AQ28" t="s">
        <v>285</v>
      </c>
      <c r="AR28" s="92" t="s">
        <v>234</v>
      </c>
      <c r="AS28" s="92" t="s">
        <v>286</v>
      </c>
      <c r="AT28" t="s">
        <v>236</v>
      </c>
      <c r="AU28" s="187">
        <v>0.27</v>
      </c>
      <c r="AV28" s="7" t="s">
        <v>86</v>
      </c>
      <c r="AW28">
        <v>0.11</v>
      </c>
      <c r="AX28">
        <v>0.05</v>
      </c>
      <c r="AY28">
        <v>1</v>
      </c>
      <c r="AZ28">
        <f>AU28/AW28</f>
        <v>2.4545454545454546</v>
      </c>
      <c r="BA28" s="152">
        <v>0.27</v>
      </c>
      <c r="BB28" t="s">
        <v>73</v>
      </c>
      <c r="BC28" t="s">
        <v>73</v>
      </c>
      <c r="BD28" t="s">
        <v>73</v>
      </c>
      <c r="BE28" t="s">
        <v>73</v>
      </c>
      <c r="BF28">
        <v>408</v>
      </c>
      <c r="BG28" t="s">
        <v>73</v>
      </c>
      <c r="BH28">
        <v>408</v>
      </c>
      <c r="BI28">
        <v>408</v>
      </c>
      <c r="BJ28" t="s">
        <v>73</v>
      </c>
      <c r="BK28" t="s">
        <v>73</v>
      </c>
      <c r="BL28">
        <v>300</v>
      </c>
      <c r="BM28" t="s">
        <v>287</v>
      </c>
      <c r="BN28" t="s">
        <v>73</v>
      </c>
      <c r="BO28" t="s">
        <v>73</v>
      </c>
      <c r="BP28" t="s">
        <v>73</v>
      </c>
      <c r="BQ28" t="s">
        <v>73</v>
      </c>
      <c r="BR28" t="s">
        <v>73</v>
      </c>
      <c r="BS28" t="s">
        <v>73</v>
      </c>
      <c r="BT28" s="18">
        <v>0</v>
      </c>
      <c r="BU28" s="18">
        <v>0</v>
      </c>
      <c r="BV28" s="18">
        <v>0</v>
      </c>
      <c r="BW28" s="30">
        <f>((AZ28^2)/(AZ28^2+BH28))^(1/2)</f>
        <v>0.12063071568651137</v>
      </c>
      <c r="BX28" s="30">
        <f>0.5*LN((1+BW28)/(1-BW28))</f>
        <v>0.12122100832937013</v>
      </c>
      <c r="BY28" s="30">
        <f>((1-(BX28^2)^2)/(BH28-1))</f>
        <v>2.4564719181916828E-3</v>
      </c>
      <c r="BZ28" s="30">
        <f>1/(BH28-3)</f>
        <v>2.4691358024691358E-3</v>
      </c>
      <c r="CA28" s="92" t="s">
        <v>73</v>
      </c>
      <c r="CB28">
        <f>BH28-2</f>
        <v>406</v>
      </c>
      <c r="CC28" s="92" t="s">
        <v>73</v>
      </c>
      <c r="CD28" s="30">
        <f>((AZ28^2)/(AZ28^2+BI28))^(1/2)</f>
        <v>0.12063071568651137</v>
      </c>
      <c r="CE28" s="30">
        <f>0.5*LN((1+CD28)/(1-CD28))</f>
        <v>0.12122100832937013</v>
      </c>
      <c r="CF28" s="30">
        <f>((1-(CE28^2)^2)/(BI28-1))</f>
        <v>2.4564719181916828E-3</v>
      </c>
      <c r="CG28" s="30">
        <f>1/(BI28-3)</f>
        <v>2.4691358024691358E-3</v>
      </c>
      <c r="CH28"/>
    </row>
    <row r="29" spans="1:86" s="112" customFormat="1">
      <c r="A29" s="11" t="s">
        <v>68</v>
      </c>
      <c r="B29" s="11">
        <v>29</v>
      </c>
      <c r="C29" s="11">
        <v>1054</v>
      </c>
      <c r="D29" s="11">
        <v>109</v>
      </c>
      <c r="E29" t="s">
        <v>280</v>
      </c>
      <c r="F29" s="11">
        <v>2013</v>
      </c>
      <c r="G29" t="s">
        <v>281</v>
      </c>
      <c r="H29" t="s">
        <v>282</v>
      </c>
      <c r="I29" s="18">
        <v>2</v>
      </c>
      <c r="J29" t="s">
        <v>102</v>
      </c>
      <c r="K29" s="10" t="s">
        <v>73</v>
      </c>
      <c r="L29">
        <v>649</v>
      </c>
      <c r="M29" s="202" t="s">
        <v>155</v>
      </c>
      <c r="N29" t="s">
        <v>283</v>
      </c>
      <c r="O29" t="s">
        <v>284</v>
      </c>
      <c r="P29" s="18" t="s">
        <v>228</v>
      </c>
      <c r="Q29" t="s">
        <v>244</v>
      </c>
      <c r="R29" t="s">
        <v>245</v>
      </c>
      <c r="S29">
        <v>0</v>
      </c>
      <c r="T29" t="s">
        <v>189</v>
      </c>
      <c r="U29">
        <v>0</v>
      </c>
      <c r="V29" s="18" t="s">
        <v>232</v>
      </c>
      <c r="W29" s="18" t="s">
        <v>232</v>
      </c>
      <c r="X29" s="18" t="s">
        <v>73</v>
      </c>
      <c r="Y29">
        <v>0</v>
      </c>
      <c r="Z29">
        <v>0</v>
      </c>
      <c r="AA29">
        <v>0</v>
      </c>
      <c r="AB29">
        <v>1</v>
      </c>
      <c r="AC29">
        <v>0</v>
      </c>
      <c r="AD29">
        <v>0</v>
      </c>
      <c r="AE29">
        <v>0</v>
      </c>
      <c r="AF29">
        <v>0</v>
      </c>
      <c r="AG29" t="s">
        <v>73</v>
      </c>
      <c r="AH29">
        <v>0</v>
      </c>
      <c r="AI29">
        <v>0</v>
      </c>
      <c r="AJ29">
        <v>0</v>
      </c>
      <c r="AK29">
        <v>0</v>
      </c>
      <c r="AL29">
        <v>0</v>
      </c>
      <c r="AM29">
        <v>0</v>
      </c>
      <c r="AN29">
        <v>1</v>
      </c>
      <c r="AO29">
        <v>0</v>
      </c>
      <c r="AP29">
        <v>0</v>
      </c>
      <c r="AQ29" t="s">
        <v>285</v>
      </c>
      <c r="AR29" s="92" t="s">
        <v>234</v>
      </c>
      <c r="AS29" s="92" t="s">
        <v>288</v>
      </c>
      <c r="AT29" t="s">
        <v>236</v>
      </c>
      <c r="AU29" s="187">
        <v>0.19</v>
      </c>
      <c r="AV29" s="7" t="s">
        <v>80</v>
      </c>
      <c r="AW29">
        <v>0.06</v>
      </c>
      <c r="AX29">
        <v>0.05</v>
      </c>
      <c r="AY29">
        <v>1</v>
      </c>
      <c r="AZ29">
        <f>AU29/AW29</f>
        <v>3.166666666666667</v>
      </c>
      <c r="BA29" s="152">
        <v>0.19</v>
      </c>
      <c r="BB29" t="s">
        <v>73</v>
      </c>
      <c r="BC29" t="s">
        <v>73</v>
      </c>
      <c r="BD29" t="s">
        <v>73</v>
      </c>
      <c r="BE29" t="s">
        <v>73</v>
      </c>
      <c r="BF29">
        <v>408</v>
      </c>
      <c r="BG29" t="s">
        <v>73</v>
      </c>
      <c r="BH29">
        <v>408</v>
      </c>
      <c r="BI29">
        <v>408</v>
      </c>
      <c r="BJ29" t="s">
        <v>73</v>
      </c>
      <c r="BK29" t="s">
        <v>73</v>
      </c>
      <c r="BL29">
        <v>1000</v>
      </c>
      <c r="BM29" t="s">
        <v>289</v>
      </c>
      <c r="BN29" t="s">
        <v>73</v>
      </c>
      <c r="BO29" t="s">
        <v>73</v>
      </c>
      <c r="BP29" t="s">
        <v>73</v>
      </c>
      <c r="BQ29" t="s">
        <v>73</v>
      </c>
      <c r="BR29" t="s">
        <v>73</v>
      </c>
      <c r="BS29" t="s">
        <v>73</v>
      </c>
      <c r="BT29" s="18">
        <v>0</v>
      </c>
      <c r="BU29" s="18">
        <v>0</v>
      </c>
      <c r="BV29" s="18">
        <v>0</v>
      </c>
      <c r="BW29" s="30">
        <f>((AZ29^2)/(AZ29^2+BH29))^(1/2)</f>
        <v>0.15488158338148386</v>
      </c>
      <c r="BX29" s="30">
        <f>0.5*LN((1+BW29)/(1-BW29))</f>
        <v>0.15613816847007514</v>
      </c>
      <c r="BY29" s="30">
        <f>((1-(BX29^2)^2)/(BH29-1))</f>
        <v>2.4555421575795317E-3</v>
      </c>
      <c r="BZ29" s="30">
        <f>1/(BH29-3)</f>
        <v>2.4691358024691358E-3</v>
      </c>
      <c r="CA29" s="92" t="s">
        <v>73</v>
      </c>
      <c r="CB29">
        <f>BH29-2</f>
        <v>406</v>
      </c>
      <c r="CC29" s="92" t="s">
        <v>73</v>
      </c>
      <c r="CD29" s="30">
        <f>((AZ29^2)/(AZ29^2+BI29))^(1/2)</f>
        <v>0.15488158338148386</v>
      </c>
      <c r="CE29" s="30">
        <f>0.5*LN((1+CD29)/(1-CD29))</f>
        <v>0.15613816847007514</v>
      </c>
      <c r="CF29" s="30">
        <f>((1-(CE29^2)^2)/(BI29-1))</f>
        <v>2.4555421575795317E-3</v>
      </c>
      <c r="CG29" s="30">
        <f>1/(BI29-3)</f>
        <v>2.4691358024691358E-3</v>
      </c>
      <c r="CH29"/>
    </row>
    <row r="30" spans="1:86" s="125" customFormat="1">
      <c r="A30" s="11" t="s">
        <v>68</v>
      </c>
      <c r="B30" s="11">
        <v>29</v>
      </c>
      <c r="C30" s="11">
        <v>1055</v>
      </c>
      <c r="D30" s="11">
        <v>109</v>
      </c>
      <c r="E30" t="s">
        <v>280</v>
      </c>
      <c r="F30" s="11">
        <v>2013</v>
      </c>
      <c r="G30" t="s">
        <v>281</v>
      </c>
      <c r="H30" t="s">
        <v>282</v>
      </c>
      <c r="I30" s="18">
        <v>2</v>
      </c>
      <c r="J30" t="s">
        <v>102</v>
      </c>
      <c r="K30" s="10" t="s">
        <v>73</v>
      </c>
      <c r="L30">
        <v>649</v>
      </c>
      <c r="M30" s="202" t="s">
        <v>155</v>
      </c>
      <c r="N30" t="s">
        <v>283</v>
      </c>
      <c r="O30" t="s">
        <v>284</v>
      </c>
      <c r="P30" s="18" t="s">
        <v>228</v>
      </c>
      <c r="Q30" t="s">
        <v>244</v>
      </c>
      <c r="R30" t="s">
        <v>245</v>
      </c>
      <c r="S30">
        <v>0</v>
      </c>
      <c r="T30" t="s">
        <v>189</v>
      </c>
      <c r="U30">
        <v>0</v>
      </c>
      <c r="V30" s="18" t="s">
        <v>232</v>
      </c>
      <c r="W30" s="18" t="s">
        <v>232</v>
      </c>
      <c r="X30" s="18" t="s">
        <v>73</v>
      </c>
      <c r="Y30">
        <v>0</v>
      </c>
      <c r="Z30">
        <v>0</v>
      </c>
      <c r="AA30">
        <v>0</v>
      </c>
      <c r="AB30">
        <v>1</v>
      </c>
      <c r="AC30">
        <v>0</v>
      </c>
      <c r="AD30">
        <v>0</v>
      </c>
      <c r="AE30">
        <v>0</v>
      </c>
      <c r="AF30">
        <v>0</v>
      </c>
      <c r="AG30" t="s">
        <v>73</v>
      </c>
      <c r="AH30">
        <v>0</v>
      </c>
      <c r="AI30">
        <v>0</v>
      </c>
      <c r="AJ30">
        <v>0</v>
      </c>
      <c r="AK30">
        <v>0</v>
      </c>
      <c r="AL30">
        <v>0</v>
      </c>
      <c r="AM30">
        <v>0</v>
      </c>
      <c r="AN30">
        <v>1</v>
      </c>
      <c r="AO30">
        <v>0</v>
      </c>
      <c r="AP30">
        <v>0</v>
      </c>
      <c r="AQ30" t="s">
        <v>290</v>
      </c>
      <c r="AR30" s="92" t="s">
        <v>234</v>
      </c>
      <c r="AS30" s="92" t="s">
        <v>288</v>
      </c>
      <c r="AT30" t="s">
        <v>236</v>
      </c>
      <c r="AU30" s="187">
        <v>0.43</v>
      </c>
      <c r="AV30" s="7" t="s">
        <v>80</v>
      </c>
      <c r="AW30">
        <v>0.06</v>
      </c>
      <c r="AX30">
        <v>0.05</v>
      </c>
      <c r="AY30">
        <v>1</v>
      </c>
      <c r="AZ30">
        <f>AU30/AW30</f>
        <v>7.166666666666667</v>
      </c>
      <c r="BA30" s="152">
        <v>0.43</v>
      </c>
      <c r="BB30" t="s">
        <v>73</v>
      </c>
      <c r="BC30" t="s">
        <v>73</v>
      </c>
      <c r="BD30" t="s">
        <v>73</v>
      </c>
      <c r="BE30" t="s">
        <v>73</v>
      </c>
      <c r="BF30">
        <v>504</v>
      </c>
      <c r="BG30" t="s">
        <v>73</v>
      </c>
      <c r="BH30">
        <v>504</v>
      </c>
      <c r="BI30">
        <v>504</v>
      </c>
      <c r="BJ30" t="s">
        <v>73</v>
      </c>
      <c r="BK30" t="s">
        <v>73</v>
      </c>
      <c r="BL30">
        <v>1000</v>
      </c>
      <c r="BM30" t="s">
        <v>289</v>
      </c>
      <c r="BN30" t="s">
        <v>73</v>
      </c>
      <c r="BO30" t="s">
        <v>73</v>
      </c>
      <c r="BP30" t="s">
        <v>73</v>
      </c>
      <c r="BQ30" t="s">
        <v>73</v>
      </c>
      <c r="BR30" t="s">
        <v>73</v>
      </c>
      <c r="BS30" t="s">
        <v>73</v>
      </c>
      <c r="BT30" s="18">
        <v>0</v>
      </c>
      <c r="BU30" s="18">
        <v>0</v>
      </c>
      <c r="BV30" s="18">
        <v>0</v>
      </c>
      <c r="BW30" s="30">
        <f>((AZ30^2)/(AZ30^2+BH30))^(1/2)</f>
        <v>0.30410913966714348</v>
      </c>
      <c r="BX30" s="30">
        <f>0.5*LN((1+BW30)/(1-BW30))</f>
        <v>0.31404129843807849</v>
      </c>
      <c r="BY30" s="30">
        <f>((1-(BX30^2)^2)/(BH30-1))</f>
        <v>1.96873501693395E-3</v>
      </c>
      <c r="BZ30" s="30">
        <f>1/(BH30-3)</f>
        <v>1.996007984031936E-3</v>
      </c>
      <c r="CA30" s="92" t="s">
        <v>73</v>
      </c>
      <c r="CB30">
        <f>BH30-2</f>
        <v>502</v>
      </c>
      <c r="CC30" s="92" t="s">
        <v>73</v>
      </c>
      <c r="CD30" s="30">
        <f>((AZ30^2)/(AZ30^2+BI30))^(1/2)</f>
        <v>0.30410913966714348</v>
      </c>
      <c r="CE30" s="30">
        <f>0.5*LN((1+CD30)/(1-CD30))</f>
        <v>0.31404129843807849</v>
      </c>
      <c r="CF30" s="30">
        <f>((1-(CE30^2)^2)/(BI30-1))</f>
        <v>1.96873501693395E-3</v>
      </c>
      <c r="CG30" s="30">
        <f>1/(BI30-3)</f>
        <v>1.996007984031936E-3</v>
      </c>
      <c r="CH30"/>
    </row>
    <row r="31" spans="1:86">
      <c r="A31" s="11" t="s">
        <v>68</v>
      </c>
      <c r="B31" s="11">
        <v>29</v>
      </c>
      <c r="C31" s="11">
        <v>1056</v>
      </c>
      <c r="D31" s="11">
        <v>109</v>
      </c>
      <c r="E31" t="s">
        <v>280</v>
      </c>
      <c r="F31" s="11">
        <v>2013</v>
      </c>
      <c r="G31" t="s">
        <v>281</v>
      </c>
      <c r="H31" t="s">
        <v>282</v>
      </c>
      <c r="I31" s="18">
        <v>2</v>
      </c>
      <c r="J31" t="s">
        <v>102</v>
      </c>
      <c r="K31" s="10" t="s">
        <v>73</v>
      </c>
      <c r="L31">
        <v>649</v>
      </c>
      <c r="M31" s="202" t="s">
        <v>155</v>
      </c>
      <c r="N31" t="s">
        <v>283</v>
      </c>
      <c r="O31" t="s">
        <v>284</v>
      </c>
      <c r="P31" s="18" t="s">
        <v>228</v>
      </c>
      <c r="Q31" t="s">
        <v>244</v>
      </c>
      <c r="R31" t="s">
        <v>245</v>
      </c>
      <c r="S31">
        <v>0</v>
      </c>
      <c r="T31" t="s">
        <v>189</v>
      </c>
      <c r="U31">
        <v>0</v>
      </c>
      <c r="V31" s="18" t="s">
        <v>232</v>
      </c>
      <c r="W31" s="18" t="s">
        <v>232</v>
      </c>
      <c r="X31" s="18" t="s">
        <v>73</v>
      </c>
      <c r="Y31">
        <v>0</v>
      </c>
      <c r="Z31">
        <v>0</v>
      </c>
      <c r="AA31">
        <v>0</v>
      </c>
      <c r="AB31">
        <v>1</v>
      </c>
      <c r="AC31">
        <v>0</v>
      </c>
      <c r="AD31">
        <v>0</v>
      </c>
      <c r="AE31">
        <v>0</v>
      </c>
      <c r="AF31">
        <v>0</v>
      </c>
      <c r="AG31" t="s">
        <v>73</v>
      </c>
      <c r="AH31">
        <v>0</v>
      </c>
      <c r="AI31">
        <v>0</v>
      </c>
      <c r="AJ31">
        <v>0</v>
      </c>
      <c r="AK31">
        <v>0</v>
      </c>
      <c r="AL31">
        <v>0</v>
      </c>
      <c r="AM31">
        <v>0</v>
      </c>
      <c r="AN31">
        <v>1</v>
      </c>
      <c r="AO31">
        <v>0</v>
      </c>
      <c r="AP31">
        <v>0</v>
      </c>
      <c r="AQ31" t="s">
        <v>285</v>
      </c>
      <c r="AR31" s="92" t="s">
        <v>234</v>
      </c>
      <c r="AS31" s="92" t="s">
        <v>286</v>
      </c>
      <c r="AT31" t="s">
        <v>236</v>
      </c>
      <c r="AU31" s="187">
        <v>0.25</v>
      </c>
      <c r="AV31" s="7" t="s">
        <v>86</v>
      </c>
      <c r="AW31">
        <v>0.13</v>
      </c>
      <c r="AX31">
        <v>0.1</v>
      </c>
      <c r="AY31">
        <v>1</v>
      </c>
      <c r="AZ31">
        <f>AU31/AW31</f>
        <v>1.9230769230769229</v>
      </c>
      <c r="BA31" s="152">
        <v>0.25</v>
      </c>
      <c r="BB31" t="s">
        <v>73</v>
      </c>
      <c r="BC31" t="s">
        <v>73</v>
      </c>
      <c r="BD31" t="s">
        <v>73</v>
      </c>
      <c r="BE31" t="s">
        <v>73</v>
      </c>
      <c r="BF31">
        <v>408</v>
      </c>
      <c r="BG31" t="s">
        <v>73</v>
      </c>
      <c r="BH31">
        <v>408</v>
      </c>
      <c r="BI31">
        <v>408</v>
      </c>
      <c r="BJ31" t="s">
        <v>73</v>
      </c>
      <c r="BK31" t="s">
        <v>73</v>
      </c>
      <c r="BL31">
        <v>300</v>
      </c>
      <c r="BM31" t="s">
        <v>287</v>
      </c>
      <c r="BN31" t="s">
        <v>73</v>
      </c>
      <c r="BO31" t="s">
        <v>73</v>
      </c>
      <c r="BP31" t="s">
        <v>73</v>
      </c>
      <c r="BQ31" t="s">
        <v>73</v>
      </c>
      <c r="BR31" t="s">
        <v>73</v>
      </c>
      <c r="BS31" t="s">
        <v>73</v>
      </c>
      <c r="BT31" s="18">
        <v>1</v>
      </c>
      <c r="BU31" s="18">
        <v>0</v>
      </c>
      <c r="BV31" s="18">
        <v>1</v>
      </c>
      <c r="BW31" s="30">
        <f>((AZ31^2)/(AZ31^2+BH31))^(1/2)</f>
        <v>9.4777916885651653E-2</v>
      </c>
      <c r="BX31" s="30">
        <f>0.5*LN((1+BW31)/(1-BW31))</f>
        <v>9.5063248374700635E-2</v>
      </c>
      <c r="BY31" s="30">
        <f>((1-(BX31^2)^2)/(BH31-1))</f>
        <v>2.4568017991350942E-3</v>
      </c>
      <c r="BZ31" s="30">
        <f>1/(BH31-3)</f>
        <v>2.4691358024691358E-3</v>
      </c>
      <c r="CA31" s="92" t="s">
        <v>73</v>
      </c>
      <c r="CB31">
        <f>BH31-2</f>
        <v>406</v>
      </c>
      <c r="CC31" s="92" t="s">
        <v>73</v>
      </c>
      <c r="CD31" s="30">
        <f>((AZ31^2)/(AZ31^2+BI31))^(1/2)</f>
        <v>9.4777916885651653E-2</v>
      </c>
      <c r="CE31" s="30">
        <f>0.5*LN((1+CD31)/(1-CD31))</f>
        <v>9.5063248374700635E-2</v>
      </c>
      <c r="CF31" s="30">
        <f>((1-(CE31^2)^2)/(BI31-1))</f>
        <v>2.4568017991350942E-3</v>
      </c>
      <c r="CG31" s="30">
        <f>1/(BI31-3)</f>
        <v>2.4691358024691358E-3</v>
      </c>
      <c r="CH31" s="119"/>
    </row>
    <row r="32" spans="1:86" s="98" customFormat="1">
      <c r="A32" s="11" t="s">
        <v>68</v>
      </c>
      <c r="B32" s="11">
        <v>29</v>
      </c>
      <c r="C32" s="11">
        <v>1057</v>
      </c>
      <c r="D32" s="11">
        <v>109</v>
      </c>
      <c r="E32" t="s">
        <v>280</v>
      </c>
      <c r="F32" s="11">
        <v>2013</v>
      </c>
      <c r="G32" t="s">
        <v>281</v>
      </c>
      <c r="H32" t="s">
        <v>282</v>
      </c>
      <c r="I32" s="18">
        <v>2</v>
      </c>
      <c r="J32" t="s">
        <v>102</v>
      </c>
      <c r="K32" s="10" t="s">
        <v>73</v>
      </c>
      <c r="L32">
        <v>649</v>
      </c>
      <c r="M32" s="202" t="s">
        <v>155</v>
      </c>
      <c r="N32" t="s">
        <v>283</v>
      </c>
      <c r="O32" t="s">
        <v>284</v>
      </c>
      <c r="P32" s="18" t="s">
        <v>228</v>
      </c>
      <c r="Q32" t="s">
        <v>244</v>
      </c>
      <c r="R32" t="s">
        <v>245</v>
      </c>
      <c r="S32">
        <v>0</v>
      </c>
      <c r="T32" t="s">
        <v>189</v>
      </c>
      <c r="U32">
        <v>0</v>
      </c>
      <c r="V32" s="18" t="s">
        <v>232</v>
      </c>
      <c r="W32" s="18" t="s">
        <v>232</v>
      </c>
      <c r="X32" s="18" t="s">
        <v>73</v>
      </c>
      <c r="Y32">
        <v>0</v>
      </c>
      <c r="Z32">
        <v>0</v>
      </c>
      <c r="AA32">
        <v>0</v>
      </c>
      <c r="AB32">
        <v>1</v>
      </c>
      <c r="AC32">
        <v>0</v>
      </c>
      <c r="AD32">
        <v>0</v>
      </c>
      <c r="AE32">
        <v>0</v>
      </c>
      <c r="AF32">
        <v>0</v>
      </c>
      <c r="AG32" t="s">
        <v>73</v>
      </c>
      <c r="AH32">
        <v>0</v>
      </c>
      <c r="AI32">
        <v>0</v>
      </c>
      <c r="AJ32">
        <v>0</v>
      </c>
      <c r="AK32">
        <v>0</v>
      </c>
      <c r="AL32">
        <v>0</v>
      </c>
      <c r="AM32">
        <v>0</v>
      </c>
      <c r="AN32">
        <v>1</v>
      </c>
      <c r="AO32">
        <v>0</v>
      </c>
      <c r="AP32">
        <v>0</v>
      </c>
      <c r="AQ32" t="s">
        <v>285</v>
      </c>
      <c r="AR32" s="92" t="s">
        <v>234</v>
      </c>
      <c r="AS32" s="92" t="s">
        <v>288</v>
      </c>
      <c r="AT32" t="s">
        <v>236</v>
      </c>
      <c r="AU32" s="187">
        <v>0.16</v>
      </c>
      <c r="AV32" s="7" t="s">
        <v>80</v>
      </c>
      <c r="AW32">
        <v>0.06</v>
      </c>
      <c r="AX32">
        <v>0.05</v>
      </c>
      <c r="AY32">
        <v>1</v>
      </c>
      <c r="AZ32">
        <f>AU32/AW32</f>
        <v>2.666666666666667</v>
      </c>
      <c r="BA32" s="152">
        <v>0.16</v>
      </c>
      <c r="BB32" t="s">
        <v>73</v>
      </c>
      <c r="BC32" t="s">
        <v>73</v>
      </c>
      <c r="BD32" t="s">
        <v>73</v>
      </c>
      <c r="BE32" t="s">
        <v>73</v>
      </c>
      <c r="BF32">
        <v>408</v>
      </c>
      <c r="BG32" t="s">
        <v>73</v>
      </c>
      <c r="BH32">
        <v>408</v>
      </c>
      <c r="BI32">
        <v>408</v>
      </c>
      <c r="BJ32" t="s">
        <v>73</v>
      </c>
      <c r="BK32" t="s">
        <v>73</v>
      </c>
      <c r="BL32">
        <v>1000</v>
      </c>
      <c r="BM32" t="s">
        <v>289</v>
      </c>
      <c r="BN32" t="s">
        <v>73</v>
      </c>
      <c r="BO32" t="s">
        <v>73</v>
      </c>
      <c r="BP32" t="s">
        <v>73</v>
      </c>
      <c r="BQ32" t="s">
        <v>73</v>
      </c>
      <c r="BR32" t="s">
        <v>73</v>
      </c>
      <c r="BS32" t="s">
        <v>73</v>
      </c>
      <c r="BT32" s="18">
        <v>1</v>
      </c>
      <c r="BU32" s="18">
        <v>0</v>
      </c>
      <c r="BV32" s="18">
        <v>1</v>
      </c>
      <c r="BW32" s="30">
        <f>((AZ32^2)/(AZ32^2+BH32))^(1/2)</f>
        <v>0.13088399820073771</v>
      </c>
      <c r="BX32" s="30">
        <f>0.5*LN((1+BW32)/(1-BW32))</f>
        <v>0.13163914998451526</v>
      </c>
      <c r="BY32" s="30">
        <f>((1-(BX32^2)^2)/(BH32-1))</f>
        <v>2.456264644741489E-3</v>
      </c>
      <c r="BZ32" s="30">
        <f>1/(BH32-3)</f>
        <v>2.4691358024691358E-3</v>
      </c>
      <c r="CA32" s="92" t="s">
        <v>73</v>
      </c>
      <c r="CB32">
        <f>BH32-2</f>
        <v>406</v>
      </c>
      <c r="CC32" s="92" t="s">
        <v>73</v>
      </c>
      <c r="CD32" s="30">
        <f>((AZ32^2)/(AZ32^2+BI32))^(1/2)</f>
        <v>0.13088399820073771</v>
      </c>
      <c r="CE32" s="30">
        <f>0.5*LN((1+CD32)/(1-CD32))</f>
        <v>0.13163914998451526</v>
      </c>
      <c r="CF32" s="30">
        <f>((1-(CE32^2)^2)/(BI32-1))</f>
        <v>2.456264644741489E-3</v>
      </c>
      <c r="CG32" s="30">
        <f>1/(BI32-3)</f>
        <v>2.4691358024691358E-3</v>
      </c>
      <c r="CH32"/>
    </row>
    <row r="33" spans="1:86" s="92" customFormat="1">
      <c r="A33" s="11" t="s">
        <v>68</v>
      </c>
      <c r="B33" s="11">
        <v>29</v>
      </c>
      <c r="C33" s="11">
        <v>1058</v>
      </c>
      <c r="D33" s="11">
        <v>109</v>
      </c>
      <c r="E33" t="s">
        <v>280</v>
      </c>
      <c r="F33" s="11">
        <v>2013</v>
      </c>
      <c r="G33" t="s">
        <v>281</v>
      </c>
      <c r="H33" t="s">
        <v>282</v>
      </c>
      <c r="I33" s="18">
        <v>2</v>
      </c>
      <c r="J33" t="s">
        <v>102</v>
      </c>
      <c r="K33" s="10" t="s">
        <v>73</v>
      </c>
      <c r="L33">
        <v>649</v>
      </c>
      <c r="M33" s="202" t="s">
        <v>155</v>
      </c>
      <c r="N33" t="s">
        <v>283</v>
      </c>
      <c r="O33" t="s">
        <v>284</v>
      </c>
      <c r="P33" s="18" t="s">
        <v>228</v>
      </c>
      <c r="Q33" t="s">
        <v>244</v>
      </c>
      <c r="R33" t="s">
        <v>245</v>
      </c>
      <c r="S33">
        <v>0</v>
      </c>
      <c r="T33" t="s">
        <v>189</v>
      </c>
      <c r="U33">
        <v>0</v>
      </c>
      <c r="V33" s="18" t="s">
        <v>232</v>
      </c>
      <c r="W33" s="18" t="s">
        <v>232</v>
      </c>
      <c r="X33" s="18" t="s">
        <v>73</v>
      </c>
      <c r="Y33">
        <v>0</v>
      </c>
      <c r="Z33">
        <v>0</v>
      </c>
      <c r="AA33">
        <v>0</v>
      </c>
      <c r="AB33">
        <v>1</v>
      </c>
      <c r="AC33">
        <v>0</v>
      </c>
      <c r="AD33">
        <v>0</v>
      </c>
      <c r="AE33">
        <v>0</v>
      </c>
      <c r="AF33">
        <v>0</v>
      </c>
      <c r="AG33" t="s">
        <v>73</v>
      </c>
      <c r="AH33">
        <v>0</v>
      </c>
      <c r="AI33">
        <v>0</v>
      </c>
      <c r="AJ33">
        <v>0</v>
      </c>
      <c r="AK33">
        <v>0</v>
      </c>
      <c r="AL33">
        <v>0</v>
      </c>
      <c r="AM33">
        <v>0</v>
      </c>
      <c r="AN33">
        <v>1</v>
      </c>
      <c r="AO33">
        <v>0</v>
      </c>
      <c r="AP33">
        <v>0</v>
      </c>
      <c r="AQ33" t="s">
        <v>290</v>
      </c>
      <c r="AR33" s="92" t="s">
        <v>234</v>
      </c>
      <c r="AS33" s="92" t="s">
        <v>288</v>
      </c>
      <c r="AT33" t="s">
        <v>236</v>
      </c>
      <c r="AU33" s="187">
        <v>0.41</v>
      </c>
      <c r="AV33" s="7" t="s">
        <v>80</v>
      </c>
      <c r="AW33">
        <v>0.08</v>
      </c>
      <c r="AX33">
        <v>0.05</v>
      </c>
      <c r="AY33">
        <v>1</v>
      </c>
      <c r="AZ33">
        <f>AU33/AW33</f>
        <v>5.125</v>
      </c>
      <c r="BA33" s="152">
        <v>0.41</v>
      </c>
      <c r="BB33" t="s">
        <v>73</v>
      </c>
      <c r="BC33" t="s">
        <v>73</v>
      </c>
      <c r="BD33" t="s">
        <v>73</v>
      </c>
      <c r="BE33" t="s">
        <v>73</v>
      </c>
      <c r="BF33">
        <v>504</v>
      </c>
      <c r="BG33" t="s">
        <v>73</v>
      </c>
      <c r="BH33">
        <v>504</v>
      </c>
      <c r="BI33">
        <v>504</v>
      </c>
      <c r="BJ33" t="s">
        <v>73</v>
      </c>
      <c r="BK33" t="s">
        <v>73</v>
      </c>
      <c r="BL33">
        <v>1000</v>
      </c>
      <c r="BM33" t="s">
        <v>289</v>
      </c>
      <c r="BN33" t="s">
        <v>73</v>
      </c>
      <c r="BO33" t="s">
        <v>73</v>
      </c>
      <c r="BP33" t="s">
        <v>73</v>
      </c>
      <c r="BQ33" t="s">
        <v>73</v>
      </c>
      <c r="BR33" t="s">
        <v>73</v>
      </c>
      <c r="BS33" t="s">
        <v>73</v>
      </c>
      <c r="BT33" s="18">
        <v>1</v>
      </c>
      <c r="BU33" s="18">
        <v>0</v>
      </c>
      <c r="BV33" s="18">
        <v>1</v>
      </c>
      <c r="BW33" s="30">
        <f>((AZ33^2)/(AZ33^2+BH33))^(1/2)</f>
        <v>0.22256001017320373</v>
      </c>
      <c r="BX33" s="30">
        <f>0.5*LN((1+BW33)/(1-BW33))</f>
        <v>0.22634792532420528</v>
      </c>
      <c r="BY33" s="30">
        <f>((1-(BX33^2)^2)/(BH33-1))</f>
        <v>1.9828531619001622E-3</v>
      </c>
      <c r="BZ33" s="30">
        <f>1/(BH33-3)</f>
        <v>1.996007984031936E-3</v>
      </c>
      <c r="CA33" s="92" t="s">
        <v>73</v>
      </c>
      <c r="CB33">
        <f>BH33-2</f>
        <v>502</v>
      </c>
      <c r="CC33" s="92" t="s">
        <v>73</v>
      </c>
      <c r="CD33" s="30">
        <f>((AZ33^2)/(AZ33^2+BI33))^(1/2)</f>
        <v>0.22256001017320373</v>
      </c>
      <c r="CE33" s="30">
        <f>0.5*LN((1+CD33)/(1-CD33))</f>
        <v>0.22634792532420528</v>
      </c>
      <c r="CF33" s="30">
        <f>((1-(CE33^2)^2)/(BI33-1))</f>
        <v>1.9828531619001622E-3</v>
      </c>
      <c r="CG33" s="30">
        <f>1/(BI33-3)</f>
        <v>1.996007984031936E-3</v>
      </c>
      <c r="CH33"/>
    </row>
    <row r="34" spans="1:86" s="92" customFormat="1">
      <c r="A34" s="11" t="s">
        <v>403</v>
      </c>
      <c r="B34" s="11">
        <v>17</v>
      </c>
      <c r="C34" s="92">
        <v>1217</v>
      </c>
      <c r="D34" s="100">
        <v>201</v>
      </c>
      <c r="E34" t="s">
        <v>404</v>
      </c>
      <c r="F34" s="99">
        <v>2021</v>
      </c>
      <c r="G34" t="s">
        <v>405</v>
      </c>
      <c r="H34" t="s">
        <v>406</v>
      </c>
      <c r="I34" s="100">
        <v>2</v>
      </c>
      <c r="J34">
        <v>2015</v>
      </c>
      <c r="K34" s="99" t="s">
        <v>73</v>
      </c>
      <c r="L34" s="100">
        <v>10</v>
      </c>
      <c r="M34" s="202" t="s">
        <v>155</v>
      </c>
      <c r="N34" t="s">
        <v>242</v>
      </c>
      <c r="O34" t="s">
        <v>275</v>
      </c>
      <c r="P34" s="110" t="s">
        <v>243</v>
      </c>
      <c r="Q34" t="s">
        <v>244</v>
      </c>
      <c r="R34" t="s">
        <v>255</v>
      </c>
      <c r="S34">
        <v>0</v>
      </c>
      <c r="T34" t="s">
        <v>231</v>
      </c>
      <c r="U34">
        <v>0</v>
      </c>
      <c r="V34" s="137" t="s">
        <v>246</v>
      </c>
      <c r="W34" s="137" t="s">
        <v>246</v>
      </c>
      <c r="X34" s="151" t="s">
        <v>407</v>
      </c>
      <c r="Y34" s="100">
        <v>0</v>
      </c>
      <c r="Z34" s="100">
        <v>0</v>
      </c>
      <c r="AA34" s="100">
        <v>1</v>
      </c>
      <c r="AB34" s="100">
        <v>0</v>
      </c>
      <c r="AC34" s="100">
        <v>0</v>
      </c>
      <c r="AD34" s="100">
        <v>0</v>
      </c>
      <c r="AE34" s="100">
        <v>0</v>
      </c>
      <c r="AF34" s="100">
        <v>0</v>
      </c>
      <c r="AG34" t="s">
        <v>73</v>
      </c>
      <c r="AH34" s="100">
        <v>1</v>
      </c>
      <c r="AI34" s="100">
        <v>0</v>
      </c>
      <c r="AJ34" s="100">
        <v>0</v>
      </c>
      <c r="AK34" s="100">
        <v>0</v>
      </c>
      <c r="AL34" s="100">
        <v>0</v>
      </c>
      <c r="AM34" s="100">
        <v>0</v>
      </c>
      <c r="AN34" s="100">
        <v>0</v>
      </c>
      <c r="AO34" s="100">
        <v>0</v>
      </c>
      <c r="AP34" s="100">
        <v>0</v>
      </c>
      <c r="AQ34" t="s">
        <v>73</v>
      </c>
      <c r="AR34" t="s">
        <v>234</v>
      </c>
      <c r="AS34" t="s">
        <v>408</v>
      </c>
      <c r="AT34" t="s">
        <v>236</v>
      </c>
      <c r="AU34" s="187">
        <v>0.35299999999999998</v>
      </c>
      <c r="AV34" s="7" t="s">
        <v>80</v>
      </c>
      <c r="AW34">
        <v>7.0999999999999994E-2</v>
      </c>
      <c r="AX34" s="16">
        <v>0</v>
      </c>
      <c r="AY34">
        <v>3</v>
      </c>
      <c r="AZ34" s="19">
        <f>TINV(0.001,CB34)</f>
        <v>3.2990742119196153</v>
      </c>
      <c r="BA34" s="105">
        <f>EXP(AU34)/(1+EXP(AU34))</f>
        <v>0.58734488156533704</v>
      </c>
      <c r="BB34" s="102" t="s">
        <v>73</v>
      </c>
      <c r="BC34" s="102" t="s">
        <v>73</v>
      </c>
      <c r="BD34" s="102" t="s">
        <v>73</v>
      </c>
      <c r="BE34" s="102" t="s">
        <v>73</v>
      </c>
      <c r="BF34" s="102" t="s">
        <v>73</v>
      </c>
      <c r="BG34" s="102" t="s">
        <v>73</v>
      </c>
      <c r="BH34" s="100">
        <v>1143</v>
      </c>
      <c r="BI34">
        <f>BH34</f>
        <v>1143</v>
      </c>
      <c r="BJ34" s="100" t="s">
        <v>73</v>
      </c>
      <c r="BK34" s="100" t="s">
        <v>73</v>
      </c>
      <c r="BL34" s="100" t="s">
        <v>73</v>
      </c>
      <c r="BM34" s="100" t="s">
        <v>73</v>
      </c>
      <c r="BN34" s="100" t="s">
        <v>73</v>
      </c>
      <c r="BO34" s="100" t="s">
        <v>73</v>
      </c>
      <c r="BP34" s="100" t="s">
        <v>73</v>
      </c>
      <c r="BQ34" s="100" t="s">
        <v>73</v>
      </c>
      <c r="BR34" s="100" t="s">
        <v>73</v>
      </c>
      <c r="BS34" s="100" t="s">
        <v>73</v>
      </c>
      <c r="BT34" s="100">
        <v>0</v>
      </c>
      <c r="BU34" s="100">
        <v>0</v>
      </c>
      <c r="BV34" s="100">
        <v>1</v>
      </c>
      <c r="BW34" s="30">
        <f>((AZ34^2)/(AZ34^2+BH34))^(1/2)</f>
        <v>9.712052690463481E-2</v>
      </c>
      <c r="BX34" s="30">
        <f>0.5*LN((1+BW34)/(1-BW34))</f>
        <v>9.7427626579518284E-2</v>
      </c>
      <c r="BY34" s="30">
        <f>((1-(BX34^2)^2)/(BH34-1))</f>
        <v>8.7557784521213747E-4</v>
      </c>
      <c r="BZ34" s="30">
        <f>1/(BH34-3)</f>
        <v>8.7719298245614037E-4</v>
      </c>
      <c r="CA34" s="92" t="s">
        <v>73</v>
      </c>
      <c r="CB34">
        <f>BH34-2</f>
        <v>1141</v>
      </c>
      <c r="CC34" s="92" t="s">
        <v>73</v>
      </c>
      <c r="CD34" s="30">
        <f>((AZ34^2)/(AZ34^2+BI34))^(1/2)</f>
        <v>9.712052690463481E-2</v>
      </c>
      <c r="CE34" s="30">
        <f>0.5*LN((1+CD34)/(1-CD34))</f>
        <v>9.7427626579518284E-2</v>
      </c>
      <c r="CF34" s="30">
        <f>((1-(CE34^2)^2)/(BI34-1))</f>
        <v>8.7557784521213747E-4</v>
      </c>
      <c r="CG34" s="30">
        <f>1/(BI34-3)</f>
        <v>8.7719298245614037E-4</v>
      </c>
      <c r="CH34"/>
    </row>
    <row r="35" spans="1:86" s="92" customFormat="1">
      <c r="A35" s="11" t="s">
        <v>403</v>
      </c>
      <c r="B35" s="11">
        <v>17</v>
      </c>
      <c r="C35" s="92">
        <v>1218</v>
      </c>
      <c r="D35" s="100">
        <v>201</v>
      </c>
      <c r="E35" t="s">
        <v>404</v>
      </c>
      <c r="F35" s="99">
        <v>2021</v>
      </c>
      <c r="G35" t="s">
        <v>405</v>
      </c>
      <c r="H35" t="s">
        <v>406</v>
      </c>
      <c r="I35" s="100">
        <v>2</v>
      </c>
      <c r="J35">
        <v>2015</v>
      </c>
      <c r="K35" s="99" t="s">
        <v>73</v>
      </c>
      <c r="L35" s="100">
        <v>10</v>
      </c>
      <c r="M35" s="202" t="s">
        <v>155</v>
      </c>
      <c r="N35" t="s">
        <v>242</v>
      </c>
      <c r="O35" t="s">
        <v>275</v>
      </c>
      <c r="P35" s="110" t="s">
        <v>243</v>
      </c>
      <c r="Q35" t="s">
        <v>244</v>
      </c>
      <c r="R35" t="s">
        <v>255</v>
      </c>
      <c r="S35">
        <v>0</v>
      </c>
      <c r="T35" t="s">
        <v>231</v>
      </c>
      <c r="U35">
        <v>0</v>
      </c>
      <c r="V35" s="137" t="s">
        <v>246</v>
      </c>
      <c r="W35" s="137" t="s">
        <v>246</v>
      </c>
      <c r="X35" s="151" t="s">
        <v>409</v>
      </c>
      <c r="Y35" s="100">
        <v>0</v>
      </c>
      <c r="Z35" s="100">
        <v>0</v>
      </c>
      <c r="AA35" s="100">
        <v>0</v>
      </c>
      <c r="AB35" s="100">
        <v>0</v>
      </c>
      <c r="AC35" s="100">
        <v>0</v>
      </c>
      <c r="AD35" s="100">
        <v>1</v>
      </c>
      <c r="AE35" s="100">
        <v>0</v>
      </c>
      <c r="AF35" s="100">
        <v>0</v>
      </c>
      <c r="AG35" t="s">
        <v>73</v>
      </c>
      <c r="AH35" s="100">
        <v>1</v>
      </c>
      <c r="AI35" s="100">
        <v>0</v>
      </c>
      <c r="AJ35" s="100">
        <v>0</v>
      </c>
      <c r="AK35" s="100">
        <v>0</v>
      </c>
      <c r="AL35" s="100">
        <v>0</v>
      </c>
      <c r="AM35" s="100">
        <v>0</v>
      </c>
      <c r="AN35" s="100">
        <v>0</v>
      </c>
      <c r="AO35" s="100">
        <v>0</v>
      </c>
      <c r="AP35" s="100">
        <v>0</v>
      </c>
      <c r="AQ35" t="s">
        <v>73</v>
      </c>
      <c r="AR35" t="s">
        <v>234</v>
      </c>
      <c r="AS35" t="s">
        <v>408</v>
      </c>
      <c r="AT35" t="s">
        <v>236</v>
      </c>
      <c r="AU35" s="187">
        <v>0.64200000000000002</v>
      </c>
      <c r="AV35" s="7" t="s">
        <v>80</v>
      </c>
      <c r="AW35">
        <v>0.21199999999999999</v>
      </c>
      <c r="AX35" s="16">
        <v>2E-3</v>
      </c>
      <c r="AY35">
        <v>3</v>
      </c>
      <c r="AZ35" s="19">
        <f>TINV(AX35,CB35)</f>
        <v>3.0973904269614785</v>
      </c>
      <c r="BA35" s="105">
        <f>EXP(AU35)/(1+EXP(AU35))</f>
        <v>0.65520542330294296</v>
      </c>
      <c r="BB35" s="102" t="s">
        <v>73</v>
      </c>
      <c r="BC35" s="102" t="s">
        <v>73</v>
      </c>
      <c r="BD35" s="102" t="s">
        <v>73</v>
      </c>
      <c r="BE35" s="102" t="s">
        <v>73</v>
      </c>
      <c r="BF35" s="102" t="s">
        <v>73</v>
      </c>
      <c r="BG35" s="102" t="s">
        <v>73</v>
      </c>
      <c r="BH35" s="100">
        <v>1143</v>
      </c>
      <c r="BI35">
        <f>BH35</f>
        <v>1143</v>
      </c>
      <c r="BJ35" s="100" t="s">
        <v>73</v>
      </c>
      <c r="BK35" s="100" t="s">
        <v>73</v>
      </c>
      <c r="BL35" s="100" t="s">
        <v>73</v>
      </c>
      <c r="BM35" s="100" t="s">
        <v>73</v>
      </c>
      <c r="BN35" s="100" t="s">
        <v>73</v>
      </c>
      <c r="BO35" s="100" t="s">
        <v>73</v>
      </c>
      <c r="BP35" s="100" t="s">
        <v>73</v>
      </c>
      <c r="BQ35" s="100" t="s">
        <v>73</v>
      </c>
      <c r="BR35" s="100" t="s">
        <v>73</v>
      </c>
      <c r="BS35" s="100" t="s">
        <v>73</v>
      </c>
      <c r="BT35" s="100">
        <v>0</v>
      </c>
      <c r="BU35" s="100">
        <v>0</v>
      </c>
      <c r="BV35" s="100">
        <v>1</v>
      </c>
      <c r="BW35" s="30">
        <f>((AZ35^2)/(AZ35^2+BH35))^(1/2)</f>
        <v>9.1234229157469829E-2</v>
      </c>
      <c r="BX35" s="30">
        <f>0.5*LN((1+BW35)/(1-BW35))</f>
        <v>9.1488635914083044E-2</v>
      </c>
      <c r="BY35" s="30">
        <f>((1-(BX35^2)^2)/(BH35-1))</f>
        <v>8.7559539426075063E-4</v>
      </c>
      <c r="BZ35" s="30">
        <f>1/(BH35-3)</f>
        <v>8.7719298245614037E-4</v>
      </c>
      <c r="CA35" s="92" t="s">
        <v>73</v>
      </c>
      <c r="CB35">
        <f>BH35-2</f>
        <v>1141</v>
      </c>
      <c r="CC35" s="92" t="s">
        <v>73</v>
      </c>
      <c r="CD35" s="30">
        <f>((AZ35^2)/(AZ35^2+BI35))^(1/2)</f>
        <v>9.1234229157469829E-2</v>
      </c>
      <c r="CE35" s="30">
        <f>0.5*LN((1+CD35)/(1-CD35))</f>
        <v>9.1488635914083044E-2</v>
      </c>
      <c r="CF35" s="30">
        <f>((1-(CE35^2)^2)/(BI35-1))</f>
        <v>8.7559539426075063E-4</v>
      </c>
      <c r="CG35" s="30">
        <f>1/(BI35-3)</f>
        <v>8.7719298245614037E-4</v>
      </c>
      <c r="CH35"/>
    </row>
    <row r="36" spans="1:86" s="92" customFormat="1">
      <c r="A36" s="92" t="s">
        <v>68</v>
      </c>
      <c r="B36" s="92">
        <v>19</v>
      </c>
      <c r="C36" s="92">
        <v>1128</v>
      </c>
      <c r="D36" s="92">
        <v>128</v>
      </c>
      <c r="E36" s="92" t="s">
        <v>347</v>
      </c>
      <c r="F36" s="92">
        <v>2014</v>
      </c>
      <c r="G36" s="92" t="s">
        <v>348</v>
      </c>
      <c r="H36" s="131" t="s">
        <v>349</v>
      </c>
      <c r="I36" s="92">
        <v>2</v>
      </c>
      <c r="J36" s="92">
        <v>2014</v>
      </c>
      <c r="K36" s="92" t="s">
        <v>73</v>
      </c>
      <c r="L36" s="92">
        <v>133</v>
      </c>
      <c r="M36" s="203" t="s">
        <v>155</v>
      </c>
      <c r="N36" s="92" t="s">
        <v>227</v>
      </c>
      <c r="O36" s="112" t="s">
        <v>350</v>
      </c>
      <c r="P36" s="92" t="s">
        <v>294</v>
      </c>
      <c r="Q36" s="92" t="s">
        <v>312</v>
      </c>
      <c r="R36" t="s">
        <v>313</v>
      </c>
      <c r="S36" s="92">
        <v>1</v>
      </c>
      <c r="T36" s="92" t="s">
        <v>342</v>
      </c>
      <c r="U36" s="92">
        <v>1</v>
      </c>
      <c r="V36" s="92" t="s">
        <v>232</v>
      </c>
      <c r="W36" s="92" t="s">
        <v>232</v>
      </c>
      <c r="X36" s="92" t="s">
        <v>73</v>
      </c>
      <c r="Y36" s="92">
        <v>0</v>
      </c>
      <c r="Z36" s="92">
        <v>0</v>
      </c>
      <c r="AA36" s="92">
        <v>1</v>
      </c>
      <c r="AB36" s="92">
        <v>0</v>
      </c>
      <c r="AC36" s="92">
        <v>0</v>
      </c>
      <c r="AD36" s="92">
        <v>0</v>
      </c>
      <c r="AE36" s="92">
        <v>0</v>
      </c>
      <c r="AF36" s="92">
        <v>0</v>
      </c>
      <c r="AG36" s="92" t="s">
        <v>351</v>
      </c>
      <c r="AH36" s="92">
        <v>0</v>
      </c>
      <c r="AI36" s="92">
        <v>0</v>
      </c>
      <c r="AJ36" s="92">
        <v>0</v>
      </c>
      <c r="AK36" s="92">
        <v>0</v>
      </c>
      <c r="AL36" s="92">
        <v>0</v>
      </c>
      <c r="AM36" s="92">
        <v>0</v>
      </c>
      <c r="AN36" s="92">
        <v>0</v>
      </c>
      <c r="AO36" s="92">
        <v>0</v>
      </c>
      <c r="AP36" s="92">
        <v>1</v>
      </c>
      <c r="AQ36" s="92" t="s">
        <v>73</v>
      </c>
      <c r="AR36" s="92" t="s">
        <v>234</v>
      </c>
      <c r="AS36" s="92" t="s">
        <v>296</v>
      </c>
      <c r="AT36" s="92" t="s">
        <v>236</v>
      </c>
      <c r="AU36" s="189">
        <v>0.47499999999999998</v>
      </c>
      <c r="AV36" s="157" t="s">
        <v>80</v>
      </c>
      <c r="AW36" s="131">
        <v>0.26700000000000002</v>
      </c>
      <c r="AX36" s="92">
        <v>0.1</v>
      </c>
      <c r="AY36" s="92">
        <v>1</v>
      </c>
      <c r="AZ36" s="131">
        <f>AU36/AW36</f>
        <v>1.7790262172284643</v>
      </c>
      <c r="BA36" s="105">
        <f>EXP(AU36)/(1+EXP(AU36))</f>
        <v>0.61656650452131923</v>
      </c>
      <c r="BB36" s="92" t="s">
        <v>73</v>
      </c>
      <c r="BC36" s="92" t="s">
        <v>73</v>
      </c>
      <c r="BD36" s="92" t="s">
        <v>73</v>
      </c>
      <c r="BE36" s="92" t="s">
        <v>73</v>
      </c>
      <c r="BF36" s="92" t="s">
        <v>73</v>
      </c>
      <c r="BG36" s="92" t="s">
        <v>73</v>
      </c>
      <c r="BH36" s="131">
        <v>504</v>
      </c>
      <c r="BI36" s="92">
        <v>504</v>
      </c>
      <c r="BJ36" s="92" t="s">
        <v>73</v>
      </c>
      <c r="BK36" s="92" t="s">
        <v>73</v>
      </c>
      <c r="BL36" s="92" t="s">
        <v>73</v>
      </c>
      <c r="BM36" s="92" t="s">
        <v>73</v>
      </c>
      <c r="BN36" s="92" t="s">
        <v>73</v>
      </c>
      <c r="BO36" s="92">
        <v>0</v>
      </c>
      <c r="BP36" s="92" t="s">
        <v>73</v>
      </c>
      <c r="BQ36" s="92">
        <v>0</v>
      </c>
      <c r="BR36" s="92" t="s">
        <v>73</v>
      </c>
      <c r="BS36" s="92" t="s">
        <v>316</v>
      </c>
      <c r="BT36" s="92">
        <v>0</v>
      </c>
      <c r="BU36" s="92">
        <v>0</v>
      </c>
      <c r="BV36" s="92">
        <v>1</v>
      </c>
      <c r="BW36" s="30">
        <f>((AZ36^2)/(AZ36^2+BH36))^(1/2)</f>
        <v>7.8996479816553555E-2</v>
      </c>
      <c r="BX36" s="30">
        <f>0.5*LN((1+BW36)/(1-BW36))</f>
        <v>7.9161422211521337E-2</v>
      </c>
      <c r="BY36" s="30">
        <f>((1-(BX36^2)^2)/(BH36-1))</f>
        <v>1.9879935001832043E-3</v>
      </c>
      <c r="BZ36" s="30">
        <f>1/(BH36-3)</f>
        <v>1.996007984031936E-3</v>
      </c>
      <c r="CA36" s="92" t="s">
        <v>73</v>
      </c>
      <c r="CB36">
        <f>BH36-2</f>
        <v>502</v>
      </c>
      <c r="CC36" s="92" t="s">
        <v>73</v>
      </c>
      <c r="CD36" s="30">
        <f>((AZ36^2)/(AZ36^2+BI36))^(1/2)</f>
        <v>7.8996479816553555E-2</v>
      </c>
      <c r="CE36" s="30">
        <f>0.5*LN((1+CD36)/(1-CD36))</f>
        <v>7.9161422211521337E-2</v>
      </c>
      <c r="CF36" s="30">
        <f>((1-(CE36^2)^2)/(BI36-1))</f>
        <v>1.9879935001832043E-3</v>
      </c>
      <c r="CG36" s="30">
        <f>1/(BI36-3)</f>
        <v>1.996007984031936E-3</v>
      </c>
      <c r="CH36" s="119"/>
    </row>
    <row r="37" spans="1:86" s="92" customFormat="1">
      <c r="A37" s="92" t="s">
        <v>68</v>
      </c>
      <c r="B37" s="92">
        <v>19</v>
      </c>
      <c r="C37" s="92">
        <v>1129</v>
      </c>
      <c r="D37" s="92">
        <v>128</v>
      </c>
      <c r="E37" s="92" t="s">
        <v>347</v>
      </c>
      <c r="F37" s="92">
        <v>2014</v>
      </c>
      <c r="G37" s="92" t="s">
        <v>348</v>
      </c>
      <c r="H37" s="131" t="s">
        <v>349</v>
      </c>
      <c r="I37" s="92">
        <v>2</v>
      </c>
      <c r="J37" s="92">
        <v>2014</v>
      </c>
      <c r="K37" s="92" t="s">
        <v>73</v>
      </c>
      <c r="L37" s="92">
        <v>133</v>
      </c>
      <c r="M37" s="203" t="s">
        <v>155</v>
      </c>
      <c r="N37" s="92" t="s">
        <v>227</v>
      </c>
      <c r="O37" s="112" t="s">
        <v>350</v>
      </c>
      <c r="P37" s="92" t="s">
        <v>294</v>
      </c>
      <c r="Q37" s="92" t="s">
        <v>312</v>
      </c>
      <c r="R37" t="s">
        <v>313</v>
      </c>
      <c r="S37" s="92">
        <v>1</v>
      </c>
      <c r="T37" s="92" t="s">
        <v>342</v>
      </c>
      <c r="U37" s="92">
        <v>1</v>
      </c>
      <c r="V37" s="92" t="s">
        <v>232</v>
      </c>
      <c r="W37" s="92" t="s">
        <v>232</v>
      </c>
      <c r="X37" s="92" t="s">
        <v>73</v>
      </c>
      <c r="Y37" s="92">
        <v>0</v>
      </c>
      <c r="Z37" s="92">
        <v>0</v>
      </c>
      <c r="AA37" s="92">
        <v>1</v>
      </c>
      <c r="AB37" s="92">
        <v>0</v>
      </c>
      <c r="AC37" s="92">
        <v>0</v>
      </c>
      <c r="AD37" s="92">
        <v>0</v>
      </c>
      <c r="AE37" s="92">
        <v>0</v>
      </c>
      <c r="AF37" s="92">
        <v>0</v>
      </c>
      <c r="AG37" s="92" t="s">
        <v>351</v>
      </c>
      <c r="AH37" s="92">
        <v>0</v>
      </c>
      <c r="AI37" s="92">
        <v>0</v>
      </c>
      <c r="AJ37" s="92">
        <v>0</v>
      </c>
      <c r="AK37" s="92">
        <v>0</v>
      </c>
      <c r="AL37" s="92">
        <v>0</v>
      </c>
      <c r="AM37" s="92">
        <v>0</v>
      </c>
      <c r="AN37" s="92">
        <v>0</v>
      </c>
      <c r="AO37" s="92">
        <v>0</v>
      </c>
      <c r="AP37" s="92">
        <v>1</v>
      </c>
      <c r="AQ37" s="92" t="s">
        <v>73</v>
      </c>
      <c r="AR37" s="92" t="s">
        <v>234</v>
      </c>
      <c r="AS37" s="92" t="s">
        <v>296</v>
      </c>
      <c r="AT37" s="92" t="s">
        <v>236</v>
      </c>
      <c r="AU37" s="189">
        <v>0.22800000000000001</v>
      </c>
      <c r="AV37" s="157" t="s">
        <v>80</v>
      </c>
      <c r="AW37" s="131">
        <v>0.26900000000000002</v>
      </c>
      <c r="AX37" s="92" t="s">
        <v>73</v>
      </c>
      <c r="AY37" s="92">
        <v>3</v>
      </c>
      <c r="AZ37" s="131">
        <f>AU37/AW37</f>
        <v>0.84758364312267653</v>
      </c>
      <c r="BA37" s="105">
        <f>EXP(AU37)/(1+EXP(AU37))</f>
        <v>0.55675435289294073</v>
      </c>
      <c r="BB37" s="92" t="s">
        <v>73</v>
      </c>
      <c r="BC37" s="92" t="s">
        <v>73</v>
      </c>
      <c r="BD37" s="92" t="s">
        <v>73</v>
      </c>
      <c r="BE37" s="92" t="s">
        <v>73</v>
      </c>
      <c r="BF37" s="92" t="s">
        <v>73</v>
      </c>
      <c r="BG37" s="92" t="s">
        <v>73</v>
      </c>
      <c r="BH37" s="131">
        <v>504</v>
      </c>
      <c r="BI37" s="92">
        <v>504</v>
      </c>
      <c r="BJ37" s="92" t="s">
        <v>73</v>
      </c>
      <c r="BK37" s="92" t="s">
        <v>73</v>
      </c>
      <c r="BL37" s="92" t="s">
        <v>73</v>
      </c>
      <c r="BM37" s="92" t="s">
        <v>73</v>
      </c>
      <c r="BN37" s="92" t="s">
        <v>73</v>
      </c>
      <c r="BO37" s="92">
        <v>0</v>
      </c>
      <c r="BP37" s="92" t="s">
        <v>73</v>
      </c>
      <c r="BQ37" s="92">
        <v>0</v>
      </c>
      <c r="BR37" s="92" t="s">
        <v>73</v>
      </c>
      <c r="BS37" s="92" t="s">
        <v>345</v>
      </c>
      <c r="BT37" s="92">
        <v>0</v>
      </c>
      <c r="BU37" s="92">
        <v>0</v>
      </c>
      <c r="BV37" s="92">
        <v>1</v>
      </c>
      <c r="BW37" s="30">
        <f>((AZ37^2)/(AZ37^2+BH37))^(1/2)</f>
        <v>3.7727497501766814E-2</v>
      </c>
      <c r="BX37" s="30">
        <f>0.5*LN((1+BW37)/(1-BW37))</f>
        <v>3.7745412792349338E-2</v>
      </c>
      <c r="BY37" s="30">
        <f>((1-(BX37^2)^2)/(BH37-1))</f>
        <v>1.9880675351566339E-3</v>
      </c>
      <c r="BZ37" s="30">
        <f>1/(BH37-3)</f>
        <v>1.996007984031936E-3</v>
      </c>
      <c r="CA37" s="92" t="s">
        <v>73</v>
      </c>
      <c r="CB37">
        <f>BH37-2</f>
        <v>502</v>
      </c>
      <c r="CC37" s="92" t="s">
        <v>73</v>
      </c>
      <c r="CD37" s="30">
        <f>((AZ37^2)/(AZ37^2+BI37))^(1/2)</f>
        <v>3.7727497501766814E-2</v>
      </c>
      <c r="CE37" s="30">
        <f>0.5*LN((1+CD37)/(1-CD37))</f>
        <v>3.7745412792349338E-2</v>
      </c>
      <c r="CF37" s="30">
        <f>((1-(CE37^2)^2)/(BI37-1))</f>
        <v>1.9880675351566339E-3</v>
      </c>
      <c r="CG37" s="30">
        <f>1/(BI37-3)</f>
        <v>1.996007984031936E-3</v>
      </c>
      <c r="CH37"/>
    </row>
    <row r="38" spans="1:86" s="119" customFormat="1">
      <c r="A38" s="92" t="s">
        <v>68</v>
      </c>
      <c r="B38" s="92">
        <v>19</v>
      </c>
      <c r="C38" s="92">
        <v>1130</v>
      </c>
      <c r="D38" s="92">
        <v>128</v>
      </c>
      <c r="E38" s="92" t="s">
        <v>347</v>
      </c>
      <c r="F38" s="92">
        <v>2014</v>
      </c>
      <c r="G38" s="92" t="s">
        <v>348</v>
      </c>
      <c r="H38" s="131" t="s">
        <v>349</v>
      </c>
      <c r="I38" s="92">
        <v>2</v>
      </c>
      <c r="J38" s="92">
        <v>2014</v>
      </c>
      <c r="K38" s="92" t="s">
        <v>73</v>
      </c>
      <c r="L38" s="92">
        <v>133</v>
      </c>
      <c r="M38" s="203" t="s">
        <v>155</v>
      </c>
      <c r="N38" s="92" t="s">
        <v>227</v>
      </c>
      <c r="O38" s="112" t="s">
        <v>350</v>
      </c>
      <c r="P38" s="92" t="s">
        <v>294</v>
      </c>
      <c r="Q38" s="92" t="s">
        <v>312</v>
      </c>
      <c r="R38" t="s">
        <v>313</v>
      </c>
      <c r="S38" s="92">
        <v>1</v>
      </c>
      <c r="T38" s="92" t="s">
        <v>342</v>
      </c>
      <c r="U38" s="92">
        <v>1</v>
      </c>
      <c r="V38" s="92" t="s">
        <v>232</v>
      </c>
      <c r="W38" s="92" t="s">
        <v>232</v>
      </c>
      <c r="X38" s="92" t="s">
        <v>73</v>
      </c>
      <c r="Y38" s="92">
        <v>0</v>
      </c>
      <c r="Z38" s="92">
        <v>0</v>
      </c>
      <c r="AA38" s="92">
        <v>1</v>
      </c>
      <c r="AB38" s="92">
        <v>0</v>
      </c>
      <c r="AC38" s="92">
        <v>0</v>
      </c>
      <c r="AD38" s="92">
        <v>0</v>
      </c>
      <c r="AE38" s="92">
        <v>0</v>
      </c>
      <c r="AF38" s="92">
        <v>0</v>
      </c>
      <c r="AG38" s="92" t="s">
        <v>351</v>
      </c>
      <c r="AH38" s="92">
        <v>0</v>
      </c>
      <c r="AI38" s="92">
        <v>0</v>
      </c>
      <c r="AJ38" s="92">
        <v>0</v>
      </c>
      <c r="AK38" s="92">
        <v>0</v>
      </c>
      <c r="AL38" s="92">
        <v>0</v>
      </c>
      <c r="AM38" s="92">
        <v>0</v>
      </c>
      <c r="AN38" s="92">
        <v>0</v>
      </c>
      <c r="AO38" s="92">
        <v>0</v>
      </c>
      <c r="AP38" s="92">
        <v>1</v>
      </c>
      <c r="AQ38" s="92" t="s">
        <v>73</v>
      </c>
      <c r="AR38" s="92" t="s">
        <v>234</v>
      </c>
      <c r="AS38" t="s">
        <v>296</v>
      </c>
      <c r="AT38" s="92" t="s">
        <v>236</v>
      </c>
      <c r="AU38" s="189">
        <v>4.4999999999999998E-2</v>
      </c>
      <c r="AV38" s="157" t="s">
        <v>80</v>
      </c>
      <c r="AW38" s="131">
        <v>0.27100000000000002</v>
      </c>
      <c r="AX38" s="92" t="s">
        <v>73</v>
      </c>
      <c r="AY38" s="92">
        <v>3</v>
      </c>
      <c r="AZ38" s="131">
        <f>AU38/AW38</f>
        <v>0.16605166051660514</v>
      </c>
      <c r="BA38" s="105">
        <f>EXP(AU38)/(1+EXP(AU38))</f>
        <v>0.51124810194685477</v>
      </c>
      <c r="BB38" s="92" t="s">
        <v>73</v>
      </c>
      <c r="BC38" s="92" t="s">
        <v>73</v>
      </c>
      <c r="BD38" s="92" t="s">
        <v>73</v>
      </c>
      <c r="BE38" s="92" t="s">
        <v>73</v>
      </c>
      <c r="BF38" s="92" t="s">
        <v>73</v>
      </c>
      <c r="BG38" s="92" t="s">
        <v>73</v>
      </c>
      <c r="BH38" s="131">
        <v>504</v>
      </c>
      <c r="BI38" s="92">
        <v>504</v>
      </c>
      <c r="BJ38" s="92" t="s">
        <v>73</v>
      </c>
      <c r="BK38" s="92" t="s">
        <v>73</v>
      </c>
      <c r="BL38" s="92" t="s">
        <v>73</v>
      </c>
      <c r="BM38" s="92" t="s">
        <v>73</v>
      </c>
      <c r="BN38" s="92" t="s">
        <v>73</v>
      </c>
      <c r="BO38" s="92">
        <v>0</v>
      </c>
      <c r="BP38" s="92" t="s">
        <v>73</v>
      </c>
      <c r="BQ38" s="92">
        <v>0</v>
      </c>
      <c r="BR38" s="92" t="s">
        <v>73</v>
      </c>
      <c r="BS38" s="92" t="s">
        <v>333</v>
      </c>
      <c r="BT38" s="92">
        <v>0</v>
      </c>
      <c r="BU38" s="92">
        <v>0</v>
      </c>
      <c r="BV38" s="92">
        <v>1</v>
      </c>
      <c r="BW38" s="30">
        <f>((AZ38^2)/(AZ38^2+BH38))^(1/2)</f>
        <v>7.3963265165038466E-3</v>
      </c>
      <c r="BX38" s="30">
        <f>0.5*LN((1+BW38)/(1-BW38))</f>
        <v>7.396461394537558E-3</v>
      </c>
      <c r="BY38" s="30">
        <f>((1-(BX38^2)^2)/(BH38-1))</f>
        <v>1.9880715646263896E-3</v>
      </c>
      <c r="BZ38" s="30">
        <f>1/(BH38-3)</f>
        <v>1.996007984031936E-3</v>
      </c>
      <c r="CA38" s="92" t="s">
        <v>73</v>
      </c>
      <c r="CB38">
        <f>BH38-2</f>
        <v>502</v>
      </c>
      <c r="CC38" s="92" t="s">
        <v>73</v>
      </c>
      <c r="CD38" s="30">
        <f>((AZ38^2)/(AZ38^2+BI38))^(1/2)</f>
        <v>7.3963265165038466E-3</v>
      </c>
      <c r="CE38" s="30">
        <f>0.5*LN((1+CD38)/(1-CD38))</f>
        <v>7.396461394537558E-3</v>
      </c>
      <c r="CF38" s="30">
        <f>((1-(CE38^2)^2)/(BI38-1))</f>
        <v>1.9880715646263896E-3</v>
      </c>
      <c r="CG38" s="30">
        <f>1/(BI38-3)</f>
        <v>1.996007984031936E-3</v>
      </c>
      <c r="CH38"/>
    </row>
    <row r="39" spans="1:86" s="92" customFormat="1">
      <c r="A39" s="92" t="s">
        <v>68</v>
      </c>
      <c r="B39" s="92">
        <v>19</v>
      </c>
      <c r="C39" s="92">
        <v>1131</v>
      </c>
      <c r="D39" s="92">
        <v>128</v>
      </c>
      <c r="E39" s="92" t="s">
        <v>347</v>
      </c>
      <c r="F39" s="92">
        <v>2014</v>
      </c>
      <c r="G39" s="92" t="s">
        <v>348</v>
      </c>
      <c r="H39" s="131" t="s">
        <v>349</v>
      </c>
      <c r="I39" s="92">
        <v>2</v>
      </c>
      <c r="J39" s="92">
        <v>2014</v>
      </c>
      <c r="K39" s="92" t="s">
        <v>73</v>
      </c>
      <c r="L39" s="92">
        <v>133</v>
      </c>
      <c r="M39" s="203" t="s">
        <v>155</v>
      </c>
      <c r="N39" s="92" t="s">
        <v>227</v>
      </c>
      <c r="O39" s="112" t="s">
        <v>350</v>
      </c>
      <c r="P39" s="92" t="s">
        <v>294</v>
      </c>
      <c r="Q39" s="92" t="s">
        <v>312</v>
      </c>
      <c r="R39" t="s">
        <v>313</v>
      </c>
      <c r="S39" s="92">
        <v>1</v>
      </c>
      <c r="T39" s="92" t="s">
        <v>342</v>
      </c>
      <c r="U39" s="92">
        <v>1</v>
      </c>
      <c r="V39" s="92" t="s">
        <v>232</v>
      </c>
      <c r="W39" s="92" t="s">
        <v>232</v>
      </c>
      <c r="X39" s="92" t="s">
        <v>73</v>
      </c>
      <c r="Y39" s="92">
        <v>0</v>
      </c>
      <c r="Z39" s="92">
        <v>0</v>
      </c>
      <c r="AA39" s="92">
        <v>1</v>
      </c>
      <c r="AB39" s="92">
        <v>0</v>
      </c>
      <c r="AC39" s="92">
        <v>0</v>
      </c>
      <c r="AD39" s="92">
        <v>0</v>
      </c>
      <c r="AE39" s="92">
        <v>0</v>
      </c>
      <c r="AF39" s="92">
        <v>0</v>
      </c>
      <c r="AG39" s="92" t="s">
        <v>351</v>
      </c>
      <c r="AH39" s="92">
        <v>1</v>
      </c>
      <c r="AI39" s="92">
        <v>0</v>
      </c>
      <c r="AJ39" s="92">
        <v>0</v>
      </c>
      <c r="AK39" s="92">
        <v>0</v>
      </c>
      <c r="AL39" s="92">
        <v>0</v>
      </c>
      <c r="AM39" s="92">
        <v>0</v>
      </c>
      <c r="AN39" s="92">
        <v>0</v>
      </c>
      <c r="AO39" s="92">
        <v>0</v>
      </c>
      <c r="AP39" s="92">
        <v>0</v>
      </c>
      <c r="AQ39" s="92" t="s">
        <v>73</v>
      </c>
      <c r="AR39" s="92" t="s">
        <v>234</v>
      </c>
      <c r="AS39" t="s">
        <v>296</v>
      </c>
      <c r="AT39" s="92" t="s">
        <v>236</v>
      </c>
      <c r="AU39" s="189">
        <v>0.184</v>
      </c>
      <c r="AV39" s="157" t="s">
        <v>80</v>
      </c>
      <c r="AW39" s="131">
        <v>0.26900000000000002</v>
      </c>
      <c r="AX39" s="92" t="s">
        <v>73</v>
      </c>
      <c r="AY39" s="92">
        <v>3</v>
      </c>
      <c r="AZ39" s="131">
        <f>AU39/AW39</f>
        <v>0.68401486988847582</v>
      </c>
      <c r="BA39" s="105">
        <f>EXP(AU39)/(1+EXP(AU39))</f>
        <v>0.54587065655419365</v>
      </c>
      <c r="BB39" s="92" t="s">
        <v>73</v>
      </c>
      <c r="BC39" s="92" t="s">
        <v>73</v>
      </c>
      <c r="BD39" s="92" t="s">
        <v>73</v>
      </c>
      <c r="BE39" s="92" t="s">
        <v>73</v>
      </c>
      <c r="BF39" s="92" t="s">
        <v>73</v>
      </c>
      <c r="BG39" s="92" t="s">
        <v>73</v>
      </c>
      <c r="BH39" s="131">
        <v>504</v>
      </c>
      <c r="BI39" s="92">
        <v>504</v>
      </c>
      <c r="BJ39" s="92" t="s">
        <v>73</v>
      </c>
      <c r="BK39" s="92" t="s">
        <v>73</v>
      </c>
      <c r="BL39" s="92" t="s">
        <v>73</v>
      </c>
      <c r="BM39" s="92" t="s">
        <v>73</v>
      </c>
      <c r="BN39" s="92" t="s">
        <v>73</v>
      </c>
      <c r="BO39" s="92">
        <v>0</v>
      </c>
      <c r="BP39" s="92" t="s">
        <v>73</v>
      </c>
      <c r="BQ39" s="92">
        <v>0</v>
      </c>
      <c r="BR39" s="92" t="s">
        <v>73</v>
      </c>
      <c r="BS39" s="92" t="s">
        <v>316</v>
      </c>
      <c r="BT39" s="92">
        <v>0</v>
      </c>
      <c r="BU39" s="92">
        <v>0</v>
      </c>
      <c r="BV39" s="92">
        <v>1</v>
      </c>
      <c r="BW39" s="30">
        <f>((AZ39^2)/(AZ39^2+BH39))^(1/2)</f>
        <v>3.0454311448901306E-2</v>
      </c>
      <c r="BX39" s="30">
        <f>0.5*LN((1+BW39)/(1-BW39))</f>
        <v>3.0463731795209874E-2</v>
      </c>
      <c r="BY39" s="30">
        <f>((1-(BX39^2)^2)/(BH39-1))</f>
        <v>1.988069858337372E-3</v>
      </c>
      <c r="BZ39" s="30">
        <f>1/(BH39-3)</f>
        <v>1.996007984031936E-3</v>
      </c>
      <c r="CA39" s="92" t="s">
        <v>73</v>
      </c>
      <c r="CB39">
        <f>BH39-2</f>
        <v>502</v>
      </c>
      <c r="CC39" s="92" t="s">
        <v>73</v>
      </c>
      <c r="CD39" s="30">
        <f>((AZ39^2)/(AZ39^2+BI39))^(1/2)</f>
        <v>3.0454311448901306E-2</v>
      </c>
      <c r="CE39" s="30">
        <f>0.5*LN((1+CD39)/(1-CD39))</f>
        <v>3.0463731795209874E-2</v>
      </c>
      <c r="CF39" s="30">
        <f>((1-(CE39^2)^2)/(BI39-1))</f>
        <v>1.988069858337372E-3</v>
      </c>
      <c r="CG39" s="30">
        <f>1/(BI39-3)</f>
        <v>1.996007984031936E-3</v>
      </c>
      <c r="CH39"/>
    </row>
    <row r="40" spans="1:86" s="92" customFormat="1">
      <c r="A40" s="92" t="s">
        <v>68</v>
      </c>
      <c r="B40" s="92">
        <v>19</v>
      </c>
      <c r="C40" s="92">
        <v>1132</v>
      </c>
      <c r="D40" s="92">
        <v>128</v>
      </c>
      <c r="E40" s="92" t="s">
        <v>347</v>
      </c>
      <c r="F40" s="92">
        <v>2014</v>
      </c>
      <c r="G40" s="92" t="s">
        <v>348</v>
      </c>
      <c r="H40" s="131" t="s">
        <v>349</v>
      </c>
      <c r="I40" s="92">
        <v>2</v>
      </c>
      <c r="J40" s="92">
        <v>2014</v>
      </c>
      <c r="K40" s="92" t="s">
        <v>73</v>
      </c>
      <c r="L40" s="92">
        <v>133</v>
      </c>
      <c r="M40" s="203" t="s">
        <v>155</v>
      </c>
      <c r="N40" s="92" t="s">
        <v>227</v>
      </c>
      <c r="O40" s="112" t="s">
        <v>350</v>
      </c>
      <c r="P40" s="92" t="s">
        <v>294</v>
      </c>
      <c r="Q40" s="92" t="s">
        <v>312</v>
      </c>
      <c r="R40" t="s">
        <v>313</v>
      </c>
      <c r="S40" s="92">
        <v>1</v>
      </c>
      <c r="T40" s="92" t="s">
        <v>342</v>
      </c>
      <c r="U40" s="92">
        <v>1</v>
      </c>
      <c r="V40" s="92" t="s">
        <v>232</v>
      </c>
      <c r="W40" s="92" t="s">
        <v>232</v>
      </c>
      <c r="X40" s="92" t="s">
        <v>73</v>
      </c>
      <c r="Y40" s="92">
        <v>0</v>
      </c>
      <c r="Z40" s="92">
        <v>0</v>
      </c>
      <c r="AA40" s="92">
        <v>1</v>
      </c>
      <c r="AB40" s="92">
        <v>0</v>
      </c>
      <c r="AC40" s="92">
        <v>0</v>
      </c>
      <c r="AD40" s="92">
        <v>0</v>
      </c>
      <c r="AE40" s="92">
        <v>0</v>
      </c>
      <c r="AF40" s="92">
        <v>0</v>
      </c>
      <c r="AG40" s="92" t="s">
        <v>351</v>
      </c>
      <c r="AH40" s="92">
        <v>1</v>
      </c>
      <c r="AI40" s="92">
        <v>0</v>
      </c>
      <c r="AJ40" s="92">
        <v>0</v>
      </c>
      <c r="AK40" s="92">
        <v>0</v>
      </c>
      <c r="AL40" s="92">
        <v>0</v>
      </c>
      <c r="AM40" s="92">
        <v>0</v>
      </c>
      <c r="AN40" s="92">
        <v>0</v>
      </c>
      <c r="AO40" s="92">
        <v>0</v>
      </c>
      <c r="AP40" s="92">
        <v>0</v>
      </c>
      <c r="AQ40" s="92" t="s">
        <v>73</v>
      </c>
      <c r="AR40" s="92" t="s">
        <v>234</v>
      </c>
      <c r="AS40" t="s">
        <v>296</v>
      </c>
      <c r="AT40" s="92" t="s">
        <v>236</v>
      </c>
      <c r="AU40" s="189">
        <v>0.26500000000000001</v>
      </c>
      <c r="AV40" s="157" t="s">
        <v>86</v>
      </c>
      <c r="AW40" s="131">
        <v>0.27300000000000002</v>
      </c>
      <c r="AX40" s="92" t="s">
        <v>73</v>
      </c>
      <c r="AY40" s="92">
        <v>3</v>
      </c>
      <c r="AZ40" s="131">
        <f>AU40/AW40</f>
        <v>0.97069597069597069</v>
      </c>
      <c r="BA40" s="105">
        <f>EXP(AU40)/(1+EXP(AU40))</f>
        <v>0.56586500289548169</v>
      </c>
      <c r="BB40" s="92" t="s">
        <v>73</v>
      </c>
      <c r="BC40" s="92" t="s">
        <v>73</v>
      </c>
      <c r="BD40" s="92" t="s">
        <v>73</v>
      </c>
      <c r="BE40" s="92" t="s">
        <v>73</v>
      </c>
      <c r="BF40" s="92" t="s">
        <v>73</v>
      </c>
      <c r="BG40" s="92" t="s">
        <v>73</v>
      </c>
      <c r="BH40" s="131">
        <v>504</v>
      </c>
      <c r="BI40" s="92">
        <v>504</v>
      </c>
      <c r="BJ40" s="92" t="s">
        <v>73</v>
      </c>
      <c r="BK40" s="92" t="s">
        <v>73</v>
      </c>
      <c r="BL40" s="92" t="s">
        <v>73</v>
      </c>
      <c r="BM40" s="92" t="s">
        <v>73</v>
      </c>
      <c r="BN40" s="92" t="s">
        <v>73</v>
      </c>
      <c r="BO40" s="92">
        <v>0</v>
      </c>
      <c r="BP40" s="92" t="s">
        <v>73</v>
      </c>
      <c r="BQ40" s="92">
        <v>0</v>
      </c>
      <c r="BR40" s="92" t="s">
        <v>73</v>
      </c>
      <c r="BS40" s="92" t="s">
        <v>345</v>
      </c>
      <c r="BT40" s="92">
        <v>0</v>
      </c>
      <c r="BU40" s="92">
        <v>0</v>
      </c>
      <c r="BV40" s="92">
        <v>1</v>
      </c>
      <c r="BW40" s="30">
        <f>((AZ40^2)/(AZ40^2+BH40))^(1/2)</f>
        <v>4.3197873779519926E-2</v>
      </c>
      <c r="BX40" s="30">
        <f>0.5*LN((1+BW40)/(1-BW40))</f>
        <v>4.322477379226973E-2</v>
      </c>
      <c r="BY40" s="30">
        <f>((1-(BX40^2)^2)/(BH40-1))</f>
        <v>1.9880646305212315E-3</v>
      </c>
      <c r="BZ40" s="30">
        <f>1/(BH40-3)</f>
        <v>1.996007984031936E-3</v>
      </c>
      <c r="CA40" s="92" t="s">
        <v>73</v>
      </c>
      <c r="CB40">
        <f>BH40-2</f>
        <v>502</v>
      </c>
      <c r="CC40" s="92" t="s">
        <v>73</v>
      </c>
      <c r="CD40" s="30">
        <f>((AZ40^2)/(AZ40^2+BI40))^(1/2)</f>
        <v>4.3197873779519926E-2</v>
      </c>
      <c r="CE40" s="30">
        <f>0.5*LN((1+CD40)/(1-CD40))</f>
        <v>4.322477379226973E-2</v>
      </c>
      <c r="CF40" s="30">
        <f>((1-(CE40^2)^2)/(BI40-1))</f>
        <v>1.9880646305212315E-3</v>
      </c>
      <c r="CG40" s="30">
        <f>1/(BI40-3)</f>
        <v>1.996007984031936E-3</v>
      </c>
      <c r="CH40"/>
    </row>
    <row r="41" spans="1:86">
      <c r="A41" s="92" t="s">
        <v>68</v>
      </c>
      <c r="B41" s="92">
        <v>19</v>
      </c>
      <c r="C41" s="92">
        <v>1133</v>
      </c>
      <c r="D41" s="92">
        <v>128</v>
      </c>
      <c r="E41" s="92" t="s">
        <v>347</v>
      </c>
      <c r="F41" s="92">
        <v>2014</v>
      </c>
      <c r="G41" s="92" t="s">
        <v>348</v>
      </c>
      <c r="H41" s="131" t="s">
        <v>349</v>
      </c>
      <c r="I41" s="92">
        <v>2</v>
      </c>
      <c r="J41" s="92">
        <v>2014</v>
      </c>
      <c r="K41" s="92" t="s">
        <v>73</v>
      </c>
      <c r="L41" s="92">
        <v>133</v>
      </c>
      <c r="M41" s="203" t="s">
        <v>155</v>
      </c>
      <c r="N41" s="92" t="s">
        <v>227</v>
      </c>
      <c r="O41" s="112" t="s">
        <v>350</v>
      </c>
      <c r="P41" s="92" t="s">
        <v>294</v>
      </c>
      <c r="Q41" s="92" t="s">
        <v>312</v>
      </c>
      <c r="R41" t="s">
        <v>313</v>
      </c>
      <c r="S41" s="92">
        <v>1</v>
      </c>
      <c r="T41" s="92" t="s">
        <v>342</v>
      </c>
      <c r="U41" s="92">
        <v>1</v>
      </c>
      <c r="V41" s="92" t="s">
        <v>232</v>
      </c>
      <c r="W41" s="92" t="s">
        <v>232</v>
      </c>
      <c r="X41" s="92" t="s">
        <v>73</v>
      </c>
      <c r="Y41" s="92">
        <v>0</v>
      </c>
      <c r="Z41" s="92">
        <v>0</v>
      </c>
      <c r="AA41" s="92">
        <v>1</v>
      </c>
      <c r="AB41" s="92">
        <v>0</v>
      </c>
      <c r="AC41" s="92">
        <v>0</v>
      </c>
      <c r="AD41" s="92">
        <v>0</v>
      </c>
      <c r="AE41" s="92">
        <v>0</v>
      </c>
      <c r="AF41" s="92">
        <v>0</v>
      </c>
      <c r="AG41" s="92" t="s">
        <v>351</v>
      </c>
      <c r="AH41" s="92">
        <v>1</v>
      </c>
      <c r="AI41" s="92">
        <v>0</v>
      </c>
      <c r="AJ41" s="92">
        <v>0</v>
      </c>
      <c r="AK41" s="92">
        <v>0</v>
      </c>
      <c r="AL41" s="92">
        <v>0</v>
      </c>
      <c r="AM41" s="92">
        <v>0</v>
      </c>
      <c r="AN41" s="92">
        <v>0</v>
      </c>
      <c r="AO41" s="92">
        <v>0</v>
      </c>
      <c r="AP41" s="92">
        <v>0</v>
      </c>
      <c r="AQ41" s="92" t="s">
        <v>73</v>
      </c>
      <c r="AR41" s="92" t="s">
        <v>234</v>
      </c>
      <c r="AS41" t="s">
        <v>296</v>
      </c>
      <c r="AT41" s="92" t="s">
        <v>236</v>
      </c>
      <c r="AU41" s="189">
        <v>0.34599999999999997</v>
      </c>
      <c r="AV41" s="157" t="s">
        <v>80</v>
      </c>
      <c r="AW41" s="131">
        <v>0.26800000000000002</v>
      </c>
      <c r="AX41" s="92" t="s">
        <v>73</v>
      </c>
      <c r="AY41" s="92">
        <v>3</v>
      </c>
      <c r="AZ41" s="131">
        <f>AU41/AW41</f>
        <v>1.2910447761194028</v>
      </c>
      <c r="BA41" s="105">
        <f>EXP(AU41)/(1+EXP(AU41))</f>
        <v>0.58564725444237853</v>
      </c>
      <c r="BB41" s="92" t="s">
        <v>73</v>
      </c>
      <c r="BC41" s="92" t="s">
        <v>73</v>
      </c>
      <c r="BD41" s="92" t="s">
        <v>73</v>
      </c>
      <c r="BE41" s="92" t="s">
        <v>73</v>
      </c>
      <c r="BF41" s="92" t="s">
        <v>73</v>
      </c>
      <c r="BG41" s="92" t="s">
        <v>73</v>
      </c>
      <c r="BH41" s="131">
        <v>504</v>
      </c>
      <c r="BI41" s="92">
        <v>504</v>
      </c>
      <c r="BJ41" s="92" t="s">
        <v>73</v>
      </c>
      <c r="BK41" s="92" t="s">
        <v>73</v>
      </c>
      <c r="BL41" s="92" t="s">
        <v>73</v>
      </c>
      <c r="BM41" s="92" t="s">
        <v>73</v>
      </c>
      <c r="BN41" s="92" t="s">
        <v>73</v>
      </c>
      <c r="BO41" s="92">
        <v>0</v>
      </c>
      <c r="BP41" s="92" t="s">
        <v>73</v>
      </c>
      <c r="BQ41" s="92">
        <v>0</v>
      </c>
      <c r="BR41" s="92" t="s">
        <v>73</v>
      </c>
      <c r="BS41" s="92" t="s">
        <v>333</v>
      </c>
      <c r="BT41" s="92">
        <v>0</v>
      </c>
      <c r="BU41" s="92">
        <v>0</v>
      </c>
      <c r="BV41" s="92">
        <v>1</v>
      </c>
      <c r="BW41" s="30">
        <f>((AZ41^2)/(AZ41^2+BH41))^(1/2)</f>
        <v>5.7412847349308176E-2</v>
      </c>
      <c r="BX41" s="30">
        <f>0.5*LN((1+BW41)/(1-BW41))</f>
        <v>5.7476054483562668E-2</v>
      </c>
      <c r="BY41" s="30">
        <f>((1-(BX41^2)^2)/(BH41-1))</f>
        <v>1.9880498745698505E-3</v>
      </c>
      <c r="BZ41" s="30">
        <f>1/(BH41-3)</f>
        <v>1.996007984031936E-3</v>
      </c>
      <c r="CA41" s="92" t="s">
        <v>73</v>
      </c>
      <c r="CB41">
        <f>BH41-2</f>
        <v>502</v>
      </c>
      <c r="CC41" s="92" t="s">
        <v>73</v>
      </c>
      <c r="CD41" s="30">
        <f>((AZ41^2)/(AZ41^2+BI41))^(1/2)</f>
        <v>5.7412847349308176E-2</v>
      </c>
      <c r="CE41" s="30">
        <f>0.5*LN((1+CD41)/(1-CD41))</f>
        <v>5.7476054483562668E-2</v>
      </c>
      <c r="CF41" s="30">
        <f>((1-(CE41^2)^2)/(BI41-1))</f>
        <v>1.9880498745698505E-3</v>
      </c>
      <c r="CG41" s="30">
        <f>1/(BI41-3)</f>
        <v>1.996007984031936E-3</v>
      </c>
    </row>
    <row r="42" spans="1:86">
      <c r="A42" s="11" t="s">
        <v>68</v>
      </c>
      <c r="B42" s="11">
        <v>10</v>
      </c>
      <c r="C42" s="11">
        <v>1014</v>
      </c>
      <c r="D42" s="11">
        <v>105</v>
      </c>
      <c r="E42" s="11" t="s">
        <v>250</v>
      </c>
      <c r="F42" s="11">
        <v>2019</v>
      </c>
      <c r="G42" t="s">
        <v>251</v>
      </c>
      <c r="H42" t="s">
        <v>252</v>
      </c>
      <c r="I42" s="18">
        <v>2</v>
      </c>
      <c r="J42" s="10" t="s">
        <v>253</v>
      </c>
      <c r="K42" s="11" t="s">
        <v>73</v>
      </c>
      <c r="L42" s="18">
        <v>230</v>
      </c>
      <c r="M42" s="202" t="s">
        <v>155</v>
      </c>
      <c r="N42" s="92" t="s">
        <v>227</v>
      </c>
      <c r="O42" s="18" t="s">
        <v>254</v>
      </c>
      <c r="P42" s="18" t="s">
        <v>243</v>
      </c>
      <c r="Q42" t="s">
        <v>244</v>
      </c>
      <c r="R42" t="s">
        <v>255</v>
      </c>
      <c r="S42">
        <v>1</v>
      </c>
      <c r="T42" t="s">
        <v>189</v>
      </c>
      <c r="U42">
        <v>1</v>
      </c>
      <c r="V42" s="18" t="s">
        <v>246</v>
      </c>
      <c r="W42" s="18" t="s">
        <v>232</v>
      </c>
      <c r="X42" s="18" t="s">
        <v>256</v>
      </c>
      <c r="Y42" s="18">
        <v>0</v>
      </c>
      <c r="Z42" s="18">
        <v>1</v>
      </c>
      <c r="AA42" s="18">
        <v>0</v>
      </c>
      <c r="AB42" s="18">
        <v>0</v>
      </c>
      <c r="AC42" s="18">
        <v>0</v>
      </c>
      <c r="AD42" s="18">
        <v>0</v>
      </c>
      <c r="AE42" s="11">
        <v>0</v>
      </c>
      <c r="AF42" s="11">
        <v>0</v>
      </c>
      <c r="AG42" s="18" t="s">
        <v>73</v>
      </c>
      <c r="AH42" s="18">
        <v>0</v>
      </c>
      <c r="AI42" s="18">
        <v>0</v>
      </c>
      <c r="AJ42" s="18">
        <v>0</v>
      </c>
      <c r="AK42" s="18">
        <v>0</v>
      </c>
      <c r="AL42" s="18">
        <v>0</v>
      </c>
      <c r="AM42" s="18">
        <v>1</v>
      </c>
      <c r="AN42" s="18">
        <v>0</v>
      </c>
      <c r="AO42" s="18">
        <v>0</v>
      </c>
      <c r="AP42" s="18">
        <v>0</v>
      </c>
      <c r="AQ42" s="138" t="s">
        <v>73</v>
      </c>
      <c r="AR42" t="s">
        <v>234</v>
      </c>
      <c r="AS42" s="10" t="s">
        <v>257</v>
      </c>
      <c r="AT42" s="10" t="s">
        <v>236</v>
      </c>
      <c r="AU42" s="187">
        <v>5.0000000000000001E-3</v>
      </c>
      <c r="AV42" s="7" t="s">
        <v>86</v>
      </c>
      <c r="AW42" s="18">
        <v>0.109</v>
      </c>
      <c r="AX42" s="18">
        <v>0.1</v>
      </c>
      <c r="AY42" s="18">
        <v>2</v>
      </c>
      <c r="AZ42">
        <f>AU42/AW42</f>
        <v>4.5871559633027525E-2</v>
      </c>
      <c r="BA42" s="105">
        <f>EXP(AU42)/(1+EXP(AU42))</f>
        <v>0.50124999739583986</v>
      </c>
      <c r="BB42" s="11" t="s">
        <v>73</v>
      </c>
      <c r="BC42" s="18">
        <v>71</v>
      </c>
      <c r="BD42" s="11" t="s">
        <v>73</v>
      </c>
      <c r="BE42" s="11" t="s">
        <v>73</v>
      </c>
      <c r="BF42">
        <v>85</v>
      </c>
      <c r="BG42" s="11" t="s">
        <v>73</v>
      </c>
      <c r="BH42">
        <v>156</v>
      </c>
      <c r="BI42">
        <v>156</v>
      </c>
      <c r="BJ42" s="11" t="s">
        <v>73</v>
      </c>
      <c r="BK42" s="11" t="s">
        <v>73</v>
      </c>
      <c r="BL42" s="11" t="s">
        <v>73</v>
      </c>
      <c r="BM42" s="11" t="s">
        <v>73</v>
      </c>
      <c r="BN42" s="11" t="s">
        <v>73</v>
      </c>
      <c r="BO42" s="11" t="s">
        <v>73</v>
      </c>
      <c r="BP42" s="11" t="s">
        <v>73</v>
      </c>
      <c r="BQ42" s="11" t="s">
        <v>73</v>
      </c>
      <c r="BR42" s="11" t="s">
        <v>73</v>
      </c>
      <c r="BS42" s="11" t="s">
        <v>73</v>
      </c>
      <c r="BT42" s="18">
        <v>0</v>
      </c>
      <c r="BU42" s="18">
        <v>0</v>
      </c>
      <c r="BV42" s="18">
        <v>0</v>
      </c>
      <c r="BW42" s="30">
        <f>((AZ42^2)/(AZ42^2+BH42))^(1/2)</f>
        <v>3.6726393090550187E-3</v>
      </c>
      <c r="BX42" s="30">
        <f>0.5*LN((1+BW42)/(1-BW42))</f>
        <v>3.6726558217171222E-3</v>
      </c>
      <c r="BY42" s="30">
        <f>((1-(BX42^2)^2)/(BH42-1))</f>
        <v>6.4516129020520197E-3</v>
      </c>
      <c r="BZ42" s="30">
        <f>1/(BH42-3)</f>
        <v>6.5359477124183009E-3</v>
      </c>
      <c r="CA42" s="92" t="s">
        <v>73</v>
      </c>
      <c r="CB42">
        <f>BH42-2</f>
        <v>154</v>
      </c>
      <c r="CC42" s="92" t="s">
        <v>73</v>
      </c>
      <c r="CD42" s="30">
        <f>((AZ42^2)/(AZ42^2+BI42))^(1/2)</f>
        <v>3.6726393090550187E-3</v>
      </c>
      <c r="CE42" s="30">
        <f>0.5*LN((1+CD42)/(1-CD42))</f>
        <v>3.6726558217171222E-3</v>
      </c>
      <c r="CF42" s="30">
        <f>((1-(CE42^2)^2)/(BI42-1))</f>
        <v>6.4516129020520197E-3</v>
      </c>
      <c r="CG42" s="30">
        <f>1/(BI42-3)</f>
        <v>6.5359477124183009E-3</v>
      </c>
      <c r="CH42" s="119"/>
    </row>
    <row r="43" spans="1:86">
      <c r="A43" s="11" t="s">
        <v>68</v>
      </c>
      <c r="B43" s="11">
        <v>10</v>
      </c>
      <c r="C43" s="11">
        <v>1015</v>
      </c>
      <c r="D43" s="11">
        <v>105</v>
      </c>
      <c r="E43" s="11" t="s">
        <v>250</v>
      </c>
      <c r="F43" s="11">
        <v>2019</v>
      </c>
      <c r="G43" t="s">
        <v>251</v>
      </c>
      <c r="H43" t="s">
        <v>252</v>
      </c>
      <c r="I43" s="18">
        <v>2</v>
      </c>
      <c r="J43" s="10" t="s">
        <v>253</v>
      </c>
      <c r="K43" s="11" t="s">
        <v>73</v>
      </c>
      <c r="L43" s="18">
        <v>230</v>
      </c>
      <c r="M43" s="202" t="s">
        <v>155</v>
      </c>
      <c r="N43" s="92" t="s">
        <v>227</v>
      </c>
      <c r="O43" s="18" t="s">
        <v>254</v>
      </c>
      <c r="P43" s="18" t="s">
        <v>243</v>
      </c>
      <c r="Q43" t="s">
        <v>244</v>
      </c>
      <c r="R43" t="s">
        <v>255</v>
      </c>
      <c r="S43">
        <v>1</v>
      </c>
      <c r="T43" t="s">
        <v>189</v>
      </c>
      <c r="U43">
        <v>1</v>
      </c>
      <c r="V43" s="18" t="s">
        <v>246</v>
      </c>
      <c r="W43" s="18" t="s">
        <v>232</v>
      </c>
      <c r="X43" s="18" t="s">
        <v>256</v>
      </c>
      <c r="Y43" s="18">
        <v>0</v>
      </c>
      <c r="Z43" s="18">
        <v>1</v>
      </c>
      <c r="AA43" s="18">
        <v>0</v>
      </c>
      <c r="AB43" s="18">
        <v>0</v>
      </c>
      <c r="AC43" s="18">
        <v>0</v>
      </c>
      <c r="AD43" s="18">
        <v>1</v>
      </c>
      <c r="AE43" s="11">
        <v>0</v>
      </c>
      <c r="AF43" s="11">
        <v>0</v>
      </c>
      <c r="AG43" s="18" t="s">
        <v>73</v>
      </c>
      <c r="AH43" s="18">
        <v>0</v>
      </c>
      <c r="AI43" s="18">
        <v>0</v>
      </c>
      <c r="AJ43" s="18">
        <v>0</v>
      </c>
      <c r="AK43" s="18">
        <v>0</v>
      </c>
      <c r="AL43" s="18">
        <v>0</v>
      </c>
      <c r="AM43" s="18">
        <v>1</v>
      </c>
      <c r="AN43" s="18">
        <v>0</v>
      </c>
      <c r="AO43" s="18">
        <v>0</v>
      </c>
      <c r="AP43" s="18">
        <v>0</v>
      </c>
      <c r="AQ43" s="138" t="s">
        <v>73</v>
      </c>
      <c r="AR43" t="s">
        <v>234</v>
      </c>
      <c r="AS43" s="10" t="s">
        <v>257</v>
      </c>
      <c r="AT43" s="10" t="s">
        <v>236</v>
      </c>
      <c r="AU43" s="187">
        <v>0.61699999999999999</v>
      </c>
      <c r="AV43" s="7" t="s">
        <v>80</v>
      </c>
      <c r="AW43" s="18">
        <v>0.121</v>
      </c>
      <c r="AX43" s="18">
        <v>0.01</v>
      </c>
      <c r="AY43" s="18">
        <v>1</v>
      </c>
      <c r="AZ43">
        <f>AU43/AW43</f>
        <v>5.0991735537190079</v>
      </c>
      <c r="BA43" s="105">
        <f>EXP(AU43)/(1+EXP(AU43))</f>
        <v>0.64953593830061807</v>
      </c>
      <c r="BB43" s="11" t="s">
        <v>73</v>
      </c>
      <c r="BC43" s="18">
        <v>71</v>
      </c>
      <c r="BD43" s="11" t="s">
        <v>73</v>
      </c>
      <c r="BE43" s="11" t="s">
        <v>73</v>
      </c>
      <c r="BF43">
        <v>77</v>
      </c>
      <c r="BG43" s="11" t="s">
        <v>73</v>
      </c>
      <c r="BH43">
        <v>148</v>
      </c>
      <c r="BI43">
        <v>148</v>
      </c>
      <c r="BJ43" s="11" t="s">
        <v>73</v>
      </c>
      <c r="BK43" s="11" t="s">
        <v>73</v>
      </c>
      <c r="BL43" s="11" t="s">
        <v>73</v>
      </c>
      <c r="BM43" s="11" t="s">
        <v>73</v>
      </c>
      <c r="BN43" s="11" t="s">
        <v>73</v>
      </c>
      <c r="BO43" s="11" t="s">
        <v>73</v>
      </c>
      <c r="BP43" s="11" t="s">
        <v>73</v>
      </c>
      <c r="BQ43" s="11" t="s">
        <v>73</v>
      </c>
      <c r="BR43" s="11" t="s">
        <v>73</v>
      </c>
      <c r="BS43" s="11" t="s">
        <v>73</v>
      </c>
      <c r="BT43" s="18">
        <v>0</v>
      </c>
      <c r="BU43" s="18">
        <v>0</v>
      </c>
      <c r="BV43" s="18">
        <v>0</v>
      </c>
      <c r="BW43" s="30">
        <f>((AZ43^2)/(AZ43^2+BH43))^(1/2)</f>
        <v>0.38656560447568655</v>
      </c>
      <c r="BX43" s="30">
        <f>0.5*LN((1+BW43)/(1-BW43))</f>
        <v>0.40775592843557701</v>
      </c>
      <c r="BY43" s="30">
        <f>((1-(BX43^2)^2)/(BH43-1))</f>
        <v>6.6146665576027192E-3</v>
      </c>
      <c r="BZ43" s="30">
        <f>1/(BH43-3)</f>
        <v>6.8965517241379309E-3</v>
      </c>
      <c r="CA43" s="92" t="s">
        <v>73</v>
      </c>
      <c r="CB43">
        <f>BH43-2</f>
        <v>146</v>
      </c>
      <c r="CC43" s="92" t="s">
        <v>73</v>
      </c>
      <c r="CD43" s="30">
        <f>((AZ43^2)/(AZ43^2+BI43))^(1/2)</f>
        <v>0.38656560447568655</v>
      </c>
      <c r="CE43" s="30">
        <f>0.5*LN((1+CD43)/(1-CD43))</f>
        <v>0.40775592843557701</v>
      </c>
      <c r="CF43" s="30">
        <f>((1-(CE43^2)^2)/(BI43-1))</f>
        <v>6.6146665576027192E-3</v>
      </c>
      <c r="CG43" s="30">
        <f>1/(BI43-3)</f>
        <v>6.8965517241379309E-3</v>
      </c>
    </row>
    <row r="44" spans="1:86">
      <c r="A44" s="11" t="s">
        <v>68</v>
      </c>
      <c r="B44" s="11">
        <v>10</v>
      </c>
      <c r="C44" s="11">
        <v>1016</v>
      </c>
      <c r="D44" s="11">
        <v>105</v>
      </c>
      <c r="E44" s="11" t="s">
        <v>250</v>
      </c>
      <c r="F44" s="11">
        <v>2019</v>
      </c>
      <c r="G44" t="s">
        <v>251</v>
      </c>
      <c r="H44" t="s">
        <v>252</v>
      </c>
      <c r="I44" s="18">
        <v>2</v>
      </c>
      <c r="J44" s="10" t="s">
        <v>253</v>
      </c>
      <c r="K44" s="11" t="s">
        <v>73</v>
      </c>
      <c r="L44" s="18">
        <v>230</v>
      </c>
      <c r="M44" s="202" t="s">
        <v>155</v>
      </c>
      <c r="N44" s="92" t="s">
        <v>227</v>
      </c>
      <c r="O44" s="18" t="s">
        <v>254</v>
      </c>
      <c r="P44" s="18" t="s">
        <v>243</v>
      </c>
      <c r="Q44" t="s">
        <v>244</v>
      </c>
      <c r="R44" t="s">
        <v>255</v>
      </c>
      <c r="S44">
        <v>1</v>
      </c>
      <c r="T44" t="s">
        <v>189</v>
      </c>
      <c r="U44">
        <v>1</v>
      </c>
      <c r="V44" s="18" t="s">
        <v>246</v>
      </c>
      <c r="W44" s="18" t="s">
        <v>232</v>
      </c>
      <c r="X44" s="18" t="s">
        <v>256</v>
      </c>
      <c r="Y44" s="18">
        <v>0</v>
      </c>
      <c r="Z44" s="18">
        <v>0</v>
      </c>
      <c r="AA44" s="18">
        <v>0</v>
      </c>
      <c r="AB44" s="18">
        <v>0</v>
      </c>
      <c r="AC44" s="18">
        <v>0</v>
      </c>
      <c r="AD44" s="18">
        <v>1</v>
      </c>
      <c r="AE44" s="11">
        <v>0</v>
      </c>
      <c r="AF44" s="11">
        <v>0</v>
      </c>
      <c r="AG44" s="18" t="s">
        <v>73</v>
      </c>
      <c r="AH44" s="18">
        <v>0</v>
      </c>
      <c r="AI44" s="18">
        <v>0</v>
      </c>
      <c r="AJ44" s="18">
        <v>0</v>
      </c>
      <c r="AK44" s="18">
        <v>0</v>
      </c>
      <c r="AL44" s="18">
        <v>0</v>
      </c>
      <c r="AM44" s="18">
        <v>1</v>
      </c>
      <c r="AN44" s="18">
        <v>0</v>
      </c>
      <c r="AO44" s="18">
        <v>0</v>
      </c>
      <c r="AP44" s="18">
        <v>0</v>
      </c>
      <c r="AQ44" s="138" t="s">
        <v>73</v>
      </c>
      <c r="AR44" t="s">
        <v>234</v>
      </c>
      <c r="AS44" s="10" t="s">
        <v>257</v>
      </c>
      <c r="AT44" s="10" t="s">
        <v>236</v>
      </c>
      <c r="AU44" s="187">
        <v>0.214</v>
      </c>
      <c r="AV44" s="18" t="s">
        <v>80</v>
      </c>
      <c r="AW44" s="18">
        <v>8.7999999999999995E-2</v>
      </c>
      <c r="AX44" s="18">
        <v>0.05</v>
      </c>
      <c r="AY44" s="18">
        <v>1</v>
      </c>
      <c r="AZ44">
        <f>AU44/AW44</f>
        <v>2.4318181818181821</v>
      </c>
      <c r="BA44" s="105">
        <f>EXP(AU44)/(1+EXP(AU44))</f>
        <v>0.55329675688810287</v>
      </c>
      <c r="BB44" s="11" t="s">
        <v>73</v>
      </c>
      <c r="BC44" s="18">
        <v>71</v>
      </c>
      <c r="BD44" s="11" t="s">
        <v>73</v>
      </c>
      <c r="BE44" s="11" t="s">
        <v>73</v>
      </c>
      <c r="BF44">
        <v>84</v>
      </c>
      <c r="BG44" s="11" t="s">
        <v>73</v>
      </c>
      <c r="BH44">
        <v>155</v>
      </c>
      <c r="BI44">
        <v>155</v>
      </c>
      <c r="BJ44" s="11" t="s">
        <v>73</v>
      </c>
      <c r="BK44" s="11" t="s">
        <v>73</v>
      </c>
      <c r="BL44" s="11" t="s">
        <v>73</v>
      </c>
      <c r="BM44" s="11" t="s">
        <v>73</v>
      </c>
      <c r="BN44" s="11" t="s">
        <v>73</v>
      </c>
      <c r="BO44" s="11" t="s">
        <v>73</v>
      </c>
      <c r="BP44" s="11" t="s">
        <v>73</v>
      </c>
      <c r="BQ44" s="11" t="s">
        <v>73</v>
      </c>
      <c r="BR44" s="11" t="s">
        <v>73</v>
      </c>
      <c r="BS44" s="11" t="s">
        <v>73</v>
      </c>
      <c r="BT44" s="18">
        <v>0</v>
      </c>
      <c r="BU44" s="18">
        <v>0</v>
      </c>
      <c r="BV44" s="18">
        <v>0</v>
      </c>
      <c r="BW44" s="30">
        <f>((AZ44^2)/(AZ44^2+BH44))^(1/2)</f>
        <v>0.19170548423159203</v>
      </c>
      <c r="BX44" s="30">
        <f>0.5*LN((1+BW44)/(1-BW44))</f>
        <v>0.1941071241446195</v>
      </c>
      <c r="BY44" s="30">
        <f>((1-(BX44^2)^2)/(BH44-1))</f>
        <v>6.4842883135948935E-3</v>
      </c>
      <c r="BZ44" s="30">
        <f>1/(BH44-3)</f>
        <v>6.5789473684210523E-3</v>
      </c>
      <c r="CA44" s="92" t="s">
        <v>73</v>
      </c>
      <c r="CB44">
        <f>BH44-2</f>
        <v>153</v>
      </c>
      <c r="CC44" s="92" t="s">
        <v>73</v>
      </c>
      <c r="CD44" s="30">
        <f>((AZ44^2)/(AZ44^2+BI44))^(1/2)</f>
        <v>0.19170548423159203</v>
      </c>
      <c r="CE44" s="30">
        <f>0.5*LN((1+CD44)/(1-CD44))</f>
        <v>0.1941071241446195</v>
      </c>
      <c r="CF44" s="30">
        <f>((1-(CE44^2)^2)/(BI44-1))</f>
        <v>6.4842883135948935E-3</v>
      </c>
      <c r="CG44" s="30">
        <f>1/(BI44-3)</f>
        <v>6.5789473684210523E-3</v>
      </c>
    </row>
    <row r="45" spans="1:86">
      <c r="A45" s="11" t="s">
        <v>68</v>
      </c>
      <c r="B45" s="11">
        <v>10</v>
      </c>
      <c r="C45" s="11">
        <v>1017</v>
      </c>
      <c r="D45" s="11">
        <v>105</v>
      </c>
      <c r="E45" s="11" t="s">
        <v>250</v>
      </c>
      <c r="F45" s="11">
        <v>2019</v>
      </c>
      <c r="G45" t="s">
        <v>251</v>
      </c>
      <c r="H45" t="s">
        <v>252</v>
      </c>
      <c r="I45" s="18">
        <v>2</v>
      </c>
      <c r="J45" s="10" t="s">
        <v>253</v>
      </c>
      <c r="K45" s="11" t="s">
        <v>73</v>
      </c>
      <c r="L45" s="18">
        <v>230</v>
      </c>
      <c r="M45" s="202" t="s">
        <v>155</v>
      </c>
      <c r="N45" s="92" t="s">
        <v>227</v>
      </c>
      <c r="O45" s="18" t="s">
        <v>254</v>
      </c>
      <c r="P45" s="18" t="s">
        <v>243</v>
      </c>
      <c r="Q45" t="s">
        <v>244</v>
      </c>
      <c r="R45" t="s">
        <v>255</v>
      </c>
      <c r="S45">
        <v>1</v>
      </c>
      <c r="T45" t="s">
        <v>189</v>
      </c>
      <c r="U45">
        <v>1</v>
      </c>
      <c r="V45" s="18" t="s">
        <v>246</v>
      </c>
      <c r="W45" s="18" t="s">
        <v>232</v>
      </c>
      <c r="X45" s="18" t="s">
        <v>256</v>
      </c>
      <c r="Y45" s="18">
        <v>0</v>
      </c>
      <c r="Z45" s="18">
        <v>1</v>
      </c>
      <c r="AA45" s="18">
        <v>0</v>
      </c>
      <c r="AB45" s="18">
        <v>0</v>
      </c>
      <c r="AC45" s="18">
        <v>0</v>
      </c>
      <c r="AD45" s="18">
        <v>0</v>
      </c>
      <c r="AE45" s="11">
        <v>0</v>
      </c>
      <c r="AF45" s="11">
        <v>0</v>
      </c>
      <c r="AG45" s="18" t="s">
        <v>73</v>
      </c>
      <c r="AH45" s="18">
        <v>0</v>
      </c>
      <c r="AI45" s="18">
        <v>0</v>
      </c>
      <c r="AJ45" s="18">
        <v>0</v>
      </c>
      <c r="AK45" s="18">
        <v>0</v>
      </c>
      <c r="AL45" s="18">
        <v>0</v>
      </c>
      <c r="AM45" s="18">
        <v>1</v>
      </c>
      <c r="AN45" s="18">
        <v>0</v>
      </c>
      <c r="AO45" s="18">
        <v>0</v>
      </c>
      <c r="AP45" s="18">
        <v>0</v>
      </c>
      <c r="AQ45" s="138" t="s">
        <v>73</v>
      </c>
      <c r="AR45" t="s">
        <v>234</v>
      </c>
      <c r="AS45" s="10" t="s">
        <v>257</v>
      </c>
      <c r="AT45" s="10" t="s">
        <v>236</v>
      </c>
      <c r="AU45" s="187">
        <v>4.0000000000000001E-3</v>
      </c>
      <c r="AV45" s="7" t="s">
        <v>80</v>
      </c>
      <c r="AW45">
        <v>0.121</v>
      </c>
      <c r="AX45">
        <v>0.1</v>
      </c>
      <c r="AY45">
        <v>2</v>
      </c>
      <c r="AZ45">
        <f>AU45/AW45</f>
        <v>3.3057851239669422E-2</v>
      </c>
      <c r="BA45" s="105">
        <f>EXP(AU45)/(1+EXP(AU45))</f>
        <v>0.50099999866666878</v>
      </c>
      <c r="BB45" s="11" t="s">
        <v>73</v>
      </c>
      <c r="BC45" s="18">
        <v>71</v>
      </c>
      <c r="BD45" s="11" t="s">
        <v>73</v>
      </c>
      <c r="BE45" s="11" t="s">
        <v>73</v>
      </c>
      <c r="BF45">
        <v>85</v>
      </c>
      <c r="BG45" s="11" t="s">
        <v>73</v>
      </c>
      <c r="BH45">
        <v>156</v>
      </c>
      <c r="BI45">
        <v>156</v>
      </c>
      <c r="BJ45" s="11" t="s">
        <v>73</v>
      </c>
      <c r="BK45" s="11" t="s">
        <v>73</v>
      </c>
      <c r="BL45" s="11" t="s">
        <v>73</v>
      </c>
      <c r="BM45" s="11" t="s">
        <v>73</v>
      </c>
      <c r="BN45" s="11" t="s">
        <v>73</v>
      </c>
      <c r="BO45" s="11" t="s">
        <v>73</v>
      </c>
      <c r="BP45" s="11" t="s">
        <v>73</v>
      </c>
      <c r="BQ45" s="11" t="s">
        <v>73</v>
      </c>
      <c r="BR45" s="11" t="s">
        <v>73</v>
      </c>
      <c r="BS45" s="11" t="s">
        <v>73</v>
      </c>
      <c r="BT45" s="18">
        <v>1</v>
      </c>
      <c r="BU45" s="18">
        <v>0</v>
      </c>
      <c r="BV45" s="18">
        <v>1</v>
      </c>
      <c r="BW45" s="30">
        <f>((AZ45^2)/(AZ45^2+BH45))^(1/2)</f>
        <v>2.646737073353082E-3</v>
      </c>
      <c r="BX45" s="30">
        <f>0.5*LN((1+BW45)/(1-BW45))</f>
        <v>2.6467432537016708E-3</v>
      </c>
      <c r="BY45" s="30">
        <f>((1-(BX45^2)^2)/(BH45-1))</f>
        <v>6.4516129029092029E-3</v>
      </c>
      <c r="BZ45" s="30">
        <f>1/(BH45-3)</f>
        <v>6.5359477124183009E-3</v>
      </c>
      <c r="CA45" s="92" t="s">
        <v>73</v>
      </c>
      <c r="CB45">
        <f>BH45-2</f>
        <v>154</v>
      </c>
      <c r="CC45" s="92" t="s">
        <v>73</v>
      </c>
      <c r="CD45" s="30">
        <f>((AZ45^2)/(AZ45^2+BI45))^(1/2)</f>
        <v>2.646737073353082E-3</v>
      </c>
      <c r="CE45" s="30">
        <f>0.5*LN((1+CD45)/(1-CD45))</f>
        <v>2.6467432537016708E-3</v>
      </c>
      <c r="CF45" s="30">
        <f>((1-(CE45^2)^2)/(BI45-1))</f>
        <v>6.4516129029092029E-3</v>
      </c>
      <c r="CG45" s="30">
        <f>1/(BI45-3)</f>
        <v>6.5359477124183009E-3</v>
      </c>
    </row>
    <row r="46" spans="1:86">
      <c r="A46" s="11" t="s">
        <v>68</v>
      </c>
      <c r="B46" s="11">
        <v>10</v>
      </c>
      <c r="C46" s="11">
        <v>1018</v>
      </c>
      <c r="D46" s="11">
        <v>105</v>
      </c>
      <c r="E46" s="11" t="s">
        <v>250</v>
      </c>
      <c r="F46" s="11">
        <v>2019</v>
      </c>
      <c r="G46" t="s">
        <v>251</v>
      </c>
      <c r="H46" t="s">
        <v>252</v>
      </c>
      <c r="I46" s="18">
        <v>2</v>
      </c>
      <c r="J46" s="10" t="s">
        <v>253</v>
      </c>
      <c r="K46" s="11" t="s">
        <v>73</v>
      </c>
      <c r="L46" s="18">
        <v>230</v>
      </c>
      <c r="M46" s="202" t="s">
        <v>155</v>
      </c>
      <c r="N46" s="92" t="s">
        <v>227</v>
      </c>
      <c r="O46" s="18" t="s">
        <v>254</v>
      </c>
      <c r="P46" s="18" t="s">
        <v>243</v>
      </c>
      <c r="Q46" t="s">
        <v>244</v>
      </c>
      <c r="R46" t="s">
        <v>255</v>
      </c>
      <c r="S46">
        <v>1</v>
      </c>
      <c r="T46" t="s">
        <v>189</v>
      </c>
      <c r="U46">
        <v>1</v>
      </c>
      <c r="V46" s="18" t="s">
        <v>246</v>
      </c>
      <c r="W46" s="18" t="s">
        <v>232</v>
      </c>
      <c r="X46" s="18" t="s">
        <v>256</v>
      </c>
      <c r="Y46" s="18">
        <v>0</v>
      </c>
      <c r="Z46" s="18">
        <v>1</v>
      </c>
      <c r="AA46" s="18">
        <v>0</v>
      </c>
      <c r="AB46" s="18">
        <v>0</v>
      </c>
      <c r="AC46" s="18">
        <v>0</v>
      </c>
      <c r="AD46" s="18">
        <v>1</v>
      </c>
      <c r="AE46" s="11">
        <v>0</v>
      </c>
      <c r="AF46" s="11">
        <v>0</v>
      </c>
      <c r="AG46" s="18" t="s">
        <v>73</v>
      </c>
      <c r="AH46" s="18">
        <v>0</v>
      </c>
      <c r="AI46" s="18">
        <v>0</v>
      </c>
      <c r="AJ46" s="18">
        <v>0</v>
      </c>
      <c r="AK46" s="18">
        <v>0</v>
      </c>
      <c r="AL46" s="18">
        <v>0</v>
      </c>
      <c r="AM46" s="18">
        <v>1</v>
      </c>
      <c r="AN46" s="18">
        <v>0</v>
      </c>
      <c r="AO46" s="18">
        <v>0</v>
      </c>
      <c r="AP46" s="18">
        <v>0</v>
      </c>
      <c r="AQ46" s="138" t="s">
        <v>73</v>
      </c>
      <c r="AR46" t="s">
        <v>234</v>
      </c>
      <c r="AS46" s="10" t="s">
        <v>257</v>
      </c>
      <c r="AT46" s="10" t="s">
        <v>236</v>
      </c>
      <c r="AU46" s="187">
        <v>0.629</v>
      </c>
      <c r="AV46" s="7" t="s">
        <v>80</v>
      </c>
      <c r="AW46">
        <v>0.121</v>
      </c>
      <c r="AX46">
        <v>0.01</v>
      </c>
      <c r="AY46">
        <v>1</v>
      </c>
      <c r="AZ46">
        <f>AU46/AW46</f>
        <v>5.1983471074380168</v>
      </c>
      <c r="BA46" s="105">
        <f>EXP(AU46)/(1+EXP(AU46))</f>
        <v>0.65226268066592974</v>
      </c>
      <c r="BB46" s="11" t="s">
        <v>73</v>
      </c>
      <c r="BC46" s="18">
        <v>71</v>
      </c>
      <c r="BD46" s="11" t="s">
        <v>73</v>
      </c>
      <c r="BE46" s="11" t="s">
        <v>73</v>
      </c>
      <c r="BF46">
        <v>77</v>
      </c>
      <c r="BG46" s="11" t="s">
        <v>73</v>
      </c>
      <c r="BH46">
        <v>148</v>
      </c>
      <c r="BI46">
        <v>148</v>
      </c>
      <c r="BJ46" s="11" t="s">
        <v>73</v>
      </c>
      <c r="BK46" s="11" t="s">
        <v>73</v>
      </c>
      <c r="BL46" s="11" t="s">
        <v>73</v>
      </c>
      <c r="BM46" s="11" t="s">
        <v>73</v>
      </c>
      <c r="BN46" s="11" t="s">
        <v>73</v>
      </c>
      <c r="BO46" s="11" t="s">
        <v>73</v>
      </c>
      <c r="BP46" s="11" t="s">
        <v>73</v>
      </c>
      <c r="BQ46" s="11" t="s">
        <v>73</v>
      </c>
      <c r="BR46" s="11" t="s">
        <v>73</v>
      </c>
      <c r="BS46" s="11" t="s">
        <v>73</v>
      </c>
      <c r="BT46" s="18">
        <v>1</v>
      </c>
      <c r="BU46" s="18">
        <v>0</v>
      </c>
      <c r="BV46" s="18">
        <v>1</v>
      </c>
      <c r="BW46" s="30">
        <f>((AZ46^2)/(AZ46^2+BH46))^(1/2)</f>
        <v>0.3929324948845429</v>
      </c>
      <c r="BX46" s="30">
        <f>0.5*LN((1+BW46)/(1-BW46))</f>
        <v>0.41526325821269588</v>
      </c>
      <c r="BY46" s="30">
        <f>((1-(BX46^2)^2)/(BH46-1))</f>
        <v>6.6004300266440307E-3</v>
      </c>
      <c r="BZ46" s="30">
        <f>1/(BH46-3)</f>
        <v>6.8965517241379309E-3</v>
      </c>
      <c r="CA46" s="92" t="s">
        <v>73</v>
      </c>
      <c r="CB46">
        <f>BH46-2</f>
        <v>146</v>
      </c>
      <c r="CC46" s="92" t="s">
        <v>73</v>
      </c>
      <c r="CD46" s="30">
        <f>((AZ46^2)/(AZ46^2+BI46))^(1/2)</f>
        <v>0.3929324948845429</v>
      </c>
      <c r="CE46" s="30">
        <f>0.5*LN((1+CD46)/(1-CD46))</f>
        <v>0.41526325821269588</v>
      </c>
      <c r="CF46" s="30">
        <f>((1-(CE46^2)^2)/(BI46-1))</f>
        <v>6.6004300266440307E-3</v>
      </c>
      <c r="CG46" s="30">
        <f>1/(BI46-3)</f>
        <v>6.8965517241379309E-3</v>
      </c>
    </row>
    <row r="47" spans="1:86" s="92" customFormat="1">
      <c r="A47" s="11" t="s">
        <v>68</v>
      </c>
      <c r="B47" s="11">
        <v>10</v>
      </c>
      <c r="C47" s="11">
        <v>1019</v>
      </c>
      <c r="D47" s="11">
        <v>105</v>
      </c>
      <c r="E47" s="11" t="s">
        <v>250</v>
      </c>
      <c r="F47" s="11">
        <v>2019</v>
      </c>
      <c r="G47" t="s">
        <v>251</v>
      </c>
      <c r="H47" t="s">
        <v>252</v>
      </c>
      <c r="I47" s="18">
        <v>2</v>
      </c>
      <c r="J47" s="10" t="s">
        <v>253</v>
      </c>
      <c r="K47" s="11" t="s">
        <v>73</v>
      </c>
      <c r="L47" s="18">
        <v>230</v>
      </c>
      <c r="M47" s="202" t="s">
        <v>155</v>
      </c>
      <c r="N47" s="92" t="s">
        <v>227</v>
      </c>
      <c r="O47" s="18" t="s">
        <v>254</v>
      </c>
      <c r="P47" s="18" t="s">
        <v>243</v>
      </c>
      <c r="Q47" t="s">
        <v>244</v>
      </c>
      <c r="R47" t="s">
        <v>255</v>
      </c>
      <c r="S47">
        <v>1</v>
      </c>
      <c r="T47" t="s">
        <v>189</v>
      </c>
      <c r="U47">
        <v>1</v>
      </c>
      <c r="V47" s="18" t="s">
        <v>246</v>
      </c>
      <c r="W47" s="18" t="s">
        <v>232</v>
      </c>
      <c r="X47" s="18" t="s">
        <v>256</v>
      </c>
      <c r="Y47" s="18">
        <v>0</v>
      </c>
      <c r="Z47" s="18">
        <v>0</v>
      </c>
      <c r="AA47" s="18">
        <v>0</v>
      </c>
      <c r="AB47" s="18">
        <v>0</v>
      </c>
      <c r="AC47" s="18">
        <v>0</v>
      </c>
      <c r="AD47" s="18">
        <v>1</v>
      </c>
      <c r="AE47" s="11">
        <v>0</v>
      </c>
      <c r="AF47" s="11">
        <v>0</v>
      </c>
      <c r="AG47" s="18" t="s">
        <v>73</v>
      </c>
      <c r="AH47" s="18">
        <v>0</v>
      </c>
      <c r="AI47" s="18">
        <v>0</v>
      </c>
      <c r="AJ47" s="18">
        <v>0</v>
      </c>
      <c r="AK47" s="18">
        <v>0</v>
      </c>
      <c r="AL47" s="18">
        <v>0</v>
      </c>
      <c r="AM47" s="18">
        <v>1</v>
      </c>
      <c r="AN47" s="18">
        <v>0</v>
      </c>
      <c r="AO47" s="18">
        <v>0</v>
      </c>
      <c r="AP47" s="18">
        <v>0</v>
      </c>
      <c r="AQ47" s="138" t="s">
        <v>73</v>
      </c>
      <c r="AR47" t="s">
        <v>234</v>
      </c>
      <c r="AS47" s="10" t="s">
        <v>257</v>
      </c>
      <c r="AT47" s="10" t="s">
        <v>236</v>
      </c>
      <c r="AU47" s="187">
        <v>0.22500000000000001</v>
      </c>
      <c r="AV47" s="18" t="s">
        <v>80</v>
      </c>
      <c r="AW47">
        <v>8.5999999999999993E-2</v>
      </c>
      <c r="AX47">
        <v>0.01</v>
      </c>
      <c r="AY47">
        <v>1</v>
      </c>
      <c r="AZ47">
        <f>AU47/AW47</f>
        <v>2.6162790697674421</v>
      </c>
      <c r="BA47" s="105">
        <f>EXP(AU47)/(1+EXP(AU47))</f>
        <v>0.55601389054461992</v>
      </c>
      <c r="BB47" s="11" t="s">
        <v>73</v>
      </c>
      <c r="BC47" s="18">
        <v>71</v>
      </c>
      <c r="BD47" s="11" t="s">
        <v>73</v>
      </c>
      <c r="BE47" s="11" t="s">
        <v>73</v>
      </c>
      <c r="BF47">
        <v>84</v>
      </c>
      <c r="BG47" s="11" t="s">
        <v>73</v>
      </c>
      <c r="BH47">
        <v>155</v>
      </c>
      <c r="BI47">
        <v>155</v>
      </c>
      <c r="BJ47" s="11" t="s">
        <v>73</v>
      </c>
      <c r="BK47" s="11" t="s">
        <v>73</v>
      </c>
      <c r="BL47" s="11" t="s">
        <v>73</v>
      </c>
      <c r="BM47" s="11" t="s">
        <v>73</v>
      </c>
      <c r="BN47" s="11" t="s">
        <v>73</v>
      </c>
      <c r="BO47" s="11" t="s">
        <v>73</v>
      </c>
      <c r="BP47" s="11" t="s">
        <v>73</v>
      </c>
      <c r="BQ47" s="11" t="s">
        <v>73</v>
      </c>
      <c r="BR47" s="11" t="s">
        <v>73</v>
      </c>
      <c r="BS47" s="11" t="s">
        <v>73</v>
      </c>
      <c r="BT47" s="18">
        <v>1</v>
      </c>
      <c r="BU47" s="18">
        <v>0</v>
      </c>
      <c r="BV47" s="18">
        <v>1</v>
      </c>
      <c r="BW47" s="30">
        <f>((AZ47^2)/(AZ47^2+BH47))^(1/2)</f>
        <v>0.2056527568985681</v>
      </c>
      <c r="BX47" s="30">
        <f>0.5*LN((1+BW47)/(1-BW47))</f>
        <v>0.20862785334941172</v>
      </c>
      <c r="BY47" s="30">
        <f>((1-(BX47^2)^2)/(BH47-1))</f>
        <v>6.4812046998817896E-3</v>
      </c>
      <c r="BZ47" s="30">
        <f>1/(BH47-3)</f>
        <v>6.5789473684210523E-3</v>
      </c>
      <c r="CA47" s="92" t="s">
        <v>73</v>
      </c>
      <c r="CB47">
        <f>BH47-2</f>
        <v>153</v>
      </c>
      <c r="CC47" s="92" t="s">
        <v>73</v>
      </c>
      <c r="CD47" s="30">
        <f>((AZ47^2)/(AZ47^2+BI47))^(1/2)</f>
        <v>0.2056527568985681</v>
      </c>
      <c r="CE47" s="30">
        <f>0.5*LN((1+CD47)/(1-CD47))</f>
        <v>0.20862785334941172</v>
      </c>
      <c r="CF47" s="30">
        <f>((1-(CE47^2)^2)/(BI47-1))</f>
        <v>6.4812046998817896E-3</v>
      </c>
      <c r="CG47" s="30">
        <f>1/(BI47-3)</f>
        <v>6.5789473684210523E-3</v>
      </c>
      <c r="CH47"/>
    </row>
    <row r="48" spans="1:86" s="92" customFormat="1">
      <c r="A48" s="11" t="s">
        <v>68</v>
      </c>
      <c r="B48" s="11">
        <v>7</v>
      </c>
      <c r="C48" s="11">
        <v>1103</v>
      </c>
      <c r="D48">
        <v>120</v>
      </c>
      <c r="E48" t="s">
        <v>318</v>
      </c>
      <c r="F48" s="11">
        <v>2021</v>
      </c>
      <c r="G48" t="s">
        <v>319</v>
      </c>
      <c r="H48" s="22" t="s">
        <v>320</v>
      </c>
      <c r="I48">
        <v>2</v>
      </c>
      <c r="J48">
        <v>2018</v>
      </c>
      <c r="K48" s="10" t="s">
        <v>73</v>
      </c>
      <c r="L48">
        <v>296</v>
      </c>
      <c r="M48" s="202" t="s">
        <v>155</v>
      </c>
      <c r="N48" t="s">
        <v>112</v>
      </c>
      <c r="O48" t="s">
        <v>321</v>
      </c>
      <c r="P48" t="s">
        <v>228</v>
      </c>
      <c r="Q48" t="s">
        <v>312</v>
      </c>
      <c r="R48" t="s">
        <v>313</v>
      </c>
      <c r="S48">
        <v>0</v>
      </c>
      <c r="T48" t="s">
        <v>231</v>
      </c>
      <c r="U48">
        <v>1</v>
      </c>
      <c r="V48" s="18" t="s">
        <v>232</v>
      </c>
      <c r="W48" s="18" t="s">
        <v>232</v>
      </c>
      <c r="X48" s="18" t="s">
        <v>73</v>
      </c>
      <c r="Y48">
        <v>0</v>
      </c>
      <c r="Z48">
        <v>0</v>
      </c>
      <c r="AA48">
        <v>1</v>
      </c>
      <c r="AB48">
        <v>0</v>
      </c>
      <c r="AC48">
        <v>0</v>
      </c>
      <c r="AD48">
        <v>0</v>
      </c>
      <c r="AE48">
        <v>0</v>
      </c>
      <c r="AF48">
        <v>0</v>
      </c>
      <c r="AG48" t="s">
        <v>322</v>
      </c>
      <c r="AH48">
        <v>1</v>
      </c>
      <c r="AI48">
        <v>0</v>
      </c>
      <c r="AJ48">
        <v>0</v>
      </c>
      <c r="AK48">
        <v>0</v>
      </c>
      <c r="AL48">
        <v>0</v>
      </c>
      <c r="AM48">
        <v>0</v>
      </c>
      <c r="AN48" s="32">
        <v>0</v>
      </c>
      <c r="AO48">
        <v>0</v>
      </c>
      <c r="AP48">
        <v>0</v>
      </c>
      <c r="AQ48" t="s">
        <v>323</v>
      </c>
      <c r="AR48" t="s">
        <v>234</v>
      </c>
      <c r="AS48" t="s">
        <v>324</v>
      </c>
      <c r="AT48" t="s">
        <v>236</v>
      </c>
      <c r="AU48" s="187">
        <v>3.1600000000000003E-2</v>
      </c>
      <c r="AV48" s="7" t="s">
        <v>80</v>
      </c>
      <c r="AW48">
        <v>1.66E-2</v>
      </c>
      <c r="AX48">
        <v>0.1</v>
      </c>
      <c r="AY48">
        <v>1</v>
      </c>
      <c r="AZ48">
        <f>AU48/AW48</f>
        <v>1.9036144578313254</v>
      </c>
      <c r="BA48" s="101">
        <f>AU48</f>
        <v>3.1600000000000003E-2</v>
      </c>
      <c r="BB48" t="s">
        <v>73</v>
      </c>
      <c r="BC48" t="s">
        <v>73</v>
      </c>
      <c r="BD48" t="s">
        <v>73</v>
      </c>
      <c r="BE48" t="s">
        <v>73</v>
      </c>
      <c r="BF48" t="s">
        <v>73</v>
      </c>
      <c r="BG48" t="s">
        <v>73</v>
      </c>
      <c r="BH48">
        <v>1350</v>
      </c>
      <c r="BI48">
        <v>1350</v>
      </c>
      <c r="BJ48" t="s">
        <v>73</v>
      </c>
      <c r="BK48" t="s">
        <v>73</v>
      </c>
      <c r="BL48" t="s">
        <v>73</v>
      </c>
      <c r="BM48" t="s">
        <v>73</v>
      </c>
      <c r="BN48" t="s">
        <v>73</v>
      </c>
      <c r="BO48">
        <v>1</v>
      </c>
      <c r="BP48" t="s">
        <v>73</v>
      </c>
      <c r="BQ48">
        <v>0</v>
      </c>
      <c r="BR48" t="s">
        <v>73</v>
      </c>
      <c r="BS48" t="s">
        <v>73</v>
      </c>
      <c r="BT48">
        <v>0</v>
      </c>
      <c r="BU48">
        <v>0</v>
      </c>
      <c r="BV48">
        <v>1</v>
      </c>
      <c r="BW48" s="30">
        <f>((AZ48^2)/(AZ48^2+BH48))^(1/2)</f>
        <v>5.1740427422851322E-2</v>
      </c>
      <c r="BX48" s="30">
        <f>0.5*LN((1+BW48)/(1-BW48))</f>
        <v>5.1786672673630553E-2</v>
      </c>
      <c r="BY48" s="30">
        <f>((1-(BX48^2)^2)/(BH48-1))</f>
        <v>7.4128451269814776E-4</v>
      </c>
      <c r="BZ48" s="30">
        <f>1/(BH48-3)</f>
        <v>7.4239049740163323E-4</v>
      </c>
      <c r="CA48" s="92" t="s">
        <v>73</v>
      </c>
      <c r="CB48">
        <f>BH48-1</f>
        <v>1349</v>
      </c>
      <c r="CC48" s="92" t="s">
        <v>73</v>
      </c>
      <c r="CD48" s="30">
        <f>((AZ48^2)/(AZ48^2+BI48))^(1/2)</f>
        <v>5.1740427422851322E-2</v>
      </c>
      <c r="CE48" s="30">
        <f>0.5*LN((1+CD48)/(1-CD48))</f>
        <v>5.1786672673630553E-2</v>
      </c>
      <c r="CF48" s="30">
        <f>((1-(CE48^2)^2)/(BI48-1))</f>
        <v>7.4128451269814776E-4</v>
      </c>
      <c r="CG48" s="30">
        <f>1/(BI48-3)</f>
        <v>7.4239049740163323E-4</v>
      </c>
    </row>
    <row r="49" spans="1:86" s="92" customFormat="1">
      <c r="A49" s="11" t="s">
        <v>68</v>
      </c>
      <c r="B49" s="11">
        <v>7</v>
      </c>
      <c r="C49" s="11">
        <v>1104</v>
      </c>
      <c r="D49">
        <v>120</v>
      </c>
      <c r="E49" t="s">
        <v>318</v>
      </c>
      <c r="F49" s="11">
        <v>2021</v>
      </c>
      <c r="G49" t="s">
        <v>319</v>
      </c>
      <c r="H49" s="22" t="s">
        <v>320</v>
      </c>
      <c r="I49">
        <v>2</v>
      </c>
      <c r="J49">
        <v>2018</v>
      </c>
      <c r="K49" s="10" t="s">
        <v>73</v>
      </c>
      <c r="L49">
        <v>296</v>
      </c>
      <c r="M49" s="202" t="s">
        <v>155</v>
      </c>
      <c r="N49" t="s">
        <v>112</v>
      </c>
      <c r="O49" t="s">
        <v>321</v>
      </c>
      <c r="P49" t="s">
        <v>228</v>
      </c>
      <c r="Q49" t="s">
        <v>312</v>
      </c>
      <c r="R49" t="s">
        <v>313</v>
      </c>
      <c r="S49">
        <v>0</v>
      </c>
      <c r="T49" t="s">
        <v>231</v>
      </c>
      <c r="U49">
        <v>1</v>
      </c>
      <c r="V49" s="18" t="s">
        <v>232</v>
      </c>
      <c r="W49" s="18" t="s">
        <v>232</v>
      </c>
      <c r="X49" s="18" t="s">
        <v>73</v>
      </c>
      <c r="Y49">
        <v>0</v>
      </c>
      <c r="Z49">
        <v>1</v>
      </c>
      <c r="AA49">
        <v>0</v>
      </c>
      <c r="AB49">
        <v>0</v>
      </c>
      <c r="AC49">
        <v>0</v>
      </c>
      <c r="AD49">
        <v>0</v>
      </c>
      <c r="AE49">
        <v>0</v>
      </c>
      <c r="AF49">
        <v>0</v>
      </c>
      <c r="AG49" t="s">
        <v>322</v>
      </c>
      <c r="AH49">
        <v>1</v>
      </c>
      <c r="AI49">
        <v>0</v>
      </c>
      <c r="AJ49">
        <v>0</v>
      </c>
      <c r="AK49">
        <v>0</v>
      </c>
      <c r="AL49">
        <v>0</v>
      </c>
      <c r="AM49">
        <v>0</v>
      </c>
      <c r="AN49" s="32">
        <v>0</v>
      </c>
      <c r="AO49">
        <v>0</v>
      </c>
      <c r="AP49">
        <v>0</v>
      </c>
      <c r="AQ49" t="s">
        <v>323</v>
      </c>
      <c r="AR49" t="s">
        <v>234</v>
      </c>
      <c r="AS49" t="s">
        <v>324</v>
      </c>
      <c r="AT49" t="s">
        <v>236</v>
      </c>
      <c r="AU49" s="187">
        <v>9.8500000000000004E-2</v>
      </c>
      <c r="AV49" s="7" t="s">
        <v>86</v>
      </c>
      <c r="AW49" s="134">
        <v>0.13600000000000001</v>
      </c>
      <c r="AX49">
        <v>0.1</v>
      </c>
      <c r="AY49">
        <v>2</v>
      </c>
      <c r="AZ49">
        <f>AU49/AW49</f>
        <v>0.72426470588235292</v>
      </c>
      <c r="BA49" s="101">
        <f>AU49</f>
        <v>9.8500000000000004E-2</v>
      </c>
      <c r="BB49" t="s">
        <v>73</v>
      </c>
      <c r="BC49" t="s">
        <v>73</v>
      </c>
      <c r="BD49" t="s">
        <v>73</v>
      </c>
      <c r="BE49" t="s">
        <v>73</v>
      </c>
      <c r="BF49" t="s">
        <v>73</v>
      </c>
      <c r="BG49" t="s">
        <v>73</v>
      </c>
      <c r="BH49">
        <v>1350</v>
      </c>
      <c r="BI49">
        <v>1350</v>
      </c>
      <c r="BJ49" t="s">
        <v>73</v>
      </c>
      <c r="BK49" t="s">
        <v>73</v>
      </c>
      <c r="BL49" t="s">
        <v>73</v>
      </c>
      <c r="BM49" t="s">
        <v>73</v>
      </c>
      <c r="BN49" t="s">
        <v>73</v>
      </c>
      <c r="BO49">
        <v>0</v>
      </c>
      <c r="BP49" t="s">
        <v>73</v>
      </c>
      <c r="BQ49">
        <v>1</v>
      </c>
      <c r="BR49" s="41" t="s">
        <v>73</v>
      </c>
      <c r="BS49" t="s">
        <v>73</v>
      </c>
      <c r="BT49">
        <v>0</v>
      </c>
      <c r="BU49">
        <v>0</v>
      </c>
      <c r="BV49">
        <v>1</v>
      </c>
      <c r="BW49" s="30">
        <f>((AZ49^2)/(AZ49^2+BH49))^(1/2)</f>
        <v>1.97081599806469E-2</v>
      </c>
      <c r="BX49" s="30">
        <f>0.5*LN((1+BW49)/(1-BW49))</f>
        <v>1.9710712201246074E-2</v>
      </c>
      <c r="BY49" s="30">
        <f>((1-(BX49^2)^2)/(BH49-1))</f>
        <v>7.4128973243757566E-4</v>
      </c>
      <c r="BZ49" s="30">
        <f>1/(BH49-3)</f>
        <v>7.4239049740163323E-4</v>
      </c>
      <c r="CA49" s="92" t="s">
        <v>73</v>
      </c>
      <c r="CB49">
        <f>BH49-1</f>
        <v>1349</v>
      </c>
      <c r="CC49" s="92" t="s">
        <v>73</v>
      </c>
      <c r="CD49" s="30">
        <f>((AZ49^2)/(AZ49^2+BI49))^(1/2)</f>
        <v>1.97081599806469E-2</v>
      </c>
      <c r="CE49" s="30">
        <f>0.5*LN((1+CD49)/(1-CD49))</f>
        <v>1.9710712201246074E-2</v>
      </c>
      <c r="CF49" s="30">
        <f>((1-(CE49^2)^2)/(BI49-1))</f>
        <v>7.4128973243757566E-4</v>
      </c>
      <c r="CG49" s="30">
        <f>1/(BI49-3)</f>
        <v>7.4239049740163323E-4</v>
      </c>
    </row>
    <row r="50" spans="1:86" s="92" customFormat="1">
      <c r="A50" s="11" t="s">
        <v>68</v>
      </c>
      <c r="B50" s="11">
        <v>7</v>
      </c>
      <c r="C50" s="11">
        <v>1105</v>
      </c>
      <c r="D50">
        <v>120</v>
      </c>
      <c r="E50" t="s">
        <v>318</v>
      </c>
      <c r="F50" s="11">
        <v>2021</v>
      </c>
      <c r="G50" t="s">
        <v>319</v>
      </c>
      <c r="H50" s="22" t="s">
        <v>320</v>
      </c>
      <c r="I50">
        <v>2</v>
      </c>
      <c r="J50">
        <v>2018</v>
      </c>
      <c r="K50" s="10" t="s">
        <v>73</v>
      </c>
      <c r="L50">
        <v>296</v>
      </c>
      <c r="M50" s="202" t="s">
        <v>155</v>
      </c>
      <c r="N50" t="s">
        <v>112</v>
      </c>
      <c r="O50" t="s">
        <v>321</v>
      </c>
      <c r="P50" t="s">
        <v>228</v>
      </c>
      <c r="Q50" t="s">
        <v>312</v>
      </c>
      <c r="R50" t="s">
        <v>313</v>
      </c>
      <c r="S50">
        <v>0</v>
      </c>
      <c r="T50" t="s">
        <v>231</v>
      </c>
      <c r="U50">
        <v>1</v>
      </c>
      <c r="V50" s="18" t="s">
        <v>232</v>
      </c>
      <c r="W50" s="18" t="s">
        <v>232</v>
      </c>
      <c r="X50" s="18" t="s">
        <v>73</v>
      </c>
      <c r="Y50">
        <v>0</v>
      </c>
      <c r="Z50">
        <v>1</v>
      </c>
      <c r="AA50">
        <v>1</v>
      </c>
      <c r="AB50">
        <v>0</v>
      </c>
      <c r="AC50">
        <v>0</v>
      </c>
      <c r="AD50">
        <v>0</v>
      </c>
      <c r="AE50">
        <v>0</v>
      </c>
      <c r="AF50">
        <v>0</v>
      </c>
      <c r="AG50" t="s">
        <v>322</v>
      </c>
      <c r="AH50">
        <v>1</v>
      </c>
      <c r="AI50">
        <v>0</v>
      </c>
      <c r="AJ50">
        <v>0</v>
      </c>
      <c r="AK50">
        <v>0</v>
      </c>
      <c r="AL50">
        <v>0</v>
      </c>
      <c r="AM50">
        <v>0</v>
      </c>
      <c r="AN50" s="32">
        <v>0</v>
      </c>
      <c r="AO50">
        <v>0</v>
      </c>
      <c r="AP50">
        <v>0</v>
      </c>
      <c r="AQ50" t="s">
        <v>323</v>
      </c>
      <c r="AR50" t="s">
        <v>234</v>
      </c>
      <c r="AS50" t="s">
        <v>324</v>
      </c>
      <c r="AT50" t="s">
        <v>236</v>
      </c>
      <c r="AU50" s="187">
        <v>0.48899999999999999</v>
      </c>
      <c r="AV50" s="7" t="s">
        <v>86</v>
      </c>
      <c r="AW50" s="134">
        <v>0.30299999999999999</v>
      </c>
      <c r="AX50">
        <v>0.1</v>
      </c>
      <c r="AY50">
        <v>2</v>
      </c>
      <c r="AZ50">
        <f>AU50/AW50</f>
        <v>1.613861386138614</v>
      </c>
      <c r="BA50" s="101">
        <f>AU50</f>
        <v>0.48899999999999999</v>
      </c>
      <c r="BB50" t="s">
        <v>73</v>
      </c>
      <c r="BC50" t="s">
        <v>73</v>
      </c>
      <c r="BD50" t="s">
        <v>73</v>
      </c>
      <c r="BE50" t="s">
        <v>73</v>
      </c>
      <c r="BF50" t="s">
        <v>73</v>
      </c>
      <c r="BG50" t="s">
        <v>73</v>
      </c>
      <c r="BH50">
        <v>1350</v>
      </c>
      <c r="BI50">
        <v>1350</v>
      </c>
      <c r="BJ50" t="s">
        <v>73</v>
      </c>
      <c r="BK50" t="s">
        <v>73</v>
      </c>
      <c r="BL50" t="s">
        <v>73</v>
      </c>
      <c r="BM50" t="s">
        <v>73</v>
      </c>
      <c r="BN50" t="s">
        <v>73</v>
      </c>
      <c r="BO50">
        <v>1</v>
      </c>
      <c r="BP50" t="s">
        <v>73</v>
      </c>
      <c r="BQ50">
        <v>1</v>
      </c>
      <c r="BR50" s="41" t="s">
        <v>73</v>
      </c>
      <c r="BS50" t="s">
        <v>73</v>
      </c>
      <c r="BT50">
        <v>0</v>
      </c>
      <c r="BU50">
        <v>0</v>
      </c>
      <c r="BV50">
        <v>1</v>
      </c>
      <c r="BW50" s="30">
        <f>((AZ50^2)/(AZ50^2+BH50))^(1/2)</f>
        <v>4.3881433738989228E-2</v>
      </c>
      <c r="BX50" s="30">
        <f>0.5*LN((1+BW50)/(1-BW50))</f>
        <v>4.3909632065429631E-2</v>
      </c>
      <c r="BY50" s="30">
        <f>((1-(BX50^2)^2)/(BH50-1))</f>
        <v>7.4128708865891613E-4</v>
      </c>
      <c r="BZ50" s="30">
        <f>1/(BH50-3)</f>
        <v>7.4239049740163323E-4</v>
      </c>
      <c r="CA50" s="92" t="s">
        <v>73</v>
      </c>
      <c r="CB50">
        <f>BH50-1</f>
        <v>1349</v>
      </c>
      <c r="CC50" s="92" t="s">
        <v>73</v>
      </c>
      <c r="CD50" s="30">
        <f>((AZ50^2)/(AZ50^2+BI50))^(1/2)</f>
        <v>4.3881433738989228E-2</v>
      </c>
      <c r="CE50" s="30">
        <f>0.5*LN((1+CD50)/(1-CD50))</f>
        <v>4.3909632065429631E-2</v>
      </c>
      <c r="CF50" s="30">
        <f>((1-(CE50^2)^2)/(BI50-1))</f>
        <v>7.4128708865891613E-4</v>
      </c>
      <c r="CG50" s="30">
        <f>1/(BI50-3)</f>
        <v>7.4239049740163323E-4</v>
      </c>
      <c r="CH50" s="119"/>
    </row>
    <row r="51" spans="1:86" s="92" customFormat="1">
      <c r="A51" s="11" t="s">
        <v>68</v>
      </c>
      <c r="B51" s="11">
        <v>7</v>
      </c>
      <c r="C51" s="11">
        <v>1106</v>
      </c>
      <c r="D51">
        <v>120</v>
      </c>
      <c r="E51" t="s">
        <v>318</v>
      </c>
      <c r="F51" s="11">
        <v>2021</v>
      </c>
      <c r="G51" t="s">
        <v>319</v>
      </c>
      <c r="H51" s="22" t="s">
        <v>320</v>
      </c>
      <c r="I51">
        <v>2</v>
      </c>
      <c r="J51">
        <v>2018</v>
      </c>
      <c r="K51" s="10" t="s">
        <v>73</v>
      </c>
      <c r="L51">
        <v>296</v>
      </c>
      <c r="M51" s="202" t="s">
        <v>155</v>
      </c>
      <c r="N51" t="s">
        <v>112</v>
      </c>
      <c r="O51" t="s">
        <v>321</v>
      </c>
      <c r="P51" t="s">
        <v>228</v>
      </c>
      <c r="Q51" t="s">
        <v>312</v>
      </c>
      <c r="R51" t="s">
        <v>313</v>
      </c>
      <c r="S51">
        <v>0</v>
      </c>
      <c r="T51" t="s">
        <v>231</v>
      </c>
      <c r="U51">
        <v>1</v>
      </c>
      <c r="V51" s="18" t="s">
        <v>232</v>
      </c>
      <c r="W51" s="18" t="s">
        <v>232</v>
      </c>
      <c r="X51" s="18" t="s">
        <v>73</v>
      </c>
      <c r="Y51">
        <v>0</v>
      </c>
      <c r="Z51">
        <v>0</v>
      </c>
      <c r="AA51">
        <v>1</v>
      </c>
      <c r="AB51">
        <v>0</v>
      </c>
      <c r="AC51">
        <v>0</v>
      </c>
      <c r="AD51">
        <v>0</v>
      </c>
      <c r="AE51">
        <v>0</v>
      </c>
      <c r="AF51">
        <v>0</v>
      </c>
      <c r="AG51" t="s">
        <v>322</v>
      </c>
      <c r="AH51">
        <v>0</v>
      </c>
      <c r="AI51">
        <v>0</v>
      </c>
      <c r="AJ51">
        <v>0</v>
      </c>
      <c r="AK51">
        <v>1</v>
      </c>
      <c r="AL51">
        <v>0</v>
      </c>
      <c r="AM51">
        <v>0</v>
      </c>
      <c r="AN51" s="32">
        <v>0</v>
      </c>
      <c r="AO51">
        <v>0</v>
      </c>
      <c r="AP51">
        <v>0</v>
      </c>
      <c r="AQ51" s="32" t="s">
        <v>323</v>
      </c>
      <c r="AR51" t="s">
        <v>234</v>
      </c>
      <c r="AS51" t="s">
        <v>324</v>
      </c>
      <c r="AT51" t="s">
        <v>236</v>
      </c>
      <c r="AU51" s="187">
        <v>9.98E-2</v>
      </c>
      <c r="AV51" s="7" t="s">
        <v>80</v>
      </c>
      <c r="AW51" s="134">
        <v>0.14899999999999999</v>
      </c>
      <c r="AX51">
        <v>0.1</v>
      </c>
      <c r="AY51">
        <v>2</v>
      </c>
      <c r="AZ51">
        <f>AU51/AW51</f>
        <v>0.66979865771812086</v>
      </c>
      <c r="BA51" s="101">
        <f>AU51</f>
        <v>9.98E-2</v>
      </c>
      <c r="BB51" t="s">
        <v>73</v>
      </c>
      <c r="BC51" t="s">
        <v>73</v>
      </c>
      <c r="BD51" t="s">
        <v>73</v>
      </c>
      <c r="BE51" t="s">
        <v>73</v>
      </c>
      <c r="BF51" t="s">
        <v>73</v>
      </c>
      <c r="BG51" t="s">
        <v>73</v>
      </c>
      <c r="BH51">
        <v>827</v>
      </c>
      <c r="BI51">
        <v>827</v>
      </c>
      <c r="BJ51" t="s">
        <v>73</v>
      </c>
      <c r="BK51" t="s">
        <v>73</v>
      </c>
      <c r="BL51" t="s">
        <v>73</v>
      </c>
      <c r="BM51" t="s">
        <v>73</v>
      </c>
      <c r="BN51" t="s">
        <v>73</v>
      </c>
      <c r="BO51">
        <v>1</v>
      </c>
      <c r="BP51" t="s">
        <v>73</v>
      </c>
      <c r="BQ51">
        <v>0</v>
      </c>
      <c r="BR51" t="s">
        <v>73</v>
      </c>
      <c r="BS51" t="s">
        <v>73</v>
      </c>
      <c r="BT51">
        <v>0</v>
      </c>
      <c r="BU51">
        <v>0</v>
      </c>
      <c r="BV51">
        <v>1</v>
      </c>
      <c r="BW51" s="30">
        <f>((AZ51^2)/(AZ51^2+BH51))^(1/2)</f>
        <v>2.3284866493189758E-2</v>
      </c>
      <c r="BX51" s="30">
        <f>0.5*LN((1+BW51)/(1-BW51))</f>
        <v>2.3289076097877604E-2</v>
      </c>
      <c r="BY51" s="30">
        <f>((1-(BX51^2)^2)/(BH51-1))</f>
        <v>1.2106533968798787E-3</v>
      </c>
      <c r="BZ51" s="30">
        <f>1/(BH51-3)</f>
        <v>1.2135922330097086E-3</v>
      </c>
      <c r="CA51" s="92" t="s">
        <v>73</v>
      </c>
      <c r="CB51">
        <f>BH51-1</f>
        <v>826</v>
      </c>
      <c r="CC51" s="92" t="s">
        <v>73</v>
      </c>
      <c r="CD51" s="30">
        <f>((AZ51^2)/(AZ51^2+BI51))^(1/2)</f>
        <v>2.3284866493189758E-2</v>
      </c>
      <c r="CE51" s="30">
        <f>0.5*LN((1+CD51)/(1-CD51))</f>
        <v>2.3289076097877604E-2</v>
      </c>
      <c r="CF51" s="30">
        <f>((1-(CE51^2)^2)/(BI51-1))</f>
        <v>1.2106533968798787E-3</v>
      </c>
      <c r="CG51" s="30">
        <f>1/(BI51-3)</f>
        <v>1.2135922330097086E-3</v>
      </c>
    </row>
    <row r="52" spans="1:86" s="92" customFormat="1">
      <c r="A52" s="11" t="s">
        <v>68</v>
      </c>
      <c r="B52" s="11">
        <v>7</v>
      </c>
      <c r="C52" s="11">
        <v>1107</v>
      </c>
      <c r="D52">
        <v>120</v>
      </c>
      <c r="E52" t="s">
        <v>318</v>
      </c>
      <c r="F52" s="11">
        <v>2021</v>
      </c>
      <c r="G52" t="s">
        <v>319</v>
      </c>
      <c r="H52" s="22" t="s">
        <v>320</v>
      </c>
      <c r="I52">
        <v>2</v>
      </c>
      <c r="J52">
        <v>2018</v>
      </c>
      <c r="K52" s="10" t="s">
        <v>73</v>
      </c>
      <c r="L52">
        <v>296</v>
      </c>
      <c r="M52" s="202" t="s">
        <v>155</v>
      </c>
      <c r="N52" t="s">
        <v>112</v>
      </c>
      <c r="O52" t="s">
        <v>321</v>
      </c>
      <c r="P52" t="s">
        <v>228</v>
      </c>
      <c r="Q52" t="s">
        <v>312</v>
      </c>
      <c r="R52" t="s">
        <v>313</v>
      </c>
      <c r="S52">
        <v>0</v>
      </c>
      <c r="T52" t="s">
        <v>231</v>
      </c>
      <c r="U52">
        <v>1</v>
      </c>
      <c r="V52" s="18" t="s">
        <v>232</v>
      </c>
      <c r="W52" s="18" t="s">
        <v>232</v>
      </c>
      <c r="X52" s="18" t="s">
        <v>73</v>
      </c>
      <c r="Y52">
        <v>0</v>
      </c>
      <c r="Z52">
        <v>1</v>
      </c>
      <c r="AA52">
        <v>0</v>
      </c>
      <c r="AB52">
        <v>0</v>
      </c>
      <c r="AC52">
        <v>0</v>
      </c>
      <c r="AD52">
        <v>0</v>
      </c>
      <c r="AE52">
        <v>0</v>
      </c>
      <c r="AF52">
        <v>0</v>
      </c>
      <c r="AG52" t="s">
        <v>322</v>
      </c>
      <c r="AH52">
        <v>0</v>
      </c>
      <c r="AI52">
        <v>0</v>
      </c>
      <c r="AJ52">
        <v>0</v>
      </c>
      <c r="AK52">
        <v>1</v>
      </c>
      <c r="AL52">
        <v>0</v>
      </c>
      <c r="AM52">
        <v>0</v>
      </c>
      <c r="AN52" s="32">
        <v>0</v>
      </c>
      <c r="AO52">
        <v>0</v>
      </c>
      <c r="AP52">
        <v>0</v>
      </c>
      <c r="AQ52" s="32" t="s">
        <v>323</v>
      </c>
      <c r="AR52" t="s">
        <v>234</v>
      </c>
      <c r="AS52" t="s">
        <v>324</v>
      </c>
      <c r="AT52" t="s">
        <v>236</v>
      </c>
      <c r="AU52" s="187">
        <v>0.48599999999999999</v>
      </c>
      <c r="AV52" s="7" t="s">
        <v>80</v>
      </c>
      <c r="AW52" s="134">
        <v>0.20399999999999999</v>
      </c>
      <c r="AX52">
        <v>0.05</v>
      </c>
      <c r="AY52">
        <v>1</v>
      </c>
      <c r="AZ52">
        <f>AU52/AW52</f>
        <v>2.3823529411764706</v>
      </c>
      <c r="BA52" s="101">
        <f>AU52</f>
        <v>0.48599999999999999</v>
      </c>
      <c r="BB52" t="s">
        <v>73</v>
      </c>
      <c r="BC52" t="s">
        <v>73</v>
      </c>
      <c r="BD52" t="s">
        <v>73</v>
      </c>
      <c r="BE52" t="s">
        <v>73</v>
      </c>
      <c r="BF52" t="s">
        <v>73</v>
      </c>
      <c r="BG52" t="s">
        <v>73</v>
      </c>
      <c r="BH52">
        <v>827</v>
      </c>
      <c r="BI52">
        <v>827</v>
      </c>
      <c r="BJ52" t="s">
        <v>73</v>
      </c>
      <c r="BK52" t="s">
        <v>73</v>
      </c>
      <c r="BL52" t="s">
        <v>73</v>
      </c>
      <c r="BM52" t="s">
        <v>73</v>
      </c>
      <c r="BN52" t="s">
        <v>73</v>
      </c>
      <c r="BO52">
        <v>0</v>
      </c>
      <c r="BP52" t="s">
        <v>73</v>
      </c>
      <c r="BQ52">
        <v>1</v>
      </c>
      <c r="BR52" s="41" t="s">
        <v>73</v>
      </c>
      <c r="BS52" t="s">
        <v>73</v>
      </c>
      <c r="BT52">
        <v>0</v>
      </c>
      <c r="BU52">
        <v>0</v>
      </c>
      <c r="BV52">
        <v>1</v>
      </c>
      <c r="BW52" s="30">
        <f>((AZ52^2)/(AZ52^2+BH52))^(1/2)</f>
        <v>8.2559714236340495E-2</v>
      </c>
      <c r="BX52" s="30">
        <f>0.5*LN((1+BW52)/(1-BW52))</f>
        <v>8.2748063723839957E-2</v>
      </c>
      <c r="BY52" s="30">
        <f>((1-(BX52^2)^2)/(BH52-1))</f>
        <v>1.2105969918599373E-3</v>
      </c>
      <c r="BZ52" s="30">
        <f>1/(BH52-3)</f>
        <v>1.2135922330097086E-3</v>
      </c>
      <c r="CA52" s="92" t="s">
        <v>73</v>
      </c>
      <c r="CB52">
        <f>BH52-1</f>
        <v>826</v>
      </c>
      <c r="CC52" s="92" t="s">
        <v>73</v>
      </c>
      <c r="CD52" s="30">
        <f>((AZ52^2)/(AZ52^2+BI52))^(1/2)</f>
        <v>8.2559714236340495E-2</v>
      </c>
      <c r="CE52" s="30">
        <f>0.5*LN((1+CD52)/(1-CD52))</f>
        <v>8.2748063723839957E-2</v>
      </c>
      <c r="CF52" s="30">
        <f>((1-(CE52^2)^2)/(BI52-1))</f>
        <v>1.2105969918599373E-3</v>
      </c>
      <c r="CG52" s="30">
        <f>1/(BI52-3)</f>
        <v>1.2135922330097086E-3</v>
      </c>
      <c r="CH52"/>
    </row>
    <row r="53" spans="1:86" s="95" customFormat="1">
      <c r="A53" s="11" t="s">
        <v>68</v>
      </c>
      <c r="B53" s="11">
        <v>7</v>
      </c>
      <c r="C53" s="11">
        <v>1108</v>
      </c>
      <c r="D53">
        <v>120</v>
      </c>
      <c r="E53" t="s">
        <v>318</v>
      </c>
      <c r="F53" s="11">
        <v>2021</v>
      </c>
      <c r="G53" t="s">
        <v>319</v>
      </c>
      <c r="H53" s="22" t="s">
        <v>320</v>
      </c>
      <c r="I53">
        <v>2</v>
      </c>
      <c r="J53">
        <v>2018</v>
      </c>
      <c r="K53" s="10" t="s">
        <v>73</v>
      </c>
      <c r="L53">
        <v>296</v>
      </c>
      <c r="M53" s="202" t="s">
        <v>155</v>
      </c>
      <c r="N53" t="s">
        <v>112</v>
      </c>
      <c r="O53" t="s">
        <v>321</v>
      </c>
      <c r="P53" t="s">
        <v>228</v>
      </c>
      <c r="Q53" t="s">
        <v>312</v>
      </c>
      <c r="R53" t="s">
        <v>313</v>
      </c>
      <c r="S53">
        <v>0</v>
      </c>
      <c r="T53" t="s">
        <v>231</v>
      </c>
      <c r="U53">
        <v>1</v>
      </c>
      <c r="V53" s="18" t="s">
        <v>232</v>
      </c>
      <c r="W53" s="18" t="s">
        <v>232</v>
      </c>
      <c r="X53" s="18" t="s">
        <v>73</v>
      </c>
      <c r="Y53">
        <v>0</v>
      </c>
      <c r="Z53">
        <v>1</v>
      </c>
      <c r="AA53">
        <v>1</v>
      </c>
      <c r="AB53">
        <v>0</v>
      </c>
      <c r="AC53">
        <v>0</v>
      </c>
      <c r="AD53">
        <v>0</v>
      </c>
      <c r="AE53">
        <v>0</v>
      </c>
      <c r="AF53">
        <v>0</v>
      </c>
      <c r="AG53" t="s">
        <v>322</v>
      </c>
      <c r="AH53">
        <v>0</v>
      </c>
      <c r="AI53">
        <v>0</v>
      </c>
      <c r="AJ53">
        <v>0</v>
      </c>
      <c r="AK53">
        <v>1</v>
      </c>
      <c r="AL53">
        <v>0</v>
      </c>
      <c r="AM53">
        <v>0</v>
      </c>
      <c r="AN53" s="32">
        <v>0</v>
      </c>
      <c r="AO53">
        <v>0</v>
      </c>
      <c r="AP53">
        <v>0</v>
      </c>
      <c r="AQ53" s="32" t="s">
        <v>323</v>
      </c>
      <c r="AR53" t="s">
        <v>234</v>
      </c>
      <c r="AS53" t="s">
        <v>324</v>
      </c>
      <c r="AT53" t="s">
        <v>236</v>
      </c>
      <c r="AU53" s="187">
        <v>0.371</v>
      </c>
      <c r="AV53" s="7" t="s">
        <v>80</v>
      </c>
      <c r="AW53" s="134">
        <v>0.20799999999999999</v>
      </c>
      <c r="AX53">
        <v>0.1</v>
      </c>
      <c r="AY53">
        <v>1</v>
      </c>
      <c r="AZ53">
        <f>AU53/AW53</f>
        <v>1.7836538461538463</v>
      </c>
      <c r="BA53" s="101">
        <f>AU53</f>
        <v>0.371</v>
      </c>
      <c r="BB53" t="s">
        <v>73</v>
      </c>
      <c r="BC53" t="s">
        <v>73</v>
      </c>
      <c r="BD53" t="s">
        <v>73</v>
      </c>
      <c r="BE53" t="s">
        <v>73</v>
      </c>
      <c r="BF53" t="s">
        <v>73</v>
      </c>
      <c r="BG53" t="s">
        <v>73</v>
      </c>
      <c r="BH53">
        <v>827</v>
      </c>
      <c r="BI53">
        <v>827</v>
      </c>
      <c r="BJ53" t="s">
        <v>73</v>
      </c>
      <c r="BK53" t="s">
        <v>73</v>
      </c>
      <c r="BL53" t="s">
        <v>73</v>
      </c>
      <c r="BM53" t="s">
        <v>73</v>
      </c>
      <c r="BN53" t="s">
        <v>73</v>
      </c>
      <c r="BO53">
        <v>1</v>
      </c>
      <c r="BP53" t="s">
        <v>73</v>
      </c>
      <c r="BQ53">
        <v>1</v>
      </c>
      <c r="BR53" s="41" t="s">
        <v>73</v>
      </c>
      <c r="BS53" t="s">
        <v>73</v>
      </c>
      <c r="BT53">
        <v>0</v>
      </c>
      <c r="BU53">
        <v>0</v>
      </c>
      <c r="BV53">
        <v>1</v>
      </c>
      <c r="BW53" s="30">
        <f>((AZ53^2)/(AZ53^2+BH53))^(1/2)</f>
        <v>6.1904763633413101E-2</v>
      </c>
      <c r="BX53" s="30">
        <f>0.5*LN((1+BW53)/(1-BW53))</f>
        <v>6.1984023096366379E-2</v>
      </c>
      <c r="BY53" s="30">
        <f>((1-(BX53^2)^2)/(BH53-1))</f>
        <v>1.2106358824323096E-3</v>
      </c>
      <c r="BZ53" s="30">
        <f>1/(BH53-3)</f>
        <v>1.2135922330097086E-3</v>
      </c>
      <c r="CA53" s="92" t="s">
        <v>73</v>
      </c>
      <c r="CB53">
        <f>BH53-1</f>
        <v>826</v>
      </c>
      <c r="CC53" s="92" t="s">
        <v>73</v>
      </c>
      <c r="CD53" s="30">
        <f>((AZ53^2)/(AZ53^2+BI53))^(1/2)</f>
        <v>6.1904763633413101E-2</v>
      </c>
      <c r="CE53" s="30">
        <f>0.5*LN((1+CD53)/(1-CD53))</f>
        <v>6.1984023096366379E-2</v>
      </c>
      <c r="CF53" s="30">
        <f>((1-(CE53^2)^2)/(BI53-1))</f>
        <v>1.2106358824323096E-3</v>
      </c>
      <c r="CG53" s="30">
        <f>1/(BI53-3)</f>
        <v>1.2135922330097086E-3</v>
      </c>
      <c r="CH53"/>
    </row>
    <row r="54" spans="1:86" s="95" customFormat="1">
      <c r="A54" s="99" t="s">
        <v>68</v>
      </c>
      <c r="B54" s="99">
        <v>25</v>
      </c>
      <c r="C54" s="99">
        <v>1101</v>
      </c>
      <c r="D54" s="102">
        <v>119</v>
      </c>
      <c r="E54" s="112" t="s">
        <v>310</v>
      </c>
      <c r="F54" s="99">
        <v>2006</v>
      </c>
      <c r="G54" s="102" t="s">
        <v>311</v>
      </c>
      <c r="H54" s="159" t="s">
        <v>154</v>
      </c>
      <c r="I54" s="102">
        <v>2</v>
      </c>
      <c r="J54" s="102">
        <v>2005</v>
      </c>
      <c r="K54" s="110" t="s">
        <v>73</v>
      </c>
      <c r="L54" s="102">
        <v>193</v>
      </c>
      <c r="M54" s="205" t="s">
        <v>155</v>
      </c>
      <c r="N54" s="102" t="s">
        <v>112</v>
      </c>
      <c r="O54" s="102" t="s">
        <v>156</v>
      </c>
      <c r="P54" s="102" t="s">
        <v>228</v>
      </c>
      <c r="Q54" s="102" t="s">
        <v>312</v>
      </c>
      <c r="R54" s="102" t="s">
        <v>313</v>
      </c>
      <c r="S54" s="102">
        <v>1</v>
      </c>
      <c r="T54" s="102" t="s">
        <v>231</v>
      </c>
      <c r="U54" s="102">
        <v>0</v>
      </c>
      <c r="V54" s="102" t="s">
        <v>246</v>
      </c>
      <c r="W54" s="102" t="s">
        <v>246</v>
      </c>
      <c r="X54" s="102" t="s">
        <v>157</v>
      </c>
      <c r="Y54" s="102">
        <v>0</v>
      </c>
      <c r="Z54" s="102">
        <v>0</v>
      </c>
      <c r="AA54" s="102">
        <v>1</v>
      </c>
      <c r="AB54" s="102">
        <v>0</v>
      </c>
      <c r="AC54" s="102">
        <v>0</v>
      </c>
      <c r="AD54" s="102">
        <v>0</v>
      </c>
      <c r="AE54" s="102">
        <v>0</v>
      </c>
      <c r="AF54" s="102">
        <v>0</v>
      </c>
      <c r="AG54" s="102" t="s">
        <v>73</v>
      </c>
      <c r="AH54" s="102">
        <v>1</v>
      </c>
      <c r="AI54" s="102">
        <v>0</v>
      </c>
      <c r="AJ54" s="102">
        <v>0</v>
      </c>
      <c r="AK54" s="102">
        <v>0</v>
      </c>
      <c r="AL54" s="102">
        <v>0</v>
      </c>
      <c r="AM54" s="102">
        <v>0</v>
      </c>
      <c r="AN54" s="102">
        <v>0</v>
      </c>
      <c r="AO54" s="102">
        <v>0</v>
      </c>
      <c r="AP54" s="102">
        <v>0</v>
      </c>
      <c r="AQ54" s="102" t="s">
        <v>314</v>
      </c>
      <c r="AR54" s="102" t="s">
        <v>234</v>
      </c>
      <c r="AS54" s="102" t="s">
        <v>315</v>
      </c>
      <c r="AT54" s="92" t="s">
        <v>236</v>
      </c>
      <c r="AU54" s="188">
        <v>0.4874</v>
      </c>
      <c r="AV54" s="111" t="s">
        <v>80</v>
      </c>
      <c r="AW54" s="160">
        <v>9.1800000000000007E-2</v>
      </c>
      <c r="AX54" s="102">
        <v>0.01</v>
      </c>
      <c r="AY54" s="102">
        <v>1</v>
      </c>
      <c r="AZ54" s="102">
        <f>AU54/AW54</f>
        <v>5.3093681917211324</v>
      </c>
      <c r="BA54" s="105">
        <f>EXP(AU54)/(1+EXP(AU54))</f>
        <v>0.61949374780434951</v>
      </c>
      <c r="BB54" s="102" t="s">
        <v>73</v>
      </c>
      <c r="BC54" s="102" t="s">
        <v>73</v>
      </c>
      <c r="BD54" s="102" t="s">
        <v>73</v>
      </c>
      <c r="BE54" s="102" t="s">
        <v>73</v>
      </c>
      <c r="BF54" s="102" t="s">
        <v>73</v>
      </c>
      <c r="BG54" s="102" t="s">
        <v>73</v>
      </c>
      <c r="BH54" s="102">
        <v>151</v>
      </c>
      <c r="BI54" s="102">
        <v>151</v>
      </c>
      <c r="BJ54" s="102" t="s">
        <v>73</v>
      </c>
      <c r="BK54" s="102" t="s">
        <v>73</v>
      </c>
      <c r="BL54" s="102" t="s">
        <v>73</v>
      </c>
      <c r="BM54" s="102" t="s">
        <v>73</v>
      </c>
      <c r="BN54" s="102" t="s">
        <v>73</v>
      </c>
      <c r="BO54" s="102" t="s">
        <v>73</v>
      </c>
      <c r="BP54" s="102" t="s">
        <v>73</v>
      </c>
      <c r="BQ54" s="102" t="s">
        <v>73</v>
      </c>
      <c r="BR54" s="102" t="s">
        <v>73</v>
      </c>
      <c r="BS54" s="102" t="s">
        <v>316</v>
      </c>
      <c r="BT54" s="102">
        <v>0</v>
      </c>
      <c r="BU54" s="102">
        <v>0</v>
      </c>
      <c r="BV54" s="102">
        <v>0</v>
      </c>
      <c r="BW54" s="113">
        <f>((AZ54^2)/(AZ54^2+BH54))^(1/2)</f>
        <v>0.39663103881354556</v>
      </c>
      <c r="BX54" s="113">
        <f>0.5*LN((1+BW54)/(1-BW54))</f>
        <v>0.41964466459073052</v>
      </c>
      <c r="BY54" s="113">
        <f>((1-(BX54^2)^2)/(BH54-1))</f>
        <v>6.4599214053169289E-3</v>
      </c>
      <c r="BZ54" s="113">
        <f>1/(BH54-3)</f>
        <v>6.7567567567567571E-3</v>
      </c>
      <c r="CA54" s="92" t="s">
        <v>73</v>
      </c>
      <c r="CB54">
        <f>BH54-1</f>
        <v>150</v>
      </c>
      <c r="CC54" s="92" t="s">
        <v>73</v>
      </c>
      <c r="CD54" s="30">
        <f>((AZ54^2)/(AZ54^2+BI54))^(1/2)</f>
        <v>0.39663103881354556</v>
      </c>
      <c r="CE54" s="113">
        <f>0.5*LN((1+CD54)/(1-CD54))</f>
        <v>0.41964466459073052</v>
      </c>
      <c r="CF54" s="30">
        <f>((1-(CE54^2)^2)/(BI54-1))</f>
        <v>6.4599214053169289E-3</v>
      </c>
      <c r="CG54" s="30">
        <f>1/(BI54-3)</f>
        <v>6.7567567567567571E-3</v>
      </c>
      <c r="CH54"/>
    </row>
    <row r="55" spans="1:86" s="95" customFormat="1">
      <c r="A55" s="99" t="s">
        <v>68</v>
      </c>
      <c r="B55" s="99">
        <v>25</v>
      </c>
      <c r="C55" s="99">
        <v>1102</v>
      </c>
      <c r="D55" s="102">
        <v>119</v>
      </c>
      <c r="E55" s="112" t="s">
        <v>310</v>
      </c>
      <c r="F55" s="99">
        <v>2006</v>
      </c>
      <c r="G55" s="102" t="s">
        <v>311</v>
      </c>
      <c r="H55" s="159" t="s">
        <v>154</v>
      </c>
      <c r="I55" s="102">
        <v>2</v>
      </c>
      <c r="J55" s="102">
        <v>2005</v>
      </c>
      <c r="K55" s="110" t="s">
        <v>73</v>
      </c>
      <c r="L55" s="102">
        <v>193</v>
      </c>
      <c r="M55" s="205" t="s">
        <v>155</v>
      </c>
      <c r="N55" s="102" t="s">
        <v>112</v>
      </c>
      <c r="O55" s="102" t="s">
        <v>156</v>
      </c>
      <c r="P55" s="102" t="s">
        <v>228</v>
      </c>
      <c r="Q55" s="102" t="s">
        <v>312</v>
      </c>
      <c r="R55" s="102" t="s">
        <v>313</v>
      </c>
      <c r="S55" s="102">
        <v>1</v>
      </c>
      <c r="T55" s="102" t="s">
        <v>231</v>
      </c>
      <c r="U55" s="102">
        <v>0</v>
      </c>
      <c r="V55" s="102" t="s">
        <v>246</v>
      </c>
      <c r="W55" s="102" t="s">
        <v>246</v>
      </c>
      <c r="X55" s="102" t="s">
        <v>157</v>
      </c>
      <c r="Y55" s="102">
        <v>0</v>
      </c>
      <c r="Z55" s="102">
        <v>0</v>
      </c>
      <c r="AA55" s="102">
        <v>1</v>
      </c>
      <c r="AB55" s="102">
        <v>0</v>
      </c>
      <c r="AC55" s="102">
        <v>0</v>
      </c>
      <c r="AD55" s="102">
        <v>0</v>
      </c>
      <c r="AE55" s="102">
        <v>0</v>
      </c>
      <c r="AF55" s="102">
        <v>0</v>
      </c>
      <c r="AG55" s="102" t="s">
        <v>73</v>
      </c>
      <c r="AH55" s="102">
        <v>1</v>
      </c>
      <c r="AI55" s="102">
        <v>0</v>
      </c>
      <c r="AJ55" s="102">
        <v>0</v>
      </c>
      <c r="AK55" s="102">
        <v>0</v>
      </c>
      <c r="AL55" s="102">
        <v>0</v>
      </c>
      <c r="AM55" s="102">
        <v>0</v>
      </c>
      <c r="AN55" s="102">
        <v>0</v>
      </c>
      <c r="AO55" s="102">
        <v>0</v>
      </c>
      <c r="AP55" s="102">
        <v>0</v>
      </c>
      <c r="AQ55" s="102" t="s">
        <v>317</v>
      </c>
      <c r="AR55" s="102" t="s">
        <v>234</v>
      </c>
      <c r="AS55" s="102" t="s">
        <v>315</v>
      </c>
      <c r="AT55" s="92" t="s">
        <v>236</v>
      </c>
      <c r="AU55" s="188">
        <v>0.24340000000000001</v>
      </c>
      <c r="AV55" s="111" t="s">
        <v>80</v>
      </c>
      <c r="AW55" s="160">
        <v>8.2799999999999999E-2</v>
      </c>
      <c r="AX55" s="102">
        <v>0.01</v>
      </c>
      <c r="AY55" s="102">
        <v>1</v>
      </c>
      <c r="AZ55" s="102">
        <f>AU55/AW55</f>
        <v>2.9396135265700485</v>
      </c>
      <c r="BA55" s="105">
        <f>EXP(AU55)/(1+EXP(AU55))</f>
        <v>0.56055135493614083</v>
      </c>
      <c r="BB55" s="102" t="s">
        <v>73</v>
      </c>
      <c r="BC55" s="102" t="s">
        <v>73</v>
      </c>
      <c r="BD55" s="102" t="s">
        <v>73</v>
      </c>
      <c r="BE55" s="102" t="s">
        <v>73</v>
      </c>
      <c r="BF55" s="102" t="s">
        <v>73</v>
      </c>
      <c r="BG55" s="102" t="s">
        <v>73</v>
      </c>
      <c r="BH55" s="102">
        <v>151</v>
      </c>
      <c r="BI55" s="102">
        <v>151</v>
      </c>
      <c r="BJ55" s="102" t="s">
        <v>73</v>
      </c>
      <c r="BK55" s="102" t="s">
        <v>73</v>
      </c>
      <c r="BL55" s="102" t="s">
        <v>73</v>
      </c>
      <c r="BM55" s="102" t="s">
        <v>73</v>
      </c>
      <c r="BN55" s="102" t="s">
        <v>73</v>
      </c>
      <c r="BO55" s="102" t="s">
        <v>73</v>
      </c>
      <c r="BP55" s="102" t="s">
        <v>73</v>
      </c>
      <c r="BQ55" s="102" t="s">
        <v>73</v>
      </c>
      <c r="BR55" s="102" t="s">
        <v>73</v>
      </c>
      <c r="BS55" s="102" t="s">
        <v>316</v>
      </c>
      <c r="BT55" s="102">
        <v>0</v>
      </c>
      <c r="BU55" s="102">
        <v>0</v>
      </c>
      <c r="BV55" s="102">
        <v>0</v>
      </c>
      <c r="BW55" s="113">
        <f>((AZ55^2)/(AZ55^2+BH55))^(1/2)</f>
        <v>0.23265777562024986</v>
      </c>
      <c r="BX55" s="113">
        <f>0.5*LN((1+BW55)/(1-BW55))</f>
        <v>0.23699751145474932</v>
      </c>
      <c r="BY55" s="113">
        <f>((1-(BX55^2)^2)/(BH55-1))</f>
        <v>6.6456345063166536E-3</v>
      </c>
      <c r="BZ55" s="113">
        <f>1/(BH55-3)</f>
        <v>6.7567567567567571E-3</v>
      </c>
      <c r="CA55" s="92" t="s">
        <v>73</v>
      </c>
      <c r="CB55">
        <f>BH55-1</f>
        <v>150</v>
      </c>
      <c r="CC55" s="92" t="s">
        <v>73</v>
      </c>
      <c r="CD55" s="30">
        <f>((AZ55^2)/(AZ55^2+BI55))^(1/2)</f>
        <v>0.23265777562024986</v>
      </c>
      <c r="CE55" s="113">
        <f>0.5*LN((1+CD55)/(1-CD55))</f>
        <v>0.23699751145474932</v>
      </c>
      <c r="CF55" s="30">
        <f>((1-(CE55^2)^2)/(BI55-1))</f>
        <v>6.6456345063166536E-3</v>
      </c>
      <c r="CG55" s="30">
        <f>1/(BI55-3)</f>
        <v>6.7567567567567571E-3</v>
      </c>
      <c r="CH55"/>
    </row>
    <row r="56" spans="1:86" s="95" customFormat="1">
      <c r="A56" s="11" t="s">
        <v>68</v>
      </c>
      <c r="B56" s="11">
        <v>24</v>
      </c>
      <c r="C56" s="11">
        <v>1060</v>
      </c>
      <c r="D56">
        <v>111</v>
      </c>
      <c r="E56" t="s">
        <v>291</v>
      </c>
      <c r="F56" s="11">
        <v>1998</v>
      </c>
      <c r="G56" t="s">
        <v>292</v>
      </c>
      <c r="H56" t="s">
        <v>293</v>
      </c>
      <c r="I56">
        <v>2</v>
      </c>
      <c r="J56">
        <v>1998</v>
      </c>
      <c r="K56" s="10" t="s">
        <v>73</v>
      </c>
      <c r="L56">
        <v>651</v>
      </c>
      <c r="M56" s="202" t="s">
        <v>155</v>
      </c>
      <c r="N56" s="92" t="s">
        <v>227</v>
      </c>
      <c r="O56" t="s">
        <v>81</v>
      </c>
      <c r="P56" s="18" t="s">
        <v>294</v>
      </c>
      <c r="Q56" t="s">
        <v>244</v>
      </c>
      <c r="R56" t="s">
        <v>255</v>
      </c>
      <c r="S56">
        <v>1</v>
      </c>
      <c r="T56" t="s">
        <v>231</v>
      </c>
      <c r="U56">
        <v>0</v>
      </c>
      <c r="V56" s="18" t="s">
        <v>232</v>
      </c>
      <c r="W56" s="18" t="s">
        <v>232</v>
      </c>
      <c r="X56" s="18" t="s">
        <v>73</v>
      </c>
      <c r="Y56">
        <v>0</v>
      </c>
      <c r="Z56">
        <v>0</v>
      </c>
      <c r="AA56">
        <v>0</v>
      </c>
      <c r="AB56">
        <v>1</v>
      </c>
      <c r="AC56">
        <v>0</v>
      </c>
      <c r="AD56">
        <v>0</v>
      </c>
      <c r="AE56">
        <v>0</v>
      </c>
      <c r="AF56">
        <v>0</v>
      </c>
      <c r="AG56" t="s">
        <v>73</v>
      </c>
      <c r="AH56">
        <v>0</v>
      </c>
      <c r="AI56">
        <v>0</v>
      </c>
      <c r="AJ56">
        <v>0</v>
      </c>
      <c r="AK56">
        <v>1</v>
      </c>
      <c r="AL56" s="32">
        <v>0</v>
      </c>
      <c r="AM56" s="32">
        <v>0</v>
      </c>
      <c r="AN56" s="32">
        <v>0</v>
      </c>
      <c r="AO56" s="32">
        <v>0</v>
      </c>
      <c r="AP56" s="32">
        <v>0</v>
      </c>
      <c r="AQ56" t="s">
        <v>295</v>
      </c>
      <c r="AR56" s="92" t="s">
        <v>234</v>
      </c>
      <c r="AS56" s="92" t="s">
        <v>296</v>
      </c>
      <c r="AT56" s="92" t="s">
        <v>236</v>
      </c>
      <c r="AU56" s="187">
        <v>0.22900000000000001</v>
      </c>
      <c r="AV56" s="7" t="s">
        <v>80</v>
      </c>
      <c r="AW56">
        <v>0.109</v>
      </c>
      <c r="AX56" t="s">
        <v>73</v>
      </c>
      <c r="AY56">
        <v>3</v>
      </c>
      <c r="AZ56">
        <f>AU56/AW56</f>
        <v>2.1009174311926606</v>
      </c>
      <c r="BA56" s="105">
        <f>EXP(AU56)/(1+EXP(AU56))</f>
        <v>0.55700111781082129</v>
      </c>
      <c r="BB56" t="s">
        <v>73</v>
      </c>
      <c r="BC56" t="s">
        <v>73</v>
      </c>
      <c r="BD56" t="s">
        <v>73</v>
      </c>
      <c r="BE56" t="s">
        <v>73</v>
      </c>
      <c r="BF56" t="s">
        <v>73</v>
      </c>
      <c r="BG56" t="s">
        <v>73</v>
      </c>
      <c r="BH56">
        <v>375</v>
      </c>
      <c r="BI56">
        <v>6081</v>
      </c>
      <c r="BJ56" t="s">
        <v>73</v>
      </c>
      <c r="BK56" t="s">
        <v>73</v>
      </c>
      <c r="BL56" t="s">
        <v>73</v>
      </c>
      <c r="BM56" t="s">
        <v>73</v>
      </c>
      <c r="BN56" t="s">
        <v>73</v>
      </c>
      <c r="BO56" t="s">
        <v>73</v>
      </c>
      <c r="BP56" t="s">
        <v>73</v>
      </c>
      <c r="BQ56" t="s">
        <v>73</v>
      </c>
      <c r="BR56" t="s">
        <v>73</v>
      </c>
      <c r="BS56" t="s">
        <v>73</v>
      </c>
      <c r="BT56">
        <v>0</v>
      </c>
      <c r="BU56">
        <v>0</v>
      </c>
      <c r="BV56">
        <v>0</v>
      </c>
      <c r="BW56" s="30">
        <f>((AZ56^2)/(AZ56^2+BH56))^(1/2)</f>
        <v>0.1078580072117359</v>
      </c>
      <c r="BX56" s="30">
        <f>0.5*LN((1+BW56)/(1-BW56))</f>
        <v>0.10827920105368449</v>
      </c>
      <c r="BY56" s="30">
        <f>((1-(BX56^2)^2)/(BH56-1))</f>
        <v>2.6734292480947645E-3</v>
      </c>
      <c r="BZ56" s="30">
        <f>1/(BH56-3)</f>
        <v>2.6881720430107529E-3</v>
      </c>
      <c r="CA56" s="92" t="s">
        <v>73</v>
      </c>
      <c r="CB56">
        <f>BH56-2</f>
        <v>373</v>
      </c>
      <c r="CC56" s="92" t="s">
        <v>73</v>
      </c>
      <c r="CD56" s="30">
        <f>((AZ56^2)/(AZ56^2+BI56))^(1/2)</f>
        <v>2.6931709728061359E-2</v>
      </c>
      <c r="CE56" s="30">
        <f>0.5*LN((1+CD56)/(1-CD56))</f>
        <v>2.6938223905404336E-2</v>
      </c>
      <c r="CF56" s="30">
        <f>((1-(CE56^2)^2)/(BI56-1))</f>
        <v>1.6447359759968561E-4</v>
      </c>
      <c r="CG56" s="30">
        <f>1/(BI56-3)</f>
        <v>1.6452780519907864E-4</v>
      </c>
    </row>
    <row r="57" spans="1:86" s="95" customFormat="1">
      <c r="A57" s="11" t="s">
        <v>68</v>
      </c>
      <c r="B57" s="11">
        <v>24</v>
      </c>
      <c r="C57" s="11">
        <v>1061</v>
      </c>
      <c r="D57">
        <v>111</v>
      </c>
      <c r="E57" t="s">
        <v>291</v>
      </c>
      <c r="F57" s="11">
        <v>1998</v>
      </c>
      <c r="G57" t="s">
        <v>292</v>
      </c>
      <c r="H57" t="s">
        <v>293</v>
      </c>
      <c r="I57">
        <v>2</v>
      </c>
      <c r="J57">
        <v>1998</v>
      </c>
      <c r="K57" s="10" t="s">
        <v>73</v>
      </c>
      <c r="L57">
        <v>651</v>
      </c>
      <c r="M57" s="202" t="s">
        <v>155</v>
      </c>
      <c r="N57" s="92" t="s">
        <v>227</v>
      </c>
      <c r="O57" t="s">
        <v>81</v>
      </c>
      <c r="P57" s="18" t="s">
        <v>294</v>
      </c>
      <c r="Q57" t="s">
        <v>244</v>
      </c>
      <c r="R57" t="s">
        <v>255</v>
      </c>
      <c r="S57">
        <v>1</v>
      </c>
      <c r="T57" t="s">
        <v>231</v>
      </c>
      <c r="U57">
        <v>0</v>
      </c>
      <c r="V57" s="18" t="s">
        <v>232</v>
      </c>
      <c r="W57" s="18" t="s">
        <v>232</v>
      </c>
      <c r="X57" s="18" t="s">
        <v>73</v>
      </c>
      <c r="Y57">
        <v>0</v>
      </c>
      <c r="Z57">
        <v>0</v>
      </c>
      <c r="AA57">
        <v>0</v>
      </c>
      <c r="AB57">
        <v>0</v>
      </c>
      <c r="AC57">
        <v>0</v>
      </c>
      <c r="AD57">
        <v>0</v>
      </c>
      <c r="AE57">
        <v>1</v>
      </c>
      <c r="AF57">
        <v>0</v>
      </c>
      <c r="AG57" t="s">
        <v>73</v>
      </c>
      <c r="AH57">
        <v>0</v>
      </c>
      <c r="AI57">
        <v>0</v>
      </c>
      <c r="AJ57">
        <v>0</v>
      </c>
      <c r="AK57">
        <v>1</v>
      </c>
      <c r="AL57" s="32">
        <v>0</v>
      </c>
      <c r="AM57" s="32">
        <v>0</v>
      </c>
      <c r="AN57" s="32">
        <v>0</v>
      </c>
      <c r="AO57" s="32">
        <v>0</v>
      </c>
      <c r="AP57" s="32">
        <v>0</v>
      </c>
      <c r="AQ57" t="s">
        <v>295</v>
      </c>
      <c r="AR57" s="92" t="s">
        <v>234</v>
      </c>
      <c r="AS57" s="92" t="s">
        <v>296</v>
      </c>
      <c r="AT57" s="92" t="s">
        <v>236</v>
      </c>
      <c r="AU57" s="187">
        <v>1.7500000000000002E-2</v>
      </c>
      <c r="AV57" s="7" t="s">
        <v>86</v>
      </c>
      <c r="AW57">
        <v>0.26400000000000001</v>
      </c>
      <c r="AX57" t="s">
        <v>73</v>
      </c>
      <c r="AY57">
        <v>3</v>
      </c>
      <c r="AZ57">
        <f>AU57/AW57</f>
        <v>6.6287878787878785E-2</v>
      </c>
      <c r="BA57" s="105">
        <f>EXP(AU57)/(1+EXP(AU57))</f>
        <v>0.50437488834977351</v>
      </c>
      <c r="BB57" t="s">
        <v>73</v>
      </c>
      <c r="BC57" t="s">
        <v>73</v>
      </c>
      <c r="BD57" t="s">
        <v>73</v>
      </c>
      <c r="BE57" t="s">
        <v>73</v>
      </c>
      <c r="BF57" t="s">
        <v>73</v>
      </c>
      <c r="BG57" t="s">
        <v>73</v>
      </c>
      <c r="BH57">
        <v>375</v>
      </c>
      <c r="BI57">
        <v>6081</v>
      </c>
      <c r="BJ57" t="s">
        <v>73</v>
      </c>
      <c r="BK57" t="s">
        <v>73</v>
      </c>
      <c r="BL57" t="s">
        <v>73</v>
      </c>
      <c r="BM57" t="s">
        <v>73</v>
      </c>
      <c r="BN57" t="s">
        <v>73</v>
      </c>
      <c r="BO57" t="s">
        <v>73</v>
      </c>
      <c r="BP57" t="s">
        <v>73</v>
      </c>
      <c r="BQ57" t="s">
        <v>73</v>
      </c>
      <c r="BR57" t="s">
        <v>73</v>
      </c>
      <c r="BS57" t="s">
        <v>73</v>
      </c>
      <c r="BT57">
        <v>0</v>
      </c>
      <c r="BU57">
        <v>0</v>
      </c>
      <c r="BV57">
        <v>0</v>
      </c>
      <c r="BW57" s="30">
        <f>((AZ57^2)/(AZ57^2+BH57))^(1/2)</f>
        <v>3.4230712863917989E-3</v>
      </c>
      <c r="BX57" s="30">
        <f>0.5*LN((1+BW57)/(1-BW57))</f>
        <v>3.4230846563371624E-3</v>
      </c>
      <c r="BY57" s="30">
        <f>((1-(BX57^2)^2)/(BH57-1))</f>
        <v>2.673796791076738E-3</v>
      </c>
      <c r="BZ57" s="30">
        <f>1/(BH57-3)</f>
        <v>2.6881720430107529E-3</v>
      </c>
      <c r="CA57" s="92" t="s">
        <v>73</v>
      </c>
      <c r="CB57">
        <f>BH57-2</f>
        <v>373</v>
      </c>
      <c r="CC57" s="92" t="s">
        <v>73</v>
      </c>
      <c r="CD57" s="30">
        <f>((AZ57^2)/(AZ57^2+BI57))^(1/2)</f>
        <v>8.5005389800475262E-4</v>
      </c>
      <c r="CE57" s="30">
        <f>0.5*LN((1+CD57)/(1-CD57))</f>
        <v>8.5005410275206428E-4</v>
      </c>
      <c r="CF57" s="30">
        <f>((1-(CE57^2)^2)/(BI57-1))</f>
        <v>1.6447368421044044E-4</v>
      </c>
      <c r="CG57" s="30">
        <f>1/(BI57-3)</f>
        <v>1.6452780519907864E-4</v>
      </c>
    </row>
    <row r="58" spans="1:86" s="95" customFormat="1">
      <c r="A58" s="11" t="s">
        <v>403</v>
      </c>
      <c r="B58" s="11">
        <v>17</v>
      </c>
      <c r="C58" s="92">
        <v>1215</v>
      </c>
      <c r="D58" s="100">
        <v>201</v>
      </c>
      <c r="E58" t="s">
        <v>404</v>
      </c>
      <c r="F58" s="99">
        <v>2021</v>
      </c>
      <c r="G58" t="s">
        <v>405</v>
      </c>
      <c r="H58" t="s">
        <v>406</v>
      </c>
      <c r="I58" s="100">
        <v>2</v>
      </c>
      <c r="J58">
        <v>2015</v>
      </c>
      <c r="K58" s="99" t="s">
        <v>73</v>
      </c>
      <c r="L58" s="100">
        <v>10</v>
      </c>
      <c r="M58" s="202" t="s">
        <v>155</v>
      </c>
      <c r="N58" t="s">
        <v>242</v>
      </c>
      <c r="O58" t="s">
        <v>275</v>
      </c>
      <c r="P58" s="110" t="s">
        <v>243</v>
      </c>
      <c r="Q58" t="s">
        <v>244</v>
      </c>
      <c r="R58" t="s">
        <v>255</v>
      </c>
      <c r="S58">
        <v>0</v>
      </c>
      <c r="T58" t="s">
        <v>231</v>
      </c>
      <c r="U58">
        <v>0</v>
      </c>
      <c r="V58" s="137" t="s">
        <v>246</v>
      </c>
      <c r="W58" s="137" t="s">
        <v>246</v>
      </c>
      <c r="X58" s="151" t="s">
        <v>407</v>
      </c>
      <c r="Y58" s="100">
        <v>0</v>
      </c>
      <c r="Z58" s="100">
        <v>0</v>
      </c>
      <c r="AA58" s="100">
        <v>1</v>
      </c>
      <c r="AB58" s="100">
        <v>0</v>
      </c>
      <c r="AC58" s="100">
        <v>0</v>
      </c>
      <c r="AD58" s="100">
        <v>0</v>
      </c>
      <c r="AE58" s="100">
        <v>0</v>
      </c>
      <c r="AF58" s="100">
        <v>0</v>
      </c>
      <c r="AG58" t="s">
        <v>73</v>
      </c>
      <c r="AH58" s="100">
        <v>0</v>
      </c>
      <c r="AI58" s="100">
        <v>0</v>
      </c>
      <c r="AJ58" s="100">
        <v>0</v>
      </c>
      <c r="AK58" s="100">
        <v>0</v>
      </c>
      <c r="AL58" s="100">
        <v>0</v>
      </c>
      <c r="AM58" s="100">
        <v>0</v>
      </c>
      <c r="AN58" s="100">
        <v>0</v>
      </c>
      <c r="AO58" s="100">
        <v>1</v>
      </c>
      <c r="AP58" s="100">
        <v>0</v>
      </c>
      <c r="AQ58" t="s">
        <v>73</v>
      </c>
      <c r="AR58" t="s">
        <v>234</v>
      </c>
      <c r="AS58" t="s">
        <v>408</v>
      </c>
      <c r="AT58" t="s">
        <v>236</v>
      </c>
      <c r="AU58" s="187">
        <v>0.39400000000000002</v>
      </c>
      <c r="AV58" s="7" t="s">
        <v>80</v>
      </c>
      <c r="AW58">
        <v>7.0999999999999994E-2</v>
      </c>
      <c r="AX58" s="16">
        <v>0</v>
      </c>
      <c r="AY58">
        <v>3</v>
      </c>
      <c r="AZ58" s="19">
        <f>TINV(0.001,CB58)</f>
        <v>3.2990742119196153</v>
      </c>
      <c r="BA58" s="105">
        <f>EXP(AU58)/(1+EXP(AU58))</f>
        <v>0.59724524587432648</v>
      </c>
      <c r="BB58" s="102" t="s">
        <v>73</v>
      </c>
      <c r="BC58" s="102" t="s">
        <v>73</v>
      </c>
      <c r="BD58" s="102" t="s">
        <v>73</v>
      </c>
      <c r="BE58" s="102" t="s">
        <v>73</v>
      </c>
      <c r="BF58" s="102" t="s">
        <v>73</v>
      </c>
      <c r="BG58" s="102" t="s">
        <v>73</v>
      </c>
      <c r="BH58" s="100">
        <v>1143</v>
      </c>
      <c r="BI58">
        <f>BH58</f>
        <v>1143</v>
      </c>
      <c r="BJ58" s="100" t="s">
        <v>73</v>
      </c>
      <c r="BK58" s="100" t="s">
        <v>73</v>
      </c>
      <c r="BL58" s="100" t="s">
        <v>73</v>
      </c>
      <c r="BM58" s="100" t="s">
        <v>73</v>
      </c>
      <c r="BN58" s="100" t="s">
        <v>73</v>
      </c>
      <c r="BO58" s="100" t="s">
        <v>73</v>
      </c>
      <c r="BP58" s="100" t="s">
        <v>73</v>
      </c>
      <c r="BQ58" s="100" t="s">
        <v>73</v>
      </c>
      <c r="BR58" s="100" t="s">
        <v>73</v>
      </c>
      <c r="BS58" s="100" t="s">
        <v>73</v>
      </c>
      <c r="BT58" s="100">
        <v>0</v>
      </c>
      <c r="BU58" s="100">
        <v>0</v>
      </c>
      <c r="BV58" s="100">
        <v>1</v>
      </c>
      <c r="BW58" s="30">
        <f>((AZ58^2)/(AZ58^2+BH58))^(1/2)</f>
        <v>9.712052690463481E-2</v>
      </c>
      <c r="BX58" s="30">
        <f>0.5*LN((1+BW58)/(1-BW58))</f>
        <v>9.7427626579518284E-2</v>
      </c>
      <c r="BY58" s="30">
        <f>((1-(BX58^2)^2)/(BH58-1))</f>
        <v>8.7557784521213747E-4</v>
      </c>
      <c r="BZ58" s="30">
        <f>1/(BH58-3)</f>
        <v>8.7719298245614037E-4</v>
      </c>
      <c r="CA58" s="92" t="s">
        <v>73</v>
      </c>
      <c r="CB58">
        <f>BH58-2</f>
        <v>1141</v>
      </c>
      <c r="CC58" s="92" t="s">
        <v>73</v>
      </c>
      <c r="CD58" s="30">
        <f>((AZ58^2)/(AZ58^2+BI58))^(1/2)</f>
        <v>9.712052690463481E-2</v>
      </c>
      <c r="CE58" s="30">
        <f>0.5*LN((1+CD58)/(1-CD58))</f>
        <v>9.7427626579518284E-2</v>
      </c>
      <c r="CF58" s="30">
        <f>((1-(CE58^2)^2)/(BI58-1))</f>
        <v>8.7557784521213747E-4</v>
      </c>
      <c r="CG58" s="30">
        <f>1/(BI58-3)</f>
        <v>8.7719298245614037E-4</v>
      </c>
      <c r="CH58"/>
    </row>
    <row r="59" spans="1:86" s="95" customFormat="1">
      <c r="A59" s="11" t="s">
        <v>403</v>
      </c>
      <c r="B59" s="11">
        <v>17</v>
      </c>
      <c r="C59" s="92">
        <v>1216</v>
      </c>
      <c r="D59" s="100">
        <v>201</v>
      </c>
      <c r="E59" t="s">
        <v>404</v>
      </c>
      <c r="F59" s="99">
        <v>2021</v>
      </c>
      <c r="G59" t="s">
        <v>405</v>
      </c>
      <c r="H59" t="s">
        <v>406</v>
      </c>
      <c r="I59" s="100">
        <v>2</v>
      </c>
      <c r="J59">
        <v>2015</v>
      </c>
      <c r="K59" s="99" t="s">
        <v>73</v>
      </c>
      <c r="L59" s="100">
        <v>10</v>
      </c>
      <c r="M59" s="202" t="s">
        <v>155</v>
      </c>
      <c r="N59" t="s">
        <v>242</v>
      </c>
      <c r="O59" t="s">
        <v>275</v>
      </c>
      <c r="P59" s="110" t="s">
        <v>243</v>
      </c>
      <c r="Q59" t="s">
        <v>244</v>
      </c>
      <c r="R59" t="s">
        <v>255</v>
      </c>
      <c r="S59">
        <v>0</v>
      </c>
      <c r="T59" t="s">
        <v>231</v>
      </c>
      <c r="U59">
        <v>0</v>
      </c>
      <c r="V59" s="137" t="s">
        <v>246</v>
      </c>
      <c r="W59" s="137" t="s">
        <v>246</v>
      </c>
      <c r="X59" s="151" t="s">
        <v>409</v>
      </c>
      <c r="Y59" s="100">
        <v>0</v>
      </c>
      <c r="Z59" s="100">
        <v>0</v>
      </c>
      <c r="AA59" s="100">
        <v>0</v>
      </c>
      <c r="AB59" s="100">
        <v>0</v>
      </c>
      <c r="AC59" s="100">
        <v>0</v>
      </c>
      <c r="AD59" s="100">
        <v>1</v>
      </c>
      <c r="AE59" s="100">
        <v>0</v>
      </c>
      <c r="AF59" s="100">
        <v>0</v>
      </c>
      <c r="AG59" t="s">
        <v>73</v>
      </c>
      <c r="AH59" s="100">
        <v>0</v>
      </c>
      <c r="AI59" s="100">
        <v>0</v>
      </c>
      <c r="AJ59" s="100">
        <v>0</v>
      </c>
      <c r="AK59" s="100">
        <v>0</v>
      </c>
      <c r="AL59" s="100">
        <v>0</v>
      </c>
      <c r="AM59" s="100">
        <v>0</v>
      </c>
      <c r="AN59" s="100">
        <v>0</v>
      </c>
      <c r="AO59" s="100">
        <v>1</v>
      </c>
      <c r="AP59" s="100">
        <v>0</v>
      </c>
      <c r="AQ59" t="s">
        <v>73</v>
      </c>
      <c r="AR59" t="s">
        <v>234</v>
      </c>
      <c r="AS59" t="s">
        <v>408</v>
      </c>
      <c r="AT59" t="s">
        <v>236</v>
      </c>
      <c r="AU59" s="187">
        <v>0.45500000000000002</v>
      </c>
      <c r="AV59" s="7" t="s">
        <v>80</v>
      </c>
      <c r="AW59">
        <v>0.22</v>
      </c>
      <c r="AX59" s="16">
        <v>3.7999999999999999E-2</v>
      </c>
      <c r="AY59">
        <v>3</v>
      </c>
      <c r="AZ59" s="19">
        <f>TINV(AX59,CB59)</f>
        <v>2.0772692016703491</v>
      </c>
      <c r="BA59" s="105">
        <f>EXP(AU59)/(1+EXP(AU59))</f>
        <v>0.61182736900173718</v>
      </c>
      <c r="BB59" s="102" t="s">
        <v>73</v>
      </c>
      <c r="BC59" s="102" t="s">
        <v>73</v>
      </c>
      <c r="BD59" s="102" t="s">
        <v>73</v>
      </c>
      <c r="BE59" s="102" t="s">
        <v>73</v>
      </c>
      <c r="BF59" s="102" t="s">
        <v>73</v>
      </c>
      <c r="BG59" s="102" t="s">
        <v>73</v>
      </c>
      <c r="BH59" s="100">
        <v>1143</v>
      </c>
      <c r="BI59">
        <f>BH59</f>
        <v>1143</v>
      </c>
      <c r="BJ59" s="100" t="s">
        <v>73</v>
      </c>
      <c r="BK59" s="100" t="s">
        <v>73</v>
      </c>
      <c r="BL59" s="100" t="s">
        <v>73</v>
      </c>
      <c r="BM59" s="100" t="s">
        <v>73</v>
      </c>
      <c r="BN59" s="100" t="s">
        <v>73</v>
      </c>
      <c r="BO59" s="100" t="s">
        <v>73</v>
      </c>
      <c r="BP59" s="100" t="s">
        <v>73</v>
      </c>
      <c r="BQ59" s="100" t="s">
        <v>73</v>
      </c>
      <c r="BR59" s="100" t="s">
        <v>73</v>
      </c>
      <c r="BS59" s="100" t="s">
        <v>73</v>
      </c>
      <c r="BT59" s="100">
        <v>0</v>
      </c>
      <c r="BU59" s="100">
        <v>0</v>
      </c>
      <c r="BV59" s="100">
        <v>1</v>
      </c>
      <c r="BW59" s="30">
        <f>((AZ59^2)/(AZ59^2+BH59))^(1/2)</f>
        <v>6.1326960044274084E-2</v>
      </c>
      <c r="BX59" s="30">
        <f>0.5*LN((1+BW59)/(1-BW59))</f>
        <v>6.1404017491195166E-2</v>
      </c>
      <c r="BY59" s="30">
        <f>((1-(BX59^2)^2)/(BH59-1))</f>
        <v>8.7564429394170699E-4</v>
      </c>
      <c r="BZ59" s="30">
        <f>1/(BH59-3)</f>
        <v>8.7719298245614037E-4</v>
      </c>
      <c r="CA59" s="92" t="s">
        <v>73</v>
      </c>
      <c r="CB59">
        <f>BH59-2</f>
        <v>1141</v>
      </c>
      <c r="CC59" s="92" t="s">
        <v>73</v>
      </c>
      <c r="CD59" s="30">
        <f>((AZ59^2)/(AZ59^2+BI59))^(1/2)</f>
        <v>6.1326960044274084E-2</v>
      </c>
      <c r="CE59" s="30">
        <f>0.5*LN((1+CD59)/(1-CD59))</f>
        <v>6.1404017491195166E-2</v>
      </c>
      <c r="CF59" s="30">
        <f>((1-(CE59^2)^2)/(BI59-1))</f>
        <v>8.7564429394170699E-4</v>
      </c>
      <c r="CG59" s="30">
        <f>1/(BI59-3)</f>
        <v>8.7719298245614037E-4</v>
      </c>
      <c r="CH59"/>
    </row>
    <row r="60" spans="1:86" s="95" customFormat="1">
      <c r="A60" s="92" t="s">
        <v>68</v>
      </c>
      <c r="B60" s="92">
        <v>14</v>
      </c>
      <c r="C60" s="11">
        <v>1118</v>
      </c>
      <c r="D60" s="92">
        <v>124</v>
      </c>
      <c r="E60" s="92" t="s">
        <v>338</v>
      </c>
      <c r="F60" s="92">
        <v>2018</v>
      </c>
      <c r="G60" s="92" t="s">
        <v>339</v>
      </c>
      <c r="H60" s="92" t="s">
        <v>340</v>
      </c>
      <c r="I60" s="92">
        <v>2</v>
      </c>
      <c r="J60" s="92">
        <v>2015</v>
      </c>
      <c r="K60" s="92" t="s">
        <v>73</v>
      </c>
      <c r="L60" s="92">
        <v>28</v>
      </c>
      <c r="M60" s="203" t="s">
        <v>155</v>
      </c>
      <c r="N60" s="92" t="s">
        <v>112</v>
      </c>
      <c r="O60" s="92" t="s">
        <v>341</v>
      </c>
      <c r="P60" s="92" t="s">
        <v>294</v>
      </c>
      <c r="Q60" s="92" t="s">
        <v>244</v>
      </c>
      <c r="R60" s="135" t="s">
        <v>337</v>
      </c>
      <c r="S60" s="92">
        <v>1</v>
      </c>
      <c r="T60" s="92" t="s">
        <v>342</v>
      </c>
      <c r="U60" s="92">
        <v>0</v>
      </c>
      <c r="V60" s="92" t="s">
        <v>232</v>
      </c>
      <c r="W60" s="92" t="s">
        <v>232</v>
      </c>
      <c r="X60" s="92" t="s">
        <v>73</v>
      </c>
      <c r="Y60" s="92">
        <v>0</v>
      </c>
      <c r="Z60" s="92">
        <v>0</v>
      </c>
      <c r="AA60" s="92">
        <v>1</v>
      </c>
      <c r="AB60" s="92">
        <v>0</v>
      </c>
      <c r="AC60" s="92">
        <v>0</v>
      </c>
      <c r="AD60" s="92">
        <v>0</v>
      </c>
      <c r="AE60" s="92">
        <v>0</v>
      </c>
      <c r="AF60" s="92">
        <v>0</v>
      </c>
      <c r="AG60" s="92" t="s">
        <v>343</v>
      </c>
      <c r="AH60" s="92">
        <v>0</v>
      </c>
      <c r="AI60" s="92">
        <v>0</v>
      </c>
      <c r="AJ60" s="92">
        <v>0</v>
      </c>
      <c r="AK60" s="92">
        <v>0</v>
      </c>
      <c r="AL60" s="92">
        <v>0</v>
      </c>
      <c r="AM60" s="92">
        <v>0</v>
      </c>
      <c r="AN60" s="92">
        <v>0</v>
      </c>
      <c r="AO60" s="92">
        <v>1</v>
      </c>
      <c r="AP60" s="92">
        <v>0</v>
      </c>
      <c r="AQ60" s="92" t="s">
        <v>344</v>
      </c>
      <c r="AR60" s="92" t="s">
        <v>234</v>
      </c>
      <c r="AS60" s="92" t="s">
        <v>296</v>
      </c>
      <c r="AT60" s="92" t="s">
        <v>236</v>
      </c>
      <c r="AU60" s="186">
        <v>0.53</v>
      </c>
      <c r="AV60" s="93" t="s">
        <v>80</v>
      </c>
      <c r="AW60" s="92">
        <v>0.26</v>
      </c>
      <c r="AX60" s="92" t="s">
        <v>73</v>
      </c>
      <c r="AY60" s="92">
        <v>3</v>
      </c>
      <c r="AZ60" s="92">
        <f>AU60/AW60</f>
        <v>2.0384615384615383</v>
      </c>
      <c r="BA60" s="105">
        <f>EXP(AU60)/(1+EXP(AU60))</f>
        <v>0.62948311196739493</v>
      </c>
      <c r="BB60" s="92" t="s">
        <v>73</v>
      </c>
      <c r="BC60" s="92" t="s">
        <v>73</v>
      </c>
      <c r="BD60" s="92" t="s">
        <v>73</v>
      </c>
      <c r="BE60" s="92" t="s">
        <v>73</v>
      </c>
      <c r="BF60" s="92" t="s">
        <v>73</v>
      </c>
      <c r="BG60" s="92" t="s">
        <v>73</v>
      </c>
      <c r="BH60" s="92">
        <v>148</v>
      </c>
      <c r="BI60" s="92">
        <v>1184</v>
      </c>
      <c r="BJ60" s="92" t="s">
        <v>73</v>
      </c>
      <c r="BK60" s="92" t="s">
        <v>73</v>
      </c>
      <c r="BL60" s="92" t="s">
        <v>73</v>
      </c>
      <c r="BM60" s="92" t="s">
        <v>73</v>
      </c>
      <c r="BN60" s="92" t="s">
        <v>73</v>
      </c>
      <c r="BO60" s="92">
        <v>0</v>
      </c>
      <c r="BP60" s="92" t="s">
        <v>73</v>
      </c>
      <c r="BQ60" s="92">
        <v>0</v>
      </c>
      <c r="BR60" s="92" t="s">
        <v>73</v>
      </c>
      <c r="BS60" s="92" t="s">
        <v>345</v>
      </c>
      <c r="BT60" s="92">
        <v>0</v>
      </c>
      <c r="BU60" s="92">
        <v>0</v>
      </c>
      <c r="BV60" s="92">
        <v>1</v>
      </c>
      <c r="BW60" s="30">
        <f>((AZ60^2)/(AZ60^2+BH60))^(1/2)</f>
        <v>0.16525664934411763</v>
      </c>
      <c r="BX60" s="30">
        <f>0.5*LN((1+BW60)/(1-BW60))</f>
        <v>0.16678616424140319</v>
      </c>
      <c r="BY60" s="30">
        <f>((1-(BX60^2)^2)/(BH60-1))</f>
        <v>6.7974570051877199E-3</v>
      </c>
      <c r="BZ60" s="30">
        <f>1/(BH60-3)</f>
        <v>6.8965517241379309E-3</v>
      </c>
      <c r="CA60" s="92" t="s">
        <v>73</v>
      </c>
      <c r="CB60">
        <f>BH60-1</f>
        <v>147</v>
      </c>
      <c r="CC60" s="92" t="s">
        <v>73</v>
      </c>
      <c r="CD60" s="30">
        <f>((AZ60^2)/(AZ60^2+BI60))^(1/2)</f>
        <v>5.9137901852854315E-2</v>
      </c>
      <c r="CE60" s="30">
        <f>0.5*LN((1+CD60)/(1-CD60))</f>
        <v>5.9206987704804405E-2</v>
      </c>
      <c r="CF60" s="30">
        <f>((1-(CE60^2)^2)/(BI60-1))</f>
        <v>8.4529815020993756E-4</v>
      </c>
      <c r="CG60" s="30">
        <f>1/(BI60-3)</f>
        <v>8.4674005080440302E-4</v>
      </c>
      <c r="CH60"/>
    </row>
    <row r="61" spans="1:86" s="119" customFormat="1">
      <c r="A61" s="92" t="s">
        <v>68</v>
      </c>
      <c r="B61" s="92">
        <v>14</v>
      </c>
      <c r="C61" s="11">
        <v>1119</v>
      </c>
      <c r="D61" s="92">
        <v>124</v>
      </c>
      <c r="E61" s="92" t="s">
        <v>338</v>
      </c>
      <c r="F61" s="92">
        <v>2018</v>
      </c>
      <c r="G61" s="92" t="s">
        <v>339</v>
      </c>
      <c r="H61" s="92" t="s">
        <v>340</v>
      </c>
      <c r="I61" s="92">
        <v>2</v>
      </c>
      <c r="J61" s="92">
        <v>2015</v>
      </c>
      <c r="K61" s="92" t="s">
        <v>73</v>
      </c>
      <c r="L61" s="92">
        <v>28</v>
      </c>
      <c r="M61" s="203" t="s">
        <v>155</v>
      </c>
      <c r="N61" s="92" t="s">
        <v>112</v>
      </c>
      <c r="O61" s="92" t="s">
        <v>341</v>
      </c>
      <c r="P61" s="92" t="s">
        <v>294</v>
      </c>
      <c r="Q61" s="92" t="s">
        <v>244</v>
      </c>
      <c r="R61" s="135" t="s">
        <v>337</v>
      </c>
      <c r="S61" s="92">
        <v>1</v>
      </c>
      <c r="T61" s="92" t="s">
        <v>342</v>
      </c>
      <c r="U61" s="92">
        <v>0</v>
      </c>
      <c r="V61" s="92" t="s">
        <v>232</v>
      </c>
      <c r="W61" s="92" t="s">
        <v>232</v>
      </c>
      <c r="X61" s="92" t="s">
        <v>73</v>
      </c>
      <c r="Y61" s="92">
        <v>0</v>
      </c>
      <c r="Z61" s="92">
        <v>0</v>
      </c>
      <c r="AA61" s="92">
        <v>1</v>
      </c>
      <c r="AB61" s="92">
        <v>0</v>
      </c>
      <c r="AC61" s="92">
        <v>0</v>
      </c>
      <c r="AD61" s="92">
        <v>0</v>
      </c>
      <c r="AE61" s="92">
        <v>0</v>
      </c>
      <c r="AF61" s="92">
        <v>0</v>
      </c>
      <c r="AG61" s="92" t="s">
        <v>343</v>
      </c>
      <c r="AH61" s="92">
        <v>0</v>
      </c>
      <c r="AI61" s="92">
        <v>0</v>
      </c>
      <c r="AJ61" s="92">
        <v>0</v>
      </c>
      <c r="AK61" s="92">
        <v>0</v>
      </c>
      <c r="AL61" s="92">
        <v>0</v>
      </c>
      <c r="AM61" s="92">
        <v>0</v>
      </c>
      <c r="AN61" s="92">
        <v>0</v>
      </c>
      <c r="AO61" s="92">
        <v>1</v>
      </c>
      <c r="AP61" s="92">
        <v>0</v>
      </c>
      <c r="AQ61" s="92" t="s">
        <v>346</v>
      </c>
      <c r="AR61" s="92" t="s">
        <v>234</v>
      </c>
      <c r="AS61" s="92" t="s">
        <v>296</v>
      </c>
      <c r="AT61" s="92" t="s">
        <v>236</v>
      </c>
      <c r="AU61" s="186">
        <v>1.0900000000000001</v>
      </c>
      <c r="AV61" s="93" t="s">
        <v>80</v>
      </c>
      <c r="AW61" s="92">
        <v>0.39</v>
      </c>
      <c r="AX61" s="92" t="s">
        <v>73</v>
      </c>
      <c r="AY61" s="92">
        <v>3</v>
      </c>
      <c r="AZ61" s="92">
        <f>AU61/AW61</f>
        <v>2.7948717948717952</v>
      </c>
      <c r="BA61" s="105">
        <f>EXP(AU61)/(1+EXP(AU61))</f>
        <v>0.74838172160706429</v>
      </c>
      <c r="BB61" s="92" t="s">
        <v>73</v>
      </c>
      <c r="BC61" s="92" t="s">
        <v>73</v>
      </c>
      <c r="BD61" s="92" t="s">
        <v>73</v>
      </c>
      <c r="BE61" s="92" t="s">
        <v>73</v>
      </c>
      <c r="BF61" s="92" t="s">
        <v>73</v>
      </c>
      <c r="BG61" s="92" t="s">
        <v>73</v>
      </c>
      <c r="BH61" s="92">
        <v>148</v>
      </c>
      <c r="BI61" s="92">
        <v>1184</v>
      </c>
      <c r="BJ61" s="92" t="s">
        <v>73</v>
      </c>
      <c r="BK61" s="92" t="s">
        <v>73</v>
      </c>
      <c r="BL61" s="92" t="s">
        <v>73</v>
      </c>
      <c r="BM61" s="92" t="s">
        <v>73</v>
      </c>
      <c r="BN61" s="92" t="s">
        <v>73</v>
      </c>
      <c r="BO61" s="92">
        <v>0</v>
      </c>
      <c r="BP61" s="92" t="s">
        <v>73</v>
      </c>
      <c r="BQ61" s="92">
        <v>0</v>
      </c>
      <c r="BR61" s="92" t="s">
        <v>73</v>
      </c>
      <c r="BS61" s="92" t="s">
        <v>345</v>
      </c>
      <c r="BT61" s="92">
        <v>0</v>
      </c>
      <c r="BU61" s="92">
        <v>0</v>
      </c>
      <c r="BV61" s="92">
        <v>1</v>
      </c>
      <c r="BW61" s="30">
        <f>((AZ61^2)/(AZ61^2+BH61))^(1/2)</f>
        <v>0.22390428433112008</v>
      </c>
      <c r="BX61" s="30">
        <f>0.5*LN((1+BW61)/(1-BW61))</f>
        <v>0.22776270171385027</v>
      </c>
      <c r="BY61" s="30">
        <f>((1-(BX61^2)^2)/(BH61-1))</f>
        <v>6.7844142609794983E-3</v>
      </c>
      <c r="BZ61" s="30">
        <f>1/(BH61-3)</f>
        <v>6.8965517241379309E-3</v>
      </c>
      <c r="CA61" s="92" t="s">
        <v>73</v>
      </c>
      <c r="CB61">
        <f>BH61-1</f>
        <v>147</v>
      </c>
      <c r="CC61" s="92" t="s">
        <v>73</v>
      </c>
      <c r="CD61" s="30">
        <f>((AZ61^2)/(AZ61^2+BI61))^(1/2)</f>
        <v>8.0957696006493107E-2</v>
      </c>
      <c r="CE61" s="30">
        <f>0.5*LN((1+CD61)/(1-CD61))</f>
        <v>8.1135264405531898E-2</v>
      </c>
      <c r="CF61" s="30">
        <f>((1-(CE61^2)^2)/(BI61-1))</f>
        <v>8.4527190618574437E-4</v>
      </c>
      <c r="CG61" s="30">
        <f>1/(BI61-3)</f>
        <v>8.4674005080440302E-4</v>
      </c>
      <c r="CH61"/>
    </row>
    <row r="62" spans="1:86">
      <c r="A62" s="11" t="s">
        <v>68</v>
      </c>
      <c r="B62" s="11">
        <v>7</v>
      </c>
      <c r="C62" s="11">
        <v>1109</v>
      </c>
      <c r="D62">
        <v>120</v>
      </c>
      <c r="E62" t="s">
        <v>318</v>
      </c>
      <c r="F62" s="11">
        <v>2021</v>
      </c>
      <c r="G62" t="s">
        <v>319</v>
      </c>
      <c r="H62" s="22" t="s">
        <v>320</v>
      </c>
      <c r="I62">
        <v>2</v>
      </c>
      <c r="J62">
        <v>2018</v>
      </c>
      <c r="K62" s="10" t="s">
        <v>73</v>
      </c>
      <c r="L62">
        <v>296</v>
      </c>
      <c r="M62" s="202" t="s">
        <v>155</v>
      </c>
      <c r="N62" t="s">
        <v>112</v>
      </c>
      <c r="O62" t="s">
        <v>321</v>
      </c>
      <c r="P62" t="s">
        <v>228</v>
      </c>
      <c r="Q62" t="s">
        <v>312</v>
      </c>
      <c r="R62" t="s">
        <v>313</v>
      </c>
      <c r="S62">
        <v>0</v>
      </c>
      <c r="T62" t="s">
        <v>231</v>
      </c>
      <c r="U62">
        <v>1</v>
      </c>
      <c r="V62" s="18" t="s">
        <v>232</v>
      </c>
      <c r="W62" s="18" t="s">
        <v>232</v>
      </c>
      <c r="X62" s="18" t="s">
        <v>73</v>
      </c>
      <c r="Y62">
        <v>0</v>
      </c>
      <c r="Z62">
        <v>0</v>
      </c>
      <c r="AA62">
        <v>1</v>
      </c>
      <c r="AB62">
        <v>0</v>
      </c>
      <c r="AC62">
        <v>0</v>
      </c>
      <c r="AD62">
        <v>0</v>
      </c>
      <c r="AE62">
        <v>0</v>
      </c>
      <c r="AF62">
        <v>0</v>
      </c>
      <c r="AG62" t="s">
        <v>322</v>
      </c>
      <c r="AH62">
        <v>0</v>
      </c>
      <c r="AI62">
        <v>0</v>
      </c>
      <c r="AJ62">
        <v>1</v>
      </c>
      <c r="AK62">
        <v>0</v>
      </c>
      <c r="AL62">
        <v>0</v>
      </c>
      <c r="AM62">
        <v>0</v>
      </c>
      <c r="AN62" s="32">
        <v>0</v>
      </c>
      <c r="AO62">
        <v>0</v>
      </c>
      <c r="AP62">
        <v>0</v>
      </c>
      <c r="AQ62" s="32" t="s">
        <v>323</v>
      </c>
      <c r="AR62" t="s">
        <v>234</v>
      </c>
      <c r="AS62" t="s">
        <v>324</v>
      </c>
      <c r="AT62" t="s">
        <v>236</v>
      </c>
      <c r="AU62" s="187">
        <v>0.65100000000000002</v>
      </c>
      <c r="AV62" s="7" t="s">
        <v>86</v>
      </c>
      <c r="AW62" s="134">
        <v>0.57399999999999995</v>
      </c>
      <c r="AX62">
        <v>0.1</v>
      </c>
      <c r="AY62">
        <v>2</v>
      </c>
      <c r="AZ62">
        <f>AU62/AW62</f>
        <v>1.1341463414634148</v>
      </c>
      <c r="BA62" s="101">
        <f>AU62</f>
        <v>0.65100000000000002</v>
      </c>
      <c r="BB62" t="s">
        <v>73</v>
      </c>
      <c r="BC62" t="s">
        <v>73</v>
      </c>
      <c r="BD62" t="s">
        <v>73</v>
      </c>
      <c r="BE62" t="s">
        <v>73</v>
      </c>
      <c r="BF62" t="s">
        <v>73</v>
      </c>
      <c r="BG62" t="s">
        <v>73</v>
      </c>
      <c r="BH62">
        <v>421</v>
      </c>
      <c r="BI62">
        <v>421</v>
      </c>
      <c r="BJ62" t="s">
        <v>73</v>
      </c>
      <c r="BK62" t="s">
        <v>73</v>
      </c>
      <c r="BL62" t="s">
        <v>73</v>
      </c>
      <c r="BM62" t="s">
        <v>73</v>
      </c>
      <c r="BN62" t="s">
        <v>73</v>
      </c>
      <c r="BO62">
        <v>1</v>
      </c>
      <c r="BP62" t="s">
        <v>73</v>
      </c>
      <c r="BQ62">
        <v>0</v>
      </c>
      <c r="BR62" t="s">
        <v>73</v>
      </c>
      <c r="BS62" t="s">
        <v>73</v>
      </c>
      <c r="BT62">
        <v>0</v>
      </c>
      <c r="BU62">
        <v>0</v>
      </c>
      <c r="BV62">
        <v>1</v>
      </c>
      <c r="BW62" s="30">
        <f>((AZ62^2)/(AZ62^2+BH62))^(1/2)</f>
        <v>5.5190662378218035E-2</v>
      </c>
      <c r="BX62" s="30">
        <f>0.5*LN((1+BW62)/(1-BW62))</f>
        <v>5.5246802103969622E-2</v>
      </c>
      <c r="BY62" s="30">
        <f>((1-(BX62^2)^2)/(BH62-1))</f>
        <v>2.3809302000460694E-3</v>
      </c>
      <c r="BZ62" s="30">
        <f>1/(BH62-3)</f>
        <v>2.3923444976076554E-3</v>
      </c>
      <c r="CA62" s="92" t="s">
        <v>73</v>
      </c>
      <c r="CB62">
        <f>BH62-1</f>
        <v>420</v>
      </c>
      <c r="CC62" s="92" t="s">
        <v>73</v>
      </c>
      <c r="CD62" s="30">
        <f>((AZ62^2)/(AZ62^2+BI62))^(1/2)</f>
        <v>5.5190662378218035E-2</v>
      </c>
      <c r="CE62" s="30">
        <f>0.5*LN((1+CD62)/(1-CD62))</f>
        <v>5.5246802103969622E-2</v>
      </c>
      <c r="CF62" s="30">
        <f>((1-(CE62^2)^2)/(BI62-1))</f>
        <v>2.3809302000460694E-3</v>
      </c>
      <c r="CG62" s="30">
        <f>1/(BI62-3)</f>
        <v>2.3923444976076554E-3</v>
      </c>
      <c r="CH62" s="92"/>
    </row>
    <row r="63" spans="1:86">
      <c r="A63" s="11" t="s">
        <v>68</v>
      </c>
      <c r="B63" s="11">
        <v>7</v>
      </c>
      <c r="C63" s="11">
        <v>1110</v>
      </c>
      <c r="D63">
        <v>120</v>
      </c>
      <c r="E63" t="s">
        <v>318</v>
      </c>
      <c r="F63" s="11">
        <v>2021</v>
      </c>
      <c r="G63" t="s">
        <v>319</v>
      </c>
      <c r="H63" s="22" t="s">
        <v>320</v>
      </c>
      <c r="I63">
        <v>2</v>
      </c>
      <c r="J63">
        <v>2018</v>
      </c>
      <c r="K63" s="10" t="s">
        <v>73</v>
      </c>
      <c r="L63">
        <v>296</v>
      </c>
      <c r="M63" s="202" t="s">
        <v>155</v>
      </c>
      <c r="N63" t="s">
        <v>112</v>
      </c>
      <c r="O63" t="s">
        <v>321</v>
      </c>
      <c r="P63" t="s">
        <v>228</v>
      </c>
      <c r="Q63" t="s">
        <v>312</v>
      </c>
      <c r="R63" t="s">
        <v>313</v>
      </c>
      <c r="S63">
        <v>0</v>
      </c>
      <c r="T63" t="s">
        <v>231</v>
      </c>
      <c r="U63">
        <v>1</v>
      </c>
      <c r="V63" s="18" t="s">
        <v>232</v>
      </c>
      <c r="W63" s="18" t="s">
        <v>232</v>
      </c>
      <c r="X63" s="18" t="s">
        <v>73</v>
      </c>
      <c r="Y63">
        <v>0</v>
      </c>
      <c r="Z63">
        <v>1</v>
      </c>
      <c r="AA63">
        <v>0</v>
      </c>
      <c r="AB63">
        <v>0</v>
      </c>
      <c r="AC63">
        <v>0</v>
      </c>
      <c r="AD63">
        <v>0</v>
      </c>
      <c r="AE63">
        <v>0</v>
      </c>
      <c r="AF63">
        <v>0</v>
      </c>
      <c r="AG63" t="s">
        <v>322</v>
      </c>
      <c r="AH63">
        <v>0</v>
      </c>
      <c r="AI63">
        <v>0</v>
      </c>
      <c r="AJ63">
        <v>1</v>
      </c>
      <c r="AK63">
        <v>0</v>
      </c>
      <c r="AL63">
        <v>0</v>
      </c>
      <c r="AM63">
        <v>0</v>
      </c>
      <c r="AN63" s="32">
        <v>0</v>
      </c>
      <c r="AO63">
        <v>0</v>
      </c>
      <c r="AP63">
        <v>0</v>
      </c>
      <c r="AQ63" s="32" t="s">
        <v>323</v>
      </c>
      <c r="AR63" t="s">
        <v>234</v>
      </c>
      <c r="AS63" t="s">
        <v>324</v>
      </c>
      <c r="AT63" t="s">
        <v>236</v>
      </c>
      <c r="AU63" s="187">
        <v>0.33300000000000002</v>
      </c>
      <c r="AV63" s="7" t="s">
        <v>86</v>
      </c>
      <c r="AW63" s="134">
        <v>0.85399999999999998</v>
      </c>
      <c r="AX63">
        <v>0.1</v>
      </c>
      <c r="AY63">
        <v>2</v>
      </c>
      <c r="AZ63">
        <f>AU63/AW63</f>
        <v>0.38992974238875883</v>
      </c>
      <c r="BA63" s="101">
        <f>AU63</f>
        <v>0.33300000000000002</v>
      </c>
      <c r="BB63" t="s">
        <v>73</v>
      </c>
      <c r="BC63" t="s">
        <v>73</v>
      </c>
      <c r="BD63" t="s">
        <v>73</v>
      </c>
      <c r="BE63" t="s">
        <v>73</v>
      </c>
      <c r="BF63" t="s">
        <v>73</v>
      </c>
      <c r="BG63" t="s">
        <v>73</v>
      </c>
      <c r="BH63">
        <v>421</v>
      </c>
      <c r="BI63">
        <v>421</v>
      </c>
      <c r="BJ63" t="s">
        <v>73</v>
      </c>
      <c r="BK63" t="s">
        <v>73</v>
      </c>
      <c r="BL63" t="s">
        <v>73</v>
      </c>
      <c r="BM63" t="s">
        <v>73</v>
      </c>
      <c r="BN63" t="s">
        <v>73</v>
      </c>
      <c r="BO63">
        <v>0</v>
      </c>
      <c r="BP63" t="s">
        <v>73</v>
      </c>
      <c r="BQ63">
        <v>1</v>
      </c>
      <c r="BR63" s="41" t="s">
        <v>73</v>
      </c>
      <c r="BS63" t="s">
        <v>73</v>
      </c>
      <c r="BT63">
        <v>0</v>
      </c>
      <c r="BU63">
        <v>0</v>
      </c>
      <c r="BV63">
        <v>1</v>
      </c>
      <c r="BW63" s="30">
        <f>((AZ63^2)/(AZ63^2+BH63))^(1/2)</f>
        <v>1.9000582083692302E-2</v>
      </c>
      <c r="BX63" s="30">
        <f>0.5*LN((1+BW63)/(1-BW63))</f>
        <v>1.900286912258764E-2</v>
      </c>
      <c r="BY63" s="30">
        <f>((1-(BX63^2)^2)/(BH63-1))</f>
        <v>2.380952070476821E-3</v>
      </c>
      <c r="BZ63" s="30">
        <f>1/(BH63-3)</f>
        <v>2.3923444976076554E-3</v>
      </c>
      <c r="CA63" s="92" t="s">
        <v>73</v>
      </c>
      <c r="CB63">
        <f>BH63-1</f>
        <v>420</v>
      </c>
      <c r="CC63" s="92" t="s">
        <v>73</v>
      </c>
      <c r="CD63" s="30">
        <f>((AZ63^2)/(AZ63^2+BI63))^(1/2)</f>
        <v>1.9000582083692302E-2</v>
      </c>
      <c r="CE63" s="30">
        <f>0.5*LN((1+CD63)/(1-CD63))</f>
        <v>1.900286912258764E-2</v>
      </c>
      <c r="CF63" s="30">
        <f>((1-(CE63^2)^2)/(BI63-1))</f>
        <v>2.380952070476821E-3</v>
      </c>
      <c r="CG63" s="30">
        <f>1/(BI63-3)</f>
        <v>2.3923444976076554E-3</v>
      </c>
      <c r="CH63" s="92"/>
    </row>
    <row r="64" spans="1:86">
      <c r="A64" s="11" t="s">
        <v>68</v>
      </c>
      <c r="B64" s="11">
        <v>7</v>
      </c>
      <c r="C64" s="11">
        <v>1111</v>
      </c>
      <c r="D64">
        <v>120</v>
      </c>
      <c r="E64" t="s">
        <v>318</v>
      </c>
      <c r="F64" s="11">
        <v>2021</v>
      </c>
      <c r="G64" t="s">
        <v>319</v>
      </c>
      <c r="H64" s="22" t="s">
        <v>320</v>
      </c>
      <c r="I64">
        <v>2</v>
      </c>
      <c r="J64">
        <v>2018</v>
      </c>
      <c r="K64" s="10" t="s">
        <v>73</v>
      </c>
      <c r="L64">
        <v>296</v>
      </c>
      <c r="M64" s="202" t="s">
        <v>155</v>
      </c>
      <c r="N64" t="s">
        <v>112</v>
      </c>
      <c r="O64" t="s">
        <v>321</v>
      </c>
      <c r="P64" t="s">
        <v>228</v>
      </c>
      <c r="Q64" t="s">
        <v>312</v>
      </c>
      <c r="R64" t="s">
        <v>313</v>
      </c>
      <c r="S64">
        <v>0</v>
      </c>
      <c r="T64" t="s">
        <v>231</v>
      </c>
      <c r="U64">
        <v>1</v>
      </c>
      <c r="V64" s="18" t="s">
        <v>232</v>
      </c>
      <c r="W64" s="18" t="s">
        <v>232</v>
      </c>
      <c r="X64" s="18" t="s">
        <v>73</v>
      </c>
      <c r="Y64">
        <v>0</v>
      </c>
      <c r="Z64">
        <v>1</v>
      </c>
      <c r="AA64">
        <v>1</v>
      </c>
      <c r="AB64">
        <v>0</v>
      </c>
      <c r="AC64">
        <v>0</v>
      </c>
      <c r="AD64">
        <v>0</v>
      </c>
      <c r="AE64">
        <v>0</v>
      </c>
      <c r="AF64">
        <v>0</v>
      </c>
      <c r="AG64" t="s">
        <v>322</v>
      </c>
      <c r="AH64">
        <v>0</v>
      </c>
      <c r="AI64">
        <v>0</v>
      </c>
      <c r="AJ64">
        <v>1</v>
      </c>
      <c r="AK64">
        <v>0</v>
      </c>
      <c r="AL64">
        <v>0</v>
      </c>
      <c r="AM64">
        <v>0</v>
      </c>
      <c r="AN64" s="32">
        <v>0</v>
      </c>
      <c r="AO64">
        <v>0</v>
      </c>
      <c r="AP64">
        <v>0</v>
      </c>
      <c r="AQ64" s="32" t="s">
        <v>323</v>
      </c>
      <c r="AR64" t="s">
        <v>234</v>
      </c>
      <c r="AS64" t="s">
        <v>324</v>
      </c>
      <c r="AT64" t="s">
        <v>236</v>
      </c>
      <c r="AU64" s="187">
        <v>0.21199999999999999</v>
      </c>
      <c r="AV64" s="7" t="s">
        <v>80</v>
      </c>
      <c r="AW64" s="134">
        <v>0.42499999999999999</v>
      </c>
      <c r="AX64">
        <v>0.1</v>
      </c>
      <c r="AY64">
        <v>2</v>
      </c>
      <c r="AZ64">
        <f>AU64/AW64</f>
        <v>0.49882352941176472</v>
      </c>
      <c r="BA64" s="101">
        <f>AU64</f>
        <v>0.21199999999999999</v>
      </c>
      <c r="BB64" t="s">
        <v>73</v>
      </c>
      <c r="BC64" t="s">
        <v>73</v>
      </c>
      <c r="BD64" t="s">
        <v>73</v>
      </c>
      <c r="BE64" t="s">
        <v>73</v>
      </c>
      <c r="BF64" t="s">
        <v>73</v>
      </c>
      <c r="BG64" t="s">
        <v>73</v>
      </c>
      <c r="BH64">
        <v>421</v>
      </c>
      <c r="BI64">
        <v>421</v>
      </c>
      <c r="BJ64" t="s">
        <v>73</v>
      </c>
      <c r="BK64" t="s">
        <v>73</v>
      </c>
      <c r="BL64" t="s">
        <v>73</v>
      </c>
      <c r="BM64" t="s">
        <v>73</v>
      </c>
      <c r="BN64" t="s">
        <v>73</v>
      </c>
      <c r="BO64">
        <v>1</v>
      </c>
      <c r="BP64" t="s">
        <v>73</v>
      </c>
      <c r="BQ64">
        <v>1</v>
      </c>
      <c r="BR64" s="41" t="s">
        <v>73</v>
      </c>
      <c r="BS64" t="s">
        <v>73</v>
      </c>
      <c r="BT64">
        <v>0</v>
      </c>
      <c r="BU64">
        <v>0</v>
      </c>
      <c r="BV64">
        <v>1</v>
      </c>
      <c r="BW64" s="30">
        <f>((AZ64^2)/(AZ64^2+BH64))^(1/2)</f>
        <v>2.4303990103568901E-2</v>
      </c>
      <c r="BX64" s="30">
        <f>0.5*LN((1+BW64)/(1-BW64))</f>
        <v>2.4308777125756856E-2</v>
      </c>
      <c r="BY64" s="30">
        <f>((1-(BX64^2)^2)/(BH64-1))</f>
        <v>2.3809515495655199E-3</v>
      </c>
      <c r="BZ64" s="30">
        <f>1/(BH64-3)</f>
        <v>2.3923444976076554E-3</v>
      </c>
      <c r="CA64" s="92" t="s">
        <v>73</v>
      </c>
      <c r="CB64">
        <f>BH64-1</f>
        <v>420</v>
      </c>
      <c r="CC64" s="92" t="s">
        <v>73</v>
      </c>
      <c r="CD64" s="30">
        <f>((AZ64^2)/(AZ64^2+BI64))^(1/2)</f>
        <v>2.4303990103568901E-2</v>
      </c>
      <c r="CE64" s="30">
        <f>0.5*LN((1+CD64)/(1-CD64))</f>
        <v>2.4308777125756856E-2</v>
      </c>
      <c r="CF64" s="30">
        <f>((1-(CE64^2)^2)/(BI64-1))</f>
        <v>2.3809515495655199E-3</v>
      </c>
      <c r="CG64" s="30">
        <f>1/(BI64-3)</f>
        <v>2.3923444976076554E-3</v>
      </c>
      <c r="CH64" s="92"/>
    </row>
    <row r="65" spans="1:86">
      <c r="A65" s="108" t="s">
        <v>68</v>
      </c>
      <c r="B65" s="108">
        <v>30</v>
      </c>
      <c r="C65" s="108">
        <v>1147</v>
      </c>
      <c r="D65" s="135">
        <v>132</v>
      </c>
      <c r="E65" t="s">
        <v>358</v>
      </c>
      <c r="F65" s="108">
        <v>2020</v>
      </c>
      <c r="G65" t="s">
        <v>359</v>
      </c>
      <c r="H65" t="s">
        <v>360</v>
      </c>
      <c r="I65" s="135">
        <v>2</v>
      </c>
      <c r="J65">
        <v>2017</v>
      </c>
      <c r="K65" s="108" t="s">
        <v>73</v>
      </c>
      <c r="L65" s="135">
        <v>5</v>
      </c>
      <c r="M65" s="201" t="s">
        <v>261</v>
      </c>
      <c r="N65" t="s">
        <v>242</v>
      </c>
      <c r="O65" t="s">
        <v>275</v>
      </c>
      <c r="P65" t="s">
        <v>294</v>
      </c>
      <c r="Q65" t="s">
        <v>312</v>
      </c>
      <c r="R65" t="s">
        <v>337</v>
      </c>
      <c r="S65">
        <v>1</v>
      </c>
      <c r="T65" t="s">
        <v>342</v>
      </c>
      <c r="U65">
        <v>1</v>
      </c>
      <c r="V65" s="108" t="s">
        <v>232</v>
      </c>
      <c r="W65" s="108" t="s">
        <v>232</v>
      </c>
      <c r="X65" s="108" t="s">
        <v>73</v>
      </c>
      <c r="Y65" s="135">
        <v>0</v>
      </c>
      <c r="Z65" s="135">
        <v>0</v>
      </c>
      <c r="AA65" s="135">
        <v>1</v>
      </c>
      <c r="AB65" s="135">
        <v>0</v>
      </c>
      <c r="AC65" s="135">
        <v>0</v>
      </c>
      <c r="AD65" s="135">
        <v>0</v>
      </c>
      <c r="AE65" s="135">
        <v>0</v>
      </c>
      <c r="AF65" s="135">
        <v>0</v>
      </c>
      <c r="AG65" t="s">
        <v>361</v>
      </c>
      <c r="AH65" s="135">
        <v>0</v>
      </c>
      <c r="AI65" s="135">
        <v>0</v>
      </c>
      <c r="AJ65" s="135">
        <v>0</v>
      </c>
      <c r="AK65" s="135">
        <v>1</v>
      </c>
      <c r="AL65" s="135">
        <v>0</v>
      </c>
      <c r="AM65" s="135">
        <v>0</v>
      </c>
      <c r="AN65" s="135">
        <v>0</v>
      </c>
      <c r="AO65" s="135">
        <v>0</v>
      </c>
      <c r="AP65" s="135">
        <v>0</v>
      </c>
      <c r="AQ65" t="s">
        <v>73</v>
      </c>
      <c r="AR65" t="s">
        <v>234</v>
      </c>
      <c r="AS65" t="s">
        <v>362</v>
      </c>
      <c r="AT65" t="s">
        <v>236</v>
      </c>
      <c r="AU65" s="187">
        <v>0.34670000000000001</v>
      </c>
      <c r="AV65" s="7" t="s">
        <v>80</v>
      </c>
      <c r="AW65">
        <v>4.1000000000000002E-2</v>
      </c>
      <c r="AX65">
        <v>0.01</v>
      </c>
      <c r="AY65">
        <v>1</v>
      </c>
      <c r="AZ65">
        <f>AU65/AW65</f>
        <v>8.4560975609756088</v>
      </c>
      <c r="BA65" s="105">
        <f>EXP(AU65)/(1+EXP(AU65))</f>
        <v>0.58581710943557763</v>
      </c>
      <c r="BB65" t="s">
        <v>73</v>
      </c>
      <c r="BC65" t="s">
        <v>73</v>
      </c>
      <c r="BD65" t="s">
        <v>73</v>
      </c>
      <c r="BE65" t="s">
        <v>73</v>
      </c>
      <c r="BF65" t="s">
        <v>73</v>
      </c>
      <c r="BG65" t="s">
        <v>73</v>
      </c>
      <c r="BH65" s="135">
        <v>325</v>
      </c>
      <c r="BI65" s="135">
        <v>5200</v>
      </c>
      <c r="BJ65" s="135" t="s">
        <v>73</v>
      </c>
      <c r="BK65" s="135" t="s">
        <v>73</v>
      </c>
      <c r="BL65" s="135" t="s">
        <v>73</v>
      </c>
      <c r="BM65" s="135" t="s">
        <v>73</v>
      </c>
      <c r="BN65" s="135" t="s">
        <v>73</v>
      </c>
      <c r="BO65" s="135" t="s">
        <v>73</v>
      </c>
      <c r="BP65" s="135" t="s">
        <v>73</v>
      </c>
      <c r="BQ65" s="135" t="s">
        <v>73</v>
      </c>
      <c r="BR65" s="135" t="s">
        <v>73</v>
      </c>
      <c r="BS65" s="135" t="s">
        <v>73</v>
      </c>
      <c r="BT65" s="135">
        <v>0</v>
      </c>
      <c r="BU65" s="135">
        <v>1</v>
      </c>
      <c r="BV65" s="135">
        <v>1</v>
      </c>
      <c r="BW65" s="30">
        <f>((AZ65^2)/(AZ65^2+BH65))^(1/2)</f>
        <v>0.42466388635349994</v>
      </c>
      <c r="BX65" s="30">
        <f>0.5*LN((1+BW65)/(1-BW65))</f>
        <v>0.45336839008312346</v>
      </c>
      <c r="BY65" s="30">
        <f>((1-(BX65^2)^2)/(BH65-1))</f>
        <v>2.9560250538296882E-3</v>
      </c>
      <c r="BZ65" s="30">
        <f>1/(BH65-3)</f>
        <v>3.105590062111801E-3</v>
      </c>
      <c r="CA65" s="92" t="s">
        <v>73</v>
      </c>
      <c r="CB65">
        <f>BH65-2</f>
        <v>323</v>
      </c>
      <c r="CC65" s="92" t="s">
        <v>73</v>
      </c>
      <c r="CD65" s="30">
        <f>((AZ65^2)/(AZ65^2+BI65))^(1/2)</f>
        <v>0.11646693577511889</v>
      </c>
      <c r="CE65" s="30">
        <f>0.5*LN((1+CD65)/(1-CD65))</f>
        <v>0.1169978707358736</v>
      </c>
      <c r="CF65" s="30">
        <f>((1-(CE65^2)^2)/(BI65-1))</f>
        <v>1.9230864106937028E-4</v>
      </c>
      <c r="CG65" s="30">
        <f>1/(BI65-3)</f>
        <v>1.9241870309794111E-4</v>
      </c>
    </row>
    <row r="66" spans="1:86" s="107" customFormat="1">
      <c r="A66" s="108" t="s">
        <v>68</v>
      </c>
      <c r="B66" s="108">
        <v>30</v>
      </c>
      <c r="C66" s="108">
        <v>1148</v>
      </c>
      <c r="D66" s="135">
        <v>132</v>
      </c>
      <c r="E66" t="s">
        <v>358</v>
      </c>
      <c r="F66" s="108">
        <v>2020</v>
      </c>
      <c r="G66" t="s">
        <v>359</v>
      </c>
      <c r="H66" t="s">
        <v>360</v>
      </c>
      <c r="I66" s="135">
        <v>2</v>
      </c>
      <c r="J66">
        <v>2017</v>
      </c>
      <c r="K66" s="108" t="s">
        <v>73</v>
      </c>
      <c r="L66" s="135">
        <v>5</v>
      </c>
      <c r="M66" s="201" t="s">
        <v>261</v>
      </c>
      <c r="N66" t="s">
        <v>242</v>
      </c>
      <c r="O66" t="s">
        <v>275</v>
      </c>
      <c r="P66" t="s">
        <v>294</v>
      </c>
      <c r="Q66" t="s">
        <v>312</v>
      </c>
      <c r="R66" t="s">
        <v>337</v>
      </c>
      <c r="S66">
        <v>1</v>
      </c>
      <c r="T66" t="s">
        <v>342</v>
      </c>
      <c r="U66">
        <v>1</v>
      </c>
      <c r="V66" s="108" t="s">
        <v>232</v>
      </c>
      <c r="W66" s="108" t="s">
        <v>232</v>
      </c>
      <c r="X66" s="108" t="s">
        <v>73</v>
      </c>
      <c r="Y66" s="135">
        <v>0</v>
      </c>
      <c r="Z66" s="135">
        <v>0</v>
      </c>
      <c r="AA66" s="135">
        <v>1</v>
      </c>
      <c r="AB66" s="135">
        <v>0</v>
      </c>
      <c r="AC66" s="135">
        <v>0</v>
      </c>
      <c r="AD66" s="135">
        <v>0</v>
      </c>
      <c r="AE66" s="135">
        <v>0</v>
      </c>
      <c r="AF66" s="135">
        <v>0</v>
      </c>
      <c r="AG66" t="s">
        <v>361</v>
      </c>
      <c r="AH66" s="135">
        <v>1</v>
      </c>
      <c r="AI66" s="135">
        <v>0</v>
      </c>
      <c r="AJ66" s="135">
        <v>0</v>
      </c>
      <c r="AK66" s="135">
        <v>0</v>
      </c>
      <c r="AL66" s="135">
        <v>0</v>
      </c>
      <c r="AM66" s="135">
        <v>0</v>
      </c>
      <c r="AN66" s="135">
        <v>0</v>
      </c>
      <c r="AO66" s="135">
        <v>0</v>
      </c>
      <c r="AP66" s="135">
        <v>0</v>
      </c>
      <c r="AQ66" t="s">
        <v>73</v>
      </c>
      <c r="AR66" t="s">
        <v>234</v>
      </c>
      <c r="AS66" t="s">
        <v>362</v>
      </c>
      <c r="AT66" t="s">
        <v>236</v>
      </c>
      <c r="AU66" s="187">
        <v>0.35460000000000003</v>
      </c>
      <c r="AV66" s="7" t="s">
        <v>80</v>
      </c>
      <c r="AW66">
        <v>4.02E-2</v>
      </c>
      <c r="AX66">
        <v>0.01</v>
      </c>
      <c r="AY66">
        <v>1</v>
      </c>
      <c r="AZ66">
        <f>AU66/AW66</f>
        <v>8.8208955223880601</v>
      </c>
      <c r="BA66" s="105">
        <f>EXP(AU66)/(1+EXP(AU66))</f>
        <v>0.58773262069003773</v>
      </c>
      <c r="BB66" t="s">
        <v>73</v>
      </c>
      <c r="BC66" t="s">
        <v>73</v>
      </c>
      <c r="BD66" t="s">
        <v>73</v>
      </c>
      <c r="BE66" t="s">
        <v>73</v>
      </c>
      <c r="BF66" t="s">
        <v>73</v>
      </c>
      <c r="BG66" t="s">
        <v>73</v>
      </c>
      <c r="BH66" s="135">
        <v>325</v>
      </c>
      <c r="BI66" s="135">
        <v>5200</v>
      </c>
      <c r="BJ66" s="135" t="s">
        <v>73</v>
      </c>
      <c r="BK66" s="135" t="s">
        <v>73</v>
      </c>
      <c r="BL66" s="135" t="s">
        <v>73</v>
      </c>
      <c r="BM66" s="135" t="s">
        <v>73</v>
      </c>
      <c r="BN66" s="135" t="s">
        <v>73</v>
      </c>
      <c r="BO66" s="135" t="s">
        <v>73</v>
      </c>
      <c r="BP66" s="135" t="s">
        <v>73</v>
      </c>
      <c r="BQ66" s="135" t="s">
        <v>73</v>
      </c>
      <c r="BR66" s="135" t="s">
        <v>73</v>
      </c>
      <c r="BS66" s="135" t="s">
        <v>73</v>
      </c>
      <c r="BT66" s="135">
        <v>0</v>
      </c>
      <c r="BU66" s="135">
        <v>1</v>
      </c>
      <c r="BV66" s="135">
        <v>1</v>
      </c>
      <c r="BW66" s="30">
        <f>((AZ66^2)/(AZ66^2+BH66))^(1/2)</f>
        <v>0.43950470421982007</v>
      </c>
      <c r="BX66" s="30">
        <f>0.5*LN((1+BW66)/(1-BW66))</f>
        <v>0.47161676421139942</v>
      </c>
      <c r="BY66" s="30">
        <f>((1-(BX66^2)^2)/(BH66-1))</f>
        <v>2.9337292848981796E-3</v>
      </c>
      <c r="BZ66" s="30">
        <f>1/(BH66-3)</f>
        <v>3.105590062111801E-3</v>
      </c>
      <c r="CA66" s="92" t="s">
        <v>73</v>
      </c>
      <c r="CB66">
        <f>BH66-2</f>
        <v>323</v>
      </c>
      <c r="CC66" s="92" t="s">
        <v>73</v>
      </c>
      <c r="CD66" s="30">
        <f>((AZ66^2)/(AZ66^2+BI66))^(1/2)</f>
        <v>0.12141878326375445</v>
      </c>
      <c r="CE66" s="30">
        <f>0.5*LN((1+CD66)/(1-CD66))</f>
        <v>0.12202079034970886</v>
      </c>
      <c r="CF66" s="30">
        <f>((1-(CE66^2)^2)/(BI66-1))</f>
        <v>1.9230204183437875E-4</v>
      </c>
      <c r="CG66" s="30">
        <f>1/(BI66-3)</f>
        <v>1.9241870309794111E-4</v>
      </c>
      <c r="CH66" s="32"/>
    </row>
    <row r="67" spans="1:86">
      <c r="A67" s="11" t="s">
        <v>68</v>
      </c>
      <c r="B67" s="11">
        <v>11</v>
      </c>
      <c r="C67" s="11">
        <v>1020</v>
      </c>
      <c r="D67" s="11">
        <v>106</v>
      </c>
      <c r="E67" s="10" t="s">
        <v>258</v>
      </c>
      <c r="F67" s="11">
        <v>2010</v>
      </c>
      <c r="G67" t="s">
        <v>259</v>
      </c>
      <c r="H67" s="10" t="s">
        <v>260</v>
      </c>
      <c r="I67" s="18">
        <v>2</v>
      </c>
      <c r="J67" s="10">
        <v>2008</v>
      </c>
      <c r="K67" s="10" t="s">
        <v>73</v>
      </c>
      <c r="L67">
        <v>201</v>
      </c>
      <c r="M67" s="202" t="s">
        <v>261</v>
      </c>
      <c r="N67" t="s">
        <v>242</v>
      </c>
      <c r="O67" t="s">
        <v>124</v>
      </c>
      <c r="P67" s="18" t="s">
        <v>243</v>
      </c>
      <c r="Q67" t="s">
        <v>244</v>
      </c>
      <c r="R67" t="s">
        <v>245</v>
      </c>
      <c r="S67">
        <v>1</v>
      </c>
      <c r="T67" t="s">
        <v>189</v>
      </c>
      <c r="U67">
        <v>0</v>
      </c>
      <c r="V67" s="18" t="s">
        <v>232</v>
      </c>
      <c r="W67" s="18" t="s">
        <v>232</v>
      </c>
      <c r="X67" s="18" t="s">
        <v>73</v>
      </c>
      <c r="Y67">
        <v>0</v>
      </c>
      <c r="Z67">
        <v>0</v>
      </c>
      <c r="AA67">
        <v>0</v>
      </c>
      <c r="AB67">
        <v>0</v>
      </c>
      <c r="AC67">
        <v>0</v>
      </c>
      <c r="AD67">
        <v>1</v>
      </c>
      <c r="AE67">
        <v>0</v>
      </c>
      <c r="AF67">
        <v>0</v>
      </c>
      <c r="AG67" t="s">
        <v>262</v>
      </c>
      <c r="AH67">
        <v>0</v>
      </c>
      <c r="AI67">
        <v>0</v>
      </c>
      <c r="AJ67">
        <v>0</v>
      </c>
      <c r="AK67">
        <v>0</v>
      </c>
      <c r="AL67">
        <v>0</v>
      </c>
      <c r="AM67">
        <v>0</v>
      </c>
      <c r="AN67">
        <v>1</v>
      </c>
      <c r="AO67">
        <v>0</v>
      </c>
      <c r="AP67">
        <v>0</v>
      </c>
      <c r="AQ67" t="s">
        <v>263</v>
      </c>
      <c r="AR67" t="s">
        <v>234</v>
      </c>
      <c r="AS67" t="s">
        <v>264</v>
      </c>
      <c r="AT67" t="s">
        <v>236</v>
      </c>
      <c r="AU67" s="187">
        <v>0.20499999999999999</v>
      </c>
      <c r="AV67" s="7" t="s">
        <v>80</v>
      </c>
      <c r="AW67" t="s">
        <v>73</v>
      </c>
      <c r="AX67">
        <v>0.05</v>
      </c>
      <c r="AY67">
        <v>2</v>
      </c>
      <c r="AZ67" s="19">
        <f>TINV(AX67,CB67)</f>
        <v>1.962795497038498</v>
      </c>
      <c r="BA67" s="105">
        <f>EXP(AU67)/(1+EXP(AU67))</f>
        <v>0.55107126930734196</v>
      </c>
      <c r="BB67" t="s">
        <v>73</v>
      </c>
      <c r="BC67" s="18" t="s">
        <v>73</v>
      </c>
      <c r="BD67" t="s">
        <v>73</v>
      </c>
      <c r="BE67" t="s">
        <v>73</v>
      </c>
      <c r="BF67" s="18">
        <v>54</v>
      </c>
      <c r="BG67" t="s">
        <v>73</v>
      </c>
      <c r="BH67" s="10">
        <v>841</v>
      </c>
      <c r="BI67" s="10">
        <v>841</v>
      </c>
      <c r="BJ67" t="s">
        <v>73</v>
      </c>
      <c r="BK67" t="s">
        <v>73</v>
      </c>
      <c r="BL67">
        <v>235.29</v>
      </c>
      <c r="BM67" t="s">
        <v>266</v>
      </c>
      <c r="BN67" t="s">
        <v>73</v>
      </c>
      <c r="BO67" t="s">
        <v>73</v>
      </c>
      <c r="BP67" t="s">
        <v>73</v>
      </c>
      <c r="BQ67" t="s">
        <v>73</v>
      </c>
      <c r="BR67" t="s">
        <v>73</v>
      </c>
      <c r="BS67" t="s">
        <v>73</v>
      </c>
      <c r="BT67" s="18">
        <v>1</v>
      </c>
      <c r="BU67" s="18">
        <v>1</v>
      </c>
      <c r="BV67" s="18">
        <v>1</v>
      </c>
      <c r="BW67" s="30">
        <f>((AZ67^2)/(AZ67^2+BH67))^(1/2)</f>
        <v>6.7528109143524445E-2</v>
      </c>
      <c r="BX67" s="30">
        <f>0.5*LN((1+BW67)/(1-BW67))</f>
        <v>6.7631034648244742E-2</v>
      </c>
      <c r="BY67" s="30">
        <f>((1-(BX67^2)^2)/(BH67-1))</f>
        <v>1.190451284427091E-3</v>
      </c>
      <c r="BZ67" s="30">
        <f>1/(BH67-3)</f>
        <v>1.1933174224343676E-3</v>
      </c>
      <c r="CA67" s="92" t="s">
        <v>73</v>
      </c>
      <c r="CB67">
        <f>BH67-2</f>
        <v>839</v>
      </c>
      <c r="CC67" s="92" t="s">
        <v>73</v>
      </c>
      <c r="CD67" s="30">
        <f>((AZ67^2)/(AZ67^2+BI67))^(1/2)</f>
        <v>6.7528109143524445E-2</v>
      </c>
      <c r="CE67" s="30">
        <f>0.5*LN((1+CD67)/(1-CD67))</f>
        <v>6.7631034648244742E-2</v>
      </c>
      <c r="CF67" s="30">
        <f>((1-(CE67^2)^2)/(BI67-1))</f>
        <v>1.190451284427091E-3</v>
      </c>
      <c r="CG67" s="30">
        <f>1/(BI67-3)</f>
        <v>1.1933174224343676E-3</v>
      </c>
    </row>
    <row r="68" spans="1:86">
      <c r="A68" s="11" t="s">
        <v>68</v>
      </c>
      <c r="B68" s="11">
        <v>11</v>
      </c>
      <c r="C68" s="11">
        <v>1021</v>
      </c>
      <c r="D68" s="11">
        <v>106</v>
      </c>
      <c r="E68" s="10" t="s">
        <v>258</v>
      </c>
      <c r="F68" s="11">
        <v>2010</v>
      </c>
      <c r="G68" t="s">
        <v>259</v>
      </c>
      <c r="H68" s="10" t="s">
        <v>260</v>
      </c>
      <c r="I68" s="18">
        <v>2</v>
      </c>
      <c r="J68" s="10">
        <v>2008</v>
      </c>
      <c r="K68" s="10" t="s">
        <v>73</v>
      </c>
      <c r="L68">
        <v>201</v>
      </c>
      <c r="M68" s="202" t="s">
        <v>261</v>
      </c>
      <c r="N68" t="s">
        <v>242</v>
      </c>
      <c r="O68" t="s">
        <v>124</v>
      </c>
      <c r="P68" s="18" t="s">
        <v>243</v>
      </c>
      <c r="Q68" t="s">
        <v>244</v>
      </c>
      <c r="R68" t="s">
        <v>245</v>
      </c>
      <c r="S68">
        <v>1</v>
      </c>
      <c r="T68" t="s">
        <v>189</v>
      </c>
      <c r="U68">
        <v>0</v>
      </c>
      <c r="V68" s="18" t="s">
        <v>232</v>
      </c>
      <c r="W68" s="18" t="s">
        <v>232</v>
      </c>
      <c r="X68" s="18" t="s">
        <v>73</v>
      </c>
      <c r="Y68">
        <v>0</v>
      </c>
      <c r="Z68">
        <v>0</v>
      </c>
      <c r="AA68">
        <v>0</v>
      </c>
      <c r="AB68">
        <v>0</v>
      </c>
      <c r="AC68">
        <v>0</v>
      </c>
      <c r="AD68">
        <v>1</v>
      </c>
      <c r="AE68">
        <v>0</v>
      </c>
      <c r="AF68">
        <v>0</v>
      </c>
      <c r="AG68" t="s">
        <v>262</v>
      </c>
      <c r="AH68">
        <v>0</v>
      </c>
      <c r="AI68">
        <v>0</v>
      </c>
      <c r="AJ68">
        <v>0</v>
      </c>
      <c r="AK68">
        <v>0</v>
      </c>
      <c r="AL68">
        <v>0</v>
      </c>
      <c r="AM68">
        <v>0</v>
      </c>
      <c r="AN68">
        <v>1</v>
      </c>
      <c r="AO68">
        <v>0</v>
      </c>
      <c r="AP68">
        <v>0</v>
      </c>
      <c r="AQ68" t="s">
        <v>267</v>
      </c>
      <c r="AR68" t="s">
        <v>234</v>
      </c>
      <c r="AS68" t="s">
        <v>264</v>
      </c>
      <c r="AT68" t="s">
        <v>236</v>
      </c>
      <c r="AU68" s="187">
        <v>0.47799999999999998</v>
      </c>
      <c r="AV68" s="7" t="s">
        <v>80</v>
      </c>
      <c r="AW68" t="s">
        <v>73</v>
      </c>
      <c r="AX68">
        <v>0.05</v>
      </c>
      <c r="AY68">
        <v>2</v>
      </c>
      <c r="AZ68" s="19">
        <f>TINV(AX68,CB68)</f>
        <v>1.962795497038498</v>
      </c>
      <c r="BA68" s="105">
        <f>EXP(AU68)/(1+EXP(AU68))</f>
        <v>0.61727549280679062</v>
      </c>
      <c r="BB68" t="s">
        <v>73</v>
      </c>
      <c r="BC68" s="18" t="s">
        <v>73</v>
      </c>
      <c r="BD68" t="s">
        <v>73</v>
      </c>
      <c r="BE68" t="s">
        <v>73</v>
      </c>
      <c r="BF68" s="18">
        <v>54</v>
      </c>
      <c r="BG68" t="s">
        <v>73</v>
      </c>
      <c r="BH68" s="10">
        <v>841</v>
      </c>
      <c r="BI68" s="10">
        <v>841</v>
      </c>
      <c r="BJ68" t="s">
        <v>73</v>
      </c>
      <c r="BK68" t="s">
        <v>73</v>
      </c>
      <c r="BL68">
        <v>0</v>
      </c>
      <c r="BM68">
        <v>0</v>
      </c>
      <c r="BN68" t="s">
        <v>73</v>
      </c>
      <c r="BO68" t="s">
        <v>73</v>
      </c>
      <c r="BP68" t="s">
        <v>73</v>
      </c>
      <c r="BQ68" t="s">
        <v>73</v>
      </c>
      <c r="BR68" t="s">
        <v>73</v>
      </c>
      <c r="BS68" t="s">
        <v>73</v>
      </c>
      <c r="BT68" s="18">
        <v>1</v>
      </c>
      <c r="BU68" s="18">
        <v>1</v>
      </c>
      <c r="BV68" s="18">
        <v>1</v>
      </c>
      <c r="BW68" s="30">
        <f>((AZ68^2)/(AZ68^2+BH68))^(1/2)</f>
        <v>6.7528109143524445E-2</v>
      </c>
      <c r="BX68" s="30">
        <f>0.5*LN((1+BW68)/(1-BW68))</f>
        <v>6.7631034648244742E-2</v>
      </c>
      <c r="BY68" s="30">
        <f>((1-(BX68^2)^2)/(BH68-1))</f>
        <v>1.190451284427091E-3</v>
      </c>
      <c r="BZ68" s="30">
        <f>1/(BH68-3)</f>
        <v>1.1933174224343676E-3</v>
      </c>
      <c r="CA68" s="92" t="s">
        <v>73</v>
      </c>
      <c r="CB68">
        <f>BH68-2</f>
        <v>839</v>
      </c>
      <c r="CC68" s="92" t="s">
        <v>73</v>
      </c>
      <c r="CD68" s="30">
        <f>((AZ68^2)/(AZ68^2+BI68))^(1/2)</f>
        <v>6.7528109143524445E-2</v>
      </c>
      <c r="CE68" s="30">
        <f>0.5*LN((1+CD68)/(1-CD68))</f>
        <v>6.7631034648244742E-2</v>
      </c>
      <c r="CF68" s="30">
        <f>((1-(CE68^2)^2)/(BI68-1))</f>
        <v>1.190451284427091E-3</v>
      </c>
      <c r="CG68" s="30">
        <f>1/(BI68-3)</f>
        <v>1.1933174224343676E-3</v>
      </c>
      <c r="CH68" s="92"/>
    </row>
    <row r="69" spans="1:86">
      <c r="A69" s="11" t="s">
        <v>68</v>
      </c>
      <c r="B69" s="11">
        <v>11</v>
      </c>
      <c r="C69" s="11">
        <v>1022</v>
      </c>
      <c r="D69" s="11">
        <v>106</v>
      </c>
      <c r="E69" s="10" t="s">
        <v>258</v>
      </c>
      <c r="F69" s="11">
        <v>2010</v>
      </c>
      <c r="G69" t="s">
        <v>259</v>
      </c>
      <c r="H69" s="10" t="s">
        <v>260</v>
      </c>
      <c r="I69" s="18">
        <v>2</v>
      </c>
      <c r="J69" s="10">
        <v>2008</v>
      </c>
      <c r="K69" s="10" t="s">
        <v>73</v>
      </c>
      <c r="L69">
        <v>201</v>
      </c>
      <c r="M69" s="202" t="s">
        <v>261</v>
      </c>
      <c r="N69" t="s">
        <v>242</v>
      </c>
      <c r="O69" t="s">
        <v>124</v>
      </c>
      <c r="P69" s="18" t="s">
        <v>243</v>
      </c>
      <c r="Q69" t="s">
        <v>244</v>
      </c>
      <c r="R69" t="s">
        <v>245</v>
      </c>
      <c r="S69">
        <v>1</v>
      </c>
      <c r="T69" t="s">
        <v>189</v>
      </c>
      <c r="U69">
        <v>0</v>
      </c>
      <c r="V69" s="18" t="s">
        <v>232</v>
      </c>
      <c r="W69" s="18" t="s">
        <v>232</v>
      </c>
      <c r="X69" s="18" t="s">
        <v>73</v>
      </c>
      <c r="Y69">
        <v>0</v>
      </c>
      <c r="Z69">
        <v>0</v>
      </c>
      <c r="AA69">
        <v>0</v>
      </c>
      <c r="AB69">
        <v>0</v>
      </c>
      <c r="AC69">
        <v>0</v>
      </c>
      <c r="AD69">
        <v>1</v>
      </c>
      <c r="AE69">
        <v>0</v>
      </c>
      <c r="AF69">
        <v>0</v>
      </c>
      <c r="AG69" t="s">
        <v>262</v>
      </c>
      <c r="AH69">
        <v>0</v>
      </c>
      <c r="AI69">
        <v>0</v>
      </c>
      <c r="AJ69">
        <v>0</v>
      </c>
      <c r="AK69">
        <v>0</v>
      </c>
      <c r="AL69">
        <v>0</v>
      </c>
      <c r="AM69">
        <v>0</v>
      </c>
      <c r="AN69">
        <v>1</v>
      </c>
      <c r="AO69">
        <v>0</v>
      </c>
      <c r="AP69">
        <v>0</v>
      </c>
      <c r="AQ69" t="s">
        <v>268</v>
      </c>
      <c r="AR69" t="s">
        <v>234</v>
      </c>
      <c r="AS69" t="s">
        <v>264</v>
      </c>
      <c r="AT69" t="s">
        <v>236</v>
      </c>
      <c r="AU69" s="187">
        <v>1.6879999999999999</v>
      </c>
      <c r="AV69" s="7" t="s">
        <v>80</v>
      </c>
      <c r="AW69" t="s">
        <v>73</v>
      </c>
      <c r="AX69">
        <v>0.01</v>
      </c>
      <c r="AY69">
        <v>1</v>
      </c>
      <c r="AZ69" s="19">
        <f>TINV(AX69,CB69)</f>
        <v>2.5817018839793482</v>
      </c>
      <c r="BA69" s="105">
        <f>EXP(AU69)/(1+EXP(AU69))</f>
        <v>0.84396095930848247</v>
      </c>
      <c r="BB69" t="s">
        <v>73</v>
      </c>
      <c r="BC69" s="18" t="s">
        <v>73</v>
      </c>
      <c r="BD69" t="s">
        <v>73</v>
      </c>
      <c r="BE69" t="s">
        <v>73</v>
      </c>
      <c r="BF69" s="18">
        <v>54</v>
      </c>
      <c r="BG69" t="s">
        <v>73</v>
      </c>
      <c r="BH69" s="10">
        <v>841</v>
      </c>
      <c r="BI69" s="10">
        <v>841</v>
      </c>
      <c r="BJ69" t="s">
        <v>73</v>
      </c>
      <c r="BK69" t="s">
        <v>73</v>
      </c>
      <c r="BL69">
        <v>470.59</v>
      </c>
      <c r="BM69" t="s">
        <v>269</v>
      </c>
      <c r="BN69" t="s">
        <v>73</v>
      </c>
      <c r="BO69" t="s">
        <v>73</v>
      </c>
      <c r="BP69" t="s">
        <v>73</v>
      </c>
      <c r="BQ69" t="s">
        <v>73</v>
      </c>
      <c r="BR69" t="s">
        <v>73</v>
      </c>
      <c r="BS69" t="s">
        <v>73</v>
      </c>
      <c r="BT69" s="18">
        <v>1</v>
      </c>
      <c r="BU69" s="18">
        <v>1</v>
      </c>
      <c r="BV69" s="18">
        <v>1</v>
      </c>
      <c r="BW69" s="30">
        <f>((AZ69^2)/(AZ69^2+BH69))^(1/2)</f>
        <v>8.8673513868765694E-2</v>
      </c>
      <c r="BX69" s="30">
        <f>0.5*LN((1+BW69)/(1-BW69))</f>
        <v>8.890702958732373E-2</v>
      </c>
      <c r="BY69" s="30">
        <f>((1-(BX69^2)^2)/(BH69-1))</f>
        <v>1.1904018089446793E-3</v>
      </c>
      <c r="BZ69" s="30">
        <f>1/(BH69-3)</f>
        <v>1.1933174224343676E-3</v>
      </c>
      <c r="CA69" s="92" t="s">
        <v>73</v>
      </c>
      <c r="CB69">
        <f>BH69-2</f>
        <v>839</v>
      </c>
      <c r="CC69" s="92" t="s">
        <v>73</v>
      </c>
      <c r="CD69" s="30">
        <f>((AZ69^2)/(AZ69^2+BI69))^(1/2)</f>
        <v>8.8673513868765694E-2</v>
      </c>
      <c r="CE69" s="30">
        <f>0.5*LN((1+CD69)/(1-CD69))</f>
        <v>8.890702958732373E-2</v>
      </c>
      <c r="CF69" s="30">
        <f>((1-(CE69^2)^2)/(BI69-1))</f>
        <v>1.1904018089446793E-3</v>
      </c>
      <c r="CG69" s="30">
        <f>1/(BI69-3)</f>
        <v>1.1933174224343676E-3</v>
      </c>
    </row>
    <row r="70" spans="1:86">
      <c r="A70" s="11" t="s">
        <v>68</v>
      </c>
      <c r="B70" s="11">
        <v>11</v>
      </c>
      <c r="C70" s="11">
        <v>1023</v>
      </c>
      <c r="D70" s="11">
        <v>106</v>
      </c>
      <c r="E70" s="10" t="s">
        <v>258</v>
      </c>
      <c r="F70" s="11">
        <v>2010</v>
      </c>
      <c r="G70" t="s">
        <v>259</v>
      </c>
      <c r="H70" s="10" t="s">
        <v>260</v>
      </c>
      <c r="I70" s="18">
        <v>2</v>
      </c>
      <c r="J70" s="10">
        <v>2008</v>
      </c>
      <c r="K70" s="10" t="s">
        <v>73</v>
      </c>
      <c r="L70">
        <v>201</v>
      </c>
      <c r="M70" s="202" t="s">
        <v>261</v>
      </c>
      <c r="N70" t="s">
        <v>242</v>
      </c>
      <c r="O70" t="s">
        <v>124</v>
      </c>
      <c r="P70" s="18" t="s">
        <v>243</v>
      </c>
      <c r="Q70" t="s">
        <v>244</v>
      </c>
      <c r="R70" t="s">
        <v>245</v>
      </c>
      <c r="S70">
        <v>1</v>
      </c>
      <c r="T70" t="s">
        <v>189</v>
      </c>
      <c r="U70">
        <v>0</v>
      </c>
      <c r="V70" s="18" t="s">
        <v>232</v>
      </c>
      <c r="W70" s="18" t="s">
        <v>232</v>
      </c>
      <c r="X70" s="18" t="s">
        <v>73</v>
      </c>
      <c r="Y70">
        <v>0</v>
      </c>
      <c r="Z70">
        <v>0</v>
      </c>
      <c r="AA70">
        <v>0</v>
      </c>
      <c r="AB70">
        <v>0</v>
      </c>
      <c r="AC70">
        <v>0</v>
      </c>
      <c r="AD70">
        <v>1</v>
      </c>
      <c r="AE70">
        <v>0</v>
      </c>
      <c r="AF70">
        <v>0</v>
      </c>
      <c r="AG70" t="s">
        <v>262</v>
      </c>
      <c r="AH70">
        <v>0</v>
      </c>
      <c r="AI70">
        <v>0</v>
      </c>
      <c r="AJ70">
        <v>0</v>
      </c>
      <c r="AK70">
        <v>0</v>
      </c>
      <c r="AL70">
        <v>0</v>
      </c>
      <c r="AM70">
        <v>0</v>
      </c>
      <c r="AN70">
        <v>1</v>
      </c>
      <c r="AO70">
        <v>0</v>
      </c>
      <c r="AP70">
        <v>0</v>
      </c>
      <c r="AQ70" t="s">
        <v>263</v>
      </c>
      <c r="AR70" t="s">
        <v>234</v>
      </c>
      <c r="AS70" t="s">
        <v>264</v>
      </c>
      <c r="AT70" t="s">
        <v>236</v>
      </c>
      <c r="AU70" s="187">
        <v>0.218</v>
      </c>
      <c r="AV70" s="7" t="s">
        <v>80</v>
      </c>
      <c r="AW70" t="s">
        <v>73</v>
      </c>
      <c r="AX70">
        <v>0.05</v>
      </c>
      <c r="AY70">
        <v>2</v>
      </c>
      <c r="AZ70" s="19">
        <f>TINV(AX70,CB70)</f>
        <v>1.962795497038498</v>
      </c>
      <c r="BA70" s="105">
        <f>EXP(AU70)/(1+EXP(AU70))</f>
        <v>0.55428518267346782</v>
      </c>
      <c r="BB70" t="s">
        <v>73</v>
      </c>
      <c r="BC70" s="18" t="s">
        <v>73</v>
      </c>
      <c r="BD70" t="s">
        <v>73</v>
      </c>
      <c r="BE70" t="s">
        <v>73</v>
      </c>
      <c r="BF70" s="18">
        <v>48</v>
      </c>
      <c r="BG70" t="s">
        <v>73</v>
      </c>
      <c r="BH70" s="10">
        <v>841</v>
      </c>
      <c r="BI70" s="10">
        <v>841</v>
      </c>
      <c r="BJ70" t="s">
        <v>73</v>
      </c>
      <c r="BK70" t="s">
        <v>73</v>
      </c>
      <c r="BL70">
        <v>235.29</v>
      </c>
      <c r="BM70" t="s">
        <v>266</v>
      </c>
      <c r="BN70" t="s">
        <v>73</v>
      </c>
      <c r="BO70" t="s">
        <v>73</v>
      </c>
      <c r="BP70" t="s">
        <v>73</v>
      </c>
      <c r="BQ70" t="s">
        <v>73</v>
      </c>
      <c r="BR70" t="s">
        <v>73</v>
      </c>
      <c r="BS70" t="s">
        <v>73</v>
      </c>
      <c r="BT70" s="18">
        <v>1</v>
      </c>
      <c r="BU70" s="18">
        <v>1</v>
      </c>
      <c r="BV70" s="18">
        <v>1</v>
      </c>
      <c r="BW70" s="30">
        <f>((AZ70^2)/(AZ70^2+BH70))^(1/2)</f>
        <v>6.7528109143524445E-2</v>
      </c>
      <c r="BX70" s="30">
        <f>0.5*LN((1+BW70)/(1-BW70))</f>
        <v>6.7631034648244742E-2</v>
      </c>
      <c r="BY70" s="30">
        <f>((1-(BX70^2)^2)/(BH70-1))</f>
        <v>1.190451284427091E-3</v>
      </c>
      <c r="BZ70" s="30">
        <f>1/(BH70-3)</f>
        <v>1.1933174224343676E-3</v>
      </c>
      <c r="CA70" s="92" t="s">
        <v>73</v>
      </c>
      <c r="CB70">
        <f>BH70-2</f>
        <v>839</v>
      </c>
      <c r="CC70" s="92" t="s">
        <v>73</v>
      </c>
      <c r="CD70" s="30">
        <f>((AZ70^2)/(AZ70^2+BI70))^(1/2)</f>
        <v>6.7528109143524445E-2</v>
      </c>
      <c r="CE70" s="30">
        <f>0.5*LN((1+CD70)/(1-CD70))</f>
        <v>6.7631034648244742E-2</v>
      </c>
      <c r="CF70" s="30">
        <f>((1-(CE70^2)^2)/(BI70-1))</f>
        <v>1.190451284427091E-3</v>
      </c>
      <c r="CG70" s="30">
        <f>1/(BI70-3)</f>
        <v>1.1933174224343676E-3</v>
      </c>
    </row>
    <row r="71" spans="1:86">
      <c r="A71" s="11" t="s">
        <v>68</v>
      </c>
      <c r="B71" s="11">
        <v>11</v>
      </c>
      <c r="C71" s="11">
        <v>1024</v>
      </c>
      <c r="D71" s="11">
        <v>106</v>
      </c>
      <c r="E71" s="10" t="s">
        <v>258</v>
      </c>
      <c r="F71" s="11">
        <v>2010</v>
      </c>
      <c r="G71" t="s">
        <v>259</v>
      </c>
      <c r="H71" s="10" t="s">
        <v>260</v>
      </c>
      <c r="I71" s="18">
        <v>2</v>
      </c>
      <c r="J71" s="10">
        <v>2008</v>
      </c>
      <c r="K71" s="10" t="s">
        <v>73</v>
      </c>
      <c r="L71">
        <v>201</v>
      </c>
      <c r="M71" s="202" t="s">
        <v>261</v>
      </c>
      <c r="N71" t="s">
        <v>242</v>
      </c>
      <c r="O71" t="s">
        <v>124</v>
      </c>
      <c r="P71" s="18" t="s">
        <v>243</v>
      </c>
      <c r="Q71" t="s">
        <v>244</v>
      </c>
      <c r="R71" t="s">
        <v>245</v>
      </c>
      <c r="S71">
        <v>1</v>
      </c>
      <c r="T71" t="s">
        <v>189</v>
      </c>
      <c r="U71">
        <v>0</v>
      </c>
      <c r="V71" s="18" t="s">
        <v>232</v>
      </c>
      <c r="W71" s="18" t="s">
        <v>232</v>
      </c>
      <c r="X71" s="18" t="s">
        <v>73</v>
      </c>
      <c r="Y71">
        <v>0</v>
      </c>
      <c r="Z71">
        <v>0</v>
      </c>
      <c r="AA71">
        <v>0</v>
      </c>
      <c r="AB71">
        <v>0</v>
      </c>
      <c r="AC71">
        <v>0</v>
      </c>
      <c r="AD71">
        <v>1</v>
      </c>
      <c r="AE71">
        <v>0</v>
      </c>
      <c r="AF71">
        <v>0</v>
      </c>
      <c r="AG71" t="s">
        <v>262</v>
      </c>
      <c r="AH71">
        <v>0</v>
      </c>
      <c r="AI71">
        <v>0</v>
      </c>
      <c r="AJ71">
        <v>0</v>
      </c>
      <c r="AK71">
        <v>0</v>
      </c>
      <c r="AL71">
        <v>0</v>
      </c>
      <c r="AM71">
        <v>0</v>
      </c>
      <c r="AN71">
        <v>1</v>
      </c>
      <c r="AO71">
        <v>0</v>
      </c>
      <c r="AP71">
        <v>0</v>
      </c>
      <c r="AQ71" t="s">
        <v>267</v>
      </c>
      <c r="AR71" t="s">
        <v>234</v>
      </c>
      <c r="AS71" t="s">
        <v>264</v>
      </c>
      <c r="AT71" t="s">
        <v>236</v>
      </c>
      <c r="AU71" s="187">
        <v>0.46899999999999997</v>
      </c>
      <c r="AV71" s="7" t="s">
        <v>80</v>
      </c>
      <c r="AW71" t="s">
        <v>73</v>
      </c>
      <c r="AX71">
        <v>0.05</v>
      </c>
      <c r="AY71">
        <v>2</v>
      </c>
      <c r="AZ71" s="19">
        <f>TINV(AX71,CB71)</f>
        <v>1.962795497038498</v>
      </c>
      <c r="BA71" s="105">
        <f>EXP(AU71)/(1+EXP(AU71))</f>
        <v>0.61514704250921037</v>
      </c>
      <c r="BB71" t="s">
        <v>73</v>
      </c>
      <c r="BC71" s="18" t="s">
        <v>73</v>
      </c>
      <c r="BD71" t="s">
        <v>73</v>
      </c>
      <c r="BE71" t="s">
        <v>73</v>
      </c>
      <c r="BF71" s="18">
        <v>48</v>
      </c>
      <c r="BG71" t="s">
        <v>73</v>
      </c>
      <c r="BH71" s="10">
        <v>841</v>
      </c>
      <c r="BI71" s="10">
        <v>841</v>
      </c>
      <c r="BJ71" t="s">
        <v>73</v>
      </c>
      <c r="BK71" t="s">
        <v>73</v>
      </c>
      <c r="BL71">
        <v>0</v>
      </c>
      <c r="BM71">
        <v>0</v>
      </c>
      <c r="BN71" t="s">
        <v>73</v>
      </c>
      <c r="BO71" t="s">
        <v>73</v>
      </c>
      <c r="BP71" t="s">
        <v>73</v>
      </c>
      <c r="BQ71" t="s">
        <v>73</v>
      </c>
      <c r="BR71" t="s">
        <v>73</v>
      </c>
      <c r="BS71" t="s">
        <v>73</v>
      </c>
      <c r="BT71" s="18">
        <v>1</v>
      </c>
      <c r="BU71" s="18">
        <v>1</v>
      </c>
      <c r="BV71" s="18">
        <v>1</v>
      </c>
      <c r="BW71" s="30">
        <f>((AZ71^2)/(AZ71^2+BH71))^(1/2)</f>
        <v>6.7528109143524445E-2</v>
      </c>
      <c r="BX71" s="30">
        <f>0.5*LN((1+BW71)/(1-BW71))</f>
        <v>6.7631034648244742E-2</v>
      </c>
      <c r="BY71" s="30">
        <f>((1-(BX71^2)^2)/(BH71-1))</f>
        <v>1.190451284427091E-3</v>
      </c>
      <c r="BZ71" s="30">
        <f>1/(BH71-3)</f>
        <v>1.1933174224343676E-3</v>
      </c>
      <c r="CA71" s="92" t="s">
        <v>73</v>
      </c>
      <c r="CB71">
        <f>BH71-2</f>
        <v>839</v>
      </c>
      <c r="CC71" s="92" t="s">
        <v>73</v>
      </c>
      <c r="CD71" s="30">
        <f>((AZ71^2)/(AZ71^2+BI71))^(1/2)</f>
        <v>6.7528109143524445E-2</v>
      </c>
      <c r="CE71" s="30">
        <f>0.5*LN((1+CD71)/(1-CD71))</f>
        <v>6.7631034648244742E-2</v>
      </c>
      <c r="CF71" s="30">
        <f>((1-(CE71^2)^2)/(BI71-1))</f>
        <v>1.190451284427091E-3</v>
      </c>
      <c r="CG71" s="30">
        <f>1/(BI71-3)</f>
        <v>1.1933174224343676E-3</v>
      </c>
    </row>
    <row r="72" spans="1:86">
      <c r="A72" s="11" t="s">
        <v>68</v>
      </c>
      <c r="B72" s="11">
        <v>11</v>
      </c>
      <c r="C72" s="11">
        <v>1025</v>
      </c>
      <c r="D72" s="11">
        <v>106</v>
      </c>
      <c r="E72" s="10" t="s">
        <v>258</v>
      </c>
      <c r="F72" s="11">
        <v>2010</v>
      </c>
      <c r="G72" t="s">
        <v>259</v>
      </c>
      <c r="H72" s="10" t="s">
        <v>260</v>
      </c>
      <c r="I72" s="18">
        <v>2</v>
      </c>
      <c r="J72" s="10">
        <v>2008</v>
      </c>
      <c r="K72" s="10" t="s">
        <v>73</v>
      </c>
      <c r="L72">
        <v>201</v>
      </c>
      <c r="M72" s="202" t="s">
        <v>261</v>
      </c>
      <c r="N72" t="s">
        <v>242</v>
      </c>
      <c r="O72" t="s">
        <v>124</v>
      </c>
      <c r="P72" s="18" t="s">
        <v>243</v>
      </c>
      <c r="Q72" t="s">
        <v>244</v>
      </c>
      <c r="R72" t="s">
        <v>245</v>
      </c>
      <c r="S72">
        <v>1</v>
      </c>
      <c r="T72" t="s">
        <v>189</v>
      </c>
      <c r="U72">
        <v>0</v>
      </c>
      <c r="V72" s="18" t="s">
        <v>232</v>
      </c>
      <c r="W72" s="18" t="s">
        <v>232</v>
      </c>
      <c r="X72" s="18" t="s">
        <v>73</v>
      </c>
      <c r="Y72">
        <v>0</v>
      </c>
      <c r="Z72">
        <v>0</v>
      </c>
      <c r="AA72">
        <v>0</v>
      </c>
      <c r="AB72">
        <v>0</v>
      </c>
      <c r="AC72">
        <v>0</v>
      </c>
      <c r="AD72">
        <v>1</v>
      </c>
      <c r="AE72">
        <v>0</v>
      </c>
      <c r="AF72">
        <v>0</v>
      </c>
      <c r="AG72" t="s">
        <v>262</v>
      </c>
      <c r="AH72">
        <v>0</v>
      </c>
      <c r="AI72">
        <v>0</v>
      </c>
      <c r="AJ72">
        <v>0</v>
      </c>
      <c r="AK72">
        <v>0</v>
      </c>
      <c r="AL72">
        <v>0</v>
      </c>
      <c r="AM72">
        <v>0</v>
      </c>
      <c r="AN72">
        <v>1</v>
      </c>
      <c r="AO72">
        <v>0</v>
      </c>
      <c r="AP72">
        <v>0</v>
      </c>
      <c r="AQ72" t="s">
        <v>268</v>
      </c>
      <c r="AR72" t="s">
        <v>234</v>
      </c>
      <c r="AS72" t="s">
        <v>264</v>
      </c>
      <c r="AT72" t="s">
        <v>236</v>
      </c>
      <c r="AU72" s="187">
        <v>1.6839999999999999</v>
      </c>
      <c r="AV72" s="7" t="s">
        <v>80</v>
      </c>
      <c r="AW72" t="s">
        <v>73</v>
      </c>
      <c r="AX72">
        <v>0.01</v>
      </c>
      <c r="AY72">
        <v>1</v>
      </c>
      <c r="AZ72" s="19">
        <f>TINV(AX72,CB72)</f>
        <v>2.5817018839793482</v>
      </c>
      <c r="BA72" s="105">
        <f>EXP(AU72)/(1+EXP(AU72))</f>
        <v>0.84343347083615006</v>
      </c>
      <c r="BB72" t="s">
        <v>73</v>
      </c>
      <c r="BC72" s="18" t="s">
        <v>73</v>
      </c>
      <c r="BD72" t="s">
        <v>73</v>
      </c>
      <c r="BE72" t="s">
        <v>73</v>
      </c>
      <c r="BF72" s="18">
        <v>48</v>
      </c>
      <c r="BG72" t="s">
        <v>73</v>
      </c>
      <c r="BH72" s="10">
        <v>841</v>
      </c>
      <c r="BI72" s="10">
        <v>841</v>
      </c>
      <c r="BJ72" t="s">
        <v>73</v>
      </c>
      <c r="BK72" t="s">
        <v>73</v>
      </c>
      <c r="BL72">
        <v>470.59</v>
      </c>
      <c r="BM72" t="s">
        <v>269</v>
      </c>
      <c r="BN72" t="s">
        <v>73</v>
      </c>
      <c r="BO72" t="s">
        <v>73</v>
      </c>
      <c r="BP72" t="s">
        <v>73</v>
      </c>
      <c r="BQ72" t="s">
        <v>73</v>
      </c>
      <c r="BR72" t="s">
        <v>73</v>
      </c>
      <c r="BS72" t="s">
        <v>73</v>
      </c>
      <c r="BT72" s="18">
        <v>1</v>
      </c>
      <c r="BU72" s="18">
        <v>1</v>
      </c>
      <c r="BV72" s="18">
        <v>1</v>
      </c>
      <c r="BW72" s="30">
        <f>((AZ72^2)/(AZ72^2+BH72))^(1/2)</f>
        <v>8.8673513868765694E-2</v>
      </c>
      <c r="BX72" s="30">
        <f>0.5*LN((1+BW72)/(1-BW72))</f>
        <v>8.890702958732373E-2</v>
      </c>
      <c r="BY72" s="30">
        <f>((1-(BX72^2)^2)/(BH72-1))</f>
        <v>1.1904018089446793E-3</v>
      </c>
      <c r="BZ72" s="30">
        <f>1/(BH72-3)</f>
        <v>1.1933174224343676E-3</v>
      </c>
      <c r="CA72" s="92" t="s">
        <v>73</v>
      </c>
      <c r="CB72">
        <f>BH72-2</f>
        <v>839</v>
      </c>
      <c r="CC72" s="92" t="s">
        <v>73</v>
      </c>
      <c r="CD72" s="30">
        <f>((AZ72^2)/(AZ72^2+BI72))^(1/2)</f>
        <v>8.8673513868765694E-2</v>
      </c>
      <c r="CE72" s="30">
        <f>0.5*LN((1+CD72)/(1-CD72))</f>
        <v>8.890702958732373E-2</v>
      </c>
      <c r="CF72" s="30">
        <f>((1-(CE72^2)^2)/(BI72-1))</f>
        <v>1.1904018089446793E-3</v>
      </c>
      <c r="CG72" s="30">
        <f>1/(BI72-3)</f>
        <v>1.1933174224343676E-3</v>
      </c>
      <c r="CH72" s="119"/>
    </row>
    <row r="73" spans="1:86" s="119" customFormat="1">
      <c r="A73" s="11" t="s">
        <v>68</v>
      </c>
      <c r="B73" s="11">
        <v>11</v>
      </c>
      <c r="C73" s="11">
        <v>1029</v>
      </c>
      <c r="D73" s="11">
        <v>106</v>
      </c>
      <c r="E73" s="10" t="s">
        <v>258</v>
      </c>
      <c r="F73" s="11">
        <v>2010</v>
      </c>
      <c r="G73" t="s">
        <v>259</v>
      </c>
      <c r="H73" s="10" t="s">
        <v>260</v>
      </c>
      <c r="I73" s="18">
        <v>2</v>
      </c>
      <c r="J73" s="10">
        <v>2008</v>
      </c>
      <c r="K73" s="10" t="s">
        <v>73</v>
      </c>
      <c r="L73">
        <v>203</v>
      </c>
      <c r="M73" s="202" t="s">
        <v>261</v>
      </c>
      <c r="N73" t="s">
        <v>242</v>
      </c>
      <c r="O73" t="s">
        <v>124</v>
      </c>
      <c r="P73" s="18" t="s">
        <v>243</v>
      </c>
      <c r="Q73" t="s">
        <v>244</v>
      </c>
      <c r="R73" t="s">
        <v>245</v>
      </c>
      <c r="S73">
        <v>1</v>
      </c>
      <c r="T73" t="s">
        <v>189</v>
      </c>
      <c r="U73">
        <v>0</v>
      </c>
      <c r="V73" s="18" t="s">
        <v>232</v>
      </c>
      <c r="W73" s="18" t="s">
        <v>232</v>
      </c>
      <c r="X73" s="18" t="s">
        <v>73</v>
      </c>
      <c r="Y73">
        <v>0</v>
      </c>
      <c r="Z73">
        <v>0</v>
      </c>
      <c r="AA73">
        <v>0</v>
      </c>
      <c r="AB73">
        <v>0</v>
      </c>
      <c r="AC73">
        <v>0</v>
      </c>
      <c r="AD73">
        <v>1</v>
      </c>
      <c r="AE73">
        <v>0</v>
      </c>
      <c r="AF73">
        <v>0</v>
      </c>
      <c r="AG73" t="s">
        <v>262</v>
      </c>
      <c r="AH73">
        <v>0</v>
      </c>
      <c r="AI73">
        <v>0</v>
      </c>
      <c r="AJ73">
        <v>0</v>
      </c>
      <c r="AK73">
        <v>0</v>
      </c>
      <c r="AL73">
        <v>0</v>
      </c>
      <c r="AM73">
        <v>0</v>
      </c>
      <c r="AN73">
        <v>1</v>
      </c>
      <c r="AO73">
        <v>0</v>
      </c>
      <c r="AP73">
        <v>0</v>
      </c>
      <c r="AQ73" t="s">
        <v>263</v>
      </c>
      <c r="AR73" t="s">
        <v>234</v>
      </c>
      <c r="AS73" t="s">
        <v>264</v>
      </c>
      <c r="AT73" t="s">
        <v>236</v>
      </c>
      <c r="AU73" s="187">
        <v>0.47199999999999998</v>
      </c>
      <c r="AV73" s="7" t="s">
        <v>86</v>
      </c>
      <c r="AW73" t="s">
        <v>73</v>
      </c>
      <c r="AX73">
        <v>0.05</v>
      </c>
      <c r="AY73">
        <v>2</v>
      </c>
      <c r="AZ73" s="19">
        <f>TINV(AX73,CB73)</f>
        <v>1.962795497038498</v>
      </c>
      <c r="BA73" s="105">
        <f>EXP(AU73)/(1+EXP(AU73))</f>
        <v>0.61585702019703836</v>
      </c>
      <c r="BB73" t="s">
        <v>73</v>
      </c>
      <c r="BC73" s="18" t="s">
        <v>73</v>
      </c>
      <c r="BD73" t="s">
        <v>73</v>
      </c>
      <c r="BE73" t="s">
        <v>73</v>
      </c>
      <c r="BF73" s="18">
        <v>66</v>
      </c>
      <c r="BG73" t="s">
        <v>73</v>
      </c>
      <c r="BH73" s="10">
        <v>841</v>
      </c>
      <c r="BI73" s="10">
        <v>841</v>
      </c>
      <c r="BJ73" t="s">
        <v>73</v>
      </c>
      <c r="BK73" t="s">
        <v>73</v>
      </c>
      <c r="BL73">
        <v>235.29</v>
      </c>
      <c r="BM73" t="s">
        <v>266</v>
      </c>
      <c r="BN73" t="s">
        <v>73</v>
      </c>
      <c r="BO73" t="s">
        <v>73</v>
      </c>
      <c r="BP73" t="s">
        <v>73</v>
      </c>
      <c r="BQ73" t="s">
        <v>73</v>
      </c>
      <c r="BR73" t="s">
        <v>73</v>
      </c>
      <c r="BS73" t="s">
        <v>73</v>
      </c>
      <c r="BT73" s="18">
        <v>1</v>
      </c>
      <c r="BU73" s="18">
        <v>1</v>
      </c>
      <c r="BV73" s="18">
        <v>1</v>
      </c>
      <c r="BW73" s="30">
        <f>((AZ73^2)/(AZ73^2+BH73))^(1/2)</f>
        <v>6.7528109143524445E-2</v>
      </c>
      <c r="BX73" s="30">
        <f>0.5*LN((1+BW73)/(1-BW73))</f>
        <v>6.7631034648244742E-2</v>
      </c>
      <c r="BY73" s="30">
        <f>((1-(BX73^2)^2)/(BH73-1))</f>
        <v>1.190451284427091E-3</v>
      </c>
      <c r="BZ73" s="30">
        <f>1/(BH73-3)</f>
        <v>1.1933174224343676E-3</v>
      </c>
      <c r="CA73" s="92" t="s">
        <v>73</v>
      </c>
      <c r="CB73">
        <f>BH73-2</f>
        <v>839</v>
      </c>
      <c r="CC73" s="92" t="s">
        <v>73</v>
      </c>
      <c r="CD73" s="30">
        <f>((AZ73^2)/(AZ73^2+BI73))^(1/2)</f>
        <v>6.7528109143524445E-2</v>
      </c>
      <c r="CE73" s="30">
        <f>0.5*LN((1+CD73)/(1-CD73))</f>
        <v>6.7631034648244742E-2</v>
      </c>
      <c r="CF73" s="30">
        <f>((1-(CE73^2)^2)/(BI73-1))</f>
        <v>1.190451284427091E-3</v>
      </c>
      <c r="CG73" s="30">
        <f>1/(BI73-3)</f>
        <v>1.1933174224343676E-3</v>
      </c>
      <c r="CH73" s="92"/>
    </row>
    <row r="74" spans="1:86">
      <c r="A74" s="11" t="s">
        <v>68</v>
      </c>
      <c r="B74" s="11">
        <v>11</v>
      </c>
      <c r="C74" s="11">
        <v>1030</v>
      </c>
      <c r="D74" s="11">
        <v>106</v>
      </c>
      <c r="E74" s="10" t="s">
        <v>258</v>
      </c>
      <c r="F74" s="11">
        <v>2010</v>
      </c>
      <c r="G74" t="s">
        <v>259</v>
      </c>
      <c r="H74" s="10" t="s">
        <v>260</v>
      </c>
      <c r="I74" s="18">
        <v>2</v>
      </c>
      <c r="J74" s="10">
        <v>2008</v>
      </c>
      <c r="K74" s="10" t="s">
        <v>73</v>
      </c>
      <c r="L74">
        <v>203</v>
      </c>
      <c r="M74" s="202" t="s">
        <v>261</v>
      </c>
      <c r="N74" t="s">
        <v>242</v>
      </c>
      <c r="O74" t="s">
        <v>124</v>
      </c>
      <c r="P74" s="18" t="s">
        <v>243</v>
      </c>
      <c r="Q74" t="s">
        <v>244</v>
      </c>
      <c r="R74" t="s">
        <v>245</v>
      </c>
      <c r="S74">
        <v>1</v>
      </c>
      <c r="T74" t="s">
        <v>189</v>
      </c>
      <c r="U74">
        <v>0</v>
      </c>
      <c r="V74" s="18" t="s">
        <v>232</v>
      </c>
      <c r="W74" s="18" t="s">
        <v>232</v>
      </c>
      <c r="X74" s="18" t="s">
        <v>73</v>
      </c>
      <c r="Y74">
        <v>0</v>
      </c>
      <c r="Z74">
        <v>0</v>
      </c>
      <c r="AA74">
        <v>0</v>
      </c>
      <c r="AB74">
        <v>0</v>
      </c>
      <c r="AC74">
        <v>0</v>
      </c>
      <c r="AD74">
        <v>1</v>
      </c>
      <c r="AE74">
        <v>0</v>
      </c>
      <c r="AF74">
        <v>0</v>
      </c>
      <c r="AG74" t="s">
        <v>262</v>
      </c>
      <c r="AH74">
        <v>0</v>
      </c>
      <c r="AI74">
        <v>0</v>
      </c>
      <c r="AJ74">
        <v>0</v>
      </c>
      <c r="AK74">
        <v>0</v>
      </c>
      <c r="AL74">
        <v>0</v>
      </c>
      <c r="AM74">
        <v>0</v>
      </c>
      <c r="AN74">
        <v>1</v>
      </c>
      <c r="AO74">
        <v>0</v>
      </c>
      <c r="AP74">
        <v>0</v>
      </c>
      <c r="AQ74" t="s">
        <v>267</v>
      </c>
      <c r="AR74" t="s">
        <v>234</v>
      </c>
      <c r="AS74" t="s">
        <v>264</v>
      </c>
      <c r="AT74" t="s">
        <v>236</v>
      </c>
      <c r="AU74" s="187">
        <v>5.1999999999999998E-2</v>
      </c>
      <c r="AV74" s="7" t="s">
        <v>86</v>
      </c>
      <c r="AW74" t="s">
        <v>73</v>
      </c>
      <c r="AX74">
        <v>0.05</v>
      </c>
      <c r="AY74">
        <v>2</v>
      </c>
      <c r="AZ74" s="19">
        <f>TINV(AX74,CB74)</f>
        <v>1.962795497038498</v>
      </c>
      <c r="BA74" s="105">
        <f>EXP(AU74)/(1+EXP(AU74))</f>
        <v>0.51299707145854179</v>
      </c>
      <c r="BB74" t="s">
        <v>73</v>
      </c>
      <c r="BC74" s="18" t="s">
        <v>73</v>
      </c>
      <c r="BD74" t="s">
        <v>73</v>
      </c>
      <c r="BE74" t="s">
        <v>73</v>
      </c>
      <c r="BF74" s="18">
        <v>66</v>
      </c>
      <c r="BG74" t="s">
        <v>73</v>
      </c>
      <c r="BH74" s="10">
        <v>841</v>
      </c>
      <c r="BI74" s="10">
        <v>841</v>
      </c>
      <c r="BJ74" t="s">
        <v>73</v>
      </c>
      <c r="BK74" t="s">
        <v>73</v>
      </c>
      <c r="BL74">
        <v>0</v>
      </c>
      <c r="BM74">
        <v>0</v>
      </c>
      <c r="BN74" t="s">
        <v>73</v>
      </c>
      <c r="BO74" t="s">
        <v>73</v>
      </c>
      <c r="BP74" t="s">
        <v>73</v>
      </c>
      <c r="BQ74" t="s">
        <v>73</v>
      </c>
      <c r="BR74" t="s">
        <v>73</v>
      </c>
      <c r="BS74" t="s">
        <v>73</v>
      </c>
      <c r="BT74" s="18">
        <v>1</v>
      </c>
      <c r="BU74" s="18">
        <v>1</v>
      </c>
      <c r="BV74" s="18">
        <v>1</v>
      </c>
      <c r="BW74" s="30">
        <f>((AZ74^2)/(AZ74^2+BH74))^(1/2)</f>
        <v>6.7528109143524445E-2</v>
      </c>
      <c r="BX74" s="30">
        <f>0.5*LN((1+BW74)/(1-BW74))</f>
        <v>6.7631034648244742E-2</v>
      </c>
      <c r="BY74" s="30">
        <f>((1-(BX74^2)^2)/(BH74-1))</f>
        <v>1.190451284427091E-3</v>
      </c>
      <c r="BZ74" s="30">
        <f>1/(BH74-3)</f>
        <v>1.1933174224343676E-3</v>
      </c>
      <c r="CA74" s="92" t="s">
        <v>73</v>
      </c>
      <c r="CB74">
        <f>BH74-2</f>
        <v>839</v>
      </c>
      <c r="CC74" s="92" t="s">
        <v>73</v>
      </c>
      <c r="CD74" s="30">
        <f>((AZ74^2)/(AZ74^2+BI74))^(1/2)</f>
        <v>6.7528109143524445E-2</v>
      </c>
      <c r="CE74" s="30">
        <f>0.5*LN((1+CD74)/(1-CD74))</f>
        <v>6.7631034648244742E-2</v>
      </c>
      <c r="CF74" s="30">
        <f>((1-(CE74^2)^2)/(BI74-1))</f>
        <v>1.190451284427091E-3</v>
      </c>
      <c r="CG74" s="30">
        <f>1/(BI74-3)</f>
        <v>1.1933174224343676E-3</v>
      </c>
    </row>
    <row r="75" spans="1:86">
      <c r="A75" s="11" t="s">
        <v>68</v>
      </c>
      <c r="B75" s="11">
        <v>11</v>
      </c>
      <c r="C75" s="11">
        <v>1031</v>
      </c>
      <c r="D75" s="11">
        <v>106</v>
      </c>
      <c r="E75" s="10" t="s">
        <v>258</v>
      </c>
      <c r="F75" s="11">
        <v>2010</v>
      </c>
      <c r="G75" t="s">
        <v>259</v>
      </c>
      <c r="H75" s="10" t="s">
        <v>260</v>
      </c>
      <c r="I75" s="18">
        <v>2</v>
      </c>
      <c r="J75" s="10">
        <v>2008</v>
      </c>
      <c r="K75" s="10" t="s">
        <v>73</v>
      </c>
      <c r="L75">
        <v>203</v>
      </c>
      <c r="M75" s="202" t="s">
        <v>261</v>
      </c>
      <c r="N75" t="s">
        <v>242</v>
      </c>
      <c r="O75" t="s">
        <v>124</v>
      </c>
      <c r="P75" s="18" t="s">
        <v>243</v>
      </c>
      <c r="Q75" t="s">
        <v>244</v>
      </c>
      <c r="R75" t="s">
        <v>245</v>
      </c>
      <c r="S75">
        <v>1</v>
      </c>
      <c r="T75" t="s">
        <v>189</v>
      </c>
      <c r="U75">
        <v>0</v>
      </c>
      <c r="V75" s="18" t="s">
        <v>232</v>
      </c>
      <c r="W75" s="18" t="s">
        <v>232</v>
      </c>
      <c r="X75" s="18" t="s">
        <v>73</v>
      </c>
      <c r="Y75">
        <v>0</v>
      </c>
      <c r="Z75">
        <v>0</v>
      </c>
      <c r="AA75">
        <v>0</v>
      </c>
      <c r="AB75">
        <v>0</v>
      </c>
      <c r="AC75">
        <v>0</v>
      </c>
      <c r="AD75">
        <v>1</v>
      </c>
      <c r="AE75">
        <v>0</v>
      </c>
      <c r="AF75">
        <v>0</v>
      </c>
      <c r="AG75" t="s">
        <v>262</v>
      </c>
      <c r="AH75">
        <v>0</v>
      </c>
      <c r="AI75">
        <v>0</v>
      </c>
      <c r="AJ75">
        <v>0</v>
      </c>
      <c r="AK75">
        <v>0</v>
      </c>
      <c r="AL75">
        <v>0</v>
      </c>
      <c r="AM75">
        <v>0</v>
      </c>
      <c r="AN75">
        <v>1</v>
      </c>
      <c r="AO75">
        <v>0</v>
      </c>
      <c r="AP75">
        <v>0</v>
      </c>
      <c r="AQ75" t="s">
        <v>268</v>
      </c>
      <c r="AR75" t="s">
        <v>234</v>
      </c>
      <c r="AS75" t="s">
        <v>264</v>
      </c>
      <c r="AT75" t="s">
        <v>236</v>
      </c>
      <c r="AU75" s="187">
        <v>1.028</v>
      </c>
      <c r="AV75" s="7" t="s">
        <v>80</v>
      </c>
      <c r="AW75" t="s">
        <v>73</v>
      </c>
      <c r="AX75">
        <v>0.01</v>
      </c>
      <c r="AY75">
        <v>1</v>
      </c>
      <c r="AZ75" s="102">
        <f>TINV(AX75,CB75)</f>
        <v>2.5817018839793482</v>
      </c>
      <c r="BA75" s="105">
        <f>EXP(AU75)/(1+EXP(AU75))</f>
        <v>0.73652797043473905</v>
      </c>
      <c r="BB75" t="s">
        <v>73</v>
      </c>
      <c r="BC75" s="18" t="s">
        <v>73</v>
      </c>
      <c r="BD75" t="s">
        <v>73</v>
      </c>
      <c r="BE75" t="s">
        <v>73</v>
      </c>
      <c r="BF75" s="18">
        <v>66</v>
      </c>
      <c r="BG75" t="s">
        <v>73</v>
      </c>
      <c r="BH75" s="10">
        <v>841</v>
      </c>
      <c r="BI75" s="10">
        <v>841</v>
      </c>
      <c r="BJ75" t="s">
        <v>73</v>
      </c>
      <c r="BK75" t="s">
        <v>73</v>
      </c>
      <c r="BL75">
        <v>470.59</v>
      </c>
      <c r="BM75" t="s">
        <v>269</v>
      </c>
      <c r="BN75" t="s">
        <v>73</v>
      </c>
      <c r="BO75" t="s">
        <v>73</v>
      </c>
      <c r="BP75" t="s">
        <v>73</v>
      </c>
      <c r="BQ75" t="s">
        <v>73</v>
      </c>
      <c r="BR75" t="s">
        <v>73</v>
      </c>
      <c r="BS75" t="s">
        <v>73</v>
      </c>
      <c r="BT75" s="18">
        <v>1</v>
      </c>
      <c r="BU75" s="18">
        <v>1</v>
      </c>
      <c r="BV75" s="18">
        <v>1</v>
      </c>
      <c r="BW75" s="30">
        <f>((AZ75^2)/(AZ75^2+BH75))^(1/2)</f>
        <v>8.8673513868765694E-2</v>
      </c>
      <c r="BX75" s="30">
        <f>0.5*LN((1+BW75)/(1-BW75))</f>
        <v>8.890702958732373E-2</v>
      </c>
      <c r="BY75" s="30">
        <f>((1-(BX75^2)^2)/(BH75-1))</f>
        <v>1.1904018089446793E-3</v>
      </c>
      <c r="BZ75" s="30">
        <f>1/(BH75-3)</f>
        <v>1.1933174224343676E-3</v>
      </c>
      <c r="CA75" s="92" t="s">
        <v>73</v>
      </c>
      <c r="CB75">
        <f>BH75-2</f>
        <v>839</v>
      </c>
      <c r="CC75" s="92" t="s">
        <v>73</v>
      </c>
      <c r="CD75" s="30">
        <f>((AZ75^2)/(AZ75^2+BI75))^(1/2)</f>
        <v>8.8673513868765694E-2</v>
      </c>
      <c r="CE75" s="30">
        <f>0.5*LN((1+CD75)/(1-CD75))</f>
        <v>8.890702958732373E-2</v>
      </c>
      <c r="CF75" s="30">
        <f>((1-(CE75^2)^2)/(BI75-1))</f>
        <v>1.1904018089446793E-3</v>
      </c>
      <c r="CG75" s="30">
        <f>1/(BI75-3)</f>
        <v>1.1933174224343676E-3</v>
      </c>
      <c r="CH75" s="92"/>
    </row>
    <row r="76" spans="1:86">
      <c r="A76" s="11" t="s">
        <v>68</v>
      </c>
      <c r="B76" s="11">
        <v>11</v>
      </c>
      <c r="C76" s="11">
        <v>1032</v>
      </c>
      <c r="D76" s="11">
        <v>106</v>
      </c>
      <c r="E76" s="10" t="s">
        <v>258</v>
      </c>
      <c r="F76" s="11">
        <v>2010</v>
      </c>
      <c r="G76" t="s">
        <v>259</v>
      </c>
      <c r="H76" s="10" t="s">
        <v>260</v>
      </c>
      <c r="I76" s="18">
        <v>2</v>
      </c>
      <c r="J76" s="10">
        <v>2008</v>
      </c>
      <c r="K76" s="10" t="s">
        <v>73</v>
      </c>
      <c r="L76">
        <v>203</v>
      </c>
      <c r="M76" s="202" t="s">
        <v>261</v>
      </c>
      <c r="N76" t="s">
        <v>242</v>
      </c>
      <c r="O76" t="s">
        <v>124</v>
      </c>
      <c r="P76" s="18" t="s">
        <v>243</v>
      </c>
      <c r="Q76" t="s">
        <v>244</v>
      </c>
      <c r="R76" t="s">
        <v>245</v>
      </c>
      <c r="S76">
        <v>1</v>
      </c>
      <c r="T76" t="s">
        <v>189</v>
      </c>
      <c r="U76">
        <v>0</v>
      </c>
      <c r="V76" s="18" t="s">
        <v>232</v>
      </c>
      <c r="W76" s="18" t="s">
        <v>232</v>
      </c>
      <c r="X76" s="18" t="s">
        <v>73</v>
      </c>
      <c r="Y76">
        <v>0</v>
      </c>
      <c r="Z76">
        <v>0</v>
      </c>
      <c r="AA76">
        <v>0</v>
      </c>
      <c r="AB76">
        <v>0</v>
      </c>
      <c r="AC76">
        <v>0</v>
      </c>
      <c r="AD76">
        <v>1</v>
      </c>
      <c r="AE76">
        <v>0</v>
      </c>
      <c r="AF76">
        <v>0</v>
      </c>
      <c r="AG76" t="s">
        <v>262</v>
      </c>
      <c r="AH76">
        <v>0</v>
      </c>
      <c r="AI76">
        <v>0</v>
      </c>
      <c r="AJ76">
        <v>0</v>
      </c>
      <c r="AK76">
        <v>0</v>
      </c>
      <c r="AL76">
        <v>0</v>
      </c>
      <c r="AM76">
        <v>0</v>
      </c>
      <c r="AN76">
        <v>1</v>
      </c>
      <c r="AO76">
        <v>0</v>
      </c>
      <c r="AP76">
        <v>0</v>
      </c>
      <c r="AQ76" t="s">
        <v>263</v>
      </c>
      <c r="AR76" t="s">
        <v>234</v>
      </c>
      <c r="AS76" t="s">
        <v>264</v>
      </c>
      <c r="AT76" t="s">
        <v>236</v>
      </c>
      <c r="AU76" s="187">
        <v>0.35199999999999998</v>
      </c>
      <c r="AV76" s="7" t="s">
        <v>86</v>
      </c>
      <c r="AW76" t="s">
        <v>73</v>
      </c>
      <c r="AX76">
        <v>0.05</v>
      </c>
      <c r="AY76">
        <v>2</v>
      </c>
      <c r="AZ76" s="19">
        <f>TINV(AX76,CB76)</f>
        <v>1.962795497038498</v>
      </c>
      <c r="BA76" s="105">
        <f>EXP(AU76)/(1+EXP(AU76))</f>
        <v>0.58710248954216959</v>
      </c>
      <c r="BB76" t="s">
        <v>73</v>
      </c>
      <c r="BC76" s="18" t="s">
        <v>73</v>
      </c>
      <c r="BD76" t="s">
        <v>73</v>
      </c>
      <c r="BE76" t="s">
        <v>73</v>
      </c>
      <c r="BF76" s="18">
        <v>60</v>
      </c>
      <c r="BG76" t="s">
        <v>73</v>
      </c>
      <c r="BH76" s="10">
        <v>841</v>
      </c>
      <c r="BI76" s="10">
        <v>841</v>
      </c>
      <c r="BJ76" t="s">
        <v>73</v>
      </c>
      <c r="BK76" t="s">
        <v>73</v>
      </c>
      <c r="BL76">
        <v>235.29</v>
      </c>
      <c r="BM76" t="s">
        <v>266</v>
      </c>
      <c r="BN76" t="s">
        <v>73</v>
      </c>
      <c r="BO76" t="s">
        <v>73</v>
      </c>
      <c r="BP76" t="s">
        <v>73</v>
      </c>
      <c r="BQ76" t="s">
        <v>73</v>
      </c>
      <c r="BR76" t="s">
        <v>73</v>
      </c>
      <c r="BS76" t="s">
        <v>73</v>
      </c>
      <c r="BT76" s="18">
        <v>1</v>
      </c>
      <c r="BU76" s="18">
        <v>1</v>
      </c>
      <c r="BV76" s="18">
        <v>1</v>
      </c>
      <c r="BW76" s="30">
        <f>((AZ76^2)/(AZ76^2+BH76))^(1/2)</f>
        <v>6.7528109143524445E-2</v>
      </c>
      <c r="BX76" s="30">
        <f>0.5*LN((1+BW76)/(1-BW76))</f>
        <v>6.7631034648244742E-2</v>
      </c>
      <c r="BY76" s="30">
        <f>((1-(BX76^2)^2)/(BH76-1))</f>
        <v>1.190451284427091E-3</v>
      </c>
      <c r="BZ76" s="30">
        <f>1/(BH76-3)</f>
        <v>1.1933174224343676E-3</v>
      </c>
      <c r="CA76" s="92" t="s">
        <v>73</v>
      </c>
      <c r="CB76">
        <f>BH76-2</f>
        <v>839</v>
      </c>
      <c r="CC76" s="92" t="s">
        <v>73</v>
      </c>
      <c r="CD76" s="30">
        <f>((AZ76^2)/(AZ76^2+BI76))^(1/2)</f>
        <v>6.7528109143524445E-2</v>
      </c>
      <c r="CE76" s="30">
        <f>0.5*LN((1+CD76)/(1-CD76))</f>
        <v>6.7631034648244742E-2</v>
      </c>
      <c r="CF76" s="30">
        <f>((1-(CE76^2)^2)/(BI76-1))</f>
        <v>1.190451284427091E-3</v>
      </c>
      <c r="CG76" s="30">
        <f>1/(BI76-3)</f>
        <v>1.1933174224343676E-3</v>
      </c>
    </row>
    <row r="77" spans="1:86">
      <c r="A77" s="11" t="s">
        <v>68</v>
      </c>
      <c r="B77" s="11">
        <v>11</v>
      </c>
      <c r="C77" s="11">
        <v>1033</v>
      </c>
      <c r="D77" s="11">
        <v>106</v>
      </c>
      <c r="E77" s="10" t="s">
        <v>258</v>
      </c>
      <c r="F77" s="11">
        <v>2010</v>
      </c>
      <c r="G77" t="s">
        <v>259</v>
      </c>
      <c r="H77" s="10" t="s">
        <v>260</v>
      </c>
      <c r="I77" s="18">
        <v>2</v>
      </c>
      <c r="J77" s="10">
        <v>2008</v>
      </c>
      <c r="K77" s="10" t="s">
        <v>73</v>
      </c>
      <c r="L77">
        <v>203</v>
      </c>
      <c r="M77" s="202" t="s">
        <v>261</v>
      </c>
      <c r="N77" t="s">
        <v>242</v>
      </c>
      <c r="O77" t="s">
        <v>124</v>
      </c>
      <c r="P77" s="18" t="s">
        <v>243</v>
      </c>
      <c r="Q77" t="s">
        <v>244</v>
      </c>
      <c r="R77" t="s">
        <v>245</v>
      </c>
      <c r="S77">
        <v>1</v>
      </c>
      <c r="T77" t="s">
        <v>189</v>
      </c>
      <c r="U77">
        <v>0</v>
      </c>
      <c r="V77" s="18" t="s">
        <v>232</v>
      </c>
      <c r="W77" s="18" t="s">
        <v>232</v>
      </c>
      <c r="X77" s="18" t="s">
        <v>73</v>
      </c>
      <c r="Y77">
        <v>0</v>
      </c>
      <c r="Z77">
        <v>0</v>
      </c>
      <c r="AA77">
        <v>0</v>
      </c>
      <c r="AB77">
        <v>0</v>
      </c>
      <c r="AC77">
        <v>0</v>
      </c>
      <c r="AD77">
        <v>1</v>
      </c>
      <c r="AE77">
        <v>0</v>
      </c>
      <c r="AF77">
        <v>0</v>
      </c>
      <c r="AG77" t="s">
        <v>262</v>
      </c>
      <c r="AH77">
        <v>0</v>
      </c>
      <c r="AI77">
        <v>0</v>
      </c>
      <c r="AJ77">
        <v>0</v>
      </c>
      <c r="AK77">
        <v>0</v>
      </c>
      <c r="AL77">
        <v>0</v>
      </c>
      <c r="AM77">
        <v>0</v>
      </c>
      <c r="AN77">
        <v>1</v>
      </c>
      <c r="AO77">
        <v>0</v>
      </c>
      <c r="AP77">
        <v>0</v>
      </c>
      <c r="AQ77" t="s">
        <v>267</v>
      </c>
      <c r="AR77" t="s">
        <v>234</v>
      </c>
      <c r="AS77" t="s">
        <v>264</v>
      </c>
      <c r="AT77" t="s">
        <v>236</v>
      </c>
      <c r="AU77" s="187">
        <v>5.2999999999999999E-2</v>
      </c>
      <c r="AV77" s="7" t="s">
        <v>80</v>
      </c>
      <c r="AW77" t="s">
        <v>73</v>
      </c>
      <c r="AX77">
        <v>0.05</v>
      </c>
      <c r="AY77">
        <v>2</v>
      </c>
      <c r="AZ77" s="19">
        <f>TINV(AX77,CB77)</f>
        <v>1.962795497038498</v>
      </c>
      <c r="BA77" s="105">
        <f>EXP(AU77)/(1+EXP(AU77))</f>
        <v>0.51324689926682643</v>
      </c>
      <c r="BB77" t="s">
        <v>73</v>
      </c>
      <c r="BC77" s="18" t="s">
        <v>73</v>
      </c>
      <c r="BD77" t="s">
        <v>73</v>
      </c>
      <c r="BE77" t="s">
        <v>73</v>
      </c>
      <c r="BF77" s="18">
        <v>60</v>
      </c>
      <c r="BG77" t="s">
        <v>73</v>
      </c>
      <c r="BH77" s="10">
        <v>841</v>
      </c>
      <c r="BI77" s="10">
        <v>841</v>
      </c>
      <c r="BJ77" t="s">
        <v>73</v>
      </c>
      <c r="BK77" t="s">
        <v>73</v>
      </c>
      <c r="BL77">
        <v>0</v>
      </c>
      <c r="BM77">
        <v>0</v>
      </c>
      <c r="BN77" t="s">
        <v>73</v>
      </c>
      <c r="BO77" t="s">
        <v>73</v>
      </c>
      <c r="BP77" t="s">
        <v>73</v>
      </c>
      <c r="BQ77" t="s">
        <v>73</v>
      </c>
      <c r="BR77" t="s">
        <v>73</v>
      </c>
      <c r="BS77" t="s">
        <v>73</v>
      </c>
      <c r="BT77" s="18">
        <v>1</v>
      </c>
      <c r="BU77" s="18">
        <v>1</v>
      </c>
      <c r="BV77" s="18">
        <v>1</v>
      </c>
      <c r="BW77" s="30">
        <f>((AZ77^2)/(AZ77^2+BH77))^(1/2)</f>
        <v>6.7528109143524445E-2</v>
      </c>
      <c r="BX77" s="30">
        <f>0.5*LN((1+BW77)/(1-BW77))</f>
        <v>6.7631034648244742E-2</v>
      </c>
      <c r="BY77" s="30">
        <f>((1-(BX77^2)^2)/(BH77-1))</f>
        <v>1.190451284427091E-3</v>
      </c>
      <c r="BZ77" s="30">
        <f>1/(BH77-3)</f>
        <v>1.1933174224343676E-3</v>
      </c>
      <c r="CA77" s="92" t="s">
        <v>73</v>
      </c>
      <c r="CB77">
        <f>BH77-2</f>
        <v>839</v>
      </c>
      <c r="CC77" s="92" t="s">
        <v>73</v>
      </c>
      <c r="CD77" s="30">
        <f>((AZ77^2)/(AZ77^2+BI77))^(1/2)</f>
        <v>6.7528109143524445E-2</v>
      </c>
      <c r="CE77" s="30">
        <f>0.5*LN((1+CD77)/(1-CD77))</f>
        <v>6.7631034648244742E-2</v>
      </c>
      <c r="CF77" s="30">
        <f>((1-(CE77^2)^2)/(BI77-1))</f>
        <v>1.190451284427091E-3</v>
      </c>
      <c r="CG77" s="30">
        <f>1/(BI77-3)</f>
        <v>1.1933174224343676E-3</v>
      </c>
    </row>
    <row r="78" spans="1:86">
      <c r="A78" s="11" t="s">
        <v>68</v>
      </c>
      <c r="B78" s="11">
        <v>11</v>
      </c>
      <c r="C78" s="11">
        <v>1034</v>
      </c>
      <c r="D78" s="11">
        <v>106</v>
      </c>
      <c r="E78" s="10" t="s">
        <v>258</v>
      </c>
      <c r="F78" s="11">
        <v>2010</v>
      </c>
      <c r="G78" t="s">
        <v>259</v>
      </c>
      <c r="H78" s="10" t="s">
        <v>260</v>
      </c>
      <c r="I78" s="18">
        <v>2</v>
      </c>
      <c r="J78" s="10">
        <v>2008</v>
      </c>
      <c r="K78" s="10" t="s">
        <v>73</v>
      </c>
      <c r="L78">
        <v>203</v>
      </c>
      <c r="M78" s="202" t="s">
        <v>261</v>
      </c>
      <c r="N78" t="s">
        <v>242</v>
      </c>
      <c r="O78" t="s">
        <v>124</v>
      </c>
      <c r="P78" s="18" t="s">
        <v>243</v>
      </c>
      <c r="Q78" t="s">
        <v>244</v>
      </c>
      <c r="R78" t="s">
        <v>245</v>
      </c>
      <c r="S78">
        <v>1</v>
      </c>
      <c r="T78" t="s">
        <v>189</v>
      </c>
      <c r="U78">
        <v>0</v>
      </c>
      <c r="V78" s="18" t="s">
        <v>232</v>
      </c>
      <c r="W78" s="18" t="s">
        <v>232</v>
      </c>
      <c r="X78" s="18" t="s">
        <v>73</v>
      </c>
      <c r="Y78">
        <v>0</v>
      </c>
      <c r="Z78">
        <v>0</v>
      </c>
      <c r="AA78">
        <v>0</v>
      </c>
      <c r="AB78">
        <v>0</v>
      </c>
      <c r="AC78">
        <v>0</v>
      </c>
      <c r="AD78">
        <v>1</v>
      </c>
      <c r="AE78">
        <v>0</v>
      </c>
      <c r="AF78">
        <v>0</v>
      </c>
      <c r="AG78" t="s">
        <v>262</v>
      </c>
      <c r="AH78">
        <v>0</v>
      </c>
      <c r="AI78">
        <v>0</v>
      </c>
      <c r="AJ78">
        <v>0</v>
      </c>
      <c r="AK78">
        <v>0</v>
      </c>
      <c r="AL78">
        <v>0</v>
      </c>
      <c r="AM78">
        <v>0</v>
      </c>
      <c r="AN78">
        <v>1</v>
      </c>
      <c r="AO78">
        <v>0</v>
      </c>
      <c r="AP78">
        <v>0</v>
      </c>
      <c r="AQ78" t="s">
        <v>268</v>
      </c>
      <c r="AR78" t="s">
        <v>234</v>
      </c>
      <c r="AS78" t="s">
        <v>264</v>
      </c>
      <c r="AT78" t="s">
        <v>236</v>
      </c>
      <c r="AU78" s="187">
        <v>1.034</v>
      </c>
      <c r="AV78" s="7" t="s">
        <v>80</v>
      </c>
      <c r="AW78" t="s">
        <v>73</v>
      </c>
      <c r="AX78">
        <v>0.01</v>
      </c>
      <c r="AY78">
        <v>1</v>
      </c>
      <c r="AZ78" s="102">
        <f>TINV(AX78,CB78)</f>
        <v>2.5817018839793482</v>
      </c>
      <c r="BA78" s="105">
        <f>EXP(AU78)/(1+EXP(AU78))</f>
        <v>0.73769064403297369</v>
      </c>
      <c r="BB78" t="s">
        <v>73</v>
      </c>
      <c r="BC78" s="18" t="s">
        <v>73</v>
      </c>
      <c r="BD78" t="s">
        <v>73</v>
      </c>
      <c r="BE78" t="s">
        <v>73</v>
      </c>
      <c r="BF78" s="18">
        <v>60</v>
      </c>
      <c r="BG78" t="s">
        <v>73</v>
      </c>
      <c r="BH78" s="10">
        <v>841</v>
      </c>
      <c r="BI78" s="10">
        <v>841</v>
      </c>
      <c r="BJ78" t="s">
        <v>73</v>
      </c>
      <c r="BK78" t="s">
        <v>73</v>
      </c>
      <c r="BL78">
        <v>470.59</v>
      </c>
      <c r="BM78" t="s">
        <v>269</v>
      </c>
      <c r="BN78" t="s">
        <v>73</v>
      </c>
      <c r="BO78" t="s">
        <v>73</v>
      </c>
      <c r="BP78" t="s">
        <v>73</v>
      </c>
      <c r="BQ78" t="s">
        <v>73</v>
      </c>
      <c r="BR78" t="s">
        <v>73</v>
      </c>
      <c r="BS78" t="s">
        <v>73</v>
      </c>
      <c r="BT78" s="18">
        <v>1</v>
      </c>
      <c r="BU78" s="18">
        <v>1</v>
      </c>
      <c r="BV78" s="18">
        <v>1</v>
      </c>
      <c r="BW78" s="30">
        <f>((AZ78^2)/(AZ78^2+BH78))^(1/2)</f>
        <v>8.8673513868765694E-2</v>
      </c>
      <c r="BX78" s="30">
        <f>0.5*LN((1+BW78)/(1-BW78))</f>
        <v>8.890702958732373E-2</v>
      </c>
      <c r="BY78" s="30">
        <f>((1-(BX78^2)^2)/(BH78-1))</f>
        <v>1.1904018089446793E-3</v>
      </c>
      <c r="BZ78" s="30">
        <f>1/(BH78-3)</f>
        <v>1.1933174224343676E-3</v>
      </c>
      <c r="CA78" s="92" t="s">
        <v>73</v>
      </c>
      <c r="CB78">
        <f>BH78-2</f>
        <v>839</v>
      </c>
      <c r="CC78" s="92" t="s">
        <v>73</v>
      </c>
      <c r="CD78" s="30">
        <f>((AZ78^2)/(AZ78^2+BI78))^(1/2)</f>
        <v>8.8673513868765694E-2</v>
      </c>
      <c r="CE78" s="30">
        <f>0.5*LN((1+CD78)/(1-CD78))</f>
        <v>8.890702958732373E-2</v>
      </c>
      <c r="CF78" s="30">
        <f>((1-(CE78^2)^2)/(BI78-1))</f>
        <v>1.1904018089446793E-3</v>
      </c>
      <c r="CG78" s="30">
        <f>1/(BI78-3)</f>
        <v>1.1933174224343676E-3</v>
      </c>
      <c r="CH78" s="119"/>
    </row>
    <row r="79" spans="1:86">
      <c r="A79" s="108" t="s">
        <v>68</v>
      </c>
      <c r="B79" s="108">
        <v>15</v>
      </c>
      <c r="C79" s="108">
        <v>1154</v>
      </c>
      <c r="D79" s="135">
        <v>135</v>
      </c>
      <c r="E79" t="s">
        <v>372</v>
      </c>
      <c r="F79" s="108">
        <v>2014</v>
      </c>
      <c r="G79" t="s">
        <v>373</v>
      </c>
      <c r="H79" t="s">
        <v>374</v>
      </c>
      <c r="I79" s="135">
        <v>2</v>
      </c>
      <c r="J79">
        <v>2012</v>
      </c>
      <c r="K79" s="108" t="s">
        <v>73</v>
      </c>
      <c r="L79" s="135">
        <v>12</v>
      </c>
      <c r="M79" s="202" t="s">
        <v>261</v>
      </c>
      <c r="N79" t="s">
        <v>242</v>
      </c>
      <c r="O79" t="s">
        <v>375</v>
      </c>
      <c r="P79" t="s">
        <v>294</v>
      </c>
      <c r="Q79" t="s">
        <v>308</v>
      </c>
      <c r="R79" t="s">
        <v>337</v>
      </c>
      <c r="S79">
        <v>0</v>
      </c>
      <c r="T79" t="s">
        <v>342</v>
      </c>
      <c r="U79">
        <v>0</v>
      </c>
      <c r="V79" s="108" t="s">
        <v>232</v>
      </c>
      <c r="W79" s="108" t="s">
        <v>232</v>
      </c>
      <c r="X79" s="108" t="s">
        <v>73</v>
      </c>
      <c r="Y79" s="135">
        <v>0</v>
      </c>
      <c r="Z79" s="135">
        <v>0</v>
      </c>
      <c r="AA79" s="135">
        <v>1</v>
      </c>
      <c r="AB79" s="135">
        <v>0</v>
      </c>
      <c r="AC79" s="135">
        <v>0</v>
      </c>
      <c r="AD79" s="135">
        <v>0</v>
      </c>
      <c r="AE79" s="135">
        <v>0</v>
      </c>
      <c r="AF79" s="135">
        <v>0</v>
      </c>
      <c r="AG79" s="135" t="s">
        <v>376</v>
      </c>
      <c r="AH79" s="135">
        <v>0</v>
      </c>
      <c r="AI79" s="135">
        <v>0</v>
      </c>
      <c r="AJ79" s="135">
        <v>0</v>
      </c>
      <c r="AK79" s="135">
        <v>1</v>
      </c>
      <c r="AL79" s="135">
        <v>0</v>
      </c>
      <c r="AM79" s="135">
        <v>0</v>
      </c>
      <c r="AN79" s="135">
        <v>0</v>
      </c>
      <c r="AO79" s="135">
        <v>0</v>
      </c>
      <c r="AP79" s="135">
        <v>0</v>
      </c>
      <c r="AQ79" t="s">
        <v>73</v>
      </c>
      <c r="AR79" t="s">
        <v>234</v>
      </c>
      <c r="AS79" t="s">
        <v>377</v>
      </c>
      <c r="AT79" t="s">
        <v>236</v>
      </c>
      <c r="AU79" s="187">
        <v>0.25530000000000003</v>
      </c>
      <c r="AV79" s="7" t="s">
        <v>80</v>
      </c>
      <c r="AW79" t="s">
        <v>73</v>
      </c>
      <c r="AX79">
        <v>1.23E-2</v>
      </c>
      <c r="AY79">
        <v>3</v>
      </c>
      <c r="AZ79" s="102">
        <f>TINV(AX79,CB79)</f>
        <v>2.5125829401851192</v>
      </c>
      <c r="BA79" s="105">
        <f>EXP(AU79)/(1+EXP(AU79))</f>
        <v>0.56348057873179402</v>
      </c>
      <c r="BB79" t="s">
        <v>73</v>
      </c>
      <c r="BC79" t="s">
        <v>73</v>
      </c>
      <c r="BD79" t="s">
        <v>73</v>
      </c>
      <c r="BE79" t="s">
        <v>73</v>
      </c>
      <c r="BF79" t="s">
        <v>73</v>
      </c>
      <c r="BG79" t="s">
        <v>73</v>
      </c>
      <c r="BH79" s="135">
        <v>500</v>
      </c>
      <c r="BI79" s="135">
        <v>2000</v>
      </c>
      <c r="BJ79" s="135" t="s">
        <v>73</v>
      </c>
      <c r="BK79" s="135" t="s">
        <v>73</v>
      </c>
      <c r="BL79" s="135" t="s">
        <v>73</v>
      </c>
      <c r="BM79" s="135" t="s">
        <v>73</v>
      </c>
      <c r="BN79" s="135" t="s">
        <v>73</v>
      </c>
      <c r="BO79">
        <v>0</v>
      </c>
      <c r="BP79" s="135" t="s">
        <v>73</v>
      </c>
      <c r="BQ79">
        <v>1</v>
      </c>
      <c r="BR79" s="144" t="s">
        <v>73</v>
      </c>
      <c r="BS79" t="s">
        <v>345</v>
      </c>
      <c r="BT79" s="135">
        <v>0</v>
      </c>
      <c r="BU79" s="135">
        <v>0</v>
      </c>
      <c r="BV79" s="135">
        <v>1</v>
      </c>
      <c r="BW79" s="30">
        <f>((AZ79^2)/(AZ79^2+BH79))^(1/2)</f>
        <v>0.11166339711480726</v>
      </c>
      <c r="BX79" s="30">
        <f>0.5*LN((1+BW79)/(1-BW79))</f>
        <v>0.11213100003996684</v>
      </c>
      <c r="BY79" s="30">
        <f>((1-(BX79^2)^2)/(BH79-1))</f>
        <v>2.0036912035849494E-3</v>
      </c>
      <c r="BZ79" s="30">
        <f>1/(BH79-3)</f>
        <v>2.012072434607646E-3</v>
      </c>
      <c r="CA79" s="92" t="s">
        <v>73</v>
      </c>
      <c r="CB79">
        <f>BH79-2</f>
        <v>498</v>
      </c>
      <c r="CC79" s="92" t="s">
        <v>73</v>
      </c>
      <c r="CD79" s="30">
        <f>((AZ79^2)/(AZ79^2+BI79))^(1/2)</f>
        <v>5.6094599960881869E-2</v>
      </c>
      <c r="CE79" s="30">
        <f>0.5*LN((1+CD79)/(1-CD79))</f>
        <v>5.6153547124580094E-2</v>
      </c>
      <c r="CF79" s="30">
        <f>((1-(CE79^2)^2)/(BI79-1))</f>
        <v>5.0024515117470813E-4</v>
      </c>
      <c r="CG79" s="30">
        <f>1/(BI79-3)</f>
        <v>5.00751126690035E-4</v>
      </c>
    </row>
    <row r="80" spans="1:86" s="119" customFormat="1">
      <c r="A80" s="11" t="s">
        <v>68</v>
      </c>
      <c r="B80" s="11">
        <v>24</v>
      </c>
      <c r="C80" s="11">
        <v>1062</v>
      </c>
      <c r="D80">
        <v>111</v>
      </c>
      <c r="E80" t="s">
        <v>291</v>
      </c>
      <c r="F80" s="11">
        <v>1998</v>
      </c>
      <c r="G80" t="s">
        <v>292</v>
      </c>
      <c r="H80" t="s">
        <v>293</v>
      </c>
      <c r="I80">
        <v>2</v>
      </c>
      <c r="J80">
        <v>1998</v>
      </c>
      <c r="K80" s="10" t="s">
        <v>73</v>
      </c>
      <c r="L80">
        <v>651</v>
      </c>
      <c r="M80" s="202" t="s">
        <v>261</v>
      </c>
      <c r="N80" s="92" t="s">
        <v>227</v>
      </c>
      <c r="O80" t="s">
        <v>81</v>
      </c>
      <c r="P80" s="18" t="s">
        <v>294</v>
      </c>
      <c r="Q80" t="s">
        <v>244</v>
      </c>
      <c r="R80" t="s">
        <v>255</v>
      </c>
      <c r="S80">
        <v>1</v>
      </c>
      <c r="T80" t="s">
        <v>231</v>
      </c>
      <c r="U80">
        <v>0</v>
      </c>
      <c r="V80" s="18" t="s">
        <v>232</v>
      </c>
      <c r="W80" s="18" t="s">
        <v>232</v>
      </c>
      <c r="X80" s="18" t="s">
        <v>73</v>
      </c>
      <c r="Y80">
        <v>0</v>
      </c>
      <c r="Z80">
        <v>0</v>
      </c>
      <c r="AA80">
        <v>0</v>
      </c>
      <c r="AB80">
        <v>1</v>
      </c>
      <c r="AC80">
        <v>0</v>
      </c>
      <c r="AD80">
        <v>0</v>
      </c>
      <c r="AE80">
        <v>0</v>
      </c>
      <c r="AF80">
        <v>0</v>
      </c>
      <c r="AG80" t="s">
        <v>73</v>
      </c>
      <c r="AH80">
        <v>0</v>
      </c>
      <c r="AI80">
        <v>0</v>
      </c>
      <c r="AJ80">
        <v>0</v>
      </c>
      <c r="AK80">
        <v>1</v>
      </c>
      <c r="AL80" s="32">
        <v>0</v>
      </c>
      <c r="AM80" s="32">
        <v>0</v>
      </c>
      <c r="AN80" s="32">
        <v>0</v>
      </c>
      <c r="AO80" s="32">
        <v>0</v>
      </c>
      <c r="AP80" s="32">
        <v>0</v>
      </c>
      <c r="AQ80" t="s">
        <v>295</v>
      </c>
      <c r="AR80" s="92" t="s">
        <v>234</v>
      </c>
      <c r="AS80" s="92" t="s">
        <v>296</v>
      </c>
      <c r="AT80" s="92" t="s">
        <v>236</v>
      </c>
      <c r="AU80" s="187">
        <v>2.1999999999999999E-2</v>
      </c>
      <c r="AV80" s="7" t="s">
        <v>80</v>
      </c>
      <c r="AW80">
        <v>0.21199999999999999</v>
      </c>
      <c r="AX80" t="s">
        <v>73</v>
      </c>
      <c r="AY80">
        <v>3</v>
      </c>
      <c r="AZ80">
        <f>AU80/AW80</f>
        <v>0.10377358490566037</v>
      </c>
      <c r="BA80" s="105">
        <f>EXP(AU80)/(1+EXP(AU80))</f>
        <v>0.50549977817740277</v>
      </c>
      <c r="BB80" t="s">
        <v>73</v>
      </c>
      <c r="BC80" t="s">
        <v>73</v>
      </c>
      <c r="BD80" t="s">
        <v>73</v>
      </c>
      <c r="BE80" t="s">
        <v>73</v>
      </c>
      <c r="BF80" t="s">
        <v>73</v>
      </c>
      <c r="BG80" t="s">
        <v>73</v>
      </c>
      <c r="BH80">
        <v>375</v>
      </c>
      <c r="BI80">
        <v>6081</v>
      </c>
      <c r="BJ80" t="s">
        <v>73</v>
      </c>
      <c r="BK80" t="s">
        <v>73</v>
      </c>
      <c r="BL80" t="s">
        <v>73</v>
      </c>
      <c r="BM80" t="s">
        <v>73</v>
      </c>
      <c r="BN80" t="s">
        <v>73</v>
      </c>
      <c r="BO80" t="s">
        <v>73</v>
      </c>
      <c r="BP80" t="s">
        <v>73</v>
      </c>
      <c r="BQ80" t="s">
        <v>73</v>
      </c>
      <c r="BR80" t="s">
        <v>73</v>
      </c>
      <c r="BS80" t="s">
        <v>73</v>
      </c>
      <c r="BT80">
        <v>0</v>
      </c>
      <c r="BU80">
        <v>0</v>
      </c>
      <c r="BV80">
        <v>0</v>
      </c>
      <c r="BW80" s="30">
        <f>((AZ80^2)/(AZ80^2+BH80))^(1/2)</f>
        <v>5.3587679376424701E-3</v>
      </c>
      <c r="BX80" s="30">
        <f>0.5*LN((1+BW80)/(1-BW80))</f>
        <v>5.3588192333564287E-3</v>
      </c>
      <c r="BY80" s="30">
        <f>((1-(BX80^2)^2)/(BH80-1))</f>
        <v>2.6737967892388691E-3</v>
      </c>
      <c r="BZ80" s="30">
        <f>1/(BH80-3)</f>
        <v>2.6881720430107529E-3</v>
      </c>
      <c r="CA80" s="92" t="s">
        <v>73</v>
      </c>
      <c r="CB80">
        <f>BH80-2</f>
        <v>373</v>
      </c>
      <c r="CC80" s="92" t="s">
        <v>73</v>
      </c>
      <c r="CD80" s="30">
        <f>((AZ80^2)/(AZ80^2+BI80))^(1/2)</f>
        <v>1.3307575341676675E-3</v>
      </c>
      <c r="CE80" s="30">
        <f>0.5*LN((1+CD80)/(1-CD80))</f>
        <v>1.3307583197216381E-3</v>
      </c>
      <c r="CF80" s="30">
        <f>((1-(CE80^2)^2)/(BI80-1))</f>
        <v>1.644736842100105E-4</v>
      </c>
      <c r="CG80" s="30">
        <f>1/(BI80-3)</f>
        <v>1.6452780519907864E-4</v>
      </c>
      <c r="CH80" s="95"/>
    </row>
    <row r="81" spans="1:86">
      <c r="A81" s="11" t="s">
        <v>68</v>
      </c>
      <c r="B81" s="11">
        <v>24</v>
      </c>
      <c r="C81" s="11">
        <v>1063</v>
      </c>
      <c r="D81">
        <v>111</v>
      </c>
      <c r="E81" t="s">
        <v>291</v>
      </c>
      <c r="F81" s="11">
        <v>1998</v>
      </c>
      <c r="G81" t="s">
        <v>292</v>
      </c>
      <c r="H81" t="s">
        <v>293</v>
      </c>
      <c r="I81">
        <v>2</v>
      </c>
      <c r="J81">
        <v>1998</v>
      </c>
      <c r="K81" s="10" t="s">
        <v>73</v>
      </c>
      <c r="L81">
        <v>651</v>
      </c>
      <c r="M81" s="202" t="s">
        <v>261</v>
      </c>
      <c r="N81" s="92" t="s">
        <v>227</v>
      </c>
      <c r="O81" t="s">
        <v>81</v>
      </c>
      <c r="P81" s="18" t="s">
        <v>294</v>
      </c>
      <c r="Q81" t="s">
        <v>244</v>
      </c>
      <c r="R81" t="s">
        <v>255</v>
      </c>
      <c r="S81">
        <v>1</v>
      </c>
      <c r="T81" t="s">
        <v>231</v>
      </c>
      <c r="U81">
        <v>0</v>
      </c>
      <c r="V81" s="18" t="s">
        <v>232</v>
      </c>
      <c r="W81" s="18" t="s">
        <v>232</v>
      </c>
      <c r="X81" s="18" t="s">
        <v>73</v>
      </c>
      <c r="Y81">
        <v>0</v>
      </c>
      <c r="Z81">
        <v>0</v>
      </c>
      <c r="AA81">
        <v>0</v>
      </c>
      <c r="AB81">
        <v>0</v>
      </c>
      <c r="AC81">
        <v>0</v>
      </c>
      <c r="AD81">
        <v>0</v>
      </c>
      <c r="AE81">
        <v>1</v>
      </c>
      <c r="AF81">
        <v>0</v>
      </c>
      <c r="AG81" t="s">
        <v>73</v>
      </c>
      <c r="AH81">
        <v>0</v>
      </c>
      <c r="AI81">
        <v>0</v>
      </c>
      <c r="AJ81">
        <v>0</v>
      </c>
      <c r="AK81">
        <v>1</v>
      </c>
      <c r="AL81" s="32">
        <v>0</v>
      </c>
      <c r="AM81" s="32">
        <v>0</v>
      </c>
      <c r="AN81" s="32">
        <v>0</v>
      </c>
      <c r="AO81" s="32">
        <v>0</v>
      </c>
      <c r="AP81" s="32">
        <v>0</v>
      </c>
      <c r="AQ81" t="s">
        <v>295</v>
      </c>
      <c r="AR81" s="92" t="s">
        <v>234</v>
      </c>
      <c r="AS81" s="92" t="s">
        <v>296</v>
      </c>
      <c r="AT81" s="92" t="s">
        <v>236</v>
      </c>
      <c r="AU81" s="187">
        <v>0.156</v>
      </c>
      <c r="AV81" s="7" t="s">
        <v>80</v>
      </c>
      <c r="AW81">
        <v>0.621</v>
      </c>
      <c r="AX81" t="s">
        <v>73</v>
      </c>
      <c r="AY81">
        <v>3</v>
      </c>
      <c r="AZ81">
        <f>AU81/AW81</f>
        <v>0.25120772946859904</v>
      </c>
      <c r="BA81" s="105">
        <f>EXP(AU81)/(1+EXP(AU81))</f>
        <v>0.53892110000546534</v>
      </c>
      <c r="BB81" t="s">
        <v>73</v>
      </c>
      <c r="BC81" t="s">
        <v>73</v>
      </c>
      <c r="BD81" t="s">
        <v>73</v>
      </c>
      <c r="BE81" t="s">
        <v>73</v>
      </c>
      <c r="BF81" t="s">
        <v>73</v>
      </c>
      <c r="BG81" t="s">
        <v>73</v>
      </c>
      <c r="BH81">
        <v>375</v>
      </c>
      <c r="BI81">
        <v>6081</v>
      </c>
      <c r="BJ81" t="s">
        <v>73</v>
      </c>
      <c r="BK81" t="s">
        <v>73</v>
      </c>
      <c r="BL81" t="s">
        <v>73</v>
      </c>
      <c r="BM81" t="s">
        <v>73</v>
      </c>
      <c r="BN81" t="s">
        <v>73</v>
      </c>
      <c r="BO81" t="s">
        <v>73</v>
      </c>
      <c r="BP81" t="s">
        <v>73</v>
      </c>
      <c r="BQ81" t="s">
        <v>73</v>
      </c>
      <c r="BR81" t="s">
        <v>73</v>
      </c>
      <c r="BS81" t="s">
        <v>73</v>
      </c>
      <c r="BT81">
        <v>0</v>
      </c>
      <c r="BU81">
        <v>0</v>
      </c>
      <c r="BV81">
        <v>0</v>
      </c>
      <c r="BW81" s="30">
        <f>((AZ81^2)/(AZ81^2+BH81))^(1/2)</f>
        <v>1.2971220010807293E-2</v>
      </c>
      <c r="BX81" s="30">
        <f>0.5*LN((1+BW81)/(1-BW81))</f>
        <v>1.2971947564531299E-2</v>
      </c>
      <c r="BY81" s="30">
        <f>((1-(BX81^2)^2)/(BH81-1))</f>
        <v>2.6737967157345667E-3</v>
      </c>
      <c r="BZ81" s="30">
        <f>1/(BH81-3)</f>
        <v>2.6881720430107529E-3</v>
      </c>
      <c r="CA81" s="92" t="s">
        <v>73</v>
      </c>
      <c r="CB81">
        <f>BH81-2</f>
        <v>373</v>
      </c>
      <c r="CC81" s="92" t="s">
        <v>73</v>
      </c>
      <c r="CD81" s="30">
        <f>((AZ81^2)/(AZ81^2+BI81))^(1/2)</f>
        <v>3.2213895316316066E-3</v>
      </c>
      <c r="CE81" s="30">
        <f>0.5*LN((1+CD81)/(1-CD81))</f>
        <v>3.2214006748637596E-3</v>
      </c>
      <c r="CF81" s="30">
        <f>((1-(CE81^2)^2)/(BI81-1))</f>
        <v>1.64473684192814E-4</v>
      </c>
      <c r="CG81" s="30">
        <f>1/(BI81-3)</f>
        <v>1.6452780519907864E-4</v>
      </c>
      <c r="CH81" s="119"/>
    </row>
    <row r="82" spans="1:86">
      <c r="A82" s="11" t="s">
        <v>68</v>
      </c>
      <c r="B82" s="11">
        <v>24</v>
      </c>
      <c r="C82" s="11">
        <v>1064</v>
      </c>
      <c r="D82">
        <v>111</v>
      </c>
      <c r="E82" t="s">
        <v>291</v>
      </c>
      <c r="F82" s="11">
        <v>1998</v>
      </c>
      <c r="G82" t="s">
        <v>292</v>
      </c>
      <c r="H82" t="s">
        <v>293</v>
      </c>
      <c r="I82">
        <v>2</v>
      </c>
      <c r="J82">
        <v>1998</v>
      </c>
      <c r="K82" s="10" t="s">
        <v>73</v>
      </c>
      <c r="L82">
        <v>652</v>
      </c>
      <c r="M82" s="202" t="s">
        <v>261</v>
      </c>
      <c r="N82" s="92" t="s">
        <v>227</v>
      </c>
      <c r="O82" t="s">
        <v>81</v>
      </c>
      <c r="P82" s="18" t="s">
        <v>294</v>
      </c>
      <c r="Q82" t="s">
        <v>244</v>
      </c>
      <c r="R82" t="s">
        <v>255</v>
      </c>
      <c r="S82">
        <v>1</v>
      </c>
      <c r="T82" t="s">
        <v>231</v>
      </c>
      <c r="U82">
        <v>0</v>
      </c>
      <c r="V82" s="18" t="s">
        <v>232</v>
      </c>
      <c r="W82" s="18" t="s">
        <v>232</v>
      </c>
      <c r="X82" s="18" t="s">
        <v>73</v>
      </c>
      <c r="Y82">
        <v>0</v>
      </c>
      <c r="Z82">
        <v>0</v>
      </c>
      <c r="AA82">
        <v>0</v>
      </c>
      <c r="AB82">
        <v>1</v>
      </c>
      <c r="AC82">
        <v>0</v>
      </c>
      <c r="AD82">
        <v>0</v>
      </c>
      <c r="AE82">
        <v>0</v>
      </c>
      <c r="AF82">
        <v>0</v>
      </c>
      <c r="AG82" t="s">
        <v>73</v>
      </c>
      <c r="AH82">
        <v>0</v>
      </c>
      <c r="AI82">
        <v>0</v>
      </c>
      <c r="AJ82">
        <v>0</v>
      </c>
      <c r="AK82">
        <v>1</v>
      </c>
      <c r="AL82" s="32">
        <v>0</v>
      </c>
      <c r="AM82" s="32">
        <v>0</v>
      </c>
      <c r="AN82" s="32">
        <v>0</v>
      </c>
      <c r="AO82" s="32">
        <v>0</v>
      </c>
      <c r="AP82" s="32">
        <v>0</v>
      </c>
      <c r="AQ82" t="s">
        <v>295</v>
      </c>
      <c r="AR82" s="92" t="s">
        <v>234</v>
      </c>
      <c r="AS82" s="92" t="s">
        <v>296</v>
      </c>
      <c r="AT82" s="92" t="s">
        <v>236</v>
      </c>
      <c r="AU82" s="187">
        <v>0.14599999999999999</v>
      </c>
      <c r="AV82" s="7" t="s">
        <v>86</v>
      </c>
      <c r="AW82">
        <v>0.188</v>
      </c>
      <c r="AX82" t="s">
        <v>73</v>
      </c>
      <c r="AY82">
        <v>3</v>
      </c>
      <c r="AZ82">
        <f>AU82/AW82</f>
        <v>0.77659574468085102</v>
      </c>
      <c r="BA82" s="105">
        <f>EXP(AU82)/(1+EXP(AU82))</f>
        <v>0.53643530174064413</v>
      </c>
      <c r="BB82" t="s">
        <v>73</v>
      </c>
      <c r="BC82" t="s">
        <v>73</v>
      </c>
      <c r="BD82" t="s">
        <v>73</v>
      </c>
      <c r="BE82" t="s">
        <v>73</v>
      </c>
      <c r="BF82" t="s">
        <v>73</v>
      </c>
      <c r="BG82" t="s">
        <v>73</v>
      </c>
      <c r="BH82">
        <v>375</v>
      </c>
      <c r="BI82">
        <v>6081</v>
      </c>
      <c r="BJ82" t="s">
        <v>73</v>
      </c>
      <c r="BK82" t="s">
        <v>73</v>
      </c>
      <c r="BL82" t="s">
        <v>73</v>
      </c>
      <c r="BM82" t="s">
        <v>73</v>
      </c>
      <c r="BN82" t="s">
        <v>73</v>
      </c>
      <c r="BO82" t="s">
        <v>73</v>
      </c>
      <c r="BP82" t="s">
        <v>73</v>
      </c>
      <c r="BQ82" t="s">
        <v>73</v>
      </c>
      <c r="BR82" t="s">
        <v>73</v>
      </c>
      <c r="BS82" t="s">
        <v>73</v>
      </c>
      <c r="BT82">
        <v>0</v>
      </c>
      <c r="BU82">
        <v>0</v>
      </c>
      <c r="BV82">
        <v>1</v>
      </c>
      <c r="BW82" s="30">
        <f>((AZ82^2)/(AZ82^2+BH82))^(1/2)</f>
        <v>4.0071022261504372E-2</v>
      </c>
      <c r="BX82" s="30">
        <f>0.5*LN((1+BW82)/(1-BW82))</f>
        <v>4.0092490118533643E-2</v>
      </c>
      <c r="BY82" s="30">
        <f>((1-(BX82^2)^2)/(BH82-1))</f>
        <v>2.6737898829954023E-3</v>
      </c>
      <c r="BZ82" s="30">
        <f>1/(BH82-3)</f>
        <v>2.6881720430107529E-3</v>
      </c>
      <c r="CA82" s="92" t="s">
        <v>73</v>
      </c>
      <c r="CB82">
        <f>BH82-2</f>
        <v>373</v>
      </c>
      <c r="CC82" s="92" t="s">
        <v>73</v>
      </c>
      <c r="CD82" s="30">
        <f>((AZ82^2)/(AZ82^2+BI82))^(1/2)</f>
        <v>9.9583175216459603E-3</v>
      </c>
      <c r="CE82" s="30">
        <f>0.5*LN((1+CD82)/(1-CD82))</f>
        <v>9.9586467236696761E-3</v>
      </c>
      <c r="CF82" s="30">
        <f>((1-(CE82^2)^2)/(BI82-1))</f>
        <v>1.6447368259282728E-4</v>
      </c>
      <c r="CG82" s="30">
        <f>1/(BI82-3)</f>
        <v>1.6452780519907864E-4</v>
      </c>
    </row>
    <row r="83" spans="1:86">
      <c r="A83" s="11" t="s">
        <v>68</v>
      </c>
      <c r="B83" s="11">
        <v>24</v>
      </c>
      <c r="C83" s="11">
        <v>1065</v>
      </c>
      <c r="D83">
        <v>111</v>
      </c>
      <c r="E83" t="s">
        <v>291</v>
      </c>
      <c r="F83" s="11">
        <v>1998</v>
      </c>
      <c r="G83" t="s">
        <v>292</v>
      </c>
      <c r="H83" t="s">
        <v>293</v>
      </c>
      <c r="I83">
        <v>2</v>
      </c>
      <c r="J83">
        <v>1998</v>
      </c>
      <c r="K83" s="10" t="s">
        <v>73</v>
      </c>
      <c r="L83">
        <v>652</v>
      </c>
      <c r="M83" s="202" t="s">
        <v>261</v>
      </c>
      <c r="N83" s="92" t="s">
        <v>227</v>
      </c>
      <c r="O83" t="s">
        <v>81</v>
      </c>
      <c r="P83" s="18" t="s">
        <v>294</v>
      </c>
      <c r="Q83" t="s">
        <v>244</v>
      </c>
      <c r="R83" t="s">
        <v>255</v>
      </c>
      <c r="S83">
        <v>1</v>
      </c>
      <c r="T83" t="s">
        <v>231</v>
      </c>
      <c r="U83">
        <v>0</v>
      </c>
      <c r="V83" s="18" t="s">
        <v>232</v>
      </c>
      <c r="W83" s="18" t="s">
        <v>232</v>
      </c>
      <c r="X83" s="18" t="s">
        <v>73</v>
      </c>
      <c r="Y83">
        <v>0</v>
      </c>
      <c r="Z83">
        <v>0</v>
      </c>
      <c r="AA83">
        <v>0</v>
      </c>
      <c r="AB83">
        <v>0</v>
      </c>
      <c r="AC83">
        <v>0</v>
      </c>
      <c r="AD83">
        <v>0</v>
      </c>
      <c r="AE83">
        <v>1</v>
      </c>
      <c r="AF83">
        <v>0</v>
      </c>
      <c r="AG83" t="s">
        <v>73</v>
      </c>
      <c r="AH83">
        <v>0</v>
      </c>
      <c r="AI83">
        <v>0</v>
      </c>
      <c r="AJ83">
        <v>0</v>
      </c>
      <c r="AK83">
        <v>1</v>
      </c>
      <c r="AL83" s="32">
        <v>0</v>
      </c>
      <c r="AM83" s="32">
        <v>0</v>
      </c>
      <c r="AN83" s="32">
        <v>0</v>
      </c>
      <c r="AO83" s="32">
        <v>0</v>
      </c>
      <c r="AP83" s="32">
        <v>0</v>
      </c>
      <c r="AQ83" t="s">
        <v>295</v>
      </c>
      <c r="AR83" s="92" t="s">
        <v>234</v>
      </c>
      <c r="AS83" s="92" t="s">
        <v>296</v>
      </c>
      <c r="AT83" s="92" t="s">
        <v>236</v>
      </c>
      <c r="AU83" s="187">
        <v>0.27500000000000002</v>
      </c>
      <c r="AV83" s="7" t="s">
        <v>80</v>
      </c>
      <c r="AW83">
        <v>0.77100000000000002</v>
      </c>
      <c r="AX83" t="s">
        <v>73</v>
      </c>
      <c r="AY83">
        <v>3</v>
      </c>
      <c r="AZ83">
        <f>AU83/AW83</f>
        <v>0.35667963683527887</v>
      </c>
      <c r="BA83" s="105">
        <f>EXP(AU83)/(1+EXP(AU83))</f>
        <v>0.56831998347824808</v>
      </c>
      <c r="BB83" t="s">
        <v>73</v>
      </c>
      <c r="BC83" t="s">
        <v>73</v>
      </c>
      <c r="BD83" t="s">
        <v>73</v>
      </c>
      <c r="BE83" t="s">
        <v>73</v>
      </c>
      <c r="BF83" t="s">
        <v>73</v>
      </c>
      <c r="BG83" t="s">
        <v>73</v>
      </c>
      <c r="BH83">
        <v>375</v>
      </c>
      <c r="BI83">
        <v>6081</v>
      </c>
      <c r="BJ83" t="s">
        <v>73</v>
      </c>
      <c r="BK83" t="s">
        <v>73</v>
      </c>
      <c r="BL83" t="s">
        <v>73</v>
      </c>
      <c r="BM83" t="s">
        <v>73</v>
      </c>
      <c r="BN83" t="s">
        <v>73</v>
      </c>
      <c r="BO83" t="s">
        <v>73</v>
      </c>
      <c r="BP83" t="s">
        <v>73</v>
      </c>
      <c r="BQ83" t="s">
        <v>73</v>
      </c>
      <c r="BR83" t="s">
        <v>73</v>
      </c>
      <c r="BS83" t="s">
        <v>73</v>
      </c>
      <c r="BT83">
        <v>0</v>
      </c>
      <c r="BU83">
        <v>0</v>
      </c>
      <c r="BV83">
        <v>1</v>
      </c>
      <c r="BW83" s="30">
        <f>((AZ83^2)/(AZ83^2+BH83))^(1/2)</f>
        <v>1.8415733701710926E-2</v>
      </c>
      <c r="BX83" s="30">
        <f>0.5*LN((1+BW83)/(1-BW83))</f>
        <v>1.8417815958123879E-2</v>
      </c>
      <c r="BY83" s="30">
        <f>((1-(BX83^2)^2)/(BH83-1))</f>
        <v>2.6737964837768528E-3</v>
      </c>
      <c r="BZ83" s="30">
        <f>1/(BH83-3)</f>
        <v>2.6881720430107529E-3</v>
      </c>
      <c r="CA83" s="92" t="s">
        <v>73</v>
      </c>
      <c r="CB83">
        <f>BH83-2</f>
        <v>373</v>
      </c>
      <c r="CC83" s="92" t="s">
        <v>73</v>
      </c>
      <c r="CD83" s="30">
        <f>((AZ83^2)/(AZ83^2+BI83))^(1/2)</f>
        <v>4.573895849164393E-3</v>
      </c>
      <c r="CE83" s="30">
        <f>0.5*LN((1+CD83)/(1-CD83))</f>
        <v>4.5739277456628979E-3</v>
      </c>
      <c r="CF83" s="30">
        <f>((1-(CE83^2)^2)/(BI83-1))</f>
        <v>1.6447368413853941E-4</v>
      </c>
      <c r="CG83" s="30">
        <f>1/(BI83-3)</f>
        <v>1.6452780519907864E-4</v>
      </c>
    </row>
    <row r="84" spans="1:86">
      <c r="A84" s="11" t="s">
        <v>68</v>
      </c>
      <c r="B84" s="11">
        <v>24</v>
      </c>
      <c r="C84" s="11">
        <v>1066</v>
      </c>
      <c r="D84">
        <v>111</v>
      </c>
      <c r="E84" t="s">
        <v>291</v>
      </c>
      <c r="F84" s="11">
        <v>1998</v>
      </c>
      <c r="G84" t="s">
        <v>292</v>
      </c>
      <c r="H84" t="s">
        <v>293</v>
      </c>
      <c r="I84">
        <v>2</v>
      </c>
      <c r="J84">
        <v>1998</v>
      </c>
      <c r="K84" s="10" t="s">
        <v>73</v>
      </c>
      <c r="L84">
        <v>654</v>
      </c>
      <c r="M84" s="202" t="s">
        <v>261</v>
      </c>
      <c r="N84" s="92" t="s">
        <v>227</v>
      </c>
      <c r="O84" t="s">
        <v>81</v>
      </c>
      <c r="P84" s="18" t="s">
        <v>294</v>
      </c>
      <c r="Q84" t="s">
        <v>244</v>
      </c>
      <c r="R84" t="s">
        <v>255</v>
      </c>
      <c r="S84">
        <v>1</v>
      </c>
      <c r="T84" t="s">
        <v>231</v>
      </c>
      <c r="U84">
        <v>0</v>
      </c>
      <c r="V84" s="18" t="s">
        <v>232</v>
      </c>
      <c r="W84" s="18" t="s">
        <v>232</v>
      </c>
      <c r="X84" s="18" t="s">
        <v>73</v>
      </c>
      <c r="Y84">
        <v>0</v>
      </c>
      <c r="Z84">
        <v>0</v>
      </c>
      <c r="AA84">
        <v>0</v>
      </c>
      <c r="AB84">
        <v>1</v>
      </c>
      <c r="AC84">
        <v>0</v>
      </c>
      <c r="AD84">
        <v>0</v>
      </c>
      <c r="AE84">
        <v>0</v>
      </c>
      <c r="AF84">
        <v>0</v>
      </c>
      <c r="AG84" t="s">
        <v>73</v>
      </c>
      <c r="AH84">
        <v>0</v>
      </c>
      <c r="AI84">
        <v>0</v>
      </c>
      <c r="AJ84">
        <v>0</v>
      </c>
      <c r="AK84">
        <v>1</v>
      </c>
      <c r="AL84" s="32">
        <v>0</v>
      </c>
      <c r="AM84" s="32">
        <v>0</v>
      </c>
      <c r="AN84" s="32">
        <v>0</v>
      </c>
      <c r="AO84" s="32">
        <v>0</v>
      </c>
      <c r="AP84" s="32">
        <v>0</v>
      </c>
      <c r="AQ84" t="s">
        <v>295</v>
      </c>
      <c r="AR84" s="92" t="s">
        <v>234</v>
      </c>
      <c r="AS84" s="92" t="s">
        <v>296</v>
      </c>
      <c r="AT84" s="92" t="s">
        <v>236</v>
      </c>
      <c r="AU84" s="187">
        <v>0.19900000000000001</v>
      </c>
      <c r="AV84" s="7" t="s">
        <v>80</v>
      </c>
      <c r="AW84">
        <v>0.188</v>
      </c>
      <c r="AX84" t="s">
        <v>73</v>
      </c>
      <c r="AY84">
        <v>3</v>
      </c>
      <c r="AZ84">
        <f>AU84/AW84</f>
        <v>1.0585106382978724</v>
      </c>
      <c r="BA84" s="105">
        <f>EXP(AU84)/(1+EXP(AU84))</f>
        <v>0.54958646842503955</v>
      </c>
      <c r="BB84" t="s">
        <v>73</v>
      </c>
      <c r="BC84" t="s">
        <v>73</v>
      </c>
      <c r="BD84" t="s">
        <v>73</v>
      </c>
      <c r="BE84" t="s">
        <v>73</v>
      </c>
      <c r="BF84" t="s">
        <v>73</v>
      </c>
      <c r="BG84" t="s">
        <v>73</v>
      </c>
      <c r="BH84">
        <v>375</v>
      </c>
      <c r="BI84">
        <v>6081</v>
      </c>
      <c r="BJ84" t="s">
        <v>73</v>
      </c>
      <c r="BK84" t="s">
        <v>73</v>
      </c>
      <c r="BL84" t="s">
        <v>73</v>
      </c>
      <c r="BM84" t="s">
        <v>73</v>
      </c>
      <c r="BN84" t="s">
        <v>73</v>
      </c>
      <c r="BO84" t="s">
        <v>73</v>
      </c>
      <c r="BP84" t="s">
        <v>73</v>
      </c>
      <c r="BQ84" t="s">
        <v>73</v>
      </c>
      <c r="BR84" t="s">
        <v>73</v>
      </c>
      <c r="BS84" t="s">
        <v>73</v>
      </c>
      <c r="BT84">
        <v>0</v>
      </c>
      <c r="BU84">
        <v>0</v>
      </c>
      <c r="BV84">
        <v>1</v>
      </c>
      <c r="BW84" s="30">
        <f>((AZ84^2)/(AZ84^2+BH84))^(1/2)</f>
        <v>5.4579776966369314E-2</v>
      </c>
      <c r="BX84" s="30">
        <f>0.5*LN((1+BW84)/(1-BW84))</f>
        <v>5.4634070889081947E-2</v>
      </c>
      <c r="BY84" s="30">
        <f>((1-(BX84^2)^2)/(BH84-1))</f>
        <v>2.6737729692011378E-3</v>
      </c>
      <c r="BZ84" s="30">
        <f>1/(BH84-3)</f>
        <v>2.6881720430107529E-3</v>
      </c>
      <c r="CA84" s="92" t="s">
        <v>73</v>
      </c>
      <c r="CB84">
        <f>BH84-2</f>
        <v>373</v>
      </c>
      <c r="CC84" s="92" t="s">
        <v>73</v>
      </c>
      <c r="CD84" s="30">
        <f>((AZ84^2)/(AZ84^2+BI84))^(1/2)</f>
        <v>1.3572745913100221E-2</v>
      </c>
      <c r="CE84" s="30">
        <f>0.5*LN((1+CD84)/(1-CD84))</f>
        <v>1.3573579459748053E-2</v>
      </c>
      <c r="CF84" s="30">
        <f>((1-(CE84^2)^2)/(BI84-1))</f>
        <v>1.6447367862744465E-4</v>
      </c>
      <c r="CG84" s="30">
        <f>1/(BI84-3)</f>
        <v>1.6452780519907864E-4</v>
      </c>
    </row>
    <row r="85" spans="1:86">
      <c r="A85" s="11" t="s">
        <v>68</v>
      </c>
      <c r="B85" s="11">
        <v>24</v>
      </c>
      <c r="C85" s="11">
        <v>1067</v>
      </c>
      <c r="D85">
        <v>111</v>
      </c>
      <c r="E85" t="s">
        <v>291</v>
      </c>
      <c r="F85" s="11">
        <v>1998</v>
      </c>
      <c r="G85" t="s">
        <v>292</v>
      </c>
      <c r="H85" t="s">
        <v>293</v>
      </c>
      <c r="I85">
        <v>2</v>
      </c>
      <c r="J85">
        <v>1998</v>
      </c>
      <c r="K85" s="10" t="s">
        <v>73</v>
      </c>
      <c r="L85">
        <v>654</v>
      </c>
      <c r="M85" s="202" t="s">
        <v>261</v>
      </c>
      <c r="N85" s="92" t="s">
        <v>227</v>
      </c>
      <c r="O85" t="s">
        <v>81</v>
      </c>
      <c r="P85" s="18" t="s">
        <v>294</v>
      </c>
      <c r="Q85" t="s">
        <v>244</v>
      </c>
      <c r="R85" t="s">
        <v>255</v>
      </c>
      <c r="S85">
        <v>1</v>
      </c>
      <c r="T85" t="s">
        <v>231</v>
      </c>
      <c r="U85">
        <v>0</v>
      </c>
      <c r="V85" s="18" t="s">
        <v>232</v>
      </c>
      <c r="W85" s="18" t="s">
        <v>232</v>
      </c>
      <c r="X85" s="18" t="s">
        <v>73</v>
      </c>
      <c r="Y85">
        <v>0</v>
      </c>
      <c r="Z85">
        <v>0</v>
      </c>
      <c r="AA85">
        <v>0</v>
      </c>
      <c r="AB85">
        <v>0</v>
      </c>
      <c r="AC85">
        <v>0</v>
      </c>
      <c r="AD85">
        <v>0</v>
      </c>
      <c r="AE85">
        <v>1</v>
      </c>
      <c r="AF85">
        <v>0</v>
      </c>
      <c r="AG85" t="s">
        <v>73</v>
      </c>
      <c r="AH85">
        <v>0</v>
      </c>
      <c r="AI85">
        <v>0</v>
      </c>
      <c r="AJ85">
        <v>0</v>
      </c>
      <c r="AK85">
        <v>1</v>
      </c>
      <c r="AL85" s="32">
        <v>0</v>
      </c>
      <c r="AM85" s="32">
        <v>0</v>
      </c>
      <c r="AN85" s="32">
        <v>0</v>
      </c>
      <c r="AO85" s="32">
        <v>0</v>
      </c>
      <c r="AP85" s="32">
        <v>0</v>
      </c>
      <c r="AQ85" t="s">
        <v>295</v>
      </c>
      <c r="AR85" s="92" t="s">
        <v>234</v>
      </c>
      <c r="AS85" s="92" t="s">
        <v>296</v>
      </c>
      <c r="AT85" s="92" t="s">
        <v>236</v>
      </c>
      <c r="AU85" s="187">
        <v>0.191</v>
      </c>
      <c r="AV85" s="7" t="s">
        <v>86</v>
      </c>
      <c r="AW85">
        <v>0.53300000000000003</v>
      </c>
      <c r="AX85" t="s">
        <v>73</v>
      </c>
      <c r="AY85">
        <v>3</v>
      </c>
      <c r="AZ85">
        <f>AU85/AW85</f>
        <v>0.35834896810506567</v>
      </c>
      <c r="BA85" s="105">
        <f>EXP(AU85)/(1+EXP(AU85))</f>
        <v>0.54760536364581069</v>
      </c>
      <c r="BB85" t="s">
        <v>73</v>
      </c>
      <c r="BC85" t="s">
        <v>73</v>
      </c>
      <c r="BD85" t="s">
        <v>73</v>
      </c>
      <c r="BE85" t="s">
        <v>73</v>
      </c>
      <c r="BF85" t="s">
        <v>73</v>
      </c>
      <c r="BG85" t="s">
        <v>73</v>
      </c>
      <c r="BH85">
        <v>375</v>
      </c>
      <c r="BI85">
        <v>6081</v>
      </c>
      <c r="BJ85" t="s">
        <v>73</v>
      </c>
      <c r="BK85" t="s">
        <v>73</v>
      </c>
      <c r="BL85" t="s">
        <v>73</v>
      </c>
      <c r="BM85" t="s">
        <v>73</v>
      </c>
      <c r="BN85" t="s">
        <v>73</v>
      </c>
      <c r="BO85" t="s">
        <v>73</v>
      </c>
      <c r="BP85" t="s">
        <v>73</v>
      </c>
      <c r="BQ85" t="s">
        <v>73</v>
      </c>
      <c r="BR85" t="s">
        <v>73</v>
      </c>
      <c r="BS85" t="s">
        <v>73</v>
      </c>
      <c r="BT85">
        <v>0</v>
      </c>
      <c r="BU85">
        <v>0</v>
      </c>
      <c r="BV85">
        <v>1</v>
      </c>
      <c r="BW85" s="30">
        <f>((AZ85^2)/(AZ85^2+BH85))^(1/2)</f>
        <v>1.8501893543383965E-2</v>
      </c>
      <c r="BX85" s="30">
        <f>0.5*LN((1+BW85)/(1-BW85))</f>
        <v>1.8504005166909823E-2</v>
      </c>
      <c r="BY85" s="30">
        <f>((1-(BX85^2)^2)/(BH85-1))</f>
        <v>2.6737964779771865E-3</v>
      </c>
      <c r="BZ85" s="30">
        <f>1/(BH85-3)</f>
        <v>2.6881720430107529E-3</v>
      </c>
      <c r="CA85" s="92" t="s">
        <v>73</v>
      </c>
      <c r="CB85">
        <f>BH85-2</f>
        <v>373</v>
      </c>
      <c r="CC85" s="92" t="s">
        <v>73</v>
      </c>
      <c r="CD85" s="30">
        <f>((AZ85^2)/(AZ85^2+BI85))^(1/2)</f>
        <v>4.5953021356990682E-3</v>
      </c>
      <c r="CE85" s="30">
        <f>0.5*LN((1+CD85)/(1-CD85))</f>
        <v>4.5953344821369176E-3</v>
      </c>
      <c r="CF85" s="30">
        <f>((1-(CE85^2)^2)/(BI85-1))</f>
        <v>1.6447368413718226E-4</v>
      </c>
      <c r="CG85" s="30">
        <f>1/(BI85-3)</f>
        <v>1.6452780519907864E-4</v>
      </c>
    </row>
    <row r="86" spans="1:86">
      <c r="A86" s="11" t="s">
        <v>68</v>
      </c>
      <c r="B86" s="11">
        <v>24</v>
      </c>
      <c r="C86" s="11">
        <v>1068</v>
      </c>
      <c r="D86">
        <v>111</v>
      </c>
      <c r="E86" t="s">
        <v>291</v>
      </c>
      <c r="F86" s="11">
        <v>1998</v>
      </c>
      <c r="G86" t="s">
        <v>292</v>
      </c>
      <c r="H86" t="s">
        <v>293</v>
      </c>
      <c r="I86">
        <v>2</v>
      </c>
      <c r="J86">
        <v>1998</v>
      </c>
      <c r="K86" s="10" t="s">
        <v>73</v>
      </c>
      <c r="L86">
        <v>654</v>
      </c>
      <c r="M86" s="202" t="s">
        <v>261</v>
      </c>
      <c r="N86" s="92" t="s">
        <v>227</v>
      </c>
      <c r="O86" t="s">
        <v>81</v>
      </c>
      <c r="P86" s="18" t="s">
        <v>228</v>
      </c>
      <c r="Q86" t="s">
        <v>244</v>
      </c>
      <c r="R86" t="s">
        <v>255</v>
      </c>
      <c r="S86">
        <v>1</v>
      </c>
      <c r="T86" t="s">
        <v>231</v>
      </c>
      <c r="U86">
        <v>0</v>
      </c>
      <c r="V86" s="18" t="s">
        <v>232</v>
      </c>
      <c r="W86" s="18" t="s">
        <v>232</v>
      </c>
      <c r="X86" s="18" t="s">
        <v>73</v>
      </c>
      <c r="Y86">
        <v>0</v>
      </c>
      <c r="Z86">
        <v>0</v>
      </c>
      <c r="AA86">
        <v>0</v>
      </c>
      <c r="AB86">
        <v>1</v>
      </c>
      <c r="AC86">
        <v>0</v>
      </c>
      <c r="AD86">
        <v>0</v>
      </c>
      <c r="AE86">
        <v>0</v>
      </c>
      <c r="AF86">
        <v>0</v>
      </c>
      <c r="AG86" t="s">
        <v>73</v>
      </c>
      <c r="AH86">
        <v>0</v>
      </c>
      <c r="AI86">
        <v>0</v>
      </c>
      <c r="AJ86">
        <v>0</v>
      </c>
      <c r="AK86">
        <v>1</v>
      </c>
      <c r="AL86" s="32">
        <v>0</v>
      </c>
      <c r="AM86" s="32">
        <v>0</v>
      </c>
      <c r="AN86" s="32">
        <v>0</v>
      </c>
      <c r="AO86" s="32">
        <v>0</v>
      </c>
      <c r="AP86" s="32">
        <v>0</v>
      </c>
      <c r="AQ86" t="s">
        <v>295</v>
      </c>
      <c r="AR86" s="92" t="s">
        <v>234</v>
      </c>
      <c r="AS86" s="92" t="s">
        <v>296</v>
      </c>
      <c r="AT86" s="92" t="s">
        <v>236</v>
      </c>
      <c r="AU86" s="193">
        <v>3.7</v>
      </c>
      <c r="AV86" s="7" t="s">
        <v>86</v>
      </c>
      <c r="AW86">
        <v>7.31</v>
      </c>
      <c r="AX86" t="s">
        <v>73</v>
      </c>
      <c r="AY86">
        <v>3</v>
      </c>
      <c r="AZ86">
        <f>AU86/AW86</f>
        <v>0.50615595075239406</v>
      </c>
      <c r="BA86" s="105">
        <f>EXP(AU86)/(1+EXP(AU86))</f>
        <v>0.9758729785823308</v>
      </c>
      <c r="BB86" t="s">
        <v>73</v>
      </c>
      <c r="BC86" t="s">
        <v>73</v>
      </c>
      <c r="BD86" t="s">
        <v>73</v>
      </c>
      <c r="BE86" t="s">
        <v>73</v>
      </c>
      <c r="BF86" t="s">
        <v>73</v>
      </c>
      <c r="BG86" t="s">
        <v>73</v>
      </c>
      <c r="BH86">
        <v>163</v>
      </c>
      <c r="BI86">
        <v>163</v>
      </c>
      <c r="BJ86" t="s">
        <v>73</v>
      </c>
      <c r="BK86" t="s">
        <v>73</v>
      </c>
      <c r="BL86" t="s">
        <v>73</v>
      </c>
      <c r="BM86" t="s">
        <v>73</v>
      </c>
      <c r="BN86" t="s">
        <v>73</v>
      </c>
      <c r="BO86" t="s">
        <v>73</v>
      </c>
      <c r="BP86" t="s">
        <v>73</v>
      </c>
      <c r="BQ86" t="s">
        <v>73</v>
      </c>
      <c r="BR86" t="s">
        <v>73</v>
      </c>
      <c r="BS86" t="s">
        <v>73</v>
      </c>
      <c r="BT86">
        <v>0</v>
      </c>
      <c r="BU86">
        <v>0</v>
      </c>
      <c r="BV86">
        <v>1</v>
      </c>
      <c r="BW86" s="30">
        <f>((AZ86^2)/(AZ86^2+BH86))^(1/2)</f>
        <v>3.9614074457903617E-2</v>
      </c>
      <c r="BX86" s="30">
        <f>0.5*LN((1+BW86)/(1-BW86))</f>
        <v>3.9634815781559279E-2</v>
      </c>
      <c r="BY86" s="30">
        <f>((1-(BX86^2)^2)/(BH86-1))</f>
        <v>6.1728242729301415E-3</v>
      </c>
      <c r="BZ86" s="30">
        <f>1/(BH86-3)</f>
        <v>6.2500000000000003E-3</v>
      </c>
      <c r="CA86" s="92" t="s">
        <v>73</v>
      </c>
      <c r="CB86">
        <f>BH86-2</f>
        <v>161</v>
      </c>
      <c r="CC86" s="92" t="s">
        <v>73</v>
      </c>
      <c r="CD86" s="30">
        <f>((AZ86^2)/(AZ86^2+BI86))^(1/2)</f>
        <v>3.9614074457903617E-2</v>
      </c>
      <c r="CE86" s="30">
        <f>0.5*LN((1+CD86)/(1-CD86))</f>
        <v>3.9634815781559279E-2</v>
      </c>
      <c r="CF86" s="30">
        <f>((1-(CE86^2)^2)/(BI86-1))</f>
        <v>6.1728242729301415E-3</v>
      </c>
      <c r="CG86" s="30">
        <f>1/(BI86-3)</f>
        <v>6.2500000000000003E-3</v>
      </c>
      <c r="CH86" s="112"/>
    </row>
    <row r="87" spans="1:86">
      <c r="A87" s="11" t="s">
        <v>68</v>
      </c>
      <c r="B87" s="11">
        <v>24</v>
      </c>
      <c r="C87" s="11">
        <v>1069</v>
      </c>
      <c r="D87">
        <v>111</v>
      </c>
      <c r="E87" t="s">
        <v>291</v>
      </c>
      <c r="F87" s="11">
        <v>1998</v>
      </c>
      <c r="G87" t="s">
        <v>292</v>
      </c>
      <c r="H87" t="s">
        <v>293</v>
      </c>
      <c r="I87">
        <v>2</v>
      </c>
      <c r="J87">
        <v>1998</v>
      </c>
      <c r="K87" s="10" t="s">
        <v>73</v>
      </c>
      <c r="L87">
        <v>654</v>
      </c>
      <c r="M87" s="202" t="s">
        <v>261</v>
      </c>
      <c r="N87" s="92" t="s">
        <v>227</v>
      </c>
      <c r="O87" t="s">
        <v>81</v>
      </c>
      <c r="P87" s="18" t="s">
        <v>228</v>
      </c>
      <c r="Q87" t="s">
        <v>244</v>
      </c>
      <c r="R87" t="s">
        <v>255</v>
      </c>
      <c r="S87">
        <v>1</v>
      </c>
      <c r="T87" t="s">
        <v>231</v>
      </c>
      <c r="U87">
        <v>0</v>
      </c>
      <c r="V87" s="18" t="s">
        <v>232</v>
      </c>
      <c r="W87" s="18" t="s">
        <v>232</v>
      </c>
      <c r="X87" s="18" t="s">
        <v>73</v>
      </c>
      <c r="Y87">
        <v>0</v>
      </c>
      <c r="Z87">
        <v>0</v>
      </c>
      <c r="AA87">
        <v>0</v>
      </c>
      <c r="AB87">
        <v>1</v>
      </c>
      <c r="AC87">
        <v>0</v>
      </c>
      <c r="AD87">
        <v>0</v>
      </c>
      <c r="AE87">
        <v>0</v>
      </c>
      <c r="AF87">
        <v>0</v>
      </c>
      <c r="AG87" t="s">
        <v>73</v>
      </c>
      <c r="AH87">
        <v>0</v>
      </c>
      <c r="AI87">
        <v>0</v>
      </c>
      <c r="AJ87">
        <v>0</v>
      </c>
      <c r="AK87">
        <v>1</v>
      </c>
      <c r="AL87" s="32">
        <v>0</v>
      </c>
      <c r="AM87" s="32">
        <v>0</v>
      </c>
      <c r="AN87" s="32">
        <v>0</v>
      </c>
      <c r="AO87" s="32">
        <v>0</v>
      </c>
      <c r="AP87" s="32">
        <v>0</v>
      </c>
      <c r="AQ87" t="s">
        <v>295</v>
      </c>
      <c r="AR87" s="92" t="s">
        <v>234</v>
      </c>
      <c r="AS87" s="92" t="s">
        <v>296</v>
      </c>
      <c r="AT87" s="92" t="s">
        <v>236</v>
      </c>
      <c r="AU87" s="193">
        <v>3.01</v>
      </c>
      <c r="AV87" s="7" t="s">
        <v>86</v>
      </c>
      <c r="AW87">
        <v>2.17</v>
      </c>
      <c r="AX87" t="s">
        <v>73</v>
      </c>
      <c r="AY87">
        <v>3</v>
      </c>
      <c r="AZ87">
        <f>AU87/AW87</f>
        <v>1.3870967741935483</v>
      </c>
      <c r="BA87" s="105">
        <f>EXP(AU87)/(1+EXP(AU87))</f>
        <v>0.95302385432171643</v>
      </c>
      <c r="BB87" t="s">
        <v>73</v>
      </c>
      <c r="BC87" t="s">
        <v>73</v>
      </c>
      <c r="BD87" t="s">
        <v>73</v>
      </c>
      <c r="BE87" t="s">
        <v>73</v>
      </c>
      <c r="BF87" t="s">
        <v>73</v>
      </c>
      <c r="BG87" t="s">
        <v>73</v>
      </c>
      <c r="BH87">
        <v>163</v>
      </c>
      <c r="BI87">
        <v>163</v>
      </c>
      <c r="BJ87" t="s">
        <v>73</v>
      </c>
      <c r="BK87" t="s">
        <v>73</v>
      </c>
      <c r="BL87" t="s">
        <v>73</v>
      </c>
      <c r="BM87" t="s">
        <v>73</v>
      </c>
      <c r="BN87" t="s">
        <v>73</v>
      </c>
      <c r="BO87" t="s">
        <v>73</v>
      </c>
      <c r="BP87" t="s">
        <v>73</v>
      </c>
      <c r="BQ87" t="s">
        <v>73</v>
      </c>
      <c r="BR87" t="s">
        <v>73</v>
      </c>
      <c r="BS87" t="s">
        <v>73</v>
      </c>
      <c r="BT87">
        <v>0</v>
      </c>
      <c r="BU87">
        <v>0</v>
      </c>
      <c r="BV87">
        <v>1</v>
      </c>
      <c r="BW87" s="30">
        <f>((AZ87^2)/(AZ87^2+BH87))^(1/2)</f>
        <v>0.10801020309415331</v>
      </c>
      <c r="BX87" s="30">
        <f>0.5*LN((1+BW87)/(1-BW87))</f>
        <v>0.10843319088266559</v>
      </c>
      <c r="BY87" s="30">
        <f>((1-(BX87^2)^2)/(BH87-1))</f>
        <v>6.1719861429199588E-3</v>
      </c>
      <c r="BZ87" s="30">
        <f>1/(BH87-3)</f>
        <v>6.2500000000000003E-3</v>
      </c>
      <c r="CA87" s="92" t="s">
        <v>73</v>
      </c>
      <c r="CB87">
        <f>BH87-2</f>
        <v>161</v>
      </c>
      <c r="CC87" s="92" t="s">
        <v>73</v>
      </c>
      <c r="CD87" s="30">
        <f>((AZ87^2)/(AZ87^2+BI87))^(1/2)</f>
        <v>0.10801020309415331</v>
      </c>
      <c r="CE87" s="30">
        <f>0.5*LN((1+CD87)/(1-CD87))</f>
        <v>0.10843319088266559</v>
      </c>
      <c r="CF87" s="30">
        <f>((1-(CE87^2)^2)/(BI87-1))</f>
        <v>6.1719861429199588E-3</v>
      </c>
      <c r="CG87" s="30">
        <f>1/(BI87-3)</f>
        <v>6.2500000000000003E-3</v>
      </c>
      <c r="CH87" s="112"/>
    </row>
    <row r="88" spans="1:86">
      <c r="A88" s="11" t="s">
        <v>68</v>
      </c>
      <c r="B88" s="11">
        <v>20</v>
      </c>
      <c r="C88" s="11">
        <v>1047</v>
      </c>
      <c r="D88" s="11">
        <v>108</v>
      </c>
      <c r="E88" t="s">
        <v>271</v>
      </c>
      <c r="F88" s="11">
        <v>2018</v>
      </c>
      <c r="G88" t="s">
        <v>272</v>
      </c>
      <c r="H88" t="s">
        <v>273</v>
      </c>
      <c r="I88" s="18">
        <v>2</v>
      </c>
      <c r="J88">
        <v>2014</v>
      </c>
      <c r="K88" s="10" t="s">
        <v>73</v>
      </c>
      <c r="L88" s="10">
        <v>566</v>
      </c>
      <c r="M88" s="202" t="s">
        <v>274</v>
      </c>
      <c r="N88" t="s">
        <v>242</v>
      </c>
      <c r="O88" t="s">
        <v>275</v>
      </c>
      <c r="P88" s="18" t="s">
        <v>243</v>
      </c>
      <c r="Q88" t="s">
        <v>244</v>
      </c>
      <c r="R88" t="s">
        <v>245</v>
      </c>
      <c r="S88">
        <v>1</v>
      </c>
      <c r="T88" t="s">
        <v>189</v>
      </c>
      <c r="U88">
        <v>0</v>
      </c>
      <c r="V88" s="18" t="s">
        <v>232</v>
      </c>
      <c r="W88" s="18" t="s">
        <v>232</v>
      </c>
      <c r="X88" s="18" t="s">
        <v>73</v>
      </c>
      <c r="Y88">
        <v>0</v>
      </c>
      <c r="Z88">
        <v>0</v>
      </c>
      <c r="AA88">
        <v>0</v>
      </c>
      <c r="AB88">
        <v>0</v>
      </c>
      <c r="AC88">
        <v>0</v>
      </c>
      <c r="AD88">
        <v>1</v>
      </c>
      <c r="AE88">
        <v>0</v>
      </c>
      <c r="AF88">
        <v>0</v>
      </c>
      <c r="AG88" t="s">
        <v>73</v>
      </c>
      <c r="AH88">
        <v>0</v>
      </c>
      <c r="AI88">
        <v>0</v>
      </c>
      <c r="AJ88">
        <v>0</v>
      </c>
      <c r="AK88">
        <v>0</v>
      </c>
      <c r="AL88">
        <v>0</v>
      </c>
      <c r="AM88">
        <v>0</v>
      </c>
      <c r="AN88">
        <v>1</v>
      </c>
      <c r="AO88">
        <v>0</v>
      </c>
      <c r="AP88">
        <v>0</v>
      </c>
      <c r="AQ88" t="s">
        <v>276</v>
      </c>
      <c r="AR88" s="92" t="s">
        <v>234</v>
      </c>
      <c r="AS88" s="92" t="s">
        <v>277</v>
      </c>
      <c r="AT88" s="11" t="s">
        <v>236</v>
      </c>
      <c r="AU88" s="193">
        <v>1.651</v>
      </c>
      <c r="AV88" s="7" t="s">
        <v>86</v>
      </c>
      <c r="AW88">
        <v>0.58599999999999997</v>
      </c>
      <c r="AX88">
        <v>0.01</v>
      </c>
      <c r="AY88">
        <v>1</v>
      </c>
      <c r="AZ88">
        <f>AU88/AW88</f>
        <v>2.81740614334471</v>
      </c>
      <c r="BA88" s="105">
        <f>EXP(AU88)/(1+EXP(AU88))</f>
        <v>0.83902615748152587</v>
      </c>
      <c r="BB88" t="s">
        <v>73</v>
      </c>
      <c r="BC88" t="s">
        <v>73</v>
      </c>
      <c r="BD88" t="s">
        <v>73</v>
      </c>
      <c r="BE88" t="s">
        <v>73</v>
      </c>
      <c r="BF88" s="18">
        <v>36</v>
      </c>
      <c r="BG88" t="s">
        <v>73</v>
      </c>
      <c r="BH88" s="10">
        <v>3404</v>
      </c>
      <c r="BI88" s="10">
        <v>3404</v>
      </c>
      <c r="BJ88" t="s">
        <v>73</v>
      </c>
      <c r="BK88" t="s">
        <v>73</v>
      </c>
      <c r="BL88" t="s">
        <v>73</v>
      </c>
      <c r="BM88">
        <v>0.13</v>
      </c>
      <c r="BN88" t="s">
        <v>73</v>
      </c>
      <c r="BO88" t="s">
        <v>73</v>
      </c>
      <c r="BP88" t="s">
        <v>73</v>
      </c>
      <c r="BQ88" t="s">
        <v>73</v>
      </c>
      <c r="BR88" t="s">
        <v>73</v>
      </c>
      <c r="BS88" t="s">
        <v>73</v>
      </c>
      <c r="BT88" s="18">
        <v>1</v>
      </c>
      <c r="BU88" s="18">
        <v>1</v>
      </c>
      <c r="BV88" s="18">
        <v>1</v>
      </c>
      <c r="BW88" s="30">
        <f>((AZ88^2)/(AZ88^2+BH88))^(1/2)</f>
        <v>4.823351432140318E-2</v>
      </c>
      <c r="BX88" s="30">
        <f>0.5*LN((1+BW88)/(1-BW88))</f>
        <v>4.8270971259459908E-2</v>
      </c>
      <c r="BY88" s="30">
        <f>((1-(BX88^2)^2)/(BH88-1))</f>
        <v>2.9385676482401629E-4</v>
      </c>
      <c r="BZ88" s="30">
        <f>1/(BH88-3)</f>
        <v>2.9403116730373417E-4</v>
      </c>
      <c r="CA88" s="92" t="s">
        <v>73</v>
      </c>
      <c r="CB88">
        <f>BH88-2</f>
        <v>3402</v>
      </c>
      <c r="CC88" s="92" t="s">
        <v>73</v>
      </c>
      <c r="CD88" s="30">
        <f>((AZ88^2)/(AZ88^2+BI88))^(1/2)</f>
        <v>4.823351432140318E-2</v>
      </c>
      <c r="CE88" s="30">
        <f>0.5*LN((1+CD88)/(1-CD88))</f>
        <v>4.8270971259459908E-2</v>
      </c>
      <c r="CF88" s="30">
        <f>((1-(CE88^2)^2)/(BI88-1))</f>
        <v>2.9385676482401629E-4</v>
      </c>
      <c r="CG88" s="30">
        <f>1/(BI88-3)</f>
        <v>2.9403116730373417E-4</v>
      </c>
    </row>
    <row r="89" spans="1:86">
      <c r="A89" s="11" t="s">
        <v>68</v>
      </c>
      <c r="B89" s="11">
        <v>20</v>
      </c>
      <c r="C89" s="11">
        <v>1048</v>
      </c>
      <c r="D89" s="11">
        <v>108</v>
      </c>
      <c r="E89" t="s">
        <v>271</v>
      </c>
      <c r="F89" s="11">
        <v>2018</v>
      </c>
      <c r="G89" t="s">
        <v>272</v>
      </c>
      <c r="H89" t="s">
        <v>273</v>
      </c>
      <c r="I89" s="18">
        <v>2</v>
      </c>
      <c r="J89">
        <v>2014</v>
      </c>
      <c r="K89" s="10" t="s">
        <v>73</v>
      </c>
      <c r="L89" s="10">
        <v>566</v>
      </c>
      <c r="M89" s="202" t="s">
        <v>274</v>
      </c>
      <c r="N89" t="s">
        <v>242</v>
      </c>
      <c r="O89" t="s">
        <v>275</v>
      </c>
      <c r="P89" s="18" t="s">
        <v>243</v>
      </c>
      <c r="Q89" t="s">
        <v>244</v>
      </c>
      <c r="R89" t="s">
        <v>245</v>
      </c>
      <c r="S89">
        <v>1</v>
      </c>
      <c r="T89" t="s">
        <v>189</v>
      </c>
      <c r="U89">
        <v>0</v>
      </c>
      <c r="V89" s="18" t="s">
        <v>232</v>
      </c>
      <c r="W89" s="18" t="s">
        <v>232</v>
      </c>
      <c r="X89" s="18" t="s">
        <v>73</v>
      </c>
      <c r="Y89">
        <v>0</v>
      </c>
      <c r="Z89">
        <v>0</v>
      </c>
      <c r="AA89">
        <v>0</v>
      </c>
      <c r="AB89">
        <v>0</v>
      </c>
      <c r="AC89">
        <v>0</v>
      </c>
      <c r="AD89">
        <v>1</v>
      </c>
      <c r="AE89">
        <v>0</v>
      </c>
      <c r="AF89">
        <v>0</v>
      </c>
      <c r="AG89" t="s">
        <v>73</v>
      </c>
      <c r="AH89">
        <v>0</v>
      </c>
      <c r="AI89">
        <v>0</v>
      </c>
      <c r="AJ89">
        <v>0</v>
      </c>
      <c r="AK89">
        <v>0</v>
      </c>
      <c r="AL89">
        <v>0</v>
      </c>
      <c r="AM89">
        <v>0</v>
      </c>
      <c r="AN89">
        <v>1</v>
      </c>
      <c r="AO89">
        <v>0</v>
      </c>
      <c r="AP89">
        <v>0</v>
      </c>
      <c r="AQ89" t="s">
        <v>278</v>
      </c>
      <c r="AR89" s="92" t="s">
        <v>234</v>
      </c>
      <c r="AS89" s="92" t="s">
        <v>277</v>
      </c>
      <c r="AT89" s="11" t="s">
        <v>236</v>
      </c>
      <c r="AU89" s="187">
        <v>0.57299999999999995</v>
      </c>
      <c r="AV89" s="7" t="s">
        <v>86</v>
      </c>
      <c r="AW89">
        <v>0.29399999999999998</v>
      </c>
      <c r="AX89">
        <v>0.1</v>
      </c>
      <c r="AY89">
        <v>1</v>
      </c>
      <c r="AZ89">
        <f>AU89/AW89</f>
        <v>1.9489795918367347</v>
      </c>
      <c r="BA89" s="105">
        <f>EXP(AU89)/(1+EXP(AU89))</f>
        <v>0.63945512092377221</v>
      </c>
      <c r="BB89" t="s">
        <v>73</v>
      </c>
      <c r="BC89" t="s">
        <v>73</v>
      </c>
      <c r="BD89" t="s">
        <v>73</v>
      </c>
      <c r="BE89" t="s">
        <v>73</v>
      </c>
      <c r="BF89" s="18">
        <v>36</v>
      </c>
      <c r="BG89" t="s">
        <v>73</v>
      </c>
      <c r="BH89" s="10">
        <v>3404</v>
      </c>
      <c r="BI89" s="10">
        <v>3404</v>
      </c>
      <c r="BJ89" t="s">
        <v>73</v>
      </c>
      <c r="BK89" t="s">
        <v>73</v>
      </c>
      <c r="BL89" t="s">
        <v>73</v>
      </c>
      <c r="BM89">
        <v>0.13</v>
      </c>
      <c r="BN89" t="s">
        <v>73</v>
      </c>
      <c r="BO89" t="s">
        <v>73</v>
      </c>
      <c r="BP89" t="s">
        <v>73</v>
      </c>
      <c r="BQ89" t="s">
        <v>73</v>
      </c>
      <c r="BR89" t="s">
        <v>73</v>
      </c>
      <c r="BS89" t="s">
        <v>73</v>
      </c>
      <c r="BT89" s="18">
        <v>1</v>
      </c>
      <c r="BU89" s="18">
        <v>1</v>
      </c>
      <c r="BV89" s="18">
        <v>1</v>
      </c>
      <c r="BW89" s="30">
        <f>((AZ89^2)/(AZ89^2+BH89))^(1/2)</f>
        <v>3.3386457206729767E-2</v>
      </c>
      <c r="BX89" s="30">
        <f>0.5*LN((1+BW89)/(1-BW89))</f>
        <v>3.339887030924775E-2</v>
      </c>
      <c r="BY89" s="30">
        <f>((1-(BX89^2)^2)/(BH89-1))</f>
        <v>2.9385799462070103E-4</v>
      </c>
      <c r="BZ89" s="30">
        <f>1/(BH89-3)</f>
        <v>2.9403116730373417E-4</v>
      </c>
      <c r="CA89" s="92" t="s">
        <v>73</v>
      </c>
      <c r="CB89">
        <f>BH89-2</f>
        <v>3402</v>
      </c>
      <c r="CC89" s="92" t="s">
        <v>73</v>
      </c>
      <c r="CD89" s="30">
        <f>((AZ89^2)/(AZ89^2+BI89))^(1/2)</f>
        <v>3.3386457206729767E-2</v>
      </c>
      <c r="CE89" s="30">
        <f>0.5*LN((1+CD89)/(1-CD89))</f>
        <v>3.339887030924775E-2</v>
      </c>
      <c r="CF89" s="30">
        <f>((1-(CE89^2)^2)/(BI89-1))</f>
        <v>2.9385799462070103E-4</v>
      </c>
      <c r="CG89" s="30">
        <f>1/(BI89-3)</f>
        <v>2.9403116730373417E-4</v>
      </c>
    </row>
    <row r="90" spans="1:86">
      <c r="A90" s="11" t="s">
        <v>68</v>
      </c>
      <c r="B90" s="11">
        <v>20</v>
      </c>
      <c r="C90" s="11">
        <v>1049</v>
      </c>
      <c r="D90" s="11">
        <v>108</v>
      </c>
      <c r="E90" t="s">
        <v>271</v>
      </c>
      <c r="F90" s="11">
        <v>2018</v>
      </c>
      <c r="G90" t="s">
        <v>272</v>
      </c>
      <c r="H90" t="s">
        <v>273</v>
      </c>
      <c r="I90" s="18">
        <v>2</v>
      </c>
      <c r="J90">
        <v>2014</v>
      </c>
      <c r="K90" s="10" t="s">
        <v>73</v>
      </c>
      <c r="L90" s="10">
        <v>566</v>
      </c>
      <c r="M90" s="202" t="s">
        <v>274</v>
      </c>
      <c r="N90" t="s">
        <v>242</v>
      </c>
      <c r="O90" t="s">
        <v>275</v>
      </c>
      <c r="P90" s="18" t="s">
        <v>243</v>
      </c>
      <c r="Q90" t="s">
        <v>244</v>
      </c>
      <c r="R90" t="s">
        <v>245</v>
      </c>
      <c r="S90">
        <v>1</v>
      </c>
      <c r="T90" t="s">
        <v>189</v>
      </c>
      <c r="U90">
        <v>0</v>
      </c>
      <c r="V90" s="18" t="s">
        <v>232</v>
      </c>
      <c r="W90" s="18" t="s">
        <v>232</v>
      </c>
      <c r="X90" s="18" t="s">
        <v>73</v>
      </c>
      <c r="Y90">
        <v>0</v>
      </c>
      <c r="Z90">
        <v>0</v>
      </c>
      <c r="AA90">
        <v>0</v>
      </c>
      <c r="AB90">
        <v>0</v>
      </c>
      <c r="AC90">
        <v>0</v>
      </c>
      <c r="AD90">
        <v>1</v>
      </c>
      <c r="AE90">
        <v>0</v>
      </c>
      <c r="AF90">
        <v>0</v>
      </c>
      <c r="AG90" t="s">
        <v>73</v>
      </c>
      <c r="AH90">
        <v>0</v>
      </c>
      <c r="AI90">
        <v>0</v>
      </c>
      <c r="AJ90">
        <v>0</v>
      </c>
      <c r="AK90">
        <v>0</v>
      </c>
      <c r="AL90">
        <v>0</v>
      </c>
      <c r="AM90">
        <v>0</v>
      </c>
      <c r="AN90">
        <v>1</v>
      </c>
      <c r="AO90">
        <v>0</v>
      </c>
      <c r="AP90">
        <v>0</v>
      </c>
      <c r="AQ90" t="s">
        <v>278</v>
      </c>
      <c r="AR90" s="92" t="s">
        <v>234</v>
      </c>
      <c r="AS90" s="92" t="s">
        <v>277</v>
      </c>
      <c r="AT90" s="11" t="s">
        <v>236</v>
      </c>
      <c r="AU90" s="187">
        <v>1.0780000000000001</v>
      </c>
      <c r="AV90" s="7" t="s">
        <v>80</v>
      </c>
      <c r="AW90">
        <v>0.55600000000000005</v>
      </c>
      <c r="AX90">
        <v>0.1</v>
      </c>
      <c r="AY90">
        <v>1</v>
      </c>
      <c r="AZ90">
        <f>AU90/AW90</f>
        <v>1.9388489208633093</v>
      </c>
      <c r="BA90" s="105">
        <f>EXP(AU90)/(1+EXP(AU90))</f>
        <v>0.7461153153527682</v>
      </c>
      <c r="BB90" t="s">
        <v>73</v>
      </c>
      <c r="BC90" t="s">
        <v>73</v>
      </c>
      <c r="BD90" t="s">
        <v>73</v>
      </c>
      <c r="BE90" t="s">
        <v>73</v>
      </c>
      <c r="BF90" t="s">
        <v>73</v>
      </c>
      <c r="BG90" t="s">
        <v>73</v>
      </c>
      <c r="BH90" s="10">
        <v>3404</v>
      </c>
      <c r="BI90" s="10">
        <v>3404</v>
      </c>
      <c r="BJ90" t="s">
        <v>73</v>
      </c>
      <c r="BK90" t="s">
        <v>73</v>
      </c>
      <c r="BL90" t="s">
        <v>73</v>
      </c>
      <c r="BM90">
        <v>0.13</v>
      </c>
      <c r="BN90" t="s">
        <v>73</v>
      </c>
      <c r="BO90" t="s">
        <v>73</v>
      </c>
      <c r="BP90" t="s">
        <v>73</v>
      </c>
      <c r="BQ90" t="s">
        <v>73</v>
      </c>
      <c r="BR90" t="s">
        <v>73</v>
      </c>
      <c r="BS90" t="s">
        <v>73</v>
      </c>
      <c r="BT90" s="18">
        <v>1</v>
      </c>
      <c r="BU90" s="18">
        <v>1</v>
      </c>
      <c r="BV90" s="18">
        <v>1</v>
      </c>
      <c r="BW90" s="30">
        <f>((AZ90^2)/(AZ90^2+BH90))^(1/2)</f>
        <v>3.3213108476623197E-2</v>
      </c>
      <c r="BX90" s="30">
        <f>0.5*LN((1+BW90)/(1-BW90))</f>
        <v>3.3225329143150836E-2</v>
      </c>
      <c r="BY90" s="30">
        <f>((1-(BX90^2)^2)/(BH90-1))</f>
        <v>2.9385800216136389E-4</v>
      </c>
      <c r="BZ90" s="30">
        <f>1/(BH90-3)</f>
        <v>2.9403116730373417E-4</v>
      </c>
      <c r="CA90" s="92" t="s">
        <v>73</v>
      </c>
      <c r="CB90">
        <f>BH90-2</f>
        <v>3402</v>
      </c>
      <c r="CC90" s="92" t="s">
        <v>73</v>
      </c>
      <c r="CD90" s="30">
        <f>((AZ90^2)/(AZ90^2+BI90))^(1/2)</f>
        <v>3.3213108476623197E-2</v>
      </c>
      <c r="CE90" s="30">
        <f>0.5*LN((1+CD90)/(1-CD90))</f>
        <v>3.3225329143150836E-2</v>
      </c>
      <c r="CF90" s="30">
        <f>((1-(CE90^2)^2)/(BI90-1))</f>
        <v>2.9385800216136389E-4</v>
      </c>
      <c r="CG90" s="30">
        <f>1/(BI90-3)</f>
        <v>2.9403116730373417E-4</v>
      </c>
    </row>
    <row r="91" spans="1:86" s="92" customFormat="1">
      <c r="A91" s="108" t="s">
        <v>68</v>
      </c>
      <c r="B91" s="108">
        <v>15</v>
      </c>
      <c r="C91" s="108">
        <v>1153</v>
      </c>
      <c r="D91" s="135">
        <v>135</v>
      </c>
      <c r="E91" t="s">
        <v>372</v>
      </c>
      <c r="F91" s="108">
        <v>2014</v>
      </c>
      <c r="G91" t="s">
        <v>373</v>
      </c>
      <c r="H91" t="s">
        <v>374</v>
      </c>
      <c r="I91" s="135">
        <v>2</v>
      </c>
      <c r="J91">
        <v>2012</v>
      </c>
      <c r="K91" s="108" t="s">
        <v>73</v>
      </c>
      <c r="L91" s="135">
        <v>12</v>
      </c>
      <c r="M91" s="202" t="s">
        <v>274</v>
      </c>
      <c r="N91" t="s">
        <v>242</v>
      </c>
      <c r="O91" t="s">
        <v>375</v>
      </c>
      <c r="P91" t="s">
        <v>294</v>
      </c>
      <c r="Q91" t="s">
        <v>308</v>
      </c>
      <c r="R91" t="s">
        <v>337</v>
      </c>
      <c r="S91">
        <v>0</v>
      </c>
      <c r="T91" t="s">
        <v>342</v>
      </c>
      <c r="U91">
        <v>0</v>
      </c>
      <c r="V91" s="108" t="s">
        <v>232</v>
      </c>
      <c r="W91" s="108" t="s">
        <v>232</v>
      </c>
      <c r="X91" s="108" t="s">
        <v>73</v>
      </c>
      <c r="Y91" s="135">
        <v>0</v>
      </c>
      <c r="Z91" s="135">
        <v>0</v>
      </c>
      <c r="AA91" s="135">
        <v>1</v>
      </c>
      <c r="AB91" s="135">
        <v>0</v>
      </c>
      <c r="AC91" s="135">
        <v>0</v>
      </c>
      <c r="AD91" s="135">
        <v>0</v>
      </c>
      <c r="AE91" s="135">
        <v>0</v>
      </c>
      <c r="AF91" s="135">
        <v>0</v>
      </c>
      <c r="AG91" s="135" t="s">
        <v>376</v>
      </c>
      <c r="AH91" s="135">
        <v>0</v>
      </c>
      <c r="AI91" s="135">
        <v>0</v>
      </c>
      <c r="AJ91" s="135">
        <v>0</v>
      </c>
      <c r="AK91" s="135">
        <v>1</v>
      </c>
      <c r="AL91" s="135">
        <v>0</v>
      </c>
      <c r="AM91" s="135">
        <v>0</v>
      </c>
      <c r="AN91" s="135">
        <v>0</v>
      </c>
      <c r="AO91" s="135">
        <v>0</v>
      </c>
      <c r="AP91" s="135">
        <v>0</v>
      </c>
      <c r="AQ91" t="s">
        <v>73</v>
      </c>
      <c r="AR91" t="s">
        <v>234</v>
      </c>
      <c r="AS91" t="s">
        <v>377</v>
      </c>
      <c r="AT91" t="s">
        <v>236</v>
      </c>
      <c r="AU91" s="187">
        <v>0.30480000000000002</v>
      </c>
      <c r="AV91" s="7" t="s">
        <v>80</v>
      </c>
      <c r="AW91" t="s">
        <v>73</v>
      </c>
      <c r="AX91">
        <v>1.6999999999999999E-3</v>
      </c>
      <c r="AY91">
        <v>3</v>
      </c>
      <c r="AZ91" s="102">
        <f>TINV(AX91,CB91)</f>
        <v>3.1553563075360742</v>
      </c>
      <c r="BA91" s="105">
        <f>EXP(AU91)/(1+EXP(AU91))</f>
        <v>0.5756154953221887</v>
      </c>
      <c r="BB91" t="s">
        <v>73</v>
      </c>
      <c r="BC91" t="s">
        <v>73</v>
      </c>
      <c r="BD91" t="s">
        <v>73</v>
      </c>
      <c r="BE91" t="s">
        <v>73</v>
      </c>
      <c r="BF91" t="s">
        <v>73</v>
      </c>
      <c r="BG91" t="s">
        <v>73</v>
      </c>
      <c r="BH91" s="135">
        <v>500</v>
      </c>
      <c r="BI91" s="135">
        <v>2000</v>
      </c>
      <c r="BJ91" s="135" t="s">
        <v>73</v>
      </c>
      <c r="BK91" s="135" t="s">
        <v>73</v>
      </c>
      <c r="BL91" s="135" t="s">
        <v>73</v>
      </c>
      <c r="BM91" s="135" t="s">
        <v>73</v>
      </c>
      <c r="BN91" s="135" t="s">
        <v>73</v>
      </c>
      <c r="BO91">
        <v>0</v>
      </c>
      <c r="BP91" s="135" t="s">
        <v>73</v>
      </c>
      <c r="BQ91">
        <v>1</v>
      </c>
      <c r="BR91" s="144" t="s">
        <v>73</v>
      </c>
      <c r="BS91" t="s">
        <v>345</v>
      </c>
      <c r="BT91" s="135">
        <v>0</v>
      </c>
      <c r="BU91" s="135">
        <v>0</v>
      </c>
      <c r="BV91" s="135">
        <v>1</v>
      </c>
      <c r="BW91" s="30">
        <f>((AZ91^2)/(AZ91^2+BH91))^(1/2)</f>
        <v>0.13972751589048554</v>
      </c>
      <c r="BX91" s="30">
        <f>0.5*LN((1+BW91)/(1-BW91))</f>
        <v>0.14064765530909937</v>
      </c>
      <c r="BY91" s="30">
        <f>((1-(BX91^2)^2)/(BH91-1))</f>
        <v>2.0032238113323235E-3</v>
      </c>
      <c r="BZ91" s="30">
        <f>1/(BH91-3)</f>
        <v>2.012072434607646E-3</v>
      </c>
      <c r="CA91" s="92" t="s">
        <v>73</v>
      </c>
      <c r="CB91">
        <f>BH91-2</f>
        <v>498</v>
      </c>
      <c r="CC91" s="92" t="s">
        <v>73</v>
      </c>
      <c r="CD91" s="30">
        <f>((AZ91^2)/(AZ91^2+BI91))^(1/2)</f>
        <v>7.0380946462294966E-2</v>
      </c>
      <c r="CE91" s="30">
        <f>0.5*LN((1+CD91)/(1-CD91))</f>
        <v>7.0497503223529642E-2</v>
      </c>
      <c r="CF91" s="30">
        <f>((1-(CE91^2)^2)/(BI91-1))</f>
        <v>5.0023776894160066E-4</v>
      </c>
      <c r="CG91" s="30">
        <f>1/(BI91-3)</f>
        <v>5.00751126690035E-4</v>
      </c>
      <c r="CH91" s="32"/>
    </row>
    <row r="92" spans="1:86" s="92" customFormat="1">
      <c r="A92" s="11" t="s">
        <v>68</v>
      </c>
      <c r="B92" s="11">
        <v>20</v>
      </c>
      <c r="C92" s="11">
        <v>1050</v>
      </c>
      <c r="D92" s="11">
        <v>108</v>
      </c>
      <c r="E92" t="s">
        <v>271</v>
      </c>
      <c r="F92" s="11">
        <v>2018</v>
      </c>
      <c r="G92" t="s">
        <v>272</v>
      </c>
      <c r="H92" t="s">
        <v>273</v>
      </c>
      <c r="I92" s="18">
        <v>2</v>
      </c>
      <c r="J92">
        <v>2014</v>
      </c>
      <c r="K92" s="10" t="s">
        <v>73</v>
      </c>
      <c r="L92" s="10">
        <v>567</v>
      </c>
      <c r="M92" s="202" t="s">
        <v>270</v>
      </c>
      <c r="N92" t="s">
        <v>242</v>
      </c>
      <c r="O92" t="s">
        <v>275</v>
      </c>
      <c r="P92" s="18" t="s">
        <v>243</v>
      </c>
      <c r="Q92" t="s">
        <v>244</v>
      </c>
      <c r="R92" t="s">
        <v>245</v>
      </c>
      <c r="S92">
        <v>1</v>
      </c>
      <c r="T92" t="s">
        <v>189</v>
      </c>
      <c r="U92">
        <v>0</v>
      </c>
      <c r="V92" s="18" t="s">
        <v>232</v>
      </c>
      <c r="W92" s="18" t="s">
        <v>232</v>
      </c>
      <c r="X92" s="18" t="s">
        <v>73</v>
      </c>
      <c r="Y92">
        <v>0</v>
      </c>
      <c r="Z92">
        <v>0</v>
      </c>
      <c r="AA92">
        <v>0</v>
      </c>
      <c r="AB92">
        <v>0</v>
      </c>
      <c r="AC92">
        <v>0</v>
      </c>
      <c r="AD92">
        <v>1</v>
      </c>
      <c r="AE92">
        <v>0</v>
      </c>
      <c r="AF92">
        <v>0</v>
      </c>
      <c r="AG92" t="s">
        <v>73</v>
      </c>
      <c r="AH92">
        <v>0</v>
      </c>
      <c r="AI92">
        <v>0</v>
      </c>
      <c r="AJ92">
        <v>0</v>
      </c>
      <c r="AK92">
        <v>0</v>
      </c>
      <c r="AL92">
        <v>0</v>
      </c>
      <c r="AM92">
        <v>0</v>
      </c>
      <c r="AN92">
        <v>1</v>
      </c>
      <c r="AO92">
        <v>0</v>
      </c>
      <c r="AP92">
        <v>0</v>
      </c>
      <c r="AQ92" t="s">
        <v>276</v>
      </c>
      <c r="AR92" s="92" t="s">
        <v>234</v>
      </c>
      <c r="AS92" s="92" t="s">
        <v>277</v>
      </c>
      <c r="AT92" s="11" t="s">
        <v>236</v>
      </c>
      <c r="AU92" s="193">
        <v>1.881</v>
      </c>
      <c r="AV92" s="7" t="s">
        <v>86</v>
      </c>
      <c r="AW92">
        <v>1.145</v>
      </c>
      <c r="AX92">
        <v>0.1</v>
      </c>
      <c r="AY92">
        <v>2</v>
      </c>
      <c r="AZ92">
        <f>AU92/AW92</f>
        <v>1.6427947598253274</v>
      </c>
      <c r="BA92" s="105">
        <f>EXP(AU92)/(1+EXP(AU92))</f>
        <v>0.86772594629901956</v>
      </c>
      <c r="BB92" t="s">
        <v>73</v>
      </c>
      <c r="BC92" t="s">
        <v>73</v>
      </c>
      <c r="BD92" t="s">
        <v>73</v>
      </c>
      <c r="BE92" t="s">
        <v>73</v>
      </c>
      <c r="BF92" t="s">
        <v>73</v>
      </c>
      <c r="BG92" t="s">
        <v>73</v>
      </c>
      <c r="BH92" s="10">
        <v>3404</v>
      </c>
      <c r="BI92" s="10">
        <v>3404</v>
      </c>
      <c r="BJ92" t="s">
        <v>73</v>
      </c>
      <c r="BK92" t="s">
        <v>73</v>
      </c>
      <c r="BL92" t="s">
        <v>73</v>
      </c>
      <c r="BM92">
        <v>0.13</v>
      </c>
      <c r="BN92" t="s">
        <v>73</v>
      </c>
      <c r="BO92" t="s">
        <v>73</v>
      </c>
      <c r="BP92" t="s">
        <v>73</v>
      </c>
      <c r="BQ92" t="s">
        <v>73</v>
      </c>
      <c r="BR92" t="s">
        <v>73</v>
      </c>
      <c r="BS92" t="s">
        <v>73</v>
      </c>
      <c r="BT92" s="18">
        <v>1</v>
      </c>
      <c r="BU92" s="18">
        <v>1</v>
      </c>
      <c r="BV92" s="18">
        <v>1</v>
      </c>
      <c r="BW92" s="30">
        <f>((AZ92^2)/(AZ92^2+BH92))^(1/2)</f>
        <v>2.8145984341816754E-2</v>
      </c>
      <c r="BX92" s="30">
        <f>0.5*LN((1+BW92)/(1-BW92))</f>
        <v>2.8153420259375738E-2</v>
      </c>
      <c r="BY92" s="30">
        <f>((1-(BX92^2)^2)/(BH92-1))</f>
        <v>2.9385817565716929E-4</v>
      </c>
      <c r="BZ92" s="30">
        <f>1/(BH92-3)</f>
        <v>2.9403116730373417E-4</v>
      </c>
      <c r="CA92" s="92" t="s">
        <v>73</v>
      </c>
      <c r="CB92">
        <f>BH92-2</f>
        <v>3402</v>
      </c>
      <c r="CC92" s="92" t="s">
        <v>73</v>
      </c>
      <c r="CD92" s="30">
        <f>((AZ92^2)/(AZ92^2+BI92))^(1/2)</f>
        <v>2.8145984341816754E-2</v>
      </c>
      <c r="CE92" s="30">
        <f>0.5*LN((1+CD92)/(1-CD92))</f>
        <v>2.8153420259375738E-2</v>
      </c>
      <c r="CF92" s="30">
        <f>((1-(CE92^2)^2)/(BI92-1))</f>
        <v>2.9385817565716929E-4</v>
      </c>
      <c r="CG92" s="30">
        <f>1/(BI92-3)</f>
        <v>2.9403116730373417E-4</v>
      </c>
      <c r="CH92"/>
    </row>
    <row r="93" spans="1:86" s="92" customFormat="1">
      <c r="A93" s="11" t="s">
        <v>68</v>
      </c>
      <c r="B93" s="11">
        <v>20</v>
      </c>
      <c r="C93" s="11">
        <v>1051</v>
      </c>
      <c r="D93" s="11">
        <v>108</v>
      </c>
      <c r="E93" t="s">
        <v>271</v>
      </c>
      <c r="F93" s="11">
        <v>2018</v>
      </c>
      <c r="G93" t="s">
        <v>272</v>
      </c>
      <c r="H93" t="s">
        <v>273</v>
      </c>
      <c r="I93" s="18">
        <v>2</v>
      </c>
      <c r="J93">
        <v>2014</v>
      </c>
      <c r="K93" s="10" t="s">
        <v>73</v>
      </c>
      <c r="L93" s="10">
        <v>567</v>
      </c>
      <c r="M93" s="202" t="s">
        <v>270</v>
      </c>
      <c r="N93" t="s">
        <v>242</v>
      </c>
      <c r="O93" t="s">
        <v>275</v>
      </c>
      <c r="P93" s="18" t="s">
        <v>243</v>
      </c>
      <c r="Q93" t="s">
        <v>244</v>
      </c>
      <c r="R93" t="s">
        <v>245</v>
      </c>
      <c r="S93">
        <v>1</v>
      </c>
      <c r="T93" t="s">
        <v>189</v>
      </c>
      <c r="U93">
        <v>0</v>
      </c>
      <c r="V93" s="18" t="s">
        <v>232</v>
      </c>
      <c r="W93" s="18" t="s">
        <v>232</v>
      </c>
      <c r="X93" s="18" t="s">
        <v>73</v>
      </c>
      <c r="Y93">
        <v>0</v>
      </c>
      <c r="Z93">
        <v>0</v>
      </c>
      <c r="AA93">
        <v>0</v>
      </c>
      <c r="AB93">
        <v>0</v>
      </c>
      <c r="AC93">
        <v>0</v>
      </c>
      <c r="AD93">
        <v>1</v>
      </c>
      <c r="AE93">
        <v>0</v>
      </c>
      <c r="AF93">
        <v>0</v>
      </c>
      <c r="AG93" t="s">
        <v>73</v>
      </c>
      <c r="AH93">
        <v>0</v>
      </c>
      <c r="AI93">
        <v>0</v>
      </c>
      <c r="AJ93">
        <v>0</v>
      </c>
      <c r="AK93">
        <v>0</v>
      </c>
      <c r="AL93">
        <v>0</v>
      </c>
      <c r="AM93">
        <v>0</v>
      </c>
      <c r="AN93">
        <v>1</v>
      </c>
      <c r="AO93">
        <v>0</v>
      </c>
      <c r="AP93">
        <v>0</v>
      </c>
      <c r="AQ93" t="s">
        <v>278</v>
      </c>
      <c r="AR93" s="92" t="s">
        <v>234</v>
      </c>
      <c r="AS93" s="92" t="s">
        <v>277</v>
      </c>
      <c r="AT93" s="11" t="s">
        <v>236</v>
      </c>
      <c r="AU93" s="187">
        <v>0.77300000000000002</v>
      </c>
      <c r="AV93" s="7" t="s">
        <v>86</v>
      </c>
      <c r="AW93">
        <v>0.65300000000000002</v>
      </c>
      <c r="AX93">
        <v>0.1</v>
      </c>
      <c r="AY93">
        <v>2</v>
      </c>
      <c r="AZ93">
        <f>AU93/AW93</f>
        <v>1.1837672281776417</v>
      </c>
      <c r="BA93" s="105">
        <f>EXP(AU93)/(1+EXP(AU93))</f>
        <v>0.68416949639812985</v>
      </c>
      <c r="BB93" t="s">
        <v>73</v>
      </c>
      <c r="BC93" t="s">
        <v>73</v>
      </c>
      <c r="BD93" t="s">
        <v>73</v>
      </c>
      <c r="BE93" t="s">
        <v>73</v>
      </c>
      <c r="BF93" t="s">
        <v>73</v>
      </c>
      <c r="BG93" t="s">
        <v>73</v>
      </c>
      <c r="BH93" s="10">
        <v>3404</v>
      </c>
      <c r="BI93" s="10">
        <v>3404</v>
      </c>
      <c r="BJ93" t="s">
        <v>73</v>
      </c>
      <c r="BK93" t="s">
        <v>73</v>
      </c>
      <c r="BL93" t="s">
        <v>73</v>
      </c>
      <c r="BM93">
        <v>0.13</v>
      </c>
      <c r="BN93" t="s">
        <v>73</v>
      </c>
      <c r="BO93" t="s">
        <v>73</v>
      </c>
      <c r="BP93" t="s">
        <v>73</v>
      </c>
      <c r="BQ93" t="s">
        <v>73</v>
      </c>
      <c r="BR93" t="s">
        <v>73</v>
      </c>
      <c r="BS93" t="s">
        <v>73</v>
      </c>
      <c r="BT93" s="18">
        <v>1</v>
      </c>
      <c r="BU93" s="18">
        <v>1</v>
      </c>
      <c r="BV93" s="18">
        <v>1</v>
      </c>
      <c r="BW93" s="30">
        <f>((AZ93^2)/(AZ93^2+BH93))^(1/2)</f>
        <v>2.0285334036980945E-2</v>
      </c>
      <c r="BX93" s="30">
        <f>0.5*LN((1+BW93)/(1-BW93))</f>
        <v>2.0288117160492912E-2</v>
      </c>
      <c r="BY93" s="30">
        <f>((1-(BX93^2)^2)/(BH93-1))</f>
        <v>2.9385831048460269E-4</v>
      </c>
      <c r="BZ93" s="30">
        <f>1/(BH93-3)</f>
        <v>2.9403116730373417E-4</v>
      </c>
      <c r="CA93" s="92" t="s">
        <v>73</v>
      </c>
      <c r="CB93">
        <f>BH93-2</f>
        <v>3402</v>
      </c>
      <c r="CC93" s="92" t="s">
        <v>73</v>
      </c>
      <c r="CD93" s="30">
        <f>((AZ93^2)/(AZ93^2+BI93))^(1/2)</f>
        <v>2.0285334036980945E-2</v>
      </c>
      <c r="CE93" s="30">
        <f>0.5*LN((1+CD93)/(1-CD93))</f>
        <v>2.0288117160492912E-2</v>
      </c>
      <c r="CF93" s="30">
        <f>((1-(CE93^2)^2)/(BI93-1))</f>
        <v>2.9385831048460269E-4</v>
      </c>
      <c r="CG93" s="30">
        <f>1/(BI93-3)</f>
        <v>2.9403116730373417E-4</v>
      </c>
      <c r="CH93"/>
    </row>
    <row r="94" spans="1:86" s="119" customFormat="1">
      <c r="A94" s="11" t="s">
        <v>68</v>
      </c>
      <c r="B94" s="11">
        <v>20</v>
      </c>
      <c r="C94" s="11">
        <v>1052</v>
      </c>
      <c r="D94" s="11">
        <v>108</v>
      </c>
      <c r="E94" t="s">
        <v>271</v>
      </c>
      <c r="F94" s="11">
        <v>2018</v>
      </c>
      <c r="G94" t="s">
        <v>272</v>
      </c>
      <c r="H94" t="s">
        <v>273</v>
      </c>
      <c r="I94" s="18">
        <v>2</v>
      </c>
      <c r="J94">
        <v>2014</v>
      </c>
      <c r="K94" s="10" t="s">
        <v>73</v>
      </c>
      <c r="L94" s="10">
        <v>567</v>
      </c>
      <c r="M94" s="202" t="s">
        <v>270</v>
      </c>
      <c r="N94" t="s">
        <v>242</v>
      </c>
      <c r="O94" t="s">
        <v>275</v>
      </c>
      <c r="P94" s="18" t="s">
        <v>243</v>
      </c>
      <c r="Q94" t="s">
        <v>244</v>
      </c>
      <c r="R94" t="s">
        <v>245</v>
      </c>
      <c r="S94">
        <v>1</v>
      </c>
      <c r="T94" t="s">
        <v>189</v>
      </c>
      <c r="U94">
        <v>0</v>
      </c>
      <c r="V94" s="18" t="s">
        <v>232</v>
      </c>
      <c r="W94" s="18" t="s">
        <v>232</v>
      </c>
      <c r="X94" s="18" t="s">
        <v>73</v>
      </c>
      <c r="Y94">
        <v>0</v>
      </c>
      <c r="Z94">
        <v>0</v>
      </c>
      <c r="AA94">
        <v>0</v>
      </c>
      <c r="AB94">
        <v>0</v>
      </c>
      <c r="AC94">
        <v>0</v>
      </c>
      <c r="AD94">
        <v>1</v>
      </c>
      <c r="AE94">
        <v>0</v>
      </c>
      <c r="AF94">
        <v>0</v>
      </c>
      <c r="AG94" t="s">
        <v>73</v>
      </c>
      <c r="AH94">
        <v>0</v>
      </c>
      <c r="AI94">
        <v>0</v>
      </c>
      <c r="AJ94">
        <v>0</v>
      </c>
      <c r="AK94">
        <v>0</v>
      </c>
      <c r="AL94">
        <v>0</v>
      </c>
      <c r="AM94">
        <v>0</v>
      </c>
      <c r="AN94">
        <v>1</v>
      </c>
      <c r="AO94">
        <v>0</v>
      </c>
      <c r="AP94">
        <v>0</v>
      </c>
      <c r="AQ94" t="s">
        <v>279</v>
      </c>
      <c r="AR94" s="92" t="s">
        <v>234</v>
      </c>
      <c r="AS94" s="92" t="s">
        <v>277</v>
      </c>
      <c r="AT94" s="11" t="s">
        <v>236</v>
      </c>
      <c r="AU94" s="193">
        <v>1.107</v>
      </c>
      <c r="AV94" s="7" t="s">
        <v>80</v>
      </c>
      <c r="AW94">
        <v>0.83799999999999997</v>
      </c>
      <c r="AX94">
        <v>0.1</v>
      </c>
      <c r="AY94">
        <v>2</v>
      </c>
      <c r="AZ94">
        <f>AU94/AW94</f>
        <v>1.3210023866348448</v>
      </c>
      <c r="BA94" s="105">
        <f>EXP(AU94)/(1+EXP(AU94))</f>
        <v>0.75156939576401494</v>
      </c>
      <c r="BB94" t="s">
        <v>73</v>
      </c>
      <c r="BC94" t="s">
        <v>73</v>
      </c>
      <c r="BD94" t="s">
        <v>73</v>
      </c>
      <c r="BE94" t="s">
        <v>73</v>
      </c>
      <c r="BF94" t="s">
        <v>73</v>
      </c>
      <c r="BG94" t="s">
        <v>73</v>
      </c>
      <c r="BH94" s="10">
        <v>3404</v>
      </c>
      <c r="BI94" s="10">
        <v>3404</v>
      </c>
      <c r="BJ94" t="s">
        <v>73</v>
      </c>
      <c r="BK94" t="s">
        <v>73</v>
      </c>
      <c r="BL94" t="s">
        <v>73</v>
      </c>
      <c r="BM94">
        <v>0.13</v>
      </c>
      <c r="BN94" t="s">
        <v>73</v>
      </c>
      <c r="BO94" t="s">
        <v>73</v>
      </c>
      <c r="BP94" t="s">
        <v>73</v>
      </c>
      <c r="BQ94" t="s">
        <v>73</v>
      </c>
      <c r="BR94" t="s">
        <v>73</v>
      </c>
      <c r="BS94" t="s">
        <v>73</v>
      </c>
      <c r="BT94" s="18">
        <v>1</v>
      </c>
      <c r="BU94" s="18">
        <v>1</v>
      </c>
      <c r="BV94" s="18">
        <v>1</v>
      </c>
      <c r="BW94" s="30">
        <f>((AZ94^2)/(AZ94^2+BH94))^(1/2)</f>
        <v>2.263588794559478E-2</v>
      </c>
      <c r="BX94" s="30">
        <f>0.5*LN((1+BW94)/(1-BW94))</f>
        <v>2.2639755219163907E-2</v>
      </c>
      <c r="BY94" s="30">
        <f>((1-(BX94^2)^2)/(BH94-1))</f>
        <v>2.9385828306898831E-4</v>
      </c>
      <c r="BZ94" s="30">
        <f>1/(BH94-3)</f>
        <v>2.9403116730373417E-4</v>
      </c>
      <c r="CA94" s="92" t="s">
        <v>73</v>
      </c>
      <c r="CB94">
        <f>BH94-2</f>
        <v>3402</v>
      </c>
      <c r="CC94" s="92" t="s">
        <v>73</v>
      </c>
      <c r="CD94" s="30">
        <f>((AZ94^2)/(AZ94^2+BI94))^(1/2)</f>
        <v>2.263588794559478E-2</v>
      </c>
      <c r="CE94" s="30">
        <f>0.5*LN((1+CD94)/(1-CD94))</f>
        <v>2.2639755219163907E-2</v>
      </c>
      <c r="CF94" s="30">
        <f>((1-(CE94^2)^2)/(BI94-1))</f>
        <v>2.9385828306898831E-4</v>
      </c>
      <c r="CG94" s="30">
        <f>1/(BI94-3)</f>
        <v>2.9403116730373417E-4</v>
      </c>
      <c r="CH94"/>
    </row>
    <row r="95" spans="1:86" s="119" customFormat="1">
      <c r="A95" s="11" t="s">
        <v>68</v>
      </c>
      <c r="B95" s="11">
        <v>11</v>
      </c>
      <c r="C95" s="11">
        <v>1026</v>
      </c>
      <c r="D95" s="11">
        <v>106</v>
      </c>
      <c r="E95" s="10" t="s">
        <v>258</v>
      </c>
      <c r="F95" s="11">
        <v>2010</v>
      </c>
      <c r="G95" t="s">
        <v>259</v>
      </c>
      <c r="H95" s="10" t="s">
        <v>260</v>
      </c>
      <c r="I95" s="18">
        <v>2</v>
      </c>
      <c r="J95" s="10">
        <v>2008</v>
      </c>
      <c r="K95" s="10" t="s">
        <v>73</v>
      </c>
      <c r="L95">
        <v>203</v>
      </c>
      <c r="M95" s="202" t="s">
        <v>270</v>
      </c>
      <c r="N95" t="s">
        <v>242</v>
      </c>
      <c r="O95" t="s">
        <v>124</v>
      </c>
      <c r="P95" s="18" t="s">
        <v>243</v>
      </c>
      <c r="Q95" t="s">
        <v>244</v>
      </c>
      <c r="R95" t="s">
        <v>245</v>
      </c>
      <c r="S95">
        <v>1</v>
      </c>
      <c r="T95" t="s">
        <v>189</v>
      </c>
      <c r="U95">
        <v>0</v>
      </c>
      <c r="V95" s="18" t="s">
        <v>232</v>
      </c>
      <c r="W95" s="18" t="s">
        <v>232</v>
      </c>
      <c r="X95" s="18" t="s">
        <v>73</v>
      </c>
      <c r="Y95">
        <v>0</v>
      </c>
      <c r="Z95">
        <v>0</v>
      </c>
      <c r="AA95">
        <v>0</v>
      </c>
      <c r="AB95">
        <v>0</v>
      </c>
      <c r="AC95">
        <v>0</v>
      </c>
      <c r="AD95">
        <v>1</v>
      </c>
      <c r="AE95">
        <v>0</v>
      </c>
      <c r="AF95">
        <v>0</v>
      </c>
      <c r="AG95" t="s">
        <v>262</v>
      </c>
      <c r="AH95">
        <v>0</v>
      </c>
      <c r="AI95">
        <v>0</v>
      </c>
      <c r="AJ95">
        <v>0</v>
      </c>
      <c r="AK95">
        <v>0</v>
      </c>
      <c r="AL95">
        <v>0</v>
      </c>
      <c r="AM95">
        <v>0</v>
      </c>
      <c r="AN95">
        <v>1</v>
      </c>
      <c r="AO95">
        <v>0</v>
      </c>
      <c r="AP95">
        <v>0</v>
      </c>
      <c r="AQ95" t="s">
        <v>263</v>
      </c>
      <c r="AR95" t="s">
        <v>234</v>
      </c>
      <c r="AS95" t="s">
        <v>264</v>
      </c>
      <c r="AT95" s="11" t="s">
        <v>236</v>
      </c>
      <c r="AU95" s="187">
        <v>1.7999999999999999E-2</v>
      </c>
      <c r="AV95" s="7" t="s">
        <v>80</v>
      </c>
      <c r="AW95" t="s">
        <v>73</v>
      </c>
      <c r="AX95">
        <v>0.05</v>
      </c>
      <c r="AY95">
        <v>2</v>
      </c>
      <c r="AZ95" s="19">
        <f>TINV(AX95,CB95)</f>
        <v>1.962795497038498</v>
      </c>
      <c r="BA95" s="105">
        <f>EXP(AU95)/(1+EXP(AU95))</f>
        <v>0.50449987850393641</v>
      </c>
      <c r="BB95" t="s">
        <v>73</v>
      </c>
      <c r="BC95" s="18" t="s">
        <v>73</v>
      </c>
      <c r="BD95" t="s">
        <v>73</v>
      </c>
      <c r="BE95" t="s">
        <v>73</v>
      </c>
      <c r="BF95" s="18">
        <v>40</v>
      </c>
      <c r="BG95" t="s">
        <v>73</v>
      </c>
      <c r="BH95" s="10">
        <v>841</v>
      </c>
      <c r="BI95" s="10">
        <v>841</v>
      </c>
      <c r="BJ95" t="s">
        <v>73</v>
      </c>
      <c r="BK95" t="s">
        <v>73</v>
      </c>
      <c r="BL95">
        <v>235.29</v>
      </c>
      <c r="BM95" t="s">
        <v>266</v>
      </c>
      <c r="BN95" t="s">
        <v>73</v>
      </c>
      <c r="BO95" t="s">
        <v>73</v>
      </c>
      <c r="BP95" t="s">
        <v>73</v>
      </c>
      <c r="BQ95" t="s">
        <v>73</v>
      </c>
      <c r="BR95" t="s">
        <v>73</v>
      </c>
      <c r="BS95" t="s">
        <v>73</v>
      </c>
      <c r="BT95" s="18">
        <v>1</v>
      </c>
      <c r="BU95" s="18">
        <v>1</v>
      </c>
      <c r="BV95" s="18">
        <v>1</v>
      </c>
      <c r="BW95" s="30">
        <f>((AZ95^2)/(AZ95^2+BH95))^(1/2)</f>
        <v>6.7528109143524445E-2</v>
      </c>
      <c r="BX95" s="30">
        <f>0.5*LN((1+BW95)/(1-BW95))</f>
        <v>6.7631034648244742E-2</v>
      </c>
      <c r="BY95" s="30">
        <f>((1-(BX95^2)^2)/(BH95-1))</f>
        <v>1.190451284427091E-3</v>
      </c>
      <c r="BZ95" s="30">
        <f>1/(BH95-3)</f>
        <v>1.1933174224343676E-3</v>
      </c>
      <c r="CA95" s="92" t="s">
        <v>73</v>
      </c>
      <c r="CB95">
        <f>BH95-2</f>
        <v>839</v>
      </c>
      <c r="CC95" s="92" t="s">
        <v>73</v>
      </c>
      <c r="CD95" s="30">
        <f>((AZ95^2)/(AZ95^2+BI95))^(1/2)</f>
        <v>6.7528109143524445E-2</v>
      </c>
      <c r="CE95" s="30">
        <f>0.5*LN((1+CD95)/(1-CD95))</f>
        <v>6.7631034648244742E-2</v>
      </c>
      <c r="CF95" s="30">
        <f>((1-(CE95^2)^2)/(BI95-1))</f>
        <v>1.190451284427091E-3</v>
      </c>
      <c r="CG95" s="30">
        <f>1/(BI95-3)</f>
        <v>1.1933174224343676E-3</v>
      </c>
      <c r="CH95"/>
    </row>
    <row r="96" spans="1:86">
      <c r="A96" s="11" t="s">
        <v>68</v>
      </c>
      <c r="B96" s="11">
        <v>11</v>
      </c>
      <c r="C96" s="11">
        <v>1027</v>
      </c>
      <c r="D96" s="11">
        <v>106</v>
      </c>
      <c r="E96" s="10" t="s">
        <v>258</v>
      </c>
      <c r="F96" s="11">
        <v>2010</v>
      </c>
      <c r="G96" t="s">
        <v>259</v>
      </c>
      <c r="H96" s="10" t="s">
        <v>260</v>
      </c>
      <c r="I96" s="18">
        <v>2</v>
      </c>
      <c r="J96" s="10">
        <v>2008</v>
      </c>
      <c r="K96" s="10" t="s">
        <v>73</v>
      </c>
      <c r="L96">
        <v>203</v>
      </c>
      <c r="M96" s="202" t="s">
        <v>270</v>
      </c>
      <c r="N96" t="s">
        <v>242</v>
      </c>
      <c r="O96" t="s">
        <v>124</v>
      </c>
      <c r="P96" s="18" t="s">
        <v>243</v>
      </c>
      <c r="Q96" t="s">
        <v>244</v>
      </c>
      <c r="R96" t="s">
        <v>245</v>
      </c>
      <c r="S96">
        <v>1</v>
      </c>
      <c r="T96" t="s">
        <v>189</v>
      </c>
      <c r="U96">
        <v>0</v>
      </c>
      <c r="V96" s="18" t="s">
        <v>232</v>
      </c>
      <c r="W96" s="18" t="s">
        <v>232</v>
      </c>
      <c r="X96" s="18" t="s">
        <v>73</v>
      </c>
      <c r="Y96">
        <v>0</v>
      </c>
      <c r="Z96">
        <v>0</v>
      </c>
      <c r="AA96">
        <v>0</v>
      </c>
      <c r="AB96">
        <v>0</v>
      </c>
      <c r="AC96">
        <v>0</v>
      </c>
      <c r="AD96">
        <v>1</v>
      </c>
      <c r="AE96">
        <v>0</v>
      </c>
      <c r="AF96">
        <v>0</v>
      </c>
      <c r="AG96" t="s">
        <v>262</v>
      </c>
      <c r="AH96">
        <v>0</v>
      </c>
      <c r="AI96">
        <v>0</v>
      </c>
      <c r="AJ96">
        <v>0</v>
      </c>
      <c r="AK96">
        <v>0</v>
      </c>
      <c r="AL96">
        <v>0</v>
      </c>
      <c r="AM96">
        <v>0</v>
      </c>
      <c r="AN96">
        <v>1</v>
      </c>
      <c r="AO96">
        <v>0</v>
      </c>
      <c r="AP96">
        <v>0</v>
      </c>
      <c r="AQ96" t="s">
        <v>267</v>
      </c>
      <c r="AR96" t="s">
        <v>234</v>
      </c>
      <c r="AS96" t="s">
        <v>264</v>
      </c>
      <c r="AT96" s="11" t="s">
        <v>236</v>
      </c>
      <c r="AU96" s="187">
        <v>0.84799999999999998</v>
      </c>
      <c r="AV96" s="7" t="s">
        <v>80</v>
      </c>
      <c r="AW96" t="s">
        <v>73</v>
      </c>
      <c r="AX96">
        <v>0.05</v>
      </c>
      <c r="AY96">
        <v>2</v>
      </c>
      <c r="AZ96" s="19">
        <f>TINV(AX96,CB96)</f>
        <v>1.962795497038498</v>
      </c>
      <c r="BA96" s="105">
        <f>EXP(AU96)/(1+EXP(AU96))</f>
        <v>0.70014742860953705</v>
      </c>
      <c r="BB96" t="s">
        <v>73</v>
      </c>
      <c r="BC96" s="18" t="s">
        <v>73</v>
      </c>
      <c r="BD96" t="s">
        <v>73</v>
      </c>
      <c r="BE96" t="s">
        <v>73</v>
      </c>
      <c r="BF96" s="18">
        <v>40</v>
      </c>
      <c r="BG96" t="s">
        <v>73</v>
      </c>
      <c r="BH96" s="10">
        <v>841</v>
      </c>
      <c r="BI96" s="10">
        <v>841</v>
      </c>
      <c r="BJ96" t="s">
        <v>73</v>
      </c>
      <c r="BK96" t="s">
        <v>73</v>
      </c>
      <c r="BL96">
        <v>0</v>
      </c>
      <c r="BM96">
        <v>0</v>
      </c>
      <c r="BN96" t="s">
        <v>73</v>
      </c>
      <c r="BO96" t="s">
        <v>73</v>
      </c>
      <c r="BP96" t="s">
        <v>73</v>
      </c>
      <c r="BQ96" t="s">
        <v>73</v>
      </c>
      <c r="BR96" t="s">
        <v>73</v>
      </c>
      <c r="BS96" t="s">
        <v>73</v>
      </c>
      <c r="BT96" s="18">
        <v>1</v>
      </c>
      <c r="BU96" s="18">
        <v>1</v>
      </c>
      <c r="BV96" s="18">
        <v>1</v>
      </c>
      <c r="BW96" s="30">
        <f>((AZ96^2)/(AZ96^2+BH96))^(1/2)</f>
        <v>6.7528109143524445E-2</v>
      </c>
      <c r="BX96" s="30">
        <f>0.5*LN((1+BW96)/(1-BW96))</f>
        <v>6.7631034648244742E-2</v>
      </c>
      <c r="BY96" s="30">
        <f>((1-(BX96^2)^2)/(BH96-1))</f>
        <v>1.190451284427091E-3</v>
      </c>
      <c r="BZ96" s="30">
        <f>1/(BH96-3)</f>
        <v>1.1933174224343676E-3</v>
      </c>
      <c r="CA96" s="92" t="s">
        <v>73</v>
      </c>
      <c r="CB96">
        <f>BH96-2</f>
        <v>839</v>
      </c>
      <c r="CC96" s="92" t="s">
        <v>73</v>
      </c>
      <c r="CD96" s="30">
        <f>((AZ96^2)/(AZ96^2+BI96))^(1/2)</f>
        <v>6.7528109143524445E-2</v>
      </c>
      <c r="CE96" s="30">
        <f>0.5*LN((1+CD96)/(1-CD96))</f>
        <v>6.7631034648244742E-2</v>
      </c>
      <c r="CF96" s="30">
        <f>((1-(CE96^2)^2)/(BI96-1))</f>
        <v>1.190451284427091E-3</v>
      </c>
      <c r="CG96" s="30">
        <f>1/(BI96-3)</f>
        <v>1.1933174224343676E-3</v>
      </c>
    </row>
    <row r="97" spans="1:86">
      <c r="A97" s="11" t="s">
        <v>68</v>
      </c>
      <c r="B97" s="11">
        <v>11</v>
      </c>
      <c r="C97" s="11">
        <v>1028</v>
      </c>
      <c r="D97" s="11">
        <v>106</v>
      </c>
      <c r="E97" s="10" t="s">
        <v>258</v>
      </c>
      <c r="F97" s="11">
        <v>2010</v>
      </c>
      <c r="G97" t="s">
        <v>259</v>
      </c>
      <c r="H97" s="10" t="s">
        <v>260</v>
      </c>
      <c r="I97" s="18">
        <v>2</v>
      </c>
      <c r="J97" s="10">
        <v>2008</v>
      </c>
      <c r="K97" s="10" t="s">
        <v>73</v>
      </c>
      <c r="L97">
        <v>203</v>
      </c>
      <c r="M97" s="202" t="s">
        <v>270</v>
      </c>
      <c r="N97" t="s">
        <v>242</v>
      </c>
      <c r="O97" t="s">
        <v>124</v>
      </c>
      <c r="P97" s="18" t="s">
        <v>243</v>
      </c>
      <c r="Q97" t="s">
        <v>244</v>
      </c>
      <c r="R97" t="s">
        <v>245</v>
      </c>
      <c r="S97">
        <v>1</v>
      </c>
      <c r="T97" t="s">
        <v>189</v>
      </c>
      <c r="U97">
        <v>0</v>
      </c>
      <c r="V97" s="18" t="s">
        <v>232</v>
      </c>
      <c r="W97" s="18" t="s">
        <v>232</v>
      </c>
      <c r="X97" s="18" t="s">
        <v>73</v>
      </c>
      <c r="Y97">
        <v>0</v>
      </c>
      <c r="Z97">
        <v>0</v>
      </c>
      <c r="AA97">
        <v>0</v>
      </c>
      <c r="AB97">
        <v>0</v>
      </c>
      <c r="AC97">
        <v>0</v>
      </c>
      <c r="AD97">
        <v>1</v>
      </c>
      <c r="AE97">
        <v>0</v>
      </c>
      <c r="AF97">
        <v>0</v>
      </c>
      <c r="AG97" t="s">
        <v>262</v>
      </c>
      <c r="AH97">
        <v>0</v>
      </c>
      <c r="AI97">
        <v>0</v>
      </c>
      <c r="AJ97">
        <v>0</v>
      </c>
      <c r="AK97">
        <v>0</v>
      </c>
      <c r="AL97">
        <v>0</v>
      </c>
      <c r="AM97">
        <v>0</v>
      </c>
      <c r="AN97">
        <v>1</v>
      </c>
      <c r="AO97">
        <v>0</v>
      </c>
      <c r="AP97">
        <v>0</v>
      </c>
      <c r="AQ97" t="s">
        <v>268</v>
      </c>
      <c r="AR97" t="s">
        <v>234</v>
      </c>
      <c r="AS97" t="s">
        <v>264</v>
      </c>
      <c r="AT97" s="11" t="s">
        <v>236</v>
      </c>
      <c r="AU97" s="187">
        <v>1.8759999999999999</v>
      </c>
      <c r="AV97" s="7" t="s">
        <v>80</v>
      </c>
      <c r="AW97" t="s">
        <v>73</v>
      </c>
      <c r="AX97">
        <v>0.01</v>
      </c>
      <c r="AY97">
        <v>1</v>
      </c>
      <c r="AZ97">
        <f>TINV(AX97,CB97)</f>
        <v>2.5817018839793482</v>
      </c>
      <c r="BA97" s="105">
        <f>EXP(AU97)/(1+EXP(AU97))</f>
        <v>0.86715100224549591</v>
      </c>
      <c r="BB97" t="s">
        <v>73</v>
      </c>
      <c r="BC97" s="18" t="s">
        <v>73</v>
      </c>
      <c r="BD97" t="s">
        <v>73</v>
      </c>
      <c r="BE97" t="s">
        <v>73</v>
      </c>
      <c r="BF97" s="18">
        <v>40</v>
      </c>
      <c r="BG97" t="s">
        <v>73</v>
      </c>
      <c r="BH97" s="10">
        <v>841</v>
      </c>
      <c r="BI97" s="10">
        <v>841</v>
      </c>
      <c r="BJ97" t="s">
        <v>73</v>
      </c>
      <c r="BK97" t="s">
        <v>73</v>
      </c>
      <c r="BL97">
        <v>470.59</v>
      </c>
      <c r="BM97" t="s">
        <v>269</v>
      </c>
      <c r="BN97" t="s">
        <v>73</v>
      </c>
      <c r="BO97" t="s">
        <v>73</v>
      </c>
      <c r="BP97" t="s">
        <v>73</v>
      </c>
      <c r="BQ97" t="s">
        <v>73</v>
      </c>
      <c r="BR97" t="s">
        <v>73</v>
      </c>
      <c r="BS97" t="s">
        <v>73</v>
      </c>
      <c r="BT97" s="18">
        <v>1</v>
      </c>
      <c r="BU97" s="18">
        <v>1</v>
      </c>
      <c r="BV97" s="18">
        <v>1</v>
      </c>
      <c r="BW97" s="30">
        <f>((AZ97^2)/(AZ97^2+BH97))^(1/2)</f>
        <v>8.8673513868765694E-2</v>
      </c>
      <c r="BX97" s="30">
        <f>0.5*LN((1+BW97)/(1-BW97))</f>
        <v>8.890702958732373E-2</v>
      </c>
      <c r="BY97" s="30">
        <f>((1-(BX97^2)^2)/(BH97-1))</f>
        <v>1.1904018089446793E-3</v>
      </c>
      <c r="BZ97" s="30">
        <f>1/(BH97-3)</f>
        <v>1.1933174224343676E-3</v>
      </c>
      <c r="CA97" s="92" t="s">
        <v>73</v>
      </c>
      <c r="CB97">
        <f>BH97-2</f>
        <v>839</v>
      </c>
      <c r="CC97" s="92" t="s">
        <v>73</v>
      </c>
      <c r="CD97" s="30">
        <f>((AZ97^2)/(AZ97^2+BI97))^(1/2)</f>
        <v>8.8673513868765694E-2</v>
      </c>
      <c r="CE97" s="30">
        <f>0.5*LN((1+CD97)/(1-CD97))</f>
        <v>8.890702958732373E-2</v>
      </c>
      <c r="CF97" s="30">
        <f>((1-(CE97^2)^2)/(BI97-1))</f>
        <v>1.1904018089446793E-3</v>
      </c>
      <c r="CG97" s="30">
        <f>1/(BI97-3)</f>
        <v>1.1933174224343676E-3</v>
      </c>
    </row>
    <row r="98" spans="1:86">
      <c r="A98" s="92" t="s">
        <v>68</v>
      </c>
      <c r="B98" s="92">
        <v>28</v>
      </c>
      <c r="C98" s="11">
        <v>1114</v>
      </c>
      <c r="D98" s="92">
        <v>123</v>
      </c>
      <c r="E98" s="112" t="s">
        <v>334</v>
      </c>
      <c r="F98" s="92">
        <v>1995</v>
      </c>
      <c r="G98" s="92" t="s">
        <v>335</v>
      </c>
      <c r="H98" s="92" t="s">
        <v>336</v>
      </c>
      <c r="I98" s="92">
        <v>2</v>
      </c>
      <c r="J98" s="92">
        <v>1995</v>
      </c>
      <c r="K98" s="92" t="s">
        <v>73</v>
      </c>
      <c r="L98" s="92">
        <v>62</v>
      </c>
      <c r="M98" s="207" t="s">
        <v>270</v>
      </c>
      <c r="N98" s="112" t="s">
        <v>242</v>
      </c>
      <c r="O98" s="92" t="s">
        <v>81</v>
      </c>
      <c r="P98" s="92" t="s">
        <v>294</v>
      </c>
      <c r="Q98" s="92" t="s">
        <v>244</v>
      </c>
      <c r="R98" s="92" t="s">
        <v>337</v>
      </c>
      <c r="S98" s="92">
        <v>1</v>
      </c>
      <c r="T98" s="135" t="s">
        <v>231</v>
      </c>
      <c r="U98" s="92">
        <v>0</v>
      </c>
      <c r="V98" s="92" t="s">
        <v>232</v>
      </c>
      <c r="W98" s="92" t="s">
        <v>232</v>
      </c>
      <c r="X98" s="92" t="s">
        <v>73</v>
      </c>
      <c r="Y98" s="92">
        <v>0</v>
      </c>
      <c r="Z98" s="92">
        <v>0</v>
      </c>
      <c r="AA98" s="92">
        <v>0</v>
      </c>
      <c r="AB98" s="92">
        <v>1</v>
      </c>
      <c r="AC98" s="92">
        <v>0</v>
      </c>
      <c r="AD98" s="92">
        <v>0</v>
      </c>
      <c r="AE98" s="92">
        <v>0</v>
      </c>
      <c r="AF98" s="92">
        <v>0</v>
      </c>
      <c r="AG98" s="92" t="s">
        <v>73</v>
      </c>
      <c r="AH98" s="92">
        <v>0</v>
      </c>
      <c r="AI98" s="92">
        <v>0</v>
      </c>
      <c r="AJ98" s="92">
        <v>0</v>
      </c>
      <c r="AK98" s="92">
        <v>1</v>
      </c>
      <c r="AL98" s="92">
        <v>0</v>
      </c>
      <c r="AM98" s="92">
        <v>0</v>
      </c>
      <c r="AN98" s="92">
        <v>0</v>
      </c>
      <c r="AO98" s="92">
        <v>0</v>
      </c>
      <c r="AP98" s="92">
        <v>0</v>
      </c>
      <c r="AQ98" s="92" t="s">
        <v>73</v>
      </c>
      <c r="AR98" s="92" t="s">
        <v>234</v>
      </c>
      <c r="AS98" s="92" t="s">
        <v>296</v>
      </c>
      <c r="AT98" s="92" t="s">
        <v>236</v>
      </c>
      <c r="AU98" s="198">
        <v>1.68</v>
      </c>
      <c r="AV98" s="93" t="s">
        <v>80</v>
      </c>
      <c r="AW98" s="92">
        <f>AU98/AZ98</f>
        <v>6.4864864864864868E-2</v>
      </c>
      <c r="AX98" s="92" t="s">
        <v>73</v>
      </c>
      <c r="AY98" s="92">
        <v>3</v>
      </c>
      <c r="AZ98" s="92">
        <v>25.9</v>
      </c>
      <c r="BA98" s="105">
        <f>EXP(AU98)/(1+EXP(AU98))</f>
        <v>0.84290453111454722</v>
      </c>
      <c r="BB98" s="92" t="s">
        <v>73</v>
      </c>
      <c r="BC98" s="92" t="s">
        <v>73</v>
      </c>
      <c r="BD98" s="92" t="s">
        <v>73</v>
      </c>
      <c r="BE98" s="92" t="s">
        <v>73</v>
      </c>
      <c r="BF98" s="92" t="s">
        <v>73</v>
      </c>
      <c r="BG98" s="92" t="s">
        <v>73</v>
      </c>
      <c r="BH98" s="92">
        <v>400</v>
      </c>
      <c r="BI98" s="92">
        <v>400</v>
      </c>
      <c r="BJ98" s="92" t="s">
        <v>73</v>
      </c>
      <c r="BK98" s="92" t="s">
        <v>73</v>
      </c>
      <c r="BL98" s="92" t="s">
        <v>73</v>
      </c>
      <c r="BM98" s="92" t="s">
        <v>73</v>
      </c>
      <c r="BN98" s="92" t="s">
        <v>237</v>
      </c>
      <c r="BO98" s="92">
        <v>0</v>
      </c>
      <c r="BP98" s="92" t="s">
        <v>73</v>
      </c>
      <c r="BQ98" s="92">
        <v>0</v>
      </c>
      <c r="BR98" s="92" t="s">
        <v>73</v>
      </c>
      <c r="BS98" s="92" t="s">
        <v>73</v>
      </c>
      <c r="BT98" s="92">
        <v>0</v>
      </c>
      <c r="BU98" s="92">
        <v>0</v>
      </c>
      <c r="BV98" s="92">
        <v>1</v>
      </c>
      <c r="BW98" s="30">
        <f>((AZ98^2)/(AZ98^2+BH98))^(1/2)</f>
        <v>0.79148657877430995</v>
      </c>
      <c r="BX98" s="133">
        <f>0.5*LN((1+BW98)/(1-BW98))</f>
        <v>1.0753988177746068</v>
      </c>
      <c r="BY98" s="30">
        <f>((1-(BX98^2)^2)/(BH98-1))</f>
        <v>-8.4574447130334037E-4</v>
      </c>
      <c r="BZ98" s="30">
        <f>1/(BH98-3)</f>
        <v>2.5188916876574307E-3</v>
      </c>
      <c r="CA98" s="92" t="s">
        <v>73</v>
      </c>
      <c r="CB98">
        <f>BH98-2</f>
        <v>398</v>
      </c>
      <c r="CC98" s="92" t="s">
        <v>73</v>
      </c>
      <c r="CD98" s="30">
        <f>((AZ98^2)/(AZ98^2+BI98))^(1/2)</f>
        <v>0.79148657877430995</v>
      </c>
      <c r="CE98" s="133">
        <f>0.5*LN((1+CD98)/(1-CD98))</f>
        <v>1.0753988177746068</v>
      </c>
      <c r="CF98" s="30">
        <f>((1-(CE98^2)^2)/(BI98-1))</f>
        <v>-8.4574447130334037E-4</v>
      </c>
      <c r="CG98" s="30">
        <f>1/(BI98-3)</f>
        <v>2.5188916876574307E-3</v>
      </c>
    </row>
    <row r="99" spans="1:86">
      <c r="A99" s="92" t="s">
        <v>68</v>
      </c>
      <c r="B99" s="92">
        <v>28</v>
      </c>
      <c r="C99" s="11">
        <v>1116</v>
      </c>
      <c r="D99" s="92">
        <v>123</v>
      </c>
      <c r="E99" s="92" t="s">
        <v>334</v>
      </c>
      <c r="F99" s="92">
        <v>1995</v>
      </c>
      <c r="G99" s="92" t="s">
        <v>335</v>
      </c>
      <c r="H99" s="92" t="s">
        <v>336</v>
      </c>
      <c r="I99" s="92">
        <v>2</v>
      </c>
      <c r="J99" s="92">
        <v>1995</v>
      </c>
      <c r="K99" s="92" t="s">
        <v>73</v>
      </c>
      <c r="L99" s="92">
        <v>62</v>
      </c>
      <c r="M99" s="207" t="s">
        <v>270</v>
      </c>
      <c r="N99" s="92" t="s">
        <v>242</v>
      </c>
      <c r="O99" s="92" t="s">
        <v>81</v>
      </c>
      <c r="P99" s="92" t="s">
        <v>228</v>
      </c>
      <c r="Q99" s="92" t="s">
        <v>244</v>
      </c>
      <c r="R99" s="92" t="s">
        <v>337</v>
      </c>
      <c r="S99" s="92">
        <v>0</v>
      </c>
      <c r="T99" s="135" t="s">
        <v>231</v>
      </c>
      <c r="U99" s="92">
        <v>0</v>
      </c>
      <c r="V99" s="92" t="s">
        <v>232</v>
      </c>
      <c r="W99" s="92" t="s">
        <v>232</v>
      </c>
      <c r="X99" s="92" t="s">
        <v>73</v>
      </c>
      <c r="Y99" s="92">
        <v>0</v>
      </c>
      <c r="Z99" s="92">
        <v>0</v>
      </c>
      <c r="AA99" s="92">
        <v>0</v>
      </c>
      <c r="AB99" s="92">
        <v>1</v>
      </c>
      <c r="AC99" s="92">
        <v>0</v>
      </c>
      <c r="AD99" s="92">
        <v>0</v>
      </c>
      <c r="AE99" s="92">
        <v>0</v>
      </c>
      <c r="AF99" s="92">
        <v>0</v>
      </c>
      <c r="AG99" s="92" t="s">
        <v>73</v>
      </c>
      <c r="AH99" s="92">
        <v>0</v>
      </c>
      <c r="AI99" s="92">
        <v>0</v>
      </c>
      <c r="AJ99" s="92">
        <v>0</v>
      </c>
      <c r="AK99" s="92">
        <v>1</v>
      </c>
      <c r="AL99" s="92">
        <v>0</v>
      </c>
      <c r="AM99" s="92">
        <v>0</v>
      </c>
      <c r="AN99" s="92">
        <v>0</v>
      </c>
      <c r="AO99" s="92">
        <v>0</v>
      </c>
      <c r="AP99" s="92">
        <v>0</v>
      </c>
      <c r="AQ99" s="92" t="s">
        <v>73</v>
      </c>
      <c r="AR99" s="92" t="s">
        <v>234</v>
      </c>
      <c r="AS99" s="92" t="s">
        <v>296</v>
      </c>
      <c r="AT99" s="92" t="s">
        <v>236</v>
      </c>
      <c r="AU99" s="186">
        <v>0.46400000000000002</v>
      </c>
      <c r="AV99" s="93" t="s">
        <v>86</v>
      </c>
      <c r="AW99" s="92">
        <f>AU99/AZ99</f>
        <v>0.27294117647058824</v>
      </c>
      <c r="AX99" s="92" t="s">
        <v>73</v>
      </c>
      <c r="AY99" s="92">
        <v>3</v>
      </c>
      <c r="AZ99" s="92">
        <v>1.7</v>
      </c>
      <c r="BA99" s="105">
        <f>EXP(AU99)/(1+EXP(AU99))</f>
        <v>0.61396265729139654</v>
      </c>
      <c r="BB99" s="92" t="s">
        <v>73</v>
      </c>
      <c r="BC99" s="92" t="s">
        <v>73</v>
      </c>
      <c r="BD99" s="92" t="s">
        <v>73</v>
      </c>
      <c r="BE99" s="92" t="s">
        <v>73</v>
      </c>
      <c r="BF99" s="92" t="s">
        <v>73</v>
      </c>
      <c r="BG99" s="92" t="s">
        <v>73</v>
      </c>
      <c r="BH99" s="92">
        <v>163</v>
      </c>
      <c r="BI99" s="92">
        <v>163</v>
      </c>
      <c r="BJ99" s="92" t="s">
        <v>73</v>
      </c>
      <c r="BK99" s="92" t="s">
        <v>73</v>
      </c>
      <c r="BL99" s="92" t="s">
        <v>73</v>
      </c>
      <c r="BM99" s="92" t="s">
        <v>73</v>
      </c>
      <c r="BN99" s="92" t="s">
        <v>237</v>
      </c>
      <c r="BO99" s="92">
        <v>0</v>
      </c>
      <c r="BP99" s="92" t="s">
        <v>73</v>
      </c>
      <c r="BQ99" s="92">
        <v>0</v>
      </c>
      <c r="BR99" s="92" t="s">
        <v>73</v>
      </c>
      <c r="BS99" s="92" t="s">
        <v>73</v>
      </c>
      <c r="BT99" s="92">
        <v>0</v>
      </c>
      <c r="BU99" s="92">
        <v>0</v>
      </c>
      <c r="BV99" s="92">
        <v>1</v>
      </c>
      <c r="BW99" s="30">
        <f>((AZ99^2)/(AZ99^2+BH99))^(1/2)</f>
        <v>0.13198932802100058</v>
      </c>
      <c r="BX99" s="30">
        <f>0.5*LN((1+BW99)/(1-BW99))</f>
        <v>0.13276391084197656</v>
      </c>
      <c r="BY99" s="30">
        <f>((1-(BX99^2)^2)/(BH99-1))</f>
        <v>6.1709216981397832E-3</v>
      </c>
      <c r="BZ99" s="30">
        <f>1/(BH99-3)</f>
        <v>6.2500000000000003E-3</v>
      </c>
      <c r="CA99" s="92" t="s">
        <v>73</v>
      </c>
      <c r="CB99">
        <f>BH99-2</f>
        <v>161</v>
      </c>
      <c r="CC99" s="92" t="s">
        <v>73</v>
      </c>
      <c r="CD99" s="30">
        <f>((AZ99^2)/(AZ99^2+BI99))^(1/2)</f>
        <v>0.13198932802100058</v>
      </c>
      <c r="CE99" s="30">
        <f>0.5*LN((1+CD99)/(1-CD99))</f>
        <v>0.13276391084197656</v>
      </c>
      <c r="CF99" s="30">
        <f>((1-(CE99^2)^2)/(BI99-1))</f>
        <v>6.1709216981397832E-3</v>
      </c>
      <c r="CG99" s="30">
        <f>1/(BI99-3)</f>
        <v>6.2500000000000003E-3</v>
      </c>
      <c r="CH99" s="95"/>
    </row>
    <row r="100" spans="1:86">
      <c r="A100" s="92" t="s">
        <v>68</v>
      </c>
      <c r="B100" s="92">
        <v>28</v>
      </c>
      <c r="C100" s="11">
        <v>1115</v>
      </c>
      <c r="D100" s="92">
        <v>123</v>
      </c>
      <c r="E100" s="112" t="s">
        <v>334</v>
      </c>
      <c r="F100" s="92">
        <v>1995</v>
      </c>
      <c r="G100" s="92" t="s">
        <v>335</v>
      </c>
      <c r="H100" s="92" t="s">
        <v>336</v>
      </c>
      <c r="I100" s="92">
        <v>2</v>
      </c>
      <c r="J100" s="92">
        <v>1995</v>
      </c>
      <c r="K100" s="92" t="s">
        <v>73</v>
      </c>
      <c r="L100" s="92">
        <v>62</v>
      </c>
      <c r="M100" s="207" t="s">
        <v>270</v>
      </c>
      <c r="N100" s="112" t="s">
        <v>242</v>
      </c>
      <c r="O100" s="92" t="s">
        <v>81</v>
      </c>
      <c r="P100" s="92" t="s">
        <v>294</v>
      </c>
      <c r="Q100" s="92" t="s">
        <v>244</v>
      </c>
      <c r="R100" s="92" t="s">
        <v>337</v>
      </c>
      <c r="S100" s="92">
        <v>1</v>
      </c>
      <c r="T100" s="135" t="s">
        <v>231</v>
      </c>
      <c r="U100" s="92">
        <v>0</v>
      </c>
      <c r="V100" s="92" t="s">
        <v>232</v>
      </c>
      <c r="W100" s="92" t="s">
        <v>232</v>
      </c>
      <c r="X100" s="92" t="s">
        <v>73</v>
      </c>
      <c r="Y100" s="92">
        <v>0</v>
      </c>
      <c r="Z100" s="92">
        <v>0</v>
      </c>
      <c r="AA100" s="92">
        <v>0</v>
      </c>
      <c r="AB100" s="92">
        <v>1</v>
      </c>
      <c r="AC100" s="92">
        <v>0</v>
      </c>
      <c r="AD100" s="92">
        <v>0</v>
      </c>
      <c r="AE100" s="92">
        <v>0</v>
      </c>
      <c r="AF100" s="92">
        <v>0</v>
      </c>
      <c r="AG100" s="92" t="s">
        <v>73</v>
      </c>
      <c r="AH100" s="92">
        <v>0</v>
      </c>
      <c r="AI100" s="92">
        <v>0</v>
      </c>
      <c r="AJ100" s="92">
        <v>0</v>
      </c>
      <c r="AK100" s="92">
        <v>0</v>
      </c>
      <c r="AL100" s="92">
        <v>0</v>
      </c>
      <c r="AM100" s="92">
        <v>0</v>
      </c>
      <c r="AN100" s="92">
        <v>0</v>
      </c>
      <c r="AO100" s="92">
        <v>1</v>
      </c>
      <c r="AP100" s="92">
        <v>0</v>
      </c>
      <c r="AQ100" s="92" t="s">
        <v>73</v>
      </c>
      <c r="AR100" s="92" t="s">
        <v>234</v>
      </c>
      <c r="AS100" s="92" t="s">
        <v>296</v>
      </c>
      <c r="AT100" s="92" t="s">
        <v>236</v>
      </c>
      <c r="AU100" s="198">
        <v>1.05</v>
      </c>
      <c r="AV100" s="93" t="s">
        <v>80</v>
      </c>
      <c r="AW100" s="92">
        <f>AU100/AZ100</f>
        <v>0.16666666666666669</v>
      </c>
      <c r="AX100" s="92" t="s">
        <v>73</v>
      </c>
      <c r="AY100" s="92">
        <v>3</v>
      </c>
      <c r="AZ100" s="92">
        <v>6.3</v>
      </c>
      <c r="BA100" s="105">
        <f>EXP(AU100)/(1+EXP(AU100))</f>
        <v>0.740774899182154</v>
      </c>
      <c r="BB100" s="92" t="s">
        <v>73</v>
      </c>
      <c r="BC100" s="92" t="s">
        <v>73</v>
      </c>
      <c r="BD100" s="92" t="s">
        <v>73</v>
      </c>
      <c r="BE100" s="92" t="s">
        <v>73</v>
      </c>
      <c r="BF100" s="92" t="s">
        <v>73</v>
      </c>
      <c r="BG100" s="92" t="s">
        <v>73</v>
      </c>
      <c r="BH100" s="92">
        <v>188</v>
      </c>
      <c r="BI100" s="92">
        <v>188</v>
      </c>
      <c r="BJ100" s="92" t="s">
        <v>73</v>
      </c>
      <c r="BK100" s="92" t="s">
        <v>73</v>
      </c>
      <c r="BL100" s="92" t="s">
        <v>73</v>
      </c>
      <c r="BM100" s="92" t="s">
        <v>73</v>
      </c>
      <c r="BN100" s="92" t="s">
        <v>237</v>
      </c>
      <c r="BO100" s="92">
        <v>0</v>
      </c>
      <c r="BP100" s="92" t="s">
        <v>73</v>
      </c>
      <c r="BQ100" s="92">
        <v>0</v>
      </c>
      <c r="BR100" s="92" t="s">
        <v>73</v>
      </c>
      <c r="BS100" s="92" t="s">
        <v>73</v>
      </c>
      <c r="BT100" s="92">
        <v>0</v>
      </c>
      <c r="BU100" s="92">
        <v>0</v>
      </c>
      <c r="BV100" s="92">
        <v>1</v>
      </c>
      <c r="BW100" s="30">
        <f>((AZ100^2)/(AZ100^2+BH100))^(1/2)</f>
        <v>0.41751162367646544</v>
      </c>
      <c r="BX100" s="30">
        <f>0.5*LN((1+BW100)/(1-BW100))</f>
        <v>0.44467450263070185</v>
      </c>
      <c r="BY100" s="30">
        <f>((1-(BX100^2)^2)/(BH100-1))</f>
        <v>5.1385064509683826E-3</v>
      </c>
      <c r="BZ100" s="30">
        <f>1/(BH100-3)</f>
        <v>5.4054054054054057E-3</v>
      </c>
      <c r="CA100" s="92" t="s">
        <v>73</v>
      </c>
      <c r="CB100">
        <f>BH100-2</f>
        <v>186</v>
      </c>
      <c r="CC100" s="92" t="s">
        <v>73</v>
      </c>
      <c r="CD100" s="30">
        <f>((AZ100^2)/(AZ100^2+BI100))^(1/2)</f>
        <v>0.41751162367646544</v>
      </c>
      <c r="CE100" s="30">
        <f>0.5*LN((1+CD100)/(1-CD100))</f>
        <v>0.44467450263070185</v>
      </c>
      <c r="CF100" s="30">
        <f>((1-(CE100^2)^2)/(BI100-1))</f>
        <v>5.1385064509683826E-3</v>
      </c>
      <c r="CG100" s="30">
        <f>1/(BI100-3)</f>
        <v>5.4054054054054057E-3</v>
      </c>
      <c r="CH100" s="107"/>
    </row>
    <row r="101" spans="1:86">
      <c r="A101" s="92" t="s">
        <v>68</v>
      </c>
      <c r="B101" s="92">
        <v>28</v>
      </c>
      <c r="C101" s="11">
        <v>1117</v>
      </c>
      <c r="D101" s="92">
        <v>123</v>
      </c>
      <c r="E101" s="92" t="s">
        <v>334</v>
      </c>
      <c r="F101" s="92">
        <v>1995</v>
      </c>
      <c r="G101" s="92" t="s">
        <v>335</v>
      </c>
      <c r="H101" s="92" t="s">
        <v>336</v>
      </c>
      <c r="I101" s="92">
        <v>2</v>
      </c>
      <c r="J101" s="92">
        <v>1995</v>
      </c>
      <c r="K101" s="92" t="s">
        <v>73</v>
      </c>
      <c r="L101" s="92">
        <v>62</v>
      </c>
      <c r="M101" s="207" t="s">
        <v>270</v>
      </c>
      <c r="N101" s="92" t="s">
        <v>242</v>
      </c>
      <c r="O101" s="92" t="s">
        <v>81</v>
      </c>
      <c r="P101" s="92" t="s">
        <v>228</v>
      </c>
      <c r="Q101" s="92" t="s">
        <v>244</v>
      </c>
      <c r="R101" s="92" t="s">
        <v>337</v>
      </c>
      <c r="S101" s="92">
        <v>0</v>
      </c>
      <c r="T101" s="135" t="s">
        <v>231</v>
      </c>
      <c r="U101" s="92">
        <v>0</v>
      </c>
      <c r="V101" s="92" t="s">
        <v>232</v>
      </c>
      <c r="W101" s="92" t="s">
        <v>232</v>
      </c>
      <c r="X101" s="92" t="s">
        <v>73</v>
      </c>
      <c r="Y101" s="92">
        <v>0</v>
      </c>
      <c r="Z101" s="92">
        <v>0</v>
      </c>
      <c r="AA101" s="92">
        <v>0</v>
      </c>
      <c r="AB101" s="92">
        <v>1</v>
      </c>
      <c r="AC101" s="92">
        <v>0</v>
      </c>
      <c r="AD101" s="92">
        <v>0</v>
      </c>
      <c r="AE101" s="92">
        <v>0</v>
      </c>
      <c r="AF101" s="92">
        <v>0</v>
      </c>
      <c r="AG101" s="92" t="s">
        <v>73</v>
      </c>
      <c r="AH101" s="92">
        <v>0</v>
      </c>
      <c r="AI101" s="92">
        <v>0</v>
      </c>
      <c r="AJ101" s="92">
        <v>0</v>
      </c>
      <c r="AK101" s="92">
        <v>0</v>
      </c>
      <c r="AL101" s="92">
        <v>0</v>
      </c>
      <c r="AM101" s="92">
        <v>0</v>
      </c>
      <c r="AN101" s="92">
        <v>0</v>
      </c>
      <c r="AO101" s="92">
        <v>1</v>
      </c>
      <c r="AP101" s="92">
        <v>0</v>
      </c>
      <c r="AQ101" s="92" t="s">
        <v>73</v>
      </c>
      <c r="AR101" s="92" t="s">
        <v>234</v>
      </c>
      <c r="AS101" t="s">
        <v>296</v>
      </c>
      <c r="AT101" t="s">
        <v>236</v>
      </c>
      <c r="AU101" s="186">
        <v>0.72899999999999998</v>
      </c>
      <c r="AV101" s="93" t="s">
        <v>86</v>
      </c>
      <c r="AW101" s="92">
        <f>AU101/AZ101</f>
        <v>0.38368421052631579</v>
      </c>
      <c r="AX101" s="92" t="s">
        <v>73</v>
      </c>
      <c r="AY101" s="92">
        <v>3</v>
      </c>
      <c r="AZ101" s="92">
        <v>1.9</v>
      </c>
      <c r="BA101" s="105">
        <f>EXP(AU101)/(1+EXP(AU101))</f>
        <v>0.67458579111740891</v>
      </c>
      <c r="BB101" s="92" t="s">
        <v>73</v>
      </c>
      <c r="BC101" s="92" t="s">
        <v>73</v>
      </c>
      <c r="BD101" s="92" t="s">
        <v>73</v>
      </c>
      <c r="BE101" s="92" t="s">
        <v>73</v>
      </c>
      <c r="BF101" s="92" t="s">
        <v>73</v>
      </c>
      <c r="BG101" s="92" t="s">
        <v>73</v>
      </c>
      <c r="BH101" s="92">
        <v>68</v>
      </c>
      <c r="BI101" s="92">
        <v>68</v>
      </c>
      <c r="BJ101" s="92" t="s">
        <v>73</v>
      </c>
      <c r="BK101" s="92" t="s">
        <v>73</v>
      </c>
      <c r="BL101" s="92" t="s">
        <v>73</v>
      </c>
      <c r="BM101" s="92" t="s">
        <v>73</v>
      </c>
      <c r="BN101" s="92" t="s">
        <v>237</v>
      </c>
      <c r="BO101" s="92">
        <v>0</v>
      </c>
      <c r="BP101" s="92" t="s">
        <v>73</v>
      </c>
      <c r="BQ101" s="92">
        <v>0</v>
      </c>
      <c r="BR101" s="92" t="s">
        <v>73</v>
      </c>
      <c r="BS101" s="92" t="s">
        <v>73</v>
      </c>
      <c r="BT101" s="92">
        <v>0</v>
      </c>
      <c r="BU101" s="92">
        <v>0</v>
      </c>
      <c r="BV101" s="92">
        <v>1</v>
      </c>
      <c r="BW101" s="30">
        <f>((AZ101^2)/(AZ101^2+BH101))^(1/2)</f>
        <v>0.22452606449532778</v>
      </c>
      <c r="BX101" s="30">
        <f>0.5*LN((1+BW101)/(1-BW101))</f>
        <v>0.22841739493205201</v>
      </c>
      <c r="BY101" s="30">
        <f>((1-(BX101^2)^2)/(BH101-1))</f>
        <v>1.4884743595396476E-2</v>
      </c>
      <c r="BZ101" s="30">
        <f>1/(BH101-3)</f>
        <v>1.5384615384615385E-2</v>
      </c>
      <c r="CA101" s="92" t="s">
        <v>73</v>
      </c>
      <c r="CB101">
        <f>BH101-2</f>
        <v>66</v>
      </c>
      <c r="CC101" s="92" t="s">
        <v>73</v>
      </c>
      <c r="CD101" s="30">
        <f>((AZ101^2)/(AZ101^2+BI101))^(1/2)</f>
        <v>0.22452606449532778</v>
      </c>
      <c r="CE101" s="30">
        <f>0.5*LN((1+CD101)/(1-CD101))</f>
        <v>0.22841739493205201</v>
      </c>
      <c r="CF101" s="30">
        <f>((1-(CE101^2)^2)/(BI101-1))</f>
        <v>1.4884743595396476E-2</v>
      </c>
      <c r="CG101" s="30">
        <f>1/(BI101-3)</f>
        <v>1.5384615384615385E-2</v>
      </c>
      <c r="CH101" s="95"/>
    </row>
    <row r="102" spans="1:86">
      <c r="A102" s="11" t="s">
        <v>222</v>
      </c>
      <c r="B102" s="11">
        <v>18</v>
      </c>
      <c r="C102" s="11">
        <v>1008</v>
      </c>
      <c r="D102" s="11">
        <v>103</v>
      </c>
      <c r="E102" s="11" t="s">
        <v>238</v>
      </c>
      <c r="F102" s="11">
        <v>2019</v>
      </c>
      <c r="G102" t="s">
        <v>239</v>
      </c>
      <c r="H102" s="10" t="s">
        <v>240</v>
      </c>
      <c r="I102" s="18">
        <v>2</v>
      </c>
      <c r="J102" s="10">
        <v>2018</v>
      </c>
      <c r="K102" s="11" t="s">
        <v>73</v>
      </c>
      <c r="L102" s="18">
        <v>23</v>
      </c>
      <c r="M102" s="202" t="s">
        <v>241</v>
      </c>
      <c r="N102" s="10" t="s">
        <v>242</v>
      </c>
      <c r="O102" s="18" t="s">
        <v>124</v>
      </c>
      <c r="P102" s="18" t="s">
        <v>243</v>
      </c>
      <c r="Q102" s="18" t="s">
        <v>244</v>
      </c>
      <c r="R102" s="18" t="s">
        <v>245</v>
      </c>
      <c r="S102" s="18">
        <v>0</v>
      </c>
      <c r="T102" s="11" t="s">
        <v>189</v>
      </c>
      <c r="U102" s="18">
        <v>0</v>
      </c>
      <c r="V102" s="153" t="s">
        <v>246</v>
      </c>
      <c r="W102" s="153" t="s">
        <v>246</v>
      </c>
      <c r="X102" s="154" t="s">
        <v>73</v>
      </c>
      <c r="Y102" s="18">
        <v>1</v>
      </c>
      <c r="Z102" s="18">
        <v>0</v>
      </c>
      <c r="AA102" s="18">
        <v>0</v>
      </c>
      <c r="AB102" s="18">
        <v>0</v>
      </c>
      <c r="AC102" s="18">
        <v>0</v>
      </c>
      <c r="AD102" s="11">
        <v>0</v>
      </c>
      <c r="AE102" s="11">
        <v>0</v>
      </c>
      <c r="AF102" s="11">
        <v>0</v>
      </c>
      <c r="AG102" s="18" t="s">
        <v>73</v>
      </c>
      <c r="AH102" s="18">
        <v>0</v>
      </c>
      <c r="AI102" s="18">
        <v>0</v>
      </c>
      <c r="AJ102" s="18">
        <v>0</v>
      </c>
      <c r="AK102" s="18">
        <v>0</v>
      </c>
      <c r="AL102" s="18">
        <v>0</v>
      </c>
      <c r="AM102" s="18">
        <v>0</v>
      </c>
      <c r="AN102" s="18">
        <v>1</v>
      </c>
      <c r="AO102" s="18">
        <v>0</v>
      </c>
      <c r="AP102" s="18">
        <v>0</v>
      </c>
      <c r="AQ102" s="18" t="s">
        <v>247</v>
      </c>
      <c r="AR102" t="s">
        <v>234</v>
      </c>
      <c r="AS102" s="10" t="s">
        <v>249</v>
      </c>
      <c r="AT102" s="11" t="s">
        <v>236</v>
      </c>
      <c r="AU102" s="197">
        <v>0.65300000000000002</v>
      </c>
      <c r="AV102" s="129" t="s">
        <v>80</v>
      </c>
      <c r="AW102" t="s">
        <v>73</v>
      </c>
      <c r="AX102" s="18">
        <v>0.05</v>
      </c>
      <c r="AY102" s="18">
        <v>1</v>
      </c>
      <c r="AZ102">
        <f>TINV(AX102,CB102)</f>
        <v>1.9742709570280526</v>
      </c>
      <c r="BA102" s="155">
        <v>0.25600000000000001</v>
      </c>
      <c r="BB102" s="11" t="s">
        <v>73</v>
      </c>
      <c r="BC102" s="11" t="s">
        <v>73</v>
      </c>
      <c r="BD102" s="11" t="s">
        <v>73</v>
      </c>
      <c r="BE102" s="11" t="s">
        <v>73</v>
      </c>
      <c r="BF102" s="11" t="s">
        <v>73</v>
      </c>
      <c r="BG102" s="11" t="s">
        <v>73</v>
      </c>
      <c r="BH102" s="10">
        <v>169</v>
      </c>
      <c r="BI102" s="10">
        <v>169</v>
      </c>
      <c r="BJ102" s="11" t="s">
        <v>73</v>
      </c>
      <c r="BK102" s="11" t="s">
        <v>73</v>
      </c>
      <c r="BL102" s="11" t="s">
        <v>73</v>
      </c>
      <c r="BM102" s="11" t="s">
        <v>73</v>
      </c>
      <c r="BN102" s="11" t="s">
        <v>73</v>
      </c>
      <c r="BO102" s="11" t="s">
        <v>73</v>
      </c>
      <c r="BP102" s="11" t="s">
        <v>73</v>
      </c>
      <c r="BQ102" s="11" t="s">
        <v>73</v>
      </c>
      <c r="BR102" s="11" t="s">
        <v>73</v>
      </c>
      <c r="BS102" s="11" t="s">
        <v>73</v>
      </c>
      <c r="BT102" s="18">
        <v>0</v>
      </c>
      <c r="BU102" s="18">
        <v>0</v>
      </c>
      <c r="BV102" s="18">
        <v>1</v>
      </c>
      <c r="BW102" s="30">
        <f>((AZ102^2)/(AZ102^2+BH102))^(1/2)</f>
        <v>0.15014542072566855</v>
      </c>
      <c r="BX102" s="30">
        <f>0.5*LN((1+BW102)/(1-BW102))</f>
        <v>0.15128920726322537</v>
      </c>
      <c r="BY102" s="30">
        <f>((1-(BX102^2)^2)/(BH102-1))</f>
        <v>5.9492626192623162E-3</v>
      </c>
      <c r="BZ102" s="30">
        <f>1/(BH102-3)</f>
        <v>6.024096385542169E-3</v>
      </c>
      <c r="CA102" s="92" t="s">
        <v>73</v>
      </c>
      <c r="CB102">
        <f>BH102-2</f>
        <v>167</v>
      </c>
      <c r="CC102" s="92" t="s">
        <v>73</v>
      </c>
      <c r="CD102" s="30">
        <f>((AZ102^2)/(AZ102^2+BI102))^(1/2)</f>
        <v>0.15014542072566855</v>
      </c>
      <c r="CE102" s="30">
        <f>0.5*LN((1+CD102)/(1-CD102))</f>
        <v>0.15128920726322537</v>
      </c>
      <c r="CF102" s="30">
        <f>((1-(CE102^2)^2)/(BI102-1))</f>
        <v>5.9492626192623162E-3</v>
      </c>
      <c r="CG102" s="30">
        <f>1/(BI102-3)</f>
        <v>6.024096385542169E-3</v>
      </c>
    </row>
    <row r="103" spans="1:86">
      <c r="A103" s="11" t="s">
        <v>222</v>
      </c>
      <c r="B103" s="11">
        <v>18</v>
      </c>
      <c r="C103" s="11">
        <v>1010</v>
      </c>
      <c r="D103" s="11">
        <v>103</v>
      </c>
      <c r="E103" s="11" t="s">
        <v>238</v>
      </c>
      <c r="F103" s="11">
        <v>2019</v>
      </c>
      <c r="G103" t="s">
        <v>239</v>
      </c>
      <c r="H103" s="10" t="s">
        <v>240</v>
      </c>
      <c r="I103" s="18">
        <v>2</v>
      </c>
      <c r="J103" s="10">
        <v>2018</v>
      </c>
      <c r="K103" s="11" t="s">
        <v>73</v>
      </c>
      <c r="L103" s="18">
        <v>23</v>
      </c>
      <c r="M103" s="202" t="s">
        <v>241</v>
      </c>
      <c r="N103" s="10" t="s">
        <v>242</v>
      </c>
      <c r="O103" s="18" t="s">
        <v>124</v>
      </c>
      <c r="P103" s="18" t="s">
        <v>243</v>
      </c>
      <c r="Q103" s="18" t="s">
        <v>244</v>
      </c>
      <c r="R103" s="18" t="s">
        <v>245</v>
      </c>
      <c r="S103" s="18">
        <v>0</v>
      </c>
      <c r="T103" t="s">
        <v>189</v>
      </c>
      <c r="U103" s="18">
        <v>0</v>
      </c>
      <c r="V103" s="153" t="s">
        <v>246</v>
      </c>
      <c r="W103" s="153" t="s">
        <v>246</v>
      </c>
      <c r="X103" s="154" t="s">
        <v>73</v>
      </c>
      <c r="Y103" s="18">
        <v>0</v>
      </c>
      <c r="Z103" s="18">
        <v>0</v>
      </c>
      <c r="AA103" s="18">
        <v>0</v>
      </c>
      <c r="AB103" s="18">
        <v>0</v>
      </c>
      <c r="AC103" s="18">
        <v>0</v>
      </c>
      <c r="AD103" s="18">
        <v>1</v>
      </c>
      <c r="AE103" s="11">
        <v>0</v>
      </c>
      <c r="AF103" s="11">
        <v>0</v>
      </c>
      <c r="AG103" s="18" t="s">
        <v>73</v>
      </c>
      <c r="AH103" s="18">
        <v>0</v>
      </c>
      <c r="AI103" s="18">
        <v>0</v>
      </c>
      <c r="AJ103" s="18">
        <v>0</v>
      </c>
      <c r="AK103" s="18">
        <v>0</v>
      </c>
      <c r="AL103" s="18">
        <v>0</v>
      </c>
      <c r="AM103" s="18">
        <v>0</v>
      </c>
      <c r="AN103" s="11">
        <v>1</v>
      </c>
      <c r="AO103" s="11">
        <v>0</v>
      </c>
      <c r="AP103" s="18">
        <v>0</v>
      </c>
      <c r="AQ103" s="18" t="s">
        <v>247</v>
      </c>
      <c r="AR103" t="s">
        <v>234</v>
      </c>
      <c r="AS103" s="10" t="s">
        <v>249</v>
      </c>
      <c r="AT103" s="11" t="s">
        <v>236</v>
      </c>
      <c r="AU103" s="187">
        <v>0.105</v>
      </c>
      <c r="AV103" s="129" t="s">
        <v>80</v>
      </c>
      <c r="AW103" t="s">
        <v>73</v>
      </c>
      <c r="AX103" s="18">
        <v>0.1</v>
      </c>
      <c r="AY103" s="18">
        <v>2</v>
      </c>
      <c r="AZ103" s="19">
        <f>TINV(AX103,CB103)</f>
        <v>1.6540291281334114</v>
      </c>
      <c r="BA103" s="155">
        <v>4.2000000000000003E-2</v>
      </c>
      <c r="BB103" s="11" t="s">
        <v>73</v>
      </c>
      <c r="BC103" s="11" t="s">
        <v>73</v>
      </c>
      <c r="BD103" s="11" t="s">
        <v>73</v>
      </c>
      <c r="BE103" s="11" t="s">
        <v>73</v>
      </c>
      <c r="BF103" s="11" t="s">
        <v>73</v>
      </c>
      <c r="BG103" s="11" t="s">
        <v>73</v>
      </c>
      <c r="BH103" s="10">
        <v>169</v>
      </c>
      <c r="BI103" s="10">
        <v>169</v>
      </c>
      <c r="BJ103" s="11" t="s">
        <v>73</v>
      </c>
      <c r="BK103" s="11" t="s">
        <v>73</v>
      </c>
      <c r="BL103" s="11" t="s">
        <v>73</v>
      </c>
      <c r="BM103" s="11" t="s">
        <v>73</v>
      </c>
      <c r="BN103" s="11" t="s">
        <v>237</v>
      </c>
      <c r="BO103" s="11" t="s">
        <v>73</v>
      </c>
      <c r="BP103" s="11" t="s">
        <v>73</v>
      </c>
      <c r="BQ103" s="11" t="s">
        <v>73</v>
      </c>
      <c r="BR103" s="11" t="s">
        <v>73</v>
      </c>
      <c r="BS103" s="11" t="s">
        <v>73</v>
      </c>
      <c r="BT103" s="18">
        <v>0</v>
      </c>
      <c r="BU103" s="18">
        <v>0</v>
      </c>
      <c r="BV103" s="18">
        <v>1</v>
      </c>
      <c r="BW103" s="30">
        <f>((AZ103^2)/(AZ103^2+BH103))^(1/2)</f>
        <v>0.12621550782577576</v>
      </c>
      <c r="BX103" s="30">
        <f>0.5*LN((1+BW103)/(1-BW103))</f>
        <v>0.12689220699041071</v>
      </c>
      <c r="BY103" s="30">
        <f>((1-(BX103^2)^2)/(BH103-1))</f>
        <v>5.9508377228610727E-3</v>
      </c>
      <c r="BZ103" s="30">
        <f>1/(BH103-3)</f>
        <v>6.024096385542169E-3</v>
      </c>
      <c r="CA103" s="92" t="s">
        <v>73</v>
      </c>
      <c r="CB103">
        <f>BH103-2</f>
        <v>167</v>
      </c>
      <c r="CC103" s="92" t="s">
        <v>73</v>
      </c>
      <c r="CD103" s="30">
        <f>((AZ103^2)/(AZ103^2+BI103))^(1/2)</f>
        <v>0.12621550782577576</v>
      </c>
      <c r="CE103" s="30">
        <f>0.5*LN((1+CD103)/(1-CD103))</f>
        <v>0.12689220699041071</v>
      </c>
      <c r="CF103" s="30">
        <f>((1-(CE103^2)^2)/(BI103-1))</f>
        <v>5.9508377228610727E-3</v>
      </c>
      <c r="CG103" s="30">
        <f>1/(BI103-3)</f>
        <v>6.024096385542169E-3</v>
      </c>
    </row>
    <row r="104" spans="1:86">
      <c r="A104" s="11" t="s">
        <v>222</v>
      </c>
      <c r="B104" s="11">
        <v>18</v>
      </c>
      <c r="C104" s="11">
        <v>1012</v>
      </c>
      <c r="D104" s="11">
        <v>103</v>
      </c>
      <c r="E104" s="11" t="s">
        <v>238</v>
      </c>
      <c r="F104" s="11">
        <v>2019</v>
      </c>
      <c r="G104" t="s">
        <v>239</v>
      </c>
      <c r="H104" s="10" t="s">
        <v>240</v>
      </c>
      <c r="I104" s="18">
        <v>2</v>
      </c>
      <c r="J104" s="10">
        <v>2018</v>
      </c>
      <c r="K104" s="11" t="s">
        <v>73</v>
      </c>
      <c r="L104" s="18">
        <v>23</v>
      </c>
      <c r="M104" s="202" t="s">
        <v>241</v>
      </c>
      <c r="N104" s="10" t="s">
        <v>242</v>
      </c>
      <c r="O104" s="18" t="s">
        <v>124</v>
      </c>
      <c r="P104" s="18" t="s">
        <v>243</v>
      </c>
      <c r="Q104" s="18" t="s">
        <v>244</v>
      </c>
      <c r="R104" s="18" t="s">
        <v>245</v>
      </c>
      <c r="S104" s="18">
        <v>0</v>
      </c>
      <c r="T104" t="s">
        <v>189</v>
      </c>
      <c r="U104" s="18">
        <v>0</v>
      </c>
      <c r="V104" s="153" t="s">
        <v>246</v>
      </c>
      <c r="W104" s="153" t="s">
        <v>246</v>
      </c>
      <c r="X104" s="154" t="s">
        <v>73</v>
      </c>
      <c r="Y104" s="18">
        <v>0</v>
      </c>
      <c r="Z104" s="18">
        <v>0</v>
      </c>
      <c r="AA104" s="18">
        <v>0</v>
      </c>
      <c r="AB104" s="18">
        <v>0</v>
      </c>
      <c r="AC104" s="18">
        <v>0</v>
      </c>
      <c r="AD104" s="18">
        <v>0</v>
      </c>
      <c r="AE104" s="18">
        <v>1</v>
      </c>
      <c r="AF104" s="11">
        <v>0</v>
      </c>
      <c r="AG104" s="18" t="s">
        <v>73</v>
      </c>
      <c r="AH104" s="18">
        <v>0</v>
      </c>
      <c r="AI104" s="18">
        <v>0</v>
      </c>
      <c r="AJ104" s="18">
        <v>0</v>
      </c>
      <c r="AK104" s="18">
        <v>0</v>
      </c>
      <c r="AL104" s="18">
        <v>0</v>
      </c>
      <c r="AM104" s="18">
        <v>0</v>
      </c>
      <c r="AN104" s="18">
        <v>1</v>
      </c>
      <c r="AO104" s="18">
        <v>0</v>
      </c>
      <c r="AP104" s="18">
        <v>0</v>
      </c>
      <c r="AQ104" s="18" t="s">
        <v>247</v>
      </c>
      <c r="AR104" t="s">
        <v>234</v>
      </c>
      <c r="AS104" s="10" t="s">
        <v>249</v>
      </c>
      <c r="AT104" s="11" t="s">
        <v>236</v>
      </c>
      <c r="AU104" s="187">
        <v>0.70499999999999996</v>
      </c>
      <c r="AV104" s="18" t="s">
        <v>80</v>
      </c>
      <c r="AW104" t="s">
        <v>73</v>
      </c>
      <c r="AX104" s="18">
        <v>0.1</v>
      </c>
      <c r="AY104" s="18">
        <v>1</v>
      </c>
      <c r="AZ104">
        <f>TINV(AX104,CB104)</f>
        <v>1.6540291281334114</v>
      </c>
      <c r="BA104" s="155">
        <v>0.26200000000000001</v>
      </c>
      <c r="BB104" s="11" t="s">
        <v>73</v>
      </c>
      <c r="BC104" s="11" t="s">
        <v>73</v>
      </c>
      <c r="BD104" s="11" t="s">
        <v>73</v>
      </c>
      <c r="BE104" s="11" t="s">
        <v>73</v>
      </c>
      <c r="BF104" s="11" t="s">
        <v>73</v>
      </c>
      <c r="BG104" s="11" t="s">
        <v>73</v>
      </c>
      <c r="BH104" s="10">
        <v>169</v>
      </c>
      <c r="BI104" s="10">
        <v>169</v>
      </c>
      <c r="BJ104" s="11" t="s">
        <v>73</v>
      </c>
      <c r="BK104" s="11" t="s">
        <v>73</v>
      </c>
      <c r="BL104" s="11" t="s">
        <v>73</v>
      </c>
      <c r="BM104" s="11" t="s">
        <v>73</v>
      </c>
      <c r="BN104" s="11" t="s">
        <v>237</v>
      </c>
      <c r="BO104" s="11" t="s">
        <v>73</v>
      </c>
      <c r="BP104" s="11" t="s">
        <v>73</v>
      </c>
      <c r="BQ104" s="11" t="s">
        <v>73</v>
      </c>
      <c r="BR104" s="11" t="s">
        <v>73</v>
      </c>
      <c r="BS104" s="11" t="s">
        <v>73</v>
      </c>
      <c r="BT104" s="18">
        <v>0</v>
      </c>
      <c r="BU104" s="18">
        <v>0</v>
      </c>
      <c r="BV104" s="18">
        <v>1</v>
      </c>
      <c r="BW104" s="30">
        <f>((AZ104^2)/(AZ104^2+BH104))^(1/2)</f>
        <v>0.12621550782577576</v>
      </c>
      <c r="BX104" s="30">
        <f>0.5*LN((1+BW104)/(1-BW104))</f>
        <v>0.12689220699041071</v>
      </c>
      <c r="BY104" s="30">
        <f>((1-(BX104^2)^2)/(BH104-1))</f>
        <v>5.9508377228610727E-3</v>
      </c>
      <c r="BZ104" s="30">
        <f>1/(BH104-3)</f>
        <v>6.024096385542169E-3</v>
      </c>
      <c r="CA104" s="92" t="s">
        <v>73</v>
      </c>
      <c r="CB104">
        <f>BH104-2</f>
        <v>167</v>
      </c>
      <c r="CC104" s="92" t="s">
        <v>73</v>
      </c>
      <c r="CD104" s="30">
        <f>((AZ104^2)/(AZ104^2+BI104))^(1/2)</f>
        <v>0.12621550782577576</v>
      </c>
      <c r="CE104" s="30">
        <f>0.5*LN((1+CD104)/(1-CD104))</f>
        <v>0.12689220699041071</v>
      </c>
      <c r="CF104" s="30">
        <f>((1-(CE104^2)^2)/(BI104-1))</f>
        <v>5.9508377228610727E-3</v>
      </c>
      <c r="CG104" s="30">
        <f>1/(BI104-3)</f>
        <v>6.024096385542169E-3</v>
      </c>
    </row>
    <row r="105" spans="1:86">
      <c r="A105" s="11" t="s">
        <v>222</v>
      </c>
      <c r="B105" s="11">
        <v>18</v>
      </c>
      <c r="C105" s="11">
        <v>1007</v>
      </c>
      <c r="D105" s="11">
        <v>103</v>
      </c>
      <c r="E105" s="11" t="s">
        <v>238</v>
      </c>
      <c r="F105" s="11">
        <v>2019</v>
      </c>
      <c r="G105" t="s">
        <v>239</v>
      </c>
      <c r="H105" s="10" t="s">
        <v>240</v>
      </c>
      <c r="I105" s="18">
        <v>2</v>
      </c>
      <c r="J105" s="10">
        <v>2018</v>
      </c>
      <c r="K105" s="11" t="s">
        <v>73</v>
      </c>
      <c r="L105" s="18">
        <v>23</v>
      </c>
      <c r="M105" s="202" t="s">
        <v>241</v>
      </c>
      <c r="N105" s="10" t="s">
        <v>242</v>
      </c>
      <c r="O105" s="18" t="s">
        <v>124</v>
      </c>
      <c r="P105" s="18" t="s">
        <v>243</v>
      </c>
      <c r="Q105" s="18" t="s">
        <v>244</v>
      </c>
      <c r="R105" s="18" t="s">
        <v>245</v>
      </c>
      <c r="S105" s="18">
        <v>0</v>
      </c>
      <c r="T105" s="11" t="s">
        <v>189</v>
      </c>
      <c r="U105" s="18">
        <v>0</v>
      </c>
      <c r="V105" s="153" t="s">
        <v>246</v>
      </c>
      <c r="W105" s="153" t="s">
        <v>246</v>
      </c>
      <c r="X105" s="154" t="s">
        <v>73</v>
      </c>
      <c r="Y105" s="18">
        <v>1</v>
      </c>
      <c r="Z105" s="18">
        <v>0</v>
      </c>
      <c r="AA105" s="18">
        <v>0</v>
      </c>
      <c r="AB105" s="18">
        <v>0</v>
      </c>
      <c r="AC105" s="18">
        <v>0</v>
      </c>
      <c r="AD105" s="11">
        <v>0</v>
      </c>
      <c r="AE105" s="11">
        <v>0</v>
      </c>
      <c r="AF105" s="11">
        <v>0</v>
      </c>
      <c r="AG105" s="18" t="s">
        <v>73</v>
      </c>
      <c r="AH105" s="18">
        <v>0</v>
      </c>
      <c r="AI105" s="18">
        <v>0</v>
      </c>
      <c r="AJ105" s="18">
        <v>0</v>
      </c>
      <c r="AK105" s="18">
        <v>0</v>
      </c>
      <c r="AL105" s="18">
        <v>0</v>
      </c>
      <c r="AM105" s="18">
        <v>0</v>
      </c>
      <c r="AN105" s="18">
        <v>0</v>
      </c>
      <c r="AO105" s="18">
        <v>1</v>
      </c>
      <c r="AP105" s="18">
        <v>0</v>
      </c>
      <c r="AQ105" s="18" t="s">
        <v>247</v>
      </c>
      <c r="AR105" t="s">
        <v>234</v>
      </c>
      <c r="AS105" s="10" t="s">
        <v>248</v>
      </c>
      <c r="AT105" s="11" t="s">
        <v>236</v>
      </c>
      <c r="AU105" s="197">
        <v>0.80900000000000005</v>
      </c>
      <c r="AV105" s="129" t="s">
        <v>80</v>
      </c>
      <c r="AW105" t="s">
        <v>73</v>
      </c>
      <c r="AX105" s="18">
        <v>0.01</v>
      </c>
      <c r="AY105" s="18">
        <v>1</v>
      </c>
      <c r="AZ105">
        <f>TINV(AX105,CB105)</f>
        <v>2.6014087465590463</v>
      </c>
      <c r="BA105" s="156">
        <v>0.31</v>
      </c>
      <c r="BB105" s="11" t="s">
        <v>73</v>
      </c>
      <c r="BC105" s="11" t="s">
        <v>73</v>
      </c>
      <c r="BD105" s="11" t="s">
        <v>73</v>
      </c>
      <c r="BE105" s="11" t="s">
        <v>73</v>
      </c>
      <c r="BF105" s="11" t="s">
        <v>73</v>
      </c>
      <c r="BG105" s="11" t="s">
        <v>73</v>
      </c>
      <c r="BH105" s="10">
        <v>196</v>
      </c>
      <c r="BI105" s="10">
        <v>196</v>
      </c>
      <c r="BJ105" s="11" t="s">
        <v>73</v>
      </c>
      <c r="BK105" s="11" t="s">
        <v>73</v>
      </c>
      <c r="BL105" s="11" t="s">
        <v>73</v>
      </c>
      <c r="BM105" s="11" t="s">
        <v>73</v>
      </c>
      <c r="BN105" s="11" t="s">
        <v>73</v>
      </c>
      <c r="BO105" s="11" t="s">
        <v>73</v>
      </c>
      <c r="BP105" s="11" t="s">
        <v>73</v>
      </c>
      <c r="BQ105" s="11" t="s">
        <v>73</v>
      </c>
      <c r="BR105" s="11" t="s">
        <v>73</v>
      </c>
      <c r="BS105" s="11" t="s">
        <v>73</v>
      </c>
      <c r="BT105" s="18">
        <v>0</v>
      </c>
      <c r="BU105" s="18">
        <v>0</v>
      </c>
      <c r="BV105" s="18">
        <v>1</v>
      </c>
      <c r="BW105" s="30">
        <f>((AZ105^2)/(AZ105^2+BH105))^(1/2)</f>
        <v>0.18268782595451913</v>
      </c>
      <c r="BX105" s="30">
        <f>0.5*LN((1+BW105)/(1-BW105))</f>
        <v>0.18476191295756308</v>
      </c>
      <c r="BY105" s="30">
        <f>((1-(BX105^2)^2)/(BH105-1))</f>
        <v>5.1222290649031235E-3</v>
      </c>
      <c r="BZ105" s="30">
        <f>1/(BH105-3)</f>
        <v>5.1813471502590676E-3</v>
      </c>
      <c r="CA105" s="92" t="s">
        <v>73</v>
      </c>
      <c r="CB105">
        <f>BH105-2</f>
        <v>194</v>
      </c>
      <c r="CC105" s="92" t="s">
        <v>73</v>
      </c>
      <c r="CD105" s="30">
        <f>((AZ105^2)/(AZ105^2+BI105))^(1/2)</f>
        <v>0.18268782595451913</v>
      </c>
      <c r="CE105" s="30">
        <f>0.5*LN((1+CD105)/(1-CD105))</f>
        <v>0.18476191295756308</v>
      </c>
      <c r="CF105" s="30">
        <f>((1-(CE105^2)^2)/(BI105-1))</f>
        <v>5.1222290649031235E-3</v>
      </c>
      <c r="CG105" s="30">
        <f>1/(BI105-3)</f>
        <v>5.1813471502590676E-3</v>
      </c>
    </row>
    <row r="106" spans="1:86">
      <c r="A106" s="11" t="s">
        <v>222</v>
      </c>
      <c r="B106" s="11">
        <v>18</v>
      </c>
      <c r="C106" s="11">
        <v>1009</v>
      </c>
      <c r="D106" s="11">
        <v>103</v>
      </c>
      <c r="E106" s="11" t="s">
        <v>238</v>
      </c>
      <c r="F106" s="11">
        <v>2019</v>
      </c>
      <c r="G106" t="s">
        <v>239</v>
      </c>
      <c r="H106" s="10" t="s">
        <v>240</v>
      </c>
      <c r="I106" s="18">
        <v>2</v>
      </c>
      <c r="J106" s="10">
        <v>2018</v>
      </c>
      <c r="K106" s="11" t="s">
        <v>73</v>
      </c>
      <c r="L106" s="18">
        <v>23</v>
      </c>
      <c r="M106" s="202" t="s">
        <v>241</v>
      </c>
      <c r="N106" s="10" t="s">
        <v>242</v>
      </c>
      <c r="O106" s="18" t="s">
        <v>124</v>
      </c>
      <c r="P106" s="18" t="s">
        <v>243</v>
      </c>
      <c r="Q106" s="18" t="s">
        <v>244</v>
      </c>
      <c r="R106" s="18" t="s">
        <v>245</v>
      </c>
      <c r="S106" s="18">
        <v>0</v>
      </c>
      <c r="T106" s="11" t="s">
        <v>189</v>
      </c>
      <c r="U106" s="18">
        <v>0</v>
      </c>
      <c r="V106" s="153" t="s">
        <v>246</v>
      </c>
      <c r="W106" s="153" t="s">
        <v>246</v>
      </c>
      <c r="X106" s="154" t="s">
        <v>73</v>
      </c>
      <c r="Y106" s="18">
        <v>0</v>
      </c>
      <c r="Z106" s="18">
        <v>0</v>
      </c>
      <c r="AA106" s="18">
        <v>0</v>
      </c>
      <c r="AB106" s="18">
        <v>0</v>
      </c>
      <c r="AC106" s="18">
        <v>0</v>
      </c>
      <c r="AD106" s="18">
        <v>1</v>
      </c>
      <c r="AE106" s="11">
        <v>0</v>
      </c>
      <c r="AF106" s="11">
        <v>0</v>
      </c>
      <c r="AG106" s="18" t="s">
        <v>73</v>
      </c>
      <c r="AH106" s="18">
        <v>0</v>
      </c>
      <c r="AI106" s="18">
        <v>0</v>
      </c>
      <c r="AJ106" s="18">
        <v>0</v>
      </c>
      <c r="AK106" s="18">
        <v>0</v>
      </c>
      <c r="AL106" s="18">
        <v>0</v>
      </c>
      <c r="AM106" s="18">
        <v>0</v>
      </c>
      <c r="AN106" s="18">
        <v>0</v>
      </c>
      <c r="AO106" s="18">
        <v>1</v>
      </c>
      <c r="AP106" s="18">
        <v>0</v>
      </c>
      <c r="AQ106" s="18" t="s">
        <v>247</v>
      </c>
      <c r="AR106" t="s">
        <v>234</v>
      </c>
      <c r="AS106" s="10" t="s">
        <v>249</v>
      </c>
      <c r="AT106" s="11" t="s">
        <v>236</v>
      </c>
      <c r="AU106" s="197">
        <v>0.42199999999999999</v>
      </c>
      <c r="AV106" s="129" t="s">
        <v>80</v>
      </c>
      <c r="AW106" t="s">
        <v>73</v>
      </c>
      <c r="AX106" s="18">
        <v>0.01</v>
      </c>
      <c r="AY106" s="18">
        <v>1</v>
      </c>
      <c r="AZ106">
        <f>TINV(AX106,CB106)</f>
        <v>2.6014087465590463</v>
      </c>
      <c r="BA106" s="155">
        <v>0.16600000000000001</v>
      </c>
      <c r="BB106" s="11" t="s">
        <v>73</v>
      </c>
      <c r="BC106" s="11" t="s">
        <v>73</v>
      </c>
      <c r="BD106" s="11" t="s">
        <v>73</v>
      </c>
      <c r="BE106" s="11" t="s">
        <v>73</v>
      </c>
      <c r="BF106" s="11" t="s">
        <v>73</v>
      </c>
      <c r="BG106" s="11" t="s">
        <v>73</v>
      </c>
      <c r="BH106" s="10">
        <v>196</v>
      </c>
      <c r="BI106" s="10">
        <v>196</v>
      </c>
      <c r="BJ106" s="11" t="s">
        <v>73</v>
      </c>
      <c r="BK106" s="11" t="s">
        <v>73</v>
      </c>
      <c r="BL106" s="11" t="s">
        <v>73</v>
      </c>
      <c r="BM106" s="11" t="s">
        <v>73</v>
      </c>
      <c r="BN106" s="11" t="s">
        <v>237</v>
      </c>
      <c r="BO106" s="11" t="s">
        <v>73</v>
      </c>
      <c r="BP106" s="11" t="s">
        <v>73</v>
      </c>
      <c r="BQ106" s="11" t="s">
        <v>73</v>
      </c>
      <c r="BR106" s="11" t="s">
        <v>73</v>
      </c>
      <c r="BS106" s="11" t="s">
        <v>73</v>
      </c>
      <c r="BT106" s="18">
        <v>0</v>
      </c>
      <c r="BU106" s="18">
        <v>0</v>
      </c>
      <c r="BV106" s="18">
        <v>1</v>
      </c>
      <c r="BW106" s="30">
        <f>((AZ106^2)/(AZ106^2+BH106))^(1/2)</f>
        <v>0.18268782595451913</v>
      </c>
      <c r="BX106" s="30">
        <f>0.5*LN((1+BW106)/(1-BW106))</f>
        <v>0.18476191295756308</v>
      </c>
      <c r="BY106" s="30">
        <f>((1-(BX106^2)^2)/(BH106-1))</f>
        <v>5.1222290649031235E-3</v>
      </c>
      <c r="BZ106" s="30">
        <f>1/(BH106-3)</f>
        <v>5.1813471502590676E-3</v>
      </c>
      <c r="CA106" s="92" t="s">
        <v>73</v>
      </c>
      <c r="CB106">
        <f>BH106-2</f>
        <v>194</v>
      </c>
      <c r="CC106" s="92" t="s">
        <v>73</v>
      </c>
      <c r="CD106" s="30">
        <f>((AZ106^2)/(AZ106^2+BI106))^(1/2)</f>
        <v>0.18268782595451913</v>
      </c>
      <c r="CE106" s="30">
        <f>0.5*LN((1+CD106)/(1-CD106))</f>
        <v>0.18476191295756308</v>
      </c>
      <c r="CF106" s="30">
        <f>((1-(CE106^2)^2)/(BI106-1))</f>
        <v>5.1222290649031235E-3</v>
      </c>
      <c r="CG106" s="30">
        <f>1/(BI106-3)</f>
        <v>5.1813471502590676E-3</v>
      </c>
    </row>
    <row r="107" spans="1:86">
      <c r="A107" s="11" t="s">
        <v>222</v>
      </c>
      <c r="B107" s="11">
        <v>18</v>
      </c>
      <c r="C107" s="11">
        <v>1011</v>
      </c>
      <c r="D107" s="11">
        <v>103</v>
      </c>
      <c r="E107" s="11" t="s">
        <v>238</v>
      </c>
      <c r="F107" s="11">
        <v>2019</v>
      </c>
      <c r="G107" t="s">
        <v>239</v>
      </c>
      <c r="H107" s="10" t="s">
        <v>240</v>
      </c>
      <c r="I107" s="18">
        <v>2</v>
      </c>
      <c r="J107" s="10">
        <v>2018</v>
      </c>
      <c r="K107" s="11" t="s">
        <v>73</v>
      </c>
      <c r="L107" s="18">
        <v>23</v>
      </c>
      <c r="M107" s="202" t="s">
        <v>241</v>
      </c>
      <c r="N107" s="10" t="s">
        <v>242</v>
      </c>
      <c r="O107" s="18" t="s">
        <v>124</v>
      </c>
      <c r="P107" s="18" t="s">
        <v>243</v>
      </c>
      <c r="Q107" s="18" t="s">
        <v>244</v>
      </c>
      <c r="R107" s="18" t="s">
        <v>245</v>
      </c>
      <c r="S107" s="18">
        <v>0</v>
      </c>
      <c r="T107" t="s">
        <v>189</v>
      </c>
      <c r="U107" s="18">
        <v>0</v>
      </c>
      <c r="V107" s="153" t="s">
        <v>246</v>
      </c>
      <c r="W107" s="153" t="s">
        <v>246</v>
      </c>
      <c r="X107" s="154" t="s">
        <v>73</v>
      </c>
      <c r="Y107" s="18">
        <v>0</v>
      </c>
      <c r="Z107" s="18">
        <v>0</v>
      </c>
      <c r="AA107" s="18">
        <v>0</v>
      </c>
      <c r="AB107" s="11">
        <v>0</v>
      </c>
      <c r="AC107" s="18">
        <v>0</v>
      </c>
      <c r="AD107" s="18">
        <v>0</v>
      </c>
      <c r="AE107" s="18">
        <v>1</v>
      </c>
      <c r="AF107" s="11">
        <v>0</v>
      </c>
      <c r="AG107" s="18" t="s">
        <v>73</v>
      </c>
      <c r="AH107" s="18">
        <v>0</v>
      </c>
      <c r="AI107" s="18">
        <v>0</v>
      </c>
      <c r="AJ107" s="18">
        <v>0</v>
      </c>
      <c r="AK107" s="18">
        <v>0</v>
      </c>
      <c r="AL107" s="18">
        <v>0</v>
      </c>
      <c r="AM107" s="18">
        <v>0</v>
      </c>
      <c r="AN107" s="11">
        <v>0</v>
      </c>
      <c r="AO107" s="11">
        <v>1</v>
      </c>
      <c r="AP107" s="18">
        <v>0</v>
      </c>
      <c r="AQ107" s="18" t="s">
        <v>247</v>
      </c>
      <c r="AR107" t="s">
        <v>234</v>
      </c>
      <c r="AS107" s="10" t="s">
        <v>249</v>
      </c>
      <c r="AT107" s="11" t="s">
        <v>236</v>
      </c>
      <c r="AU107" s="187">
        <v>0.60199999999999998</v>
      </c>
      <c r="AV107" s="7" t="s">
        <v>86</v>
      </c>
      <c r="AW107" t="s">
        <v>73</v>
      </c>
      <c r="AX107" s="18">
        <v>0.05</v>
      </c>
      <c r="AY107" s="18">
        <v>1</v>
      </c>
      <c r="AZ107">
        <f>TINV(AX107,CB107)</f>
        <v>1.9722675325821368</v>
      </c>
      <c r="BA107" s="155">
        <v>0.23599999999999999</v>
      </c>
      <c r="BB107" s="11" t="s">
        <v>73</v>
      </c>
      <c r="BC107" s="11" t="s">
        <v>73</v>
      </c>
      <c r="BD107" s="11" t="s">
        <v>73</v>
      </c>
      <c r="BE107" s="11" t="s">
        <v>73</v>
      </c>
      <c r="BF107" s="11" t="s">
        <v>73</v>
      </c>
      <c r="BG107" s="11" t="s">
        <v>73</v>
      </c>
      <c r="BH107" s="10">
        <v>196</v>
      </c>
      <c r="BI107" s="10">
        <v>196</v>
      </c>
      <c r="BJ107" s="11" t="s">
        <v>73</v>
      </c>
      <c r="BK107" s="11" t="s">
        <v>73</v>
      </c>
      <c r="BL107" s="11" t="s">
        <v>73</v>
      </c>
      <c r="BM107" s="11" t="s">
        <v>73</v>
      </c>
      <c r="BN107" s="11" t="s">
        <v>237</v>
      </c>
      <c r="BO107" s="11" t="s">
        <v>73</v>
      </c>
      <c r="BP107" s="11" t="s">
        <v>73</v>
      </c>
      <c r="BQ107" s="11" t="s">
        <v>73</v>
      </c>
      <c r="BR107" s="11" t="s">
        <v>73</v>
      </c>
      <c r="BS107" s="11" t="s">
        <v>73</v>
      </c>
      <c r="BT107" s="18">
        <v>0</v>
      </c>
      <c r="BU107" s="18">
        <v>0</v>
      </c>
      <c r="BV107" s="18">
        <v>1</v>
      </c>
      <c r="BW107" s="30">
        <f>((AZ107^2)/(AZ107^2+BH107))^(1/2)</f>
        <v>0.13949879819299352</v>
      </c>
      <c r="BX107" s="30">
        <f>0.5*LN((1+BW107)/(1-BW107))</f>
        <v>0.14041439085865218</v>
      </c>
      <c r="BY107" s="30">
        <f>((1-(BX107^2)^2)/(BH107-1))</f>
        <v>5.126211648265694E-3</v>
      </c>
      <c r="BZ107" s="30">
        <f>1/(BH107-3)</f>
        <v>5.1813471502590676E-3</v>
      </c>
      <c r="CA107" s="92" t="s">
        <v>73</v>
      </c>
      <c r="CB107">
        <f>BH107-2</f>
        <v>194</v>
      </c>
      <c r="CC107" s="92" t="s">
        <v>73</v>
      </c>
      <c r="CD107" s="30">
        <f>((AZ107^2)/(AZ107^2+BI107))^(1/2)</f>
        <v>0.13949879819299352</v>
      </c>
      <c r="CE107" s="30">
        <f>0.5*LN((1+CD107)/(1-CD107))</f>
        <v>0.14041439085865218</v>
      </c>
      <c r="CF107" s="30">
        <f>((1-(CE107^2)^2)/(BI107-1))</f>
        <v>5.126211648265694E-3</v>
      </c>
      <c r="CG107" s="30">
        <f>1/(BI107-3)</f>
        <v>5.1813471502590676E-3</v>
      </c>
    </row>
    <row r="108" spans="1:86">
      <c r="A108" s="108" t="s">
        <v>410</v>
      </c>
      <c r="B108" s="108">
        <v>21</v>
      </c>
      <c r="C108" s="92">
        <v>1252</v>
      </c>
      <c r="D108" s="108">
        <v>313</v>
      </c>
      <c r="E108" t="s">
        <v>435</v>
      </c>
      <c r="F108">
        <v>2018</v>
      </c>
      <c r="G108" t="s">
        <v>436</v>
      </c>
      <c r="H108" t="s">
        <v>437</v>
      </c>
      <c r="I108" s="10">
        <v>2</v>
      </c>
      <c r="J108">
        <v>2015</v>
      </c>
      <c r="K108" t="s">
        <v>438</v>
      </c>
      <c r="L108">
        <v>13</v>
      </c>
      <c r="M108" s="202" t="s">
        <v>439</v>
      </c>
      <c r="N108" t="s">
        <v>440</v>
      </c>
      <c r="O108" t="s">
        <v>441</v>
      </c>
      <c r="P108" s="10" t="s">
        <v>294</v>
      </c>
      <c r="Q108" t="s">
        <v>244</v>
      </c>
      <c r="R108" t="s">
        <v>255</v>
      </c>
      <c r="S108">
        <v>1</v>
      </c>
      <c r="T108" t="s">
        <v>342</v>
      </c>
      <c r="U108">
        <v>0</v>
      </c>
      <c r="V108" t="s">
        <v>246</v>
      </c>
      <c r="W108" t="s">
        <v>232</v>
      </c>
      <c r="X108" t="s">
        <v>442</v>
      </c>
      <c r="Y108" s="10">
        <v>0</v>
      </c>
      <c r="Z108" s="10">
        <v>1</v>
      </c>
      <c r="AA108" s="10">
        <v>0</v>
      </c>
      <c r="AB108" s="10">
        <v>0</v>
      </c>
      <c r="AC108" s="10">
        <v>0</v>
      </c>
      <c r="AD108" s="10">
        <v>0</v>
      </c>
      <c r="AE108" s="108">
        <v>0</v>
      </c>
      <c r="AF108" s="10">
        <v>0</v>
      </c>
      <c r="AG108" s="10" t="s">
        <v>443</v>
      </c>
      <c r="AH108" s="10">
        <v>0</v>
      </c>
      <c r="AI108" s="10">
        <v>0</v>
      </c>
      <c r="AJ108" s="10">
        <v>0</v>
      </c>
      <c r="AK108" s="10">
        <v>0</v>
      </c>
      <c r="AL108" s="10">
        <v>0</v>
      </c>
      <c r="AM108" s="10">
        <v>1</v>
      </c>
      <c r="AN108" s="10">
        <v>0</v>
      </c>
      <c r="AO108" s="10">
        <v>0</v>
      </c>
      <c r="AP108" s="10">
        <v>0</v>
      </c>
      <c r="AQ108" t="s">
        <v>444</v>
      </c>
      <c r="AR108" t="s">
        <v>234</v>
      </c>
      <c r="AS108" t="s">
        <v>445</v>
      </c>
      <c r="AT108" s="108" t="s">
        <v>236</v>
      </c>
      <c r="AU108" s="187">
        <v>0.21</v>
      </c>
      <c r="AV108" s="7" t="s">
        <v>80</v>
      </c>
      <c r="AW108">
        <v>0.03</v>
      </c>
      <c r="AX108">
        <v>0.05</v>
      </c>
      <c r="AY108">
        <v>1</v>
      </c>
      <c r="AZ108">
        <f>TINV(AX108,CB108)</f>
        <v>1.9639388980555066</v>
      </c>
      <c r="BA108" s="105">
        <f>EXP(AU108)/(1+EXP(AU108))</f>
        <v>0.5523079095743253</v>
      </c>
      <c r="BB108" s="10" t="s">
        <v>73</v>
      </c>
      <c r="BC108" s="10" t="s">
        <v>73</v>
      </c>
      <c r="BD108" s="10" t="s">
        <v>73</v>
      </c>
      <c r="BE108" s="10" t="s">
        <v>73</v>
      </c>
      <c r="BF108" s="10" t="s">
        <v>73</v>
      </c>
      <c r="BG108" s="10" t="s">
        <v>73</v>
      </c>
      <c r="BH108">
        <v>600</v>
      </c>
      <c r="BI108">
        <v>600</v>
      </c>
      <c r="BJ108" s="10" t="s">
        <v>73</v>
      </c>
      <c r="BK108" s="10" t="s">
        <v>73</v>
      </c>
      <c r="BL108" t="s">
        <v>73</v>
      </c>
      <c r="BM108" t="s">
        <v>73</v>
      </c>
      <c r="BN108" s="108" t="s">
        <v>73</v>
      </c>
      <c r="BO108" s="10" t="s">
        <v>73</v>
      </c>
      <c r="BP108" s="108" t="s">
        <v>73</v>
      </c>
      <c r="BQ108" s="108" t="s">
        <v>73</v>
      </c>
      <c r="BR108" s="108" t="s">
        <v>73</v>
      </c>
      <c r="BS108" s="108" t="s">
        <v>73</v>
      </c>
      <c r="BT108">
        <v>0</v>
      </c>
      <c r="BU108">
        <v>1</v>
      </c>
      <c r="BV108">
        <v>1</v>
      </c>
      <c r="BW108" s="30">
        <f>((AZ108^2)/(AZ108^2+BH108))^(1/2)</f>
        <v>7.9920998150068992E-2</v>
      </c>
      <c r="BX108" s="30">
        <f>0.5*LN((1+BW108)/(1-BW108))</f>
        <v>8.0091814824645752E-2</v>
      </c>
      <c r="BY108" s="30">
        <f>((1-(BX108^2)^2)/(BH108-1))</f>
        <v>1.6693803867099848E-3</v>
      </c>
      <c r="BZ108" s="30">
        <f>1/(BH108-3)</f>
        <v>1.6750418760469012E-3</v>
      </c>
      <c r="CA108" s="92" t="s">
        <v>73</v>
      </c>
      <c r="CB108">
        <f>BH108-2</f>
        <v>598</v>
      </c>
      <c r="CC108" s="92" t="s">
        <v>73</v>
      </c>
      <c r="CD108" s="30">
        <f>((AZ108^2)/(AZ108^2+BI108))^(1/2)</f>
        <v>7.9920998150068992E-2</v>
      </c>
      <c r="CE108" s="30">
        <f>0.5*LN((1+CD108)/(1-CD108))</f>
        <v>8.0091814824645752E-2</v>
      </c>
      <c r="CF108" s="30">
        <f>((1-(CE108^2)^2)/(BI108-1))</f>
        <v>1.6693803867099848E-3</v>
      </c>
      <c r="CG108" s="30">
        <f>1/(BI108-3)</f>
        <v>1.6750418760469012E-3</v>
      </c>
    </row>
    <row r="109" spans="1:86">
      <c r="A109" s="108" t="s">
        <v>410</v>
      </c>
      <c r="B109" s="108">
        <v>21</v>
      </c>
      <c r="C109" s="92">
        <v>1253</v>
      </c>
      <c r="D109" s="108">
        <v>313</v>
      </c>
      <c r="E109" t="s">
        <v>435</v>
      </c>
      <c r="F109">
        <v>2018</v>
      </c>
      <c r="G109" t="s">
        <v>436</v>
      </c>
      <c r="H109" t="s">
        <v>437</v>
      </c>
      <c r="I109" s="10">
        <v>2</v>
      </c>
      <c r="J109">
        <v>2015</v>
      </c>
      <c r="K109" t="s">
        <v>438</v>
      </c>
      <c r="L109">
        <v>13</v>
      </c>
      <c r="M109" s="202" t="s">
        <v>439</v>
      </c>
      <c r="N109" t="s">
        <v>440</v>
      </c>
      <c r="O109" t="s">
        <v>441</v>
      </c>
      <c r="P109" s="10" t="s">
        <v>294</v>
      </c>
      <c r="Q109" t="s">
        <v>244</v>
      </c>
      <c r="R109" t="s">
        <v>255</v>
      </c>
      <c r="S109">
        <v>1</v>
      </c>
      <c r="T109" t="s">
        <v>342</v>
      </c>
      <c r="U109">
        <v>0</v>
      </c>
      <c r="V109" t="s">
        <v>246</v>
      </c>
      <c r="W109" t="s">
        <v>232</v>
      </c>
      <c r="X109" t="s">
        <v>442</v>
      </c>
      <c r="Y109" s="10">
        <v>0</v>
      </c>
      <c r="Z109" s="10">
        <v>1</v>
      </c>
      <c r="AA109" s="10">
        <v>0</v>
      </c>
      <c r="AB109" s="10">
        <v>0</v>
      </c>
      <c r="AC109" s="10">
        <v>0</v>
      </c>
      <c r="AD109" s="10">
        <v>0</v>
      </c>
      <c r="AE109" s="108">
        <v>0</v>
      </c>
      <c r="AF109" s="10">
        <v>0</v>
      </c>
      <c r="AG109" s="10" t="s">
        <v>443</v>
      </c>
      <c r="AH109" s="10">
        <v>0</v>
      </c>
      <c r="AI109" s="10">
        <v>0</v>
      </c>
      <c r="AJ109" s="10">
        <v>0</v>
      </c>
      <c r="AK109" s="10">
        <v>0</v>
      </c>
      <c r="AL109" s="10">
        <v>0</v>
      </c>
      <c r="AM109" s="10">
        <v>1</v>
      </c>
      <c r="AN109" s="10">
        <v>0</v>
      </c>
      <c r="AO109" s="10">
        <v>0</v>
      </c>
      <c r="AP109" s="10">
        <v>0</v>
      </c>
      <c r="AQ109" t="s">
        <v>444</v>
      </c>
      <c r="AR109" t="s">
        <v>234</v>
      </c>
      <c r="AS109" t="s">
        <v>445</v>
      </c>
      <c r="AT109" s="108" t="s">
        <v>236</v>
      </c>
      <c r="AU109" s="187">
        <v>0.27</v>
      </c>
      <c r="AV109" s="7" t="s">
        <v>80</v>
      </c>
      <c r="AW109">
        <v>0.05</v>
      </c>
      <c r="AX109">
        <v>0.05</v>
      </c>
      <c r="AY109">
        <v>1</v>
      </c>
      <c r="AZ109">
        <f>TINV(AX109,CB109)</f>
        <v>1.9639388980555066</v>
      </c>
      <c r="BA109" s="105">
        <f>EXP(AU109)/(1+EXP(AU109))</f>
        <v>0.56709290496545439</v>
      </c>
      <c r="BB109" s="10" t="s">
        <v>73</v>
      </c>
      <c r="BC109" s="10" t="s">
        <v>73</v>
      </c>
      <c r="BD109" s="10" t="s">
        <v>73</v>
      </c>
      <c r="BE109" s="10" t="s">
        <v>73</v>
      </c>
      <c r="BF109" s="10" t="s">
        <v>73</v>
      </c>
      <c r="BG109" s="10" t="s">
        <v>73</v>
      </c>
      <c r="BH109">
        <v>600</v>
      </c>
      <c r="BI109">
        <v>600</v>
      </c>
      <c r="BJ109" s="10" t="s">
        <v>73</v>
      </c>
      <c r="BK109" s="10" t="s">
        <v>73</v>
      </c>
      <c r="BL109" t="s">
        <v>73</v>
      </c>
      <c r="BM109" t="s">
        <v>73</v>
      </c>
      <c r="BN109" s="108" t="s">
        <v>73</v>
      </c>
      <c r="BO109" s="10" t="s">
        <v>73</v>
      </c>
      <c r="BP109" s="108" t="s">
        <v>73</v>
      </c>
      <c r="BQ109" s="108" t="s">
        <v>73</v>
      </c>
      <c r="BR109" s="108" t="s">
        <v>73</v>
      </c>
      <c r="BS109" s="108" t="s">
        <v>73</v>
      </c>
      <c r="BT109">
        <v>0</v>
      </c>
      <c r="BU109">
        <v>1</v>
      </c>
      <c r="BV109">
        <v>1</v>
      </c>
      <c r="BW109" s="30">
        <f>((AZ109^2)/(AZ109^2+BH109))^(1/2)</f>
        <v>7.9920998150068992E-2</v>
      </c>
      <c r="BX109" s="30">
        <f>0.5*LN((1+BW109)/(1-BW109))</f>
        <v>8.0091814824645752E-2</v>
      </c>
      <c r="BY109" s="30">
        <f>((1-(BX109^2)^2)/(BH109-1))</f>
        <v>1.6693803867099848E-3</v>
      </c>
      <c r="BZ109" s="30">
        <f>1/(BH109-3)</f>
        <v>1.6750418760469012E-3</v>
      </c>
      <c r="CA109" s="92" t="s">
        <v>73</v>
      </c>
      <c r="CB109">
        <f>BH109-2</f>
        <v>598</v>
      </c>
      <c r="CC109" s="92" t="s">
        <v>73</v>
      </c>
      <c r="CD109" s="30">
        <f>((AZ109^2)/(AZ109^2+BI109))^(1/2)</f>
        <v>7.9920998150068992E-2</v>
      </c>
      <c r="CE109" s="30">
        <f>0.5*LN((1+CD109)/(1-CD109))</f>
        <v>8.0091814824645752E-2</v>
      </c>
      <c r="CF109" s="30">
        <f>((1-(CE109^2)^2)/(BI109-1))</f>
        <v>1.6693803867099848E-3</v>
      </c>
      <c r="CG109" s="30">
        <f>1/(BI109-3)</f>
        <v>1.6750418760469012E-3</v>
      </c>
    </row>
    <row r="110" spans="1:86">
      <c r="A110" s="108" t="s">
        <v>410</v>
      </c>
      <c r="B110" s="108">
        <v>21</v>
      </c>
      <c r="C110" s="92">
        <v>1270</v>
      </c>
      <c r="D110" s="108">
        <v>313</v>
      </c>
      <c r="E110" t="s">
        <v>435</v>
      </c>
      <c r="F110">
        <v>2018</v>
      </c>
      <c r="G110" t="s">
        <v>436</v>
      </c>
      <c r="H110" t="s">
        <v>437</v>
      </c>
      <c r="I110" s="10">
        <v>2</v>
      </c>
      <c r="J110">
        <v>2015</v>
      </c>
      <c r="K110" t="s">
        <v>438</v>
      </c>
      <c r="L110">
        <v>13</v>
      </c>
      <c r="M110" s="202" t="s">
        <v>439</v>
      </c>
      <c r="N110" t="s">
        <v>440</v>
      </c>
      <c r="O110" t="s">
        <v>441</v>
      </c>
      <c r="P110" s="10" t="s">
        <v>294</v>
      </c>
      <c r="Q110" t="s">
        <v>244</v>
      </c>
      <c r="R110" t="s">
        <v>255</v>
      </c>
      <c r="S110">
        <v>1</v>
      </c>
      <c r="T110" t="s">
        <v>342</v>
      </c>
      <c r="U110">
        <v>0</v>
      </c>
      <c r="V110" t="s">
        <v>246</v>
      </c>
      <c r="W110" t="s">
        <v>232</v>
      </c>
      <c r="X110" t="s">
        <v>442</v>
      </c>
      <c r="Y110" s="10">
        <v>0</v>
      </c>
      <c r="Z110" s="10">
        <v>1</v>
      </c>
      <c r="AA110" s="10">
        <v>0</v>
      </c>
      <c r="AB110" s="10">
        <v>0</v>
      </c>
      <c r="AC110" s="10">
        <v>0</v>
      </c>
      <c r="AD110" s="10">
        <v>0</v>
      </c>
      <c r="AE110" s="108">
        <v>0</v>
      </c>
      <c r="AF110" s="10">
        <v>0</v>
      </c>
      <c r="AG110" s="10" t="s">
        <v>443</v>
      </c>
      <c r="AH110" s="10">
        <v>0</v>
      </c>
      <c r="AI110" s="10">
        <v>0</v>
      </c>
      <c r="AJ110" s="10">
        <v>0</v>
      </c>
      <c r="AK110" s="10">
        <v>0</v>
      </c>
      <c r="AL110" s="10">
        <v>0</v>
      </c>
      <c r="AM110" s="10">
        <v>1</v>
      </c>
      <c r="AN110" s="10">
        <v>0</v>
      </c>
      <c r="AO110" s="10">
        <v>0</v>
      </c>
      <c r="AP110" s="10">
        <v>0</v>
      </c>
      <c r="AQ110" t="s">
        <v>444</v>
      </c>
      <c r="AR110" t="s">
        <v>234</v>
      </c>
      <c r="AS110" t="s">
        <v>445</v>
      </c>
      <c r="AT110" s="108" t="s">
        <v>236</v>
      </c>
      <c r="AU110" s="187">
        <v>0.09</v>
      </c>
      <c r="AV110" s="7" t="s">
        <v>80</v>
      </c>
      <c r="AW110">
        <v>0.12</v>
      </c>
      <c r="AX110">
        <v>0.05</v>
      </c>
      <c r="AY110">
        <v>2</v>
      </c>
      <c r="AZ110">
        <f>TINV(0.1,CB110)</f>
        <v>1.6474057119344734</v>
      </c>
      <c r="BA110" s="105">
        <f>EXP(AU110)/(1+EXP(AU110))</f>
        <v>0.52248482479180014</v>
      </c>
      <c r="BB110" s="10" t="s">
        <v>73</v>
      </c>
      <c r="BC110" s="10" t="s">
        <v>73</v>
      </c>
      <c r="BD110" s="10" t="s">
        <v>73</v>
      </c>
      <c r="BE110" s="10" t="s">
        <v>73</v>
      </c>
      <c r="BF110" s="10" t="s">
        <v>73</v>
      </c>
      <c r="BG110" s="10" t="s">
        <v>73</v>
      </c>
      <c r="BH110">
        <v>600</v>
      </c>
      <c r="BI110">
        <v>600</v>
      </c>
      <c r="BJ110" s="10" t="s">
        <v>73</v>
      </c>
      <c r="BK110" s="10" t="s">
        <v>73</v>
      </c>
      <c r="BL110" t="s">
        <v>73</v>
      </c>
      <c r="BM110" t="s">
        <v>73</v>
      </c>
      <c r="BN110" s="108" t="s">
        <v>73</v>
      </c>
      <c r="BO110" s="10" t="s">
        <v>73</v>
      </c>
      <c r="BP110" s="108" t="s">
        <v>73</v>
      </c>
      <c r="BQ110" s="108" t="s">
        <v>73</v>
      </c>
      <c r="BR110" s="108" t="s">
        <v>73</v>
      </c>
      <c r="BS110" s="108" t="s">
        <v>73</v>
      </c>
      <c r="BT110">
        <v>0</v>
      </c>
      <c r="BU110">
        <v>1</v>
      </c>
      <c r="BV110">
        <v>1</v>
      </c>
      <c r="BW110" s="30">
        <f>((AZ110^2)/(AZ110^2+BH110))^(1/2)</f>
        <v>6.7103465160314887E-2</v>
      </c>
      <c r="BX110" s="30">
        <f>0.5*LN((1+BW110)/(1-BW110))</f>
        <v>6.7204457661064573E-2</v>
      </c>
      <c r="BY110" s="30">
        <f>((1-(BX110^2)^2)/(BH110-1))</f>
        <v>1.6694150280093312E-3</v>
      </c>
      <c r="BZ110" s="30">
        <f>1/(BH110-3)</f>
        <v>1.6750418760469012E-3</v>
      </c>
      <c r="CA110" s="92" t="s">
        <v>73</v>
      </c>
      <c r="CB110">
        <f>BH110-2</f>
        <v>598</v>
      </c>
      <c r="CC110" s="92" t="s">
        <v>73</v>
      </c>
      <c r="CD110" s="30">
        <f>((AZ110^2)/(AZ110^2+BI110))^(1/2)</f>
        <v>6.7103465160314887E-2</v>
      </c>
      <c r="CE110" s="30">
        <f>0.5*LN((1+CD110)/(1-CD110))</f>
        <v>6.7204457661064573E-2</v>
      </c>
      <c r="CF110" s="30">
        <f>((1-(CE110^2)^2)/(BI110-1))</f>
        <v>1.6694150280093312E-3</v>
      </c>
      <c r="CG110" s="30">
        <f>1/(BI110-3)</f>
        <v>1.6750418760469012E-3</v>
      </c>
      <c r="CH110" s="119"/>
    </row>
    <row r="111" spans="1:86" ht="17.100000000000001" customHeight="1">
      <c r="A111" s="108" t="s">
        <v>410</v>
      </c>
      <c r="B111" s="108">
        <v>21</v>
      </c>
      <c r="C111" s="92">
        <v>1271</v>
      </c>
      <c r="D111" s="108">
        <v>313</v>
      </c>
      <c r="E111" t="s">
        <v>435</v>
      </c>
      <c r="F111">
        <v>2018</v>
      </c>
      <c r="G111" t="s">
        <v>436</v>
      </c>
      <c r="H111" t="s">
        <v>437</v>
      </c>
      <c r="I111" s="10">
        <v>2</v>
      </c>
      <c r="J111">
        <v>2015</v>
      </c>
      <c r="K111" t="s">
        <v>438</v>
      </c>
      <c r="L111">
        <v>13</v>
      </c>
      <c r="M111" s="202" t="s">
        <v>439</v>
      </c>
      <c r="N111" t="s">
        <v>440</v>
      </c>
      <c r="O111" t="s">
        <v>441</v>
      </c>
      <c r="P111" s="10" t="s">
        <v>294</v>
      </c>
      <c r="Q111" t="s">
        <v>244</v>
      </c>
      <c r="R111" t="s">
        <v>255</v>
      </c>
      <c r="S111">
        <v>1</v>
      </c>
      <c r="T111" t="s">
        <v>342</v>
      </c>
      <c r="U111">
        <v>0</v>
      </c>
      <c r="V111" t="s">
        <v>246</v>
      </c>
      <c r="W111" t="s">
        <v>232</v>
      </c>
      <c r="X111" t="s">
        <v>442</v>
      </c>
      <c r="Y111" s="10">
        <v>0</v>
      </c>
      <c r="Z111" s="10">
        <v>1</v>
      </c>
      <c r="AA111" s="10">
        <v>0</v>
      </c>
      <c r="AB111" s="10">
        <v>0</v>
      </c>
      <c r="AC111" s="10">
        <v>0</v>
      </c>
      <c r="AD111" s="10">
        <v>0</v>
      </c>
      <c r="AE111" s="108">
        <v>0</v>
      </c>
      <c r="AF111" s="10">
        <v>0</v>
      </c>
      <c r="AG111" s="10" t="s">
        <v>443</v>
      </c>
      <c r="AH111" s="10">
        <v>0</v>
      </c>
      <c r="AI111" s="10">
        <v>0</v>
      </c>
      <c r="AJ111" s="10">
        <v>0</v>
      </c>
      <c r="AK111" s="10">
        <v>0</v>
      </c>
      <c r="AL111" s="10">
        <v>0</v>
      </c>
      <c r="AM111" s="10">
        <v>1</v>
      </c>
      <c r="AN111" s="10">
        <v>0</v>
      </c>
      <c r="AO111" s="10">
        <v>0</v>
      </c>
      <c r="AP111" s="10">
        <v>0</v>
      </c>
      <c r="AQ111" t="s">
        <v>444</v>
      </c>
      <c r="AR111" t="s">
        <v>234</v>
      </c>
      <c r="AS111" t="s">
        <v>445</v>
      </c>
      <c r="AT111" s="108" t="s">
        <v>236</v>
      </c>
      <c r="AU111" s="187">
        <v>0.1</v>
      </c>
      <c r="AV111" s="7" t="s">
        <v>80</v>
      </c>
      <c r="AW111">
        <v>0.11</v>
      </c>
      <c r="AX111">
        <v>0.05</v>
      </c>
      <c r="AY111">
        <v>2</v>
      </c>
      <c r="AZ111">
        <f>TINV(0.1,CB111)</f>
        <v>1.6474057119344734</v>
      </c>
      <c r="BA111" s="105">
        <f>EXP(AU111)/(1+EXP(AU111))</f>
        <v>0.52497918747894001</v>
      </c>
      <c r="BB111" s="10" t="s">
        <v>73</v>
      </c>
      <c r="BC111" s="10" t="s">
        <v>73</v>
      </c>
      <c r="BD111" s="10" t="s">
        <v>73</v>
      </c>
      <c r="BE111" s="10" t="s">
        <v>73</v>
      </c>
      <c r="BF111" s="10" t="s">
        <v>73</v>
      </c>
      <c r="BG111" s="10" t="s">
        <v>73</v>
      </c>
      <c r="BH111">
        <v>600</v>
      </c>
      <c r="BI111">
        <v>600</v>
      </c>
      <c r="BJ111" s="10" t="s">
        <v>73</v>
      </c>
      <c r="BK111" s="10" t="s">
        <v>73</v>
      </c>
      <c r="BL111" t="s">
        <v>73</v>
      </c>
      <c r="BM111" t="s">
        <v>73</v>
      </c>
      <c r="BN111" s="108" t="s">
        <v>73</v>
      </c>
      <c r="BO111" s="10" t="s">
        <v>73</v>
      </c>
      <c r="BP111" s="108" t="s">
        <v>73</v>
      </c>
      <c r="BQ111" s="108" t="s">
        <v>73</v>
      </c>
      <c r="BR111" s="108" t="s">
        <v>73</v>
      </c>
      <c r="BS111" s="108" t="s">
        <v>73</v>
      </c>
      <c r="BT111">
        <v>0</v>
      </c>
      <c r="BU111">
        <v>1</v>
      </c>
      <c r="BV111">
        <v>1</v>
      </c>
      <c r="BW111" s="30">
        <f>((AZ111^2)/(AZ111^2+BH111))^(1/2)</f>
        <v>6.7103465160314887E-2</v>
      </c>
      <c r="BX111" s="30">
        <f>0.5*LN((1+BW111)/(1-BW111))</f>
        <v>6.7204457661064573E-2</v>
      </c>
      <c r="BY111" s="30">
        <f>((1-(BX111^2)^2)/(BH111-1))</f>
        <v>1.6694150280093312E-3</v>
      </c>
      <c r="BZ111" s="30">
        <f>1/(BH111-3)</f>
        <v>1.6750418760469012E-3</v>
      </c>
      <c r="CA111" s="92" t="s">
        <v>73</v>
      </c>
      <c r="CB111">
        <f>BH111-2</f>
        <v>598</v>
      </c>
      <c r="CC111" s="92" t="s">
        <v>73</v>
      </c>
      <c r="CD111" s="30">
        <f>((AZ111^2)/(AZ111^2+BI111))^(1/2)</f>
        <v>6.7103465160314887E-2</v>
      </c>
      <c r="CE111" s="30">
        <f>0.5*LN((1+CD111)/(1-CD111))</f>
        <v>6.7204457661064573E-2</v>
      </c>
      <c r="CF111" s="30">
        <f>((1-(CE111^2)^2)/(BI111-1))</f>
        <v>1.6694150280093312E-3</v>
      </c>
      <c r="CG111" s="30">
        <f>1/(BI111-3)</f>
        <v>1.6750418760469012E-3</v>
      </c>
    </row>
    <row r="112" spans="1:86" ht="17.100000000000001" customHeight="1">
      <c r="A112" s="108" t="s">
        <v>410</v>
      </c>
      <c r="B112" s="108">
        <v>21</v>
      </c>
      <c r="C112" s="92">
        <v>1272</v>
      </c>
      <c r="D112" s="108">
        <v>313</v>
      </c>
      <c r="E112" t="s">
        <v>435</v>
      </c>
      <c r="F112">
        <v>2018</v>
      </c>
      <c r="G112" t="s">
        <v>436</v>
      </c>
      <c r="H112" t="s">
        <v>437</v>
      </c>
      <c r="I112" s="10">
        <v>2</v>
      </c>
      <c r="J112">
        <v>2015</v>
      </c>
      <c r="K112" t="s">
        <v>438</v>
      </c>
      <c r="L112">
        <v>13</v>
      </c>
      <c r="M112" s="202" t="s">
        <v>439</v>
      </c>
      <c r="N112" t="s">
        <v>440</v>
      </c>
      <c r="O112" t="s">
        <v>441</v>
      </c>
      <c r="P112" s="10" t="s">
        <v>294</v>
      </c>
      <c r="Q112" t="s">
        <v>244</v>
      </c>
      <c r="R112" t="s">
        <v>255</v>
      </c>
      <c r="S112">
        <v>1</v>
      </c>
      <c r="T112" t="s">
        <v>342</v>
      </c>
      <c r="U112">
        <v>0</v>
      </c>
      <c r="V112" t="s">
        <v>246</v>
      </c>
      <c r="W112" t="s">
        <v>232</v>
      </c>
      <c r="X112" t="s">
        <v>442</v>
      </c>
      <c r="Y112" s="10">
        <v>0</v>
      </c>
      <c r="Z112" s="10">
        <v>1</v>
      </c>
      <c r="AA112" s="10">
        <v>1</v>
      </c>
      <c r="AB112" s="10">
        <v>0</v>
      </c>
      <c r="AC112" s="10">
        <v>0</v>
      </c>
      <c r="AD112" s="10">
        <v>0</v>
      </c>
      <c r="AE112" s="108">
        <v>0</v>
      </c>
      <c r="AF112" s="10">
        <v>0</v>
      </c>
      <c r="AG112" s="10" t="s">
        <v>443</v>
      </c>
      <c r="AH112" s="10">
        <v>0</v>
      </c>
      <c r="AI112" s="10">
        <v>0</v>
      </c>
      <c r="AJ112" s="10">
        <v>0</v>
      </c>
      <c r="AK112" s="10">
        <v>0</v>
      </c>
      <c r="AL112" s="10">
        <v>0</v>
      </c>
      <c r="AM112" s="10">
        <v>1</v>
      </c>
      <c r="AN112" s="10">
        <v>0</v>
      </c>
      <c r="AO112" s="10">
        <v>0</v>
      </c>
      <c r="AP112" s="10">
        <v>0</v>
      </c>
      <c r="AQ112" t="s">
        <v>444</v>
      </c>
      <c r="AR112" t="s">
        <v>234</v>
      </c>
      <c r="AS112" t="s">
        <v>445</v>
      </c>
      <c r="AT112" s="108" t="s">
        <v>236</v>
      </c>
      <c r="AU112" s="187">
        <v>0.87</v>
      </c>
      <c r="AV112" s="7" t="s">
        <v>80</v>
      </c>
      <c r="AW112">
        <v>0.1</v>
      </c>
      <c r="AX112">
        <v>0.05</v>
      </c>
      <c r="AY112">
        <v>1</v>
      </c>
      <c r="AZ112">
        <f>TINV(AX112,CB112)</f>
        <v>1.9639388980555066</v>
      </c>
      <c r="BA112" s="105">
        <f>EXP(AU112)/(1+EXP(AU112))</f>
        <v>0.70474569799809106</v>
      </c>
      <c r="BB112" s="10" t="s">
        <v>73</v>
      </c>
      <c r="BC112" s="10" t="s">
        <v>73</v>
      </c>
      <c r="BD112" s="10" t="s">
        <v>73</v>
      </c>
      <c r="BE112" s="10" t="s">
        <v>73</v>
      </c>
      <c r="BF112" s="10" t="s">
        <v>73</v>
      </c>
      <c r="BG112" s="10" t="s">
        <v>73</v>
      </c>
      <c r="BH112">
        <v>600</v>
      </c>
      <c r="BI112">
        <v>600</v>
      </c>
      <c r="BJ112" s="10" t="s">
        <v>73</v>
      </c>
      <c r="BK112" s="10" t="s">
        <v>73</v>
      </c>
      <c r="BL112" t="s">
        <v>73</v>
      </c>
      <c r="BM112" t="s">
        <v>73</v>
      </c>
      <c r="BN112" s="108" t="s">
        <v>73</v>
      </c>
      <c r="BO112" s="10" t="s">
        <v>73</v>
      </c>
      <c r="BP112" s="108" t="s">
        <v>73</v>
      </c>
      <c r="BQ112" s="108" t="s">
        <v>73</v>
      </c>
      <c r="BR112" s="108" t="s">
        <v>73</v>
      </c>
      <c r="BS112" s="108" t="s">
        <v>73</v>
      </c>
      <c r="BT112">
        <v>0</v>
      </c>
      <c r="BU112">
        <v>1</v>
      </c>
      <c r="BV112">
        <v>1</v>
      </c>
      <c r="BW112" s="30">
        <f>((AZ112^2)/(AZ112^2+BH112))^(1/2)</f>
        <v>7.9920998150068992E-2</v>
      </c>
      <c r="BX112" s="30">
        <f>0.5*LN((1+BW112)/(1-BW112))</f>
        <v>8.0091814824645752E-2</v>
      </c>
      <c r="BY112" s="30">
        <f>((1-(BX112^2)^2)/(BH112-1))</f>
        <v>1.6693803867099848E-3</v>
      </c>
      <c r="BZ112" s="30">
        <f>1/(BH112-3)</f>
        <v>1.6750418760469012E-3</v>
      </c>
      <c r="CA112" s="92" t="s">
        <v>73</v>
      </c>
      <c r="CB112">
        <f>BH112-2</f>
        <v>598</v>
      </c>
      <c r="CC112" s="92" t="s">
        <v>73</v>
      </c>
      <c r="CD112" s="30">
        <f>((AZ112^2)/(AZ112^2+BI112))^(1/2)</f>
        <v>7.9920998150068992E-2</v>
      </c>
      <c r="CE112" s="30">
        <f>0.5*LN((1+CD112)/(1-CD112))</f>
        <v>8.0091814824645752E-2</v>
      </c>
      <c r="CF112" s="30">
        <f>((1-(CE112^2)^2)/(BI112-1))</f>
        <v>1.6693803867099848E-3</v>
      </c>
      <c r="CG112" s="30">
        <f>1/(BI112-3)</f>
        <v>1.6750418760469012E-3</v>
      </c>
      <c r="CH112" s="119"/>
    </row>
    <row r="113" spans="1:86">
      <c r="A113" s="108" t="s">
        <v>410</v>
      </c>
      <c r="B113" s="108">
        <v>21</v>
      </c>
      <c r="C113" s="92">
        <v>1273</v>
      </c>
      <c r="D113" s="108">
        <v>313</v>
      </c>
      <c r="E113" t="s">
        <v>435</v>
      </c>
      <c r="F113">
        <v>2018</v>
      </c>
      <c r="G113" t="s">
        <v>436</v>
      </c>
      <c r="H113" t="s">
        <v>437</v>
      </c>
      <c r="I113" s="10">
        <v>2</v>
      </c>
      <c r="J113">
        <v>2015</v>
      </c>
      <c r="K113" t="s">
        <v>438</v>
      </c>
      <c r="L113">
        <v>13</v>
      </c>
      <c r="M113" s="202" t="s">
        <v>439</v>
      </c>
      <c r="N113" t="s">
        <v>440</v>
      </c>
      <c r="O113" t="s">
        <v>441</v>
      </c>
      <c r="P113" s="10" t="s">
        <v>294</v>
      </c>
      <c r="Q113" t="s">
        <v>244</v>
      </c>
      <c r="R113" t="s">
        <v>255</v>
      </c>
      <c r="S113">
        <v>1</v>
      </c>
      <c r="T113" t="s">
        <v>342</v>
      </c>
      <c r="U113">
        <v>0</v>
      </c>
      <c r="V113" t="s">
        <v>246</v>
      </c>
      <c r="W113" t="s">
        <v>232</v>
      </c>
      <c r="X113" t="s">
        <v>442</v>
      </c>
      <c r="Y113" s="10">
        <v>0</v>
      </c>
      <c r="Z113" s="10">
        <v>1</v>
      </c>
      <c r="AA113" s="10">
        <v>1</v>
      </c>
      <c r="AB113" s="10">
        <v>0</v>
      </c>
      <c r="AC113" s="10">
        <v>0</v>
      </c>
      <c r="AD113" s="10">
        <v>0</v>
      </c>
      <c r="AE113" s="108">
        <v>0</v>
      </c>
      <c r="AF113" s="10">
        <v>0</v>
      </c>
      <c r="AG113" s="10" t="s">
        <v>443</v>
      </c>
      <c r="AH113" s="10">
        <v>0</v>
      </c>
      <c r="AI113" s="10">
        <v>0</v>
      </c>
      <c r="AJ113" s="10">
        <v>0</v>
      </c>
      <c r="AK113" s="10">
        <v>0</v>
      </c>
      <c r="AL113" s="10">
        <v>0</v>
      </c>
      <c r="AM113" s="10">
        <v>1</v>
      </c>
      <c r="AN113" s="10">
        <v>0</v>
      </c>
      <c r="AO113" s="10">
        <v>0</v>
      </c>
      <c r="AP113" s="10">
        <v>0</v>
      </c>
      <c r="AQ113" t="s">
        <v>444</v>
      </c>
      <c r="AR113" t="s">
        <v>234</v>
      </c>
      <c r="AS113" t="s">
        <v>445</v>
      </c>
      <c r="AT113" s="108" t="s">
        <v>236</v>
      </c>
      <c r="AU113" s="187">
        <v>0.85</v>
      </c>
      <c r="AV113" s="7" t="s">
        <v>80</v>
      </c>
      <c r="AW113">
        <v>0.11</v>
      </c>
      <c r="AX113">
        <v>0.05</v>
      </c>
      <c r="AY113">
        <v>1</v>
      </c>
      <c r="AZ113">
        <f>TINV(AX113,CB113)</f>
        <v>1.9639388980555066</v>
      </c>
      <c r="BA113" s="105">
        <f>EXP(AU113)/(1+EXP(AU113))</f>
        <v>0.70056714247397289</v>
      </c>
      <c r="BB113" s="10" t="s">
        <v>73</v>
      </c>
      <c r="BC113" s="10" t="s">
        <v>73</v>
      </c>
      <c r="BD113" s="10" t="s">
        <v>73</v>
      </c>
      <c r="BE113" s="10" t="s">
        <v>73</v>
      </c>
      <c r="BF113" s="10" t="s">
        <v>73</v>
      </c>
      <c r="BG113" s="10" t="s">
        <v>73</v>
      </c>
      <c r="BH113">
        <v>600</v>
      </c>
      <c r="BI113">
        <v>600</v>
      </c>
      <c r="BJ113" s="10" t="s">
        <v>73</v>
      </c>
      <c r="BK113" s="10" t="s">
        <v>73</v>
      </c>
      <c r="BL113" t="s">
        <v>73</v>
      </c>
      <c r="BM113" t="s">
        <v>73</v>
      </c>
      <c r="BN113" s="108" t="s">
        <v>73</v>
      </c>
      <c r="BO113" s="10" t="s">
        <v>73</v>
      </c>
      <c r="BP113" s="108" t="s">
        <v>73</v>
      </c>
      <c r="BQ113" s="108" t="s">
        <v>73</v>
      </c>
      <c r="BR113" s="108" t="s">
        <v>73</v>
      </c>
      <c r="BS113" s="108" t="s">
        <v>73</v>
      </c>
      <c r="BT113">
        <v>0</v>
      </c>
      <c r="BU113">
        <v>1</v>
      </c>
      <c r="BV113">
        <v>1</v>
      </c>
      <c r="BW113" s="30">
        <f>((AZ113^2)/(AZ113^2+BH113))^(1/2)</f>
        <v>7.9920998150068992E-2</v>
      </c>
      <c r="BX113" s="30">
        <f>0.5*LN((1+BW113)/(1-BW113))</f>
        <v>8.0091814824645752E-2</v>
      </c>
      <c r="BY113" s="30">
        <f>((1-(BX113^2)^2)/(BH113-1))</f>
        <v>1.6693803867099848E-3</v>
      </c>
      <c r="BZ113" s="30">
        <f>1/(BH113-3)</f>
        <v>1.6750418760469012E-3</v>
      </c>
      <c r="CA113" s="92" t="s">
        <v>73</v>
      </c>
      <c r="CB113">
        <f>BH113-2</f>
        <v>598</v>
      </c>
      <c r="CC113" s="92" t="s">
        <v>73</v>
      </c>
      <c r="CD113" s="30">
        <f>((AZ113^2)/(AZ113^2+BI113))^(1/2)</f>
        <v>7.9920998150068992E-2</v>
      </c>
      <c r="CE113" s="30">
        <f>0.5*LN((1+CD113)/(1-CD113))</f>
        <v>8.0091814824645752E-2</v>
      </c>
      <c r="CF113" s="30">
        <f>((1-(CE113^2)^2)/(BI113-1))</f>
        <v>1.6693803867099848E-3</v>
      </c>
      <c r="CG113" s="30">
        <f>1/(BI113-3)</f>
        <v>1.6750418760469012E-3</v>
      </c>
    </row>
    <row r="114" spans="1:86">
      <c r="A114" s="108" t="s">
        <v>410</v>
      </c>
      <c r="B114" s="108">
        <v>9</v>
      </c>
      <c r="C114" s="92">
        <v>1247</v>
      </c>
      <c r="D114" s="108">
        <v>302</v>
      </c>
      <c r="E114" s="10" t="s">
        <v>419</v>
      </c>
      <c r="F114" s="108">
        <v>2017</v>
      </c>
      <c r="G114" t="s">
        <v>420</v>
      </c>
      <c r="H114" t="s">
        <v>421</v>
      </c>
      <c r="I114" s="10">
        <v>2</v>
      </c>
      <c r="J114" s="10" t="s">
        <v>73</v>
      </c>
      <c r="K114" s="108" t="s">
        <v>73</v>
      </c>
      <c r="L114">
        <v>147</v>
      </c>
      <c r="M114" s="202" t="s">
        <v>422</v>
      </c>
      <c r="N114" t="s">
        <v>242</v>
      </c>
      <c r="O114" s="112" t="s">
        <v>423</v>
      </c>
      <c r="P114" s="10" t="s">
        <v>243</v>
      </c>
      <c r="Q114" t="s">
        <v>244</v>
      </c>
      <c r="R114" t="s">
        <v>255</v>
      </c>
      <c r="S114">
        <v>1</v>
      </c>
      <c r="T114" t="s">
        <v>189</v>
      </c>
      <c r="U114">
        <v>0</v>
      </c>
      <c r="V114" s="10" t="s">
        <v>232</v>
      </c>
      <c r="W114" s="10" t="s">
        <v>232</v>
      </c>
      <c r="X114" s="10" t="s">
        <v>73</v>
      </c>
      <c r="Y114" s="10">
        <v>0</v>
      </c>
      <c r="Z114" s="10">
        <v>0</v>
      </c>
      <c r="AA114" s="10">
        <v>1</v>
      </c>
      <c r="AB114" s="10">
        <v>0</v>
      </c>
      <c r="AC114" s="10">
        <v>0</v>
      </c>
      <c r="AD114" s="10">
        <v>0</v>
      </c>
      <c r="AE114" s="108">
        <v>0</v>
      </c>
      <c r="AF114" s="108">
        <v>0</v>
      </c>
      <c r="AG114" s="10" t="s">
        <v>424</v>
      </c>
      <c r="AH114" s="10">
        <v>1</v>
      </c>
      <c r="AI114" s="10">
        <v>0</v>
      </c>
      <c r="AJ114" s="10">
        <v>0</v>
      </c>
      <c r="AK114" s="10">
        <v>1</v>
      </c>
      <c r="AL114" s="10">
        <v>0</v>
      </c>
      <c r="AM114" s="10">
        <v>0</v>
      </c>
      <c r="AN114" s="10">
        <v>0</v>
      </c>
      <c r="AO114" s="10">
        <v>0</v>
      </c>
      <c r="AP114" s="10">
        <v>0</v>
      </c>
      <c r="AQ114" t="s">
        <v>425</v>
      </c>
      <c r="AR114" t="s">
        <v>234</v>
      </c>
      <c r="AS114" t="s">
        <v>426</v>
      </c>
      <c r="AT114" t="s">
        <v>236</v>
      </c>
      <c r="AU114" s="187">
        <v>7.4999999999999997E-2</v>
      </c>
      <c r="AV114" s="7" t="s">
        <v>80</v>
      </c>
      <c r="AW114" t="s">
        <v>73</v>
      </c>
      <c r="AX114">
        <v>0.01</v>
      </c>
      <c r="AY114">
        <v>1</v>
      </c>
      <c r="AZ114">
        <f>TINV(AX114,CB114)</f>
        <v>2.5764354463748322</v>
      </c>
      <c r="BA114" s="105">
        <f>EXP(AU114)/(1+EXP(AU114))</f>
        <v>0.51874121587853528</v>
      </c>
      <c r="BB114" s="10" t="s">
        <v>73</v>
      </c>
      <c r="BC114" s="10" t="s">
        <v>73</v>
      </c>
      <c r="BD114" s="10" t="s">
        <v>73</v>
      </c>
      <c r="BE114" s="10" t="s">
        <v>73</v>
      </c>
      <c r="BF114" s="10" t="s">
        <v>73</v>
      </c>
      <c r="BG114" s="10" t="s">
        <v>73</v>
      </c>
      <c r="BH114" s="10">
        <v>8115</v>
      </c>
      <c r="BI114" s="10">
        <v>8115</v>
      </c>
      <c r="BJ114" s="10" t="s">
        <v>73</v>
      </c>
      <c r="BK114" s="10" t="s">
        <v>73</v>
      </c>
      <c r="BL114" t="s">
        <v>73</v>
      </c>
      <c r="BM114" t="s">
        <v>73</v>
      </c>
      <c r="BN114" s="108" t="s">
        <v>73</v>
      </c>
      <c r="BO114" s="108" t="s">
        <v>73</v>
      </c>
      <c r="BP114" s="108" t="s">
        <v>73</v>
      </c>
      <c r="BQ114">
        <v>1</v>
      </c>
      <c r="BR114" s="108" t="s">
        <v>73</v>
      </c>
      <c r="BS114" s="108" t="s">
        <v>73</v>
      </c>
      <c r="BT114" s="10">
        <v>0</v>
      </c>
      <c r="BU114" s="10">
        <v>1</v>
      </c>
      <c r="BV114" s="10">
        <v>1</v>
      </c>
      <c r="BW114" s="30">
        <f>((AZ114^2)/(AZ114^2+BH114))^(1/2)</f>
        <v>2.8588900354369999E-2</v>
      </c>
      <c r="BX114" s="30">
        <f>0.5*LN((1+BW114)/(1-BW114))</f>
        <v>2.8596692985986098E-2</v>
      </c>
      <c r="BY114" s="30">
        <f>((1-(BX114^2)^2)/(BH114-1))</f>
        <v>1.2324369377013031E-4</v>
      </c>
      <c r="BZ114" s="30">
        <f>1/(BH114-3)</f>
        <v>1.232741617357002E-4</v>
      </c>
      <c r="CA114" s="92" t="s">
        <v>73</v>
      </c>
      <c r="CB114">
        <f>BH114-2</f>
        <v>8113</v>
      </c>
      <c r="CC114" s="92" t="s">
        <v>73</v>
      </c>
      <c r="CD114" s="30">
        <f>((AZ114^2)/(AZ114^2+BI114))^(1/2)</f>
        <v>2.8588900354369999E-2</v>
      </c>
      <c r="CE114" s="30">
        <f>0.5*LN((1+CD114)/(1-CD114))</f>
        <v>2.8596692985986098E-2</v>
      </c>
      <c r="CF114" s="30">
        <f>((1-(CE114^2)^2)/(BI114-1))</f>
        <v>1.2324369377013031E-4</v>
      </c>
      <c r="CG114" s="30">
        <f>1/(BI114-3)</f>
        <v>1.232741617357002E-4</v>
      </c>
    </row>
    <row r="115" spans="1:86">
      <c r="A115" s="108" t="s">
        <v>410</v>
      </c>
      <c r="B115" s="108">
        <v>9</v>
      </c>
      <c r="C115" s="92">
        <v>1248</v>
      </c>
      <c r="D115" s="108">
        <v>302</v>
      </c>
      <c r="E115" s="10" t="s">
        <v>419</v>
      </c>
      <c r="F115" s="108">
        <v>2017</v>
      </c>
      <c r="G115" t="s">
        <v>420</v>
      </c>
      <c r="H115" t="s">
        <v>421</v>
      </c>
      <c r="I115" s="10">
        <v>2</v>
      </c>
      <c r="J115" s="10" t="s">
        <v>73</v>
      </c>
      <c r="K115" s="108" t="s">
        <v>73</v>
      </c>
      <c r="L115">
        <v>147</v>
      </c>
      <c r="M115" s="202" t="s">
        <v>422</v>
      </c>
      <c r="N115" t="s">
        <v>242</v>
      </c>
      <c r="O115" s="112" t="s">
        <v>423</v>
      </c>
      <c r="P115" s="10" t="s">
        <v>243</v>
      </c>
      <c r="Q115" t="s">
        <v>244</v>
      </c>
      <c r="R115" t="s">
        <v>255</v>
      </c>
      <c r="S115">
        <v>1</v>
      </c>
      <c r="T115" t="s">
        <v>189</v>
      </c>
      <c r="U115">
        <v>0</v>
      </c>
      <c r="V115" s="10" t="s">
        <v>232</v>
      </c>
      <c r="W115" s="10" t="s">
        <v>246</v>
      </c>
      <c r="X115" s="10" t="s">
        <v>427</v>
      </c>
      <c r="Y115" s="10">
        <v>0</v>
      </c>
      <c r="Z115" s="10">
        <v>0</v>
      </c>
      <c r="AA115" s="10">
        <v>1</v>
      </c>
      <c r="AB115" s="10">
        <v>0</v>
      </c>
      <c r="AC115" s="10">
        <v>0</v>
      </c>
      <c r="AD115" s="10">
        <v>0</v>
      </c>
      <c r="AE115" s="108">
        <v>0</v>
      </c>
      <c r="AF115" s="108">
        <v>0</v>
      </c>
      <c r="AG115" s="10" t="s">
        <v>424</v>
      </c>
      <c r="AH115" s="10">
        <v>0</v>
      </c>
      <c r="AI115" s="10">
        <v>0</v>
      </c>
      <c r="AJ115" s="10">
        <v>0</v>
      </c>
      <c r="AK115" s="10">
        <v>0</v>
      </c>
      <c r="AL115" s="10">
        <v>0</v>
      </c>
      <c r="AM115" s="10">
        <v>1</v>
      </c>
      <c r="AN115" s="10">
        <v>0</v>
      </c>
      <c r="AO115" s="10">
        <v>0</v>
      </c>
      <c r="AP115" s="10">
        <v>0</v>
      </c>
      <c r="AQ115" t="s">
        <v>425</v>
      </c>
      <c r="AR115" t="s">
        <v>234</v>
      </c>
      <c r="AS115" t="s">
        <v>426</v>
      </c>
      <c r="AT115" t="s">
        <v>236</v>
      </c>
      <c r="AU115" s="187">
        <v>0.05</v>
      </c>
      <c r="AV115" s="7" t="s">
        <v>80</v>
      </c>
      <c r="AW115" t="s">
        <v>73</v>
      </c>
      <c r="AX115">
        <v>0.01</v>
      </c>
      <c r="AY115">
        <v>1</v>
      </c>
      <c r="AZ115">
        <f>TINV(AX115,CB115)</f>
        <v>2.5764354463748322</v>
      </c>
      <c r="BA115" s="105">
        <f>EXP(AU115)/(1+EXP(AU115))</f>
        <v>0.51249739648421033</v>
      </c>
      <c r="BB115" s="10" t="s">
        <v>73</v>
      </c>
      <c r="BC115" s="10" t="s">
        <v>73</v>
      </c>
      <c r="BD115" s="10" t="s">
        <v>73</v>
      </c>
      <c r="BE115" s="10" t="s">
        <v>73</v>
      </c>
      <c r="BF115" s="10" t="s">
        <v>73</v>
      </c>
      <c r="BG115" s="10" t="s">
        <v>73</v>
      </c>
      <c r="BH115" s="10">
        <v>8115</v>
      </c>
      <c r="BI115" s="10">
        <v>8115</v>
      </c>
      <c r="BJ115" s="10" t="s">
        <v>73</v>
      </c>
      <c r="BK115" s="10" t="s">
        <v>73</v>
      </c>
      <c r="BL115" t="s">
        <v>73</v>
      </c>
      <c r="BM115" t="s">
        <v>73</v>
      </c>
      <c r="BN115" s="108" t="s">
        <v>73</v>
      </c>
      <c r="BO115" s="108" t="s">
        <v>73</v>
      </c>
      <c r="BP115" s="108" t="s">
        <v>73</v>
      </c>
      <c r="BQ115">
        <v>1</v>
      </c>
      <c r="BR115" s="108" t="s">
        <v>73</v>
      </c>
      <c r="BS115" s="108" t="s">
        <v>73</v>
      </c>
      <c r="BT115" s="10">
        <v>0</v>
      </c>
      <c r="BU115" s="10">
        <v>1</v>
      </c>
      <c r="BV115" s="10">
        <v>1</v>
      </c>
      <c r="BW115" s="30">
        <f>((AZ115^2)/(AZ115^2+BH115))^(1/2)</f>
        <v>2.8588900354369999E-2</v>
      </c>
      <c r="BX115" s="30">
        <f>0.5*LN((1+BW115)/(1-BW115))</f>
        <v>2.8596692985986098E-2</v>
      </c>
      <c r="BY115" s="30">
        <f>((1-(BX115^2)^2)/(BH115-1))</f>
        <v>1.2324369377013031E-4</v>
      </c>
      <c r="BZ115" s="30">
        <f>1/(BH115-3)</f>
        <v>1.232741617357002E-4</v>
      </c>
      <c r="CA115" s="92" t="s">
        <v>73</v>
      </c>
      <c r="CB115">
        <f>BH115-2</f>
        <v>8113</v>
      </c>
      <c r="CC115" s="92" t="s">
        <v>73</v>
      </c>
      <c r="CD115" s="30">
        <f>((AZ115^2)/(AZ115^2+BI115))^(1/2)</f>
        <v>2.8588900354369999E-2</v>
      </c>
      <c r="CE115" s="30">
        <f>0.5*LN((1+CD115)/(1-CD115))</f>
        <v>2.8596692985986098E-2</v>
      </c>
      <c r="CF115" s="30">
        <f>((1-(CE115^2)^2)/(BI115-1))</f>
        <v>1.2324369377013031E-4</v>
      </c>
      <c r="CG115" s="30">
        <f>1/(BI115-3)</f>
        <v>1.232741617357002E-4</v>
      </c>
    </row>
    <row r="116" spans="1:86">
      <c r="A116" s="108" t="s">
        <v>410</v>
      </c>
      <c r="B116" s="108">
        <v>9</v>
      </c>
      <c r="C116" s="92">
        <v>1249</v>
      </c>
      <c r="D116" s="108">
        <v>302</v>
      </c>
      <c r="E116" s="10" t="s">
        <v>419</v>
      </c>
      <c r="F116" s="108">
        <v>2017</v>
      </c>
      <c r="G116" t="s">
        <v>420</v>
      </c>
      <c r="H116" t="s">
        <v>421</v>
      </c>
      <c r="I116" s="10">
        <v>2</v>
      </c>
      <c r="J116" s="10" t="s">
        <v>73</v>
      </c>
      <c r="K116" s="108" t="s">
        <v>73</v>
      </c>
      <c r="L116">
        <v>147</v>
      </c>
      <c r="M116" s="202" t="s">
        <v>422</v>
      </c>
      <c r="N116" t="s">
        <v>242</v>
      </c>
      <c r="O116" s="112" t="s">
        <v>423</v>
      </c>
      <c r="P116" s="10" t="s">
        <v>243</v>
      </c>
      <c r="Q116" t="s">
        <v>244</v>
      </c>
      <c r="R116" t="s">
        <v>255</v>
      </c>
      <c r="S116">
        <v>1</v>
      </c>
      <c r="T116" t="s">
        <v>189</v>
      </c>
      <c r="U116">
        <v>0</v>
      </c>
      <c r="V116" s="10" t="s">
        <v>232</v>
      </c>
      <c r="W116" s="10" t="s">
        <v>232</v>
      </c>
      <c r="X116" s="10" t="s">
        <v>73</v>
      </c>
      <c r="Y116" s="10">
        <v>0</v>
      </c>
      <c r="Z116" s="10">
        <v>0</v>
      </c>
      <c r="AA116" s="10">
        <v>1</v>
      </c>
      <c r="AB116" s="10">
        <v>0</v>
      </c>
      <c r="AC116" s="10">
        <v>0</v>
      </c>
      <c r="AD116" s="10">
        <v>0</v>
      </c>
      <c r="AE116" s="108">
        <v>0</v>
      </c>
      <c r="AF116" s="108">
        <v>0</v>
      </c>
      <c r="AG116" s="10" t="s">
        <v>428</v>
      </c>
      <c r="AH116" s="10">
        <v>1</v>
      </c>
      <c r="AI116" s="10">
        <v>0</v>
      </c>
      <c r="AJ116" s="10">
        <v>0</v>
      </c>
      <c r="AK116" s="10">
        <v>1</v>
      </c>
      <c r="AL116" s="10">
        <v>0</v>
      </c>
      <c r="AM116" s="10">
        <v>0</v>
      </c>
      <c r="AN116" s="10">
        <v>0</v>
      </c>
      <c r="AO116" s="10">
        <v>0</v>
      </c>
      <c r="AP116" s="10">
        <v>0</v>
      </c>
      <c r="AQ116" t="s">
        <v>425</v>
      </c>
      <c r="AR116" t="s">
        <v>234</v>
      </c>
      <c r="AS116" t="s">
        <v>426</v>
      </c>
      <c r="AT116" t="s">
        <v>236</v>
      </c>
      <c r="AU116" s="187">
        <v>8.6999999999999994E-2</v>
      </c>
      <c r="AV116" s="7" t="s">
        <v>80</v>
      </c>
      <c r="AW116" t="s">
        <v>73</v>
      </c>
      <c r="AX116">
        <v>0.01</v>
      </c>
      <c r="AY116">
        <v>1</v>
      </c>
      <c r="AZ116">
        <f>TINV(AX116,CB116)</f>
        <v>2.5776085962794295</v>
      </c>
      <c r="BA116" s="105">
        <f>EXP(AU116)/(1+EXP(AU116))</f>
        <v>0.52173629156332213</v>
      </c>
      <c r="BB116" s="10" t="s">
        <v>73</v>
      </c>
      <c r="BC116" s="10" t="s">
        <v>73</v>
      </c>
      <c r="BD116" s="10" t="s">
        <v>73</v>
      </c>
      <c r="BE116" s="10" t="s">
        <v>73</v>
      </c>
      <c r="BF116" s="10" t="s">
        <v>73</v>
      </c>
      <c r="BG116" s="10" t="s">
        <v>73</v>
      </c>
      <c r="BH116" s="10">
        <v>2767</v>
      </c>
      <c r="BI116" s="10">
        <v>2767</v>
      </c>
      <c r="BJ116" s="10" t="s">
        <v>73</v>
      </c>
      <c r="BK116" s="10" t="s">
        <v>73</v>
      </c>
      <c r="BL116" t="s">
        <v>73</v>
      </c>
      <c r="BM116" t="s">
        <v>73</v>
      </c>
      <c r="BN116" s="108" t="s">
        <v>73</v>
      </c>
      <c r="BO116" s="108" t="s">
        <v>73</v>
      </c>
      <c r="BP116" s="108" t="s">
        <v>73</v>
      </c>
      <c r="BQ116">
        <v>1</v>
      </c>
      <c r="BR116" s="108" t="s">
        <v>73</v>
      </c>
      <c r="BS116" s="108" t="s">
        <v>73</v>
      </c>
      <c r="BT116" s="10">
        <v>0</v>
      </c>
      <c r="BU116" s="10">
        <v>1</v>
      </c>
      <c r="BV116" s="10">
        <v>1</v>
      </c>
      <c r="BW116" s="30">
        <f>((AZ116^2)/(AZ116^2+BH116))^(1/2)</f>
        <v>4.8943115053431581E-2</v>
      </c>
      <c r="BX116" s="30">
        <f>0.5*LN((1+BW116)/(1-BW116))</f>
        <v>4.8982251228669553E-2</v>
      </c>
      <c r="BY116" s="30">
        <f>((1-(BX116^2)^2)/(BH116-1))</f>
        <v>3.6153081834669693E-4</v>
      </c>
      <c r="BZ116" s="30">
        <f>1/(BH116-3)</f>
        <v>3.6179450072358897E-4</v>
      </c>
      <c r="CA116" s="92" t="s">
        <v>73</v>
      </c>
      <c r="CB116">
        <f>BH116-2</f>
        <v>2765</v>
      </c>
      <c r="CC116" s="92" t="s">
        <v>73</v>
      </c>
      <c r="CD116" s="30">
        <f>((AZ116^2)/(AZ116^2+BI116))^(1/2)</f>
        <v>4.8943115053431581E-2</v>
      </c>
      <c r="CE116" s="30">
        <f>0.5*LN((1+CD116)/(1-CD116))</f>
        <v>4.8982251228669553E-2</v>
      </c>
      <c r="CF116" s="30">
        <f>((1-(CE116^2)^2)/(BI116-1))</f>
        <v>3.6153081834669693E-4</v>
      </c>
      <c r="CG116" s="30">
        <f>1/(BI116-3)</f>
        <v>3.6179450072358897E-4</v>
      </c>
    </row>
    <row r="117" spans="1:86" s="119" customFormat="1">
      <c r="A117" t="s">
        <v>446</v>
      </c>
      <c r="B117">
        <v>22</v>
      </c>
      <c r="C117" s="92">
        <v>1276</v>
      </c>
      <c r="D117">
        <v>407</v>
      </c>
      <c r="E117" t="s">
        <v>453</v>
      </c>
      <c r="F117">
        <v>2021</v>
      </c>
      <c r="G117" t="s">
        <v>454</v>
      </c>
      <c r="H117" t="s">
        <v>455</v>
      </c>
      <c r="I117">
        <v>2</v>
      </c>
      <c r="J117" t="s">
        <v>456</v>
      </c>
      <c r="K117" t="s">
        <v>73</v>
      </c>
      <c r="L117">
        <v>8</v>
      </c>
      <c r="M117" s="207" t="s">
        <v>93</v>
      </c>
      <c r="N117" t="s">
        <v>242</v>
      </c>
      <c r="O117" t="s">
        <v>460</v>
      </c>
      <c r="P117" t="s">
        <v>294</v>
      </c>
      <c r="Q117" t="s">
        <v>308</v>
      </c>
      <c r="R117" t="s">
        <v>337</v>
      </c>
      <c r="S117">
        <v>1</v>
      </c>
      <c r="T117" t="s">
        <v>231</v>
      </c>
      <c r="U117">
        <v>0</v>
      </c>
      <c r="V117" t="s">
        <v>232</v>
      </c>
      <c r="W117" t="s">
        <v>232</v>
      </c>
      <c r="X117" t="s">
        <v>73</v>
      </c>
      <c r="Y117">
        <v>0</v>
      </c>
      <c r="Z117">
        <v>0</v>
      </c>
      <c r="AA117">
        <v>1</v>
      </c>
      <c r="AB117">
        <v>0</v>
      </c>
      <c r="AC117">
        <v>0</v>
      </c>
      <c r="AD117">
        <v>0</v>
      </c>
      <c r="AE117">
        <v>0</v>
      </c>
      <c r="AF117">
        <v>0</v>
      </c>
      <c r="AG117" t="s">
        <v>73</v>
      </c>
      <c r="AH117">
        <v>0</v>
      </c>
      <c r="AI117">
        <v>0</v>
      </c>
      <c r="AJ117">
        <v>0</v>
      </c>
      <c r="AK117">
        <v>0</v>
      </c>
      <c r="AL117">
        <v>0</v>
      </c>
      <c r="AM117">
        <v>0</v>
      </c>
      <c r="AN117">
        <v>0</v>
      </c>
      <c r="AO117">
        <v>0</v>
      </c>
      <c r="AP117" s="10">
        <v>0</v>
      </c>
      <c r="AQ117" t="s">
        <v>461</v>
      </c>
      <c r="AR117" t="s">
        <v>234</v>
      </c>
      <c r="AS117" s="41" t="s">
        <v>459</v>
      </c>
      <c r="AT117" t="s">
        <v>265</v>
      </c>
      <c r="AU117" s="187">
        <v>0.161</v>
      </c>
      <c r="AV117" s="7" t="s">
        <v>86</v>
      </c>
      <c r="AW117" s="7" t="s">
        <v>73</v>
      </c>
      <c r="AX117">
        <v>0.01</v>
      </c>
      <c r="AY117">
        <v>1</v>
      </c>
      <c r="AZ117">
        <f>TINV(AX117,CB117)</f>
        <v>2.5788883732398911</v>
      </c>
      <c r="BA117" s="94">
        <f>AU117</f>
        <v>0.161</v>
      </c>
      <c r="BB117" t="s">
        <v>73</v>
      </c>
      <c r="BC117" t="s">
        <v>73</v>
      </c>
      <c r="BD117" s="10" t="s">
        <v>73</v>
      </c>
      <c r="BE117" t="s">
        <v>73</v>
      </c>
      <c r="BF117" t="s">
        <v>73</v>
      </c>
      <c r="BG117" t="s">
        <v>73</v>
      </c>
      <c r="BH117">
        <v>1611</v>
      </c>
      <c r="BI117">
        <v>1611</v>
      </c>
      <c r="BJ117" t="s">
        <v>73</v>
      </c>
      <c r="BK117" t="s">
        <v>73</v>
      </c>
      <c r="BL117" t="s">
        <v>73</v>
      </c>
      <c r="BM117" t="s">
        <v>73</v>
      </c>
      <c r="BN117" t="s">
        <v>73</v>
      </c>
      <c r="BO117" t="s">
        <v>73</v>
      </c>
      <c r="BP117" t="s">
        <v>73</v>
      </c>
      <c r="BQ117" t="s">
        <v>73</v>
      </c>
      <c r="BR117" t="s">
        <v>73</v>
      </c>
      <c r="BS117" t="s">
        <v>73</v>
      </c>
      <c r="BT117">
        <v>0</v>
      </c>
      <c r="BU117">
        <v>1</v>
      </c>
      <c r="BV117">
        <v>1</v>
      </c>
      <c r="BW117" s="30">
        <f>((AZ117^2)/(AZ117^2+BH117))^(1/2)</f>
        <v>6.411950690189884E-2</v>
      </c>
      <c r="BX117" s="30">
        <f>0.5*LN((1+BW117)/(1-BW117))</f>
        <v>6.4207596049565968E-2</v>
      </c>
      <c r="BY117" s="30">
        <f>((1-(BX117^2)^2)/(BH117-1))</f>
        <v>6.2110745592692065E-4</v>
      </c>
      <c r="BZ117" s="30">
        <f>1/(BH117-3)</f>
        <v>6.2189054726368158E-4</v>
      </c>
      <c r="CA117" s="92" t="s">
        <v>73</v>
      </c>
      <c r="CB117">
        <f>BH117-2</f>
        <v>1609</v>
      </c>
      <c r="CC117" s="92" t="s">
        <v>73</v>
      </c>
      <c r="CD117" s="30">
        <f>((AZ117^2)/(AZ117^2+BI117))^(1/2)</f>
        <v>6.411950690189884E-2</v>
      </c>
      <c r="CE117" s="30">
        <f>0.5*LN((1+CD117)/(1-CD117))</f>
        <v>6.4207596049565968E-2</v>
      </c>
      <c r="CF117" s="30">
        <f>((1-(CE117^2)^2)/(BI117-1))</f>
        <v>6.2110745592692065E-4</v>
      </c>
      <c r="CG117" s="30">
        <f>1/(BI117-3)</f>
        <v>6.2189054726368158E-4</v>
      </c>
      <c r="CH117"/>
    </row>
    <row r="118" spans="1:86">
      <c r="A118" t="s">
        <v>446</v>
      </c>
      <c r="B118">
        <v>22</v>
      </c>
      <c r="C118" s="92">
        <v>1277</v>
      </c>
      <c r="D118">
        <v>407</v>
      </c>
      <c r="E118" t="s">
        <v>453</v>
      </c>
      <c r="F118">
        <v>2021</v>
      </c>
      <c r="G118" t="s">
        <v>454</v>
      </c>
      <c r="H118" t="s">
        <v>455</v>
      </c>
      <c r="I118">
        <v>2</v>
      </c>
      <c r="J118" t="s">
        <v>456</v>
      </c>
      <c r="K118" t="s">
        <v>73</v>
      </c>
      <c r="L118">
        <v>9</v>
      </c>
      <c r="M118" s="207" t="s">
        <v>93</v>
      </c>
      <c r="N118" t="s">
        <v>242</v>
      </c>
      <c r="O118" t="s">
        <v>460</v>
      </c>
      <c r="P118" t="s">
        <v>294</v>
      </c>
      <c r="Q118" t="s">
        <v>308</v>
      </c>
      <c r="R118" t="s">
        <v>337</v>
      </c>
      <c r="S118">
        <v>1</v>
      </c>
      <c r="T118" t="s">
        <v>231</v>
      </c>
      <c r="U118">
        <v>0</v>
      </c>
      <c r="V118" t="s">
        <v>232</v>
      </c>
      <c r="W118" t="s">
        <v>232</v>
      </c>
      <c r="X118" t="s">
        <v>73</v>
      </c>
      <c r="Y118">
        <v>0</v>
      </c>
      <c r="Z118">
        <v>0</v>
      </c>
      <c r="AA118">
        <v>1</v>
      </c>
      <c r="AB118">
        <v>0</v>
      </c>
      <c r="AC118">
        <v>0</v>
      </c>
      <c r="AD118">
        <v>0</v>
      </c>
      <c r="AE118">
        <v>0</v>
      </c>
      <c r="AF118">
        <v>0</v>
      </c>
      <c r="AG118" t="s">
        <v>73</v>
      </c>
      <c r="AH118">
        <v>0</v>
      </c>
      <c r="AI118">
        <v>0</v>
      </c>
      <c r="AJ118">
        <v>0</v>
      </c>
      <c r="AK118">
        <v>0</v>
      </c>
      <c r="AL118">
        <v>1</v>
      </c>
      <c r="AM118">
        <v>0</v>
      </c>
      <c r="AN118">
        <v>0</v>
      </c>
      <c r="AO118">
        <v>0</v>
      </c>
      <c r="AP118" s="10">
        <v>0</v>
      </c>
      <c r="AQ118" t="s">
        <v>458</v>
      </c>
      <c r="AR118" t="s">
        <v>234</v>
      </c>
      <c r="AS118" t="s">
        <v>461</v>
      </c>
      <c r="AT118" t="s">
        <v>265</v>
      </c>
      <c r="AU118" s="187">
        <v>9.9000000000000005E-2</v>
      </c>
      <c r="AV118" t="s">
        <v>80</v>
      </c>
      <c r="AW118" t="s">
        <v>73</v>
      </c>
      <c r="AX118">
        <v>0.05</v>
      </c>
      <c r="AY118">
        <v>1</v>
      </c>
      <c r="AZ118">
        <f>TINV(AX118,CB118)</f>
        <v>1.9614394515458273</v>
      </c>
      <c r="BA118" s="94">
        <f t="shared" ref="BA118:BA130" si="0">AU118</f>
        <v>9.9000000000000005E-2</v>
      </c>
      <c r="BB118" t="s">
        <v>73</v>
      </c>
      <c r="BC118" t="s">
        <v>73</v>
      </c>
      <c r="BD118" s="10" t="s">
        <v>73</v>
      </c>
      <c r="BE118" t="s">
        <v>73</v>
      </c>
      <c r="BF118" t="s">
        <v>73</v>
      </c>
      <c r="BG118" t="s">
        <v>73</v>
      </c>
      <c r="BH118">
        <v>1611</v>
      </c>
      <c r="BI118">
        <v>1611</v>
      </c>
      <c r="BJ118" t="s">
        <v>73</v>
      </c>
      <c r="BK118" t="s">
        <v>73</v>
      </c>
      <c r="BL118" t="s">
        <v>73</v>
      </c>
      <c r="BM118" t="s">
        <v>73</v>
      </c>
      <c r="BN118" t="s">
        <v>73</v>
      </c>
      <c r="BO118" t="s">
        <v>73</v>
      </c>
      <c r="BP118" t="s">
        <v>73</v>
      </c>
      <c r="BQ118" t="s">
        <v>73</v>
      </c>
      <c r="BR118" t="s">
        <v>73</v>
      </c>
      <c r="BS118" t="s">
        <v>73</v>
      </c>
      <c r="BT118">
        <v>0</v>
      </c>
      <c r="BU118">
        <v>1</v>
      </c>
      <c r="BV118">
        <v>1</v>
      </c>
      <c r="BW118" s="30">
        <f>((AZ117^2)/(AZ117^2+BH118))^(1/2)</f>
        <v>6.411950690189884E-2</v>
      </c>
      <c r="BX118" s="30">
        <f>0.5*LN((1+BW118)/(1-BW118))</f>
        <v>6.4207596049565968E-2</v>
      </c>
      <c r="BY118" s="30">
        <f>((1-(BX118^2)^2)/(BH118-1))</f>
        <v>6.2110745592692065E-4</v>
      </c>
      <c r="BZ118" s="30">
        <f>1/(BH118-3)</f>
        <v>6.2189054726368158E-4</v>
      </c>
      <c r="CA118" s="92" t="s">
        <v>73</v>
      </c>
      <c r="CB118">
        <f>BH118-2</f>
        <v>1609</v>
      </c>
      <c r="CC118" s="92" t="s">
        <v>73</v>
      </c>
      <c r="CD118" s="30">
        <f>((AZ118^2)/(AZ118^2+BI118))^(1/2)</f>
        <v>4.8810042166661197E-2</v>
      </c>
      <c r="CE118" s="30">
        <f>0.5*LN((1+CD118)/(1-CD118))</f>
        <v>4.8848859679970422E-2</v>
      </c>
      <c r="CF118" s="30">
        <f>((1-(CE118^2)^2)/(BI118-1))</f>
        <v>6.2111447577430079E-4</v>
      </c>
      <c r="CG118" s="30">
        <f>1/(BI118-3)</f>
        <v>6.2189054726368158E-4</v>
      </c>
    </row>
    <row r="119" spans="1:86">
      <c r="A119" t="s">
        <v>446</v>
      </c>
      <c r="B119">
        <v>22</v>
      </c>
      <c r="C119" s="92">
        <v>1275</v>
      </c>
      <c r="D119">
        <v>407</v>
      </c>
      <c r="E119" t="s">
        <v>453</v>
      </c>
      <c r="F119">
        <v>2021</v>
      </c>
      <c r="G119" t="s">
        <v>454</v>
      </c>
      <c r="H119" t="s">
        <v>455</v>
      </c>
      <c r="I119">
        <v>2</v>
      </c>
      <c r="J119" t="s">
        <v>456</v>
      </c>
      <c r="K119" t="s">
        <v>73</v>
      </c>
      <c r="L119">
        <v>8</v>
      </c>
      <c r="M119" s="207" t="s">
        <v>93</v>
      </c>
      <c r="N119" t="s">
        <v>242</v>
      </c>
      <c r="O119" s="112" t="s">
        <v>457</v>
      </c>
      <c r="P119" t="s">
        <v>294</v>
      </c>
      <c r="Q119" t="s">
        <v>308</v>
      </c>
      <c r="R119" t="s">
        <v>337</v>
      </c>
      <c r="S119">
        <v>1</v>
      </c>
      <c r="T119" t="s">
        <v>231</v>
      </c>
      <c r="U119">
        <v>0</v>
      </c>
      <c r="V119" t="s">
        <v>232</v>
      </c>
      <c r="W119" t="s">
        <v>232</v>
      </c>
      <c r="X119" t="s">
        <v>73</v>
      </c>
      <c r="Y119">
        <v>0</v>
      </c>
      <c r="Z119">
        <v>0</v>
      </c>
      <c r="AA119">
        <v>1</v>
      </c>
      <c r="AB119">
        <v>0</v>
      </c>
      <c r="AC119">
        <v>0</v>
      </c>
      <c r="AD119">
        <v>0</v>
      </c>
      <c r="AE119">
        <v>0</v>
      </c>
      <c r="AF119">
        <v>0</v>
      </c>
      <c r="AG119" t="s">
        <v>73</v>
      </c>
      <c r="AH119">
        <v>0</v>
      </c>
      <c r="AI119">
        <v>0</v>
      </c>
      <c r="AJ119">
        <v>0</v>
      </c>
      <c r="AK119">
        <v>0</v>
      </c>
      <c r="AL119">
        <v>0</v>
      </c>
      <c r="AM119">
        <v>0</v>
      </c>
      <c r="AN119">
        <v>0</v>
      </c>
      <c r="AO119">
        <v>0</v>
      </c>
      <c r="AP119" s="10">
        <v>0</v>
      </c>
      <c r="AQ119" t="s">
        <v>458</v>
      </c>
      <c r="AR119" t="s">
        <v>234</v>
      </c>
      <c r="AS119" s="41" t="s">
        <v>459</v>
      </c>
      <c r="AT119" t="s">
        <v>265</v>
      </c>
      <c r="AU119" s="187">
        <v>6.4000000000000001E-2</v>
      </c>
      <c r="AV119" s="7" t="s">
        <v>86</v>
      </c>
      <c r="AW119" s="7" t="s">
        <v>73</v>
      </c>
      <c r="AX119">
        <v>0.05</v>
      </c>
      <c r="AY119">
        <v>1</v>
      </c>
      <c r="AZ119">
        <f>TINV(AX119,CB119)</f>
        <v>1.9614394515458273</v>
      </c>
      <c r="BA119" s="94">
        <f t="shared" si="0"/>
        <v>6.4000000000000001E-2</v>
      </c>
      <c r="BB119" t="s">
        <v>73</v>
      </c>
      <c r="BC119" t="s">
        <v>73</v>
      </c>
      <c r="BD119" s="10" t="s">
        <v>73</v>
      </c>
      <c r="BE119" t="s">
        <v>73</v>
      </c>
      <c r="BF119" t="s">
        <v>73</v>
      </c>
      <c r="BG119" t="s">
        <v>73</v>
      </c>
      <c r="BH119">
        <v>1611</v>
      </c>
      <c r="BI119">
        <v>1611</v>
      </c>
      <c r="BJ119" t="s">
        <v>73</v>
      </c>
      <c r="BK119" t="s">
        <v>73</v>
      </c>
      <c r="BL119" t="s">
        <v>73</v>
      </c>
      <c r="BM119" t="s">
        <v>73</v>
      </c>
      <c r="BN119" t="s">
        <v>73</v>
      </c>
      <c r="BO119" t="s">
        <v>73</v>
      </c>
      <c r="BP119" t="s">
        <v>73</v>
      </c>
      <c r="BQ119" t="s">
        <v>73</v>
      </c>
      <c r="BR119" t="s">
        <v>73</v>
      </c>
      <c r="BS119" t="s">
        <v>73</v>
      </c>
      <c r="BT119">
        <v>0</v>
      </c>
      <c r="BU119">
        <v>1</v>
      </c>
      <c r="BV119">
        <v>1</v>
      </c>
      <c r="BW119" s="30">
        <f>((AZ119^2)/(AZ119^2+BH119))^(1/2)</f>
        <v>4.8810042166661197E-2</v>
      </c>
      <c r="BX119" s="30">
        <f>0.5*LN((1+BW119)/(1-BW119))</f>
        <v>4.8848859679970422E-2</v>
      </c>
      <c r="BY119" s="30">
        <f>((1-(BX119^2)^2)/(BH119-1))</f>
        <v>6.2111447577430079E-4</v>
      </c>
      <c r="BZ119" s="30">
        <f>1/(BH119-3)</f>
        <v>6.2189054726368158E-4</v>
      </c>
      <c r="CA119" s="92" t="s">
        <v>73</v>
      </c>
      <c r="CB119">
        <f>BH119-2</f>
        <v>1609</v>
      </c>
      <c r="CC119" s="92" t="s">
        <v>73</v>
      </c>
      <c r="CD119" s="30">
        <f>((AZ119^2)/(AZ119^2+BI119))^(1/2)</f>
        <v>4.8810042166661197E-2</v>
      </c>
      <c r="CE119" s="30">
        <f>0.5*LN((1+CD119)/(1-CD119))</f>
        <v>4.8848859679970422E-2</v>
      </c>
      <c r="CF119" s="30">
        <f>((1-(CE119^2)^2)/(BI119-1))</f>
        <v>6.2111447577430079E-4</v>
      </c>
      <c r="CG119" s="30">
        <f>1/(BI119-3)</f>
        <v>6.2189054726368158E-4</v>
      </c>
    </row>
    <row r="120" spans="1:86">
      <c r="A120" t="s">
        <v>446</v>
      </c>
      <c r="B120">
        <v>22</v>
      </c>
      <c r="C120" s="92">
        <v>1275</v>
      </c>
      <c r="D120">
        <v>407</v>
      </c>
      <c r="E120" t="s">
        <v>453</v>
      </c>
      <c r="F120">
        <v>2021</v>
      </c>
      <c r="G120" t="s">
        <v>454</v>
      </c>
      <c r="H120" t="s">
        <v>455</v>
      </c>
      <c r="I120">
        <v>2</v>
      </c>
      <c r="J120" t="s">
        <v>456</v>
      </c>
      <c r="K120" t="s">
        <v>73</v>
      </c>
      <c r="L120">
        <v>8</v>
      </c>
      <c r="M120" s="207" t="s">
        <v>93</v>
      </c>
      <c r="N120" t="s">
        <v>242</v>
      </c>
      <c r="O120" s="112" t="s">
        <v>457</v>
      </c>
      <c r="P120" t="s">
        <v>294</v>
      </c>
      <c r="Q120" t="s">
        <v>308</v>
      </c>
      <c r="R120" t="s">
        <v>337</v>
      </c>
      <c r="S120">
        <v>1</v>
      </c>
      <c r="T120" t="s">
        <v>231</v>
      </c>
      <c r="U120">
        <v>0</v>
      </c>
      <c r="V120" t="s">
        <v>232</v>
      </c>
      <c r="W120" t="s">
        <v>232</v>
      </c>
      <c r="X120" t="s">
        <v>73</v>
      </c>
      <c r="Y120">
        <v>0</v>
      </c>
      <c r="Z120">
        <v>0</v>
      </c>
      <c r="AA120">
        <v>1</v>
      </c>
      <c r="AB120">
        <v>0</v>
      </c>
      <c r="AC120">
        <v>0</v>
      </c>
      <c r="AD120">
        <v>0</v>
      </c>
      <c r="AE120">
        <v>0</v>
      </c>
      <c r="AF120">
        <v>0</v>
      </c>
      <c r="AG120" t="s">
        <v>73</v>
      </c>
      <c r="AH120">
        <v>0</v>
      </c>
      <c r="AI120">
        <v>0</v>
      </c>
      <c r="AJ120">
        <v>0</v>
      </c>
      <c r="AK120">
        <v>0</v>
      </c>
      <c r="AL120">
        <v>0</v>
      </c>
      <c r="AM120">
        <v>0</v>
      </c>
      <c r="AN120">
        <v>0</v>
      </c>
      <c r="AO120">
        <v>0</v>
      </c>
      <c r="AP120" s="10">
        <v>0</v>
      </c>
      <c r="AQ120" t="s">
        <v>458</v>
      </c>
      <c r="AR120" t="s">
        <v>234</v>
      </c>
      <c r="AS120" s="41" t="s">
        <v>459</v>
      </c>
      <c r="AT120" t="s">
        <v>265</v>
      </c>
      <c r="AU120" s="187">
        <v>6.7000000000000004E-2</v>
      </c>
      <c r="AV120" s="7" t="s">
        <v>86</v>
      </c>
      <c r="AW120" s="7" t="s">
        <v>73</v>
      </c>
      <c r="AX120">
        <v>0.05</v>
      </c>
      <c r="AY120">
        <v>1</v>
      </c>
      <c r="AZ120">
        <f>TINV(AX120,CB120)</f>
        <v>1.9614394515458273</v>
      </c>
      <c r="BA120" s="94">
        <f t="shared" si="0"/>
        <v>6.7000000000000004E-2</v>
      </c>
      <c r="BB120" t="s">
        <v>73</v>
      </c>
      <c r="BC120" t="s">
        <v>73</v>
      </c>
      <c r="BD120" s="10" t="s">
        <v>73</v>
      </c>
      <c r="BE120" t="s">
        <v>73</v>
      </c>
      <c r="BF120" t="s">
        <v>73</v>
      </c>
      <c r="BG120" t="s">
        <v>73</v>
      </c>
      <c r="BH120">
        <v>1611</v>
      </c>
      <c r="BI120">
        <v>1611</v>
      </c>
      <c r="BJ120" t="s">
        <v>73</v>
      </c>
      <c r="BK120" t="s">
        <v>73</v>
      </c>
      <c r="BL120" t="s">
        <v>73</v>
      </c>
      <c r="BM120" t="s">
        <v>73</v>
      </c>
      <c r="BN120" t="s">
        <v>73</v>
      </c>
      <c r="BO120" t="s">
        <v>73</v>
      </c>
      <c r="BP120" t="s">
        <v>73</v>
      </c>
      <c r="BQ120" t="s">
        <v>73</v>
      </c>
      <c r="BR120" t="s">
        <v>73</v>
      </c>
      <c r="BS120" t="s">
        <v>73</v>
      </c>
      <c r="BT120">
        <v>0</v>
      </c>
      <c r="BU120">
        <v>1</v>
      </c>
      <c r="BV120">
        <v>1</v>
      </c>
      <c r="BW120" s="30">
        <f>((AZ120^2)/(AZ120^2+BH120))^(1/2)</f>
        <v>4.8810042166661197E-2</v>
      </c>
      <c r="BX120" s="30">
        <f>0.5*LN((1+BW120)/(1-BW120))</f>
        <v>4.8848859679970422E-2</v>
      </c>
      <c r="BY120" s="30">
        <f>((1-(BX120^2)^2)/(BH120-1))</f>
        <v>6.2111447577430079E-4</v>
      </c>
      <c r="BZ120" s="30">
        <f>1/(BH120-3)</f>
        <v>6.2189054726368158E-4</v>
      </c>
      <c r="CA120" s="92" t="s">
        <v>73</v>
      </c>
      <c r="CB120">
        <f>BH120-2</f>
        <v>1609</v>
      </c>
      <c r="CC120" s="92" t="s">
        <v>73</v>
      </c>
      <c r="CD120" s="30">
        <f>((AZ120^2)/(AZ120^2+BI120))^(1/2)</f>
        <v>4.8810042166661197E-2</v>
      </c>
      <c r="CE120" s="30">
        <f>0.5*LN((1+CD120)/(1-CD120))</f>
        <v>4.8848859679970422E-2</v>
      </c>
      <c r="CF120" s="30">
        <f>((1-(CE120^2)^2)/(BI120-1))</f>
        <v>6.2111447577430079E-4</v>
      </c>
      <c r="CG120" s="30">
        <f>1/(BI120-3)</f>
        <v>6.2189054726368158E-4</v>
      </c>
    </row>
    <row r="121" spans="1:86" ht="17.100000000000001" customHeight="1">
      <c r="A121" t="s">
        <v>446</v>
      </c>
      <c r="B121">
        <v>22</v>
      </c>
      <c r="C121" s="92">
        <v>1278</v>
      </c>
      <c r="D121">
        <v>407</v>
      </c>
      <c r="E121" t="s">
        <v>453</v>
      </c>
      <c r="F121">
        <v>2021</v>
      </c>
      <c r="G121" t="s">
        <v>454</v>
      </c>
      <c r="H121" t="s">
        <v>455</v>
      </c>
      <c r="I121">
        <v>2</v>
      </c>
      <c r="J121" t="s">
        <v>456</v>
      </c>
      <c r="K121" t="s">
        <v>73</v>
      </c>
      <c r="L121">
        <v>9</v>
      </c>
      <c r="M121" s="207" t="s">
        <v>93</v>
      </c>
      <c r="N121" t="s">
        <v>242</v>
      </c>
      <c r="O121" t="s">
        <v>148</v>
      </c>
      <c r="P121" t="s">
        <v>294</v>
      </c>
      <c r="Q121" t="s">
        <v>308</v>
      </c>
      <c r="R121" t="s">
        <v>337</v>
      </c>
      <c r="S121">
        <v>1</v>
      </c>
      <c r="T121" t="s">
        <v>231</v>
      </c>
      <c r="U121">
        <v>0</v>
      </c>
      <c r="V121" t="s">
        <v>232</v>
      </c>
      <c r="W121" t="s">
        <v>232</v>
      </c>
      <c r="X121" t="s">
        <v>73</v>
      </c>
      <c r="Y121">
        <v>0</v>
      </c>
      <c r="Z121">
        <v>0</v>
      </c>
      <c r="AA121">
        <v>1</v>
      </c>
      <c r="AB121">
        <v>0</v>
      </c>
      <c r="AC121">
        <v>0</v>
      </c>
      <c r="AD121">
        <v>0</v>
      </c>
      <c r="AE121">
        <v>0</v>
      </c>
      <c r="AF121">
        <v>0</v>
      </c>
      <c r="AG121" t="s">
        <v>73</v>
      </c>
      <c r="AH121">
        <v>0</v>
      </c>
      <c r="AI121">
        <v>0</v>
      </c>
      <c r="AJ121">
        <v>0</v>
      </c>
      <c r="AK121">
        <v>0</v>
      </c>
      <c r="AL121">
        <v>1</v>
      </c>
      <c r="AM121">
        <v>0</v>
      </c>
      <c r="AN121">
        <v>0</v>
      </c>
      <c r="AO121">
        <v>0</v>
      </c>
      <c r="AP121" s="10">
        <v>0</v>
      </c>
      <c r="AQ121" t="s">
        <v>461</v>
      </c>
      <c r="AR121" t="s">
        <v>234</v>
      </c>
      <c r="AS121" s="41" t="s">
        <v>459</v>
      </c>
      <c r="AT121" t="s">
        <v>265</v>
      </c>
      <c r="AU121" s="187">
        <v>7.0000000000000001E-3</v>
      </c>
      <c r="AV121" s="7" t="s">
        <v>80</v>
      </c>
      <c r="AW121" s="7" t="s">
        <v>73</v>
      </c>
      <c r="AX121">
        <v>0.1</v>
      </c>
      <c r="AY121">
        <v>2</v>
      </c>
      <c r="AZ121">
        <f>TINV(0.1,CB121)</f>
        <v>1.6458012044463048</v>
      </c>
      <c r="BA121" s="94">
        <f t="shared" si="0"/>
        <v>7.0000000000000001E-3</v>
      </c>
      <c r="BB121" t="s">
        <v>73</v>
      </c>
      <c r="BC121" t="s">
        <v>73</v>
      </c>
      <c r="BD121" s="10" t="s">
        <v>73</v>
      </c>
      <c r="BE121" t="s">
        <v>73</v>
      </c>
      <c r="BF121" t="s">
        <v>73</v>
      </c>
      <c r="BG121" t="s">
        <v>73</v>
      </c>
      <c r="BH121">
        <v>1611</v>
      </c>
      <c r="BI121">
        <v>1611</v>
      </c>
      <c r="BJ121" t="s">
        <v>73</v>
      </c>
      <c r="BK121" t="s">
        <v>73</v>
      </c>
      <c r="BL121" t="s">
        <v>73</v>
      </c>
      <c r="BM121" t="s">
        <v>73</v>
      </c>
      <c r="BN121" t="s">
        <v>73</v>
      </c>
      <c r="BO121" t="s">
        <v>73</v>
      </c>
      <c r="BP121" t="s">
        <v>73</v>
      </c>
      <c r="BQ121" t="s">
        <v>73</v>
      </c>
      <c r="BR121" t="s">
        <v>73</v>
      </c>
      <c r="BS121" t="s">
        <v>73</v>
      </c>
      <c r="BT121">
        <v>0</v>
      </c>
      <c r="BU121">
        <v>1</v>
      </c>
      <c r="BV121">
        <v>1</v>
      </c>
      <c r="BW121" s="30">
        <f>((AZ121^2)/(AZ121^2+BH121))^(1/2)</f>
        <v>4.0969891212699401E-2</v>
      </c>
      <c r="BX121" s="30">
        <f>0.5*LN((1+BW121)/(1-BW121))</f>
        <v>4.0992837417654034E-2</v>
      </c>
      <c r="BY121" s="30">
        <f>((1-(BX121^2)^2)/(BH121-1))</f>
        <v>6.2111625851744845E-4</v>
      </c>
      <c r="BZ121" s="30">
        <f>1/(BH121-3)</f>
        <v>6.2189054726368158E-4</v>
      </c>
      <c r="CA121" s="92" t="s">
        <v>73</v>
      </c>
      <c r="CB121">
        <f>BH121-2</f>
        <v>1609</v>
      </c>
      <c r="CC121" s="92" t="s">
        <v>73</v>
      </c>
      <c r="CD121" s="30">
        <f>((AZ121^2)/(AZ121^2+BI121))^(1/2)</f>
        <v>4.0969891212699401E-2</v>
      </c>
      <c r="CE121" s="30">
        <f>0.5*LN((1+CD121)/(1-CD121))</f>
        <v>4.0992837417654034E-2</v>
      </c>
      <c r="CF121" s="30">
        <f>((1-(CE121^2)^2)/(BI121-1))</f>
        <v>6.2111625851744845E-4</v>
      </c>
      <c r="CG121" s="30">
        <f>1/(BI121-3)</f>
        <v>6.2189054726368158E-4</v>
      </c>
    </row>
    <row r="122" spans="1:86" s="119" customFormat="1">
      <c r="A122" t="s">
        <v>446</v>
      </c>
      <c r="B122">
        <v>22</v>
      </c>
      <c r="C122" s="92">
        <v>1279</v>
      </c>
      <c r="D122">
        <v>407</v>
      </c>
      <c r="E122" t="s">
        <v>453</v>
      </c>
      <c r="F122">
        <v>2021</v>
      </c>
      <c r="G122" t="s">
        <v>454</v>
      </c>
      <c r="H122" t="s">
        <v>455</v>
      </c>
      <c r="I122">
        <v>2</v>
      </c>
      <c r="J122" t="s">
        <v>456</v>
      </c>
      <c r="K122" t="s">
        <v>73</v>
      </c>
      <c r="L122">
        <v>9</v>
      </c>
      <c r="M122" s="207" t="s">
        <v>93</v>
      </c>
      <c r="N122" t="s">
        <v>242</v>
      </c>
      <c r="O122" t="s">
        <v>148</v>
      </c>
      <c r="P122" t="s">
        <v>294</v>
      </c>
      <c r="Q122" t="s">
        <v>308</v>
      </c>
      <c r="R122" t="s">
        <v>337</v>
      </c>
      <c r="S122">
        <v>1</v>
      </c>
      <c r="T122" t="s">
        <v>231</v>
      </c>
      <c r="U122">
        <v>0</v>
      </c>
      <c r="V122" t="s">
        <v>232</v>
      </c>
      <c r="W122" t="s">
        <v>232</v>
      </c>
      <c r="X122" t="s">
        <v>73</v>
      </c>
      <c r="Y122">
        <v>0</v>
      </c>
      <c r="Z122">
        <v>0</v>
      </c>
      <c r="AA122">
        <v>1</v>
      </c>
      <c r="AB122">
        <v>0</v>
      </c>
      <c r="AC122">
        <v>0</v>
      </c>
      <c r="AD122">
        <v>0</v>
      </c>
      <c r="AE122">
        <v>0</v>
      </c>
      <c r="AF122">
        <v>0</v>
      </c>
      <c r="AG122" t="s">
        <v>73</v>
      </c>
      <c r="AH122">
        <v>0</v>
      </c>
      <c r="AI122">
        <v>0</v>
      </c>
      <c r="AJ122">
        <v>0</v>
      </c>
      <c r="AK122">
        <v>0</v>
      </c>
      <c r="AL122">
        <v>1</v>
      </c>
      <c r="AM122">
        <v>0</v>
      </c>
      <c r="AN122">
        <v>0</v>
      </c>
      <c r="AO122">
        <v>0</v>
      </c>
      <c r="AP122" s="10">
        <v>0</v>
      </c>
      <c r="AQ122" t="s">
        <v>458</v>
      </c>
      <c r="AR122" t="s">
        <v>234</v>
      </c>
      <c r="AS122" t="s">
        <v>461</v>
      </c>
      <c r="AT122" t="s">
        <v>265</v>
      </c>
      <c r="AU122" s="187">
        <v>1.4E-2</v>
      </c>
      <c r="AV122" s="7" t="s">
        <v>86</v>
      </c>
      <c r="AW122" s="7" t="s">
        <v>73</v>
      </c>
      <c r="AX122">
        <v>0.1</v>
      </c>
      <c r="AY122">
        <v>2</v>
      </c>
      <c r="AZ122">
        <f>TINV(0.1,CB122)</f>
        <v>1.6458012044463048</v>
      </c>
      <c r="BA122" s="94">
        <f t="shared" si="0"/>
        <v>1.4E-2</v>
      </c>
      <c r="BB122" t="s">
        <v>73</v>
      </c>
      <c r="BC122" t="s">
        <v>73</v>
      </c>
      <c r="BD122" s="10" t="s">
        <v>73</v>
      </c>
      <c r="BE122" t="s">
        <v>73</v>
      </c>
      <c r="BF122" t="s">
        <v>73</v>
      </c>
      <c r="BG122" t="s">
        <v>73</v>
      </c>
      <c r="BH122">
        <v>1611</v>
      </c>
      <c r="BI122">
        <v>1611</v>
      </c>
      <c r="BJ122" t="s">
        <v>73</v>
      </c>
      <c r="BK122" t="s">
        <v>73</v>
      </c>
      <c r="BL122" t="s">
        <v>73</v>
      </c>
      <c r="BM122" t="s">
        <v>73</v>
      </c>
      <c r="BN122" t="s">
        <v>73</v>
      </c>
      <c r="BO122" t="s">
        <v>73</v>
      </c>
      <c r="BP122" t="s">
        <v>73</v>
      </c>
      <c r="BQ122" t="s">
        <v>73</v>
      </c>
      <c r="BR122" t="s">
        <v>73</v>
      </c>
      <c r="BS122" t="s">
        <v>73</v>
      </c>
      <c r="BT122">
        <v>0</v>
      </c>
      <c r="BU122">
        <v>1</v>
      </c>
      <c r="BV122">
        <v>1</v>
      </c>
      <c r="BW122" s="30">
        <f>((AZ122^2)/(AZ122^2+BH122))^(1/2)</f>
        <v>4.0969891212699401E-2</v>
      </c>
      <c r="BX122" s="30">
        <f>0.5*LN((1+BW122)/(1-BW122))</f>
        <v>4.0992837417654034E-2</v>
      </c>
      <c r="BY122" s="30">
        <f>((1-(BX122^2)^2)/(BH122-1))</f>
        <v>6.2111625851744845E-4</v>
      </c>
      <c r="BZ122" s="30">
        <f>1/(BH122-3)</f>
        <v>6.2189054726368158E-4</v>
      </c>
      <c r="CA122" s="92" t="s">
        <v>73</v>
      </c>
      <c r="CB122">
        <f>BH122-2</f>
        <v>1609</v>
      </c>
      <c r="CC122" s="92" t="s">
        <v>73</v>
      </c>
      <c r="CD122" s="30">
        <f>((AZ122^2)/(AZ122^2+BI122))^(1/2)</f>
        <v>4.0969891212699401E-2</v>
      </c>
      <c r="CE122" s="30">
        <f>0.5*LN((1+CD122)/(1-CD122))</f>
        <v>4.0992837417654034E-2</v>
      </c>
      <c r="CF122" s="30">
        <f>((1-(CE122^2)^2)/(BI122-1))</f>
        <v>6.2111625851744845E-4</v>
      </c>
      <c r="CG122" s="30">
        <f>1/(BI122-3)</f>
        <v>6.2189054726368158E-4</v>
      </c>
      <c r="CH122" s="102"/>
    </row>
    <row r="123" spans="1:86">
      <c r="A123" t="s">
        <v>446</v>
      </c>
      <c r="B123">
        <v>22</v>
      </c>
      <c r="C123" s="92">
        <v>1280</v>
      </c>
      <c r="D123">
        <v>407</v>
      </c>
      <c r="E123" t="s">
        <v>453</v>
      </c>
      <c r="F123">
        <v>2021</v>
      </c>
      <c r="G123" t="s">
        <v>454</v>
      </c>
      <c r="H123" t="s">
        <v>455</v>
      </c>
      <c r="I123">
        <v>2</v>
      </c>
      <c r="J123" t="s">
        <v>456</v>
      </c>
      <c r="K123" t="s">
        <v>73</v>
      </c>
      <c r="L123">
        <v>9</v>
      </c>
      <c r="M123" s="207" t="s">
        <v>93</v>
      </c>
      <c r="N123" t="s">
        <v>242</v>
      </c>
      <c r="O123" t="s">
        <v>301</v>
      </c>
      <c r="P123" t="s">
        <v>294</v>
      </c>
      <c r="Q123" t="s">
        <v>308</v>
      </c>
      <c r="R123" t="s">
        <v>337</v>
      </c>
      <c r="S123">
        <v>1</v>
      </c>
      <c r="T123" t="s">
        <v>231</v>
      </c>
      <c r="U123">
        <v>0</v>
      </c>
      <c r="V123" t="s">
        <v>232</v>
      </c>
      <c r="W123" t="s">
        <v>232</v>
      </c>
      <c r="X123" t="s">
        <v>73</v>
      </c>
      <c r="Y123">
        <v>0</v>
      </c>
      <c r="Z123">
        <v>0</v>
      </c>
      <c r="AA123">
        <v>1</v>
      </c>
      <c r="AB123">
        <v>0</v>
      </c>
      <c r="AC123">
        <v>0</v>
      </c>
      <c r="AD123">
        <v>0</v>
      </c>
      <c r="AE123">
        <v>0</v>
      </c>
      <c r="AF123">
        <v>0</v>
      </c>
      <c r="AG123" t="s">
        <v>73</v>
      </c>
      <c r="AH123">
        <v>0</v>
      </c>
      <c r="AI123">
        <v>0</v>
      </c>
      <c r="AJ123">
        <v>0</v>
      </c>
      <c r="AK123">
        <v>0</v>
      </c>
      <c r="AL123">
        <v>1</v>
      </c>
      <c r="AM123">
        <v>0</v>
      </c>
      <c r="AN123">
        <v>0</v>
      </c>
      <c r="AO123">
        <v>0</v>
      </c>
      <c r="AP123" s="10">
        <v>0</v>
      </c>
      <c r="AQ123" t="s">
        <v>461</v>
      </c>
      <c r="AR123" t="s">
        <v>234</v>
      </c>
      <c r="AS123" s="41" t="s">
        <v>459</v>
      </c>
      <c r="AT123" t="s">
        <v>265</v>
      </c>
      <c r="AU123" s="187">
        <v>1.2999999999999999E-2</v>
      </c>
      <c r="AV123" s="7" t="s">
        <v>86</v>
      </c>
      <c r="AW123" s="7" t="s">
        <v>73</v>
      </c>
      <c r="AX123">
        <v>0.1</v>
      </c>
      <c r="AY123">
        <v>2</v>
      </c>
      <c r="AZ123">
        <f>TINV(0.1,CB123)</f>
        <v>1.6458012044463048</v>
      </c>
      <c r="BA123" s="94">
        <f t="shared" si="0"/>
        <v>1.2999999999999999E-2</v>
      </c>
      <c r="BB123" t="s">
        <v>73</v>
      </c>
      <c r="BC123" t="s">
        <v>73</v>
      </c>
      <c r="BD123" s="10" t="s">
        <v>73</v>
      </c>
      <c r="BE123" t="s">
        <v>73</v>
      </c>
      <c r="BF123" t="s">
        <v>73</v>
      </c>
      <c r="BG123" t="s">
        <v>73</v>
      </c>
      <c r="BH123">
        <v>1611</v>
      </c>
      <c r="BI123">
        <v>1611</v>
      </c>
      <c r="BJ123" t="s">
        <v>73</v>
      </c>
      <c r="BK123" t="s">
        <v>73</v>
      </c>
      <c r="BL123" t="s">
        <v>73</v>
      </c>
      <c r="BM123" t="s">
        <v>73</v>
      </c>
      <c r="BN123" t="s">
        <v>73</v>
      </c>
      <c r="BO123" t="s">
        <v>73</v>
      </c>
      <c r="BP123" t="s">
        <v>73</v>
      </c>
      <c r="BQ123" t="s">
        <v>73</v>
      </c>
      <c r="BR123" t="s">
        <v>73</v>
      </c>
      <c r="BS123" t="s">
        <v>73</v>
      </c>
      <c r="BT123">
        <v>0</v>
      </c>
      <c r="BU123">
        <v>1</v>
      </c>
      <c r="BV123">
        <v>1</v>
      </c>
      <c r="BW123" s="30">
        <f>((AZ123^2)/(AZ123^2+BH123))^(1/2)</f>
        <v>4.0969891212699401E-2</v>
      </c>
      <c r="BX123" s="30">
        <f>0.5*LN((1+BW123)/(1-BW123))</f>
        <v>4.0992837417654034E-2</v>
      </c>
      <c r="BY123" s="30">
        <f>((1-(BX123^2)^2)/(BH123-1))</f>
        <v>6.2111625851744845E-4</v>
      </c>
      <c r="BZ123" s="30">
        <f>1/(BH123-3)</f>
        <v>6.2189054726368158E-4</v>
      </c>
      <c r="CA123" s="92" t="s">
        <v>73</v>
      </c>
      <c r="CB123">
        <f>BH123-2</f>
        <v>1609</v>
      </c>
      <c r="CC123" s="92" t="s">
        <v>73</v>
      </c>
      <c r="CD123" s="30">
        <f>((AZ123^2)/(AZ123^2+BI123))^(1/2)</f>
        <v>4.0969891212699401E-2</v>
      </c>
      <c r="CE123" s="30">
        <f>0.5*LN((1+CD123)/(1-CD123))</f>
        <v>4.0992837417654034E-2</v>
      </c>
      <c r="CF123" s="30">
        <f>((1-(CE123^2)^2)/(BI123-1))</f>
        <v>6.2111625851744845E-4</v>
      </c>
      <c r="CG123" s="30">
        <f>1/(BI123-3)</f>
        <v>6.2189054726368158E-4</v>
      </c>
      <c r="CH123" s="102"/>
    </row>
    <row r="124" spans="1:86">
      <c r="A124" t="s">
        <v>446</v>
      </c>
      <c r="B124">
        <v>22</v>
      </c>
      <c r="C124" s="92">
        <v>1291</v>
      </c>
      <c r="D124">
        <v>407</v>
      </c>
      <c r="E124" t="s">
        <v>453</v>
      </c>
      <c r="F124">
        <v>2021</v>
      </c>
      <c r="G124" t="s">
        <v>454</v>
      </c>
      <c r="H124" t="s">
        <v>455</v>
      </c>
      <c r="I124">
        <v>2</v>
      </c>
      <c r="J124" t="s">
        <v>456</v>
      </c>
      <c r="K124" t="s">
        <v>73</v>
      </c>
      <c r="L124">
        <v>9</v>
      </c>
      <c r="M124" s="207" t="s">
        <v>93</v>
      </c>
      <c r="N124" t="s">
        <v>242</v>
      </c>
      <c r="O124" t="s">
        <v>301</v>
      </c>
      <c r="P124" t="s">
        <v>294</v>
      </c>
      <c r="Q124" t="s">
        <v>308</v>
      </c>
      <c r="R124" t="s">
        <v>337</v>
      </c>
      <c r="S124">
        <v>1</v>
      </c>
      <c r="T124" t="s">
        <v>231</v>
      </c>
      <c r="U124">
        <v>0</v>
      </c>
      <c r="V124" t="s">
        <v>232</v>
      </c>
      <c r="W124" t="s">
        <v>232</v>
      </c>
      <c r="X124" t="s">
        <v>73</v>
      </c>
      <c r="Y124">
        <v>0</v>
      </c>
      <c r="Z124">
        <v>0</v>
      </c>
      <c r="AA124">
        <v>1</v>
      </c>
      <c r="AB124">
        <v>0</v>
      </c>
      <c r="AC124">
        <v>0</v>
      </c>
      <c r="AD124">
        <v>0</v>
      </c>
      <c r="AE124">
        <v>0</v>
      </c>
      <c r="AF124">
        <v>0</v>
      </c>
      <c r="AG124" t="s">
        <v>73</v>
      </c>
      <c r="AH124">
        <v>0</v>
      </c>
      <c r="AI124">
        <v>0</v>
      </c>
      <c r="AJ124">
        <v>0</v>
      </c>
      <c r="AK124">
        <v>0</v>
      </c>
      <c r="AL124">
        <v>1</v>
      </c>
      <c r="AM124">
        <v>0</v>
      </c>
      <c r="AN124">
        <v>0</v>
      </c>
      <c r="AO124">
        <v>0</v>
      </c>
      <c r="AP124" s="10">
        <v>0</v>
      </c>
      <c r="AQ124" t="s">
        <v>458</v>
      </c>
      <c r="AR124" t="s">
        <v>234</v>
      </c>
      <c r="AS124" t="s">
        <v>461</v>
      </c>
      <c r="AT124" t="s">
        <v>265</v>
      </c>
      <c r="AU124" s="187">
        <v>5.8999999999999997E-2</v>
      </c>
      <c r="AV124" s="7" t="s">
        <v>80</v>
      </c>
      <c r="AW124" s="7" t="s">
        <v>73</v>
      </c>
      <c r="AX124">
        <v>0.1</v>
      </c>
      <c r="AY124">
        <v>2</v>
      </c>
      <c r="AZ124">
        <f>TINV(0.1,CB124)</f>
        <v>1.6458012044463048</v>
      </c>
      <c r="BA124" s="94">
        <f t="shared" si="0"/>
        <v>5.8999999999999997E-2</v>
      </c>
      <c r="BB124" t="s">
        <v>73</v>
      </c>
      <c r="BC124" t="s">
        <v>73</v>
      </c>
      <c r="BD124" s="10" t="s">
        <v>73</v>
      </c>
      <c r="BE124" t="s">
        <v>73</v>
      </c>
      <c r="BF124" t="s">
        <v>73</v>
      </c>
      <c r="BG124" t="s">
        <v>73</v>
      </c>
      <c r="BH124">
        <v>1611</v>
      </c>
      <c r="BI124">
        <v>1611</v>
      </c>
      <c r="BJ124" t="s">
        <v>73</v>
      </c>
      <c r="BK124" t="s">
        <v>73</v>
      </c>
      <c r="BL124" t="s">
        <v>73</v>
      </c>
      <c r="BM124" t="s">
        <v>73</v>
      </c>
      <c r="BN124" t="s">
        <v>73</v>
      </c>
      <c r="BO124" t="s">
        <v>73</v>
      </c>
      <c r="BP124" t="s">
        <v>73</v>
      </c>
      <c r="BQ124" t="s">
        <v>73</v>
      </c>
      <c r="BR124" t="s">
        <v>73</v>
      </c>
      <c r="BS124" t="s">
        <v>73</v>
      </c>
      <c r="BT124">
        <v>0</v>
      </c>
      <c r="BU124">
        <v>1</v>
      </c>
      <c r="BV124">
        <v>1</v>
      </c>
      <c r="BW124" s="30">
        <f>((AZ124^2)/(AZ124^2+BH124))^(1/2)</f>
        <v>4.0969891212699401E-2</v>
      </c>
      <c r="BX124" s="30">
        <f>0.5*LN((1+BW124)/(1-BW124))</f>
        <v>4.0992837417654034E-2</v>
      </c>
      <c r="BY124" s="30">
        <f>((1-(BX124^2)^2)/(BH124-1))</f>
        <v>6.2111625851744845E-4</v>
      </c>
      <c r="BZ124" s="30">
        <f>1/(BH124-3)</f>
        <v>6.2189054726368158E-4</v>
      </c>
      <c r="CA124" s="92" t="s">
        <v>73</v>
      </c>
      <c r="CB124">
        <f>BH124-2</f>
        <v>1609</v>
      </c>
      <c r="CC124" s="92" t="s">
        <v>73</v>
      </c>
      <c r="CD124" s="30">
        <f>((AZ124^2)/(AZ124^2+BI124))^(1/2)</f>
        <v>4.0969891212699401E-2</v>
      </c>
      <c r="CE124" s="30">
        <f>0.5*LN((1+CD124)/(1-CD124))</f>
        <v>4.0992837417654034E-2</v>
      </c>
      <c r="CF124" s="30">
        <f>((1-(CE124^2)^2)/(BI124-1))</f>
        <v>6.2111625851744845E-4</v>
      </c>
      <c r="CG124" s="30">
        <f>1/(BI124-3)</f>
        <v>6.2189054726368158E-4</v>
      </c>
      <c r="CH124" s="102"/>
    </row>
    <row r="125" spans="1:86">
      <c r="A125" t="s">
        <v>446</v>
      </c>
      <c r="B125">
        <v>22</v>
      </c>
      <c r="C125" s="92">
        <v>1296</v>
      </c>
      <c r="D125">
        <v>407</v>
      </c>
      <c r="E125" t="s">
        <v>453</v>
      </c>
      <c r="F125">
        <v>2021</v>
      </c>
      <c r="G125" t="s">
        <v>454</v>
      </c>
      <c r="H125" t="s">
        <v>455</v>
      </c>
      <c r="I125">
        <v>2</v>
      </c>
      <c r="J125" t="s">
        <v>456</v>
      </c>
      <c r="K125" t="s">
        <v>73</v>
      </c>
      <c r="L125">
        <v>9</v>
      </c>
      <c r="M125" s="207" t="s">
        <v>93</v>
      </c>
      <c r="N125" t="s">
        <v>242</v>
      </c>
      <c r="O125" t="s">
        <v>462</v>
      </c>
      <c r="P125" t="s">
        <v>294</v>
      </c>
      <c r="Q125" t="s">
        <v>308</v>
      </c>
      <c r="R125" t="s">
        <v>337</v>
      </c>
      <c r="S125">
        <v>1</v>
      </c>
      <c r="T125" t="s">
        <v>231</v>
      </c>
      <c r="U125">
        <v>0</v>
      </c>
      <c r="V125" t="s">
        <v>232</v>
      </c>
      <c r="W125" t="s">
        <v>232</v>
      </c>
      <c r="X125" t="s">
        <v>73</v>
      </c>
      <c r="Y125">
        <v>0</v>
      </c>
      <c r="Z125">
        <v>0</v>
      </c>
      <c r="AA125">
        <v>1</v>
      </c>
      <c r="AB125">
        <v>0</v>
      </c>
      <c r="AC125">
        <v>0</v>
      </c>
      <c r="AD125">
        <v>0</v>
      </c>
      <c r="AE125">
        <v>0</v>
      </c>
      <c r="AF125">
        <v>0</v>
      </c>
      <c r="AG125" t="s">
        <v>73</v>
      </c>
      <c r="AH125">
        <v>0</v>
      </c>
      <c r="AI125">
        <v>0</v>
      </c>
      <c r="AJ125">
        <v>0</v>
      </c>
      <c r="AK125">
        <v>0</v>
      </c>
      <c r="AL125">
        <v>1</v>
      </c>
      <c r="AM125">
        <v>0</v>
      </c>
      <c r="AN125">
        <v>0</v>
      </c>
      <c r="AO125">
        <v>0</v>
      </c>
      <c r="AP125" s="10">
        <v>0</v>
      </c>
      <c r="AQ125" t="s">
        <v>461</v>
      </c>
      <c r="AR125" t="s">
        <v>234</v>
      </c>
      <c r="AS125" s="41" t="s">
        <v>459</v>
      </c>
      <c r="AT125" t="s">
        <v>265</v>
      </c>
      <c r="AU125" s="187">
        <v>7.2999999999999995E-2</v>
      </c>
      <c r="AV125" s="7" t="s">
        <v>86</v>
      </c>
      <c r="AW125" s="7" t="s">
        <v>73</v>
      </c>
      <c r="AX125">
        <v>0.1</v>
      </c>
      <c r="AY125">
        <v>2</v>
      </c>
      <c r="AZ125">
        <f>TINV(0.1,CB125)</f>
        <v>1.6458012044463048</v>
      </c>
      <c r="BA125" s="94">
        <f t="shared" si="0"/>
        <v>7.2999999999999995E-2</v>
      </c>
      <c r="BB125" t="s">
        <v>73</v>
      </c>
      <c r="BC125" t="s">
        <v>73</v>
      </c>
      <c r="BD125" s="10" t="s">
        <v>73</v>
      </c>
      <c r="BE125" t="s">
        <v>73</v>
      </c>
      <c r="BF125" t="s">
        <v>73</v>
      </c>
      <c r="BG125" t="s">
        <v>73</v>
      </c>
      <c r="BH125">
        <v>1611</v>
      </c>
      <c r="BI125">
        <v>1611</v>
      </c>
      <c r="BJ125" t="s">
        <v>73</v>
      </c>
      <c r="BK125" t="s">
        <v>73</v>
      </c>
      <c r="BL125" t="s">
        <v>73</v>
      </c>
      <c r="BM125" t="s">
        <v>73</v>
      </c>
      <c r="BN125" t="s">
        <v>73</v>
      </c>
      <c r="BO125" t="s">
        <v>73</v>
      </c>
      <c r="BP125" t="s">
        <v>73</v>
      </c>
      <c r="BQ125" t="s">
        <v>73</v>
      </c>
      <c r="BR125" t="s">
        <v>73</v>
      </c>
      <c r="BS125" t="s">
        <v>73</v>
      </c>
      <c r="BT125">
        <v>0</v>
      </c>
      <c r="BU125">
        <v>1</v>
      </c>
      <c r="BV125">
        <v>1</v>
      </c>
      <c r="BW125" s="30">
        <f>((AZ125^2)/(AZ125^2+BH125))^(1/2)</f>
        <v>4.0969891212699401E-2</v>
      </c>
      <c r="BX125" s="30">
        <f>0.5*LN((1+BW125)/(1-BW125))</f>
        <v>4.0992837417654034E-2</v>
      </c>
      <c r="BY125" s="30">
        <f>((1-(BX125^2)^2)/(BH125-1))</f>
        <v>6.2111625851744845E-4</v>
      </c>
      <c r="BZ125" s="30">
        <f>1/(BH125-3)</f>
        <v>6.2189054726368158E-4</v>
      </c>
      <c r="CA125" s="92" t="s">
        <v>73</v>
      </c>
      <c r="CB125">
        <f>BH125-2</f>
        <v>1609</v>
      </c>
      <c r="CC125" s="92" t="s">
        <v>73</v>
      </c>
      <c r="CD125" s="30">
        <f>((AZ125^2)/(AZ125^2+BI125))^(1/2)</f>
        <v>4.0969891212699401E-2</v>
      </c>
      <c r="CE125" s="30">
        <f>0.5*LN((1+CD125)/(1-CD125))</f>
        <v>4.0992837417654034E-2</v>
      </c>
      <c r="CF125" s="30">
        <f>((1-(CE125^2)^2)/(BI125-1))</f>
        <v>6.2111625851744845E-4</v>
      </c>
      <c r="CG125" s="30">
        <f>1/(BI125-3)</f>
        <v>6.2189054726368158E-4</v>
      </c>
    </row>
    <row r="126" spans="1:86">
      <c r="A126" t="s">
        <v>446</v>
      </c>
      <c r="B126">
        <v>22</v>
      </c>
      <c r="C126" s="92">
        <v>1297</v>
      </c>
      <c r="D126">
        <v>407</v>
      </c>
      <c r="E126" t="s">
        <v>453</v>
      </c>
      <c r="F126">
        <v>2021</v>
      </c>
      <c r="G126" t="s">
        <v>454</v>
      </c>
      <c r="H126" t="s">
        <v>455</v>
      </c>
      <c r="I126">
        <v>2</v>
      </c>
      <c r="J126" t="s">
        <v>456</v>
      </c>
      <c r="K126" t="s">
        <v>73</v>
      </c>
      <c r="L126">
        <v>9</v>
      </c>
      <c r="M126" s="207" t="s">
        <v>93</v>
      </c>
      <c r="N126" t="s">
        <v>242</v>
      </c>
      <c r="O126" t="s">
        <v>462</v>
      </c>
      <c r="P126" t="s">
        <v>294</v>
      </c>
      <c r="Q126" t="s">
        <v>308</v>
      </c>
      <c r="R126" t="s">
        <v>337</v>
      </c>
      <c r="S126">
        <v>1</v>
      </c>
      <c r="T126" t="s">
        <v>231</v>
      </c>
      <c r="U126">
        <v>0</v>
      </c>
      <c r="V126" t="s">
        <v>232</v>
      </c>
      <c r="W126" t="s">
        <v>232</v>
      </c>
      <c r="X126" t="s">
        <v>73</v>
      </c>
      <c r="Y126">
        <v>0</v>
      </c>
      <c r="Z126">
        <v>0</v>
      </c>
      <c r="AA126">
        <v>1</v>
      </c>
      <c r="AB126">
        <v>0</v>
      </c>
      <c r="AC126">
        <v>0</v>
      </c>
      <c r="AD126">
        <v>0</v>
      </c>
      <c r="AE126">
        <v>0</v>
      </c>
      <c r="AF126">
        <v>0</v>
      </c>
      <c r="AG126" t="s">
        <v>73</v>
      </c>
      <c r="AH126">
        <v>0</v>
      </c>
      <c r="AI126">
        <v>0</v>
      </c>
      <c r="AJ126">
        <v>0</v>
      </c>
      <c r="AK126">
        <v>0</v>
      </c>
      <c r="AL126">
        <v>1</v>
      </c>
      <c r="AM126">
        <v>0</v>
      </c>
      <c r="AN126">
        <v>0</v>
      </c>
      <c r="AO126">
        <v>0</v>
      </c>
      <c r="AP126" s="10">
        <v>0</v>
      </c>
      <c r="AQ126" t="s">
        <v>458</v>
      </c>
      <c r="AR126" t="s">
        <v>234</v>
      </c>
      <c r="AS126" t="s">
        <v>461</v>
      </c>
      <c r="AT126" t="s">
        <v>265</v>
      </c>
      <c r="AU126" s="187">
        <v>7.2999999999999995E-2</v>
      </c>
      <c r="AV126" s="7" t="s">
        <v>80</v>
      </c>
      <c r="AW126" s="7" t="s">
        <v>73</v>
      </c>
      <c r="AX126">
        <v>0.1</v>
      </c>
      <c r="AY126">
        <v>2</v>
      </c>
      <c r="AZ126">
        <f>TINV(0.1,CB126)</f>
        <v>1.6458012044463048</v>
      </c>
      <c r="BA126" s="94">
        <f t="shared" si="0"/>
        <v>7.2999999999999995E-2</v>
      </c>
      <c r="BB126" t="s">
        <v>73</v>
      </c>
      <c r="BC126" t="s">
        <v>73</v>
      </c>
      <c r="BD126" s="10" t="s">
        <v>73</v>
      </c>
      <c r="BE126" t="s">
        <v>73</v>
      </c>
      <c r="BF126" t="s">
        <v>73</v>
      </c>
      <c r="BG126" t="s">
        <v>73</v>
      </c>
      <c r="BH126">
        <v>1611</v>
      </c>
      <c r="BI126">
        <v>1611</v>
      </c>
      <c r="BJ126" t="s">
        <v>73</v>
      </c>
      <c r="BK126" t="s">
        <v>73</v>
      </c>
      <c r="BL126" t="s">
        <v>73</v>
      </c>
      <c r="BM126" t="s">
        <v>73</v>
      </c>
      <c r="BN126" t="s">
        <v>73</v>
      </c>
      <c r="BO126" t="s">
        <v>73</v>
      </c>
      <c r="BP126" t="s">
        <v>73</v>
      </c>
      <c r="BQ126" t="s">
        <v>73</v>
      </c>
      <c r="BR126" t="s">
        <v>73</v>
      </c>
      <c r="BS126" t="s">
        <v>73</v>
      </c>
      <c r="BT126">
        <v>0</v>
      </c>
      <c r="BU126">
        <v>1</v>
      </c>
      <c r="BV126">
        <v>1</v>
      </c>
      <c r="BW126" s="30">
        <f>((AZ126^2)/(AZ126^2+BH126))^(1/2)</f>
        <v>4.0969891212699401E-2</v>
      </c>
      <c r="BX126" s="30">
        <f>0.5*LN((1+BW126)/(1-BW126))</f>
        <v>4.0992837417654034E-2</v>
      </c>
      <c r="BY126" s="30">
        <f>((1-(BX126^2)^2)/(BH126-1))</f>
        <v>6.2111625851744845E-4</v>
      </c>
      <c r="BZ126" s="30">
        <f>1/(BH126-3)</f>
        <v>6.2189054726368158E-4</v>
      </c>
      <c r="CA126" s="92" t="s">
        <v>73</v>
      </c>
      <c r="CB126">
        <f>BH126-2</f>
        <v>1609</v>
      </c>
      <c r="CC126" s="92" t="s">
        <v>73</v>
      </c>
      <c r="CD126" s="30">
        <f>((AZ126^2)/(AZ126^2+BI126))^(1/2)</f>
        <v>4.0969891212699401E-2</v>
      </c>
      <c r="CE126" s="30">
        <f>0.5*LN((1+CD126)/(1-CD126))</f>
        <v>4.0992837417654034E-2</v>
      </c>
      <c r="CF126" s="30">
        <f>((1-(CE126^2)^2)/(BI126-1))</f>
        <v>6.2111625851744845E-4</v>
      </c>
      <c r="CG126" s="30">
        <f>1/(BI126-3)</f>
        <v>6.2189054726368158E-4</v>
      </c>
    </row>
    <row r="127" spans="1:86">
      <c r="A127" t="s">
        <v>446</v>
      </c>
      <c r="B127">
        <v>22</v>
      </c>
      <c r="C127" s="92">
        <v>1298</v>
      </c>
      <c r="D127">
        <v>407</v>
      </c>
      <c r="E127" t="s">
        <v>453</v>
      </c>
      <c r="F127">
        <v>2021</v>
      </c>
      <c r="G127" t="s">
        <v>454</v>
      </c>
      <c r="H127" t="s">
        <v>455</v>
      </c>
      <c r="I127">
        <v>2</v>
      </c>
      <c r="J127" t="s">
        <v>456</v>
      </c>
      <c r="K127" t="s">
        <v>73</v>
      </c>
      <c r="L127">
        <v>9</v>
      </c>
      <c r="M127" s="207" t="s">
        <v>93</v>
      </c>
      <c r="N127" t="s">
        <v>242</v>
      </c>
      <c r="O127" t="s">
        <v>321</v>
      </c>
      <c r="P127" t="s">
        <v>294</v>
      </c>
      <c r="Q127" t="s">
        <v>308</v>
      </c>
      <c r="R127" t="s">
        <v>337</v>
      </c>
      <c r="S127">
        <v>1</v>
      </c>
      <c r="T127" t="s">
        <v>231</v>
      </c>
      <c r="U127">
        <v>0</v>
      </c>
      <c r="V127" t="s">
        <v>232</v>
      </c>
      <c r="W127" t="s">
        <v>232</v>
      </c>
      <c r="X127" t="s">
        <v>73</v>
      </c>
      <c r="Y127">
        <v>0</v>
      </c>
      <c r="Z127">
        <v>0</v>
      </c>
      <c r="AA127">
        <v>1</v>
      </c>
      <c r="AB127">
        <v>0</v>
      </c>
      <c r="AC127">
        <v>0</v>
      </c>
      <c r="AD127">
        <v>0</v>
      </c>
      <c r="AE127">
        <v>0</v>
      </c>
      <c r="AF127">
        <v>0</v>
      </c>
      <c r="AG127" t="s">
        <v>73</v>
      </c>
      <c r="AH127">
        <v>0</v>
      </c>
      <c r="AI127">
        <v>0</v>
      </c>
      <c r="AJ127">
        <v>0</v>
      </c>
      <c r="AK127">
        <v>0</v>
      </c>
      <c r="AL127">
        <v>1</v>
      </c>
      <c r="AM127">
        <v>0</v>
      </c>
      <c r="AN127">
        <v>0</v>
      </c>
      <c r="AO127">
        <v>0</v>
      </c>
      <c r="AP127" s="10">
        <v>0</v>
      </c>
      <c r="AQ127" t="s">
        <v>461</v>
      </c>
      <c r="AR127" t="s">
        <v>234</v>
      </c>
      <c r="AS127" s="41" t="s">
        <v>459</v>
      </c>
      <c r="AT127" t="s">
        <v>265</v>
      </c>
      <c r="AU127" s="187">
        <v>4.1000000000000002E-2</v>
      </c>
      <c r="AV127" s="7" t="s">
        <v>86</v>
      </c>
      <c r="AW127" s="7" t="s">
        <v>73</v>
      </c>
      <c r="AX127">
        <v>0.1</v>
      </c>
      <c r="AY127">
        <v>1</v>
      </c>
      <c r="AZ127">
        <f>TINV(AX127,CB127)</f>
        <v>1.6458012044463048</v>
      </c>
      <c r="BA127" s="94">
        <f t="shared" si="0"/>
        <v>4.1000000000000002E-2</v>
      </c>
      <c r="BB127" t="s">
        <v>73</v>
      </c>
      <c r="BC127" t="s">
        <v>73</v>
      </c>
      <c r="BD127" s="10" t="s">
        <v>73</v>
      </c>
      <c r="BE127" t="s">
        <v>73</v>
      </c>
      <c r="BF127" t="s">
        <v>73</v>
      </c>
      <c r="BG127" t="s">
        <v>73</v>
      </c>
      <c r="BH127">
        <v>1611</v>
      </c>
      <c r="BI127">
        <v>1611</v>
      </c>
      <c r="BJ127" t="s">
        <v>73</v>
      </c>
      <c r="BK127" t="s">
        <v>73</v>
      </c>
      <c r="BL127" t="s">
        <v>73</v>
      </c>
      <c r="BM127" t="s">
        <v>73</v>
      </c>
      <c r="BN127" t="s">
        <v>73</v>
      </c>
      <c r="BO127" t="s">
        <v>73</v>
      </c>
      <c r="BP127" t="s">
        <v>73</v>
      </c>
      <c r="BQ127" t="s">
        <v>73</v>
      </c>
      <c r="BR127" t="s">
        <v>73</v>
      </c>
      <c r="BS127" t="s">
        <v>73</v>
      </c>
      <c r="BT127">
        <v>0</v>
      </c>
      <c r="BU127">
        <v>1</v>
      </c>
      <c r="BV127">
        <v>1</v>
      </c>
      <c r="BW127" s="30">
        <f>((AZ127^2)/(AZ127^2+BH127))^(1/2)</f>
        <v>4.0969891212699401E-2</v>
      </c>
      <c r="BX127" s="30">
        <f>0.5*LN((1+BW127)/(1-BW127))</f>
        <v>4.0992837417654034E-2</v>
      </c>
      <c r="BY127" s="30">
        <f>((1-(BX127^2)^2)/(BH127-1))</f>
        <v>6.2111625851744845E-4</v>
      </c>
      <c r="BZ127" s="30">
        <f>1/(BH127-3)</f>
        <v>6.2189054726368158E-4</v>
      </c>
      <c r="CA127" s="92" t="s">
        <v>73</v>
      </c>
      <c r="CB127">
        <f>BH127-2</f>
        <v>1609</v>
      </c>
      <c r="CC127" s="92" t="s">
        <v>73</v>
      </c>
      <c r="CD127" s="30">
        <f>((AZ127^2)/(AZ127^2+BI127))^(1/2)</f>
        <v>4.0969891212699401E-2</v>
      </c>
      <c r="CE127" s="30">
        <f>0.5*LN((1+CD127)/(1-CD127))</f>
        <v>4.0992837417654034E-2</v>
      </c>
      <c r="CF127" s="30">
        <f>((1-(CE127^2)^2)/(BI127-1))</f>
        <v>6.2111625851744845E-4</v>
      </c>
      <c r="CG127" s="30">
        <f>1/(BI127-3)</f>
        <v>6.2189054726368158E-4</v>
      </c>
      <c r="CH127" s="102"/>
    </row>
    <row r="128" spans="1:86">
      <c r="A128" t="s">
        <v>446</v>
      </c>
      <c r="B128">
        <v>22</v>
      </c>
      <c r="C128" s="92">
        <v>1299</v>
      </c>
      <c r="D128">
        <v>407</v>
      </c>
      <c r="E128" t="s">
        <v>453</v>
      </c>
      <c r="F128">
        <v>2021</v>
      </c>
      <c r="G128" t="s">
        <v>454</v>
      </c>
      <c r="H128" t="s">
        <v>455</v>
      </c>
      <c r="I128">
        <v>2</v>
      </c>
      <c r="J128" t="s">
        <v>456</v>
      </c>
      <c r="K128" t="s">
        <v>73</v>
      </c>
      <c r="L128">
        <v>9</v>
      </c>
      <c r="M128" s="207" t="s">
        <v>93</v>
      </c>
      <c r="N128" t="s">
        <v>242</v>
      </c>
      <c r="O128" t="s">
        <v>321</v>
      </c>
      <c r="P128" t="s">
        <v>294</v>
      </c>
      <c r="Q128" t="s">
        <v>308</v>
      </c>
      <c r="R128" t="s">
        <v>337</v>
      </c>
      <c r="S128">
        <v>1</v>
      </c>
      <c r="T128" t="s">
        <v>231</v>
      </c>
      <c r="U128">
        <v>0</v>
      </c>
      <c r="V128" t="s">
        <v>232</v>
      </c>
      <c r="W128" t="s">
        <v>232</v>
      </c>
      <c r="X128" t="s">
        <v>73</v>
      </c>
      <c r="Y128">
        <v>0</v>
      </c>
      <c r="Z128">
        <v>0</v>
      </c>
      <c r="AA128">
        <v>1</v>
      </c>
      <c r="AB128">
        <v>0</v>
      </c>
      <c r="AC128">
        <v>0</v>
      </c>
      <c r="AD128">
        <v>0</v>
      </c>
      <c r="AE128">
        <v>0</v>
      </c>
      <c r="AF128">
        <v>0</v>
      </c>
      <c r="AG128" t="s">
        <v>73</v>
      </c>
      <c r="AH128">
        <v>0</v>
      </c>
      <c r="AI128">
        <v>0</v>
      </c>
      <c r="AJ128">
        <v>0</v>
      </c>
      <c r="AK128">
        <v>0</v>
      </c>
      <c r="AL128">
        <v>1</v>
      </c>
      <c r="AM128">
        <v>0</v>
      </c>
      <c r="AN128">
        <v>0</v>
      </c>
      <c r="AO128">
        <v>0</v>
      </c>
      <c r="AP128" s="10">
        <v>0</v>
      </c>
      <c r="AQ128" t="s">
        <v>458</v>
      </c>
      <c r="AR128" t="s">
        <v>234</v>
      </c>
      <c r="AS128" t="s">
        <v>461</v>
      </c>
      <c r="AT128" t="s">
        <v>265</v>
      </c>
      <c r="AU128" s="187">
        <v>0.04</v>
      </c>
      <c r="AV128" s="7" t="s">
        <v>80</v>
      </c>
      <c r="AW128" s="7" t="s">
        <v>73</v>
      </c>
      <c r="AX128">
        <v>0.1</v>
      </c>
      <c r="AY128">
        <v>1</v>
      </c>
      <c r="AZ128">
        <f>TINV(AX128,CB128)</f>
        <v>1.6458012044463048</v>
      </c>
      <c r="BA128" s="94">
        <f t="shared" si="0"/>
        <v>0.04</v>
      </c>
      <c r="BB128" t="s">
        <v>73</v>
      </c>
      <c r="BC128" t="s">
        <v>73</v>
      </c>
      <c r="BD128" s="10" t="s">
        <v>73</v>
      </c>
      <c r="BE128" t="s">
        <v>73</v>
      </c>
      <c r="BF128" t="s">
        <v>73</v>
      </c>
      <c r="BG128" t="s">
        <v>73</v>
      </c>
      <c r="BH128">
        <v>1611</v>
      </c>
      <c r="BI128">
        <v>1611</v>
      </c>
      <c r="BJ128" t="s">
        <v>73</v>
      </c>
      <c r="BK128" t="s">
        <v>73</v>
      </c>
      <c r="BL128" t="s">
        <v>73</v>
      </c>
      <c r="BM128" t="s">
        <v>73</v>
      </c>
      <c r="BN128" t="s">
        <v>73</v>
      </c>
      <c r="BO128" t="s">
        <v>73</v>
      </c>
      <c r="BP128" t="s">
        <v>73</v>
      </c>
      <c r="BQ128" t="s">
        <v>73</v>
      </c>
      <c r="BR128" t="s">
        <v>73</v>
      </c>
      <c r="BS128" t="s">
        <v>73</v>
      </c>
      <c r="BT128">
        <v>0</v>
      </c>
      <c r="BU128">
        <v>1</v>
      </c>
      <c r="BV128">
        <v>1</v>
      </c>
      <c r="BW128" s="30">
        <f>((AZ128^2)/(AZ128^2+BH128))^(1/2)</f>
        <v>4.0969891212699401E-2</v>
      </c>
      <c r="BX128" s="30">
        <f>0.5*LN((1+BW128)/(1-BW128))</f>
        <v>4.0992837417654034E-2</v>
      </c>
      <c r="BY128" s="30">
        <f>((1-(BX128^2)^2)/(BH128-1))</f>
        <v>6.2111625851744845E-4</v>
      </c>
      <c r="BZ128" s="30">
        <f>1/(BH128-3)</f>
        <v>6.2189054726368158E-4</v>
      </c>
      <c r="CA128" s="92" t="s">
        <v>73</v>
      </c>
      <c r="CB128">
        <f>BH128-2</f>
        <v>1609</v>
      </c>
      <c r="CC128" s="92" t="s">
        <v>73</v>
      </c>
      <c r="CD128" s="30">
        <f>((AZ128^2)/(AZ128^2+BI128))^(1/2)</f>
        <v>4.0969891212699401E-2</v>
      </c>
      <c r="CE128" s="30">
        <f>0.5*LN((1+CD128)/(1-CD128))</f>
        <v>4.0992837417654034E-2</v>
      </c>
      <c r="CF128" s="30">
        <f>((1-(CE128^2)^2)/(BI128-1))</f>
        <v>6.2111625851744845E-4</v>
      </c>
      <c r="CG128" s="30">
        <f>1/(BI128-3)</f>
        <v>6.2189054726368158E-4</v>
      </c>
      <c r="CH128" s="102"/>
    </row>
    <row r="129" spans="1:86">
      <c r="A129" s="108" t="s">
        <v>68</v>
      </c>
      <c r="B129" s="108">
        <v>8</v>
      </c>
      <c r="C129" s="108">
        <v>1157</v>
      </c>
      <c r="D129" s="135">
        <v>136</v>
      </c>
      <c r="E129" t="s">
        <v>378</v>
      </c>
      <c r="F129" s="108">
        <v>2010</v>
      </c>
      <c r="G129" t="s">
        <v>379</v>
      </c>
      <c r="H129" t="s">
        <v>380</v>
      </c>
      <c r="I129" s="135">
        <v>2</v>
      </c>
      <c r="J129">
        <v>2006</v>
      </c>
      <c r="K129" s="108" t="s">
        <v>73</v>
      </c>
      <c r="L129" s="135">
        <v>313</v>
      </c>
      <c r="M129" s="202" t="s">
        <v>381</v>
      </c>
      <c r="N129" s="92" t="s">
        <v>227</v>
      </c>
      <c r="O129" t="s">
        <v>148</v>
      </c>
      <c r="P129" t="s">
        <v>294</v>
      </c>
      <c r="Q129" t="s">
        <v>308</v>
      </c>
      <c r="R129" t="s">
        <v>337</v>
      </c>
      <c r="S129">
        <v>0</v>
      </c>
      <c r="T129" t="s">
        <v>342</v>
      </c>
      <c r="U129">
        <v>1</v>
      </c>
      <c r="V129" s="108" t="s">
        <v>232</v>
      </c>
      <c r="W129" s="108" t="s">
        <v>232</v>
      </c>
      <c r="X129" s="108" t="s">
        <v>73</v>
      </c>
      <c r="Y129" s="135">
        <v>0</v>
      </c>
      <c r="Z129" s="135">
        <v>1</v>
      </c>
      <c r="AA129" s="135">
        <v>0</v>
      </c>
      <c r="AB129" s="135">
        <v>0</v>
      </c>
      <c r="AC129" s="135">
        <v>0</v>
      </c>
      <c r="AD129" s="135">
        <v>0</v>
      </c>
      <c r="AE129" s="135">
        <v>0</v>
      </c>
      <c r="AF129" s="135">
        <v>0</v>
      </c>
      <c r="AG129" s="135" t="s">
        <v>382</v>
      </c>
      <c r="AH129" s="135">
        <v>0</v>
      </c>
      <c r="AI129" s="135">
        <v>0</v>
      </c>
      <c r="AJ129" s="135">
        <v>0</v>
      </c>
      <c r="AK129" s="135">
        <v>1</v>
      </c>
      <c r="AL129" s="135">
        <v>0</v>
      </c>
      <c r="AM129" s="135">
        <v>0</v>
      </c>
      <c r="AN129" s="135">
        <v>0</v>
      </c>
      <c r="AO129" s="135">
        <v>0</v>
      </c>
      <c r="AP129" s="135">
        <v>0</v>
      </c>
      <c r="AQ129" t="s">
        <v>383</v>
      </c>
      <c r="AR129" t="s">
        <v>234</v>
      </c>
      <c r="AS129" t="s">
        <v>384</v>
      </c>
      <c r="AT129" t="s">
        <v>265</v>
      </c>
      <c r="AU129" s="187">
        <v>0.19</v>
      </c>
      <c r="AV129" s="7" t="s">
        <v>86</v>
      </c>
      <c r="AW129">
        <f>AU129/AZ129</f>
        <v>7.8512396694214878E-2</v>
      </c>
      <c r="AX129">
        <v>1.4999999999999999E-2</v>
      </c>
      <c r="AY129">
        <v>3</v>
      </c>
      <c r="AZ129">
        <v>2.42</v>
      </c>
      <c r="BA129" s="94">
        <f t="shared" si="0"/>
        <v>0.19</v>
      </c>
      <c r="BB129" t="s">
        <v>73</v>
      </c>
      <c r="BC129" t="s">
        <v>73</v>
      </c>
      <c r="BD129" t="s">
        <v>73</v>
      </c>
      <c r="BE129" t="s">
        <v>73</v>
      </c>
      <c r="BF129" t="s">
        <v>73</v>
      </c>
      <c r="BG129" t="s">
        <v>73</v>
      </c>
      <c r="BH129" s="103">
        <v>2910</v>
      </c>
      <c r="BI129" s="135">
        <v>2910</v>
      </c>
      <c r="BJ129" s="135" t="s">
        <v>73</v>
      </c>
      <c r="BK129" s="135" t="s">
        <v>73</v>
      </c>
      <c r="BL129" s="135" t="s">
        <v>73</v>
      </c>
      <c r="BM129" s="135" t="s">
        <v>73</v>
      </c>
      <c r="BN129" s="135" t="s">
        <v>73</v>
      </c>
      <c r="BO129" s="135" t="s">
        <v>73</v>
      </c>
      <c r="BP129" s="135" t="s">
        <v>73</v>
      </c>
      <c r="BQ129" s="135" t="s">
        <v>73</v>
      </c>
      <c r="BR129" s="135" t="s">
        <v>73</v>
      </c>
      <c r="BS129" s="135" t="s">
        <v>73</v>
      </c>
      <c r="BT129" s="135">
        <v>0</v>
      </c>
      <c r="BU129" s="135">
        <v>0</v>
      </c>
      <c r="BV129" s="135">
        <v>0</v>
      </c>
      <c r="BW129" s="30">
        <f>((AZ129^2)/(AZ129^2+BH129))^(1/2)</f>
        <v>4.4815918320490998E-2</v>
      </c>
      <c r="BX129" s="30">
        <f>0.5*LN((1+BW129)/(1-BW129))</f>
        <v>4.4845958286761807E-2</v>
      </c>
      <c r="BY129" s="30">
        <f>((1-(BX129^2)^2)/(BH129-1))</f>
        <v>3.4375935209197533E-4</v>
      </c>
      <c r="BZ129" s="30">
        <f>1/(BH129-3)</f>
        <v>3.4399724802201581E-4</v>
      </c>
      <c r="CA129" s="92" t="s">
        <v>73</v>
      </c>
      <c r="CB129">
        <f>BH129-2</f>
        <v>2908</v>
      </c>
      <c r="CC129" s="92" t="s">
        <v>73</v>
      </c>
      <c r="CD129" s="30">
        <f>((AZ129^2)/(AZ129^2+BI129))^(1/2)</f>
        <v>4.4815918320490998E-2</v>
      </c>
      <c r="CE129" s="30">
        <f>0.5*LN((1+CD129)/(1-CD129))</f>
        <v>4.4845958286761807E-2</v>
      </c>
      <c r="CF129" s="30">
        <f>((1-(CE129^2)^2)/(BI129-1))</f>
        <v>3.4375935209197533E-4</v>
      </c>
      <c r="CG129" s="30">
        <f>1/(BI129-3)</f>
        <v>3.4399724802201581E-4</v>
      </c>
      <c r="CH129" s="92"/>
    </row>
    <row r="130" spans="1:86">
      <c r="A130" s="108" t="s">
        <v>68</v>
      </c>
      <c r="B130" s="108">
        <v>8</v>
      </c>
      <c r="C130" s="108">
        <v>1158</v>
      </c>
      <c r="D130" s="135">
        <v>136</v>
      </c>
      <c r="E130" t="s">
        <v>378</v>
      </c>
      <c r="F130" s="108">
        <v>2010</v>
      </c>
      <c r="G130" t="s">
        <v>379</v>
      </c>
      <c r="H130" t="s">
        <v>380</v>
      </c>
      <c r="I130" s="135">
        <v>2</v>
      </c>
      <c r="J130">
        <v>2006</v>
      </c>
      <c r="K130" s="108" t="s">
        <v>73</v>
      </c>
      <c r="L130" s="135">
        <v>313</v>
      </c>
      <c r="M130" s="202" t="s">
        <v>381</v>
      </c>
      <c r="N130" s="92" t="s">
        <v>227</v>
      </c>
      <c r="O130" t="s">
        <v>148</v>
      </c>
      <c r="P130" t="s">
        <v>294</v>
      </c>
      <c r="Q130" t="s">
        <v>308</v>
      </c>
      <c r="R130" t="s">
        <v>337</v>
      </c>
      <c r="S130">
        <v>0</v>
      </c>
      <c r="T130" t="s">
        <v>342</v>
      </c>
      <c r="U130">
        <v>1</v>
      </c>
      <c r="V130" s="108" t="s">
        <v>232</v>
      </c>
      <c r="W130" s="108" t="s">
        <v>385</v>
      </c>
      <c r="X130" s="108" t="s">
        <v>73</v>
      </c>
      <c r="Y130" s="135">
        <v>0</v>
      </c>
      <c r="Z130" s="135">
        <v>1</v>
      </c>
      <c r="AA130" s="135">
        <v>0</v>
      </c>
      <c r="AB130" s="135">
        <v>0</v>
      </c>
      <c r="AC130" s="135">
        <v>0</v>
      </c>
      <c r="AD130" s="135">
        <v>0</v>
      </c>
      <c r="AE130" s="135">
        <v>0</v>
      </c>
      <c r="AF130" s="135">
        <v>0</v>
      </c>
      <c r="AG130" s="135" t="s">
        <v>382</v>
      </c>
      <c r="AH130" s="135">
        <v>0</v>
      </c>
      <c r="AI130" s="135">
        <v>0</v>
      </c>
      <c r="AJ130" s="135">
        <v>0</v>
      </c>
      <c r="AK130" s="135">
        <v>1</v>
      </c>
      <c r="AL130" s="135">
        <v>0</v>
      </c>
      <c r="AM130" s="135">
        <v>0</v>
      </c>
      <c r="AN130" s="135">
        <v>0</v>
      </c>
      <c r="AO130" s="135">
        <v>0</v>
      </c>
      <c r="AP130" s="135">
        <v>0</v>
      </c>
      <c r="AQ130" t="s">
        <v>383</v>
      </c>
      <c r="AR130" t="s">
        <v>234</v>
      </c>
      <c r="AS130" t="s">
        <v>384</v>
      </c>
      <c r="AT130" t="s">
        <v>265</v>
      </c>
      <c r="AU130" s="187">
        <v>0.21</v>
      </c>
      <c r="AV130" s="7" t="s">
        <v>86</v>
      </c>
      <c r="AW130">
        <f>AU130/AZ130</f>
        <v>7.6363636363636356E-2</v>
      </c>
      <c r="AX130">
        <v>6.0000000000000001E-3</v>
      </c>
      <c r="AY130">
        <v>3</v>
      </c>
      <c r="AZ130">
        <v>2.75</v>
      </c>
      <c r="BA130" s="94">
        <f t="shared" si="0"/>
        <v>0.21</v>
      </c>
      <c r="BB130" t="s">
        <v>73</v>
      </c>
      <c r="BC130" t="s">
        <v>73</v>
      </c>
      <c r="BD130" t="s">
        <v>73</v>
      </c>
      <c r="BE130" t="s">
        <v>73</v>
      </c>
      <c r="BF130" t="s">
        <v>73</v>
      </c>
      <c r="BG130" t="s">
        <v>73</v>
      </c>
      <c r="BH130" s="103">
        <v>2910</v>
      </c>
      <c r="BI130" s="135">
        <v>2910</v>
      </c>
      <c r="BJ130" s="135" t="s">
        <v>73</v>
      </c>
      <c r="BK130" s="135" t="s">
        <v>73</v>
      </c>
      <c r="BL130" s="135" t="s">
        <v>73</v>
      </c>
      <c r="BM130" s="135" t="s">
        <v>73</v>
      </c>
      <c r="BN130" s="135" t="s">
        <v>73</v>
      </c>
      <c r="BO130" s="135" t="s">
        <v>73</v>
      </c>
      <c r="BP130" s="135" t="s">
        <v>73</v>
      </c>
      <c r="BQ130" s="135" t="s">
        <v>73</v>
      </c>
      <c r="BR130" s="135" t="s">
        <v>73</v>
      </c>
      <c r="BS130" s="135" t="s">
        <v>73</v>
      </c>
      <c r="BT130" s="135">
        <v>0</v>
      </c>
      <c r="BU130" s="135">
        <v>0</v>
      </c>
      <c r="BV130" s="135">
        <v>0</v>
      </c>
      <c r="BW130" s="30">
        <f>((AZ130^2)/(AZ130^2+BH130))^(1/2)</f>
        <v>5.0912287415050349E-2</v>
      </c>
      <c r="BX130" s="30">
        <f>0.5*LN((1+BW130)/(1-BW130))</f>
        <v>5.0956345207376796E-2</v>
      </c>
      <c r="BY130" s="30">
        <f>((1-(BX130^2)^2)/(BH130-1))</f>
        <v>3.4375842486513699E-4</v>
      </c>
      <c r="BZ130" s="30">
        <f>1/(BH130-3)</f>
        <v>3.4399724802201581E-4</v>
      </c>
      <c r="CA130" s="92" t="s">
        <v>73</v>
      </c>
      <c r="CB130">
        <f>BH130-2</f>
        <v>2908</v>
      </c>
      <c r="CC130" s="92" t="s">
        <v>73</v>
      </c>
      <c r="CD130" s="30">
        <f>((AZ130^2)/(AZ130^2+BI130))^(1/2)</f>
        <v>5.0912287415050349E-2</v>
      </c>
      <c r="CE130" s="30">
        <f>0.5*LN((1+CD130)/(1-CD130))</f>
        <v>5.0956345207376796E-2</v>
      </c>
      <c r="CF130" s="30">
        <f>((1-(CE130^2)^2)/(BI130-1))</f>
        <v>3.4375842486513699E-4</v>
      </c>
      <c r="CG130" s="30">
        <f>1/(BI130-3)</f>
        <v>3.4399724802201581E-4</v>
      </c>
      <c r="CH130" s="92"/>
    </row>
    <row r="131" spans="1:86">
      <c r="A131" s="165" t="s">
        <v>68</v>
      </c>
      <c r="B131" s="165">
        <v>27</v>
      </c>
      <c r="C131" s="165">
        <v>1193</v>
      </c>
      <c r="D131" s="165">
        <v>145</v>
      </c>
      <c r="E131" s="165" t="s">
        <v>386</v>
      </c>
      <c r="F131" s="165">
        <v>2018</v>
      </c>
      <c r="G131" s="165" t="s">
        <v>387</v>
      </c>
      <c r="H131" s="165" t="s">
        <v>388</v>
      </c>
      <c r="I131" s="165">
        <v>1</v>
      </c>
      <c r="J131" s="165">
        <v>2015</v>
      </c>
      <c r="K131" s="165" t="s">
        <v>73</v>
      </c>
      <c r="L131" s="165">
        <v>122</v>
      </c>
      <c r="M131" s="209" t="s">
        <v>107</v>
      </c>
      <c r="N131" s="165" t="s">
        <v>112</v>
      </c>
      <c r="O131" s="165" t="s">
        <v>156</v>
      </c>
      <c r="P131" s="165" t="s">
        <v>228</v>
      </c>
      <c r="Q131" s="165" t="s">
        <v>308</v>
      </c>
      <c r="R131" s="165" t="s">
        <v>337</v>
      </c>
      <c r="S131" s="165">
        <v>0</v>
      </c>
      <c r="T131" s="165" t="s">
        <v>231</v>
      </c>
      <c r="U131" s="165">
        <v>0</v>
      </c>
      <c r="V131" s="165" t="s">
        <v>246</v>
      </c>
      <c r="W131" s="165" t="s">
        <v>246</v>
      </c>
      <c r="X131" s="165" t="s">
        <v>389</v>
      </c>
      <c r="Y131" s="165">
        <v>0</v>
      </c>
      <c r="Z131" s="165">
        <v>1</v>
      </c>
      <c r="AA131" s="165">
        <v>1</v>
      </c>
      <c r="AB131" s="165">
        <v>0</v>
      </c>
      <c r="AC131" s="165">
        <v>0</v>
      </c>
      <c r="AD131" s="165">
        <v>0</v>
      </c>
      <c r="AE131" s="165">
        <v>0</v>
      </c>
      <c r="AF131" s="165">
        <v>0</v>
      </c>
      <c r="AG131" s="165" t="s">
        <v>390</v>
      </c>
      <c r="AH131" s="165">
        <v>0</v>
      </c>
      <c r="AI131" s="165">
        <v>0</v>
      </c>
      <c r="AJ131" s="165">
        <v>0</v>
      </c>
      <c r="AK131" s="165">
        <v>1</v>
      </c>
      <c r="AL131" s="165">
        <v>0</v>
      </c>
      <c r="AM131" s="165">
        <v>0</v>
      </c>
      <c r="AN131" s="165">
        <v>0</v>
      </c>
      <c r="AO131" s="165">
        <v>0</v>
      </c>
      <c r="AP131" s="165">
        <v>0</v>
      </c>
      <c r="AQ131" s="165" t="s">
        <v>73</v>
      </c>
      <c r="AR131" s="165" t="s">
        <v>234</v>
      </c>
      <c r="AS131" s="165" t="s">
        <v>391</v>
      </c>
      <c r="AT131" s="165" t="s">
        <v>73</v>
      </c>
      <c r="AU131" s="167" t="s">
        <v>73</v>
      </c>
      <c r="AV131" s="166" t="s">
        <v>86</v>
      </c>
      <c r="AW131" s="165">
        <v>2.4</v>
      </c>
      <c r="AX131" s="167">
        <v>0.1</v>
      </c>
      <c r="AY131" s="165">
        <v>2</v>
      </c>
      <c r="AZ131" s="168">
        <f>TINV(AX131,CB131)</f>
        <v>1.6512273926074998</v>
      </c>
      <c r="BA131" s="123">
        <f>BJ131/BB131</f>
        <v>0</v>
      </c>
      <c r="BB131" s="165">
        <v>199.5</v>
      </c>
      <c r="BC131" s="165">
        <v>100</v>
      </c>
      <c r="BD131" s="165">
        <v>2.1</v>
      </c>
      <c r="BE131" s="165">
        <v>199.5</v>
      </c>
      <c r="BF131" s="165">
        <v>141</v>
      </c>
      <c r="BG131" s="165">
        <v>1.4</v>
      </c>
      <c r="BH131" s="165">
        <f>BF131+BC131</f>
        <v>241</v>
      </c>
      <c r="BI131" s="165">
        <v>241</v>
      </c>
      <c r="BJ131" s="165">
        <f>ABS(BB131-BE131)</f>
        <v>0</v>
      </c>
      <c r="BK131" s="165" t="s">
        <v>73</v>
      </c>
      <c r="BL131" s="165" t="s">
        <v>73</v>
      </c>
      <c r="BM131" s="165" t="s">
        <v>73</v>
      </c>
      <c r="BN131" s="165" t="s">
        <v>73</v>
      </c>
      <c r="BO131" s="165">
        <v>0</v>
      </c>
      <c r="BP131" s="165" t="s">
        <v>73</v>
      </c>
      <c r="BQ131" s="165">
        <v>0</v>
      </c>
      <c r="BR131" s="169" t="s">
        <v>73</v>
      </c>
      <c r="BS131" s="165" t="s">
        <v>356</v>
      </c>
      <c r="BT131" s="165">
        <v>0</v>
      </c>
      <c r="BU131" s="165">
        <v>0</v>
      </c>
      <c r="BV131" s="165">
        <v>0</v>
      </c>
      <c r="BW131" s="124">
        <f>CA131/((CA131^2+4)^(1/2))</f>
        <v>0.10731503277134989</v>
      </c>
      <c r="BX131" s="96">
        <f>0.5*LN((1+BW131)/(1-BW131))</f>
        <v>0.10772986814808778</v>
      </c>
      <c r="BY131" s="96">
        <f>((1-(BX131^2)^2)/(BH131-1))</f>
        <v>4.1661054464959763E-3</v>
      </c>
      <c r="BZ131" s="96">
        <f>1/(BH131-3)</f>
        <v>4.2016806722689074E-3</v>
      </c>
      <c r="CA131" s="107">
        <f xml:space="preserve"> AZ131*(((BC131+BF131)/(BC131*BF131))^(1/2))</f>
        <v>0.21587673926011353</v>
      </c>
      <c r="CB131" s="32">
        <f>BH131-1</f>
        <v>240</v>
      </c>
      <c r="CC131" s="92" t="s">
        <v>73</v>
      </c>
      <c r="CD131" s="30">
        <f>((AZ131^2)/(AZ131^2+BI131))^(1/2)</f>
        <v>0.10576828499163173</v>
      </c>
      <c r="CE131" s="96">
        <f>0.5*LN((1+CD131)/(1-CD131))</f>
        <v>0.10616536112725267</v>
      </c>
      <c r="CF131" s="30">
        <f>((1-(CE131^2)^2)/(BI131-1))</f>
        <v>4.1661373444485221E-3</v>
      </c>
      <c r="CG131" s="30">
        <f>1/(BI131-3)</f>
        <v>4.2016806722689074E-3</v>
      </c>
      <c r="CH131" s="125"/>
    </row>
    <row r="132" spans="1:86" s="119" customFormat="1">
      <c r="A132" s="130" t="s">
        <v>68</v>
      </c>
      <c r="B132" s="165">
        <v>27</v>
      </c>
      <c r="C132" s="130">
        <v>1194</v>
      </c>
      <c r="D132" s="130">
        <v>145</v>
      </c>
      <c r="E132" s="130" t="s">
        <v>386</v>
      </c>
      <c r="F132" s="130">
        <v>2018</v>
      </c>
      <c r="G132" s="130" t="s">
        <v>387</v>
      </c>
      <c r="H132" s="130" t="s">
        <v>388</v>
      </c>
      <c r="I132" s="130">
        <v>1</v>
      </c>
      <c r="J132" s="130">
        <v>2015</v>
      </c>
      <c r="K132" s="130" t="s">
        <v>73</v>
      </c>
      <c r="L132" s="130">
        <v>122</v>
      </c>
      <c r="M132" s="209" t="s">
        <v>107</v>
      </c>
      <c r="N132" s="130" t="s">
        <v>112</v>
      </c>
      <c r="O132" s="130" t="s">
        <v>156</v>
      </c>
      <c r="P132" s="130" t="s">
        <v>228</v>
      </c>
      <c r="Q132" s="130" t="s">
        <v>308</v>
      </c>
      <c r="R132" s="130" t="s">
        <v>337</v>
      </c>
      <c r="S132" s="130">
        <v>0</v>
      </c>
      <c r="T132" s="130" t="s">
        <v>231</v>
      </c>
      <c r="U132" s="130">
        <v>0</v>
      </c>
      <c r="V132" s="130" t="s">
        <v>246</v>
      </c>
      <c r="W132" s="130" t="s">
        <v>246</v>
      </c>
      <c r="X132" s="130" t="s">
        <v>389</v>
      </c>
      <c r="Y132" s="130">
        <v>0</v>
      </c>
      <c r="Z132" s="130">
        <v>1</v>
      </c>
      <c r="AA132" s="130">
        <v>1</v>
      </c>
      <c r="AB132" s="130">
        <v>0</v>
      </c>
      <c r="AC132" s="130">
        <v>0</v>
      </c>
      <c r="AD132" s="130">
        <v>0</v>
      </c>
      <c r="AE132" s="130">
        <v>0</v>
      </c>
      <c r="AF132" s="130">
        <v>0</v>
      </c>
      <c r="AG132" s="130" t="s">
        <v>390</v>
      </c>
      <c r="AH132" s="130">
        <v>0</v>
      </c>
      <c r="AI132" s="130">
        <v>0</v>
      </c>
      <c r="AJ132" s="130">
        <v>0</v>
      </c>
      <c r="AK132" s="130">
        <v>1</v>
      </c>
      <c r="AL132" s="130">
        <v>0</v>
      </c>
      <c r="AM132" s="130">
        <v>0</v>
      </c>
      <c r="AN132" s="130">
        <v>0</v>
      </c>
      <c r="AO132" s="130">
        <v>0</v>
      </c>
      <c r="AP132" s="130">
        <v>0</v>
      </c>
      <c r="AQ132" s="130" t="s">
        <v>73</v>
      </c>
      <c r="AR132" s="130" t="s">
        <v>234</v>
      </c>
      <c r="AS132" s="130" t="s">
        <v>391</v>
      </c>
      <c r="AT132" s="130" t="s">
        <v>73</v>
      </c>
      <c r="AU132" s="171" t="s">
        <v>73</v>
      </c>
      <c r="AV132" s="170" t="s">
        <v>80</v>
      </c>
      <c r="AW132" s="130">
        <v>2.8</v>
      </c>
      <c r="AX132" s="171">
        <v>0.1</v>
      </c>
      <c r="AY132" s="130">
        <v>2</v>
      </c>
      <c r="AZ132" s="19">
        <f>TINV(AX132,CB132)</f>
        <v>1.6521770093863108</v>
      </c>
      <c r="BA132" s="172">
        <f>BJ132/BB132</f>
        <v>3.0075187969924528E-3</v>
      </c>
      <c r="BB132" s="130">
        <v>199.5</v>
      </c>
      <c r="BC132" s="130">
        <v>100</v>
      </c>
      <c r="BD132" s="130">
        <v>2.1</v>
      </c>
      <c r="BE132" s="130">
        <v>200.1</v>
      </c>
      <c r="BF132" s="130">
        <v>110</v>
      </c>
      <c r="BG132" s="130">
        <v>1.9</v>
      </c>
      <c r="BH132" s="130">
        <f>BF132+BC132</f>
        <v>210</v>
      </c>
      <c r="BI132" s="130">
        <v>210</v>
      </c>
      <c r="BJ132" s="130">
        <f>ABS(BB132-BE132)</f>
        <v>0.59999999999999432</v>
      </c>
      <c r="BK132" s="130" t="s">
        <v>73</v>
      </c>
      <c r="BL132" s="130" t="s">
        <v>73</v>
      </c>
      <c r="BM132" s="130" t="s">
        <v>73</v>
      </c>
      <c r="BN132" s="130" t="s">
        <v>73</v>
      </c>
      <c r="BO132" s="130">
        <v>0</v>
      </c>
      <c r="BP132" s="130" t="s">
        <v>73</v>
      </c>
      <c r="BQ132" s="130">
        <v>0</v>
      </c>
      <c r="BR132" s="161" t="s">
        <v>73</v>
      </c>
      <c r="BS132" s="130" t="s">
        <v>356</v>
      </c>
      <c r="BT132" s="130">
        <v>0</v>
      </c>
      <c r="BU132" s="130">
        <v>0</v>
      </c>
      <c r="BV132" s="130">
        <v>0</v>
      </c>
      <c r="BW132" s="118">
        <f>CA132/((CA132^2+4)^(1/2))</f>
        <v>0.11340420175731288</v>
      </c>
      <c r="BX132" s="30">
        <f>0.5*LN((1+BW132)/(1-BW132))</f>
        <v>0.11389413321523402</v>
      </c>
      <c r="BY132" s="30">
        <f>((1-(BX132^2)^2)/(BH132-1))</f>
        <v>4.7838838779703467E-3</v>
      </c>
      <c r="BZ132" s="30">
        <f>1/(BH132-3)</f>
        <v>4.830917874396135E-3</v>
      </c>
      <c r="CA132" s="107">
        <f xml:space="preserve"> AZ132*(((BC132+BF132)/(BC132*BF132))^(1/2))</f>
        <v>0.22828105937684992</v>
      </c>
      <c r="CB132">
        <f>BH132-1</f>
        <v>209</v>
      </c>
      <c r="CC132" s="92" t="s">
        <v>73</v>
      </c>
      <c r="CD132" s="30">
        <f>((AZ132^2)/(AZ132^2+BI132))^(1/2)</f>
        <v>0.11327720430916202</v>
      </c>
      <c r="CE132" s="30">
        <f>0.5*LN((1+CD132)/(1-CD132))</f>
        <v>0.11376548311289642</v>
      </c>
      <c r="CF132" s="30">
        <f>((1-(CE132^2)^2)/(BI132-1))</f>
        <v>4.783887509520043E-3</v>
      </c>
      <c r="CG132" s="30">
        <f>1/(BI132-3)</f>
        <v>4.830917874396135E-3</v>
      </c>
      <c r="CH132"/>
    </row>
    <row r="133" spans="1:86" s="92" customFormat="1">
      <c r="A133" s="107" t="s">
        <v>68</v>
      </c>
      <c r="B133" s="107">
        <v>6</v>
      </c>
      <c r="C133" s="130">
        <v>1210</v>
      </c>
      <c r="D133" s="107">
        <v>151</v>
      </c>
      <c r="E133" s="107" t="s">
        <v>399</v>
      </c>
      <c r="F133" s="107">
        <v>2014</v>
      </c>
      <c r="G133" s="107" t="s">
        <v>133</v>
      </c>
      <c r="H133" s="107" t="s">
        <v>134</v>
      </c>
      <c r="I133" s="107">
        <v>1</v>
      </c>
      <c r="J133" s="130" t="s">
        <v>135</v>
      </c>
      <c r="K133" s="130" t="s">
        <v>73</v>
      </c>
      <c r="L133" s="130">
        <v>25</v>
      </c>
      <c r="M133" s="211" t="s">
        <v>107</v>
      </c>
      <c r="N133" s="130" t="s">
        <v>227</v>
      </c>
      <c r="O133" s="107" t="s">
        <v>138</v>
      </c>
      <c r="P133" s="107" t="s">
        <v>228</v>
      </c>
      <c r="Q133" s="107" t="s">
        <v>312</v>
      </c>
      <c r="R133" s="107" t="s">
        <v>313</v>
      </c>
      <c r="S133" s="107">
        <v>0</v>
      </c>
      <c r="T133" s="107" t="s">
        <v>189</v>
      </c>
      <c r="U133" s="107">
        <v>1</v>
      </c>
      <c r="V133" s="130" t="s">
        <v>246</v>
      </c>
      <c r="W133" s="130" t="s">
        <v>232</v>
      </c>
      <c r="X133" s="130" t="s">
        <v>140</v>
      </c>
      <c r="Y133" s="107">
        <v>0</v>
      </c>
      <c r="Z133" s="107">
        <v>0</v>
      </c>
      <c r="AA133" s="107">
        <v>1</v>
      </c>
      <c r="AB133" s="107">
        <v>0</v>
      </c>
      <c r="AC133" s="107">
        <v>0</v>
      </c>
      <c r="AD133" s="107">
        <v>0</v>
      </c>
      <c r="AE133" s="107">
        <v>0</v>
      </c>
      <c r="AF133" s="107">
        <v>0</v>
      </c>
      <c r="AG133" s="107" t="s">
        <v>73</v>
      </c>
      <c r="AH133" s="107">
        <v>1</v>
      </c>
      <c r="AI133" s="107">
        <v>0</v>
      </c>
      <c r="AJ133" s="107">
        <v>0</v>
      </c>
      <c r="AK133" s="107">
        <v>0</v>
      </c>
      <c r="AL133" s="107">
        <v>0</v>
      </c>
      <c r="AM133" s="107">
        <v>0</v>
      </c>
      <c r="AN133" s="107">
        <v>0</v>
      </c>
      <c r="AO133" s="107">
        <v>0</v>
      </c>
      <c r="AP133" s="175">
        <v>0</v>
      </c>
      <c r="AQ133" s="107" t="s">
        <v>400</v>
      </c>
      <c r="AR133" s="107" t="s">
        <v>234</v>
      </c>
      <c r="AS133" s="176" t="s">
        <v>401</v>
      </c>
      <c r="AT133" s="107" t="s">
        <v>73</v>
      </c>
      <c r="AU133" s="171" t="s">
        <v>73</v>
      </c>
      <c r="AV133" s="170" t="s">
        <v>80</v>
      </c>
      <c r="AW133" s="107">
        <f>AZ133/ABS(_xlfn.T.INV.2T(AX133,CB133))</f>
        <v>1</v>
      </c>
      <c r="AX133" s="130">
        <v>0.1</v>
      </c>
      <c r="AY133" s="130">
        <v>2</v>
      </c>
      <c r="AZ133" s="177">
        <f>TINV(AX133,CB133)</f>
        <v>1.671552762454859</v>
      </c>
      <c r="BA133" s="178">
        <v>0.21</v>
      </c>
      <c r="BB133" s="130" t="s">
        <v>73</v>
      </c>
      <c r="BC133" s="130">
        <v>19</v>
      </c>
      <c r="BD133" s="130" t="s">
        <v>73</v>
      </c>
      <c r="BE133" s="130" t="s">
        <v>73</v>
      </c>
      <c r="BF133" s="130">
        <v>19</v>
      </c>
      <c r="BG133" s="130" t="s">
        <v>73</v>
      </c>
      <c r="BH133" s="130">
        <v>60</v>
      </c>
      <c r="BI133" s="130">
        <v>51591</v>
      </c>
      <c r="BJ133" s="130" t="s">
        <v>73</v>
      </c>
      <c r="BK133" s="130" t="s">
        <v>73</v>
      </c>
      <c r="BL133" s="107" t="s">
        <v>73</v>
      </c>
      <c r="BM133" s="107" t="s">
        <v>73</v>
      </c>
      <c r="BN133" s="107" t="s">
        <v>73</v>
      </c>
      <c r="BO133" s="107">
        <v>1</v>
      </c>
      <c r="BP133" s="107">
        <v>185</v>
      </c>
      <c r="BQ133" s="107" t="s">
        <v>73</v>
      </c>
      <c r="BR133" s="107" t="s">
        <v>73</v>
      </c>
      <c r="BS133" s="107" t="s">
        <v>73</v>
      </c>
      <c r="BT133" s="107">
        <v>0</v>
      </c>
      <c r="BU133" s="107">
        <v>0</v>
      </c>
      <c r="BV133" s="107">
        <v>0</v>
      </c>
      <c r="BW133" s="118">
        <f>CA133/((CA133^2+4)^(1/2))</f>
        <v>0.26171069575803479</v>
      </c>
      <c r="BX133" s="30">
        <f>0.5*LN((1+BW133)/(1-BW133))</f>
        <v>0.26794400760245057</v>
      </c>
      <c r="BY133" s="30">
        <f>((1-(BX133^2)^2)/(BH133-1))</f>
        <v>1.6861790217392026E-2</v>
      </c>
      <c r="BZ133" s="30">
        <f>1/(BH133-3)</f>
        <v>1.7543859649122806E-2</v>
      </c>
      <c r="CA133" s="107">
        <f xml:space="preserve"> AZ133*(((BC133+BF133)/(BC133*BF133))^(1/2))</f>
        <v>0.54232332924095827</v>
      </c>
      <c r="CB133">
        <f>BH133-2</f>
        <v>58</v>
      </c>
      <c r="CC133" t="s">
        <v>402</v>
      </c>
      <c r="CD133" s="30">
        <f>((AZ133^2)/(AZ133^2+BI133))^(1/2)</f>
        <v>7.3590432712745445E-3</v>
      </c>
      <c r="CE133" s="30">
        <f>0.5*LN((1+CD133)/(1-CD133))</f>
        <v>7.3591761198577221E-3</v>
      </c>
      <c r="CF133" s="30">
        <f>((1-(CE133^2)^2)/(BI133-1))</f>
        <v>1.9383601416300991E-5</v>
      </c>
      <c r="CG133" s="30">
        <f>1/(BI133-3)</f>
        <v>1.9384352950298517E-5</v>
      </c>
      <c r="CH133"/>
    </row>
    <row r="134" spans="1:86" s="92" customFormat="1">
      <c r="A134" s="114" t="s">
        <v>68</v>
      </c>
      <c r="B134" s="114">
        <v>3</v>
      </c>
      <c r="C134" s="114">
        <v>1085</v>
      </c>
      <c r="D134" s="115">
        <v>115</v>
      </c>
      <c r="E134" s="115" t="s">
        <v>304</v>
      </c>
      <c r="F134" s="114">
        <v>2016</v>
      </c>
      <c r="G134" s="115" t="s">
        <v>305</v>
      </c>
      <c r="H134" s="116" t="s">
        <v>306</v>
      </c>
      <c r="I134" s="115">
        <v>2</v>
      </c>
      <c r="J134" s="115" t="s">
        <v>307</v>
      </c>
      <c r="K134" s="116" t="s">
        <v>73</v>
      </c>
      <c r="L134" s="115">
        <v>2531</v>
      </c>
      <c r="M134" s="204" t="s">
        <v>107</v>
      </c>
      <c r="N134" s="115" t="s">
        <v>227</v>
      </c>
      <c r="O134" s="115" t="s">
        <v>81</v>
      </c>
      <c r="P134" s="116" t="s">
        <v>228</v>
      </c>
      <c r="Q134" s="115" t="s">
        <v>308</v>
      </c>
      <c r="R134" s="115" t="s">
        <v>255</v>
      </c>
      <c r="S134" s="115">
        <v>1</v>
      </c>
      <c r="T134" s="115" t="s">
        <v>231</v>
      </c>
      <c r="U134" s="115">
        <v>1</v>
      </c>
      <c r="V134" s="116" t="s">
        <v>232</v>
      </c>
      <c r="W134" s="116" t="s">
        <v>232</v>
      </c>
      <c r="X134" s="116" t="s">
        <v>73</v>
      </c>
      <c r="Y134" s="115">
        <v>0</v>
      </c>
      <c r="Z134" s="115">
        <v>1</v>
      </c>
      <c r="AA134" s="115">
        <v>0</v>
      </c>
      <c r="AB134" s="115">
        <v>0</v>
      </c>
      <c r="AC134" s="115">
        <v>0</v>
      </c>
      <c r="AD134" s="115">
        <v>0</v>
      </c>
      <c r="AE134" s="115">
        <v>0</v>
      </c>
      <c r="AF134" s="115">
        <v>0</v>
      </c>
      <c r="AG134" s="115" t="s">
        <v>73</v>
      </c>
      <c r="AH134" s="115">
        <v>0</v>
      </c>
      <c r="AI134" s="115">
        <v>0</v>
      </c>
      <c r="AJ134" s="115">
        <v>0</v>
      </c>
      <c r="AK134" s="115">
        <v>0</v>
      </c>
      <c r="AL134" s="115">
        <v>0</v>
      </c>
      <c r="AM134" s="115">
        <v>1</v>
      </c>
      <c r="AN134" s="115">
        <v>0</v>
      </c>
      <c r="AO134" s="115">
        <v>0</v>
      </c>
      <c r="AP134" s="115">
        <v>0</v>
      </c>
      <c r="AQ134" s="115" t="s">
        <v>73</v>
      </c>
      <c r="AR134" s="115" t="s">
        <v>234</v>
      </c>
      <c r="AS134" s="115" t="s">
        <v>309</v>
      </c>
      <c r="AT134" s="115" t="s">
        <v>73</v>
      </c>
      <c r="AU134" s="196">
        <v>1.0999999999999999E-2</v>
      </c>
      <c r="AV134" s="117" t="s">
        <v>80</v>
      </c>
      <c r="AW134" s="115">
        <v>2.5000000000000001E-2</v>
      </c>
      <c r="AX134" s="115">
        <v>0.1</v>
      </c>
      <c r="AY134" s="115">
        <v>2</v>
      </c>
      <c r="AZ134" s="115">
        <f>AU134/AW134</f>
        <v>0.43999999999999995</v>
      </c>
      <c r="BA134" s="213" t="s">
        <v>73</v>
      </c>
      <c r="BB134" s="116" t="s">
        <v>73</v>
      </c>
      <c r="BC134" s="116">
        <f>BH134-BF134</f>
        <v>294</v>
      </c>
      <c r="BD134" s="107" t="s">
        <v>73</v>
      </c>
      <c r="BE134" s="116" t="s">
        <v>73</v>
      </c>
      <c r="BF134" s="116">
        <v>793</v>
      </c>
      <c r="BG134" s="116" t="s">
        <v>73</v>
      </c>
      <c r="BH134" s="116">
        <v>1087</v>
      </c>
      <c r="BI134" s="116">
        <v>1087</v>
      </c>
      <c r="BJ134" s="116">
        <v>1.0999999999999999E-2</v>
      </c>
      <c r="BK134" s="116" t="s">
        <v>73</v>
      </c>
      <c r="BL134" s="115" t="s">
        <v>73</v>
      </c>
      <c r="BM134" s="115" t="s">
        <v>73</v>
      </c>
      <c r="BN134" s="116" t="s">
        <v>73</v>
      </c>
      <c r="BO134" s="116" t="s">
        <v>73</v>
      </c>
      <c r="BP134" s="116" t="s">
        <v>73</v>
      </c>
      <c r="BQ134" s="116" t="s">
        <v>73</v>
      </c>
      <c r="BR134" s="116" t="s">
        <v>73</v>
      </c>
      <c r="BS134" s="116" t="s">
        <v>73</v>
      </c>
      <c r="BT134" s="115">
        <v>0</v>
      </c>
      <c r="BU134" s="115">
        <v>0</v>
      </c>
      <c r="BV134" s="115">
        <v>1</v>
      </c>
      <c r="BW134" s="118">
        <f>CA134/((CA134^2+4)^(1/2))</f>
        <v>1.5020285861404109E-2</v>
      </c>
      <c r="BX134" s="30">
        <f>0.5*LN((1+BW134)/(1-BW134))</f>
        <v>1.5021415584827925E-2</v>
      </c>
      <c r="BY134" s="30">
        <f>((1-(BX134^2)^2)/(BH134-1))</f>
        <v>9.2081026619269786E-4</v>
      </c>
      <c r="BZ134" s="30">
        <f>1/(BH134-3)</f>
        <v>9.225092250922509E-4</v>
      </c>
      <c r="CA134" s="107">
        <f xml:space="preserve"> AZ134*(((BC134+BF134)/(BC134*BF134))^(1/2))</f>
        <v>3.004396100779189E-2</v>
      </c>
      <c r="CB134">
        <f>BH134-2</f>
        <v>1085</v>
      </c>
      <c r="CC134" s="92" t="s">
        <v>73</v>
      </c>
      <c r="CD134" s="30">
        <f>((AZ134^2)/(AZ134^2+BI134))^(1/2)</f>
        <v>1.334440557338178E-2</v>
      </c>
      <c r="CE134" s="30">
        <f>0.5*LN((1+CD134)/(1-CD134))</f>
        <v>1.3345197751513015E-2</v>
      </c>
      <c r="CF134" s="30">
        <f>((1-(CE134^2)^2)/(BI134-1))</f>
        <v>9.2081028386963091E-4</v>
      </c>
      <c r="CG134" s="30">
        <f>1/(BI134-3)</f>
        <v>9.225092250922509E-4</v>
      </c>
      <c r="CH134" s="102"/>
    </row>
    <row r="135" spans="1:86" s="92" customFormat="1">
      <c r="A135" s="114" t="s">
        <v>68</v>
      </c>
      <c r="B135" s="114">
        <v>3</v>
      </c>
      <c r="C135" s="114">
        <v>1086</v>
      </c>
      <c r="D135" s="115">
        <v>115</v>
      </c>
      <c r="E135" s="115" t="s">
        <v>304</v>
      </c>
      <c r="F135" s="114">
        <v>2016</v>
      </c>
      <c r="G135" s="115" t="s">
        <v>305</v>
      </c>
      <c r="H135" s="116" t="s">
        <v>306</v>
      </c>
      <c r="I135" s="115">
        <v>2</v>
      </c>
      <c r="J135" s="115" t="s">
        <v>307</v>
      </c>
      <c r="K135" s="116" t="s">
        <v>73</v>
      </c>
      <c r="L135" s="115">
        <v>2531</v>
      </c>
      <c r="M135" s="204" t="s">
        <v>107</v>
      </c>
      <c r="N135" s="115" t="s">
        <v>227</v>
      </c>
      <c r="O135" s="115" t="s">
        <v>81</v>
      </c>
      <c r="P135" s="116" t="s">
        <v>228</v>
      </c>
      <c r="Q135" s="115" t="s">
        <v>308</v>
      </c>
      <c r="R135" s="115" t="s">
        <v>255</v>
      </c>
      <c r="S135" s="115">
        <v>1</v>
      </c>
      <c r="T135" s="115" t="s">
        <v>231</v>
      </c>
      <c r="U135" s="115">
        <v>1</v>
      </c>
      <c r="V135" s="116" t="s">
        <v>232</v>
      </c>
      <c r="W135" s="116" t="s">
        <v>232</v>
      </c>
      <c r="X135" s="116" t="s">
        <v>73</v>
      </c>
      <c r="Y135" s="115">
        <v>0</v>
      </c>
      <c r="Z135" s="115">
        <v>1</v>
      </c>
      <c r="AA135" s="115">
        <v>0</v>
      </c>
      <c r="AB135" s="115">
        <v>0</v>
      </c>
      <c r="AC135" s="115">
        <v>0</v>
      </c>
      <c r="AD135" s="115">
        <v>0</v>
      </c>
      <c r="AE135" s="115">
        <v>0</v>
      </c>
      <c r="AF135" s="115">
        <v>0</v>
      </c>
      <c r="AG135" s="115" t="s">
        <v>73</v>
      </c>
      <c r="AH135" s="115">
        <v>0</v>
      </c>
      <c r="AI135" s="115">
        <v>0</v>
      </c>
      <c r="AJ135" s="115">
        <v>0</v>
      </c>
      <c r="AK135" s="115">
        <v>0</v>
      </c>
      <c r="AL135" s="115">
        <v>0</v>
      </c>
      <c r="AM135" s="115">
        <v>1</v>
      </c>
      <c r="AN135" s="115">
        <v>0</v>
      </c>
      <c r="AO135" s="115">
        <v>0</v>
      </c>
      <c r="AP135" s="115">
        <v>0</v>
      </c>
      <c r="AQ135" s="115" t="s">
        <v>73</v>
      </c>
      <c r="AR135" s="115" t="s">
        <v>234</v>
      </c>
      <c r="AS135" s="115" t="s">
        <v>309</v>
      </c>
      <c r="AT135" s="115" t="s">
        <v>73</v>
      </c>
      <c r="AU135" s="196">
        <v>8.0000000000000002E-3</v>
      </c>
      <c r="AV135" s="117" t="s">
        <v>86</v>
      </c>
      <c r="AW135" s="115">
        <v>2.7E-2</v>
      </c>
      <c r="AX135" s="115">
        <v>0.1</v>
      </c>
      <c r="AY135" s="115">
        <v>2</v>
      </c>
      <c r="AZ135" s="115">
        <f>AU135/AW135</f>
        <v>0.29629629629629628</v>
      </c>
      <c r="BA135" s="213" t="s">
        <v>73</v>
      </c>
      <c r="BB135" s="116" t="s">
        <v>73</v>
      </c>
      <c r="BC135" s="116">
        <f>BH135-BF135</f>
        <v>294</v>
      </c>
      <c r="BD135" s="107" t="s">
        <v>73</v>
      </c>
      <c r="BE135" s="116" t="s">
        <v>73</v>
      </c>
      <c r="BF135" s="116">
        <v>793</v>
      </c>
      <c r="BG135" s="116" t="s">
        <v>73</v>
      </c>
      <c r="BH135" s="116">
        <v>1087</v>
      </c>
      <c r="BI135" s="116">
        <v>1087</v>
      </c>
      <c r="BJ135" s="116">
        <v>8.0000000000000002E-3</v>
      </c>
      <c r="BK135" s="116" t="s">
        <v>73</v>
      </c>
      <c r="BL135" s="115" t="s">
        <v>73</v>
      </c>
      <c r="BM135" s="115" t="s">
        <v>73</v>
      </c>
      <c r="BN135" s="116" t="s">
        <v>73</v>
      </c>
      <c r="BO135" s="116" t="s">
        <v>73</v>
      </c>
      <c r="BP135" s="116" t="s">
        <v>73</v>
      </c>
      <c r="BQ135" s="116" t="s">
        <v>73</v>
      </c>
      <c r="BR135" s="116" t="s">
        <v>73</v>
      </c>
      <c r="BS135" s="116" t="s">
        <v>73</v>
      </c>
      <c r="BT135" s="115">
        <v>0</v>
      </c>
      <c r="BU135" s="115">
        <v>0</v>
      </c>
      <c r="BV135" s="115">
        <v>1</v>
      </c>
      <c r="BW135" s="118">
        <f>CA135/((CA135^2+4)^(1/2))</f>
        <v>1.0115294253124005E-2</v>
      </c>
      <c r="BX135" s="30">
        <f>0.5*LN((1+BW135)/(1-BW135))</f>
        <v>1.0115639270502465E-2</v>
      </c>
      <c r="BY135" s="30">
        <f>((1-(BX135^2)^2)/(BH135-1))</f>
        <v>9.2081030343403082E-4</v>
      </c>
      <c r="BZ135" s="30">
        <f>1/(BH135-3)</f>
        <v>9.225092250922509E-4</v>
      </c>
      <c r="CA135" s="107">
        <f xml:space="preserve"> AZ135*(((BC135+BF135)/(BC135*BF135))^(1/2))</f>
        <v>2.0231623574270632E-2</v>
      </c>
      <c r="CB135">
        <f>BH135-2</f>
        <v>1085</v>
      </c>
      <c r="CC135" s="92" t="s">
        <v>73</v>
      </c>
      <c r="CD135" s="30">
        <f>((AZ135^2)/(AZ135^2+BI135))^(1/2)</f>
        <v>8.9865690080051016E-3</v>
      </c>
      <c r="CE135" s="30">
        <f>0.5*LN((1+CD135)/(1-CD135))</f>
        <v>8.9868109334400852E-3</v>
      </c>
      <c r="CF135" s="30">
        <f>((1-(CE135^2)^2)/(BI135-1))</f>
        <v>9.2081030706940602E-4</v>
      </c>
      <c r="CG135" s="30">
        <f>1/(BI135-3)</f>
        <v>9.225092250922509E-4</v>
      </c>
      <c r="CH135" s="102"/>
    </row>
    <row r="136" spans="1:86" s="98" customFormat="1">
      <c r="A136" s="127" t="s">
        <v>410</v>
      </c>
      <c r="B136" s="127">
        <v>26</v>
      </c>
      <c r="C136" s="126">
        <v>1251</v>
      </c>
      <c r="D136" s="127">
        <v>303</v>
      </c>
      <c r="E136" s="132" t="s">
        <v>429</v>
      </c>
      <c r="F136" s="127">
        <v>2015</v>
      </c>
      <c r="G136" s="125" t="s">
        <v>430</v>
      </c>
      <c r="H136" s="125" t="s">
        <v>431</v>
      </c>
      <c r="I136" s="132">
        <v>2</v>
      </c>
      <c r="J136" s="132">
        <v>2013</v>
      </c>
      <c r="K136" s="127" t="s">
        <v>73</v>
      </c>
      <c r="L136" s="125">
        <v>67</v>
      </c>
      <c r="M136" s="212" t="s">
        <v>107</v>
      </c>
      <c r="N136" s="130" t="s">
        <v>227</v>
      </c>
      <c r="O136" s="125" t="s">
        <v>81</v>
      </c>
      <c r="P136" s="132" t="s">
        <v>228</v>
      </c>
      <c r="Q136" s="125" t="s">
        <v>312</v>
      </c>
      <c r="R136" s="125" t="s">
        <v>313</v>
      </c>
      <c r="S136" s="125">
        <v>0</v>
      </c>
      <c r="T136" s="125" t="s">
        <v>189</v>
      </c>
      <c r="U136" s="125">
        <v>0</v>
      </c>
      <c r="V136" s="132" t="s">
        <v>246</v>
      </c>
      <c r="W136" s="132" t="s">
        <v>246</v>
      </c>
      <c r="X136" s="125" t="s">
        <v>432</v>
      </c>
      <c r="Y136" s="132">
        <v>0</v>
      </c>
      <c r="Z136" s="132">
        <v>1</v>
      </c>
      <c r="AA136" s="132">
        <v>1</v>
      </c>
      <c r="AB136" s="132">
        <v>1</v>
      </c>
      <c r="AC136" s="132">
        <v>0</v>
      </c>
      <c r="AD136" s="132">
        <v>0</v>
      </c>
      <c r="AE136" s="127">
        <v>0</v>
      </c>
      <c r="AF136" s="127">
        <v>0</v>
      </c>
      <c r="AG136" s="132" t="s">
        <v>73</v>
      </c>
      <c r="AH136" s="132">
        <v>0</v>
      </c>
      <c r="AI136" s="132">
        <v>0</v>
      </c>
      <c r="AJ136" s="132">
        <v>0</v>
      </c>
      <c r="AK136" s="132">
        <v>0</v>
      </c>
      <c r="AL136" s="132">
        <v>0</v>
      </c>
      <c r="AM136" s="132">
        <v>1</v>
      </c>
      <c r="AN136" s="132">
        <v>0</v>
      </c>
      <c r="AO136" s="132">
        <v>0</v>
      </c>
      <c r="AP136" s="132">
        <v>0</v>
      </c>
      <c r="AQ136" s="125" t="s">
        <v>433</v>
      </c>
      <c r="AR136" s="125" t="s">
        <v>234</v>
      </c>
      <c r="AS136" s="125" t="s">
        <v>433</v>
      </c>
      <c r="AT136" s="125" t="s">
        <v>73</v>
      </c>
      <c r="AU136" s="199" t="s">
        <v>73</v>
      </c>
      <c r="AV136" s="128" t="s">
        <v>80</v>
      </c>
      <c r="AW136" s="125">
        <f>AZ136/ABS(_xlfn.T.INV.2T(AX136,CB136))</f>
        <v>1</v>
      </c>
      <c r="AX136" s="125">
        <v>0.02</v>
      </c>
      <c r="AY136" s="125">
        <v>1</v>
      </c>
      <c r="AZ136" s="164">
        <f>TINV(AX136,CB136)</f>
        <v>3.7469473879791968</v>
      </c>
      <c r="BA136" s="162">
        <f>BJ136/BB136</f>
        <v>34.655601659751035</v>
      </c>
      <c r="BB136" s="132">
        <v>241</v>
      </c>
      <c r="BC136" s="132">
        <v>3</v>
      </c>
      <c r="BD136" s="132" t="s">
        <v>73</v>
      </c>
      <c r="BE136" s="132">
        <v>8593</v>
      </c>
      <c r="BF136" s="132">
        <v>3</v>
      </c>
      <c r="BG136" s="132" t="s">
        <v>73</v>
      </c>
      <c r="BH136" s="132">
        <v>6</v>
      </c>
      <c r="BI136" s="132">
        <v>6</v>
      </c>
      <c r="BJ136" s="163">
        <v>8352</v>
      </c>
      <c r="BK136" s="132" t="s">
        <v>73</v>
      </c>
      <c r="BL136" s="132" t="s">
        <v>73</v>
      </c>
      <c r="BM136" s="125" t="s">
        <v>73</v>
      </c>
      <c r="BN136" s="127" t="s">
        <v>73</v>
      </c>
      <c r="BO136" s="127" t="s">
        <v>73</v>
      </c>
      <c r="BP136" s="127" t="s">
        <v>73</v>
      </c>
      <c r="BQ136" s="125">
        <v>1</v>
      </c>
      <c r="BR136" s="127" t="s">
        <v>73</v>
      </c>
      <c r="BS136" s="127" t="s">
        <v>73</v>
      </c>
      <c r="BT136" s="132">
        <v>0</v>
      </c>
      <c r="BU136" s="132">
        <v>0</v>
      </c>
      <c r="BV136" s="132">
        <v>0</v>
      </c>
      <c r="BW136" s="30">
        <f>((AZ136^2)/(AZ136^2+BH136))^(1/2)</f>
        <v>0.83701436442629074</v>
      </c>
      <c r="BX136" s="133">
        <f>0.5*LN((1+BW136)/(1-BW136))</f>
        <v>1.2111174165391649</v>
      </c>
      <c r="BY136" s="30">
        <f>((1-(BX136^2)^2)/(BH136-1))</f>
        <v>-0.2303036143250865</v>
      </c>
      <c r="BZ136" s="30">
        <f>1/(BH136-3)</f>
        <v>0.33333333333333331</v>
      </c>
      <c r="CA136" s="107">
        <f xml:space="preserve"> AZ136*(((BC136+BF136)/(BC136*BF136))^(1/2))</f>
        <v>3.0593697312010879</v>
      </c>
      <c r="CB136" s="112">
        <f>BH136-2</f>
        <v>4</v>
      </c>
      <c r="CC136" s="112" t="s">
        <v>434</v>
      </c>
      <c r="CD136" s="30">
        <f>((AZ136^2)/(AZ136^2+BI136))^(1/2)</f>
        <v>0.83701436442629074</v>
      </c>
      <c r="CE136" s="133">
        <f>0.5*LN((1+CD136)/(1-CD136))</f>
        <v>1.2111174165391649</v>
      </c>
      <c r="CF136" s="30">
        <f>((1-(CE136^2)^2)/(BI136-1))</f>
        <v>-0.2303036143250865</v>
      </c>
      <c r="CG136" s="30">
        <f>1/(BI136-3)</f>
        <v>0.33333333333333331</v>
      </c>
      <c r="CH136"/>
    </row>
    <row r="137" spans="1:86">
      <c r="A137" s="107" t="s">
        <v>446</v>
      </c>
      <c r="B137" s="107">
        <v>5</v>
      </c>
      <c r="C137" s="130">
        <v>1274</v>
      </c>
      <c r="D137" s="180">
        <v>401</v>
      </c>
      <c r="E137" s="107" t="s">
        <v>447</v>
      </c>
      <c r="F137" s="180">
        <v>2019</v>
      </c>
      <c r="G137" s="107" t="s">
        <v>448</v>
      </c>
      <c r="H137" s="107" t="s">
        <v>449</v>
      </c>
      <c r="I137" s="161">
        <v>2</v>
      </c>
      <c r="J137" s="107" t="s">
        <v>73</v>
      </c>
      <c r="K137" s="107" t="s">
        <v>73</v>
      </c>
      <c r="L137" s="161">
        <v>4</v>
      </c>
      <c r="M137" s="212" t="s">
        <v>107</v>
      </c>
      <c r="N137" s="161" t="s">
        <v>227</v>
      </c>
      <c r="O137" s="107" t="s">
        <v>81</v>
      </c>
      <c r="P137" s="107" t="s">
        <v>243</v>
      </c>
      <c r="Q137" s="107" t="s">
        <v>244</v>
      </c>
      <c r="R137" s="107" t="s">
        <v>245</v>
      </c>
      <c r="S137" s="107">
        <v>0</v>
      </c>
      <c r="T137" s="107" t="s">
        <v>231</v>
      </c>
      <c r="U137" s="107">
        <v>0</v>
      </c>
      <c r="V137" s="107" t="s">
        <v>246</v>
      </c>
      <c r="W137" s="107" t="s">
        <v>232</v>
      </c>
      <c r="X137" s="180" t="s">
        <v>450</v>
      </c>
      <c r="Y137" s="161">
        <v>0</v>
      </c>
      <c r="Z137" s="161">
        <v>1</v>
      </c>
      <c r="AA137" s="161">
        <v>0</v>
      </c>
      <c r="AB137" s="161">
        <v>0</v>
      </c>
      <c r="AC137" s="161">
        <v>0</v>
      </c>
      <c r="AD137" s="161">
        <v>0</v>
      </c>
      <c r="AE137" s="161">
        <v>0</v>
      </c>
      <c r="AF137" s="161">
        <v>0</v>
      </c>
      <c r="AG137" s="161" t="s">
        <v>451</v>
      </c>
      <c r="AH137" s="161">
        <v>0</v>
      </c>
      <c r="AI137" s="161">
        <v>0</v>
      </c>
      <c r="AJ137" s="161">
        <v>0</v>
      </c>
      <c r="AK137" s="161">
        <v>0</v>
      </c>
      <c r="AL137" s="161">
        <v>0</v>
      </c>
      <c r="AM137" s="161">
        <v>1</v>
      </c>
      <c r="AN137" s="161">
        <v>0</v>
      </c>
      <c r="AO137" s="161">
        <v>0</v>
      </c>
      <c r="AP137" s="161">
        <v>0</v>
      </c>
      <c r="AQ137" s="107" t="s">
        <v>452</v>
      </c>
      <c r="AR137" s="107" t="s">
        <v>234</v>
      </c>
      <c r="AS137" s="107" t="s">
        <v>324</v>
      </c>
      <c r="AT137" s="107" t="s">
        <v>73</v>
      </c>
      <c r="AU137" s="195" t="s">
        <v>73</v>
      </c>
      <c r="AV137" s="181" t="s">
        <v>80</v>
      </c>
      <c r="AW137" s="107" t="s">
        <v>73</v>
      </c>
      <c r="AX137" s="107">
        <v>0.16600000000000001</v>
      </c>
      <c r="AY137" s="107" t="s">
        <v>73</v>
      </c>
      <c r="AZ137" s="177">
        <f>TINV(AX137,CB137)</f>
        <v>1.3948660961632151</v>
      </c>
      <c r="BA137" s="182">
        <v>0.18</v>
      </c>
      <c r="BB137" s="183" t="s">
        <v>73</v>
      </c>
      <c r="BC137" s="107">
        <v>54</v>
      </c>
      <c r="BD137" s="107" t="s">
        <v>73</v>
      </c>
      <c r="BE137" s="107" t="s">
        <v>73</v>
      </c>
      <c r="BF137" s="107">
        <v>53</v>
      </c>
      <c r="BG137" s="107" t="s">
        <v>73</v>
      </c>
      <c r="BH137" s="107">
        <v>107</v>
      </c>
      <c r="BI137" s="107">
        <v>107</v>
      </c>
      <c r="BJ137" s="107" t="s">
        <v>73</v>
      </c>
      <c r="BK137" s="107" t="s">
        <v>73</v>
      </c>
      <c r="BL137" s="107" t="s">
        <v>73</v>
      </c>
      <c r="BM137" s="107" t="s">
        <v>73</v>
      </c>
      <c r="BN137" s="107" t="s">
        <v>73</v>
      </c>
      <c r="BO137" s="107" t="s">
        <v>73</v>
      </c>
      <c r="BP137" s="107" t="s">
        <v>73</v>
      </c>
      <c r="BQ137" s="107" t="s">
        <v>73</v>
      </c>
      <c r="BR137" s="107" t="s">
        <v>73</v>
      </c>
      <c r="BS137" s="107" t="s">
        <v>73</v>
      </c>
      <c r="BT137" s="161">
        <v>0</v>
      </c>
      <c r="BU137" s="161">
        <v>0</v>
      </c>
      <c r="BV137" s="161">
        <v>0</v>
      </c>
      <c r="BW137" s="118">
        <f>CA137/((CA137^2+4)^(1/2))</f>
        <v>0.13364299410844882</v>
      </c>
      <c r="BX137" s="30">
        <f>0.5*LN((1+BW137)/(1-BW137))</f>
        <v>0.13444727205568113</v>
      </c>
      <c r="BY137" s="30">
        <f>((1-(BX137^2)^2)/(BH137-1))</f>
        <v>9.4308797710456332E-3</v>
      </c>
      <c r="BZ137" s="30">
        <f>1/(BH137-3)</f>
        <v>9.6153846153846159E-3</v>
      </c>
      <c r="CA137" s="107">
        <f xml:space="preserve"> AZ137*(((BC137+BF137)/(BC137*BF137))^(1/2))</f>
        <v>0.26970536931167793</v>
      </c>
      <c r="CB137">
        <f>BH137-2</f>
        <v>105</v>
      </c>
      <c r="CC137" t="s">
        <v>402</v>
      </c>
      <c r="CD137" s="30">
        <f>((AZ137^2)/(AZ137^2+BI137))^(1/2)</f>
        <v>0.13363726176982035</v>
      </c>
      <c r="CE137" s="30">
        <f>0.5*LN((1+CD137)/(1-CD137))</f>
        <v>0.13444143547761389</v>
      </c>
      <c r="CF137" s="30">
        <f>((1-(CE137^2)^2)/(BI137-1))</f>
        <v>9.4308803062752404E-3</v>
      </c>
      <c r="CG137" s="30">
        <f>1/(BI137-3)</f>
        <v>9.6153846153846159E-3</v>
      </c>
      <c r="CH137" s="95"/>
    </row>
    <row r="138" spans="1:86">
      <c r="A138" s="130" t="s">
        <v>68</v>
      </c>
      <c r="B138" s="165">
        <v>27</v>
      </c>
      <c r="C138" s="130">
        <v>1195</v>
      </c>
      <c r="D138" s="130">
        <v>145</v>
      </c>
      <c r="E138" s="130" t="s">
        <v>386</v>
      </c>
      <c r="F138" s="130">
        <v>2018</v>
      </c>
      <c r="G138" s="130" t="s">
        <v>387</v>
      </c>
      <c r="H138" s="130" t="s">
        <v>388</v>
      </c>
      <c r="I138" s="130">
        <v>1</v>
      </c>
      <c r="J138" s="130">
        <v>2015</v>
      </c>
      <c r="K138" s="130" t="s">
        <v>73</v>
      </c>
      <c r="L138" s="130">
        <v>122</v>
      </c>
      <c r="M138" s="209" t="s">
        <v>107</v>
      </c>
      <c r="N138" s="130" t="s">
        <v>112</v>
      </c>
      <c r="O138" s="130" t="s">
        <v>156</v>
      </c>
      <c r="P138" s="130" t="s">
        <v>228</v>
      </c>
      <c r="Q138" s="130" t="s">
        <v>308</v>
      </c>
      <c r="R138" s="130" t="s">
        <v>337</v>
      </c>
      <c r="S138" s="130">
        <v>0</v>
      </c>
      <c r="T138" s="130" t="s">
        <v>231</v>
      </c>
      <c r="U138" s="130">
        <v>0</v>
      </c>
      <c r="V138" s="130" t="s">
        <v>246</v>
      </c>
      <c r="W138" s="130" t="s">
        <v>246</v>
      </c>
      <c r="X138" s="130" t="s">
        <v>389</v>
      </c>
      <c r="Y138" s="130">
        <v>0</v>
      </c>
      <c r="Z138" s="130">
        <v>1</v>
      </c>
      <c r="AA138" s="130">
        <v>1</v>
      </c>
      <c r="AB138" s="130">
        <v>0</v>
      </c>
      <c r="AC138" s="130">
        <v>0</v>
      </c>
      <c r="AD138" s="130">
        <v>0</v>
      </c>
      <c r="AE138" s="130">
        <v>0</v>
      </c>
      <c r="AF138" s="130">
        <v>0</v>
      </c>
      <c r="AG138" s="130" t="s">
        <v>390</v>
      </c>
      <c r="AH138" s="130">
        <v>0</v>
      </c>
      <c r="AI138" s="130">
        <v>1</v>
      </c>
      <c r="AJ138" s="130">
        <v>0</v>
      </c>
      <c r="AK138" s="130">
        <v>0</v>
      </c>
      <c r="AL138" s="130">
        <v>0</v>
      </c>
      <c r="AM138" s="130">
        <v>0</v>
      </c>
      <c r="AN138" s="130">
        <v>0</v>
      </c>
      <c r="AO138" s="130">
        <v>0</v>
      </c>
      <c r="AP138" s="130">
        <v>0</v>
      </c>
      <c r="AQ138" s="130" t="s">
        <v>73</v>
      </c>
      <c r="AR138" s="130" t="s">
        <v>234</v>
      </c>
      <c r="AS138" s="130" t="s">
        <v>391</v>
      </c>
      <c r="AT138" s="130" t="s">
        <v>73</v>
      </c>
      <c r="AU138" s="171" t="s">
        <v>73</v>
      </c>
      <c r="AV138" s="170" t="s">
        <v>86</v>
      </c>
      <c r="AW138" s="130">
        <v>9.5</v>
      </c>
      <c r="AX138" s="171">
        <v>0.05</v>
      </c>
      <c r="AY138" s="130">
        <v>1</v>
      </c>
      <c r="AZ138" s="130">
        <v>1.9776</v>
      </c>
      <c r="BA138" s="172">
        <f>BJ138/BB138</f>
        <v>8.0264791063301519E-2</v>
      </c>
      <c r="BB138" s="130">
        <v>241.7</v>
      </c>
      <c r="BC138" s="130">
        <v>66</v>
      </c>
      <c r="BD138" s="130">
        <v>7.5</v>
      </c>
      <c r="BE138" s="130">
        <v>222.3</v>
      </c>
      <c r="BF138" s="130">
        <v>70</v>
      </c>
      <c r="BG138" s="130">
        <v>5.8</v>
      </c>
      <c r="BH138" s="130">
        <f>BF138+BC138</f>
        <v>136</v>
      </c>
      <c r="BI138" s="130">
        <v>136</v>
      </c>
      <c r="BJ138" s="130">
        <f>ABS(BB138-BE138)</f>
        <v>19.399999999999977</v>
      </c>
      <c r="BK138" s="130" t="s">
        <v>73</v>
      </c>
      <c r="BL138" s="130" t="s">
        <v>73</v>
      </c>
      <c r="BM138" s="130" t="s">
        <v>73</v>
      </c>
      <c r="BN138" s="130" t="s">
        <v>73</v>
      </c>
      <c r="BO138" s="130">
        <v>0</v>
      </c>
      <c r="BP138" s="130" t="s">
        <v>73</v>
      </c>
      <c r="BQ138" s="130">
        <v>0</v>
      </c>
      <c r="BR138" s="161" t="s">
        <v>73</v>
      </c>
      <c r="BS138" s="130" t="s">
        <v>356</v>
      </c>
      <c r="BT138" s="130">
        <v>0</v>
      </c>
      <c r="BU138" s="130">
        <v>0</v>
      </c>
      <c r="BV138" s="130">
        <v>0</v>
      </c>
      <c r="BW138" s="118">
        <f>CA138/((CA138^2+4)^(1/2))</f>
        <v>0.16726125275016618</v>
      </c>
      <c r="BX138" s="133">
        <f>0.5*LN((1+BW138)/(1-BW138))</f>
        <v>0.16884775498772459</v>
      </c>
      <c r="BY138" s="30">
        <f>((1-(BX138^2)^2)/(BH138-1))</f>
        <v>7.401386701775944E-3</v>
      </c>
      <c r="BZ138" s="30">
        <f>1/(BH138-3)</f>
        <v>7.5187969924812026E-3</v>
      </c>
      <c r="CA138" s="107">
        <f xml:space="preserve"> AZ138*(((BC138+BF138)/(BC138*BF138))^(1/2))</f>
        <v>0.33930239081914004</v>
      </c>
      <c r="CB138">
        <f>BH138-1</f>
        <v>135</v>
      </c>
      <c r="CC138" s="92" t="s">
        <v>73</v>
      </c>
      <c r="CD138" s="30">
        <f>((AZ138^2)/(AZ138^2+BI138))^(1/2)</f>
        <v>0.16719091536917316</v>
      </c>
      <c r="CE138" s="133">
        <f>0.5*LN((1+CD138)/(1-CD138))</f>
        <v>0.16877539406510517</v>
      </c>
      <c r="CF138" s="30">
        <f>((1-(CE138^2)^2)/(BI138-1))</f>
        <v>7.4013970160104218E-3</v>
      </c>
      <c r="CG138" s="30">
        <f>1/(BI138-3)</f>
        <v>7.5187969924812026E-3</v>
      </c>
      <c r="CH138" s="98"/>
    </row>
    <row r="139" spans="1:86">
      <c r="A139" s="130" t="s">
        <v>68</v>
      </c>
      <c r="B139" s="165">
        <v>27</v>
      </c>
      <c r="C139" s="130">
        <v>1196</v>
      </c>
      <c r="D139" s="130">
        <v>145</v>
      </c>
      <c r="E139" s="130" t="s">
        <v>386</v>
      </c>
      <c r="F139" s="130">
        <v>2018</v>
      </c>
      <c r="G139" s="130" t="s">
        <v>387</v>
      </c>
      <c r="H139" s="130" t="s">
        <v>388</v>
      </c>
      <c r="I139" s="130">
        <v>1</v>
      </c>
      <c r="J139" s="130">
        <v>2015</v>
      </c>
      <c r="K139" s="130" t="s">
        <v>73</v>
      </c>
      <c r="L139" s="130">
        <v>122</v>
      </c>
      <c r="M139" s="209" t="s">
        <v>107</v>
      </c>
      <c r="N139" s="130" t="s">
        <v>112</v>
      </c>
      <c r="O139" s="130" t="s">
        <v>156</v>
      </c>
      <c r="P139" s="130" t="s">
        <v>228</v>
      </c>
      <c r="Q139" s="130" t="s">
        <v>308</v>
      </c>
      <c r="R139" s="130" t="s">
        <v>337</v>
      </c>
      <c r="S139" s="130">
        <v>0</v>
      </c>
      <c r="T139" s="130" t="s">
        <v>231</v>
      </c>
      <c r="U139" s="130">
        <v>0</v>
      </c>
      <c r="V139" s="130" t="s">
        <v>246</v>
      </c>
      <c r="W139" s="130" t="s">
        <v>246</v>
      </c>
      <c r="X139" s="130" t="s">
        <v>389</v>
      </c>
      <c r="Y139" s="130">
        <v>0</v>
      </c>
      <c r="Z139" s="130">
        <v>1</v>
      </c>
      <c r="AA139" s="130">
        <v>1</v>
      </c>
      <c r="AB139" s="130">
        <v>0</v>
      </c>
      <c r="AC139" s="130">
        <v>0</v>
      </c>
      <c r="AD139" s="130">
        <v>0</v>
      </c>
      <c r="AE139" s="130">
        <v>0</v>
      </c>
      <c r="AF139" s="130">
        <v>0</v>
      </c>
      <c r="AG139" s="130" t="s">
        <v>390</v>
      </c>
      <c r="AH139" s="130">
        <v>0</v>
      </c>
      <c r="AI139" s="130">
        <v>1</v>
      </c>
      <c r="AJ139" s="130">
        <v>0</v>
      </c>
      <c r="AK139" s="130">
        <v>0</v>
      </c>
      <c r="AL139" s="130">
        <v>0</v>
      </c>
      <c r="AM139" s="130">
        <v>0</v>
      </c>
      <c r="AN139" s="130">
        <v>0</v>
      </c>
      <c r="AO139" s="130">
        <v>0</v>
      </c>
      <c r="AP139" s="130">
        <v>0</v>
      </c>
      <c r="AQ139" s="130" t="s">
        <v>73</v>
      </c>
      <c r="AR139" s="130" t="s">
        <v>234</v>
      </c>
      <c r="AS139" s="130" t="s">
        <v>391</v>
      </c>
      <c r="AT139" s="130" t="s">
        <v>73</v>
      </c>
      <c r="AU139" s="171" t="s">
        <v>73</v>
      </c>
      <c r="AV139" s="170" t="s">
        <v>86</v>
      </c>
      <c r="AW139" s="130">
        <v>9.9</v>
      </c>
      <c r="AX139" s="171">
        <v>0.05</v>
      </c>
      <c r="AY139" s="130">
        <v>1</v>
      </c>
      <c r="AZ139" s="130">
        <v>1.9776</v>
      </c>
      <c r="BA139" s="172">
        <f>BJ139/BB139</f>
        <v>9.6400496483243628E-2</v>
      </c>
      <c r="BB139" s="130">
        <v>241.7</v>
      </c>
      <c r="BC139" s="130">
        <v>66</v>
      </c>
      <c r="BD139" s="130">
        <v>7.5</v>
      </c>
      <c r="BE139" s="130">
        <v>218.4</v>
      </c>
      <c r="BF139" s="130">
        <v>58</v>
      </c>
      <c r="BG139" s="130">
        <v>6.2</v>
      </c>
      <c r="BH139" s="130">
        <f>BF139+BC139</f>
        <v>124</v>
      </c>
      <c r="BI139" s="130">
        <v>124</v>
      </c>
      <c r="BJ139" s="130">
        <f>ABS(BB139-BE139)</f>
        <v>23.299999999999983</v>
      </c>
      <c r="BK139" s="130" t="s">
        <v>73</v>
      </c>
      <c r="BL139" s="130" t="s">
        <v>73</v>
      </c>
      <c r="BM139" s="130" t="s">
        <v>73</v>
      </c>
      <c r="BN139" s="130" t="s">
        <v>73</v>
      </c>
      <c r="BO139" s="130">
        <v>0</v>
      </c>
      <c r="BP139" s="130" t="s">
        <v>73</v>
      </c>
      <c r="BQ139" s="130">
        <v>0</v>
      </c>
      <c r="BR139" s="161" t="s">
        <v>73</v>
      </c>
      <c r="BS139" s="130" t="s">
        <v>356</v>
      </c>
      <c r="BT139" s="130">
        <v>0</v>
      </c>
      <c r="BU139" s="130">
        <v>0</v>
      </c>
      <c r="BV139" s="130">
        <v>0</v>
      </c>
      <c r="BW139" s="118">
        <f>CA139/((CA139^2+4)^(1/2))</f>
        <v>0.17521151676685395</v>
      </c>
      <c r="BX139" s="133">
        <f>0.5*LN((1+BW139)/(1-BW139))</f>
        <v>0.17703822757221296</v>
      </c>
      <c r="BY139" s="30">
        <f>((1-(BX139^2)^2)/(BH139-1))</f>
        <v>8.1220946793584183E-3</v>
      </c>
      <c r="BZ139" s="30">
        <f>1/(BH139-3)</f>
        <v>8.2644628099173556E-3</v>
      </c>
      <c r="CA139" s="107">
        <f xml:space="preserve"> AZ139*(((BC139+BF139)/(BC139*BF139))^(1/2))</f>
        <v>0.35592896477019459</v>
      </c>
      <c r="CB139">
        <f>BH139-1</f>
        <v>123</v>
      </c>
      <c r="CC139" s="92" t="s">
        <v>73</v>
      </c>
      <c r="CD139" s="30">
        <f>((AZ139^2)/(AZ139^2+BI139))^(1/2)</f>
        <v>0.17485766436492306</v>
      </c>
      <c r="CE139" s="133">
        <f>0.5*LN((1+CD139)/(1-CD139))</f>
        <v>0.17667319151698216</v>
      </c>
      <c r="CF139" s="30">
        <f>((1-(CE139^2)^2)/(BI139-1))</f>
        <v>8.1221603465374409E-3</v>
      </c>
      <c r="CG139" s="30">
        <f>1/(BI139-3)</f>
        <v>8.2644628099173556E-3</v>
      </c>
      <c r="CH139" s="92"/>
    </row>
    <row r="140" spans="1:86">
      <c r="A140" s="107" t="s">
        <v>68</v>
      </c>
      <c r="B140" s="107">
        <v>6</v>
      </c>
      <c r="C140" s="130">
        <v>1211</v>
      </c>
      <c r="D140" s="107">
        <v>151</v>
      </c>
      <c r="E140" s="107" t="s">
        <v>399</v>
      </c>
      <c r="F140" s="107">
        <v>2014</v>
      </c>
      <c r="G140" s="107" t="s">
        <v>133</v>
      </c>
      <c r="H140" s="107" t="s">
        <v>134</v>
      </c>
      <c r="I140" s="107">
        <v>1</v>
      </c>
      <c r="J140" s="130" t="s">
        <v>135</v>
      </c>
      <c r="K140" s="130" t="s">
        <v>73</v>
      </c>
      <c r="L140" s="130">
        <v>25</v>
      </c>
      <c r="M140" s="211" t="s">
        <v>107</v>
      </c>
      <c r="N140" s="130" t="s">
        <v>227</v>
      </c>
      <c r="O140" s="107" t="s">
        <v>138</v>
      </c>
      <c r="P140" s="107" t="s">
        <v>228</v>
      </c>
      <c r="Q140" s="107" t="s">
        <v>312</v>
      </c>
      <c r="R140" s="107" t="s">
        <v>313</v>
      </c>
      <c r="S140" s="107">
        <v>0</v>
      </c>
      <c r="T140" s="107" t="s">
        <v>189</v>
      </c>
      <c r="U140" s="107">
        <v>1</v>
      </c>
      <c r="V140" s="130" t="s">
        <v>246</v>
      </c>
      <c r="W140" s="130" t="s">
        <v>232</v>
      </c>
      <c r="X140" s="130" t="s">
        <v>140</v>
      </c>
      <c r="Y140" s="107">
        <v>0</v>
      </c>
      <c r="Z140" s="107">
        <v>0</v>
      </c>
      <c r="AA140" s="107">
        <v>1</v>
      </c>
      <c r="AB140" s="107">
        <v>0</v>
      </c>
      <c r="AC140" s="107">
        <v>0</v>
      </c>
      <c r="AD140" s="107">
        <v>0</v>
      </c>
      <c r="AE140" s="107">
        <v>0</v>
      </c>
      <c r="AF140" s="107">
        <v>0</v>
      </c>
      <c r="AG140" s="107" t="s">
        <v>73</v>
      </c>
      <c r="AH140" s="107">
        <v>0</v>
      </c>
      <c r="AI140" s="107">
        <v>1</v>
      </c>
      <c r="AJ140" s="107">
        <v>0</v>
      </c>
      <c r="AK140" s="107">
        <v>0</v>
      </c>
      <c r="AL140" s="107">
        <v>0</v>
      </c>
      <c r="AM140" s="107">
        <v>0</v>
      </c>
      <c r="AN140" s="107">
        <v>0</v>
      </c>
      <c r="AO140" s="107">
        <v>0</v>
      </c>
      <c r="AP140" s="175">
        <v>0</v>
      </c>
      <c r="AQ140" s="107" t="s">
        <v>400</v>
      </c>
      <c r="AR140" s="107" t="s">
        <v>234</v>
      </c>
      <c r="AS140" s="176" t="s">
        <v>401</v>
      </c>
      <c r="AT140" s="107" t="s">
        <v>73</v>
      </c>
      <c r="AU140" s="171" t="s">
        <v>73</v>
      </c>
      <c r="AV140" s="170" t="s">
        <v>86</v>
      </c>
      <c r="AW140" s="107">
        <f>AZ140/ABS(_xlfn.T.INV.2T(AX140,CB140))</f>
        <v>0.98275932949058287</v>
      </c>
      <c r="AX140" s="130">
        <v>0.06</v>
      </c>
      <c r="AY140" s="130">
        <v>1</v>
      </c>
      <c r="AZ140" s="130">
        <v>2.06</v>
      </c>
      <c r="BA140" s="178">
        <v>0.71</v>
      </c>
      <c r="BB140" s="130" t="s">
        <v>73</v>
      </c>
      <c r="BC140" s="130">
        <v>19</v>
      </c>
      <c r="BD140" s="130" t="s">
        <v>73</v>
      </c>
      <c r="BE140" s="130" t="s">
        <v>73</v>
      </c>
      <c r="BF140" s="130">
        <v>19</v>
      </c>
      <c r="BG140" s="130" t="s">
        <v>73</v>
      </c>
      <c r="BH140" s="130">
        <v>13</v>
      </c>
      <c r="BI140" s="130">
        <v>51591</v>
      </c>
      <c r="BJ140" s="130" t="s">
        <v>73</v>
      </c>
      <c r="BK140" s="130" t="s">
        <v>73</v>
      </c>
      <c r="BL140" s="107" t="s">
        <v>73</v>
      </c>
      <c r="BM140" s="107" t="s">
        <v>73</v>
      </c>
      <c r="BN140" s="107" t="s">
        <v>73</v>
      </c>
      <c r="BO140" s="107">
        <v>1</v>
      </c>
      <c r="BP140" s="107">
        <v>185</v>
      </c>
      <c r="BQ140" s="107" t="s">
        <v>73</v>
      </c>
      <c r="BR140" s="107" t="s">
        <v>73</v>
      </c>
      <c r="BS140" s="107" t="s">
        <v>73</v>
      </c>
      <c r="BT140" s="107">
        <v>0</v>
      </c>
      <c r="BU140" s="107">
        <v>0</v>
      </c>
      <c r="BV140" s="107">
        <v>0</v>
      </c>
      <c r="BW140" s="118">
        <f>CA140/((CA140^2+4)^(1/2))</f>
        <v>0.31694708329179128</v>
      </c>
      <c r="BX140" s="30">
        <f>0.5*LN((1+BW140)/(1-BW140))</f>
        <v>0.32824959387738756</v>
      </c>
      <c r="BY140" s="30">
        <f>((1-(BX140^2)^2)/(BH140-1))</f>
        <v>8.2365867706904794E-2</v>
      </c>
      <c r="BZ140" s="30">
        <f>1/(BH140-3)</f>
        <v>0.1</v>
      </c>
      <c r="CA140" s="107">
        <f xml:space="preserve"> AZ140*(((BC140+BF140)/(BC140*BF140))^(1/2))</f>
        <v>0.66835225505874174</v>
      </c>
      <c r="CB140">
        <f>BH140-2</f>
        <v>11</v>
      </c>
      <c r="CC140" t="s">
        <v>402</v>
      </c>
      <c r="CD140" s="30">
        <f>((AZ140^2)/(AZ140^2+BI140))^(1/2)</f>
        <v>9.0690623301361503E-3</v>
      </c>
      <c r="CE140" s="30">
        <f>0.5*LN((1+CD140)/(1-CD140))</f>
        <v>9.0693109794918354E-3</v>
      </c>
      <c r="CF140" s="30">
        <f>((1-(CE140^2)^2)/(BI140-1))</f>
        <v>1.9383601342014778E-5</v>
      </c>
      <c r="CG140" s="30">
        <f>1/(BI140-3)</f>
        <v>1.9384352950298517E-5</v>
      </c>
    </row>
    <row r="141" spans="1:86">
      <c r="A141" s="107" t="s">
        <v>68</v>
      </c>
      <c r="B141" s="107">
        <v>6</v>
      </c>
      <c r="C141" s="130">
        <v>1212</v>
      </c>
      <c r="D141" s="107">
        <v>151</v>
      </c>
      <c r="E141" s="107" t="s">
        <v>399</v>
      </c>
      <c r="F141" s="107">
        <v>2014</v>
      </c>
      <c r="G141" s="107" t="s">
        <v>133</v>
      </c>
      <c r="H141" s="107" t="s">
        <v>134</v>
      </c>
      <c r="I141" s="107">
        <v>1</v>
      </c>
      <c r="J141" s="130" t="s">
        <v>135</v>
      </c>
      <c r="K141" s="130" t="s">
        <v>73</v>
      </c>
      <c r="L141" s="130">
        <v>25</v>
      </c>
      <c r="M141" s="211" t="s">
        <v>107</v>
      </c>
      <c r="N141" s="130" t="s">
        <v>227</v>
      </c>
      <c r="O141" s="107" t="s">
        <v>138</v>
      </c>
      <c r="P141" s="107" t="s">
        <v>228</v>
      </c>
      <c r="Q141" s="107" t="s">
        <v>312</v>
      </c>
      <c r="R141" s="107" t="s">
        <v>313</v>
      </c>
      <c r="S141" s="107">
        <v>0</v>
      </c>
      <c r="T141" s="107" t="s">
        <v>189</v>
      </c>
      <c r="U141" s="107">
        <v>1</v>
      </c>
      <c r="V141" s="130" t="s">
        <v>246</v>
      </c>
      <c r="W141" s="130" t="s">
        <v>232</v>
      </c>
      <c r="X141" s="130" t="s">
        <v>140</v>
      </c>
      <c r="Y141" s="107">
        <v>0</v>
      </c>
      <c r="Z141" s="107">
        <v>0</v>
      </c>
      <c r="AA141" s="107">
        <v>1</v>
      </c>
      <c r="AB141" s="107">
        <v>0</v>
      </c>
      <c r="AC141" s="107">
        <v>0</v>
      </c>
      <c r="AD141" s="107">
        <v>0</v>
      </c>
      <c r="AE141" s="107">
        <v>0</v>
      </c>
      <c r="AF141" s="107">
        <v>0</v>
      </c>
      <c r="AG141" s="107" t="s">
        <v>73</v>
      </c>
      <c r="AH141" s="107">
        <v>0</v>
      </c>
      <c r="AI141" s="107">
        <v>1</v>
      </c>
      <c r="AJ141" s="107">
        <v>0</v>
      </c>
      <c r="AK141" s="107">
        <v>0</v>
      </c>
      <c r="AL141" s="107">
        <v>0</v>
      </c>
      <c r="AM141" s="107">
        <v>0</v>
      </c>
      <c r="AN141" s="107">
        <v>0</v>
      </c>
      <c r="AO141" s="107">
        <v>0</v>
      </c>
      <c r="AP141" s="175">
        <v>0</v>
      </c>
      <c r="AQ141" s="107" t="s">
        <v>400</v>
      </c>
      <c r="AR141" s="107" t="s">
        <v>234</v>
      </c>
      <c r="AS141" s="179" t="s">
        <v>401</v>
      </c>
      <c r="AT141" s="107" t="s">
        <v>73</v>
      </c>
      <c r="AU141" s="171" t="s">
        <v>73</v>
      </c>
      <c r="AV141" s="170" t="s">
        <v>80</v>
      </c>
      <c r="AW141" s="107">
        <f>AZ141/ABS(_xlfn.T.INV.2T(AX141,CB141))</f>
        <v>1</v>
      </c>
      <c r="AX141" s="130">
        <v>0.1</v>
      </c>
      <c r="AY141" s="130">
        <v>2</v>
      </c>
      <c r="AZ141" s="177">
        <f>TINV(AX141,CB141)</f>
        <v>1.6938887483837093</v>
      </c>
      <c r="BA141" s="178">
        <v>0.08</v>
      </c>
      <c r="BB141" s="130" t="s">
        <v>73</v>
      </c>
      <c r="BC141" s="130">
        <v>19</v>
      </c>
      <c r="BD141" s="130" t="s">
        <v>73</v>
      </c>
      <c r="BE141" s="130" t="s">
        <v>73</v>
      </c>
      <c r="BF141" s="130">
        <v>19</v>
      </c>
      <c r="BG141" s="130" t="s">
        <v>73</v>
      </c>
      <c r="BH141" s="130">
        <v>34</v>
      </c>
      <c r="BI141" s="130">
        <v>51591</v>
      </c>
      <c r="BJ141" s="130" t="s">
        <v>73</v>
      </c>
      <c r="BK141" s="130" t="s">
        <v>73</v>
      </c>
      <c r="BL141" s="107" t="s">
        <v>73</v>
      </c>
      <c r="BM141" s="107" t="s">
        <v>73</v>
      </c>
      <c r="BN141" s="107" t="s">
        <v>73</v>
      </c>
      <c r="BO141" s="107">
        <v>1</v>
      </c>
      <c r="BP141" s="107">
        <v>185</v>
      </c>
      <c r="BQ141" s="107" t="s">
        <v>73</v>
      </c>
      <c r="BR141" s="107" t="s">
        <v>73</v>
      </c>
      <c r="BS141" s="107" t="s">
        <v>73</v>
      </c>
      <c r="BT141" s="107">
        <v>0</v>
      </c>
      <c r="BU141" s="107">
        <v>0</v>
      </c>
      <c r="BV141" s="107">
        <v>0</v>
      </c>
      <c r="BW141" s="118">
        <f>CA141/((CA141^2+4)^(1/2))</f>
        <v>0.26496377396868748</v>
      </c>
      <c r="BX141" s="30">
        <f>0.5*LN((1+BW141)/(1-BW141))</f>
        <v>0.27143948922848343</v>
      </c>
      <c r="BY141" s="30">
        <f>((1-(BX141^2)^2)/(BH141-1))</f>
        <v>3.0138525653303272E-2</v>
      </c>
      <c r="BZ141" s="30">
        <f>1/(BH141-3)</f>
        <v>3.2258064516129031E-2</v>
      </c>
      <c r="CA141" s="107">
        <f xml:space="preserve"> AZ141*(((BC141+BF141)/(BC141*BF141))^(1/2))</f>
        <v>0.54957008000042795</v>
      </c>
      <c r="CB141">
        <f>BH141-2</f>
        <v>32</v>
      </c>
      <c r="CC141" t="s">
        <v>402</v>
      </c>
      <c r="CD141" s="30">
        <f>((AZ141^2)/(AZ141^2+BI141))^(1/2)</f>
        <v>7.4573724474873322E-3</v>
      </c>
      <c r="CE141" s="30">
        <f>0.5*LN((1+CD141)/(1-CD141))</f>
        <v>7.4575106929029604E-3</v>
      </c>
      <c r="CF141" s="30">
        <f>((1-(CE141^2)^2)/(BI141-1))</f>
        <v>1.9383601413200837E-5</v>
      </c>
      <c r="CG141" s="30">
        <f>1/(BI141-3)</f>
        <v>1.9384352950298517E-5</v>
      </c>
    </row>
    <row r="142" spans="1:86">
      <c r="A142" s="107" t="s">
        <v>68</v>
      </c>
      <c r="B142" s="107">
        <v>6</v>
      </c>
      <c r="C142" s="130">
        <v>1214</v>
      </c>
      <c r="D142" s="107">
        <v>151</v>
      </c>
      <c r="E142" s="107" t="s">
        <v>399</v>
      </c>
      <c r="F142" s="107">
        <v>2014</v>
      </c>
      <c r="G142" s="107" t="s">
        <v>133</v>
      </c>
      <c r="H142" s="107" t="s">
        <v>134</v>
      </c>
      <c r="I142" s="107">
        <v>1</v>
      </c>
      <c r="J142" s="130" t="s">
        <v>135</v>
      </c>
      <c r="K142" s="130" t="s">
        <v>73</v>
      </c>
      <c r="L142" s="130">
        <v>25</v>
      </c>
      <c r="M142" s="211" t="s">
        <v>107</v>
      </c>
      <c r="N142" s="130" t="s">
        <v>227</v>
      </c>
      <c r="O142" s="107" t="s">
        <v>138</v>
      </c>
      <c r="P142" s="107" t="s">
        <v>228</v>
      </c>
      <c r="Q142" s="107" t="s">
        <v>312</v>
      </c>
      <c r="R142" s="107" t="s">
        <v>313</v>
      </c>
      <c r="S142" s="107">
        <v>0</v>
      </c>
      <c r="T142" s="107" t="s">
        <v>189</v>
      </c>
      <c r="U142" s="107">
        <v>1</v>
      </c>
      <c r="V142" s="130" t="s">
        <v>246</v>
      </c>
      <c r="W142" s="130" t="s">
        <v>232</v>
      </c>
      <c r="X142" s="130" t="s">
        <v>140</v>
      </c>
      <c r="Y142" s="107">
        <v>0</v>
      </c>
      <c r="Z142" s="107">
        <v>0</v>
      </c>
      <c r="AA142" s="107">
        <v>1</v>
      </c>
      <c r="AB142" s="107">
        <v>0</v>
      </c>
      <c r="AC142" s="107">
        <v>0</v>
      </c>
      <c r="AD142" s="107">
        <v>0</v>
      </c>
      <c r="AE142" s="107">
        <v>0</v>
      </c>
      <c r="AF142" s="107">
        <v>0</v>
      </c>
      <c r="AG142" s="107" t="s">
        <v>73</v>
      </c>
      <c r="AH142" s="107">
        <v>0</v>
      </c>
      <c r="AI142" s="107">
        <v>1</v>
      </c>
      <c r="AJ142" s="107">
        <v>0</v>
      </c>
      <c r="AK142" s="107">
        <v>0</v>
      </c>
      <c r="AL142" s="107">
        <v>0</v>
      </c>
      <c r="AM142" s="107">
        <v>0</v>
      </c>
      <c r="AN142" s="107">
        <v>0</v>
      </c>
      <c r="AO142" s="107">
        <v>0</v>
      </c>
      <c r="AP142" s="175">
        <v>0</v>
      </c>
      <c r="AQ142" s="107" t="s">
        <v>400</v>
      </c>
      <c r="AR142" s="107" t="s">
        <v>234</v>
      </c>
      <c r="AS142" s="179" t="s">
        <v>401</v>
      </c>
      <c r="AT142" s="107" t="s">
        <v>73</v>
      </c>
      <c r="AU142" s="171" t="s">
        <v>73</v>
      </c>
      <c r="AV142" s="170" t="s">
        <v>86</v>
      </c>
      <c r="AW142" s="107">
        <f>AZ142/ABS(_xlfn.T.INV.2T(AX142,CB142))</f>
        <v>1</v>
      </c>
      <c r="AX142" s="130">
        <v>0.1</v>
      </c>
      <c r="AY142" s="130">
        <v>2</v>
      </c>
      <c r="AZ142" s="177">
        <f>TINV(AX142,CB142)</f>
        <v>1.9431802805153031</v>
      </c>
      <c r="BA142" s="178">
        <v>0.08</v>
      </c>
      <c r="BB142" s="130" t="s">
        <v>73</v>
      </c>
      <c r="BC142" s="130">
        <v>19</v>
      </c>
      <c r="BD142" s="130" t="s">
        <v>73</v>
      </c>
      <c r="BE142" s="130" t="s">
        <v>73</v>
      </c>
      <c r="BF142" s="130">
        <v>19</v>
      </c>
      <c r="BG142" s="130" t="s">
        <v>73</v>
      </c>
      <c r="BH142" s="130">
        <v>8</v>
      </c>
      <c r="BI142" s="130">
        <v>51591</v>
      </c>
      <c r="BJ142" s="130" t="s">
        <v>73</v>
      </c>
      <c r="BK142" s="130" t="s">
        <v>73</v>
      </c>
      <c r="BL142" s="107" t="s">
        <v>73</v>
      </c>
      <c r="BM142" s="107" t="s">
        <v>73</v>
      </c>
      <c r="BN142" s="107" t="s">
        <v>73</v>
      </c>
      <c r="BO142" s="107">
        <v>1</v>
      </c>
      <c r="BP142" s="107">
        <v>185</v>
      </c>
      <c r="BQ142" s="107" t="s">
        <v>73</v>
      </c>
      <c r="BR142" s="107" t="s">
        <v>73</v>
      </c>
      <c r="BS142" s="107" t="s">
        <v>73</v>
      </c>
      <c r="BT142" s="107">
        <v>0</v>
      </c>
      <c r="BU142" s="107">
        <v>0</v>
      </c>
      <c r="BV142" s="107">
        <v>0</v>
      </c>
      <c r="BW142" s="118">
        <f>CA142/((CA142^2+4)^(1/2))</f>
        <v>0.30064219204505443</v>
      </c>
      <c r="BX142" s="30">
        <f>0.5*LN((1+BW142)/(1-BW142))</f>
        <v>0.31022545930208606</v>
      </c>
      <c r="BY142" s="30">
        <f>((1-(BX142^2)^2)/(BH142-1))</f>
        <v>0.14153398486340582</v>
      </c>
      <c r="BZ142" s="30">
        <f>1/(BH142-3)</f>
        <v>0.2</v>
      </c>
      <c r="CA142" s="107">
        <f xml:space="preserve"> AZ142*(((BC142+BF142)/(BC142*BF142))^(1/2))</f>
        <v>0.63045093323693258</v>
      </c>
      <c r="CB142">
        <f>BH142-2</f>
        <v>6</v>
      </c>
      <c r="CC142" t="s">
        <v>402</v>
      </c>
      <c r="CD142" s="30">
        <f>((AZ142^2)/(AZ142^2+BI142))^(1/2)</f>
        <v>8.5548072564774428E-3</v>
      </c>
      <c r="CE142" s="30">
        <f>0.5*LN((1+CD142)/(1-CD142))</f>
        <v>8.5550159593868347E-3</v>
      </c>
      <c r="CF142" s="30">
        <f>((1-(CE142^2)^2)/(BI142-1))</f>
        <v>1.9383601369324926E-5</v>
      </c>
      <c r="CG142" s="30">
        <f>1/(BI142-3)</f>
        <v>1.9384352950298517E-5</v>
      </c>
    </row>
    <row r="143" spans="1:86">
      <c r="A143" s="145" t="s">
        <v>68</v>
      </c>
      <c r="B143" s="145">
        <v>16</v>
      </c>
      <c r="C143" s="146">
        <v>1209</v>
      </c>
      <c r="D143" s="145">
        <v>149</v>
      </c>
      <c r="E143" s="145" t="s">
        <v>392</v>
      </c>
      <c r="F143" s="145">
        <v>2013</v>
      </c>
      <c r="G143" s="145" t="s">
        <v>393</v>
      </c>
      <c r="H143" s="147" t="s">
        <v>394</v>
      </c>
      <c r="I143" s="145">
        <v>1</v>
      </c>
      <c r="J143" s="145">
        <v>2011</v>
      </c>
      <c r="K143" s="145" t="s">
        <v>73</v>
      </c>
      <c r="L143" s="145">
        <v>11</v>
      </c>
      <c r="M143" s="210" t="s">
        <v>93</v>
      </c>
      <c r="N143" s="136" t="s">
        <v>395</v>
      </c>
      <c r="O143" s="145" t="s">
        <v>174</v>
      </c>
      <c r="P143" s="145" t="s">
        <v>228</v>
      </c>
      <c r="Q143" s="145" t="s">
        <v>312</v>
      </c>
      <c r="R143" s="145" t="s">
        <v>313</v>
      </c>
      <c r="S143" s="145">
        <v>0</v>
      </c>
      <c r="T143" s="145" t="s">
        <v>231</v>
      </c>
      <c r="U143" s="145">
        <v>0</v>
      </c>
      <c r="V143" s="145" t="s">
        <v>232</v>
      </c>
      <c r="W143" s="145" t="s">
        <v>232</v>
      </c>
      <c r="X143" s="145" t="s">
        <v>73</v>
      </c>
      <c r="Y143" s="145">
        <v>0</v>
      </c>
      <c r="Z143" s="145">
        <v>0</v>
      </c>
      <c r="AA143" s="145">
        <v>1</v>
      </c>
      <c r="AB143" s="145">
        <v>0</v>
      </c>
      <c r="AC143" s="145">
        <v>0</v>
      </c>
      <c r="AD143" s="145">
        <v>0</v>
      </c>
      <c r="AE143" s="145">
        <v>0</v>
      </c>
      <c r="AF143" s="145">
        <v>0</v>
      </c>
      <c r="AG143" s="145" t="s">
        <v>396</v>
      </c>
      <c r="AH143" s="145">
        <v>0</v>
      </c>
      <c r="AI143" s="145">
        <v>1</v>
      </c>
      <c r="AJ143" s="145">
        <v>0</v>
      </c>
      <c r="AK143" s="145">
        <v>0</v>
      </c>
      <c r="AL143" s="145">
        <v>0</v>
      </c>
      <c r="AM143" s="145">
        <v>0</v>
      </c>
      <c r="AN143" s="145">
        <v>0</v>
      </c>
      <c r="AO143" s="145">
        <v>0</v>
      </c>
      <c r="AP143" s="145">
        <v>0</v>
      </c>
      <c r="AQ143" s="145" t="s">
        <v>73</v>
      </c>
      <c r="AR143" s="145" t="s">
        <v>234</v>
      </c>
      <c r="AS143" s="145" t="s">
        <v>397</v>
      </c>
      <c r="AT143" s="145" t="s">
        <v>73</v>
      </c>
      <c r="AU143" s="190">
        <v>2.3E-2</v>
      </c>
      <c r="AV143" s="148" t="s">
        <v>80</v>
      </c>
      <c r="AW143" s="145" t="s">
        <v>73</v>
      </c>
      <c r="AX143" s="145">
        <v>0.1</v>
      </c>
      <c r="AY143" s="145">
        <v>2</v>
      </c>
      <c r="AZ143" s="19">
        <f>TINV(AX143,CB143)</f>
        <v>1.6449332384326785</v>
      </c>
      <c r="BA143" s="149">
        <f>EXP(AU143)-1</f>
        <v>2.326653954721758E-2</v>
      </c>
      <c r="BB143" s="145" t="s">
        <v>73</v>
      </c>
      <c r="BC143" s="145">
        <v>13471</v>
      </c>
      <c r="BD143" s="145" t="s">
        <v>73</v>
      </c>
      <c r="BE143" s="145" t="s">
        <v>73</v>
      </c>
      <c r="BF143" s="145">
        <v>5672</v>
      </c>
      <c r="BG143" s="145" t="s">
        <v>73</v>
      </c>
      <c r="BH143" s="145">
        <v>19143</v>
      </c>
      <c r="BI143" s="145">
        <v>19143</v>
      </c>
      <c r="BJ143" s="145" t="s">
        <v>73</v>
      </c>
      <c r="BK143" s="145" t="s">
        <v>73</v>
      </c>
      <c r="BL143" s="145" t="s">
        <v>73</v>
      </c>
      <c r="BM143" s="145" t="s">
        <v>73</v>
      </c>
      <c r="BN143" s="145" t="s">
        <v>73</v>
      </c>
      <c r="BO143" s="145">
        <v>1</v>
      </c>
      <c r="BP143" s="145">
        <f>2893*0.1283</f>
        <v>371.17189999999999</v>
      </c>
      <c r="BQ143" s="145">
        <v>0</v>
      </c>
      <c r="BR143" s="145" t="s">
        <v>73</v>
      </c>
      <c r="BS143" s="145" t="s">
        <v>356</v>
      </c>
      <c r="BT143" s="145">
        <v>0</v>
      </c>
      <c r="BU143" s="145">
        <v>0</v>
      </c>
      <c r="BV143" s="145">
        <v>0</v>
      </c>
      <c r="BW143" s="150">
        <f>((AZ143^2)/(AZ143^2+BH143))^(1/2)</f>
        <v>1.1888103724369721E-2</v>
      </c>
      <c r="BX143" s="150">
        <f>0.5*LN((1+BW143)/(1-BW143))</f>
        <v>1.1888663808582136E-2</v>
      </c>
      <c r="BY143" s="150">
        <f>((1-(BX143^2)^2)/(BH143-1))</f>
        <v>5.2241144082275201E-5</v>
      </c>
      <c r="BZ143" s="150">
        <f>1/(BH143-3)</f>
        <v>5.2246603970741903E-5</v>
      </c>
      <c r="CA143" s="92" t="s">
        <v>73</v>
      </c>
      <c r="CB143">
        <f>BH143-2</f>
        <v>19141</v>
      </c>
      <c r="CC143" t="s">
        <v>398</v>
      </c>
      <c r="CD143" s="30">
        <f>((AZ143^2)/(AZ143^2+BI143))^(1/2)</f>
        <v>1.1888103724369721E-2</v>
      </c>
      <c r="CE143" s="150">
        <f>0.5*LN((1+CD143)/(1-CD143))</f>
        <v>1.1888663808582136E-2</v>
      </c>
      <c r="CF143" s="30">
        <f>((1-(CE143^2)^2)/(BI143-1))</f>
        <v>5.2241144082275201E-5</v>
      </c>
      <c r="CG143" s="30">
        <f>1/(BI143-3)</f>
        <v>5.2246603970741903E-5</v>
      </c>
      <c r="CH143" s="112"/>
    </row>
    <row r="144" spans="1:86" ht="17.100000000000001" customHeight="1">
      <c r="A144" s="11" t="s">
        <v>68</v>
      </c>
      <c r="B144" s="11">
        <v>12</v>
      </c>
      <c r="C144" s="99">
        <v>1149</v>
      </c>
      <c r="D144" s="100">
        <v>133</v>
      </c>
      <c r="E144" t="s">
        <v>363</v>
      </c>
      <c r="F144" s="99">
        <v>2019</v>
      </c>
      <c r="G144" t="s">
        <v>364</v>
      </c>
      <c r="H144" t="s">
        <v>365</v>
      </c>
      <c r="I144" s="100">
        <v>2</v>
      </c>
      <c r="J144">
        <v>2016</v>
      </c>
      <c r="K144" s="99" t="s">
        <v>73</v>
      </c>
      <c r="L144" s="100">
        <v>31</v>
      </c>
      <c r="M144" s="208" t="s">
        <v>366</v>
      </c>
      <c r="N144" t="s">
        <v>227</v>
      </c>
      <c r="O144" t="s">
        <v>138</v>
      </c>
      <c r="P144" t="s">
        <v>294</v>
      </c>
      <c r="Q144" t="s">
        <v>308</v>
      </c>
      <c r="R144" t="s">
        <v>337</v>
      </c>
      <c r="S144">
        <v>1</v>
      </c>
      <c r="T144" s="32" t="s">
        <v>342</v>
      </c>
      <c r="U144">
        <v>1</v>
      </c>
      <c r="V144" s="99" t="s">
        <v>232</v>
      </c>
      <c r="W144" s="99" t="s">
        <v>232</v>
      </c>
      <c r="X144" s="99" t="s">
        <v>73</v>
      </c>
      <c r="Y144" s="100">
        <v>1</v>
      </c>
      <c r="Z144" s="100">
        <v>0</v>
      </c>
      <c r="AA144" s="100">
        <v>0</v>
      </c>
      <c r="AB144" s="100">
        <v>0</v>
      </c>
      <c r="AC144" s="100">
        <v>0</v>
      </c>
      <c r="AD144" s="100">
        <v>0</v>
      </c>
      <c r="AE144" s="100">
        <v>0</v>
      </c>
      <c r="AF144" s="100">
        <v>0</v>
      </c>
      <c r="AG144" s="100" t="s">
        <v>367</v>
      </c>
      <c r="AH144" s="100">
        <v>0</v>
      </c>
      <c r="AI144" s="100">
        <v>0</v>
      </c>
      <c r="AJ144" s="100">
        <v>0</v>
      </c>
      <c r="AK144" s="100">
        <v>0</v>
      </c>
      <c r="AL144" s="100">
        <v>1</v>
      </c>
      <c r="AM144" s="100">
        <v>0</v>
      </c>
      <c r="AN144" s="100">
        <v>0</v>
      </c>
      <c r="AO144" s="100">
        <v>0</v>
      </c>
      <c r="AP144" s="100">
        <v>0</v>
      </c>
      <c r="AQ144" t="s">
        <v>73</v>
      </c>
      <c r="AR144" t="s">
        <v>234</v>
      </c>
      <c r="AS144" t="s">
        <v>368</v>
      </c>
      <c r="AT144" t="s">
        <v>332</v>
      </c>
      <c r="AU144" s="193">
        <v>1.33</v>
      </c>
      <c r="AV144" s="7" t="s">
        <v>80</v>
      </c>
      <c r="AW144" t="s">
        <v>73</v>
      </c>
      <c r="AX144">
        <v>0.01</v>
      </c>
      <c r="AY144">
        <v>2</v>
      </c>
      <c r="AZ144" s="19">
        <f>TINV(AX144,CB144)</f>
        <v>2.5840895721013624</v>
      </c>
      <c r="BA144" s="105">
        <f>EXP(AU144)/(1+EXP(AU144))</f>
        <v>0.79084063478693667</v>
      </c>
      <c r="BB144" s="102" t="s">
        <v>73</v>
      </c>
      <c r="BC144" s="102" t="s">
        <v>73</v>
      </c>
      <c r="BD144" s="102" t="s">
        <v>73</v>
      </c>
      <c r="BE144" s="102" t="s">
        <v>73</v>
      </c>
      <c r="BF144" s="102" t="s">
        <v>73</v>
      </c>
      <c r="BG144" s="102" t="s">
        <v>73</v>
      </c>
      <c r="BH144" s="100">
        <v>599</v>
      </c>
      <c r="BI144" s="100">
        <v>599</v>
      </c>
      <c r="BJ144" s="100" t="s">
        <v>73</v>
      </c>
      <c r="BK144" s="100" t="s">
        <v>73</v>
      </c>
      <c r="BL144" s="100" t="s">
        <v>73</v>
      </c>
      <c r="BM144" s="100" t="s">
        <v>73</v>
      </c>
      <c r="BN144" s="100" t="s">
        <v>73</v>
      </c>
      <c r="BO144" s="100" t="s">
        <v>73</v>
      </c>
      <c r="BP144" s="100" t="s">
        <v>73</v>
      </c>
      <c r="BQ144" s="100" t="s">
        <v>73</v>
      </c>
      <c r="BR144" s="100" t="s">
        <v>73</v>
      </c>
      <c r="BS144" s="100" t="s">
        <v>73</v>
      </c>
      <c r="BT144" s="100">
        <v>0</v>
      </c>
      <c r="BU144" s="100">
        <v>0</v>
      </c>
      <c r="BV144" s="100">
        <v>1</v>
      </c>
      <c r="BW144" s="30">
        <f>((AZ144^2)/(AZ144^2+BH144))^(1/2)</f>
        <v>0.10499940460515129</v>
      </c>
      <c r="BX144" s="30">
        <f>0.5*LN((1+BW144)/(1-BW144))</f>
        <v>0.10538784580628262</v>
      </c>
      <c r="BY144" s="30">
        <f>((1-(BX144^2)^2)/(BH144-1))</f>
        <v>1.6720345208693912E-3</v>
      </c>
      <c r="BZ144" s="30">
        <f>1/(BH144-3)</f>
        <v>1.6778523489932886E-3</v>
      </c>
      <c r="CA144" s="92" t="s">
        <v>73</v>
      </c>
      <c r="CB144">
        <f>BH144-2</f>
        <v>597</v>
      </c>
      <c r="CC144" s="92" t="s">
        <v>73</v>
      </c>
      <c r="CD144" s="30">
        <f>((AZ144^2)/(AZ144^2+BI144))^(1/2)</f>
        <v>0.10499940460515129</v>
      </c>
      <c r="CE144" s="30">
        <f>0.5*LN((1+CD144)/(1-CD144))</f>
        <v>0.10538784580628262</v>
      </c>
      <c r="CF144" s="30">
        <f>((1-(CE144^2)^2)/(BI144-1))</f>
        <v>1.6720345208693912E-3</v>
      </c>
      <c r="CG144" s="30">
        <f>1/(BI144-3)</f>
        <v>1.6778523489932886E-3</v>
      </c>
    </row>
    <row r="145" spans="1:86">
      <c r="A145" s="11" t="s">
        <v>68</v>
      </c>
      <c r="B145" s="11">
        <v>12</v>
      </c>
      <c r="C145" s="99">
        <v>1150</v>
      </c>
      <c r="D145" s="100">
        <v>133</v>
      </c>
      <c r="E145" t="s">
        <v>363</v>
      </c>
      <c r="F145" s="99">
        <v>2019</v>
      </c>
      <c r="G145" t="s">
        <v>364</v>
      </c>
      <c r="H145" t="s">
        <v>365</v>
      </c>
      <c r="I145" s="100">
        <v>2</v>
      </c>
      <c r="J145">
        <v>2016</v>
      </c>
      <c r="K145" s="99" t="s">
        <v>73</v>
      </c>
      <c r="L145" s="100">
        <v>31</v>
      </c>
      <c r="M145" s="208" t="s">
        <v>366</v>
      </c>
      <c r="N145" t="s">
        <v>227</v>
      </c>
      <c r="O145" t="s">
        <v>138</v>
      </c>
      <c r="P145" t="s">
        <v>294</v>
      </c>
      <c r="Q145" t="s">
        <v>308</v>
      </c>
      <c r="R145" t="s">
        <v>337</v>
      </c>
      <c r="S145">
        <v>1</v>
      </c>
      <c r="T145" s="32" t="s">
        <v>342</v>
      </c>
      <c r="U145">
        <v>1</v>
      </c>
      <c r="V145" s="99" t="s">
        <v>232</v>
      </c>
      <c r="W145" s="99" t="s">
        <v>232</v>
      </c>
      <c r="X145" s="99" t="s">
        <v>73</v>
      </c>
      <c r="Y145" s="100">
        <v>1</v>
      </c>
      <c r="Z145" s="100">
        <v>0</v>
      </c>
      <c r="AA145" s="100">
        <v>0</v>
      </c>
      <c r="AB145" s="100">
        <v>0</v>
      </c>
      <c r="AC145" s="100">
        <v>0</v>
      </c>
      <c r="AD145" s="100">
        <v>0</v>
      </c>
      <c r="AE145" s="100">
        <v>0</v>
      </c>
      <c r="AF145" s="100">
        <v>0</v>
      </c>
      <c r="AG145" s="100" t="s">
        <v>369</v>
      </c>
      <c r="AH145" s="100">
        <v>0</v>
      </c>
      <c r="AI145" s="100">
        <v>0</v>
      </c>
      <c r="AJ145" s="100">
        <v>0</v>
      </c>
      <c r="AK145" s="100">
        <v>0</v>
      </c>
      <c r="AL145" s="100">
        <v>1</v>
      </c>
      <c r="AM145" s="100">
        <v>0</v>
      </c>
      <c r="AN145" s="100">
        <v>0</v>
      </c>
      <c r="AO145" s="100">
        <v>0</v>
      </c>
      <c r="AP145" s="100">
        <v>0</v>
      </c>
      <c r="AQ145" t="s">
        <v>73</v>
      </c>
      <c r="AR145" t="s">
        <v>234</v>
      </c>
      <c r="AS145" t="s">
        <v>368</v>
      </c>
      <c r="AT145" t="s">
        <v>332</v>
      </c>
      <c r="AU145" s="193">
        <v>2.82</v>
      </c>
      <c r="AV145" s="7" t="s">
        <v>80</v>
      </c>
      <c r="AW145" t="s">
        <v>73</v>
      </c>
      <c r="AX145">
        <v>1E-3</v>
      </c>
      <c r="AY145">
        <v>1</v>
      </c>
      <c r="AZ145" s="19">
        <f>TINV(AX145,CB145)</f>
        <v>3.3068980114241935</v>
      </c>
      <c r="BA145" s="105">
        <f>EXP(AU145)/(1+EXP(AU145))</f>
        <v>0.94374706642683259</v>
      </c>
      <c r="BB145" s="102" t="s">
        <v>73</v>
      </c>
      <c r="BC145" s="102" t="s">
        <v>73</v>
      </c>
      <c r="BD145" s="102" t="s">
        <v>73</v>
      </c>
      <c r="BE145" s="102" t="s">
        <v>73</v>
      </c>
      <c r="BF145" s="102" t="s">
        <v>73</v>
      </c>
      <c r="BG145" s="102" t="s">
        <v>73</v>
      </c>
      <c r="BH145" s="100">
        <v>599</v>
      </c>
      <c r="BI145" s="100">
        <v>599</v>
      </c>
      <c r="BJ145" s="100" t="s">
        <v>73</v>
      </c>
      <c r="BK145" s="100" t="s">
        <v>73</v>
      </c>
      <c r="BL145" s="100" t="s">
        <v>73</v>
      </c>
      <c r="BM145" s="100" t="s">
        <v>73</v>
      </c>
      <c r="BN145" s="100" t="s">
        <v>73</v>
      </c>
      <c r="BO145" s="100" t="s">
        <v>73</v>
      </c>
      <c r="BP145" s="100" t="s">
        <v>73</v>
      </c>
      <c r="BQ145" s="100" t="s">
        <v>73</v>
      </c>
      <c r="BR145" s="100" t="s">
        <v>73</v>
      </c>
      <c r="BS145" s="100" t="s">
        <v>73</v>
      </c>
      <c r="BT145" s="100">
        <v>0</v>
      </c>
      <c r="BU145" s="100">
        <v>0</v>
      </c>
      <c r="BV145" s="100">
        <v>1</v>
      </c>
      <c r="BW145" s="30">
        <f>((AZ145^2)/(AZ145^2+BH145))^(1/2)</f>
        <v>0.13389945792371422</v>
      </c>
      <c r="BX145" s="30">
        <f>0.5*LN((1+BW145)/(1-BW145))</f>
        <v>0.13470840884771776</v>
      </c>
      <c r="BY145" s="30">
        <f>((1-(BX145^2)^2)/(BH145-1))</f>
        <v>1.6716901501424388E-3</v>
      </c>
      <c r="BZ145" s="30">
        <f>1/(BH145-3)</f>
        <v>1.6778523489932886E-3</v>
      </c>
      <c r="CA145" s="92" t="s">
        <v>73</v>
      </c>
      <c r="CB145">
        <f>BH145-2</f>
        <v>597</v>
      </c>
      <c r="CC145" s="92" t="s">
        <v>73</v>
      </c>
      <c r="CD145" s="30">
        <f>((AZ145^2)/(AZ145^2+BI145))^(1/2)</f>
        <v>0.13389945792371422</v>
      </c>
      <c r="CE145" s="30">
        <f>0.5*LN((1+CD145)/(1-CD145))</f>
        <v>0.13470840884771776</v>
      </c>
      <c r="CF145" s="30">
        <f>((1-(CE145^2)^2)/(BI145-1))</f>
        <v>1.6716901501424388E-3</v>
      </c>
      <c r="CG145" s="30">
        <f>1/(BI145-3)</f>
        <v>1.6778523489932886E-3</v>
      </c>
    </row>
    <row r="146" spans="1:86">
      <c r="A146" s="11" t="s">
        <v>68</v>
      </c>
      <c r="B146" s="11">
        <v>12</v>
      </c>
      <c r="C146" s="99">
        <v>1151</v>
      </c>
      <c r="D146" s="100">
        <v>133</v>
      </c>
      <c r="E146" t="s">
        <v>363</v>
      </c>
      <c r="F146" s="99">
        <v>2019</v>
      </c>
      <c r="G146" t="s">
        <v>364</v>
      </c>
      <c r="H146" t="s">
        <v>365</v>
      </c>
      <c r="I146" s="100">
        <v>2</v>
      </c>
      <c r="J146">
        <v>2016</v>
      </c>
      <c r="K146" s="99" t="s">
        <v>73</v>
      </c>
      <c r="L146" s="100">
        <v>31</v>
      </c>
      <c r="M146" s="208" t="s">
        <v>366</v>
      </c>
      <c r="N146" t="s">
        <v>227</v>
      </c>
      <c r="O146" t="s">
        <v>138</v>
      </c>
      <c r="P146" t="s">
        <v>294</v>
      </c>
      <c r="Q146" t="s">
        <v>308</v>
      </c>
      <c r="R146" t="s">
        <v>337</v>
      </c>
      <c r="S146">
        <v>1</v>
      </c>
      <c r="T146" s="32" t="s">
        <v>342</v>
      </c>
      <c r="U146">
        <v>1</v>
      </c>
      <c r="V146" s="99" t="s">
        <v>232</v>
      </c>
      <c r="W146" s="99" t="s">
        <v>232</v>
      </c>
      <c r="X146" s="99" t="s">
        <v>73</v>
      </c>
      <c r="Y146" s="100">
        <v>1</v>
      </c>
      <c r="Z146" s="100">
        <v>1</v>
      </c>
      <c r="AA146" s="100">
        <v>0</v>
      </c>
      <c r="AB146" s="100">
        <v>0</v>
      </c>
      <c r="AC146" s="100">
        <v>0</v>
      </c>
      <c r="AD146" s="100">
        <v>0</v>
      </c>
      <c r="AE146" s="100">
        <v>0</v>
      </c>
      <c r="AF146" s="100">
        <v>0</v>
      </c>
      <c r="AG146" s="100" t="s">
        <v>370</v>
      </c>
      <c r="AH146" s="100">
        <v>0</v>
      </c>
      <c r="AI146" s="100">
        <v>0</v>
      </c>
      <c r="AJ146" s="100">
        <v>0</v>
      </c>
      <c r="AK146" s="100">
        <v>0</v>
      </c>
      <c r="AL146" s="100">
        <v>1</v>
      </c>
      <c r="AM146" s="100">
        <v>0</v>
      </c>
      <c r="AN146" s="100">
        <v>0</v>
      </c>
      <c r="AO146" s="100">
        <v>0</v>
      </c>
      <c r="AP146" s="100">
        <v>0</v>
      </c>
      <c r="AQ146" t="s">
        <v>73</v>
      </c>
      <c r="AR146" t="s">
        <v>234</v>
      </c>
      <c r="AS146" t="s">
        <v>368</v>
      </c>
      <c r="AT146" t="s">
        <v>332</v>
      </c>
      <c r="AU146" s="193">
        <v>3.09</v>
      </c>
      <c r="AV146" s="7" t="s">
        <v>80</v>
      </c>
      <c r="AW146" t="s">
        <v>73</v>
      </c>
      <c r="AX146">
        <v>1E-3</v>
      </c>
      <c r="AY146">
        <v>1</v>
      </c>
      <c r="AZ146" s="19">
        <f>TINV(AX146,CB146)</f>
        <v>3.3068980114241935</v>
      </c>
      <c r="BA146" s="105">
        <f>EXP(AU146)/(1+EXP(AU146))</f>
        <v>0.95647836504472783</v>
      </c>
      <c r="BB146" s="102" t="s">
        <v>73</v>
      </c>
      <c r="BC146" s="102" t="s">
        <v>73</v>
      </c>
      <c r="BD146" s="102" t="s">
        <v>73</v>
      </c>
      <c r="BE146" s="102" t="s">
        <v>73</v>
      </c>
      <c r="BF146" s="102" t="s">
        <v>73</v>
      </c>
      <c r="BG146" s="102" t="s">
        <v>73</v>
      </c>
      <c r="BH146" s="100">
        <v>599</v>
      </c>
      <c r="BI146" s="100">
        <v>599</v>
      </c>
      <c r="BJ146" s="100" t="s">
        <v>73</v>
      </c>
      <c r="BK146" s="100" t="s">
        <v>73</v>
      </c>
      <c r="BL146" s="100" t="s">
        <v>73</v>
      </c>
      <c r="BM146" s="100" t="s">
        <v>73</v>
      </c>
      <c r="BN146" s="100" t="s">
        <v>73</v>
      </c>
      <c r="BO146" s="100" t="s">
        <v>73</v>
      </c>
      <c r="BP146" s="100" t="s">
        <v>73</v>
      </c>
      <c r="BQ146" s="100" t="s">
        <v>73</v>
      </c>
      <c r="BR146" s="100" t="s">
        <v>73</v>
      </c>
      <c r="BS146" s="100" t="s">
        <v>73</v>
      </c>
      <c r="BT146" s="100">
        <v>0</v>
      </c>
      <c r="BU146" s="100">
        <v>0</v>
      </c>
      <c r="BV146" s="100">
        <v>1</v>
      </c>
      <c r="BW146" s="30">
        <f>((AZ146^2)/(AZ146^2+BH146))^(1/2)</f>
        <v>0.13389945792371422</v>
      </c>
      <c r="BX146" s="30">
        <f>0.5*LN((1+BW146)/(1-BW146))</f>
        <v>0.13470840884771776</v>
      </c>
      <c r="BY146" s="30">
        <f>((1-(BX146^2)^2)/(BH146-1))</f>
        <v>1.6716901501424388E-3</v>
      </c>
      <c r="BZ146" s="30">
        <f>1/(BH146-3)</f>
        <v>1.6778523489932886E-3</v>
      </c>
      <c r="CA146" s="92" t="s">
        <v>73</v>
      </c>
      <c r="CB146">
        <f>BH146-2</f>
        <v>597</v>
      </c>
      <c r="CC146" s="92" t="s">
        <v>73</v>
      </c>
      <c r="CD146" s="30">
        <f>((AZ146^2)/(AZ146^2+BI146))^(1/2)</f>
        <v>0.13389945792371422</v>
      </c>
      <c r="CE146" s="30">
        <f>0.5*LN((1+CD146)/(1-CD146))</f>
        <v>0.13470840884771776</v>
      </c>
      <c r="CF146" s="30">
        <f>((1-(CE146^2)^2)/(BI146-1))</f>
        <v>1.6716901501424388E-3</v>
      </c>
      <c r="CG146" s="30">
        <f>1/(BI146-3)</f>
        <v>1.6778523489932886E-3</v>
      </c>
    </row>
    <row r="147" spans="1:86" s="32" customFormat="1">
      <c r="A147" s="11" t="s">
        <v>68</v>
      </c>
      <c r="B147" s="11">
        <v>12</v>
      </c>
      <c r="C147" s="99">
        <v>1152</v>
      </c>
      <c r="D147" s="100">
        <v>133</v>
      </c>
      <c r="E147" t="s">
        <v>363</v>
      </c>
      <c r="F147" s="99">
        <v>2019</v>
      </c>
      <c r="G147" t="s">
        <v>364</v>
      </c>
      <c r="H147" t="s">
        <v>365</v>
      </c>
      <c r="I147" s="100">
        <v>2</v>
      </c>
      <c r="J147">
        <v>2016</v>
      </c>
      <c r="K147" s="99" t="s">
        <v>73</v>
      </c>
      <c r="L147" s="100">
        <v>31</v>
      </c>
      <c r="M147" s="208" t="s">
        <v>366</v>
      </c>
      <c r="N147" t="s">
        <v>227</v>
      </c>
      <c r="O147" t="s">
        <v>138</v>
      </c>
      <c r="P147" t="s">
        <v>294</v>
      </c>
      <c r="Q147" t="s">
        <v>308</v>
      </c>
      <c r="R147" t="s">
        <v>337</v>
      </c>
      <c r="S147">
        <v>1</v>
      </c>
      <c r="T147" s="32" t="s">
        <v>342</v>
      </c>
      <c r="U147">
        <v>1</v>
      </c>
      <c r="V147" s="99" t="s">
        <v>232</v>
      </c>
      <c r="W147" s="99" t="s">
        <v>232</v>
      </c>
      <c r="X147" s="99" t="s">
        <v>73</v>
      </c>
      <c r="Y147" s="100">
        <v>1</v>
      </c>
      <c r="Z147" s="100">
        <v>1</v>
      </c>
      <c r="AA147" s="100">
        <v>0</v>
      </c>
      <c r="AB147" s="100">
        <v>0</v>
      </c>
      <c r="AC147" s="100">
        <v>0</v>
      </c>
      <c r="AD147" s="100">
        <v>0</v>
      </c>
      <c r="AE147" s="100">
        <v>0</v>
      </c>
      <c r="AF147" s="100">
        <v>0</v>
      </c>
      <c r="AG147" s="100" t="s">
        <v>371</v>
      </c>
      <c r="AH147" s="100">
        <v>0</v>
      </c>
      <c r="AI147" s="100">
        <v>0</v>
      </c>
      <c r="AJ147" s="100">
        <v>0</v>
      </c>
      <c r="AK147" s="100">
        <v>0</v>
      </c>
      <c r="AL147" s="100">
        <v>1</v>
      </c>
      <c r="AM147" s="100">
        <v>0</v>
      </c>
      <c r="AN147" s="100">
        <v>0</v>
      </c>
      <c r="AO147" s="100">
        <v>0</v>
      </c>
      <c r="AP147" s="100">
        <v>0</v>
      </c>
      <c r="AQ147" t="s">
        <v>73</v>
      </c>
      <c r="AR147" t="s">
        <v>234</v>
      </c>
      <c r="AS147" t="s">
        <v>368</v>
      </c>
      <c r="AT147" t="s">
        <v>332</v>
      </c>
      <c r="AU147" s="193">
        <v>3.63</v>
      </c>
      <c r="AV147" s="7" t="s">
        <v>80</v>
      </c>
      <c r="AW147" t="s">
        <v>73</v>
      </c>
      <c r="AX147">
        <v>1E-3</v>
      </c>
      <c r="AY147">
        <v>1</v>
      </c>
      <c r="AZ147" s="19">
        <f>TINV(AX147,CB147)</f>
        <v>3.3068980114241935</v>
      </c>
      <c r="BA147" s="105">
        <f>EXP(AU147)/(1+EXP(AU147))</f>
        <v>0.97416876147533593</v>
      </c>
      <c r="BB147" s="102" t="s">
        <v>73</v>
      </c>
      <c r="BC147" s="102" t="s">
        <v>73</v>
      </c>
      <c r="BD147" s="102" t="s">
        <v>73</v>
      </c>
      <c r="BE147" s="102" t="s">
        <v>73</v>
      </c>
      <c r="BF147" s="102" t="s">
        <v>73</v>
      </c>
      <c r="BG147" s="102" t="s">
        <v>73</v>
      </c>
      <c r="BH147" s="100">
        <v>599</v>
      </c>
      <c r="BI147" s="100">
        <v>599</v>
      </c>
      <c r="BJ147" s="100" t="s">
        <v>73</v>
      </c>
      <c r="BK147" s="100" t="s">
        <v>73</v>
      </c>
      <c r="BL147" s="100" t="s">
        <v>73</v>
      </c>
      <c r="BM147" s="100" t="s">
        <v>73</v>
      </c>
      <c r="BN147" s="100" t="s">
        <v>73</v>
      </c>
      <c r="BO147" s="100" t="s">
        <v>73</v>
      </c>
      <c r="BP147" s="100" t="s">
        <v>73</v>
      </c>
      <c r="BQ147" s="100" t="s">
        <v>73</v>
      </c>
      <c r="BR147" s="100" t="s">
        <v>73</v>
      </c>
      <c r="BS147" s="100" t="s">
        <v>73</v>
      </c>
      <c r="BT147" s="100">
        <v>0</v>
      </c>
      <c r="BU147" s="100">
        <v>0</v>
      </c>
      <c r="BV147" s="100">
        <v>1</v>
      </c>
      <c r="BW147" s="30">
        <f>((AZ147^2)/(AZ147^2+BH147))^(1/2)</f>
        <v>0.13389945792371422</v>
      </c>
      <c r="BX147" s="30">
        <f>0.5*LN((1+BW147)/(1-BW147))</f>
        <v>0.13470840884771776</v>
      </c>
      <c r="BY147" s="30">
        <f>((1-(BX147^2)^2)/(BH147-1))</f>
        <v>1.6716901501424388E-3</v>
      </c>
      <c r="BZ147" s="30">
        <f>1/(BH147-3)</f>
        <v>1.6778523489932886E-3</v>
      </c>
      <c r="CA147" s="92" t="s">
        <v>73</v>
      </c>
      <c r="CB147">
        <f>BH147-2</f>
        <v>597</v>
      </c>
      <c r="CC147" s="92" t="s">
        <v>73</v>
      </c>
      <c r="CD147" s="30">
        <f>((AZ147^2)/(AZ147^2+BI147))^(1/2)</f>
        <v>0.13389945792371422</v>
      </c>
      <c r="CE147" s="30">
        <f>0.5*LN((1+CD147)/(1-CD147))</f>
        <v>0.13470840884771776</v>
      </c>
      <c r="CF147" s="30">
        <f>((1-(CE147^2)^2)/(BI147-1))</f>
        <v>1.6716901501424388E-3</v>
      </c>
      <c r="CG147" s="30">
        <f>1/(BI147-3)</f>
        <v>1.6778523489932886E-3</v>
      </c>
      <c r="CH147"/>
    </row>
    <row r="148" spans="1:86" s="32" customFormat="1">
      <c r="A148" s="120" t="s">
        <v>68</v>
      </c>
      <c r="B148" s="120">
        <v>4</v>
      </c>
      <c r="C148" s="121">
        <v>1112</v>
      </c>
      <c r="D148" s="120">
        <v>121</v>
      </c>
      <c r="E148" s="120" t="s">
        <v>325</v>
      </c>
      <c r="F148" s="120">
        <v>1982</v>
      </c>
      <c r="G148" s="120" t="s">
        <v>326</v>
      </c>
      <c r="H148" s="120" t="s">
        <v>327</v>
      </c>
      <c r="I148" s="120">
        <v>2</v>
      </c>
      <c r="J148" s="120">
        <v>1982</v>
      </c>
      <c r="K148" s="120" t="s">
        <v>73</v>
      </c>
      <c r="L148" s="120">
        <v>167</v>
      </c>
      <c r="M148" s="206" t="s">
        <v>107</v>
      </c>
      <c r="N148" s="120" t="s">
        <v>227</v>
      </c>
      <c r="O148" s="120" t="s">
        <v>328</v>
      </c>
      <c r="P148" s="120" t="s">
        <v>228</v>
      </c>
      <c r="Q148" s="120" t="s">
        <v>312</v>
      </c>
      <c r="R148" s="120" t="s">
        <v>313</v>
      </c>
      <c r="S148" s="120">
        <v>0</v>
      </c>
      <c r="T148" s="120" t="s">
        <v>231</v>
      </c>
      <c r="U148" s="120">
        <v>0</v>
      </c>
      <c r="V148" s="120" t="s">
        <v>232</v>
      </c>
      <c r="W148" s="120" t="s">
        <v>232</v>
      </c>
      <c r="X148" s="120" t="s">
        <v>329</v>
      </c>
      <c r="Y148" s="120">
        <v>0</v>
      </c>
      <c r="Z148" s="120">
        <v>1</v>
      </c>
      <c r="AA148" s="120">
        <v>1</v>
      </c>
      <c r="AB148" s="120">
        <v>0</v>
      </c>
      <c r="AC148" s="120">
        <v>0</v>
      </c>
      <c r="AD148" s="120">
        <v>0</v>
      </c>
      <c r="AE148" s="120">
        <v>0</v>
      </c>
      <c r="AF148" s="120">
        <v>0</v>
      </c>
      <c r="AG148" s="120" t="s">
        <v>330</v>
      </c>
      <c r="AH148" s="120">
        <v>0</v>
      </c>
      <c r="AI148" s="120">
        <v>0</v>
      </c>
      <c r="AJ148" s="120">
        <v>0</v>
      </c>
      <c r="AK148" s="120">
        <v>1</v>
      </c>
      <c r="AL148" s="120">
        <v>0</v>
      </c>
      <c r="AM148" s="120">
        <v>0</v>
      </c>
      <c r="AN148" s="120">
        <v>0</v>
      </c>
      <c r="AO148" s="120">
        <v>0</v>
      </c>
      <c r="AP148" s="120">
        <v>0</v>
      </c>
      <c r="AQ148" s="120" t="s">
        <v>331</v>
      </c>
      <c r="AR148" s="120" t="s">
        <v>234</v>
      </c>
      <c r="AS148" s="120" t="s">
        <v>73</v>
      </c>
      <c r="AT148" s="120" t="s">
        <v>332</v>
      </c>
      <c r="AU148" s="194" t="s">
        <v>73</v>
      </c>
      <c r="AV148" s="122" t="s">
        <v>80</v>
      </c>
      <c r="AW148" s="120">
        <f>AZ148/ABS(_xlfn.T.INV.2T(AX148,CB148))</f>
        <v>2.287361707025994</v>
      </c>
      <c r="AX148" s="120">
        <v>0.05</v>
      </c>
      <c r="AY148" s="120">
        <v>2</v>
      </c>
      <c r="AZ148" s="120">
        <v>4.53</v>
      </c>
      <c r="BA148" s="123">
        <f>BJ148/BB148</f>
        <v>0.85185185185185175</v>
      </c>
      <c r="BB148" s="120">
        <v>0.27</v>
      </c>
      <c r="BC148" s="120">
        <v>26</v>
      </c>
      <c r="BD148" s="120" t="s">
        <v>73</v>
      </c>
      <c r="BE148" s="120">
        <v>0.5</v>
      </c>
      <c r="BF148" s="120">
        <v>16</v>
      </c>
      <c r="BG148" s="120" t="s">
        <v>73</v>
      </c>
      <c r="BH148" s="120">
        <v>119</v>
      </c>
      <c r="BI148" s="120">
        <v>1116</v>
      </c>
      <c r="BJ148" s="120">
        <f>BE148-BB148</f>
        <v>0.22999999999999998</v>
      </c>
      <c r="BK148" s="120" t="s">
        <v>73</v>
      </c>
      <c r="BL148" s="120" t="s">
        <v>73</v>
      </c>
      <c r="BM148" s="120" t="s">
        <v>73</v>
      </c>
      <c r="BN148" s="120" t="s">
        <v>73</v>
      </c>
      <c r="BO148" s="120">
        <v>1</v>
      </c>
      <c r="BP148" s="120">
        <v>43</v>
      </c>
      <c r="BQ148" s="120">
        <v>1</v>
      </c>
      <c r="BR148" s="120">
        <v>123</v>
      </c>
      <c r="BS148" s="120" t="s">
        <v>333</v>
      </c>
      <c r="BT148" s="120">
        <v>0</v>
      </c>
      <c r="BU148" s="120">
        <v>0</v>
      </c>
      <c r="BV148" s="120">
        <v>0</v>
      </c>
      <c r="BW148" s="124">
        <f>CA148/((CA148^2+4)^(1/2))</f>
        <v>0.58413964079077341</v>
      </c>
      <c r="BX148" s="113">
        <f>0.5*LN((1+BW148)/(1-BW148))</f>
        <v>0.66872359831083061</v>
      </c>
      <c r="BY148" s="113">
        <f>((1-(BX148^2)^2)/(BH148-1))</f>
        <v>6.7798303820737196E-3</v>
      </c>
      <c r="BZ148" s="96">
        <f>1/(BH148-3)</f>
        <v>8.6206896551724137E-3</v>
      </c>
      <c r="CA148" s="107">
        <f xml:space="preserve"> AZ148*(((BC148+BF148)/(BC148*BF148))^(1/2))</f>
        <v>1.4393823795695795</v>
      </c>
      <c r="CB148" s="32">
        <f>BH148-2</f>
        <v>117</v>
      </c>
      <c r="CC148" s="92" t="s">
        <v>73</v>
      </c>
      <c r="CD148" s="30">
        <f>((AZ148^2)/(AZ148^2+BI148))^(1/2)</f>
        <v>0.13437221888778589</v>
      </c>
      <c r="CE148" s="113">
        <f>0.5*LN((1+CD148)/(1-CD148))</f>
        <v>0.13518983178664185</v>
      </c>
      <c r="CF148" s="30">
        <f>((1-(CE148^2)^2)/(BI148-1))</f>
        <v>8.9656141453024936E-4</v>
      </c>
      <c r="CG148" s="30">
        <f>1/(BI148-3)</f>
        <v>8.9847259658580418E-4</v>
      </c>
      <c r="CH148"/>
    </row>
  </sheetData>
  <autoFilter ref="AR1:AR148"/>
  <sortState ref="A2:CI148">
    <sortCondition ref="AT1"/>
  </sortState>
  <dataConsolidate/>
  <phoneticPr fontId="27" type="noConversion"/>
  <conditionalFormatting sqref="AU1:AU1048576">
    <cfRule type="cellIs" dxfId="0" priority="1" operator="between">
      <formula>1</formula>
      <formula>5</formula>
    </cfRule>
  </conditionalFormatting>
  <dataValidations xWindow="603" yWindow="1085" count="7">
    <dataValidation type="whole" allowBlank="1" showInputMessage="1" showErrorMessage="1" sqref="BQ21:BQ29 BO21:BO29 U1:U122 S1:S122 AH149:AP1048576 U149:U1048576 S149:S1048576 U132:U136 S132:S136 AJ2:AJ136 AK1:AP136 AH1:AI136">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49:I1048576 I1:I136">
      <formula1>0</formula1>
      <formula2>2</formula2>
    </dataValidation>
    <dataValidation allowBlank="1" showInputMessage="1" showErrorMessage="1" errorTitle="int" error="Choose 1 or 0" promptTitle="Intervention" prompt="Yes - 1_x000a_No - 0" sqref="X30 AD1:AF1 AF61 AD66:AE86 AD91:AE117 AF66:AF117 AD2:AE61 AD149:AG1048576 AD118:AF136 AG1:AG136"/>
    <dataValidation type="whole" allowBlank="1" showInputMessage="1" showErrorMessage="1" errorTitle="int" error="Choose 1 or 0" promptTitle="Intervention" prompt="Yes - 1_x000a_No - 0" sqref="Y1:AC1 Z62:AF65 Z66:AC86 Z87:AE90 AF2:AF60 Z2:AC61 Y149:AC1048576 Z91:AC136 Y2:Y136">
      <formula1>0</formula1>
      <formula2>1</formula2>
    </dataValidation>
    <dataValidation errorStyle="warning" allowBlank="1" showInputMessage="1" showErrorMessage="1" sqref="BM30:BM35 BM61 BM66 BM80:BM86 BM115:BM117 BM122 BM132 BM1:BM16 BM149:BM1048576"/>
    <dataValidation type="whole" allowBlank="1" showInputMessage="1" showErrorMessage="1" prompt="1- lower bound_x000a_2 - upper bound_x000a_3- actual" sqref="AY38">
      <formula1>0</formula1>
      <formula2>3</formula2>
    </dataValidation>
    <dataValidation type="whole" allowBlank="1" showInputMessage="1" showErrorMessage="1" sqref="AY36:AY37">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2">
        <x14:dataValidation type="list" allowBlank="1" showInputMessage="1" showErrorMessage="1">
          <x14:formula1>
            <xm:f>'Lists for variables'!$B$2:$B$4</xm:f>
          </x14:formula1>
          <xm:sqref>U1:U117 U149:U1048576 U133:U136</xm:sqref>
        </x14:dataValidation>
        <x14:dataValidation type="list" allowBlank="1" showInputMessage="1" showErrorMessage="1">
          <x14:formula1>
            <xm:f>'Lists for variables'!$A$2:$A$4</xm:f>
          </x14:formula1>
          <xm:sqref>BT2:BV117 BT149:BV1048576 BU133:BV136 BT133:BT135</xm:sqref>
        </x14:dataValidation>
        <x14:dataValidation type="list" allowBlank="1" showInputMessage="1" showErrorMessage="1">
          <x14:formula1>
            <xm:f>'Lists for variables'!$C$2:$C$4</xm:f>
          </x14:formula1>
          <xm:sqref>BN30:BN35 BN61 BN66 BN80:BN86 BN115:BN117 BN1:BN16 BN149:BN1048576</xm:sqref>
        </x14:dataValidation>
        <x14:dataValidation type="list" allowBlank="1" showInputMessage="1" showErrorMessage="1">
          <x14:formula1>
            <xm:f>'Lists for variables'!$I$2:$I$3</xm:f>
          </x14:formula1>
          <xm:sqref>AV1 AV3:AV7 AV53:AV117 AV136 AV149:AV1048576</xm:sqref>
        </x14:dataValidation>
        <x14:dataValidation type="list" allowBlank="1" showInputMessage="1" showErrorMessage="1">
          <x14:formula1>
            <xm:f>'Lists for variables'!$L$2:$L$9</xm:f>
          </x14:formula1>
          <xm:sqref>S1:S117 U1:U117 U149:U1048576 S149:S1048576 U133:U136 S133:S136</xm:sqref>
        </x14:dataValidation>
        <x14:dataValidation type="list" allowBlank="1" showInputMessage="1" showErrorMessage="1">
          <x14:formula1>
            <xm:f>'Lists for variables'!$K$2:$K$3</xm:f>
          </x14:formula1>
          <xm:sqref>V136:W136 S1:S117 U1:W117 U149:W1048576 S149:S1048576 S133:S136 U133:U136</xm:sqref>
        </x14:dataValidation>
        <x14:dataValidation type="list" allowBlank="1" showInputMessage="1" showErrorMessage="1">
          <x14:formula1>
            <xm:f>'Lists for variables'!$N$2:$N$7</xm:f>
          </x14:formula1>
          <xm:sqref>V136:W136 S1:S117 U1:W117 U149:W1048576 S149:S1048576 S133:S136 U133:U136</xm:sqref>
        </x14:dataValidation>
        <x14:dataValidation type="list" allowBlank="1" showInputMessage="1" showErrorMessage="1">
          <x14:formula1>
            <xm:f>'https://d.docs.live.net/Users/dianadanilenko/Library/Containers/com.microsoft.Excel/Data/Documents/Users/dianadanilenko/Library/Containers/com.microsoft.Excel/Data/Documents/C:/Users/dianadanilenko/Downloads/[Coding_Appliances_v7.xlsx]Lists for variables'!#REF!</xm:f>
          </x14:formula1>
          <xm:sqref>AY30:AY35</xm:sqref>
        </x14:dataValidation>
        <x14:dataValidation type="list" allowBlank="1" showInputMessage="1" showErrorMessage="1">
          <x14:formula1>
            <xm:f>'Lists for variables'!$J$2:$J$12</xm:f>
          </x14:formula1>
          <xm:sqref>K149:K1048576 K1:K136</xm:sqref>
        </x14:dataValidation>
        <x14:dataValidation type="list" allowBlank="1" showInputMessage="1" showErrorMessage="1">
          <x14:formula1>
            <xm:f>'Lists for variables'!$O:$O</xm:f>
          </x14:formula1>
          <xm:sqref>BS1 BS30:BS40 BS94:BS117 BS85:BS86 BS80 BS73:BS77 BS61 BS47:BS52 BS149:BS1048576 BS133:BS135</xm:sqref>
        </x14:dataValidation>
        <x14:dataValidation type="list" allowBlank="1" showInputMessage="1" showErrorMessage="1">
          <x14:formula1>
            <xm:f>'Lists for variables'!$S:$S</xm:f>
          </x14:formula1>
          <xm:sqref>G17:G117 G1:G7 G149:G1048576 G133:G136</xm:sqref>
        </x14:dataValidation>
        <x14:dataValidation type="list" allowBlank="1" showInputMessage="1" showErrorMessage="1">
          <x14:formula1>
            <xm:f>'Lists for variables'!$G:$G</xm:f>
          </x14:formula1>
          <xm:sqref>AR39:AR117 AR1:AR37 AR149:AR1048576 AR133:AR136</xm:sqref>
        </x14:dataValidation>
        <x14:dataValidation type="list" allowBlank="1" showInputMessage="1" showErrorMessage="1">
          <x14:formula1>
            <xm:f>'Lists for variables'!$F:$F</xm:f>
          </x14:formula1>
          <xm:sqref>M149:M1048576</xm:sqref>
        </x14:dataValidation>
        <x14:dataValidation type="list" allowBlank="1" showInputMessage="1" showErrorMessage="1">
          <x14:formula1>
            <xm:f>'Lists for variables'!$P:$P</xm:f>
          </x14:formula1>
          <xm:sqref>AT133:AT136 AT1:AT34 AT149:AT1048576 AT36:AT117</xm:sqref>
        </x14:dataValidation>
        <x14:dataValidation type="list" allowBlank="1" showInputMessage="1" showErrorMessage="1">
          <x14:formula1>
            <xm:f>'Lists for variables'!$D:$D</xm:f>
          </x14:formula1>
          <xm:sqref>V136:W136 U1:W117 S1:S117 N133:N136 N149:N1048576 S149:S1048576 U149:W1048576 U133:U136 S133:S136 N1:N117</xm:sqref>
        </x14:dataValidation>
        <x14:dataValidation type="list" allowBlank="1" showInputMessage="1" showErrorMessage="1">
          <x14:formula1>
            <xm:f>'Lists for variables'!$N:$N</xm:f>
          </x14:formula1>
          <xm:sqref>O133:O136 O149:O1048576 O1:O117</xm:sqref>
        </x14:dataValidation>
        <x14:dataValidation type="list" allowBlank="1" showInputMessage="1" showErrorMessage="1">
          <x14:formula1>
            <xm:f>'Lists for variables'!$B:$B</xm:f>
          </x14:formula1>
          <xm:sqref>T117 T61:T66 T73 T80:T95 T111 T133:T136 T149:T1048576 T1:T52</xm:sqref>
        </x14:dataValidation>
        <x14:dataValidation type="list" allowBlank="1" showInputMessage="1" showErrorMessage="1">
          <x14:formula1>
            <xm:f>'Lists for variables'!$R:$R</xm:f>
          </x14:formula1>
          <xm:sqref>E136 E1:E117 E149:E1048576</xm:sqref>
        </x14:dataValidation>
        <x14:dataValidation type="list" allowBlank="1" showInputMessage="1" showErrorMessage="1">
          <x14:formula1>
            <xm:f>'Lists for variables'!$H:$H</xm:f>
          </x14:formula1>
          <xm:sqref>S1:S117 U1:U117 S149:S1048576 U149:U1048576 S133:S136 U133:U136</xm:sqref>
        </x14:dataValidation>
        <x14:dataValidation type="list" allowBlank="1" showInputMessage="1" showErrorMessage="1">
          <x14:formula1>
            <xm:f>'Lists for variables'!$M:$M</xm:f>
          </x14:formula1>
          <xm:sqref>U1:U117 S133:S136 S1:S117 U149:U1048576 S149:S1048576 P149:P1048576 P133:P136 U133:U136 P1:P117</xm:sqref>
        </x14:dataValidation>
        <x14:dataValidation type="list" allowBlank="1" showInputMessage="1" showErrorMessage="1">
          <x14:formula1>
            <xm:f>'Lists for variables'!$L$2:$L$10</xm:f>
          </x14:formula1>
          <xm:sqref>R80:R84 R87:R110 R47:R77 R1:R44 R117:R135 R137:R1048576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zoomScale="120" zoomScaleNormal="120" workbookViewId="0">
      <selection activeCell="A7" sqref="A7"/>
    </sheetView>
  </sheetViews>
  <sheetFormatPr baseColWidth="10" defaultColWidth="11" defaultRowHeight="15.75"/>
  <cols>
    <col min="1" max="1" width="28.5" bestFit="1" customWidth="1"/>
    <col min="2" max="2" width="41" bestFit="1" customWidth="1"/>
    <col min="3" max="3" width="29.875" bestFit="1" customWidth="1"/>
    <col min="4" max="4" width="20.5" bestFit="1" customWidth="1"/>
    <col min="5" max="5" width="18.125" bestFit="1" customWidth="1"/>
    <col min="6" max="6" width="20.625" bestFit="1" customWidth="1"/>
    <col min="7" max="7" width="18.375" bestFit="1" customWidth="1"/>
    <col min="8" max="8" width="15.875" bestFit="1" customWidth="1"/>
    <col min="9" max="9" width="22.5" bestFit="1" customWidth="1"/>
    <col min="10" max="10" width="23" bestFit="1" customWidth="1"/>
    <col min="11" max="11" width="25.875" bestFit="1" customWidth="1"/>
    <col min="12" max="12" width="19.5" bestFit="1" customWidth="1"/>
    <col min="13" max="13" width="14.625" bestFit="1" customWidth="1"/>
    <col min="14" max="14" width="30" bestFit="1" customWidth="1"/>
    <col min="15" max="15" width="26.625" bestFit="1" customWidth="1"/>
    <col min="16" max="16" width="22.375" bestFit="1" customWidth="1"/>
    <col min="17" max="17" width="22.125" bestFit="1" customWidth="1"/>
    <col min="18" max="18" width="13.625" bestFit="1" customWidth="1"/>
    <col min="19" max="19" width="28.125" bestFit="1" customWidth="1"/>
    <col min="20" max="20" width="23.125" bestFit="1" customWidth="1"/>
    <col min="21" max="21" width="21.625" bestFit="1" customWidth="1"/>
    <col min="22" max="22" width="15" bestFit="1" customWidth="1"/>
    <col min="23" max="23" width="17.375" bestFit="1" customWidth="1"/>
    <col min="24" max="24" width="11.5" bestFit="1" customWidth="1"/>
    <col min="25" max="25" width="12.875" bestFit="1" customWidth="1"/>
    <col min="26" max="26" width="15.875" bestFit="1" customWidth="1"/>
    <col min="27" max="27" width="13.625" bestFit="1" customWidth="1"/>
    <col min="28" max="28" width="11" bestFit="1" customWidth="1"/>
    <col min="29" max="29" width="23.875" bestFit="1" customWidth="1"/>
    <col min="30" max="30" width="18.875" bestFit="1" customWidth="1"/>
    <col min="31" max="31" width="22.625" bestFit="1" customWidth="1"/>
    <col min="32" max="32" width="15.875" bestFit="1" customWidth="1"/>
    <col min="33" max="33" width="17.125" bestFit="1" customWidth="1"/>
    <col min="34" max="34" width="17" bestFit="1" customWidth="1"/>
    <col min="35" max="35" width="13.625" bestFit="1" customWidth="1"/>
    <col min="36" max="36" width="18.875" bestFit="1" customWidth="1"/>
    <col min="37" max="37" width="9.375" bestFit="1" customWidth="1"/>
    <col min="38" max="38" width="9.125" bestFit="1" customWidth="1"/>
    <col min="39" max="39" width="36.375" bestFit="1" customWidth="1"/>
    <col min="40" max="40" width="29" bestFit="1" customWidth="1"/>
    <col min="41" max="41" width="17.875" bestFit="1" customWidth="1"/>
    <col min="42" max="42" width="21.875" bestFit="1" customWidth="1"/>
    <col min="43" max="43" width="20.125" bestFit="1" customWidth="1"/>
    <col min="44" max="44" width="15" bestFit="1" customWidth="1"/>
    <col min="45" max="45" width="24.5" bestFit="1" customWidth="1"/>
    <col min="46" max="46" width="13.375" bestFit="1" customWidth="1"/>
    <col min="47" max="47" width="21.875" bestFit="1" customWidth="1"/>
    <col min="48" max="48" width="36.5" bestFit="1" customWidth="1"/>
    <col min="49" max="49" width="23.875" bestFit="1" customWidth="1"/>
    <col min="50" max="50" width="17.125" bestFit="1" customWidth="1"/>
    <col min="51" max="51" width="29.625" bestFit="1" customWidth="1"/>
    <col min="52" max="52" width="33" bestFit="1" customWidth="1"/>
    <col min="53" max="53" width="35.5" bestFit="1" customWidth="1"/>
    <col min="54" max="54" width="21.875" bestFit="1" customWidth="1"/>
    <col min="55" max="55" width="24.375" bestFit="1" customWidth="1"/>
    <col min="56" max="56" width="17.875" bestFit="1" customWidth="1"/>
    <col min="57" max="57" width="25.875" bestFit="1" customWidth="1"/>
    <col min="58" max="58" width="35" bestFit="1" customWidth="1"/>
    <col min="59" max="59" width="26.375" bestFit="1" customWidth="1"/>
    <col min="60" max="60" width="12.375" bestFit="1" customWidth="1"/>
    <col min="61" max="61" width="20.5" bestFit="1" customWidth="1"/>
    <col min="62" max="62" width="15.625" bestFit="1" customWidth="1"/>
    <col min="63" max="64" width="18.5" bestFit="1" customWidth="1"/>
  </cols>
  <sheetData>
    <row r="1" spans="1:62">
      <c r="A1" s="173" t="s">
        <v>7</v>
      </c>
      <c r="B1" t="s">
        <v>73</v>
      </c>
    </row>
    <row r="2" spans="1:62">
      <c r="A2" s="173" t="s">
        <v>199</v>
      </c>
      <c r="B2" t="s">
        <v>234</v>
      </c>
    </row>
    <row r="4" spans="1:62">
      <c r="A4" s="173" t="s">
        <v>463</v>
      </c>
      <c r="B4" t="s">
        <v>464</v>
      </c>
      <c r="C4" t="s">
        <v>465</v>
      </c>
      <c r="D4" t="s">
        <v>466</v>
      </c>
      <c r="E4" t="s">
        <v>467</v>
      </c>
      <c r="F4" t="s">
        <v>468</v>
      </c>
      <c r="G4" t="s">
        <v>469</v>
      </c>
      <c r="H4" t="s">
        <v>470</v>
      </c>
      <c r="I4" t="s">
        <v>471</v>
      </c>
      <c r="J4" t="s">
        <v>472</v>
      </c>
      <c r="K4" t="s">
        <v>473</v>
      </c>
      <c r="L4" t="s">
        <v>474</v>
      </c>
      <c r="M4" t="s">
        <v>475</v>
      </c>
      <c r="N4" t="s">
        <v>476</v>
      </c>
      <c r="O4" t="s">
        <v>477</v>
      </c>
      <c r="P4" t="s">
        <v>478</v>
      </c>
      <c r="Q4" t="s">
        <v>479</v>
      </c>
      <c r="R4" t="s">
        <v>480</v>
      </c>
      <c r="S4" t="s">
        <v>481</v>
      </c>
      <c r="T4" t="s">
        <v>482</v>
      </c>
      <c r="U4" t="s">
        <v>483</v>
      </c>
      <c r="V4" t="s">
        <v>484</v>
      </c>
      <c r="W4" t="s">
        <v>485</v>
      </c>
      <c r="X4" t="s">
        <v>486</v>
      </c>
      <c r="Y4" t="s">
        <v>487</v>
      </c>
      <c r="Z4" t="s">
        <v>488</v>
      </c>
      <c r="AA4" t="s">
        <v>489</v>
      </c>
      <c r="AB4" t="s">
        <v>490</v>
      </c>
      <c r="AC4" t="s">
        <v>491</v>
      </c>
      <c r="AD4" t="s">
        <v>492</v>
      </c>
      <c r="AE4" t="s">
        <v>493</v>
      </c>
      <c r="AF4" t="s">
        <v>494</v>
      </c>
      <c r="AG4" t="s">
        <v>495</v>
      </c>
      <c r="AH4" t="s">
        <v>496</v>
      </c>
      <c r="AI4" t="s">
        <v>497</v>
      </c>
      <c r="AJ4" t="s">
        <v>498</v>
      </c>
      <c r="AK4" t="s">
        <v>499</v>
      </c>
      <c r="AL4" t="s">
        <v>500</v>
      </c>
      <c r="AM4" t="s">
        <v>501</v>
      </c>
      <c r="AN4" t="s">
        <v>502</v>
      </c>
      <c r="AO4" t="s">
        <v>503</v>
      </c>
      <c r="AP4" t="s">
        <v>504</v>
      </c>
      <c r="AQ4" t="s">
        <v>505</v>
      </c>
      <c r="AR4" t="s">
        <v>506</v>
      </c>
      <c r="AS4" t="s">
        <v>507</v>
      </c>
      <c r="AT4" t="s">
        <v>508</v>
      </c>
      <c r="AU4" t="s">
        <v>509</v>
      </c>
      <c r="AV4" t="s">
        <v>510</v>
      </c>
      <c r="AW4" t="s">
        <v>511</v>
      </c>
      <c r="AX4" t="s">
        <v>512</v>
      </c>
      <c r="AY4" t="s">
        <v>513</v>
      </c>
      <c r="AZ4" t="s">
        <v>514</v>
      </c>
      <c r="BA4" t="s">
        <v>515</v>
      </c>
      <c r="BB4" t="s">
        <v>516</v>
      </c>
      <c r="BC4" t="s">
        <v>517</v>
      </c>
      <c r="BD4" t="s">
        <v>518</v>
      </c>
      <c r="BE4" t="s">
        <v>519</v>
      </c>
      <c r="BF4" t="s">
        <v>520</v>
      </c>
      <c r="BG4" t="s">
        <v>521</v>
      </c>
      <c r="BH4" t="s">
        <v>522</v>
      </c>
      <c r="BI4" t="s">
        <v>523</v>
      </c>
      <c r="BJ4" t="s">
        <v>524</v>
      </c>
    </row>
    <row r="5" spans="1:62">
      <c r="A5" s="174" t="s">
        <v>366</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7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74" t="s">
        <v>226</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7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7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74" t="s">
        <v>261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74" t="s">
        <v>274</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74" t="s">
        <v>381</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74" t="s">
        <v>270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74" t="s">
        <v>241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74" t="s">
        <v>422</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74" t="s">
        <v>525</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7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74" t="s">
        <v>526</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E1" zoomScale="115" zoomScaleNormal="70" workbookViewId="0">
      <pane ySplit="1" topLeftCell="A2" activePane="bottomLeft" state="frozen"/>
      <selection pane="bottomLeft" activeCell="N33" sqref="N33"/>
    </sheetView>
  </sheetViews>
  <sheetFormatPr baseColWidth="10" defaultColWidth="11" defaultRowHeight="15.75"/>
  <cols>
    <col min="3" max="3" width="15.5" customWidth="1"/>
    <col min="5" max="5" width="19.625" customWidth="1"/>
    <col min="6" max="6" width="22" customWidth="1"/>
    <col min="7" max="7" width="18.125" style="26" customWidth="1"/>
    <col min="8" max="8" width="20.5" customWidth="1"/>
    <col min="9" max="9" width="14.125" customWidth="1"/>
    <col min="10" max="10" width="15.125" customWidth="1"/>
  </cols>
  <sheetData>
    <row r="1" spans="1:19">
      <c r="A1" t="s">
        <v>527</v>
      </c>
      <c r="B1" t="s">
        <v>189</v>
      </c>
      <c r="C1" s="1" t="s">
        <v>528</v>
      </c>
      <c r="D1" t="s">
        <v>10</v>
      </c>
      <c r="E1" s="1" t="s">
        <v>40</v>
      </c>
      <c r="F1" s="2" t="s">
        <v>9</v>
      </c>
      <c r="G1" s="37" t="s">
        <v>529</v>
      </c>
      <c r="H1" s="38" t="s">
        <v>186</v>
      </c>
      <c r="I1" s="39" t="s">
        <v>28</v>
      </c>
      <c r="J1" s="39" t="s">
        <v>7</v>
      </c>
      <c r="K1" s="39" t="s">
        <v>530</v>
      </c>
      <c r="L1" s="39" t="s">
        <v>187</v>
      </c>
      <c r="M1" s="39" t="s">
        <v>185</v>
      </c>
      <c r="N1" s="39" t="s">
        <v>50</v>
      </c>
      <c r="O1" s="39" t="s">
        <v>211</v>
      </c>
      <c r="P1" s="42" t="s">
        <v>201</v>
      </c>
      <c r="R1" s="39" t="s">
        <v>183</v>
      </c>
      <c r="S1" s="39" t="s">
        <v>4</v>
      </c>
    </row>
    <row r="2" spans="1:19" ht="31.5">
      <c r="A2">
        <v>0</v>
      </c>
      <c r="B2" t="s">
        <v>189</v>
      </c>
      <c r="C2" t="s">
        <v>237</v>
      </c>
      <c r="D2" t="s">
        <v>112</v>
      </c>
      <c r="E2">
        <v>1</v>
      </c>
      <c r="F2" t="s">
        <v>93</v>
      </c>
      <c r="G2" s="26" t="s">
        <v>531</v>
      </c>
      <c r="H2" t="s">
        <v>312</v>
      </c>
      <c r="I2" t="s">
        <v>80</v>
      </c>
      <c r="J2" t="s">
        <v>532</v>
      </c>
      <c r="K2" t="s">
        <v>232</v>
      </c>
      <c r="L2" t="s">
        <v>533</v>
      </c>
      <c r="M2" t="s">
        <v>228</v>
      </c>
      <c r="N2" t="s">
        <v>81</v>
      </c>
      <c r="O2" t="s">
        <v>345</v>
      </c>
      <c r="P2" s="41" t="s">
        <v>236</v>
      </c>
      <c r="R2" s="47" t="s">
        <v>534</v>
      </c>
      <c r="S2" s="47" t="s">
        <v>535</v>
      </c>
    </row>
    <row r="3" spans="1:19" ht="31.5">
      <c r="A3">
        <v>1</v>
      </c>
      <c r="B3" t="s">
        <v>342</v>
      </c>
      <c r="C3" t="s">
        <v>303</v>
      </c>
      <c r="D3" t="s">
        <v>227</v>
      </c>
      <c r="E3">
        <v>2</v>
      </c>
      <c r="F3" t="s">
        <v>422</v>
      </c>
      <c r="G3" s="26" t="s">
        <v>536</v>
      </c>
      <c r="H3" t="s">
        <v>308</v>
      </c>
      <c r="I3" t="s">
        <v>86</v>
      </c>
      <c r="J3" t="s">
        <v>537</v>
      </c>
      <c r="K3" t="s">
        <v>246</v>
      </c>
      <c r="L3" t="s">
        <v>313</v>
      </c>
      <c r="M3" t="s">
        <v>294</v>
      </c>
      <c r="N3" t="s">
        <v>148</v>
      </c>
      <c r="O3" t="s">
        <v>316</v>
      </c>
      <c r="P3" s="41" t="s">
        <v>265</v>
      </c>
      <c r="R3" s="46" t="s">
        <v>297</v>
      </c>
      <c r="S3" s="46" t="s">
        <v>538</v>
      </c>
    </row>
    <row r="4" spans="1:19" ht="47.25">
      <c r="A4" t="s">
        <v>73</v>
      </c>
      <c r="B4" t="s">
        <v>231</v>
      </c>
      <c r="C4" t="s">
        <v>73</v>
      </c>
      <c r="D4" t="s">
        <v>242</v>
      </c>
      <c r="E4">
        <v>3</v>
      </c>
      <c r="F4" t="s">
        <v>539</v>
      </c>
      <c r="G4" s="26" t="s">
        <v>234</v>
      </c>
      <c r="H4" t="s">
        <v>540</v>
      </c>
      <c r="J4" t="s">
        <v>541</v>
      </c>
      <c r="L4" t="s">
        <v>245</v>
      </c>
      <c r="M4" t="s">
        <v>243</v>
      </c>
      <c r="N4" t="s">
        <v>301</v>
      </c>
      <c r="O4" t="s">
        <v>356</v>
      </c>
      <c r="P4" s="41" t="s">
        <v>332</v>
      </c>
      <c r="R4" s="44" t="s">
        <v>542</v>
      </c>
      <c r="S4" s="44" t="s">
        <v>543</v>
      </c>
    </row>
    <row r="5" spans="1:19" ht="47.25">
      <c r="D5" t="s">
        <v>283</v>
      </c>
      <c r="F5" t="s">
        <v>120</v>
      </c>
      <c r="G5" s="40" t="s">
        <v>544</v>
      </c>
      <c r="H5" t="s">
        <v>229</v>
      </c>
      <c r="J5" s="41" t="s">
        <v>545</v>
      </c>
      <c r="L5" t="s">
        <v>546</v>
      </c>
      <c r="M5" t="s">
        <v>73</v>
      </c>
      <c r="N5" t="s">
        <v>124</v>
      </c>
      <c r="O5" s="41" t="s">
        <v>547</v>
      </c>
      <c r="P5" t="s">
        <v>73</v>
      </c>
      <c r="R5" s="46" t="s">
        <v>223</v>
      </c>
      <c r="S5" s="46" t="s">
        <v>548</v>
      </c>
    </row>
    <row r="6" spans="1:19">
      <c r="D6" s="41" t="s">
        <v>549</v>
      </c>
      <c r="F6" t="s">
        <v>550</v>
      </c>
      <c r="H6" t="s">
        <v>244</v>
      </c>
      <c r="J6" t="s">
        <v>551</v>
      </c>
      <c r="L6" t="s">
        <v>552</v>
      </c>
      <c r="N6" t="s">
        <v>275</v>
      </c>
      <c r="O6" t="s">
        <v>73</v>
      </c>
      <c r="R6" s="46" t="s">
        <v>304</v>
      </c>
      <c r="S6" s="46" t="s">
        <v>305</v>
      </c>
    </row>
    <row r="7" spans="1:19">
      <c r="D7" t="s">
        <v>395</v>
      </c>
      <c r="F7" t="s">
        <v>553</v>
      </c>
      <c r="H7" t="s">
        <v>415</v>
      </c>
      <c r="J7" s="41" t="s">
        <v>554</v>
      </c>
      <c r="L7" t="s">
        <v>255</v>
      </c>
      <c r="N7" t="s">
        <v>555</v>
      </c>
      <c r="O7" t="s">
        <v>333</v>
      </c>
      <c r="R7" s="46" t="s">
        <v>325</v>
      </c>
      <c r="S7" s="46" t="s">
        <v>326</v>
      </c>
    </row>
    <row r="8" spans="1:19">
      <c r="F8" t="s">
        <v>107</v>
      </c>
      <c r="J8" s="41" t="s">
        <v>556</v>
      </c>
      <c r="L8" t="s">
        <v>333</v>
      </c>
      <c r="N8" t="s">
        <v>341</v>
      </c>
      <c r="R8" s="46" t="s">
        <v>557</v>
      </c>
      <c r="S8" s="46" t="s">
        <v>558</v>
      </c>
    </row>
    <row r="9" spans="1:19">
      <c r="F9" t="s">
        <v>366</v>
      </c>
      <c r="J9" t="s">
        <v>333</v>
      </c>
      <c r="L9" t="s">
        <v>559</v>
      </c>
      <c r="N9" t="s">
        <v>560</v>
      </c>
      <c r="R9" s="44" t="s">
        <v>561</v>
      </c>
      <c r="S9" s="44" t="s">
        <v>562</v>
      </c>
    </row>
    <row r="10" spans="1:19">
      <c r="F10" t="s">
        <v>155</v>
      </c>
      <c r="J10" t="s">
        <v>563</v>
      </c>
      <c r="L10" t="s">
        <v>337</v>
      </c>
      <c r="N10" t="s">
        <v>321</v>
      </c>
      <c r="R10" s="44" t="s">
        <v>564</v>
      </c>
      <c r="S10" s="44" t="s">
        <v>565</v>
      </c>
    </row>
    <row r="11" spans="1:19">
      <c r="F11" t="s">
        <v>566</v>
      </c>
      <c r="J11" t="s">
        <v>567</v>
      </c>
      <c r="N11" t="s">
        <v>568</v>
      </c>
      <c r="R11" s="44" t="s">
        <v>569</v>
      </c>
      <c r="S11" s="44" t="s">
        <v>570</v>
      </c>
    </row>
    <row r="12" spans="1:19">
      <c r="F12" t="s">
        <v>571</v>
      </c>
      <c r="J12" t="s">
        <v>73</v>
      </c>
      <c r="N12" t="s">
        <v>254</v>
      </c>
      <c r="R12" s="44" t="s">
        <v>572</v>
      </c>
      <c r="S12" s="44" t="s">
        <v>573</v>
      </c>
    </row>
    <row r="13" spans="1:19">
      <c r="F13" t="s">
        <v>226</v>
      </c>
      <c r="N13" t="s">
        <v>96</v>
      </c>
      <c r="R13" s="46" t="s">
        <v>574</v>
      </c>
      <c r="S13" s="46" t="s">
        <v>575</v>
      </c>
    </row>
    <row r="14" spans="1:19">
      <c r="F14" s="41" t="s">
        <v>241</v>
      </c>
      <c r="N14" t="s">
        <v>576</v>
      </c>
      <c r="R14" s="44" t="s">
        <v>577</v>
      </c>
      <c r="S14" s="44" t="s">
        <v>578</v>
      </c>
    </row>
    <row r="15" spans="1:19">
      <c r="F15" s="41" t="s">
        <v>155</v>
      </c>
      <c r="N15" t="s">
        <v>284</v>
      </c>
      <c r="R15" s="46" t="s">
        <v>579</v>
      </c>
      <c r="S15" s="46" t="s">
        <v>580</v>
      </c>
    </row>
    <row r="16" spans="1:19">
      <c r="F16" s="41" t="s">
        <v>581</v>
      </c>
      <c r="N16" t="s">
        <v>156</v>
      </c>
      <c r="R16" s="46" t="s">
        <v>582</v>
      </c>
      <c r="S16" s="46" t="s">
        <v>583</v>
      </c>
    </row>
    <row r="17" spans="6:19">
      <c r="F17" s="41" t="s">
        <v>261</v>
      </c>
      <c r="N17" t="s">
        <v>328</v>
      </c>
      <c r="R17" s="44" t="s">
        <v>584</v>
      </c>
      <c r="S17" s="44" t="s">
        <v>585</v>
      </c>
    </row>
    <row r="18" spans="6:19">
      <c r="F18" s="41" t="s">
        <v>270</v>
      </c>
      <c r="N18" t="s">
        <v>586</v>
      </c>
      <c r="R18" s="46" t="s">
        <v>587</v>
      </c>
      <c r="S18" s="46" t="s">
        <v>127</v>
      </c>
    </row>
    <row r="19" spans="6:19">
      <c r="F19" s="41" t="s">
        <v>588</v>
      </c>
      <c r="N19" t="s">
        <v>589</v>
      </c>
      <c r="R19" s="44" t="s">
        <v>590</v>
      </c>
      <c r="S19" t="s">
        <v>591</v>
      </c>
    </row>
    <row r="20" spans="6:19">
      <c r="F20" s="41" t="s">
        <v>592</v>
      </c>
      <c r="N20" t="s">
        <v>593</v>
      </c>
      <c r="R20" s="46" t="s">
        <v>318</v>
      </c>
      <c r="S20" s="46" t="s">
        <v>319</v>
      </c>
    </row>
    <row r="21" spans="6:19">
      <c r="F21" s="41" t="s">
        <v>594</v>
      </c>
      <c r="N21" t="s">
        <v>423</v>
      </c>
      <c r="R21" s="44" t="s">
        <v>378</v>
      </c>
      <c r="S21" s="44" t="s">
        <v>379</v>
      </c>
    </row>
    <row r="22" spans="6:19">
      <c r="F22" s="41" t="s">
        <v>274</v>
      </c>
      <c r="N22" t="s">
        <v>138</v>
      </c>
      <c r="R22" s="46" t="s">
        <v>378</v>
      </c>
      <c r="S22" s="46" t="s">
        <v>595</v>
      </c>
    </row>
    <row r="23" spans="6:19">
      <c r="F23" s="41" t="s">
        <v>525</v>
      </c>
      <c r="N23" t="s">
        <v>596</v>
      </c>
      <c r="R23" s="44" t="s">
        <v>597</v>
      </c>
      <c r="S23" s="44" t="s">
        <v>420</v>
      </c>
    </row>
    <row r="24" spans="6:19">
      <c r="F24" s="41" t="s">
        <v>598</v>
      </c>
      <c r="N24" t="s">
        <v>375</v>
      </c>
      <c r="R24" s="44" t="s">
        <v>599</v>
      </c>
      <c r="S24" s="44" t="s">
        <v>600</v>
      </c>
    </row>
    <row r="25" spans="6:19">
      <c r="F25" s="41" t="s">
        <v>381</v>
      </c>
      <c r="N25" t="s">
        <v>601</v>
      </c>
      <c r="R25" s="44" t="s">
        <v>602</v>
      </c>
      <c r="S25" s="44" t="s">
        <v>603</v>
      </c>
    </row>
    <row r="26" spans="6:19">
      <c r="F26" s="41" t="s">
        <v>604</v>
      </c>
      <c r="N26" t="s">
        <v>605</v>
      </c>
      <c r="R26" s="44" t="s">
        <v>606</v>
      </c>
      <c r="S26" s="44" t="s">
        <v>607</v>
      </c>
    </row>
    <row r="27" spans="6:19">
      <c r="F27" s="41" t="s">
        <v>608</v>
      </c>
      <c r="N27" t="s">
        <v>460</v>
      </c>
      <c r="R27" s="44" t="s">
        <v>609</v>
      </c>
      <c r="S27" s="44" t="s">
        <v>610</v>
      </c>
    </row>
    <row r="28" spans="6:19">
      <c r="F28" s="41" t="s">
        <v>611</v>
      </c>
      <c r="N28" t="s">
        <v>612</v>
      </c>
      <c r="R28" s="44" t="s">
        <v>613</v>
      </c>
      <c r="S28" s="44" t="s">
        <v>614</v>
      </c>
    </row>
    <row r="29" spans="6:19">
      <c r="F29" s="41" t="s">
        <v>172</v>
      </c>
      <c r="N29" t="s">
        <v>615</v>
      </c>
      <c r="R29" s="44" t="s">
        <v>616</v>
      </c>
      <c r="S29" s="44" t="s">
        <v>617</v>
      </c>
    </row>
    <row r="30" spans="6:19">
      <c r="F30" s="41" t="s">
        <v>618</v>
      </c>
      <c r="N30" t="s">
        <v>619</v>
      </c>
      <c r="R30" s="44" t="s">
        <v>620</v>
      </c>
      <c r="S30" s="44" t="s">
        <v>621</v>
      </c>
    </row>
    <row r="31" spans="6:19">
      <c r="N31" t="s">
        <v>174</v>
      </c>
      <c r="R31" s="44" t="s">
        <v>258</v>
      </c>
      <c r="S31" s="44" t="s">
        <v>259</v>
      </c>
    </row>
    <row r="32" spans="6:19">
      <c r="N32" t="s">
        <v>350</v>
      </c>
      <c r="R32" s="44" t="s">
        <v>622</v>
      </c>
      <c r="S32" s="44" t="s">
        <v>623</v>
      </c>
    </row>
    <row r="33" spans="14:19">
      <c r="N33" t="s">
        <v>131</v>
      </c>
      <c r="R33" s="44" t="s">
        <v>624</v>
      </c>
      <c r="S33" s="44" t="s">
        <v>625</v>
      </c>
    </row>
    <row r="34" spans="14:19">
      <c r="R34" s="44" t="s">
        <v>363</v>
      </c>
      <c r="S34" s="44" t="s">
        <v>364</v>
      </c>
    </row>
    <row r="35" spans="14:19">
      <c r="R35" s="44" t="s">
        <v>626</v>
      </c>
      <c r="S35" s="44" t="s">
        <v>627</v>
      </c>
    </row>
    <row r="36" spans="14:19">
      <c r="R36" s="44" t="s">
        <v>628</v>
      </c>
      <c r="S36" s="44" t="s">
        <v>629</v>
      </c>
    </row>
    <row r="37" spans="14:19">
      <c r="R37" s="46" t="s">
        <v>630</v>
      </c>
      <c r="S37" s="46" t="s">
        <v>631</v>
      </c>
    </row>
    <row r="38" spans="14:19">
      <c r="R38" s="46" t="s">
        <v>352</v>
      </c>
      <c r="S38" s="46" t="s">
        <v>632</v>
      </c>
    </row>
    <row r="39" spans="14:19">
      <c r="R39" s="46" t="s">
        <v>352</v>
      </c>
      <c r="S39" s="46" t="s">
        <v>353</v>
      </c>
    </row>
    <row r="40" spans="14:19">
      <c r="R40" s="44" t="s">
        <v>633</v>
      </c>
      <c r="S40" s="44" t="s">
        <v>634</v>
      </c>
    </row>
    <row r="41" spans="14:19">
      <c r="R41" s="44" t="s">
        <v>635</v>
      </c>
      <c r="S41" s="44" t="s">
        <v>636</v>
      </c>
    </row>
    <row r="42" spans="14:19">
      <c r="R42" s="46" t="s">
        <v>637</v>
      </c>
      <c r="S42" s="46" t="s">
        <v>638</v>
      </c>
    </row>
    <row r="43" spans="14:19">
      <c r="R43" s="46" t="s">
        <v>637</v>
      </c>
      <c r="S43" s="46" t="s">
        <v>639</v>
      </c>
    </row>
    <row r="44" spans="14:19">
      <c r="R44" s="44" t="s">
        <v>640</v>
      </c>
      <c r="S44" s="17" t="s">
        <v>117</v>
      </c>
    </row>
    <row r="45" spans="14:19">
      <c r="R45" s="46" t="s">
        <v>338</v>
      </c>
      <c r="S45" s="46" t="s">
        <v>339</v>
      </c>
    </row>
    <row r="46" spans="14:19">
      <c r="R46" s="44" t="s">
        <v>372</v>
      </c>
      <c r="S46" s="44" t="s">
        <v>373</v>
      </c>
    </row>
    <row r="47" spans="14:19">
      <c r="R47" s="46" t="s">
        <v>392</v>
      </c>
      <c r="S47" s="46" t="s">
        <v>393</v>
      </c>
    </row>
    <row r="48" spans="14:19">
      <c r="R48" s="44" t="s">
        <v>641</v>
      </c>
      <c r="S48" s="44" t="s">
        <v>642</v>
      </c>
    </row>
    <row r="49" spans="18:19">
      <c r="R49" s="44" t="s">
        <v>404</v>
      </c>
      <c r="S49" s="44" t="s">
        <v>405</v>
      </c>
    </row>
    <row r="50" spans="18:19">
      <c r="R50" s="44" t="s">
        <v>643</v>
      </c>
      <c r="S50" s="44" t="s">
        <v>644</v>
      </c>
    </row>
    <row r="51" spans="18:19">
      <c r="R51" s="44" t="s">
        <v>645</v>
      </c>
      <c r="S51" s="44" t="s">
        <v>646</v>
      </c>
    </row>
    <row r="52" spans="18:19">
      <c r="R52" s="44" t="s">
        <v>238</v>
      </c>
      <c r="S52" s="44" t="s">
        <v>647</v>
      </c>
    </row>
    <row r="53" spans="18:19">
      <c r="R53" s="44" t="s">
        <v>347</v>
      </c>
      <c r="S53" s="17" t="s">
        <v>348</v>
      </c>
    </row>
    <row r="54" spans="18:19">
      <c r="R54" s="44" t="s">
        <v>271</v>
      </c>
      <c r="S54" s="44" t="s">
        <v>272</v>
      </c>
    </row>
    <row r="55" spans="18:19">
      <c r="R55" s="44" t="s">
        <v>648</v>
      </c>
      <c r="S55" s="44" t="s">
        <v>649</v>
      </c>
    </row>
    <row r="56" spans="18:19">
      <c r="R56" s="44" t="s">
        <v>650</v>
      </c>
      <c r="S56" s="44" t="s">
        <v>651</v>
      </c>
    </row>
    <row r="57" spans="18:19">
      <c r="R57" s="44" t="s">
        <v>652</v>
      </c>
      <c r="S57" s="44" t="s">
        <v>653</v>
      </c>
    </row>
    <row r="58" spans="18:19">
      <c r="R58" s="44" t="s">
        <v>654</v>
      </c>
      <c r="S58" s="44" t="s">
        <v>655</v>
      </c>
    </row>
    <row r="59" spans="18:19">
      <c r="R59" s="44" t="s">
        <v>656</v>
      </c>
      <c r="S59" s="44" t="s">
        <v>657</v>
      </c>
    </row>
    <row r="60" spans="18:19">
      <c r="R60" s="44" t="s">
        <v>658</v>
      </c>
      <c r="S60" s="44" t="s">
        <v>659</v>
      </c>
    </row>
    <row r="61" spans="18:19">
      <c r="R61" s="44" t="s">
        <v>435</v>
      </c>
      <c r="S61" s="44" t="s">
        <v>660</v>
      </c>
    </row>
    <row r="62" spans="18:19">
      <c r="R62" s="44" t="s">
        <v>453</v>
      </c>
      <c r="S62" s="44" t="s">
        <v>661</v>
      </c>
    </row>
    <row r="63" spans="18:19">
      <c r="R63" s="44" t="s">
        <v>411</v>
      </c>
      <c r="S63" s="44" t="s">
        <v>412</v>
      </c>
    </row>
    <row r="64" spans="18:19">
      <c r="R64" s="44" t="s">
        <v>662</v>
      </c>
      <c r="S64" s="44" t="s">
        <v>663</v>
      </c>
    </row>
    <row r="65" spans="18:19">
      <c r="R65" s="44" t="s">
        <v>664</v>
      </c>
      <c r="S65" s="44" t="s">
        <v>665</v>
      </c>
    </row>
    <row r="66" spans="18:19">
      <c r="R66" s="44" t="s">
        <v>666</v>
      </c>
      <c r="S66" s="44" t="s">
        <v>667</v>
      </c>
    </row>
    <row r="67" spans="18:19">
      <c r="R67" s="44" t="s">
        <v>668</v>
      </c>
      <c r="S67" s="44" t="s">
        <v>669</v>
      </c>
    </row>
    <row r="68" spans="18:19">
      <c r="R68" s="44" t="s">
        <v>670</v>
      </c>
      <c r="S68" s="44" t="s">
        <v>671</v>
      </c>
    </row>
    <row r="69" spans="18:19">
      <c r="R69" s="44" t="s">
        <v>672</v>
      </c>
      <c r="S69" s="44" t="s">
        <v>673</v>
      </c>
    </row>
    <row r="70" spans="18:19">
      <c r="R70" s="44" t="s">
        <v>674</v>
      </c>
      <c r="S70" s="44" t="s">
        <v>675</v>
      </c>
    </row>
    <row r="71" spans="18:19">
      <c r="R71" s="44" t="s">
        <v>676</v>
      </c>
      <c r="S71" s="44" t="s">
        <v>677</v>
      </c>
    </row>
    <row r="72" spans="18:19">
      <c r="R72" s="44" t="s">
        <v>291</v>
      </c>
      <c r="S72" t="s">
        <v>292</v>
      </c>
    </row>
    <row r="73" spans="18:19">
      <c r="R73" s="46" t="s">
        <v>291</v>
      </c>
      <c r="S73" s="46" t="s">
        <v>678</v>
      </c>
    </row>
    <row r="74" spans="18:19">
      <c r="R74" s="44" t="s">
        <v>679</v>
      </c>
      <c r="S74" s="44" t="s">
        <v>680</v>
      </c>
    </row>
    <row r="75" spans="18:19">
      <c r="R75" s="46" t="s">
        <v>310</v>
      </c>
      <c r="S75" s="46" t="s">
        <v>311</v>
      </c>
    </row>
    <row r="76" spans="18:19">
      <c r="R76" s="44" t="s">
        <v>681</v>
      </c>
      <c r="S76" s="44" t="s">
        <v>682</v>
      </c>
    </row>
    <row r="77" spans="18:19">
      <c r="R77" s="44" t="s">
        <v>429</v>
      </c>
      <c r="S77" s="44" t="s">
        <v>430</v>
      </c>
    </row>
    <row r="78" spans="18:19">
      <c r="R78" s="46" t="s">
        <v>683</v>
      </c>
      <c r="S78" s="46" t="s">
        <v>684</v>
      </c>
    </row>
    <row r="79" spans="18:19">
      <c r="R79" s="46" t="s">
        <v>386</v>
      </c>
      <c r="S79" s="46" t="s">
        <v>387</v>
      </c>
    </row>
    <row r="80" spans="18:19">
      <c r="R80" s="44" t="s">
        <v>685</v>
      </c>
      <c r="S80" s="44" t="s">
        <v>686</v>
      </c>
    </row>
    <row r="81" spans="18:19">
      <c r="R81" s="44" t="s">
        <v>687</v>
      </c>
      <c r="S81" s="44" t="s">
        <v>688</v>
      </c>
    </row>
    <row r="82" spans="18:19">
      <c r="R82" s="44" t="s">
        <v>689</v>
      </c>
      <c r="S82" s="44" t="s">
        <v>690</v>
      </c>
    </row>
    <row r="83" spans="18:19">
      <c r="R83" s="46" t="s">
        <v>334</v>
      </c>
      <c r="S83" s="46" t="s">
        <v>335</v>
      </c>
    </row>
    <row r="84" spans="18:19">
      <c r="R84" s="46" t="s">
        <v>334</v>
      </c>
      <c r="S84" s="46" t="s">
        <v>691</v>
      </c>
    </row>
    <row r="85" spans="18:19">
      <c r="R85" s="44" t="s">
        <v>692</v>
      </c>
      <c r="S85" s="44" t="s">
        <v>693</v>
      </c>
    </row>
    <row r="86" spans="18:19">
      <c r="R86" s="44" t="s">
        <v>694</v>
      </c>
      <c r="S86" s="44" t="s">
        <v>695</v>
      </c>
    </row>
    <row r="87" spans="18:19">
      <c r="R87" s="44" t="s">
        <v>696</v>
      </c>
      <c r="S87" s="44" t="s">
        <v>697</v>
      </c>
    </row>
    <row r="88" spans="18:19">
      <c r="R88" s="44" t="s">
        <v>280</v>
      </c>
      <c r="S88" s="44" t="s">
        <v>281</v>
      </c>
    </row>
    <row r="89" spans="18:19">
      <c r="R89" s="44" t="s">
        <v>698</v>
      </c>
      <c r="S89" s="44" t="s">
        <v>699</v>
      </c>
    </row>
    <row r="90" spans="18:19">
      <c r="R90" s="44" t="s">
        <v>700</v>
      </c>
      <c r="S90" s="44" t="s">
        <v>701</v>
      </c>
    </row>
    <row r="91" spans="18:19">
      <c r="R91" s="44" t="s">
        <v>358</v>
      </c>
      <c r="S91" s="44" t="s">
        <v>359</v>
      </c>
    </row>
    <row r="92" spans="18:19">
      <c r="R92" s="44" t="s">
        <v>702</v>
      </c>
      <c r="S92" s="44" t="s">
        <v>703</v>
      </c>
    </row>
    <row r="93" spans="18:19">
      <c r="R93" s="44" t="s">
        <v>704</v>
      </c>
      <c r="S93" t="s">
        <v>705</v>
      </c>
    </row>
    <row r="94" spans="18:19">
      <c r="R94" s="44" t="s">
        <v>706</v>
      </c>
      <c r="S94" s="44" t="s">
        <v>707</v>
      </c>
    </row>
    <row r="95" spans="18:19">
      <c r="R95" s="44" t="s">
        <v>708</v>
      </c>
      <c r="S95" s="44" t="s">
        <v>709</v>
      </c>
    </row>
    <row r="96" spans="18:19">
      <c r="R96" s="44" t="s">
        <v>710</v>
      </c>
      <c r="S96" t="s">
        <v>711</v>
      </c>
    </row>
    <row r="97" spans="18:19">
      <c r="R97" s="44" t="s">
        <v>712</v>
      </c>
      <c r="S97" s="57" t="s">
        <v>691</v>
      </c>
    </row>
    <row r="98" spans="18:19">
      <c r="R98" s="57" t="s">
        <v>399</v>
      </c>
      <c r="S98" s="32" t="s">
        <v>133</v>
      </c>
    </row>
    <row r="99" spans="18:19">
      <c r="R99" s="44" t="s">
        <v>713</v>
      </c>
      <c r="S99" t="s">
        <v>714</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2023-05-30T14:51:07Z</dcterms:modified>
  <cp:category/>
  <cp:contentStatus/>
</cp:coreProperties>
</file>