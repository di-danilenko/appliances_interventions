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4"/>
  <workbookPr defaultThemeVersion="166925"/>
  <mc:AlternateContent xmlns:mc="http://schemas.openxmlformats.org/markup-compatibility/2006">
    <mc:Choice Requires="x15">
      <x15ac:absPath xmlns:x15ac="http://schemas.microsoft.com/office/spreadsheetml/2010/11/ac" url="/Users/dianadanilenko/Desktop/appliances_interventions/"/>
    </mc:Choice>
  </mc:AlternateContent>
  <xr:revisionPtr revIDLastSave="0" documentId="13_ncr:1_{9A4A8543-4A82-8041-A2AE-0C5767031B05}" xr6:coauthVersionLast="47" xr6:coauthVersionMax="47" xr10:uidLastSave="{00000000-0000-0000-0000-000000000000}"/>
  <bookViews>
    <workbookView xWindow="9600" yWindow="-21600" windowWidth="23820" windowHeight="21600" activeTab="1" xr2:uid="{00000000-000D-0000-FFFF-FFFF00000000}"/>
  </bookViews>
  <sheets>
    <sheet name="Usage" sheetId="5" state="hidden" r:id="rId1"/>
    <sheet name="Appliances" sheetId="4" r:id="rId2"/>
    <sheet name="Summary" sheetId="7" r:id="rId3"/>
    <sheet name="Lists for variables" sheetId="3" r:id="rId4"/>
  </sheets>
  <externalReferences>
    <externalReference r:id="rId5"/>
  </externalReferences>
  <definedNames>
    <definedName name="_xlnm._FilterDatabase" localSheetId="1" hidden="1">Appliances!$T$1:$T$156</definedName>
    <definedName name="_xlnm._FilterDatabase" localSheetId="0" hidden="1">Usage!$A$1:$BN$53</definedName>
  </definedNames>
  <calcPr calcId="191029"/>
  <pivotCaches>
    <pivotCache cacheId="0"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E157" i="4" l="1"/>
  <c r="CF157" i="4" s="1"/>
  <c r="CG157" i="4" s="1"/>
  <c r="CH157" i="4"/>
  <c r="CE158" i="4"/>
  <c r="CF158" i="4" s="1"/>
  <c r="CG158" i="4" s="1"/>
  <c r="CH158" i="4"/>
  <c r="BX157" i="4"/>
  <c r="BY157" i="4"/>
  <c r="BZ157" i="4" s="1"/>
  <c r="BX158" i="4"/>
  <c r="BY158" i="4"/>
  <c r="BZ158" i="4"/>
  <c r="AW158" i="4"/>
  <c r="AW157" i="4"/>
  <c r="CA158" i="4"/>
  <c r="CC158" i="4"/>
  <c r="AZ158" i="4" s="1"/>
  <c r="CA157" i="4"/>
  <c r="CC157" i="4"/>
  <c r="AZ157" i="4"/>
  <c r="BB158" i="4"/>
  <c r="BB157" i="4"/>
  <c r="BB54" i="4"/>
  <c r="BB77" i="4"/>
  <c r="BB96" i="4"/>
  <c r="BB97" i="4"/>
  <c r="BB98" i="4"/>
  <c r="BB95" i="4"/>
  <c r="CH156" i="4" l="1"/>
  <c r="CE156" i="4"/>
  <c r="CF156" i="4" s="1"/>
  <c r="CG156" i="4" s="1"/>
  <c r="CC156" i="4"/>
  <c r="CA156" i="4"/>
  <c r="BX156" i="4"/>
  <c r="BY156" i="4" s="1"/>
  <c r="BZ156" i="4" s="1"/>
  <c r="BB156" i="4"/>
  <c r="AW156" i="4"/>
  <c r="CH155" i="4"/>
  <c r="CE155" i="4"/>
  <c r="CF155" i="4" s="1"/>
  <c r="CG155" i="4" s="1"/>
  <c r="CC155" i="4"/>
  <c r="CA155" i="4"/>
  <c r="BX155" i="4"/>
  <c r="BY155" i="4" s="1"/>
  <c r="BZ155" i="4" s="1"/>
  <c r="BB155" i="4"/>
  <c r="AW155" i="4"/>
  <c r="CH154" i="4"/>
  <c r="CE154" i="4"/>
  <c r="CF154" i="4" s="1"/>
  <c r="CG154" i="4" s="1"/>
  <c r="CC154" i="4"/>
  <c r="CA154" i="4"/>
  <c r="BX154" i="4"/>
  <c r="BY154" i="4" s="1"/>
  <c r="BZ154" i="4" s="1"/>
  <c r="BB154" i="4"/>
  <c r="AW154" i="4"/>
  <c r="CH153" i="4"/>
  <c r="CE153" i="4"/>
  <c r="CF153" i="4" s="1"/>
  <c r="CG153" i="4" s="1"/>
  <c r="CC153" i="4"/>
  <c r="CA153" i="4"/>
  <c r="BX153" i="4"/>
  <c r="BY153" i="4" s="1"/>
  <c r="BZ153" i="4" s="1"/>
  <c r="BB153" i="4"/>
  <c r="AW153" i="4"/>
  <c r="CH152" i="4"/>
  <c r="CE152" i="4"/>
  <c r="CF152" i="4" s="1"/>
  <c r="CG152" i="4" s="1"/>
  <c r="CC152" i="4"/>
  <c r="CA152" i="4"/>
  <c r="BX152" i="4"/>
  <c r="BY152" i="4" s="1"/>
  <c r="BZ152" i="4" s="1"/>
  <c r="BB152" i="4"/>
  <c r="AW152" i="4"/>
  <c r="CH151" i="4"/>
  <c r="CE151" i="4"/>
  <c r="CF151" i="4" s="1"/>
  <c r="CG151" i="4" s="1"/>
  <c r="CC151" i="4"/>
  <c r="CA151" i="4"/>
  <c r="BX151" i="4"/>
  <c r="BY151" i="4" s="1"/>
  <c r="BZ151" i="4" s="1"/>
  <c r="BB151" i="4"/>
  <c r="AW151" i="4"/>
  <c r="CH150" i="4"/>
  <c r="CE150" i="4"/>
  <c r="CF150" i="4" s="1"/>
  <c r="CG150" i="4" s="1"/>
  <c r="CC150" i="4"/>
  <c r="CA150" i="4"/>
  <c r="BX150" i="4"/>
  <c r="BY150" i="4" s="1"/>
  <c r="BZ150" i="4" s="1"/>
  <c r="BB150" i="4"/>
  <c r="AW150" i="4"/>
  <c r="CH149" i="4"/>
  <c r="CE149" i="4"/>
  <c r="CF149" i="4" s="1"/>
  <c r="CG149" i="4" s="1"/>
  <c r="CC149" i="4"/>
  <c r="CA149" i="4"/>
  <c r="BX149" i="4"/>
  <c r="BY149" i="4" s="1"/>
  <c r="BZ149" i="4" s="1"/>
  <c r="BB149" i="4"/>
  <c r="AW149" i="4"/>
  <c r="BB140" i="4" l="1"/>
  <c r="BB137" i="4"/>
  <c r="BB138" i="4"/>
  <c r="BB141" i="4"/>
  <c r="BB142" i="4"/>
  <c r="BB143" i="4"/>
  <c r="BB144" i="4"/>
  <c r="BB145" i="4"/>
  <c r="BB146" i="4"/>
  <c r="BB147" i="4"/>
  <c r="BB148" i="4"/>
  <c r="BB101" i="4"/>
  <c r="BB102" i="4"/>
  <c r="BB139" i="4"/>
  <c r="BB128" i="4"/>
  <c r="BB127" i="4"/>
  <c r="BB126" i="4"/>
  <c r="BB135" i="4"/>
  <c r="BB134" i="4"/>
  <c r="BB133" i="4"/>
  <c r="BB132" i="4"/>
  <c r="BB131" i="4"/>
  <c r="BB130" i="4"/>
  <c r="BB76" i="4"/>
  <c r="BB74" i="4"/>
  <c r="BB75" i="4"/>
  <c r="BB73" i="4"/>
  <c r="BB25" i="4"/>
  <c r="BB24" i="4"/>
  <c r="BB23" i="4"/>
  <c r="BB37" i="4"/>
  <c r="BB36" i="4"/>
  <c r="BB35" i="4"/>
  <c r="BB99" i="4"/>
  <c r="BB34" i="4"/>
  <c r="BB33" i="4"/>
  <c r="BB32" i="4"/>
  <c r="BB53" i="4"/>
  <c r="BB52" i="4"/>
  <c r="BB51" i="4"/>
  <c r="BB50" i="4"/>
  <c r="BB49" i="4"/>
  <c r="BB48" i="4"/>
  <c r="BB47" i="4"/>
  <c r="BB46" i="4"/>
  <c r="BB100" i="4"/>
  <c r="BB31" i="4"/>
  <c r="BB30" i="4"/>
  <c r="BB29" i="4"/>
  <c r="BB28" i="4"/>
  <c r="BB27" i="4"/>
  <c r="BB26" i="4"/>
  <c r="BB22" i="4"/>
  <c r="BB21" i="4"/>
  <c r="BB20" i="4"/>
  <c r="BB19" i="4"/>
  <c r="BB18" i="4"/>
  <c r="BB17" i="4"/>
  <c r="BB94" i="4"/>
  <c r="BB93" i="4"/>
  <c r="BB70" i="4"/>
  <c r="BB69" i="4"/>
  <c r="BB71" i="4"/>
  <c r="BB78" i="4"/>
  <c r="BB113" i="4"/>
  <c r="BB112" i="4"/>
  <c r="BB45" i="4"/>
  <c r="BB44" i="4"/>
  <c r="BB62" i="4"/>
  <c r="BB61" i="4"/>
  <c r="BB16" i="4"/>
  <c r="BB15" i="4"/>
  <c r="BB14" i="4"/>
  <c r="BB13" i="4"/>
  <c r="BB12" i="4"/>
  <c r="BB11" i="4"/>
  <c r="BB84" i="4"/>
  <c r="BB83" i="4"/>
  <c r="BB82" i="4"/>
  <c r="BB81" i="4"/>
  <c r="BB80" i="4"/>
  <c r="BB79" i="4"/>
  <c r="BB115" i="4"/>
  <c r="BB114" i="4"/>
  <c r="BB60" i="4"/>
  <c r="BB59" i="4"/>
  <c r="BB58" i="4"/>
  <c r="BB55" i="4"/>
  <c r="BB4" i="4"/>
  <c r="BB3" i="4"/>
  <c r="CB72" i="4"/>
  <c r="CB85" i="4"/>
  <c r="CB91" i="4"/>
  <c r="CB105" i="4"/>
  <c r="CB106" i="4"/>
  <c r="AZ2" i="4" l="1"/>
  <c r="CE2" i="4" s="1"/>
  <c r="CF2" i="4" s="1"/>
  <c r="CG2" i="4" s="1"/>
  <c r="BB2" i="4"/>
  <c r="BG2" i="4"/>
  <c r="CA2" i="4"/>
  <c r="CC2" i="4"/>
  <c r="CH2" i="4"/>
  <c r="AZ3" i="4"/>
  <c r="CE3" i="4" s="1"/>
  <c r="CF3" i="4" s="1"/>
  <c r="CG3" i="4" s="1"/>
  <c r="BG3" i="4"/>
  <c r="CA3" i="4"/>
  <c r="CC3" i="4"/>
  <c r="CH3" i="4"/>
  <c r="AZ4" i="4"/>
  <c r="CE4" i="4" s="1"/>
  <c r="CF4" i="4" s="1"/>
  <c r="CG4" i="4" s="1"/>
  <c r="BG4" i="4"/>
  <c r="CA4" i="4"/>
  <c r="CC4" i="4"/>
  <c r="CH4" i="4"/>
  <c r="CA5" i="4"/>
  <c r="CC5" i="4"/>
  <c r="AZ5" i="4" s="1"/>
  <c r="CH5" i="4"/>
  <c r="CA6" i="4"/>
  <c r="CC6" i="4"/>
  <c r="AZ6" i="4" s="1"/>
  <c r="CH6" i="4"/>
  <c r="CA7" i="4"/>
  <c r="CC7" i="4"/>
  <c r="AZ7" i="4" s="1"/>
  <c r="BX7" i="4" s="1"/>
  <c r="BY7" i="4" s="1"/>
  <c r="BZ7" i="4" s="1"/>
  <c r="CH7" i="4"/>
  <c r="CA8" i="4"/>
  <c r="CC8" i="4"/>
  <c r="AZ8" i="4" s="1"/>
  <c r="BX8" i="4" s="1"/>
  <c r="BY8" i="4" s="1"/>
  <c r="BZ8" i="4" s="1"/>
  <c r="CH8" i="4"/>
  <c r="CA9" i="4"/>
  <c r="CC9" i="4"/>
  <c r="AZ9" i="4" s="1"/>
  <c r="CH9" i="4"/>
  <c r="CA10" i="4"/>
  <c r="CC10" i="4"/>
  <c r="AZ10" i="4" s="1"/>
  <c r="BX10" i="4" s="1"/>
  <c r="BY10" i="4" s="1"/>
  <c r="BZ10" i="4" s="1"/>
  <c r="CH10" i="4"/>
  <c r="AZ11" i="4"/>
  <c r="CE11" i="4" s="1"/>
  <c r="CF11" i="4" s="1"/>
  <c r="CG11" i="4" s="1"/>
  <c r="CA11" i="4"/>
  <c r="CC11" i="4"/>
  <c r="CH11" i="4"/>
  <c r="AZ12" i="4"/>
  <c r="CA12" i="4"/>
  <c r="CC12" i="4"/>
  <c r="CH12" i="4"/>
  <c r="AZ13" i="4"/>
  <c r="CA13" i="4"/>
  <c r="CC13" i="4"/>
  <c r="CH13" i="4"/>
  <c r="AZ14" i="4"/>
  <c r="CA14" i="4"/>
  <c r="CC14" i="4"/>
  <c r="CH14" i="4"/>
  <c r="AZ15" i="4"/>
  <c r="CE15" i="4" s="1"/>
  <c r="CF15" i="4" s="1"/>
  <c r="CG15" i="4" s="1"/>
  <c r="CA15" i="4"/>
  <c r="CC15" i="4"/>
  <c r="CH15" i="4"/>
  <c r="AZ16" i="4"/>
  <c r="CA16" i="4"/>
  <c r="CC16" i="4"/>
  <c r="CH16" i="4"/>
  <c r="CA17" i="4"/>
  <c r="CC17" i="4"/>
  <c r="AZ17" i="4" s="1"/>
  <c r="BX17" i="4" s="1"/>
  <c r="BY17" i="4" s="1"/>
  <c r="BZ17" i="4" s="1"/>
  <c r="CH17" i="4"/>
  <c r="CA18" i="4"/>
  <c r="CC18" i="4"/>
  <c r="AZ18" i="4" s="1"/>
  <c r="CH18" i="4"/>
  <c r="CA19" i="4"/>
  <c r="CC19" i="4"/>
  <c r="AZ19" i="4" s="1"/>
  <c r="BX19" i="4" s="1"/>
  <c r="BY19" i="4" s="1"/>
  <c r="BZ19" i="4" s="1"/>
  <c r="CH19" i="4"/>
  <c r="CA20" i="4"/>
  <c r="CC20" i="4"/>
  <c r="AZ20" i="4" s="1"/>
  <c r="CH20" i="4"/>
  <c r="CA21" i="4"/>
  <c r="CC21" i="4"/>
  <c r="AZ21" i="4" s="1"/>
  <c r="CH21" i="4"/>
  <c r="CA22" i="4"/>
  <c r="CC22" i="4"/>
  <c r="AZ22" i="4" s="1"/>
  <c r="BX22" i="4" s="1"/>
  <c r="BY22" i="4" s="1"/>
  <c r="BZ22" i="4" s="1"/>
  <c r="CH22" i="4"/>
  <c r="CA23" i="4"/>
  <c r="CC23" i="4"/>
  <c r="AZ23" i="4" s="1"/>
  <c r="BX23" i="4" s="1"/>
  <c r="BY23" i="4" s="1"/>
  <c r="BZ23" i="4" s="1"/>
  <c r="CH23" i="4"/>
  <c r="CA24" i="4"/>
  <c r="CC24" i="4"/>
  <c r="AZ24" i="4" s="1"/>
  <c r="CH24" i="4"/>
  <c r="CA25" i="4"/>
  <c r="CC25" i="4"/>
  <c r="AZ25" i="4" s="1"/>
  <c r="BX25" i="4" s="1"/>
  <c r="BY25" i="4" s="1"/>
  <c r="BZ25" i="4" s="1"/>
  <c r="CH25" i="4"/>
  <c r="CA26" i="4"/>
  <c r="CC26" i="4"/>
  <c r="AZ26" i="4" s="1"/>
  <c r="CH26" i="4"/>
  <c r="CA27" i="4"/>
  <c r="CC27" i="4"/>
  <c r="AZ27" i="4" s="1"/>
  <c r="BX27" i="4" s="1"/>
  <c r="BY27" i="4" s="1"/>
  <c r="BZ27" i="4" s="1"/>
  <c r="CH27" i="4"/>
  <c r="CA28" i="4"/>
  <c r="CC28" i="4"/>
  <c r="AZ28" i="4" s="1"/>
  <c r="CH28" i="4"/>
  <c r="CA29" i="4"/>
  <c r="CC29" i="4"/>
  <c r="AZ29" i="4" s="1"/>
  <c r="CH29" i="4"/>
  <c r="CA30" i="4"/>
  <c r="CC30" i="4"/>
  <c r="AZ30" i="4" s="1"/>
  <c r="BX30" i="4" s="1"/>
  <c r="BY30" i="4" s="1"/>
  <c r="BZ30" i="4" s="1"/>
  <c r="CH30" i="4"/>
  <c r="CA31" i="4"/>
  <c r="CC31" i="4"/>
  <c r="AZ31" i="4" s="1"/>
  <c r="BX31" i="4" s="1"/>
  <c r="BY31" i="4" s="1"/>
  <c r="BZ31" i="4" s="1"/>
  <c r="CH31" i="4"/>
  <c r="AZ32" i="4"/>
  <c r="BX32" i="4" s="1"/>
  <c r="BY32" i="4" s="1"/>
  <c r="BZ32" i="4" s="1"/>
  <c r="CA32" i="4"/>
  <c r="CC32" i="4"/>
  <c r="CH32" i="4"/>
  <c r="AZ33" i="4"/>
  <c r="BX33" i="4" s="1"/>
  <c r="BY33" i="4" s="1"/>
  <c r="BZ33" i="4" s="1"/>
  <c r="CA33" i="4"/>
  <c r="CC33" i="4"/>
  <c r="CH33" i="4"/>
  <c r="AZ34" i="4"/>
  <c r="BX34" i="4" s="1"/>
  <c r="BY34" i="4" s="1"/>
  <c r="BZ34" i="4" s="1"/>
  <c r="CA34" i="4"/>
  <c r="CC34" i="4"/>
  <c r="CH34" i="4"/>
  <c r="AZ35" i="4"/>
  <c r="BX35" i="4" s="1"/>
  <c r="BY35" i="4" s="1"/>
  <c r="BZ35" i="4" s="1"/>
  <c r="CA35" i="4"/>
  <c r="CC35" i="4"/>
  <c r="CH35" i="4"/>
  <c r="AZ36" i="4"/>
  <c r="CE36" i="4" s="1"/>
  <c r="CF36" i="4" s="1"/>
  <c r="CG36" i="4" s="1"/>
  <c r="CA36" i="4"/>
  <c r="CC36" i="4"/>
  <c r="CH36" i="4"/>
  <c r="AZ37" i="4"/>
  <c r="CE37" i="4" s="1"/>
  <c r="CF37" i="4" s="1"/>
  <c r="CG37" i="4" s="1"/>
  <c r="CA37" i="4"/>
  <c r="CC37" i="4"/>
  <c r="CH37" i="4"/>
  <c r="AZ38" i="4"/>
  <c r="BX38" i="4" s="1"/>
  <c r="BY38" i="4" s="1"/>
  <c r="BZ38" i="4" s="1"/>
  <c r="CA38" i="4"/>
  <c r="CC38" i="4"/>
  <c r="CH38" i="4"/>
  <c r="AZ39" i="4"/>
  <c r="CA39" i="4"/>
  <c r="CC39" i="4"/>
  <c r="CH39" i="4"/>
  <c r="AZ40" i="4"/>
  <c r="CE40" i="4" s="1"/>
  <c r="CF40" i="4" s="1"/>
  <c r="CG40" i="4" s="1"/>
  <c r="CA40" i="4"/>
  <c r="CC40" i="4"/>
  <c r="CH40" i="4"/>
  <c r="AZ41" i="4"/>
  <c r="BX41" i="4" s="1"/>
  <c r="BY41" i="4" s="1"/>
  <c r="BZ41" i="4" s="1"/>
  <c r="CA41" i="4"/>
  <c r="CC41" i="4"/>
  <c r="CH41" i="4"/>
  <c r="AZ42" i="4"/>
  <c r="CA42" i="4"/>
  <c r="CC42" i="4"/>
  <c r="CH42" i="4"/>
  <c r="AZ43" i="4"/>
  <c r="BX43" i="4" s="1"/>
  <c r="BY43" i="4" s="1"/>
  <c r="BZ43" i="4" s="1"/>
  <c r="CA43" i="4"/>
  <c r="CC43" i="4"/>
  <c r="CH43" i="4"/>
  <c r="AZ44" i="4"/>
  <c r="BX44" i="4" s="1"/>
  <c r="BY44" i="4" s="1"/>
  <c r="BZ44" i="4" s="1"/>
  <c r="CA44" i="4"/>
  <c r="CC44" i="4"/>
  <c r="CH44" i="4"/>
  <c r="AZ45" i="4"/>
  <c r="CA45" i="4"/>
  <c r="CC45" i="4"/>
  <c r="CH45" i="4"/>
  <c r="AZ46" i="4"/>
  <c r="BX46" i="4" s="1"/>
  <c r="BY46" i="4" s="1"/>
  <c r="BZ46" i="4" s="1"/>
  <c r="CA46" i="4"/>
  <c r="CC46" i="4"/>
  <c r="CH46" i="4"/>
  <c r="AZ47" i="4"/>
  <c r="CA47" i="4"/>
  <c r="CC47" i="4"/>
  <c r="CH47" i="4"/>
  <c r="AZ48" i="4"/>
  <c r="BX48" i="4" s="1"/>
  <c r="BY48" i="4" s="1"/>
  <c r="BZ48" i="4" s="1"/>
  <c r="CA48" i="4"/>
  <c r="CC48" i="4"/>
  <c r="CH48" i="4"/>
  <c r="AZ49" i="4"/>
  <c r="CA49" i="4"/>
  <c r="CC49" i="4"/>
  <c r="CH49" i="4"/>
  <c r="AZ50" i="4"/>
  <c r="BX50" i="4" s="1"/>
  <c r="BY50" i="4" s="1"/>
  <c r="BZ50" i="4" s="1"/>
  <c r="CA50" i="4"/>
  <c r="CC50" i="4"/>
  <c r="CH50" i="4"/>
  <c r="AZ51" i="4"/>
  <c r="BX51" i="4" s="1"/>
  <c r="BY51" i="4" s="1"/>
  <c r="BZ51" i="4" s="1"/>
  <c r="CA51" i="4"/>
  <c r="CC51" i="4"/>
  <c r="CH51" i="4"/>
  <c r="AZ52" i="4"/>
  <c r="BX52" i="4" s="1"/>
  <c r="BY52" i="4" s="1"/>
  <c r="BZ52" i="4" s="1"/>
  <c r="CA52" i="4"/>
  <c r="CC52" i="4"/>
  <c r="CH52" i="4"/>
  <c r="AZ53" i="4"/>
  <c r="CA53" i="4"/>
  <c r="CC53" i="4"/>
  <c r="CH53" i="4"/>
  <c r="BX54" i="4"/>
  <c r="BY54" i="4" s="1"/>
  <c r="BZ54" i="4" s="1"/>
  <c r="CA54" i="4"/>
  <c r="CC54" i="4"/>
  <c r="CE54" i="4"/>
  <c r="CF54" i="4" s="1"/>
  <c r="CG54" i="4" s="1"/>
  <c r="CH54" i="4"/>
  <c r="AW55" i="4"/>
  <c r="BX55" i="4"/>
  <c r="BY55" i="4" s="1"/>
  <c r="BZ55" i="4" s="1"/>
  <c r="CA55" i="4"/>
  <c r="CC55" i="4"/>
  <c r="CE55" i="4"/>
  <c r="CF55" i="4" s="1"/>
  <c r="CG55" i="4" s="1"/>
  <c r="CH55" i="4"/>
  <c r="AZ56" i="4"/>
  <c r="BD56" i="4"/>
  <c r="CA56" i="4"/>
  <c r="CC56" i="4"/>
  <c r="CH56" i="4"/>
  <c r="AZ57" i="4"/>
  <c r="BD57" i="4"/>
  <c r="CA57" i="4"/>
  <c r="CC57" i="4"/>
  <c r="CH57" i="4"/>
  <c r="AZ58" i="4"/>
  <c r="BX58" i="4" s="1"/>
  <c r="BY58" i="4" s="1"/>
  <c r="BZ58" i="4" s="1"/>
  <c r="CA58" i="4"/>
  <c r="CC58" i="4"/>
  <c r="CH58" i="4"/>
  <c r="AZ59" i="4"/>
  <c r="BX59" i="4" s="1"/>
  <c r="BY59" i="4" s="1"/>
  <c r="BZ59" i="4" s="1"/>
  <c r="CA59" i="4"/>
  <c r="CC59" i="4"/>
  <c r="CH59" i="4"/>
  <c r="AZ60" i="4"/>
  <c r="BX60" i="4" s="1"/>
  <c r="BY60" i="4" s="1"/>
  <c r="BZ60" i="4" s="1"/>
  <c r="CA60" i="4"/>
  <c r="CC60" i="4"/>
  <c r="CH60" i="4"/>
  <c r="AZ61" i="4"/>
  <c r="CE61" i="4" s="1"/>
  <c r="CF61" i="4" s="1"/>
  <c r="CG61" i="4" s="1"/>
  <c r="CA61" i="4"/>
  <c r="CC61" i="4"/>
  <c r="CH61" i="4"/>
  <c r="AZ62" i="4"/>
  <c r="BX62" i="4" s="1"/>
  <c r="BY62" i="4" s="1"/>
  <c r="BZ62" i="4" s="1"/>
  <c r="CA62" i="4"/>
  <c r="CC62" i="4"/>
  <c r="CH62" i="4"/>
  <c r="AZ63" i="4"/>
  <c r="BX63" i="4" s="1"/>
  <c r="BY63" i="4" s="1"/>
  <c r="BZ63" i="4" s="1"/>
  <c r="BB63" i="4"/>
  <c r="CA63" i="4"/>
  <c r="CC63" i="4"/>
  <c r="CH63" i="4"/>
  <c r="AZ64" i="4"/>
  <c r="BX64" i="4" s="1"/>
  <c r="BY64" i="4" s="1"/>
  <c r="BZ64" i="4" s="1"/>
  <c r="BB64" i="4"/>
  <c r="CA64" i="4"/>
  <c r="CC64" i="4"/>
  <c r="CH64" i="4"/>
  <c r="AZ65" i="4"/>
  <c r="BX65" i="4" s="1"/>
  <c r="BY65" i="4" s="1"/>
  <c r="BZ65" i="4" s="1"/>
  <c r="BB65" i="4"/>
  <c r="CA65" i="4"/>
  <c r="CC65" i="4"/>
  <c r="CH65" i="4"/>
  <c r="AZ66" i="4"/>
  <c r="BX66" i="4" s="1"/>
  <c r="BY66" i="4" s="1"/>
  <c r="BZ66" i="4" s="1"/>
  <c r="BB66" i="4"/>
  <c r="CA66" i="4"/>
  <c r="CC66" i="4"/>
  <c r="CH66" i="4"/>
  <c r="AZ67" i="4"/>
  <c r="BX67" i="4" s="1"/>
  <c r="BY67" i="4" s="1"/>
  <c r="BZ67" i="4" s="1"/>
  <c r="BB67" i="4"/>
  <c r="CA67" i="4"/>
  <c r="CC67" i="4"/>
  <c r="CH67" i="4"/>
  <c r="AZ68" i="4"/>
  <c r="BX68" i="4" s="1"/>
  <c r="BY68" i="4" s="1"/>
  <c r="BZ68" i="4" s="1"/>
  <c r="BB68" i="4"/>
  <c r="CA68" i="4"/>
  <c r="CC68" i="4"/>
  <c r="CH68" i="4"/>
  <c r="AZ69" i="4"/>
  <c r="CE69" i="4" s="1"/>
  <c r="CF69" i="4" s="1"/>
  <c r="CG69" i="4" s="1"/>
  <c r="CA69" i="4"/>
  <c r="CC69" i="4"/>
  <c r="CH69" i="4"/>
  <c r="AZ70" i="4"/>
  <c r="BX70" i="4" s="1"/>
  <c r="BY70" i="4" s="1"/>
  <c r="BZ70" i="4" s="1"/>
  <c r="CA70" i="4"/>
  <c r="CC70" i="4"/>
  <c r="CH70" i="4"/>
  <c r="AZ71" i="4"/>
  <c r="BX71" i="4" s="1"/>
  <c r="BY71" i="4" s="1"/>
  <c r="BZ71" i="4" s="1"/>
  <c r="CA71" i="4"/>
  <c r="CC71" i="4"/>
  <c r="CH71" i="4"/>
  <c r="BK72" i="4"/>
  <c r="CA72" i="4"/>
  <c r="CC72" i="4"/>
  <c r="AW72" i="4" s="1"/>
  <c r="CE72" i="4"/>
  <c r="CF72" i="4" s="1"/>
  <c r="CG72" i="4" s="1"/>
  <c r="CH72" i="4"/>
  <c r="AW73" i="4"/>
  <c r="BX73" i="4"/>
  <c r="BY73" i="4" s="1"/>
  <c r="BZ73" i="4" s="1"/>
  <c r="CA73" i="4"/>
  <c r="CC73" i="4"/>
  <c r="CE73" i="4"/>
  <c r="CF73" i="4" s="1"/>
  <c r="CG73" i="4" s="1"/>
  <c r="CH73" i="4"/>
  <c r="AW74" i="4"/>
  <c r="BX74" i="4"/>
  <c r="BY74" i="4" s="1"/>
  <c r="BZ74" i="4" s="1"/>
  <c r="CA74" i="4"/>
  <c r="CC74" i="4"/>
  <c r="CE74" i="4"/>
  <c r="CF74" i="4" s="1"/>
  <c r="CG74" i="4" s="1"/>
  <c r="CH74" i="4"/>
  <c r="AW75" i="4"/>
  <c r="BX75" i="4"/>
  <c r="BY75" i="4" s="1"/>
  <c r="BZ75" i="4" s="1"/>
  <c r="CA75" i="4"/>
  <c r="CC75" i="4"/>
  <c r="CE75" i="4"/>
  <c r="CF75" i="4" s="1"/>
  <c r="CG75" i="4" s="1"/>
  <c r="CH75" i="4"/>
  <c r="AW76" i="4"/>
  <c r="BX76" i="4"/>
  <c r="BY76" i="4" s="1"/>
  <c r="BZ76" i="4" s="1"/>
  <c r="CA76" i="4"/>
  <c r="CC76" i="4"/>
  <c r="CE76" i="4"/>
  <c r="CF76" i="4" s="1"/>
  <c r="CG76" i="4" s="1"/>
  <c r="CH76" i="4"/>
  <c r="AZ77" i="4"/>
  <c r="BX77" i="4" s="1"/>
  <c r="BY77" i="4" s="1"/>
  <c r="BZ77" i="4" s="1"/>
  <c r="CA77" i="4"/>
  <c r="CC77" i="4"/>
  <c r="CH77" i="4"/>
  <c r="AZ78" i="4"/>
  <c r="BX78" i="4" s="1"/>
  <c r="BY78" i="4" s="1"/>
  <c r="BZ78" i="4" s="1"/>
  <c r="CA78" i="4"/>
  <c r="CC78" i="4"/>
  <c r="CH78" i="4"/>
  <c r="AZ79" i="4"/>
  <c r="BX79" i="4" s="1"/>
  <c r="BY79" i="4" s="1"/>
  <c r="BZ79" i="4" s="1"/>
  <c r="CA79" i="4"/>
  <c r="CC79" i="4"/>
  <c r="CH79" i="4"/>
  <c r="AZ80" i="4"/>
  <c r="BX80" i="4" s="1"/>
  <c r="BY80" i="4" s="1"/>
  <c r="BZ80" i="4" s="1"/>
  <c r="CA80" i="4"/>
  <c r="CC80" i="4"/>
  <c r="CH80" i="4"/>
  <c r="AZ81" i="4"/>
  <c r="BX81" i="4" s="1"/>
  <c r="BY81" i="4" s="1"/>
  <c r="BZ81" i="4" s="1"/>
  <c r="CA81" i="4"/>
  <c r="CC81" i="4"/>
  <c r="CH81" i="4"/>
  <c r="AZ82" i="4"/>
  <c r="BX82" i="4" s="1"/>
  <c r="BY82" i="4" s="1"/>
  <c r="BZ82" i="4" s="1"/>
  <c r="CA82" i="4"/>
  <c r="CC82" i="4"/>
  <c r="CH82" i="4"/>
  <c r="AZ83" i="4"/>
  <c r="BX83" i="4" s="1"/>
  <c r="BY83" i="4" s="1"/>
  <c r="BZ83" i="4" s="1"/>
  <c r="CA83" i="4"/>
  <c r="CC83" i="4"/>
  <c r="CH83" i="4"/>
  <c r="AZ84" i="4"/>
  <c r="BX84" i="4" s="1"/>
  <c r="BY84" i="4" s="1"/>
  <c r="BZ84" i="4" s="1"/>
  <c r="CA84" i="4"/>
  <c r="CC84" i="4"/>
  <c r="CH84" i="4"/>
  <c r="AU85" i="4"/>
  <c r="CA85" i="4"/>
  <c r="CC85" i="4"/>
  <c r="AZ85" i="4" s="1"/>
  <c r="CH85" i="4"/>
  <c r="AU86" i="4"/>
  <c r="CA86" i="4"/>
  <c r="CB86" i="4"/>
  <c r="CC86" i="4"/>
  <c r="AZ86" i="4" s="1"/>
  <c r="CH86" i="4"/>
  <c r="AU87" i="4"/>
  <c r="CA87" i="4"/>
  <c r="CB87" i="4"/>
  <c r="BX87" i="4" s="1"/>
  <c r="BY87" i="4" s="1"/>
  <c r="BZ87" i="4" s="1"/>
  <c r="CC87" i="4"/>
  <c r="AZ87" i="4" s="1"/>
  <c r="CH87" i="4"/>
  <c r="AU88" i="4"/>
  <c r="CA88" i="4"/>
  <c r="CB88" i="4"/>
  <c r="BX88" i="4" s="1"/>
  <c r="BY88" i="4" s="1"/>
  <c r="BZ88" i="4" s="1"/>
  <c r="CC88" i="4"/>
  <c r="AZ88" i="4" s="1"/>
  <c r="CH88" i="4"/>
  <c r="AU89" i="4"/>
  <c r="CA89" i="4"/>
  <c r="CB89" i="4"/>
  <c r="CC89" i="4"/>
  <c r="AZ89" i="4" s="1"/>
  <c r="CH89" i="4"/>
  <c r="AU90" i="4"/>
  <c r="CA90" i="4"/>
  <c r="CB90" i="4"/>
  <c r="CC90" i="4"/>
  <c r="AZ90" i="4" s="1"/>
  <c r="CH90" i="4"/>
  <c r="AU91" i="4"/>
  <c r="CA91" i="4"/>
  <c r="BX91" i="4"/>
  <c r="BY91" i="4" s="1"/>
  <c r="BZ91" i="4" s="1"/>
  <c r="CC91" i="4"/>
  <c r="AZ91" i="4" s="1"/>
  <c r="CH91" i="4"/>
  <c r="AU92" i="4"/>
  <c r="CA92" i="4"/>
  <c r="CB92" i="4"/>
  <c r="CC92" i="4"/>
  <c r="AZ92" i="4" s="1"/>
  <c r="CH92" i="4"/>
  <c r="AZ93" i="4"/>
  <c r="BX93" i="4" s="1"/>
  <c r="BY93" i="4" s="1"/>
  <c r="BZ93" i="4" s="1"/>
  <c r="CA93" i="4"/>
  <c r="CC93" i="4"/>
  <c r="CH93" i="4"/>
  <c r="AZ94" i="4"/>
  <c r="BX94" i="4" s="1"/>
  <c r="BY94" i="4" s="1"/>
  <c r="BZ94" i="4" s="1"/>
  <c r="CA94" i="4"/>
  <c r="CC94" i="4"/>
  <c r="CH94" i="4"/>
  <c r="CA95" i="4"/>
  <c r="CC95" i="4"/>
  <c r="AZ95" i="4" s="1"/>
  <c r="BX95" i="4" s="1"/>
  <c r="BY95" i="4" s="1"/>
  <c r="BZ95" i="4" s="1"/>
  <c r="CH95" i="4"/>
  <c r="CA96" i="4"/>
  <c r="CC96" i="4"/>
  <c r="AZ96" i="4" s="1"/>
  <c r="CH96" i="4"/>
  <c r="CA97" i="4"/>
  <c r="CC97" i="4"/>
  <c r="AZ97" i="4" s="1"/>
  <c r="BX97" i="4" s="1"/>
  <c r="BY97" i="4" s="1"/>
  <c r="BZ97" i="4" s="1"/>
  <c r="CH97" i="4"/>
  <c r="CA98" i="4"/>
  <c r="CC98" i="4"/>
  <c r="AZ98" i="4" s="1"/>
  <c r="CH98" i="4"/>
  <c r="CA99" i="4"/>
  <c r="CC99" i="4"/>
  <c r="AZ99" i="4" s="1"/>
  <c r="CH99" i="4"/>
  <c r="CA100" i="4"/>
  <c r="CC100" i="4"/>
  <c r="AZ100" i="4" s="1"/>
  <c r="CH100" i="4"/>
  <c r="AW101" i="4"/>
  <c r="BX101" i="4"/>
  <c r="BY101" i="4" s="1"/>
  <c r="BZ101" i="4" s="1"/>
  <c r="CA101" i="4"/>
  <c r="CC101" i="4"/>
  <c r="CE101" i="4"/>
  <c r="CF101" i="4" s="1"/>
  <c r="CG101" i="4" s="1"/>
  <c r="CH101" i="4"/>
  <c r="AW102" i="4"/>
  <c r="BX102" i="4"/>
  <c r="BY102" i="4" s="1"/>
  <c r="BZ102" i="4" s="1"/>
  <c r="CA102" i="4"/>
  <c r="CC102" i="4"/>
  <c r="CE102" i="4"/>
  <c r="CF102" i="4" s="1"/>
  <c r="CG102" i="4" s="1"/>
  <c r="CH102" i="4"/>
  <c r="BI103" i="4"/>
  <c r="CA103" i="4" s="1"/>
  <c r="BK103" i="4"/>
  <c r="BB103" i="4" s="1"/>
  <c r="CH103" i="4"/>
  <c r="BI104" i="4"/>
  <c r="CC104" i="4" s="1"/>
  <c r="AZ104" i="4" s="1"/>
  <c r="BK104" i="4"/>
  <c r="CH104" i="4"/>
  <c r="BI105" i="4"/>
  <c r="CA105" i="4" s="1"/>
  <c r="BK105" i="4"/>
  <c r="BX105" i="4" s="1"/>
  <c r="BY105" i="4" s="1"/>
  <c r="CE105" i="4"/>
  <c r="CF105" i="4" s="1"/>
  <c r="CG105" i="4" s="1"/>
  <c r="CH105" i="4"/>
  <c r="BI106" i="4"/>
  <c r="CC106" i="4" s="1"/>
  <c r="BK106" i="4"/>
  <c r="CE106" i="4"/>
  <c r="CF106" i="4" s="1"/>
  <c r="CG106" i="4" s="1"/>
  <c r="CH106" i="4"/>
  <c r="BB107" i="4"/>
  <c r="BQ107" i="4"/>
  <c r="CA107" i="4"/>
  <c r="CC107" i="4"/>
  <c r="AZ107" i="4" s="1"/>
  <c r="BX107" i="4" s="1"/>
  <c r="BY107" i="4" s="1"/>
  <c r="BZ107" i="4" s="1"/>
  <c r="CH107" i="4"/>
  <c r="CA108" i="4"/>
  <c r="CC108" i="4"/>
  <c r="AZ108" i="4" s="1"/>
  <c r="CH108" i="4"/>
  <c r="CA109" i="4"/>
  <c r="CB109" i="4"/>
  <c r="BX109" i="4" s="1"/>
  <c r="BY109" i="4" s="1"/>
  <c r="BZ109" i="4" s="1"/>
  <c r="CC109" i="4"/>
  <c r="AW109" i="4" s="1"/>
  <c r="CE109" i="4"/>
  <c r="CF109" i="4" s="1"/>
  <c r="CG109" i="4" s="1"/>
  <c r="CH109" i="4"/>
  <c r="CA110" i="4"/>
  <c r="CC110" i="4"/>
  <c r="AZ110" i="4" s="1"/>
  <c r="CE110" i="4" s="1"/>
  <c r="CF110" i="4" s="1"/>
  <c r="CG110" i="4" s="1"/>
  <c r="CH110" i="4"/>
  <c r="CA111" i="4"/>
  <c r="CC111" i="4"/>
  <c r="AZ111" i="4" s="1"/>
  <c r="CE111" i="4" s="1"/>
  <c r="CF111" i="4" s="1"/>
  <c r="CG111" i="4" s="1"/>
  <c r="CH111" i="4"/>
  <c r="BJ112" i="4"/>
  <c r="CH112" i="4" s="1"/>
  <c r="CA112" i="4"/>
  <c r="CC112" i="4"/>
  <c r="AZ112" i="4" s="1"/>
  <c r="BX112" i="4" s="1"/>
  <c r="BY112" i="4" s="1"/>
  <c r="BZ112" i="4" s="1"/>
  <c r="BJ113" i="4"/>
  <c r="CH113" i="4" s="1"/>
  <c r="CA113" i="4"/>
  <c r="CC113" i="4"/>
  <c r="AZ113" i="4" s="1"/>
  <c r="BX113" i="4" s="1"/>
  <c r="BY113" i="4" s="1"/>
  <c r="BZ113" i="4" s="1"/>
  <c r="BJ114" i="4"/>
  <c r="CH114" i="4" s="1"/>
  <c r="CA114" i="4"/>
  <c r="CC114" i="4"/>
  <c r="AZ114" i="4" s="1"/>
  <c r="BX114" i="4" s="1"/>
  <c r="BY114" i="4" s="1"/>
  <c r="BZ114" i="4" s="1"/>
  <c r="BJ115" i="4"/>
  <c r="CH115" i="4" s="1"/>
  <c r="CA115" i="4"/>
  <c r="CC115" i="4"/>
  <c r="AZ115" i="4" s="1"/>
  <c r="BX115" i="4" s="1"/>
  <c r="BY115" i="4" s="1"/>
  <c r="BZ115" i="4" s="1"/>
  <c r="CA116" i="4"/>
  <c r="CC116" i="4"/>
  <c r="AZ116" i="4" s="1"/>
  <c r="BX116" i="4" s="1"/>
  <c r="BY116" i="4" s="1"/>
  <c r="BZ116" i="4" s="1"/>
  <c r="CH116" i="4"/>
  <c r="CA117" i="4"/>
  <c r="CC117" i="4"/>
  <c r="AZ117" i="4" s="1"/>
  <c r="BX117" i="4" s="1"/>
  <c r="BY117" i="4" s="1"/>
  <c r="BZ117" i="4" s="1"/>
  <c r="CH117" i="4"/>
  <c r="CA118" i="4"/>
  <c r="CC118" i="4"/>
  <c r="AZ118" i="4" s="1"/>
  <c r="BX118" i="4" s="1"/>
  <c r="BY118" i="4" s="1"/>
  <c r="BZ118" i="4" s="1"/>
  <c r="CH118" i="4"/>
  <c r="CA119" i="4"/>
  <c r="CC119" i="4"/>
  <c r="AZ119" i="4" s="1"/>
  <c r="BX119" i="4" s="1"/>
  <c r="BY119" i="4" s="1"/>
  <c r="BZ119" i="4" s="1"/>
  <c r="CH119" i="4"/>
  <c r="CA120" i="4"/>
  <c r="CC120" i="4"/>
  <c r="AZ120" i="4" s="1"/>
  <c r="BX120" i="4" s="1"/>
  <c r="BY120" i="4" s="1"/>
  <c r="BZ120" i="4" s="1"/>
  <c r="CH120" i="4"/>
  <c r="CA121" i="4"/>
  <c r="CC121" i="4"/>
  <c r="AZ121" i="4" s="1"/>
  <c r="BX121" i="4" s="1"/>
  <c r="BY121" i="4" s="1"/>
  <c r="BZ121" i="4" s="1"/>
  <c r="CH121" i="4"/>
  <c r="CA122" i="4"/>
  <c r="CC122" i="4"/>
  <c r="AZ122" i="4" s="1"/>
  <c r="BX122" i="4" s="1"/>
  <c r="BY122" i="4" s="1"/>
  <c r="BZ122" i="4" s="1"/>
  <c r="CH122" i="4"/>
  <c r="CA123" i="4"/>
  <c r="CC123" i="4"/>
  <c r="AZ123" i="4" s="1"/>
  <c r="BX123" i="4" s="1"/>
  <c r="BY123" i="4" s="1"/>
  <c r="BZ123" i="4" s="1"/>
  <c r="CH123" i="4"/>
  <c r="CA124" i="4"/>
  <c r="CC124" i="4"/>
  <c r="AZ124" i="4" s="1"/>
  <c r="BX124" i="4" s="1"/>
  <c r="BY124" i="4" s="1"/>
  <c r="BZ124" i="4" s="1"/>
  <c r="CH124" i="4"/>
  <c r="CA125" i="4"/>
  <c r="CC125" i="4"/>
  <c r="AZ125" i="4" s="1"/>
  <c r="BX125" i="4" s="1"/>
  <c r="BY125" i="4" s="1"/>
  <c r="BZ125" i="4" s="1"/>
  <c r="CH125" i="4"/>
  <c r="CA126" i="4"/>
  <c r="CC126" i="4"/>
  <c r="AZ126" i="4" s="1"/>
  <c r="BX126" i="4" s="1"/>
  <c r="BY126" i="4" s="1"/>
  <c r="BZ126" i="4" s="1"/>
  <c r="CH126" i="4"/>
  <c r="CA127" i="4"/>
  <c r="CC127" i="4"/>
  <c r="AZ127" i="4" s="1"/>
  <c r="BX127" i="4" s="1"/>
  <c r="BY127" i="4" s="1"/>
  <c r="BZ127" i="4" s="1"/>
  <c r="CH127" i="4"/>
  <c r="CA128" i="4"/>
  <c r="CC128" i="4"/>
  <c r="AZ128" i="4" s="1"/>
  <c r="BX128" i="4" s="1"/>
  <c r="BY128" i="4" s="1"/>
  <c r="BZ128" i="4" s="1"/>
  <c r="CH128" i="4"/>
  <c r="BB129" i="4"/>
  <c r="CA129" i="4"/>
  <c r="CC129" i="4"/>
  <c r="AZ129" i="4" s="1"/>
  <c r="CH129" i="4"/>
  <c r="CA130" i="4"/>
  <c r="CC130" i="4"/>
  <c r="AZ130" i="4" s="1"/>
  <c r="BX130" i="4" s="1"/>
  <c r="BY130" i="4" s="1"/>
  <c r="BZ130" i="4" s="1"/>
  <c r="CH130" i="4"/>
  <c r="CA131" i="4"/>
  <c r="CC131" i="4"/>
  <c r="AZ131" i="4" s="1"/>
  <c r="BX131" i="4" s="1"/>
  <c r="BY131" i="4" s="1"/>
  <c r="BZ131" i="4" s="1"/>
  <c r="CH131" i="4"/>
  <c r="CA132" i="4"/>
  <c r="CC132" i="4"/>
  <c r="AZ132" i="4" s="1"/>
  <c r="BX132" i="4" s="1"/>
  <c r="BY132" i="4" s="1"/>
  <c r="BZ132" i="4" s="1"/>
  <c r="CH132" i="4"/>
  <c r="CA133" i="4"/>
  <c r="CC133" i="4"/>
  <c r="AZ133" i="4" s="1"/>
  <c r="BX133" i="4" s="1"/>
  <c r="BY133" i="4" s="1"/>
  <c r="BZ133" i="4" s="1"/>
  <c r="CH133" i="4"/>
  <c r="CA134" i="4"/>
  <c r="CC134" i="4"/>
  <c r="AZ134" i="4" s="1"/>
  <c r="BX134" i="4" s="1"/>
  <c r="BY134" i="4" s="1"/>
  <c r="BZ134" i="4" s="1"/>
  <c r="CH134" i="4"/>
  <c r="CA135" i="4"/>
  <c r="CC135" i="4"/>
  <c r="AZ135" i="4" s="1"/>
  <c r="BX135" i="4" s="1"/>
  <c r="BY135" i="4" s="1"/>
  <c r="BZ135" i="4" s="1"/>
  <c r="CH135" i="4"/>
  <c r="CA136" i="4"/>
  <c r="CC136" i="4"/>
  <c r="AZ136" i="4" s="1"/>
  <c r="CB136" i="4" s="1"/>
  <c r="BX136" i="4" s="1"/>
  <c r="BY136" i="4" s="1"/>
  <c r="BZ136" i="4" s="1"/>
  <c r="CH136" i="4"/>
  <c r="CA137" i="4"/>
  <c r="CC137" i="4"/>
  <c r="AZ137" i="4" s="1"/>
  <c r="BX137" i="4" s="1"/>
  <c r="BY137" i="4" s="1"/>
  <c r="BZ137" i="4" s="1"/>
  <c r="CH137" i="4"/>
  <c r="CA138" i="4"/>
  <c r="CC138" i="4"/>
  <c r="AZ138" i="4" s="1"/>
  <c r="BX138" i="4" s="1"/>
  <c r="BY138" i="4" s="1"/>
  <c r="BZ138" i="4" s="1"/>
  <c r="CH138" i="4"/>
  <c r="CA139" i="4"/>
  <c r="CC139" i="4"/>
  <c r="AZ139" i="4" s="1"/>
  <c r="BX139" i="4" s="1"/>
  <c r="BY139" i="4" s="1"/>
  <c r="BZ139" i="4" s="1"/>
  <c r="CH139" i="4"/>
  <c r="CA140" i="4"/>
  <c r="CC140" i="4"/>
  <c r="AZ140" i="4" s="1"/>
  <c r="CE140" i="4" s="1"/>
  <c r="CF140" i="4" s="1"/>
  <c r="CG140" i="4" s="1"/>
  <c r="CH140" i="4"/>
  <c r="CA141" i="4"/>
  <c r="CC141" i="4"/>
  <c r="AZ141" i="4" s="1"/>
  <c r="BX141" i="4" s="1"/>
  <c r="BY141" i="4" s="1"/>
  <c r="BZ141" i="4" s="1"/>
  <c r="CH141" i="4"/>
  <c r="CA142" i="4"/>
  <c r="CC142" i="4"/>
  <c r="AZ142" i="4" s="1"/>
  <c r="BX142" i="4" s="1"/>
  <c r="BY142" i="4" s="1"/>
  <c r="BZ142" i="4" s="1"/>
  <c r="CH142" i="4"/>
  <c r="CA143" i="4"/>
  <c r="CC143" i="4"/>
  <c r="AZ143" i="4" s="1"/>
  <c r="BX143" i="4" s="1"/>
  <c r="BY143" i="4" s="1"/>
  <c r="BZ143" i="4" s="1"/>
  <c r="CH143" i="4"/>
  <c r="CA144" i="4"/>
  <c r="CC144" i="4"/>
  <c r="AZ144" i="4" s="1"/>
  <c r="BX144" i="4" s="1"/>
  <c r="BY144" i="4" s="1"/>
  <c r="BZ144" i="4" s="1"/>
  <c r="CH144" i="4"/>
  <c r="CA145" i="4"/>
  <c r="CC145" i="4"/>
  <c r="AZ145" i="4" s="1"/>
  <c r="BX145" i="4" s="1"/>
  <c r="BY145" i="4" s="1"/>
  <c r="BZ145" i="4" s="1"/>
  <c r="CH145" i="4"/>
  <c r="CA146" i="4"/>
  <c r="CC146" i="4"/>
  <c r="AZ146" i="4" s="1"/>
  <c r="BX146" i="4" s="1"/>
  <c r="BY146" i="4" s="1"/>
  <c r="BZ146" i="4" s="1"/>
  <c r="CH146" i="4"/>
  <c r="CA147" i="4"/>
  <c r="CC147" i="4"/>
  <c r="AZ147" i="4" s="1"/>
  <c r="BX147" i="4" s="1"/>
  <c r="BY147" i="4" s="1"/>
  <c r="BZ147" i="4" s="1"/>
  <c r="CH147" i="4"/>
  <c r="CA148" i="4"/>
  <c r="CC148" i="4"/>
  <c r="AZ148" i="4" s="1"/>
  <c r="BX148" i="4" s="1"/>
  <c r="BY148" i="4" s="1"/>
  <c r="BZ148" i="4" s="1"/>
  <c r="CH148" i="4"/>
  <c r="CE34" i="4" l="1"/>
  <c r="CF34" i="4" s="1"/>
  <c r="CG34" i="4" s="1"/>
  <c r="BX2" i="4"/>
  <c r="BY2" i="4" s="1"/>
  <c r="BZ2" i="4" s="1"/>
  <c r="BX40" i="4"/>
  <c r="BY40" i="4" s="1"/>
  <c r="BZ40" i="4" s="1"/>
  <c r="CE33" i="4"/>
  <c r="CF33" i="4" s="1"/>
  <c r="CG33" i="4" s="1"/>
  <c r="CE32" i="4"/>
  <c r="CF32" i="4" s="1"/>
  <c r="CG32" i="4" s="1"/>
  <c r="CE30" i="4"/>
  <c r="CF30" i="4" s="1"/>
  <c r="CG30" i="4" s="1"/>
  <c r="CE43" i="4"/>
  <c r="CF43" i="4" s="1"/>
  <c r="CG43" i="4" s="1"/>
  <c r="BX3" i="4"/>
  <c r="BY3" i="4" s="1"/>
  <c r="BZ3" i="4" s="1"/>
  <c r="CE41" i="4"/>
  <c r="CF41" i="4" s="1"/>
  <c r="CG41" i="4" s="1"/>
  <c r="CE27" i="4"/>
  <c r="CF27" i="4" s="1"/>
  <c r="CG27" i="4" s="1"/>
  <c r="BX4" i="4"/>
  <c r="BY4" i="4" s="1"/>
  <c r="BZ4" i="4" s="1"/>
  <c r="CE59" i="4"/>
  <c r="CF59" i="4" s="1"/>
  <c r="CG59" i="4" s="1"/>
  <c r="CE66" i="4"/>
  <c r="CF66" i="4" s="1"/>
  <c r="CG66" i="4" s="1"/>
  <c r="BX140" i="4"/>
  <c r="BY140" i="4" s="1"/>
  <c r="BZ140" i="4" s="1"/>
  <c r="CC105" i="4"/>
  <c r="BZ105" i="4"/>
  <c r="CE79" i="4"/>
  <c r="CF79" i="4" s="1"/>
  <c r="CG79" i="4" s="1"/>
  <c r="CE129" i="4"/>
  <c r="CF129" i="4" s="1"/>
  <c r="CG129" i="4" s="1"/>
  <c r="CB129" i="4"/>
  <c r="CE57" i="4"/>
  <c r="CF57" i="4" s="1"/>
  <c r="CG57" i="4" s="1"/>
  <c r="CB57" i="4"/>
  <c r="BX57" i="4" s="1"/>
  <c r="BY57" i="4" s="1"/>
  <c r="BZ57" i="4" s="1"/>
  <c r="CE104" i="4"/>
  <c r="CF104" i="4" s="1"/>
  <c r="CG104" i="4" s="1"/>
  <c r="CB104" i="4"/>
  <c r="CE108" i="4"/>
  <c r="CF108" i="4" s="1"/>
  <c r="CG108" i="4" s="1"/>
  <c r="CB108" i="4"/>
  <c r="BX108" i="4" s="1"/>
  <c r="BY108" i="4" s="1"/>
  <c r="BZ108" i="4" s="1"/>
  <c r="CE67" i="4"/>
  <c r="CF67" i="4" s="1"/>
  <c r="CG67" i="4" s="1"/>
  <c r="CE46" i="4"/>
  <c r="CF46" i="4" s="1"/>
  <c r="CG46" i="4" s="1"/>
  <c r="CE56" i="4"/>
  <c r="CF56" i="4" s="1"/>
  <c r="CG56" i="4" s="1"/>
  <c r="CB56" i="4"/>
  <c r="BX56" i="4" s="1"/>
  <c r="BY56" i="4" s="1"/>
  <c r="BZ56" i="4" s="1"/>
  <c r="BX37" i="4"/>
  <c r="BY37" i="4" s="1"/>
  <c r="BZ37" i="4" s="1"/>
  <c r="BX36" i="4"/>
  <c r="BY36" i="4" s="1"/>
  <c r="BZ36" i="4" s="1"/>
  <c r="BX11" i="4"/>
  <c r="BY11" i="4" s="1"/>
  <c r="BZ11" i="4" s="1"/>
  <c r="CA106" i="4"/>
  <c r="CE88" i="4"/>
  <c r="CF88" i="4" s="1"/>
  <c r="CG88" i="4" s="1"/>
  <c r="CE77" i="4"/>
  <c r="CF77" i="4" s="1"/>
  <c r="CG77" i="4" s="1"/>
  <c r="CE50" i="4"/>
  <c r="CF50" i="4" s="1"/>
  <c r="CG50" i="4" s="1"/>
  <c r="CE44" i="4"/>
  <c r="CF44" i="4" s="1"/>
  <c r="CG44" i="4" s="1"/>
  <c r="CE38" i="4"/>
  <c r="CF38" i="4" s="1"/>
  <c r="CG38" i="4" s="1"/>
  <c r="CC103" i="4"/>
  <c r="AZ103" i="4" s="1"/>
  <c r="CE65" i="4"/>
  <c r="CF65" i="4" s="1"/>
  <c r="CG65" i="4" s="1"/>
  <c r="CE58" i="4"/>
  <c r="CF58" i="4" s="1"/>
  <c r="CG58" i="4" s="1"/>
  <c r="CE22" i="4"/>
  <c r="CF22" i="4" s="1"/>
  <c r="CG22" i="4" s="1"/>
  <c r="CE19" i="4"/>
  <c r="CF19" i="4" s="1"/>
  <c r="CG19" i="4" s="1"/>
  <c r="BX15" i="4"/>
  <c r="BY15" i="4" s="1"/>
  <c r="BZ15" i="4" s="1"/>
  <c r="CE83" i="4"/>
  <c r="CF83" i="4" s="1"/>
  <c r="CG83" i="4" s="1"/>
  <c r="CE81" i="4"/>
  <c r="CF81" i="4" s="1"/>
  <c r="CG81" i="4" s="1"/>
  <c r="CE70" i="4"/>
  <c r="CF70" i="4" s="1"/>
  <c r="CG70" i="4" s="1"/>
  <c r="CE62" i="4"/>
  <c r="CF62" i="4" s="1"/>
  <c r="CG62" i="4" s="1"/>
  <c r="CE52" i="4"/>
  <c r="CF52" i="4" s="1"/>
  <c r="CG52" i="4" s="1"/>
  <c r="CE134" i="4"/>
  <c r="CF134" i="4" s="1"/>
  <c r="CG134" i="4" s="1"/>
  <c r="CE132" i="4"/>
  <c r="CF132" i="4" s="1"/>
  <c r="CG132" i="4" s="1"/>
  <c r="CE130" i="4"/>
  <c r="CF130" i="4" s="1"/>
  <c r="CG130" i="4" s="1"/>
  <c r="CE114" i="4"/>
  <c r="CF114" i="4" s="1"/>
  <c r="CG114" i="4" s="1"/>
  <c r="CE94" i="4"/>
  <c r="CF94" i="4" s="1"/>
  <c r="CG94" i="4" s="1"/>
  <c r="CE87" i="4"/>
  <c r="CF87" i="4" s="1"/>
  <c r="CG87" i="4" s="1"/>
  <c r="CE82" i="4"/>
  <c r="CF82" i="4" s="1"/>
  <c r="CG82" i="4" s="1"/>
  <c r="CE80" i="4"/>
  <c r="CF80" i="4" s="1"/>
  <c r="CG80" i="4" s="1"/>
  <c r="CE68" i="4"/>
  <c r="CF68" i="4" s="1"/>
  <c r="CG68" i="4" s="1"/>
  <c r="CE60" i="4"/>
  <c r="CF60" i="4" s="1"/>
  <c r="CG60" i="4" s="1"/>
  <c r="CE31" i="4"/>
  <c r="CF31" i="4" s="1"/>
  <c r="CG31" i="4" s="1"/>
  <c r="CE17" i="4"/>
  <c r="CF17" i="4" s="1"/>
  <c r="CG17" i="4" s="1"/>
  <c r="CE7" i="4"/>
  <c r="CF7" i="4" s="1"/>
  <c r="CG7" i="4" s="1"/>
  <c r="BB106" i="4"/>
  <c r="BB105" i="4"/>
  <c r="BB72" i="4"/>
  <c r="CE137" i="4"/>
  <c r="CF137" i="4" s="1"/>
  <c r="CG137" i="4" s="1"/>
  <c r="CE136" i="4"/>
  <c r="CF136" i="4" s="1"/>
  <c r="CG136" i="4" s="1"/>
  <c r="CE135" i="4"/>
  <c r="CF135" i="4" s="1"/>
  <c r="CG135" i="4" s="1"/>
  <c r="CE133" i="4"/>
  <c r="CF133" i="4" s="1"/>
  <c r="CG133" i="4" s="1"/>
  <c r="CE131" i="4"/>
  <c r="CF131" i="4" s="1"/>
  <c r="CG131" i="4" s="1"/>
  <c r="CE116" i="4"/>
  <c r="CF116" i="4" s="1"/>
  <c r="CG116" i="4" s="1"/>
  <c r="CE107" i="4"/>
  <c r="CF107" i="4" s="1"/>
  <c r="CG107" i="4" s="1"/>
  <c r="CE95" i="4"/>
  <c r="CF95" i="4" s="1"/>
  <c r="CG95" i="4" s="1"/>
  <c r="CE93" i="4"/>
  <c r="CF93" i="4" s="1"/>
  <c r="CG93" i="4" s="1"/>
  <c r="CE84" i="4"/>
  <c r="CF84" i="4" s="1"/>
  <c r="CG84" i="4" s="1"/>
  <c r="CE78" i="4"/>
  <c r="CF78" i="4" s="1"/>
  <c r="CG78" i="4" s="1"/>
  <c r="BX69" i="4"/>
  <c r="BY69" i="4" s="1"/>
  <c r="BZ69" i="4" s="1"/>
  <c r="CE64" i="4"/>
  <c r="CF64" i="4" s="1"/>
  <c r="CG64" i="4" s="1"/>
  <c r="BX61" i="4"/>
  <c r="BY61" i="4" s="1"/>
  <c r="BZ61" i="4" s="1"/>
  <c r="CE25" i="4"/>
  <c r="CF25" i="4" s="1"/>
  <c r="CG25" i="4" s="1"/>
  <c r="CE23" i="4"/>
  <c r="CF23" i="4" s="1"/>
  <c r="CG23" i="4" s="1"/>
  <c r="CE8" i="4"/>
  <c r="CF8" i="4" s="1"/>
  <c r="CG8" i="4" s="1"/>
  <c r="CE71" i="4"/>
  <c r="CF71" i="4" s="1"/>
  <c r="CG71" i="4" s="1"/>
  <c r="CE63" i="4"/>
  <c r="CF63" i="4" s="1"/>
  <c r="CG63" i="4" s="1"/>
  <c r="CE51" i="4"/>
  <c r="CF51" i="4" s="1"/>
  <c r="CG51" i="4" s="1"/>
  <c r="BB104" i="4"/>
  <c r="BX104" i="4"/>
  <c r="BY104" i="4" s="1"/>
  <c r="BZ104" i="4" s="1"/>
  <c r="BX18" i="4"/>
  <c r="BY18" i="4" s="1"/>
  <c r="BZ18" i="4" s="1"/>
  <c r="CE18" i="4"/>
  <c r="CF18" i="4" s="1"/>
  <c r="CG18" i="4" s="1"/>
  <c r="CE148" i="4"/>
  <c r="CF148" i="4" s="1"/>
  <c r="CG148" i="4" s="1"/>
  <c r="CE147" i="4"/>
  <c r="CF147" i="4" s="1"/>
  <c r="CG147" i="4" s="1"/>
  <c r="CE146" i="4"/>
  <c r="CF146" i="4" s="1"/>
  <c r="CG146" i="4" s="1"/>
  <c r="CE145" i="4"/>
  <c r="CF145" i="4" s="1"/>
  <c r="CG145" i="4" s="1"/>
  <c r="CE144" i="4"/>
  <c r="CF144" i="4" s="1"/>
  <c r="CG144" i="4" s="1"/>
  <c r="CE143" i="4"/>
  <c r="CF143" i="4" s="1"/>
  <c r="CG143" i="4" s="1"/>
  <c r="CE142" i="4"/>
  <c r="CF142" i="4" s="1"/>
  <c r="CG142" i="4" s="1"/>
  <c r="CE141" i="4"/>
  <c r="CF141" i="4" s="1"/>
  <c r="CG141" i="4" s="1"/>
  <c r="CE128" i="4"/>
  <c r="CF128" i="4" s="1"/>
  <c r="CG128" i="4" s="1"/>
  <c r="CE127" i="4"/>
  <c r="CF127" i="4" s="1"/>
  <c r="CG127" i="4" s="1"/>
  <c r="CE126" i="4"/>
  <c r="CF126" i="4" s="1"/>
  <c r="CG126" i="4" s="1"/>
  <c r="CE125" i="4"/>
  <c r="CF125" i="4" s="1"/>
  <c r="CG125" i="4" s="1"/>
  <c r="CE123" i="4"/>
  <c r="CF123" i="4" s="1"/>
  <c r="CG123" i="4" s="1"/>
  <c r="CE121" i="4"/>
  <c r="CF121" i="4" s="1"/>
  <c r="CG121" i="4" s="1"/>
  <c r="CE119" i="4"/>
  <c r="CF119" i="4" s="1"/>
  <c r="CG119" i="4" s="1"/>
  <c r="CE117" i="4"/>
  <c r="CF117" i="4" s="1"/>
  <c r="CG117" i="4" s="1"/>
  <c r="CE115" i="4"/>
  <c r="CF115" i="4" s="1"/>
  <c r="CG115" i="4" s="1"/>
  <c r="BX106" i="4"/>
  <c r="BY106" i="4" s="1"/>
  <c r="BZ106" i="4" s="1"/>
  <c r="CA104" i="4"/>
  <c r="BX99" i="4"/>
  <c r="BY99" i="4" s="1"/>
  <c r="BZ99" i="4" s="1"/>
  <c r="CE99" i="4"/>
  <c r="CF99" i="4" s="1"/>
  <c r="CG99" i="4" s="1"/>
  <c r="BX90" i="4"/>
  <c r="BY90" i="4" s="1"/>
  <c r="BZ90" i="4" s="1"/>
  <c r="CE90" i="4"/>
  <c r="CF90" i="4" s="1"/>
  <c r="CG90" i="4" s="1"/>
  <c r="BX53" i="4"/>
  <c r="BY53" i="4" s="1"/>
  <c r="BZ53" i="4" s="1"/>
  <c r="CE53" i="4"/>
  <c r="CF53" i="4" s="1"/>
  <c r="CG53" i="4" s="1"/>
  <c r="BX49" i="4"/>
  <c r="BY49" i="4" s="1"/>
  <c r="BZ49" i="4" s="1"/>
  <c r="CE49" i="4"/>
  <c r="CF49" i="4" s="1"/>
  <c r="CG49" i="4" s="1"/>
  <c r="BX45" i="4"/>
  <c r="BY45" i="4" s="1"/>
  <c r="BZ45" i="4" s="1"/>
  <c r="CE45" i="4"/>
  <c r="CF45" i="4" s="1"/>
  <c r="CG45" i="4" s="1"/>
  <c r="BX21" i="4"/>
  <c r="BY21" i="4" s="1"/>
  <c r="BZ21" i="4" s="1"/>
  <c r="CE21" i="4"/>
  <c r="CF21" i="4" s="1"/>
  <c r="CG21" i="4" s="1"/>
  <c r="BX16" i="4"/>
  <c r="BY16" i="4" s="1"/>
  <c r="BZ16" i="4" s="1"/>
  <c r="CE16" i="4"/>
  <c r="CF16" i="4" s="1"/>
  <c r="CG16" i="4" s="1"/>
  <c r="BX13" i="4"/>
  <c r="BY13" i="4" s="1"/>
  <c r="BZ13" i="4" s="1"/>
  <c r="CE13" i="4"/>
  <c r="CF13" i="4" s="1"/>
  <c r="CG13" i="4" s="1"/>
  <c r="BX96" i="4"/>
  <c r="BY96" i="4" s="1"/>
  <c r="BZ96" i="4" s="1"/>
  <c r="CE96" i="4"/>
  <c r="CF96" i="4" s="1"/>
  <c r="CG96" i="4" s="1"/>
  <c r="BX24" i="4"/>
  <c r="BY24" i="4" s="1"/>
  <c r="BZ24" i="4" s="1"/>
  <c r="CE24" i="4"/>
  <c r="CF24" i="4" s="1"/>
  <c r="CG24" i="4" s="1"/>
  <c r="CE124" i="4"/>
  <c r="CF124" i="4" s="1"/>
  <c r="CG124" i="4" s="1"/>
  <c r="CE122" i="4"/>
  <c r="CF122" i="4" s="1"/>
  <c r="CG122" i="4" s="1"/>
  <c r="CE120" i="4"/>
  <c r="CF120" i="4" s="1"/>
  <c r="CG120" i="4" s="1"/>
  <c r="CE118" i="4"/>
  <c r="CF118" i="4" s="1"/>
  <c r="CG118" i="4" s="1"/>
  <c r="CE113" i="4"/>
  <c r="CF113" i="4" s="1"/>
  <c r="CG113" i="4" s="1"/>
  <c r="BX92" i="4"/>
  <c r="BY92" i="4" s="1"/>
  <c r="BZ92" i="4" s="1"/>
  <c r="CE92" i="4"/>
  <c r="CF92" i="4" s="1"/>
  <c r="CG92" i="4" s="1"/>
  <c r="BX89" i="4"/>
  <c r="BY89" i="4" s="1"/>
  <c r="BZ89" i="4" s="1"/>
  <c r="CE89" i="4"/>
  <c r="CF89" i="4" s="1"/>
  <c r="CG89" i="4" s="1"/>
  <c r="BX47" i="4"/>
  <c r="BY47" i="4" s="1"/>
  <c r="BZ47" i="4" s="1"/>
  <c r="CE47" i="4"/>
  <c r="CF47" i="4" s="1"/>
  <c r="CG47" i="4" s="1"/>
  <c r="CE35" i="4"/>
  <c r="CF35" i="4" s="1"/>
  <c r="CG35" i="4" s="1"/>
  <c r="BX26" i="4"/>
  <c r="BY26" i="4" s="1"/>
  <c r="BZ26" i="4" s="1"/>
  <c r="CE26" i="4"/>
  <c r="CF26" i="4" s="1"/>
  <c r="CG26" i="4" s="1"/>
  <c r="BX12" i="4"/>
  <c r="BY12" i="4" s="1"/>
  <c r="BZ12" i="4" s="1"/>
  <c r="CE12" i="4"/>
  <c r="CF12" i="4" s="1"/>
  <c r="CG12" i="4" s="1"/>
  <c r="BX100" i="4"/>
  <c r="BY100" i="4" s="1"/>
  <c r="BZ100" i="4" s="1"/>
  <c r="CE100" i="4"/>
  <c r="CF100" i="4" s="1"/>
  <c r="CG100" i="4" s="1"/>
  <c r="BX85" i="4"/>
  <c r="BY85" i="4" s="1"/>
  <c r="BZ85" i="4" s="1"/>
  <c r="CE85" i="4"/>
  <c r="CF85" i="4" s="1"/>
  <c r="CG85" i="4" s="1"/>
  <c r="BX42" i="4"/>
  <c r="BY42" i="4" s="1"/>
  <c r="BZ42" i="4" s="1"/>
  <c r="CE42" i="4"/>
  <c r="CF42" i="4" s="1"/>
  <c r="CG42" i="4" s="1"/>
  <c r="BX29" i="4"/>
  <c r="BY29" i="4" s="1"/>
  <c r="BZ29" i="4" s="1"/>
  <c r="CE29" i="4"/>
  <c r="CF29" i="4" s="1"/>
  <c r="CG29" i="4" s="1"/>
  <c r="CE139" i="4"/>
  <c r="CF139" i="4" s="1"/>
  <c r="CG139" i="4" s="1"/>
  <c r="CE138" i="4"/>
  <c r="CF138" i="4" s="1"/>
  <c r="CG138" i="4" s="1"/>
  <c r="CE112" i="4"/>
  <c r="CF112" i="4" s="1"/>
  <c r="CG112" i="4" s="1"/>
  <c r="BX98" i="4"/>
  <c r="BY98" i="4" s="1"/>
  <c r="BZ98" i="4" s="1"/>
  <c r="CE98" i="4"/>
  <c r="CF98" i="4" s="1"/>
  <c r="CG98" i="4" s="1"/>
  <c r="CE97" i="4"/>
  <c r="CF97" i="4" s="1"/>
  <c r="CG97" i="4" s="1"/>
  <c r="CE91" i="4"/>
  <c r="CF91" i="4" s="1"/>
  <c r="CG91" i="4" s="1"/>
  <c r="BX86" i="4"/>
  <c r="BY86" i="4" s="1"/>
  <c r="BZ86" i="4" s="1"/>
  <c r="CE86" i="4"/>
  <c r="CF86" i="4" s="1"/>
  <c r="CG86" i="4" s="1"/>
  <c r="CE48" i="4"/>
  <c r="CF48" i="4" s="1"/>
  <c r="CG48" i="4" s="1"/>
  <c r="BX39" i="4"/>
  <c r="BY39" i="4" s="1"/>
  <c r="BZ39" i="4" s="1"/>
  <c r="CE39" i="4"/>
  <c r="CF39" i="4" s="1"/>
  <c r="CG39" i="4" s="1"/>
  <c r="BX28" i="4"/>
  <c r="BY28" i="4" s="1"/>
  <c r="BZ28" i="4" s="1"/>
  <c r="CE28" i="4"/>
  <c r="CF28" i="4" s="1"/>
  <c r="CG28" i="4" s="1"/>
  <c r="BX20" i="4"/>
  <c r="BY20" i="4" s="1"/>
  <c r="BZ20" i="4" s="1"/>
  <c r="CE20" i="4"/>
  <c r="CF20" i="4" s="1"/>
  <c r="CG20" i="4" s="1"/>
  <c r="BX14" i="4"/>
  <c r="BY14" i="4" s="1"/>
  <c r="BZ14" i="4" s="1"/>
  <c r="CE14" i="4"/>
  <c r="CF14" i="4" s="1"/>
  <c r="CG14" i="4" s="1"/>
  <c r="BX9" i="4"/>
  <c r="BY9" i="4" s="1"/>
  <c r="BZ9" i="4" s="1"/>
  <c r="CE9" i="4"/>
  <c r="CF9" i="4" s="1"/>
  <c r="CG9" i="4" s="1"/>
  <c r="BX6" i="4"/>
  <c r="BY6" i="4" s="1"/>
  <c r="BZ6" i="4" s="1"/>
  <c r="CE6" i="4"/>
  <c r="CF6" i="4" s="1"/>
  <c r="CG6" i="4" s="1"/>
  <c r="CE10" i="4"/>
  <c r="CF10" i="4" s="1"/>
  <c r="CG10" i="4" s="1"/>
  <c r="BX5" i="4"/>
  <c r="BY5" i="4" s="1"/>
  <c r="BZ5" i="4" s="1"/>
  <c r="CE5" i="4"/>
  <c r="CF5" i="4" s="1"/>
  <c r="CG5" i="4" s="1"/>
  <c r="BX72" i="4"/>
  <c r="BY72" i="4" s="1"/>
  <c r="BZ72" i="4" s="1"/>
  <c r="AW129" i="4"/>
  <c r="BX129" i="4"/>
  <c r="BY129" i="4" s="1"/>
  <c r="BZ129" i="4" s="1"/>
  <c r="AW111" i="4"/>
  <c r="CB111" i="4"/>
  <c r="BX111" i="4" s="1"/>
  <c r="BY111" i="4" s="1"/>
  <c r="BZ111" i="4" s="1"/>
  <c r="AW110" i="4"/>
  <c r="CB110" i="4"/>
  <c r="BX110" i="4" s="1"/>
  <c r="BY110" i="4" s="1"/>
  <c r="BZ110" i="4" s="1"/>
  <c r="AW108" i="4"/>
  <c r="BM53" i="5"/>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CE103" i="4" l="1"/>
  <c r="CF103" i="4" s="1"/>
  <c r="CG103" i="4" s="1"/>
  <c r="CB103" i="4"/>
  <c r="BX103" i="4" s="1"/>
  <c r="BY103" i="4" s="1"/>
  <c r="BZ103" i="4" s="1"/>
  <c r="BI41" i="5"/>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tc={73C2226C-6106-4DC2-88CF-9C0A06F48311}</author>
    <author>tc={CEE78422-255C-40DC-AFED-5AA185CC03E1}</author>
    <author>tc={C7CEED71-5EFE-4791-84D8-7010C40A69F0}</author>
  </authors>
  <commentList>
    <comment ref="AQ1" authorId="0" shapeId="0" xr:uid="{00000000-0006-0000-0000-000001000000}">
      <text>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text>
    </comment>
    <comment ref="AZ1" authorId="1" shapeId="0" xr:uid="{00000000-0006-0000-0000-000002000000}">
      <text>
        <t>[Threaded comment]
Your version of Excel allows you to read this threaded comment; however, any edits to it will get removed if the file is opened in a newer version of Excel. Learn more: https://go.microsoft.com/fwlink/?linkid=870924
Comment:
    daily kWh</t>
      </text>
    </comment>
    <comment ref="AQ22" authorId="2" shapeId="0" xr:uid="{00000000-0006-0000-0000-000003000000}">
      <text>
        <t>[Threaded comment]
Your version of Excel allows you to read this threaded comment; however, any edits to it will get removed if the file is opened in a newer version of Excel. Learn more: https://go.microsoft.com/fwlink/?linkid=870924
Comment:
    in kWh</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tc={1DD52412-77C6-1E43-B8CC-07AD562D2C6E}</author>
    <author>Diana Danilenko</author>
    <author>tc={1762D52C-C952-7F43-847B-B050969DF7F7}</author>
    <author>tc={1F7A7D95-9782-8549-84C7-AF86FD10A3A0}</author>
    <author>tc={82F1C3F7-426B-1A49-BF17-3AE9A7F3075E}</author>
    <author>tc={9F47CB00-27A0-CE4B-BCAE-E38E0BB97778}</author>
  </authors>
  <commentList>
    <comment ref="AA1" authorId="0" shapeId="0" xr:uid="{00000000-0006-0000-0100-000001000000}">
      <text>
        <t>[Threaded comment]
Your version of Excel allows you to read this threaded comment; however, any edits to it will get removed if the file is opened in a newer version of Excel. Learn more: https://go.microsoft.com/fwlink/?linkid=870924
Comment:
    check label studies from srmt for label type</t>
      </text>
    </comment>
    <comment ref="BG32" authorId="1" shapeId="0" xr:uid="{00000000-0006-0000-0100-000004000000}">
      <text>
        <r>
          <rPr>
            <b/>
            <sz val="9"/>
            <color indexed="81"/>
            <rFont val="Segoe UI"/>
            <charset val="1"/>
          </rPr>
          <t>Diana Danilenko:</t>
        </r>
        <r>
          <rPr>
            <sz val="9"/>
            <color indexed="81"/>
            <rFont val="Segoe UI"/>
            <charset val="1"/>
          </rPr>
          <t xml:space="preserve">
degree of freedom</t>
        </r>
      </text>
    </comment>
    <comment ref="AW95" authorId="2" shapeId="0" xr:uid="{00000000-0006-0000-0100-000003000000}">
      <text>
        <t>[Threaded comment]
Your version of Excel allows you to read this threaded comment; however, any edits to it will get removed if the file is opened in a newer version of Excel. Learn more: https://go.microsoft.com/fwlink/?linkid=870924
Comment:
    we have confidence intervals but no SE</t>
      </text>
    </comment>
    <comment ref="BJ129" authorId="3" shapeId="0" xr:uid="{00000000-0006-0000-0100-000006000000}">
      <text>
        <t xml:space="preserve">[Threaded comment]
Your version of Excel allows you to read this threaded comment; however, any edits to it will get removed if the file is opened in a newer version of Excel. Learn more: https://go.microsoft.com/fwlink/?linkid=870924
Comment:
    number of stores -what should we actually use as observations
</t>
      </text>
    </comment>
    <comment ref="BB136" authorId="4" shapeId="0" xr:uid="{00000000-0006-0000-0100-000002000000}">
      <text>
        <t>[Threaded comment]
Your version of Excel allows you to read this threaded comment; however, any edits to it will get removed if the file is opened in a newer version of Excel. Learn more: https://go.microsoft.com/fwlink/?linkid=870924
Comment:
    Delta = 81 - 63 percent</t>
      </text>
    </comment>
    <comment ref="M141" authorId="5" shapeId="0" xr:uid="{00000000-0006-0000-0100-000005000000}">
      <text>
        <t xml:space="preserve">[Threaded comment]
Your version of Excel allows you to read this threaded comment; however, any edits to it will get removed if the file is opened in a newer version of Excel. Learn more: https://go.microsoft.com/fwlink/?linkid=870924
Comment:
    structural equation modelling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tc={CF36070F-7893-4948-8AB8-1CADF6EBBFD9}</author>
  </authors>
  <commentList>
    <comment ref="E6" authorId="0" shapeId="0" xr:uid="{00000000-0006-0000-0300-000001000000}">
      <text>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text>
    </comment>
  </commentList>
</comments>
</file>

<file path=xl/sharedStrings.xml><?xml version="1.0" encoding="utf-8"?>
<sst xmlns="http://schemas.openxmlformats.org/spreadsheetml/2006/main" count="8091" uniqueCount="727">
  <si>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</si>
  <si>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</si>
  <si>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</si>
  <si>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</si>
  <si>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</si>
  <si>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</si>
  <si>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</si>
  <si>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</si>
  <si>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</si>
  <si>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</si>
  <si>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</si>
  <si>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</si>
  <si>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</si>
  <si>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</si>
  <si>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</si>
  <si>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</si>
  <si>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</si>
  <si>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</si>
  <si>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</si>
  <si>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</si>
  <si>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</si>
  <si>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</si>
  <si>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</si>
  <si>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</si>
  <si>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</si>
  <si>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</si>
  <si>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</si>
  <si>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</si>
  <si>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</si>
  <si>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</si>
  <si>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</si>
  <si>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</si>
  <si>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</si>
  <si>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</si>
  <si>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</si>
  <si>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</si>
  <si>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</si>
  <si>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</si>
  <si>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</si>
  <si>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</si>
  <si>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</si>
  <si>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</si>
  <si>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</si>
  <si>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</si>
  <si>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</si>
  <si>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</si>
  <si>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</si>
  <si>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</si>
  <si>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</si>
  <si>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</si>
  <si>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</si>
  <si>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</si>
  <si>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</si>
  <si>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</si>
  <si>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</si>
  <si>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</si>
  <si>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</si>
  <si>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</si>
  <si>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</si>
  <si>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</si>
  <si>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</si>
  <si>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</si>
  <si>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</si>
  <si>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</si>
  <si>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</si>
  <si>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</si>
  <si>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</si>
  <si>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</si>
  <si>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</si>
  <si>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</si>
  <si>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</si>
  <si>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</si>
  <si>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</si>
  <si>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</si>
  <si>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</si>
  <si>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</si>
  <si>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</si>
  <si>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</si>
  <si>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</si>
  <si>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</si>
  <si>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</si>
  <si>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</si>
  <si>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</si>
  <si>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</si>
  <si>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</si>
  <si>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</si>
  <si>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</si>
  <si>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</si>
  <si>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</si>
  <si>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</si>
  <si>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</si>
  <si>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</si>
  <si>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</si>
  <si>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</si>
  <si>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</si>
  <si>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</si>
  <si>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</si>
  <si>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</si>
  <si>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</si>
  <si>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</si>
  <si>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</si>
  <si>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</si>
  <si>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</si>
  <si>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</si>
  <si>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</si>
  <si>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</si>
  <si>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</si>
  <si>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</si>
  <si>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</si>
  <si>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</si>
  <si>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</si>
  <si>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</si>
  <si>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</si>
  <si>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</si>
  <si>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</si>
  <si>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</si>
  <si>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</si>
  <si>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</si>
  <si>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</si>
  <si>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</si>
  <si>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</si>
  <si>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</si>
  <si>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</si>
  <si>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</si>
  <si>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</si>
  <si>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</si>
  <si>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</si>
  <si>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</si>
  <si>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</si>
  <si>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</si>
  <si>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</si>
  <si>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</si>
  <si>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</si>
  <si>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</si>
  <si>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</si>
  <si>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</si>
  <si>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</si>
  <si>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</si>
  <si>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</si>
  <si>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</si>
  <si>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</si>
  <si>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</si>
  <si>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</si>
  <si>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</si>
  <si>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</si>
  <si>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</si>
  <si>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</si>
  <si>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</si>
  <si>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</si>
  <si>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</si>
  <si>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</si>
  <si>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</si>
  <si>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</si>
  <si>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</si>
  <si>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</si>
  <si>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</si>
  <si>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</si>
  <si>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</si>
  <si>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</si>
  <si>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</si>
  <si>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</si>
  <si>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</si>
  <si>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</si>
  <si>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</si>
  <si>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</si>
  <si>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</si>
  <si>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</si>
  <si>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</si>
  <si>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</si>
  <si>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</si>
  <si>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</si>
  <si>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</si>
  <si>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</si>
  <si>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</si>
  <si>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</si>
  <si>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</si>
  <si>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</si>
  <si>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</si>
  <si>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</si>
  <si>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</si>
  <si>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</si>
  <si>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</si>
  <si>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</si>
  <si>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</si>
  <si>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</si>
  <si>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</si>
  <si>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</si>
  <si>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</si>
  <si>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</si>
  <si>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</si>
  <si>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</si>
  <si>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</si>
  <si>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</si>
  <si>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</si>
  <si>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</si>
  <si>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dishwasher</t>
  </si>
  <si>
    <t>ac</t>
  </si>
  <si>
    <t>notes_dep_var</t>
  </si>
  <si>
    <t>dep_variable_purchase_category</t>
  </si>
  <si>
    <t>dep_var_original_study</t>
  </si>
  <si>
    <t>dep_var_transformation</t>
  </si>
  <si>
    <t>t_stat</t>
  </si>
  <si>
    <t>percent_change</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</si>
  <si>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</si>
  <si>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</si>
  <si>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</si>
  <si>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</si>
  <si>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</si>
  <si>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</si>
  <si>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</si>
  <si>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</si>
  <si>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</si>
  <si>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</si>
  <si>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</si>
  <si>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r_value</t>
  </si>
  <si>
    <t>df</t>
  </si>
  <si>
    <t>comments</t>
  </si>
  <si>
    <t>r_value_obs</t>
  </si>
  <si>
    <t>z_value_obs</t>
  </si>
  <si>
    <t>r_variance_obs</t>
  </si>
  <si>
    <t>z_variance_obs</t>
  </si>
  <si>
    <t>all</t>
  </si>
  <si>
    <t>Allcott, Sweeney</t>
  </si>
  <si>
    <t>The Role of Sales Agents in Information Disclosure:
Evidence from a Field Experiment</t>
  </si>
  <si>
    <t>With a large nationwide retailer, we run a natural field experiment to measure the effects of energy use
information disclosure, customer rebates, and sales agent incentives on demand for energy-efficient durable
goods. Although a combination of large rebates plus sales incentives substantially increases market share,
information and sales incentives alone each have zero statistical effect and explain at most a small fraction of
the low baseline market share. Sales agents strategically comply only partially with the experiment, targeting
information to more interested consumers but not discussing energy efficiency with the disinterested majority.
These results suggest that seller-provided information is not a major barrier to energy-efficiency investments at
current prices in this context.</t>
  </si>
  <si>
    <t>ITT</t>
  </si>
  <si>
    <t>control &amp; treatment</t>
  </si>
  <si>
    <t>revealed preference</t>
  </si>
  <si>
    <t>sales agent</t>
  </si>
  <si>
    <t>caller</t>
  </si>
  <si>
    <t>no such option</t>
  </si>
  <si>
    <t>probably no</t>
  </si>
  <si>
    <t>focus on phase 1 as there the effect is separated from agent incentivisation</t>
  </si>
  <si>
    <t>purschase (probability) of efficient appliance</t>
  </si>
  <si>
    <t>whether the consumer purchases an Energy Star model</t>
  </si>
  <si>
    <t>dummy (0/1)</t>
  </si>
  <si>
    <t xml:space="preserve">current </t>
  </si>
  <si>
    <t>Liu, Jin</t>
  </si>
  <si>
    <t>Visualisation Approach and Economic Incentives toward Low Carbon Practices in
Households: A Survey Study in Hyogo, Japan</t>
  </si>
  <si>
    <t>Considering the great significance of residential sector for deep decarbonisation in
the medium and long term, this study analyses the effectiveness of an emissions visualisation
approach and economic incentives in promoting household low-carbon practices. The data was
gathered by a questionnaire survey from 406 households in Hyogo Prefecture, Japan, which
received eco-home diagnosis in the past three years. The result confirms that around 40% of the
samples installed home energy management system (HEMS) as the visualisation tool, and many
households received low-carbon subsidies; however, few of them have utilised the low-interest
loan from the government of Hyogo. Household lifestyle efforts are less associated with the policy
measures and some differ due to family characteristics, i.e., the age of head of the household.
Replacing household equipment with low-carbon items is largely determined by the visualisation
approach and availability of economic incentives. As an example, the installation of HEMS would
increase the probability of replacement with an electric heat pump water heater by 25.6% and the
introduction of solar PV system by 55.9%. This study assists in understanding household lowcarbon
practices and their relationship with the related policy measures.</t>
  </si>
  <si>
    <t>ordered probit</t>
  </si>
  <si>
    <t>quasi-experimental</t>
  </si>
  <si>
    <t>self-reported behaviour</t>
  </si>
  <si>
    <t>household</t>
  </si>
  <si>
    <t>homeowners</t>
  </si>
  <si>
    <t>probably yes</t>
  </si>
  <si>
    <t>aggregated already implemented and planned installations together?</t>
  </si>
  <si>
    <t xml:space="preserve">adoption of renewable and energy saving appliances </t>
  </si>
  <si>
    <t>adoption of renewable and energy saving appliances</t>
  </si>
  <si>
    <t>Figueroa, Molière, Pegels, Never, Kutzner</t>
  </si>
  <si>
    <t>Show me (more than) the money! Assessing the social and psychological
dimensions to energy efficient lighting in Kenya</t>
  </si>
  <si>
    <t>Despite economic, social and environmental benefits, the uptake of energy-saving compact fluorescent lamp
light bulbs (CFLs) in Kibera, an informal settlement in Nairobi, remains low. We conducted a randomized
controlled field experiment involving 651 Kibera residents assessing whether the joint impact of monetary incentives
and behavioral interventions (pre-commitment and simplified information highlighting CFL benefits)
could increase CFL uptake. A monetary incentive covering the incremental cost of a CFL compared to an incandescent
bulb positively impacted uptake. However, adding simplified information more than tripled the
impact of the monetary incentive alone, resulting in a remarkable uptake rate of about 84%. While a post endline
survey conducted two years following the administration of the randomized control trial does not find lasting
effects, this paper provides evidence for additional behavioral hypotheses in developing countries, also assessing
the contribution of intelligence and measured discount rates to account for potential household present bias. It is
to date the only intervention of its type that explores the extent to which behavioral interventions can complement
monetary incentives.</t>
  </si>
  <si>
    <t>2014-2016</t>
  </si>
  <si>
    <t>Kenya</t>
  </si>
  <si>
    <t>residents</t>
  </si>
  <si>
    <t>informal settlement in Kibera (poor population)</t>
  </si>
  <si>
    <t>CFL uptake</t>
  </si>
  <si>
    <t>Goto H, Goto M, Sueyoshi</t>
  </si>
  <si>
    <t>Consumer choice on ecologically efficient water heaters: Marketing strategy and policy implications in Japan</t>
  </si>
  <si>
    <t>This study examines how consumers select ecologically efficient water heaters in Japan. Energy conservation
in household water heating is increasingly important for reducing an amount of CO2 emission, because the
share of water heating in household energy consumption is approximately 30%. Recently, Japanese
households have widely used ecologically efficient electric heat pump water heaters (Eco Cute) or gasfired
water heaters (Eco Jozu). The total number of such efficient water heaters sold in Japan was more than
2.5 million at the end of 2008. This study investigates various factors and impacts of marketing strategy for
promoting the appliances in Japan. We apply mixed and nested logit models to a disaggregated choice data on
water heaters from 2004 to 2008. This study considers retail energy prices, a government financial support
and marketing activities as important factors for appliance selection. In addition, we consider consumers'
housing attributes such as floor space and age of building. This empirical study finds two business
implications. One of the two implications is that an increase in an energy price may enhance a choice
probability of Eco Cute and Eco Jozu because a price increase invites consumer's consciousness on energy
conservation so that a cost reduction on energy consumption becomes essential in a use of the efficient
appliances. The other implication is that marketing activities, especially by recommendations from sales
representatives and/or housing suppliers, are important for consumer behaviors. The other important
findings are discussed in this study. This business experience in Japan is useful to the other countries where
ecologically efficient water heaters are not popular at the current moment.</t>
  </si>
  <si>
    <t>mixed logit</t>
  </si>
  <si>
    <t>cognition of subsidy (0=not know 1=know)</t>
  </si>
  <si>
    <t>eco jozu</t>
  </si>
  <si>
    <t>a selection probability of a specific type of water
heater, compared to the conventional gas/oil water heater (as a base
category)</t>
  </si>
  <si>
    <t>log scale</t>
  </si>
  <si>
    <t>from 0,05 to 0,1</t>
  </si>
  <si>
    <t>conventional electric</t>
  </si>
  <si>
    <t>eco cute</t>
  </si>
  <si>
    <t xml:space="preserve">from 0,04 to 0,07 </t>
  </si>
  <si>
    <t>nested logit</t>
  </si>
  <si>
    <t>Ma, Yu, Urban</t>
  </si>
  <si>
    <t>Green transition of energy systems in rural China: National survey evidence of households' discrete choices on water heaters</t>
  </si>
  <si>
    <t>Energy systems in rural China are experiencing a transition from traditional fossil fuels to renewables. This paper
aims to investigate the potential factors that influence the choices of rural residents regarding water heaters with
a focus on the low-carbon transition to solar water heating systems. To this end, a face-to-face questionnaire
survey is undertaken with 3404 rural households randomly selected among 12 representative provinces. A
comprehensive set of discrete choice modelling approaches were used. The empirical results show that (1)
sociodemographic variables have significant effects on residents’ first-stage choice of a water heater (to buy or not
to buy) but few effects on the second-stage decision to choose electric, LPG, or solar water heaters (which type to
buy); (2) information spillover is important to facilitate the usage of water heaters, particularly of solar products;
(3) the electricity price, which is regulated at a very low rate, has no apparent effect on the choice of solar water
heaters; (4) government subsidy has a significant effect in the first stage but no differentiated effect on the
decision choice in the second stage. Policy and managerial implications are presented to speed up the ongoing
low-carbon transition of energy systems in China.</t>
  </si>
  <si>
    <t>multinomial logit</t>
  </si>
  <si>
    <t>China</t>
  </si>
  <si>
    <t>LPG, base elec.</t>
  </si>
  <si>
    <t>water heater usage (electricity, LPG, solar, others)</t>
  </si>
  <si>
    <t>solar, base elc.</t>
  </si>
  <si>
    <t>solar, base LPG</t>
  </si>
  <si>
    <t>Wasi, Carson</t>
  </si>
  <si>
    <t>The influence of rebate programs on the demand for water heaters: The case of New South Wales</t>
  </si>
  <si>
    <t>This paper examines the role of Australian hotwater systemrebate programs in shifting the existing stock of electric
water heaters toward more climate friendly versions using two unique data sets from New South Wales
homeowners. The first data set is based on a survey of householdswho recently purchased awater heater before
and after the rebate programs were in place. The other is based on a set of stated preference questions asked of
households soon to face a replacement decision.While the former allows us to look at recent responses, the latter
enables us to forecast future demand.We find that the programs significantly increase shares of solar/heat pump
systems. The programs, however, appear less effective in reducing the stock of electric heaters for households
with access to natural gas. This pattern is consistent in both datasets. Results from the discrete choice
experiments suggest considerable heterogeneity with respect to household preferences toward different types
of water heaters and the discount rates they hold. The effective cost of reducing carbon emissions via incentives
for water heater replacement is considered from the counterfactual perspective of no government incentives.</t>
  </si>
  <si>
    <t>diff-in-diff</t>
  </si>
  <si>
    <t>Australia</t>
  </si>
  <si>
    <t>sample with gas access</t>
  </si>
  <si>
    <t>probability of switching from electric to gas</t>
  </si>
  <si>
    <t>from 0,12 to 0,2</t>
  </si>
  <si>
    <t>probability of switching from electric to solar/heat pump</t>
  </si>
  <si>
    <t>from 0,15 to 0,29</t>
  </si>
  <si>
    <t>sample without gas access</t>
  </si>
  <si>
    <t>Revelt, Train</t>
  </si>
  <si>
    <t>MIXED LOGIT WITH REPEATED CHOICES: HOUSEHOLDS’ CHOICES
OF APPLIANCE EFFICIENCY LEVEL</t>
  </si>
  <si>
    <t>Mixed logit models, also called random-parameters or errorcomponents
logit, are a generalization of standard logit that do not exhibit
the restrictive ‘‘independence from irrelevant alternatives’’ property and
explicitly account for correlations in unobserved utility over repeated
choices by each customer. Mixed logits are estimated for households’
choices of appliances under utility-sponsored programs that offer rebates
or loans on high-efficiency appliances.</t>
  </si>
  <si>
    <t>stated preference</t>
  </si>
  <si>
    <t>confusing between WTP and probability to purchase</t>
  </si>
  <si>
    <t>choice of a high-efficiency appliance</t>
  </si>
  <si>
    <t>Looking for free riding: energy efficiency incentives and Italian homeowners </t>
  </si>
  <si>
    <t>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t>
  </si>
  <si>
    <t>2004-2009</t>
  </si>
  <si>
    <t>Italy</t>
  </si>
  <si>
    <t>likelihood of replacing the heating system</t>
  </si>
  <si>
    <t>delayed</t>
  </si>
  <si>
    <t>Allcott, Taubinsky</t>
  </si>
  <si>
    <t>Evaluating Behaviorally Motivated Policy: Experimental Evidence from the Lightbulb Market</t>
  </si>
  <si>
    <r>
      <t>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t>
    </r>
    <r>
      <rPr>
        <sz val="12"/>
        <rFont val="TimesLTStd"/>
      </rPr>
      <t xml:space="preserve">, </t>
    </r>
    <r>
      <rPr>
        <i/>
        <sz val="12"/>
        <rFont val="TimesLTStd"/>
      </rPr>
      <t>which we estimate using a novel within-subject information disclosure experiment. The main results suggest that moderate subsidies for energy-efficient lightbulbs may increase welfare</t>
    </r>
    <r>
      <rPr>
        <sz val="12"/>
        <rFont val="TimesLTStd"/>
      </rPr>
      <t xml:space="preserve">, </t>
    </r>
    <r>
      <rPr>
        <i/>
        <sz val="12"/>
        <rFont val="TimesLTStd"/>
      </rPr>
      <t xml:space="preserve">but informational and attentional biases alone do not justify a ban on incandescent lightbulbs. Our results and techniques generate broader methodological insights into welfare analysis with misoptimizing consumers. </t>
    </r>
  </si>
  <si>
    <t>NA (TESS)</t>
  </si>
  <si>
    <t>online</t>
  </si>
  <si>
    <t>purchased CFL</t>
  </si>
  <si>
    <t>Sammer, Wuestenhagen</t>
  </si>
  <si>
    <t>The influence of eco-labelling on consumer behaviour – results of a discrete choice analysis for washing machines</t>
  </si>
  <si>
    <t>retailer</t>
  </si>
  <si>
    <t>store visitors</t>
  </si>
  <si>
    <t>importance of the label in choice of energy efficient appliance - energy efficiency rating A</t>
  </si>
  <si>
    <t>probability of choice of energy efficient appliance</t>
  </si>
  <si>
    <t>alphabetical</t>
  </si>
  <si>
    <t>importance of the label in choice of energy efficient appliance - energy efficiency rating B</t>
  </si>
  <si>
    <t>del Mar Sola, de Ayala, Galarraga</t>
  </si>
  <si>
    <t>The Effect of Providing Monetary Information on Energy Savings for Household Appliances: A Field Trial in Spain</t>
  </si>
  <si>
    <r>
      <t>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t>
    </r>
    <r>
      <rPr>
        <sz val="12"/>
        <color rgb="FF111111"/>
        <rFont val="AdvTT3713a231"/>
      </rPr>
      <t xml:space="preserve">+++ fridges. Surprisingly, no effect is found for dishwashers. </t>
    </r>
  </si>
  <si>
    <t>Spain</t>
  </si>
  <si>
    <t>additional information - on the label</t>
  </si>
  <si>
    <t>the marginal effects of the explanatory variables for all the appliances on the
probability of purchasers acquiring an appliance labelled with high energy efficiency</t>
  </si>
  <si>
    <t>probability of appliance purchase</t>
  </si>
  <si>
    <t>Anderson, Claxton</t>
  </si>
  <si>
    <t>Barriers to Consumer Choice of Energy Efficient Products</t>
  </si>
  <si>
    <t>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t>
  </si>
  <si>
    <t>Canada</t>
  </si>
  <si>
    <t>can't disentangle scepific effects for each intervention ?</t>
  </si>
  <si>
    <t xml:space="preserve">can't disentangle scepific effects for each intervention - emphasis on energy information and label </t>
  </si>
  <si>
    <t>treatments effect not differentiated</t>
  </si>
  <si>
    <t>odds ratio</t>
  </si>
  <si>
    <t>other</t>
  </si>
  <si>
    <t>Train, Atherton</t>
  </si>
  <si>
    <t>REBATES, LOANS, AND CUSTOMERS CHOICE OF APPLIANCE EFFICIENCY LEVEL - COMBINING STATED AND REVEALED-PREFERENCE DATA</t>
  </si>
  <si>
    <t xml:space="preserve">
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
provides information on customers' willingness to pay for energy savings, the importance of rebates in customers' decisions, and customers' response to DSM
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
programs. We find that attractive loans (e.g., low interest rates, long repayment periods) are necessary to have the same effect as rebates. Programs that offer
customers the option of loans or rebates are found to be far more effective than programs that offer only loans or only rebates.</t>
  </si>
  <si>
    <t>individuals</t>
  </si>
  <si>
    <t>Jain, Rao, Patwardhan</t>
  </si>
  <si>
    <t>Consumer preference for labels in the purchase decisions of air conditioners in India</t>
  </si>
  <si>
    <t xml:space="preserve">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t>
  </si>
  <si>
    <t>India</t>
  </si>
  <si>
    <t>opt_out</t>
  </si>
  <si>
    <t>base - no label for not efficient</t>
  </si>
  <si>
    <t>3-star rating</t>
  </si>
  <si>
    <t>numerical</t>
  </si>
  <si>
    <t>5-star rating</t>
  </si>
  <si>
    <t>London Economics</t>
  </si>
  <si>
    <t>Study on the impact of the energy label – and potential changes to it – on consumer understanding and on purchase decisions</t>
  </si>
  <si>
    <t>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t>
  </si>
  <si>
    <t xml:space="preserve">France, Slovenia, Czech Republic, Portugal </t>
  </si>
  <si>
    <t>baseline is the existing EU labelling programme</t>
  </si>
  <si>
    <t>Heinzle, Wüstenhagen</t>
  </si>
  <si>
    <t>Dynamic Adjustment of Eco-labeling Schemes and Consumer Choice - the Revision of the EU Energy Label as a Missed Opportunity?: Dynamic Adjustment of Eco-labelling Schemes &amp; Consumer Choice</t>
  </si>
  <si>
    <t xml:space="preserve">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t>
  </si>
  <si>
    <t>Baysian Hierarchical modeling</t>
  </si>
  <si>
    <t>alphabetical with +</t>
  </si>
  <si>
    <t>different price levels</t>
  </si>
  <si>
    <t>Zha, Yang, Wang, Zhou</t>
  </si>
  <si>
    <t>Appliance energy labels and consumer heterogeneity: A latent class approach based on a discrete choice experiment in China</t>
  </si>
  <si>
    <t>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t>
  </si>
  <si>
    <t>effect of energy efficiency in itself rather than label (China Energy Label program)</t>
  </si>
  <si>
    <t>probability of a consumer choosing an energy-efficient appliance</t>
  </si>
  <si>
    <t>Hafner, Elmes, Read, White</t>
  </si>
  <si>
    <t>Exploring the role of normative, financial and environmental information in promoting uptake of energy efficient technologies</t>
  </si>
  <si>
    <t>The potential of normative and feedback (financial vs. environmental) information in guiding pro-environmental
decision-making behaviour was explored in a 2 × 2 (plus control) choice experiment. Using the context of home
heating, 599 non-student participants from the UK general public were asked to choose between a standard
heating system (a gas boiler) and a relatively more-energy efficient option (a heat pump). In line with evidence
for the energy efficiency gap for sustainable innovations, there was low uptake of the heat pump (32.5%) in the
control condition where no frame information was provided. Yet, in both conditions where normative information
was provided, respondents were significantly more likely (vs. control) to choose the heat pump (financial
+ norm OR 3.63; 95% CIs 2.13,6.19; environmental + norm OR 3.09; 95% CIs 1.67,4.79), advancing
understanding of normative social influence in the context of pro-environmental purchase behaviour. When
normative information was not provided, only financial (OR 2.82; 95% CIs 1.67,4.79) but not environmental
(OR 1.33; 95% CIs 0.78,2.26), feedback was associated with a significantly greater likelihood of heat pump
choice. The main effect of normative information was replicated for behavioural intentions (though only for
homeowners), but there was no norm-feedback interaction (regardless of homeownership). The implications for
researchers looking to promote ‘green’ choice in the context of new technology adoption are discussed.</t>
  </si>
  <si>
    <t>ANOVA</t>
  </si>
  <si>
    <t>environmental + no normative information</t>
  </si>
  <si>
    <t>likelihood of a participant in the comparison condition to choose a more energy-efficient appliance compared to the odds if a participant in the control grpup to choose a less efficient appliance</t>
  </si>
  <si>
    <t>financial + no normative information</t>
  </si>
  <si>
    <t>environmental +  normative information</t>
  </si>
  <si>
    <t>financial +  normative information</t>
  </si>
  <si>
    <t>Jeong, Kim</t>
  </si>
  <si>
    <t>The effects of energy efficiency and environmental labels on appliance choice in South Korea</t>
  </si>
  <si>
    <t>This paper investigates the effects of energy
efficiency and environmental labels on households’
choice of appliances, using a discrete choice experiment
approach. Labeling programs currently operated by the
South Korean government are considered in the empirical
study, and the effects of such labels on appliance
choice. This paper found that households showed a
positive preference for labeled appliances, and an intention
to pay more to purchase appliances with energy
efficiency, and/or other environmental labels, with more
value placed on energy efficiency labels than other
environmental labels. The results of this study offer
implications for both the government and manufacturers.
For promotion of “green” appliances, it is recommended
that the South Korean government expand the
list of items mandatorily included in its labeling programs.
For manufacturers, it is worth noting that consumers
properly identify the information regarding energy
efficiency, and environmental friendliness with
reasonable monetary value. Thus, appliance manufacturers
would be wise to concentrate on improving
energy efficiency grades, and acquiring environmental
labels.</t>
  </si>
  <si>
    <t>South Korea</t>
  </si>
  <si>
    <t>effect of energy efficiency in itself rather than label (the Energy Efficiency Grade Label)</t>
  </si>
  <si>
    <t>estimation results for refrigerator choice (highest efficiency grade)</t>
  </si>
  <si>
    <t>Deutsch</t>
  </si>
  <si>
    <t>The effect of life-cycle cost disclosure on consumer behavior: evidence from a field experiment with cooling appliances</t>
  </si>
  <si>
    <t>Theory suggests that providing consumers
with an estimated life-cycle cost (LCC) may make
them buy more energy-efficient household appliances
in cases where energy efficiency is cost effective. This
article evaluates the link between the provision of
LCC and consumer behavior by using an online field
experiment for cooling appliances. Internet users
arriving at a commercially operating price comparison
website were randomly assigned to two experimental
groups, and the groups were exposed to different
visual stimuli. The control group received regular
product price information, whereas the treatment
group was offered additional information about
estimated operating cost and total LCC. Consumers’
click behavior was evaluated with multiple regression
controlling for several product characteristics (n=
1,969 clicks). We find that LCC disclosure reduces
the mean specific energy use of chosen cooling
appliances by 2.5% (p&lt;0.01), making it a potentially
interesting approach for environmental policy regarding
the market transformation toward more energy-efficient
household appliances. However, LCC disclosure also
decreases the number of clicks from the price comparison
website to final retailers by about 23% (p&lt;0.01),
which makes it—in the format chosen here—undesirable
from a business perspective. Therefore, future research
should clarify under what (if any) conditions can
monetary energy cost disclosure be associated with
more positive effects for price comparison websites.</t>
  </si>
  <si>
    <t>negative binomial regression</t>
  </si>
  <si>
    <t>LCC information disclosed to the treatment group</t>
  </si>
  <si>
    <t>click-throughs (not even stated preference purchase strictly)</t>
  </si>
  <si>
    <t>Effect of life-cycle
cost disclosure on the
overall number of
click-throughs</t>
  </si>
  <si>
    <t xml:space="preserve">probably no </t>
  </si>
  <si>
    <t>Stadelmann, Schubert</t>
  </si>
  <si>
    <t>How Do Different Designs of Energy Labels Influence Purchases of Household Appliances? A Field Study in Switzerland</t>
  </si>
  <si>
    <t xml:space="preserve">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t>
  </si>
  <si>
    <t>country specific (?)</t>
  </si>
  <si>
    <t>additional information - in the description, base is just the label</t>
  </si>
  <si>
    <t>mean expected annual electricity consumption of appliances purchased</t>
  </si>
  <si>
    <t>Kallbekken, Saelen, Hermansen</t>
  </si>
  <si>
    <t>Bridging the Energy Efficiency Gap: A Field Experiment on Lifetime Energy Costs and Household Appliances</t>
  </si>
  <si>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</si>
  <si>
    <t xml:space="preserve">simulated counterfactual </t>
  </si>
  <si>
    <t>additional label - compared to the EU A+++ label scale</t>
  </si>
  <si>
    <t>average energy use of the appliance sold</t>
  </si>
  <si>
    <t>dep_var - energy use of the appliance sold - opposite sign</t>
  </si>
  <si>
    <t>DECC</t>
  </si>
  <si>
    <t>interval outcome measure denoting the kWh/year for a given product type purchased</t>
  </si>
  <si>
    <t>energy consumption (in kWh/year) of appliance sold</t>
  </si>
  <si>
    <t>these have only % change reported and no absolute diff of means</t>
  </si>
  <si>
    <t>TK</t>
  </si>
  <si>
    <t>Li, Cao</t>
  </si>
  <si>
    <t>Effectiveness of China's Labeling and Incentive Programs for Household Energy Conservation and Policy Implications</t>
  </si>
  <si>
    <t>With incomplete information about the potential benefits and costs of energy-using
durables, households may be unwilling to invest in products that are more energy-efficient but
also more expensive in purchase decisions. To deal with this problem, labeling policy has been developed
to guide customers’ energy consumption decisions by providing understandable information to
evaluate the energy efficiency of products. Over the last 20 years, China has implemented a series of
mandatory and voluntary energy labeling and incentive policies to reduce energy use and improve
the energy efficiency of durable goods in dwellings. This study has employed empirical survey
data from the Chinese General Social Survey to study the implementation effectiveness of these
policies and explore demographic factors behind consumer investments in energy-saving durables by
using the logistic regression model. Statistical results show that energy efficiency labeling, incentive
programs, education levels, and regional differences of customers appear to be strong predictors for
investing in energy-efficient air conditioners and washing machines. House size is a decisive factor
in driving consumers to choose energy-saving air conditioners. In light of the above results, the
study suggests improved policy for motivating consumers to purchase energy-efficient appliances
in dwellings.</t>
  </si>
  <si>
    <t xml:space="preserve">household panel,  no causation, considers year of labeling law same as purchase of a labeled appliance, survey sample not representative of the general population </t>
  </si>
  <si>
    <t>y represents the possession of energy-efficient</t>
  </si>
  <si>
    <t>household panel,  no causation, considers year of labeling law same as purchase of a labeled appliance, survey sample not representative of the general population, overall a paper with very poor study design (not experimental) and low internal and external validity</t>
  </si>
  <si>
    <t>LT</t>
  </si>
  <si>
    <t>Nishijima, Kagawa, Nansai, Oguchi</t>
  </si>
  <si>
    <t>Effects of product replacement programs on climate change</t>
  </si>
  <si>
    <t>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t>
  </si>
  <si>
    <t>2005-2013</t>
  </si>
  <si>
    <t>pre-recorded (no experiment)</t>
  </si>
  <si>
    <t>results are simulations from an estimated discrete choice model, likely not very robust</t>
  </si>
  <si>
    <t>Program that grants a reward when an old appliance was replaced by a more efficient one</t>
  </si>
  <si>
    <t>AC replacement rate</t>
  </si>
  <si>
    <t>Dieu-Hang, Grafton, Matrinez-Espineira, Garcia-Valinas</t>
  </si>
  <si>
    <t>Household adoption of energy and water-efficient appliances: An analysis of attitudes, labelling and complementary green behaviours in selected OECD countries</t>
  </si>
  <si>
    <t>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t>
  </si>
  <si>
    <t>probit</t>
  </si>
  <si>
    <t>Australia, Canada, Chile, France, Israel, Korea, Japan, Netherlands, Spain, Sweden, Switzerland</t>
  </si>
  <si>
    <t>"Recognize" Energy Label</t>
  </si>
  <si>
    <t>investing in energy-efficient appliances; coefficients are marginal effects</t>
  </si>
  <si>
    <t>investing in energy-efficient appliances</t>
  </si>
  <si>
    <t>unclear N sample size for this specification</t>
  </si>
  <si>
    <t>"Trust" Energy Label</t>
  </si>
  <si>
    <t>Schultz, Colehour, Vohr, Bonn, Bullock, Sadler</t>
  </si>
  <si>
    <t>Using Social Marketing to Spur Residential Adoption of ENERGY STAR®-Certified LED Lighting</t>
  </si>
  <si>
    <t>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t>
  </si>
  <si>
    <t>study under contract with Energy Star, at least one number (896%) was reported incorrectly, which was spotted while coding</t>
  </si>
  <si>
    <t>LED bulbs sold</t>
  </si>
  <si>
    <t>outlier</t>
  </si>
  <si>
    <t>Nakano, Zusman, Nugroho, Kaswanto, Arifin N, Munandar, Arifin HS, Muchtar, Gomi, Fujita</t>
  </si>
  <si>
    <t>Determinants of Energy Savings in Indonesia: the case of LED lighting in Bogor</t>
  </si>
  <si>
    <t>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t>
  </si>
  <si>
    <t>stated preferences; there is no real intervention. They measure the effect of knowledge about policies and labels on the willingness to adopt efficient lighting</t>
  </si>
  <si>
    <t>ordinal logit</t>
  </si>
  <si>
    <t>choice experiment</t>
  </si>
  <si>
    <t>Indonesia</t>
  </si>
  <si>
    <t>just study one city of Indonesia (Bogor), but they are convincing that the sample is quite representative regarding the population in the city; As it is stated preference, hypothetical bias may be an issue</t>
  </si>
  <si>
    <t>there is no real intervention. They measure the effect of knowledge about policies and labels on the willingness to adopt efficient lighting</t>
  </si>
  <si>
    <t>whether the respondent is willing to change from conventional lightning to LED; the coding of the dependent variable is not clear though</t>
  </si>
  <si>
    <t>coefficient form ordered logit model</t>
  </si>
  <si>
    <t>SH</t>
  </si>
  <si>
    <t>Caldwell, Vaughan, Harrod, Harrod</t>
  </si>
  <si>
    <t>Social Marketing–Enhanced Home Energy Education Encourages Adoption of Energy-Saving Practices</t>
  </si>
  <si>
    <t>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t>
  </si>
  <si>
    <t>small sample size, outcome reported in percentage of households</t>
  </si>
  <si>
    <t>Intervention is combination of energy audit + energy education visit vs. audit only. Customers qualify for the study by requesting an  audit.</t>
  </si>
  <si>
    <t>percentage of households who purchased efficient lighting</t>
  </si>
  <si>
    <t>Neves, Oliveira</t>
  </si>
  <si>
    <t>Drivers of consumers’ change to an energy-efficient heating appliance (EEHA) in households: Evidence from five European countries</t>
  </si>
  <si>
    <t>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t>
  </si>
  <si>
    <t>2019-2020</t>
  </si>
  <si>
    <t>France, Germany, Italy, Portugal, Spain</t>
  </si>
  <si>
    <t>attitude on heating equipment use</t>
  </si>
  <si>
    <t>attitude on heating equipment use - behavior change</t>
  </si>
  <si>
    <t>France</t>
  </si>
  <si>
    <t>Behavior intention to change to Energy efficient household appliance</t>
  </si>
  <si>
    <t>Portugal</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</si>
  <si>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</si>
  <si>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</si>
  <si>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</si>
  <si>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</si>
  <si>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</si>
  <si>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</si>
  <si>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</si>
  <si>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</si>
  <si>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</si>
  <si>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</si>
  <si>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</si>
  <si>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</si>
  <si>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</si>
  <si>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</si>
  <si>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</si>
  <si>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</si>
  <si>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</si>
  <si>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</si>
  <si>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</si>
  <si>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</si>
  <si>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</si>
  <si>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</si>
  <si>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</si>
  <si>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</si>
  <si>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</si>
  <si>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</si>
  <si>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</si>
  <si>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</si>
  <si>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</si>
  <si>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</si>
  <si>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</si>
  <si>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</si>
  <si>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</si>
  <si>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</si>
  <si>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</si>
  <si>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</si>
  <si>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</si>
  <si>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</si>
  <si>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</si>
  <si>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</si>
  <si>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</si>
  <si>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</si>
  <si>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</si>
  <si>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</si>
  <si>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</si>
  <si>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</si>
  <si>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</si>
  <si>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</si>
  <si>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</si>
  <si>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</si>
  <si>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</si>
  <si>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</si>
  <si>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</si>
  <si>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</si>
  <si>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</si>
  <si>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</si>
  <si>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</si>
  <si>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</si>
  <si>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</si>
  <si>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</si>
  <si>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</si>
  <si>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</si>
  <si>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structural model</t>
  </si>
  <si>
    <t>Grand Total</t>
  </si>
  <si>
    <t>controlls</t>
  </si>
  <si>
    <t>rebate_timeframe</t>
  </si>
  <si>
    <t>dep_var_category</t>
  </si>
  <si>
    <t>bias</t>
  </si>
  <si>
    <t>WTP for efficient appliance</t>
  </si>
  <si>
    <t>simulation</t>
  </si>
  <si>
    <t>students</t>
  </si>
  <si>
    <t>How effective are energy-efficiency incentive programs? Evidence from Italian homeowners</t>
  </si>
  <si>
    <t>market share of efficient appliance</t>
  </si>
  <si>
    <t>PoC</t>
  </si>
  <si>
    <t>Looking for free riding: energy efficiency incentives and Italian homeowners</t>
  </si>
  <si>
    <t>RDD</t>
  </si>
  <si>
    <t>lab</t>
  </si>
  <si>
    <t>dep_var</t>
  </si>
  <si>
    <t>Information v. energy efficiency incentives: Evidence from residential electricity consumption in Maryland</t>
  </si>
  <si>
    <t>energy use after switching to a more efficient appliance</t>
  </si>
  <si>
    <t>review</t>
  </si>
  <si>
    <t>tenants</t>
  </si>
  <si>
    <t>binary</t>
  </si>
  <si>
    <t>The Role of Sales Agents in Information Disclosure: Evidence from a Field Experiment</t>
  </si>
  <si>
    <t>correlation</t>
  </si>
  <si>
    <t>propensity score matching</t>
  </si>
  <si>
    <t>uncertainty / sample size missing</t>
  </si>
  <si>
    <t>callers</t>
  </si>
  <si>
    <t>IV</t>
  </si>
  <si>
    <t>quality</t>
  </si>
  <si>
    <t>Ireland</t>
  </si>
  <si>
    <t>case study</t>
  </si>
  <si>
    <t>Andor, Gerster, Goette</t>
  </si>
  <si>
    <t>How effective is the European Union energy label? Evidence from a real-stakes experiment</t>
  </si>
  <si>
    <t>unclear</t>
  </si>
  <si>
    <t>Russia</t>
  </si>
  <si>
    <t>Asinyaka</t>
  </si>
  <si>
    <t>Willingness to Pay for Energy Efficient Refrigerating Appliances in Accra, Ghana: A Choice Experiment Approach</t>
  </si>
  <si>
    <t>intervention</t>
  </si>
  <si>
    <t>Aydin, Kok, Brounen</t>
  </si>
  <si>
    <t>Energy efficiency and household behavior: the rebound effect in the residential sector</t>
  </si>
  <si>
    <t>2SLS</t>
  </si>
  <si>
    <t>no appliance breakdown</t>
  </si>
  <si>
    <t>Nigeria</t>
  </si>
  <si>
    <t>Berman, Cooper, Geller</t>
  </si>
  <si>
    <t>COMPENDIUM OF UTILITY-SPONSORED ENERGY EFFICIENCY REBATE PROGRAMS.</t>
  </si>
  <si>
    <t>negative binomial count model</t>
  </si>
  <si>
    <t>Caldwell, Vaughn, Harrod E, Harrod J</t>
  </si>
  <si>
    <t>Social Marketing-Enhanced Home Energy Education Encourages Adoption of Energy-Saving Practices</t>
  </si>
  <si>
    <t>Carroll, Denny, Lyons</t>
  </si>
  <si>
    <t>The Effects of Energy Cost Labelling on Appliance Purchasing Decisions: Trial Results from Ireland</t>
  </si>
  <si>
    <t>Malaysia</t>
  </si>
  <si>
    <t>Chun, Jiang</t>
  </si>
  <si>
    <t>How households in Pakistan take on energy efficient lighting technology</t>
  </si>
  <si>
    <t>Datta, Filippini</t>
  </si>
  <si>
    <t>Analysing the impact of ENERGY STAR rebate policies in the US</t>
  </si>
  <si>
    <t>log-linear model</t>
  </si>
  <si>
    <t>Datta, Gulati</t>
  </si>
  <si>
    <t>Utility rebates for ENERGY STAR appliances: Are they effective?</t>
  </si>
  <si>
    <t>Davis</t>
  </si>
  <si>
    <t>Durable goods and residential demand for energy and water: evidence from a field trial</t>
  </si>
  <si>
    <t>Greece</t>
  </si>
  <si>
    <t>Davis, Fuchs, Gertler</t>
  </si>
  <si>
    <t>coarsened exact matching</t>
  </si>
  <si>
    <t>EU</t>
  </si>
  <si>
    <t>Davis, Metcalf</t>
  </si>
  <si>
    <t>DOES BETTER INFORMATION LEAD TO BETTER CHOICES? EVIDENCE FROM
ENERGY-EFFICIENCY LABELS</t>
  </si>
  <si>
    <t>OLS - FE</t>
  </si>
  <si>
    <t>Austria</t>
  </si>
  <si>
    <t>OLS - RE</t>
  </si>
  <si>
    <t>Life Cycle Cost Disclosure, Consumer Behavior, and Business Implications: Evidence From an Online Field Experiment</t>
  </si>
  <si>
    <t>France, Germany, Italy, Poland, Romania, Spain, Sweden, UK</t>
  </si>
  <si>
    <t>Dieu-Hang, Grafton, Martinez-Espineira, Garcia-Valinas</t>
  </si>
  <si>
    <t>double bounded contingent valuation model</t>
  </si>
  <si>
    <t>Dong, Futawatari</t>
  </si>
  <si>
    <t>The study of low-carbon policy influence on consumers' energy efficiency household appliance purchase behavior</t>
  </si>
  <si>
    <t>Pakistan</t>
  </si>
  <si>
    <t>Faure, Guetlein, Schleich</t>
  </si>
  <si>
    <t>Effects of rescaling the EU energy label on household preferences for top-rated appliances</t>
  </si>
  <si>
    <t>difference-in-difference-in-difference</t>
  </si>
  <si>
    <t>Denmark</t>
  </si>
  <si>
    <t>Figueroa, de Moliere, Pegels, Never, Kutzner</t>
  </si>
  <si>
    <t>Show me (more than) the money! Assessing the social and psychological dimensions to energy efficient lighting in Kenya</t>
  </si>
  <si>
    <t>random parameter logit</t>
  </si>
  <si>
    <t>Galaraga, Heres, Gonzalez, Eguino</t>
  </si>
  <si>
    <t>Price premium for high-efficiency refrigerators and calculation of price-elasticities for close-substitutes: a methodology using hedonic pricing and demand systems</t>
  </si>
  <si>
    <t>VAR</t>
  </si>
  <si>
    <t>Poland</t>
  </si>
  <si>
    <t>Galarraga, Gonzalez-Eguino, Markandya</t>
  </si>
  <si>
    <t>Willingness to pay and price elasticities of demand for energy-efficient appliances: Combining the hedonic approach and demand systems</t>
  </si>
  <si>
    <t>Romania</t>
  </si>
  <si>
    <t>Gana, Hoppe</t>
  </si>
  <si>
    <t>Assessment of the Governance System Regarding Adoption of Energy Efficient Appliances by Households in Nigeria</t>
  </si>
  <si>
    <t>generalised linear mixed modelling</t>
  </si>
  <si>
    <t>Sweden</t>
  </si>
  <si>
    <t>Ghozali, Kaneko</t>
  </si>
  <si>
    <t>Consumer behavior and ecolabeling</t>
  </si>
  <si>
    <t>Granda, Birner, Aron, Woodward</t>
  </si>
  <si>
    <t>The IFC/GEF Poland Efficient Lighting Project (PELP) final results</t>
  </si>
  <si>
    <t>Haas</t>
  </si>
  <si>
    <t>Some empirical findings of an Austrian appliance turn-in program</t>
  </si>
  <si>
    <t>Harajli, Chalak</t>
  </si>
  <si>
    <t>Willingness to Pay for Energy Efficient Appliances: The Case of Lebanese Consumers</t>
  </si>
  <si>
    <t>Harrington</t>
  </si>
  <si>
    <t>Quantifying energy savings from replacement of old refrigerators</t>
  </si>
  <si>
    <t>Heinzle</t>
  </si>
  <si>
    <t>Disclosure of energy operating cost information: A silver bullet for overcoming the energy-efficiency gap?</t>
  </si>
  <si>
    <t>Disimproving the European Energy Label's value for consumers? Results from a consumer survey</t>
  </si>
  <si>
    <t>Hirst, Carney, O'Neal</t>
  </si>
  <si>
    <t>Alternative technologies for US residential water heating. Energy savings and economic benefits</t>
  </si>
  <si>
    <t>Hlakotsa, Lencwe, Ngobeni, Chowdhury</t>
  </si>
  <si>
    <t>Energy Efficient Water Heating using Air Source Heat Pumps</t>
  </si>
  <si>
    <t>Houde, Aldy</t>
  </si>
  <si>
    <t>Consumers' Response to State Energy Efficient Appliance Rebate Programs</t>
  </si>
  <si>
    <t>Belt and suspenders and more: the incremental impact of energy efficiency subsidies in the presence of existing policy instruments</t>
  </si>
  <si>
    <t>Ito, Ida, Tanaka</t>
  </si>
  <si>
    <t>Kusaka, Kojima, Watanabe</t>
  </si>
  <si>
    <t>Environmental consciousness, economic gain and consumer choice of energy efficient appliances in Thailand, China and India</t>
  </si>
  <si>
    <t>Liang, Liu, Qiu, Wang, Xing</t>
  </si>
  <si>
    <t>Time-of-Use Electricity Pricing and Residential Low-carbon Energy Technology Adoption</t>
  </si>
  <si>
    <t>Liddle, Loi, Owen, Tao</t>
  </si>
  <si>
    <t>Evaluating consumption and cost savings from new air-conditioner purchases: The case of Singapore</t>
  </si>
  <si>
    <t>Visualisation approach and economic incentives toward low carbon practices in households: A survey study in Hyogo, Japan</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</si>
  <si>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</si>
  <si>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</si>
  <si>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</si>
  <si>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</si>
  <si>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</si>
  <si>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</si>
  <si>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Min, Azevedo, Michalek, de Bruin</t>
  </si>
  <si>
    <t>Labeling energy cost on light bulbs lowers implicit discount rates</t>
  </si>
  <si>
    <t>Mizobuchi, Takeuchi</t>
  </si>
  <si>
    <t>Replacement or additional purchase: The impact of energy-efficient appliances on household electricity saving under public pressures</t>
  </si>
  <si>
    <t>Modic</t>
  </si>
  <si>
    <t>Energy use in households</t>
  </si>
  <si>
    <t>Determinants of energy savings in Indonesia: The case of LED lighting in Bogor</t>
  </si>
  <si>
    <t>Drivers of consumers' change to an energy-efficient heating appliance (EEHA) in households: Evidence from five European countries</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</si>
  <si>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</si>
  <si>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</si>
  <si>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</si>
  <si>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</si>
  <si>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</si>
  <si>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</si>
  <si>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Orset</t>
  </si>
  <si>
    <t>Is information a good policy instrument to influence the energy behaviour of households?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</si>
  <si>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</si>
  <si>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</si>
  <si>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</si>
  <si>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</si>
  <si>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</si>
  <si>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</si>
  <si>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</si>
  <si>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</si>
  <si>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Mixed logit with repeated choices: households' choices of appliance efficiency level</t>
  </si>
  <si>
    <t>Ridge</t>
  </si>
  <si>
    <t>Energy Conservation for Low-Income Households: The Evaporative Cooler Experience</t>
  </si>
  <si>
    <t>Schleich, Durand, Brugger</t>
  </si>
  <si>
    <t>How effective are EU minimum energy performance standards and energy labels for cold appliances?</t>
  </si>
  <si>
    <t>Skourtos, Damigos, Tourkolias, Kontogianni</t>
  </si>
  <si>
    <t>Efficient energy labelling: the impact of information content and style on product choice</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</si>
  <si>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</si>
  <si>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</si>
  <si>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</si>
  <si>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</si>
  <si>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Sun</t>
  </si>
  <si>
    <t>Heterogeneous direct rebound effect: Theory and evidence from the Energy Star program</t>
  </si>
  <si>
    <t>Free Riding, Upsizing, and Energy Efﬁciency Incentives in Maryland Homes</t>
  </si>
  <si>
    <t>Turdaliev</t>
  </si>
  <si>
    <t>Increasing Block Rate Electricity Pricing and Propensity to Purchase Electrical Appliances: Evidence from a Natural Experiment in Russia</t>
  </si>
  <si>
    <t xml:space="preserve">Wang B, Deng, Liu, Sun, Wang ZH </t>
  </si>
  <si>
    <t>Effect of energy efficiency labels on household appliance choice in China: Sustainable consumption or irrational intertemporal choice?</t>
  </si>
  <si>
    <t>Ward, Clark, Jensen, Yen, Russell</t>
  </si>
  <si>
    <t>Factors influencing willingness-to-pay for the ENERGY STAR (R) label</t>
  </si>
  <si>
    <t>Webber, Brown, Koomey</t>
  </si>
  <si>
    <t>Savings estimates for the ENERGY STAR (R) voluntary labeling program</t>
  </si>
  <si>
    <t>Yao, Liu, Yan</t>
  </si>
  <si>
    <t>A quantile approach to assess the effectiveness of the subsidy policy for energy-efficient home appliances: Evidence from Rizhao, China</t>
  </si>
  <si>
    <t>Bjerregaard, Møller</t>
  </si>
  <si>
    <t>The Impact of EU's energy labeling policy: An econometric analysis of inceased transparency in the market of cold appliances in Denmark</t>
  </si>
  <si>
    <t>Zhou, Bukenya</t>
  </si>
  <si>
    <t>Information inefficiency and willingness-to-pay forenergy-efficient technology: A stated preference approach for China Energy Label</t>
  </si>
  <si>
    <t>Newell, Siikamäki</t>
  </si>
  <si>
    <t>Nudging Energy Efficiency Behavior: The Role of Information Labels</t>
  </si>
  <si>
    <t>Shen, Saijo</t>
  </si>
  <si>
    <t>Does an energy efficiency label alter consumers’ purchasing decisions? A latent
class approach based on a stated choice experiment in Shanghai</t>
  </si>
  <si>
    <t>Li, Clark, Jensen, Yen</t>
  </si>
  <si>
    <t>The Effect of Mail-in Utility Rebates on Willingness-to-Pay for ENERGY STAR® Certified Refrigerators</t>
  </si>
  <si>
    <t>Alberini, Gans, Towe</t>
  </si>
  <si>
    <t>Oländer, Thogersen</t>
  </si>
  <si>
    <t>Informing Versus Nudging in Environmental Policy</t>
  </si>
  <si>
    <t>percent_change_from_paper</t>
  </si>
  <si>
    <t>31.8% for 0.0022</t>
  </si>
  <si>
    <t>31.8% for 0.0023</t>
  </si>
  <si>
    <t>counterfactual</t>
  </si>
  <si>
    <t>Alberini, Bigano</t>
  </si>
  <si>
    <t>Alberini, Bigano, Boeri</t>
  </si>
  <si>
    <t>Alberini, Towe</t>
  </si>
  <si>
    <t>basic intervention</t>
  </si>
  <si>
    <t>no intervention</t>
  </si>
  <si>
    <t>Kuhn, Thogersen, Kutzner</t>
  </si>
  <si>
    <t>No trust in the choice architect? No problem! On the minor role of trust for
the effectiveness of default interventions promoting the choice of
energy-efficient appliances</t>
  </si>
  <si>
    <t>Pre-selected options, also known as defaults, have been shown to influence choices about everything from organ
donations to retirement savings and mundane consumer decisions. Yet, boundary conditions of default effects
need to be understood to determine their legitimacy as a behavioral policy instrument. Although default effects
are multiply determined, they partly work through being perceived as recommendations by the source, the
choice architect. This implies that trust in the choice architect may play a role in default effects. In default
experiments in two countries – the Philippines (n = 909) and the U.S. (n = 925) – we manipulate trust. As
expected, we find a strong default effect on the choice of energy-efficient appliances, which is of similar size
across the two countries. The trust manipulation significantly influenced trust in the choice architect (the real
estate agent) and the number of energy-efficient appliances chosen in the U.S. However, it did not change the
default effect, which seems robust against mistrust in the choice architect. All in all, the study speaks for the
robustness of default effects. The fact that the default effect is robust even when used by untrustworthy choice
architects calls for regulation of its use.</t>
  </si>
  <si>
    <t>2020-2021</t>
  </si>
  <si>
    <t xml:space="preserve">hierarchical regression </t>
  </si>
  <si>
    <t>Philippines</t>
  </si>
  <si>
    <t>-0.5 standard as default, 0.5 efficient as 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</si>
</sst>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000"/>
  </numFmts>
  <fonts count="55">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111111"/>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12"/>
      <color rgb="FF111111"/>
      <name val="Calibri"/>
      <family val="2"/>
      <scheme val="minor"/>
    </font>
    <font>
      <sz val="12"/>
      <color rgb="FF000000"/>
      <name val="Calibri"/>
      <family val="2"/>
      <charset val="1"/>
      <scheme val="minor"/>
    </font>
    <font>
      <sz val="8"/>
      <name val="Calibri"/>
      <family val="2"/>
      <scheme val="minor"/>
    </font>
    <font>
      <sz val="12"/>
      <color theme="1"/>
      <name val="Calibri"/>
      <family val="2"/>
      <scheme val="minor"/>
    </font>
    <font>
      <sz val="9"/>
      <color indexed="81"/>
      <name val="Segoe UI"/>
      <charset val="1"/>
    </font>
    <font>
      <b/>
      <sz val="9"/>
      <color indexed="81"/>
      <name val="Segoe UI"/>
      <charset val="1"/>
    </font>
    <font>
      <sz val="11"/>
      <name val="Calibri"/>
      <family val="2"/>
      <scheme val="minor"/>
    </font>
    <font>
      <sz val="12"/>
      <name val="Calibri"/>
      <family val="2"/>
    </font>
    <font>
      <sz val="12"/>
      <color rgb="FF111111"/>
      <name val="AdvTT3713a231"/>
    </font>
    <font>
      <sz val="12"/>
      <name val="Calibri"/>
      <family val="2"/>
      <charset val="1"/>
    </font>
    <font>
      <sz val="12"/>
      <name val="Calibri"/>
      <family val="2"/>
      <charset val="1"/>
      <scheme val="minor"/>
    </font>
    <font>
      <sz val="11"/>
      <color rgb="FF000000"/>
      <name val="Calibri"/>
      <family val="2"/>
      <scheme val="minor"/>
    </font>
    <font>
      <sz val="12"/>
      <color theme="1"/>
      <name val="Calibri"/>
      <family val="2"/>
      <charset val="1"/>
    </font>
    <font>
      <sz val="12"/>
      <color theme="1"/>
      <name val="Calibri"/>
      <family val="2"/>
      <charset val="1"/>
      <scheme val="minor"/>
    </font>
    <font>
      <sz val="12"/>
      <color rgb="FFFF0000"/>
      <name val="Calibri"/>
      <family val="2"/>
      <scheme val="minor"/>
    </font>
    <font>
      <sz val="12"/>
      <color rgb="FFFF0000"/>
      <name val="Calibri (Body)"/>
    </font>
    <font>
      <sz val="12"/>
      <color rgb="FFFF0000"/>
      <name val="Calibri"/>
      <family val="2"/>
      <charset val="1"/>
    </font>
    <font>
      <sz val="12"/>
      <color rgb="FFFF0000"/>
      <name val="Calibri"/>
      <family val="2"/>
    </font>
    <font>
      <sz val="12"/>
      <name val="TimesNewRoman"/>
    </font>
    <font>
      <sz val="12"/>
      <name val="Calibri (Body)"/>
    </font>
    <font>
      <sz val="12"/>
      <name val="TimesLTStd"/>
    </font>
    <font>
      <i/>
      <sz val="12"/>
      <name val="TimesLTStd"/>
    </font>
    <font>
      <sz val="12"/>
      <color rgb="FF000000"/>
      <name val="Calibri (Body)"/>
    </font>
    <font>
      <sz val="11"/>
      <color rgb="FF000000"/>
      <name val="Calibri"/>
      <family val="2"/>
      <charset val="1"/>
    </font>
    <font>
      <sz val="11"/>
      <color rgb="FFFF0000"/>
      <name val="Calibri"/>
      <family val="2"/>
      <charset val="1"/>
    </font>
    <font>
      <sz val="11"/>
      <color theme="1"/>
      <name val="Calibri (Body)"/>
    </font>
    <font>
      <sz val="11"/>
      <color theme="1"/>
      <name val="Calibri"/>
      <family val="2"/>
      <charset val="1"/>
    </font>
    <font>
      <b/>
      <sz val="12"/>
      <color rgb="FF000000"/>
      <name val="Calibri"/>
      <family val="2"/>
    </font>
    <font>
      <sz val="12"/>
      <color rgb="FF000000"/>
      <name val="Calibri"/>
      <family val="2"/>
    </font>
    <font>
      <sz val="12"/>
      <color rgb="FFFF0000"/>
      <name val="Calibri"/>
      <family val="2"/>
    </font>
  </fonts>
  <fills count="23">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theme="0"/>
        <bgColor indexed="64"/>
      </patternFill>
    </fill>
    <fill>
      <patternFill patternType="solid">
        <fgColor theme="4" tint="0.79998168889431442"/>
        <bgColor indexed="64"/>
      </patternFill>
    </fill>
    <fill>
      <patternFill patternType="solid">
        <fgColor rgb="FFFFF2CC"/>
        <bgColor rgb="FF000000"/>
      </patternFill>
    </fill>
    <fill>
      <patternFill patternType="solid">
        <fgColor rgb="FFDDEBF7"/>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2">
    <xf numFmtId="0" fontId="0" fillId="0" borderId="0"/>
    <xf numFmtId="9" fontId="28" fillId="0" borderId="0" applyFont="0" applyFill="0" applyBorder="0" applyAlignment="0" applyProtection="0"/>
  </cellStyleXfs>
  <cellXfs count="222">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8" fillId="0" borderId="0" xfId="0" applyFont="1"/>
    <xf numFmtId="0" fontId="11" fillId="0" borderId="0" xfId="0" quotePrefix="1" applyFont="1"/>
    <xf numFmtId="164" fontId="0" fillId="5" borderId="0" xfId="0" applyNumberFormat="1" applyFill="1"/>
    <xf numFmtId="168" fontId="0" fillId="0" borderId="0" xfId="0" applyNumberFormat="1"/>
    <xf numFmtId="0" fontId="13"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9" fillId="2" borderId="0" xfId="0" applyNumberFormat="1" applyFont="1" applyFill="1" applyAlignment="1">
      <alignment wrapText="1"/>
    </xf>
    <xf numFmtId="170" fontId="0" fillId="0" borderId="0" xfId="0" applyNumberFormat="1"/>
    <xf numFmtId="0" fontId="10" fillId="0" borderId="0" xfId="0" applyFont="1"/>
    <xf numFmtId="0" fontId="12" fillId="0" borderId="0" xfId="0" applyFont="1"/>
    <xf numFmtId="164" fontId="12" fillId="0" borderId="0" xfId="0" applyNumberFormat="1" applyFont="1"/>
    <xf numFmtId="0" fontId="11" fillId="0" borderId="0" xfId="0" applyFont="1"/>
    <xf numFmtId="165" fontId="0" fillId="0" borderId="0" xfId="0" applyNumberFormat="1"/>
    <xf numFmtId="0" fontId="9" fillId="0" borderId="0" xfId="0" applyFont="1"/>
    <xf numFmtId="0" fontId="22" fillId="0" borderId="0" xfId="0" applyFont="1" applyAlignment="1">
      <alignment wrapText="1"/>
    </xf>
    <xf numFmtId="0" fontId="19" fillId="2" borderId="1" xfId="0" applyFont="1" applyFill="1" applyBorder="1"/>
    <xf numFmtId="0" fontId="22" fillId="0" borderId="0" xfId="0" applyFont="1"/>
    <xf numFmtId="0" fontId="0" fillId="15" borderId="0" xfId="0" applyFill="1" applyAlignment="1">
      <alignment wrapText="1"/>
    </xf>
    <xf numFmtId="0" fontId="0" fillId="15" borderId="0" xfId="0" applyFill="1"/>
    <xf numFmtId="0" fontId="2" fillId="15" borderId="0" xfId="0" applyFont="1" applyFill="1"/>
    <xf numFmtId="0" fontId="8" fillId="15" borderId="0" xfId="0" applyFont="1" applyFill="1"/>
    <xf numFmtId="0" fontId="23" fillId="0" borderId="0" xfId="0" applyFont="1" applyAlignment="1">
      <alignment vertical="center"/>
    </xf>
    <xf numFmtId="0" fontId="5" fillId="15" borderId="0" xfId="0" applyFont="1" applyFill="1"/>
    <xf numFmtId="0" fontId="31" fillId="0" borderId="0" xfId="0" applyFont="1"/>
    <xf numFmtId="0" fontId="31" fillId="15" borderId="0" xfId="0" applyFont="1" applyFill="1"/>
    <xf numFmtId="164" fontId="0" fillId="15" borderId="0" xfId="0" applyNumberFormat="1" applyFill="1"/>
    <xf numFmtId="168" fontId="0" fillId="15" borderId="0" xfId="0" applyNumberFormat="1" applyFill="1"/>
    <xf numFmtId="0" fontId="12" fillId="15" borderId="0" xfId="0" applyFont="1" applyFill="1"/>
    <xf numFmtId="170" fontId="0" fillId="15" borderId="0" xfId="0" applyNumberFormat="1" applyFill="1"/>
    <xf numFmtId="0" fontId="11" fillId="15" borderId="0" xfId="0" quotePrefix="1" applyFont="1" applyFill="1"/>
    <xf numFmtId="167" fontId="0" fillId="15" borderId="0" xfId="0" applyNumberFormat="1" applyFill="1"/>
    <xf numFmtId="0" fontId="6" fillId="15" borderId="0" xfId="0" applyFont="1" applyFill="1"/>
    <xf numFmtId="0" fontId="13" fillId="15" borderId="0" xfId="0" applyFont="1" applyFill="1"/>
    <xf numFmtId="0" fontId="22" fillId="15" borderId="0" xfId="0" applyFont="1" applyFill="1"/>
    <xf numFmtId="0" fontId="36" fillId="0" borderId="0" xfId="0" applyFont="1"/>
    <xf numFmtId="0" fontId="2" fillId="10" borderId="0" xfId="0" applyFont="1" applyFill="1"/>
    <xf numFmtId="0" fontId="3" fillId="10" borderId="1" xfId="0" applyFont="1" applyFill="1" applyBorder="1"/>
    <xf numFmtId="0" fontId="3" fillId="10" borderId="0" xfId="0" applyFont="1" applyFill="1"/>
    <xf numFmtId="0" fontId="22" fillId="10" borderId="0" xfId="0" applyFont="1" applyFill="1"/>
    <xf numFmtId="0" fontId="2" fillId="10" borderId="6" xfId="0" applyFont="1" applyFill="1" applyBorder="1"/>
    <xf numFmtId="0" fontId="2" fillId="7" borderId="0" xfId="0" applyFont="1" applyFill="1"/>
    <xf numFmtId="0" fontId="22" fillId="13" borderId="4" xfId="0" applyFont="1" applyFill="1" applyBorder="1"/>
    <xf numFmtId="0" fontId="22" fillId="17" borderId="9" xfId="0" applyFont="1" applyFill="1" applyBorder="1"/>
    <xf numFmtId="0" fontId="22" fillId="17" borderId="1" xfId="0" applyFont="1" applyFill="1" applyBorder="1"/>
    <xf numFmtId="0" fontId="22" fillId="9" borderId="1" xfId="0" applyFont="1" applyFill="1" applyBorder="1"/>
    <xf numFmtId="0" fontId="22" fillId="17" borderId="0" xfId="0" applyFont="1" applyFill="1"/>
    <xf numFmtId="0" fontId="22" fillId="17" borderId="4" xfId="0" applyFont="1" applyFill="1" applyBorder="1"/>
    <xf numFmtId="0" fontId="22"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9" fillId="14" borderId="1" xfId="0" applyFont="1" applyFill="1" applyBorder="1"/>
    <xf numFmtId="0" fontId="19" fillId="14" borderId="7" xfId="0" applyFont="1" applyFill="1" applyBorder="1"/>
    <xf numFmtId="0" fontId="19" fillId="7" borderId="4" xfId="0" applyFont="1" applyFill="1" applyBorder="1"/>
    <xf numFmtId="0" fontId="19" fillId="7" borderId="1" xfId="0" applyFont="1" applyFill="1" applyBorder="1"/>
    <xf numFmtId="0" fontId="19" fillId="7" borderId="7" xfId="0" applyFont="1" applyFill="1" applyBorder="1"/>
    <xf numFmtId="0" fontId="19" fillId="11" borderId="4" xfId="0" applyFont="1" applyFill="1" applyBorder="1"/>
    <xf numFmtId="0" fontId="19" fillId="11" borderId="1" xfId="0" applyFont="1" applyFill="1" applyBorder="1"/>
    <xf numFmtId="0" fontId="19" fillId="11" borderId="7" xfId="0" applyFont="1" applyFill="1" applyBorder="1"/>
    <xf numFmtId="0" fontId="19" fillId="12" borderId="4" xfId="0" applyFont="1" applyFill="1" applyBorder="1"/>
    <xf numFmtId="0" fontId="19" fillId="12" borderId="1" xfId="0" applyFont="1" applyFill="1" applyBorder="1"/>
    <xf numFmtId="0" fontId="22" fillId="16" borderId="4" xfId="0" applyFont="1" applyFill="1" applyBorder="1"/>
    <xf numFmtId="0" fontId="22" fillId="16" borderId="1" xfId="0" applyFont="1" applyFill="1" applyBorder="1"/>
    <xf numFmtId="0" fontId="22" fillId="16" borderId="7" xfId="0" applyFont="1" applyFill="1" applyBorder="1"/>
    <xf numFmtId="170" fontId="19" fillId="2" borderId="0" xfId="0" applyNumberFormat="1" applyFont="1" applyFill="1"/>
    <xf numFmtId="170" fontId="22" fillId="0" borderId="0" xfId="0" applyNumberFormat="1" applyFont="1"/>
    <xf numFmtId="0" fontId="21" fillId="0" borderId="0" xfId="0" applyFont="1"/>
    <xf numFmtId="164" fontId="21" fillId="0" borderId="0" xfId="0" applyNumberFormat="1" applyFont="1"/>
    <xf numFmtId="10" fontId="37" fillId="0" borderId="0" xfId="1" applyNumberFormat="1" applyFont="1" applyFill="1" applyAlignment="1"/>
    <xf numFmtId="0" fontId="47" fillId="0" borderId="0" xfId="0" applyFont="1"/>
    <xf numFmtId="170" fontId="12" fillId="0" borderId="0" xfId="0" applyNumberFormat="1" applyFont="1"/>
    <xf numFmtId="1" fontId="0" fillId="0" borderId="0" xfId="0" applyNumberFormat="1"/>
    <xf numFmtId="0" fontId="40" fillId="0" borderId="0" xfId="0" applyFont="1"/>
    <xf numFmtId="0" fontId="34" fillId="0" borderId="0" xfId="0" applyFont="1"/>
    <xf numFmtId="0" fontId="35" fillId="0" borderId="0" xfId="0" applyFont="1"/>
    <xf numFmtId="10" fontId="0" fillId="0" borderId="0" xfId="1" applyNumberFormat="1" applyFont="1" applyAlignment="1"/>
    <xf numFmtId="0" fontId="24" fillId="0" borderId="0" xfId="0" applyFont="1"/>
    <xf numFmtId="3" fontId="0" fillId="0" borderId="0" xfId="0" applyNumberFormat="1"/>
    <xf numFmtId="0" fontId="25" fillId="0" borderId="0" xfId="0" applyFont="1"/>
    <xf numFmtId="10" fontId="37" fillId="15" borderId="0" xfId="1" applyNumberFormat="1" applyFont="1" applyFill="1" applyAlignment="1"/>
    <xf numFmtId="0" fontId="7" fillId="0" borderId="0" xfId="0" applyFont="1"/>
    <xf numFmtId="0" fontId="0" fillId="8" borderId="0" xfId="0" applyFill="1"/>
    <xf numFmtId="0" fontId="37" fillId="0" borderId="0" xfId="0" applyFont="1"/>
    <xf numFmtId="0" fontId="32" fillId="19" borderId="0" xfId="0" applyFont="1" applyFill="1"/>
    <xf numFmtId="0" fontId="32" fillId="0" borderId="0" xfId="0" applyFont="1"/>
    <xf numFmtId="164" fontId="24" fillId="0" borderId="0" xfId="0" applyNumberFormat="1" applyFont="1"/>
    <xf numFmtId="0" fontId="39" fillId="0" borderId="0" xfId="0" applyFont="1"/>
    <xf numFmtId="170" fontId="24" fillId="0" borderId="0" xfId="0" applyNumberFormat="1" applyFont="1"/>
    <xf numFmtId="0" fontId="34" fillId="8" borderId="0" xfId="0" applyFont="1" applyFill="1"/>
    <xf numFmtId="0" fontId="24" fillId="8" borderId="0" xfId="0" applyFont="1" applyFill="1"/>
    <xf numFmtId="0" fontId="32" fillId="8" borderId="0" xfId="0" applyFont="1" applyFill="1"/>
    <xf numFmtId="164" fontId="24" fillId="8" borderId="0" xfId="0" applyNumberFormat="1" applyFont="1" applyFill="1"/>
    <xf numFmtId="170" fontId="0" fillId="8" borderId="0" xfId="0" applyNumberFormat="1" applyFill="1"/>
    <xf numFmtId="0" fontId="0" fillId="18" borderId="0" xfId="0" applyFill="1"/>
    <xf numFmtId="0" fontId="12" fillId="8" borderId="0" xfId="0" applyFont="1" applyFill="1"/>
    <xf numFmtId="0" fontId="6" fillId="8" borderId="0" xfId="0" applyFont="1" applyFill="1"/>
    <xf numFmtId="164" fontId="12" fillId="8" borderId="0" xfId="0" applyNumberFormat="1" applyFont="1" applyFill="1"/>
    <xf numFmtId="10" fontId="12" fillId="8" borderId="0" xfId="0" applyNumberFormat="1" applyFont="1" applyFill="1"/>
    <xf numFmtId="170" fontId="12" fillId="8" borderId="0" xfId="0" applyNumberFormat="1" applyFont="1" applyFill="1"/>
    <xf numFmtId="0" fontId="39" fillId="8" borderId="0" xfId="0" applyFont="1" applyFill="1"/>
    <xf numFmtId="0" fontId="40" fillId="8" borderId="0" xfId="0" applyFont="1" applyFill="1"/>
    <xf numFmtId="0" fontId="41" fillId="8" borderId="0" xfId="0" applyFont="1" applyFill="1"/>
    <xf numFmtId="164" fontId="39" fillId="8" borderId="0" xfId="0" applyNumberFormat="1" applyFont="1" applyFill="1"/>
    <xf numFmtId="164" fontId="5" fillId="0" borderId="0" xfId="0" applyNumberFormat="1" applyFont="1"/>
    <xf numFmtId="0" fontId="21" fillId="8" borderId="0" xfId="0" applyFont="1" applyFill="1"/>
    <xf numFmtId="0" fontId="21" fillId="5" borderId="0" xfId="0" applyFont="1" applyFill="1"/>
    <xf numFmtId="0" fontId="42" fillId="8" borderId="0" xfId="0" applyFont="1" applyFill="1"/>
    <xf numFmtId="170" fontId="39" fillId="0" borderId="0" xfId="0" applyNumberFormat="1" applyFont="1"/>
    <xf numFmtId="171" fontId="0" fillId="0" borderId="0" xfId="0" applyNumberFormat="1"/>
    <xf numFmtId="0" fontId="38" fillId="0" borderId="0" xfId="0" applyFont="1"/>
    <xf numFmtId="0" fontId="21" fillId="7" borderId="0" xfId="0" applyFont="1" applyFill="1"/>
    <xf numFmtId="0" fontId="0" fillId="7" borderId="0" xfId="0" applyFill="1"/>
    <xf numFmtId="0" fontId="26" fillId="0" borderId="0" xfId="0" applyFont="1"/>
    <xf numFmtId="164" fontId="47" fillId="0" borderId="0" xfId="0" applyNumberFormat="1" applyFont="1"/>
    <xf numFmtId="0" fontId="47" fillId="15" borderId="0" xfId="0" applyFont="1" applyFill="1"/>
    <xf numFmtId="0" fontId="48" fillId="15" borderId="0" xfId="0" quotePrefix="1" applyFont="1" applyFill="1"/>
    <xf numFmtId="10" fontId="47" fillId="0" borderId="0" xfId="1" applyNumberFormat="1" applyFont="1" applyAlignment="1"/>
    <xf numFmtId="0" fontId="47" fillId="5" borderId="0" xfId="0" applyFont="1" applyFill="1"/>
    <xf numFmtId="0" fontId="38" fillId="15" borderId="0" xfId="0" applyFont="1" applyFill="1"/>
    <xf numFmtId="0" fontId="12" fillId="7" borderId="0" xfId="0" applyFont="1" applyFill="1"/>
    <xf numFmtId="0" fontId="47" fillId="7" borderId="0" xfId="0" applyFont="1" applyFill="1"/>
    <xf numFmtId="0" fontId="36" fillId="7" borderId="0" xfId="0" applyFont="1" applyFill="1"/>
    <xf numFmtId="164" fontId="12" fillId="7" borderId="0" xfId="0" applyNumberFormat="1" applyFont="1" applyFill="1"/>
    <xf numFmtId="10" fontId="12" fillId="7" borderId="0" xfId="1" applyNumberFormat="1" applyFont="1" applyFill="1" applyAlignment="1"/>
    <xf numFmtId="170" fontId="12" fillId="7" borderId="0" xfId="0" applyNumberFormat="1" applyFont="1" applyFill="1"/>
    <xf numFmtId="0" fontId="34" fillId="7" borderId="0" xfId="0" applyFont="1" applyFill="1"/>
    <xf numFmtId="9" fontId="0" fillId="0" borderId="0" xfId="0" applyNumberFormat="1"/>
    <xf numFmtId="0" fontId="6" fillId="7" borderId="0" xfId="0" applyFont="1" applyFill="1"/>
    <xf numFmtId="0" fontId="8" fillId="7" borderId="0" xfId="0" applyFont="1" applyFill="1"/>
    <xf numFmtId="10" fontId="6" fillId="0" borderId="0" xfId="0" applyNumberFormat="1" applyFont="1"/>
    <xf numFmtId="9" fontId="6" fillId="0" borderId="0" xfId="0" applyNumberFormat="1" applyFont="1"/>
    <xf numFmtId="164" fontId="21" fillId="5" borderId="0" xfId="0" applyNumberFormat="1" applyFont="1" applyFill="1"/>
    <xf numFmtId="10" fontId="5" fillId="0" borderId="0" xfId="1" applyNumberFormat="1" applyFont="1" applyFill="1" applyAlignment="1"/>
    <xf numFmtId="0" fontId="43" fillId="0" borderId="0" xfId="0" applyFont="1"/>
    <xf numFmtId="171" fontId="24" fillId="0" borderId="0" xfId="0" applyNumberFormat="1" applyFont="1"/>
    <xf numFmtId="0" fontId="38" fillId="8" borderId="0" xfId="0" applyFont="1" applyFill="1"/>
    <xf numFmtId="9" fontId="42" fillId="8" borderId="0" xfId="1" applyFont="1" applyFill="1" applyAlignment="1"/>
    <xf numFmtId="168" fontId="39" fillId="8" borderId="0" xfId="0" applyNumberFormat="1" applyFont="1" applyFill="1"/>
    <xf numFmtId="0" fontId="49" fillId="20" borderId="0" xfId="0" quotePrefix="1" applyFont="1" applyFill="1"/>
    <xf numFmtId="0" fontId="47" fillId="8" borderId="0" xfId="0" applyFont="1" applyFill="1"/>
    <xf numFmtId="164" fontId="47" fillId="8" borderId="0" xfId="0" applyNumberFormat="1" applyFont="1" applyFill="1"/>
    <xf numFmtId="2" fontId="47" fillId="8" borderId="0" xfId="0" applyNumberFormat="1" applyFont="1" applyFill="1"/>
    <xf numFmtId="0" fontId="48" fillId="0" borderId="0" xfId="0" quotePrefix="1" applyFont="1"/>
    <xf numFmtId="0" fontId="26" fillId="8" borderId="0" xfId="0" applyFont="1" applyFill="1"/>
    <xf numFmtId="164" fontId="21" fillId="8" borderId="0" xfId="0" applyNumberFormat="1" applyFont="1" applyFill="1"/>
    <xf numFmtId="2" fontId="21" fillId="8" borderId="0" xfId="0" applyNumberFormat="1" applyFont="1" applyFill="1"/>
    <xf numFmtId="10" fontId="0" fillId="8" borderId="0" xfId="0" applyNumberFormat="1" applyFill="1"/>
    <xf numFmtId="0" fontId="0" fillId="0" borderId="0" xfId="0" pivotButton="1"/>
    <xf numFmtId="0" fontId="0" fillId="0" borderId="0" xfId="0" applyAlignment="1">
      <alignment horizontal="left"/>
    </xf>
    <xf numFmtId="0" fontId="5" fillId="8" borderId="0" xfId="0" applyFont="1" applyFill="1"/>
    <xf numFmtId="0" fontId="50" fillId="8" borderId="0" xfId="0" applyFont="1" applyFill="1"/>
    <xf numFmtId="0" fontId="51" fillId="0" borderId="0" xfId="0" quotePrefix="1" applyFont="1"/>
    <xf numFmtId="9" fontId="21" fillId="8" borderId="0" xfId="1" applyFont="1" applyFill="1" applyAlignment="1"/>
    <xf numFmtId="0" fontId="23" fillId="8" borderId="0" xfId="0" applyFont="1" applyFill="1"/>
    <xf numFmtId="0" fontId="37" fillId="8" borderId="0" xfId="0" applyFont="1" applyFill="1"/>
    <xf numFmtId="164" fontId="0" fillId="8" borderId="0" xfId="0" applyNumberFormat="1" applyFill="1"/>
    <xf numFmtId="10" fontId="0" fillId="8" borderId="0" xfId="1" applyNumberFormat="1" applyFont="1" applyFill="1" applyAlignment="1"/>
    <xf numFmtId="9" fontId="0" fillId="8" borderId="0" xfId="0" applyNumberFormat="1" applyFill="1"/>
    <xf numFmtId="0" fontId="52" fillId="21" borderId="0" xfId="0" applyFont="1" applyFill="1"/>
    <xf numFmtId="0" fontId="53" fillId="0" borderId="0" xfId="0" applyFont="1"/>
    <xf numFmtId="0" fontId="32" fillId="22" borderId="0" xfId="0" applyFont="1" applyFill="1"/>
    <xf numFmtId="0" fontId="8" fillId="22" borderId="0" xfId="0" applyFont="1" applyFill="1"/>
    <xf numFmtId="0" fontId="42" fillId="0" borderId="0" xfId="0" applyFont="1"/>
    <xf numFmtId="0" fontId="53" fillId="22" borderId="0" xfId="0" applyFont="1" applyFill="1"/>
    <xf numFmtId="0" fontId="8" fillId="21" borderId="0" xfId="0" applyFont="1" applyFill="1"/>
    <xf numFmtId="0" fontId="54" fillId="22" borderId="0" xfId="0" applyFont="1" applyFill="1"/>
    <xf numFmtId="0" fontId="42" fillId="22" borderId="0" xfId="0" applyFont="1" applyFill="1"/>
    <xf numFmtId="9" fontId="44" fillId="15" borderId="0" xfId="1" applyFont="1" applyFill="1" applyAlignment="1"/>
    <xf numFmtId="171" fontId="2" fillId="10" borderId="0" xfId="0" applyNumberFormat="1" applyFont="1" applyFill="1"/>
    <xf numFmtId="171" fontId="21" fillId="0" borderId="0" xfId="0" applyNumberFormat="1" applyFont="1"/>
    <xf numFmtId="171" fontId="24" fillId="8" borderId="0" xfId="0" applyNumberFormat="1" applyFont="1" applyFill="1"/>
    <xf numFmtId="171" fontId="12" fillId="7" borderId="0" xfId="0" applyNumberFormat="1" applyFont="1" applyFill="1"/>
    <xf numFmtId="171" fontId="21" fillId="5" borderId="0" xfId="0" applyNumberFormat="1" applyFont="1" applyFill="1"/>
    <xf numFmtId="171" fontId="5" fillId="0" borderId="0" xfId="0" applyNumberFormat="1" applyFont="1"/>
    <xf numFmtId="171" fontId="21" fillId="15" borderId="0" xfId="0" applyNumberFormat="1" applyFont="1" applyFill="1"/>
    <xf numFmtId="171" fontId="0" fillId="15" borderId="0" xfId="0" applyNumberFormat="1" applyFill="1"/>
    <xf numFmtId="171" fontId="47" fillId="8" borderId="0" xfId="0" applyNumberFormat="1" applyFont="1" applyFill="1"/>
    <xf numFmtId="171" fontId="21" fillId="8" borderId="0" xfId="0" applyNumberFormat="1" applyFont="1" applyFill="1"/>
    <xf numFmtId="171" fontId="39" fillId="8" borderId="0" xfId="0" applyNumberFormat="1" applyFont="1" applyFill="1"/>
    <xf numFmtId="171" fontId="0" fillId="8" borderId="0" xfId="0" applyNumberFormat="1" applyFill="1"/>
    <xf numFmtId="171" fontId="12" fillId="8" borderId="0" xfId="0" applyNumberFormat="1" applyFont="1" applyFill="1"/>
    <xf numFmtId="171" fontId="47" fillId="15" borderId="0" xfId="0" applyNumberFormat="1" applyFont="1" applyFill="1"/>
    <xf numFmtId="10" fontId="41" fillId="15" borderId="0" xfId="1" applyNumberFormat="1" applyFont="1" applyFill="1" applyAlignment="1"/>
    <xf numFmtId="9" fontId="21" fillId="0" borderId="0" xfId="0" applyNumberFormat="1" applyFont="1"/>
    <xf numFmtId="10" fontId="42" fillId="15" borderId="0" xfId="1" applyNumberFormat="1" applyFont="1" applyFill="1" applyAlignment="1"/>
    <xf numFmtId="171" fontId="41" fillId="0" borderId="0" xfId="0" applyNumberFormat="1" applyFont="1" applyAlignment="1">
      <alignment horizontal="right"/>
    </xf>
    <xf numFmtId="0" fontId="41" fillId="0" borderId="0" xfId="0" applyFont="1"/>
    <xf numFmtId="171" fontId="40" fillId="0" borderId="0" xfId="0" applyNumberFormat="1" applyFont="1"/>
    <xf numFmtId="164" fontId="40" fillId="0" borderId="0" xfId="0" applyNumberFormat="1" applyFont="1"/>
    <xf numFmtId="0" fontId="21" fillId="15" borderId="0" xfId="0" applyFont="1" applyFill="1"/>
    <xf numFmtId="0" fontId="39" fillId="15" borderId="0" xfId="0" applyFont="1" applyFill="1"/>
    <xf numFmtId="0" fontId="42" fillId="15" borderId="0" xfId="0" applyFont="1" applyFill="1"/>
    <xf numFmtId="164" fontId="21" fillId="15" borderId="0" xfId="0" applyNumberFormat="1" applyFont="1" applyFill="1"/>
    <xf numFmtId="170" fontId="39" fillId="15" borderId="0" xfId="0" applyNumberFormat="1" applyFont="1" applyFill="1"/>
    <xf numFmtId="0" fontId="0" fillId="0" borderId="0" xfId="0" applyAlignment="1"/>
    <xf numFmtId="0" fontId="21" fillId="0" borderId="0" xfId="0" quotePrefix="1" applyFont="1"/>
  </cellXfs>
  <cellStyles count="2">
    <cellStyle name="Normal" xfId="0" builtinId="0"/>
    <cellStyle name="Per cent" xfId="1" builtinId="5"/>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externalLink" Target="externalLinks/externalLink1.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microsoft.com/office/2019/04/relationships/externalLinkLongPath" Target="https://d.docs.live.net/Users/dianadanilenko/Library/Containers/com.microsoft.Excel/Data/Documents/Users/dianadanilenko/Library/Containers/com.microsoft.Excel/Data/Documents/C:/Users/dianadanilenko/Downloads/Coding_Appliances_v7.xlsx?D02ED7B1" TargetMode="External"/><Relationship Id="rId1" Type="http://schemas.openxmlformats.org/officeDocument/2006/relationships/externalLinkPath" Target="file:///D02ED7B1/Coding_Appliances_v7.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s for variables"/>
    </sheet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Hansteen, Sven" id="{4972B049-9CE6-AC49-9D28-FAEEEEB34A16}" userId="S::shansteen@rwi-essen.de::722ee81c-730f-49c5-b2e8-5ba9991bffdd" providerId="AD"/>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057.552441087966" createdVersion="8" refreshedVersion="8" minRefreshableVersion="3" recordCount="334" xr:uid="{00000000-000A-0000-FFFF-FFFF05000000}">
  <cacheSource type="worksheet">
    <worksheetSource ref="A1:CD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acheField>
    <cacheField name="information" numFmtId="0">
      <sharedItems containsString="0" containsBlank="1" containsNumber="1" containsInteger="1" minValue="0" maxValue="1"/>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n v="0"/>
    <n v="0"/>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1"/>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0"/>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n v="0"/>
    <n v="1"/>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m/>
    <m/>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m/>
    <m/>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n v="0"/>
    <n v="1"/>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n v="0"/>
    <n v="0"/>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n v="0"/>
    <n v="0"/>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n v="0"/>
    <n v="0"/>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n v="0"/>
    <n v="0"/>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m/>
    <m/>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n v="0"/>
    <n v="0"/>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n v="0"/>
    <n v="0"/>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n v="0"/>
    <n v="0"/>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m/>
    <m/>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m/>
    <m/>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n v="0"/>
    <n v="0"/>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m/>
    <m/>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n v="0"/>
    <n v="0"/>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n v="0"/>
    <n v="0"/>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m/>
    <m/>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m/>
    <m/>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m/>
    <m/>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n v="0"/>
    <n v="1"/>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m/>
    <m/>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m/>
    <m/>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n v="0"/>
    <n v="0"/>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n v="0"/>
    <n v="1"/>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n v="0"/>
    <n v="0"/>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n v="0"/>
    <n v="0"/>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n v="0"/>
    <n v="0"/>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n v="0"/>
    <n v="0"/>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0"/>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m/>
    <m/>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 ref="AW95" dT="2022-11-28T14:59:57.62" personId="{07E012BB-865F-6142-9A86-EDCC0A8503F7}" id="{1762D52C-C952-7F43-847B-B050969DF7F7}">
    <text>we have confidence intervals but no SE</text>
  </threadedComment>
  <threadedComment ref="BJ129" dT="2023-05-16T16:01:52.70" personId="{07E012BB-865F-6142-9A86-EDCC0A8503F7}" id="{1F7A7D95-9782-8549-84C7-AF86FD10A3A0}">
    <text xml:space="preserve">number of stores -what should we actually use as observations
</text>
  </threadedComment>
  <threadedComment ref="BB136" dT="2022-12-06T15:31:30.94" personId="{4972B049-9CE6-AC49-9D28-FAEEEEB34A16}" id="{82F1C3F7-426B-1A49-BF17-3AE9A7F3075E}">
    <text>Delta = 81 - 63 percent</text>
  </threadedComment>
  <threadedComment ref="M141" dT="2023-05-22T12:29:41.21" personId="{07E012BB-865F-6142-9A86-EDCC0A8503F7}" id="{9F47CB00-27A0-CE4B-BCAE-E38E0BB97778}">
    <text xml:space="preserve">structural equation modelling
</text>
  </threadedComment>
</ThreadedComments>
</file>

<file path=xl/threadedComments/threadedComment3.xml><?xml version="1.0" encoding="utf-8"?>
<ThreadedComments xmlns="http://schemas.microsoft.com/office/spreadsheetml/2018/threadedcomments" xmlns:x="http://schemas.openxmlformats.org/spreadsheetml/2006/main">
  <threadedComment ref="E6" dT="2022-12-21T13:31:39.91" personId="{07E012BB-865F-6142-9A86-EDCC0A8503F7}" id="{CF36070F-7893-4948-8AB8-1CADF6EBBFD9}">
    <text>a bit confused as of where it’s correlation and where - quasi-experimental</text>
  </threadedComment>
  <threadedComment ref="E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6"/>
  <cols>
    <col min="4" max="4" width="20.6640625" customWidth="1"/>
    <col min="5" max="5" width="14.1640625" customWidth="1"/>
    <col min="7" max="7" width="16.1640625" customWidth="1"/>
    <col min="8" max="8" width="16.6640625" customWidth="1"/>
    <col min="10" max="10" width="18.1640625" bestFit="1" customWidth="1"/>
    <col min="11" max="11" width="12" hidden="1" customWidth="1"/>
    <col min="12" max="17" width="0" hidden="1" customWidth="1"/>
    <col min="18" max="18" width="16" hidden="1" customWidth="1"/>
    <col min="19" max="22" width="0" hidden="1" customWidth="1"/>
    <col min="23" max="24" width="12.1640625" hidden="1" customWidth="1"/>
    <col min="25" max="25" width="0" hidden="1" customWidth="1"/>
    <col min="26" max="26" width="0" style="12" hidden="1" customWidth="1"/>
    <col min="27" max="27" width="18.6640625" hidden="1" customWidth="1"/>
    <col min="28" max="28" width="14.1640625" style="7" bestFit="1" customWidth="1"/>
    <col min="29" max="29" width="14.6640625" style="7" customWidth="1"/>
    <col min="30" max="30" width="13.6640625" customWidth="1"/>
    <col min="31" max="31" width="14.6640625" customWidth="1"/>
    <col min="32" max="32" width="13.6640625" hidden="1" customWidth="1"/>
    <col min="33" max="33" width="19.1640625" hidden="1" customWidth="1"/>
    <col min="34" max="34" width="10.6640625" hidden="1" customWidth="1"/>
    <col min="35" max="35" width="13.1640625" hidden="1" customWidth="1"/>
    <col min="36" max="36" width="22.1640625" hidden="1" customWidth="1"/>
    <col min="37" max="37" width="10.6640625" hidden="1" customWidth="1"/>
    <col min="38" max="38" width="18.1640625" customWidth="1"/>
    <col min="39" max="39" width="14.1640625" customWidth="1"/>
    <col min="40" max="40" width="9.6640625" customWidth="1"/>
    <col min="41" max="41" width="19.1640625" customWidth="1"/>
    <col min="42" max="42" width="12.1640625" customWidth="1"/>
    <col min="44" max="45" width="0" hidden="1" customWidth="1"/>
    <col min="46" max="47" width="13.1640625" hidden="1" customWidth="1"/>
    <col min="48" max="51" width="0" hidden="1" customWidth="1"/>
    <col min="52" max="52" width="13.6640625" style="17" hidden="1" customWidth="1"/>
    <col min="53" max="53" width="26.5" hidden="1" customWidth="1"/>
    <col min="54" max="54" width="20.6640625" hidden="1" customWidth="1"/>
    <col min="55" max="55" width="0" hidden="1" customWidth="1"/>
    <col min="56" max="56" width="17.6640625" hidden="1" customWidth="1"/>
    <col min="57" max="57" width="16.1640625" hidden="1" customWidth="1"/>
    <col min="58" max="58" width="15.1640625" hidden="1" customWidth="1"/>
    <col min="59" max="59" width="20.6640625" hidden="1" customWidth="1"/>
    <col min="60" max="60" width="24.6640625" hidden="1" customWidth="1"/>
    <col min="61" max="61" width="19.6640625" style="30" bestFit="1" customWidth="1"/>
    <col min="62" max="62" width="24.1640625" style="30" bestFit="1" customWidth="1"/>
    <col min="63" max="65" width="11" style="30"/>
    <col min="67" max="67" width="25.1640625" bestFit="1" customWidth="1"/>
  </cols>
  <sheetData>
    <row r="1" spans="1:68" ht="48">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6.4285714285714276E-3</v>
      </c>
      <c r="BJ27" s="30">
        <f t="shared" si="15"/>
        <v>6.4285714285714276E-3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7">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7">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7">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7">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1">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xr:uid="{00000000-0002-0000-0000-000000000000}">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xr:uid="{00000000-0002-0000-0000-000001000000}">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xr:uid="{00000000-0002-0000-0000-000002000000}">
      <formula1>0</formula1>
      <formula2>1</formula2>
    </dataValidation>
    <dataValidation type="whole" allowBlank="1" showInputMessage="1" showErrorMessage="1" prompt="1- lower bound_x000a_2 - upper bound_x000a_3- actual" sqref="AO54:AO1048576 AO43:AO52 AO1:AO38" xr:uid="{00000000-0002-0000-0000-000003000000}">
      <formula1>0</formula1>
      <formula2>3</formula2>
    </dataValidation>
    <dataValidation allowBlank="1" showInputMessage="1" showErrorMessage="1" prompt="Yes - 1_x000a_No - 0_x000a_" sqref="X1" xr:uid="{00000000-0002-0000-0000-000004000000}"/>
    <dataValidation allowBlank="1" showInputMessage="1" showErrorMessage="1" sqref="BA53 AR53" xr:uid="{00000000-0002-0000-0000-000005000000}"/>
    <dataValidation type="list" allowBlank="1" showInputMessage="1" showErrorMessage="1" sqref="J23:J37 J1:J12" xr:uid="{00000000-0002-0000-0000-000006000000}">
      <formula1>$F$2:$F$9</formula1>
    </dataValidation>
    <dataValidation type="list" allowBlank="1" showInputMessage="1" showErrorMessage="1" sqref="K23:K37 K1:K12" xr:uid="{00000000-0002-0000-0000-000007000000}">
      <formula1>$D$2:$D$6</formula1>
    </dataValidation>
    <dataValidation type="list" allowBlank="1" showInputMessage="1" showErrorMessage="1" sqref="K43:K51" xr:uid="{00000000-0002-0000-0000-000008000000}">
      <formula1>$D$2:$D$7</formula1>
    </dataValidation>
    <dataValidation type="list" allowBlank="1" showInputMessage="1" showErrorMessage="1" sqref="J43:J51" xr:uid="{00000000-0002-0000-0000-000009000000}">
      <formula1>$F$2:$F$10</formula1>
    </dataValidation>
    <dataValidation type="list" allowBlank="1" showInputMessage="1" showErrorMessage="1" prompt="Option to Opt/in - 1_x000a_No Option to Opt/in - 0_x000a_NA_x000a__x000a_" sqref="BC54:BC1048576 BC1:BC12 BC33:BC38" xr:uid="{00000000-0002-0000-0000-00000A000000}">
      <formula1>$C$2:$C$4</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r:uid="{00000000-0002-0000-0000-00000D000000}">
          <x14:formula1>
            <xm:f>'Lists for variables'!$C$2:$C$4</xm:f>
          </x14:formula1>
          <xm:sqref>BC23:BC28</xm:sqref>
        </x14:dataValidation>
        <x14:dataValidation type="list" allowBlank="1" showInputMessage="1" showErrorMessage="1" xr:uid="{00000000-0002-0000-0000-00000E000000}">
          <x14:formula1>
            <xm:f>'Lists for variables'!$G$2:$G$9</xm:f>
          </x14:formula1>
          <xm:sqref>J54:J1048576</xm:sqref>
        </x14:dataValidation>
        <x14:dataValidation type="list" allowBlank="1" showInputMessage="1" showErrorMessage="1" xr:uid="{00000000-0002-0000-0000-00000F000000}">
          <x14:formula1>
            <xm:f>'Lists for variables'!$A$2:$A$4</xm:f>
          </x14:formula1>
          <xm:sqref>AS43:AX51 AS54:AX1048576 AS23:AX38 AS2:AX12</xm:sqref>
        </x14:dataValidation>
        <x14:dataValidation type="list" allowBlank="1" showInputMessage="1" showErrorMessage="1" xr:uid="{00000000-0002-0000-0000-000010000000}">
          <x14:formula1>
            <xm:f>'Lists for variables'!$G$2:$G$10</xm:f>
          </x14:formula1>
          <xm:sqref>J38</xm:sqref>
        </x14:dataValidation>
        <x14:dataValidation type="list" allowBlank="1" showInputMessage="1" showErrorMessage="1" xr:uid="{00000000-0002-0000-0000-000011000000}">
          <x14:formula1>
            <xm:f>'Lists for variables'!$F$2:$F$4</xm:f>
          </x14:formula1>
          <xm:sqref>AO43:AO51</xm:sqref>
        </x14:dataValidation>
        <x14:dataValidation type="list" allowBlank="1" showInputMessage="1" showErrorMessage="1" xr:uid="{00000000-0002-0000-0000-000012000000}">
          <x14:formula1>
            <xm:f>'Lists for variables'!$E$2:$E$6</xm:f>
          </x14:formula1>
          <xm:sqref>K54:K1048576</xm:sqref>
        </x14:dataValidation>
        <x14:dataValidation type="list" allowBlank="1" showInputMessage="1" showErrorMessage="1" xr:uid="{00000000-0002-0000-0000-000013000000}">
          <x14:formula1>
            <xm:f>'Lists for variables'!$E$2:$E$7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I159"/>
  <sheetViews>
    <sheetView tabSelected="1" zoomScale="89" zoomScaleNormal="89" workbookViewId="0">
      <pane xSplit="1" ySplit="1" topLeftCell="AH116" activePane="bottomRight" state="frozen"/>
      <selection pane="topRight" activeCell="B1" sqref="B1"/>
      <selection pane="bottomLeft" activeCell="A2" sqref="A2"/>
      <selection pane="bottomRight" activeCell="CE156" sqref="CE156:CH158"/>
    </sheetView>
  </sheetViews>
  <sheetFormatPr baseColWidth="10" defaultColWidth="11" defaultRowHeight="15.75" customHeight="1"/>
  <cols>
    <col min="5" max="5" width="24.6640625" customWidth="1"/>
    <col min="6" max="6" width="17.6640625" customWidth="1"/>
    <col min="7" max="7" width="14.1640625" customWidth="1"/>
    <col min="8" max="8" width="16.5" customWidth="1"/>
    <col min="9" max="9" width="11" customWidth="1"/>
    <col min="10" max="10" width="16.1640625" customWidth="1"/>
    <col min="11" max="11" width="15.1640625" bestFit="1" customWidth="1"/>
    <col min="13" max="13" width="20.6640625" bestFit="1" customWidth="1"/>
    <col min="14" max="14" width="13.1640625" customWidth="1"/>
    <col min="15" max="15" width="11" customWidth="1"/>
    <col min="16" max="16" width="14.6640625" customWidth="1"/>
    <col min="17" max="17" width="13.1640625" customWidth="1"/>
    <col min="18" max="18" width="15" customWidth="1"/>
    <col min="19" max="19" width="14.1640625" customWidth="1"/>
    <col min="20" max="20" width="11" customWidth="1"/>
    <col min="21" max="21" width="21.1640625" customWidth="1"/>
    <col min="22" max="22" width="16" customWidth="1"/>
    <col min="23" max="23" width="14.6640625" customWidth="1"/>
    <col min="24" max="24" width="12.5" customWidth="1"/>
    <col min="25" max="33" width="11" customWidth="1"/>
    <col min="34" max="35" width="16" customWidth="1"/>
    <col min="36" max="39" width="11" customWidth="1"/>
    <col min="40" max="41" width="12.1640625" customWidth="1"/>
    <col min="42" max="42" width="11" customWidth="1"/>
    <col min="43" max="43" width="27.6640625" customWidth="1"/>
    <col min="44" max="44" width="41.1640625" bestFit="1" customWidth="1"/>
    <col min="45" max="45" width="54.6640625" customWidth="1"/>
    <col min="46" max="46" width="21" customWidth="1"/>
    <col min="47" max="47" width="26.6640625" style="134" customWidth="1"/>
    <col min="48" max="48" width="14.1640625" style="7" customWidth="1"/>
    <col min="49" max="49" width="13.1640625" customWidth="1"/>
    <col min="50" max="50" width="9.6640625" customWidth="1"/>
    <col min="51" max="51" width="17" customWidth="1"/>
    <col min="52" max="52" width="9"/>
    <col min="54" max="54" width="14.1640625" customWidth="1"/>
    <col min="55" max="55" width="13.6640625" customWidth="1"/>
    <col min="56" max="56" width="12.6640625" customWidth="1"/>
    <col min="57" max="57" width="10.6640625" customWidth="1"/>
    <col min="58" max="58" width="13" customWidth="1"/>
    <col min="59" max="60" width="10.6640625" customWidth="1"/>
    <col min="61" max="62" width="11.1640625" customWidth="1"/>
    <col min="63" max="64" width="11" customWidth="1"/>
    <col min="65" max="65" width="12.6640625" customWidth="1"/>
    <col min="66" max="66" width="18.1640625" customWidth="1"/>
    <col min="67" max="67" width="22.1640625" customWidth="1"/>
    <col min="68" max="68" width="15.1640625" customWidth="1"/>
    <col min="69" max="69" width="18" customWidth="1"/>
    <col min="70" max="70" width="17.1640625" customWidth="1"/>
    <col min="71" max="71" width="21.1640625" customWidth="1"/>
    <col min="72" max="72" width="10.1640625" customWidth="1"/>
    <col min="73" max="73" width="13" customWidth="1"/>
    <col min="74" max="74" width="14" customWidth="1"/>
    <col min="75" max="75" width="13.1640625" customWidth="1"/>
    <col min="78" max="78" width="11.6640625" customWidth="1"/>
    <col min="82" max="82" width="10.1640625" customWidth="1"/>
    <col min="85" max="85" width="11.6640625" customWidth="1"/>
  </cols>
  <sheetData>
    <row r="1" spans="1:87" ht="17" customHeight="1">
      <c r="A1" s="58" t="s">
        <v>181</v>
      </c>
      <c r="B1" s="2" t="s">
        <v>714</v>
      </c>
      <c r="C1" s="58" t="s">
        <v>1</v>
      </c>
      <c r="D1" s="58" t="s">
        <v>2</v>
      </c>
      <c r="E1" s="59" t="s">
        <v>182</v>
      </c>
      <c r="F1" s="60" t="s">
        <v>183</v>
      </c>
      <c r="G1" s="61" t="s">
        <v>4</v>
      </c>
      <c r="H1" s="62" t="s">
        <v>5</v>
      </c>
      <c r="I1" s="63" t="s">
        <v>11</v>
      </c>
      <c r="J1" s="63" t="s">
        <v>6</v>
      </c>
      <c r="K1" s="63" t="s">
        <v>7</v>
      </c>
      <c r="L1" s="63" t="s">
        <v>8</v>
      </c>
      <c r="M1" s="184" t="s">
        <v>9</v>
      </c>
      <c r="N1" s="63" t="s">
        <v>10</v>
      </c>
      <c r="O1" s="64" t="s">
        <v>50</v>
      </c>
      <c r="P1" s="65" t="s">
        <v>184</v>
      </c>
      <c r="Q1" s="66" t="s">
        <v>185</v>
      </c>
      <c r="R1" s="66" t="s">
        <v>186</v>
      </c>
      <c r="S1" s="66" t="s">
        <v>187</v>
      </c>
      <c r="T1" s="67" t="s">
        <v>188</v>
      </c>
      <c r="U1" s="66" t="s">
        <v>53</v>
      </c>
      <c r="V1" s="68" t="s">
        <v>55</v>
      </c>
      <c r="W1" s="69" t="s">
        <v>56</v>
      </c>
      <c r="X1" s="70" t="s">
        <v>189</v>
      </c>
      <c r="Y1" s="71" t="s">
        <v>12</v>
      </c>
      <c r="Z1" s="72" t="s">
        <v>14</v>
      </c>
      <c r="AA1" s="72" t="s">
        <v>15</v>
      </c>
      <c r="AB1" s="72" t="s">
        <v>13</v>
      </c>
      <c r="AC1" s="72" t="s">
        <v>16</v>
      </c>
      <c r="AD1" s="72" t="s">
        <v>190</v>
      </c>
      <c r="AE1" s="72" t="s">
        <v>191</v>
      </c>
      <c r="AF1" s="72" t="s">
        <v>192</v>
      </c>
      <c r="AG1" s="72" t="s">
        <v>193</v>
      </c>
      <c r="AH1" s="73" t="s">
        <v>17</v>
      </c>
      <c r="AI1" s="74" t="s">
        <v>194</v>
      </c>
      <c r="AJ1" s="74" t="s">
        <v>195</v>
      </c>
      <c r="AK1" s="74" t="s">
        <v>19</v>
      </c>
      <c r="AL1" s="74" t="s">
        <v>20</v>
      </c>
      <c r="AM1" s="74" t="s">
        <v>21</v>
      </c>
      <c r="AN1" s="74" t="s">
        <v>22</v>
      </c>
      <c r="AO1" s="74" t="s">
        <v>196</v>
      </c>
      <c r="AP1" s="74" t="s">
        <v>24</v>
      </c>
      <c r="AQ1" s="75" t="s">
        <v>197</v>
      </c>
      <c r="AR1" s="58" t="s">
        <v>198</v>
      </c>
      <c r="AS1" s="58" t="s">
        <v>199</v>
      </c>
      <c r="AT1" s="58" t="s">
        <v>200</v>
      </c>
      <c r="AU1" s="194" t="s">
        <v>27</v>
      </c>
      <c r="AV1" s="58" t="s">
        <v>28</v>
      </c>
      <c r="AW1" s="59" t="s">
        <v>29</v>
      </c>
      <c r="AX1" s="76" t="s">
        <v>39</v>
      </c>
      <c r="AY1" s="77" t="s">
        <v>40</v>
      </c>
      <c r="AZ1" s="77" t="s">
        <v>201</v>
      </c>
      <c r="BA1" s="77" t="s">
        <v>711</v>
      </c>
      <c r="BB1" s="78" t="s">
        <v>202</v>
      </c>
      <c r="BC1" s="79" t="s">
        <v>31</v>
      </c>
      <c r="BD1" s="80" t="s">
        <v>32</v>
      </c>
      <c r="BE1" s="80" t="s">
        <v>33</v>
      </c>
      <c r="BF1" s="80" t="s">
        <v>34</v>
      </c>
      <c r="BG1" s="80" t="s">
        <v>35</v>
      </c>
      <c r="BH1" s="80" t="s">
        <v>36</v>
      </c>
      <c r="BI1" s="80" t="s">
        <v>37</v>
      </c>
      <c r="BJ1" s="80" t="s">
        <v>38</v>
      </c>
      <c r="BK1" s="80" t="s">
        <v>42</v>
      </c>
      <c r="BL1" s="81" t="s">
        <v>43</v>
      </c>
      <c r="BM1" s="82" t="s">
        <v>203</v>
      </c>
      <c r="BN1" s="83" t="s">
        <v>204</v>
      </c>
      <c r="BO1" s="84" t="s">
        <v>205</v>
      </c>
      <c r="BP1" s="85" t="s">
        <v>206</v>
      </c>
      <c r="BQ1" s="86" t="s">
        <v>207</v>
      </c>
      <c r="BR1" s="86" t="s">
        <v>208</v>
      </c>
      <c r="BS1" s="86" t="s">
        <v>209</v>
      </c>
      <c r="BT1" s="84" t="s">
        <v>210</v>
      </c>
      <c r="BU1" s="87" t="s">
        <v>211</v>
      </c>
      <c r="BV1" s="88" t="s">
        <v>212</v>
      </c>
      <c r="BW1" s="89" t="s">
        <v>213</v>
      </c>
      <c r="BX1" s="28" t="s">
        <v>214</v>
      </c>
      <c r="BY1" s="90" t="s">
        <v>62</v>
      </c>
      <c r="BZ1" s="91" t="s">
        <v>63</v>
      </c>
      <c r="CA1" s="91" t="s">
        <v>64</v>
      </c>
      <c r="CB1" t="s">
        <v>65</v>
      </c>
      <c r="CC1" t="s">
        <v>215</v>
      </c>
      <c r="CD1" t="s">
        <v>216</v>
      </c>
      <c r="CE1" s="28" t="s">
        <v>217</v>
      </c>
      <c r="CF1" s="90" t="s">
        <v>218</v>
      </c>
      <c r="CG1" s="91" t="s">
        <v>219</v>
      </c>
      <c r="CH1" s="91" t="s">
        <v>220</v>
      </c>
    </row>
    <row r="2" spans="1:87" ht="15.75" customHeight="1">
      <c r="A2" s="108" t="s">
        <v>221</v>
      </c>
      <c r="B2" s="11" t="s">
        <v>719</v>
      </c>
      <c r="C2" s="108">
        <v>1001</v>
      </c>
      <c r="D2" s="108">
        <v>101</v>
      </c>
      <c r="E2" s="108" t="s">
        <v>222</v>
      </c>
      <c r="F2" s="108">
        <v>2016</v>
      </c>
      <c r="G2" t="s">
        <v>223</v>
      </c>
      <c r="H2" s="108" t="s">
        <v>224</v>
      </c>
      <c r="I2" s="108">
        <v>2</v>
      </c>
      <c r="J2" s="108" t="s">
        <v>119</v>
      </c>
      <c r="K2" s="108" t="s">
        <v>73</v>
      </c>
      <c r="L2" s="108">
        <v>13</v>
      </c>
      <c r="M2" s="11" t="s">
        <v>225</v>
      </c>
      <c r="N2" s="92" t="s">
        <v>226</v>
      </c>
      <c r="O2" s="108" t="s">
        <v>81</v>
      </c>
      <c r="P2" s="108" t="s">
        <v>227</v>
      </c>
      <c r="Q2" s="108" t="s">
        <v>228</v>
      </c>
      <c r="R2" s="108" t="s">
        <v>229</v>
      </c>
      <c r="S2" s="108">
        <v>0</v>
      </c>
      <c r="T2" s="108" t="s">
        <v>230</v>
      </c>
      <c r="U2" s="108">
        <v>1</v>
      </c>
      <c r="V2" s="108" t="s">
        <v>231</v>
      </c>
      <c r="W2" s="108" t="s">
        <v>231</v>
      </c>
      <c r="X2" s="108" t="s">
        <v>73</v>
      </c>
      <c r="Y2" s="108">
        <v>0</v>
      </c>
      <c r="Z2" s="108">
        <v>0</v>
      </c>
      <c r="AA2" s="108">
        <v>0</v>
      </c>
      <c r="AB2" s="108">
        <v>1</v>
      </c>
      <c r="AC2" s="108">
        <v>0</v>
      </c>
      <c r="AD2" s="108">
        <v>0</v>
      </c>
      <c r="AE2" s="108">
        <v>0</v>
      </c>
      <c r="AF2" s="108">
        <v>0</v>
      </c>
      <c r="AG2" s="108" t="s">
        <v>232</v>
      </c>
      <c r="AH2" s="108">
        <v>0</v>
      </c>
      <c r="AI2" s="108">
        <v>0</v>
      </c>
      <c r="AJ2" s="108">
        <v>0</v>
      </c>
      <c r="AK2" s="108">
        <v>0</v>
      </c>
      <c r="AL2" s="108">
        <v>0</v>
      </c>
      <c r="AM2" s="108">
        <v>0</v>
      </c>
      <c r="AN2" s="108">
        <v>1</v>
      </c>
      <c r="AO2" s="108">
        <v>0</v>
      </c>
      <c r="AP2" s="108">
        <v>0</v>
      </c>
      <c r="AQ2" s="108" t="s">
        <v>73</v>
      </c>
      <c r="AR2" s="108" t="s">
        <v>233</v>
      </c>
      <c r="AS2" s="108" t="s">
        <v>234</v>
      </c>
      <c r="AT2" s="108" t="s">
        <v>235</v>
      </c>
      <c r="AU2" s="211">
        <v>6.0000000000000001E-3</v>
      </c>
      <c r="AV2" s="212" t="s">
        <v>80</v>
      </c>
      <c r="AW2" s="188">
        <v>3.0000000000000001E-3</v>
      </c>
      <c r="AX2" s="188">
        <v>0.05</v>
      </c>
      <c r="AY2" s="188">
        <v>1</v>
      </c>
      <c r="AZ2" s="188">
        <f>AU2/AW2</f>
        <v>2</v>
      </c>
      <c r="BA2" s="188" t="s">
        <v>73</v>
      </c>
      <c r="BB2" s="210">
        <f>EXP(AU2)/(1+EXP(AU2))</f>
        <v>0.50149999550001623</v>
      </c>
      <c r="BC2" s="108" t="s">
        <v>73</v>
      </c>
      <c r="BD2" s="108" t="s">
        <v>73</v>
      </c>
      <c r="BE2" s="108" t="s">
        <v>73</v>
      </c>
      <c r="BF2" s="108" t="s">
        <v>73</v>
      </c>
      <c r="BG2" s="108">
        <f>12629/5</f>
        <v>2525.8000000000002</v>
      </c>
      <c r="BH2" s="108" t="s">
        <v>73</v>
      </c>
      <c r="BI2" s="108">
        <v>23347</v>
      </c>
      <c r="BJ2" s="108">
        <v>23347</v>
      </c>
      <c r="BK2" s="108" t="s">
        <v>73</v>
      </c>
      <c r="BL2" s="108" t="s">
        <v>73</v>
      </c>
      <c r="BM2" s="108">
        <v>100</v>
      </c>
      <c r="BN2" s="108" t="s">
        <v>73</v>
      </c>
      <c r="BO2" s="108" t="s">
        <v>236</v>
      </c>
      <c r="BP2" s="108" t="s">
        <v>73</v>
      </c>
      <c r="BQ2" s="108" t="s">
        <v>73</v>
      </c>
      <c r="BR2" s="108" t="s">
        <v>73</v>
      </c>
      <c r="BS2" s="108" t="s">
        <v>73</v>
      </c>
      <c r="BT2" s="108" t="s">
        <v>73</v>
      </c>
      <c r="BU2" s="108">
        <v>0</v>
      </c>
      <c r="BV2" s="108">
        <v>1</v>
      </c>
      <c r="BW2" s="108">
        <v>1</v>
      </c>
      <c r="BX2" s="30">
        <f>((AZ2^2)/(AZ2^2+BI2))^(1/2)</f>
        <v>1.308811956355478E-2</v>
      </c>
      <c r="BY2" s="30">
        <f>0.5*LN((1+BX2)/(1-BX2))</f>
        <v>1.3088866967087377E-2</v>
      </c>
      <c r="BZ2" s="30">
        <f>((1-(BY2^2)^2)/(BI2-1))</f>
        <v>4.2833888916730603E-5</v>
      </c>
      <c r="CA2" s="30">
        <f>1/(BI2-3)</f>
        <v>4.2837559972583965E-5</v>
      </c>
      <c r="CB2" s="92" t="s">
        <v>73</v>
      </c>
      <c r="CC2">
        <f>BI2-2</f>
        <v>23345</v>
      </c>
      <c r="CD2" s="92" t="s">
        <v>73</v>
      </c>
      <c r="CE2" s="30">
        <f>((AZ2^2)/(AZ2^2+BJ2))^(1/2)</f>
        <v>1.308811956355478E-2</v>
      </c>
      <c r="CF2" s="30">
        <f>0.5*LN((1+CE2)/(1-CE2))</f>
        <v>1.3088866967087377E-2</v>
      </c>
      <c r="CG2" s="30">
        <f>((1-(CF2^2)^2)/(BJ2-1))</f>
        <v>4.2833888916730603E-5</v>
      </c>
      <c r="CH2" s="30">
        <f>1/(BJ2-3)</f>
        <v>4.2837559972583965E-5</v>
      </c>
    </row>
    <row r="3" spans="1:87" s="102" customFormat="1" ht="16">
      <c r="A3" s="11" t="s">
        <v>221</v>
      </c>
      <c r="B3" s="11" t="s">
        <v>719</v>
      </c>
      <c r="C3" s="11">
        <v>1002</v>
      </c>
      <c r="D3" s="11">
        <v>101</v>
      </c>
      <c r="E3" s="11" t="s">
        <v>222</v>
      </c>
      <c r="F3" s="11">
        <v>2016</v>
      </c>
      <c r="G3" s="104" t="s">
        <v>223</v>
      </c>
      <c r="H3" s="11" t="s">
        <v>224</v>
      </c>
      <c r="I3" s="11">
        <v>2</v>
      </c>
      <c r="J3" s="11" t="s">
        <v>119</v>
      </c>
      <c r="K3" s="11" t="s">
        <v>73</v>
      </c>
      <c r="L3" s="11">
        <v>13</v>
      </c>
      <c r="M3" s="11" t="s">
        <v>225</v>
      </c>
      <c r="N3" s="92" t="s">
        <v>226</v>
      </c>
      <c r="O3" s="11" t="s">
        <v>81</v>
      </c>
      <c r="P3" s="11" t="s">
        <v>227</v>
      </c>
      <c r="Q3" s="11" t="s">
        <v>228</v>
      </c>
      <c r="R3" s="11" t="s">
        <v>229</v>
      </c>
      <c r="S3" s="11">
        <v>0</v>
      </c>
      <c r="T3" s="11" t="s">
        <v>230</v>
      </c>
      <c r="U3" s="11">
        <v>1</v>
      </c>
      <c r="V3" s="11" t="s">
        <v>231</v>
      </c>
      <c r="W3" s="11" t="s">
        <v>231</v>
      </c>
      <c r="X3" s="11" t="s">
        <v>73</v>
      </c>
      <c r="Y3" s="11">
        <v>0</v>
      </c>
      <c r="Z3" s="11">
        <v>0</v>
      </c>
      <c r="AA3" s="11">
        <v>0</v>
      </c>
      <c r="AB3" s="11">
        <v>1</v>
      </c>
      <c r="AC3" s="11">
        <v>0</v>
      </c>
      <c r="AD3" s="11">
        <v>0</v>
      </c>
      <c r="AE3" s="11">
        <v>0</v>
      </c>
      <c r="AF3" s="11">
        <v>0</v>
      </c>
      <c r="AG3" s="11" t="s">
        <v>232</v>
      </c>
      <c r="AH3" s="11">
        <v>0</v>
      </c>
      <c r="AI3" s="11">
        <v>0</v>
      </c>
      <c r="AJ3" s="11">
        <v>0</v>
      </c>
      <c r="AK3" s="11">
        <v>0</v>
      </c>
      <c r="AL3" s="11">
        <v>0</v>
      </c>
      <c r="AM3" s="11">
        <v>0</v>
      </c>
      <c r="AN3" s="11">
        <v>1</v>
      </c>
      <c r="AO3" s="11">
        <v>0</v>
      </c>
      <c r="AP3" s="11">
        <v>0</v>
      </c>
      <c r="AQ3" s="11" t="s">
        <v>73</v>
      </c>
      <c r="AR3" s="11" t="s">
        <v>233</v>
      </c>
      <c r="AS3" s="11" t="s">
        <v>234</v>
      </c>
      <c r="AT3" s="11" t="s">
        <v>235</v>
      </c>
      <c r="AU3" s="211">
        <v>1E-3</v>
      </c>
      <c r="AV3" s="212" t="s">
        <v>80</v>
      </c>
      <c r="AW3" s="188">
        <v>1E-3</v>
      </c>
      <c r="AX3" s="188">
        <v>0.1</v>
      </c>
      <c r="AY3" s="188">
        <v>2</v>
      </c>
      <c r="AZ3" s="188">
        <f>AU3/AW3</f>
        <v>1</v>
      </c>
      <c r="BA3" s="188" t="s">
        <v>73</v>
      </c>
      <c r="BB3" s="210">
        <f>EXP(AU3)/(1+EXP(AU3))</f>
        <v>0.50024999997916664</v>
      </c>
      <c r="BC3" s="11" t="s">
        <v>73</v>
      </c>
      <c r="BD3" s="11" t="s">
        <v>73</v>
      </c>
      <c r="BE3" s="11" t="s">
        <v>73</v>
      </c>
      <c r="BF3" s="11" t="s">
        <v>73</v>
      </c>
      <c r="BG3" s="11">
        <f>12629/5</f>
        <v>2525.8000000000002</v>
      </c>
      <c r="BH3" s="11" t="s">
        <v>73</v>
      </c>
      <c r="BI3" s="106">
        <v>23347</v>
      </c>
      <c r="BJ3" s="106">
        <v>23347</v>
      </c>
      <c r="BK3" s="11" t="s">
        <v>73</v>
      </c>
      <c r="BL3" s="11" t="s">
        <v>73</v>
      </c>
      <c r="BM3" s="11">
        <v>25</v>
      </c>
      <c r="BN3" s="11" t="s">
        <v>73</v>
      </c>
      <c r="BO3" s="11" t="s">
        <v>236</v>
      </c>
      <c r="BP3" s="11" t="s">
        <v>73</v>
      </c>
      <c r="BQ3" s="11" t="s">
        <v>73</v>
      </c>
      <c r="BR3" s="11" t="s">
        <v>73</v>
      </c>
      <c r="BS3" s="11" t="s">
        <v>73</v>
      </c>
      <c r="BT3" s="11" t="s">
        <v>73</v>
      </c>
      <c r="BU3" s="11">
        <v>0</v>
      </c>
      <c r="BV3" s="11">
        <v>1</v>
      </c>
      <c r="BW3" s="11">
        <v>1</v>
      </c>
      <c r="BX3" s="30">
        <f>((AZ3^2)/(AZ3^2+BI3))^(1/2)</f>
        <v>6.5444801935631517E-3</v>
      </c>
      <c r="BY3" s="30">
        <f>0.5*LN((1+BX3)/(1-BX3))</f>
        <v>6.5445736298086485E-3</v>
      </c>
      <c r="BZ3" s="30">
        <f>((1-(BY3^2)^2)/(BI3-1))</f>
        <v>4.2833890095325423E-5</v>
      </c>
      <c r="CA3" s="30">
        <f>1/(BI3-3)</f>
        <v>4.2837559972583965E-5</v>
      </c>
      <c r="CB3" s="92" t="s">
        <v>73</v>
      </c>
      <c r="CC3">
        <f>BI3-2</f>
        <v>23345</v>
      </c>
      <c r="CD3" s="92" t="s">
        <v>73</v>
      </c>
      <c r="CE3" s="30">
        <f>((AZ3^2)/(AZ3^2+BJ3))^(1/2)</f>
        <v>6.5444801935631517E-3</v>
      </c>
      <c r="CF3" s="30">
        <f>0.5*LN((1+CE3)/(1-CE3))</f>
        <v>6.5445736298086485E-3</v>
      </c>
      <c r="CG3" s="30">
        <f>((1-(CF3^2)^2)/(BJ3-1))</f>
        <v>4.2833890095325423E-5</v>
      </c>
      <c r="CH3" s="30">
        <f>1/(BJ3-3)</f>
        <v>4.2837559972583965E-5</v>
      </c>
      <c r="CI3"/>
    </row>
    <row r="4" spans="1:87" s="102" customFormat="1" ht="16">
      <c r="A4" s="11" t="s">
        <v>221</v>
      </c>
      <c r="B4" s="11" t="s">
        <v>719</v>
      </c>
      <c r="C4" s="11">
        <v>1003</v>
      </c>
      <c r="D4" s="11">
        <v>101</v>
      </c>
      <c r="E4" s="11" t="s">
        <v>222</v>
      </c>
      <c r="F4" s="11">
        <v>2016</v>
      </c>
      <c r="G4" s="104" t="s">
        <v>223</v>
      </c>
      <c r="H4" s="11" t="s">
        <v>224</v>
      </c>
      <c r="I4" s="11">
        <v>2</v>
      </c>
      <c r="J4" s="11" t="s">
        <v>119</v>
      </c>
      <c r="K4" s="11" t="s">
        <v>73</v>
      </c>
      <c r="L4" s="11">
        <v>13</v>
      </c>
      <c r="M4" s="11" t="s">
        <v>225</v>
      </c>
      <c r="N4" s="92" t="s">
        <v>226</v>
      </c>
      <c r="O4" s="11" t="s">
        <v>81</v>
      </c>
      <c r="P4" s="11" t="s">
        <v>227</v>
      </c>
      <c r="Q4" s="11" t="s">
        <v>228</v>
      </c>
      <c r="R4" s="11" t="s">
        <v>229</v>
      </c>
      <c r="S4" s="11">
        <v>0</v>
      </c>
      <c r="T4" s="11" t="s">
        <v>230</v>
      </c>
      <c r="U4" s="11">
        <v>1</v>
      </c>
      <c r="V4" s="11" t="s">
        <v>231</v>
      </c>
      <c r="W4" s="11" t="s">
        <v>231</v>
      </c>
      <c r="X4" s="11" t="s">
        <v>73</v>
      </c>
      <c r="Y4" s="11">
        <v>0</v>
      </c>
      <c r="Z4" s="11">
        <v>1</v>
      </c>
      <c r="AA4" s="11">
        <v>0</v>
      </c>
      <c r="AB4" s="11">
        <v>0</v>
      </c>
      <c r="AC4" s="11">
        <v>0</v>
      </c>
      <c r="AD4" s="11">
        <v>0</v>
      </c>
      <c r="AE4" s="11">
        <v>0</v>
      </c>
      <c r="AF4" s="11">
        <v>0</v>
      </c>
      <c r="AG4" s="11" t="s">
        <v>232</v>
      </c>
      <c r="AH4" s="11">
        <v>0</v>
      </c>
      <c r="AI4" s="11">
        <v>0</v>
      </c>
      <c r="AJ4" s="11">
        <v>0</v>
      </c>
      <c r="AK4" s="11">
        <v>0</v>
      </c>
      <c r="AL4" s="11">
        <v>0</v>
      </c>
      <c r="AM4" s="11">
        <v>0</v>
      </c>
      <c r="AN4" s="11">
        <v>1</v>
      </c>
      <c r="AO4" s="11">
        <v>0</v>
      </c>
      <c r="AP4" s="11">
        <v>0</v>
      </c>
      <c r="AQ4" s="11" t="s">
        <v>73</v>
      </c>
      <c r="AR4" s="11" t="s">
        <v>233</v>
      </c>
      <c r="AS4" s="11" t="s">
        <v>234</v>
      </c>
      <c r="AT4" s="11" t="s">
        <v>235</v>
      </c>
      <c r="AU4" s="211">
        <v>0</v>
      </c>
      <c r="AV4" s="212" t="s">
        <v>80</v>
      </c>
      <c r="AW4" s="188">
        <v>2E-3</v>
      </c>
      <c r="AX4" s="188">
        <v>0.1</v>
      </c>
      <c r="AY4" s="188">
        <v>2</v>
      </c>
      <c r="AZ4" s="188">
        <f>AU4/AW4</f>
        <v>0</v>
      </c>
      <c r="BA4" s="188" t="s">
        <v>73</v>
      </c>
      <c r="BB4" s="210">
        <f>EXP(AU4)/(1+EXP(AU4))</f>
        <v>0.5</v>
      </c>
      <c r="BC4" s="11" t="s">
        <v>73</v>
      </c>
      <c r="BD4" s="11" t="s">
        <v>73</v>
      </c>
      <c r="BE4" s="11" t="s">
        <v>73</v>
      </c>
      <c r="BF4" s="11" t="s">
        <v>73</v>
      </c>
      <c r="BG4" s="11">
        <f>12629/5</f>
        <v>2525.8000000000002</v>
      </c>
      <c r="BH4" s="11" t="s">
        <v>73</v>
      </c>
      <c r="BI4" s="106">
        <v>23347</v>
      </c>
      <c r="BJ4" s="106">
        <v>23347</v>
      </c>
      <c r="BK4" s="11" t="s">
        <v>73</v>
      </c>
      <c r="BL4" s="11" t="s">
        <v>73</v>
      </c>
      <c r="BM4" s="11" t="s">
        <v>73</v>
      </c>
      <c r="BN4" s="11" t="s">
        <v>73</v>
      </c>
      <c r="BO4" s="11" t="s">
        <v>73</v>
      </c>
      <c r="BP4" s="11" t="s">
        <v>73</v>
      </c>
      <c r="BQ4" s="11" t="s">
        <v>73</v>
      </c>
      <c r="BR4" s="11" t="s">
        <v>73</v>
      </c>
      <c r="BS4" s="11" t="s">
        <v>73</v>
      </c>
      <c r="BT4" s="11" t="s">
        <v>73</v>
      </c>
      <c r="BU4" s="11">
        <v>0</v>
      </c>
      <c r="BV4" s="11">
        <v>1</v>
      </c>
      <c r="BW4" s="11">
        <v>1</v>
      </c>
      <c r="BX4" s="30">
        <f>((AZ4^2)/(AZ4^2+BI4))^(1/2)</f>
        <v>0</v>
      </c>
      <c r="BY4" s="30">
        <f>0.5*LN((1+BX4)/(1-BX4))</f>
        <v>0</v>
      </c>
      <c r="BZ4" s="30">
        <f>((1-(BY4^2)^2)/(BI4-1))</f>
        <v>4.2833890173905597E-5</v>
      </c>
      <c r="CA4" s="30">
        <f>1/(BI4-3)</f>
        <v>4.2837559972583965E-5</v>
      </c>
      <c r="CB4" s="92" t="s">
        <v>73</v>
      </c>
      <c r="CC4">
        <f>BI4-2</f>
        <v>23345</v>
      </c>
      <c r="CD4" s="92" t="s">
        <v>73</v>
      </c>
      <c r="CE4" s="30">
        <f>((AZ4^2)/(AZ4^2+BJ4))^(1/2)</f>
        <v>0</v>
      </c>
      <c r="CF4" s="30">
        <f>0.5*LN((1+CE4)/(1-CE4))</f>
        <v>0</v>
      </c>
      <c r="CG4" s="30">
        <f>((1-(CF4^2)^2)/(BJ4-1))</f>
        <v>4.2833890173905597E-5</v>
      </c>
      <c r="CH4" s="30">
        <f>1/(BJ4-3)</f>
        <v>4.2837559972583965E-5</v>
      </c>
      <c r="CI4"/>
    </row>
    <row r="5" spans="1:87" s="102" customFormat="1" ht="16">
      <c r="A5" s="11" t="s">
        <v>221</v>
      </c>
      <c r="B5" s="11" t="s">
        <v>719</v>
      </c>
      <c r="C5" s="11">
        <v>1007</v>
      </c>
      <c r="D5" s="11">
        <v>103</v>
      </c>
      <c r="E5" s="11" t="s">
        <v>237</v>
      </c>
      <c r="F5" s="11">
        <v>2019</v>
      </c>
      <c r="G5" t="s">
        <v>238</v>
      </c>
      <c r="H5" s="10" t="s">
        <v>239</v>
      </c>
      <c r="I5" s="18">
        <v>2</v>
      </c>
      <c r="J5" s="10">
        <v>2018</v>
      </c>
      <c r="K5" s="11" t="s">
        <v>73</v>
      </c>
      <c r="L5" s="18">
        <v>23</v>
      </c>
      <c r="M5" s="18" t="s">
        <v>240</v>
      </c>
      <c r="N5" s="10" t="s">
        <v>241</v>
      </c>
      <c r="O5" s="18" t="s">
        <v>124</v>
      </c>
      <c r="P5" s="18" t="s">
        <v>242</v>
      </c>
      <c r="Q5" s="18" t="s">
        <v>243</v>
      </c>
      <c r="R5" s="18" t="s">
        <v>244</v>
      </c>
      <c r="S5" s="18">
        <v>0</v>
      </c>
      <c r="T5" s="11" t="s">
        <v>188</v>
      </c>
      <c r="U5" s="18">
        <v>0</v>
      </c>
      <c r="V5" s="153" t="s">
        <v>245</v>
      </c>
      <c r="W5" s="153" t="s">
        <v>245</v>
      </c>
      <c r="X5" s="154" t="s">
        <v>73</v>
      </c>
      <c r="Y5" s="18">
        <v>1</v>
      </c>
      <c r="Z5" s="18">
        <v>0</v>
      </c>
      <c r="AA5" s="18">
        <v>0</v>
      </c>
      <c r="AB5" s="18">
        <v>0</v>
      </c>
      <c r="AC5" s="18">
        <v>0</v>
      </c>
      <c r="AD5" s="11">
        <v>0</v>
      </c>
      <c r="AE5" s="11">
        <v>0</v>
      </c>
      <c r="AF5" s="11">
        <v>0</v>
      </c>
      <c r="AG5" s="18" t="s">
        <v>73</v>
      </c>
      <c r="AH5" s="18">
        <v>0</v>
      </c>
      <c r="AI5" s="18">
        <v>0</v>
      </c>
      <c r="AJ5" s="18">
        <v>0</v>
      </c>
      <c r="AK5" s="18">
        <v>0</v>
      </c>
      <c r="AL5" s="18">
        <v>0</v>
      </c>
      <c r="AM5" s="18">
        <v>0</v>
      </c>
      <c r="AN5" s="18">
        <v>0</v>
      </c>
      <c r="AO5" s="18">
        <v>1</v>
      </c>
      <c r="AP5" s="18">
        <v>0</v>
      </c>
      <c r="AQ5" s="18" t="s">
        <v>246</v>
      </c>
      <c r="AR5" t="s">
        <v>233</v>
      </c>
      <c r="AS5" s="10" t="s">
        <v>247</v>
      </c>
      <c r="AT5" s="11" t="s">
        <v>235</v>
      </c>
      <c r="AU5" s="199">
        <v>0.80900000000000005</v>
      </c>
      <c r="AV5" s="129" t="s">
        <v>80</v>
      </c>
      <c r="AW5" t="s">
        <v>73</v>
      </c>
      <c r="AX5" s="18">
        <v>0.01</v>
      </c>
      <c r="AY5" s="18">
        <v>1</v>
      </c>
      <c r="AZ5">
        <f>TINV(AX5,CC5)</f>
        <v>2.6014087465590463</v>
      </c>
      <c r="BA5"/>
      <c r="BB5" s="156">
        <v>0.31</v>
      </c>
      <c r="BC5" s="11" t="s">
        <v>73</v>
      </c>
      <c r="BD5" s="11" t="s">
        <v>73</v>
      </c>
      <c r="BE5" s="11" t="s">
        <v>73</v>
      </c>
      <c r="BF5" s="11" t="s">
        <v>73</v>
      </c>
      <c r="BG5" s="11" t="s">
        <v>73</v>
      </c>
      <c r="BH5" s="11" t="s">
        <v>73</v>
      </c>
      <c r="BI5" s="10">
        <v>196</v>
      </c>
      <c r="BJ5" s="10">
        <v>196</v>
      </c>
      <c r="BK5" s="11" t="s">
        <v>73</v>
      </c>
      <c r="BL5" s="11" t="s">
        <v>73</v>
      </c>
      <c r="BM5" s="11" t="s">
        <v>73</v>
      </c>
      <c r="BN5" s="11" t="s">
        <v>73</v>
      </c>
      <c r="BO5" s="11" t="s">
        <v>73</v>
      </c>
      <c r="BP5" s="11" t="s">
        <v>73</v>
      </c>
      <c r="BQ5" s="11" t="s">
        <v>73</v>
      </c>
      <c r="BR5" s="11" t="s">
        <v>73</v>
      </c>
      <c r="BS5" s="11" t="s">
        <v>73</v>
      </c>
      <c r="BT5" s="11" t="s">
        <v>73</v>
      </c>
      <c r="BU5" s="18">
        <v>0</v>
      </c>
      <c r="BV5" s="18">
        <v>0</v>
      </c>
      <c r="BW5" s="18">
        <v>1</v>
      </c>
      <c r="BX5" s="30">
        <f>((AZ5^2)/(AZ5^2+BI5))^(1/2)</f>
        <v>0.18268782595451913</v>
      </c>
      <c r="BY5" s="30">
        <f>0.5*LN((1+BX5)/(1-BX5))</f>
        <v>0.18476191295756308</v>
      </c>
      <c r="BZ5" s="30">
        <f>((1-(BY5^2)^2)/(BI5-1))</f>
        <v>5.1222290649031235E-3</v>
      </c>
      <c r="CA5" s="30">
        <f>1/(BI5-3)</f>
        <v>5.1813471502590676E-3</v>
      </c>
      <c r="CB5" s="92" t="s">
        <v>73</v>
      </c>
      <c r="CC5">
        <f>BI5-2</f>
        <v>194</v>
      </c>
      <c r="CD5" s="92" t="s">
        <v>73</v>
      </c>
      <c r="CE5" s="30">
        <f>((AZ5^2)/(AZ5^2+BJ5))^(1/2)</f>
        <v>0.18268782595451913</v>
      </c>
      <c r="CF5" s="30">
        <f>0.5*LN((1+CE5)/(1-CE5))</f>
        <v>0.18476191295756308</v>
      </c>
      <c r="CG5" s="30">
        <f>((1-(CF5^2)^2)/(BJ5-1))</f>
        <v>5.1222290649031235E-3</v>
      </c>
      <c r="CH5" s="30">
        <f>1/(BJ5-3)</f>
        <v>5.1813471502590676E-3</v>
      </c>
      <c r="CI5"/>
    </row>
    <row r="6" spans="1:87" s="102" customFormat="1" ht="16">
      <c r="A6" s="11" t="s">
        <v>221</v>
      </c>
      <c r="B6" s="11" t="s">
        <v>719</v>
      </c>
      <c r="C6" s="11">
        <v>1008</v>
      </c>
      <c r="D6" s="11">
        <v>103</v>
      </c>
      <c r="E6" s="11" t="s">
        <v>237</v>
      </c>
      <c r="F6" s="11">
        <v>2019</v>
      </c>
      <c r="G6" t="s">
        <v>238</v>
      </c>
      <c r="H6" s="10" t="s">
        <v>239</v>
      </c>
      <c r="I6" s="18">
        <v>2</v>
      </c>
      <c r="J6" s="10">
        <v>2018</v>
      </c>
      <c r="K6" s="11" t="s">
        <v>73</v>
      </c>
      <c r="L6" s="18">
        <v>23</v>
      </c>
      <c r="M6" s="18" t="s">
        <v>240</v>
      </c>
      <c r="N6" s="10" t="s">
        <v>241</v>
      </c>
      <c r="O6" s="18" t="s">
        <v>124</v>
      </c>
      <c r="P6" s="18" t="s">
        <v>242</v>
      </c>
      <c r="Q6" s="18" t="s">
        <v>243</v>
      </c>
      <c r="R6" s="18" t="s">
        <v>244</v>
      </c>
      <c r="S6" s="18">
        <v>0</v>
      </c>
      <c r="T6" s="11" t="s">
        <v>188</v>
      </c>
      <c r="U6" s="18">
        <v>0</v>
      </c>
      <c r="V6" s="153" t="s">
        <v>245</v>
      </c>
      <c r="W6" s="153" t="s">
        <v>245</v>
      </c>
      <c r="X6" s="154" t="s">
        <v>73</v>
      </c>
      <c r="Y6" s="18">
        <v>1</v>
      </c>
      <c r="Z6" s="18">
        <v>0</v>
      </c>
      <c r="AA6" s="18">
        <v>0</v>
      </c>
      <c r="AB6" s="18">
        <v>0</v>
      </c>
      <c r="AC6" s="18">
        <v>0</v>
      </c>
      <c r="AD6" s="11">
        <v>0</v>
      </c>
      <c r="AE6" s="11">
        <v>0</v>
      </c>
      <c r="AF6" s="11">
        <v>0</v>
      </c>
      <c r="AG6" s="18" t="s">
        <v>73</v>
      </c>
      <c r="AH6" s="18">
        <v>0</v>
      </c>
      <c r="AI6" s="18">
        <v>0</v>
      </c>
      <c r="AJ6" s="18">
        <v>0</v>
      </c>
      <c r="AK6" s="18">
        <v>0</v>
      </c>
      <c r="AL6" s="18">
        <v>0</v>
      </c>
      <c r="AM6" s="18">
        <v>0</v>
      </c>
      <c r="AN6" s="18">
        <v>1</v>
      </c>
      <c r="AO6" s="18">
        <v>0</v>
      </c>
      <c r="AP6" s="18">
        <v>0</v>
      </c>
      <c r="AQ6" s="18" t="s">
        <v>246</v>
      </c>
      <c r="AR6" t="s">
        <v>233</v>
      </c>
      <c r="AS6" s="10" t="s">
        <v>248</v>
      </c>
      <c r="AT6" s="11" t="s">
        <v>235</v>
      </c>
      <c r="AU6" s="199">
        <v>0.65300000000000002</v>
      </c>
      <c r="AV6" s="129" t="s">
        <v>80</v>
      </c>
      <c r="AW6" t="s">
        <v>73</v>
      </c>
      <c r="AX6" s="18">
        <v>0.05</v>
      </c>
      <c r="AY6" s="18">
        <v>1</v>
      </c>
      <c r="AZ6">
        <f>TINV(AX6,CC6)</f>
        <v>1.9742709570280526</v>
      </c>
      <c r="BA6"/>
      <c r="BB6" s="155">
        <v>0.25600000000000001</v>
      </c>
      <c r="BC6" s="11" t="s">
        <v>73</v>
      </c>
      <c r="BD6" s="11" t="s">
        <v>73</v>
      </c>
      <c r="BE6" s="11" t="s">
        <v>73</v>
      </c>
      <c r="BF6" s="11" t="s">
        <v>73</v>
      </c>
      <c r="BG6" s="11" t="s">
        <v>73</v>
      </c>
      <c r="BH6" s="11" t="s">
        <v>73</v>
      </c>
      <c r="BI6" s="10">
        <v>169</v>
      </c>
      <c r="BJ6" s="10">
        <v>169</v>
      </c>
      <c r="BK6" s="11" t="s">
        <v>73</v>
      </c>
      <c r="BL6" s="11" t="s">
        <v>73</v>
      </c>
      <c r="BM6" s="11" t="s">
        <v>73</v>
      </c>
      <c r="BN6" s="11" t="s">
        <v>73</v>
      </c>
      <c r="BO6" s="11" t="s">
        <v>73</v>
      </c>
      <c r="BP6" s="11" t="s">
        <v>73</v>
      </c>
      <c r="BQ6" s="11" t="s">
        <v>73</v>
      </c>
      <c r="BR6" s="11" t="s">
        <v>73</v>
      </c>
      <c r="BS6" s="11" t="s">
        <v>73</v>
      </c>
      <c r="BT6" s="11" t="s">
        <v>73</v>
      </c>
      <c r="BU6" s="18">
        <v>0</v>
      </c>
      <c r="BV6" s="18">
        <v>0</v>
      </c>
      <c r="BW6" s="18">
        <v>1</v>
      </c>
      <c r="BX6" s="30">
        <f>((AZ6^2)/(AZ6^2+BI6))^(1/2)</f>
        <v>0.15014542072566855</v>
      </c>
      <c r="BY6" s="30">
        <f>0.5*LN((1+BX6)/(1-BX6))</f>
        <v>0.15128920726322537</v>
      </c>
      <c r="BZ6" s="30">
        <f>((1-(BY6^2)^2)/(BI6-1))</f>
        <v>5.9492626192623162E-3</v>
      </c>
      <c r="CA6" s="30">
        <f>1/(BI6-3)</f>
        <v>6.024096385542169E-3</v>
      </c>
      <c r="CB6" s="92" t="s">
        <v>73</v>
      </c>
      <c r="CC6">
        <f>BI6-2</f>
        <v>167</v>
      </c>
      <c r="CD6" s="92" t="s">
        <v>73</v>
      </c>
      <c r="CE6" s="30">
        <f>((AZ6^2)/(AZ6^2+BJ6))^(1/2)</f>
        <v>0.15014542072566855</v>
      </c>
      <c r="CF6" s="30">
        <f>0.5*LN((1+CE6)/(1-CE6))</f>
        <v>0.15128920726322537</v>
      </c>
      <c r="CG6" s="30">
        <f>((1-(CF6^2)^2)/(BJ6-1))</f>
        <v>5.9492626192623162E-3</v>
      </c>
      <c r="CH6" s="30">
        <f>1/(BJ6-3)</f>
        <v>6.024096385542169E-3</v>
      </c>
      <c r="CI6"/>
    </row>
    <row r="7" spans="1:87" s="102" customFormat="1" ht="16">
      <c r="A7" s="11" t="s">
        <v>221</v>
      </c>
      <c r="B7" s="11" t="s">
        <v>719</v>
      </c>
      <c r="C7" s="11">
        <v>1009</v>
      </c>
      <c r="D7" s="11">
        <v>103</v>
      </c>
      <c r="E7" s="11" t="s">
        <v>237</v>
      </c>
      <c r="F7" s="11">
        <v>2019</v>
      </c>
      <c r="G7" t="s">
        <v>238</v>
      </c>
      <c r="H7" s="10" t="s">
        <v>239</v>
      </c>
      <c r="I7" s="18">
        <v>2</v>
      </c>
      <c r="J7" s="10">
        <v>2018</v>
      </c>
      <c r="K7" s="11" t="s">
        <v>73</v>
      </c>
      <c r="L7" s="18">
        <v>23</v>
      </c>
      <c r="M7" s="18" t="s">
        <v>240</v>
      </c>
      <c r="N7" s="10" t="s">
        <v>241</v>
      </c>
      <c r="O7" s="18" t="s">
        <v>124</v>
      </c>
      <c r="P7" s="18" t="s">
        <v>242</v>
      </c>
      <c r="Q7" s="18" t="s">
        <v>243</v>
      </c>
      <c r="R7" s="18" t="s">
        <v>244</v>
      </c>
      <c r="S7" s="18">
        <v>0</v>
      </c>
      <c r="T7" s="11" t="s">
        <v>188</v>
      </c>
      <c r="U7" s="18">
        <v>0</v>
      </c>
      <c r="V7" s="153" t="s">
        <v>245</v>
      </c>
      <c r="W7" s="153" t="s">
        <v>245</v>
      </c>
      <c r="X7" s="154" t="s">
        <v>73</v>
      </c>
      <c r="Y7" s="18">
        <v>0</v>
      </c>
      <c r="Z7" s="18">
        <v>0</v>
      </c>
      <c r="AA7" s="18">
        <v>0</v>
      </c>
      <c r="AB7" s="18">
        <v>0</v>
      </c>
      <c r="AC7" s="18">
        <v>0</v>
      </c>
      <c r="AD7" s="18">
        <v>1</v>
      </c>
      <c r="AE7" s="11">
        <v>0</v>
      </c>
      <c r="AF7" s="11">
        <v>0</v>
      </c>
      <c r="AG7" s="18" t="s">
        <v>73</v>
      </c>
      <c r="AH7" s="18">
        <v>0</v>
      </c>
      <c r="AI7" s="18">
        <v>0</v>
      </c>
      <c r="AJ7" s="18">
        <v>0</v>
      </c>
      <c r="AK7" s="18">
        <v>0</v>
      </c>
      <c r="AL7" s="18">
        <v>0</v>
      </c>
      <c r="AM7" s="18">
        <v>0</v>
      </c>
      <c r="AN7" s="18">
        <v>0</v>
      </c>
      <c r="AO7" s="18">
        <v>1</v>
      </c>
      <c r="AP7" s="18">
        <v>0</v>
      </c>
      <c r="AQ7" s="18" t="s">
        <v>246</v>
      </c>
      <c r="AR7" t="s">
        <v>233</v>
      </c>
      <c r="AS7" s="10" t="s">
        <v>248</v>
      </c>
      <c r="AT7" s="11" t="s">
        <v>235</v>
      </c>
      <c r="AU7" s="199">
        <v>0.42199999999999999</v>
      </c>
      <c r="AV7" s="129" t="s">
        <v>80</v>
      </c>
      <c r="AW7" t="s">
        <v>73</v>
      </c>
      <c r="AX7" s="18">
        <v>0.01</v>
      </c>
      <c r="AY7" s="18">
        <v>1</v>
      </c>
      <c r="AZ7">
        <f>TINV(AX7,CC7)</f>
        <v>2.6014087465590463</v>
      </c>
      <c r="BA7"/>
      <c r="BB7" s="155">
        <v>0.16600000000000001</v>
      </c>
      <c r="BC7" s="11" t="s">
        <v>73</v>
      </c>
      <c r="BD7" s="11" t="s">
        <v>73</v>
      </c>
      <c r="BE7" s="11" t="s">
        <v>73</v>
      </c>
      <c r="BF7" s="11" t="s">
        <v>73</v>
      </c>
      <c r="BG7" s="11" t="s">
        <v>73</v>
      </c>
      <c r="BH7" s="11" t="s">
        <v>73</v>
      </c>
      <c r="BI7" s="10">
        <v>196</v>
      </c>
      <c r="BJ7" s="10">
        <v>196</v>
      </c>
      <c r="BK7" s="11" t="s">
        <v>73</v>
      </c>
      <c r="BL7" s="11" t="s">
        <v>73</v>
      </c>
      <c r="BM7" s="11" t="s">
        <v>73</v>
      </c>
      <c r="BN7" s="11" t="s">
        <v>73</v>
      </c>
      <c r="BO7" s="11" t="s">
        <v>236</v>
      </c>
      <c r="BP7" s="11" t="s">
        <v>73</v>
      </c>
      <c r="BQ7" s="11" t="s">
        <v>73</v>
      </c>
      <c r="BR7" s="11" t="s">
        <v>73</v>
      </c>
      <c r="BS7" s="11" t="s">
        <v>73</v>
      </c>
      <c r="BT7" s="11" t="s">
        <v>73</v>
      </c>
      <c r="BU7" s="18">
        <v>0</v>
      </c>
      <c r="BV7" s="18">
        <v>0</v>
      </c>
      <c r="BW7" s="18">
        <v>1</v>
      </c>
      <c r="BX7" s="30">
        <f>((AZ7^2)/(AZ7^2+BI7))^(1/2)</f>
        <v>0.18268782595451913</v>
      </c>
      <c r="BY7" s="30">
        <f>0.5*LN((1+BX7)/(1-BX7))</f>
        <v>0.18476191295756308</v>
      </c>
      <c r="BZ7" s="30">
        <f>((1-(BY7^2)^2)/(BI7-1))</f>
        <v>5.1222290649031235E-3</v>
      </c>
      <c r="CA7" s="30">
        <f>1/(BI7-3)</f>
        <v>5.1813471502590676E-3</v>
      </c>
      <c r="CB7" s="92" t="s">
        <v>73</v>
      </c>
      <c r="CC7">
        <f>BI7-2</f>
        <v>194</v>
      </c>
      <c r="CD7" s="92" t="s">
        <v>73</v>
      </c>
      <c r="CE7" s="30">
        <f>((AZ7^2)/(AZ7^2+BJ7))^(1/2)</f>
        <v>0.18268782595451913</v>
      </c>
      <c r="CF7" s="30">
        <f>0.5*LN((1+CE7)/(1-CE7))</f>
        <v>0.18476191295756308</v>
      </c>
      <c r="CG7" s="30">
        <f>((1-(CF7^2)^2)/(BJ7-1))</f>
        <v>5.1222290649031235E-3</v>
      </c>
      <c r="CH7" s="30">
        <f>1/(BJ7-3)</f>
        <v>5.1813471502590676E-3</v>
      </c>
      <c r="CI7"/>
    </row>
    <row r="8" spans="1:87" ht="16">
      <c r="A8" s="11" t="s">
        <v>221</v>
      </c>
      <c r="B8" s="11" t="s">
        <v>719</v>
      </c>
      <c r="C8" s="11">
        <v>1010</v>
      </c>
      <c r="D8" s="11">
        <v>103</v>
      </c>
      <c r="E8" s="11" t="s">
        <v>237</v>
      </c>
      <c r="F8" s="11">
        <v>2019</v>
      </c>
      <c r="G8" t="s">
        <v>238</v>
      </c>
      <c r="H8" s="10" t="s">
        <v>239</v>
      </c>
      <c r="I8" s="18">
        <v>2</v>
      </c>
      <c r="J8" s="10">
        <v>2018</v>
      </c>
      <c r="K8" s="11" t="s">
        <v>73</v>
      </c>
      <c r="L8" s="18">
        <v>23</v>
      </c>
      <c r="M8" s="18" t="s">
        <v>240</v>
      </c>
      <c r="N8" s="10" t="s">
        <v>241</v>
      </c>
      <c r="O8" s="18" t="s">
        <v>124</v>
      </c>
      <c r="P8" s="18" t="s">
        <v>242</v>
      </c>
      <c r="Q8" s="18" t="s">
        <v>243</v>
      </c>
      <c r="R8" s="18" t="s">
        <v>244</v>
      </c>
      <c r="S8" s="18">
        <v>0</v>
      </c>
      <c r="T8" t="s">
        <v>188</v>
      </c>
      <c r="U8" s="18">
        <v>0</v>
      </c>
      <c r="V8" s="153" t="s">
        <v>245</v>
      </c>
      <c r="W8" s="153" t="s">
        <v>245</v>
      </c>
      <c r="X8" s="154" t="s">
        <v>73</v>
      </c>
      <c r="Y8" s="18">
        <v>0</v>
      </c>
      <c r="Z8" s="18">
        <v>0</v>
      </c>
      <c r="AA8" s="18">
        <v>0</v>
      </c>
      <c r="AB8" s="18">
        <v>0</v>
      </c>
      <c r="AC8" s="18">
        <v>0</v>
      </c>
      <c r="AD8" s="18">
        <v>1</v>
      </c>
      <c r="AE8" s="11">
        <v>0</v>
      </c>
      <c r="AF8" s="11">
        <v>0</v>
      </c>
      <c r="AG8" s="18" t="s">
        <v>73</v>
      </c>
      <c r="AH8" s="18">
        <v>0</v>
      </c>
      <c r="AI8" s="18">
        <v>0</v>
      </c>
      <c r="AJ8" s="18">
        <v>0</v>
      </c>
      <c r="AK8" s="18">
        <v>0</v>
      </c>
      <c r="AL8" s="18">
        <v>0</v>
      </c>
      <c r="AM8" s="18">
        <v>0</v>
      </c>
      <c r="AN8" s="11">
        <v>1</v>
      </c>
      <c r="AO8" s="11">
        <v>0</v>
      </c>
      <c r="AP8" s="18">
        <v>0</v>
      </c>
      <c r="AQ8" s="18" t="s">
        <v>246</v>
      </c>
      <c r="AR8" t="s">
        <v>233</v>
      </c>
      <c r="AS8" s="10" t="s">
        <v>248</v>
      </c>
      <c r="AT8" s="11" t="s">
        <v>235</v>
      </c>
      <c r="AU8" s="134">
        <v>0.105</v>
      </c>
      <c r="AV8" s="129" t="s">
        <v>80</v>
      </c>
      <c r="AW8" t="s">
        <v>73</v>
      </c>
      <c r="AX8" s="18">
        <v>0.1</v>
      </c>
      <c r="AY8" s="18">
        <v>2</v>
      </c>
      <c r="AZ8" s="19">
        <f>TINV(AX8,CC8)</f>
        <v>1.6540291281334114</v>
      </c>
      <c r="BA8" s="19"/>
      <c r="BB8" s="155">
        <v>4.2000000000000003E-2</v>
      </c>
      <c r="BC8" s="11" t="s">
        <v>73</v>
      </c>
      <c r="BD8" s="11" t="s">
        <v>73</v>
      </c>
      <c r="BE8" s="11" t="s">
        <v>73</v>
      </c>
      <c r="BF8" s="11" t="s">
        <v>73</v>
      </c>
      <c r="BG8" s="11" t="s">
        <v>73</v>
      </c>
      <c r="BH8" s="11" t="s">
        <v>73</v>
      </c>
      <c r="BI8" s="10">
        <v>169</v>
      </c>
      <c r="BJ8" s="10">
        <v>169</v>
      </c>
      <c r="BK8" s="11" t="s">
        <v>73</v>
      </c>
      <c r="BL8" s="11" t="s">
        <v>73</v>
      </c>
      <c r="BM8" s="11" t="s">
        <v>73</v>
      </c>
      <c r="BN8" s="11" t="s">
        <v>73</v>
      </c>
      <c r="BO8" s="11" t="s">
        <v>236</v>
      </c>
      <c r="BP8" s="11" t="s">
        <v>73</v>
      </c>
      <c r="BQ8" s="11" t="s">
        <v>73</v>
      </c>
      <c r="BR8" s="11" t="s">
        <v>73</v>
      </c>
      <c r="BS8" s="11" t="s">
        <v>73</v>
      </c>
      <c r="BT8" s="11" t="s">
        <v>73</v>
      </c>
      <c r="BU8" s="18">
        <v>0</v>
      </c>
      <c r="BV8" s="18">
        <v>0</v>
      </c>
      <c r="BW8" s="18">
        <v>1</v>
      </c>
      <c r="BX8" s="30">
        <f>((AZ8^2)/(AZ8^2+BI8))^(1/2)</f>
        <v>0.12621550782577576</v>
      </c>
      <c r="BY8" s="30">
        <f>0.5*LN((1+BX8)/(1-BX8))</f>
        <v>0.12689220699041071</v>
      </c>
      <c r="BZ8" s="30">
        <f>((1-(BY8^2)^2)/(BI8-1))</f>
        <v>5.9508377228610727E-3</v>
      </c>
      <c r="CA8" s="30">
        <f>1/(BI8-3)</f>
        <v>6.024096385542169E-3</v>
      </c>
      <c r="CB8" s="92" t="s">
        <v>73</v>
      </c>
      <c r="CC8">
        <f>BI8-2</f>
        <v>167</v>
      </c>
      <c r="CD8" s="92" t="s">
        <v>73</v>
      </c>
      <c r="CE8" s="30">
        <f>((AZ8^2)/(AZ8^2+BJ8))^(1/2)</f>
        <v>0.12621550782577576</v>
      </c>
      <c r="CF8" s="30">
        <f>0.5*LN((1+CE8)/(1-CE8))</f>
        <v>0.12689220699041071</v>
      </c>
      <c r="CG8" s="30">
        <f>((1-(CF8^2)^2)/(BJ8-1))</f>
        <v>5.9508377228610727E-3</v>
      </c>
      <c r="CH8" s="30">
        <f>1/(BJ8-3)</f>
        <v>6.024096385542169E-3</v>
      </c>
    </row>
    <row r="9" spans="1:87" ht="16">
      <c r="A9" s="11" t="s">
        <v>221</v>
      </c>
      <c r="B9" s="11" t="s">
        <v>719</v>
      </c>
      <c r="C9" s="11">
        <v>1011</v>
      </c>
      <c r="D9" s="11">
        <v>103</v>
      </c>
      <c r="E9" s="11" t="s">
        <v>237</v>
      </c>
      <c r="F9" s="11">
        <v>2019</v>
      </c>
      <c r="G9" t="s">
        <v>238</v>
      </c>
      <c r="H9" s="10" t="s">
        <v>239</v>
      </c>
      <c r="I9" s="18">
        <v>2</v>
      </c>
      <c r="J9" s="10">
        <v>2018</v>
      </c>
      <c r="K9" s="11" t="s">
        <v>73</v>
      </c>
      <c r="L9" s="18">
        <v>23</v>
      </c>
      <c r="M9" s="18" t="s">
        <v>240</v>
      </c>
      <c r="N9" s="10" t="s">
        <v>241</v>
      </c>
      <c r="O9" s="18" t="s">
        <v>124</v>
      </c>
      <c r="P9" s="18" t="s">
        <v>242</v>
      </c>
      <c r="Q9" s="18" t="s">
        <v>243</v>
      </c>
      <c r="R9" s="18" t="s">
        <v>244</v>
      </c>
      <c r="S9" s="18">
        <v>0</v>
      </c>
      <c r="T9" t="s">
        <v>188</v>
      </c>
      <c r="U9" s="18">
        <v>0</v>
      </c>
      <c r="V9" s="153" t="s">
        <v>245</v>
      </c>
      <c r="W9" s="153" t="s">
        <v>245</v>
      </c>
      <c r="X9" s="154" t="s">
        <v>73</v>
      </c>
      <c r="Y9" s="18">
        <v>0</v>
      </c>
      <c r="Z9" s="18">
        <v>0</v>
      </c>
      <c r="AA9" s="18">
        <v>0</v>
      </c>
      <c r="AB9" s="11">
        <v>0</v>
      </c>
      <c r="AC9" s="18">
        <v>0</v>
      </c>
      <c r="AD9" s="18">
        <v>0</v>
      </c>
      <c r="AE9" s="18">
        <v>1</v>
      </c>
      <c r="AF9" s="11">
        <v>0</v>
      </c>
      <c r="AG9" s="18" t="s">
        <v>73</v>
      </c>
      <c r="AH9" s="18">
        <v>0</v>
      </c>
      <c r="AI9" s="18">
        <v>0</v>
      </c>
      <c r="AJ9" s="18">
        <v>0</v>
      </c>
      <c r="AK9" s="18">
        <v>0</v>
      </c>
      <c r="AL9" s="18">
        <v>0</v>
      </c>
      <c r="AM9" s="18">
        <v>0</v>
      </c>
      <c r="AN9" s="11">
        <v>0</v>
      </c>
      <c r="AO9" s="11">
        <v>1</v>
      </c>
      <c r="AP9" s="18">
        <v>0</v>
      </c>
      <c r="AQ9" s="18" t="s">
        <v>246</v>
      </c>
      <c r="AR9" t="s">
        <v>233</v>
      </c>
      <c r="AS9" s="10" t="s">
        <v>248</v>
      </c>
      <c r="AT9" s="11" t="s">
        <v>235</v>
      </c>
      <c r="AU9" s="134">
        <v>0.60199999999999998</v>
      </c>
      <c r="AV9" s="7" t="s">
        <v>86</v>
      </c>
      <c r="AW9" t="s">
        <v>73</v>
      </c>
      <c r="AX9" s="18">
        <v>0.05</v>
      </c>
      <c r="AY9" s="18">
        <v>1</v>
      </c>
      <c r="AZ9">
        <f>TINV(AX9,CC9)</f>
        <v>1.9722675325821368</v>
      </c>
      <c r="BB9" s="155">
        <v>0.23599999999999999</v>
      </c>
      <c r="BC9" s="11" t="s">
        <v>73</v>
      </c>
      <c r="BD9" s="11" t="s">
        <v>73</v>
      </c>
      <c r="BE9" s="11" t="s">
        <v>73</v>
      </c>
      <c r="BF9" s="11" t="s">
        <v>73</v>
      </c>
      <c r="BG9" s="11" t="s">
        <v>73</v>
      </c>
      <c r="BH9" s="11" t="s">
        <v>73</v>
      </c>
      <c r="BI9" s="10">
        <v>196</v>
      </c>
      <c r="BJ9" s="10">
        <v>196</v>
      </c>
      <c r="BK9" s="11" t="s">
        <v>73</v>
      </c>
      <c r="BL9" s="11" t="s">
        <v>73</v>
      </c>
      <c r="BM9" s="11" t="s">
        <v>73</v>
      </c>
      <c r="BN9" s="11" t="s">
        <v>73</v>
      </c>
      <c r="BO9" s="11" t="s">
        <v>236</v>
      </c>
      <c r="BP9" s="11" t="s">
        <v>73</v>
      </c>
      <c r="BQ9" s="11" t="s">
        <v>73</v>
      </c>
      <c r="BR9" s="11" t="s">
        <v>73</v>
      </c>
      <c r="BS9" s="11" t="s">
        <v>73</v>
      </c>
      <c r="BT9" s="11" t="s">
        <v>73</v>
      </c>
      <c r="BU9" s="18">
        <v>0</v>
      </c>
      <c r="BV9" s="18">
        <v>0</v>
      </c>
      <c r="BW9" s="18">
        <v>1</v>
      </c>
      <c r="BX9" s="30">
        <f>((AZ9^2)/(AZ9^2+BI9))^(1/2)</f>
        <v>0.13949879819299352</v>
      </c>
      <c r="BY9" s="30">
        <f>0.5*LN((1+BX9)/(1-BX9))</f>
        <v>0.14041439085865218</v>
      </c>
      <c r="BZ9" s="30">
        <f>((1-(BY9^2)^2)/(BI9-1))</f>
        <v>5.126211648265694E-3</v>
      </c>
      <c r="CA9" s="30">
        <f>1/(BI9-3)</f>
        <v>5.1813471502590676E-3</v>
      </c>
      <c r="CB9" s="92" t="s">
        <v>73</v>
      </c>
      <c r="CC9">
        <f>BI9-2</f>
        <v>194</v>
      </c>
      <c r="CD9" s="92" t="s">
        <v>73</v>
      </c>
      <c r="CE9" s="30">
        <f>((AZ9^2)/(AZ9^2+BJ9))^(1/2)</f>
        <v>0.13949879819299352</v>
      </c>
      <c r="CF9" s="30">
        <f>0.5*LN((1+CE9)/(1-CE9))</f>
        <v>0.14041439085865218</v>
      </c>
      <c r="CG9" s="30">
        <f>((1-(CF9^2)^2)/(BJ9-1))</f>
        <v>5.126211648265694E-3</v>
      </c>
      <c r="CH9" s="30">
        <f>1/(BJ9-3)</f>
        <v>5.1813471502590676E-3</v>
      </c>
    </row>
    <row r="10" spans="1:87" ht="16">
      <c r="A10" s="11" t="s">
        <v>221</v>
      </c>
      <c r="B10" s="11" t="s">
        <v>719</v>
      </c>
      <c r="C10" s="11">
        <v>1012</v>
      </c>
      <c r="D10" s="11">
        <v>103</v>
      </c>
      <c r="E10" s="11" t="s">
        <v>237</v>
      </c>
      <c r="F10" s="11">
        <v>2019</v>
      </c>
      <c r="G10" t="s">
        <v>238</v>
      </c>
      <c r="H10" s="10" t="s">
        <v>239</v>
      </c>
      <c r="I10" s="18">
        <v>2</v>
      </c>
      <c r="J10" s="10">
        <v>2018</v>
      </c>
      <c r="K10" s="11" t="s">
        <v>73</v>
      </c>
      <c r="L10" s="18">
        <v>23</v>
      </c>
      <c r="M10" s="18" t="s">
        <v>240</v>
      </c>
      <c r="N10" s="10" t="s">
        <v>241</v>
      </c>
      <c r="O10" s="18" t="s">
        <v>124</v>
      </c>
      <c r="P10" s="18" t="s">
        <v>242</v>
      </c>
      <c r="Q10" s="18" t="s">
        <v>243</v>
      </c>
      <c r="R10" s="18" t="s">
        <v>244</v>
      </c>
      <c r="S10" s="18">
        <v>0</v>
      </c>
      <c r="T10" t="s">
        <v>188</v>
      </c>
      <c r="U10" s="18">
        <v>0</v>
      </c>
      <c r="V10" s="153" t="s">
        <v>245</v>
      </c>
      <c r="W10" s="153" t="s">
        <v>245</v>
      </c>
      <c r="X10" s="154" t="s">
        <v>73</v>
      </c>
      <c r="Y10" s="18">
        <v>0</v>
      </c>
      <c r="Z10" s="18">
        <v>0</v>
      </c>
      <c r="AA10" s="18">
        <v>0</v>
      </c>
      <c r="AB10" s="18">
        <v>0</v>
      </c>
      <c r="AC10" s="18">
        <v>0</v>
      </c>
      <c r="AD10" s="18">
        <v>0</v>
      </c>
      <c r="AE10" s="18">
        <v>1</v>
      </c>
      <c r="AF10" s="11">
        <v>0</v>
      </c>
      <c r="AG10" s="18" t="s">
        <v>73</v>
      </c>
      <c r="AH10" s="18">
        <v>0</v>
      </c>
      <c r="AI10" s="18">
        <v>0</v>
      </c>
      <c r="AJ10" s="18">
        <v>0</v>
      </c>
      <c r="AK10" s="18">
        <v>0</v>
      </c>
      <c r="AL10" s="18">
        <v>0</v>
      </c>
      <c r="AM10" s="18">
        <v>0</v>
      </c>
      <c r="AN10" s="18">
        <v>1</v>
      </c>
      <c r="AO10" s="18">
        <v>0</v>
      </c>
      <c r="AP10" s="18">
        <v>0</v>
      </c>
      <c r="AQ10" s="18" t="s">
        <v>246</v>
      </c>
      <c r="AR10" t="s">
        <v>233</v>
      </c>
      <c r="AS10" s="10" t="s">
        <v>248</v>
      </c>
      <c r="AT10" s="11" t="s">
        <v>235</v>
      </c>
      <c r="AU10" s="134">
        <v>0.70499999999999996</v>
      </c>
      <c r="AV10" s="18" t="s">
        <v>80</v>
      </c>
      <c r="AW10" t="s">
        <v>73</v>
      </c>
      <c r="AX10" s="18">
        <v>0.1</v>
      </c>
      <c r="AY10" s="18">
        <v>1</v>
      </c>
      <c r="AZ10">
        <f>TINV(AX10,CC10)</f>
        <v>1.6540291281334114</v>
      </c>
      <c r="BB10" s="155">
        <v>0.26200000000000001</v>
      </c>
      <c r="BC10" s="11" t="s">
        <v>73</v>
      </c>
      <c r="BD10" s="11" t="s">
        <v>73</v>
      </c>
      <c r="BE10" s="11" t="s">
        <v>73</v>
      </c>
      <c r="BF10" s="11" t="s">
        <v>73</v>
      </c>
      <c r="BG10" s="11" t="s">
        <v>73</v>
      </c>
      <c r="BH10" s="11" t="s">
        <v>73</v>
      </c>
      <c r="BI10" s="10">
        <v>169</v>
      </c>
      <c r="BJ10" s="10">
        <v>169</v>
      </c>
      <c r="BK10" s="11" t="s">
        <v>73</v>
      </c>
      <c r="BL10" s="11" t="s">
        <v>73</v>
      </c>
      <c r="BM10" s="11" t="s">
        <v>73</v>
      </c>
      <c r="BN10" s="11" t="s">
        <v>73</v>
      </c>
      <c r="BO10" s="11" t="s">
        <v>236</v>
      </c>
      <c r="BP10" s="11" t="s">
        <v>73</v>
      </c>
      <c r="BQ10" s="11" t="s">
        <v>73</v>
      </c>
      <c r="BR10" s="11" t="s">
        <v>73</v>
      </c>
      <c r="BS10" s="11" t="s">
        <v>73</v>
      </c>
      <c r="BT10" s="11" t="s">
        <v>73</v>
      </c>
      <c r="BU10" s="18">
        <v>0</v>
      </c>
      <c r="BV10" s="18">
        <v>0</v>
      </c>
      <c r="BW10" s="18">
        <v>1</v>
      </c>
      <c r="BX10" s="30">
        <f>((AZ10^2)/(AZ10^2+BI10))^(1/2)</f>
        <v>0.12621550782577576</v>
      </c>
      <c r="BY10" s="30">
        <f>0.5*LN((1+BX10)/(1-BX10))</f>
        <v>0.12689220699041071</v>
      </c>
      <c r="BZ10" s="30">
        <f>((1-(BY10^2)^2)/(BI10-1))</f>
        <v>5.9508377228610727E-3</v>
      </c>
      <c r="CA10" s="30">
        <f>1/(BI10-3)</f>
        <v>6.024096385542169E-3</v>
      </c>
      <c r="CB10" s="92" t="s">
        <v>73</v>
      </c>
      <c r="CC10">
        <f>BI10-2</f>
        <v>167</v>
      </c>
      <c r="CD10" s="92" t="s">
        <v>73</v>
      </c>
      <c r="CE10" s="30">
        <f>((AZ10^2)/(AZ10^2+BJ10))^(1/2)</f>
        <v>0.12621550782577576</v>
      </c>
      <c r="CF10" s="30">
        <f>0.5*LN((1+CE10)/(1-CE10))</f>
        <v>0.12689220699041071</v>
      </c>
      <c r="CG10" s="30">
        <f>((1-(CF10^2)^2)/(BJ10-1))</f>
        <v>5.9508377228610727E-3</v>
      </c>
      <c r="CH10" s="30">
        <f>1/(BJ10-3)</f>
        <v>6.024096385542169E-3</v>
      </c>
    </row>
    <row r="11" spans="1:87" ht="16">
      <c r="A11" s="11" t="s">
        <v>68</v>
      </c>
      <c r="B11" s="11" t="s">
        <v>719</v>
      </c>
      <c r="C11" s="11">
        <v>1014</v>
      </c>
      <c r="D11" s="11">
        <v>105</v>
      </c>
      <c r="E11" s="11" t="s">
        <v>249</v>
      </c>
      <c r="F11" s="11">
        <v>2019</v>
      </c>
      <c r="G11" t="s">
        <v>250</v>
      </c>
      <c r="H11" t="s">
        <v>251</v>
      </c>
      <c r="I11" s="18">
        <v>2</v>
      </c>
      <c r="J11" s="10" t="s">
        <v>252</v>
      </c>
      <c r="K11" s="11" t="s">
        <v>73</v>
      </c>
      <c r="L11" s="18">
        <v>230</v>
      </c>
      <c r="M11" s="18" t="s">
        <v>155</v>
      </c>
      <c r="N11" s="92" t="s">
        <v>226</v>
      </c>
      <c r="O11" s="18" t="s">
        <v>253</v>
      </c>
      <c r="P11" s="18" t="s">
        <v>242</v>
      </c>
      <c r="Q11" t="s">
        <v>243</v>
      </c>
      <c r="R11" t="s">
        <v>254</v>
      </c>
      <c r="S11">
        <v>1</v>
      </c>
      <c r="T11" t="s">
        <v>188</v>
      </c>
      <c r="U11">
        <v>1</v>
      </c>
      <c r="V11" s="18" t="s">
        <v>245</v>
      </c>
      <c r="W11" s="18" t="s">
        <v>231</v>
      </c>
      <c r="X11" s="18" t="s">
        <v>255</v>
      </c>
      <c r="Y11" s="18">
        <v>0</v>
      </c>
      <c r="Z11" s="18">
        <v>1</v>
      </c>
      <c r="AA11" s="18">
        <v>0</v>
      </c>
      <c r="AB11" s="18">
        <v>0</v>
      </c>
      <c r="AC11" s="18">
        <v>0</v>
      </c>
      <c r="AD11" s="18">
        <v>0</v>
      </c>
      <c r="AE11" s="11">
        <v>0</v>
      </c>
      <c r="AF11" s="11">
        <v>0</v>
      </c>
      <c r="AG11" s="18" t="s">
        <v>73</v>
      </c>
      <c r="AH11" s="18">
        <v>0</v>
      </c>
      <c r="AI11" s="18">
        <v>0</v>
      </c>
      <c r="AJ11" s="18">
        <v>0</v>
      </c>
      <c r="AK11" s="18">
        <v>0</v>
      </c>
      <c r="AL11" s="18">
        <v>0</v>
      </c>
      <c r="AM11" s="18">
        <v>1</v>
      </c>
      <c r="AN11" s="18">
        <v>0</v>
      </c>
      <c r="AO11" s="18">
        <v>0</v>
      </c>
      <c r="AP11" s="18">
        <v>0</v>
      </c>
      <c r="AQ11" s="138" t="s">
        <v>73</v>
      </c>
      <c r="AR11" t="s">
        <v>233</v>
      </c>
      <c r="AS11" s="10" t="s">
        <v>256</v>
      </c>
      <c r="AT11" s="10" t="s">
        <v>235</v>
      </c>
      <c r="AU11" s="134">
        <v>5.0000000000000001E-3</v>
      </c>
      <c r="AV11" s="7" t="s">
        <v>86</v>
      </c>
      <c r="AW11" s="18">
        <v>0.109</v>
      </c>
      <c r="AX11" s="18">
        <v>0.1</v>
      </c>
      <c r="AY11" s="18">
        <v>2</v>
      </c>
      <c r="AZ11">
        <f>AU11/AW11</f>
        <v>4.5871559633027525E-2</v>
      </c>
      <c r="BA11" t="s">
        <v>73</v>
      </c>
      <c r="BB11" s="105">
        <f>EXP(AU11)/(1+EXP(AU11))</f>
        <v>0.50124999739583986</v>
      </c>
      <c r="BC11" s="11" t="s">
        <v>73</v>
      </c>
      <c r="BD11" s="18">
        <v>71</v>
      </c>
      <c r="BE11" s="11" t="s">
        <v>73</v>
      </c>
      <c r="BF11" s="11" t="s">
        <v>73</v>
      </c>
      <c r="BG11">
        <v>85</v>
      </c>
      <c r="BH11" s="11" t="s">
        <v>73</v>
      </c>
      <c r="BI11">
        <v>156</v>
      </c>
      <c r="BJ11">
        <v>156</v>
      </c>
      <c r="BK11" s="11" t="s">
        <v>73</v>
      </c>
      <c r="BL11" s="11" t="s">
        <v>73</v>
      </c>
      <c r="BM11" s="11" t="s">
        <v>73</v>
      </c>
      <c r="BN11" s="11" t="s">
        <v>73</v>
      </c>
      <c r="BO11" s="11" t="s">
        <v>73</v>
      </c>
      <c r="BP11" s="11" t="s">
        <v>73</v>
      </c>
      <c r="BQ11" s="11" t="s">
        <v>73</v>
      </c>
      <c r="BR11" s="11" t="s">
        <v>73</v>
      </c>
      <c r="BS11" s="11" t="s">
        <v>73</v>
      </c>
      <c r="BT11" s="11" t="s">
        <v>73</v>
      </c>
      <c r="BU11" s="18">
        <v>0</v>
      </c>
      <c r="BV11" s="18">
        <v>0</v>
      </c>
      <c r="BW11" s="18">
        <v>0</v>
      </c>
      <c r="BX11" s="30">
        <f>((AZ11^2)/(AZ11^2+BI11))^(1/2)</f>
        <v>3.6726393090550187E-3</v>
      </c>
      <c r="BY11" s="30">
        <f>0.5*LN((1+BX11)/(1-BX11))</f>
        <v>3.6726558217171222E-3</v>
      </c>
      <c r="BZ11" s="30">
        <f>((1-(BY11^2)^2)/(BI11-1))</f>
        <v>6.4516129020520197E-3</v>
      </c>
      <c r="CA11" s="30">
        <f>1/(BI11-3)</f>
        <v>6.5359477124183009E-3</v>
      </c>
      <c r="CB11" s="92" t="s">
        <v>73</v>
      </c>
      <c r="CC11">
        <f>BI11-2</f>
        <v>154</v>
      </c>
      <c r="CD11" s="92" t="s">
        <v>73</v>
      </c>
      <c r="CE11" s="30">
        <f>((AZ11^2)/(AZ11^2+BJ11))^(1/2)</f>
        <v>3.6726393090550187E-3</v>
      </c>
      <c r="CF11" s="30">
        <f>0.5*LN((1+CE11)/(1-CE11))</f>
        <v>3.6726558217171222E-3</v>
      </c>
      <c r="CG11" s="30">
        <f>((1-(CF11^2)^2)/(BJ11-1))</f>
        <v>6.4516129020520197E-3</v>
      </c>
      <c r="CH11" s="30">
        <f>1/(BJ11-3)</f>
        <v>6.5359477124183009E-3</v>
      </c>
      <c r="CI11" s="119"/>
    </row>
    <row r="12" spans="1:87" ht="16">
      <c r="A12" s="11" t="s">
        <v>68</v>
      </c>
      <c r="B12" s="11" t="s">
        <v>719</v>
      </c>
      <c r="C12" s="11">
        <v>1015</v>
      </c>
      <c r="D12" s="11">
        <v>105</v>
      </c>
      <c r="E12" s="11" t="s">
        <v>249</v>
      </c>
      <c r="F12" s="11">
        <v>2019</v>
      </c>
      <c r="G12" t="s">
        <v>250</v>
      </c>
      <c r="H12" t="s">
        <v>251</v>
      </c>
      <c r="I12" s="18">
        <v>2</v>
      </c>
      <c r="J12" s="10" t="s">
        <v>252</v>
      </c>
      <c r="K12" s="11" t="s">
        <v>73</v>
      </c>
      <c r="L12" s="18">
        <v>230</v>
      </c>
      <c r="M12" s="18" t="s">
        <v>155</v>
      </c>
      <c r="N12" s="92" t="s">
        <v>226</v>
      </c>
      <c r="O12" s="18" t="s">
        <v>253</v>
      </c>
      <c r="P12" s="18" t="s">
        <v>242</v>
      </c>
      <c r="Q12" t="s">
        <v>243</v>
      </c>
      <c r="R12" t="s">
        <v>254</v>
      </c>
      <c r="S12">
        <v>1</v>
      </c>
      <c r="T12" t="s">
        <v>188</v>
      </c>
      <c r="U12">
        <v>1</v>
      </c>
      <c r="V12" s="18" t="s">
        <v>245</v>
      </c>
      <c r="W12" s="18" t="s">
        <v>231</v>
      </c>
      <c r="X12" s="18" t="s">
        <v>255</v>
      </c>
      <c r="Y12" s="18">
        <v>0</v>
      </c>
      <c r="Z12" s="18">
        <v>1</v>
      </c>
      <c r="AA12" s="18">
        <v>0</v>
      </c>
      <c r="AB12" s="18">
        <v>0</v>
      </c>
      <c r="AC12" s="18">
        <v>0</v>
      </c>
      <c r="AD12" s="18">
        <v>1</v>
      </c>
      <c r="AE12" s="11">
        <v>0</v>
      </c>
      <c r="AF12" s="11">
        <v>0</v>
      </c>
      <c r="AG12" s="18" t="s">
        <v>73</v>
      </c>
      <c r="AH12" s="18">
        <v>0</v>
      </c>
      <c r="AI12" s="18">
        <v>0</v>
      </c>
      <c r="AJ12" s="18">
        <v>0</v>
      </c>
      <c r="AK12" s="18">
        <v>0</v>
      </c>
      <c r="AL12" s="18">
        <v>0</v>
      </c>
      <c r="AM12" s="18">
        <v>1</v>
      </c>
      <c r="AN12" s="18">
        <v>0</v>
      </c>
      <c r="AO12" s="18">
        <v>0</v>
      </c>
      <c r="AP12" s="18">
        <v>0</v>
      </c>
      <c r="AQ12" s="138" t="s">
        <v>73</v>
      </c>
      <c r="AR12" t="s">
        <v>233</v>
      </c>
      <c r="AS12" s="10" t="s">
        <v>256</v>
      </c>
      <c r="AT12" s="10" t="s">
        <v>235</v>
      </c>
      <c r="AU12" s="134">
        <v>0.61699999999999999</v>
      </c>
      <c r="AV12" s="7" t="s">
        <v>80</v>
      </c>
      <c r="AW12" s="18">
        <v>0.121</v>
      </c>
      <c r="AX12" s="18">
        <v>0.01</v>
      </c>
      <c r="AY12" s="18">
        <v>1</v>
      </c>
      <c r="AZ12">
        <f>AU12/AW12</f>
        <v>5.0991735537190079</v>
      </c>
      <c r="BA12" s="152">
        <v>0.84</v>
      </c>
      <c r="BB12" s="105">
        <f>EXP(AU12)/(1+EXP(AU12))</f>
        <v>0.64953593830061807</v>
      </c>
      <c r="BC12" s="11" t="s">
        <v>73</v>
      </c>
      <c r="BD12" s="18">
        <v>71</v>
      </c>
      <c r="BE12" s="11" t="s">
        <v>73</v>
      </c>
      <c r="BF12" s="11" t="s">
        <v>73</v>
      </c>
      <c r="BG12">
        <v>77</v>
      </c>
      <c r="BH12" s="11" t="s">
        <v>73</v>
      </c>
      <c r="BI12">
        <v>148</v>
      </c>
      <c r="BJ12">
        <v>148</v>
      </c>
      <c r="BK12" s="11" t="s">
        <v>73</v>
      </c>
      <c r="BL12" s="11" t="s">
        <v>73</v>
      </c>
      <c r="BM12" s="11" t="s">
        <v>73</v>
      </c>
      <c r="BN12" s="11" t="s">
        <v>73</v>
      </c>
      <c r="BO12" s="11" t="s">
        <v>73</v>
      </c>
      <c r="BP12" s="11" t="s">
        <v>73</v>
      </c>
      <c r="BQ12" s="11" t="s">
        <v>73</v>
      </c>
      <c r="BR12" s="11" t="s">
        <v>73</v>
      </c>
      <c r="BS12" s="11" t="s">
        <v>73</v>
      </c>
      <c r="BT12" s="11" t="s">
        <v>73</v>
      </c>
      <c r="BU12" s="18">
        <v>0</v>
      </c>
      <c r="BV12" s="18">
        <v>0</v>
      </c>
      <c r="BW12" s="18">
        <v>0</v>
      </c>
      <c r="BX12" s="30">
        <f>((AZ12^2)/(AZ12^2+BI12))^(1/2)</f>
        <v>0.38656560447568655</v>
      </c>
      <c r="BY12" s="30">
        <f>0.5*LN((1+BX12)/(1-BX12))</f>
        <v>0.40775592843557701</v>
      </c>
      <c r="BZ12" s="30">
        <f>((1-(BY12^2)^2)/(BI12-1))</f>
        <v>6.6146665576027192E-3</v>
      </c>
      <c r="CA12" s="30">
        <f>1/(BI12-3)</f>
        <v>6.8965517241379309E-3</v>
      </c>
      <c r="CB12" s="92" t="s">
        <v>73</v>
      </c>
      <c r="CC12">
        <f>BI12-2</f>
        <v>146</v>
      </c>
      <c r="CD12" s="92" t="s">
        <v>73</v>
      </c>
      <c r="CE12" s="30">
        <f>((AZ12^2)/(AZ12^2+BJ12))^(1/2)</f>
        <v>0.38656560447568655</v>
      </c>
      <c r="CF12" s="30">
        <f>0.5*LN((1+CE12)/(1-CE12))</f>
        <v>0.40775592843557701</v>
      </c>
      <c r="CG12" s="30">
        <f>((1-(CF12^2)^2)/(BJ12-1))</f>
        <v>6.6146665576027192E-3</v>
      </c>
      <c r="CH12" s="30">
        <f>1/(BJ12-3)</f>
        <v>6.8965517241379309E-3</v>
      </c>
    </row>
    <row r="13" spans="1:87" ht="16">
      <c r="A13" s="11" t="s">
        <v>68</v>
      </c>
      <c r="B13" s="11" t="s">
        <v>719</v>
      </c>
      <c r="C13" s="11">
        <v>1016</v>
      </c>
      <c r="D13" s="11">
        <v>105</v>
      </c>
      <c r="E13" s="11" t="s">
        <v>249</v>
      </c>
      <c r="F13" s="11">
        <v>2019</v>
      </c>
      <c r="G13" t="s">
        <v>250</v>
      </c>
      <c r="H13" t="s">
        <v>251</v>
      </c>
      <c r="I13" s="18">
        <v>2</v>
      </c>
      <c r="J13" s="10" t="s">
        <v>252</v>
      </c>
      <c r="K13" s="11" t="s">
        <v>73</v>
      </c>
      <c r="L13" s="18">
        <v>230</v>
      </c>
      <c r="M13" s="18" t="s">
        <v>155</v>
      </c>
      <c r="N13" s="92" t="s">
        <v>226</v>
      </c>
      <c r="O13" s="18" t="s">
        <v>253</v>
      </c>
      <c r="P13" s="18" t="s">
        <v>242</v>
      </c>
      <c r="Q13" t="s">
        <v>243</v>
      </c>
      <c r="R13" t="s">
        <v>254</v>
      </c>
      <c r="S13">
        <v>1</v>
      </c>
      <c r="T13" t="s">
        <v>188</v>
      </c>
      <c r="U13">
        <v>1</v>
      </c>
      <c r="V13" s="18" t="s">
        <v>245</v>
      </c>
      <c r="W13" s="18" t="s">
        <v>231</v>
      </c>
      <c r="X13" s="18" t="s">
        <v>255</v>
      </c>
      <c r="Y13" s="18">
        <v>0</v>
      </c>
      <c r="Z13" s="18">
        <v>0</v>
      </c>
      <c r="AA13" s="18">
        <v>0</v>
      </c>
      <c r="AB13" s="18">
        <v>0</v>
      </c>
      <c r="AC13" s="18">
        <v>0</v>
      </c>
      <c r="AD13" s="18">
        <v>1</v>
      </c>
      <c r="AE13" s="11">
        <v>0</v>
      </c>
      <c r="AF13" s="11">
        <v>0</v>
      </c>
      <c r="AG13" s="18" t="s">
        <v>73</v>
      </c>
      <c r="AH13" s="18">
        <v>0</v>
      </c>
      <c r="AI13" s="18">
        <v>0</v>
      </c>
      <c r="AJ13" s="18">
        <v>0</v>
      </c>
      <c r="AK13" s="18">
        <v>0</v>
      </c>
      <c r="AL13" s="18">
        <v>0</v>
      </c>
      <c r="AM13" s="18">
        <v>1</v>
      </c>
      <c r="AN13" s="18">
        <v>0</v>
      </c>
      <c r="AO13" s="18">
        <v>0</v>
      </c>
      <c r="AP13" s="18">
        <v>0</v>
      </c>
      <c r="AQ13" s="138" t="s">
        <v>73</v>
      </c>
      <c r="AR13" t="s">
        <v>233</v>
      </c>
      <c r="AS13" s="10" t="s">
        <v>256</v>
      </c>
      <c r="AT13" s="10" t="s">
        <v>235</v>
      </c>
      <c r="AU13" s="134">
        <v>0.214</v>
      </c>
      <c r="AV13" s="18" t="s">
        <v>80</v>
      </c>
      <c r="AW13" s="18">
        <v>8.7999999999999995E-2</v>
      </c>
      <c r="AX13" s="18">
        <v>0.05</v>
      </c>
      <c r="AY13" s="18">
        <v>1</v>
      </c>
      <c r="AZ13">
        <f>AU13/AW13</f>
        <v>2.4318181818181821</v>
      </c>
      <c r="BA13" t="s">
        <v>73</v>
      </c>
      <c r="BB13" s="105">
        <f>EXP(AU13)/(1+EXP(AU13))</f>
        <v>0.55329675688810287</v>
      </c>
      <c r="BC13" s="11" t="s">
        <v>73</v>
      </c>
      <c r="BD13" s="18">
        <v>71</v>
      </c>
      <c r="BE13" s="11" t="s">
        <v>73</v>
      </c>
      <c r="BF13" s="11" t="s">
        <v>73</v>
      </c>
      <c r="BG13">
        <v>84</v>
      </c>
      <c r="BH13" s="11" t="s">
        <v>73</v>
      </c>
      <c r="BI13">
        <v>155</v>
      </c>
      <c r="BJ13">
        <v>155</v>
      </c>
      <c r="BK13" s="11" t="s">
        <v>73</v>
      </c>
      <c r="BL13" s="11" t="s">
        <v>73</v>
      </c>
      <c r="BM13" s="11" t="s">
        <v>73</v>
      </c>
      <c r="BN13" s="11" t="s">
        <v>73</v>
      </c>
      <c r="BO13" s="11" t="s">
        <v>73</v>
      </c>
      <c r="BP13" s="11" t="s">
        <v>73</v>
      </c>
      <c r="BQ13" s="11" t="s">
        <v>73</v>
      </c>
      <c r="BR13" s="11" t="s">
        <v>73</v>
      </c>
      <c r="BS13" s="11" t="s">
        <v>73</v>
      </c>
      <c r="BT13" s="11" t="s">
        <v>73</v>
      </c>
      <c r="BU13" s="18">
        <v>0</v>
      </c>
      <c r="BV13" s="18">
        <v>0</v>
      </c>
      <c r="BW13" s="18">
        <v>0</v>
      </c>
      <c r="BX13" s="30">
        <f>((AZ13^2)/(AZ13^2+BI13))^(1/2)</f>
        <v>0.19170548423159203</v>
      </c>
      <c r="BY13" s="30">
        <f>0.5*LN((1+BX13)/(1-BX13))</f>
        <v>0.1941071241446195</v>
      </c>
      <c r="BZ13" s="30">
        <f>((1-(BY13^2)^2)/(BI13-1))</f>
        <v>6.4842883135948935E-3</v>
      </c>
      <c r="CA13" s="30">
        <f>1/(BI13-3)</f>
        <v>6.5789473684210523E-3</v>
      </c>
      <c r="CB13" s="92" t="s">
        <v>73</v>
      </c>
      <c r="CC13">
        <f>BI13-2</f>
        <v>153</v>
      </c>
      <c r="CD13" s="92" t="s">
        <v>73</v>
      </c>
      <c r="CE13" s="30">
        <f>((AZ13^2)/(AZ13^2+BJ13))^(1/2)</f>
        <v>0.19170548423159203</v>
      </c>
      <c r="CF13" s="30">
        <f>0.5*LN((1+CE13)/(1-CE13))</f>
        <v>0.1941071241446195</v>
      </c>
      <c r="CG13" s="30">
        <f>((1-(CF13^2)^2)/(BJ13-1))</f>
        <v>6.4842883135948935E-3</v>
      </c>
      <c r="CH13" s="30">
        <f>1/(BJ13-3)</f>
        <v>6.5789473684210523E-3</v>
      </c>
    </row>
    <row r="14" spans="1:87" ht="16">
      <c r="A14" s="11" t="s">
        <v>68</v>
      </c>
      <c r="B14" s="11" t="s">
        <v>719</v>
      </c>
      <c r="C14" s="11">
        <v>1017</v>
      </c>
      <c r="D14" s="11">
        <v>105</v>
      </c>
      <c r="E14" s="11" t="s">
        <v>249</v>
      </c>
      <c r="F14" s="11">
        <v>2019</v>
      </c>
      <c r="G14" t="s">
        <v>250</v>
      </c>
      <c r="H14" t="s">
        <v>251</v>
      </c>
      <c r="I14" s="18">
        <v>2</v>
      </c>
      <c r="J14" s="10" t="s">
        <v>252</v>
      </c>
      <c r="K14" s="11" t="s">
        <v>73</v>
      </c>
      <c r="L14" s="18">
        <v>230</v>
      </c>
      <c r="M14" s="18" t="s">
        <v>155</v>
      </c>
      <c r="N14" s="92" t="s">
        <v>226</v>
      </c>
      <c r="O14" s="18" t="s">
        <v>253</v>
      </c>
      <c r="P14" s="18" t="s">
        <v>242</v>
      </c>
      <c r="Q14" t="s">
        <v>243</v>
      </c>
      <c r="R14" t="s">
        <v>254</v>
      </c>
      <c r="S14">
        <v>1</v>
      </c>
      <c r="T14" t="s">
        <v>188</v>
      </c>
      <c r="U14">
        <v>1</v>
      </c>
      <c r="V14" s="18" t="s">
        <v>245</v>
      </c>
      <c r="W14" s="18" t="s">
        <v>231</v>
      </c>
      <c r="X14" s="18" t="s">
        <v>255</v>
      </c>
      <c r="Y14" s="18">
        <v>0</v>
      </c>
      <c r="Z14" s="18">
        <v>1</v>
      </c>
      <c r="AA14" s="18">
        <v>0</v>
      </c>
      <c r="AB14" s="18">
        <v>0</v>
      </c>
      <c r="AC14" s="18">
        <v>0</v>
      </c>
      <c r="AD14" s="18">
        <v>0</v>
      </c>
      <c r="AE14" s="11">
        <v>0</v>
      </c>
      <c r="AF14" s="11">
        <v>0</v>
      </c>
      <c r="AG14" s="18" t="s">
        <v>73</v>
      </c>
      <c r="AH14" s="18">
        <v>0</v>
      </c>
      <c r="AI14" s="18">
        <v>0</v>
      </c>
      <c r="AJ14" s="18">
        <v>0</v>
      </c>
      <c r="AK14" s="18">
        <v>0</v>
      </c>
      <c r="AL14" s="18">
        <v>0</v>
      </c>
      <c r="AM14" s="18">
        <v>1</v>
      </c>
      <c r="AN14" s="18">
        <v>0</v>
      </c>
      <c r="AO14" s="18">
        <v>0</v>
      </c>
      <c r="AP14" s="18">
        <v>0</v>
      </c>
      <c r="AQ14" s="138" t="s">
        <v>73</v>
      </c>
      <c r="AR14" t="s">
        <v>233</v>
      </c>
      <c r="AS14" s="10" t="s">
        <v>256</v>
      </c>
      <c r="AT14" s="10" t="s">
        <v>235</v>
      </c>
      <c r="AU14" s="134">
        <v>4.0000000000000001E-3</v>
      </c>
      <c r="AV14" s="7" t="s">
        <v>80</v>
      </c>
      <c r="AW14">
        <v>0.121</v>
      </c>
      <c r="AX14">
        <v>0.1</v>
      </c>
      <c r="AY14">
        <v>2</v>
      </c>
      <c r="AZ14">
        <f>AU14/AW14</f>
        <v>3.3057851239669422E-2</v>
      </c>
      <c r="BA14" t="s">
        <v>73</v>
      </c>
      <c r="BB14" s="105">
        <f>EXP(AU14)/(1+EXP(AU14))</f>
        <v>0.50099999866666878</v>
      </c>
      <c r="BC14" s="11" t="s">
        <v>73</v>
      </c>
      <c r="BD14" s="18">
        <v>71</v>
      </c>
      <c r="BE14" s="11" t="s">
        <v>73</v>
      </c>
      <c r="BF14" s="11" t="s">
        <v>73</v>
      </c>
      <c r="BG14">
        <v>85</v>
      </c>
      <c r="BH14" s="11" t="s">
        <v>73</v>
      </c>
      <c r="BI14">
        <v>156</v>
      </c>
      <c r="BJ14">
        <v>156</v>
      </c>
      <c r="BK14" s="11" t="s">
        <v>73</v>
      </c>
      <c r="BL14" s="11" t="s">
        <v>73</v>
      </c>
      <c r="BM14" s="11" t="s">
        <v>73</v>
      </c>
      <c r="BN14" s="11" t="s">
        <v>73</v>
      </c>
      <c r="BO14" s="11" t="s">
        <v>73</v>
      </c>
      <c r="BP14" s="11" t="s">
        <v>73</v>
      </c>
      <c r="BQ14" s="11" t="s">
        <v>73</v>
      </c>
      <c r="BR14" s="11" t="s">
        <v>73</v>
      </c>
      <c r="BS14" s="11" t="s">
        <v>73</v>
      </c>
      <c r="BT14" s="11" t="s">
        <v>73</v>
      </c>
      <c r="BU14" s="18">
        <v>1</v>
      </c>
      <c r="BV14" s="18">
        <v>0</v>
      </c>
      <c r="BW14" s="18">
        <v>1</v>
      </c>
      <c r="BX14" s="30">
        <f>((AZ14^2)/(AZ14^2+BI14))^(1/2)</f>
        <v>2.646737073353082E-3</v>
      </c>
      <c r="BY14" s="30">
        <f>0.5*LN((1+BX14)/(1-BX14))</f>
        <v>2.6467432537016708E-3</v>
      </c>
      <c r="BZ14" s="30">
        <f>((1-(BY14^2)^2)/(BI14-1))</f>
        <v>6.4516129029092029E-3</v>
      </c>
      <c r="CA14" s="30">
        <f>1/(BI14-3)</f>
        <v>6.5359477124183009E-3</v>
      </c>
      <c r="CB14" s="92" t="s">
        <v>73</v>
      </c>
      <c r="CC14">
        <f>BI14-2</f>
        <v>154</v>
      </c>
      <c r="CD14" s="92" t="s">
        <v>73</v>
      </c>
      <c r="CE14" s="30">
        <f>((AZ14^2)/(AZ14^2+BJ14))^(1/2)</f>
        <v>2.646737073353082E-3</v>
      </c>
      <c r="CF14" s="30">
        <f>0.5*LN((1+CE14)/(1-CE14))</f>
        <v>2.6467432537016708E-3</v>
      </c>
      <c r="CG14" s="30">
        <f>((1-(CF14^2)^2)/(BJ14-1))</f>
        <v>6.4516129029092029E-3</v>
      </c>
      <c r="CH14" s="30">
        <f>1/(BJ14-3)</f>
        <v>6.5359477124183009E-3</v>
      </c>
    </row>
    <row r="15" spans="1:87" ht="16">
      <c r="A15" s="11" t="s">
        <v>68</v>
      </c>
      <c r="B15" s="11" t="s">
        <v>719</v>
      </c>
      <c r="C15" s="11">
        <v>1018</v>
      </c>
      <c r="D15" s="11">
        <v>105</v>
      </c>
      <c r="E15" s="11" t="s">
        <v>249</v>
      </c>
      <c r="F15" s="11">
        <v>2019</v>
      </c>
      <c r="G15" t="s">
        <v>250</v>
      </c>
      <c r="H15" t="s">
        <v>251</v>
      </c>
      <c r="I15" s="18">
        <v>2</v>
      </c>
      <c r="J15" s="10" t="s">
        <v>252</v>
      </c>
      <c r="K15" s="11" t="s">
        <v>73</v>
      </c>
      <c r="L15" s="18">
        <v>230</v>
      </c>
      <c r="M15" s="18" t="s">
        <v>155</v>
      </c>
      <c r="N15" s="92" t="s">
        <v>226</v>
      </c>
      <c r="O15" s="18" t="s">
        <v>253</v>
      </c>
      <c r="P15" s="18" t="s">
        <v>242</v>
      </c>
      <c r="Q15" t="s">
        <v>243</v>
      </c>
      <c r="R15" t="s">
        <v>254</v>
      </c>
      <c r="S15">
        <v>1</v>
      </c>
      <c r="T15" t="s">
        <v>188</v>
      </c>
      <c r="U15">
        <v>1</v>
      </c>
      <c r="V15" s="18" t="s">
        <v>245</v>
      </c>
      <c r="W15" s="18" t="s">
        <v>231</v>
      </c>
      <c r="X15" s="18" t="s">
        <v>255</v>
      </c>
      <c r="Y15" s="18">
        <v>0</v>
      </c>
      <c r="Z15" s="18">
        <v>1</v>
      </c>
      <c r="AA15" s="18">
        <v>0</v>
      </c>
      <c r="AB15" s="18">
        <v>0</v>
      </c>
      <c r="AC15" s="18">
        <v>0</v>
      </c>
      <c r="AD15" s="18">
        <v>1</v>
      </c>
      <c r="AE15" s="11">
        <v>0</v>
      </c>
      <c r="AF15" s="11">
        <v>0</v>
      </c>
      <c r="AG15" s="18" t="s">
        <v>73</v>
      </c>
      <c r="AH15" s="18">
        <v>0</v>
      </c>
      <c r="AI15" s="18">
        <v>0</v>
      </c>
      <c r="AJ15" s="18">
        <v>0</v>
      </c>
      <c r="AK15" s="18">
        <v>0</v>
      </c>
      <c r="AL15" s="18">
        <v>0</v>
      </c>
      <c r="AM15" s="18">
        <v>1</v>
      </c>
      <c r="AN15" s="18">
        <v>0</v>
      </c>
      <c r="AO15" s="18">
        <v>0</v>
      </c>
      <c r="AP15" s="18">
        <v>0</v>
      </c>
      <c r="AQ15" s="138" t="s">
        <v>73</v>
      </c>
      <c r="AR15" t="s">
        <v>233</v>
      </c>
      <c r="AS15" s="10" t="s">
        <v>256</v>
      </c>
      <c r="AT15" s="10" t="s">
        <v>235</v>
      </c>
      <c r="AU15" s="134">
        <v>0.629</v>
      </c>
      <c r="AV15" s="7" t="s">
        <v>80</v>
      </c>
      <c r="AW15">
        <v>0.121</v>
      </c>
      <c r="AX15">
        <v>0.01</v>
      </c>
      <c r="AY15">
        <v>1</v>
      </c>
      <c r="AZ15">
        <f>AU15/AW15</f>
        <v>5.1983471074380168</v>
      </c>
      <c r="BA15" s="152">
        <v>0.84</v>
      </c>
      <c r="BB15" s="105">
        <f>EXP(AU15)/(1+EXP(AU15))</f>
        <v>0.65226268066592974</v>
      </c>
      <c r="BC15" s="11" t="s">
        <v>73</v>
      </c>
      <c r="BD15" s="18">
        <v>71</v>
      </c>
      <c r="BE15" s="11" t="s">
        <v>73</v>
      </c>
      <c r="BF15" s="11" t="s">
        <v>73</v>
      </c>
      <c r="BG15">
        <v>77</v>
      </c>
      <c r="BH15" s="11" t="s">
        <v>73</v>
      </c>
      <c r="BI15">
        <v>148</v>
      </c>
      <c r="BJ15">
        <v>148</v>
      </c>
      <c r="BK15" s="11" t="s">
        <v>73</v>
      </c>
      <c r="BL15" s="11" t="s">
        <v>73</v>
      </c>
      <c r="BM15" s="11" t="s">
        <v>73</v>
      </c>
      <c r="BN15" s="11" t="s">
        <v>73</v>
      </c>
      <c r="BO15" s="11" t="s">
        <v>73</v>
      </c>
      <c r="BP15" s="11" t="s">
        <v>73</v>
      </c>
      <c r="BQ15" s="11" t="s">
        <v>73</v>
      </c>
      <c r="BR15" s="11" t="s">
        <v>73</v>
      </c>
      <c r="BS15" s="11" t="s">
        <v>73</v>
      </c>
      <c r="BT15" s="11" t="s">
        <v>73</v>
      </c>
      <c r="BU15" s="18">
        <v>1</v>
      </c>
      <c r="BV15" s="18">
        <v>0</v>
      </c>
      <c r="BW15" s="18">
        <v>1</v>
      </c>
      <c r="BX15" s="30">
        <f>((AZ15^2)/(AZ15^2+BI15))^(1/2)</f>
        <v>0.3929324948845429</v>
      </c>
      <c r="BY15" s="30">
        <f>0.5*LN((1+BX15)/(1-BX15))</f>
        <v>0.41526325821269588</v>
      </c>
      <c r="BZ15" s="30">
        <f>((1-(BY15^2)^2)/(BI15-1))</f>
        <v>6.6004300266440307E-3</v>
      </c>
      <c r="CA15" s="30">
        <f>1/(BI15-3)</f>
        <v>6.8965517241379309E-3</v>
      </c>
      <c r="CB15" s="92" t="s">
        <v>73</v>
      </c>
      <c r="CC15">
        <f>BI15-2</f>
        <v>146</v>
      </c>
      <c r="CD15" s="92" t="s">
        <v>73</v>
      </c>
      <c r="CE15" s="30">
        <f>((AZ15^2)/(AZ15^2+BJ15))^(1/2)</f>
        <v>0.3929324948845429</v>
      </c>
      <c r="CF15" s="30">
        <f>0.5*LN((1+CE15)/(1-CE15))</f>
        <v>0.41526325821269588</v>
      </c>
      <c r="CG15" s="30">
        <f>((1-(CF15^2)^2)/(BJ15-1))</f>
        <v>6.6004300266440307E-3</v>
      </c>
      <c r="CH15" s="30">
        <f>1/(BJ15-3)</f>
        <v>6.8965517241379309E-3</v>
      </c>
    </row>
    <row r="16" spans="1:87" ht="16">
      <c r="A16" s="11" t="s">
        <v>68</v>
      </c>
      <c r="B16" s="11" t="s">
        <v>719</v>
      </c>
      <c r="C16" s="11">
        <v>1019</v>
      </c>
      <c r="D16" s="11">
        <v>105</v>
      </c>
      <c r="E16" s="11" t="s">
        <v>249</v>
      </c>
      <c r="F16" s="11">
        <v>2019</v>
      </c>
      <c r="G16" t="s">
        <v>250</v>
      </c>
      <c r="H16" t="s">
        <v>251</v>
      </c>
      <c r="I16" s="18">
        <v>2</v>
      </c>
      <c r="J16" s="10" t="s">
        <v>252</v>
      </c>
      <c r="K16" s="11" t="s">
        <v>73</v>
      </c>
      <c r="L16" s="18">
        <v>230</v>
      </c>
      <c r="M16" s="18" t="s">
        <v>155</v>
      </c>
      <c r="N16" s="92" t="s">
        <v>226</v>
      </c>
      <c r="O16" s="18" t="s">
        <v>253</v>
      </c>
      <c r="P16" s="18" t="s">
        <v>242</v>
      </c>
      <c r="Q16" t="s">
        <v>243</v>
      </c>
      <c r="R16" t="s">
        <v>254</v>
      </c>
      <c r="S16">
        <v>1</v>
      </c>
      <c r="T16" t="s">
        <v>188</v>
      </c>
      <c r="U16">
        <v>1</v>
      </c>
      <c r="V16" s="18" t="s">
        <v>245</v>
      </c>
      <c r="W16" s="18" t="s">
        <v>231</v>
      </c>
      <c r="X16" s="18" t="s">
        <v>255</v>
      </c>
      <c r="Y16" s="18">
        <v>0</v>
      </c>
      <c r="Z16" s="18">
        <v>0</v>
      </c>
      <c r="AA16" s="18">
        <v>0</v>
      </c>
      <c r="AB16" s="18">
        <v>0</v>
      </c>
      <c r="AC16" s="18">
        <v>0</v>
      </c>
      <c r="AD16" s="18">
        <v>1</v>
      </c>
      <c r="AE16" s="11">
        <v>0</v>
      </c>
      <c r="AF16" s="11">
        <v>0</v>
      </c>
      <c r="AG16" s="18" t="s">
        <v>73</v>
      </c>
      <c r="AH16" s="18">
        <v>0</v>
      </c>
      <c r="AI16" s="18">
        <v>0</v>
      </c>
      <c r="AJ16" s="18">
        <v>0</v>
      </c>
      <c r="AK16" s="18">
        <v>0</v>
      </c>
      <c r="AL16" s="18">
        <v>0</v>
      </c>
      <c r="AM16" s="18">
        <v>1</v>
      </c>
      <c r="AN16" s="18">
        <v>0</v>
      </c>
      <c r="AO16" s="18">
        <v>0</v>
      </c>
      <c r="AP16" s="18">
        <v>0</v>
      </c>
      <c r="AQ16" s="138" t="s">
        <v>73</v>
      </c>
      <c r="AR16" t="s">
        <v>233</v>
      </c>
      <c r="AS16" s="10" t="s">
        <v>256</v>
      </c>
      <c r="AT16" s="10" t="s">
        <v>235</v>
      </c>
      <c r="AU16" s="134">
        <v>0.22500000000000001</v>
      </c>
      <c r="AV16" s="18" t="s">
        <v>80</v>
      </c>
      <c r="AW16">
        <v>8.5999999999999993E-2</v>
      </c>
      <c r="AX16">
        <v>0.01</v>
      </c>
      <c r="AY16">
        <v>1</v>
      </c>
      <c r="AZ16">
        <f>AU16/AW16</f>
        <v>2.6162790697674421</v>
      </c>
      <c r="BA16" t="s">
        <v>73</v>
      </c>
      <c r="BB16" s="105">
        <f>EXP(AU16)/(1+EXP(AU16))</f>
        <v>0.55601389054461992</v>
      </c>
      <c r="BC16" s="11" t="s">
        <v>73</v>
      </c>
      <c r="BD16" s="18">
        <v>71</v>
      </c>
      <c r="BE16" s="11" t="s">
        <v>73</v>
      </c>
      <c r="BF16" s="11" t="s">
        <v>73</v>
      </c>
      <c r="BG16">
        <v>84</v>
      </c>
      <c r="BH16" s="11" t="s">
        <v>73</v>
      </c>
      <c r="BI16">
        <v>155</v>
      </c>
      <c r="BJ16">
        <v>155</v>
      </c>
      <c r="BK16" s="11" t="s">
        <v>73</v>
      </c>
      <c r="BL16" s="11" t="s">
        <v>73</v>
      </c>
      <c r="BM16" s="11" t="s">
        <v>73</v>
      </c>
      <c r="BN16" s="11" t="s">
        <v>73</v>
      </c>
      <c r="BO16" s="11" t="s">
        <v>73</v>
      </c>
      <c r="BP16" s="11" t="s">
        <v>73</v>
      </c>
      <c r="BQ16" s="11" t="s">
        <v>73</v>
      </c>
      <c r="BR16" s="11" t="s">
        <v>73</v>
      </c>
      <c r="BS16" s="11" t="s">
        <v>73</v>
      </c>
      <c r="BT16" s="11" t="s">
        <v>73</v>
      </c>
      <c r="BU16" s="18">
        <v>1</v>
      </c>
      <c r="BV16" s="18">
        <v>0</v>
      </c>
      <c r="BW16" s="18">
        <v>1</v>
      </c>
      <c r="BX16" s="30">
        <f>((AZ16^2)/(AZ16^2+BI16))^(1/2)</f>
        <v>0.2056527568985681</v>
      </c>
      <c r="BY16" s="30">
        <f>0.5*LN((1+BX16)/(1-BX16))</f>
        <v>0.20862785334941172</v>
      </c>
      <c r="BZ16" s="30">
        <f>((1-(BY16^2)^2)/(BI16-1))</f>
        <v>6.4812046998817896E-3</v>
      </c>
      <c r="CA16" s="30">
        <f>1/(BI16-3)</f>
        <v>6.5789473684210523E-3</v>
      </c>
      <c r="CB16" s="92" t="s">
        <v>73</v>
      </c>
      <c r="CC16">
        <f>BI16-2</f>
        <v>153</v>
      </c>
      <c r="CD16" s="92" t="s">
        <v>73</v>
      </c>
      <c r="CE16" s="30">
        <f>((AZ16^2)/(AZ16^2+BJ16))^(1/2)</f>
        <v>0.2056527568985681</v>
      </c>
      <c r="CF16" s="30">
        <f>0.5*LN((1+CE16)/(1-CE16))</f>
        <v>0.20862785334941172</v>
      </c>
      <c r="CG16" s="30">
        <f>((1-(CF16^2)^2)/(BJ16-1))</f>
        <v>6.4812046998817896E-3</v>
      </c>
      <c r="CH16" s="30">
        <f>1/(BJ16-3)</f>
        <v>6.5789473684210523E-3</v>
      </c>
    </row>
    <row r="17" spans="1:87" ht="16">
      <c r="A17" s="11" t="s">
        <v>68</v>
      </c>
      <c r="B17" s="11" t="s">
        <v>719</v>
      </c>
      <c r="C17" s="11">
        <v>1020</v>
      </c>
      <c r="D17" s="11">
        <v>106</v>
      </c>
      <c r="E17" s="10" t="s">
        <v>257</v>
      </c>
      <c r="F17" s="11">
        <v>2010</v>
      </c>
      <c r="G17" t="s">
        <v>258</v>
      </c>
      <c r="H17" s="10" t="s">
        <v>259</v>
      </c>
      <c r="I17" s="18">
        <v>2</v>
      </c>
      <c r="J17" s="10">
        <v>2008</v>
      </c>
      <c r="K17" s="10" t="s">
        <v>73</v>
      </c>
      <c r="L17">
        <v>201</v>
      </c>
      <c r="M17" s="18" t="s">
        <v>260</v>
      </c>
      <c r="N17" t="s">
        <v>241</v>
      </c>
      <c r="O17" t="s">
        <v>124</v>
      </c>
      <c r="P17" s="18" t="s">
        <v>242</v>
      </c>
      <c r="Q17" t="s">
        <v>243</v>
      </c>
      <c r="R17" t="s">
        <v>244</v>
      </c>
      <c r="S17">
        <v>1</v>
      </c>
      <c r="T17" t="s">
        <v>188</v>
      </c>
      <c r="U17">
        <v>0</v>
      </c>
      <c r="V17" s="18" t="s">
        <v>231</v>
      </c>
      <c r="W17" s="18" t="s">
        <v>231</v>
      </c>
      <c r="X17" s="18" t="s">
        <v>73</v>
      </c>
      <c r="Y17">
        <v>0</v>
      </c>
      <c r="Z17">
        <v>0</v>
      </c>
      <c r="AA17">
        <v>0</v>
      </c>
      <c r="AB17">
        <v>0</v>
      </c>
      <c r="AC17">
        <v>0</v>
      </c>
      <c r="AD17">
        <v>1</v>
      </c>
      <c r="AE17">
        <v>0</v>
      </c>
      <c r="AF17">
        <v>0</v>
      </c>
      <c r="AG17" t="s">
        <v>261</v>
      </c>
      <c r="AH17">
        <v>0</v>
      </c>
      <c r="AI17">
        <v>0</v>
      </c>
      <c r="AJ17">
        <v>0</v>
      </c>
      <c r="AK17">
        <v>0</v>
      </c>
      <c r="AL17">
        <v>0</v>
      </c>
      <c r="AM17">
        <v>0</v>
      </c>
      <c r="AN17">
        <v>1</v>
      </c>
      <c r="AO17">
        <v>0</v>
      </c>
      <c r="AP17">
        <v>0</v>
      </c>
      <c r="AQ17" t="s">
        <v>262</v>
      </c>
      <c r="AR17" t="s">
        <v>233</v>
      </c>
      <c r="AS17" t="s">
        <v>263</v>
      </c>
      <c r="AT17" t="s">
        <v>235</v>
      </c>
      <c r="AU17" s="134">
        <v>0.20499999999999999</v>
      </c>
      <c r="AV17" s="7" t="s">
        <v>80</v>
      </c>
      <c r="AW17" t="s">
        <v>73</v>
      </c>
      <c r="AX17">
        <v>0.05</v>
      </c>
      <c r="AY17">
        <v>2</v>
      </c>
      <c r="AZ17" s="19">
        <f>TINV(AX17,CC17)</f>
        <v>1.962795497038498</v>
      </c>
      <c r="BA17" s="19" t="s">
        <v>73</v>
      </c>
      <c r="BB17" s="105">
        <f>EXP(AU17)/(1+EXP(AU17))</f>
        <v>0.55107126930734196</v>
      </c>
      <c r="BC17" t="s">
        <v>73</v>
      </c>
      <c r="BD17" s="18" t="s">
        <v>73</v>
      </c>
      <c r="BE17" t="s">
        <v>73</v>
      </c>
      <c r="BF17" t="s">
        <v>73</v>
      </c>
      <c r="BG17" s="18">
        <v>54</v>
      </c>
      <c r="BH17" t="s">
        <v>73</v>
      </c>
      <c r="BI17" s="10">
        <v>841</v>
      </c>
      <c r="BJ17" s="10">
        <v>841</v>
      </c>
      <c r="BK17" t="s">
        <v>73</v>
      </c>
      <c r="BL17" t="s">
        <v>73</v>
      </c>
      <c r="BM17">
        <v>235.29</v>
      </c>
      <c r="BN17" t="s">
        <v>265</v>
      </c>
      <c r="BO17" t="s">
        <v>73</v>
      </c>
      <c r="BP17" t="s">
        <v>73</v>
      </c>
      <c r="BQ17" t="s">
        <v>73</v>
      </c>
      <c r="BR17" t="s">
        <v>73</v>
      </c>
      <c r="BS17" t="s">
        <v>73</v>
      </c>
      <c r="BT17" t="s">
        <v>73</v>
      </c>
      <c r="BU17" s="18">
        <v>1</v>
      </c>
      <c r="BV17" s="18">
        <v>1</v>
      </c>
      <c r="BW17" s="18">
        <v>1</v>
      </c>
      <c r="BX17" s="30">
        <f>((AZ17^2)/(AZ17^2+BI17))^(1/2)</f>
        <v>6.7528109143524445E-2</v>
      </c>
      <c r="BY17" s="30">
        <f>0.5*LN((1+BX17)/(1-BX17))</f>
        <v>6.7631034648244742E-2</v>
      </c>
      <c r="BZ17" s="30">
        <f>((1-(BY17^2)^2)/(BI17-1))</f>
        <v>1.190451284427091E-3</v>
      </c>
      <c r="CA17" s="30">
        <f>1/(BI17-3)</f>
        <v>1.1933174224343676E-3</v>
      </c>
      <c r="CB17" s="92" t="s">
        <v>73</v>
      </c>
      <c r="CC17">
        <f>BI17-2</f>
        <v>839</v>
      </c>
      <c r="CD17" s="92" t="s">
        <v>73</v>
      </c>
      <c r="CE17" s="30">
        <f>((AZ17^2)/(AZ17^2+BJ17))^(1/2)</f>
        <v>6.7528109143524445E-2</v>
      </c>
      <c r="CF17" s="30">
        <f>0.5*LN((1+CE17)/(1-CE17))</f>
        <v>6.7631034648244742E-2</v>
      </c>
      <c r="CG17" s="30">
        <f>((1-(CF17^2)^2)/(BJ17-1))</f>
        <v>1.190451284427091E-3</v>
      </c>
      <c r="CH17" s="30">
        <f>1/(BJ17-3)</f>
        <v>1.1933174224343676E-3</v>
      </c>
    </row>
    <row r="18" spans="1:87" ht="16">
      <c r="A18" s="11" t="s">
        <v>68</v>
      </c>
      <c r="B18" s="11" t="s">
        <v>719</v>
      </c>
      <c r="C18" s="11">
        <v>1021</v>
      </c>
      <c r="D18" s="11">
        <v>106</v>
      </c>
      <c r="E18" s="10" t="s">
        <v>257</v>
      </c>
      <c r="F18" s="11">
        <v>2010</v>
      </c>
      <c r="G18" t="s">
        <v>258</v>
      </c>
      <c r="H18" s="10" t="s">
        <v>259</v>
      </c>
      <c r="I18" s="18">
        <v>2</v>
      </c>
      <c r="J18" s="10">
        <v>2008</v>
      </c>
      <c r="K18" s="10" t="s">
        <v>73</v>
      </c>
      <c r="L18">
        <v>201</v>
      </c>
      <c r="M18" s="18" t="s">
        <v>260</v>
      </c>
      <c r="N18" t="s">
        <v>241</v>
      </c>
      <c r="O18" t="s">
        <v>124</v>
      </c>
      <c r="P18" s="18" t="s">
        <v>242</v>
      </c>
      <c r="Q18" t="s">
        <v>243</v>
      </c>
      <c r="R18" t="s">
        <v>244</v>
      </c>
      <c r="S18">
        <v>1</v>
      </c>
      <c r="T18" t="s">
        <v>188</v>
      </c>
      <c r="U18">
        <v>0</v>
      </c>
      <c r="V18" s="18" t="s">
        <v>231</v>
      </c>
      <c r="W18" s="18" t="s">
        <v>231</v>
      </c>
      <c r="X18" s="18" t="s">
        <v>73</v>
      </c>
      <c r="Y18">
        <v>0</v>
      </c>
      <c r="Z18">
        <v>0</v>
      </c>
      <c r="AA18">
        <v>0</v>
      </c>
      <c r="AB18">
        <v>0</v>
      </c>
      <c r="AC18">
        <v>0</v>
      </c>
      <c r="AD18">
        <v>1</v>
      </c>
      <c r="AE18">
        <v>0</v>
      </c>
      <c r="AF18">
        <v>0</v>
      </c>
      <c r="AG18" t="s">
        <v>261</v>
      </c>
      <c r="AH18">
        <v>0</v>
      </c>
      <c r="AI18">
        <v>0</v>
      </c>
      <c r="AJ18">
        <v>0</v>
      </c>
      <c r="AK18">
        <v>0</v>
      </c>
      <c r="AL18">
        <v>0</v>
      </c>
      <c r="AM18">
        <v>0</v>
      </c>
      <c r="AN18">
        <v>1</v>
      </c>
      <c r="AO18">
        <v>0</v>
      </c>
      <c r="AP18">
        <v>0</v>
      </c>
      <c r="AQ18" t="s">
        <v>266</v>
      </c>
      <c r="AR18" t="s">
        <v>233</v>
      </c>
      <c r="AS18" t="s">
        <v>263</v>
      </c>
      <c r="AT18" t="s">
        <v>235</v>
      </c>
      <c r="AU18" s="134">
        <v>0.47799999999999998</v>
      </c>
      <c r="AV18" s="7" t="s">
        <v>80</v>
      </c>
      <c r="AW18" t="s">
        <v>73</v>
      </c>
      <c r="AX18">
        <v>0.05</v>
      </c>
      <c r="AY18">
        <v>2</v>
      </c>
      <c r="AZ18" s="19">
        <f>TINV(AX18,CC18)</f>
        <v>1.962795497038498</v>
      </c>
      <c r="BA18" s="19" t="s">
        <v>73</v>
      </c>
      <c r="BB18" s="105">
        <f>EXP(AU18)/(1+EXP(AU18))</f>
        <v>0.61727549280679062</v>
      </c>
      <c r="BC18" t="s">
        <v>73</v>
      </c>
      <c r="BD18" s="18" t="s">
        <v>73</v>
      </c>
      <c r="BE18" t="s">
        <v>73</v>
      </c>
      <c r="BF18" t="s">
        <v>73</v>
      </c>
      <c r="BG18" s="18">
        <v>54</v>
      </c>
      <c r="BH18" t="s">
        <v>73</v>
      </c>
      <c r="BI18" s="10">
        <v>841</v>
      </c>
      <c r="BJ18" s="10">
        <v>841</v>
      </c>
      <c r="BK18" t="s">
        <v>73</v>
      </c>
      <c r="BL18" t="s">
        <v>73</v>
      </c>
      <c r="BM18">
        <v>0</v>
      </c>
      <c r="BN18">
        <v>0</v>
      </c>
      <c r="BO18" t="s">
        <v>73</v>
      </c>
      <c r="BP18" t="s">
        <v>73</v>
      </c>
      <c r="BQ18" t="s">
        <v>73</v>
      </c>
      <c r="BR18" t="s">
        <v>73</v>
      </c>
      <c r="BS18" t="s">
        <v>73</v>
      </c>
      <c r="BT18" t="s">
        <v>73</v>
      </c>
      <c r="BU18" s="18">
        <v>1</v>
      </c>
      <c r="BV18" s="18">
        <v>1</v>
      </c>
      <c r="BW18" s="18">
        <v>1</v>
      </c>
      <c r="BX18" s="30">
        <f>((AZ18^2)/(AZ18^2+BI18))^(1/2)</f>
        <v>6.7528109143524445E-2</v>
      </c>
      <c r="BY18" s="30">
        <f>0.5*LN((1+BX18)/(1-BX18))</f>
        <v>6.7631034648244742E-2</v>
      </c>
      <c r="BZ18" s="30">
        <f>((1-(BY18^2)^2)/(BI18-1))</f>
        <v>1.190451284427091E-3</v>
      </c>
      <c r="CA18" s="30">
        <f>1/(BI18-3)</f>
        <v>1.1933174224343676E-3</v>
      </c>
      <c r="CB18" s="92" t="s">
        <v>73</v>
      </c>
      <c r="CC18">
        <f>BI18-2</f>
        <v>839</v>
      </c>
      <c r="CD18" s="92" t="s">
        <v>73</v>
      </c>
      <c r="CE18" s="30">
        <f>((AZ18^2)/(AZ18^2+BJ18))^(1/2)</f>
        <v>6.7528109143524445E-2</v>
      </c>
      <c r="CF18" s="30">
        <f>0.5*LN((1+CE18)/(1-CE18))</f>
        <v>6.7631034648244742E-2</v>
      </c>
      <c r="CG18" s="30">
        <f>((1-(CF18^2)^2)/(BJ18-1))</f>
        <v>1.190451284427091E-3</v>
      </c>
      <c r="CH18" s="30">
        <f>1/(BJ18-3)</f>
        <v>1.1933174224343676E-3</v>
      </c>
      <c r="CI18" s="92"/>
    </row>
    <row r="19" spans="1:87" s="102" customFormat="1" ht="16">
      <c r="A19" s="11" t="s">
        <v>68</v>
      </c>
      <c r="B19" s="11" t="s">
        <v>719</v>
      </c>
      <c r="C19" s="11">
        <v>1022</v>
      </c>
      <c r="D19" s="11">
        <v>106</v>
      </c>
      <c r="E19" s="10" t="s">
        <v>257</v>
      </c>
      <c r="F19" s="11">
        <v>2010</v>
      </c>
      <c r="G19" t="s">
        <v>258</v>
      </c>
      <c r="H19" s="10" t="s">
        <v>259</v>
      </c>
      <c r="I19" s="18">
        <v>2</v>
      </c>
      <c r="J19" s="10">
        <v>2008</v>
      </c>
      <c r="K19" s="10" t="s">
        <v>73</v>
      </c>
      <c r="L19">
        <v>201</v>
      </c>
      <c r="M19" s="18" t="s">
        <v>260</v>
      </c>
      <c r="N19" t="s">
        <v>241</v>
      </c>
      <c r="O19" t="s">
        <v>124</v>
      </c>
      <c r="P19" s="18" t="s">
        <v>242</v>
      </c>
      <c r="Q19" t="s">
        <v>243</v>
      </c>
      <c r="R19" t="s">
        <v>244</v>
      </c>
      <c r="S19">
        <v>1</v>
      </c>
      <c r="T19" t="s">
        <v>188</v>
      </c>
      <c r="U19">
        <v>0</v>
      </c>
      <c r="V19" s="18" t="s">
        <v>231</v>
      </c>
      <c r="W19" s="18" t="s">
        <v>231</v>
      </c>
      <c r="X19" s="18" t="s">
        <v>73</v>
      </c>
      <c r="Y19">
        <v>0</v>
      </c>
      <c r="Z19">
        <v>0</v>
      </c>
      <c r="AA19">
        <v>0</v>
      </c>
      <c r="AB19">
        <v>0</v>
      </c>
      <c r="AC19">
        <v>0</v>
      </c>
      <c r="AD19">
        <v>1</v>
      </c>
      <c r="AE19">
        <v>0</v>
      </c>
      <c r="AF19">
        <v>0</v>
      </c>
      <c r="AG19" t="s">
        <v>261</v>
      </c>
      <c r="AH19">
        <v>0</v>
      </c>
      <c r="AI19">
        <v>0</v>
      </c>
      <c r="AJ19">
        <v>0</v>
      </c>
      <c r="AK19">
        <v>0</v>
      </c>
      <c r="AL19">
        <v>0</v>
      </c>
      <c r="AM19">
        <v>0</v>
      </c>
      <c r="AN19">
        <v>1</v>
      </c>
      <c r="AO19">
        <v>0</v>
      </c>
      <c r="AP19">
        <v>0</v>
      </c>
      <c r="AQ19" t="s">
        <v>267</v>
      </c>
      <c r="AR19" t="s">
        <v>233</v>
      </c>
      <c r="AS19" t="s">
        <v>263</v>
      </c>
      <c r="AT19" t="s">
        <v>235</v>
      </c>
      <c r="AU19" s="134">
        <v>1.6879999999999999</v>
      </c>
      <c r="AV19" s="7" t="s">
        <v>80</v>
      </c>
      <c r="AW19" t="s">
        <v>73</v>
      </c>
      <c r="AX19">
        <v>0.01</v>
      </c>
      <c r="AY19">
        <v>1</v>
      </c>
      <c r="AZ19" s="19">
        <f>TINV(AX19,CC19)</f>
        <v>2.5817018839793482</v>
      </c>
      <c r="BA19" s="19" t="s">
        <v>73</v>
      </c>
      <c r="BB19" s="105">
        <f>EXP(AU19)/(1+EXP(AU19))</f>
        <v>0.84396095930848247</v>
      </c>
      <c r="BC19" t="s">
        <v>73</v>
      </c>
      <c r="BD19" s="18" t="s">
        <v>73</v>
      </c>
      <c r="BE19" t="s">
        <v>73</v>
      </c>
      <c r="BF19" t="s">
        <v>73</v>
      </c>
      <c r="BG19" s="18">
        <v>54</v>
      </c>
      <c r="BH19" t="s">
        <v>73</v>
      </c>
      <c r="BI19" s="10">
        <v>841</v>
      </c>
      <c r="BJ19" s="10">
        <v>841</v>
      </c>
      <c r="BK19" t="s">
        <v>73</v>
      </c>
      <c r="BL19" t="s">
        <v>73</v>
      </c>
      <c r="BM19">
        <v>470.59</v>
      </c>
      <c r="BN19" t="s">
        <v>268</v>
      </c>
      <c r="BO19" t="s">
        <v>73</v>
      </c>
      <c r="BP19" t="s">
        <v>73</v>
      </c>
      <c r="BQ19" t="s">
        <v>73</v>
      </c>
      <c r="BR19" t="s">
        <v>73</v>
      </c>
      <c r="BS19" t="s">
        <v>73</v>
      </c>
      <c r="BT19" t="s">
        <v>73</v>
      </c>
      <c r="BU19" s="18">
        <v>1</v>
      </c>
      <c r="BV19" s="18">
        <v>1</v>
      </c>
      <c r="BW19" s="18">
        <v>1</v>
      </c>
      <c r="BX19" s="30">
        <f>((AZ19^2)/(AZ19^2+BI19))^(1/2)</f>
        <v>8.8673513868765694E-2</v>
      </c>
      <c r="BY19" s="30">
        <f>0.5*LN((1+BX19)/(1-BX19))</f>
        <v>8.890702958732373E-2</v>
      </c>
      <c r="BZ19" s="30">
        <f>((1-(BY19^2)^2)/(BI19-1))</f>
        <v>1.1904018089446793E-3</v>
      </c>
      <c r="CA19" s="30">
        <f>1/(BI19-3)</f>
        <v>1.1933174224343676E-3</v>
      </c>
      <c r="CB19" s="92" t="s">
        <v>73</v>
      </c>
      <c r="CC19">
        <f>BI19-2</f>
        <v>839</v>
      </c>
      <c r="CD19" s="92" t="s">
        <v>73</v>
      </c>
      <c r="CE19" s="30">
        <f>((AZ19^2)/(AZ19^2+BJ19))^(1/2)</f>
        <v>8.8673513868765694E-2</v>
      </c>
      <c r="CF19" s="30">
        <f>0.5*LN((1+CE19)/(1-CE19))</f>
        <v>8.890702958732373E-2</v>
      </c>
      <c r="CG19" s="30">
        <f>((1-(CF19^2)^2)/(BJ19-1))</f>
        <v>1.1904018089446793E-3</v>
      </c>
      <c r="CH19" s="30">
        <f>1/(BJ19-3)</f>
        <v>1.1933174224343676E-3</v>
      </c>
      <c r="CI19"/>
    </row>
    <row r="20" spans="1:87" s="102" customFormat="1" ht="16">
      <c r="A20" s="11" t="s">
        <v>68</v>
      </c>
      <c r="B20" s="11" t="s">
        <v>719</v>
      </c>
      <c r="C20" s="11">
        <v>1023</v>
      </c>
      <c r="D20" s="11">
        <v>106</v>
      </c>
      <c r="E20" s="10" t="s">
        <v>257</v>
      </c>
      <c r="F20" s="11">
        <v>2010</v>
      </c>
      <c r="G20" t="s">
        <v>258</v>
      </c>
      <c r="H20" s="10" t="s">
        <v>259</v>
      </c>
      <c r="I20" s="18">
        <v>2</v>
      </c>
      <c r="J20" s="10">
        <v>2008</v>
      </c>
      <c r="K20" s="10" t="s">
        <v>73</v>
      </c>
      <c r="L20">
        <v>201</v>
      </c>
      <c r="M20" s="18" t="s">
        <v>260</v>
      </c>
      <c r="N20" t="s">
        <v>241</v>
      </c>
      <c r="O20" t="s">
        <v>124</v>
      </c>
      <c r="P20" s="18" t="s">
        <v>242</v>
      </c>
      <c r="Q20" t="s">
        <v>243</v>
      </c>
      <c r="R20" t="s">
        <v>244</v>
      </c>
      <c r="S20">
        <v>1</v>
      </c>
      <c r="T20" t="s">
        <v>188</v>
      </c>
      <c r="U20">
        <v>0</v>
      </c>
      <c r="V20" s="18" t="s">
        <v>231</v>
      </c>
      <c r="W20" s="18" t="s">
        <v>231</v>
      </c>
      <c r="X20" s="18" t="s">
        <v>73</v>
      </c>
      <c r="Y20">
        <v>0</v>
      </c>
      <c r="Z20">
        <v>0</v>
      </c>
      <c r="AA20">
        <v>0</v>
      </c>
      <c r="AB20">
        <v>0</v>
      </c>
      <c r="AC20">
        <v>0</v>
      </c>
      <c r="AD20">
        <v>1</v>
      </c>
      <c r="AE20">
        <v>0</v>
      </c>
      <c r="AF20">
        <v>0</v>
      </c>
      <c r="AG20" t="s">
        <v>261</v>
      </c>
      <c r="AH20">
        <v>0</v>
      </c>
      <c r="AI20">
        <v>0</v>
      </c>
      <c r="AJ20">
        <v>0</v>
      </c>
      <c r="AK20">
        <v>0</v>
      </c>
      <c r="AL20">
        <v>0</v>
      </c>
      <c r="AM20">
        <v>0</v>
      </c>
      <c r="AN20">
        <v>1</v>
      </c>
      <c r="AO20">
        <v>0</v>
      </c>
      <c r="AP20">
        <v>0</v>
      </c>
      <c r="AQ20" t="s">
        <v>262</v>
      </c>
      <c r="AR20" t="s">
        <v>233</v>
      </c>
      <c r="AS20" t="s">
        <v>263</v>
      </c>
      <c r="AT20" t="s">
        <v>235</v>
      </c>
      <c r="AU20" s="134">
        <v>0.218</v>
      </c>
      <c r="AV20" s="7" t="s">
        <v>80</v>
      </c>
      <c r="AW20" t="s">
        <v>73</v>
      </c>
      <c r="AX20">
        <v>0.05</v>
      </c>
      <c r="AY20">
        <v>2</v>
      </c>
      <c r="AZ20" s="19">
        <f>TINV(AX20,CC20)</f>
        <v>1.962795497038498</v>
      </c>
      <c r="BA20" s="19" t="s">
        <v>73</v>
      </c>
      <c r="BB20" s="105">
        <f>EXP(AU20)/(1+EXP(AU20))</f>
        <v>0.55428518267346782</v>
      </c>
      <c r="BC20" t="s">
        <v>73</v>
      </c>
      <c r="BD20" s="18" t="s">
        <v>73</v>
      </c>
      <c r="BE20" t="s">
        <v>73</v>
      </c>
      <c r="BF20" t="s">
        <v>73</v>
      </c>
      <c r="BG20" s="18">
        <v>48</v>
      </c>
      <c r="BH20" t="s">
        <v>73</v>
      </c>
      <c r="BI20" s="10">
        <v>841</v>
      </c>
      <c r="BJ20" s="10">
        <v>841</v>
      </c>
      <c r="BK20" t="s">
        <v>73</v>
      </c>
      <c r="BL20" t="s">
        <v>73</v>
      </c>
      <c r="BM20">
        <v>235.29</v>
      </c>
      <c r="BN20" t="s">
        <v>265</v>
      </c>
      <c r="BO20" t="s">
        <v>73</v>
      </c>
      <c r="BP20" t="s">
        <v>73</v>
      </c>
      <c r="BQ20" t="s">
        <v>73</v>
      </c>
      <c r="BR20" t="s">
        <v>73</v>
      </c>
      <c r="BS20" t="s">
        <v>73</v>
      </c>
      <c r="BT20" t="s">
        <v>73</v>
      </c>
      <c r="BU20" s="18">
        <v>1</v>
      </c>
      <c r="BV20" s="18">
        <v>1</v>
      </c>
      <c r="BW20" s="18">
        <v>1</v>
      </c>
      <c r="BX20" s="30">
        <f>((AZ20^2)/(AZ20^2+BI20))^(1/2)</f>
        <v>6.7528109143524445E-2</v>
      </c>
      <c r="BY20" s="30">
        <f>0.5*LN((1+BX20)/(1-BX20))</f>
        <v>6.7631034648244742E-2</v>
      </c>
      <c r="BZ20" s="30">
        <f>((1-(BY20^2)^2)/(BI20-1))</f>
        <v>1.190451284427091E-3</v>
      </c>
      <c r="CA20" s="30">
        <f>1/(BI20-3)</f>
        <v>1.1933174224343676E-3</v>
      </c>
      <c r="CB20" s="92" t="s">
        <v>73</v>
      </c>
      <c r="CC20">
        <f>BI20-2</f>
        <v>839</v>
      </c>
      <c r="CD20" s="92" t="s">
        <v>73</v>
      </c>
      <c r="CE20" s="30">
        <f>((AZ20^2)/(AZ20^2+BJ20))^(1/2)</f>
        <v>6.7528109143524445E-2</v>
      </c>
      <c r="CF20" s="30">
        <f>0.5*LN((1+CE20)/(1-CE20))</f>
        <v>6.7631034648244742E-2</v>
      </c>
      <c r="CG20" s="30">
        <f>((1-(CF20^2)^2)/(BJ20-1))</f>
        <v>1.190451284427091E-3</v>
      </c>
      <c r="CH20" s="30">
        <f>1/(BJ20-3)</f>
        <v>1.1933174224343676E-3</v>
      </c>
      <c r="CI20"/>
    </row>
    <row r="21" spans="1:87" ht="16">
      <c r="A21" s="11" t="s">
        <v>68</v>
      </c>
      <c r="B21" s="11" t="s">
        <v>719</v>
      </c>
      <c r="C21" s="11">
        <v>1024</v>
      </c>
      <c r="D21" s="11">
        <v>106</v>
      </c>
      <c r="E21" s="10" t="s">
        <v>257</v>
      </c>
      <c r="F21" s="11">
        <v>2010</v>
      </c>
      <c r="G21" t="s">
        <v>258</v>
      </c>
      <c r="H21" s="10" t="s">
        <v>259</v>
      </c>
      <c r="I21" s="18">
        <v>2</v>
      </c>
      <c r="J21" s="10">
        <v>2008</v>
      </c>
      <c r="K21" s="10" t="s">
        <v>73</v>
      </c>
      <c r="L21">
        <v>201</v>
      </c>
      <c r="M21" s="18" t="s">
        <v>260</v>
      </c>
      <c r="N21" t="s">
        <v>241</v>
      </c>
      <c r="O21" t="s">
        <v>124</v>
      </c>
      <c r="P21" s="18" t="s">
        <v>242</v>
      </c>
      <c r="Q21" t="s">
        <v>243</v>
      </c>
      <c r="R21" t="s">
        <v>244</v>
      </c>
      <c r="S21">
        <v>1</v>
      </c>
      <c r="T21" t="s">
        <v>188</v>
      </c>
      <c r="U21">
        <v>0</v>
      </c>
      <c r="V21" s="18" t="s">
        <v>231</v>
      </c>
      <c r="W21" s="18" t="s">
        <v>231</v>
      </c>
      <c r="X21" s="18" t="s">
        <v>73</v>
      </c>
      <c r="Y21">
        <v>0</v>
      </c>
      <c r="Z21">
        <v>0</v>
      </c>
      <c r="AA21">
        <v>0</v>
      </c>
      <c r="AB21">
        <v>0</v>
      </c>
      <c r="AC21">
        <v>0</v>
      </c>
      <c r="AD21">
        <v>1</v>
      </c>
      <c r="AE21">
        <v>0</v>
      </c>
      <c r="AF21">
        <v>0</v>
      </c>
      <c r="AG21" t="s">
        <v>261</v>
      </c>
      <c r="AH21">
        <v>0</v>
      </c>
      <c r="AI21">
        <v>0</v>
      </c>
      <c r="AJ21">
        <v>0</v>
      </c>
      <c r="AK21">
        <v>0</v>
      </c>
      <c r="AL21">
        <v>0</v>
      </c>
      <c r="AM21">
        <v>0</v>
      </c>
      <c r="AN21">
        <v>1</v>
      </c>
      <c r="AO21">
        <v>0</v>
      </c>
      <c r="AP21">
        <v>0</v>
      </c>
      <c r="AQ21" t="s">
        <v>266</v>
      </c>
      <c r="AR21" t="s">
        <v>233</v>
      </c>
      <c r="AS21" t="s">
        <v>263</v>
      </c>
      <c r="AT21" t="s">
        <v>235</v>
      </c>
      <c r="AU21" s="134">
        <v>0.46899999999999997</v>
      </c>
      <c r="AV21" s="7" t="s">
        <v>80</v>
      </c>
      <c r="AW21" t="s">
        <v>73</v>
      </c>
      <c r="AX21">
        <v>0.05</v>
      </c>
      <c r="AY21">
        <v>2</v>
      </c>
      <c r="AZ21" s="19">
        <f>TINV(AX21,CC21)</f>
        <v>1.962795497038498</v>
      </c>
      <c r="BA21" s="19" t="s">
        <v>73</v>
      </c>
      <c r="BB21" s="105">
        <f>EXP(AU21)/(1+EXP(AU21))</f>
        <v>0.61514704250921037</v>
      </c>
      <c r="BC21" t="s">
        <v>73</v>
      </c>
      <c r="BD21" s="18" t="s">
        <v>73</v>
      </c>
      <c r="BE21" t="s">
        <v>73</v>
      </c>
      <c r="BF21" t="s">
        <v>73</v>
      </c>
      <c r="BG21" s="18">
        <v>48</v>
      </c>
      <c r="BH21" t="s">
        <v>73</v>
      </c>
      <c r="BI21" s="10">
        <v>841</v>
      </c>
      <c r="BJ21" s="10">
        <v>841</v>
      </c>
      <c r="BK21" t="s">
        <v>73</v>
      </c>
      <c r="BL21" t="s">
        <v>73</v>
      </c>
      <c r="BM21">
        <v>0</v>
      </c>
      <c r="BN21">
        <v>0</v>
      </c>
      <c r="BO21" t="s">
        <v>73</v>
      </c>
      <c r="BP21" t="s">
        <v>73</v>
      </c>
      <c r="BQ21" t="s">
        <v>73</v>
      </c>
      <c r="BR21" t="s">
        <v>73</v>
      </c>
      <c r="BS21" t="s">
        <v>73</v>
      </c>
      <c r="BT21" t="s">
        <v>73</v>
      </c>
      <c r="BU21" s="18">
        <v>1</v>
      </c>
      <c r="BV21" s="18">
        <v>1</v>
      </c>
      <c r="BW21" s="18">
        <v>1</v>
      </c>
      <c r="BX21" s="30">
        <f>((AZ21^2)/(AZ21^2+BI21))^(1/2)</f>
        <v>6.7528109143524445E-2</v>
      </c>
      <c r="BY21" s="30">
        <f>0.5*LN((1+BX21)/(1-BX21))</f>
        <v>6.7631034648244742E-2</v>
      </c>
      <c r="BZ21" s="30">
        <f>((1-(BY21^2)^2)/(BI21-1))</f>
        <v>1.190451284427091E-3</v>
      </c>
      <c r="CA21" s="30">
        <f>1/(BI21-3)</f>
        <v>1.1933174224343676E-3</v>
      </c>
      <c r="CB21" s="92" t="s">
        <v>73</v>
      </c>
      <c r="CC21">
        <f>BI21-2</f>
        <v>839</v>
      </c>
      <c r="CD21" s="92" t="s">
        <v>73</v>
      </c>
      <c r="CE21" s="30">
        <f>((AZ21^2)/(AZ21^2+BJ21))^(1/2)</f>
        <v>6.7528109143524445E-2</v>
      </c>
      <c r="CF21" s="30">
        <f>0.5*LN((1+CE21)/(1-CE21))</f>
        <v>6.7631034648244742E-2</v>
      </c>
      <c r="CG21" s="30">
        <f>((1-(CF21^2)^2)/(BJ21-1))</f>
        <v>1.190451284427091E-3</v>
      </c>
      <c r="CH21" s="30">
        <f>1/(BJ21-3)</f>
        <v>1.1933174224343676E-3</v>
      </c>
    </row>
    <row r="22" spans="1:87" ht="16">
      <c r="A22" s="11" t="s">
        <v>68</v>
      </c>
      <c r="B22" s="11" t="s">
        <v>719</v>
      </c>
      <c r="C22" s="11">
        <v>1025</v>
      </c>
      <c r="D22" s="11">
        <v>106</v>
      </c>
      <c r="E22" s="10" t="s">
        <v>257</v>
      </c>
      <c r="F22" s="11">
        <v>2010</v>
      </c>
      <c r="G22" t="s">
        <v>258</v>
      </c>
      <c r="H22" s="10" t="s">
        <v>259</v>
      </c>
      <c r="I22" s="18">
        <v>2</v>
      </c>
      <c r="J22" s="10">
        <v>2008</v>
      </c>
      <c r="K22" s="10" t="s">
        <v>73</v>
      </c>
      <c r="L22">
        <v>201</v>
      </c>
      <c r="M22" s="18" t="s">
        <v>260</v>
      </c>
      <c r="N22" t="s">
        <v>241</v>
      </c>
      <c r="O22" t="s">
        <v>124</v>
      </c>
      <c r="P22" s="18" t="s">
        <v>242</v>
      </c>
      <c r="Q22" t="s">
        <v>243</v>
      </c>
      <c r="R22" t="s">
        <v>244</v>
      </c>
      <c r="S22">
        <v>1</v>
      </c>
      <c r="T22" t="s">
        <v>188</v>
      </c>
      <c r="U22">
        <v>0</v>
      </c>
      <c r="V22" s="18" t="s">
        <v>231</v>
      </c>
      <c r="W22" s="18" t="s">
        <v>231</v>
      </c>
      <c r="X22" s="18" t="s">
        <v>73</v>
      </c>
      <c r="Y22">
        <v>0</v>
      </c>
      <c r="Z22">
        <v>0</v>
      </c>
      <c r="AA22">
        <v>0</v>
      </c>
      <c r="AB22">
        <v>0</v>
      </c>
      <c r="AC22">
        <v>0</v>
      </c>
      <c r="AD22">
        <v>1</v>
      </c>
      <c r="AE22">
        <v>0</v>
      </c>
      <c r="AF22">
        <v>0</v>
      </c>
      <c r="AG22" t="s">
        <v>261</v>
      </c>
      <c r="AH22">
        <v>0</v>
      </c>
      <c r="AI22">
        <v>0</v>
      </c>
      <c r="AJ22">
        <v>0</v>
      </c>
      <c r="AK22">
        <v>0</v>
      </c>
      <c r="AL22">
        <v>0</v>
      </c>
      <c r="AM22">
        <v>0</v>
      </c>
      <c r="AN22">
        <v>1</v>
      </c>
      <c r="AO22">
        <v>0</v>
      </c>
      <c r="AP22">
        <v>0</v>
      </c>
      <c r="AQ22" t="s">
        <v>267</v>
      </c>
      <c r="AR22" t="s">
        <v>233</v>
      </c>
      <c r="AS22" t="s">
        <v>263</v>
      </c>
      <c r="AT22" t="s">
        <v>235</v>
      </c>
      <c r="AU22" s="134">
        <v>1.6839999999999999</v>
      </c>
      <c r="AV22" s="7" t="s">
        <v>80</v>
      </c>
      <c r="AW22" t="s">
        <v>73</v>
      </c>
      <c r="AX22">
        <v>0.01</v>
      </c>
      <c r="AY22">
        <v>1</v>
      </c>
      <c r="AZ22" s="19">
        <f>TINV(AX22,CC22)</f>
        <v>2.5817018839793482</v>
      </c>
      <c r="BA22" s="19" t="s">
        <v>73</v>
      </c>
      <c r="BB22" s="105">
        <f>EXP(AU22)/(1+EXP(AU22))</f>
        <v>0.84343347083615006</v>
      </c>
      <c r="BC22" t="s">
        <v>73</v>
      </c>
      <c r="BD22" s="18" t="s">
        <v>73</v>
      </c>
      <c r="BE22" t="s">
        <v>73</v>
      </c>
      <c r="BF22" t="s">
        <v>73</v>
      </c>
      <c r="BG22" s="18">
        <v>48</v>
      </c>
      <c r="BH22" t="s">
        <v>73</v>
      </c>
      <c r="BI22" s="10">
        <v>841</v>
      </c>
      <c r="BJ22" s="10">
        <v>841</v>
      </c>
      <c r="BK22" t="s">
        <v>73</v>
      </c>
      <c r="BL22" t="s">
        <v>73</v>
      </c>
      <c r="BM22">
        <v>470.59</v>
      </c>
      <c r="BN22" t="s">
        <v>268</v>
      </c>
      <c r="BO22" t="s">
        <v>73</v>
      </c>
      <c r="BP22" t="s">
        <v>73</v>
      </c>
      <c r="BQ22" t="s">
        <v>73</v>
      </c>
      <c r="BR22" t="s">
        <v>73</v>
      </c>
      <c r="BS22" t="s">
        <v>73</v>
      </c>
      <c r="BT22" t="s">
        <v>73</v>
      </c>
      <c r="BU22" s="18">
        <v>1</v>
      </c>
      <c r="BV22" s="18">
        <v>1</v>
      </c>
      <c r="BW22" s="18">
        <v>1</v>
      </c>
      <c r="BX22" s="30">
        <f>((AZ22^2)/(AZ22^2+BI22))^(1/2)</f>
        <v>8.8673513868765694E-2</v>
      </c>
      <c r="BY22" s="30">
        <f>0.5*LN((1+BX22)/(1-BX22))</f>
        <v>8.890702958732373E-2</v>
      </c>
      <c r="BZ22" s="30">
        <f>((1-(BY22^2)^2)/(BI22-1))</f>
        <v>1.1904018089446793E-3</v>
      </c>
      <c r="CA22" s="30">
        <f>1/(BI22-3)</f>
        <v>1.1933174224343676E-3</v>
      </c>
      <c r="CB22" s="92" t="s">
        <v>73</v>
      </c>
      <c r="CC22">
        <f>BI22-2</f>
        <v>839</v>
      </c>
      <c r="CD22" s="92" t="s">
        <v>73</v>
      </c>
      <c r="CE22" s="30">
        <f>((AZ22^2)/(AZ22^2+BJ22))^(1/2)</f>
        <v>8.8673513868765694E-2</v>
      </c>
      <c r="CF22" s="30">
        <f>0.5*LN((1+CE22)/(1-CE22))</f>
        <v>8.890702958732373E-2</v>
      </c>
      <c r="CG22" s="30">
        <f>((1-(CF22^2)^2)/(BJ22-1))</f>
        <v>1.1904018089446793E-3</v>
      </c>
      <c r="CH22" s="30">
        <f>1/(BJ22-3)</f>
        <v>1.1933174224343676E-3</v>
      </c>
      <c r="CI22" s="119"/>
    </row>
    <row r="23" spans="1:87" ht="16">
      <c r="A23" s="11" t="s">
        <v>68</v>
      </c>
      <c r="B23" s="11" t="s">
        <v>719</v>
      </c>
      <c r="C23" s="11">
        <v>1026</v>
      </c>
      <c r="D23" s="11">
        <v>106</v>
      </c>
      <c r="E23" s="10" t="s">
        <v>257</v>
      </c>
      <c r="F23" s="11">
        <v>2010</v>
      </c>
      <c r="G23" t="s">
        <v>258</v>
      </c>
      <c r="H23" s="10" t="s">
        <v>259</v>
      </c>
      <c r="I23" s="18">
        <v>2</v>
      </c>
      <c r="J23" s="10">
        <v>2008</v>
      </c>
      <c r="K23" s="10" t="s">
        <v>73</v>
      </c>
      <c r="L23">
        <v>203</v>
      </c>
      <c r="M23" s="18" t="s">
        <v>269</v>
      </c>
      <c r="N23" t="s">
        <v>241</v>
      </c>
      <c r="O23" t="s">
        <v>124</v>
      </c>
      <c r="P23" s="18" t="s">
        <v>242</v>
      </c>
      <c r="Q23" t="s">
        <v>243</v>
      </c>
      <c r="R23" t="s">
        <v>244</v>
      </c>
      <c r="S23">
        <v>1</v>
      </c>
      <c r="T23" t="s">
        <v>188</v>
      </c>
      <c r="U23">
        <v>0</v>
      </c>
      <c r="V23" s="18" t="s">
        <v>231</v>
      </c>
      <c r="W23" s="18" t="s">
        <v>231</v>
      </c>
      <c r="X23" s="18" t="s">
        <v>73</v>
      </c>
      <c r="Y23">
        <v>0</v>
      </c>
      <c r="Z23">
        <v>0</v>
      </c>
      <c r="AA23">
        <v>0</v>
      </c>
      <c r="AB23">
        <v>0</v>
      </c>
      <c r="AC23">
        <v>0</v>
      </c>
      <c r="AD23">
        <v>1</v>
      </c>
      <c r="AE23">
        <v>0</v>
      </c>
      <c r="AF23">
        <v>0</v>
      </c>
      <c r="AG23" t="s">
        <v>261</v>
      </c>
      <c r="AH23">
        <v>0</v>
      </c>
      <c r="AI23">
        <v>0</v>
      </c>
      <c r="AJ23">
        <v>0</v>
      </c>
      <c r="AK23">
        <v>0</v>
      </c>
      <c r="AL23">
        <v>0</v>
      </c>
      <c r="AM23">
        <v>0</v>
      </c>
      <c r="AN23">
        <v>1</v>
      </c>
      <c r="AO23">
        <v>0</v>
      </c>
      <c r="AP23">
        <v>0</v>
      </c>
      <c r="AQ23" t="s">
        <v>262</v>
      </c>
      <c r="AR23" t="s">
        <v>233</v>
      </c>
      <c r="AS23" t="s">
        <v>263</v>
      </c>
      <c r="AT23" s="11" t="s">
        <v>235</v>
      </c>
      <c r="AU23" s="134">
        <v>1.7999999999999999E-2</v>
      </c>
      <c r="AV23" s="7" t="s">
        <v>80</v>
      </c>
      <c r="AW23" t="s">
        <v>73</v>
      </c>
      <c r="AX23">
        <v>0.05</v>
      </c>
      <c r="AY23">
        <v>2</v>
      </c>
      <c r="AZ23" s="19">
        <f>TINV(AX23,CC23)</f>
        <v>1.962795497038498</v>
      </c>
      <c r="BA23" s="19" t="s">
        <v>73</v>
      </c>
      <c r="BB23" s="105">
        <f>EXP(AU23)/(1+EXP(AU23))</f>
        <v>0.50449987850393641</v>
      </c>
      <c r="BC23" t="s">
        <v>73</v>
      </c>
      <c r="BD23" s="18" t="s">
        <v>73</v>
      </c>
      <c r="BE23" t="s">
        <v>73</v>
      </c>
      <c r="BF23" t="s">
        <v>73</v>
      </c>
      <c r="BG23" s="18">
        <v>40</v>
      </c>
      <c r="BH23" t="s">
        <v>73</v>
      </c>
      <c r="BI23" s="10">
        <v>841</v>
      </c>
      <c r="BJ23" s="10">
        <v>841</v>
      </c>
      <c r="BK23" t="s">
        <v>73</v>
      </c>
      <c r="BL23" t="s">
        <v>73</v>
      </c>
      <c r="BM23">
        <v>235.29</v>
      </c>
      <c r="BN23" t="s">
        <v>265</v>
      </c>
      <c r="BO23" t="s">
        <v>73</v>
      </c>
      <c r="BP23" t="s">
        <v>73</v>
      </c>
      <c r="BQ23" t="s">
        <v>73</v>
      </c>
      <c r="BR23" t="s">
        <v>73</v>
      </c>
      <c r="BS23" t="s">
        <v>73</v>
      </c>
      <c r="BT23" t="s">
        <v>73</v>
      </c>
      <c r="BU23" s="18">
        <v>1</v>
      </c>
      <c r="BV23" s="18">
        <v>1</v>
      </c>
      <c r="BW23" s="18">
        <v>1</v>
      </c>
      <c r="BX23" s="30">
        <f>((AZ23^2)/(AZ23^2+BI23))^(1/2)</f>
        <v>6.7528109143524445E-2</v>
      </c>
      <c r="BY23" s="30">
        <f>0.5*LN((1+BX23)/(1-BX23))</f>
        <v>6.7631034648244742E-2</v>
      </c>
      <c r="BZ23" s="30">
        <f>((1-(BY23^2)^2)/(BI23-1))</f>
        <v>1.190451284427091E-3</v>
      </c>
      <c r="CA23" s="30">
        <f>1/(BI23-3)</f>
        <v>1.1933174224343676E-3</v>
      </c>
      <c r="CB23" s="92" t="s">
        <v>73</v>
      </c>
      <c r="CC23">
        <f>BI23-2</f>
        <v>839</v>
      </c>
      <c r="CD23" s="92" t="s">
        <v>73</v>
      </c>
      <c r="CE23" s="30">
        <f>((AZ23^2)/(AZ23^2+BJ23))^(1/2)</f>
        <v>6.7528109143524445E-2</v>
      </c>
      <c r="CF23" s="30">
        <f>0.5*LN((1+CE23)/(1-CE23))</f>
        <v>6.7631034648244742E-2</v>
      </c>
      <c r="CG23" s="30">
        <f>((1-(CF23^2)^2)/(BJ23-1))</f>
        <v>1.190451284427091E-3</v>
      </c>
      <c r="CH23" s="30">
        <f>1/(BJ23-3)</f>
        <v>1.1933174224343676E-3</v>
      </c>
    </row>
    <row r="24" spans="1:87" s="112" customFormat="1" ht="16">
      <c r="A24" s="11" t="s">
        <v>68</v>
      </c>
      <c r="B24" s="11" t="s">
        <v>719</v>
      </c>
      <c r="C24" s="11">
        <v>1027</v>
      </c>
      <c r="D24" s="11">
        <v>106</v>
      </c>
      <c r="E24" s="10" t="s">
        <v>257</v>
      </c>
      <c r="F24" s="11">
        <v>2010</v>
      </c>
      <c r="G24" t="s">
        <v>258</v>
      </c>
      <c r="H24" s="10" t="s">
        <v>259</v>
      </c>
      <c r="I24" s="18">
        <v>2</v>
      </c>
      <c r="J24" s="10">
        <v>2008</v>
      </c>
      <c r="K24" s="10" t="s">
        <v>73</v>
      </c>
      <c r="L24">
        <v>203</v>
      </c>
      <c r="M24" s="18" t="s">
        <v>269</v>
      </c>
      <c r="N24" t="s">
        <v>241</v>
      </c>
      <c r="O24" t="s">
        <v>124</v>
      </c>
      <c r="P24" s="18" t="s">
        <v>242</v>
      </c>
      <c r="Q24" t="s">
        <v>243</v>
      </c>
      <c r="R24" t="s">
        <v>244</v>
      </c>
      <c r="S24">
        <v>1</v>
      </c>
      <c r="T24" t="s">
        <v>188</v>
      </c>
      <c r="U24">
        <v>0</v>
      </c>
      <c r="V24" s="18" t="s">
        <v>231</v>
      </c>
      <c r="W24" s="18" t="s">
        <v>231</v>
      </c>
      <c r="X24" s="18" t="s">
        <v>73</v>
      </c>
      <c r="Y24">
        <v>0</v>
      </c>
      <c r="Z24">
        <v>0</v>
      </c>
      <c r="AA24">
        <v>0</v>
      </c>
      <c r="AB24">
        <v>0</v>
      </c>
      <c r="AC24">
        <v>0</v>
      </c>
      <c r="AD24">
        <v>1</v>
      </c>
      <c r="AE24">
        <v>0</v>
      </c>
      <c r="AF24">
        <v>0</v>
      </c>
      <c r="AG24" t="s">
        <v>261</v>
      </c>
      <c r="AH24">
        <v>0</v>
      </c>
      <c r="AI24">
        <v>0</v>
      </c>
      <c r="AJ24">
        <v>0</v>
      </c>
      <c r="AK24">
        <v>0</v>
      </c>
      <c r="AL24">
        <v>0</v>
      </c>
      <c r="AM24">
        <v>0</v>
      </c>
      <c r="AN24">
        <v>1</v>
      </c>
      <c r="AO24">
        <v>0</v>
      </c>
      <c r="AP24">
        <v>0</v>
      </c>
      <c r="AQ24" t="s">
        <v>266</v>
      </c>
      <c r="AR24" t="s">
        <v>233</v>
      </c>
      <c r="AS24" t="s">
        <v>263</v>
      </c>
      <c r="AT24" s="11" t="s">
        <v>235</v>
      </c>
      <c r="AU24" s="134">
        <v>0.84799999999999998</v>
      </c>
      <c r="AV24" s="7" t="s">
        <v>80</v>
      </c>
      <c r="AW24" t="s">
        <v>73</v>
      </c>
      <c r="AX24">
        <v>0.05</v>
      </c>
      <c r="AY24">
        <v>2</v>
      </c>
      <c r="AZ24" s="19">
        <f>TINV(AX24,CC24)</f>
        <v>1.962795497038498</v>
      </c>
      <c r="BA24" s="19" t="s">
        <v>73</v>
      </c>
      <c r="BB24" s="105">
        <f>EXP(AU24)/(1+EXP(AU24))</f>
        <v>0.70014742860953705</v>
      </c>
      <c r="BC24" t="s">
        <v>73</v>
      </c>
      <c r="BD24" s="18" t="s">
        <v>73</v>
      </c>
      <c r="BE24" t="s">
        <v>73</v>
      </c>
      <c r="BF24" t="s">
        <v>73</v>
      </c>
      <c r="BG24" s="18">
        <v>40</v>
      </c>
      <c r="BH24" t="s">
        <v>73</v>
      </c>
      <c r="BI24" s="10">
        <v>841</v>
      </c>
      <c r="BJ24" s="10">
        <v>841</v>
      </c>
      <c r="BK24" t="s">
        <v>73</v>
      </c>
      <c r="BL24" t="s">
        <v>73</v>
      </c>
      <c r="BM24">
        <v>0</v>
      </c>
      <c r="BN24">
        <v>0</v>
      </c>
      <c r="BO24" t="s">
        <v>73</v>
      </c>
      <c r="BP24" t="s">
        <v>73</v>
      </c>
      <c r="BQ24" t="s">
        <v>73</v>
      </c>
      <c r="BR24" t="s">
        <v>73</v>
      </c>
      <c r="BS24" t="s">
        <v>73</v>
      </c>
      <c r="BT24" t="s">
        <v>73</v>
      </c>
      <c r="BU24" s="18">
        <v>1</v>
      </c>
      <c r="BV24" s="18">
        <v>1</v>
      </c>
      <c r="BW24" s="18">
        <v>1</v>
      </c>
      <c r="BX24" s="30">
        <f>((AZ24^2)/(AZ24^2+BI24))^(1/2)</f>
        <v>6.7528109143524445E-2</v>
      </c>
      <c r="BY24" s="30">
        <f>0.5*LN((1+BX24)/(1-BX24))</f>
        <v>6.7631034648244742E-2</v>
      </c>
      <c r="BZ24" s="30">
        <f>((1-(BY24^2)^2)/(BI24-1))</f>
        <v>1.190451284427091E-3</v>
      </c>
      <c r="CA24" s="30">
        <f>1/(BI24-3)</f>
        <v>1.1933174224343676E-3</v>
      </c>
      <c r="CB24" s="92" t="s">
        <v>73</v>
      </c>
      <c r="CC24">
        <f>BI24-2</f>
        <v>839</v>
      </c>
      <c r="CD24" s="92" t="s">
        <v>73</v>
      </c>
      <c r="CE24" s="30">
        <f>((AZ24^2)/(AZ24^2+BJ24))^(1/2)</f>
        <v>6.7528109143524445E-2</v>
      </c>
      <c r="CF24" s="30">
        <f>0.5*LN((1+CE24)/(1-CE24))</f>
        <v>6.7631034648244742E-2</v>
      </c>
      <c r="CG24" s="30">
        <f>((1-(CF24^2)^2)/(BJ24-1))</f>
        <v>1.190451284427091E-3</v>
      </c>
      <c r="CH24" s="30">
        <f>1/(BJ24-3)</f>
        <v>1.1933174224343676E-3</v>
      </c>
      <c r="CI24"/>
    </row>
    <row r="25" spans="1:87" s="112" customFormat="1" ht="16">
      <c r="A25" s="11" t="s">
        <v>68</v>
      </c>
      <c r="B25" s="11" t="s">
        <v>719</v>
      </c>
      <c r="C25" s="11">
        <v>1028</v>
      </c>
      <c r="D25" s="11">
        <v>106</v>
      </c>
      <c r="E25" s="10" t="s">
        <v>257</v>
      </c>
      <c r="F25" s="11">
        <v>2010</v>
      </c>
      <c r="G25" t="s">
        <v>258</v>
      </c>
      <c r="H25" s="10" t="s">
        <v>259</v>
      </c>
      <c r="I25" s="18">
        <v>2</v>
      </c>
      <c r="J25" s="10">
        <v>2008</v>
      </c>
      <c r="K25" s="10" t="s">
        <v>73</v>
      </c>
      <c r="L25">
        <v>203</v>
      </c>
      <c r="M25" s="18" t="s">
        <v>269</v>
      </c>
      <c r="N25" t="s">
        <v>241</v>
      </c>
      <c r="O25" t="s">
        <v>124</v>
      </c>
      <c r="P25" s="18" t="s">
        <v>242</v>
      </c>
      <c r="Q25" t="s">
        <v>243</v>
      </c>
      <c r="R25" t="s">
        <v>244</v>
      </c>
      <c r="S25">
        <v>1</v>
      </c>
      <c r="T25" t="s">
        <v>188</v>
      </c>
      <c r="U25">
        <v>0</v>
      </c>
      <c r="V25" s="18" t="s">
        <v>231</v>
      </c>
      <c r="W25" s="18" t="s">
        <v>231</v>
      </c>
      <c r="X25" s="18" t="s">
        <v>73</v>
      </c>
      <c r="Y25">
        <v>0</v>
      </c>
      <c r="Z25">
        <v>0</v>
      </c>
      <c r="AA25">
        <v>0</v>
      </c>
      <c r="AB25">
        <v>0</v>
      </c>
      <c r="AC25">
        <v>0</v>
      </c>
      <c r="AD25">
        <v>1</v>
      </c>
      <c r="AE25">
        <v>0</v>
      </c>
      <c r="AF25">
        <v>0</v>
      </c>
      <c r="AG25" t="s">
        <v>261</v>
      </c>
      <c r="AH25">
        <v>0</v>
      </c>
      <c r="AI25">
        <v>0</v>
      </c>
      <c r="AJ25">
        <v>0</v>
      </c>
      <c r="AK25">
        <v>0</v>
      </c>
      <c r="AL25">
        <v>0</v>
      </c>
      <c r="AM25">
        <v>0</v>
      </c>
      <c r="AN25">
        <v>1</v>
      </c>
      <c r="AO25">
        <v>0</v>
      </c>
      <c r="AP25">
        <v>0</v>
      </c>
      <c r="AQ25" t="s">
        <v>267</v>
      </c>
      <c r="AR25" t="s">
        <v>233</v>
      </c>
      <c r="AS25" t="s">
        <v>263</v>
      </c>
      <c r="AT25" s="11" t="s">
        <v>235</v>
      </c>
      <c r="AU25" s="134">
        <v>1.8759999999999999</v>
      </c>
      <c r="AV25" s="7" t="s">
        <v>80</v>
      </c>
      <c r="AW25" t="s">
        <v>73</v>
      </c>
      <c r="AX25">
        <v>0.01</v>
      </c>
      <c r="AY25">
        <v>1</v>
      </c>
      <c r="AZ25">
        <f>TINV(AX25,CC25)</f>
        <v>2.5817018839793482</v>
      </c>
      <c r="BA25"/>
      <c r="BB25" s="105">
        <f>EXP(AU25)/(1+EXP(AU25))</f>
        <v>0.86715100224549591</v>
      </c>
      <c r="BC25" t="s">
        <v>73</v>
      </c>
      <c r="BD25" s="18" t="s">
        <v>73</v>
      </c>
      <c r="BE25" t="s">
        <v>73</v>
      </c>
      <c r="BF25" t="s">
        <v>73</v>
      </c>
      <c r="BG25" s="18">
        <v>40</v>
      </c>
      <c r="BH25" t="s">
        <v>73</v>
      </c>
      <c r="BI25" s="10">
        <v>841</v>
      </c>
      <c r="BJ25" s="10">
        <v>841</v>
      </c>
      <c r="BK25" t="s">
        <v>73</v>
      </c>
      <c r="BL25" t="s">
        <v>73</v>
      </c>
      <c r="BM25">
        <v>470.59</v>
      </c>
      <c r="BN25" t="s">
        <v>268</v>
      </c>
      <c r="BO25" t="s">
        <v>73</v>
      </c>
      <c r="BP25" t="s">
        <v>73</v>
      </c>
      <c r="BQ25" t="s">
        <v>73</v>
      </c>
      <c r="BR25" t="s">
        <v>73</v>
      </c>
      <c r="BS25" t="s">
        <v>73</v>
      </c>
      <c r="BT25" t="s">
        <v>73</v>
      </c>
      <c r="BU25" s="18">
        <v>1</v>
      </c>
      <c r="BV25" s="18">
        <v>1</v>
      </c>
      <c r="BW25" s="18">
        <v>1</v>
      </c>
      <c r="BX25" s="30">
        <f>((AZ25^2)/(AZ25^2+BI25))^(1/2)</f>
        <v>8.8673513868765694E-2</v>
      </c>
      <c r="BY25" s="30">
        <f>0.5*LN((1+BX25)/(1-BX25))</f>
        <v>8.890702958732373E-2</v>
      </c>
      <c r="BZ25" s="30">
        <f>((1-(BY25^2)^2)/(BI25-1))</f>
        <v>1.1904018089446793E-3</v>
      </c>
      <c r="CA25" s="30">
        <f>1/(BI25-3)</f>
        <v>1.1933174224343676E-3</v>
      </c>
      <c r="CB25" s="92" t="s">
        <v>73</v>
      </c>
      <c r="CC25">
        <f>BI25-2</f>
        <v>839</v>
      </c>
      <c r="CD25" s="92" t="s">
        <v>73</v>
      </c>
      <c r="CE25" s="30">
        <f>((AZ25^2)/(AZ25^2+BJ25))^(1/2)</f>
        <v>8.8673513868765694E-2</v>
      </c>
      <c r="CF25" s="30">
        <f>0.5*LN((1+CE25)/(1-CE25))</f>
        <v>8.890702958732373E-2</v>
      </c>
      <c r="CG25" s="30">
        <f>((1-(CF25^2)^2)/(BJ25-1))</f>
        <v>1.1904018089446793E-3</v>
      </c>
      <c r="CH25" s="30">
        <f>1/(BJ25-3)</f>
        <v>1.1933174224343676E-3</v>
      </c>
      <c r="CI25"/>
    </row>
    <row r="26" spans="1:87" s="112" customFormat="1" ht="16">
      <c r="A26" s="11" t="s">
        <v>68</v>
      </c>
      <c r="B26" s="11" t="s">
        <v>719</v>
      </c>
      <c r="C26" s="11">
        <v>1029</v>
      </c>
      <c r="D26" s="11">
        <v>106</v>
      </c>
      <c r="E26" s="10" t="s">
        <v>257</v>
      </c>
      <c r="F26" s="11">
        <v>2010</v>
      </c>
      <c r="G26" t="s">
        <v>258</v>
      </c>
      <c r="H26" s="10" t="s">
        <v>259</v>
      </c>
      <c r="I26" s="18">
        <v>2</v>
      </c>
      <c r="J26" s="10">
        <v>2008</v>
      </c>
      <c r="K26" s="10" t="s">
        <v>73</v>
      </c>
      <c r="L26">
        <v>203</v>
      </c>
      <c r="M26" s="18" t="s">
        <v>260</v>
      </c>
      <c r="N26" t="s">
        <v>241</v>
      </c>
      <c r="O26" t="s">
        <v>124</v>
      </c>
      <c r="P26" s="18" t="s">
        <v>242</v>
      </c>
      <c r="Q26" t="s">
        <v>243</v>
      </c>
      <c r="R26" t="s">
        <v>244</v>
      </c>
      <c r="S26">
        <v>1</v>
      </c>
      <c r="T26" t="s">
        <v>188</v>
      </c>
      <c r="U26">
        <v>0</v>
      </c>
      <c r="V26" s="18" t="s">
        <v>231</v>
      </c>
      <c r="W26" s="18" t="s">
        <v>231</v>
      </c>
      <c r="X26" s="18" t="s">
        <v>73</v>
      </c>
      <c r="Y26">
        <v>0</v>
      </c>
      <c r="Z26">
        <v>0</v>
      </c>
      <c r="AA26">
        <v>0</v>
      </c>
      <c r="AB26">
        <v>0</v>
      </c>
      <c r="AC26">
        <v>0</v>
      </c>
      <c r="AD26">
        <v>1</v>
      </c>
      <c r="AE26">
        <v>0</v>
      </c>
      <c r="AF26">
        <v>0</v>
      </c>
      <c r="AG26" t="s">
        <v>261</v>
      </c>
      <c r="AH26">
        <v>0</v>
      </c>
      <c r="AI26">
        <v>0</v>
      </c>
      <c r="AJ26">
        <v>0</v>
      </c>
      <c r="AK26">
        <v>0</v>
      </c>
      <c r="AL26">
        <v>0</v>
      </c>
      <c r="AM26">
        <v>0</v>
      </c>
      <c r="AN26">
        <v>1</v>
      </c>
      <c r="AO26">
        <v>0</v>
      </c>
      <c r="AP26">
        <v>0</v>
      </c>
      <c r="AQ26" t="s">
        <v>262</v>
      </c>
      <c r="AR26" t="s">
        <v>233</v>
      </c>
      <c r="AS26" t="s">
        <v>263</v>
      </c>
      <c r="AT26" t="s">
        <v>235</v>
      </c>
      <c r="AU26" s="134">
        <v>0.47199999999999998</v>
      </c>
      <c r="AV26" s="7" t="s">
        <v>86</v>
      </c>
      <c r="AW26" t="s">
        <v>73</v>
      </c>
      <c r="AX26">
        <v>0.05</v>
      </c>
      <c r="AY26">
        <v>2</v>
      </c>
      <c r="AZ26" s="19">
        <f>TINV(AX26,CC26)</f>
        <v>1.962795497038498</v>
      </c>
      <c r="BA26" s="19" t="s">
        <v>73</v>
      </c>
      <c r="BB26" s="105">
        <f>EXP(AU26)/(1+EXP(AU26))</f>
        <v>0.61585702019703836</v>
      </c>
      <c r="BC26" t="s">
        <v>73</v>
      </c>
      <c r="BD26" s="18" t="s">
        <v>73</v>
      </c>
      <c r="BE26" t="s">
        <v>73</v>
      </c>
      <c r="BF26" t="s">
        <v>73</v>
      </c>
      <c r="BG26" s="18">
        <v>66</v>
      </c>
      <c r="BH26" t="s">
        <v>73</v>
      </c>
      <c r="BI26" s="10">
        <v>841</v>
      </c>
      <c r="BJ26" s="10">
        <v>841</v>
      </c>
      <c r="BK26" t="s">
        <v>73</v>
      </c>
      <c r="BL26" t="s">
        <v>73</v>
      </c>
      <c r="BM26">
        <v>235.29</v>
      </c>
      <c r="BN26" t="s">
        <v>265</v>
      </c>
      <c r="BO26" t="s">
        <v>73</v>
      </c>
      <c r="BP26" t="s">
        <v>73</v>
      </c>
      <c r="BQ26" t="s">
        <v>73</v>
      </c>
      <c r="BR26" t="s">
        <v>73</v>
      </c>
      <c r="BS26" t="s">
        <v>73</v>
      </c>
      <c r="BT26" t="s">
        <v>73</v>
      </c>
      <c r="BU26" s="18">
        <v>1</v>
      </c>
      <c r="BV26" s="18">
        <v>1</v>
      </c>
      <c r="BW26" s="18">
        <v>1</v>
      </c>
      <c r="BX26" s="30">
        <f>((AZ26^2)/(AZ26^2+BI26))^(1/2)</f>
        <v>6.7528109143524445E-2</v>
      </c>
      <c r="BY26" s="30">
        <f>0.5*LN((1+BX26)/(1-BX26))</f>
        <v>6.7631034648244742E-2</v>
      </c>
      <c r="BZ26" s="30">
        <f>((1-(BY26^2)^2)/(BI26-1))</f>
        <v>1.190451284427091E-3</v>
      </c>
      <c r="CA26" s="30">
        <f>1/(BI26-3)</f>
        <v>1.1933174224343676E-3</v>
      </c>
      <c r="CB26" s="92" t="s">
        <v>73</v>
      </c>
      <c r="CC26">
        <f>BI26-2</f>
        <v>839</v>
      </c>
      <c r="CD26" s="92" t="s">
        <v>73</v>
      </c>
      <c r="CE26" s="30">
        <f>((AZ26^2)/(AZ26^2+BJ26))^(1/2)</f>
        <v>6.7528109143524445E-2</v>
      </c>
      <c r="CF26" s="30">
        <f>0.5*LN((1+CE26)/(1-CE26))</f>
        <v>6.7631034648244742E-2</v>
      </c>
      <c r="CG26" s="30">
        <f>((1-(CF26^2)^2)/(BJ26-1))</f>
        <v>1.190451284427091E-3</v>
      </c>
      <c r="CH26" s="30">
        <f>1/(BJ26-3)</f>
        <v>1.1933174224343676E-3</v>
      </c>
      <c r="CI26" s="92"/>
    </row>
    <row r="27" spans="1:87" s="112" customFormat="1" ht="16">
      <c r="A27" s="11" t="s">
        <v>68</v>
      </c>
      <c r="B27" s="11" t="s">
        <v>719</v>
      </c>
      <c r="C27" s="11">
        <v>1030</v>
      </c>
      <c r="D27" s="11">
        <v>106</v>
      </c>
      <c r="E27" s="10" t="s">
        <v>257</v>
      </c>
      <c r="F27" s="11">
        <v>2010</v>
      </c>
      <c r="G27" t="s">
        <v>258</v>
      </c>
      <c r="H27" s="10" t="s">
        <v>259</v>
      </c>
      <c r="I27" s="18">
        <v>2</v>
      </c>
      <c r="J27" s="10">
        <v>2008</v>
      </c>
      <c r="K27" s="10" t="s">
        <v>73</v>
      </c>
      <c r="L27">
        <v>203</v>
      </c>
      <c r="M27" s="18" t="s">
        <v>260</v>
      </c>
      <c r="N27" t="s">
        <v>241</v>
      </c>
      <c r="O27" t="s">
        <v>124</v>
      </c>
      <c r="P27" s="18" t="s">
        <v>242</v>
      </c>
      <c r="Q27" t="s">
        <v>243</v>
      </c>
      <c r="R27" t="s">
        <v>244</v>
      </c>
      <c r="S27">
        <v>1</v>
      </c>
      <c r="T27" t="s">
        <v>188</v>
      </c>
      <c r="U27">
        <v>0</v>
      </c>
      <c r="V27" s="18" t="s">
        <v>231</v>
      </c>
      <c r="W27" s="18" t="s">
        <v>231</v>
      </c>
      <c r="X27" s="18" t="s">
        <v>73</v>
      </c>
      <c r="Y27">
        <v>0</v>
      </c>
      <c r="Z27">
        <v>0</v>
      </c>
      <c r="AA27">
        <v>0</v>
      </c>
      <c r="AB27">
        <v>0</v>
      </c>
      <c r="AC27">
        <v>0</v>
      </c>
      <c r="AD27">
        <v>1</v>
      </c>
      <c r="AE27">
        <v>0</v>
      </c>
      <c r="AF27">
        <v>0</v>
      </c>
      <c r="AG27" t="s">
        <v>261</v>
      </c>
      <c r="AH27">
        <v>0</v>
      </c>
      <c r="AI27">
        <v>0</v>
      </c>
      <c r="AJ27">
        <v>0</v>
      </c>
      <c r="AK27">
        <v>0</v>
      </c>
      <c r="AL27">
        <v>0</v>
      </c>
      <c r="AM27">
        <v>0</v>
      </c>
      <c r="AN27">
        <v>1</v>
      </c>
      <c r="AO27">
        <v>0</v>
      </c>
      <c r="AP27">
        <v>0</v>
      </c>
      <c r="AQ27" t="s">
        <v>266</v>
      </c>
      <c r="AR27" t="s">
        <v>233</v>
      </c>
      <c r="AS27" t="s">
        <v>263</v>
      </c>
      <c r="AT27" t="s">
        <v>235</v>
      </c>
      <c r="AU27" s="134">
        <v>5.1999999999999998E-2</v>
      </c>
      <c r="AV27" s="7" t="s">
        <v>86</v>
      </c>
      <c r="AW27" t="s">
        <v>73</v>
      </c>
      <c r="AX27">
        <v>0.05</v>
      </c>
      <c r="AY27">
        <v>2</v>
      </c>
      <c r="AZ27" s="19">
        <f>TINV(AX27,CC27)</f>
        <v>1.962795497038498</v>
      </c>
      <c r="BA27" s="19" t="s">
        <v>73</v>
      </c>
      <c r="BB27" s="105">
        <f>EXP(AU27)/(1+EXP(AU27))</f>
        <v>0.51299707145854179</v>
      </c>
      <c r="BC27" t="s">
        <v>73</v>
      </c>
      <c r="BD27" s="18" t="s">
        <v>73</v>
      </c>
      <c r="BE27" t="s">
        <v>73</v>
      </c>
      <c r="BF27" t="s">
        <v>73</v>
      </c>
      <c r="BG27" s="18">
        <v>66</v>
      </c>
      <c r="BH27" t="s">
        <v>73</v>
      </c>
      <c r="BI27" s="10">
        <v>841</v>
      </c>
      <c r="BJ27" s="10">
        <v>841</v>
      </c>
      <c r="BK27" t="s">
        <v>73</v>
      </c>
      <c r="BL27" t="s">
        <v>73</v>
      </c>
      <c r="BM27">
        <v>0</v>
      </c>
      <c r="BN27">
        <v>0</v>
      </c>
      <c r="BO27" t="s">
        <v>73</v>
      </c>
      <c r="BP27" t="s">
        <v>73</v>
      </c>
      <c r="BQ27" t="s">
        <v>73</v>
      </c>
      <c r="BR27" t="s">
        <v>73</v>
      </c>
      <c r="BS27" t="s">
        <v>73</v>
      </c>
      <c r="BT27" t="s">
        <v>73</v>
      </c>
      <c r="BU27" s="18">
        <v>1</v>
      </c>
      <c r="BV27" s="18">
        <v>1</v>
      </c>
      <c r="BW27" s="18">
        <v>1</v>
      </c>
      <c r="BX27" s="30">
        <f>((AZ27^2)/(AZ27^2+BI27))^(1/2)</f>
        <v>6.7528109143524445E-2</v>
      </c>
      <c r="BY27" s="30">
        <f>0.5*LN((1+BX27)/(1-BX27))</f>
        <v>6.7631034648244742E-2</v>
      </c>
      <c r="BZ27" s="30">
        <f>((1-(BY27^2)^2)/(BI27-1))</f>
        <v>1.190451284427091E-3</v>
      </c>
      <c r="CA27" s="30">
        <f>1/(BI27-3)</f>
        <v>1.1933174224343676E-3</v>
      </c>
      <c r="CB27" s="92" t="s">
        <v>73</v>
      </c>
      <c r="CC27">
        <f>BI27-2</f>
        <v>839</v>
      </c>
      <c r="CD27" s="92" t="s">
        <v>73</v>
      </c>
      <c r="CE27" s="30">
        <f>((AZ27^2)/(AZ27^2+BJ27))^(1/2)</f>
        <v>6.7528109143524445E-2</v>
      </c>
      <c r="CF27" s="30">
        <f>0.5*LN((1+CE27)/(1-CE27))</f>
        <v>6.7631034648244742E-2</v>
      </c>
      <c r="CG27" s="30">
        <f>((1-(CF27^2)^2)/(BJ27-1))</f>
        <v>1.190451284427091E-3</v>
      </c>
      <c r="CH27" s="30">
        <f>1/(BJ27-3)</f>
        <v>1.1933174224343676E-3</v>
      </c>
      <c r="CI27"/>
    </row>
    <row r="28" spans="1:87" s="112" customFormat="1" ht="16">
      <c r="A28" s="11" t="s">
        <v>68</v>
      </c>
      <c r="B28" s="11" t="s">
        <v>719</v>
      </c>
      <c r="C28" s="11">
        <v>1031</v>
      </c>
      <c r="D28" s="11">
        <v>106</v>
      </c>
      <c r="E28" s="10" t="s">
        <v>257</v>
      </c>
      <c r="F28" s="11">
        <v>2010</v>
      </c>
      <c r="G28" t="s">
        <v>258</v>
      </c>
      <c r="H28" s="10" t="s">
        <v>259</v>
      </c>
      <c r="I28" s="18">
        <v>2</v>
      </c>
      <c r="J28" s="10">
        <v>2008</v>
      </c>
      <c r="K28" s="10" t="s">
        <v>73</v>
      </c>
      <c r="L28">
        <v>203</v>
      </c>
      <c r="M28" s="18" t="s">
        <v>260</v>
      </c>
      <c r="N28" t="s">
        <v>241</v>
      </c>
      <c r="O28" t="s">
        <v>124</v>
      </c>
      <c r="P28" s="18" t="s">
        <v>242</v>
      </c>
      <c r="Q28" t="s">
        <v>243</v>
      </c>
      <c r="R28" t="s">
        <v>244</v>
      </c>
      <c r="S28">
        <v>1</v>
      </c>
      <c r="T28" t="s">
        <v>188</v>
      </c>
      <c r="U28">
        <v>0</v>
      </c>
      <c r="V28" s="18" t="s">
        <v>231</v>
      </c>
      <c r="W28" s="18" t="s">
        <v>231</v>
      </c>
      <c r="X28" s="18" t="s">
        <v>73</v>
      </c>
      <c r="Y28">
        <v>0</v>
      </c>
      <c r="Z28">
        <v>0</v>
      </c>
      <c r="AA28">
        <v>0</v>
      </c>
      <c r="AB28">
        <v>0</v>
      </c>
      <c r="AC28">
        <v>0</v>
      </c>
      <c r="AD28">
        <v>1</v>
      </c>
      <c r="AE28">
        <v>0</v>
      </c>
      <c r="AF28">
        <v>0</v>
      </c>
      <c r="AG28" t="s">
        <v>261</v>
      </c>
      <c r="AH28">
        <v>0</v>
      </c>
      <c r="AI28">
        <v>0</v>
      </c>
      <c r="AJ28">
        <v>0</v>
      </c>
      <c r="AK28">
        <v>0</v>
      </c>
      <c r="AL28">
        <v>0</v>
      </c>
      <c r="AM28">
        <v>0</v>
      </c>
      <c r="AN28">
        <v>1</v>
      </c>
      <c r="AO28">
        <v>0</v>
      </c>
      <c r="AP28">
        <v>0</v>
      </c>
      <c r="AQ28" t="s">
        <v>267</v>
      </c>
      <c r="AR28" t="s">
        <v>233</v>
      </c>
      <c r="AS28" t="s">
        <v>263</v>
      </c>
      <c r="AT28" t="s">
        <v>235</v>
      </c>
      <c r="AU28" s="134">
        <v>1.028</v>
      </c>
      <c r="AV28" s="7" t="s">
        <v>80</v>
      </c>
      <c r="AW28" t="s">
        <v>73</v>
      </c>
      <c r="AX28">
        <v>0.01</v>
      </c>
      <c r="AY28">
        <v>1</v>
      </c>
      <c r="AZ28" s="102">
        <f>TINV(AX28,CC28)</f>
        <v>2.5817018839793482</v>
      </c>
      <c r="BA28" s="19" t="s">
        <v>73</v>
      </c>
      <c r="BB28" s="105">
        <f>EXP(AU28)/(1+EXP(AU28))</f>
        <v>0.73652797043473905</v>
      </c>
      <c r="BC28" t="s">
        <v>73</v>
      </c>
      <c r="BD28" s="18" t="s">
        <v>73</v>
      </c>
      <c r="BE28" t="s">
        <v>73</v>
      </c>
      <c r="BF28" t="s">
        <v>73</v>
      </c>
      <c r="BG28" s="18">
        <v>66</v>
      </c>
      <c r="BH28" t="s">
        <v>73</v>
      </c>
      <c r="BI28" s="10">
        <v>841</v>
      </c>
      <c r="BJ28" s="10">
        <v>841</v>
      </c>
      <c r="BK28" t="s">
        <v>73</v>
      </c>
      <c r="BL28" t="s">
        <v>73</v>
      </c>
      <c r="BM28">
        <v>470.59</v>
      </c>
      <c r="BN28" t="s">
        <v>268</v>
      </c>
      <c r="BO28" t="s">
        <v>73</v>
      </c>
      <c r="BP28" t="s">
        <v>73</v>
      </c>
      <c r="BQ28" t="s">
        <v>73</v>
      </c>
      <c r="BR28" t="s">
        <v>73</v>
      </c>
      <c r="BS28" t="s">
        <v>73</v>
      </c>
      <c r="BT28" t="s">
        <v>73</v>
      </c>
      <c r="BU28" s="18">
        <v>1</v>
      </c>
      <c r="BV28" s="18">
        <v>1</v>
      </c>
      <c r="BW28" s="18">
        <v>1</v>
      </c>
      <c r="BX28" s="30">
        <f>((AZ28^2)/(AZ28^2+BI28))^(1/2)</f>
        <v>8.8673513868765694E-2</v>
      </c>
      <c r="BY28" s="30">
        <f>0.5*LN((1+BX28)/(1-BX28))</f>
        <v>8.890702958732373E-2</v>
      </c>
      <c r="BZ28" s="30">
        <f>((1-(BY28^2)^2)/(BI28-1))</f>
        <v>1.1904018089446793E-3</v>
      </c>
      <c r="CA28" s="30">
        <f>1/(BI28-3)</f>
        <v>1.1933174224343676E-3</v>
      </c>
      <c r="CB28" s="92" t="s">
        <v>73</v>
      </c>
      <c r="CC28">
        <f>BI28-2</f>
        <v>839</v>
      </c>
      <c r="CD28" s="92" t="s">
        <v>73</v>
      </c>
      <c r="CE28" s="30">
        <f>((AZ28^2)/(AZ28^2+BJ28))^(1/2)</f>
        <v>8.8673513868765694E-2</v>
      </c>
      <c r="CF28" s="30">
        <f>0.5*LN((1+CE28)/(1-CE28))</f>
        <v>8.890702958732373E-2</v>
      </c>
      <c r="CG28" s="30">
        <f>((1-(CF28^2)^2)/(BJ28-1))</f>
        <v>1.1904018089446793E-3</v>
      </c>
      <c r="CH28" s="30">
        <f>1/(BJ28-3)</f>
        <v>1.1933174224343676E-3</v>
      </c>
      <c r="CI28" s="92"/>
    </row>
    <row r="29" spans="1:87" s="112" customFormat="1" ht="16">
      <c r="A29" s="11" t="s">
        <v>68</v>
      </c>
      <c r="B29" s="11" t="s">
        <v>719</v>
      </c>
      <c r="C29" s="11">
        <v>1032</v>
      </c>
      <c r="D29" s="11">
        <v>106</v>
      </c>
      <c r="E29" s="10" t="s">
        <v>257</v>
      </c>
      <c r="F29" s="11">
        <v>2010</v>
      </c>
      <c r="G29" t="s">
        <v>258</v>
      </c>
      <c r="H29" s="10" t="s">
        <v>259</v>
      </c>
      <c r="I29" s="18">
        <v>2</v>
      </c>
      <c r="J29" s="10">
        <v>2008</v>
      </c>
      <c r="K29" s="10" t="s">
        <v>73</v>
      </c>
      <c r="L29">
        <v>203</v>
      </c>
      <c r="M29" s="18" t="s">
        <v>260</v>
      </c>
      <c r="N29" t="s">
        <v>241</v>
      </c>
      <c r="O29" t="s">
        <v>124</v>
      </c>
      <c r="P29" s="18" t="s">
        <v>242</v>
      </c>
      <c r="Q29" t="s">
        <v>243</v>
      </c>
      <c r="R29" t="s">
        <v>244</v>
      </c>
      <c r="S29">
        <v>1</v>
      </c>
      <c r="T29" t="s">
        <v>188</v>
      </c>
      <c r="U29">
        <v>0</v>
      </c>
      <c r="V29" s="18" t="s">
        <v>231</v>
      </c>
      <c r="W29" s="18" t="s">
        <v>231</v>
      </c>
      <c r="X29" s="18" t="s">
        <v>73</v>
      </c>
      <c r="Y29">
        <v>0</v>
      </c>
      <c r="Z29">
        <v>0</v>
      </c>
      <c r="AA29">
        <v>0</v>
      </c>
      <c r="AB29">
        <v>0</v>
      </c>
      <c r="AC29">
        <v>0</v>
      </c>
      <c r="AD29">
        <v>1</v>
      </c>
      <c r="AE29">
        <v>0</v>
      </c>
      <c r="AF29">
        <v>0</v>
      </c>
      <c r="AG29" t="s">
        <v>261</v>
      </c>
      <c r="AH29">
        <v>0</v>
      </c>
      <c r="AI29">
        <v>0</v>
      </c>
      <c r="AJ29">
        <v>0</v>
      </c>
      <c r="AK29">
        <v>0</v>
      </c>
      <c r="AL29">
        <v>0</v>
      </c>
      <c r="AM29">
        <v>0</v>
      </c>
      <c r="AN29">
        <v>1</v>
      </c>
      <c r="AO29">
        <v>0</v>
      </c>
      <c r="AP29">
        <v>0</v>
      </c>
      <c r="AQ29" t="s">
        <v>262</v>
      </c>
      <c r="AR29" t="s">
        <v>233</v>
      </c>
      <c r="AS29" t="s">
        <v>263</v>
      </c>
      <c r="AT29" t="s">
        <v>235</v>
      </c>
      <c r="AU29" s="134">
        <v>0.35199999999999998</v>
      </c>
      <c r="AV29" s="7" t="s">
        <v>86</v>
      </c>
      <c r="AW29" t="s">
        <v>73</v>
      </c>
      <c r="AX29">
        <v>0.05</v>
      </c>
      <c r="AY29">
        <v>2</v>
      </c>
      <c r="AZ29" s="19">
        <f>TINV(AX29,CC29)</f>
        <v>1.962795497038498</v>
      </c>
      <c r="BA29" s="19" t="s">
        <v>73</v>
      </c>
      <c r="BB29" s="105">
        <f>EXP(AU29)/(1+EXP(AU29))</f>
        <v>0.58710248954216959</v>
      </c>
      <c r="BC29" t="s">
        <v>73</v>
      </c>
      <c r="BD29" s="18" t="s">
        <v>73</v>
      </c>
      <c r="BE29" t="s">
        <v>73</v>
      </c>
      <c r="BF29" t="s">
        <v>73</v>
      </c>
      <c r="BG29" s="18">
        <v>60</v>
      </c>
      <c r="BH29" t="s">
        <v>73</v>
      </c>
      <c r="BI29" s="10">
        <v>841</v>
      </c>
      <c r="BJ29" s="10">
        <v>841</v>
      </c>
      <c r="BK29" t="s">
        <v>73</v>
      </c>
      <c r="BL29" t="s">
        <v>73</v>
      </c>
      <c r="BM29">
        <v>235.29</v>
      </c>
      <c r="BN29" t="s">
        <v>265</v>
      </c>
      <c r="BO29" t="s">
        <v>73</v>
      </c>
      <c r="BP29" t="s">
        <v>73</v>
      </c>
      <c r="BQ29" t="s">
        <v>73</v>
      </c>
      <c r="BR29" t="s">
        <v>73</v>
      </c>
      <c r="BS29" t="s">
        <v>73</v>
      </c>
      <c r="BT29" t="s">
        <v>73</v>
      </c>
      <c r="BU29" s="18">
        <v>1</v>
      </c>
      <c r="BV29" s="18">
        <v>1</v>
      </c>
      <c r="BW29" s="18">
        <v>1</v>
      </c>
      <c r="BX29" s="30">
        <f>((AZ29^2)/(AZ29^2+BI29))^(1/2)</f>
        <v>6.7528109143524445E-2</v>
      </c>
      <c r="BY29" s="30">
        <f>0.5*LN((1+BX29)/(1-BX29))</f>
        <v>6.7631034648244742E-2</v>
      </c>
      <c r="BZ29" s="30">
        <f>((1-(BY29^2)^2)/(BI29-1))</f>
        <v>1.190451284427091E-3</v>
      </c>
      <c r="CA29" s="30">
        <f>1/(BI29-3)</f>
        <v>1.1933174224343676E-3</v>
      </c>
      <c r="CB29" s="92" t="s">
        <v>73</v>
      </c>
      <c r="CC29">
        <f>BI29-2</f>
        <v>839</v>
      </c>
      <c r="CD29" s="92" t="s">
        <v>73</v>
      </c>
      <c r="CE29" s="30">
        <f>((AZ29^2)/(AZ29^2+BJ29))^(1/2)</f>
        <v>6.7528109143524445E-2</v>
      </c>
      <c r="CF29" s="30">
        <f>0.5*LN((1+CE29)/(1-CE29))</f>
        <v>6.7631034648244742E-2</v>
      </c>
      <c r="CG29" s="30">
        <f>((1-(CF29^2)^2)/(BJ29-1))</f>
        <v>1.190451284427091E-3</v>
      </c>
      <c r="CH29" s="30">
        <f>1/(BJ29-3)</f>
        <v>1.1933174224343676E-3</v>
      </c>
      <c r="CI29"/>
    </row>
    <row r="30" spans="1:87" s="125" customFormat="1" ht="16">
      <c r="A30" s="11" t="s">
        <v>68</v>
      </c>
      <c r="B30" s="11" t="s">
        <v>719</v>
      </c>
      <c r="C30" s="11">
        <v>1033</v>
      </c>
      <c r="D30" s="11">
        <v>106</v>
      </c>
      <c r="E30" s="10" t="s">
        <v>257</v>
      </c>
      <c r="F30" s="11">
        <v>2010</v>
      </c>
      <c r="G30" t="s">
        <v>258</v>
      </c>
      <c r="H30" s="10" t="s">
        <v>259</v>
      </c>
      <c r="I30" s="18">
        <v>2</v>
      </c>
      <c r="J30" s="10">
        <v>2008</v>
      </c>
      <c r="K30" s="10" t="s">
        <v>73</v>
      </c>
      <c r="L30">
        <v>203</v>
      </c>
      <c r="M30" s="18" t="s">
        <v>260</v>
      </c>
      <c r="N30" t="s">
        <v>241</v>
      </c>
      <c r="O30" t="s">
        <v>124</v>
      </c>
      <c r="P30" s="18" t="s">
        <v>242</v>
      </c>
      <c r="Q30" t="s">
        <v>243</v>
      </c>
      <c r="R30" t="s">
        <v>244</v>
      </c>
      <c r="S30">
        <v>1</v>
      </c>
      <c r="T30" t="s">
        <v>188</v>
      </c>
      <c r="U30">
        <v>0</v>
      </c>
      <c r="V30" s="18" t="s">
        <v>231</v>
      </c>
      <c r="W30" s="18" t="s">
        <v>231</v>
      </c>
      <c r="X30" s="18" t="s">
        <v>73</v>
      </c>
      <c r="Y30">
        <v>0</v>
      </c>
      <c r="Z30">
        <v>0</v>
      </c>
      <c r="AA30">
        <v>0</v>
      </c>
      <c r="AB30">
        <v>0</v>
      </c>
      <c r="AC30">
        <v>0</v>
      </c>
      <c r="AD30">
        <v>1</v>
      </c>
      <c r="AE30">
        <v>0</v>
      </c>
      <c r="AF30">
        <v>0</v>
      </c>
      <c r="AG30" t="s">
        <v>261</v>
      </c>
      <c r="AH30">
        <v>0</v>
      </c>
      <c r="AI30">
        <v>0</v>
      </c>
      <c r="AJ30">
        <v>0</v>
      </c>
      <c r="AK30">
        <v>0</v>
      </c>
      <c r="AL30">
        <v>0</v>
      </c>
      <c r="AM30">
        <v>0</v>
      </c>
      <c r="AN30">
        <v>1</v>
      </c>
      <c r="AO30">
        <v>0</v>
      </c>
      <c r="AP30">
        <v>0</v>
      </c>
      <c r="AQ30" t="s">
        <v>266</v>
      </c>
      <c r="AR30" t="s">
        <v>233</v>
      </c>
      <c r="AS30" t="s">
        <v>263</v>
      </c>
      <c r="AT30" t="s">
        <v>235</v>
      </c>
      <c r="AU30" s="134">
        <v>5.2999999999999999E-2</v>
      </c>
      <c r="AV30" s="7" t="s">
        <v>80</v>
      </c>
      <c r="AW30" t="s">
        <v>73</v>
      </c>
      <c r="AX30">
        <v>0.05</v>
      </c>
      <c r="AY30">
        <v>2</v>
      </c>
      <c r="AZ30" s="19">
        <f>TINV(AX30,CC30)</f>
        <v>1.962795497038498</v>
      </c>
      <c r="BA30" s="19" t="s">
        <v>73</v>
      </c>
      <c r="BB30" s="105">
        <f>EXP(AU30)/(1+EXP(AU30))</f>
        <v>0.51324689926682643</v>
      </c>
      <c r="BC30" t="s">
        <v>73</v>
      </c>
      <c r="BD30" s="18" t="s">
        <v>73</v>
      </c>
      <c r="BE30" t="s">
        <v>73</v>
      </c>
      <c r="BF30" t="s">
        <v>73</v>
      </c>
      <c r="BG30" s="18">
        <v>60</v>
      </c>
      <c r="BH30" t="s">
        <v>73</v>
      </c>
      <c r="BI30" s="10">
        <v>841</v>
      </c>
      <c r="BJ30" s="10">
        <v>841</v>
      </c>
      <c r="BK30" t="s">
        <v>73</v>
      </c>
      <c r="BL30" t="s">
        <v>73</v>
      </c>
      <c r="BM30">
        <v>0</v>
      </c>
      <c r="BN30">
        <v>0</v>
      </c>
      <c r="BO30" t="s">
        <v>73</v>
      </c>
      <c r="BP30" t="s">
        <v>73</v>
      </c>
      <c r="BQ30" t="s">
        <v>73</v>
      </c>
      <c r="BR30" t="s">
        <v>73</v>
      </c>
      <c r="BS30" t="s">
        <v>73</v>
      </c>
      <c r="BT30" t="s">
        <v>73</v>
      </c>
      <c r="BU30" s="18">
        <v>1</v>
      </c>
      <c r="BV30" s="18">
        <v>1</v>
      </c>
      <c r="BW30" s="18">
        <v>1</v>
      </c>
      <c r="BX30" s="30">
        <f>((AZ30^2)/(AZ30^2+BI30))^(1/2)</f>
        <v>6.7528109143524445E-2</v>
      </c>
      <c r="BY30" s="30">
        <f>0.5*LN((1+BX30)/(1-BX30))</f>
        <v>6.7631034648244742E-2</v>
      </c>
      <c r="BZ30" s="30">
        <f>((1-(BY30^2)^2)/(BI30-1))</f>
        <v>1.190451284427091E-3</v>
      </c>
      <c r="CA30" s="30">
        <f>1/(BI30-3)</f>
        <v>1.1933174224343676E-3</v>
      </c>
      <c r="CB30" s="92" t="s">
        <v>73</v>
      </c>
      <c r="CC30">
        <f>BI30-2</f>
        <v>839</v>
      </c>
      <c r="CD30" s="92" t="s">
        <v>73</v>
      </c>
      <c r="CE30" s="30">
        <f>((AZ30^2)/(AZ30^2+BJ30))^(1/2)</f>
        <v>6.7528109143524445E-2</v>
      </c>
      <c r="CF30" s="30">
        <f>0.5*LN((1+CE30)/(1-CE30))</f>
        <v>6.7631034648244742E-2</v>
      </c>
      <c r="CG30" s="30">
        <f>((1-(CF30^2)^2)/(BJ30-1))</f>
        <v>1.190451284427091E-3</v>
      </c>
      <c r="CH30" s="30">
        <f>1/(BJ30-3)</f>
        <v>1.1933174224343676E-3</v>
      </c>
      <c r="CI30"/>
    </row>
    <row r="31" spans="1:87" ht="16">
      <c r="A31" s="11" t="s">
        <v>68</v>
      </c>
      <c r="B31" s="11" t="s">
        <v>719</v>
      </c>
      <c r="C31" s="11">
        <v>1034</v>
      </c>
      <c r="D31" s="11">
        <v>106</v>
      </c>
      <c r="E31" s="10" t="s">
        <v>257</v>
      </c>
      <c r="F31" s="11">
        <v>2010</v>
      </c>
      <c r="G31" t="s">
        <v>258</v>
      </c>
      <c r="H31" s="10" t="s">
        <v>259</v>
      </c>
      <c r="I31" s="18">
        <v>2</v>
      </c>
      <c r="J31" s="10">
        <v>2008</v>
      </c>
      <c r="K31" s="10" t="s">
        <v>73</v>
      </c>
      <c r="L31">
        <v>203</v>
      </c>
      <c r="M31" s="18" t="s">
        <v>260</v>
      </c>
      <c r="N31" t="s">
        <v>241</v>
      </c>
      <c r="O31" t="s">
        <v>124</v>
      </c>
      <c r="P31" s="18" t="s">
        <v>242</v>
      </c>
      <c r="Q31" t="s">
        <v>243</v>
      </c>
      <c r="R31" t="s">
        <v>244</v>
      </c>
      <c r="S31">
        <v>1</v>
      </c>
      <c r="T31" t="s">
        <v>188</v>
      </c>
      <c r="U31">
        <v>0</v>
      </c>
      <c r="V31" s="18" t="s">
        <v>231</v>
      </c>
      <c r="W31" s="18" t="s">
        <v>231</v>
      </c>
      <c r="X31" s="18" t="s">
        <v>73</v>
      </c>
      <c r="Y31">
        <v>0</v>
      </c>
      <c r="Z31">
        <v>0</v>
      </c>
      <c r="AA31">
        <v>0</v>
      </c>
      <c r="AB31">
        <v>0</v>
      </c>
      <c r="AC31">
        <v>0</v>
      </c>
      <c r="AD31">
        <v>1</v>
      </c>
      <c r="AE31">
        <v>0</v>
      </c>
      <c r="AF31">
        <v>0</v>
      </c>
      <c r="AG31" t="s">
        <v>261</v>
      </c>
      <c r="AH31">
        <v>0</v>
      </c>
      <c r="AI31">
        <v>0</v>
      </c>
      <c r="AJ31">
        <v>0</v>
      </c>
      <c r="AK31">
        <v>0</v>
      </c>
      <c r="AL31">
        <v>0</v>
      </c>
      <c r="AM31">
        <v>0</v>
      </c>
      <c r="AN31">
        <v>1</v>
      </c>
      <c r="AO31">
        <v>0</v>
      </c>
      <c r="AP31">
        <v>0</v>
      </c>
      <c r="AQ31" t="s">
        <v>267</v>
      </c>
      <c r="AR31" t="s">
        <v>233</v>
      </c>
      <c r="AS31" t="s">
        <v>263</v>
      </c>
      <c r="AT31" t="s">
        <v>235</v>
      </c>
      <c r="AU31" s="134">
        <v>1.034</v>
      </c>
      <c r="AV31" s="7" t="s">
        <v>80</v>
      </c>
      <c r="AW31" t="s">
        <v>73</v>
      </c>
      <c r="AX31">
        <v>0.01</v>
      </c>
      <c r="AY31">
        <v>1</v>
      </c>
      <c r="AZ31" s="102">
        <f>TINV(AX31,CC31)</f>
        <v>2.5817018839793482</v>
      </c>
      <c r="BA31" s="19" t="s">
        <v>73</v>
      </c>
      <c r="BB31" s="105">
        <f>EXP(AU31)/(1+EXP(AU31))</f>
        <v>0.73769064403297369</v>
      </c>
      <c r="BC31" t="s">
        <v>73</v>
      </c>
      <c r="BD31" s="18" t="s">
        <v>73</v>
      </c>
      <c r="BE31" t="s">
        <v>73</v>
      </c>
      <c r="BF31" t="s">
        <v>73</v>
      </c>
      <c r="BG31" s="18">
        <v>60</v>
      </c>
      <c r="BH31" t="s">
        <v>73</v>
      </c>
      <c r="BI31" s="10">
        <v>841</v>
      </c>
      <c r="BJ31" s="10">
        <v>841</v>
      </c>
      <c r="BK31" t="s">
        <v>73</v>
      </c>
      <c r="BL31" t="s">
        <v>73</v>
      </c>
      <c r="BM31">
        <v>470.59</v>
      </c>
      <c r="BN31" t="s">
        <v>268</v>
      </c>
      <c r="BO31" t="s">
        <v>73</v>
      </c>
      <c r="BP31" t="s">
        <v>73</v>
      </c>
      <c r="BQ31" t="s">
        <v>73</v>
      </c>
      <c r="BR31" t="s">
        <v>73</v>
      </c>
      <c r="BS31" t="s">
        <v>73</v>
      </c>
      <c r="BT31" t="s">
        <v>73</v>
      </c>
      <c r="BU31" s="18">
        <v>1</v>
      </c>
      <c r="BV31" s="18">
        <v>1</v>
      </c>
      <c r="BW31" s="18">
        <v>1</v>
      </c>
      <c r="BX31" s="30">
        <f>((AZ31^2)/(AZ31^2+BI31))^(1/2)</f>
        <v>8.8673513868765694E-2</v>
      </c>
      <c r="BY31" s="30">
        <f>0.5*LN((1+BX31)/(1-BX31))</f>
        <v>8.890702958732373E-2</v>
      </c>
      <c r="BZ31" s="30">
        <f>((1-(BY31^2)^2)/(BI31-1))</f>
        <v>1.1904018089446793E-3</v>
      </c>
      <c r="CA31" s="30">
        <f>1/(BI31-3)</f>
        <v>1.1933174224343676E-3</v>
      </c>
      <c r="CB31" s="92" t="s">
        <v>73</v>
      </c>
      <c r="CC31">
        <f>BI31-2</f>
        <v>839</v>
      </c>
      <c r="CD31" s="92" t="s">
        <v>73</v>
      </c>
      <c r="CE31" s="30">
        <f>((AZ31^2)/(AZ31^2+BJ31))^(1/2)</f>
        <v>8.8673513868765694E-2</v>
      </c>
      <c r="CF31" s="30">
        <f>0.5*LN((1+CE31)/(1-CE31))</f>
        <v>8.890702958732373E-2</v>
      </c>
      <c r="CG31" s="30">
        <f>((1-(CF31^2)^2)/(BJ31-1))</f>
        <v>1.1904018089446793E-3</v>
      </c>
      <c r="CH31" s="30">
        <f>1/(BJ31-3)</f>
        <v>1.1933174224343676E-3</v>
      </c>
      <c r="CI31" s="119"/>
    </row>
    <row r="32" spans="1:87" s="98" customFormat="1" ht="16">
      <c r="A32" s="11" t="s">
        <v>68</v>
      </c>
      <c r="B32" s="11" t="s">
        <v>719</v>
      </c>
      <c r="C32" s="11">
        <v>1047</v>
      </c>
      <c r="D32" s="11">
        <v>108</v>
      </c>
      <c r="E32" t="s">
        <v>270</v>
      </c>
      <c r="F32" s="11">
        <v>2018</v>
      </c>
      <c r="G32" t="s">
        <v>271</v>
      </c>
      <c r="H32" t="s">
        <v>272</v>
      </c>
      <c r="I32" s="18">
        <v>2</v>
      </c>
      <c r="J32">
        <v>2014</v>
      </c>
      <c r="K32" s="10" t="s">
        <v>73</v>
      </c>
      <c r="L32" s="10">
        <v>566</v>
      </c>
      <c r="M32" s="18" t="s">
        <v>273</v>
      </c>
      <c r="N32" t="s">
        <v>241</v>
      </c>
      <c r="O32" t="s">
        <v>274</v>
      </c>
      <c r="P32" s="18" t="s">
        <v>242</v>
      </c>
      <c r="Q32" t="s">
        <v>243</v>
      </c>
      <c r="R32" t="s">
        <v>244</v>
      </c>
      <c r="S32">
        <v>1</v>
      </c>
      <c r="T32" t="s">
        <v>188</v>
      </c>
      <c r="U32">
        <v>0</v>
      </c>
      <c r="V32" s="18" t="s">
        <v>231</v>
      </c>
      <c r="W32" s="18" t="s">
        <v>231</v>
      </c>
      <c r="X32" s="18" t="s">
        <v>73</v>
      </c>
      <c r="Y32">
        <v>0</v>
      </c>
      <c r="Z32">
        <v>0</v>
      </c>
      <c r="AA32">
        <v>0</v>
      </c>
      <c r="AB32">
        <v>0</v>
      </c>
      <c r="AC32">
        <v>0</v>
      </c>
      <c r="AD32">
        <v>1</v>
      </c>
      <c r="AE32">
        <v>0</v>
      </c>
      <c r="AF32">
        <v>0</v>
      </c>
      <c r="AG32" t="s">
        <v>73</v>
      </c>
      <c r="AH32">
        <v>0</v>
      </c>
      <c r="AI32">
        <v>0</v>
      </c>
      <c r="AJ32">
        <v>0</v>
      </c>
      <c r="AK32">
        <v>0</v>
      </c>
      <c r="AL32">
        <v>0</v>
      </c>
      <c r="AM32">
        <v>0</v>
      </c>
      <c r="AN32">
        <v>1</v>
      </c>
      <c r="AO32">
        <v>0</v>
      </c>
      <c r="AP32">
        <v>0</v>
      </c>
      <c r="AQ32" t="s">
        <v>275</v>
      </c>
      <c r="AR32" s="92" t="s">
        <v>233</v>
      </c>
      <c r="AS32" s="92" t="s">
        <v>276</v>
      </c>
      <c r="AT32" s="11" t="s">
        <v>235</v>
      </c>
      <c r="AU32" s="201">
        <v>1.651</v>
      </c>
      <c r="AV32" s="7" t="s">
        <v>86</v>
      </c>
      <c r="AW32">
        <v>0.58599999999999997</v>
      </c>
      <c r="AX32">
        <v>0.01</v>
      </c>
      <c r="AY32">
        <v>1</v>
      </c>
      <c r="AZ32">
        <f>AU32/AW32</f>
        <v>2.81740614334471</v>
      </c>
      <c r="BA32" t="s">
        <v>73</v>
      </c>
      <c r="BB32" s="105">
        <f>EXP(AU32)/(1+EXP(AU32))</f>
        <v>0.83902615748152587</v>
      </c>
      <c r="BC32" t="s">
        <v>73</v>
      </c>
      <c r="BD32" t="s">
        <v>73</v>
      </c>
      <c r="BE32" t="s">
        <v>73</v>
      </c>
      <c r="BF32" t="s">
        <v>73</v>
      </c>
      <c r="BG32" s="18">
        <v>36</v>
      </c>
      <c r="BH32" t="s">
        <v>73</v>
      </c>
      <c r="BI32" s="10">
        <v>3404</v>
      </c>
      <c r="BJ32" s="10">
        <v>3404</v>
      </c>
      <c r="BK32" t="s">
        <v>73</v>
      </c>
      <c r="BL32" t="s">
        <v>73</v>
      </c>
      <c r="BM32" t="s">
        <v>73</v>
      </c>
      <c r="BN32">
        <v>0.13</v>
      </c>
      <c r="BO32" t="s">
        <v>73</v>
      </c>
      <c r="BP32" t="s">
        <v>73</v>
      </c>
      <c r="BQ32" t="s">
        <v>73</v>
      </c>
      <c r="BR32" t="s">
        <v>73</v>
      </c>
      <c r="BS32" t="s">
        <v>73</v>
      </c>
      <c r="BT32" t="s">
        <v>73</v>
      </c>
      <c r="BU32" s="18">
        <v>1</v>
      </c>
      <c r="BV32" s="18">
        <v>1</v>
      </c>
      <c r="BW32" s="18">
        <v>1</v>
      </c>
      <c r="BX32" s="30">
        <f>((AZ32^2)/(AZ32^2+BI32))^(1/2)</f>
        <v>4.823351432140318E-2</v>
      </c>
      <c r="BY32" s="30">
        <f>0.5*LN((1+BX32)/(1-BX32))</f>
        <v>4.8270971259459908E-2</v>
      </c>
      <c r="BZ32" s="30">
        <f>((1-(BY32^2)^2)/(BI32-1))</f>
        <v>2.9385676482401629E-4</v>
      </c>
      <c r="CA32" s="30">
        <f>1/(BI32-3)</f>
        <v>2.9403116730373417E-4</v>
      </c>
      <c r="CB32" s="92" t="s">
        <v>73</v>
      </c>
      <c r="CC32">
        <f>BI32-2</f>
        <v>3402</v>
      </c>
      <c r="CD32" s="92" t="s">
        <v>73</v>
      </c>
      <c r="CE32" s="30">
        <f>((AZ32^2)/(AZ32^2+BJ32))^(1/2)</f>
        <v>4.823351432140318E-2</v>
      </c>
      <c r="CF32" s="30">
        <f>0.5*LN((1+CE32)/(1-CE32))</f>
        <v>4.8270971259459908E-2</v>
      </c>
      <c r="CG32" s="30">
        <f>((1-(CF32^2)^2)/(BJ32-1))</f>
        <v>2.9385676482401629E-4</v>
      </c>
      <c r="CH32" s="30">
        <f>1/(BJ32-3)</f>
        <v>2.9403116730373417E-4</v>
      </c>
      <c r="CI32"/>
    </row>
    <row r="33" spans="1:87" s="92" customFormat="1" ht="16">
      <c r="A33" s="11" t="s">
        <v>68</v>
      </c>
      <c r="B33" s="11" t="s">
        <v>719</v>
      </c>
      <c r="C33" s="11">
        <v>1048</v>
      </c>
      <c r="D33" s="11">
        <v>108</v>
      </c>
      <c r="E33" t="s">
        <v>270</v>
      </c>
      <c r="F33" s="11">
        <v>2018</v>
      </c>
      <c r="G33" t="s">
        <v>271</v>
      </c>
      <c r="H33" t="s">
        <v>272</v>
      </c>
      <c r="I33" s="18">
        <v>2</v>
      </c>
      <c r="J33">
        <v>2014</v>
      </c>
      <c r="K33" s="10" t="s">
        <v>73</v>
      </c>
      <c r="L33" s="10">
        <v>566</v>
      </c>
      <c r="M33" s="18" t="s">
        <v>273</v>
      </c>
      <c r="N33" t="s">
        <v>241</v>
      </c>
      <c r="O33" t="s">
        <v>274</v>
      </c>
      <c r="P33" s="18" t="s">
        <v>242</v>
      </c>
      <c r="Q33" t="s">
        <v>243</v>
      </c>
      <c r="R33" t="s">
        <v>244</v>
      </c>
      <c r="S33">
        <v>1</v>
      </c>
      <c r="T33" t="s">
        <v>188</v>
      </c>
      <c r="U33">
        <v>0</v>
      </c>
      <c r="V33" s="18" t="s">
        <v>231</v>
      </c>
      <c r="W33" s="18" t="s">
        <v>231</v>
      </c>
      <c r="X33" s="18" t="s">
        <v>73</v>
      </c>
      <c r="Y33">
        <v>0</v>
      </c>
      <c r="Z33">
        <v>0</v>
      </c>
      <c r="AA33">
        <v>0</v>
      </c>
      <c r="AB33">
        <v>0</v>
      </c>
      <c r="AC33">
        <v>0</v>
      </c>
      <c r="AD33">
        <v>1</v>
      </c>
      <c r="AE33">
        <v>0</v>
      </c>
      <c r="AF33">
        <v>0</v>
      </c>
      <c r="AG33" t="s">
        <v>73</v>
      </c>
      <c r="AH33">
        <v>0</v>
      </c>
      <c r="AI33">
        <v>0</v>
      </c>
      <c r="AJ33">
        <v>0</v>
      </c>
      <c r="AK33">
        <v>0</v>
      </c>
      <c r="AL33">
        <v>0</v>
      </c>
      <c r="AM33">
        <v>0</v>
      </c>
      <c r="AN33">
        <v>1</v>
      </c>
      <c r="AO33">
        <v>0</v>
      </c>
      <c r="AP33">
        <v>0</v>
      </c>
      <c r="AQ33" t="s">
        <v>277</v>
      </c>
      <c r="AR33" s="92" t="s">
        <v>233</v>
      </c>
      <c r="AS33" s="92" t="s">
        <v>276</v>
      </c>
      <c r="AT33" s="11" t="s">
        <v>235</v>
      </c>
      <c r="AU33" s="134">
        <v>0.57299999999999995</v>
      </c>
      <c r="AV33" s="7" t="s">
        <v>86</v>
      </c>
      <c r="AW33">
        <v>0.29399999999999998</v>
      </c>
      <c r="AX33">
        <v>0.1</v>
      </c>
      <c r="AY33">
        <v>1</v>
      </c>
      <c r="AZ33">
        <f>AU33/AW33</f>
        <v>1.9489795918367347</v>
      </c>
      <c r="BA33" t="s">
        <v>73</v>
      </c>
      <c r="BB33" s="105">
        <f>EXP(AU33)/(1+EXP(AU33))</f>
        <v>0.63945512092377221</v>
      </c>
      <c r="BC33" t="s">
        <v>73</v>
      </c>
      <c r="BD33" t="s">
        <v>73</v>
      </c>
      <c r="BE33" t="s">
        <v>73</v>
      </c>
      <c r="BF33" t="s">
        <v>73</v>
      </c>
      <c r="BG33" s="18">
        <v>36</v>
      </c>
      <c r="BH33" t="s">
        <v>73</v>
      </c>
      <c r="BI33" s="10">
        <v>3404</v>
      </c>
      <c r="BJ33" s="10">
        <v>3404</v>
      </c>
      <c r="BK33" t="s">
        <v>73</v>
      </c>
      <c r="BL33" t="s">
        <v>73</v>
      </c>
      <c r="BM33" t="s">
        <v>73</v>
      </c>
      <c r="BN33">
        <v>0.13</v>
      </c>
      <c r="BO33" t="s">
        <v>73</v>
      </c>
      <c r="BP33" t="s">
        <v>73</v>
      </c>
      <c r="BQ33" t="s">
        <v>73</v>
      </c>
      <c r="BR33" t="s">
        <v>73</v>
      </c>
      <c r="BS33" t="s">
        <v>73</v>
      </c>
      <c r="BT33" t="s">
        <v>73</v>
      </c>
      <c r="BU33" s="18">
        <v>1</v>
      </c>
      <c r="BV33" s="18">
        <v>1</v>
      </c>
      <c r="BW33" s="18">
        <v>1</v>
      </c>
      <c r="BX33" s="30">
        <f>((AZ33^2)/(AZ33^2+BI33))^(1/2)</f>
        <v>3.3386457206729767E-2</v>
      </c>
      <c r="BY33" s="30">
        <f>0.5*LN((1+BX33)/(1-BX33))</f>
        <v>3.339887030924775E-2</v>
      </c>
      <c r="BZ33" s="30">
        <f>((1-(BY33^2)^2)/(BI33-1))</f>
        <v>2.9385799462070103E-4</v>
      </c>
      <c r="CA33" s="30">
        <f>1/(BI33-3)</f>
        <v>2.9403116730373417E-4</v>
      </c>
      <c r="CB33" s="92" t="s">
        <v>73</v>
      </c>
      <c r="CC33">
        <f>BI33-2</f>
        <v>3402</v>
      </c>
      <c r="CD33" s="92" t="s">
        <v>73</v>
      </c>
      <c r="CE33" s="30">
        <f>((AZ33^2)/(AZ33^2+BJ33))^(1/2)</f>
        <v>3.3386457206729767E-2</v>
      </c>
      <c r="CF33" s="30">
        <f>0.5*LN((1+CE33)/(1-CE33))</f>
        <v>3.339887030924775E-2</v>
      </c>
      <c r="CG33" s="30">
        <f>((1-(CF33^2)^2)/(BJ33-1))</f>
        <v>2.9385799462070103E-4</v>
      </c>
      <c r="CH33" s="30">
        <f>1/(BJ33-3)</f>
        <v>2.9403116730373417E-4</v>
      </c>
      <c r="CI33"/>
    </row>
    <row r="34" spans="1:87" s="92" customFormat="1" ht="16">
      <c r="A34" s="11" t="s">
        <v>68</v>
      </c>
      <c r="B34" s="11" t="s">
        <v>719</v>
      </c>
      <c r="C34" s="11">
        <v>1049</v>
      </c>
      <c r="D34" s="11">
        <v>108</v>
      </c>
      <c r="E34" t="s">
        <v>270</v>
      </c>
      <c r="F34" s="11">
        <v>2018</v>
      </c>
      <c r="G34" t="s">
        <v>271</v>
      </c>
      <c r="H34" t="s">
        <v>272</v>
      </c>
      <c r="I34" s="18">
        <v>2</v>
      </c>
      <c r="J34">
        <v>2014</v>
      </c>
      <c r="K34" s="10" t="s">
        <v>73</v>
      </c>
      <c r="L34" s="10">
        <v>566</v>
      </c>
      <c r="M34" s="18" t="s">
        <v>273</v>
      </c>
      <c r="N34" t="s">
        <v>241</v>
      </c>
      <c r="O34" t="s">
        <v>274</v>
      </c>
      <c r="P34" s="18" t="s">
        <v>242</v>
      </c>
      <c r="Q34" t="s">
        <v>243</v>
      </c>
      <c r="R34" t="s">
        <v>244</v>
      </c>
      <c r="S34">
        <v>1</v>
      </c>
      <c r="T34" t="s">
        <v>188</v>
      </c>
      <c r="U34">
        <v>0</v>
      </c>
      <c r="V34" s="18" t="s">
        <v>231</v>
      </c>
      <c r="W34" s="18" t="s">
        <v>231</v>
      </c>
      <c r="X34" s="18" t="s">
        <v>73</v>
      </c>
      <c r="Y34">
        <v>0</v>
      </c>
      <c r="Z34">
        <v>0</v>
      </c>
      <c r="AA34">
        <v>0</v>
      </c>
      <c r="AB34">
        <v>0</v>
      </c>
      <c r="AC34">
        <v>0</v>
      </c>
      <c r="AD34">
        <v>1</v>
      </c>
      <c r="AE34">
        <v>0</v>
      </c>
      <c r="AF34">
        <v>0</v>
      </c>
      <c r="AG34" t="s">
        <v>73</v>
      </c>
      <c r="AH34">
        <v>0</v>
      </c>
      <c r="AI34">
        <v>0</v>
      </c>
      <c r="AJ34">
        <v>0</v>
      </c>
      <c r="AK34">
        <v>0</v>
      </c>
      <c r="AL34">
        <v>0</v>
      </c>
      <c r="AM34">
        <v>0</v>
      </c>
      <c r="AN34">
        <v>1</v>
      </c>
      <c r="AO34">
        <v>0</v>
      </c>
      <c r="AP34">
        <v>0</v>
      </c>
      <c r="AQ34" t="s">
        <v>277</v>
      </c>
      <c r="AR34" s="92" t="s">
        <v>233</v>
      </c>
      <c r="AS34" s="92" t="s">
        <v>276</v>
      </c>
      <c r="AT34" s="11" t="s">
        <v>235</v>
      </c>
      <c r="AU34" s="134">
        <v>1.0780000000000001</v>
      </c>
      <c r="AV34" s="7" t="s">
        <v>80</v>
      </c>
      <c r="AW34">
        <v>0.55600000000000005</v>
      </c>
      <c r="AX34">
        <v>0.1</v>
      </c>
      <c r="AY34">
        <v>1</v>
      </c>
      <c r="AZ34">
        <f>AU34/AW34</f>
        <v>1.9388489208633093</v>
      </c>
      <c r="BA34" t="s">
        <v>73</v>
      </c>
      <c r="BB34" s="105">
        <f>EXP(AU34)/(1+EXP(AU34))</f>
        <v>0.7461153153527682</v>
      </c>
      <c r="BC34" t="s">
        <v>73</v>
      </c>
      <c r="BD34" t="s">
        <v>73</v>
      </c>
      <c r="BE34" t="s">
        <v>73</v>
      </c>
      <c r="BF34" t="s">
        <v>73</v>
      </c>
      <c r="BG34" t="s">
        <v>73</v>
      </c>
      <c r="BH34" t="s">
        <v>73</v>
      </c>
      <c r="BI34" s="10">
        <v>3404</v>
      </c>
      <c r="BJ34" s="10">
        <v>3404</v>
      </c>
      <c r="BK34" t="s">
        <v>73</v>
      </c>
      <c r="BL34" t="s">
        <v>73</v>
      </c>
      <c r="BM34" t="s">
        <v>73</v>
      </c>
      <c r="BN34">
        <v>0.13</v>
      </c>
      <c r="BO34" t="s">
        <v>73</v>
      </c>
      <c r="BP34" t="s">
        <v>73</v>
      </c>
      <c r="BQ34" t="s">
        <v>73</v>
      </c>
      <c r="BR34" t="s">
        <v>73</v>
      </c>
      <c r="BS34" t="s">
        <v>73</v>
      </c>
      <c r="BT34" t="s">
        <v>73</v>
      </c>
      <c r="BU34" s="18">
        <v>1</v>
      </c>
      <c r="BV34" s="18">
        <v>1</v>
      </c>
      <c r="BW34" s="18">
        <v>1</v>
      </c>
      <c r="BX34" s="30">
        <f>((AZ34^2)/(AZ34^2+BI34))^(1/2)</f>
        <v>3.3213108476623197E-2</v>
      </c>
      <c r="BY34" s="30">
        <f>0.5*LN((1+BX34)/(1-BX34))</f>
        <v>3.3225329143150836E-2</v>
      </c>
      <c r="BZ34" s="30">
        <f>((1-(BY34^2)^2)/(BI34-1))</f>
        <v>2.9385800216136389E-4</v>
      </c>
      <c r="CA34" s="30">
        <f>1/(BI34-3)</f>
        <v>2.9403116730373417E-4</v>
      </c>
      <c r="CB34" s="92" t="s">
        <v>73</v>
      </c>
      <c r="CC34">
        <f>BI34-2</f>
        <v>3402</v>
      </c>
      <c r="CD34" s="92" t="s">
        <v>73</v>
      </c>
      <c r="CE34" s="30">
        <f>((AZ34^2)/(AZ34^2+BJ34))^(1/2)</f>
        <v>3.3213108476623197E-2</v>
      </c>
      <c r="CF34" s="30">
        <f>0.5*LN((1+CE34)/(1-CE34))</f>
        <v>3.3225329143150836E-2</v>
      </c>
      <c r="CG34" s="30">
        <f>((1-(CF34^2)^2)/(BJ34-1))</f>
        <v>2.9385800216136389E-4</v>
      </c>
      <c r="CH34" s="30">
        <f>1/(BJ34-3)</f>
        <v>2.9403116730373417E-4</v>
      </c>
      <c r="CI34"/>
    </row>
    <row r="35" spans="1:87" s="92" customFormat="1" ht="16">
      <c r="A35" s="11" t="s">
        <v>68</v>
      </c>
      <c r="B35" s="11" t="s">
        <v>719</v>
      </c>
      <c r="C35" s="11">
        <v>1050</v>
      </c>
      <c r="D35" s="11">
        <v>108</v>
      </c>
      <c r="E35" t="s">
        <v>270</v>
      </c>
      <c r="F35" s="11">
        <v>2018</v>
      </c>
      <c r="G35" t="s">
        <v>271</v>
      </c>
      <c r="H35" t="s">
        <v>272</v>
      </c>
      <c r="I35" s="18">
        <v>2</v>
      </c>
      <c r="J35">
        <v>2014</v>
      </c>
      <c r="K35" s="10" t="s">
        <v>73</v>
      </c>
      <c r="L35" s="10">
        <v>567</v>
      </c>
      <c r="M35" s="18" t="s">
        <v>269</v>
      </c>
      <c r="N35" t="s">
        <v>241</v>
      </c>
      <c r="O35" t="s">
        <v>274</v>
      </c>
      <c r="P35" s="18" t="s">
        <v>242</v>
      </c>
      <c r="Q35" t="s">
        <v>243</v>
      </c>
      <c r="R35" t="s">
        <v>244</v>
      </c>
      <c r="S35">
        <v>1</v>
      </c>
      <c r="T35" t="s">
        <v>188</v>
      </c>
      <c r="U35">
        <v>0</v>
      </c>
      <c r="V35" s="18" t="s">
        <v>231</v>
      </c>
      <c r="W35" s="18" t="s">
        <v>231</v>
      </c>
      <c r="X35" s="18" t="s">
        <v>73</v>
      </c>
      <c r="Y35">
        <v>0</v>
      </c>
      <c r="Z35">
        <v>0</v>
      </c>
      <c r="AA35">
        <v>0</v>
      </c>
      <c r="AB35">
        <v>0</v>
      </c>
      <c r="AC35">
        <v>0</v>
      </c>
      <c r="AD35">
        <v>1</v>
      </c>
      <c r="AE35">
        <v>0</v>
      </c>
      <c r="AF35">
        <v>0</v>
      </c>
      <c r="AG35" t="s">
        <v>73</v>
      </c>
      <c r="AH35">
        <v>0</v>
      </c>
      <c r="AI35">
        <v>0</v>
      </c>
      <c r="AJ35">
        <v>0</v>
      </c>
      <c r="AK35">
        <v>0</v>
      </c>
      <c r="AL35">
        <v>0</v>
      </c>
      <c r="AM35">
        <v>0</v>
      </c>
      <c r="AN35">
        <v>1</v>
      </c>
      <c r="AO35">
        <v>0</v>
      </c>
      <c r="AP35">
        <v>0</v>
      </c>
      <c r="AQ35" t="s">
        <v>275</v>
      </c>
      <c r="AR35" s="92" t="s">
        <v>233</v>
      </c>
      <c r="AS35" s="92" t="s">
        <v>276</v>
      </c>
      <c r="AT35" s="11" t="s">
        <v>235</v>
      </c>
      <c r="AU35" s="201">
        <v>1.881</v>
      </c>
      <c r="AV35" s="7" t="s">
        <v>86</v>
      </c>
      <c r="AW35">
        <v>1.145</v>
      </c>
      <c r="AX35">
        <v>0.1</v>
      </c>
      <c r="AY35">
        <v>2</v>
      </c>
      <c r="AZ35">
        <f>AU35/AW35</f>
        <v>1.6427947598253274</v>
      </c>
      <c r="BA35" t="s">
        <v>73</v>
      </c>
      <c r="BB35" s="105">
        <f>EXP(AU35)/(1+EXP(AU35))</f>
        <v>0.86772594629901956</v>
      </c>
      <c r="BC35" t="s">
        <v>73</v>
      </c>
      <c r="BD35" t="s">
        <v>73</v>
      </c>
      <c r="BE35" t="s">
        <v>73</v>
      </c>
      <c r="BF35" t="s">
        <v>73</v>
      </c>
      <c r="BG35" t="s">
        <v>73</v>
      </c>
      <c r="BH35" t="s">
        <v>73</v>
      </c>
      <c r="BI35" s="10">
        <v>3404</v>
      </c>
      <c r="BJ35" s="10">
        <v>3404</v>
      </c>
      <c r="BK35" t="s">
        <v>73</v>
      </c>
      <c r="BL35" t="s">
        <v>73</v>
      </c>
      <c r="BM35" t="s">
        <v>73</v>
      </c>
      <c r="BN35">
        <v>0.13</v>
      </c>
      <c r="BO35" t="s">
        <v>73</v>
      </c>
      <c r="BP35" t="s">
        <v>73</v>
      </c>
      <c r="BQ35" t="s">
        <v>73</v>
      </c>
      <c r="BR35" t="s">
        <v>73</v>
      </c>
      <c r="BS35" t="s">
        <v>73</v>
      </c>
      <c r="BT35" t="s">
        <v>73</v>
      </c>
      <c r="BU35" s="18">
        <v>1</v>
      </c>
      <c r="BV35" s="18">
        <v>1</v>
      </c>
      <c r="BW35" s="18">
        <v>1</v>
      </c>
      <c r="BX35" s="30">
        <f>((AZ35^2)/(AZ35^2+BI35))^(1/2)</f>
        <v>2.8145984341816754E-2</v>
      </c>
      <c r="BY35" s="30">
        <f>0.5*LN((1+BX35)/(1-BX35))</f>
        <v>2.8153420259375738E-2</v>
      </c>
      <c r="BZ35" s="30">
        <f>((1-(BY35^2)^2)/(BI35-1))</f>
        <v>2.9385817565716929E-4</v>
      </c>
      <c r="CA35" s="30">
        <f>1/(BI35-3)</f>
        <v>2.9403116730373417E-4</v>
      </c>
      <c r="CB35" s="92" t="s">
        <v>73</v>
      </c>
      <c r="CC35">
        <f>BI35-2</f>
        <v>3402</v>
      </c>
      <c r="CD35" s="92" t="s">
        <v>73</v>
      </c>
      <c r="CE35" s="30">
        <f>((AZ35^2)/(AZ35^2+BJ35))^(1/2)</f>
        <v>2.8145984341816754E-2</v>
      </c>
      <c r="CF35" s="30">
        <f>0.5*LN((1+CE35)/(1-CE35))</f>
        <v>2.8153420259375738E-2</v>
      </c>
      <c r="CG35" s="30">
        <f>((1-(CF35^2)^2)/(BJ35-1))</f>
        <v>2.9385817565716929E-4</v>
      </c>
      <c r="CH35" s="30">
        <f>1/(BJ35-3)</f>
        <v>2.9403116730373417E-4</v>
      </c>
      <c r="CI35"/>
    </row>
    <row r="36" spans="1:87" s="92" customFormat="1" ht="16">
      <c r="A36" s="11" t="s">
        <v>68</v>
      </c>
      <c r="B36" s="11" t="s">
        <v>719</v>
      </c>
      <c r="C36" s="11">
        <v>1051</v>
      </c>
      <c r="D36" s="11">
        <v>108</v>
      </c>
      <c r="E36" t="s">
        <v>270</v>
      </c>
      <c r="F36" s="11">
        <v>2018</v>
      </c>
      <c r="G36" t="s">
        <v>271</v>
      </c>
      <c r="H36" t="s">
        <v>272</v>
      </c>
      <c r="I36" s="18">
        <v>2</v>
      </c>
      <c r="J36">
        <v>2014</v>
      </c>
      <c r="K36" s="10" t="s">
        <v>73</v>
      </c>
      <c r="L36" s="10">
        <v>567</v>
      </c>
      <c r="M36" s="18" t="s">
        <v>269</v>
      </c>
      <c r="N36" t="s">
        <v>241</v>
      </c>
      <c r="O36" t="s">
        <v>274</v>
      </c>
      <c r="P36" s="18" t="s">
        <v>242</v>
      </c>
      <c r="Q36" t="s">
        <v>243</v>
      </c>
      <c r="R36" t="s">
        <v>244</v>
      </c>
      <c r="S36">
        <v>1</v>
      </c>
      <c r="T36" t="s">
        <v>188</v>
      </c>
      <c r="U36">
        <v>0</v>
      </c>
      <c r="V36" s="18" t="s">
        <v>231</v>
      </c>
      <c r="W36" s="18" t="s">
        <v>231</v>
      </c>
      <c r="X36" s="18" t="s">
        <v>73</v>
      </c>
      <c r="Y36">
        <v>0</v>
      </c>
      <c r="Z36">
        <v>0</v>
      </c>
      <c r="AA36">
        <v>0</v>
      </c>
      <c r="AB36">
        <v>0</v>
      </c>
      <c r="AC36">
        <v>0</v>
      </c>
      <c r="AD36">
        <v>1</v>
      </c>
      <c r="AE36">
        <v>0</v>
      </c>
      <c r="AF36">
        <v>0</v>
      </c>
      <c r="AG36" t="s">
        <v>73</v>
      </c>
      <c r="AH36">
        <v>0</v>
      </c>
      <c r="AI36">
        <v>0</v>
      </c>
      <c r="AJ36">
        <v>0</v>
      </c>
      <c r="AK36">
        <v>0</v>
      </c>
      <c r="AL36">
        <v>0</v>
      </c>
      <c r="AM36">
        <v>0</v>
      </c>
      <c r="AN36">
        <v>1</v>
      </c>
      <c r="AO36">
        <v>0</v>
      </c>
      <c r="AP36">
        <v>0</v>
      </c>
      <c r="AQ36" t="s">
        <v>277</v>
      </c>
      <c r="AR36" s="92" t="s">
        <v>233</v>
      </c>
      <c r="AS36" s="92" t="s">
        <v>276</v>
      </c>
      <c r="AT36" s="11" t="s">
        <v>235</v>
      </c>
      <c r="AU36" s="134">
        <v>0.77300000000000002</v>
      </c>
      <c r="AV36" s="7" t="s">
        <v>86</v>
      </c>
      <c r="AW36">
        <v>0.65300000000000002</v>
      </c>
      <c r="AX36">
        <v>0.1</v>
      </c>
      <c r="AY36">
        <v>2</v>
      </c>
      <c r="AZ36">
        <f>AU36/AW36</f>
        <v>1.1837672281776417</v>
      </c>
      <c r="BA36" t="s">
        <v>73</v>
      </c>
      <c r="BB36" s="105">
        <f>EXP(AU36)/(1+EXP(AU36))</f>
        <v>0.68416949639812985</v>
      </c>
      <c r="BC36" t="s">
        <v>73</v>
      </c>
      <c r="BD36" t="s">
        <v>73</v>
      </c>
      <c r="BE36" t="s">
        <v>73</v>
      </c>
      <c r="BF36" t="s">
        <v>73</v>
      </c>
      <c r="BG36" t="s">
        <v>73</v>
      </c>
      <c r="BH36" t="s">
        <v>73</v>
      </c>
      <c r="BI36" s="10">
        <v>3404</v>
      </c>
      <c r="BJ36" s="10">
        <v>3404</v>
      </c>
      <c r="BK36" t="s">
        <v>73</v>
      </c>
      <c r="BL36" t="s">
        <v>73</v>
      </c>
      <c r="BM36" t="s">
        <v>73</v>
      </c>
      <c r="BN36">
        <v>0.13</v>
      </c>
      <c r="BO36" t="s">
        <v>73</v>
      </c>
      <c r="BP36" t="s">
        <v>73</v>
      </c>
      <c r="BQ36" t="s">
        <v>73</v>
      </c>
      <c r="BR36" t="s">
        <v>73</v>
      </c>
      <c r="BS36" t="s">
        <v>73</v>
      </c>
      <c r="BT36" t="s">
        <v>73</v>
      </c>
      <c r="BU36" s="18">
        <v>1</v>
      </c>
      <c r="BV36" s="18">
        <v>1</v>
      </c>
      <c r="BW36" s="18">
        <v>1</v>
      </c>
      <c r="BX36" s="30">
        <f>((AZ36^2)/(AZ36^2+BI36))^(1/2)</f>
        <v>2.0285334036980945E-2</v>
      </c>
      <c r="BY36" s="30">
        <f>0.5*LN((1+BX36)/(1-BX36))</f>
        <v>2.0288117160492912E-2</v>
      </c>
      <c r="BZ36" s="30">
        <f>((1-(BY36^2)^2)/(BI36-1))</f>
        <v>2.9385831048460269E-4</v>
      </c>
      <c r="CA36" s="30">
        <f>1/(BI36-3)</f>
        <v>2.9403116730373417E-4</v>
      </c>
      <c r="CB36" s="92" t="s">
        <v>73</v>
      </c>
      <c r="CC36">
        <f>BI36-2</f>
        <v>3402</v>
      </c>
      <c r="CD36" s="92" t="s">
        <v>73</v>
      </c>
      <c r="CE36" s="30">
        <f>((AZ36^2)/(AZ36^2+BJ36))^(1/2)</f>
        <v>2.0285334036980945E-2</v>
      </c>
      <c r="CF36" s="30">
        <f>0.5*LN((1+CE36)/(1-CE36))</f>
        <v>2.0288117160492912E-2</v>
      </c>
      <c r="CG36" s="30">
        <f>((1-(CF36^2)^2)/(BJ36-1))</f>
        <v>2.9385831048460269E-4</v>
      </c>
      <c r="CH36" s="30">
        <f>1/(BJ36-3)</f>
        <v>2.9403116730373417E-4</v>
      </c>
      <c r="CI36"/>
    </row>
    <row r="37" spans="1:87" s="92" customFormat="1" ht="16">
      <c r="A37" s="11" t="s">
        <v>68</v>
      </c>
      <c r="B37" s="11" t="s">
        <v>719</v>
      </c>
      <c r="C37" s="11">
        <v>1052</v>
      </c>
      <c r="D37" s="11">
        <v>108</v>
      </c>
      <c r="E37" t="s">
        <v>270</v>
      </c>
      <c r="F37" s="11">
        <v>2018</v>
      </c>
      <c r="G37" t="s">
        <v>271</v>
      </c>
      <c r="H37" t="s">
        <v>272</v>
      </c>
      <c r="I37" s="18">
        <v>2</v>
      </c>
      <c r="J37">
        <v>2014</v>
      </c>
      <c r="K37" s="10" t="s">
        <v>73</v>
      </c>
      <c r="L37" s="10">
        <v>567</v>
      </c>
      <c r="M37" s="18" t="s">
        <v>269</v>
      </c>
      <c r="N37" t="s">
        <v>241</v>
      </c>
      <c r="O37" t="s">
        <v>274</v>
      </c>
      <c r="P37" s="18" t="s">
        <v>242</v>
      </c>
      <c r="Q37" t="s">
        <v>243</v>
      </c>
      <c r="R37" t="s">
        <v>244</v>
      </c>
      <c r="S37">
        <v>1</v>
      </c>
      <c r="T37" t="s">
        <v>188</v>
      </c>
      <c r="U37">
        <v>0</v>
      </c>
      <c r="V37" s="18" t="s">
        <v>231</v>
      </c>
      <c r="W37" s="18" t="s">
        <v>231</v>
      </c>
      <c r="X37" s="18" t="s">
        <v>73</v>
      </c>
      <c r="Y37">
        <v>0</v>
      </c>
      <c r="Z37">
        <v>0</v>
      </c>
      <c r="AA37">
        <v>0</v>
      </c>
      <c r="AB37">
        <v>0</v>
      </c>
      <c r="AC37">
        <v>0</v>
      </c>
      <c r="AD37">
        <v>1</v>
      </c>
      <c r="AE37">
        <v>0</v>
      </c>
      <c r="AF37">
        <v>0</v>
      </c>
      <c r="AG37" t="s">
        <v>73</v>
      </c>
      <c r="AH37">
        <v>0</v>
      </c>
      <c r="AI37">
        <v>0</v>
      </c>
      <c r="AJ37">
        <v>0</v>
      </c>
      <c r="AK37">
        <v>0</v>
      </c>
      <c r="AL37">
        <v>0</v>
      </c>
      <c r="AM37">
        <v>0</v>
      </c>
      <c r="AN37">
        <v>1</v>
      </c>
      <c r="AO37">
        <v>0</v>
      </c>
      <c r="AP37">
        <v>0</v>
      </c>
      <c r="AQ37" t="s">
        <v>278</v>
      </c>
      <c r="AR37" s="92" t="s">
        <v>233</v>
      </c>
      <c r="AS37" s="92" t="s">
        <v>276</v>
      </c>
      <c r="AT37" s="11" t="s">
        <v>235</v>
      </c>
      <c r="AU37" s="201">
        <v>1.107</v>
      </c>
      <c r="AV37" s="7" t="s">
        <v>80</v>
      </c>
      <c r="AW37">
        <v>0.83799999999999997</v>
      </c>
      <c r="AX37">
        <v>0.1</v>
      </c>
      <c r="AY37">
        <v>2</v>
      </c>
      <c r="AZ37">
        <f>AU37/AW37</f>
        <v>1.3210023866348448</v>
      </c>
      <c r="BA37" t="s">
        <v>73</v>
      </c>
      <c r="BB37" s="105">
        <f>EXP(AU37)/(1+EXP(AU37))</f>
        <v>0.75156939576401494</v>
      </c>
      <c r="BC37" t="s">
        <v>73</v>
      </c>
      <c r="BD37" t="s">
        <v>73</v>
      </c>
      <c r="BE37" t="s">
        <v>73</v>
      </c>
      <c r="BF37" t="s">
        <v>73</v>
      </c>
      <c r="BG37" t="s">
        <v>73</v>
      </c>
      <c r="BH37" t="s">
        <v>73</v>
      </c>
      <c r="BI37" s="10">
        <v>3404</v>
      </c>
      <c r="BJ37" s="10">
        <v>3404</v>
      </c>
      <c r="BK37" t="s">
        <v>73</v>
      </c>
      <c r="BL37" t="s">
        <v>73</v>
      </c>
      <c r="BM37" t="s">
        <v>73</v>
      </c>
      <c r="BN37">
        <v>0.13</v>
      </c>
      <c r="BO37" t="s">
        <v>73</v>
      </c>
      <c r="BP37" t="s">
        <v>73</v>
      </c>
      <c r="BQ37" t="s">
        <v>73</v>
      </c>
      <c r="BR37" t="s">
        <v>73</v>
      </c>
      <c r="BS37" t="s">
        <v>73</v>
      </c>
      <c r="BT37" t="s">
        <v>73</v>
      </c>
      <c r="BU37" s="18">
        <v>1</v>
      </c>
      <c r="BV37" s="18">
        <v>1</v>
      </c>
      <c r="BW37" s="18">
        <v>1</v>
      </c>
      <c r="BX37" s="30">
        <f>((AZ37^2)/(AZ37^2+BI37))^(1/2)</f>
        <v>2.263588794559478E-2</v>
      </c>
      <c r="BY37" s="30">
        <f>0.5*LN((1+BX37)/(1-BX37))</f>
        <v>2.2639755219163907E-2</v>
      </c>
      <c r="BZ37" s="30">
        <f>((1-(BY37^2)^2)/(BI37-1))</f>
        <v>2.9385828306898831E-4</v>
      </c>
      <c r="CA37" s="30">
        <f>1/(BI37-3)</f>
        <v>2.9403116730373417E-4</v>
      </c>
      <c r="CB37" s="92" t="s">
        <v>73</v>
      </c>
      <c r="CC37">
        <f>BI37-2</f>
        <v>3402</v>
      </c>
      <c r="CD37" s="92" t="s">
        <v>73</v>
      </c>
      <c r="CE37" s="30">
        <f>((AZ37^2)/(AZ37^2+BJ37))^(1/2)</f>
        <v>2.263588794559478E-2</v>
      </c>
      <c r="CF37" s="30">
        <f>0.5*LN((1+CE37)/(1-CE37))</f>
        <v>2.2639755219163907E-2</v>
      </c>
      <c r="CG37" s="30">
        <f>((1-(CF37^2)^2)/(BJ37-1))</f>
        <v>2.9385828306898831E-4</v>
      </c>
      <c r="CH37" s="30">
        <f>1/(BJ37-3)</f>
        <v>2.9403116730373417E-4</v>
      </c>
      <c r="CI37"/>
    </row>
    <row r="38" spans="1:87" s="119" customFormat="1" ht="16">
      <c r="A38" s="11" t="s">
        <v>68</v>
      </c>
      <c r="B38" s="92" t="s">
        <v>719</v>
      </c>
      <c r="C38" s="11">
        <v>1053</v>
      </c>
      <c r="D38" s="11">
        <v>109</v>
      </c>
      <c r="E38" t="s">
        <v>279</v>
      </c>
      <c r="F38" s="11">
        <v>2013</v>
      </c>
      <c r="G38" t="s">
        <v>280</v>
      </c>
      <c r="H38" t="s">
        <v>281</v>
      </c>
      <c r="I38" s="18">
        <v>2</v>
      </c>
      <c r="J38" t="s">
        <v>102</v>
      </c>
      <c r="K38" s="10" t="s">
        <v>73</v>
      </c>
      <c r="L38">
        <v>649</v>
      </c>
      <c r="M38" s="18" t="s">
        <v>155</v>
      </c>
      <c r="N38" t="s">
        <v>282</v>
      </c>
      <c r="O38" t="s">
        <v>283</v>
      </c>
      <c r="P38" s="18" t="s">
        <v>227</v>
      </c>
      <c r="Q38" t="s">
        <v>243</v>
      </c>
      <c r="R38" t="s">
        <v>244</v>
      </c>
      <c r="S38">
        <v>0</v>
      </c>
      <c r="T38" t="s">
        <v>188</v>
      </c>
      <c r="U38">
        <v>0</v>
      </c>
      <c r="V38" s="18" t="s">
        <v>231</v>
      </c>
      <c r="W38" s="18" t="s">
        <v>231</v>
      </c>
      <c r="X38" s="18" t="s">
        <v>73</v>
      </c>
      <c r="Y38">
        <v>0</v>
      </c>
      <c r="Z38">
        <v>0</v>
      </c>
      <c r="AA38">
        <v>0</v>
      </c>
      <c r="AB38">
        <v>1</v>
      </c>
      <c r="AC38">
        <v>0</v>
      </c>
      <c r="AD38">
        <v>0</v>
      </c>
      <c r="AE38">
        <v>0</v>
      </c>
      <c r="AF38">
        <v>0</v>
      </c>
      <c r="AG38" t="s">
        <v>73</v>
      </c>
      <c r="AH38">
        <v>0</v>
      </c>
      <c r="AI38">
        <v>0</v>
      </c>
      <c r="AJ38">
        <v>0</v>
      </c>
      <c r="AK38">
        <v>0</v>
      </c>
      <c r="AL38">
        <v>0</v>
      </c>
      <c r="AM38">
        <v>0</v>
      </c>
      <c r="AN38">
        <v>1</v>
      </c>
      <c r="AO38">
        <v>0</v>
      </c>
      <c r="AP38">
        <v>0</v>
      </c>
      <c r="AQ38" t="s">
        <v>284</v>
      </c>
      <c r="AR38" s="92" t="s">
        <v>233</v>
      </c>
      <c r="AS38" s="92" t="s">
        <v>285</v>
      </c>
      <c r="AT38" t="s">
        <v>235</v>
      </c>
      <c r="AU38" s="134">
        <v>0.27</v>
      </c>
      <c r="AV38" s="7" t="s">
        <v>86</v>
      </c>
      <c r="AW38">
        <v>0.11</v>
      </c>
      <c r="AX38">
        <v>0.05</v>
      </c>
      <c r="AY38">
        <v>1</v>
      </c>
      <c r="AZ38">
        <f>AU38/AW38</f>
        <v>2.4545454545454546</v>
      </c>
      <c r="BA38"/>
      <c r="BB38" s="152">
        <v>0.27</v>
      </c>
      <c r="BC38" t="s">
        <v>73</v>
      </c>
      <c r="BD38" t="s">
        <v>73</v>
      </c>
      <c r="BE38" t="s">
        <v>73</v>
      </c>
      <c r="BF38" t="s">
        <v>73</v>
      </c>
      <c r="BG38">
        <v>408</v>
      </c>
      <c r="BH38" t="s">
        <v>73</v>
      </c>
      <c r="BI38">
        <v>408</v>
      </c>
      <c r="BJ38">
        <v>408</v>
      </c>
      <c r="BK38" t="s">
        <v>73</v>
      </c>
      <c r="BL38" t="s">
        <v>73</v>
      </c>
      <c r="BM38">
        <v>300</v>
      </c>
      <c r="BN38" t="s">
        <v>286</v>
      </c>
      <c r="BO38" t="s">
        <v>73</v>
      </c>
      <c r="BP38" t="s">
        <v>73</v>
      </c>
      <c r="BQ38" t="s">
        <v>73</v>
      </c>
      <c r="BR38" t="s">
        <v>73</v>
      </c>
      <c r="BS38" t="s">
        <v>73</v>
      </c>
      <c r="BT38" t="s">
        <v>73</v>
      </c>
      <c r="BU38" s="18">
        <v>0</v>
      </c>
      <c r="BV38" s="18">
        <v>0</v>
      </c>
      <c r="BW38" s="18">
        <v>0</v>
      </c>
      <c r="BX38" s="30">
        <f>((AZ38^2)/(AZ38^2+BI38))^(1/2)</f>
        <v>0.12063071568651137</v>
      </c>
      <c r="BY38" s="30">
        <f>0.5*LN((1+BX38)/(1-BX38))</f>
        <v>0.12122100832937013</v>
      </c>
      <c r="BZ38" s="30">
        <f>((1-(BY38^2)^2)/(BI38-1))</f>
        <v>2.4564719181916828E-3</v>
      </c>
      <c r="CA38" s="30">
        <f>1/(BI38-3)</f>
        <v>2.4691358024691358E-3</v>
      </c>
      <c r="CB38" s="92" t="s">
        <v>73</v>
      </c>
      <c r="CC38">
        <f>BI38-2</f>
        <v>406</v>
      </c>
      <c r="CD38" s="92" t="s">
        <v>73</v>
      </c>
      <c r="CE38" s="30">
        <f>((AZ38^2)/(AZ38^2+BJ38))^(1/2)</f>
        <v>0.12063071568651137</v>
      </c>
      <c r="CF38" s="30">
        <f>0.5*LN((1+CE38)/(1-CE38))</f>
        <v>0.12122100832937013</v>
      </c>
      <c r="CG38" s="30">
        <f>((1-(CF38^2)^2)/(BJ38-1))</f>
        <v>2.4564719181916828E-3</v>
      </c>
      <c r="CH38" s="30">
        <f>1/(BJ38-3)</f>
        <v>2.4691358024691358E-3</v>
      </c>
      <c r="CI38"/>
    </row>
    <row r="39" spans="1:87" s="92" customFormat="1" ht="16">
      <c r="A39" s="11" t="s">
        <v>68</v>
      </c>
      <c r="B39" s="92" t="s">
        <v>719</v>
      </c>
      <c r="C39" s="11">
        <v>1054</v>
      </c>
      <c r="D39" s="11">
        <v>109</v>
      </c>
      <c r="E39" t="s">
        <v>279</v>
      </c>
      <c r="F39" s="11">
        <v>2013</v>
      </c>
      <c r="G39" t="s">
        <v>280</v>
      </c>
      <c r="H39" t="s">
        <v>281</v>
      </c>
      <c r="I39" s="18">
        <v>2</v>
      </c>
      <c r="J39" t="s">
        <v>102</v>
      </c>
      <c r="K39" s="10" t="s">
        <v>73</v>
      </c>
      <c r="L39">
        <v>649</v>
      </c>
      <c r="M39" s="18" t="s">
        <v>155</v>
      </c>
      <c r="N39" t="s">
        <v>282</v>
      </c>
      <c r="O39" t="s">
        <v>283</v>
      </c>
      <c r="P39" s="18" t="s">
        <v>227</v>
      </c>
      <c r="Q39" t="s">
        <v>243</v>
      </c>
      <c r="R39" t="s">
        <v>244</v>
      </c>
      <c r="S39">
        <v>0</v>
      </c>
      <c r="T39" t="s">
        <v>188</v>
      </c>
      <c r="U39">
        <v>0</v>
      </c>
      <c r="V39" s="18" t="s">
        <v>231</v>
      </c>
      <c r="W39" s="18" t="s">
        <v>231</v>
      </c>
      <c r="X39" s="18" t="s">
        <v>73</v>
      </c>
      <c r="Y39">
        <v>0</v>
      </c>
      <c r="Z39">
        <v>0</v>
      </c>
      <c r="AA39">
        <v>0</v>
      </c>
      <c r="AB39">
        <v>1</v>
      </c>
      <c r="AC39">
        <v>0</v>
      </c>
      <c r="AD39">
        <v>0</v>
      </c>
      <c r="AE39">
        <v>0</v>
      </c>
      <c r="AF39">
        <v>0</v>
      </c>
      <c r="AG39" t="s">
        <v>73</v>
      </c>
      <c r="AH39">
        <v>0</v>
      </c>
      <c r="AI39">
        <v>0</v>
      </c>
      <c r="AJ39">
        <v>0</v>
      </c>
      <c r="AK39">
        <v>0</v>
      </c>
      <c r="AL39">
        <v>0</v>
      </c>
      <c r="AM39">
        <v>0</v>
      </c>
      <c r="AN39">
        <v>1</v>
      </c>
      <c r="AO39">
        <v>0</v>
      </c>
      <c r="AP39">
        <v>0</v>
      </c>
      <c r="AQ39" t="s">
        <v>284</v>
      </c>
      <c r="AR39" s="92" t="s">
        <v>233</v>
      </c>
      <c r="AS39" s="92" t="s">
        <v>287</v>
      </c>
      <c r="AT39" t="s">
        <v>235</v>
      </c>
      <c r="AU39" s="134">
        <v>0.19</v>
      </c>
      <c r="AV39" s="7" t="s">
        <v>80</v>
      </c>
      <c r="AW39">
        <v>0.06</v>
      </c>
      <c r="AX39">
        <v>0.05</v>
      </c>
      <c r="AY39">
        <v>1</v>
      </c>
      <c r="AZ39">
        <f>AU39/AW39</f>
        <v>3.166666666666667</v>
      </c>
      <c r="BA39"/>
      <c r="BB39" s="152">
        <v>0.19</v>
      </c>
      <c r="BC39" t="s">
        <v>73</v>
      </c>
      <c r="BD39" t="s">
        <v>73</v>
      </c>
      <c r="BE39" t="s">
        <v>73</v>
      </c>
      <c r="BF39" t="s">
        <v>73</v>
      </c>
      <c r="BG39">
        <v>408</v>
      </c>
      <c r="BH39" t="s">
        <v>73</v>
      </c>
      <c r="BI39">
        <v>408</v>
      </c>
      <c r="BJ39">
        <v>408</v>
      </c>
      <c r="BK39" t="s">
        <v>73</v>
      </c>
      <c r="BL39" t="s">
        <v>73</v>
      </c>
      <c r="BM39">
        <v>1000</v>
      </c>
      <c r="BN39" t="s">
        <v>288</v>
      </c>
      <c r="BO39" t="s">
        <v>73</v>
      </c>
      <c r="BP39" t="s">
        <v>73</v>
      </c>
      <c r="BQ39" t="s">
        <v>73</v>
      </c>
      <c r="BR39" t="s">
        <v>73</v>
      </c>
      <c r="BS39" t="s">
        <v>73</v>
      </c>
      <c r="BT39" t="s">
        <v>73</v>
      </c>
      <c r="BU39" s="18">
        <v>0</v>
      </c>
      <c r="BV39" s="18">
        <v>0</v>
      </c>
      <c r="BW39" s="18">
        <v>0</v>
      </c>
      <c r="BX39" s="30">
        <f>((AZ39^2)/(AZ39^2+BI39))^(1/2)</f>
        <v>0.15488158338148386</v>
      </c>
      <c r="BY39" s="30">
        <f>0.5*LN((1+BX39)/(1-BX39))</f>
        <v>0.15613816847007514</v>
      </c>
      <c r="BZ39" s="30">
        <f>((1-(BY39^2)^2)/(BI39-1))</f>
        <v>2.4555421575795317E-3</v>
      </c>
      <c r="CA39" s="30">
        <f>1/(BI39-3)</f>
        <v>2.4691358024691358E-3</v>
      </c>
      <c r="CB39" s="92" t="s">
        <v>73</v>
      </c>
      <c r="CC39">
        <f>BI39-2</f>
        <v>406</v>
      </c>
      <c r="CD39" s="92" t="s">
        <v>73</v>
      </c>
      <c r="CE39" s="30">
        <f>((AZ39^2)/(AZ39^2+BJ39))^(1/2)</f>
        <v>0.15488158338148386</v>
      </c>
      <c r="CF39" s="30">
        <f>0.5*LN((1+CE39)/(1-CE39))</f>
        <v>0.15613816847007514</v>
      </c>
      <c r="CG39" s="30">
        <f>((1-(CF39^2)^2)/(BJ39-1))</f>
        <v>2.4555421575795317E-3</v>
      </c>
      <c r="CH39" s="30">
        <f>1/(BJ39-3)</f>
        <v>2.4691358024691358E-3</v>
      </c>
      <c r="CI39"/>
    </row>
    <row r="40" spans="1:87" s="92" customFormat="1" ht="16">
      <c r="A40" s="11" t="s">
        <v>68</v>
      </c>
      <c r="B40" s="92" t="s">
        <v>719</v>
      </c>
      <c r="C40" s="11">
        <v>1055</v>
      </c>
      <c r="D40" s="11">
        <v>109</v>
      </c>
      <c r="E40" t="s">
        <v>279</v>
      </c>
      <c r="F40" s="11">
        <v>2013</v>
      </c>
      <c r="G40" t="s">
        <v>280</v>
      </c>
      <c r="H40" t="s">
        <v>281</v>
      </c>
      <c r="I40" s="18">
        <v>2</v>
      </c>
      <c r="J40" t="s">
        <v>102</v>
      </c>
      <c r="K40" s="10" t="s">
        <v>73</v>
      </c>
      <c r="L40">
        <v>649</v>
      </c>
      <c r="M40" s="18" t="s">
        <v>155</v>
      </c>
      <c r="N40" t="s">
        <v>282</v>
      </c>
      <c r="O40" t="s">
        <v>283</v>
      </c>
      <c r="P40" s="18" t="s">
        <v>227</v>
      </c>
      <c r="Q40" t="s">
        <v>243</v>
      </c>
      <c r="R40" t="s">
        <v>244</v>
      </c>
      <c r="S40">
        <v>0</v>
      </c>
      <c r="T40" t="s">
        <v>188</v>
      </c>
      <c r="U40">
        <v>0</v>
      </c>
      <c r="V40" s="18" t="s">
        <v>231</v>
      </c>
      <c r="W40" s="18" t="s">
        <v>231</v>
      </c>
      <c r="X40" s="18" t="s">
        <v>73</v>
      </c>
      <c r="Y40">
        <v>0</v>
      </c>
      <c r="Z40">
        <v>0</v>
      </c>
      <c r="AA40">
        <v>0</v>
      </c>
      <c r="AB40">
        <v>1</v>
      </c>
      <c r="AC40">
        <v>0</v>
      </c>
      <c r="AD40">
        <v>0</v>
      </c>
      <c r="AE40">
        <v>0</v>
      </c>
      <c r="AF40">
        <v>0</v>
      </c>
      <c r="AG40" t="s">
        <v>73</v>
      </c>
      <c r="AH40">
        <v>0</v>
      </c>
      <c r="AI40">
        <v>0</v>
      </c>
      <c r="AJ40">
        <v>0</v>
      </c>
      <c r="AK40">
        <v>0</v>
      </c>
      <c r="AL40">
        <v>0</v>
      </c>
      <c r="AM40">
        <v>0</v>
      </c>
      <c r="AN40">
        <v>1</v>
      </c>
      <c r="AO40">
        <v>0</v>
      </c>
      <c r="AP40">
        <v>0</v>
      </c>
      <c r="AQ40" t="s">
        <v>289</v>
      </c>
      <c r="AR40" s="92" t="s">
        <v>233</v>
      </c>
      <c r="AS40" s="92" t="s">
        <v>287</v>
      </c>
      <c r="AT40" t="s">
        <v>235</v>
      </c>
      <c r="AU40" s="134">
        <v>0.43</v>
      </c>
      <c r="AV40" s="7" t="s">
        <v>80</v>
      </c>
      <c r="AW40">
        <v>0.06</v>
      </c>
      <c r="AX40">
        <v>0.05</v>
      </c>
      <c r="AY40">
        <v>1</v>
      </c>
      <c r="AZ40">
        <f>AU40/AW40</f>
        <v>7.166666666666667</v>
      </c>
      <c r="BA40"/>
      <c r="BB40" s="152">
        <v>0.43</v>
      </c>
      <c r="BC40" t="s">
        <v>73</v>
      </c>
      <c r="BD40" t="s">
        <v>73</v>
      </c>
      <c r="BE40" t="s">
        <v>73</v>
      </c>
      <c r="BF40" t="s">
        <v>73</v>
      </c>
      <c r="BG40">
        <v>504</v>
      </c>
      <c r="BH40" t="s">
        <v>73</v>
      </c>
      <c r="BI40">
        <v>504</v>
      </c>
      <c r="BJ40">
        <v>504</v>
      </c>
      <c r="BK40" t="s">
        <v>73</v>
      </c>
      <c r="BL40" t="s">
        <v>73</v>
      </c>
      <c r="BM40">
        <v>1000</v>
      </c>
      <c r="BN40" t="s">
        <v>288</v>
      </c>
      <c r="BO40" t="s">
        <v>73</v>
      </c>
      <c r="BP40" t="s">
        <v>73</v>
      </c>
      <c r="BQ40" t="s">
        <v>73</v>
      </c>
      <c r="BR40" t="s">
        <v>73</v>
      </c>
      <c r="BS40" t="s">
        <v>73</v>
      </c>
      <c r="BT40" t="s">
        <v>73</v>
      </c>
      <c r="BU40" s="18">
        <v>0</v>
      </c>
      <c r="BV40" s="18">
        <v>0</v>
      </c>
      <c r="BW40" s="18">
        <v>0</v>
      </c>
      <c r="BX40" s="30">
        <f>((AZ40^2)/(AZ40^2+BI40))^(1/2)</f>
        <v>0.30410913966714348</v>
      </c>
      <c r="BY40" s="30">
        <f>0.5*LN((1+BX40)/(1-BX40))</f>
        <v>0.31404129843807849</v>
      </c>
      <c r="BZ40" s="30">
        <f>((1-(BY40^2)^2)/(BI40-1))</f>
        <v>1.96873501693395E-3</v>
      </c>
      <c r="CA40" s="30">
        <f>1/(BI40-3)</f>
        <v>1.996007984031936E-3</v>
      </c>
      <c r="CB40" s="92" t="s">
        <v>73</v>
      </c>
      <c r="CC40">
        <f>BI40-2</f>
        <v>502</v>
      </c>
      <c r="CD40" s="92" t="s">
        <v>73</v>
      </c>
      <c r="CE40" s="30">
        <f>((AZ40^2)/(AZ40^2+BJ40))^(1/2)</f>
        <v>0.30410913966714348</v>
      </c>
      <c r="CF40" s="30">
        <f>0.5*LN((1+CE40)/(1-CE40))</f>
        <v>0.31404129843807849</v>
      </c>
      <c r="CG40" s="30">
        <f>((1-(CF40^2)^2)/(BJ40-1))</f>
        <v>1.96873501693395E-3</v>
      </c>
      <c r="CH40" s="30">
        <f>1/(BJ40-3)</f>
        <v>1.996007984031936E-3</v>
      </c>
      <c r="CI40"/>
    </row>
    <row r="41" spans="1:87" ht="16">
      <c r="A41" s="11" t="s">
        <v>68</v>
      </c>
      <c r="B41" s="92" t="s">
        <v>719</v>
      </c>
      <c r="C41" s="11">
        <v>1056</v>
      </c>
      <c r="D41" s="11">
        <v>109</v>
      </c>
      <c r="E41" t="s">
        <v>279</v>
      </c>
      <c r="F41" s="11">
        <v>2013</v>
      </c>
      <c r="G41" t="s">
        <v>280</v>
      </c>
      <c r="H41" t="s">
        <v>281</v>
      </c>
      <c r="I41" s="18">
        <v>2</v>
      </c>
      <c r="J41" t="s">
        <v>102</v>
      </c>
      <c r="K41" s="10" t="s">
        <v>73</v>
      </c>
      <c r="L41">
        <v>649</v>
      </c>
      <c r="M41" s="18" t="s">
        <v>155</v>
      </c>
      <c r="N41" t="s">
        <v>282</v>
      </c>
      <c r="O41" t="s">
        <v>283</v>
      </c>
      <c r="P41" s="18" t="s">
        <v>227</v>
      </c>
      <c r="Q41" t="s">
        <v>243</v>
      </c>
      <c r="R41" t="s">
        <v>244</v>
      </c>
      <c r="S41">
        <v>0</v>
      </c>
      <c r="T41" t="s">
        <v>188</v>
      </c>
      <c r="U41">
        <v>0</v>
      </c>
      <c r="V41" s="18" t="s">
        <v>231</v>
      </c>
      <c r="W41" s="18" t="s">
        <v>231</v>
      </c>
      <c r="X41" s="18" t="s">
        <v>73</v>
      </c>
      <c r="Y41">
        <v>0</v>
      </c>
      <c r="Z41">
        <v>0</v>
      </c>
      <c r="AA41">
        <v>0</v>
      </c>
      <c r="AB41">
        <v>1</v>
      </c>
      <c r="AC41">
        <v>0</v>
      </c>
      <c r="AD41">
        <v>0</v>
      </c>
      <c r="AE41">
        <v>0</v>
      </c>
      <c r="AF41">
        <v>0</v>
      </c>
      <c r="AG41" t="s">
        <v>73</v>
      </c>
      <c r="AH41">
        <v>0</v>
      </c>
      <c r="AI41">
        <v>0</v>
      </c>
      <c r="AJ41">
        <v>0</v>
      </c>
      <c r="AK41">
        <v>0</v>
      </c>
      <c r="AL41">
        <v>0</v>
      </c>
      <c r="AM41">
        <v>0</v>
      </c>
      <c r="AN41">
        <v>1</v>
      </c>
      <c r="AO41">
        <v>0</v>
      </c>
      <c r="AP41">
        <v>0</v>
      </c>
      <c r="AQ41" t="s">
        <v>284</v>
      </c>
      <c r="AR41" s="92" t="s">
        <v>233</v>
      </c>
      <c r="AS41" s="92" t="s">
        <v>285</v>
      </c>
      <c r="AT41" t="s">
        <v>235</v>
      </c>
      <c r="AU41" s="134">
        <v>0.25</v>
      </c>
      <c r="AV41" s="7" t="s">
        <v>86</v>
      </c>
      <c r="AW41">
        <v>0.13</v>
      </c>
      <c r="AX41">
        <v>0.1</v>
      </c>
      <c r="AY41">
        <v>1</v>
      </c>
      <c r="AZ41">
        <f>AU41/AW41</f>
        <v>1.9230769230769229</v>
      </c>
      <c r="BB41" s="152">
        <v>0.25</v>
      </c>
      <c r="BC41" t="s">
        <v>73</v>
      </c>
      <c r="BD41" t="s">
        <v>73</v>
      </c>
      <c r="BE41" t="s">
        <v>73</v>
      </c>
      <c r="BF41" t="s">
        <v>73</v>
      </c>
      <c r="BG41">
        <v>408</v>
      </c>
      <c r="BH41" t="s">
        <v>73</v>
      </c>
      <c r="BI41">
        <v>408</v>
      </c>
      <c r="BJ41">
        <v>408</v>
      </c>
      <c r="BK41" t="s">
        <v>73</v>
      </c>
      <c r="BL41" t="s">
        <v>73</v>
      </c>
      <c r="BM41">
        <v>300</v>
      </c>
      <c r="BN41" t="s">
        <v>286</v>
      </c>
      <c r="BO41" t="s">
        <v>73</v>
      </c>
      <c r="BP41" t="s">
        <v>73</v>
      </c>
      <c r="BQ41" t="s">
        <v>73</v>
      </c>
      <c r="BR41" t="s">
        <v>73</v>
      </c>
      <c r="BS41" t="s">
        <v>73</v>
      </c>
      <c r="BT41" t="s">
        <v>73</v>
      </c>
      <c r="BU41" s="18">
        <v>1</v>
      </c>
      <c r="BV41" s="18">
        <v>0</v>
      </c>
      <c r="BW41" s="18">
        <v>1</v>
      </c>
      <c r="BX41" s="30">
        <f>((AZ41^2)/(AZ41^2+BI41))^(1/2)</f>
        <v>9.4777916885651653E-2</v>
      </c>
      <c r="BY41" s="30">
        <f>0.5*LN((1+BX41)/(1-BX41))</f>
        <v>9.5063248374700635E-2</v>
      </c>
      <c r="BZ41" s="30">
        <f>((1-(BY41^2)^2)/(BI41-1))</f>
        <v>2.4568017991350942E-3</v>
      </c>
      <c r="CA41" s="30">
        <f>1/(BI41-3)</f>
        <v>2.4691358024691358E-3</v>
      </c>
      <c r="CB41" s="92" t="s">
        <v>73</v>
      </c>
      <c r="CC41">
        <f>BI41-2</f>
        <v>406</v>
      </c>
      <c r="CD41" s="92" t="s">
        <v>73</v>
      </c>
      <c r="CE41" s="30">
        <f>((AZ41^2)/(AZ41^2+BJ41))^(1/2)</f>
        <v>9.4777916885651653E-2</v>
      </c>
      <c r="CF41" s="30">
        <f>0.5*LN((1+CE41)/(1-CE41))</f>
        <v>9.5063248374700635E-2</v>
      </c>
      <c r="CG41" s="30">
        <f>((1-(CF41^2)^2)/(BJ41-1))</f>
        <v>2.4568017991350942E-3</v>
      </c>
      <c r="CH41" s="30">
        <f>1/(BJ41-3)</f>
        <v>2.4691358024691358E-3</v>
      </c>
      <c r="CI41" s="119"/>
    </row>
    <row r="42" spans="1:87" ht="16">
      <c r="A42" s="11" t="s">
        <v>68</v>
      </c>
      <c r="B42" s="92" t="s">
        <v>719</v>
      </c>
      <c r="C42" s="11">
        <v>1057</v>
      </c>
      <c r="D42" s="11">
        <v>109</v>
      </c>
      <c r="E42" t="s">
        <v>279</v>
      </c>
      <c r="F42" s="11">
        <v>2013</v>
      </c>
      <c r="G42" t="s">
        <v>280</v>
      </c>
      <c r="H42" t="s">
        <v>281</v>
      </c>
      <c r="I42" s="18">
        <v>2</v>
      </c>
      <c r="J42" t="s">
        <v>102</v>
      </c>
      <c r="K42" s="10" t="s">
        <v>73</v>
      </c>
      <c r="L42">
        <v>649</v>
      </c>
      <c r="M42" s="18" t="s">
        <v>155</v>
      </c>
      <c r="N42" t="s">
        <v>282</v>
      </c>
      <c r="O42" t="s">
        <v>283</v>
      </c>
      <c r="P42" s="18" t="s">
        <v>227</v>
      </c>
      <c r="Q42" t="s">
        <v>243</v>
      </c>
      <c r="R42" t="s">
        <v>244</v>
      </c>
      <c r="S42">
        <v>0</v>
      </c>
      <c r="T42" t="s">
        <v>188</v>
      </c>
      <c r="U42">
        <v>0</v>
      </c>
      <c r="V42" s="18" t="s">
        <v>231</v>
      </c>
      <c r="W42" s="18" t="s">
        <v>231</v>
      </c>
      <c r="X42" s="18" t="s">
        <v>73</v>
      </c>
      <c r="Y42">
        <v>0</v>
      </c>
      <c r="Z42">
        <v>0</v>
      </c>
      <c r="AA42">
        <v>0</v>
      </c>
      <c r="AB42">
        <v>1</v>
      </c>
      <c r="AC42">
        <v>0</v>
      </c>
      <c r="AD42">
        <v>0</v>
      </c>
      <c r="AE42">
        <v>0</v>
      </c>
      <c r="AF42">
        <v>0</v>
      </c>
      <c r="AG42" t="s">
        <v>73</v>
      </c>
      <c r="AH42">
        <v>0</v>
      </c>
      <c r="AI42">
        <v>0</v>
      </c>
      <c r="AJ42">
        <v>0</v>
      </c>
      <c r="AK42">
        <v>0</v>
      </c>
      <c r="AL42">
        <v>0</v>
      </c>
      <c r="AM42">
        <v>0</v>
      </c>
      <c r="AN42">
        <v>1</v>
      </c>
      <c r="AO42">
        <v>0</v>
      </c>
      <c r="AP42">
        <v>0</v>
      </c>
      <c r="AQ42" t="s">
        <v>284</v>
      </c>
      <c r="AR42" s="92" t="s">
        <v>233</v>
      </c>
      <c r="AS42" s="92" t="s">
        <v>287</v>
      </c>
      <c r="AT42" t="s">
        <v>235</v>
      </c>
      <c r="AU42" s="134">
        <v>0.16</v>
      </c>
      <c r="AV42" s="7" t="s">
        <v>80</v>
      </c>
      <c r="AW42">
        <v>0.06</v>
      </c>
      <c r="AX42">
        <v>0.05</v>
      </c>
      <c r="AY42">
        <v>1</v>
      </c>
      <c r="AZ42">
        <f>AU42/AW42</f>
        <v>2.666666666666667</v>
      </c>
      <c r="BB42" s="152">
        <v>0.16</v>
      </c>
      <c r="BC42" t="s">
        <v>73</v>
      </c>
      <c r="BD42" t="s">
        <v>73</v>
      </c>
      <c r="BE42" t="s">
        <v>73</v>
      </c>
      <c r="BF42" t="s">
        <v>73</v>
      </c>
      <c r="BG42">
        <v>408</v>
      </c>
      <c r="BH42" t="s">
        <v>73</v>
      </c>
      <c r="BI42">
        <v>408</v>
      </c>
      <c r="BJ42">
        <v>408</v>
      </c>
      <c r="BK42" t="s">
        <v>73</v>
      </c>
      <c r="BL42" t="s">
        <v>73</v>
      </c>
      <c r="BM42">
        <v>1000</v>
      </c>
      <c r="BN42" t="s">
        <v>288</v>
      </c>
      <c r="BO42" t="s">
        <v>73</v>
      </c>
      <c r="BP42" t="s">
        <v>73</v>
      </c>
      <c r="BQ42" t="s">
        <v>73</v>
      </c>
      <c r="BR42" t="s">
        <v>73</v>
      </c>
      <c r="BS42" t="s">
        <v>73</v>
      </c>
      <c r="BT42" t="s">
        <v>73</v>
      </c>
      <c r="BU42" s="18">
        <v>1</v>
      </c>
      <c r="BV42" s="18">
        <v>0</v>
      </c>
      <c r="BW42" s="18">
        <v>1</v>
      </c>
      <c r="BX42" s="30">
        <f>((AZ42^2)/(AZ42^2+BI42))^(1/2)</f>
        <v>0.13088399820073771</v>
      </c>
      <c r="BY42" s="30">
        <f>0.5*LN((1+BX42)/(1-BX42))</f>
        <v>0.13163914998451526</v>
      </c>
      <c r="BZ42" s="30">
        <f>((1-(BY42^2)^2)/(BI42-1))</f>
        <v>2.456264644741489E-3</v>
      </c>
      <c r="CA42" s="30">
        <f>1/(BI42-3)</f>
        <v>2.4691358024691358E-3</v>
      </c>
      <c r="CB42" s="92" t="s">
        <v>73</v>
      </c>
      <c r="CC42">
        <f>BI42-2</f>
        <v>406</v>
      </c>
      <c r="CD42" s="92" t="s">
        <v>73</v>
      </c>
      <c r="CE42" s="30">
        <f>((AZ42^2)/(AZ42^2+BJ42))^(1/2)</f>
        <v>0.13088399820073771</v>
      </c>
      <c r="CF42" s="30">
        <f>0.5*LN((1+CE42)/(1-CE42))</f>
        <v>0.13163914998451526</v>
      </c>
      <c r="CG42" s="30">
        <f>((1-(CF42^2)^2)/(BJ42-1))</f>
        <v>2.456264644741489E-3</v>
      </c>
      <c r="CH42" s="30">
        <f>1/(BJ42-3)</f>
        <v>2.4691358024691358E-3</v>
      </c>
    </row>
    <row r="43" spans="1:87" ht="16">
      <c r="A43" s="11" t="s">
        <v>68</v>
      </c>
      <c r="B43" s="92" t="s">
        <v>719</v>
      </c>
      <c r="C43" s="11">
        <v>1058</v>
      </c>
      <c r="D43" s="11">
        <v>109</v>
      </c>
      <c r="E43" t="s">
        <v>279</v>
      </c>
      <c r="F43" s="11">
        <v>2013</v>
      </c>
      <c r="G43" t="s">
        <v>280</v>
      </c>
      <c r="H43" t="s">
        <v>281</v>
      </c>
      <c r="I43" s="18">
        <v>2</v>
      </c>
      <c r="J43" t="s">
        <v>102</v>
      </c>
      <c r="K43" s="10" t="s">
        <v>73</v>
      </c>
      <c r="L43">
        <v>649</v>
      </c>
      <c r="M43" s="18" t="s">
        <v>155</v>
      </c>
      <c r="N43" t="s">
        <v>282</v>
      </c>
      <c r="O43" t="s">
        <v>283</v>
      </c>
      <c r="P43" s="18" t="s">
        <v>227</v>
      </c>
      <c r="Q43" t="s">
        <v>243</v>
      </c>
      <c r="R43" t="s">
        <v>244</v>
      </c>
      <c r="S43">
        <v>0</v>
      </c>
      <c r="T43" t="s">
        <v>188</v>
      </c>
      <c r="U43">
        <v>0</v>
      </c>
      <c r="V43" s="18" t="s">
        <v>231</v>
      </c>
      <c r="W43" s="18" t="s">
        <v>231</v>
      </c>
      <c r="X43" s="18" t="s">
        <v>73</v>
      </c>
      <c r="Y43">
        <v>0</v>
      </c>
      <c r="Z43">
        <v>0</v>
      </c>
      <c r="AA43">
        <v>0</v>
      </c>
      <c r="AB43">
        <v>1</v>
      </c>
      <c r="AC43">
        <v>0</v>
      </c>
      <c r="AD43">
        <v>0</v>
      </c>
      <c r="AE43">
        <v>0</v>
      </c>
      <c r="AF43">
        <v>0</v>
      </c>
      <c r="AG43" t="s">
        <v>73</v>
      </c>
      <c r="AH43">
        <v>0</v>
      </c>
      <c r="AI43">
        <v>0</v>
      </c>
      <c r="AJ43">
        <v>0</v>
      </c>
      <c r="AK43">
        <v>0</v>
      </c>
      <c r="AL43">
        <v>0</v>
      </c>
      <c r="AM43">
        <v>0</v>
      </c>
      <c r="AN43">
        <v>1</v>
      </c>
      <c r="AO43">
        <v>0</v>
      </c>
      <c r="AP43">
        <v>0</v>
      </c>
      <c r="AQ43" t="s">
        <v>289</v>
      </c>
      <c r="AR43" s="92" t="s">
        <v>233</v>
      </c>
      <c r="AS43" s="92" t="s">
        <v>287</v>
      </c>
      <c r="AT43" t="s">
        <v>235</v>
      </c>
      <c r="AU43" s="134">
        <v>0.41</v>
      </c>
      <c r="AV43" s="7" t="s">
        <v>80</v>
      </c>
      <c r="AW43">
        <v>0.08</v>
      </c>
      <c r="AX43">
        <v>0.05</v>
      </c>
      <c r="AY43">
        <v>1</v>
      </c>
      <c r="AZ43">
        <f>AU43/AW43</f>
        <v>5.125</v>
      </c>
      <c r="BB43" s="152">
        <v>0.41</v>
      </c>
      <c r="BC43" t="s">
        <v>73</v>
      </c>
      <c r="BD43" t="s">
        <v>73</v>
      </c>
      <c r="BE43" t="s">
        <v>73</v>
      </c>
      <c r="BF43" t="s">
        <v>73</v>
      </c>
      <c r="BG43">
        <v>504</v>
      </c>
      <c r="BH43" t="s">
        <v>73</v>
      </c>
      <c r="BI43">
        <v>504</v>
      </c>
      <c r="BJ43">
        <v>504</v>
      </c>
      <c r="BK43" t="s">
        <v>73</v>
      </c>
      <c r="BL43" t="s">
        <v>73</v>
      </c>
      <c r="BM43">
        <v>1000</v>
      </c>
      <c r="BN43" t="s">
        <v>288</v>
      </c>
      <c r="BO43" t="s">
        <v>73</v>
      </c>
      <c r="BP43" t="s">
        <v>73</v>
      </c>
      <c r="BQ43" t="s">
        <v>73</v>
      </c>
      <c r="BR43" t="s">
        <v>73</v>
      </c>
      <c r="BS43" t="s">
        <v>73</v>
      </c>
      <c r="BT43" t="s">
        <v>73</v>
      </c>
      <c r="BU43" s="18">
        <v>1</v>
      </c>
      <c r="BV43" s="18">
        <v>0</v>
      </c>
      <c r="BW43" s="18">
        <v>1</v>
      </c>
      <c r="BX43" s="30">
        <f>((AZ43^2)/(AZ43^2+BI43))^(1/2)</f>
        <v>0.22256001017320373</v>
      </c>
      <c r="BY43" s="30">
        <f>0.5*LN((1+BX43)/(1-BX43))</f>
        <v>0.22634792532420528</v>
      </c>
      <c r="BZ43" s="30">
        <f>((1-(BY43^2)^2)/(BI43-1))</f>
        <v>1.9828531619001622E-3</v>
      </c>
      <c r="CA43" s="30">
        <f>1/(BI43-3)</f>
        <v>1.996007984031936E-3</v>
      </c>
      <c r="CB43" s="92" t="s">
        <v>73</v>
      </c>
      <c r="CC43">
        <f>BI43-2</f>
        <v>502</v>
      </c>
      <c r="CD43" s="92" t="s">
        <v>73</v>
      </c>
      <c r="CE43" s="30">
        <f>((AZ43^2)/(AZ43^2+BJ43))^(1/2)</f>
        <v>0.22256001017320373</v>
      </c>
      <c r="CF43" s="30">
        <f>0.5*LN((1+CE43)/(1-CE43))</f>
        <v>0.22634792532420528</v>
      </c>
      <c r="CG43" s="30">
        <f>((1-(CF43^2)^2)/(BJ43-1))</f>
        <v>1.9828531619001622E-3</v>
      </c>
      <c r="CH43" s="30">
        <f>1/(BJ43-3)</f>
        <v>1.996007984031936E-3</v>
      </c>
    </row>
    <row r="44" spans="1:87" ht="16">
      <c r="A44" s="11" t="s">
        <v>68</v>
      </c>
      <c r="B44" s="11" t="s">
        <v>719</v>
      </c>
      <c r="C44" s="11">
        <v>1060</v>
      </c>
      <c r="D44">
        <v>111</v>
      </c>
      <c r="E44" t="s">
        <v>290</v>
      </c>
      <c r="F44" s="11">
        <v>1998</v>
      </c>
      <c r="G44" t="s">
        <v>291</v>
      </c>
      <c r="H44" t="s">
        <v>292</v>
      </c>
      <c r="I44">
        <v>2</v>
      </c>
      <c r="J44">
        <v>1998</v>
      </c>
      <c r="K44" s="10" t="s">
        <v>73</v>
      </c>
      <c r="L44">
        <v>651</v>
      </c>
      <c r="M44" s="18" t="s">
        <v>155</v>
      </c>
      <c r="N44" s="92" t="s">
        <v>226</v>
      </c>
      <c r="O44" t="s">
        <v>81</v>
      </c>
      <c r="P44" s="18" t="s">
        <v>293</v>
      </c>
      <c r="Q44" t="s">
        <v>243</v>
      </c>
      <c r="R44" t="s">
        <v>254</v>
      </c>
      <c r="S44">
        <v>1</v>
      </c>
      <c r="T44" t="s">
        <v>230</v>
      </c>
      <c r="U44">
        <v>0</v>
      </c>
      <c r="V44" s="18" t="s">
        <v>231</v>
      </c>
      <c r="W44" s="18" t="s">
        <v>231</v>
      </c>
      <c r="X44" s="18" t="s">
        <v>73</v>
      </c>
      <c r="Y44">
        <v>0</v>
      </c>
      <c r="Z44">
        <v>0</v>
      </c>
      <c r="AA44">
        <v>0</v>
      </c>
      <c r="AB44">
        <v>1</v>
      </c>
      <c r="AC44">
        <v>0</v>
      </c>
      <c r="AD44">
        <v>0</v>
      </c>
      <c r="AE44">
        <v>0</v>
      </c>
      <c r="AF44">
        <v>0</v>
      </c>
      <c r="AG44" t="s">
        <v>73</v>
      </c>
      <c r="AH44">
        <v>0</v>
      </c>
      <c r="AI44">
        <v>0</v>
      </c>
      <c r="AJ44">
        <v>0</v>
      </c>
      <c r="AK44">
        <v>1</v>
      </c>
      <c r="AL44" s="32">
        <v>0</v>
      </c>
      <c r="AM44" s="32">
        <v>0</v>
      </c>
      <c r="AN44" s="32">
        <v>0</v>
      </c>
      <c r="AO44" s="32">
        <v>0</v>
      </c>
      <c r="AP44" s="32">
        <v>0</v>
      </c>
      <c r="AQ44" t="s">
        <v>294</v>
      </c>
      <c r="AR44" s="92" t="s">
        <v>233</v>
      </c>
      <c r="AS44" s="92" t="s">
        <v>295</v>
      </c>
      <c r="AT44" s="92" t="s">
        <v>235</v>
      </c>
      <c r="AU44" s="134">
        <v>0.22900000000000001</v>
      </c>
      <c r="AV44" s="7" t="s">
        <v>80</v>
      </c>
      <c r="AW44">
        <v>0.109</v>
      </c>
      <c r="AX44" t="s">
        <v>73</v>
      </c>
      <c r="AY44">
        <v>3</v>
      </c>
      <c r="AZ44">
        <f>AU44/AW44</f>
        <v>2.1009174311926606</v>
      </c>
      <c r="BB44" s="105">
        <f>EXP(AU44)/(1+EXP(AU44))</f>
        <v>0.55700111781082129</v>
      </c>
      <c r="BC44" t="s">
        <v>73</v>
      </c>
      <c r="BD44" t="s">
        <v>73</v>
      </c>
      <c r="BE44" t="s">
        <v>73</v>
      </c>
      <c r="BF44" t="s">
        <v>73</v>
      </c>
      <c r="BG44" t="s">
        <v>73</v>
      </c>
      <c r="BH44" t="s">
        <v>73</v>
      </c>
      <c r="BI44">
        <v>375</v>
      </c>
      <c r="BJ44">
        <v>6081</v>
      </c>
      <c r="BK44" t="s">
        <v>73</v>
      </c>
      <c r="BL44" t="s">
        <v>73</v>
      </c>
      <c r="BM44" t="s">
        <v>73</v>
      </c>
      <c r="BN44" t="s">
        <v>73</v>
      </c>
      <c r="BO44" t="s">
        <v>73</v>
      </c>
      <c r="BP44" t="s">
        <v>73</v>
      </c>
      <c r="BQ44" t="s">
        <v>73</v>
      </c>
      <c r="BR44" t="s">
        <v>73</v>
      </c>
      <c r="BS44" t="s">
        <v>73</v>
      </c>
      <c r="BT44" t="s">
        <v>73</v>
      </c>
      <c r="BU44">
        <v>0</v>
      </c>
      <c r="BV44">
        <v>0</v>
      </c>
      <c r="BW44">
        <v>0</v>
      </c>
      <c r="BX44" s="30">
        <f>((AZ44^2)/(AZ44^2+BI44))^(1/2)</f>
        <v>0.1078580072117359</v>
      </c>
      <c r="BY44" s="30">
        <f>0.5*LN((1+BX44)/(1-BX44))</f>
        <v>0.10827920105368449</v>
      </c>
      <c r="BZ44" s="30">
        <f>((1-(BY44^2)^2)/(BI44-1))</f>
        <v>2.6734292480947645E-3</v>
      </c>
      <c r="CA44" s="30">
        <f>1/(BI44-3)</f>
        <v>2.6881720430107529E-3</v>
      </c>
      <c r="CB44" s="92" t="s">
        <v>73</v>
      </c>
      <c r="CC44">
        <f>BI44-2</f>
        <v>373</v>
      </c>
      <c r="CD44" s="92" t="s">
        <v>73</v>
      </c>
      <c r="CE44" s="30">
        <f>((AZ44^2)/(AZ44^2+BJ44))^(1/2)</f>
        <v>2.6931709728061359E-2</v>
      </c>
      <c r="CF44" s="30">
        <f>0.5*LN((1+CE44)/(1-CE44))</f>
        <v>2.6938223905404336E-2</v>
      </c>
      <c r="CG44" s="30">
        <f>((1-(CF44^2)^2)/(BJ44-1))</f>
        <v>1.6447359759968561E-4</v>
      </c>
      <c r="CH44" s="30">
        <f>1/(BJ44-3)</f>
        <v>1.6452780519907864E-4</v>
      </c>
      <c r="CI44" s="95"/>
    </row>
    <row r="45" spans="1:87" ht="16">
      <c r="A45" s="11" t="s">
        <v>68</v>
      </c>
      <c r="B45" s="11" t="s">
        <v>719</v>
      </c>
      <c r="C45" s="11">
        <v>1061</v>
      </c>
      <c r="D45">
        <v>111</v>
      </c>
      <c r="E45" t="s">
        <v>290</v>
      </c>
      <c r="F45" s="11">
        <v>1998</v>
      </c>
      <c r="G45" t="s">
        <v>291</v>
      </c>
      <c r="H45" t="s">
        <v>292</v>
      </c>
      <c r="I45">
        <v>2</v>
      </c>
      <c r="J45">
        <v>1998</v>
      </c>
      <c r="K45" s="10" t="s">
        <v>73</v>
      </c>
      <c r="L45">
        <v>651</v>
      </c>
      <c r="M45" s="18" t="s">
        <v>155</v>
      </c>
      <c r="N45" s="92" t="s">
        <v>226</v>
      </c>
      <c r="O45" t="s">
        <v>81</v>
      </c>
      <c r="P45" s="18" t="s">
        <v>293</v>
      </c>
      <c r="Q45" t="s">
        <v>243</v>
      </c>
      <c r="R45" t="s">
        <v>254</v>
      </c>
      <c r="S45">
        <v>1</v>
      </c>
      <c r="T45" t="s">
        <v>230</v>
      </c>
      <c r="U45">
        <v>0</v>
      </c>
      <c r="V45" s="18" t="s">
        <v>231</v>
      </c>
      <c r="W45" s="18" t="s">
        <v>231</v>
      </c>
      <c r="X45" s="18" t="s">
        <v>73</v>
      </c>
      <c r="Y45">
        <v>0</v>
      </c>
      <c r="Z45">
        <v>0</v>
      </c>
      <c r="AA45">
        <v>0</v>
      </c>
      <c r="AB45">
        <v>0</v>
      </c>
      <c r="AC45">
        <v>0</v>
      </c>
      <c r="AD45">
        <v>0</v>
      </c>
      <c r="AE45">
        <v>1</v>
      </c>
      <c r="AF45">
        <v>0</v>
      </c>
      <c r="AG45" t="s">
        <v>73</v>
      </c>
      <c r="AH45">
        <v>0</v>
      </c>
      <c r="AI45">
        <v>0</v>
      </c>
      <c r="AJ45">
        <v>0</v>
      </c>
      <c r="AK45">
        <v>1</v>
      </c>
      <c r="AL45" s="32">
        <v>0</v>
      </c>
      <c r="AM45" s="32">
        <v>0</v>
      </c>
      <c r="AN45" s="32">
        <v>0</v>
      </c>
      <c r="AO45" s="32">
        <v>0</v>
      </c>
      <c r="AP45" s="32">
        <v>0</v>
      </c>
      <c r="AQ45" t="s">
        <v>294</v>
      </c>
      <c r="AR45" s="92" t="s">
        <v>233</v>
      </c>
      <c r="AS45" s="92" t="s">
        <v>295</v>
      </c>
      <c r="AT45" s="92" t="s">
        <v>235</v>
      </c>
      <c r="AU45" s="134">
        <v>1.7500000000000002E-2</v>
      </c>
      <c r="AV45" s="7" t="s">
        <v>86</v>
      </c>
      <c r="AW45">
        <v>0.26400000000000001</v>
      </c>
      <c r="AX45" t="s">
        <v>73</v>
      </c>
      <c r="AY45">
        <v>3</v>
      </c>
      <c r="AZ45">
        <f>AU45/AW45</f>
        <v>6.6287878787878785E-2</v>
      </c>
      <c r="BB45" s="105">
        <f>EXP(AU45)/(1+EXP(AU45))</f>
        <v>0.50437488834977351</v>
      </c>
      <c r="BC45" t="s">
        <v>73</v>
      </c>
      <c r="BD45" t="s">
        <v>73</v>
      </c>
      <c r="BE45" t="s">
        <v>73</v>
      </c>
      <c r="BF45" t="s">
        <v>73</v>
      </c>
      <c r="BG45" t="s">
        <v>73</v>
      </c>
      <c r="BH45" t="s">
        <v>73</v>
      </c>
      <c r="BI45">
        <v>375</v>
      </c>
      <c r="BJ45">
        <v>6081</v>
      </c>
      <c r="BK45" t="s">
        <v>73</v>
      </c>
      <c r="BL45" t="s">
        <v>73</v>
      </c>
      <c r="BM45" t="s">
        <v>73</v>
      </c>
      <c r="BN45" t="s">
        <v>73</v>
      </c>
      <c r="BO45" t="s">
        <v>73</v>
      </c>
      <c r="BP45" t="s">
        <v>73</v>
      </c>
      <c r="BQ45" t="s">
        <v>73</v>
      </c>
      <c r="BR45" t="s">
        <v>73</v>
      </c>
      <c r="BS45" t="s">
        <v>73</v>
      </c>
      <c r="BT45" t="s">
        <v>73</v>
      </c>
      <c r="BU45">
        <v>0</v>
      </c>
      <c r="BV45">
        <v>0</v>
      </c>
      <c r="BW45">
        <v>0</v>
      </c>
      <c r="BX45" s="30">
        <f>((AZ45^2)/(AZ45^2+BI45))^(1/2)</f>
        <v>3.4230712863917989E-3</v>
      </c>
      <c r="BY45" s="30">
        <f>0.5*LN((1+BX45)/(1-BX45))</f>
        <v>3.4230846563371624E-3</v>
      </c>
      <c r="BZ45" s="30">
        <f>((1-(BY45^2)^2)/(BI45-1))</f>
        <v>2.673796791076738E-3</v>
      </c>
      <c r="CA45" s="30">
        <f>1/(BI45-3)</f>
        <v>2.6881720430107529E-3</v>
      </c>
      <c r="CB45" s="92" t="s">
        <v>73</v>
      </c>
      <c r="CC45">
        <f>BI45-2</f>
        <v>373</v>
      </c>
      <c r="CD45" s="92" t="s">
        <v>73</v>
      </c>
      <c r="CE45" s="30">
        <f>((AZ45^2)/(AZ45^2+BJ45))^(1/2)</f>
        <v>8.5005389800475262E-4</v>
      </c>
      <c r="CF45" s="30">
        <f>0.5*LN((1+CE45)/(1-CE45))</f>
        <v>8.5005410275206428E-4</v>
      </c>
      <c r="CG45" s="30">
        <f>((1-(CF45^2)^2)/(BJ45-1))</f>
        <v>1.6447368421044044E-4</v>
      </c>
      <c r="CH45" s="30">
        <f>1/(BJ45-3)</f>
        <v>1.6452780519907864E-4</v>
      </c>
      <c r="CI45" s="95"/>
    </row>
    <row r="46" spans="1:87" ht="16">
      <c r="A46" s="11" t="s">
        <v>68</v>
      </c>
      <c r="B46" s="11" t="s">
        <v>719</v>
      </c>
      <c r="C46" s="11">
        <v>1062</v>
      </c>
      <c r="D46">
        <v>111</v>
      </c>
      <c r="E46" t="s">
        <v>290</v>
      </c>
      <c r="F46" s="11">
        <v>1998</v>
      </c>
      <c r="G46" t="s">
        <v>291</v>
      </c>
      <c r="H46" t="s">
        <v>292</v>
      </c>
      <c r="I46">
        <v>2</v>
      </c>
      <c r="J46">
        <v>1998</v>
      </c>
      <c r="K46" s="10" t="s">
        <v>73</v>
      </c>
      <c r="L46">
        <v>651</v>
      </c>
      <c r="M46" s="18" t="s">
        <v>260</v>
      </c>
      <c r="N46" s="92" t="s">
        <v>226</v>
      </c>
      <c r="O46" t="s">
        <v>81</v>
      </c>
      <c r="P46" s="18" t="s">
        <v>293</v>
      </c>
      <c r="Q46" t="s">
        <v>243</v>
      </c>
      <c r="R46" t="s">
        <v>254</v>
      </c>
      <c r="S46">
        <v>1</v>
      </c>
      <c r="T46" t="s">
        <v>230</v>
      </c>
      <c r="U46">
        <v>0</v>
      </c>
      <c r="V46" s="18" t="s">
        <v>231</v>
      </c>
      <c r="W46" s="18" t="s">
        <v>231</v>
      </c>
      <c r="X46" s="18" t="s">
        <v>73</v>
      </c>
      <c r="Y46">
        <v>0</v>
      </c>
      <c r="Z46">
        <v>0</v>
      </c>
      <c r="AA46">
        <v>0</v>
      </c>
      <c r="AB46">
        <v>1</v>
      </c>
      <c r="AC46">
        <v>0</v>
      </c>
      <c r="AD46">
        <v>0</v>
      </c>
      <c r="AE46">
        <v>0</v>
      </c>
      <c r="AF46">
        <v>0</v>
      </c>
      <c r="AG46" t="s">
        <v>73</v>
      </c>
      <c r="AH46">
        <v>0</v>
      </c>
      <c r="AI46">
        <v>0</v>
      </c>
      <c r="AJ46">
        <v>0</v>
      </c>
      <c r="AK46">
        <v>1</v>
      </c>
      <c r="AL46" s="32">
        <v>0</v>
      </c>
      <c r="AM46" s="32">
        <v>0</v>
      </c>
      <c r="AN46" s="32">
        <v>0</v>
      </c>
      <c r="AO46" s="32">
        <v>0</v>
      </c>
      <c r="AP46" s="32">
        <v>0</v>
      </c>
      <c r="AQ46" t="s">
        <v>294</v>
      </c>
      <c r="AR46" s="92" t="s">
        <v>233</v>
      </c>
      <c r="AS46" s="92" t="s">
        <v>295</v>
      </c>
      <c r="AT46" s="92" t="s">
        <v>235</v>
      </c>
      <c r="AU46" s="134">
        <v>2.1999999999999999E-2</v>
      </c>
      <c r="AV46" s="7" t="s">
        <v>80</v>
      </c>
      <c r="AW46">
        <v>0.21199999999999999</v>
      </c>
      <c r="AX46" t="s">
        <v>73</v>
      </c>
      <c r="AY46">
        <v>3</v>
      </c>
      <c r="AZ46">
        <f>AU46/AW46</f>
        <v>0.10377358490566037</v>
      </c>
      <c r="BB46" s="105">
        <f>EXP(AU46)/(1+EXP(AU46))</f>
        <v>0.50549977817740277</v>
      </c>
      <c r="BC46" t="s">
        <v>73</v>
      </c>
      <c r="BD46" t="s">
        <v>73</v>
      </c>
      <c r="BE46" t="s">
        <v>73</v>
      </c>
      <c r="BF46" t="s">
        <v>73</v>
      </c>
      <c r="BG46" t="s">
        <v>73</v>
      </c>
      <c r="BH46" t="s">
        <v>73</v>
      </c>
      <c r="BI46">
        <v>375</v>
      </c>
      <c r="BJ46">
        <v>6081</v>
      </c>
      <c r="BK46" t="s">
        <v>73</v>
      </c>
      <c r="BL46" t="s">
        <v>73</v>
      </c>
      <c r="BM46" t="s">
        <v>73</v>
      </c>
      <c r="BN46" t="s">
        <v>73</v>
      </c>
      <c r="BO46" t="s">
        <v>73</v>
      </c>
      <c r="BP46" t="s">
        <v>73</v>
      </c>
      <c r="BQ46" t="s">
        <v>73</v>
      </c>
      <c r="BR46" t="s">
        <v>73</v>
      </c>
      <c r="BS46" t="s">
        <v>73</v>
      </c>
      <c r="BT46" t="s">
        <v>73</v>
      </c>
      <c r="BU46">
        <v>0</v>
      </c>
      <c r="BV46">
        <v>0</v>
      </c>
      <c r="BW46">
        <v>0</v>
      </c>
      <c r="BX46" s="30">
        <f>((AZ46^2)/(AZ46^2+BI46))^(1/2)</f>
        <v>5.3587679376424701E-3</v>
      </c>
      <c r="BY46" s="30">
        <f>0.5*LN((1+BX46)/(1-BX46))</f>
        <v>5.3588192333564287E-3</v>
      </c>
      <c r="BZ46" s="30">
        <f>((1-(BY46^2)^2)/(BI46-1))</f>
        <v>2.6737967892388691E-3</v>
      </c>
      <c r="CA46" s="30">
        <f>1/(BI46-3)</f>
        <v>2.6881720430107529E-3</v>
      </c>
      <c r="CB46" s="92" t="s">
        <v>73</v>
      </c>
      <c r="CC46">
        <f>BI46-2</f>
        <v>373</v>
      </c>
      <c r="CD46" s="92" t="s">
        <v>73</v>
      </c>
      <c r="CE46" s="30">
        <f>((AZ46^2)/(AZ46^2+BJ46))^(1/2)</f>
        <v>1.3307575341676675E-3</v>
      </c>
      <c r="CF46" s="30">
        <f>0.5*LN((1+CE46)/(1-CE46))</f>
        <v>1.3307583197216381E-3</v>
      </c>
      <c r="CG46" s="30">
        <f>((1-(CF46^2)^2)/(BJ46-1))</f>
        <v>1.644736842100105E-4</v>
      </c>
      <c r="CH46" s="30">
        <f>1/(BJ46-3)</f>
        <v>1.6452780519907864E-4</v>
      </c>
      <c r="CI46" s="95"/>
    </row>
    <row r="47" spans="1:87" s="92" customFormat="1" ht="16">
      <c r="A47" s="11" t="s">
        <v>68</v>
      </c>
      <c r="B47" s="11" t="s">
        <v>719</v>
      </c>
      <c r="C47" s="11">
        <v>1063</v>
      </c>
      <c r="D47">
        <v>111</v>
      </c>
      <c r="E47" t="s">
        <v>290</v>
      </c>
      <c r="F47" s="11">
        <v>1998</v>
      </c>
      <c r="G47" t="s">
        <v>291</v>
      </c>
      <c r="H47" t="s">
        <v>292</v>
      </c>
      <c r="I47">
        <v>2</v>
      </c>
      <c r="J47">
        <v>1998</v>
      </c>
      <c r="K47" s="10" t="s">
        <v>73</v>
      </c>
      <c r="L47">
        <v>651</v>
      </c>
      <c r="M47" s="18" t="s">
        <v>260</v>
      </c>
      <c r="N47" s="92" t="s">
        <v>226</v>
      </c>
      <c r="O47" t="s">
        <v>81</v>
      </c>
      <c r="P47" s="18" t="s">
        <v>293</v>
      </c>
      <c r="Q47" t="s">
        <v>243</v>
      </c>
      <c r="R47" t="s">
        <v>254</v>
      </c>
      <c r="S47">
        <v>1</v>
      </c>
      <c r="T47" t="s">
        <v>230</v>
      </c>
      <c r="U47">
        <v>0</v>
      </c>
      <c r="V47" s="18" t="s">
        <v>231</v>
      </c>
      <c r="W47" s="18" t="s">
        <v>231</v>
      </c>
      <c r="X47" s="18" t="s">
        <v>73</v>
      </c>
      <c r="Y47">
        <v>0</v>
      </c>
      <c r="Z47">
        <v>0</v>
      </c>
      <c r="AA47">
        <v>0</v>
      </c>
      <c r="AB47">
        <v>0</v>
      </c>
      <c r="AC47">
        <v>0</v>
      </c>
      <c r="AD47">
        <v>0</v>
      </c>
      <c r="AE47">
        <v>1</v>
      </c>
      <c r="AF47">
        <v>0</v>
      </c>
      <c r="AG47" t="s">
        <v>73</v>
      </c>
      <c r="AH47">
        <v>0</v>
      </c>
      <c r="AI47">
        <v>0</v>
      </c>
      <c r="AJ47">
        <v>0</v>
      </c>
      <c r="AK47">
        <v>1</v>
      </c>
      <c r="AL47" s="32">
        <v>0</v>
      </c>
      <c r="AM47" s="32">
        <v>0</v>
      </c>
      <c r="AN47" s="32">
        <v>0</v>
      </c>
      <c r="AO47" s="32">
        <v>0</v>
      </c>
      <c r="AP47" s="32">
        <v>0</v>
      </c>
      <c r="AQ47" t="s">
        <v>294</v>
      </c>
      <c r="AR47" s="92" t="s">
        <v>233</v>
      </c>
      <c r="AS47" s="92" t="s">
        <v>295</v>
      </c>
      <c r="AT47" s="92" t="s">
        <v>235</v>
      </c>
      <c r="AU47" s="134">
        <v>0.156</v>
      </c>
      <c r="AV47" s="7" t="s">
        <v>80</v>
      </c>
      <c r="AW47">
        <v>0.621</v>
      </c>
      <c r="AX47" t="s">
        <v>73</v>
      </c>
      <c r="AY47">
        <v>3</v>
      </c>
      <c r="AZ47">
        <f>AU47/AW47</f>
        <v>0.25120772946859904</v>
      </c>
      <c r="BA47"/>
      <c r="BB47" s="105">
        <f>EXP(AU47)/(1+EXP(AU47))</f>
        <v>0.53892110000546534</v>
      </c>
      <c r="BC47" t="s">
        <v>73</v>
      </c>
      <c r="BD47" t="s">
        <v>73</v>
      </c>
      <c r="BE47" t="s">
        <v>73</v>
      </c>
      <c r="BF47" t="s">
        <v>73</v>
      </c>
      <c r="BG47" t="s">
        <v>73</v>
      </c>
      <c r="BH47" t="s">
        <v>73</v>
      </c>
      <c r="BI47">
        <v>375</v>
      </c>
      <c r="BJ47">
        <v>6081</v>
      </c>
      <c r="BK47" t="s">
        <v>73</v>
      </c>
      <c r="BL47" t="s">
        <v>73</v>
      </c>
      <c r="BM47" t="s">
        <v>73</v>
      </c>
      <c r="BN47" t="s">
        <v>73</v>
      </c>
      <c r="BO47" t="s">
        <v>73</v>
      </c>
      <c r="BP47" t="s">
        <v>73</v>
      </c>
      <c r="BQ47" t="s">
        <v>73</v>
      </c>
      <c r="BR47" t="s">
        <v>73</v>
      </c>
      <c r="BS47" t="s">
        <v>73</v>
      </c>
      <c r="BT47" t="s">
        <v>73</v>
      </c>
      <c r="BU47">
        <v>0</v>
      </c>
      <c r="BV47">
        <v>0</v>
      </c>
      <c r="BW47">
        <v>0</v>
      </c>
      <c r="BX47" s="30">
        <f>((AZ47^2)/(AZ47^2+BI47))^(1/2)</f>
        <v>1.2971220010807293E-2</v>
      </c>
      <c r="BY47" s="30">
        <f>0.5*LN((1+BX47)/(1-BX47))</f>
        <v>1.2971947564531299E-2</v>
      </c>
      <c r="BZ47" s="30">
        <f>((1-(BY47^2)^2)/(BI47-1))</f>
        <v>2.6737967157345667E-3</v>
      </c>
      <c r="CA47" s="30">
        <f>1/(BI47-3)</f>
        <v>2.6881720430107529E-3</v>
      </c>
      <c r="CB47" s="92" t="s">
        <v>73</v>
      </c>
      <c r="CC47">
        <f>BI47-2</f>
        <v>373</v>
      </c>
      <c r="CD47" s="92" t="s">
        <v>73</v>
      </c>
      <c r="CE47" s="30">
        <f>((AZ47^2)/(AZ47^2+BJ47))^(1/2)</f>
        <v>3.2213895316316066E-3</v>
      </c>
      <c r="CF47" s="30">
        <f>0.5*LN((1+CE47)/(1-CE47))</f>
        <v>3.2214006748637596E-3</v>
      </c>
      <c r="CG47" s="30">
        <f>((1-(CF47^2)^2)/(BJ47-1))</f>
        <v>1.64473684192814E-4</v>
      </c>
      <c r="CH47" s="30">
        <f>1/(BJ47-3)</f>
        <v>1.6452780519907864E-4</v>
      </c>
      <c r="CI47" s="119"/>
    </row>
    <row r="48" spans="1:87" s="92" customFormat="1" ht="16">
      <c r="A48" s="11" t="s">
        <v>68</v>
      </c>
      <c r="B48" s="11" t="s">
        <v>719</v>
      </c>
      <c r="C48" s="11">
        <v>1064</v>
      </c>
      <c r="D48">
        <v>111</v>
      </c>
      <c r="E48" t="s">
        <v>290</v>
      </c>
      <c r="F48" s="11">
        <v>1998</v>
      </c>
      <c r="G48" t="s">
        <v>291</v>
      </c>
      <c r="H48" t="s">
        <v>292</v>
      </c>
      <c r="I48">
        <v>2</v>
      </c>
      <c r="J48">
        <v>1998</v>
      </c>
      <c r="K48" s="10" t="s">
        <v>73</v>
      </c>
      <c r="L48">
        <v>652</v>
      </c>
      <c r="M48" s="18" t="s">
        <v>260</v>
      </c>
      <c r="N48" s="92" t="s">
        <v>226</v>
      </c>
      <c r="O48" t="s">
        <v>81</v>
      </c>
      <c r="P48" s="18" t="s">
        <v>293</v>
      </c>
      <c r="Q48" t="s">
        <v>243</v>
      </c>
      <c r="R48" t="s">
        <v>254</v>
      </c>
      <c r="S48">
        <v>1</v>
      </c>
      <c r="T48" t="s">
        <v>230</v>
      </c>
      <c r="U48">
        <v>0</v>
      </c>
      <c r="V48" s="18" t="s">
        <v>231</v>
      </c>
      <c r="W48" s="18" t="s">
        <v>231</v>
      </c>
      <c r="X48" s="18" t="s">
        <v>73</v>
      </c>
      <c r="Y48">
        <v>0</v>
      </c>
      <c r="Z48">
        <v>0</v>
      </c>
      <c r="AA48">
        <v>0</v>
      </c>
      <c r="AB48">
        <v>1</v>
      </c>
      <c r="AC48">
        <v>0</v>
      </c>
      <c r="AD48">
        <v>0</v>
      </c>
      <c r="AE48">
        <v>0</v>
      </c>
      <c r="AF48">
        <v>0</v>
      </c>
      <c r="AG48" t="s">
        <v>73</v>
      </c>
      <c r="AH48">
        <v>0</v>
      </c>
      <c r="AI48">
        <v>0</v>
      </c>
      <c r="AJ48">
        <v>0</v>
      </c>
      <c r="AK48">
        <v>1</v>
      </c>
      <c r="AL48" s="32">
        <v>0</v>
      </c>
      <c r="AM48" s="32">
        <v>0</v>
      </c>
      <c r="AN48" s="32">
        <v>0</v>
      </c>
      <c r="AO48" s="32">
        <v>0</v>
      </c>
      <c r="AP48" s="32">
        <v>0</v>
      </c>
      <c r="AQ48" t="s">
        <v>294</v>
      </c>
      <c r="AR48" s="92" t="s">
        <v>233</v>
      </c>
      <c r="AS48" s="92" t="s">
        <v>295</v>
      </c>
      <c r="AT48" s="92" t="s">
        <v>235</v>
      </c>
      <c r="AU48" s="134">
        <v>0.14599999999999999</v>
      </c>
      <c r="AV48" s="7" t="s">
        <v>86</v>
      </c>
      <c r="AW48">
        <v>0.188</v>
      </c>
      <c r="AX48" t="s">
        <v>73</v>
      </c>
      <c r="AY48">
        <v>3</v>
      </c>
      <c r="AZ48">
        <f>AU48/AW48</f>
        <v>0.77659574468085102</v>
      </c>
      <c r="BA48"/>
      <c r="BB48" s="105">
        <f>EXP(AU48)/(1+EXP(AU48))</f>
        <v>0.53643530174064413</v>
      </c>
      <c r="BC48" t="s">
        <v>73</v>
      </c>
      <c r="BD48" t="s">
        <v>73</v>
      </c>
      <c r="BE48" t="s">
        <v>73</v>
      </c>
      <c r="BF48" t="s">
        <v>73</v>
      </c>
      <c r="BG48" t="s">
        <v>73</v>
      </c>
      <c r="BH48" t="s">
        <v>73</v>
      </c>
      <c r="BI48">
        <v>375</v>
      </c>
      <c r="BJ48">
        <v>6081</v>
      </c>
      <c r="BK48" t="s">
        <v>73</v>
      </c>
      <c r="BL48" t="s">
        <v>73</v>
      </c>
      <c r="BM48" t="s">
        <v>73</v>
      </c>
      <c r="BN48" t="s">
        <v>73</v>
      </c>
      <c r="BO48" t="s">
        <v>73</v>
      </c>
      <c r="BP48" t="s">
        <v>73</v>
      </c>
      <c r="BQ48" t="s">
        <v>73</v>
      </c>
      <c r="BR48" t="s">
        <v>73</v>
      </c>
      <c r="BS48" t="s">
        <v>73</v>
      </c>
      <c r="BT48" t="s">
        <v>73</v>
      </c>
      <c r="BU48">
        <v>0</v>
      </c>
      <c r="BV48">
        <v>0</v>
      </c>
      <c r="BW48">
        <v>1</v>
      </c>
      <c r="BX48" s="30">
        <f>((AZ48^2)/(AZ48^2+BI48))^(1/2)</f>
        <v>4.0071022261504372E-2</v>
      </c>
      <c r="BY48" s="30">
        <f>0.5*LN((1+BX48)/(1-BX48))</f>
        <v>4.0092490118533643E-2</v>
      </c>
      <c r="BZ48" s="30">
        <f>((1-(BY48^2)^2)/(BI48-1))</f>
        <v>2.6737898829954023E-3</v>
      </c>
      <c r="CA48" s="30">
        <f>1/(BI48-3)</f>
        <v>2.6881720430107529E-3</v>
      </c>
      <c r="CB48" s="92" t="s">
        <v>73</v>
      </c>
      <c r="CC48">
        <f>BI48-2</f>
        <v>373</v>
      </c>
      <c r="CD48" s="92" t="s">
        <v>73</v>
      </c>
      <c r="CE48" s="30">
        <f>((AZ48^2)/(AZ48^2+BJ48))^(1/2)</f>
        <v>9.9583175216459603E-3</v>
      </c>
      <c r="CF48" s="30">
        <f>0.5*LN((1+CE48)/(1-CE48))</f>
        <v>9.9586467236696761E-3</v>
      </c>
      <c r="CG48" s="30">
        <f>((1-(CF48^2)^2)/(BJ48-1))</f>
        <v>1.6447368259282728E-4</v>
      </c>
      <c r="CH48" s="30">
        <f>1/(BJ48-3)</f>
        <v>1.6452780519907864E-4</v>
      </c>
      <c r="CI48"/>
    </row>
    <row r="49" spans="1:87" s="92" customFormat="1" ht="16">
      <c r="A49" s="11" t="s">
        <v>68</v>
      </c>
      <c r="B49" s="11" t="s">
        <v>719</v>
      </c>
      <c r="C49" s="11">
        <v>1065</v>
      </c>
      <c r="D49">
        <v>111</v>
      </c>
      <c r="E49" t="s">
        <v>290</v>
      </c>
      <c r="F49" s="11">
        <v>1998</v>
      </c>
      <c r="G49" t="s">
        <v>291</v>
      </c>
      <c r="H49" t="s">
        <v>292</v>
      </c>
      <c r="I49">
        <v>2</v>
      </c>
      <c r="J49">
        <v>1998</v>
      </c>
      <c r="K49" s="10" t="s">
        <v>73</v>
      </c>
      <c r="L49">
        <v>652</v>
      </c>
      <c r="M49" s="18" t="s">
        <v>260</v>
      </c>
      <c r="N49" s="92" t="s">
        <v>226</v>
      </c>
      <c r="O49" t="s">
        <v>81</v>
      </c>
      <c r="P49" s="18" t="s">
        <v>293</v>
      </c>
      <c r="Q49" t="s">
        <v>243</v>
      </c>
      <c r="R49" t="s">
        <v>254</v>
      </c>
      <c r="S49">
        <v>1</v>
      </c>
      <c r="T49" t="s">
        <v>230</v>
      </c>
      <c r="U49">
        <v>0</v>
      </c>
      <c r="V49" s="18" t="s">
        <v>231</v>
      </c>
      <c r="W49" s="18" t="s">
        <v>231</v>
      </c>
      <c r="X49" s="18" t="s">
        <v>73</v>
      </c>
      <c r="Y49">
        <v>0</v>
      </c>
      <c r="Z49">
        <v>0</v>
      </c>
      <c r="AA49">
        <v>0</v>
      </c>
      <c r="AB49">
        <v>0</v>
      </c>
      <c r="AC49">
        <v>0</v>
      </c>
      <c r="AD49">
        <v>0</v>
      </c>
      <c r="AE49">
        <v>1</v>
      </c>
      <c r="AF49">
        <v>0</v>
      </c>
      <c r="AG49" t="s">
        <v>73</v>
      </c>
      <c r="AH49">
        <v>0</v>
      </c>
      <c r="AI49">
        <v>0</v>
      </c>
      <c r="AJ49">
        <v>0</v>
      </c>
      <c r="AK49">
        <v>1</v>
      </c>
      <c r="AL49" s="32">
        <v>0</v>
      </c>
      <c r="AM49" s="32">
        <v>0</v>
      </c>
      <c r="AN49" s="32">
        <v>0</v>
      </c>
      <c r="AO49" s="32">
        <v>0</v>
      </c>
      <c r="AP49" s="32">
        <v>0</v>
      </c>
      <c r="AQ49" t="s">
        <v>294</v>
      </c>
      <c r="AR49" s="92" t="s">
        <v>233</v>
      </c>
      <c r="AS49" s="92" t="s">
        <v>295</v>
      </c>
      <c r="AT49" s="92" t="s">
        <v>235</v>
      </c>
      <c r="AU49" s="134">
        <v>0.27500000000000002</v>
      </c>
      <c r="AV49" s="7" t="s">
        <v>80</v>
      </c>
      <c r="AW49">
        <v>0.77100000000000002</v>
      </c>
      <c r="AX49" t="s">
        <v>73</v>
      </c>
      <c r="AY49">
        <v>3</v>
      </c>
      <c r="AZ49">
        <f>AU49/AW49</f>
        <v>0.35667963683527887</v>
      </c>
      <c r="BA49"/>
      <c r="BB49" s="105">
        <f>EXP(AU49)/(1+EXP(AU49))</f>
        <v>0.56831998347824808</v>
      </c>
      <c r="BC49" t="s">
        <v>73</v>
      </c>
      <c r="BD49" t="s">
        <v>73</v>
      </c>
      <c r="BE49" t="s">
        <v>73</v>
      </c>
      <c r="BF49" t="s">
        <v>73</v>
      </c>
      <c r="BG49" t="s">
        <v>73</v>
      </c>
      <c r="BH49" t="s">
        <v>73</v>
      </c>
      <c r="BI49">
        <v>375</v>
      </c>
      <c r="BJ49">
        <v>6081</v>
      </c>
      <c r="BK49" t="s">
        <v>73</v>
      </c>
      <c r="BL49" t="s">
        <v>73</v>
      </c>
      <c r="BM49" t="s">
        <v>73</v>
      </c>
      <c r="BN49" t="s">
        <v>73</v>
      </c>
      <c r="BO49" t="s">
        <v>73</v>
      </c>
      <c r="BP49" t="s">
        <v>73</v>
      </c>
      <c r="BQ49" t="s">
        <v>73</v>
      </c>
      <c r="BR49" t="s">
        <v>73</v>
      </c>
      <c r="BS49" t="s">
        <v>73</v>
      </c>
      <c r="BT49" t="s">
        <v>73</v>
      </c>
      <c r="BU49">
        <v>0</v>
      </c>
      <c r="BV49">
        <v>0</v>
      </c>
      <c r="BW49">
        <v>1</v>
      </c>
      <c r="BX49" s="30">
        <f>((AZ49^2)/(AZ49^2+BI49))^(1/2)</f>
        <v>1.8415733701710926E-2</v>
      </c>
      <c r="BY49" s="30">
        <f>0.5*LN((1+BX49)/(1-BX49))</f>
        <v>1.8417815958123879E-2</v>
      </c>
      <c r="BZ49" s="30">
        <f>((1-(BY49^2)^2)/(BI49-1))</f>
        <v>2.6737964837768528E-3</v>
      </c>
      <c r="CA49" s="30">
        <f>1/(BI49-3)</f>
        <v>2.6881720430107529E-3</v>
      </c>
      <c r="CB49" s="92" t="s">
        <v>73</v>
      </c>
      <c r="CC49">
        <f>BI49-2</f>
        <v>373</v>
      </c>
      <c r="CD49" s="92" t="s">
        <v>73</v>
      </c>
      <c r="CE49" s="30">
        <f>((AZ49^2)/(AZ49^2+BJ49))^(1/2)</f>
        <v>4.573895849164393E-3</v>
      </c>
      <c r="CF49" s="30">
        <f>0.5*LN((1+CE49)/(1-CE49))</f>
        <v>4.5739277456628979E-3</v>
      </c>
      <c r="CG49" s="30">
        <f>((1-(CF49^2)^2)/(BJ49-1))</f>
        <v>1.6447368413853941E-4</v>
      </c>
      <c r="CH49" s="30">
        <f>1/(BJ49-3)</f>
        <v>1.6452780519907864E-4</v>
      </c>
      <c r="CI49"/>
    </row>
    <row r="50" spans="1:87" s="92" customFormat="1" ht="16">
      <c r="A50" s="11" t="s">
        <v>68</v>
      </c>
      <c r="B50" s="11" t="s">
        <v>719</v>
      </c>
      <c r="C50" s="11">
        <v>1066</v>
      </c>
      <c r="D50">
        <v>111</v>
      </c>
      <c r="E50" t="s">
        <v>290</v>
      </c>
      <c r="F50" s="11">
        <v>1998</v>
      </c>
      <c r="G50" t="s">
        <v>291</v>
      </c>
      <c r="H50" t="s">
        <v>292</v>
      </c>
      <c r="I50">
        <v>2</v>
      </c>
      <c r="J50">
        <v>1998</v>
      </c>
      <c r="K50" s="10" t="s">
        <v>73</v>
      </c>
      <c r="L50">
        <v>654</v>
      </c>
      <c r="M50" s="18" t="s">
        <v>260</v>
      </c>
      <c r="N50" s="92" t="s">
        <v>226</v>
      </c>
      <c r="O50" t="s">
        <v>81</v>
      </c>
      <c r="P50" s="18" t="s">
        <v>293</v>
      </c>
      <c r="Q50" t="s">
        <v>243</v>
      </c>
      <c r="R50" t="s">
        <v>254</v>
      </c>
      <c r="S50">
        <v>1</v>
      </c>
      <c r="T50" t="s">
        <v>230</v>
      </c>
      <c r="U50">
        <v>0</v>
      </c>
      <c r="V50" s="18" t="s">
        <v>231</v>
      </c>
      <c r="W50" s="18" t="s">
        <v>231</v>
      </c>
      <c r="X50" s="18" t="s">
        <v>73</v>
      </c>
      <c r="Y50">
        <v>0</v>
      </c>
      <c r="Z50">
        <v>0</v>
      </c>
      <c r="AA50">
        <v>0</v>
      </c>
      <c r="AB50">
        <v>1</v>
      </c>
      <c r="AC50">
        <v>0</v>
      </c>
      <c r="AD50">
        <v>0</v>
      </c>
      <c r="AE50">
        <v>0</v>
      </c>
      <c r="AF50">
        <v>0</v>
      </c>
      <c r="AG50" t="s">
        <v>73</v>
      </c>
      <c r="AH50">
        <v>0</v>
      </c>
      <c r="AI50">
        <v>0</v>
      </c>
      <c r="AJ50">
        <v>0</v>
      </c>
      <c r="AK50">
        <v>1</v>
      </c>
      <c r="AL50" s="32">
        <v>0</v>
      </c>
      <c r="AM50" s="32">
        <v>0</v>
      </c>
      <c r="AN50" s="32">
        <v>0</v>
      </c>
      <c r="AO50" s="32">
        <v>0</v>
      </c>
      <c r="AP50" s="32">
        <v>0</v>
      </c>
      <c r="AQ50" t="s">
        <v>294</v>
      </c>
      <c r="AR50" s="92" t="s">
        <v>233</v>
      </c>
      <c r="AS50" s="92" t="s">
        <v>295</v>
      </c>
      <c r="AT50" s="92" t="s">
        <v>235</v>
      </c>
      <c r="AU50" s="134">
        <v>0.19900000000000001</v>
      </c>
      <c r="AV50" s="7" t="s">
        <v>80</v>
      </c>
      <c r="AW50">
        <v>0.188</v>
      </c>
      <c r="AX50" t="s">
        <v>73</v>
      </c>
      <c r="AY50">
        <v>3</v>
      </c>
      <c r="AZ50">
        <f>AU50/AW50</f>
        <v>1.0585106382978724</v>
      </c>
      <c r="BA50"/>
      <c r="BB50" s="105">
        <f>EXP(AU50)/(1+EXP(AU50))</f>
        <v>0.54958646842503955</v>
      </c>
      <c r="BC50" t="s">
        <v>73</v>
      </c>
      <c r="BD50" t="s">
        <v>73</v>
      </c>
      <c r="BE50" t="s">
        <v>73</v>
      </c>
      <c r="BF50" t="s">
        <v>73</v>
      </c>
      <c r="BG50" t="s">
        <v>73</v>
      </c>
      <c r="BH50" t="s">
        <v>73</v>
      </c>
      <c r="BI50">
        <v>375</v>
      </c>
      <c r="BJ50">
        <v>6081</v>
      </c>
      <c r="BK50" t="s">
        <v>73</v>
      </c>
      <c r="BL50" t="s">
        <v>73</v>
      </c>
      <c r="BM50" t="s">
        <v>73</v>
      </c>
      <c r="BN50" t="s">
        <v>73</v>
      </c>
      <c r="BO50" t="s">
        <v>73</v>
      </c>
      <c r="BP50" t="s">
        <v>73</v>
      </c>
      <c r="BQ50" t="s">
        <v>73</v>
      </c>
      <c r="BR50" t="s">
        <v>73</v>
      </c>
      <c r="BS50" t="s">
        <v>73</v>
      </c>
      <c r="BT50" t="s">
        <v>73</v>
      </c>
      <c r="BU50">
        <v>0</v>
      </c>
      <c r="BV50">
        <v>0</v>
      </c>
      <c r="BW50">
        <v>1</v>
      </c>
      <c r="BX50" s="30">
        <f>((AZ50^2)/(AZ50^2+BI50))^(1/2)</f>
        <v>5.4579776966369314E-2</v>
      </c>
      <c r="BY50" s="30">
        <f>0.5*LN((1+BX50)/(1-BX50))</f>
        <v>5.4634070889081947E-2</v>
      </c>
      <c r="BZ50" s="30">
        <f>((1-(BY50^2)^2)/(BI50-1))</f>
        <v>2.6737729692011378E-3</v>
      </c>
      <c r="CA50" s="30">
        <f>1/(BI50-3)</f>
        <v>2.6881720430107529E-3</v>
      </c>
      <c r="CB50" s="92" t="s">
        <v>73</v>
      </c>
      <c r="CC50">
        <f>BI50-2</f>
        <v>373</v>
      </c>
      <c r="CD50" s="92" t="s">
        <v>73</v>
      </c>
      <c r="CE50" s="30">
        <f>((AZ50^2)/(AZ50^2+BJ50))^(1/2)</f>
        <v>1.3572745913100221E-2</v>
      </c>
      <c r="CF50" s="30">
        <f>0.5*LN((1+CE50)/(1-CE50))</f>
        <v>1.3573579459748053E-2</v>
      </c>
      <c r="CG50" s="30">
        <f>((1-(CF50^2)^2)/(BJ50-1))</f>
        <v>1.6447367862744465E-4</v>
      </c>
      <c r="CH50" s="30">
        <f>1/(BJ50-3)</f>
        <v>1.6452780519907864E-4</v>
      </c>
      <c r="CI50"/>
    </row>
    <row r="51" spans="1:87" s="92" customFormat="1" ht="16">
      <c r="A51" s="11" t="s">
        <v>68</v>
      </c>
      <c r="B51" s="11" t="s">
        <v>719</v>
      </c>
      <c r="C51" s="11">
        <v>1067</v>
      </c>
      <c r="D51">
        <v>111</v>
      </c>
      <c r="E51" t="s">
        <v>290</v>
      </c>
      <c r="F51" s="11">
        <v>1998</v>
      </c>
      <c r="G51" t="s">
        <v>291</v>
      </c>
      <c r="H51" t="s">
        <v>292</v>
      </c>
      <c r="I51">
        <v>2</v>
      </c>
      <c r="J51">
        <v>1998</v>
      </c>
      <c r="K51" s="10" t="s">
        <v>73</v>
      </c>
      <c r="L51">
        <v>654</v>
      </c>
      <c r="M51" s="18" t="s">
        <v>260</v>
      </c>
      <c r="N51" s="92" t="s">
        <v>226</v>
      </c>
      <c r="O51" t="s">
        <v>81</v>
      </c>
      <c r="P51" s="18" t="s">
        <v>293</v>
      </c>
      <c r="Q51" t="s">
        <v>243</v>
      </c>
      <c r="R51" t="s">
        <v>254</v>
      </c>
      <c r="S51">
        <v>1</v>
      </c>
      <c r="T51" t="s">
        <v>230</v>
      </c>
      <c r="U51">
        <v>0</v>
      </c>
      <c r="V51" s="18" t="s">
        <v>231</v>
      </c>
      <c r="W51" s="18" t="s">
        <v>231</v>
      </c>
      <c r="X51" s="18" t="s">
        <v>73</v>
      </c>
      <c r="Y51">
        <v>0</v>
      </c>
      <c r="Z51">
        <v>0</v>
      </c>
      <c r="AA51">
        <v>0</v>
      </c>
      <c r="AB51">
        <v>0</v>
      </c>
      <c r="AC51">
        <v>0</v>
      </c>
      <c r="AD51">
        <v>0</v>
      </c>
      <c r="AE51">
        <v>1</v>
      </c>
      <c r="AF51">
        <v>0</v>
      </c>
      <c r="AG51" t="s">
        <v>73</v>
      </c>
      <c r="AH51">
        <v>0</v>
      </c>
      <c r="AI51">
        <v>0</v>
      </c>
      <c r="AJ51">
        <v>0</v>
      </c>
      <c r="AK51">
        <v>1</v>
      </c>
      <c r="AL51" s="32">
        <v>0</v>
      </c>
      <c r="AM51" s="32">
        <v>0</v>
      </c>
      <c r="AN51" s="32">
        <v>0</v>
      </c>
      <c r="AO51" s="32">
        <v>0</v>
      </c>
      <c r="AP51" s="32">
        <v>0</v>
      </c>
      <c r="AQ51" t="s">
        <v>294</v>
      </c>
      <c r="AR51" s="92" t="s">
        <v>233</v>
      </c>
      <c r="AS51" s="92" t="s">
        <v>295</v>
      </c>
      <c r="AT51" s="92" t="s">
        <v>235</v>
      </c>
      <c r="AU51" s="134">
        <v>0.191</v>
      </c>
      <c r="AV51" s="7" t="s">
        <v>86</v>
      </c>
      <c r="AW51">
        <v>0.53300000000000003</v>
      </c>
      <c r="AX51" t="s">
        <v>73</v>
      </c>
      <c r="AY51">
        <v>3</v>
      </c>
      <c r="AZ51">
        <f>AU51/AW51</f>
        <v>0.35834896810506567</v>
      </c>
      <c r="BA51"/>
      <c r="BB51" s="105">
        <f>EXP(AU51)/(1+EXP(AU51))</f>
        <v>0.54760536364581069</v>
      </c>
      <c r="BC51" t="s">
        <v>73</v>
      </c>
      <c r="BD51" t="s">
        <v>73</v>
      </c>
      <c r="BE51" t="s">
        <v>73</v>
      </c>
      <c r="BF51" t="s">
        <v>73</v>
      </c>
      <c r="BG51" t="s">
        <v>73</v>
      </c>
      <c r="BH51" t="s">
        <v>73</v>
      </c>
      <c r="BI51">
        <v>375</v>
      </c>
      <c r="BJ51">
        <v>6081</v>
      </c>
      <c r="BK51" t="s">
        <v>73</v>
      </c>
      <c r="BL51" t="s">
        <v>73</v>
      </c>
      <c r="BM51" t="s">
        <v>73</v>
      </c>
      <c r="BN51" t="s">
        <v>73</v>
      </c>
      <c r="BO51" t="s">
        <v>73</v>
      </c>
      <c r="BP51" t="s">
        <v>73</v>
      </c>
      <c r="BQ51" t="s">
        <v>73</v>
      </c>
      <c r="BR51" t="s">
        <v>73</v>
      </c>
      <c r="BS51" t="s">
        <v>73</v>
      </c>
      <c r="BT51" t="s">
        <v>73</v>
      </c>
      <c r="BU51">
        <v>0</v>
      </c>
      <c r="BV51">
        <v>0</v>
      </c>
      <c r="BW51">
        <v>1</v>
      </c>
      <c r="BX51" s="30">
        <f>((AZ51^2)/(AZ51^2+BI51))^(1/2)</f>
        <v>1.8501893543383965E-2</v>
      </c>
      <c r="BY51" s="30">
        <f>0.5*LN((1+BX51)/(1-BX51))</f>
        <v>1.8504005166909823E-2</v>
      </c>
      <c r="BZ51" s="30">
        <f>((1-(BY51^2)^2)/(BI51-1))</f>
        <v>2.6737964779771865E-3</v>
      </c>
      <c r="CA51" s="30">
        <f>1/(BI51-3)</f>
        <v>2.6881720430107529E-3</v>
      </c>
      <c r="CB51" s="92" t="s">
        <v>73</v>
      </c>
      <c r="CC51">
        <f>BI51-2</f>
        <v>373</v>
      </c>
      <c r="CD51" s="92" t="s">
        <v>73</v>
      </c>
      <c r="CE51" s="30">
        <f>((AZ51^2)/(AZ51^2+BJ51))^(1/2)</f>
        <v>4.5953021356990682E-3</v>
      </c>
      <c r="CF51" s="30">
        <f>0.5*LN((1+CE51)/(1-CE51))</f>
        <v>4.5953344821369176E-3</v>
      </c>
      <c r="CG51" s="30">
        <f>((1-(CF51^2)^2)/(BJ51-1))</f>
        <v>1.6447368413718226E-4</v>
      </c>
      <c r="CH51" s="30">
        <f>1/(BJ51-3)</f>
        <v>1.6452780519907864E-4</v>
      </c>
      <c r="CI51"/>
    </row>
    <row r="52" spans="1:87" s="92" customFormat="1" ht="16">
      <c r="A52" s="11" t="s">
        <v>68</v>
      </c>
      <c r="B52" s="11" t="s">
        <v>719</v>
      </c>
      <c r="C52" s="11">
        <v>1068</v>
      </c>
      <c r="D52">
        <v>111</v>
      </c>
      <c r="E52" t="s">
        <v>290</v>
      </c>
      <c r="F52" s="11">
        <v>1998</v>
      </c>
      <c r="G52" t="s">
        <v>291</v>
      </c>
      <c r="H52" t="s">
        <v>292</v>
      </c>
      <c r="I52">
        <v>2</v>
      </c>
      <c r="J52">
        <v>1998</v>
      </c>
      <c r="K52" s="10" t="s">
        <v>73</v>
      </c>
      <c r="L52">
        <v>654</v>
      </c>
      <c r="M52" s="18" t="s">
        <v>260</v>
      </c>
      <c r="N52" s="92" t="s">
        <v>226</v>
      </c>
      <c r="O52" t="s">
        <v>81</v>
      </c>
      <c r="P52" s="18" t="s">
        <v>227</v>
      </c>
      <c r="Q52" t="s">
        <v>243</v>
      </c>
      <c r="R52" t="s">
        <v>254</v>
      </c>
      <c r="S52">
        <v>1</v>
      </c>
      <c r="T52" t="s">
        <v>230</v>
      </c>
      <c r="U52">
        <v>0</v>
      </c>
      <c r="V52" s="18" t="s">
        <v>231</v>
      </c>
      <c r="W52" s="18" t="s">
        <v>231</v>
      </c>
      <c r="X52" s="18" t="s">
        <v>73</v>
      </c>
      <c r="Y52">
        <v>0</v>
      </c>
      <c r="Z52">
        <v>0</v>
      </c>
      <c r="AA52">
        <v>0</v>
      </c>
      <c r="AB52">
        <v>1</v>
      </c>
      <c r="AC52">
        <v>0</v>
      </c>
      <c r="AD52">
        <v>0</v>
      </c>
      <c r="AE52">
        <v>0</v>
      </c>
      <c r="AF52">
        <v>0</v>
      </c>
      <c r="AG52" t="s">
        <v>73</v>
      </c>
      <c r="AH52">
        <v>0</v>
      </c>
      <c r="AI52">
        <v>0</v>
      </c>
      <c r="AJ52">
        <v>0</v>
      </c>
      <c r="AK52">
        <v>1</v>
      </c>
      <c r="AL52" s="32">
        <v>0</v>
      </c>
      <c r="AM52" s="32">
        <v>0</v>
      </c>
      <c r="AN52" s="32">
        <v>0</v>
      </c>
      <c r="AO52" s="32">
        <v>0</v>
      </c>
      <c r="AP52" s="32">
        <v>0</v>
      </c>
      <c r="AQ52" t="s">
        <v>294</v>
      </c>
      <c r="AR52" s="92" t="s">
        <v>233</v>
      </c>
      <c r="AS52" s="92" t="s">
        <v>295</v>
      </c>
      <c r="AT52" s="92" t="s">
        <v>235</v>
      </c>
      <c r="AU52" s="201">
        <v>3.7</v>
      </c>
      <c r="AV52" s="7" t="s">
        <v>86</v>
      </c>
      <c r="AW52">
        <v>7.31</v>
      </c>
      <c r="AX52" t="s">
        <v>73</v>
      </c>
      <c r="AY52">
        <v>3</v>
      </c>
      <c r="AZ52">
        <f>AU52/AW52</f>
        <v>0.50615595075239406</v>
      </c>
      <c r="BA52"/>
      <c r="BB52" s="105">
        <f>EXP(AU52)/(1+EXP(AU52))</f>
        <v>0.9758729785823308</v>
      </c>
      <c r="BC52" t="s">
        <v>73</v>
      </c>
      <c r="BD52" t="s">
        <v>73</v>
      </c>
      <c r="BE52" t="s">
        <v>73</v>
      </c>
      <c r="BF52" t="s">
        <v>73</v>
      </c>
      <c r="BG52" t="s">
        <v>73</v>
      </c>
      <c r="BH52" t="s">
        <v>73</v>
      </c>
      <c r="BI52">
        <v>163</v>
      </c>
      <c r="BJ52">
        <v>163</v>
      </c>
      <c r="BK52" t="s">
        <v>73</v>
      </c>
      <c r="BL52" t="s">
        <v>73</v>
      </c>
      <c r="BM52" t="s">
        <v>73</v>
      </c>
      <c r="BN52" t="s">
        <v>73</v>
      </c>
      <c r="BO52" t="s">
        <v>73</v>
      </c>
      <c r="BP52" t="s">
        <v>73</v>
      </c>
      <c r="BQ52" t="s">
        <v>73</v>
      </c>
      <c r="BR52" t="s">
        <v>73</v>
      </c>
      <c r="BS52" t="s">
        <v>73</v>
      </c>
      <c r="BT52" t="s">
        <v>73</v>
      </c>
      <c r="BU52">
        <v>0</v>
      </c>
      <c r="BV52">
        <v>0</v>
      </c>
      <c r="BW52">
        <v>1</v>
      </c>
      <c r="BX52" s="30">
        <f>((AZ52^2)/(AZ52^2+BI52))^(1/2)</f>
        <v>3.9614074457903617E-2</v>
      </c>
      <c r="BY52" s="30">
        <f>0.5*LN((1+BX52)/(1-BX52))</f>
        <v>3.9634815781559279E-2</v>
      </c>
      <c r="BZ52" s="30">
        <f>((1-(BY52^2)^2)/(BI52-1))</f>
        <v>6.1728242729301415E-3</v>
      </c>
      <c r="CA52" s="30">
        <f>1/(BI52-3)</f>
        <v>6.2500000000000003E-3</v>
      </c>
      <c r="CB52" s="92" t="s">
        <v>73</v>
      </c>
      <c r="CC52">
        <f>BI52-2</f>
        <v>161</v>
      </c>
      <c r="CD52" s="92" t="s">
        <v>73</v>
      </c>
      <c r="CE52" s="30">
        <f>((AZ52^2)/(AZ52^2+BJ52))^(1/2)</f>
        <v>3.9614074457903617E-2</v>
      </c>
      <c r="CF52" s="30">
        <f>0.5*LN((1+CE52)/(1-CE52))</f>
        <v>3.9634815781559279E-2</v>
      </c>
      <c r="CG52" s="30">
        <f>((1-(CF52^2)^2)/(BJ52-1))</f>
        <v>6.1728242729301415E-3</v>
      </c>
      <c r="CH52" s="30">
        <f>1/(BJ52-3)</f>
        <v>6.2500000000000003E-3</v>
      </c>
      <c r="CI52" s="112"/>
    </row>
    <row r="53" spans="1:87" s="95" customFormat="1" ht="16">
      <c r="A53" s="11" t="s">
        <v>68</v>
      </c>
      <c r="B53" s="11" t="s">
        <v>719</v>
      </c>
      <c r="C53" s="11">
        <v>1069</v>
      </c>
      <c r="D53">
        <v>111</v>
      </c>
      <c r="E53" t="s">
        <v>290</v>
      </c>
      <c r="F53" s="11">
        <v>1998</v>
      </c>
      <c r="G53" t="s">
        <v>291</v>
      </c>
      <c r="H53" t="s">
        <v>292</v>
      </c>
      <c r="I53">
        <v>2</v>
      </c>
      <c r="J53">
        <v>1998</v>
      </c>
      <c r="K53" s="10" t="s">
        <v>73</v>
      </c>
      <c r="L53">
        <v>654</v>
      </c>
      <c r="M53" s="18" t="s">
        <v>260</v>
      </c>
      <c r="N53" s="92" t="s">
        <v>226</v>
      </c>
      <c r="O53" t="s">
        <v>81</v>
      </c>
      <c r="P53" s="18" t="s">
        <v>227</v>
      </c>
      <c r="Q53" t="s">
        <v>243</v>
      </c>
      <c r="R53" t="s">
        <v>254</v>
      </c>
      <c r="S53">
        <v>1</v>
      </c>
      <c r="T53" t="s">
        <v>230</v>
      </c>
      <c r="U53">
        <v>0</v>
      </c>
      <c r="V53" s="18" t="s">
        <v>231</v>
      </c>
      <c r="W53" s="18" t="s">
        <v>231</v>
      </c>
      <c r="X53" s="18" t="s">
        <v>73</v>
      </c>
      <c r="Y53">
        <v>0</v>
      </c>
      <c r="Z53">
        <v>0</v>
      </c>
      <c r="AA53">
        <v>0</v>
      </c>
      <c r="AB53">
        <v>1</v>
      </c>
      <c r="AC53">
        <v>0</v>
      </c>
      <c r="AD53">
        <v>0</v>
      </c>
      <c r="AE53">
        <v>0</v>
      </c>
      <c r="AF53">
        <v>0</v>
      </c>
      <c r="AG53" t="s">
        <v>73</v>
      </c>
      <c r="AH53">
        <v>0</v>
      </c>
      <c r="AI53">
        <v>0</v>
      </c>
      <c r="AJ53">
        <v>0</v>
      </c>
      <c r="AK53">
        <v>1</v>
      </c>
      <c r="AL53" s="32">
        <v>0</v>
      </c>
      <c r="AM53" s="32">
        <v>0</v>
      </c>
      <c r="AN53" s="32">
        <v>0</v>
      </c>
      <c r="AO53" s="32">
        <v>0</v>
      </c>
      <c r="AP53" s="32">
        <v>0</v>
      </c>
      <c r="AQ53" t="s">
        <v>294</v>
      </c>
      <c r="AR53" s="92" t="s">
        <v>233</v>
      </c>
      <c r="AS53" s="92" t="s">
        <v>295</v>
      </c>
      <c r="AT53" s="92" t="s">
        <v>235</v>
      </c>
      <c r="AU53" s="201">
        <v>3.01</v>
      </c>
      <c r="AV53" s="7" t="s">
        <v>86</v>
      </c>
      <c r="AW53">
        <v>2.17</v>
      </c>
      <c r="AX53" t="s">
        <v>73</v>
      </c>
      <c r="AY53">
        <v>3</v>
      </c>
      <c r="AZ53">
        <f>AU53/AW53</f>
        <v>1.3870967741935483</v>
      </c>
      <c r="BA53"/>
      <c r="BB53" s="105">
        <f>EXP(AU53)/(1+EXP(AU53))</f>
        <v>0.95302385432171643</v>
      </c>
      <c r="BC53" t="s">
        <v>73</v>
      </c>
      <c r="BD53" t="s">
        <v>73</v>
      </c>
      <c r="BE53" t="s">
        <v>73</v>
      </c>
      <c r="BF53" t="s">
        <v>73</v>
      </c>
      <c r="BG53" t="s">
        <v>73</v>
      </c>
      <c r="BH53" t="s">
        <v>73</v>
      </c>
      <c r="BI53">
        <v>163</v>
      </c>
      <c r="BJ53">
        <v>163</v>
      </c>
      <c r="BK53" t="s">
        <v>73</v>
      </c>
      <c r="BL53" t="s">
        <v>73</v>
      </c>
      <c r="BM53" t="s">
        <v>73</v>
      </c>
      <c r="BN53" t="s">
        <v>73</v>
      </c>
      <c r="BO53" t="s">
        <v>73</v>
      </c>
      <c r="BP53" t="s">
        <v>73</v>
      </c>
      <c r="BQ53" t="s">
        <v>73</v>
      </c>
      <c r="BR53" t="s">
        <v>73</v>
      </c>
      <c r="BS53" t="s">
        <v>73</v>
      </c>
      <c r="BT53" t="s">
        <v>73</v>
      </c>
      <c r="BU53">
        <v>0</v>
      </c>
      <c r="BV53">
        <v>0</v>
      </c>
      <c r="BW53">
        <v>1</v>
      </c>
      <c r="BX53" s="30">
        <f>((AZ53^2)/(AZ53^2+BI53))^(1/2)</f>
        <v>0.10801020309415331</v>
      </c>
      <c r="BY53" s="30">
        <f>0.5*LN((1+BX53)/(1-BX53))</f>
        <v>0.10843319088266559</v>
      </c>
      <c r="BZ53" s="30">
        <f>((1-(BY53^2)^2)/(BI53-1))</f>
        <v>6.1719861429199588E-3</v>
      </c>
      <c r="CA53" s="30">
        <f>1/(BI53-3)</f>
        <v>6.2500000000000003E-3</v>
      </c>
      <c r="CB53" s="92" t="s">
        <v>73</v>
      </c>
      <c r="CC53">
        <f>BI53-2</f>
        <v>161</v>
      </c>
      <c r="CD53" s="92" t="s">
        <v>73</v>
      </c>
      <c r="CE53" s="30">
        <f>((AZ53^2)/(AZ53^2+BJ53))^(1/2)</f>
        <v>0.10801020309415331</v>
      </c>
      <c r="CF53" s="30">
        <f>0.5*LN((1+CE53)/(1-CE53))</f>
        <v>0.10843319088266559</v>
      </c>
      <c r="CG53" s="30">
        <f>((1-(CF53^2)^2)/(BJ53-1))</f>
        <v>6.1719861429199588E-3</v>
      </c>
      <c r="CH53" s="30">
        <f>1/(BJ53-3)</f>
        <v>6.2500000000000003E-3</v>
      </c>
      <c r="CI53" s="112"/>
    </row>
    <row r="54" spans="1:87" s="95" customFormat="1" ht="16">
      <c r="A54" s="92" t="s">
        <v>68</v>
      </c>
      <c r="B54" s="92" t="s">
        <v>719</v>
      </c>
      <c r="C54" s="92">
        <v>1070</v>
      </c>
      <c r="D54" s="92">
        <v>112</v>
      </c>
      <c r="E54" s="92" t="s">
        <v>716</v>
      </c>
      <c r="F54" s="92">
        <v>2013</v>
      </c>
      <c r="G54" s="92" t="s">
        <v>296</v>
      </c>
      <c r="H54" s="92" t="s">
        <v>297</v>
      </c>
      <c r="I54" s="92">
        <v>2</v>
      </c>
      <c r="J54" s="92" t="s">
        <v>298</v>
      </c>
      <c r="K54" s="92" t="s">
        <v>73</v>
      </c>
      <c r="L54" s="92">
        <v>14</v>
      </c>
      <c r="M54" s="185" t="s">
        <v>93</v>
      </c>
      <c r="N54" s="92" t="s">
        <v>112</v>
      </c>
      <c r="O54" s="92" t="s">
        <v>299</v>
      </c>
      <c r="P54" s="92" t="s">
        <v>242</v>
      </c>
      <c r="Q54" s="92" t="s">
        <v>243</v>
      </c>
      <c r="R54" s="92" t="s">
        <v>244</v>
      </c>
      <c r="S54" s="92">
        <v>0</v>
      </c>
      <c r="T54" s="92" t="s">
        <v>188</v>
      </c>
      <c r="U54" s="92">
        <v>0</v>
      </c>
      <c r="V54" s="92" t="s">
        <v>231</v>
      </c>
      <c r="W54" s="92" t="s">
        <v>231</v>
      </c>
      <c r="X54" s="92" t="s">
        <v>73</v>
      </c>
      <c r="Y54" s="92">
        <v>0</v>
      </c>
      <c r="Z54" s="92">
        <v>1</v>
      </c>
      <c r="AA54" s="92">
        <v>0</v>
      </c>
      <c r="AB54" s="92">
        <v>0</v>
      </c>
      <c r="AC54" s="92">
        <v>1</v>
      </c>
      <c r="AD54" s="92">
        <v>0</v>
      </c>
      <c r="AE54" s="92">
        <v>0</v>
      </c>
      <c r="AF54" s="92">
        <v>0</v>
      </c>
      <c r="AG54" s="92" t="s">
        <v>73</v>
      </c>
      <c r="AH54" s="92">
        <v>0</v>
      </c>
      <c r="AI54" s="92">
        <v>0</v>
      </c>
      <c r="AJ54" s="92">
        <v>0</v>
      </c>
      <c r="AK54" s="92">
        <v>0</v>
      </c>
      <c r="AL54" s="92">
        <v>1</v>
      </c>
      <c r="AM54" s="92">
        <v>0</v>
      </c>
      <c r="AN54" s="92">
        <v>0</v>
      </c>
      <c r="AO54" s="92">
        <v>0</v>
      </c>
      <c r="AP54" s="92">
        <v>0</v>
      </c>
      <c r="AQ54" s="92" t="s">
        <v>73</v>
      </c>
      <c r="AR54" s="92" t="s">
        <v>233</v>
      </c>
      <c r="AS54" s="92" t="s">
        <v>300</v>
      </c>
      <c r="AT54" s="92" t="s">
        <v>235</v>
      </c>
      <c r="AU54" s="213">
        <v>1.6000000000000001E-4</v>
      </c>
      <c r="AV54" s="214" t="s">
        <v>86</v>
      </c>
      <c r="AW54" s="98">
        <v>1.4545454545454547E-3</v>
      </c>
      <c r="AX54" s="98" t="s">
        <v>73</v>
      </c>
      <c r="AY54" s="98">
        <v>3</v>
      </c>
      <c r="AZ54" s="98">
        <v>0.11</v>
      </c>
      <c r="BA54" s="98" t="s">
        <v>712</v>
      </c>
      <c r="BB54" s="208">
        <f>EXP(AU54)/(1+EXP(AU54))</f>
        <v>0.50003999999991466</v>
      </c>
      <c r="BC54" s="92" t="s">
        <v>73</v>
      </c>
      <c r="BD54" s="92" t="s">
        <v>73</v>
      </c>
      <c r="BE54" s="92" t="s">
        <v>73</v>
      </c>
      <c r="BF54" s="92" t="s">
        <v>73</v>
      </c>
      <c r="BG54" s="92" t="s">
        <v>73</v>
      </c>
      <c r="BH54" s="92" t="s">
        <v>73</v>
      </c>
      <c r="BI54" s="92">
        <v>81095</v>
      </c>
      <c r="BJ54" s="92">
        <v>81095</v>
      </c>
      <c r="BK54" s="92" t="s">
        <v>73</v>
      </c>
      <c r="BL54" s="92" t="s">
        <v>73</v>
      </c>
      <c r="BM54" s="92" t="s">
        <v>73</v>
      </c>
      <c r="BN54" s="92">
        <v>0.55000000000000004</v>
      </c>
      <c r="BO54" s="92" t="s">
        <v>301</v>
      </c>
      <c r="BP54" s="95">
        <v>0</v>
      </c>
      <c r="BQ54" s="95">
        <v>0</v>
      </c>
      <c r="BR54" s="95">
        <v>1</v>
      </c>
      <c r="BS54" s="96">
        <v>3.8627412167859866E-4</v>
      </c>
      <c r="BT54" s="96">
        <v>3.8627414089036701E-4</v>
      </c>
      <c r="BU54" s="97">
        <v>0</v>
      </c>
      <c r="BV54" s="97">
        <v>0</v>
      </c>
      <c r="BW54" s="92">
        <v>1</v>
      </c>
      <c r="BX54" s="30">
        <f>((AZ54^2)/(AZ54^2+BI54))^(1/2)</f>
        <v>3.8627412167859866E-4</v>
      </c>
      <c r="BY54" s="30">
        <f>0.5*LN((1+BX54)/(1-BX54))</f>
        <v>3.8627414089036701E-4</v>
      </c>
      <c r="BZ54" s="30">
        <f>((1-(BY54^2)^2)/(BI54-1))</f>
        <v>1.233136853527977E-5</v>
      </c>
      <c r="CA54" s="30">
        <f>1/(BI54-3)</f>
        <v>1.2331672668080699E-5</v>
      </c>
      <c r="CB54" s="92" t="s">
        <v>73</v>
      </c>
      <c r="CC54">
        <f>BI54-1</f>
        <v>81094</v>
      </c>
      <c r="CD54" s="92" t="s">
        <v>73</v>
      </c>
      <c r="CE54" s="30">
        <f>((AZ54^2)/(AZ54^2+BJ54))^(1/2)</f>
        <v>3.8627412167859866E-4</v>
      </c>
      <c r="CF54" s="30">
        <f>0.5*LN((1+CE54)/(1-CE54))</f>
        <v>3.8627414089036701E-4</v>
      </c>
      <c r="CG54" s="30">
        <f>((1-(CF54^2)^2)/(BJ54-1))</f>
        <v>1.233136853527977E-5</v>
      </c>
      <c r="CH54" s="30">
        <f>1/(BJ54-3)</f>
        <v>1.2331672668080699E-5</v>
      </c>
      <c r="CI54"/>
    </row>
    <row r="55" spans="1:87" s="95" customFormat="1" ht="16">
      <c r="A55" s="92" t="s">
        <v>68</v>
      </c>
      <c r="B55" s="92" t="s">
        <v>719</v>
      </c>
      <c r="C55" s="92">
        <v>1070</v>
      </c>
      <c r="D55" s="92">
        <v>112</v>
      </c>
      <c r="E55" s="92" t="s">
        <v>716</v>
      </c>
      <c r="F55" s="92">
        <v>2013</v>
      </c>
      <c r="G55" s="92" t="s">
        <v>296</v>
      </c>
      <c r="H55" s="92" t="s">
        <v>297</v>
      </c>
      <c r="I55" s="92">
        <v>2</v>
      </c>
      <c r="J55" s="92" t="s">
        <v>298</v>
      </c>
      <c r="K55" s="92" t="s">
        <v>73</v>
      </c>
      <c r="L55" s="92">
        <v>14</v>
      </c>
      <c r="M55" s="185" t="s">
        <v>93</v>
      </c>
      <c r="N55" s="92" t="s">
        <v>112</v>
      </c>
      <c r="O55" s="92" t="s">
        <v>299</v>
      </c>
      <c r="P55" s="92" t="s">
        <v>242</v>
      </c>
      <c r="Q55" s="92" t="s">
        <v>243</v>
      </c>
      <c r="R55" s="92" t="s">
        <v>244</v>
      </c>
      <c r="S55" s="92">
        <v>0</v>
      </c>
      <c r="T55" s="92" t="s">
        <v>188</v>
      </c>
      <c r="U55" s="92">
        <v>0</v>
      </c>
      <c r="V55" s="92" t="s">
        <v>231</v>
      </c>
      <c r="W55" s="92" t="s">
        <v>231</v>
      </c>
      <c r="X55" s="92" t="s">
        <v>73</v>
      </c>
      <c r="Y55" s="92">
        <v>0</v>
      </c>
      <c r="Z55" s="92">
        <v>1</v>
      </c>
      <c r="AA55" s="92">
        <v>0</v>
      </c>
      <c r="AB55" s="92">
        <v>0</v>
      </c>
      <c r="AC55" s="92">
        <v>1</v>
      </c>
      <c r="AD55" s="92">
        <v>0</v>
      </c>
      <c r="AE55" s="92">
        <v>0</v>
      </c>
      <c r="AF55" s="92">
        <v>0</v>
      </c>
      <c r="AG55" s="92" t="s">
        <v>73</v>
      </c>
      <c r="AH55" s="92">
        <v>0</v>
      </c>
      <c r="AI55" s="92">
        <v>0</v>
      </c>
      <c r="AJ55" s="92">
        <v>0</v>
      </c>
      <c r="AK55" s="92">
        <v>0</v>
      </c>
      <c r="AL55" s="92">
        <v>1</v>
      </c>
      <c r="AM55" s="92">
        <v>0</v>
      </c>
      <c r="AN55" s="92">
        <v>0</v>
      </c>
      <c r="AO55" s="92">
        <v>0</v>
      </c>
      <c r="AP55" s="92">
        <v>0</v>
      </c>
      <c r="AQ55" s="92" t="s">
        <v>73</v>
      </c>
      <c r="AR55" s="92" t="s">
        <v>233</v>
      </c>
      <c r="AS55" s="92" t="s">
        <v>300</v>
      </c>
      <c r="AT55" s="92" t="s">
        <v>235</v>
      </c>
      <c r="AU55" s="213">
        <v>3.8500000000000001E-3</v>
      </c>
      <c r="AV55" s="214" t="s">
        <v>86</v>
      </c>
      <c r="AW55" s="98">
        <f>AU55/AZ55</f>
        <v>2.3765432098765433E-3</v>
      </c>
      <c r="AX55" s="98" t="s">
        <v>73</v>
      </c>
      <c r="AY55" s="98">
        <v>3</v>
      </c>
      <c r="AZ55" s="98">
        <v>1.62</v>
      </c>
      <c r="BA55" s="98" t="s">
        <v>713</v>
      </c>
      <c r="BB55" s="208">
        <f>EXP(AU55)/(1+EXP(AU55))</f>
        <v>0.50096249881111377</v>
      </c>
      <c r="BC55" s="92" t="s">
        <v>73</v>
      </c>
      <c r="BD55" s="92" t="s">
        <v>73</v>
      </c>
      <c r="BE55" s="92" t="s">
        <v>73</v>
      </c>
      <c r="BF55" s="92" t="s">
        <v>73</v>
      </c>
      <c r="BG55" s="92" t="s">
        <v>73</v>
      </c>
      <c r="BH55" s="92" t="s">
        <v>73</v>
      </c>
      <c r="BI55" s="92">
        <v>81095</v>
      </c>
      <c r="BJ55" s="92">
        <v>81095</v>
      </c>
      <c r="BK55" s="92" t="s">
        <v>73</v>
      </c>
      <c r="BL55" s="92" t="s">
        <v>73</v>
      </c>
      <c r="BM55" s="92" t="s">
        <v>73</v>
      </c>
      <c r="BN55" s="92">
        <v>0.55000000000000004</v>
      </c>
      <c r="BO55" s="92" t="s">
        <v>301</v>
      </c>
      <c r="BP55" s="95" t="s">
        <v>73</v>
      </c>
      <c r="BQ55" s="95" t="s">
        <v>73</v>
      </c>
      <c r="BR55" s="95" t="s">
        <v>73</v>
      </c>
      <c r="BS55" s="95" t="s">
        <v>73</v>
      </c>
      <c r="BT55" s="95" t="s">
        <v>73</v>
      </c>
      <c r="BU55" s="92">
        <v>0</v>
      </c>
      <c r="BV55" s="92">
        <v>0</v>
      </c>
      <c r="BW55" s="92">
        <v>1</v>
      </c>
      <c r="BX55" s="30">
        <f>((AZ55^2)/(AZ55^2+BI55))^(1/2)</f>
        <v>5.6886727140571178E-3</v>
      </c>
      <c r="BY55" s="30">
        <f>0.5*LN((1+BX55)/(1-BX55))</f>
        <v>5.688734078955906E-3</v>
      </c>
      <c r="BZ55" s="30">
        <f>((1-(BY55^2)^2)/(BI55-1))</f>
        <v>1.2331368522365657E-5</v>
      </c>
      <c r="CA55" s="30">
        <f>1/(BI55-3)</f>
        <v>1.2331672668080699E-5</v>
      </c>
      <c r="CB55" s="92" t="s">
        <v>73</v>
      </c>
      <c r="CC55">
        <f>BI55-1</f>
        <v>81094</v>
      </c>
      <c r="CD55" s="92" t="s">
        <v>73</v>
      </c>
      <c r="CE55" s="30">
        <f>((AZ55^2)/(AZ55^2+BJ55))^(1/2)</f>
        <v>5.6886727140571178E-3</v>
      </c>
      <c r="CF55" s="30">
        <f>0.5*LN((1+CE55)/(1-CE55))</f>
        <v>5.688734078955906E-3</v>
      </c>
      <c r="CG55" s="30">
        <f>((1-(CF55^2)^2)/(BJ55-1))</f>
        <v>1.2331368522365657E-5</v>
      </c>
      <c r="CH55" s="30">
        <f>1/(BJ55-3)</f>
        <v>1.2331672668080699E-5</v>
      </c>
      <c r="CI55"/>
    </row>
    <row r="56" spans="1:87" s="95" customFormat="1" ht="16">
      <c r="A56" s="114" t="s">
        <v>68</v>
      </c>
      <c r="B56" s="99" t="s">
        <v>719</v>
      </c>
      <c r="C56" s="114">
        <v>1085</v>
      </c>
      <c r="D56" s="115">
        <v>115</v>
      </c>
      <c r="E56" s="115" t="s">
        <v>302</v>
      </c>
      <c r="F56" s="114">
        <v>2016</v>
      </c>
      <c r="G56" s="115" t="s">
        <v>303</v>
      </c>
      <c r="H56" s="116" t="s">
        <v>304</v>
      </c>
      <c r="I56" s="115">
        <v>2</v>
      </c>
      <c r="J56" s="115" t="s">
        <v>305</v>
      </c>
      <c r="K56" s="116" t="s">
        <v>73</v>
      </c>
      <c r="L56" s="115">
        <v>2531</v>
      </c>
      <c r="M56" s="186" t="s">
        <v>107</v>
      </c>
      <c r="N56" s="115" t="s">
        <v>226</v>
      </c>
      <c r="O56" s="115" t="s">
        <v>81</v>
      </c>
      <c r="P56" s="116" t="s">
        <v>227</v>
      </c>
      <c r="Q56" s="115" t="s">
        <v>306</v>
      </c>
      <c r="R56" s="115" t="s">
        <v>254</v>
      </c>
      <c r="S56" s="115">
        <v>1</v>
      </c>
      <c r="T56" s="115" t="s">
        <v>230</v>
      </c>
      <c r="U56" s="115">
        <v>1</v>
      </c>
      <c r="V56" s="116" t="s">
        <v>231</v>
      </c>
      <c r="W56" s="116" t="s">
        <v>231</v>
      </c>
      <c r="X56" s="116" t="s">
        <v>73</v>
      </c>
      <c r="Y56" s="115">
        <v>0</v>
      </c>
      <c r="Z56" s="115">
        <v>1</v>
      </c>
      <c r="AA56" s="115">
        <v>0</v>
      </c>
      <c r="AB56" s="115">
        <v>0</v>
      </c>
      <c r="AC56" s="115">
        <v>0</v>
      </c>
      <c r="AD56" s="115">
        <v>0</v>
      </c>
      <c r="AE56" s="115">
        <v>0</v>
      </c>
      <c r="AF56" s="115">
        <v>0</v>
      </c>
      <c r="AG56" s="115" t="s">
        <v>73</v>
      </c>
      <c r="AH56" s="115">
        <v>0</v>
      </c>
      <c r="AI56" s="115">
        <v>0</v>
      </c>
      <c r="AJ56" s="115">
        <v>0</v>
      </c>
      <c r="AK56" s="115">
        <v>0</v>
      </c>
      <c r="AL56" s="115">
        <v>0</v>
      </c>
      <c r="AM56" s="115">
        <v>1</v>
      </c>
      <c r="AN56" s="115">
        <v>0</v>
      </c>
      <c r="AO56" s="115">
        <v>0</v>
      </c>
      <c r="AP56" s="115">
        <v>0</v>
      </c>
      <c r="AQ56" s="115" t="s">
        <v>73</v>
      </c>
      <c r="AR56" s="115" t="s">
        <v>233</v>
      </c>
      <c r="AS56" s="115" t="s">
        <v>307</v>
      </c>
      <c r="AT56" s="115" t="s">
        <v>73</v>
      </c>
      <c r="AU56" s="196">
        <v>1.0999999999999999E-2</v>
      </c>
      <c r="AV56" s="117" t="s">
        <v>80</v>
      </c>
      <c r="AW56" s="115">
        <v>2.5000000000000001E-2</v>
      </c>
      <c r="AX56" s="115">
        <v>0.1</v>
      </c>
      <c r="AY56" s="115">
        <v>2</v>
      </c>
      <c r="AZ56" s="115">
        <f>AU56/AW56</f>
        <v>0.43999999999999995</v>
      </c>
      <c r="BA56" s="115"/>
      <c r="BB56" s="193" t="s">
        <v>73</v>
      </c>
      <c r="BC56" s="116" t="s">
        <v>73</v>
      </c>
      <c r="BD56" s="116">
        <f>BI56-BG56</f>
        <v>294</v>
      </c>
      <c r="BE56" s="107" t="s">
        <v>73</v>
      </c>
      <c r="BF56" s="116" t="s">
        <v>73</v>
      </c>
      <c r="BG56" s="116">
        <v>793</v>
      </c>
      <c r="BH56" s="116" t="s">
        <v>73</v>
      </c>
      <c r="BI56" s="116">
        <v>1087</v>
      </c>
      <c r="BJ56" s="116">
        <v>1087</v>
      </c>
      <c r="BK56" s="116">
        <v>1.0999999999999999E-2</v>
      </c>
      <c r="BL56" s="116" t="s">
        <v>73</v>
      </c>
      <c r="BM56" s="115" t="s">
        <v>73</v>
      </c>
      <c r="BN56" s="115" t="s">
        <v>73</v>
      </c>
      <c r="BO56" s="116" t="s">
        <v>73</v>
      </c>
      <c r="BP56" s="116" t="s">
        <v>73</v>
      </c>
      <c r="BQ56" s="116" t="s">
        <v>73</v>
      </c>
      <c r="BR56" s="116" t="s">
        <v>73</v>
      </c>
      <c r="BS56" s="116" t="s">
        <v>73</v>
      </c>
      <c r="BT56" s="116" t="s">
        <v>73</v>
      </c>
      <c r="BU56" s="115">
        <v>0</v>
      </c>
      <c r="BV56" s="115">
        <v>0</v>
      </c>
      <c r="BW56" s="115">
        <v>1</v>
      </c>
      <c r="BX56" s="118">
        <f>CB56/((CB56^2+4)^(1/2))</f>
        <v>1.5020285861404109E-2</v>
      </c>
      <c r="BY56" s="30">
        <f>0.5*LN((1+BX56)/(1-BX56))</f>
        <v>1.5021415584827925E-2</v>
      </c>
      <c r="BZ56" s="30">
        <f>((1-(BY56^2)^2)/(BI56-1))</f>
        <v>9.2081026619269786E-4</v>
      </c>
      <c r="CA56" s="30">
        <f>1/(BI56-3)</f>
        <v>9.225092250922509E-4</v>
      </c>
      <c r="CB56" s="107">
        <f xml:space="preserve"> AZ56*(((BD56+BG56)/(BD56*BG56))^(1/2))</f>
        <v>3.004396100779189E-2</v>
      </c>
      <c r="CC56">
        <f>BI56-2</f>
        <v>1085</v>
      </c>
      <c r="CD56" s="92" t="s">
        <v>73</v>
      </c>
      <c r="CE56" s="30">
        <f>((AZ56^2)/(AZ56^2+BJ56))^(1/2)</f>
        <v>1.334440557338178E-2</v>
      </c>
      <c r="CF56" s="30">
        <f>0.5*LN((1+CE56)/(1-CE56))</f>
        <v>1.3345197751513015E-2</v>
      </c>
      <c r="CG56" s="30">
        <f>((1-(CF56^2)^2)/(BJ56-1))</f>
        <v>9.2081028386963091E-4</v>
      </c>
      <c r="CH56" s="30">
        <f>1/(BJ56-3)</f>
        <v>9.225092250922509E-4</v>
      </c>
      <c r="CI56" s="102"/>
    </row>
    <row r="57" spans="1:87" s="95" customFormat="1" ht="16">
      <c r="A57" s="114" t="s">
        <v>68</v>
      </c>
      <c r="B57" s="99" t="s">
        <v>719</v>
      </c>
      <c r="C57" s="114">
        <v>1086</v>
      </c>
      <c r="D57" s="115">
        <v>115</v>
      </c>
      <c r="E57" s="115" t="s">
        <v>302</v>
      </c>
      <c r="F57" s="114">
        <v>2016</v>
      </c>
      <c r="G57" s="115" t="s">
        <v>303</v>
      </c>
      <c r="H57" s="116" t="s">
        <v>304</v>
      </c>
      <c r="I57" s="115">
        <v>2</v>
      </c>
      <c r="J57" s="115" t="s">
        <v>305</v>
      </c>
      <c r="K57" s="116" t="s">
        <v>73</v>
      </c>
      <c r="L57" s="115">
        <v>2531</v>
      </c>
      <c r="M57" s="186" t="s">
        <v>107</v>
      </c>
      <c r="N57" s="115" t="s">
        <v>226</v>
      </c>
      <c r="O57" s="115" t="s">
        <v>81</v>
      </c>
      <c r="P57" s="116" t="s">
        <v>227</v>
      </c>
      <c r="Q57" s="115" t="s">
        <v>306</v>
      </c>
      <c r="R57" s="115" t="s">
        <v>254</v>
      </c>
      <c r="S57" s="115">
        <v>1</v>
      </c>
      <c r="T57" s="115" t="s">
        <v>230</v>
      </c>
      <c r="U57" s="115">
        <v>1</v>
      </c>
      <c r="V57" s="116" t="s">
        <v>231</v>
      </c>
      <c r="W57" s="116" t="s">
        <v>231</v>
      </c>
      <c r="X57" s="116" t="s">
        <v>73</v>
      </c>
      <c r="Y57" s="115">
        <v>0</v>
      </c>
      <c r="Z57" s="115">
        <v>1</v>
      </c>
      <c r="AA57" s="115">
        <v>0</v>
      </c>
      <c r="AB57" s="115">
        <v>0</v>
      </c>
      <c r="AC57" s="115">
        <v>0</v>
      </c>
      <c r="AD57" s="115">
        <v>0</v>
      </c>
      <c r="AE57" s="115">
        <v>0</v>
      </c>
      <c r="AF57" s="115">
        <v>0</v>
      </c>
      <c r="AG57" s="115" t="s">
        <v>73</v>
      </c>
      <c r="AH57" s="115">
        <v>0</v>
      </c>
      <c r="AI57" s="115">
        <v>0</v>
      </c>
      <c r="AJ57" s="115">
        <v>0</v>
      </c>
      <c r="AK57" s="115">
        <v>0</v>
      </c>
      <c r="AL57" s="115">
        <v>0</v>
      </c>
      <c r="AM57" s="115">
        <v>1</v>
      </c>
      <c r="AN57" s="115">
        <v>0</v>
      </c>
      <c r="AO57" s="115">
        <v>0</v>
      </c>
      <c r="AP57" s="115">
        <v>0</v>
      </c>
      <c r="AQ57" s="115" t="s">
        <v>73</v>
      </c>
      <c r="AR57" s="115" t="s">
        <v>233</v>
      </c>
      <c r="AS57" s="115" t="s">
        <v>307</v>
      </c>
      <c r="AT57" s="115" t="s">
        <v>73</v>
      </c>
      <c r="AU57" s="196">
        <v>8.0000000000000002E-3</v>
      </c>
      <c r="AV57" s="117" t="s">
        <v>86</v>
      </c>
      <c r="AW57" s="115">
        <v>2.7E-2</v>
      </c>
      <c r="AX57" s="115">
        <v>0.1</v>
      </c>
      <c r="AY57" s="115">
        <v>2</v>
      </c>
      <c r="AZ57" s="115">
        <f>AU57/AW57</f>
        <v>0.29629629629629628</v>
      </c>
      <c r="BA57" s="115"/>
      <c r="BB57" s="193" t="s">
        <v>73</v>
      </c>
      <c r="BC57" s="116" t="s">
        <v>73</v>
      </c>
      <c r="BD57" s="116">
        <f>BI57-BG57</f>
        <v>294</v>
      </c>
      <c r="BE57" s="107" t="s">
        <v>73</v>
      </c>
      <c r="BF57" s="116" t="s">
        <v>73</v>
      </c>
      <c r="BG57" s="116">
        <v>793</v>
      </c>
      <c r="BH57" s="116" t="s">
        <v>73</v>
      </c>
      <c r="BI57" s="116">
        <v>1087</v>
      </c>
      <c r="BJ57" s="116">
        <v>1087</v>
      </c>
      <c r="BK57" s="116">
        <v>8.0000000000000002E-3</v>
      </c>
      <c r="BL57" s="116" t="s">
        <v>73</v>
      </c>
      <c r="BM57" s="115" t="s">
        <v>73</v>
      </c>
      <c r="BN57" s="115" t="s">
        <v>73</v>
      </c>
      <c r="BO57" s="116" t="s">
        <v>73</v>
      </c>
      <c r="BP57" s="116" t="s">
        <v>73</v>
      </c>
      <c r="BQ57" s="116" t="s">
        <v>73</v>
      </c>
      <c r="BR57" s="116" t="s">
        <v>73</v>
      </c>
      <c r="BS57" s="116" t="s">
        <v>73</v>
      </c>
      <c r="BT57" s="116" t="s">
        <v>73</v>
      </c>
      <c r="BU57" s="115">
        <v>0</v>
      </c>
      <c r="BV57" s="115">
        <v>0</v>
      </c>
      <c r="BW57" s="115">
        <v>1</v>
      </c>
      <c r="BX57" s="118">
        <f>CB57/((CB57^2+4)^(1/2))</f>
        <v>1.0115294253124005E-2</v>
      </c>
      <c r="BY57" s="30">
        <f>0.5*LN((1+BX57)/(1-BX57))</f>
        <v>1.0115639270502465E-2</v>
      </c>
      <c r="BZ57" s="30">
        <f>((1-(BY57^2)^2)/(BI57-1))</f>
        <v>9.2081030343403082E-4</v>
      </c>
      <c r="CA57" s="30">
        <f>1/(BI57-3)</f>
        <v>9.225092250922509E-4</v>
      </c>
      <c r="CB57" s="107">
        <f xml:space="preserve"> AZ57*(((BD57+BG57)/(BD57*BG57))^(1/2))</f>
        <v>2.0231623574270632E-2</v>
      </c>
      <c r="CC57">
        <f>BI57-2</f>
        <v>1085</v>
      </c>
      <c r="CD57" s="92" t="s">
        <v>73</v>
      </c>
      <c r="CE57" s="30">
        <f>((AZ57^2)/(AZ57^2+BJ57))^(1/2)</f>
        <v>8.9865690080051016E-3</v>
      </c>
      <c r="CF57" s="30">
        <f>0.5*LN((1+CE57)/(1-CE57))</f>
        <v>8.9868109334400852E-3</v>
      </c>
      <c r="CG57" s="30">
        <f>((1-(CF57^2)^2)/(BJ57-1))</f>
        <v>9.2081030706940602E-4</v>
      </c>
      <c r="CH57" s="30">
        <f>1/(BJ57-3)</f>
        <v>9.225092250922509E-4</v>
      </c>
      <c r="CI57" s="102"/>
    </row>
    <row r="58" spans="1:87" s="95" customFormat="1" ht="16">
      <c r="A58" s="99" t="s">
        <v>68</v>
      </c>
      <c r="B58" s="99" t="s">
        <v>719</v>
      </c>
      <c r="C58" s="99">
        <v>1087</v>
      </c>
      <c r="D58" s="102">
        <v>115</v>
      </c>
      <c r="E58" s="102" t="s">
        <v>302</v>
      </c>
      <c r="F58" s="99">
        <v>2016</v>
      </c>
      <c r="G58" s="102" t="s">
        <v>303</v>
      </c>
      <c r="H58" s="109" t="s">
        <v>304</v>
      </c>
      <c r="I58" s="102">
        <v>2</v>
      </c>
      <c r="J58" s="102" t="s">
        <v>305</v>
      </c>
      <c r="K58" s="110" t="s">
        <v>73</v>
      </c>
      <c r="L58" s="102">
        <v>2532</v>
      </c>
      <c r="M58" s="110" t="s">
        <v>93</v>
      </c>
      <c r="N58" s="92" t="s">
        <v>226</v>
      </c>
      <c r="O58" s="102" t="s">
        <v>81</v>
      </c>
      <c r="P58" s="110" t="s">
        <v>227</v>
      </c>
      <c r="Q58" s="102" t="s">
        <v>306</v>
      </c>
      <c r="R58" s="102" t="s">
        <v>254</v>
      </c>
      <c r="S58" s="102">
        <v>1</v>
      </c>
      <c r="T58" s="102" t="s">
        <v>230</v>
      </c>
      <c r="U58" s="102">
        <v>1</v>
      </c>
      <c r="V58" s="110" t="s">
        <v>231</v>
      </c>
      <c r="W58" s="110" t="s">
        <v>231</v>
      </c>
      <c r="X58" s="110" t="s">
        <v>73</v>
      </c>
      <c r="Y58" s="102">
        <v>0</v>
      </c>
      <c r="Z58" s="102">
        <v>1</v>
      </c>
      <c r="AA58" s="102">
        <v>0</v>
      </c>
      <c r="AB58" s="102">
        <v>0</v>
      </c>
      <c r="AC58" s="102">
        <v>0</v>
      </c>
      <c r="AD58" s="102">
        <v>0</v>
      </c>
      <c r="AE58" s="102">
        <v>0</v>
      </c>
      <c r="AF58" s="102">
        <v>0</v>
      </c>
      <c r="AG58" s="102" t="s">
        <v>73</v>
      </c>
      <c r="AH58" s="102">
        <v>0</v>
      </c>
      <c r="AI58" s="102">
        <v>0</v>
      </c>
      <c r="AJ58" s="102">
        <v>0</v>
      </c>
      <c r="AK58" s="102">
        <v>0</v>
      </c>
      <c r="AL58" s="102">
        <v>0</v>
      </c>
      <c r="AM58" s="102">
        <v>1</v>
      </c>
      <c r="AN58" s="102">
        <v>0</v>
      </c>
      <c r="AO58" s="102">
        <v>0</v>
      </c>
      <c r="AP58" s="102">
        <v>0</v>
      </c>
      <c r="AQ58" s="102" t="s">
        <v>73</v>
      </c>
      <c r="AR58" s="102" t="s">
        <v>233</v>
      </c>
      <c r="AS58" s="102" t="s">
        <v>307</v>
      </c>
      <c r="AT58" s="102" t="s">
        <v>235</v>
      </c>
      <c r="AU58" s="160">
        <v>4.0000000000000001E-3</v>
      </c>
      <c r="AV58" s="111" t="s">
        <v>80</v>
      </c>
      <c r="AW58" s="102">
        <v>3.3000000000000002E-2</v>
      </c>
      <c r="AX58" s="102">
        <v>0.1</v>
      </c>
      <c r="AY58" s="102">
        <v>2</v>
      </c>
      <c r="AZ58" s="102">
        <f>AU58/AW58</f>
        <v>0.12121212121212122</v>
      </c>
      <c r="BA58" s="102" t="s">
        <v>73</v>
      </c>
      <c r="BB58" s="105">
        <f>EXP(AU58)/(1+EXP(AU58))</f>
        <v>0.50099999866666878</v>
      </c>
      <c r="BC58" s="110" t="s">
        <v>73</v>
      </c>
      <c r="BD58" s="110" t="s">
        <v>73</v>
      </c>
      <c r="BE58" s="110" t="s">
        <v>73</v>
      </c>
      <c r="BF58" s="110" t="s">
        <v>73</v>
      </c>
      <c r="BG58" s="110" t="s">
        <v>73</v>
      </c>
      <c r="BH58" s="110" t="s">
        <v>73</v>
      </c>
      <c r="BI58" s="110">
        <v>1087</v>
      </c>
      <c r="BJ58" s="110">
        <v>1087</v>
      </c>
      <c r="BK58" s="110" t="s">
        <v>73</v>
      </c>
      <c r="BL58" s="110" t="s">
        <v>73</v>
      </c>
      <c r="BM58" s="102" t="s">
        <v>73</v>
      </c>
      <c r="BN58" s="102" t="s">
        <v>73</v>
      </c>
      <c r="BO58" s="110" t="s">
        <v>73</v>
      </c>
      <c r="BP58" s="110" t="s">
        <v>73</v>
      </c>
      <c r="BQ58" s="110" t="s">
        <v>73</v>
      </c>
      <c r="BR58" s="110" t="s">
        <v>73</v>
      </c>
      <c r="BS58" s="110" t="s">
        <v>73</v>
      </c>
      <c r="BT58" s="110" t="s">
        <v>73</v>
      </c>
      <c r="BU58" s="102">
        <v>0</v>
      </c>
      <c r="BV58" s="102">
        <v>0</v>
      </c>
      <c r="BW58" s="102">
        <v>1</v>
      </c>
      <c r="BX58" s="113">
        <f>((AZ58^2)/(AZ58^2+BI58))^(1/2)</f>
        <v>3.6764472949663419E-3</v>
      </c>
      <c r="BY58" s="113">
        <f>0.5*LN((1+BX58)/(1-BX58))</f>
        <v>3.6764638590456372E-3</v>
      </c>
      <c r="BZ58" s="113">
        <f>((1-(BY58^2)^2)/(BI58-1))</f>
        <v>9.2081031290728113E-4</v>
      </c>
      <c r="CA58" s="113">
        <f>1/(BI58-3)</f>
        <v>9.225092250922509E-4</v>
      </c>
      <c r="CB58" s="92" t="s">
        <v>73</v>
      </c>
      <c r="CC58">
        <f>BI58-2</f>
        <v>1085</v>
      </c>
      <c r="CD58" s="92" t="s">
        <v>73</v>
      </c>
      <c r="CE58" s="30">
        <f>((AZ58^2)/(AZ58^2+BJ58))^(1/2)</f>
        <v>3.6764472949663419E-3</v>
      </c>
      <c r="CF58" s="113">
        <f>0.5*LN((1+CE58)/(1-CE58))</f>
        <v>3.6764638590456372E-3</v>
      </c>
      <c r="CG58" s="30">
        <f>((1-(CF58^2)^2)/(BJ58-1))</f>
        <v>9.2081031290728113E-4</v>
      </c>
      <c r="CH58" s="30">
        <f>1/(BJ58-3)</f>
        <v>9.225092250922509E-4</v>
      </c>
      <c r="CI58" s="112"/>
    </row>
    <row r="59" spans="1:87" s="95" customFormat="1" ht="16">
      <c r="A59" s="99" t="s">
        <v>68</v>
      </c>
      <c r="B59" s="99" t="s">
        <v>719</v>
      </c>
      <c r="C59" s="99">
        <v>1088</v>
      </c>
      <c r="D59" s="102">
        <v>115</v>
      </c>
      <c r="E59" s="102" t="s">
        <v>302</v>
      </c>
      <c r="F59" s="99">
        <v>2016</v>
      </c>
      <c r="G59" s="102" t="s">
        <v>303</v>
      </c>
      <c r="H59" s="109" t="s">
        <v>304</v>
      </c>
      <c r="I59" s="102">
        <v>2</v>
      </c>
      <c r="J59" s="102" t="s">
        <v>305</v>
      </c>
      <c r="K59" s="110" t="s">
        <v>73</v>
      </c>
      <c r="L59" s="102">
        <v>2532</v>
      </c>
      <c r="M59" s="110" t="s">
        <v>93</v>
      </c>
      <c r="N59" s="92" t="s">
        <v>226</v>
      </c>
      <c r="O59" s="102" t="s">
        <v>81</v>
      </c>
      <c r="P59" s="110" t="s">
        <v>227</v>
      </c>
      <c r="Q59" s="102" t="s">
        <v>306</v>
      </c>
      <c r="R59" s="102" t="s">
        <v>254</v>
      </c>
      <c r="S59" s="102">
        <v>1</v>
      </c>
      <c r="T59" s="102" t="s">
        <v>230</v>
      </c>
      <c r="U59" s="102">
        <v>1</v>
      </c>
      <c r="V59" s="110" t="s">
        <v>231</v>
      </c>
      <c r="W59" s="110" t="s">
        <v>231</v>
      </c>
      <c r="X59" s="110" t="s">
        <v>73</v>
      </c>
      <c r="Y59" s="102">
        <v>0</v>
      </c>
      <c r="Z59" s="102">
        <v>0</v>
      </c>
      <c r="AA59" s="102">
        <v>0</v>
      </c>
      <c r="AB59" s="102">
        <v>1</v>
      </c>
      <c r="AC59" s="102">
        <v>0</v>
      </c>
      <c r="AD59" s="102">
        <v>0</v>
      </c>
      <c r="AE59" s="102">
        <v>0</v>
      </c>
      <c r="AF59" s="102">
        <v>0</v>
      </c>
      <c r="AG59" s="102" t="s">
        <v>73</v>
      </c>
      <c r="AH59" s="102">
        <v>0</v>
      </c>
      <c r="AI59" s="102">
        <v>0</v>
      </c>
      <c r="AJ59" s="102">
        <v>0</v>
      </c>
      <c r="AK59" s="102">
        <v>0</v>
      </c>
      <c r="AL59" s="102">
        <v>0</v>
      </c>
      <c r="AM59" s="102">
        <v>1</v>
      </c>
      <c r="AN59" s="102">
        <v>0</v>
      </c>
      <c r="AO59" s="102">
        <v>0</v>
      </c>
      <c r="AP59" s="102">
        <v>0</v>
      </c>
      <c r="AQ59" s="102" t="s">
        <v>73</v>
      </c>
      <c r="AR59" s="102" t="s">
        <v>233</v>
      </c>
      <c r="AS59" s="102" t="s">
        <v>307</v>
      </c>
      <c r="AT59" s="102" t="s">
        <v>235</v>
      </c>
      <c r="AU59" s="160">
        <v>0.105</v>
      </c>
      <c r="AV59" s="111" t="s">
        <v>80</v>
      </c>
      <c r="AW59" s="102">
        <v>3.3000000000000002E-2</v>
      </c>
      <c r="AX59" s="102">
        <v>0.01</v>
      </c>
      <c r="AY59" s="102">
        <v>1</v>
      </c>
      <c r="AZ59" s="102">
        <f>AU59/AW59</f>
        <v>3.1818181818181817</v>
      </c>
      <c r="BA59" s="102"/>
      <c r="BB59" s="105">
        <f>EXP(AU59)/(1+EXP(AU59))</f>
        <v>0.5262259093720687</v>
      </c>
      <c r="BC59" s="110" t="s">
        <v>73</v>
      </c>
      <c r="BD59" s="110" t="s">
        <v>73</v>
      </c>
      <c r="BE59" s="110" t="s">
        <v>73</v>
      </c>
      <c r="BF59" s="110" t="s">
        <v>73</v>
      </c>
      <c r="BG59" s="110" t="s">
        <v>73</v>
      </c>
      <c r="BH59" s="110" t="s">
        <v>73</v>
      </c>
      <c r="BI59" s="110">
        <v>1087</v>
      </c>
      <c r="BJ59" s="110">
        <v>1087</v>
      </c>
      <c r="BK59" s="110" t="s">
        <v>73</v>
      </c>
      <c r="BL59" s="110" t="s">
        <v>73</v>
      </c>
      <c r="BM59" s="102" t="s">
        <v>73</v>
      </c>
      <c r="BN59" s="102" t="s">
        <v>73</v>
      </c>
      <c r="BO59" s="102" t="s">
        <v>236</v>
      </c>
      <c r="BP59" s="110" t="s">
        <v>73</v>
      </c>
      <c r="BQ59" s="110" t="s">
        <v>73</v>
      </c>
      <c r="BR59" s="110" t="s">
        <v>73</v>
      </c>
      <c r="BS59" s="110" t="s">
        <v>73</v>
      </c>
      <c r="BT59" s="110" t="s">
        <v>73</v>
      </c>
      <c r="BU59" s="102">
        <v>0</v>
      </c>
      <c r="BV59" s="102">
        <v>0</v>
      </c>
      <c r="BW59" s="102">
        <v>1</v>
      </c>
      <c r="BX59" s="113">
        <f>((AZ59^2)/(AZ59^2+BI59))^(1/2)</f>
        <v>9.6061089497837926E-2</v>
      </c>
      <c r="BY59" s="113">
        <f>0.5*LN((1+BX59)/(1-BX59))</f>
        <v>9.6358211658461979E-2</v>
      </c>
      <c r="BZ59" s="113">
        <f>((1-(BY59^2)^2)/(BI59-1))</f>
        <v>9.2073093051564905E-4</v>
      </c>
      <c r="CA59" s="113">
        <f>1/(BI59-3)</f>
        <v>9.225092250922509E-4</v>
      </c>
      <c r="CB59" s="92" t="s">
        <v>73</v>
      </c>
      <c r="CC59">
        <f>BI59-2</f>
        <v>1085</v>
      </c>
      <c r="CD59" s="92" t="s">
        <v>73</v>
      </c>
      <c r="CE59" s="30">
        <f>((AZ59^2)/(AZ59^2+BJ59))^(1/2)</f>
        <v>9.6061089497837926E-2</v>
      </c>
      <c r="CF59" s="113">
        <f>0.5*LN((1+CE59)/(1-CE59))</f>
        <v>9.6358211658461979E-2</v>
      </c>
      <c r="CG59" s="30">
        <f>((1-(CF59^2)^2)/(BJ59-1))</f>
        <v>9.2073093051564905E-4</v>
      </c>
      <c r="CH59" s="30">
        <f>1/(BJ59-3)</f>
        <v>9.225092250922509E-4</v>
      </c>
      <c r="CI59" s="112"/>
    </row>
    <row r="60" spans="1:87" s="95" customFormat="1" ht="16">
      <c r="A60" s="99" t="s">
        <v>68</v>
      </c>
      <c r="B60" s="99" t="s">
        <v>719</v>
      </c>
      <c r="C60" s="99">
        <v>1089</v>
      </c>
      <c r="D60" s="102">
        <v>115</v>
      </c>
      <c r="E60" s="102" t="s">
        <v>302</v>
      </c>
      <c r="F60" s="99">
        <v>2016</v>
      </c>
      <c r="G60" s="102" t="s">
        <v>303</v>
      </c>
      <c r="H60" s="109" t="s">
        <v>304</v>
      </c>
      <c r="I60" s="102">
        <v>2</v>
      </c>
      <c r="J60" s="102" t="s">
        <v>305</v>
      </c>
      <c r="K60" s="110" t="s">
        <v>73</v>
      </c>
      <c r="L60" s="102">
        <v>2532</v>
      </c>
      <c r="M60" s="110" t="s">
        <v>93</v>
      </c>
      <c r="N60" s="92" t="s">
        <v>226</v>
      </c>
      <c r="O60" s="102" t="s">
        <v>81</v>
      </c>
      <c r="P60" s="110" t="s">
        <v>227</v>
      </c>
      <c r="Q60" s="102" t="s">
        <v>306</v>
      </c>
      <c r="R60" s="102" t="s">
        <v>254</v>
      </c>
      <c r="S60" s="102">
        <v>1</v>
      </c>
      <c r="T60" s="102" t="s">
        <v>230</v>
      </c>
      <c r="U60" s="102">
        <v>1</v>
      </c>
      <c r="V60" s="110" t="s">
        <v>231</v>
      </c>
      <c r="W60" s="110" t="s">
        <v>231</v>
      </c>
      <c r="X60" s="110" t="s">
        <v>73</v>
      </c>
      <c r="Y60" s="102">
        <v>0</v>
      </c>
      <c r="Z60" s="102">
        <v>1</v>
      </c>
      <c r="AA60" s="102">
        <v>0</v>
      </c>
      <c r="AB60" s="102">
        <v>1</v>
      </c>
      <c r="AC60" s="102">
        <v>0</v>
      </c>
      <c r="AD60" s="102">
        <v>0</v>
      </c>
      <c r="AE60" s="102">
        <v>0</v>
      </c>
      <c r="AF60" s="102">
        <v>0</v>
      </c>
      <c r="AG60" s="102" t="s">
        <v>73</v>
      </c>
      <c r="AH60" s="102">
        <v>0</v>
      </c>
      <c r="AI60" s="102">
        <v>0</v>
      </c>
      <c r="AJ60" s="102">
        <v>0</v>
      </c>
      <c r="AK60" s="102">
        <v>0</v>
      </c>
      <c r="AL60" s="102">
        <v>0</v>
      </c>
      <c r="AM60" s="102">
        <v>1</v>
      </c>
      <c r="AN60" s="102">
        <v>0</v>
      </c>
      <c r="AO60" s="102">
        <v>0</v>
      </c>
      <c r="AP60" s="102">
        <v>0</v>
      </c>
      <c r="AQ60" s="102" t="s">
        <v>73</v>
      </c>
      <c r="AR60" s="102" t="s">
        <v>233</v>
      </c>
      <c r="AS60" s="102" t="s">
        <v>307</v>
      </c>
      <c r="AT60" s="102" t="s">
        <v>235</v>
      </c>
      <c r="AU60" s="160">
        <v>5.3999999999999999E-2</v>
      </c>
      <c r="AV60" s="111" t="s">
        <v>80</v>
      </c>
      <c r="AW60" s="102">
        <v>6.6000000000000003E-2</v>
      </c>
      <c r="AX60" s="102">
        <v>0.1</v>
      </c>
      <c r="AY60" s="102">
        <v>2</v>
      </c>
      <c r="AZ60" s="102">
        <f>AU60/AW60</f>
        <v>0.81818181818181812</v>
      </c>
      <c r="BA60" s="102"/>
      <c r="BB60" s="105">
        <f>EXP(AU60)/(1+EXP(AU60))</f>
        <v>0.51349672045631156</v>
      </c>
      <c r="BC60" s="110" t="s">
        <v>73</v>
      </c>
      <c r="BD60" s="110" t="s">
        <v>73</v>
      </c>
      <c r="BE60" s="110" t="s">
        <v>73</v>
      </c>
      <c r="BF60" s="110" t="s">
        <v>73</v>
      </c>
      <c r="BG60" s="110" t="s">
        <v>73</v>
      </c>
      <c r="BH60" s="110" t="s">
        <v>73</v>
      </c>
      <c r="BI60" s="110">
        <v>1087</v>
      </c>
      <c r="BJ60" s="110">
        <v>1087</v>
      </c>
      <c r="BK60" s="110" t="s">
        <v>73</v>
      </c>
      <c r="BL60" s="110" t="s">
        <v>73</v>
      </c>
      <c r="BM60" s="102" t="s">
        <v>73</v>
      </c>
      <c r="BN60" s="102" t="s">
        <v>73</v>
      </c>
      <c r="BO60" s="102" t="s">
        <v>236</v>
      </c>
      <c r="BP60" s="110" t="s">
        <v>73</v>
      </c>
      <c r="BQ60" s="110" t="s">
        <v>73</v>
      </c>
      <c r="BR60" s="110" t="s">
        <v>73</v>
      </c>
      <c r="BS60" s="110" t="s">
        <v>73</v>
      </c>
      <c r="BT60" s="110" t="s">
        <v>73</v>
      </c>
      <c r="BU60" s="102">
        <v>0</v>
      </c>
      <c r="BV60" s="102">
        <v>0</v>
      </c>
      <c r="BW60" s="102">
        <v>1</v>
      </c>
      <c r="BX60" s="113">
        <f>((AZ60^2)/(AZ60^2+BI60))^(1/2)</f>
        <v>2.4808549041116852E-2</v>
      </c>
      <c r="BY60" s="113">
        <f>0.5*LN((1+BX60)/(1-BX60))</f>
        <v>2.4813640511901335E-2</v>
      </c>
      <c r="BZ60" s="113">
        <f>((1-(BY60^2)^2)/(BI60-1))</f>
        <v>9.2080996398975789E-4</v>
      </c>
      <c r="CA60" s="113">
        <f>1/(BI60-3)</f>
        <v>9.225092250922509E-4</v>
      </c>
      <c r="CB60" s="92" t="s">
        <v>73</v>
      </c>
      <c r="CC60">
        <f>BI60-2</f>
        <v>1085</v>
      </c>
      <c r="CD60" s="92" t="s">
        <v>73</v>
      </c>
      <c r="CE60" s="30">
        <f>((AZ60^2)/(AZ60^2+BJ60))^(1/2)</f>
        <v>2.4808549041116852E-2</v>
      </c>
      <c r="CF60" s="113">
        <f>0.5*LN((1+CE60)/(1-CE60))</f>
        <v>2.4813640511901335E-2</v>
      </c>
      <c r="CG60" s="30">
        <f>((1-(CF60^2)^2)/(BJ60-1))</f>
        <v>9.2080996398975789E-4</v>
      </c>
      <c r="CH60" s="30">
        <f>1/(BJ60-3)</f>
        <v>9.225092250922509E-4</v>
      </c>
      <c r="CI60" s="112"/>
    </row>
    <row r="61" spans="1:87" s="119" customFormat="1" ht="16">
      <c r="A61" s="99" t="s">
        <v>68</v>
      </c>
      <c r="B61" s="99" t="s">
        <v>719</v>
      </c>
      <c r="C61" s="99">
        <v>1101</v>
      </c>
      <c r="D61" s="102">
        <v>119</v>
      </c>
      <c r="E61" s="112" t="s">
        <v>308</v>
      </c>
      <c r="F61" s="99">
        <v>2006</v>
      </c>
      <c r="G61" s="102" t="s">
        <v>309</v>
      </c>
      <c r="H61" s="159" t="s">
        <v>154</v>
      </c>
      <c r="I61" s="102">
        <v>2</v>
      </c>
      <c r="J61" s="102">
        <v>2005</v>
      </c>
      <c r="K61" s="110" t="s">
        <v>73</v>
      </c>
      <c r="L61" s="102">
        <v>193</v>
      </c>
      <c r="M61" s="110" t="s">
        <v>155</v>
      </c>
      <c r="N61" s="102" t="s">
        <v>112</v>
      </c>
      <c r="O61" s="102" t="s">
        <v>156</v>
      </c>
      <c r="P61" s="102" t="s">
        <v>227</v>
      </c>
      <c r="Q61" s="102" t="s">
        <v>310</v>
      </c>
      <c r="R61" s="102" t="s">
        <v>311</v>
      </c>
      <c r="S61" s="102">
        <v>1</v>
      </c>
      <c r="T61" s="102" t="s">
        <v>230</v>
      </c>
      <c r="U61" s="102">
        <v>0</v>
      </c>
      <c r="V61" s="102" t="s">
        <v>245</v>
      </c>
      <c r="W61" s="102" t="s">
        <v>245</v>
      </c>
      <c r="X61" s="102" t="s">
        <v>157</v>
      </c>
      <c r="Y61" s="102">
        <v>0</v>
      </c>
      <c r="Z61" s="102">
        <v>0</v>
      </c>
      <c r="AA61" s="102">
        <v>1</v>
      </c>
      <c r="AB61" s="102">
        <v>0</v>
      </c>
      <c r="AC61" s="102">
        <v>0</v>
      </c>
      <c r="AD61" s="102">
        <v>0</v>
      </c>
      <c r="AE61" s="102">
        <v>0</v>
      </c>
      <c r="AF61" s="102">
        <v>0</v>
      </c>
      <c r="AG61" s="102" t="s">
        <v>73</v>
      </c>
      <c r="AH61" s="102">
        <v>1</v>
      </c>
      <c r="AI61" s="102">
        <v>0</v>
      </c>
      <c r="AJ61" s="102">
        <v>0</v>
      </c>
      <c r="AK61" s="102">
        <v>0</v>
      </c>
      <c r="AL61" s="102">
        <v>0</v>
      </c>
      <c r="AM61" s="102">
        <v>0</v>
      </c>
      <c r="AN61" s="102">
        <v>0</v>
      </c>
      <c r="AO61" s="102">
        <v>0</v>
      </c>
      <c r="AP61" s="102">
        <v>0</v>
      </c>
      <c r="AQ61" s="102" t="s">
        <v>312</v>
      </c>
      <c r="AR61" s="102" t="s">
        <v>233</v>
      </c>
      <c r="AS61" s="102" t="s">
        <v>313</v>
      </c>
      <c r="AT61" s="92" t="s">
        <v>235</v>
      </c>
      <c r="AU61" s="160">
        <v>0.4874</v>
      </c>
      <c r="AV61" s="111" t="s">
        <v>80</v>
      </c>
      <c r="AW61" s="160">
        <v>9.1800000000000007E-2</v>
      </c>
      <c r="AX61" s="102">
        <v>0.01</v>
      </c>
      <c r="AY61" s="102">
        <v>1</v>
      </c>
      <c r="AZ61" s="102">
        <f>AU61/AW61</f>
        <v>5.3093681917211324</v>
      </c>
      <c r="BA61" s="102" t="s">
        <v>73</v>
      </c>
      <c r="BB61" s="105">
        <f>EXP(AU61)/(1+EXP(AU61))</f>
        <v>0.61949374780434951</v>
      </c>
      <c r="BC61" s="102" t="s">
        <v>73</v>
      </c>
      <c r="BD61" s="102" t="s">
        <v>73</v>
      </c>
      <c r="BE61" s="102" t="s">
        <v>73</v>
      </c>
      <c r="BF61" s="102" t="s">
        <v>73</v>
      </c>
      <c r="BG61" s="102" t="s">
        <v>73</v>
      </c>
      <c r="BH61" s="102" t="s">
        <v>73</v>
      </c>
      <c r="BI61" s="102">
        <v>151</v>
      </c>
      <c r="BJ61" s="102">
        <v>151</v>
      </c>
      <c r="BK61" s="102" t="s">
        <v>73</v>
      </c>
      <c r="BL61" s="102" t="s">
        <v>73</v>
      </c>
      <c r="BM61" s="102" t="s">
        <v>73</v>
      </c>
      <c r="BN61" s="102" t="s">
        <v>73</v>
      </c>
      <c r="BO61" s="102" t="s">
        <v>73</v>
      </c>
      <c r="BP61" s="102" t="s">
        <v>73</v>
      </c>
      <c r="BQ61" s="102" t="s">
        <v>73</v>
      </c>
      <c r="BR61" s="102" t="s">
        <v>73</v>
      </c>
      <c r="BS61" s="102" t="s">
        <v>73</v>
      </c>
      <c r="BT61" s="102" t="s">
        <v>314</v>
      </c>
      <c r="BU61" s="102">
        <v>0</v>
      </c>
      <c r="BV61" s="102">
        <v>0</v>
      </c>
      <c r="BW61" s="102">
        <v>0</v>
      </c>
      <c r="BX61" s="113">
        <f>((AZ61^2)/(AZ61^2+BI61))^(1/2)</f>
        <v>0.39663103881354556</v>
      </c>
      <c r="BY61" s="113">
        <f>0.5*LN((1+BX61)/(1-BX61))</f>
        <v>0.41964466459073052</v>
      </c>
      <c r="BZ61" s="113">
        <f>((1-(BY61^2)^2)/(BI61-1))</f>
        <v>6.4599214053169289E-3</v>
      </c>
      <c r="CA61" s="113">
        <f>1/(BI61-3)</f>
        <v>6.7567567567567571E-3</v>
      </c>
      <c r="CB61" s="92" t="s">
        <v>73</v>
      </c>
      <c r="CC61">
        <f>BI61-1</f>
        <v>150</v>
      </c>
      <c r="CD61" s="92" t="s">
        <v>73</v>
      </c>
      <c r="CE61" s="30">
        <f>((AZ61^2)/(AZ61^2+BJ61))^(1/2)</f>
        <v>0.39663103881354556</v>
      </c>
      <c r="CF61" s="113">
        <f>0.5*LN((1+CE61)/(1-CE61))</f>
        <v>0.41964466459073052</v>
      </c>
      <c r="CG61" s="30">
        <f>((1-(CF61^2)^2)/(BJ61-1))</f>
        <v>6.4599214053169289E-3</v>
      </c>
      <c r="CH61" s="30">
        <f>1/(BJ61-3)</f>
        <v>6.7567567567567571E-3</v>
      </c>
      <c r="CI61"/>
    </row>
    <row r="62" spans="1:87" ht="16">
      <c r="A62" s="99" t="s">
        <v>68</v>
      </c>
      <c r="B62" s="99" t="s">
        <v>719</v>
      </c>
      <c r="C62" s="99">
        <v>1102</v>
      </c>
      <c r="D62" s="102">
        <v>119</v>
      </c>
      <c r="E62" s="112" t="s">
        <v>308</v>
      </c>
      <c r="F62" s="99">
        <v>2006</v>
      </c>
      <c r="G62" s="102" t="s">
        <v>309</v>
      </c>
      <c r="H62" s="159" t="s">
        <v>154</v>
      </c>
      <c r="I62" s="102">
        <v>2</v>
      </c>
      <c r="J62" s="102">
        <v>2005</v>
      </c>
      <c r="K62" s="110" t="s">
        <v>73</v>
      </c>
      <c r="L62" s="102">
        <v>193</v>
      </c>
      <c r="M62" s="110" t="s">
        <v>155</v>
      </c>
      <c r="N62" s="102" t="s">
        <v>112</v>
      </c>
      <c r="O62" s="102" t="s">
        <v>156</v>
      </c>
      <c r="P62" s="102" t="s">
        <v>227</v>
      </c>
      <c r="Q62" s="102" t="s">
        <v>310</v>
      </c>
      <c r="R62" s="102" t="s">
        <v>311</v>
      </c>
      <c r="S62" s="102">
        <v>1</v>
      </c>
      <c r="T62" s="102" t="s">
        <v>230</v>
      </c>
      <c r="U62" s="102">
        <v>0</v>
      </c>
      <c r="V62" s="102" t="s">
        <v>245</v>
      </c>
      <c r="W62" s="102" t="s">
        <v>245</v>
      </c>
      <c r="X62" s="102" t="s">
        <v>157</v>
      </c>
      <c r="Y62" s="102">
        <v>0</v>
      </c>
      <c r="Z62" s="102">
        <v>0</v>
      </c>
      <c r="AA62" s="102">
        <v>1</v>
      </c>
      <c r="AB62" s="102">
        <v>0</v>
      </c>
      <c r="AC62" s="102">
        <v>0</v>
      </c>
      <c r="AD62" s="102">
        <v>0</v>
      </c>
      <c r="AE62" s="102">
        <v>0</v>
      </c>
      <c r="AF62" s="102">
        <v>0</v>
      </c>
      <c r="AG62" s="102" t="s">
        <v>73</v>
      </c>
      <c r="AH62" s="102">
        <v>1</v>
      </c>
      <c r="AI62" s="102">
        <v>0</v>
      </c>
      <c r="AJ62" s="102">
        <v>0</v>
      </c>
      <c r="AK62" s="102">
        <v>0</v>
      </c>
      <c r="AL62" s="102">
        <v>0</v>
      </c>
      <c r="AM62" s="102">
        <v>0</v>
      </c>
      <c r="AN62" s="102">
        <v>0</v>
      </c>
      <c r="AO62" s="102">
        <v>0</v>
      </c>
      <c r="AP62" s="102">
        <v>0</v>
      </c>
      <c r="AQ62" s="102" t="s">
        <v>315</v>
      </c>
      <c r="AR62" s="102" t="s">
        <v>233</v>
      </c>
      <c r="AS62" s="102" t="s">
        <v>313</v>
      </c>
      <c r="AT62" s="92" t="s">
        <v>235</v>
      </c>
      <c r="AU62" s="160">
        <v>0.24340000000000001</v>
      </c>
      <c r="AV62" s="111" t="s">
        <v>80</v>
      </c>
      <c r="AW62" s="160">
        <v>8.2799999999999999E-2</v>
      </c>
      <c r="AX62" s="102">
        <v>0.01</v>
      </c>
      <c r="AY62" s="102">
        <v>1</v>
      </c>
      <c r="AZ62" s="102">
        <f>AU62/AW62</f>
        <v>2.9396135265700485</v>
      </c>
      <c r="BA62" s="102" t="s">
        <v>73</v>
      </c>
      <c r="BB62" s="105">
        <f>EXP(AU62)/(1+EXP(AU62))</f>
        <v>0.56055135493614083</v>
      </c>
      <c r="BC62" s="102" t="s">
        <v>73</v>
      </c>
      <c r="BD62" s="102" t="s">
        <v>73</v>
      </c>
      <c r="BE62" s="102" t="s">
        <v>73</v>
      </c>
      <c r="BF62" s="102" t="s">
        <v>73</v>
      </c>
      <c r="BG62" s="102" t="s">
        <v>73</v>
      </c>
      <c r="BH62" s="102" t="s">
        <v>73</v>
      </c>
      <c r="BI62" s="102">
        <v>151</v>
      </c>
      <c r="BJ62" s="102">
        <v>151</v>
      </c>
      <c r="BK62" s="102" t="s">
        <v>73</v>
      </c>
      <c r="BL62" s="102" t="s">
        <v>73</v>
      </c>
      <c r="BM62" s="102" t="s">
        <v>73</v>
      </c>
      <c r="BN62" s="102" t="s">
        <v>73</v>
      </c>
      <c r="BO62" s="102" t="s">
        <v>73</v>
      </c>
      <c r="BP62" s="102" t="s">
        <v>73</v>
      </c>
      <c r="BQ62" s="102" t="s">
        <v>73</v>
      </c>
      <c r="BR62" s="102" t="s">
        <v>73</v>
      </c>
      <c r="BS62" s="102" t="s">
        <v>73</v>
      </c>
      <c r="BT62" s="102" t="s">
        <v>314</v>
      </c>
      <c r="BU62" s="102">
        <v>0</v>
      </c>
      <c r="BV62" s="102">
        <v>0</v>
      </c>
      <c r="BW62" s="102">
        <v>0</v>
      </c>
      <c r="BX62" s="113">
        <f>((AZ62^2)/(AZ62^2+BI62))^(1/2)</f>
        <v>0.23265777562024986</v>
      </c>
      <c r="BY62" s="113">
        <f>0.5*LN((1+BX62)/(1-BX62))</f>
        <v>0.23699751145474932</v>
      </c>
      <c r="BZ62" s="113">
        <f>((1-(BY62^2)^2)/(BI62-1))</f>
        <v>6.6456345063166536E-3</v>
      </c>
      <c r="CA62" s="113">
        <f>1/(BI62-3)</f>
        <v>6.7567567567567571E-3</v>
      </c>
      <c r="CB62" s="92" t="s">
        <v>73</v>
      </c>
      <c r="CC62">
        <f>BI62-1</f>
        <v>150</v>
      </c>
      <c r="CD62" s="92" t="s">
        <v>73</v>
      </c>
      <c r="CE62" s="30">
        <f>((AZ62^2)/(AZ62^2+BJ62))^(1/2)</f>
        <v>0.23265777562024986</v>
      </c>
      <c r="CF62" s="113">
        <f>0.5*LN((1+CE62)/(1-CE62))</f>
        <v>0.23699751145474932</v>
      </c>
      <c r="CG62" s="30">
        <f>((1-(CF62^2)^2)/(BJ62-1))</f>
        <v>6.6456345063166536E-3</v>
      </c>
      <c r="CH62" s="30">
        <f>1/(BJ62-3)</f>
        <v>6.7567567567567571E-3</v>
      </c>
    </row>
    <row r="63" spans="1:87" ht="16">
      <c r="A63" s="11" t="s">
        <v>68</v>
      </c>
      <c r="B63" s="11" t="s">
        <v>718</v>
      </c>
      <c r="C63" s="11">
        <v>1103</v>
      </c>
      <c r="D63">
        <v>120</v>
      </c>
      <c r="E63" t="s">
        <v>316</v>
      </c>
      <c r="F63" s="11">
        <v>2021</v>
      </c>
      <c r="G63" t="s">
        <v>317</v>
      </c>
      <c r="H63" s="22" t="s">
        <v>318</v>
      </c>
      <c r="I63">
        <v>2</v>
      </c>
      <c r="J63">
        <v>2018</v>
      </c>
      <c r="K63" s="10" t="s">
        <v>73</v>
      </c>
      <c r="L63">
        <v>296</v>
      </c>
      <c r="M63" s="18" t="s">
        <v>155</v>
      </c>
      <c r="N63" t="s">
        <v>112</v>
      </c>
      <c r="O63" t="s">
        <v>319</v>
      </c>
      <c r="P63" t="s">
        <v>227</v>
      </c>
      <c r="Q63" t="s">
        <v>310</v>
      </c>
      <c r="R63" t="s">
        <v>311</v>
      </c>
      <c r="S63">
        <v>0</v>
      </c>
      <c r="T63" t="s">
        <v>230</v>
      </c>
      <c r="U63">
        <v>1</v>
      </c>
      <c r="V63" s="18" t="s">
        <v>231</v>
      </c>
      <c r="W63" s="18" t="s">
        <v>231</v>
      </c>
      <c r="X63" s="18" t="s">
        <v>73</v>
      </c>
      <c r="Y63">
        <v>0</v>
      </c>
      <c r="Z63">
        <v>0</v>
      </c>
      <c r="AA63">
        <v>1</v>
      </c>
      <c r="AB63">
        <v>0</v>
      </c>
      <c r="AC63">
        <v>0</v>
      </c>
      <c r="AD63">
        <v>0</v>
      </c>
      <c r="AE63">
        <v>0</v>
      </c>
      <c r="AF63">
        <v>0</v>
      </c>
      <c r="AG63" t="s">
        <v>320</v>
      </c>
      <c r="AH63">
        <v>1</v>
      </c>
      <c r="AI63">
        <v>0</v>
      </c>
      <c r="AJ63">
        <v>0</v>
      </c>
      <c r="AK63">
        <v>0</v>
      </c>
      <c r="AL63">
        <v>0</v>
      </c>
      <c r="AM63">
        <v>0</v>
      </c>
      <c r="AN63" s="32">
        <v>0</v>
      </c>
      <c r="AO63">
        <v>0</v>
      </c>
      <c r="AP63">
        <v>0</v>
      </c>
      <c r="AQ63" t="s">
        <v>321</v>
      </c>
      <c r="AR63" t="s">
        <v>233</v>
      </c>
      <c r="AS63" t="s">
        <v>322</v>
      </c>
      <c r="AT63" t="s">
        <v>235</v>
      </c>
      <c r="AU63" s="134">
        <v>3.1600000000000003E-2</v>
      </c>
      <c r="AV63" s="7" t="s">
        <v>80</v>
      </c>
      <c r="AW63">
        <v>1.66E-2</v>
      </c>
      <c r="AX63">
        <v>0.1</v>
      </c>
      <c r="AY63">
        <v>1</v>
      </c>
      <c r="AZ63">
        <f>AU63/AW63</f>
        <v>1.9036144578313254</v>
      </c>
      <c r="BB63" s="101">
        <f>AU63</f>
        <v>3.1600000000000003E-2</v>
      </c>
      <c r="BC63" t="s">
        <v>73</v>
      </c>
      <c r="BD63" t="s">
        <v>73</v>
      </c>
      <c r="BE63" t="s">
        <v>73</v>
      </c>
      <c r="BF63" t="s">
        <v>73</v>
      </c>
      <c r="BG63" t="s">
        <v>73</v>
      </c>
      <c r="BH63" t="s">
        <v>73</v>
      </c>
      <c r="BI63">
        <v>1350</v>
      </c>
      <c r="BJ63">
        <v>1350</v>
      </c>
      <c r="BK63" t="s">
        <v>73</v>
      </c>
      <c r="BL63" t="s">
        <v>73</v>
      </c>
      <c r="BM63" t="s">
        <v>73</v>
      </c>
      <c r="BN63" t="s">
        <v>73</v>
      </c>
      <c r="BO63" t="s">
        <v>73</v>
      </c>
      <c r="BP63">
        <v>1</v>
      </c>
      <c r="BQ63" t="s">
        <v>73</v>
      </c>
      <c r="BR63">
        <v>0</v>
      </c>
      <c r="BS63" t="s">
        <v>73</v>
      </c>
      <c r="BT63" t="s">
        <v>73</v>
      </c>
      <c r="BU63">
        <v>0</v>
      </c>
      <c r="BV63">
        <v>0</v>
      </c>
      <c r="BW63">
        <v>1</v>
      </c>
      <c r="BX63" s="30">
        <f>((AZ63^2)/(AZ63^2+BI63))^(1/2)</f>
        <v>5.1740427422851322E-2</v>
      </c>
      <c r="BY63" s="30">
        <f>0.5*LN((1+BX63)/(1-BX63))</f>
        <v>5.1786672673630553E-2</v>
      </c>
      <c r="BZ63" s="30">
        <f>((1-(BY63^2)^2)/(BI63-1))</f>
        <v>7.4128451269814776E-4</v>
      </c>
      <c r="CA63" s="30">
        <f>1/(BI63-3)</f>
        <v>7.4239049740163323E-4</v>
      </c>
      <c r="CB63" s="92" t="s">
        <v>73</v>
      </c>
      <c r="CC63">
        <f>BI63-1</f>
        <v>1349</v>
      </c>
      <c r="CD63" s="92" t="s">
        <v>73</v>
      </c>
      <c r="CE63" s="30">
        <f>((AZ63^2)/(AZ63^2+BJ63))^(1/2)</f>
        <v>5.1740427422851322E-2</v>
      </c>
      <c r="CF63" s="30">
        <f>0.5*LN((1+CE63)/(1-CE63))</f>
        <v>5.1786672673630553E-2</v>
      </c>
      <c r="CG63" s="30">
        <f>((1-(CF63^2)^2)/(BJ63-1))</f>
        <v>7.4128451269814776E-4</v>
      </c>
      <c r="CH63" s="30">
        <f>1/(BJ63-3)</f>
        <v>7.4239049740163323E-4</v>
      </c>
      <c r="CI63" s="92"/>
    </row>
    <row r="64" spans="1:87" ht="16">
      <c r="A64" s="11" t="s">
        <v>68</v>
      </c>
      <c r="B64" s="11" t="s">
        <v>718</v>
      </c>
      <c r="C64" s="11">
        <v>1104</v>
      </c>
      <c r="D64">
        <v>120</v>
      </c>
      <c r="E64" t="s">
        <v>316</v>
      </c>
      <c r="F64" s="11">
        <v>2021</v>
      </c>
      <c r="G64" t="s">
        <v>317</v>
      </c>
      <c r="H64" s="22" t="s">
        <v>318</v>
      </c>
      <c r="I64">
        <v>2</v>
      </c>
      <c r="J64">
        <v>2018</v>
      </c>
      <c r="K64" s="10" t="s">
        <v>73</v>
      </c>
      <c r="L64">
        <v>296</v>
      </c>
      <c r="M64" s="18" t="s">
        <v>155</v>
      </c>
      <c r="N64" t="s">
        <v>112</v>
      </c>
      <c r="O64" t="s">
        <v>319</v>
      </c>
      <c r="P64" t="s">
        <v>227</v>
      </c>
      <c r="Q64" t="s">
        <v>310</v>
      </c>
      <c r="R64" t="s">
        <v>311</v>
      </c>
      <c r="S64">
        <v>0</v>
      </c>
      <c r="T64" t="s">
        <v>230</v>
      </c>
      <c r="U64">
        <v>1</v>
      </c>
      <c r="V64" s="18" t="s">
        <v>231</v>
      </c>
      <c r="W64" s="18" t="s">
        <v>231</v>
      </c>
      <c r="X64" s="18" t="s">
        <v>73</v>
      </c>
      <c r="Y64">
        <v>0</v>
      </c>
      <c r="Z64">
        <v>1</v>
      </c>
      <c r="AA64">
        <v>0</v>
      </c>
      <c r="AB64">
        <v>0</v>
      </c>
      <c r="AC64">
        <v>0</v>
      </c>
      <c r="AD64">
        <v>0</v>
      </c>
      <c r="AE64">
        <v>0</v>
      </c>
      <c r="AF64">
        <v>0</v>
      </c>
      <c r="AG64" t="s">
        <v>320</v>
      </c>
      <c r="AH64">
        <v>1</v>
      </c>
      <c r="AI64">
        <v>0</v>
      </c>
      <c r="AJ64">
        <v>0</v>
      </c>
      <c r="AK64">
        <v>0</v>
      </c>
      <c r="AL64">
        <v>0</v>
      </c>
      <c r="AM64">
        <v>0</v>
      </c>
      <c r="AN64" s="32">
        <v>0</v>
      </c>
      <c r="AO64">
        <v>0</v>
      </c>
      <c r="AP64">
        <v>0</v>
      </c>
      <c r="AQ64" t="s">
        <v>321</v>
      </c>
      <c r="AR64" t="s">
        <v>233</v>
      </c>
      <c r="AS64" t="s">
        <v>322</v>
      </c>
      <c r="AT64" t="s">
        <v>235</v>
      </c>
      <c r="AU64" s="134">
        <v>9.8500000000000004E-2</v>
      </c>
      <c r="AV64" s="7" t="s">
        <v>86</v>
      </c>
      <c r="AW64" s="134">
        <v>0.13600000000000001</v>
      </c>
      <c r="AX64">
        <v>0.1</v>
      </c>
      <c r="AY64">
        <v>2</v>
      </c>
      <c r="AZ64">
        <f>AU64/AW64</f>
        <v>0.72426470588235292</v>
      </c>
      <c r="BB64" s="101">
        <f>AU64</f>
        <v>9.8500000000000004E-2</v>
      </c>
      <c r="BC64" t="s">
        <v>73</v>
      </c>
      <c r="BD64" t="s">
        <v>73</v>
      </c>
      <c r="BE64" t="s">
        <v>73</v>
      </c>
      <c r="BF64" t="s">
        <v>73</v>
      </c>
      <c r="BG64" t="s">
        <v>73</v>
      </c>
      <c r="BH64" t="s">
        <v>73</v>
      </c>
      <c r="BI64">
        <v>1350</v>
      </c>
      <c r="BJ64">
        <v>1350</v>
      </c>
      <c r="BK64" t="s">
        <v>73</v>
      </c>
      <c r="BL64" t="s">
        <v>73</v>
      </c>
      <c r="BM64" t="s">
        <v>73</v>
      </c>
      <c r="BN64" t="s">
        <v>73</v>
      </c>
      <c r="BO64" t="s">
        <v>73</v>
      </c>
      <c r="BP64">
        <v>0</v>
      </c>
      <c r="BQ64" t="s">
        <v>73</v>
      </c>
      <c r="BR64">
        <v>1</v>
      </c>
      <c r="BS64" s="41" t="s">
        <v>73</v>
      </c>
      <c r="BT64" t="s">
        <v>73</v>
      </c>
      <c r="BU64">
        <v>0</v>
      </c>
      <c r="BV64">
        <v>0</v>
      </c>
      <c r="BW64">
        <v>1</v>
      </c>
      <c r="BX64" s="30">
        <f>((AZ64^2)/(AZ64^2+BI64))^(1/2)</f>
        <v>1.97081599806469E-2</v>
      </c>
      <c r="BY64" s="30">
        <f>0.5*LN((1+BX64)/(1-BX64))</f>
        <v>1.9710712201246074E-2</v>
      </c>
      <c r="BZ64" s="30">
        <f>((1-(BY64^2)^2)/(BI64-1))</f>
        <v>7.4128973243757566E-4</v>
      </c>
      <c r="CA64" s="30">
        <f>1/(BI64-3)</f>
        <v>7.4239049740163323E-4</v>
      </c>
      <c r="CB64" s="92" t="s">
        <v>73</v>
      </c>
      <c r="CC64">
        <f>BI64-1</f>
        <v>1349</v>
      </c>
      <c r="CD64" s="92" t="s">
        <v>73</v>
      </c>
      <c r="CE64" s="30">
        <f>((AZ64^2)/(AZ64^2+BJ64))^(1/2)</f>
        <v>1.97081599806469E-2</v>
      </c>
      <c r="CF64" s="30">
        <f>0.5*LN((1+CE64)/(1-CE64))</f>
        <v>1.9710712201246074E-2</v>
      </c>
      <c r="CG64" s="30">
        <f>((1-(CF64^2)^2)/(BJ64-1))</f>
        <v>7.4128973243757566E-4</v>
      </c>
      <c r="CH64" s="30">
        <f>1/(BJ64-3)</f>
        <v>7.4239049740163323E-4</v>
      </c>
      <c r="CI64" s="92"/>
    </row>
    <row r="65" spans="1:87" ht="16">
      <c r="A65" s="11" t="s">
        <v>68</v>
      </c>
      <c r="B65" s="11" t="s">
        <v>718</v>
      </c>
      <c r="C65" s="11">
        <v>1105</v>
      </c>
      <c r="D65">
        <v>120</v>
      </c>
      <c r="E65" t="s">
        <v>316</v>
      </c>
      <c r="F65" s="11">
        <v>2021</v>
      </c>
      <c r="G65" t="s">
        <v>317</v>
      </c>
      <c r="H65" s="22" t="s">
        <v>318</v>
      </c>
      <c r="I65">
        <v>2</v>
      </c>
      <c r="J65">
        <v>2018</v>
      </c>
      <c r="K65" s="10" t="s">
        <v>73</v>
      </c>
      <c r="L65">
        <v>296</v>
      </c>
      <c r="M65" s="18" t="s">
        <v>155</v>
      </c>
      <c r="N65" t="s">
        <v>112</v>
      </c>
      <c r="O65" t="s">
        <v>319</v>
      </c>
      <c r="P65" t="s">
        <v>227</v>
      </c>
      <c r="Q65" t="s">
        <v>310</v>
      </c>
      <c r="R65" t="s">
        <v>311</v>
      </c>
      <c r="S65">
        <v>0</v>
      </c>
      <c r="T65" t="s">
        <v>230</v>
      </c>
      <c r="U65">
        <v>1</v>
      </c>
      <c r="V65" s="18" t="s">
        <v>231</v>
      </c>
      <c r="W65" s="18" t="s">
        <v>231</v>
      </c>
      <c r="X65" s="18" t="s">
        <v>73</v>
      </c>
      <c r="Y65">
        <v>0</v>
      </c>
      <c r="Z65">
        <v>1</v>
      </c>
      <c r="AA65">
        <v>1</v>
      </c>
      <c r="AB65">
        <v>0</v>
      </c>
      <c r="AC65">
        <v>0</v>
      </c>
      <c r="AD65">
        <v>0</v>
      </c>
      <c r="AE65">
        <v>0</v>
      </c>
      <c r="AF65">
        <v>0</v>
      </c>
      <c r="AG65" t="s">
        <v>320</v>
      </c>
      <c r="AH65">
        <v>1</v>
      </c>
      <c r="AI65">
        <v>0</v>
      </c>
      <c r="AJ65">
        <v>0</v>
      </c>
      <c r="AK65">
        <v>0</v>
      </c>
      <c r="AL65">
        <v>0</v>
      </c>
      <c r="AM65">
        <v>0</v>
      </c>
      <c r="AN65" s="32">
        <v>0</v>
      </c>
      <c r="AO65">
        <v>0</v>
      </c>
      <c r="AP65">
        <v>0</v>
      </c>
      <c r="AQ65" t="s">
        <v>321</v>
      </c>
      <c r="AR65" t="s">
        <v>233</v>
      </c>
      <c r="AS65" t="s">
        <v>322</v>
      </c>
      <c r="AT65" t="s">
        <v>235</v>
      </c>
      <c r="AU65" s="134">
        <v>0.48899999999999999</v>
      </c>
      <c r="AV65" s="7" t="s">
        <v>86</v>
      </c>
      <c r="AW65" s="134">
        <v>0.30299999999999999</v>
      </c>
      <c r="AX65">
        <v>0.1</v>
      </c>
      <c r="AY65">
        <v>2</v>
      </c>
      <c r="AZ65">
        <f>AU65/AW65</f>
        <v>1.613861386138614</v>
      </c>
      <c r="BB65" s="101">
        <f>AU65</f>
        <v>0.48899999999999999</v>
      </c>
      <c r="BC65" t="s">
        <v>73</v>
      </c>
      <c r="BD65" t="s">
        <v>73</v>
      </c>
      <c r="BE65" t="s">
        <v>73</v>
      </c>
      <c r="BF65" t="s">
        <v>73</v>
      </c>
      <c r="BG65" t="s">
        <v>73</v>
      </c>
      <c r="BH65" t="s">
        <v>73</v>
      </c>
      <c r="BI65">
        <v>1350</v>
      </c>
      <c r="BJ65">
        <v>1350</v>
      </c>
      <c r="BK65" t="s">
        <v>73</v>
      </c>
      <c r="BL65" t="s">
        <v>73</v>
      </c>
      <c r="BM65" t="s">
        <v>73</v>
      </c>
      <c r="BN65" t="s">
        <v>73</v>
      </c>
      <c r="BO65" t="s">
        <v>73</v>
      </c>
      <c r="BP65">
        <v>1</v>
      </c>
      <c r="BQ65" t="s">
        <v>73</v>
      </c>
      <c r="BR65">
        <v>1</v>
      </c>
      <c r="BS65" s="41" t="s">
        <v>73</v>
      </c>
      <c r="BT65" t="s">
        <v>73</v>
      </c>
      <c r="BU65">
        <v>0</v>
      </c>
      <c r="BV65">
        <v>0</v>
      </c>
      <c r="BW65">
        <v>1</v>
      </c>
      <c r="BX65" s="30">
        <f>((AZ65^2)/(AZ65^2+BI65))^(1/2)</f>
        <v>4.3881433738989228E-2</v>
      </c>
      <c r="BY65" s="30">
        <f>0.5*LN((1+BX65)/(1-BX65))</f>
        <v>4.3909632065429631E-2</v>
      </c>
      <c r="BZ65" s="30">
        <f>((1-(BY65^2)^2)/(BI65-1))</f>
        <v>7.4128708865891613E-4</v>
      </c>
      <c r="CA65" s="30">
        <f>1/(BI65-3)</f>
        <v>7.4239049740163323E-4</v>
      </c>
      <c r="CB65" s="92" t="s">
        <v>73</v>
      </c>
      <c r="CC65">
        <f>BI65-1</f>
        <v>1349</v>
      </c>
      <c r="CD65" s="92" t="s">
        <v>73</v>
      </c>
      <c r="CE65" s="30">
        <f>((AZ65^2)/(AZ65^2+BJ65))^(1/2)</f>
        <v>4.3881433738989228E-2</v>
      </c>
      <c r="CF65" s="30">
        <f>0.5*LN((1+CE65)/(1-CE65))</f>
        <v>4.3909632065429631E-2</v>
      </c>
      <c r="CG65" s="30">
        <f>((1-(CF65^2)^2)/(BJ65-1))</f>
        <v>7.4128708865891613E-4</v>
      </c>
      <c r="CH65" s="30">
        <f>1/(BJ65-3)</f>
        <v>7.4239049740163323E-4</v>
      </c>
      <c r="CI65" s="119"/>
    </row>
    <row r="66" spans="1:87" s="107" customFormat="1" ht="16">
      <c r="A66" s="11" t="s">
        <v>68</v>
      </c>
      <c r="B66" s="11" t="s">
        <v>718</v>
      </c>
      <c r="C66" s="11">
        <v>1106</v>
      </c>
      <c r="D66">
        <v>120</v>
      </c>
      <c r="E66" t="s">
        <v>316</v>
      </c>
      <c r="F66" s="11">
        <v>2021</v>
      </c>
      <c r="G66" t="s">
        <v>317</v>
      </c>
      <c r="H66" s="22" t="s">
        <v>318</v>
      </c>
      <c r="I66">
        <v>2</v>
      </c>
      <c r="J66">
        <v>2018</v>
      </c>
      <c r="K66" s="10" t="s">
        <v>73</v>
      </c>
      <c r="L66">
        <v>296</v>
      </c>
      <c r="M66" s="18" t="s">
        <v>155</v>
      </c>
      <c r="N66" t="s">
        <v>112</v>
      </c>
      <c r="O66" t="s">
        <v>319</v>
      </c>
      <c r="P66" t="s">
        <v>227</v>
      </c>
      <c r="Q66" t="s">
        <v>310</v>
      </c>
      <c r="R66" t="s">
        <v>311</v>
      </c>
      <c r="S66">
        <v>0</v>
      </c>
      <c r="T66" t="s">
        <v>230</v>
      </c>
      <c r="U66">
        <v>1</v>
      </c>
      <c r="V66" s="18" t="s">
        <v>231</v>
      </c>
      <c r="W66" s="18" t="s">
        <v>231</v>
      </c>
      <c r="X66" s="18" t="s">
        <v>73</v>
      </c>
      <c r="Y66">
        <v>0</v>
      </c>
      <c r="Z66">
        <v>0</v>
      </c>
      <c r="AA66">
        <v>1</v>
      </c>
      <c r="AB66">
        <v>0</v>
      </c>
      <c r="AC66">
        <v>0</v>
      </c>
      <c r="AD66">
        <v>0</v>
      </c>
      <c r="AE66">
        <v>0</v>
      </c>
      <c r="AF66">
        <v>0</v>
      </c>
      <c r="AG66" t="s">
        <v>320</v>
      </c>
      <c r="AH66">
        <v>0</v>
      </c>
      <c r="AI66">
        <v>0</v>
      </c>
      <c r="AJ66">
        <v>0</v>
      </c>
      <c r="AK66">
        <v>1</v>
      </c>
      <c r="AL66">
        <v>0</v>
      </c>
      <c r="AM66">
        <v>0</v>
      </c>
      <c r="AN66" s="32">
        <v>0</v>
      </c>
      <c r="AO66">
        <v>0</v>
      </c>
      <c r="AP66">
        <v>0</v>
      </c>
      <c r="AQ66" s="32" t="s">
        <v>321</v>
      </c>
      <c r="AR66" t="s">
        <v>233</v>
      </c>
      <c r="AS66" t="s">
        <v>322</v>
      </c>
      <c r="AT66" t="s">
        <v>235</v>
      </c>
      <c r="AU66" s="134">
        <v>9.98E-2</v>
      </c>
      <c r="AV66" s="7" t="s">
        <v>80</v>
      </c>
      <c r="AW66" s="134">
        <v>0.14899999999999999</v>
      </c>
      <c r="AX66">
        <v>0.1</v>
      </c>
      <c r="AY66">
        <v>2</v>
      </c>
      <c r="AZ66">
        <f>AU66/AW66</f>
        <v>0.66979865771812086</v>
      </c>
      <c r="BA66"/>
      <c r="BB66" s="101">
        <f>AU66</f>
        <v>9.98E-2</v>
      </c>
      <c r="BC66" t="s">
        <v>73</v>
      </c>
      <c r="BD66" t="s">
        <v>73</v>
      </c>
      <c r="BE66" t="s">
        <v>73</v>
      </c>
      <c r="BF66" t="s">
        <v>73</v>
      </c>
      <c r="BG66" t="s">
        <v>73</v>
      </c>
      <c r="BH66" t="s">
        <v>73</v>
      </c>
      <c r="BI66">
        <v>827</v>
      </c>
      <c r="BJ66">
        <v>827</v>
      </c>
      <c r="BK66" t="s">
        <v>73</v>
      </c>
      <c r="BL66" t="s">
        <v>73</v>
      </c>
      <c r="BM66" t="s">
        <v>73</v>
      </c>
      <c r="BN66" t="s">
        <v>73</v>
      </c>
      <c r="BO66" t="s">
        <v>73</v>
      </c>
      <c r="BP66">
        <v>1</v>
      </c>
      <c r="BQ66" t="s">
        <v>73</v>
      </c>
      <c r="BR66">
        <v>0</v>
      </c>
      <c r="BS66" t="s">
        <v>73</v>
      </c>
      <c r="BT66" t="s">
        <v>73</v>
      </c>
      <c r="BU66">
        <v>0</v>
      </c>
      <c r="BV66">
        <v>0</v>
      </c>
      <c r="BW66">
        <v>1</v>
      </c>
      <c r="BX66" s="30">
        <f>((AZ66^2)/(AZ66^2+BI66))^(1/2)</f>
        <v>2.3284866493189758E-2</v>
      </c>
      <c r="BY66" s="30">
        <f>0.5*LN((1+BX66)/(1-BX66))</f>
        <v>2.3289076097877604E-2</v>
      </c>
      <c r="BZ66" s="30">
        <f>((1-(BY66^2)^2)/(BI66-1))</f>
        <v>1.2106533968798787E-3</v>
      </c>
      <c r="CA66" s="30">
        <f>1/(BI66-3)</f>
        <v>1.2135922330097086E-3</v>
      </c>
      <c r="CB66" s="92" t="s">
        <v>73</v>
      </c>
      <c r="CC66">
        <f>BI66-1</f>
        <v>826</v>
      </c>
      <c r="CD66" s="92" t="s">
        <v>73</v>
      </c>
      <c r="CE66" s="30">
        <f>((AZ66^2)/(AZ66^2+BJ66))^(1/2)</f>
        <v>2.3284866493189758E-2</v>
      </c>
      <c r="CF66" s="30">
        <f>0.5*LN((1+CE66)/(1-CE66))</f>
        <v>2.3289076097877604E-2</v>
      </c>
      <c r="CG66" s="30">
        <f>((1-(CF66^2)^2)/(BJ66-1))</f>
        <v>1.2106533968798787E-3</v>
      </c>
      <c r="CH66" s="30">
        <f>1/(BJ66-3)</f>
        <v>1.2135922330097086E-3</v>
      </c>
      <c r="CI66" s="92"/>
    </row>
    <row r="67" spans="1:87" ht="16">
      <c r="A67" s="11" t="s">
        <v>68</v>
      </c>
      <c r="B67" s="11" t="s">
        <v>718</v>
      </c>
      <c r="C67" s="11">
        <v>1107</v>
      </c>
      <c r="D67">
        <v>120</v>
      </c>
      <c r="E67" t="s">
        <v>316</v>
      </c>
      <c r="F67" s="11">
        <v>2021</v>
      </c>
      <c r="G67" t="s">
        <v>317</v>
      </c>
      <c r="H67" s="22" t="s">
        <v>318</v>
      </c>
      <c r="I67">
        <v>2</v>
      </c>
      <c r="J67">
        <v>2018</v>
      </c>
      <c r="K67" s="10" t="s">
        <v>73</v>
      </c>
      <c r="L67">
        <v>296</v>
      </c>
      <c r="M67" s="18" t="s">
        <v>155</v>
      </c>
      <c r="N67" t="s">
        <v>112</v>
      </c>
      <c r="O67" t="s">
        <v>319</v>
      </c>
      <c r="P67" t="s">
        <v>227</v>
      </c>
      <c r="Q67" t="s">
        <v>310</v>
      </c>
      <c r="R67" t="s">
        <v>311</v>
      </c>
      <c r="S67">
        <v>0</v>
      </c>
      <c r="T67" t="s">
        <v>230</v>
      </c>
      <c r="U67">
        <v>1</v>
      </c>
      <c r="V67" s="18" t="s">
        <v>231</v>
      </c>
      <c r="W67" s="18" t="s">
        <v>231</v>
      </c>
      <c r="X67" s="18" t="s">
        <v>73</v>
      </c>
      <c r="Y67">
        <v>0</v>
      </c>
      <c r="Z67">
        <v>1</v>
      </c>
      <c r="AA67">
        <v>0</v>
      </c>
      <c r="AB67">
        <v>0</v>
      </c>
      <c r="AC67">
        <v>0</v>
      </c>
      <c r="AD67">
        <v>0</v>
      </c>
      <c r="AE67">
        <v>0</v>
      </c>
      <c r="AF67">
        <v>0</v>
      </c>
      <c r="AG67" t="s">
        <v>320</v>
      </c>
      <c r="AH67">
        <v>0</v>
      </c>
      <c r="AI67">
        <v>0</v>
      </c>
      <c r="AJ67">
        <v>0</v>
      </c>
      <c r="AK67">
        <v>1</v>
      </c>
      <c r="AL67">
        <v>0</v>
      </c>
      <c r="AM67">
        <v>0</v>
      </c>
      <c r="AN67" s="32">
        <v>0</v>
      </c>
      <c r="AO67">
        <v>0</v>
      </c>
      <c r="AP67">
        <v>0</v>
      </c>
      <c r="AQ67" s="32" t="s">
        <v>321</v>
      </c>
      <c r="AR67" t="s">
        <v>233</v>
      </c>
      <c r="AS67" t="s">
        <v>322</v>
      </c>
      <c r="AT67" t="s">
        <v>235</v>
      </c>
      <c r="AU67" s="134">
        <v>0.48599999999999999</v>
      </c>
      <c r="AV67" s="7" t="s">
        <v>80</v>
      </c>
      <c r="AW67" s="134">
        <v>0.20399999999999999</v>
      </c>
      <c r="AX67">
        <v>0.05</v>
      </c>
      <c r="AY67">
        <v>1</v>
      </c>
      <c r="AZ67">
        <f>AU67/AW67</f>
        <v>2.3823529411764706</v>
      </c>
      <c r="BB67" s="101">
        <f>AU67</f>
        <v>0.48599999999999999</v>
      </c>
      <c r="BC67" t="s">
        <v>73</v>
      </c>
      <c r="BD67" t="s">
        <v>73</v>
      </c>
      <c r="BE67" t="s">
        <v>73</v>
      </c>
      <c r="BF67" t="s">
        <v>73</v>
      </c>
      <c r="BG67" t="s">
        <v>73</v>
      </c>
      <c r="BH67" t="s">
        <v>73</v>
      </c>
      <c r="BI67">
        <v>827</v>
      </c>
      <c r="BJ67">
        <v>827</v>
      </c>
      <c r="BK67" t="s">
        <v>73</v>
      </c>
      <c r="BL67" t="s">
        <v>73</v>
      </c>
      <c r="BM67" t="s">
        <v>73</v>
      </c>
      <c r="BN67" t="s">
        <v>73</v>
      </c>
      <c r="BO67" t="s">
        <v>73</v>
      </c>
      <c r="BP67">
        <v>0</v>
      </c>
      <c r="BQ67" t="s">
        <v>73</v>
      </c>
      <c r="BR67">
        <v>1</v>
      </c>
      <c r="BS67" s="41" t="s">
        <v>73</v>
      </c>
      <c r="BT67" t="s">
        <v>73</v>
      </c>
      <c r="BU67">
        <v>0</v>
      </c>
      <c r="BV67">
        <v>0</v>
      </c>
      <c r="BW67">
        <v>1</v>
      </c>
      <c r="BX67" s="30">
        <f>((AZ67^2)/(AZ67^2+BI67))^(1/2)</f>
        <v>8.2559714236340495E-2</v>
      </c>
      <c r="BY67" s="30">
        <f>0.5*LN((1+BX67)/(1-BX67))</f>
        <v>8.2748063723839957E-2</v>
      </c>
      <c r="BZ67" s="30">
        <f>((1-(BY67^2)^2)/(BI67-1))</f>
        <v>1.2105969918599373E-3</v>
      </c>
      <c r="CA67" s="30">
        <f>1/(BI67-3)</f>
        <v>1.2135922330097086E-3</v>
      </c>
      <c r="CB67" s="92" t="s">
        <v>73</v>
      </c>
      <c r="CC67">
        <f>BI67-1</f>
        <v>826</v>
      </c>
      <c r="CD67" s="92" t="s">
        <v>73</v>
      </c>
      <c r="CE67" s="30">
        <f>((AZ67^2)/(AZ67^2+BJ67))^(1/2)</f>
        <v>8.2559714236340495E-2</v>
      </c>
      <c r="CF67" s="30">
        <f>0.5*LN((1+CE67)/(1-CE67))</f>
        <v>8.2748063723839957E-2</v>
      </c>
      <c r="CG67" s="30">
        <f>((1-(CF67^2)^2)/(BJ67-1))</f>
        <v>1.2105969918599373E-3</v>
      </c>
      <c r="CH67" s="30">
        <f>1/(BJ67-3)</f>
        <v>1.2135922330097086E-3</v>
      </c>
    </row>
    <row r="68" spans="1:87" ht="16">
      <c r="A68" s="11" t="s">
        <v>68</v>
      </c>
      <c r="B68" s="11" t="s">
        <v>718</v>
      </c>
      <c r="C68" s="11">
        <v>1108</v>
      </c>
      <c r="D68">
        <v>120</v>
      </c>
      <c r="E68" t="s">
        <v>316</v>
      </c>
      <c r="F68" s="11">
        <v>2021</v>
      </c>
      <c r="G68" t="s">
        <v>317</v>
      </c>
      <c r="H68" s="22" t="s">
        <v>318</v>
      </c>
      <c r="I68">
        <v>2</v>
      </c>
      <c r="J68">
        <v>2018</v>
      </c>
      <c r="K68" s="10" t="s">
        <v>73</v>
      </c>
      <c r="L68">
        <v>296</v>
      </c>
      <c r="M68" s="18" t="s">
        <v>155</v>
      </c>
      <c r="N68" t="s">
        <v>112</v>
      </c>
      <c r="O68" t="s">
        <v>319</v>
      </c>
      <c r="P68" t="s">
        <v>227</v>
      </c>
      <c r="Q68" t="s">
        <v>310</v>
      </c>
      <c r="R68" t="s">
        <v>311</v>
      </c>
      <c r="S68">
        <v>0</v>
      </c>
      <c r="T68" t="s">
        <v>230</v>
      </c>
      <c r="U68">
        <v>1</v>
      </c>
      <c r="V68" s="18" t="s">
        <v>231</v>
      </c>
      <c r="W68" s="18" t="s">
        <v>231</v>
      </c>
      <c r="X68" s="18" t="s">
        <v>73</v>
      </c>
      <c r="Y68">
        <v>0</v>
      </c>
      <c r="Z68">
        <v>1</v>
      </c>
      <c r="AA68">
        <v>1</v>
      </c>
      <c r="AB68">
        <v>0</v>
      </c>
      <c r="AC68">
        <v>0</v>
      </c>
      <c r="AD68">
        <v>0</v>
      </c>
      <c r="AE68">
        <v>0</v>
      </c>
      <c r="AF68">
        <v>0</v>
      </c>
      <c r="AG68" t="s">
        <v>320</v>
      </c>
      <c r="AH68">
        <v>0</v>
      </c>
      <c r="AI68">
        <v>0</v>
      </c>
      <c r="AJ68">
        <v>0</v>
      </c>
      <c r="AK68">
        <v>1</v>
      </c>
      <c r="AL68">
        <v>0</v>
      </c>
      <c r="AM68">
        <v>0</v>
      </c>
      <c r="AN68" s="32">
        <v>0</v>
      </c>
      <c r="AO68">
        <v>0</v>
      </c>
      <c r="AP68">
        <v>0</v>
      </c>
      <c r="AQ68" s="32" t="s">
        <v>321</v>
      </c>
      <c r="AR68" t="s">
        <v>233</v>
      </c>
      <c r="AS68" t="s">
        <v>322</v>
      </c>
      <c r="AT68" t="s">
        <v>235</v>
      </c>
      <c r="AU68" s="134">
        <v>0.371</v>
      </c>
      <c r="AV68" s="7" t="s">
        <v>80</v>
      </c>
      <c r="AW68" s="134">
        <v>0.20799999999999999</v>
      </c>
      <c r="AX68">
        <v>0.1</v>
      </c>
      <c r="AY68">
        <v>1</v>
      </c>
      <c r="AZ68">
        <f>AU68/AW68</f>
        <v>1.7836538461538463</v>
      </c>
      <c r="BB68" s="101">
        <f>AU68</f>
        <v>0.371</v>
      </c>
      <c r="BC68" t="s">
        <v>73</v>
      </c>
      <c r="BD68" t="s">
        <v>73</v>
      </c>
      <c r="BE68" t="s">
        <v>73</v>
      </c>
      <c r="BF68" t="s">
        <v>73</v>
      </c>
      <c r="BG68" t="s">
        <v>73</v>
      </c>
      <c r="BH68" t="s">
        <v>73</v>
      </c>
      <c r="BI68">
        <v>827</v>
      </c>
      <c r="BJ68">
        <v>827</v>
      </c>
      <c r="BK68" t="s">
        <v>73</v>
      </c>
      <c r="BL68" t="s">
        <v>73</v>
      </c>
      <c r="BM68" t="s">
        <v>73</v>
      </c>
      <c r="BN68" t="s">
        <v>73</v>
      </c>
      <c r="BO68" t="s">
        <v>73</v>
      </c>
      <c r="BP68">
        <v>1</v>
      </c>
      <c r="BQ68" t="s">
        <v>73</v>
      </c>
      <c r="BR68">
        <v>1</v>
      </c>
      <c r="BS68" s="41" t="s">
        <v>73</v>
      </c>
      <c r="BT68" t="s">
        <v>73</v>
      </c>
      <c r="BU68">
        <v>0</v>
      </c>
      <c r="BV68">
        <v>0</v>
      </c>
      <c r="BW68">
        <v>1</v>
      </c>
      <c r="BX68" s="30">
        <f>((AZ68^2)/(AZ68^2+BI68))^(1/2)</f>
        <v>6.1904763633413101E-2</v>
      </c>
      <c r="BY68" s="30">
        <f>0.5*LN((1+BX68)/(1-BX68))</f>
        <v>6.1984023096366379E-2</v>
      </c>
      <c r="BZ68" s="30">
        <f>((1-(BY68^2)^2)/(BI68-1))</f>
        <v>1.2106358824323096E-3</v>
      </c>
      <c r="CA68" s="30">
        <f>1/(BI68-3)</f>
        <v>1.2135922330097086E-3</v>
      </c>
      <c r="CB68" s="92" t="s">
        <v>73</v>
      </c>
      <c r="CC68">
        <f>BI68-1</f>
        <v>826</v>
      </c>
      <c r="CD68" s="92" t="s">
        <v>73</v>
      </c>
      <c r="CE68" s="30">
        <f>((AZ68^2)/(AZ68^2+BJ68))^(1/2)</f>
        <v>6.1904763633413101E-2</v>
      </c>
      <c r="CF68" s="30">
        <f>0.5*LN((1+CE68)/(1-CE68))</f>
        <v>6.1984023096366379E-2</v>
      </c>
      <c r="CG68" s="30">
        <f>((1-(CF68^2)^2)/(BJ68-1))</f>
        <v>1.2106358824323096E-3</v>
      </c>
      <c r="CH68" s="30">
        <f>1/(BJ68-3)</f>
        <v>1.2135922330097086E-3</v>
      </c>
    </row>
    <row r="69" spans="1:87" ht="16">
      <c r="A69" s="11" t="s">
        <v>68</v>
      </c>
      <c r="B69" s="11" t="s">
        <v>718</v>
      </c>
      <c r="C69" s="11">
        <v>1109</v>
      </c>
      <c r="D69">
        <v>120</v>
      </c>
      <c r="E69" t="s">
        <v>316</v>
      </c>
      <c r="F69" s="11">
        <v>2021</v>
      </c>
      <c r="G69" t="s">
        <v>317</v>
      </c>
      <c r="H69" s="22" t="s">
        <v>318</v>
      </c>
      <c r="I69">
        <v>2</v>
      </c>
      <c r="J69">
        <v>2018</v>
      </c>
      <c r="K69" s="10" t="s">
        <v>73</v>
      </c>
      <c r="L69">
        <v>296</v>
      </c>
      <c r="M69" s="18" t="s">
        <v>155</v>
      </c>
      <c r="N69" t="s">
        <v>112</v>
      </c>
      <c r="O69" t="s">
        <v>319</v>
      </c>
      <c r="P69" t="s">
        <v>227</v>
      </c>
      <c r="Q69" t="s">
        <v>310</v>
      </c>
      <c r="R69" t="s">
        <v>311</v>
      </c>
      <c r="S69">
        <v>0</v>
      </c>
      <c r="T69" t="s">
        <v>230</v>
      </c>
      <c r="U69">
        <v>1</v>
      </c>
      <c r="V69" s="18" t="s">
        <v>231</v>
      </c>
      <c r="W69" s="18" t="s">
        <v>231</v>
      </c>
      <c r="X69" s="18" t="s">
        <v>73</v>
      </c>
      <c r="Y69">
        <v>0</v>
      </c>
      <c r="Z69">
        <v>0</v>
      </c>
      <c r="AA69">
        <v>1</v>
      </c>
      <c r="AB69">
        <v>0</v>
      </c>
      <c r="AC69">
        <v>0</v>
      </c>
      <c r="AD69">
        <v>0</v>
      </c>
      <c r="AE69">
        <v>0</v>
      </c>
      <c r="AF69">
        <v>0</v>
      </c>
      <c r="AG69" t="s">
        <v>320</v>
      </c>
      <c r="AH69">
        <v>0</v>
      </c>
      <c r="AI69">
        <v>0</v>
      </c>
      <c r="AJ69">
        <v>1</v>
      </c>
      <c r="AK69">
        <v>0</v>
      </c>
      <c r="AL69">
        <v>0</v>
      </c>
      <c r="AM69">
        <v>0</v>
      </c>
      <c r="AN69" s="32">
        <v>0</v>
      </c>
      <c r="AO69">
        <v>0</v>
      </c>
      <c r="AP69">
        <v>0</v>
      </c>
      <c r="AQ69" s="32" t="s">
        <v>321</v>
      </c>
      <c r="AR69" t="s">
        <v>233</v>
      </c>
      <c r="AS69" t="s">
        <v>322</v>
      </c>
      <c r="AT69" t="s">
        <v>235</v>
      </c>
      <c r="AU69" s="134">
        <v>0.65100000000000002</v>
      </c>
      <c r="AV69" s="7" t="s">
        <v>86</v>
      </c>
      <c r="AW69" s="134">
        <v>0.57399999999999995</v>
      </c>
      <c r="AX69">
        <v>0.1</v>
      </c>
      <c r="AY69">
        <v>2</v>
      </c>
      <c r="AZ69">
        <f>AU69/AW69</f>
        <v>1.1341463414634148</v>
      </c>
      <c r="BB69" s="101">
        <f>AU69</f>
        <v>0.65100000000000002</v>
      </c>
      <c r="BC69" t="s">
        <v>73</v>
      </c>
      <c r="BD69" t="s">
        <v>73</v>
      </c>
      <c r="BE69" t="s">
        <v>73</v>
      </c>
      <c r="BF69" t="s">
        <v>73</v>
      </c>
      <c r="BG69" t="s">
        <v>73</v>
      </c>
      <c r="BH69" t="s">
        <v>73</v>
      </c>
      <c r="BI69">
        <v>421</v>
      </c>
      <c r="BJ69">
        <v>421</v>
      </c>
      <c r="BK69" t="s">
        <v>73</v>
      </c>
      <c r="BL69" t="s">
        <v>73</v>
      </c>
      <c r="BM69" t="s">
        <v>73</v>
      </c>
      <c r="BN69" t="s">
        <v>73</v>
      </c>
      <c r="BO69" t="s">
        <v>73</v>
      </c>
      <c r="BP69">
        <v>1</v>
      </c>
      <c r="BQ69" t="s">
        <v>73</v>
      </c>
      <c r="BR69">
        <v>0</v>
      </c>
      <c r="BS69" t="s">
        <v>73</v>
      </c>
      <c r="BT69" t="s">
        <v>73</v>
      </c>
      <c r="BU69">
        <v>0</v>
      </c>
      <c r="BV69">
        <v>0</v>
      </c>
      <c r="BW69">
        <v>1</v>
      </c>
      <c r="BX69" s="30">
        <f>((AZ69^2)/(AZ69^2+BI69))^(1/2)</f>
        <v>5.5190662378218035E-2</v>
      </c>
      <c r="BY69" s="30">
        <f>0.5*LN((1+BX69)/(1-BX69))</f>
        <v>5.5246802103969622E-2</v>
      </c>
      <c r="BZ69" s="30">
        <f>((1-(BY69^2)^2)/(BI69-1))</f>
        <v>2.3809302000460694E-3</v>
      </c>
      <c r="CA69" s="30">
        <f>1/(BI69-3)</f>
        <v>2.3923444976076554E-3</v>
      </c>
      <c r="CB69" s="92" t="s">
        <v>73</v>
      </c>
      <c r="CC69">
        <f>BI69-1</f>
        <v>420</v>
      </c>
      <c r="CD69" s="92" t="s">
        <v>73</v>
      </c>
      <c r="CE69" s="30">
        <f>((AZ69^2)/(AZ69^2+BJ69))^(1/2)</f>
        <v>5.5190662378218035E-2</v>
      </c>
      <c r="CF69" s="30">
        <f>0.5*LN((1+CE69)/(1-CE69))</f>
        <v>5.5246802103969622E-2</v>
      </c>
      <c r="CG69" s="30">
        <f>((1-(CF69^2)^2)/(BJ69-1))</f>
        <v>2.3809302000460694E-3</v>
      </c>
      <c r="CH69" s="30">
        <f>1/(BJ69-3)</f>
        <v>2.3923444976076554E-3</v>
      </c>
      <c r="CI69" s="92"/>
    </row>
    <row r="70" spans="1:87" ht="16">
      <c r="A70" s="11" t="s">
        <v>68</v>
      </c>
      <c r="B70" s="11" t="s">
        <v>718</v>
      </c>
      <c r="C70" s="11">
        <v>1110</v>
      </c>
      <c r="D70">
        <v>120</v>
      </c>
      <c r="E70" t="s">
        <v>316</v>
      </c>
      <c r="F70" s="11">
        <v>2021</v>
      </c>
      <c r="G70" t="s">
        <v>317</v>
      </c>
      <c r="H70" s="22" t="s">
        <v>318</v>
      </c>
      <c r="I70">
        <v>2</v>
      </c>
      <c r="J70">
        <v>2018</v>
      </c>
      <c r="K70" s="10" t="s">
        <v>73</v>
      </c>
      <c r="L70">
        <v>296</v>
      </c>
      <c r="M70" s="18" t="s">
        <v>155</v>
      </c>
      <c r="N70" t="s">
        <v>112</v>
      </c>
      <c r="O70" t="s">
        <v>319</v>
      </c>
      <c r="P70" t="s">
        <v>227</v>
      </c>
      <c r="Q70" t="s">
        <v>310</v>
      </c>
      <c r="R70" t="s">
        <v>311</v>
      </c>
      <c r="S70">
        <v>0</v>
      </c>
      <c r="T70" t="s">
        <v>230</v>
      </c>
      <c r="U70">
        <v>1</v>
      </c>
      <c r="V70" s="18" t="s">
        <v>231</v>
      </c>
      <c r="W70" s="18" t="s">
        <v>231</v>
      </c>
      <c r="X70" s="18" t="s">
        <v>73</v>
      </c>
      <c r="Y70">
        <v>0</v>
      </c>
      <c r="Z70">
        <v>1</v>
      </c>
      <c r="AA70">
        <v>0</v>
      </c>
      <c r="AB70">
        <v>0</v>
      </c>
      <c r="AC70">
        <v>0</v>
      </c>
      <c r="AD70">
        <v>0</v>
      </c>
      <c r="AE70">
        <v>0</v>
      </c>
      <c r="AF70">
        <v>0</v>
      </c>
      <c r="AG70" t="s">
        <v>320</v>
      </c>
      <c r="AH70">
        <v>0</v>
      </c>
      <c r="AI70">
        <v>0</v>
      </c>
      <c r="AJ70">
        <v>1</v>
      </c>
      <c r="AK70">
        <v>0</v>
      </c>
      <c r="AL70">
        <v>0</v>
      </c>
      <c r="AM70">
        <v>0</v>
      </c>
      <c r="AN70" s="32">
        <v>0</v>
      </c>
      <c r="AO70">
        <v>0</v>
      </c>
      <c r="AP70">
        <v>0</v>
      </c>
      <c r="AQ70" s="32" t="s">
        <v>321</v>
      </c>
      <c r="AR70" t="s">
        <v>233</v>
      </c>
      <c r="AS70" t="s">
        <v>322</v>
      </c>
      <c r="AT70" t="s">
        <v>235</v>
      </c>
      <c r="AU70" s="134">
        <v>0.33300000000000002</v>
      </c>
      <c r="AV70" s="7" t="s">
        <v>86</v>
      </c>
      <c r="AW70" s="134">
        <v>0.85399999999999998</v>
      </c>
      <c r="AX70">
        <v>0.1</v>
      </c>
      <c r="AY70">
        <v>2</v>
      </c>
      <c r="AZ70">
        <f>AU70/AW70</f>
        <v>0.38992974238875883</v>
      </c>
      <c r="BB70" s="101">
        <f>AU70</f>
        <v>0.33300000000000002</v>
      </c>
      <c r="BC70" t="s">
        <v>73</v>
      </c>
      <c r="BD70" t="s">
        <v>73</v>
      </c>
      <c r="BE70" t="s">
        <v>73</v>
      </c>
      <c r="BF70" t="s">
        <v>73</v>
      </c>
      <c r="BG70" t="s">
        <v>73</v>
      </c>
      <c r="BH70" t="s">
        <v>73</v>
      </c>
      <c r="BI70">
        <v>421</v>
      </c>
      <c r="BJ70">
        <v>421</v>
      </c>
      <c r="BK70" t="s">
        <v>73</v>
      </c>
      <c r="BL70" t="s">
        <v>73</v>
      </c>
      <c r="BM70" t="s">
        <v>73</v>
      </c>
      <c r="BN70" t="s">
        <v>73</v>
      </c>
      <c r="BO70" t="s">
        <v>73</v>
      </c>
      <c r="BP70">
        <v>0</v>
      </c>
      <c r="BQ70" t="s">
        <v>73</v>
      </c>
      <c r="BR70">
        <v>1</v>
      </c>
      <c r="BS70" s="41" t="s">
        <v>73</v>
      </c>
      <c r="BT70" t="s">
        <v>73</v>
      </c>
      <c r="BU70">
        <v>0</v>
      </c>
      <c r="BV70">
        <v>0</v>
      </c>
      <c r="BW70">
        <v>1</v>
      </c>
      <c r="BX70" s="30">
        <f>((AZ70^2)/(AZ70^2+BI70))^(1/2)</f>
        <v>1.9000582083692302E-2</v>
      </c>
      <c r="BY70" s="30">
        <f>0.5*LN((1+BX70)/(1-BX70))</f>
        <v>1.900286912258764E-2</v>
      </c>
      <c r="BZ70" s="30">
        <f>((1-(BY70^2)^2)/(BI70-1))</f>
        <v>2.380952070476821E-3</v>
      </c>
      <c r="CA70" s="30">
        <f>1/(BI70-3)</f>
        <v>2.3923444976076554E-3</v>
      </c>
      <c r="CB70" s="92" t="s">
        <v>73</v>
      </c>
      <c r="CC70">
        <f>BI70-1</f>
        <v>420</v>
      </c>
      <c r="CD70" s="92" t="s">
        <v>73</v>
      </c>
      <c r="CE70" s="30">
        <f>((AZ70^2)/(AZ70^2+BJ70))^(1/2)</f>
        <v>1.9000582083692302E-2</v>
      </c>
      <c r="CF70" s="30">
        <f>0.5*LN((1+CE70)/(1-CE70))</f>
        <v>1.900286912258764E-2</v>
      </c>
      <c r="CG70" s="30">
        <f>((1-(CF70^2)^2)/(BJ70-1))</f>
        <v>2.380952070476821E-3</v>
      </c>
      <c r="CH70" s="30">
        <f>1/(BJ70-3)</f>
        <v>2.3923444976076554E-3</v>
      </c>
      <c r="CI70" s="92"/>
    </row>
    <row r="71" spans="1:87" ht="16">
      <c r="A71" s="11" t="s">
        <v>68</v>
      </c>
      <c r="B71" s="11" t="s">
        <v>718</v>
      </c>
      <c r="C71" s="11">
        <v>1111</v>
      </c>
      <c r="D71">
        <v>120</v>
      </c>
      <c r="E71" t="s">
        <v>316</v>
      </c>
      <c r="F71" s="11">
        <v>2021</v>
      </c>
      <c r="G71" t="s">
        <v>317</v>
      </c>
      <c r="H71" s="22" t="s">
        <v>318</v>
      </c>
      <c r="I71">
        <v>2</v>
      </c>
      <c r="J71">
        <v>2018</v>
      </c>
      <c r="K71" s="10" t="s">
        <v>73</v>
      </c>
      <c r="L71">
        <v>296</v>
      </c>
      <c r="M71" s="18" t="s">
        <v>155</v>
      </c>
      <c r="N71" t="s">
        <v>112</v>
      </c>
      <c r="O71" t="s">
        <v>319</v>
      </c>
      <c r="P71" t="s">
        <v>227</v>
      </c>
      <c r="Q71" t="s">
        <v>310</v>
      </c>
      <c r="R71" t="s">
        <v>311</v>
      </c>
      <c r="S71">
        <v>0</v>
      </c>
      <c r="T71" t="s">
        <v>230</v>
      </c>
      <c r="U71">
        <v>1</v>
      </c>
      <c r="V71" s="18" t="s">
        <v>231</v>
      </c>
      <c r="W71" s="18" t="s">
        <v>231</v>
      </c>
      <c r="X71" s="18" t="s">
        <v>73</v>
      </c>
      <c r="Y71">
        <v>0</v>
      </c>
      <c r="Z71">
        <v>1</v>
      </c>
      <c r="AA71">
        <v>1</v>
      </c>
      <c r="AB71">
        <v>0</v>
      </c>
      <c r="AC71">
        <v>0</v>
      </c>
      <c r="AD71">
        <v>0</v>
      </c>
      <c r="AE71">
        <v>0</v>
      </c>
      <c r="AF71">
        <v>0</v>
      </c>
      <c r="AG71" t="s">
        <v>320</v>
      </c>
      <c r="AH71">
        <v>0</v>
      </c>
      <c r="AI71">
        <v>0</v>
      </c>
      <c r="AJ71">
        <v>1</v>
      </c>
      <c r="AK71">
        <v>0</v>
      </c>
      <c r="AL71">
        <v>0</v>
      </c>
      <c r="AM71">
        <v>0</v>
      </c>
      <c r="AN71" s="32">
        <v>0</v>
      </c>
      <c r="AO71">
        <v>0</v>
      </c>
      <c r="AP71">
        <v>0</v>
      </c>
      <c r="AQ71" s="32" t="s">
        <v>321</v>
      </c>
      <c r="AR71" t="s">
        <v>233</v>
      </c>
      <c r="AS71" t="s">
        <v>322</v>
      </c>
      <c r="AT71" t="s">
        <v>235</v>
      </c>
      <c r="AU71" s="134">
        <v>0.21199999999999999</v>
      </c>
      <c r="AV71" s="7" t="s">
        <v>80</v>
      </c>
      <c r="AW71" s="134">
        <v>0.42499999999999999</v>
      </c>
      <c r="AX71">
        <v>0.1</v>
      </c>
      <c r="AY71">
        <v>2</v>
      </c>
      <c r="AZ71">
        <f>AU71/AW71</f>
        <v>0.49882352941176472</v>
      </c>
      <c r="BB71" s="101">
        <f>AU71</f>
        <v>0.21199999999999999</v>
      </c>
      <c r="BC71" t="s">
        <v>73</v>
      </c>
      <c r="BD71" t="s">
        <v>73</v>
      </c>
      <c r="BE71" t="s">
        <v>73</v>
      </c>
      <c r="BF71" t="s">
        <v>73</v>
      </c>
      <c r="BG71" t="s">
        <v>73</v>
      </c>
      <c r="BH71" t="s">
        <v>73</v>
      </c>
      <c r="BI71">
        <v>421</v>
      </c>
      <c r="BJ71">
        <v>421</v>
      </c>
      <c r="BK71" t="s">
        <v>73</v>
      </c>
      <c r="BL71" t="s">
        <v>73</v>
      </c>
      <c r="BM71" t="s">
        <v>73</v>
      </c>
      <c r="BN71" t="s">
        <v>73</v>
      </c>
      <c r="BO71" t="s">
        <v>73</v>
      </c>
      <c r="BP71">
        <v>1</v>
      </c>
      <c r="BQ71" t="s">
        <v>73</v>
      </c>
      <c r="BR71">
        <v>1</v>
      </c>
      <c r="BS71" s="41" t="s">
        <v>73</v>
      </c>
      <c r="BT71" t="s">
        <v>73</v>
      </c>
      <c r="BU71">
        <v>0</v>
      </c>
      <c r="BV71">
        <v>0</v>
      </c>
      <c r="BW71">
        <v>1</v>
      </c>
      <c r="BX71" s="30">
        <f>((AZ71^2)/(AZ71^2+BI71))^(1/2)</f>
        <v>2.4303990103568901E-2</v>
      </c>
      <c r="BY71" s="30">
        <f>0.5*LN((1+BX71)/(1-BX71))</f>
        <v>2.4308777125756856E-2</v>
      </c>
      <c r="BZ71" s="30">
        <f>((1-(BY71^2)^2)/(BI71-1))</f>
        <v>2.3809515495655199E-3</v>
      </c>
      <c r="CA71" s="30">
        <f>1/(BI71-3)</f>
        <v>2.3923444976076554E-3</v>
      </c>
      <c r="CB71" s="92" t="s">
        <v>73</v>
      </c>
      <c r="CC71">
        <f>BI71-1</f>
        <v>420</v>
      </c>
      <c r="CD71" s="92" t="s">
        <v>73</v>
      </c>
      <c r="CE71" s="30">
        <f>((AZ71^2)/(AZ71^2+BJ71))^(1/2)</f>
        <v>2.4303990103568901E-2</v>
      </c>
      <c r="CF71" s="30">
        <f>0.5*LN((1+CE71)/(1-CE71))</f>
        <v>2.4308777125756856E-2</v>
      </c>
      <c r="CG71" s="30">
        <f>((1-(CF71^2)^2)/(BJ71-1))</f>
        <v>2.3809515495655199E-3</v>
      </c>
      <c r="CH71" s="30">
        <f>1/(BJ71-3)</f>
        <v>2.3923444976076554E-3</v>
      </c>
      <c r="CI71" s="92"/>
    </row>
    <row r="72" spans="1:87" ht="16">
      <c r="A72" s="120" t="s">
        <v>68</v>
      </c>
      <c r="B72" s="32" t="s">
        <v>718</v>
      </c>
      <c r="C72" s="121">
        <v>1112</v>
      </c>
      <c r="D72" s="120">
        <v>121</v>
      </c>
      <c r="E72" s="120" t="s">
        <v>323</v>
      </c>
      <c r="F72" s="120">
        <v>1982</v>
      </c>
      <c r="G72" s="120" t="s">
        <v>324</v>
      </c>
      <c r="H72" s="120" t="s">
        <v>325</v>
      </c>
      <c r="I72" s="120">
        <v>2</v>
      </c>
      <c r="J72" s="120">
        <v>1982</v>
      </c>
      <c r="K72" s="120" t="s">
        <v>73</v>
      </c>
      <c r="L72" s="120">
        <v>167</v>
      </c>
      <c r="M72" s="187" t="s">
        <v>107</v>
      </c>
      <c r="N72" s="120" t="s">
        <v>226</v>
      </c>
      <c r="O72" s="120" t="s">
        <v>326</v>
      </c>
      <c r="P72" s="120" t="s">
        <v>227</v>
      </c>
      <c r="Q72" s="120" t="s">
        <v>310</v>
      </c>
      <c r="R72" s="120" t="s">
        <v>311</v>
      </c>
      <c r="S72" s="120">
        <v>0</v>
      </c>
      <c r="T72" s="120" t="s">
        <v>230</v>
      </c>
      <c r="U72" s="120">
        <v>0</v>
      </c>
      <c r="V72" s="120" t="s">
        <v>231</v>
      </c>
      <c r="W72" s="120" t="s">
        <v>231</v>
      </c>
      <c r="X72" s="120" t="s">
        <v>327</v>
      </c>
      <c r="Y72" s="120">
        <v>0</v>
      </c>
      <c r="Z72" s="120">
        <v>1</v>
      </c>
      <c r="AA72" s="120">
        <v>1</v>
      </c>
      <c r="AB72" s="120">
        <v>0</v>
      </c>
      <c r="AC72" s="120">
        <v>0</v>
      </c>
      <c r="AD72" s="120">
        <v>0</v>
      </c>
      <c r="AE72" s="120">
        <v>0</v>
      </c>
      <c r="AF72" s="120">
        <v>0</v>
      </c>
      <c r="AG72" s="120" t="s">
        <v>328</v>
      </c>
      <c r="AH72" s="120">
        <v>0</v>
      </c>
      <c r="AI72" s="120">
        <v>0</v>
      </c>
      <c r="AJ72" s="120">
        <v>0</v>
      </c>
      <c r="AK72" s="120">
        <v>1</v>
      </c>
      <c r="AL72" s="120">
        <v>0</v>
      </c>
      <c r="AM72" s="120">
        <v>0</v>
      </c>
      <c r="AN72" s="120">
        <v>0</v>
      </c>
      <c r="AO72" s="120">
        <v>0</v>
      </c>
      <c r="AP72" s="120">
        <v>0</v>
      </c>
      <c r="AQ72" s="120" t="s">
        <v>329</v>
      </c>
      <c r="AR72" s="120" t="s">
        <v>233</v>
      </c>
      <c r="AS72" s="120" t="s">
        <v>73</v>
      </c>
      <c r="AT72" s="120" t="s">
        <v>330</v>
      </c>
      <c r="AU72" s="206" t="s">
        <v>73</v>
      </c>
      <c r="AV72" s="122" t="s">
        <v>80</v>
      </c>
      <c r="AW72" s="120">
        <f>AZ72/ABS(_xlfn.T.INV.2T(AX72,CC72))</f>
        <v>2.287361707025994</v>
      </c>
      <c r="AX72" s="120">
        <v>0.05</v>
      </c>
      <c r="AY72" s="120">
        <v>2</v>
      </c>
      <c r="AZ72" s="120">
        <v>4.53</v>
      </c>
      <c r="BA72" s="120"/>
      <c r="BB72" s="123">
        <f>BK72/BC72</f>
        <v>0.85185185185185175</v>
      </c>
      <c r="BC72" s="120">
        <v>0.27</v>
      </c>
      <c r="BD72" s="120">
        <v>26</v>
      </c>
      <c r="BE72" s="120" t="s">
        <v>73</v>
      </c>
      <c r="BF72" s="120">
        <v>0.5</v>
      </c>
      <c r="BG72" s="120">
        <v>16</v>
      </c>
      <c r="BH72" s="120" t="s">
        <v>73</v>
      </c>
      <c r="BI72" s="120">
        <v>119</v>
      </c>
      <c r="BJ72" s="120">
        <v>1116</v>
      </c>
      <c r="BK72" s="120">
        <f>BF72-BC72</f>
        <v>0.22999999999999998</v>
      </c>
      <c r="BL72" s="120" t="s">
        <v>73</v>
      </c>
      <c r="BM72" s="120" t="s">
        <v>73</v>
      </c>
      <c r="BN72" s="120" t="s">
        <v>73</v>
      </c>
      <c r="BO72" s="120" t="s">
        <v>73</v>
      </c>
      <c r="BP72" s="120">
        <v>1</v>
      </c>
      <c r="BQ72" s="120">
        <v>43</v>
      </c>
      <c r="BR72" s="120">
        <v>1</v>
      </c>
      <c r="BS72" s="120">
        <v>123</v>
      </c>
      <c r="BT72" s="120" t="s">
        <v>331</v>
      </c>
      <c r="BU72" s="120">
        <v>0</v>
      </c>
      <c r="BV72" s="120">
        <v>0</v>
      </c>
      <c r="BW72" s="120">
        <v>0</v>
      </c>
      <c r="BX72" s="124">
        <f>CB72/((CB72^2+4)^(1/2))</f>
        <v>0.58413964079077341</v>
      </c>
      <c r="BY72" s="113">
        <f>0.5*LN((1+BX72)/(1-BX72))</f>
        <v>0.66872359831083061</v>
      </c>
      <c r="BZ72" s="113">
        <f>((1-(BY72^2)^2)/(BI72-1))</f>
        <v>6.7798303820737196E-3</v>
      </c>
      <c r="CA72" s="96">
        <f>1/(BI72-3)</f>
        <v>8.6206896551724137E-3</v>
      </c>
      <c r="CB72" s="107">
        <f xml:space="preserve"> AZ72*(((BD72+BG72)/(BD72*BG72))^(1/2))</f>
        <v>1.4393823795695795</v>
      </c>
      <c r="CC72" s="32">
        <f>BI72-2</f>
        <v>117</v>
      </c>
      <c r="CD72" s="92" t="s">
        <v>73</v>
      </c>
      <c r="CE72" s="30">
        <f>((AZ72^2)/(AZ72^2+BJ72))^(1/2)</f>
        <v>0.13437221888778589</v>
      </c>
      <c r="CF72" s="113">
        <f>0.5*LN((1+CE72)/(1-CE72))</f>
        <v>0.13518983178664185</v>
      </c>
      <c r="CG72" s="30">
        <f>((1-(CF72^2)^2)/(BJ72-1))</f>
        <v>8.9656141453024936E-4</v>
      </c>
      <c r="CH72" s="30">
        <f>1/(BJ72-3)</f>
        <v>8.9847259658580418E-4</v>
      </c>
    </row>
    <row r="73" spans="1:87" s="119" customFormat="1" ht="16">
      <c r="A73" s="215" t="s">
        <v>68</v>
      </c>
      <c r="B73" s="215" t="s">
        <v>719</v>
      </c>
      <c r="C73" s="54">
        <v>1114</v>
      </c>
      <c r="D73" s="215">
        <v>123</v>
      </c>
      <c r="E73" s="216" t="s">
        <v>332</v>
      </c>
      <c r="F73" s="215">
        <v>1995</v>
      </c>
      <c r="G73" s="215" t="s">
        <v>333</v>
      </c>
      <c r="H73" s="215" t="s">
        <v>334</v>
      </c>
      <c r="I73" s="215">
        <v>2</v>
      </c>
      <c r="J73" s="215">
        <v>1995</v>
      </c>
      <c r="K73" s="215" t="s">
        <v>73</v>
      </c>
      <c r="L73" s="215">
        <v>58</v>
      </c>
      <c r="M73" s="217" t="s">
        <v>269</v>
      </c>
      <c r="N73" s="216" t="s">
        <v>241</v>
      </c>
      <c r="O73" s="215" t="s">
        <v>81</v>
      </c>
      <c r="P73" s="215" t="s">
        <v>293</v>
      </c>
      <c r="Q73" s="215" t="s">
        <v>243</v>
      </c>
      <c r="R73" s="215" t="s">
        <v>335</v>
      </c>
      <c r="S73" s="215">
        <v>1</v>
      </c>
      <c r="T73" s="144" t="s">
        <v>230</v>
      </c>
      <c r="U73" s="215">
        <v>0</v>
      </c>
      <c r="V73" s="215" t="s">
        <v>231</v>
      </c>
      <c r="W73" s="215" t="s">
        <v>231</v>
      </c>
      <c r="X73" s="215" t="s">
        <v>73</v>
      </c>
      <c r="Y73" s="215">
        <v>0</v>
      </c>
      <c r="Z73" s="215">
        <v>0</v>
      </c>
      <c r="AA73" s="215">
        <v>0</v>
      </c>
      <c r="AB73" s="215">
        <v>1</v>
      </c>
      <c r="AC73" s="215">
        <v>0</v>
      </c>
      <c r="AD73" s="215">
        <v>0</v>
      </c>
      <c r="AE73" s="215">
        <v>0</v>
      </c>
      <c r="AF73" s="215">
        <v>0</v>
      </c>
      <c r="AG73" s="215" t="s">
        <v>73</v>
      </c>
      <c r="AH73" s="215">
        <v>0</v>
      </c>
      <c r="AI73" s="215">
        <v>0</v>
      </c>
      <c r="AJ73" s="215">
        <v>0</v>
      </c>
      <c r="AK73" s="215">
        <v>1</v>
      </c>
      <c r="AL73" s="215">
        <v>0</v>
      </c>
      <c r="AM73" s="215">
        <v>0</v>
      </c>
      <c r="AN73" s="215">
        <v>0</v>
      </c>
      <c r="AO73" s="215">
        <v>0</v>
      </c>
      <c r="AP73" s="215">
        <v>0</v>
      </c>
      <c r="AQ73" s="215" t="s">
        <v>73</v>
      </c>
      <c r="AR73" s="215" t="s">
        <v>233</v>
      </c>
      <c r="AS73" s="215" t="s">
        <v>295</v>
      </c>
      <c r="AT73" s="215" t="s">
        <v>235</v>
      </c>
      <c r="AU73" s="200">
        <v>1.68</v>
      </c>
      <c r="AV73" s="218" t="s">
        <v>80</v>
      </c>
      <c r="AW73" s="215">
        <f>AU73/AZ73</f>
        <v>6.4864864864864868E-2</v>
      </c>
      <c r="AX73" s="215" t="s">
        <v>73</v>
      </c>
      <c r="AY73" s="215">
        <v>3</v>
      </c>
      <c r="AZ73" s="215">
        <v>25.9</v>
      </c>
      <c r="BA73" s="215"/>
      <c r="BB73" s="105">
        <f>EXP(AU73)/(1+EXP(AU73))</f>
        <v>0.84290453111454722</v>
      </c>
      <c r="BC73" s="215" t="s">
        <v>73</v>
      </c>
      <c r="BD73" s="215" t="s">
        <v>73</v>
      </c>
      <c r="BE73" s="215" t="s">
        <v>73</v>
      </c>
      <c r="BF73" s="215" t="s">
        <v>73</v>
      </c>
      <c r="BG73" s="215" t="s">
        <v>73</v>
      </c>
      <c r="BH73" s="215" t="s">
        <v>73</v>
      </c>
      <c r="BI73" s="215">
        <v>400</v>
      </c>
      <c r="BJ73" s="215">
        <v>400</v>
      </c>
      <c r="BK73" s="215" t="s">
        <v>73</v>
      </c>
      <c r="BL73" s="215" t="s">
        <v>73</v>
      </c>
      <c r="BM73" s="215" t="s">
        <v>73</v>
      </c>
      <c r="BN73" s="215" t="s">
        <v>73</v>
      </c>
      <c r="BO73" s="215" t="s">
        <v>236</v>
      </c>
      <c r="BP73" s="215">
        <v>0</v>
      </c>
      <c r="BQ73" s="215" t="s">
        <v>73</v>
      </c>
      <c r="BR73" s="215">
        <v>0</v>
      </c>
      <c r="BS73" s="215" t="s">
        <v>73</v>
      </c>
      <c r="BT73" s="215" t="s">
        <v>73</v>
      </c>
      <c r="BU73" s="215">
        <v>0</v>
      </c>
      <c r="BV73" s="215">
        <v>0</v>
      </c>
      <c r="BW73" s="215">
        <v>1</v>
      </c>
      <c r="BX73" s="51">
        <f>((AZ73^2)/(AZ73^2+BI73))^(1/2)</f>
        <v>0.79148657877430995</v>
      </c>
      <c r="BY73" s="219">
        <f>0.5*LN((1+BX73)/(1-BX73))</f>
        <v>1.0753988177746068</v>
      </c>
      <c r="BZ73" s="51">
        <f>((1-(BY73^2)^2)/(BI73-1))</f>
        <v>-8.4574447130334037E-4</v>
      </c>
      <c r="CA73" s="51">
        <f>1/(BI73-3)</f>
        <v>2.5188916876574307E-3</v>
      </c>
      <c r="CB73" s="215" t="s">
        <v>73</v>
      </c>
      <c r="CC73" s="41">
        <f>BI73-2</f>
        <v>398</v>
      </c>
      <c r="CD73" s="215" t="s">
        <v>73</v>
      </c>
      <c r="CE73" s="51">
        <f>((AZ73^2)/(AZ73^2+BJ73))^(1/2)</f>
        <v>0.79148657877430995</v>
      </c>
      <c r="CF73" s="219">
        <f>0.5*LN((1+CE73)/(1-CE73))</f>
        <v>1.0753988177746068</v>
      </c>
      <c r="CG73" s="51">
        <f>((1-(CF73^2)^2)/(BJ73-1))</f>
        <v>-8.4574447130334037E-4</v>
      </c>
      <c r="CH73" s="51">
        <f>1/(BJ73-3)</f>
        <v>2.5188916876574307E-3</v>
      </c>
      <c r="CI73" s="41"/>
    </row>
    <row r="74" spans="1:87" ht="16">
      <c r="A74" s="92" t="s">
        <v>68</v>
      </c>
      <c r="B74" s="92" t="s">
        <v>719</v>
      </c>
      <c r="C74" s="11">
        <v>1115</v>
      </c>
      <c r="D74" s="92">
        <v>123</v>
      </c>
      <c r="E74" s="112" t="s">
        <v>332</v>
      </c>
      <c r="F74" s="92">
        <v>1995</v>
      </c>
      <c r="G74" s="92" t="s">
        <v>333</v>
      </c>
      <c r="H74" s="92" t="s">
        <v>334</v>
      </c>
      <c r="I74" s="92">
        <v>2</v>
      </c>
      <c r="J74" s="92">
        <v>1995</v>
      </c>
      <c r="K74" s="92" t="s">
        <v>73</v>
      </c>
      <c r="L74" s="92">
        <v>58</v>
      </c>
      <c r="M74" s="188" t="s">
        <v>269</v>
      </c>
      <c r="N74" s="112" t="s">
        <v>241</v>
      </c>
      <c r="O74" s="92" t="s">
        <v>81</v>
      </c>
      <c r="P74" s="92" t="s">
        <v>293</v>
      </c>
      <c r="Q74" s="92" t="s">
        <v>243</v>
      </c>
      <c r="R74" s="92" t="s">
        <v>335</v>
      </c>
      <c r="S74" s="92">
        <v>1</v>
      </c>
      <c r="T74" s="135" t="s">
        <v>230</v>
      </c>
      <c r="U74" s="92">
        <v>0</v>
      </c>
      <c r="V74" s="92" t="s">
        <v>231</v>
      </c>
      <c r="W74" s="92" t="s">
        <v>231</v>
      </c>
      <c r="X74" s="92" t="s">
        <v>73</v>
      </c>
      <c r="Y74" s="92">
        <v>0</v>
      </c>
      <c r="Z74" s="92">
        <v>0</v>
      </c>
      <c r="AA74" s="92">
        <v>0</v>
      </c>
      <c r="AB74" s="92">
        <v>1</v>
      </c>
      <c r="AC74" s="92">
        <v>0</v>
      </c>
      <c r="AD74" s="92">
        <v>0</v>
      </c>
      <c r="AE74" s="92">
        <v>0</v>
      </c>
      <c r="AF74" s="92">
        <v>0</v>
      </c>
      <c r="AG74" s="92" t="s">
        <v>73</v>
      </c>
      <c r="AH74" s="92">
        <v>0</v>
      </c>
      <c r="AI74" s="92">
        <v>0</v>
      </c>
      <c r="AJ74" s="92">
        <v>0</v>
      </c>
      <c r="AK74" s="92">
        <v>0</v>
      </c>
      <c r="AL74" s="92">
        <v>0</v>
      </c>
      <c r="AM74" s="92">
        <v>0</v>
      </c>
      <c r="AN74" s="92">
        <v>0</v>
      </c>
      <c r="AO74" s="92">
        <v>1</v>
      </c>
      <c r="AP74" s="92">
        <v>0</v>
      </c>
      <c r="AQ74" s="92" t="s">
        <v>73</v>
      </c>
      <c r="AR74" s="92" t="s">
        <v>233</v>
      </c>
      <c r="AS74" s="92" t="s">
        <v>295</v>
      </c>
      <c r="AT74" s="92" t="s">
        <v>235</v>
      </c>
      <c r="AU74" s="200">
        <v>1.05</v>
      </c>
      <c r="AV74" s="93" t="s">
        <v>80</v>
      </c>
      <c r="AW74" s="92">
        <f>AU74/AZ74</f>
        <v>0.16666666666666669</v>
      </c>
      <c r="AX74" s="92" t="s">
        <v>73</v>
      </c>
      <c r="AY74" s="92">
        <v>3</v>
      </c>
      <c r="AZ74" s="92">
        <v>6.3</v>
      </c>
      <c r="BA74" s="92"/>
      <c r="BB74" s="105">
        <f>EXP(AU74)/(1+EXP(AU74))</f>
        <v>0.740774899182154</v>
      </c>
      <c r="BC74" s="92" t="s">
        <v>73</v>
      </c>
      <c r="BD74" s="92" t="s">
        <v>73</v>
      </c>
      <c r="BE74" s="92" t="s">
        <v>73</v>
      </c>
      <c r="BF74" s="92" t="s">
        <v>73</v>
      </c>
      <c r="BG74" s="92" t="s">
        <v>73</v>
      </c>
      <c r="BH74" s="92" t="s">
        <v>73</v>
      </c>
      <c r="BI74" s="92">
        <v>188</v>
      </c>
      <c r="BJ74" s="92">
        <v>188</v>
      </c>
      <c r="BK74" s="92" t="s">
        <v>73</v>
      </c>
      <c r="BL74" s="92" t="s">
        <v>73</v>
      </c>
      <c r="BM74" s="92" t="s">
        <v>73</v>
      </c>
      <c r="BN74" s="92" t="s">
        <v>73</v>
      </c>
      <c r="BO74" s="92" t="s">
        <v>236</v>
      </c>
      <c r="BP74" s="92">
        <v>0</v>
      </c>
      <c r="BQ74" s="92" t="s">
        <v>73</v>
      </c>
      <c r="BR74" s="92">
        <v>0</v>
      </c>
      <c r="BS74" s="92" t="s">
        <v>73</v>
      </c>
      <c r="BT74" s="92" t="s">
        <v>73</v>
      </c>
      <c r="BU74" s="92">
        <v>0</v>
      </c>
      <c r="BV74" s="92">
        <v>0</v>
      </c>
      <c r="BW74" s="92">
        <v>1</v>
      </c>
      <c r="BX74" s="30">
        <f>((AZ74^2)/(AZ74^2+BI74))^(1/2)</f>
        <v>0.41751162367646544</v>
      </c>
      <c r="BY74" s="30">
        <f>0.5*LN((1+BX74)/(1-BX74))</f>
        <v>0.44467450263070185</v>
      </c>
      <c r="BZ74" s="30">
        <f>((1-(BY74^2)^2)/(BI74-1))</f>
        <v>5.1385064509683826E-3</v>
      </c>
      <c r="CA74" s="30">
        <f>1/(BI74-3)</f>
        <v>5.4054054054054057E-3</v>
      </c>
      <c r="CB74" s="92" t="s">
        <v>73</v>
      </c>
      <c r="CC74">
        <f>BI74-2</f>
        <v>186</v>
      </c>
      <c r="CD74" s="92" t="s">
        <v>73</v>
      </c>
      <c r="CE74" s="30">
        <f>((AZ74^2)/(AZ74^2+BJ74))^(1/2)</f>
        <v>0.41751162367646544</v>
      </c>
      <c r="CF74" s="30">
        <f>0.5*LN((1+CE74)/(1-CE74))</f>
        <v>0.44467450263070185</v>
      </c>
      <c r="CG74" s="30">
        <f>((1-(CF74^2)^2)/(BJ74-1))</f>
        <v>5.1385064509683826E-3</v>
      </c>
      <c r="CH74" s="30">
        <f>1/(BJ74-3)</f>
        <v>5.4054054054054057E-3</v>
      </c>
      <c r="CI74" s="107"/>
    </row>
    <row r="75" spans="1:87" ht="16">
      <c r="A75" s="92" t="s">
        <v>68</v>
      </c>
      <c r="B75" s="92" t="s">
        <v>719</v>
      </c>
      <c r="C75" s="11">
        <v>1116</v>
      </c>
      <c r="D75" s="92">
        <v>123</v>
      </c>
      <c r="E75" s="92" t="s">
        <v>332</v>
      </c>
      <c r="F75" s="92">
        <v>1995</v>
      </c>
      <c r="G75" s="92" t="s">
        <v>333</v>
      </c>
      <c r="H75" s="92" t="s">
        <v>334</v>
      </c>
      <c r="I75" s="92">
        <v>2</v>
      </c>
      <c r="J75" s="92">
        <v>1995</v>
      </c>
      <c r="K75" s="92" t="s">
        <v>73</v>
      </c>
      <c r="L75" s="92">
        <v>64</v>
      </c>
      <c r="M75" s="188" t="s">
        <v>269</v>
      </c>
      <c r="N75" s="92" t="s">
        <v>241</v>
      </c>
      <c r="O75" s="92" t="s">
        <v>81</v>
      </c>
      <c r="P75" s="92" t="s">
        <v>227</v>
      </c>
      <c r="Q75" s="92" t="s">
        <v>243</v>
      </c>
      <c r="R75" s="92" t="s">
        <v>335</v>
      </c>
      <c r="S75" s="92">
        <v>0</v>
      </c>
      <c r="T75" s="135" t="s">
        <v>230</v>
      </c>
      <c r="U75" s="92">
        <v>0</v>
      </c>
      <c r="V75" s="92" t="s">
        <v>231</v>
      </c>
      <c r="W75" s="92" t="s">
        <v>231</v>
      </c>
      <c r="X75" s="92" t="s">
        <v>73</v>
      </c>
      <c r="Y75" s="92">
        <v>0</v>
      </c>
      <c r="Z75" s="92">
        <v>0</v>
      </c>
      <c r="AA75" s="92">
        <v>0</v>
      </c>
      <c r="AB75" s="92">
        <v>1</v>
      </c>
      <c r="AC75" s="92">
        <v>0</v>
      </c>
      <c r="AD75" s="92">
        <v>0</v>
      </c>
      <c r="AE75" s="92">
        <v>0</v>
      </c>
      <c r="AF75" s="92">
        <v>0</v>
      </c>
      <c r="AG75" s="92" t="s">
        <v>73</v>
      </c>
      <c r="AH75" s="92">
        <v>0</v>
      </c>
      <c r="AI75" s="92">
        <v>0</v>
      </c>
      <c r="AJ75" s="92">
        <v>0</v>
      </c>
      <c r="AK75" s="92">
        <v>1</v>
      </c>
      <c r="AL75" s="92">
        <v>0</v>
      </c>
      <c r="AM75" s="92">
        <v>0</v>
      </c>
      <c r="AN75" s="92">
        <v>0</v>
      </c>
      <c r="AO75" s="92">
        <v>0</v>
      </c>
      <c r="AP75" s="92">
        <v>0</v>
      </c>
      <c r="AQ75" s="92" t="s">
        <v>73</v>
      </c>
      <c r="AR75" s="92" t="s">
        <v>233</v>
      </c>
      <c r="AS75" s="92" t="s">
        <v>295</v>
      </c>
      <c r="AT75" s="92" t="s">
        <v>235</v>
      </c>
      <c r="AU75" s="195">
        <v>0.46400000000000002</v>
      </c>
      <c r="AV75" s="93" t="s">
        <v>86</v>
      </c>
      <c r="AW75" s="92">
        <f>AU75/AZ75</f>
        <v>0.27294117647058824</v>
      </c>
      <c r="AX75" s="92" t="s">
        <v>73</v>
      </c>
      <c r="AY75" s="92">
        <v>3</v>
      </c>
      <c r="AZ75" s="92">
        <v>1.7</v>
      </c>
      <c r="BA75" s="92"/>
      <c r="BB75" s="105">
        <f>EXP(AU75)/(1+EXP(AU75))</f>
        <v>0.61396265729139654</v>
      </c>
      <c r="BC75" s="92" t="s">
        <v>73</v>
      </c>
      <c r="BD75" s="92" t="s">
        <v>73</v>
      </c>
      <c r="BE75" s="92" t="s">
        <v>73</v>
      </c>
      <c r="BF75" s="92" t="s">
        <v>73</v>
      </c>
      <c r="BG75" s="92" t="s">
        <v>73</v>
      </c>
      <c r="BH75" s="92" t="s">
        <v>73</v>
      </c>
      <c r="BI75" s="92">
        <v>163</v>
      </c>
      <c r="BJ75" s="92">
        <v>163</v>
      </c>
      <c r="BK75" s="92" t="s">
        <v>73</v>
      </c>
      <c r="BL75" s="92" t="s">
        <v>73</v>
      </c>
      <c r="BM75" s="92" t="s">
        <v>73</v>
      </c>
      <c r="BN75" s="92" t="s">
        <v>73</v>
      </c>
      <c r="BO75" s="92" t="s">
        <v>236</v>
      </c>
      <c r="BP75" s="92">
        <v>0</v>
      </c>
      <c r="BQ75" s="92" t="s">
        <v>73</v>
      </c>
      <c r="BR75" s="92">
        <v>0</v>
      </c>
      <c r="BS75" s="92" t="s">
        <v>73</v>
      </c>
      <c r="BT75" s="92" t="s">
        <v>73</v>
      </c>
      <c r="BU75" s="92">
        <v>0</v>
      </c>
      <c r="BV75" s="92">
        <v>0</v>
      </c>
      <c r="BW75" s="92">
        <v>1</v>
      </c>
      <c r="BX75" s="30">
        <f>((AZ75^2)/(AZ75^2+BI75))^(1/2)</f>
        <v>0.13198932802100058</v>
      </c>
      <c r="BY75" s="30">
        <f>0.5*LN((1+BX75)/(1-BX75))</f>
        <v>0.13276391084197656</v>
      </c>
      <c r="BZ75" s="30">
        <f>((1-(BY75^2)^2)/(BI75-1))</f>
        <v>6.1709216981397832E-3</v>
      </c>
      <c r="CA75" s="30">
        <f>1/(BI75-3)</f>
        <v>6.2500000000000003E-3</v>
      </c>
      <c r="CB75" s="92" t="s">
        <v>73</v>
      </c>
      <c r="CC75">
        <f>BI75-2</f>
        <v>161</v>
      </c>
      <c r="CD75" s="92" t="s">
        <v>73</v>
      </c>
      <c r="CE75" s="30">
        <f>((AZ75^2)/(AZ75^2+BJ75))^(1/2)</f>
        <v>0.13198932802100058</v>
      </c>
      <c r="CF75" s="30">
        <f>0.5*LN((1+CE75)/(1-CE75))</f>
        <v>0.13276391084197656</v>
      </c>
      <c r="CG75" s="30">
        <f>((1-(CF75^2)^2)/(BJ75-1))</f>
        <v>6.1709216981397832E-3</v>
      </c>
      <c r="CH75" s="30">
        <f>1/(BJ75-3)</f>
        <v>6.2500000000000003E-3</v>
      </c>
      <c r="CI75" s="95"/>
    </row>
    <row r="76" spans="1:87" ht="16">
      <c r="A76" s="92" t="s">
        <v>68</v>
      </c>
      <c r="B76" s="92" t="s">
        <v>719</v>
      </c>
      <c r="C76" s="11">
        <v>1117</v>
      </c>
      <c r="D76" s="92">
        <v>123</v>
      </c>
      <c r="E76" s="92" t="s">
        <v>332</v>
      </c>
      <c r="F76" s="92">
        <v>1995</v>
      </c>
      <c r="G76" s="92" t="s">
        <v>333</v>
      </c>
      <c r="H76" s="92" t="s">
        <v>334</v>
      </c>
      <c r="I76" s="92">
        <v>2</v>
      </c>
      <c r="J76" s="92">
        <v>1995</v>
      </c>
      <c r="K76" s="92" t="s">
        <v>73</v>
      </c>
      <c r="L76" s="92">
        <v>64</v>
      </c>
      <c r="M76" s="188" t="s">
        <v>269</v>
      </c>
      <c r="N76" s="92" t="s">
        <v>241</v>
      </c>
      <c r="O76" s="92" t="s">
        <v>81</v>
      </c>
      <c r="P76" s="92" t="s">
        <v>227</v>
      </c>
      <c r="Q76" s="92" t="s">
        <v>243</v>
      </c>
      <c r="R76" s="92" t="s">
        <v>335</v>
      </c>
      <c r="S76" s="92">
        <v>0</v>
      </c>
      <c r="T76" s="135" t="s">
        <v>230</v>
      </c>
      <c r="U76" s="92">
        <v>0</v>
      </c>
      <c r="V76" s="92" t="s">
        <v>231</v>
      </c>
      <c r="W76" s="92" t="s">
        <v>231</v>
      </c>
      <c r="X76" s="92" t="s">
        <v>73</v>
      </c>
      <c r="Y76" s="92">
        <v>0</v>
      </c>
      <c r="Z76" s="92">
        <v>0</v>
      </c>
      <c r="AA76" s="92">
        <v>0</v>
      </c>
      <c r="AB76" s="92">
        <v>1</v>
      </c>
      <c r="AC76" s="92">
        <v>0</v>
      </c>
      <c r="AD76" s="92">
        <v>0</v>
      </c>
      <c r="AE76" s="92">
        <v>0</v>
      </c>
      <c r="AF76" s="92">
        <v>0</v>
      </c>
      <c r="AG76" s="92" t="s">
        <v>73</v>
      </c>
      <c r="AH76" s="92">
        <v>0</v>
      </c>
      <c r="AI76" s="92">
        <v>0</v>
      </c>
      <c r="AJ76" s="92">
        <v>0</v>
      </c>
      <c r="AK76" s="92">
        <v>0</v>
      </c>
      <c r="AL76" s="92">
        <v>0</v>
      </c>
      <c r="AM76" s="92">
        <v>0</v>
      </c>
      <c r="AN76" s="92">
        <v>0</v>
      </c>
      <c r="AO76" s="92">
        <v>1</v>
      </c>
      <c r="AP76" s="92">
        <v>0</v>
      </c>
      <c r="AQ76" s="92" t="s">
        <v>73</v>
      </c>
      <c r="AR76" s="92" t="s">
        <v>233</v>
      </c>
      <c r="AS76" t="s">
        <v>295</v>
      </c>
      <c r="AT76" t="s">
        <v>235</v>
      </c>
      <c r="AU76" s="195">
        <v>0.72899999999999998</v>
      </c>
      <c r="AV76" s="93" t="s">
        <v>86</v>
      </c>
      <c r="AW76" s="92">
        <f>AU76/AZ76</f>
        <v>0.38368421052631579</v>
      </c>
      <c r="AX76" s="92" t="s">
        <v>73</v>
      </c>
      <c r="AY76" s="92">
        <v>3</v>
      </c>
      <c r="AZ76" s="92">
        <v>1.9</v>
      </c>
      <c r="BA76" s="92"/>
      <c r="BB76" s="105">
        <f>EXP(AU76)/(1+EXP(AU76))</f>
        <v>0.67458579111740891</v>
      </c>
      <c r="BC76" s="92" t="s">
        <v>73</v>
      </c>
      <c r="BD76" s="92" t="s">
        <v>73</v>
      </c>
      <c r="BE76" s="92" t="s">
        <v>73</v>
      </c>
      <c r="BF76" s="92" t="s">
        <v>73</v>
      </c>
      <c r="BG76" s="92" t="s">
        <v>73</v>
      </c>
      <c r="BH76" s="92" t="s">
        <v>73</v>
      </c>
      <c r="BI76" s="92">
        <v>68</v>
      </c>
      <c r="BJ76" s="92">
        <v>68</v>
      </c>
      <c r="BK76" s="92" t="s">
        <v>73</v>
      </c>
      <c r="BL76" s="92" t="s">
        <v>73</v>
      </c>
      <c r="BM76" s="92" t="s">
        <v>73</v>
      </c>
      <c r="BN76" s="92" t="s">
        <v>73</v>
      </c>
      <c r="BO76" s="92" t="s">
        <v>236</v>
      </c>
      <c r="BP76" s="92">
        <v>0</v>
      </c>
      <c r="BQ76" s="92" t="s">
        <v>73</v>
      </c>
      <c r="BR76" s="92">
        <v>0</v>
      </c>
      <c r="BS76" s="92" t="s">
        <v>73</v>
      </c>
      <c r="BT76" s="92" t="s">
        <v>73</v>
      </c>
      <c r="BU76" s="92">
        <v>0</v>
      </c>
      <c r="BV76" s="92">
        <v>0</v>
      </c>
      <c r="BW76" s="92">
        <v>1</v>
      </c>
      <c r="BX76" s="30">
        <f>((AZ76^2)/(AZ76^2+BI76))^(1/2)</f>
        <v>0.22452606449532778</v>
      </c>
      <c r="BY76" s="30">
        <f>0.5*LN((1+BX76)/(1-BX76))</f>
        <v>0.22841739493205201</v>
      </c>
      <c r="BZ76" s="30">
        <f>((1-(BY76^2)^2)/(BI76-1))</f>
        <v>1.4884743595396476E-2</v>
      </c>
      <c r="CA76" s="30">
        <f>1/(BI76-3)</f>
        <v>1.5384615384615385E-2</v>
      </c>
      <c r="CB76" s="92" t="s">
        <v>73</v>
      </c>
      <c r="CC76">
        <f>BI76-2</f>
        <v>66</v>
      </c>
      <c r="CD76" s="92" t="s">
        <v>73</v>
      </c>
      <c r="CE76" s="30">
        <f>((AZ76^2)/(AZ76^2+BJ76))^(1/2)</f>
        <v>0.22452606449532778</v>
      </c>
      <c r="CF76" s="30">
        <f>0.5*LN((1+CE76)/(1-CE76))</f>
        <v>0.22841739493205201</v>
      </c>
      <c r="CG76" s="30">
        <f>((1-(CF76^2)^2)/(BJ76-1))</f>
        <v>1.4884743595396476E-2</v>
      </c>
      <c r="CH76" s="30">
        <f>1/(BJ76-3)</f>
        <v>1.5384615384615385E-2</v>
      </c>
      <c r="CI76" s="95"/>
    </row>
    <row r="77" spans="1:87" ht="16">
      <c r="A77" s="92" t="s">
        <v>68</v>
      </c>
      <c r="B77" s="92" t="s">
        <v>719</v>
      </c>
      <c r="C77" s="11">
        <v>1118</v>
      </c>
      <c r="D77" s="92">
        <v>124</v>
      </c>
      <c r="E77" s="92" t="s">
        <v>336</v>
      </c>
      <c r="F77" s="92">
        <v>2018</v>
      </c>
      <c r="G77" s="92" t="s">
        <v>337</v>
      </c>
      <c r="H77" s="92" t="s">
        <v>338</v>
      </c>
      <c r="I77" s="92">
        <v>2</v>
      </c>
      <c r="J77" s="92">
        <v>2015</v>
      </c>
      <c r="K77" s="92" t="s">
        <v>73</v>
      </c>
      <c r="L77" s="92">
        <v>28</v>
      </c>
      <c r="M77" s="185" t="s">
        <v>155</v>
      </c>
      <c r="N77" s="92" t="s">
        <v>112</v>
      </c>
      <c r="O77" s="92" t="s">
        <v>339</v>
      </c>
      <c r="P77" s="92" t="s">
        <v>293</v>
      </c>
      <c r="Q77" s="92" t="s">
        <v>243</v>
      </c>
      <c r="R77" s="135" t="s">
        <v>335</v>
      </c>
      <c r="S77" s="92">
        <v>1</v>
      </c>
      <c r="T77" t="s">
        <v>230</v>
      </c>
      <c r="U77" s="92">
        <v>0</v>
      </c>
      <c r="V77" s="92" t="s">
        <v>231</v>
      </c>
      <c r="W77" s="92" t="s">
        <v>231</v>
      </c>
      <c r="X77" s="92" t="s">
        <v>73</v>
      </c>
      <c r="Y77" s="92">
        <v>0</v>
      </c>
      <c r="Z77" s="92">
        <v>0</v>
      </c>
      <c r="AA77" s="92">
        <v>1</v>
      </c>
      <c r="AB77" s="92">
        <v>0</v>
      </c>
      <c r="AC77" s="92">
        <v>0</v>
      </c>
      <c r="AD77" s="92">
        <v>0</v>
      </c>
      <c r="AE77" s="92">
        <v>0</v>
      </c>
      <c r="AF77" s="92">
        <v>0</v>
      </c>
      <c r="AG77" s="92" t="s">
        <v>341</v>
      </c>
      <c r="AH77" s="92">
        <v>0</v>
      </c>
      <c r="AI77" s="92">
        <v>0</v>
      </c>
      <c r="AJ77" s="92">
        <v>0</v>
      </c>
      <c r="AK77" s="92">
        <v>0</v>
      </c>
      <c r="AL77" s="92">
        <v>0</v>
      </c>
      <c r="AM77" s="92">
        <v>0</v>
      </c>
      <c r="AN77" s="92">
        <v>0</v>
      </c>
      <c r="AO77" s="92">
        <v>1</v>
      </c>
      <c r="AP77" s="92">
        <v>0</v>
      </c>
      <c r="AQ77" s="92" t="s">
        <v>342</v>
      </c>
      <c r="AR77" s="92" t="s">
        <v>233</v>
      </c>
      <c r="AS77" s="92" t="s">
        <v>295</v>
      </c>
      <c r="AT77" s="92" t="s">
        <v>235</v>
      </c>
      <c r="AU77" s="195">
        <v>0.53</v>
      </c>
      <c r="AV77" s="93" t="s">
        <v>80</v>
      </c>
      <c r="AW77" s="92">
        <v>0.26</v>
      </c>
      <c r="AX77" s="92" t="s">
        <v>73</v>
      </c>
      <c r="AY77" s="92">
        <v>3</v>
      </c>
      <c r="AZ77" s="92">
        <f>AU77/AW77</f>
        <v>2.0384615384615383</v>
      </c>
      <c r="BA77" s="209">
        <v>0.69</v>
      </c>
      <c r="BB77" s="105">
        <f>EXP(AU77)/(1+EXP(AU77))</f>
        <v>0.62948311196739493</v>
      </c>
      <c r="BC77" s="92" t="s">
        <v>73</v>
      </c>
      <c r="BD77" s="92" t="s">
        <v>73</v>
      </c>
      <c r="BE77" s="92" t="s">
        <v>73</v>
      </c>
      <c r="BF77" s="92" t="s">
        <v>73</v>
      </c>
      <c r="BG77" s="92" t="s">
        <v>73</v>
      </c>
      <c r="BH77" s="92" t="s">
        <v>73</v>
      </c>
      <c r="BI77" s="92">
        <v>148</v>
      </c>
      <c r="BJ77" s="92">
        <v>1184</v>
      </c>
      <c r="BK77" s="92" t="s">
        <v>73</v>
      </c>
      <c r="BL77" s="92" t="s">
        <v>73</v>
      </c>
      <c r="BM77" s="92" t="s">
        <v>73</v>
      </c>
      <c r="BN77" s="92" t="s">
        <v>73</v>
      </c>
      <c r="BO77" s="92" t="s">
        <v>73</v>
      </c>
      <c r="BP77" s="92">
        <v>0</v>
      </c>
      <c r="BQ77" s="92" t="s">
        <v>73</v>
      </c>
      <c r="BR77" s="92">
        <v>0</v>
      </c>
      <c r="BS77" s="92" t="s">
        <v>73</v>
      </c>
      <c r="BT77" s="92" t="s">
        <v>343</v>
      </c>
      <c r="BU77" s="92">
        <v>0</v>
      </c>
      <c r="BV77" s="92">
        <v>0</v>
      </c>
      <c r="BW77" s="92">
        <v>1</v>
      </c>
      <c r="BX77" s="30">
        <f>((AZ77^2)/(AZ77^2+BI77))^(1/2)</f>
        <v>0.16525664934411763</v>
      </c>
      <c r="BY77" s="30">
        <f>0.5*LN((1+BX77)/(1-BX77))</f>
        <v>0.16678616424140319</v>
      </c>
      <c r="BZ77" s="30">
        <f>((1-(BY77^2)^2)/(BI77-1))</f>
        <v>6.7974570051877199E-3</v>
      </c>
      <c r="CA77" s="30">
        <f>1/(BI77-3)</f>
        <v>6.8965517241379309E-3</v>
      </c>
      <c r="CB77" s="92" t="s">
        <v>73</v>
      </c>
      <c r="CC77">
        <f>BI77-1</f>
        <v>147</v>
      </c>
      <c r="CD77" s="92" t="s">
        <v>73</v>
      </c>
      <c r="CE77" s="30">
        <f>((AZ77^2)/(AZ77^2+BJ77))^(1/2)</f>
        <v>5.9137901852854315E-2</v>
      </c>
      <c r="CF77" s="30">
        <f>0.5*LN((1+CE77)/(1-CE77))</f>
        <v>5.9206987704804405E-2</v>
      </c>
      <c r="CG77" s="30">
        <f>((1-(CF77^2)^2)/(BJ77-1))</f>
        <v>8.4529815020993756E-4</v>
      </c>
      <c r="CH77" s="30">
        <f>1/(BJ77-3)</f>
        <v>8.4674005080440302E-4</v>
      </c>
    </row>
    <row r="78" spans="1:87" ht="16">
      <c r="A78" s="92" t="s">
        <v>68</v>
      </c>
      <c r="B78" s="92" t="s">
        <v>719</v>
      </c>
      <c r="C78" s="11">
        <v>1119</v>
      </c>
      <c r="D78" s="92">
        <v>124</v>
      </c>
      <c r="E78" s="92" t="s">
        <v>336</v>
      </c>
      <c r="F78" s="92">
        <v>2018</v>
      </c>
      <c r="G78" s="92" t="s">
        <v>337</v>
      </c>
      <c r="H78" s="92" t="s">
        <v>338</v>
      </c>
      <c r="I78" s="92">
        <v>2</v>
      </c>
      <c r="J78" s="92">
        <v>2015</v>
      </c>
      <c r="K78" s="92" t="s">
        <v>73</v>
      </c>
      <c r="L78" s="92">
        <v>28</v>
      </c>
      <c r="M78" s="185" t="s">
        <v>155</v>
      </c>
      <c r="N78" s="92" t="s">
        <v>112</v>
      </c>
      <c r="O78" s="92" t="s">
        <v>339</v>
      </c>
      <c r="P78" s="92" t="s">
        <v>293</v>
      </c>
      <c r="Q78" s="92" t="s">
        <v>243</v>
      </c>
      <c r="R78" s="135" t="s">
        <v>335</v>
      </c>
      <c r="S78" s="92">
        <v>1</v>
      </c>
      <c r="T78" t="s">
        <v>230</v>
      </c>
      <c r="U78" s="92">
        <v>0</v>
      </c>
      <c r="V78" s="92" t="s">
        <v>231</v>
      </c>
      <c r="W78" s="92" t="s">
        <v>231</v>
      </c>
      <c r="X78" s="92" t="s">
        <v>73</v>
      </c>
      <c r="Y78" s="92">
        <v>0</v>
      </c>
      <c r="Z78" s="92">
        <v>0</v>
      </c>
      <c r="AA78" s="92">
        <v>1</v>
      </c>
      <c r="AB78" s="92">
        <v>0</v>
      </c>
      <c r="AC78" s="92">
        <v>0</v>
      </c>
      <c r="AD78" s="92">
        <v>0</v>
      </c>
      <c r="AE78" s="92">
        <v>0</v>
      </c>
      <c r="AF78" s="92">
        <v>0</v>
      </c>
      <c r="AG78" s="92" t="s">
        <v>341</v>
      </c>
      <c r="AH78" s="92">
        <v>0</v>
      </c>
      <c r="AI78" s="92">
        <v>0</v>
      </c>
      <c r="AJ78" s="92">
        <v>0</v>
      </c>
      <c r="AK78" s="92">
        <v>0</v>
      </c>
      <c r="AL78" s="92">
        <v>0</v>
      </c>
      <c r="AM78" s="92">
        <v>0</v>
      </c>
      <c r="AN78" s="92">
        <v>0</v>
      </c>
      <c r="AO78" s="92">
        <v>1</v>
      </c>
      <c r="AP78" s="92">
        <v>0</v>
      </c>
      <c r="AQ78" s="92" t="s">
        <v>344</v>
      </c>
      <c r="AR78" s="92" t="s">
        <v>233</v>
      </c>
      <c r="AS78" s="92" t="s">
        <v>295</v>
      </c>
      <c r="AT78" s="92" t="s">
        <v>235</v>
      </c>
      <c r="AU78" s="195">
        <v>1.0900000000000001</v>
      </c>
      <c r="AV78" s="93" t="s">
        <v>80</v>
      </c>
      <c r="AW78" s="92">
        <v>0.39</v>
      </c>
      <c r="AX78" s="92" t="s">
        <v>73</v>
      </c>
      <c r="AY78" s="92">
        <v>3</v>
      </c>
      <c r="AZ78" s="92">
        <f>AU78/AW78</f>
        <v>2.7948717948717952</v>
      </c>
      <c r="BA78" s="209">
        <v>0.78</v>
      </c>
      <c r="BB78" s="105">
        <f>EXP(AU78)/(1+EXP(AU78))</f>
        <v>0.74838172160706429</v>
      </c>
      <c r="BC78" s="92" t="s">
        <v>73</v>
      </c>
      <c r="BD78" s="92" t="s">
        <v>73</v>
      </c>
      <c r="BE78" s="92" t="s">
        <v>73</v>
      </c>
      <c r="BF78" s="92" t="s">
        <v>73</v>
      </c>
      <c r="BG78" s="92" t="s">
        <v>73</v>
      </c>
      <c r="BH78" s="92" t="s">
        <v>73</v>
      </c>
      <c r="BI78" s="92">
        <v>148</v>
      </c>
      <c r="BJ78" s="92">
        <v>1184</v>
      </c>
      <c r="BK78" s="92" t="s">
        <v>73</v>
      </c>
      <c r="BL78" s="92" t="s">
        <v>73</v>
      </c>
      <c r="BM78" s="92" t="s">
        <v>73</v>
      </c>
      <c r="BN78" s="92" t="s">
        <v>73</v>
      </c>
      <c r="BO78" s="92" t="s">
        <v>73</v>
      </c>
      <c r="BP78" s="92">
        <v>0</v>
      </c>
      <c r="BQ78" s="92" t="s">
        <v>73</v>
      </c>
      <c r="BR78" s="92">
        <v>0</v>
      </c>
      <c r="BS78" s="92" t="s">
        <v>73</v>
      </c>
      <c r="BT78" s="92" t="s">
        <v>343</v>
      </c>
      <c r="BU78" s="92">
        <v>0</v>
      </c>
      <c r="BV78" s="92">
        <v>0</v>
      </c>
      <c r="BW78" s="92">
        <v>1</v>
      </c>
      <c r="BX78" s="30">
        <f>((AZ78^2)/(AZ78^2+BI78))^(1/2)</f>
        <v>0.22390428433112008</v>
      </c>
      <c r="BY78" s="30">
        <f>0.5*LN((1+BX78)/(1-BX78))</f>
        <v>0.22776270171385027</v>
      </c>
      <c r="BZ78" s="30">
        <f>((1-(BY78^2)^2)/(BI78-1))</f>
        <v>6.7844142609794983E-3</v>
      </c>
      <c r="CA78" s="30">
        <f>1/(BI78-3)</f>
        <v>6.8965517241379309E-3</v>
      </c>
      <c r="CB78" s="92" t="s">
        <v>73</v>
      </c>
      <c r="CC78">
        <f>BI78-1</f>
        <v>147</v>
      </c>
      <c r="CD78" s="92" t="s">
        <v>73</v>
      </c>
      <c r="CE78" s="30">
        <f>((AZ78^2)/(AZ78^2+BJ78))^(1/2)</f>
        <v>8.0957696006493107E-2</v>
      </c>
      <c r="CF78" s="30">
        <f>0.5*LN((1+CE78)/(1-CE78))</f>
        <v>8.1135264405531898E-2</v>
      </c>
      <c r="CG78" s="30">
        <f>((1-(CF78^2)^2)/(BJ78-1))</f>
        <v>8.4527190618574437E-4</v>
      </c>
      <c r="CH78" s="30">
        <f>1/(BJ78-3)</f>
        <v>8.4674005080440302E-4</v>
      </c>
    </row>
    <row r="79" spans="1:87" ht="16">
      <c r="A79" s="92" t="s">
        <v>68</v>
      </c>
      <c r="B79" s="92" t="s">
        <v>718</v>
      </c>
      <c r="C79" s="92">
        <v>1128</v>
      </c>
      <c r="D79" s="92">
        <v>128</v>
      </c>
      <c r="E79" s="92" t="s">
        <v>345</v>
      </c>
      <c r="F79" s="92">
        <v>2014</v>
      </c>
      <c r="G79" s="92" t="s">
        <v>346</v>
      </c>
      <c r="H79" s="131" t="s">
        <v>347</v>
      </c>
      <c r="I79" s="92">
        <v>2</v>
      </c>
      <c r="J79" s="92">
        <v>2014</v>
      </c>
      <c r="K79" s="92" t="s">
        <v>73</v>
      </c>
      <c r="L79" s="92">
        <v>133</v>
      </c>
      <c r="M79" s="185" t="s">
        <v>155</v>
      </c>
      <c r="N79" s="92" t="s">
        <v>226</v>
      </c>
      <c r="O79" s="112" t="s">
        <v>348</v>
      </c>
      <c r="P79" s="92" t="s">
        <v>293</v>
      </c>
      <c r="Q79" s="92" t="s">
        <v>310</v>
      </c>
      <c r="R79" t="s">
        <v>311</v>
      </c>
      <c r="S79" s="92">
        <v>1</v>
      </c>
      <c r="T79" t="s">
        <v>230</v>
      </c>
      <c r="U79" s="92">
        <v>1</v>
      </c>
      <c r="V79" s="92" t="s">
        <v>231</v>
      </c>
      <c r="W79" s="92" t="s">
        <v>231</v>
      </c>
      <c r="X79" s="92" t="s">
        <v>73</v>
      </c>
      <c r="Y79" s="92">
        <v>0</v>
      </c>
      <c r="Z79" s="92">
        <v>0</v>
      </c>
      <c r="AA79" s="92">
        <v>1</v>
      </c>
      <c r="AB79" s="92">
        <v>0</v>
      </c>
      <c r="AC79" s="92">
        <v>0</v>
      </c>
      <c r="AD79" s="92">
        <v>0</v>
      </c>
      <c r="AE79" s="92">
        <v>0</v>
      </c>
      <c r="AF79" s="92">
        <v>0</v>
      </c>
      <c r="AG79" s="92" t="s">
        <v>349</v>
      </c>
      <c r="AH79" s="92">
        <v>0</v>
      </c>
      <c r="AI79" s="92">
        <v>0</v>
      </c>
      <c r="AJ79" s="92">
        <v>0</v>
      </c>
      <c r="AK79" s="92">
        <v>0</v>
      </c>
      <c r="AL79" s="92">
        <v>0</v>
      </c>
      <c r="AM79" s="92">
        <v>0</v>
      </c>
      <c r="AN79" s="92">
        <v>0</v>
      </c>
      <c r="AO79" s="92">
        <v>0</v>
      </c>
      <c r="AP79" s="92">
        <v>1</v>
      </c>
      <c r="AQ79" s="92" t="s">
        <v>73</v>
      </c>
      <c r="AR79" s="92" t="s">
        <v>233</v>
      </c>
      <c r="AS79" s="92" t="s">
        <v>295</v>
      </c>
      <c r="AT79" s="92" t="s">
        <v>235</v>
      </c>
      <c r="AU79" s="198">
        <v>0.47499999999999998</v>
      </c>
      <c r="AV79" s="157" t="s">
        <v>80</v>
      </c>
      <c r="AW79" s="131">
        <v>0.26700000000000002</v>
      </c>
      <c r="AX79" s="92">
        <v>0.1</v>
      </c>
      <c r="AY79" s="92">
        <v>1</v>
      </c>
      <c r="AZ79" s="131">
        <f>AU79/AW79</f>
        <v>1.7790262172284643</v>
      </c>
      <c r="BA79" t="s">
        <v>73</v>
      </c>
      <c r="BB79" s="105">
        <f>EXP(AU79)/(1+EXP(AU79))</f>
        <v>0.61656650452131923</v>
      </c>
      <c r="BC79" s="92" t="s">
        <v>73</v>
      </c>
      <c r="BD79" s="92" t="s">
        <v>73</v>
      </c>
      <c r="BE79" s="92" t="s">
        <v>73</v>
      </c>
      <c r="BF79" s="92" t="s">
        <v>73</v>
      </c>
      <c r="BG79" s="92" t="s">
        <v>73</v>
      </c>
      <c r="BH79" s="92" t="s">
        <v>73</v>
      </c>
      <c r="BI79" s="131">
        <v>504</v>
      </c>
      <c r="BJ79" s="92">
        <v>504</v>
      </c>
      <c r="BK79" s="92" t="s">
        <v>73</v>
      </c>
      <c r="BL79" s="92" t="s">
        <v>73</v>
      </c>
      <c r="BM79" s="92" t="s">
        <v>73</v>
      </c>
      <c r="BN79" s="92" t="s">
        <v>73</v>
      </c>
      <c r="BO79" s="92" t="s">
        <v>73</v>
      </c>
      <c r="BP79" s="92">
        <v>0</v>
      </c>
      <c r="BQ79" s="92" t="s">
        <v>73</v>
      </c>
      <c r="BR79" s="92">
        <v>0</v>
      </c>
      <c r="BS79" s="92" t="s">
        <v>73</v>
      </c>
      <c r="BT79" s="92" t="s">
        <v>314</v>
      </c>
      <c r="BU79" s="92">
        <v>0</v>
      </c>
      <c r="BV79" s="92">
        <v>0</v>
      </c>
      <c r="BW79" s="92">
        <v>1</v>
      </c>
      <c r="BX79" s="30">
        <f>((AZ79^2)/(AZ79^2+BI79))^(1/2)</f>
        <v>7.8996479816553555E-2</v>
      </c>
      <c r="BY79" s="30">
        <f>0.5*LN((1+BX79)/(1-BX79))</f>
        <v>7.9161422211521337E-2</v>
      </c>
      <c r="BZ79" s="30">
        <f>((1-(BY79^2)^2)/(BI79-1))</f>
        <v>1.9879935001832043E-3</v>
      </c>
      <c r="CA79" s="30">
        <f>1/(BI79-3)</f>
        <v>1.996007984031936E-3</v>
      </c>
      <c r="CB79" s="92" t="s">
        <v>73</v>
      </c>
      <c r="CC79">
        <f>BI79-2</f>
        <v>502</v>
      </c>
      <c r="CD79" s="92" t="s">
        <v>73</v>
      </c>
      <c r="CE79" s="30">
        <f>((AZ79^2)/(AZ79^2+BJ79))^(1/2)</f>
        <v>7.8996479816553555E-2</v>
      </c>
      <c r="CF79" s="30">
        <f>0.5*LN((1+CE79)/(1-CE79))</f>
        <v>7.9161422211521337E-2</v>
      </c>
      <c r="CG79" s="30">
        <f>((1-(CF79^2)^2)/(BJ79-1))</f>
        <v>1.9879935001832043E-3</v>
      </c>
      <c r="CH79" s="30">
        <f>1/(BJ79-3)</f>
        <v>1.996007984031936E-3</v>
      </c>
      <c r="CI79" s="119"/>
    </row>
    <row r="80" spans="1:87" s="119" customFormat="1" ht="16">
      <c r="A80" s="92" t="s">
        <v>68</v>
      </c>
      <c r="B80" s="92" t="s">
        <v>718</v>
      </c>
      <c r="C80" s="92">
        <v>1129</v>
      </c>
      <c r="D80" s="92">
        <v>128</v>
      </c>
      <c r="E80" s="92" t="s">
        <v>345</v>
      </c>
      <c r="F80" s="92">
        <v>2014</v>
      </c>
      <c r="G80" s="92" t="s">
        <v>346</v>
      </c>
      <c r="H80" s="131" t="s">
        <v>347</v>
      </c>
      <c r="I80" s="92">
        <v>2</v>
      </c>
      <c r="J80" s="92">
        <v>2014</v>
      </c>
      <c r="K80" s="92" t="s">
        <v>73</v>
      </c>
      <c r="L80" s="92">
        <v>133</v>
      </c>
      <c r="M80" s="185" t="s">
        <v>155</v>
      </c>
      <c r="N80" s="92" t="s">
        <v>226</v>
      </c>
      <c r="O80" s="112" t="s">
        <v>348</v>
      </c>
      <c r="P80" s="92" t="s">
        <v>293</v>
      </c>
      <c r="Q80" s="92" t="s">
        <v>310</v>
      </c>
      <c r="R80" t="s">
        <v>311</v>
      </c>
      <c r="S80" s="92">
        <v>1</v>
      </c>
      <c r="T80" t="s">
        <v>230</v>
      </c>
      <c r="U80" s="92">
        <v>1</v>
      </c>
      <c r="V80" s="92" t="s">
        <v>231</v>
      </c>
      <c r="W80" s="92" t="s">
        <v>231</v>
      </c>
      <c r="X80" s="92" t="s">
        <v>73</v>
      </c>
      <c r="Y80" s="92">
        <v>0</v>
      </c>
      <c r="Z80" s="92">
        <v>0</v>
      </c>
      <c r="AA80" s="92">
        <v>1</v>
      </c>
      <c r="AB80" s="92">
        <v>0</v>
      </c>
      <c r="AC80" s="92">
        <v>0</v>
      </c>
      <c r="AD80" s="92">
        <v>0</v>
      </c>
      <c r="AE80" s="92">
        <v>0</v>
      </c>
      <c r="AF80" s="92">
        <v>0</v>
      </c>
      <c r="AG80" s="92" t="s">
        <v>349</v>
      </c>
      <c r="AH80" s="92">
        <v>0</v>
      </c>
      <c r="AI80" s="92">
        <v>0</v>
      </c>
      <c r="AJ80" s="92">
        <v>0</v>
      </c>
      <c r="AK80" s="92">
        <v>0</v>
      </c>
      <c r="AL80" s="92">
        <v>0</v>
      </c>
      <c r="AM80" s="92">
        <v>0</v>
      </c>
      <c r="AN80" s="92">
        <v>0</v>
      </c>
      <c r="AO80" s="92">
        <v>0</v>
      </c>
      <c r="AP80" s="92">
        <v>1</v>
      </c>
      <c r="AQ80" s="92" t="s">
        <v>73</v>
      </c>
      <c r="AR80" s="92" t="s">
        <v>233</v>
      </c>
      <c r="AS80" s="92" t="s">
        <v>295</v>
      </c>
      <c r="AT80" s="92" t="s">
        <v>235</v>
      </c>
      <c r="AU80" s="198">
        <v>0.22800000000000001</v>
      </c>
      <c r="AV80" s="157" t="s">
        <v>80</v>
      </c>
      <c r="AW80" s="131">
        <v>0.26900000000000002</v>
      </c>
      <c r="AX80" s="92" t="s">
        <v>73</v>
      </c>
      <c r="AY80" s="92">
        <v>3</v>
      </c>
      <c r="AZ80" s="131">
        <f>AU80/AW80</f>
        <v>0.84758364312267653</v>
      </c>
      <c r="BA80" t="s">
        <v>73</v>
      </c>
      <c r="BB80" s="105">
        <f>EXP(AU80)/(1+EXP(AU80))</f>
        <v>0.55675435289294073</v>
      </c>
      <c r="BC80" s="92" t="s">
        <v>73</v>
      </c>
      <c r="BD80" s="92" t="s">
        <v>73</v>
      </c>
      <c r="BE80" s="92" t="s">
        <v>73</v>
      </c>
      <c r="BF80" s="92" t="s">
        <v>73</v>
      </c>
      <c r="BG80" s="92" t="s">
        <v>73</v>
      </c>
      <c r="BH80" s="92" t="s">
        <v>73</v>
      </c>
      <c r="BI80" s="131">
        <v>504</v>
      </c>
      <c r="BJ80" s="92">
        <v>504</v>
      </c>
      <c r="BK80" s="92" t="s">
        <v>73</v>
      </c>
      <c r="BL80" s="92" t="s">
        <v>73</v>
      </c>
      <c r="BM80" s="92" t="s">
        <v>73</v>
      </c>
      <c r="BN80" s="92" t="s">
        <v>73</v>
      </c>
      <c r="BO80" s="92" t="s">
        <v>73</v>
      </c>
      <c r="BP80" s="92">
        <v>0</v>
      </c>
      <c r="BQ80" s="92" t="s">
        <v>73</v>
      </c>
      <c r="BR80" s="92">
        <v>0</v>
      </c>
      <c r="BS80" s="92" t="s">
        <v>73</v>
      </c>
      <c r="BT80" s="92" t="s">
        <v>343</v>
      </c>
      <c r="BU80" s="92">
        <v>0</v>
      </c>
      <c r="BV80" s="92">
        <v>0</v>
      </c>
      <c r="BW80" s="92">
        <v>1</v>
      </c>
      <c r="BX80" s="30">
        <f>((AZ80^2)/(AZ80^2+BI80))^(1/2)</f>
        <v>3.7727497501766814E-2</v>
      </c>
      <c r="BY80" s="30">
        <f>0.5*LN((1+BX80)/(1-BX80))</f>
        <v>3.7745412792349338E-2</v>
      </c>
      <c r="BZ80" s="30">
        <f>((1-(BY80^2)^2)/(BI80-1))</f>
        <v>1.9880675351566339E-3</v>
      </c>
      <c r="CA80" s="30">
        <f>1/(BI80-3)</f>
        <v>1.996007984031936E-3</v>
      </c>
      <c r="CB80" s="92" t="s">
        <v>73</v>
      </c>
      <c r="CC80">
        <f>BI80-2</f>
        <v>502</v>
      </c>
      <c r="CD80" s="92" t="s">
        <v>73</v>
      </c>
      <c r="CE80" s="30">
        <f>((AZ80^2)/(AZ80^2+BJ80))^(1/2)</f>
        <v>3.7727497501766814E-2</v>
      </c>
      <c r="CF80" s="30">
        <f>0.5*LN((1+CE80)/(1-CE80))</f>
        <v>3.7745412792349338E-2</v>
      </c>
      <c r="CG80" s="30">
        <f>((1-(CF80^2)^2)/(BJ80-1))</f>
        <v>1.9880675351566339E-3</v>
      </c>
      <c r="CH80" s="30">
        <f>1/(BJ80-3)</f>
        <v>1.996007984031936E-3</v>
      </c>
      <c r="CI80"/>
    </row>
    <row r="81" spans="1:87" ht="16">
      <c r="A81" s="92" t="s">
        <v>68</v>
      </c>
      <c r="B81" s="92" t="s">
        <v>718</v>
      </c>
      <c r="C81" s="92">
        <v>1130</v>
      </c>
      <c r="D81" s="92">
        <v>128</v>
      </c>
      <c r="E81" s="92" t="s">
        <v>345</v>
      </c>
      <c r="F81" s="92">
        <v>2014</v>
      </c>
      <c r="G81" s="92" t="s">
        <v>346</v>
      </c>
      <c r="H81" s="131" t="s">
        <v>347</v>
      </c>
      <c r="I81" s="92">
        <v>2</v>
      </c>
      <c r="J81" s="92">
        <v>2014</v>
      </c>
      <c r="K81" s="92" t="s">
        <v>73</v>
      </c>
      <c r="L81" s="92">
        <v>133</v>
      </c>
      <c r="M81" s="185" t="s">
        <v>155</v>
      </c>
      <c r="N81" s="92" t="s">
        <v>226</v>
      </c>
      <c r="O81" s="112" t="s">
        <v>348</v>
      </c>
      <c r="P81" s="92" t="s">
        <v>293</v>
      </c>
      <c r="Q81" s="92" t="s">
        <v>310</v>
      </c>
      <c r="R81" t="s">
        <v>311</v>
      </c>
      <c r="S81" s="92">
        <v>1</v>
      </c>
      <c r="T81" t="s">
        <v>230</v>
      </c>
      <c r="U81" s="92">
        <v>1</v>
      </c>
      <c r="V81" s="92" t="s">
        <v>231</v>
      </c>
      <c r="W81" s="92" t="s">
        <v>231</v>
      </c>
      <c r="X81" s="92" t="s">
        <v>73</v>
      </c>
      <c r="Y81" s="92">
        <v>0</v>
      </c>
      <c r="Z81" s="92">
        <v>0</v>
      </c>
      <c r="AA81" s="92">
        <v>1</v>
      </c>
      <c r="AB81" s="92">
        <v>0</v>
      </c>
      <c r="AC81" s="92">
        <v>0</v>
      </c>
      <c r="AD81" s="92">
        <v>0</v>
      </c>
      <c r="AE81" s="92">
        <v>0</v>
      </c>
      <c r="AF81" s="92">
        <v>0</v>
      </c>
      <c r="AG81" s="92" t="s">
        <v>349</v>
      </c>
      <c r="AH81" s="92">
        <v>0</v>
      </c>
      <c r="AI81" s="92">
        <v>0</v>
      </c>
      <c r="AJ81" s="92">
        <v>0</v>
      </c>
      <c r="AK81" s="92">
        <v>0</v>
      </c>
      <c r="AL81" s="92">
        <v>0</v>
      </c>
      <c r="AM81" s="92">
        <v>0</v>
      </c>
      <c r="AN81" s="92">
        <v>0</v>
      </c>
      <c r="AO81" s="92">
        <v>0</v>
      </c>
      <c r="AP81" s="92">
        <v>1</v>
      </c>
      <c r="AQ81" s="92" t="s">
        <v>73</v>
      </c>
      <c r="AR81" s="92" t="s">
        <v>233</v>
      </c>
      <c r="AS81" t="s">
        <v>295</v>
      </c>
      <c r="AT81" s="92" t="s">
        <v>235</v>
      </c>
      <c r="AU81" s="198">
        <v>4.4999999999999998E-2</v>
      </c>
      <c r="AV81" s="157" t="s">
        <v>80</v>
      </c>
      <c r="AW81" s="131">
        <v>0.27100000000000002</v>
      </c>
      <c r="AX81" s="92" t="s">
        <v>73</v>
      </c>
      <c r="AY81" s="92">
        <v>3</v>
      </c>
      <c r="AZ81" s="131">
        <f>AU81/AW81</f>
        <v>0.16605166051660514</v>
      </c>
      <c r="BA81" t="s">
        <v>73</v>
      </c>
      <c r="BB81" s="105">
        <f>EXP(AU81)/(1+EXP(AU81))</f>
        <v>0.51124810194685477</v>
      </c>
      <c r="BC81" s="92" t="s">
        <v>73</v>
      </c>
      <c r="BD81" s="92" t="s">
        <v>73</v>
      </c>
      <c r="BE81" s="92" t="s">
        <v>73</v>
      </c>
      <c r="BF81" s="92" t="s">
        <v>73</v>
      </c>
      <c r="BG81" s="92" t="s">
        <v>73</v>
      </c>
      <c r="BH81" s="92" t="s">
        <v>73</v>
      </c>
      <c r="BI81" s="131">
        <v>504</v>
      </c>
      <c r="BJ81" s="92">
        <v>504</v>
      </c>
      <c r="BK81" s="92" t="s">
        <v>73</v>
      </c>
      <c r="BL81" s="92" t="s">
        <v>73</v>
      </c>
      <c r="BM81" s="92" t="s">
        <v>73</v>
      </c>
      <c r="BN81" s="92" t="s">
        <v>73</v>
      </c>
      <c r="BO81" s="92" t="s">
        <v>73</v>
      </c>
      <c r="BP81" s="92">
        <v>0</v>
      </c>
      <c r="BQ81" s="92" t="s">
        <v>73</v>
      </c>
      <c r="BR81" s="92">
        <v>0</v>
      </c>
      <c r="BS81" s="92" t="s">
        <v>73</v>
      </c>
      <c r="BT81" s="92" t="s">
        <v>331</v>
      </c>
      <c r="BU81" s="92">
        <v>0</v>
      </c>
      <c r="BV81" s="92">
        <v>0</v>
      </c>
      <c r="BW81" s="92">
        <v>1</v>
      </c>
      <c r="BX81" s="30">
        <f>((AZ81^2)/(AZ81^2+BI81))^(1/2)</f>
        <v>7.3963265165038466E-3</v>
      </c>
      <c r="BY81" s="30">
        <f>0.5*LN((1+BX81)/(1-BX81))</f>
        <v>7.396461394537558E-3</v>
      </c>
      <c r="BZ81" s="30">
        <f>((1-(BY81^2)^2)/(BI81-1))</f>
        <v>1.9880715646263896E-3</v>
      </c>
      <c r="CA81" s="30">
        <f>1/(BI81-3)</f>
        <v>1.996007984031936E-3</v>
      </c>
      <c r="CB81" s="92" t="s">
        <v>73</v>
      </c>
      <c r="CC81">
        <f>BI81-2</f>
        <v>502</v>
      </c>
      <c r="CD81" s="92" t="s">
        <v>73</v>
      </c>
      <c r="CE81" s="30">
        <f>((AZ81^2)/(AZ81^2+BJ81))^(1/2)</f>
        <v>7.3963265165038466E-3</v>
      </c>
      <c r="CF81" s="30">
        <f>0.5*LN((1+CE81)/(1-CE81))</f>
        <v>7.396461394537558E-3</v>
      </c>
      <c r="CG81" s="30">
        <f>((1-(CF81^2)^2)/(BJ81-1))</f>
        <v>1.9880715646263896E-3</v>
      </c>
      <c r="CH81" s="30">
        <f>1/(BJ81-3)</f>
        <v>1.996007984031936E-3</v>
      </c>
    </row>
    <row r="82" spans="1:87" ht="16">
      <c r="A82" s="92" t="s">
        <v>68</v>
      </c>
      <c r="B82" s="92" t="s">
        <v>718</v>
      </c>
      <c r="C82" s="92">
        <v>1131</v>
      </c>
      <c r="D82" s="92">
        <v>128</v>
      </c>
      <c r="E82" s="92" t="s">
        <v>345</v>
      </c>
      <c r="F82" s="92">
        <v>2014</v>
      </c>
      <c r="G82" s="92" t="s">
        <v>346</v>
      </c>
      <c r="H82" s="131" t="s">
        <v>347</v>
      </c>
      <c r="I82" s="92">
        <v>2</v>
      </c>
      <c r="J82" s="92">
        <v>2014</v>
      </c>
      <c r="K82" s="92" t="s">
        <v>73</v>
      </c>
      <c r="L82" s="92">
        <v>133</v>
      </c>
      <c r="M82" s="185" t="s">
        <v>155</v>
      </c>
      <c r="N82" s="92" t="s">
        <v>226</v>
      </c>
      <c r="O82" s="112" t="s">
        <v>348</v>
      </c>
      <c r="P82" s="92" t="s">
        <v>293</v>
      </c>
      <c r="Q82" s="92" t="s">
        <v>310</v>
      </c>
      <c r="R82" t="s">
        <v>311</v>
      </c>
      <c r="S82" s="92">
        <v>1</v>
      </c>
      <c r="T82" t="s">
        <v>230</v>
      </c>
      <c r="U82" s="92">
        <v>1</v>
      </c>
      <c r="V82" s="92" t="s">
        <v>231</v>
      </c>
      <c r="W82" s="92" t="s">
        <v>231</v>
      </c>
      <c r="X82" s="92" t="s">
        <v>73</v>
      </c>
      <c r="Y82" s="92">
        <v>0</v>
      </c>
      <c r="Z82" s="92">
        <v>0</v>
      </c>
      <c r="AA82" s="92">
        <v>1</v>
      </c>
      <c r="AB82" s="92">
        <v>0</v>
      </c>
      <c r="AC82" s="92">
        <v>0</v>
      </c>
      <c r="AD82" s="92">
        <v>0</v>
      </c>
      <c r="AE82" s="92">
        <v>0</v>
      </c>
      <c r="AF82" s="92">
        <v>0</v>
      </c>
      <c r="AG82" s="92" t="s">
        <v>349</v>
      </c>
      <c r="AH82" s="92">
        <v>1</v>
      </c>
      <c r="AI82" s="92">
        <v>0</v>
      </c>
      <c r="AJ82" s="92">
        <v>0</v>
      </c>
      <c r="AK82" s="92">
        <v>0</v>
      </c>
      <c r="AL82" s="92">
        <v>0</v>
      </c>
      <c r="AM82" s="92">
        <v>0</v>
      </c>
      <c r="AN82" s="92">
        <v>0</v>
      </c>
      <c r="AO82" s="92">
        <v>0</v>
      </c>
      <c r="AP82" s="92">
        <v>0</v>
      </c>
      <c r="AQ82" s="92" t="s">
        <v>73</v>
      </c>
      <c r="AR82" s="92" t="s">
        <v>233</v>
      </c>
      <c r="AS82" t="s">
        <v>295</v>
      </c>
      <c r="AT82" s="92" t="s">
        <v>235</v>
      </c>
      <c r="AU82" s="198">
        <v>0.184</v>
      </c>
      <c r="AV82" s="157" t="s">
        <v>80</v>
      </c>
      <c r="AW82" s="131">
        <v>0.26900000000000002</v>
      </c>
      <c r="AX82" s="92" t="s">
        <v>73</v>
      </c>
      <c r="AY82" s="92">
        <v>3</v>
      </c>
      <c r="AZ82" s="131">
        <f>AU82/AW82</f>
        <v>0.68401486988847582</v>
      </c>
      <c r="BA82" t="s">
        <v>73</v>
      </c>
      <c r="BB82" s="105">
        <f>EXP(AU82)/(1+EXP(AU82))</f>
        <v>0.54587065655419365</v>
      </c>
      <c r="BC82" s="92" t="s">
        <v>73</v>
      </c>
      <c r="BD82" s="92" t="s">
        <v>73</v>
      </c>
      <c r="BE82" s="92" t="s">
        <v>73</v>
      </c>
      <c r="BF82" s="92" t="s">
        <v>73</v>
      </c>
      <c r="BG82" s="92" t="s">
        <v>73</v>
      </c>
      <c r="BH82" s="92" t="s">
        <v>73</v>
      </c>
      <c r="BI82" s="131">
        <v>504</v>
      </c>
      <c r="BJ82" s="92">
        <v>504</v>
      </c>
      <c r="BK82" s="92" t="s">
        <v>73</v>
      </c>
      <c r="BL82" s="92" t="s">
        <v>73</v>
      </c>
      <c r="BM82" s="92" t="s">
        <v>73</v>
      </c>
      <c r="BN82" s="92" t="s">
        <v>73</v>
      </c>
      <c r="BO82" s="92" t="s">
        <v>73</v>
      </c>
      <c r="BP82" s="92">
        <v>0</v>
      </c>
      <c r="BQ82" s="92" t="s">
        <v>73</v>
      </c>
      <c r="BR82" s="92">
        <v>0</v>
      </c>
      <c r="BS82" s="92" t="s">
        <v>73</v>
      </c>
      <c r="BT82" s="92" t="s">
        <v>314</v>
      </c>
      <c r="BU82" s="92">
        <v>0</v>
      </c>
      <c r="BV82" s="92">
        <v>0</v>
      </c>
      <c r="BW82" s="92">
        <v>1</v>
      </c>
      <c r="BX82" s="30">
        <f>((AZ82^2)/(AZ82^2+BI82))^(1/2)</f>
        <v>3.0454311448901306E-2</v>
      </c>
      <c r="BY82" s="30">
        <f>0.5*LN((1+BX82)/(1-BX82))</f>
        <v>3.0463731795209874E-2</v>
      </c>
      <c r="BZ82" s="30">
        <f>((1-(BY82^2)^2)/(BI82-1))</f>
        <v>1.988069858337372E-3</v>
      </c>
      <c r="CA82" s="30">
        <f>1/(BI82-3)</f>
        <v>1.996007984031936E-3</v>
      </c>
      <c r="CB82" s="92" t="s">
        <v>73</v>
      </c>
      <c r="CC82">
        <f>BI82-2</f>
        <v>502</v>
      </c>
      <c r="CD82" s="92" t="s">
        <v>73</v>
      </c>
      <c r="CE82" s="30">
        <f>((AZ82^2)/(AZ82^2+BJ82))^(1/2)</f>
        <v>3.0454311448901306E-2</v>
      </c>
      <c r="CF82" s="30">
        <f>0.5*LN((1+CE82)/(1-CE82))</f>
        <v>3.0463731795209874E-2</v>
      </c>
      <c r="CG82" s="30">
        <f>((1-(CF82^2)^2)/(BJ82-1))</f>
        <v>1.988069858337372E-3</v>
      </c>
      <c r="CH82" s="30">
        <f>1/(BJ82-3)</f>
        <v>1.996007984031936E-3</v>
      </c>
    </row>
    <row r="83" spans="1:87" ht="16">
      <c r="A83" s="92" t="s">
        <v>68</v>
      </c>
      <c r="B83" s="92" t="s">
        <v>718</v>
      </c>
      <c r="C83" s="92">
        <v>1132</v>
      </c>
      <c r="D83" s="92">
        <v>128</v>
      </c>
      <c r="E83" s="92" t="s">
        <v>345</v>
      </c>
      <c r="F83" s="92">
        <v>2014</v>
      </c>
      <c r="G83" s="92" t="s">
        <v>346</v>
      </c>
      <c r="H83" s="131" t="s">
        <v>347</v>
      </c>
      <c r="I83" s="92">
        <v>2</v>
      </c>
      <c r="J83" s="92">
        <v>2014</v>
      </c>
      <c r="K83" s="92" t="s">
        <v>73</v>
      </c>
      <c r="L83" s="92">
        <v>133</v>
      </c>
      <c r="M83" s="185" t="s">
        <v>155</v>
      </c>
      <c r="N83" s="92" t="s">
        <v>226</v>
      </c>
      <c r="O83" s="112" t="s">
        <v>348</v>
      </c>
      <c r="P83" s="92" t="s">
        <v>293</v>
      </c>
      <c r="Q83" s="92" t="s">
        <v>310</v>
      </c>
      <c r="R83" t="s">
        <v>311</v>
      </c>
      <c r="S83" s="92">
        <v>1</v>
      </c>
      <c r="T83" t="s">
        <v>230</v>
      </c>
      <c r="U83" s="92">
        <v>1</v>
      </c>
      <c r="V83" s="92" t="s">
        <v>231</v>
      </c>
      <c r="W83" s="92" t="s">
        <v>231</v>
      </c>
      <c r="X83" s="92" t="s">
        <v>73</v>
      </c>
      <c r="Y83" s="92">
        <v>0</v>
      </c>
      <c r="Z83" s="92">
        <v>0</v>
      </c>
      <c r="AA83" s="92">
        <v>1</v>
      </c>
      <c r="AB83" s="92">
        <v>0</v>
      </c>
      <c r="AC83" s="92">
        <v>0</v>
      </c>
      <c r="AD83" s="92">
        <v>0</v>
      </c>
      <c r="AE83" s="92">
        <v>0</v>
      </c>
      <c r="AF83" s="92">
        <v>0</v>
      </c>
      <c r="AG83" s="92" t="s">
        <v>349</v>
      </c>
      <c r="AH83" s="92">
        <v>1</v>
      </c>
      <c r="AI83" s="92">
        <v>0</v>
      </c>
      <c r="AJ83" s="92">
        <v>0</v>
      </c>
      <c r="AK83" s="92">
        <v>0</v>
      </c>
      <c r="AL83" s="92">
        <v>0</v>
      </c>
      <c r="AM83" s="92">
        <v>0</v>
      </c>
      <c r="AN83" s="92">
        <v>0</v>
      </c>
      <c r="AO83" s="92">
        <v>0</v>
      </c>
      <c r="AP83" s="92">
        <v>0</v>
      </c>
      <c r="AQ83" s="92" t="s">
        <v>73</v>
      </c>
      <c r="AR83" s="92" t="s">
        <v>233</v>
      </c>
      <c r="AS83" t="s">
        <v>295</v>
      </c>
      <c r="AT83" s="92" t="s">
        <v>235</v>
      </c>
      <c r="AU83" s="198">
        <v>0.26500000000000001</v>
      </c>
      <c r="AV83" s="157" t="s">
        <v>86</v>
      </c>
      <c r="AW83" s="131">
        <v>0.27300000000000002</v>
      </c>
      <c r="AX83" s="92" t="s">
        <v>73</v>
      </c>
      <c r="AY83" s="92">
        <v>3</v>
      </c>
      <c r="AZ83" s="131">
        <f>AU83/AW83</f>
        <v>0.97069597069597069</v>
      </c>
      <c r="BA83" t="s">
        <v>73</v>
      </c>
      <c r="BB83" s="105">
        <f>EXP(AU83)/(1+EXP(AU83))</f>
        <v>0.56586500289548169</v>
      </c>
      <c r="BC83" s="92" t="s">
        <v>73</v>
      </c>
      <c r="BD83" s="92" t="s">
        <v>73</v>
      </c>
      <c r="BE83" s="92" t="s">
        <v>73</v>
      </c>
      <c r="BF83" s="92" t="s">
        <v>73</v>
      </c>
      <c r="BG83" s="92" t="s">
        <v>73</v>
      </c>
      <c r="BH83" s="92" t="s">
        <v>73</v>
      </c>
      <c r="BI83" s="131">
        <v>504</v>
      </c>
      <c r="BJ83" s="92">
        <v>504</v>
      </c>
      <c r="BK83" s="92" t="s">
        <v>73</v>
      </c>
      <c r="BL83" s="92" t="s">
        <v>73</v>
      </c>
      <c r="BM83" s="92" t="s">
        <v>73</v>
      </c>
      <c r="BN83" s="92" t="s">
        <v>73</v>
      </c>
      <c r="BO83" s="92" t="s">
        <v>73</v>
      </c>
      <c r="BP83" s="92">
        <v>0</v>
      </c>
      <c r="BQ83" s="92" t="s">
        <v>73</v>
      </c>
      <c r="BR83" s="92">
        <v>0</v>
      </c>
      <c r="BS83" s="92" t="s">
        <v>73</v>
      </c>
      <c r="BT83" s="92" t="s">
        <v>343</v>
      </c>
      <c r="BU83" s="92">
        <v>0</v>
      </c>
      <c r="BV83" s="92">
        <v>0</v>
      </c>
      <c r="BW83" s="92">
        <v>1</v>
      </c>
      <c r="BX83" s="30">
        <f>((AZ83^2)/(AZ83^2+BI83))^(1/2)</f>
        <v>4.3197873779519926E-2</v>
      </c>
      <c r="BY83" s="30">
        <f>0.5*LN((1+BX83)/(1-BX83))</f>
        <v>4.322477379226973E-2</v>
      </c>
      <c r="BZ83" s="30">
        <f>((1-(BY83^2)^2)/(BI83-1))</f>
        <v>1.9880646305212315E-3</v>
      </c>
      <c r="CA83" s="30">
        <f>1/(BI83-3)</f>
        <v>1.996007984031936E-3</v>
      </c>
      <c r="CB83" s="92" t="s">
        <v>73</v>
      </c>
      <c r="CC83">
        <f>BI83-2</f>
        <v>502</v>
      </c>
      <c r="CD83" s="92" t="s">
        <v>73</v>
      </c>
      <c r="CE83" s="30">
        <f>((AZ83^2)/(AZ83^2+BJ83))^(1/2)</f>
        <v>4.3197873779519926E-2</v>
      </c>
      <c r="CF83" s="30">
        <f>0.5*LN((1+CE83)/(1-CE83))</f>
        <v>4.322477379226973E-2</v>
      </c>
      <c r="CG83" s="30">
        <f>((1-(CF83^2)^2)/(BJ83-1))</f>
        <v>1.9880646305212315E-3</v>
      </c>
      <c r="CH83" s="30">
        <f>1/(BJ83-3)</f>
        <v>1.996007984031936E-3</v>
      </c>
    </row>
    <row r="84" spans="1:87" ht="16">
      <c r="A84" s="92" t="s">
        <v>68</v>
      </c>
      <c r="B84" s="92" t="s">
        <v>718</v>
      </c>
      <c r="C84" s="92">
        <v>1133</v>
      </c>
      <c r="D84" s="92">
        <v>128</v>
      </c>
      <c r="E84" s="92" t="s">
        <v>345</v>
      </c>
      <c r="F84" s="92">
        <v>2014</v>
      </c>
      <c r="G84" s="92" t="s">
        <v>346</v>
      </c>
      <c r="H84" s="131" t="s">
        <v>347</v>
      </c>
      <c r="I84" s="92">
        <v>2</v>
      </c>
      <c r="J84" s="92">
        <v>2014</v>
      </c>
      <c r="K84" s="92" t="s">
        <v>73</v>
      </c>
      <c r="L84" s="92">
        <v>133</v>
      </c>
      <c r="M84" s="185" t="s">
        <v>155</v>
      </c>
      <c r="N84" s="92" t="s">
        <v>226</v>
      </c>
      <c r="O84" s="112" t="s">
        <v>348</v>
      </c>
      <c r="P84" s="92" t="s">
        <v>293</v>
      </c>
      <c r="Q84" s="92" t="s">
        <v>310</v>
      </c>
      <c r="R84" t="s">
        <v>311</v>
      </c>
      <c r="S84" s="92">
        <v>1</v>
      </c>
      <c r="T84" t="s">
        <v>230</v>
      </c>
      <c r="U84" s="92">
        <v>1</v>
      </c>
      <c r="V84" s="92" t="s">
        <v>231</v>
      </c>
      <c r="W84" s="92" t="s">
        <v>231</v>
      </c>
      <c r="X84" s="92" t="s">
        <v>73</v>
      </c>
      <c r="Y84" s="92">
        <v>0</v>
      </c>
      <c r="Z84" s="92">
        <v>0</v>
      </c>
      <c r="AA84" s="92">
        <v>1</v>
      </c>
      <c r="AB84" s="92">
        <v>0</v>
      </c>
      <c r="AC84" s="92">
        <v>0</v>
      </c>
      <c r="AD84" s="92">
        <v>0</v>
      </c>
      <c r="AE84" s="92">
        <v>0</v>
      </c>
      <c r="AF84" s="92">
        <v>0</v>
      </c>
      <c r="AG84" s="92" t="s">
        <v>349</v>
      </c>
      <c r="AH84" s="92">
        <v>1</v>
      </c>
      <c r="AI84" s="92">
        <v>0</v>
      </c>
      <c r="AJ84" s="92">
        <v>0</v>
      </c>
      <c r="AK84" s="92">
        <v>0</v>
      </c>
      <c r="AL84" s="92">
        <v>0</v>
      </c>
      <c r="AM84" s="92">
        <v>0</v>
      </c>
      <c r="AN84" s="92">
        <v>0</v>
      </c>
      <c r="AO84" s="92">
        <v>0</v>
      </c>
      <c r="AP84" s="92">
        <v>0</v>
      </c>
      <c r="AQ84" s="92" t="s">
        <v>73</v>
      </c>
      <c r="AR84" s="92" t="s">
        <v>233</v>
      </c>
      <c r="AS84" t="s">
        <v>295</v>
      </c>
      <c r="AT84" s="92" t="s">
        <v>235</v>
      </c>
      <c r="AU84" s="198">
        <v>0.34599999999999997</v>
      </c>
      <c r="AV84" s="157" t="s">
        <v>80</v>
      </c>
      <c r="AW84" s="131">
        <v>0.26800000000000002</v>
      </c>
      <c r="AX84" s="92" t="s">
        <v>73</v>
      </c>
      <c r="AY84" s="92">
        <v>3</v>
      </c>
      <c r="AZ84" s="131">
        <f>AU84/AW84</f>
        <v>1.2910447761194028</v>
      </c>
      <c r="BA84" t="s">
        <v>73</v>
      </c>
      <c r="BB84" s="105">
        <f>EXP(AU84)/(1+EXP(AU84))</f>
        <v>0.58564725444237853</v>
      </c>
      <c r="BC84" s="92" t="s">
        <v>73</v>
      </c>
      <c r="BD84" s="92" t="s">
        <v>73</v>
      </c>
      <c r="BE84" s="92" t="s">
        <v>73</v>
      </c>
      <c r="BF84" s="92" t="s">
        <v>73</v>
      </c>
      <c r="BG84" s="92" t="s">
        <v>73</v>
      </c>
      <c r="BH84" s="92" t="s">
        <v>73</v>
      </c>
      <c r="BI84" s="131">
        <v>504</v>
      </c>
      <c r="BJ84" s="92">
        <v>504</v>
      </c>
      <c r="BK84" s="92" t="s">
        <v>73</v>
      </c>
      <c r="BL84" s="92" t="s">
        <v>73</v>
      </c>
      <c r="BM84" s="92" t="s">
        <v>73</v>
      </c>
      <c r="BN84" s="92" t="s">
        <v>73</v>
      </c>
      <c r="BO84" s="92" t="s">
        <v>73</v>
      </c>
      <c r="BP84" s="92">
        <v>0</v>
      </c>
      <c r="BQ84" s="92" t="s">
        <v>73</v>
      </c>
      <c r="BR84" s="92">
        <v>0</v>
      </c>
      <c r="BS84" s="92" t="s">
        <v>73</v>
      </c>
      <c r="BT84" s="92" t="s">
        <v>331</v>
      </c>
      <c r="BU84" s="92">
        <v>0</v>
      </c>
      <c r="BV84" s="92">
        <v>0</v>
      </c>
      <c r="BW84" s="92">
        <v>1</v>
      </c>
      <c r="BX84" s="30">
        <f>((AZ84^2)/(AZ84^2+BI84))^(1/2)</f>
        <v>5.7412847349308176E-2</v>
      </c>
      <c r="BY84" s="30">
        <f>0.5*LN((1+BX84)/(1-BX84))</f>
        <v>5.7476054483562668E-2</v>
      </c>
      <c r="BZ84" s="30">
        <f>((1-(BY84^2)^2)/(BI84-1))</f>
        <v>1.9880498745698505E-3</v>
      </c>
      <c r="CA84" s="30">
        <f>1/(BI84-3)</f>
        <v>1.996007984031936E-3</v>
      </c>
      <c r="CB84" s="92" t="s">
        <v>73</v>
      </c>
      <c r="CC84">
        <f>BI84-2</f>
        <v>502</v>
      </c>
      <c r="CD84" s="92" t="s">
        <v>73</v>
      </c>
      <c r="CE84" s="30">
        <f>((AZ84^2)/(AZ84^2+BJ84))^(1/2)</f>
        <v>5.7412847349308176E-2</v>
      </c>
      <c r="CF84" s="30">
        <f>0.5*LN((1+CE84)/(1-CE84))</f>
        <v>5.7476054483562668E-2</v>
      </c>
      <c r="CG84" s="30">
        <f>((1-(CF84^2)^2)/(BJ84-1))</f>
        <v>1.9880498745698505E-3</v>
      </c>
      <c r="CH84" s="30">
        <f>1/(BJ84-3)</f>
        <v>1.996007984031936E-3</v>
      </c>
    </row>
    <row r="85" spans="1:87" ht="16">
      <c r="A85" s="95" t="s">
        <v>68</v>
      </c>
      <c r="B85" s="95" t="s">
        <v>718</v>
      </c>
      <c r="C85" s="95">
        <v>1134</v>
      </c>
      <c r="D85" s="95">
        <v>129</v>
      </c>
      <c r="E85" s="95" t="s">
        <v>350</v>
      </c>
      <c r="F85" s="95">
        <v>2012</v>
      </c>
      <c r="G85" s="95" t="s">
        <v>351</v>
      </c>
      <c r="H85" s="95" t="s">
        <v>352</v>
      </c>
      <c r="I85" s="95">
        <v>2</v>
      </c>
      <c r="J85" s="95">
        <v>2009</v>
      </c>
      <c r="K85" s="95" t="s">
        <v>73</v>
      </c>
      <c r="L85" s="95">
        <v>68</v>
      </c>
      <c r="M85" s="185" t="s">
        <v>107</v>
      </c>
      <c r="N85" s="95" t="s">
        <v>112</v>
      </c>
      <c r="O85" s="95" t="s">
        <v>148</v>
      </c>
      <c r="P85" s="95" t="s">
        <v>293</v>
      </c>
      <c r="Q85" s="95" t="s">
        <v>306</v>
      </c>
      <c r="R85" s="95" t="s">
        <v>335</v>
      </c>
      <c r="S85" s="95">
        <v>1</v>
      </c>
      <c r="T85" t="s">
        <v>230</v>
      </c>
      <c r="U85" s="95">
        <v>0</v>
      </c>
      <c r="V85" s="95" t="s">
        <v>231</v>
      </c>
      <c r="W85" s="95" t="s">
        <v>231</v>
      </c>
      <c r="X85" s="95" t="s">
        <v>73</v>
      </c>
      <c r="Y85" s="95">
        <v>0</v>
      </c>
      <c r="Z85" s="95">
        <v>0</v>
      </c>
      <c r="AA85" s="95">
        <v>1</v>
      </c>
      <c r="AB85" s="95">
        <v>0</v>
      </c>
      <c r="AC85" s="95">
        <v>0</v>
      </c>
      <c r="AD85" s="95">
        <v>0</v>
      </c>
      <c r="AE85" s="95">
        <v>0</v>
      </c>
      <c r="AF85" s="95">
        <v>0</v>
      </c>
      <c r="AG85" s="95" t="s">
        <v>73</v>
      </c>
      <c r="AH85" s="95">
        <v>0</v>
      </c>
      <c r="AI85" s="95">
        <v>0</v>
      </c>
      <c r="AJ85" s="95">
        <v>0</v>
      </c>
      <c r="AK85" s="95">
        <v>0</v>
      </c>
      <c r="AL85" s="95">
        <v>0</v>
      </c>
      <c r="AM85" s="95">
        <v>0</v>
      </c>
      <c r="AN85" s="95">
        <v>0</v>
      </c>
      <c r="AO85" s="95">
        <v>0</v>
      </c>
      <c r="AP85" s="95">
        <v>1</v>
      </c>
      <c r="AQ85" s="95" t="s">
        <v>353</v>
      </c>
      <c r="AR85" s="95" t="s">
        <v>233</v>
      </c>
      <c r="AS85" s="32" t="s">
        <v>295</v>
      </c>
      <c r="AT85" s="95" t="s">
        <v>235</v>
      </c>
      <c r="AU85" s="207" t="e">
        <f>LN(BB85-1)</f>
        <v>#NUM!</v>
      </c>
      <c r="AV85" s="139" t="s">
        <v>80</v>
      </c>
      <c r="AW85" s="95">
        <v>4</v>
      </c>
      <c r="AX85" s="140" t="s">
        <v>73</v>
      </c>
      <c r="AY85" s="140" t="s">
        <v>73</v>
      </c>
      <c r="AZ85" s="141" t="e">
        <f>TINV(AX85,CC85)</f>
        <v>#VALUE!</v>
      </c>
      <c r="BA85" s="141"/>
      <c r="BB85" s="142">
        <v>0.33700000000000002</v>
      </c>
      <c r="BC85" s="95" t="s">
        <v>73</v>
      </c>
      <c r="BD85" s="95" t="s">
        <v>73</v>
      </c>
      <c r="BE85" s="95" t="s">
        <v>73</v>
      </c>
      <c r="BF85" s="95" t="s">
        <v>73</v>
      </c>
      <c r="BG85" s="95" t="s">
        <v>73</v>
      </c>
      <c r="BH85" s="95" t="s">
        <v>73</v>
      </c>
      <c r="BI85" s="143">
        <v>90</v>
      </c>
      <c r="BJ85" s="95">
        <v>1080</v>
      </c>
      <c r="BK85" s="95" t="s">
        <v>73</v>
      </c>
      <c r="BL85" s="95" t="s">
        <v>73</v>
      </c>
      <c r="BM85" s="95" t="s">
        <v>73</v>
      </c>
      <c r="BN85" s="95" t="s">
        <v>73</v>
      </c>
      <c r="BO85" s="95" t="s">
        <v>73</v>
      </c>
      <c r="BP85" s="95">
        <v>0</v>
      </c>
      <c r="BQ85" s="95" t="s">
        <v>73</v>
      </c>
      <c r="BR85" s="95">
        <v>0</v>
      </c>
      <c r="BS85" s="95" t="s">
        <v>73</v>
      </c>
      <c r="BT85" s="95" t="s">
        <v>314</v>
      </c>
      <c r="BU85" s="95">
        <v>0</v>
      </c>
      <c r="BV85" s="95">
        <v>0</v>
      </c>
      <c r="BW85" s="95">
        <v>0</v>
      </c>
      <c r="BX85" s="133">
        <f>CB85/((CB85^2+4)^(1/2))</f>
        <v>4.2087673934074338E-2</v>
      </c>
      <c r="BY85" s="133">
        <f>0.5*LN((1+BX85)/(1-BX85))</f>
        <v>4.2112551359627833E-2</v>
      </c>
      <c r="BZ85" s="133">
        <f>((1-(BY85^2)^2)/(BI85-1))</f>
        <v>1.123591971702094E-2</v>
      </c>
      <c r="CA85" s="133">
        <f>1/(BI85-3)</f>
        <v>1.1494252873563218E-2</v>
      </c>
      <c r="CB85" s="112">
        <f>BB85/AW85</f>
        <v>8.4250000000000005E-2</v>
      </c>
      <c r="CC85" s="32">
        <f>BI85-1</f>
        <v>89</v>
      </c>
      <c r="CD85" s="92" t="s">
        <v>73</v>
      </c>
      <c r="CE85" s="30">
        <f>CB85/((CB85^2+4)^(1/2))</f>
        <v>4.2087673934074338E-2</v>
      </c>
      <c r="CF85" s="133">
        <f>0.5*LN((1+CE85)/(1-CE85))</f>
        <v>4.2112551359627833E-2</v>
      </c>
      <c r="CG85" s="30">
        <f>((1-(CF85^2)^2)/(BJ85-1))</f>
        <v>9.267811444067318E-4</v>
      </c>
      <c r="CH85" s="30">
        <f>1/(BJ85-3)</f>
        <v>9.2850510677808728E-4</v>
      </c>
    </row>
    <row r="86" spans="1:87" ht="16">
      <c r="A86" s="95" t="s">
        <v>68</v>
      </c>
      <c r="B86" s="95" t="s">
        <v>718</v>
      </c>
      <c r="C86" s="95">
        <v>1135</v>
      </c>
      <c r="D86" s="95">
        <v>129</v>
      </c>
      <c r="E86" s="95" t="s">
        <v>350</v>
      </c>
      <c r="F86" s="95">
        <v>2012</v>
      </c>
      <c r="G86" s="95" t="s">
        <v>351</v>
      </c>
      <c r="H86" s="95" t="s">
        <v>352</v>
      </c>
      <c r="I86" s="95">
        <v>2</v>
      </c>
      <c r="J86" s="95">
        <v>2009</v>
      </c>
      <c r="K86" s="95" t="s">
        <v>73</v>
      </c>
      <c r="L86" s="95">
        <v>68</v>
      </c>
      <c r="M86" s="185" t="s">
        <v>107</v>
      </c>
      <c r="N86" s="95" t="s">
        <v>112</v>
      </c>
      <c r="O86" s="95" t="s">
        <v>148</v>
      </c>
      <c r="P86" s="95" t="s">
        <v>293</v>
      </c>
      <c r="Q86" s="95" t="s">
        <v>306</v>
      </c>
      <c r="R86" s="95" t="s">
        <v>335</v>
      </c>
      <c r="S86" s="95">
        <v>1</v>
      </c>
      <c r="T86" t="s">
        <v>230</v>
      </c>
      <c r="U86" s="95">
        <v>0</v>
      </c>
      <c r="V86" s="95" t="s">
        <v>231</v>
      </c>
      <c r="W86" s="95" t="s">
        <v>231</v>
      </c>
      <c r="X86" s="95" t="s">
        <v>73</v>
      </c>
      <c r="Y86" s="95">
        <v>0</v>
      </c>
      <c r="Z86" s="95">
        <v>0</v>
      </c>
      <c r="AA86" s="95">
        <v>1</v>
      </c>
      <c r="AB86" s="95">
        <v>0</v>
      </c>
      <c r="AC86" s="95">
        <v>0</v>
      </c>
      <c r="AD86" s="95">
        <v>0</v>
      </c>
      <c r="AE86" s="95">
        <v>0</v>
      </c>
      <c r="AF86" s="95">
        <v>0</v>
      </c>
      <c r="AG86" s="95" t="s">
        <v>73</v>
      </c>
      <c r="AH86" s="95">
        <v>0</v>
      </c>
      <c r="AI86" s="95">
        <v>0</v>
      </c>
      <c r="AJ86" s="95">
        <v>0</v>
      </c>
      <c r="AK86" s="95">
        <v>0</v>
      </c>
      <c r="AL86" s="95">
        <v>0</v>
      </c>
      <c r="AM86" s="95">
        <v>0</v>
      </c>
      <c r="AN86" s="95">
        <v>0</v>
      </c>
      <c r="AO86" s="95">
        <v>0</v>
      </c>
      <c r="AP86" s="95">
        <v>1</v>
      </c>
      <c r="AQ86" s="95" t="s">
        <v>353</v>
      </c>
      <c r="AR86" s="95" t="s">
        <v>233</v>
      </c>
      <c r="AS86" s="32" t="s">
        <v>295</v>
      </c>
      <c r="AT86" s="95" t="s">
        <v>235</v>
      </c>
      <c r="AU86" s="207" t="e">
        <f>LN(BB86-1)</f>
        <v>#NUM!</v>
      </c>
      <c r="AV86" s="139" t="s">
        <v>80</v>
      </c>
      <c r="AW86" s="139">
        <v>2.1</v>
      </c>
      <c r="AX86" s="140" t="s">
        <v>73</v>
      </c>
      <c r="AY86" s="140" t="s">
        <v>73</v>
      </c>
      <c r="AZ86" s="141" t="e">
        <f>TINV(AX86,CC86)</f>
        <v>#VALUE!</v>
      </c>
      <c r="BA86" s="141"/>
      <c r="BB86" s="142">
        <v>7.4999999999999997E-2</v>
      </c>
      <c r="BC86" s="95" t="s">
        <v>73</v>
      </c>
      <c r="BD86" s="95" t="s">
        <v>73</v>
      </c>
      <c r="BE86" s="95" t="s">
        <v>73</v>
      </c>
      <c r="BF86" s="95" t="s">
        <v>73</v>
      </c>
      <c r="BG86" s="95" t="s">
        <v>73</v>
      </c>
      <c r="BH86" s="95" t="s">
        <v>73</v>
      </c>
      <c r="BI86" s="143">
        <v>97</v>
      </c>
      <c r="BJ86" s="95">
        <v>1164</v>
      </c>
      <c r="BK86" s="95" t="s">
        <v>73</v>
      </c>
      <c r="BL86" s="95" t="s">
        <v>73</v>
      </c>
      <c r="BM86" s="95" t="s">
        <v>73</v>
      </c>
      <c r="BN86" s="95" t="s">
        <v>73</v>
      </c>
      <c r="BO86" s="95" t="s">
        <v>73</v>
      </c>
      <c r="BP86" s="95">
        <v>0</v>
      </c>
      <c r="BQ86" s="95" t="s">
        <v>73</v>
      </c>
      <c r="BR86" s="95">
        <v>0</v>
      </c>
      <c r="BS86" s="95" t="s">
        <v>73</v>
      </c>
      <c r="BT86" s="95" t="s">
        <v>354</v>
      </c>
      <c r="BU86" s="95">
        <v>0</v>
      </c>
      <c r="BV86" s="95">
        <v>0</v>
      </c>
      <c r="BW86" s="95">
        <v>0</v>
      </c>
      <c r="BX86" s="133">
        <f>CB86/((CB86^2+4)^(1/2))</f>
        <v>1.785429641688294E-2</v>
      </c>
      <c r="BY86" s="133">
        <f>0.5*LN((1+BX86)/(1-BX86))</f>
        <v>1.7856193952969043E-2</v>
      </c>
      <c r="BZ86" s="133">
        <f>((1-(BY86^2)^2)/(BI86-1))</f>
        <v>1.0416665607694988E-2</v>
      </c>
      <c r="CA86" s="133">
        <f>1/(BI86-3)</f>
        <v>1.0638297872340425E-2</v>
      </c>
      <c r="CB86" s="112">
        <f>BB86/AW86</f>
        <v>3.5714285714285712E-2</v>
      </c>
      <c r="CC86" s="32">
        <f>BI86-1</f>
        <v>96</v>
      </c>
      <c r="CD86" s="92" t="s">
        <v>73</v>
      </c>
      <c r="CE86" s="30">
        <f>CB86/((CB86^2+4)^(1/2))</f>
        <v>1.785429641688294E-2</v>
      </c>
      <c r="CF86" s="133">
        <f>0.5*LN((1+CE86)/(1-CE86))</f>
        <v>1.7856193952969043E-2</v>
      </c>
      <c r="CG86" s="30">
        <f>((1-(CF86^2)^2)/(BJ86-1))</f>
        <v>8.5984514044601802E-4</v>
      </c>
      <c r="CH86" s="30">
        <f>1/(BJ86-3)</f>
        <v>8.6132644272179156E-4</v>
      </c>
      <c r="CI86" s="92" t="s">
        <v>355</v>
      </c>
    </row>
    <row r="87" spans="1:87" ht="16">
      <c r="A87" s="95" t="s">
        <v>68</v>
      </c>
      <c r="B87" s="95" t="s">
        <v>718</v>
      </c>
      <c r="C87" s="95">
        <v>1136</v>
      </c>
      <c r="D87" s="95">
        <v>129</v>
      </c>
      <c r="E87" s="95" t="s">
        <v>350</v>
      </c>
      <c r="F87" s="95">
        <v>2012</v>
      </c>
      <c r="G87" s="95" t="s">
        <v>351</v>
      </c>
      <c r="H87" s="95" t="s">
        <v>352</v>
      </c>
      <c r="I87" s="95">
        <v>2</v>
      </c>
      <c r="J87" s="95">
        <v>2009</v>
      </c>
      <c r="K87" s="95" t="s">
        <v>73</v>
      </c>
      <c r="L87" s="95">
        <v>68</v>
      </c>
      <c r="M87" s="185" t="s">
        <v>107</v>
      </c>
      <c r="N87" s="95" t="s">
        <v>112</v>
      </c>
      <c r="O87" s="95" t="s">
        <v>148</v>
      </c>
      <c r="P87" s="95" t="s">
        <v>293</v>
      </c>
      <c r="Q87" s="95" t="s">
        <v>306</v>
      </c>
      <c r="R87" s="95" t="s">
        <v>335</v>
      </c>
      <c r="S87" s="95">
        <v>1</v>
      </c>
      <c r="T87" t="s">
        <v>230</v>
      </c>
      <c r="U87" s="95">
        <v>0</v>
      </c>
      <c r="V87" s="95" t="s">
        <v>231</v>
      </c>
      <c r="W87" s="95" t="s">
        <v>231</v>
      </c>
      <c r="X87" s="95" t="s">
        <v>73</v>
      </c>
      <c r="Y87" s="95">
        <v>0</v>
      </c>
      <c r="Z87" s="95">
        <v>0</v>
      </c>
      <c r="AA87" s="95">
        <v>1</v>
      </c>
      <c r="AB87" s="95">
        <v>0</v>
      </c>
      <c r="AC87" s="95">
        <v>0</v>
      </c>
      <c r="AD87" s="95">
        <v>0</v>
      </c>
      <c r="AE87" s="95">
        <v>0</v>
      </c>
      <c r="AF87" s="95">
        <v>0</v>
      </c>
      <c r="AG87" s="95" t="s">
        <v>73</v>
      </c>
      <c r="AH87" s="95">
        <v>0</v>
      </c>
      <c r="AI87" s="95">
        <v>0</v>
      </c>
      <c r="AJ87" s="95">
        <v>0</v>
      </c>
      <c r="AK87" s="95">
        <v>0</v>
      </c>
      <c r="AL87" s="95">
        <v>0</v>
      </c>
      <c r="AM87" s="95">
        <v>0</v>
      </c>
      <c r="AN87" s="95">
        <v>0</v>
      </c>
      <c r="AO87" s="95">
        <v>0</v>
      </c>
      <c r="AP87" s="95">
        <v>1</v>
      </c>
      <c r="AQ87" s="95" t="s">
        <v>353</v>
      </c>
      <c r="AR87" s="95" t="s">
        <v>233</v>
      </c>
      <c r="AS87" s="32" t="s">
        <v>295</v>
      </c>
      <c r="AT87" s="95" t="s">
        <v>235</v>
      </c>
      <c r="AU87" s="207" t="e">
        <f>LN(BB87-1)</f>
        <v>#NUM!</v>
      </c>
      <c r="AV87" s="139" t="s">
        <v>80</v>
      </c>
      <c r="AW87" s="95">
        <v>2.6</v>
      </c>
      <c r="AX87" s="140" t="s">
        <v>73</v>
      </c>
      <c r="AY87" s="140" t="s">
        <v>73</v>
      </c>
      <c r="AZ87" s="141" t="e">
        <f>TINV(AX87,CC87)</f>
        <v>#VALUE!</v>
      </c>
      <c r="BA87" s="141"/>
      <c r="BB87" s="142">
        <v>0.191</v>
      </c>
      <c r="BC87" s="95" t="s">
        <v>73</v>
      </c>
      <c r="BD87" s="95" t="s">
        <v>73</v>
      </c>
      <c r="BE87" s="95" t="s">
        <v>73</v>
      </c>
      <c r="BF87" s="95" t="s">
        <v>73</v>
      </c>
      <c r="BG87" s="95" t="s">
        <v>73</v>
      </c>
      <c r="BH87" s="95" t="s">
        <v>73</v>
      </c>
      <c r="BI87" s="143">
        <v>90</v>
      </c>
      <c r="BJ87" s="95">
        <v>1080</v>
      </c>
      <c r="BK87" s="95" t="s">
        <v>73</v>
      </c>
      <c r="BL87" s="95" t="s">
        <v>73</v>
      </c>
      <c r="BM87" s="95" t="s">
        <v>73</v>
      </c>
      <c r="BN87" s="95" t="s">
        <v>73</v>
      </c>
      <c r="BO87" s="95" t="s">
        <v>73</v>
      </c>
      <c r="BP87" s="95">
        <v>0</v>
      </c>
      <c r="BQ87" s="95" t="s">
        <v>73</v>
      </c>
      <c r="BR87" s="95">
        <v>0</v>
      </c>
      <c r="BS87" s="95" t="s">
        <v>73</v>
      </c>
      <c r="BT87" s="95" t="s">
        <v>314</v>
      </c>
      <c r="BU87" s="95">
        <v>0</v>
      </c>
      <c r="BV87" s="95">
        <v>0</v>
      </c>
      <c r="BW87" s="95">
        <v>0</v>
      </c>
      <c r="BX87" s="133">
        <f>CB87/((CB87^2+4)^(1/2))</f>
        <v>3.6706016626389615E-2</v>
      </c>
      <c r="BY87" s="133">
        <f>0.5*LN((1+BX87)/(1-BX87))</f>
        <v>3.6722515025129569E-2</v>
      </c>
      <c r="BZ87" s="133">
        <f>((1-(BY87^2)^2)/(BI87-1))</f>
        <v>1.1235934622825631E-2</v>
      </c>
      <c r="CA87" s="133">
        <f>1/(BI87-3)</f>
        <v>1.1494252873563218E-2</v>
      </c>
      <c r="CB87" s="112">
        <f>BB87/AW87</f>
        <v>7.3461538461538467E-2</v>
      </c>
      <c r="CC87" s="32">
        <f>BI87-1</f>
        <v>89</v>
      </c>
      <c r="CD87" s="92" t="s">
        <v>73</v>
      </c>
      <c r="CE87" s="30">
        <f>CB87/((CB87^2+4)^(1/2))</f>
        <v>3.6706016626389615E-2</v>
      </c>
      <c r="CF87" s="133">
        <f>0.5*LN((1+CE87)/(1-CE87))</f>
        <v>3.6722515025129569E-2</v>
      </c>
      <c r="CG87" s="30">
        <f>((1-(CF87^2)^2)/(BJ87-1))</f>
        <v>9.2678237389386576E-4</v>
      </c>
      <c r="CH87" s="30">
        <f>1/(BJ87-3)</f>
        <v>9.2850510677808728E-4</v>
      </c>
    </row>
    <row r="88" spans="1:87" ht="16">
      <c r="A88" s="95" t="s">
        <v>68</v>
      </c>
      <c r="B88" s="95" t="s">
        <v>718</v>
      </c>
      <c r="C88" s="95">
        <v>1137</v>
      </c>
      <c r="D88" s="95">
        <v>129</v>
      </c>
      <c r="E88" s="95" t="s">
        <v>350</v>
      </c>
      <c r="F88" s="95">
        <v>2012</v>
      </c>
      <c r="G88" s="95" t="s">
        <v>351</v>
      </c>
      <c r="H88" s="95" t="s">
        <v>352</v>
      </c>
      <c r="I88" s="95">
        <v>2</v>
      </c>
      <c r="J88" s="95">
        <v>2009</v>
      </c>
      <c r="K88" s="95" t="s">
        <v>73</v>
      </c>
      <c r="L88" s="95">
        <v>68</v>
      </c>
      <c r="M88" s="185" t="s">
        <v>107</v>
      </c>
      <c r="N88" s="95" t="s">
        <v>112</v>
      </c>
      <c r="O88" s="95" t="s">
        <v>148</v>
      </c>
      <c r="P88" s="95" t="s">
        <v>293</v>
      </c>
      <c r="Q88" s="95" t="s">
        <v>306</v>
      </c>
      <c r="R88" s="95" t="s">
        <v>335</v>
      </c>
      <c r="S88" s="95">
        <v>1</v>
      </c>
      <c r="T88" t="s">
        <v>230</v>
      </c>
      <c r="U88" s="95">
        <v>0</v>
      </c>
      <c r="V88" s="95" t="s">
        <v>231</v>
      </c>
      <c r="W88" s="95" t="s">
        <v>231</v>
      </c>
      <c r="X88" s="95" t="s">
        <v>73</v>
      </c>
      <c r="Y88" s="95">
        <v>0</v>
      </c>
      <c r="Z88" s="95">
        <v>0</v>
      </c>
      <c r="AA88" s="95">
        <v>1</v>
      </c>
      <c r="AB88" s="95">
        <v>0</v>
      </c>
      <c r="AC88" s="95">
        <v>0</v>
      </c>
      <c r="AD88" s="95">
        <v>0</v>
      </c>
      <c r="AE88" s="95">
        <v>0</v>
      </c>
      <c r="AF88" s="95">
        <v>0</v>
      </c>
      <c r="AG88" s="95" t="s">
        <v>73</v>
      </c>
      <c r="AH88" s="95">
        <v>0</v>
      </c>
      <c r="AI88" s="95">
        <v>0</v>
      </c>
      <c r="AJ88" s="95">
        <v>0</v>
      </c>
      <c r="AK88" s="95">
        <v>0</v>
      </c>
      <c r="AL88" s="95">
        <v>0</v>
      </c>
      <c r="AM88" s="95">
        <v>0</v>
      </c>
      <c r="AN88" s="95">
        <v>0</v>
      </c>
      <c r="AO88" s="95">
        <v>0</v>
      </c>
      <c r="AP88" s="95">
        <v>1</v>
      </c>
      <c r="AQ88" s="95" t="s">
        <v>353</v>
      </c>
      <c r="AR88" s="95" t="s">
        <v>233</v>
      </c>
      <c r="AS88" s="32" t="s">
        <v>295</v>
      </c>
      <c r="AT88" s="95" t="s">
        <v>235</v>
      </c>
      <c r="AU88" s="207" t="e">
        <f>LN(BB88-1)</f>
        <v>#NUM!</v>
      </c>
      <c r="AV88" s="139" t="s">
        <v>80</v>
      </c>
      <c r="AW88" s="95">
        <v>3.1</v>
      </c>
      <c r="AX88" s="140" t="s">
        <v>73</v>
      </c>
      <c r="AY88" s="140" t="s">
        <v>73</v>
      </c>
      <c r="AZ88" s="141" t="e">
        <f>TINV(AX88,CC88)</f>
        <v>#VALUE!</v>
      </c>
      <c r="BA88" s="141"/>
      <c r="BB88" s="142">
        <v>0.214</v>
      </c>
      <c r="BC88" s="95" t="s">
        <v>73</v>
      </c>
      <c r="BD88" s="95" t="s">
        <v>73</v>
      </c>
      <c r="BE88" s="95" t="s">
        <v>73</v>
      </c>
      <c r="BF88" s="95" t="s">
        <v>73</v>
      </c>
      <c r="BG88" s="95" t="s">
        <v>73</v>
      </c>
      <c r="BH88" s="95" t="s">
        <v>73</v>
      </c>
      <c r="BI88" s="143">
        <v>97</v>
      </c>
      <c r="BJ88" s="95">
        <v>1164</v>
      </c>
      <c r="BK88" s="95" t="s">
        <v>73</v>
      </c>
      <c r="BL88" s="95" t="s">
        <v>73</v>
      </c>
      <c r="BM88" s="95" t="s">
        <v>73</v>
      </c>
      <c r="BN88" s="95" t="s">
        <v>73</v>
      </c>
      <c r="BO88" s="95" t="s">
        <v>73</v>
      </c>
      <c r="BP88" s="95">
        <v>0</v>
      </c>
      <c r="BQ88" s="95" t="s">
        <v>73</v>
      </c>
      <c r="BR88" s="95">
        <v>0</v>
      </c>
      <c r="BS88" s="95" t="s">
        <v>73</v>
      </c>
      <c r="BT88" s="95" t="s">
        <v>354</v>
      </c>
      <c r="BU88" s="95">
        <v>0</v>
      </c>
      <c r="BV88" s="95">
        <v>0</v>
      </c>
      <c r="BW88" s="95">
        <v>0</v>
      </c>
      <c r="BX88" s="133">
        <f>CB88/((CB88^2+4)^(1/2))</f>
        <v>3.4495586763078345E-2</v>
      </c>
      <c r="BY88" s="133">
        <f>0.5*LN((1+BX88)/(1-BX88))</f>
        <v>3.4509279163151156E-2</v>
      </c>
      <c r="BZ88" s="133">
        <f>((1-(BY88^2)^2)/(BI88-1))</f>
        <v>1.0416651893543523E-2</v>
      </c>
      <c r="CA88" s="133">
        <f>1/(BI88-3)</f>
        <v>1.0638297872340425E-2</v>
      </c>
      <c r="CB88" s="112">
        <f>BB88/AW88</f>
        <v>6.9032258064516128E-2</v>
      </c>
      <c r="CC88" s="32">
        <f>BI88-1</f>
        <v>96</v>
      </c>
      <c r="CD88" s="92" t="s">
        <v>73</v>
      </c>
      <c r="CE88" s="30">
        <f>CB88/((CB88^2+4)^(1/2))</f>
        <v>3.4495586763078345E-2</v>
      </c>
      <c r="CF88" s="133">
        <f>0.5*LN((1+CE88)/(1-CE88))</f>
        <v>3.4509279163151156E-2</v>
      </c>
      <c r="CG88" s="30">
        <f>((1-(CF88^2)^2)/(BJ88-1))</f>
        <v>8.598440084094395E-4</v>
      </c>
      <c r="CH88" s="30">
        <f>1/(BJ88-3)</f>
        <v>8.6132644272179156E-4</v>
      </c>
    </row>
    <row r="89" spans="1:87" ht="16">
      <c r="A89" s="95" t="s">
        <v>68</v>
      </c>
      <c r="B89" s="95" t="s">
        <v>718</v>
      </c>
      <c r="C89" s="95">
        <v>1138</v>
      </c>
      <c r="D89" s="95">
        <v>129</v>
      </c>
      <c r="E89" s="95" t="s">
        <v>350</v>
      </c>
      <c r="F89" s="95">
        <v>2012</v>
      </c>
      <c r="G89" s="95" t="s">
        <v>351</v>
      </c>
      <c r="H89" s="95" t="s">
        <v>352</v>
      </c>
      <c r="I89" s="95">
        <v>2</v>
      </c>
      <c r="J89" s="95">
        <v>2009</v>
      </c>
      <c r="K89" s="95" t="s">
        <v>73</v>
      </c>
      <c r="L89" s="95">
        <v>68</v>
      </c>
      <c r="M89" s="185" t="s">
        <v>107</v>
      </c>
      <c r="N89" s="95" t="s">
        <v>112</v>
      </c>
      <c r="O89" s="95" t="s">
        <v>148</v>
      </c>
      <c r="P89" s="95" t="s">
        <v>293</v>
      </c>
      <c r="Q89" s="95" t="s">
        <v>306</v>
      </c>
      <c r="R89" s="95" t="s">
        <v>335</v>
      </c>
      <c r="S89" s="95">
        <v>1</v>
      </c>
      <c r="T89" t="s">
        <v>230</v>
      </c>
      <c r="U89" s="95">
        <v>0</v>
      </c>
      <c r="V89" s="95" t="s">
        <v>231</v>
      </c>
      <c r="W89" s="95" t="s">
        <v>231</v>
      </c>
      <c r="X89" s="95" t="s">
        <v>73</v>
      </c>
      <c r="Y89" s="95">
        <v>0</v>
      </c>
      <c r="Z89" s="95">
        <v>0</v>
      </c>
      <c r="AA89" s="95">
        <v>1</v>
      </c>
      <c r="AB89" s="95">
        <v>0</v>
      </c>
      <c r="AC89" s="95">
        <v>0</v>
      </c>
      <c r="AD89" s="95">
        <v>0</v>
      </c>
      <c r="AE89" s="95">
        <v>0</v>
      </c>
      <c r="AF89" s="95">
        <v>0</v>
      </c>
      <c r="AG89" s="95" t="s">
        <v>73</v>
      </c>
      <c r="AH89" s="95">
        <v>0</v>
      </c>
      <c r="AI89" s="95">
        <v>0</v>
      </c>
      <c r="AJ89" s="95">
        <v>0</v>
      </c>
      <c r="AK89" s="95">
        <v>0</v>
      </c>
      <c r="AL89" s="95">
        <v>0</v>
      </c>
      <c r="AM89" s="95">
        <v>0</v>
      </c>
      <c r="AN89" s="95">
        <v>0</v>
      </c>
      <c r="AO89" s="95">
        <v>0</v>
      </c>
      <c r="AP89" s="95">
        <v>1</v>
      </c>
      <c r="AQ89" s="95" t="s">
        <v>353</v>
      </c>
      <c r="AR89" s="95" t="s">
        <v>233</v>
      </c>
      <c r="AS89" s="32" t="s">
        <v>295</v>
      </c>
      <c r="AT89" s="95" t="s">
        <v>235</v>
      </c>
      <c r="AU89" s="207" t="e">
        <f>LN(BB89-1)</f>
        <v>#NUM!</v>
      </c>
      <c r="AV89" s="139" t="s">
        <v>80</v>
      </c>
      <c r="AW89" s="95">
        <v>2.8</v>
      </c>
      <c r="AX89" s="140" t="s">
        <v>73</v>
      </c>
      <c r="AY89" s="140" t="s">
        <v>73</v>
      </c>
      <c r="AZ89" s="141" t="e">
        <f>TINV(AX89,CC89)</f>
        <v>#VALUE!</v>
      </c>
      <c r="BA89" s="141"/>
      <c r="BB89" s="142">
        <v>0.16500000000000001</v>
      </c>
      <c r="BC89" s="95" t="s">
        <v>73</v>
      </c>
      <c r="BD89" s="95" t="s">
        <v>73</v>
      </c>
      <c r="BE89" s="95" t="s">
        <v>73</v>
      </c>
      <c r="BF89" s="95" t="s">
        <v>73</v>
      </c>
      <c r="BG89" s="95" t="s">
        <v>73</v>
      </c>
      <c r="BH89" s="95" t="s">
        <v>73</v>
      </c>
      <c r="BI89" s="143">
        <v>90</v>
      </c>
      <c r="BJ89" s="95">
        <v>1080</v>
      </c>
      <c r="BK89" s="95" t="s">
        <v>73</v>
      </c>
      <c r="BL89" s="95" t="s">
        <v>73</v>
      </c>
      <c r="BM89" s="95" t="s">
        <v>73</v>
      </c>
      <c r="BN89" s="95" t="s">
        <v>73</v>
      </c>
      <c r="BO89" s="95" t="s">
        <v>73</v>
      </c>
      <c r="BP89" s="95">
        <v>0</v>
      </c>
      <c r="BQ89" s="95" t="s">
        <v>73</v>
      </c>
      <c r="BR89" s="95">
        <v>0</v>
      </c>
      <c r="BS89" s="95" t="s">
        <v>73</v>
      </c>
      <c r="BT89" s="95" t="s">
        <v>314</v>
      </c>
      <c r="BU89" s="95">
        <v>0</v>
      </c>
      <c r="BV89" s="95">
        <v>0</v>
      </c>
      <c r="BW89" s="95">
        <v>0</v>
      </c>
      <c r="BX89" s="133">
        <f>CB89/((CB89^2+4)^(1/2))</f>
        <v>2.9451504412310325E-2</v>
      </c>
      <c r="BY89" s="133">
        <f>0.5*LN((1+BX89)/(1-BX89))</f>
        <v>2.946002417111681E-2</v>
      </c>
      <c r="BZ89" s="133">
        <f>((1-(BY89^2)^2)/(BI89-1))</f>
        <v>1.1235946592828075E-2</v>
      </c>
      <c r="CA89" s="133">
        <f>1/(BI89-3)</f>
        <v>1.1494252873563218E-2</v>
      </c>
      <c r="CB89" s="112">
        <f>BB89/AW89</f>
        <v>5.8928571428571434E-2</v>
      </c>
      <c r="CC89" s="32">
        <f>BI89-1</f>
        <v>89</v>
      </c>
      <c r="CD89" s="92" t="s">
        <v>73</v>
      </c>
      <c r="CE89" s="30">
        <f>CB89/((CB89^2+4)^(1/2))</f>
        <v>2.9451504412310325E-2</v>
      </c>
      <c r="CF89" s="133">
        <f>0.5*LN((1+CE89)/(1-CE89))</f>
        <v>2.946002417111681E-2</v>
      </c>
      <c r="CG89" s="30">
        <f>((1-(CF89^2)^2)/(BJ89-1))</f>
        <v>9.2678336122492923E-4</v>
      </c>
      <c r="CH89" s="30">
        <f>1/(BJ89-3)</f>
        <v>9.2850510677808728E-4</v>
      </c>
      <c r="CI89" s="98"/>
    </row>
    <row r="90" spans="1:87" ht="16">
      <c r="A90" s="95" t="s">
        <v>68</v>
      </c>
      <c r="B90" s="95" t="s">
        <v>718</v>
      </c>
      <c r="C90" s="95">
        <v>1139</v>
      </c>
      <c r="D90" s="95">
        <v>129</v>
      </c>
      <c r="E90" s="95" t="s">
        <v>350</v>
      </c>
      <c r="F90" s="95">
        <v>2012</v>
      </c>
      <c r="G90" s="95" t="s">
        <v>351</v>
      </c>
      <c r="H90" s="95" t="s">
        <v>352</v>
      </c>
      <c r="I90" s="95">
        <v>2</v>
      </c>
      <c r="J90" s="95">
        <v>2009</v>
      </c>
      <c r="K90" s="95" t="s">
        <v>73</v>
      </c>
      <c r="L90" s="95">
        <v>68</v>
      </c>
      <c r="M90" s="185" t="s">
        <v>107</v>
      </c>
      <c r="N90" s="95" t="s">
        <v>112</v>
      </c>
      <c r="O90" s="95" t="s">
        <v>148</v>
      </c>
      <c r="P90" s="95" t="s">
        <v>293</v>
      </c>
      <c r="Q90" s="95" t="s">
        <v>306</v>
      </c>
      <c r="R90" s="95" t="s">
        <v>335</v>
      </c>
      <c r="S90" s="95">
        <v>1</v>
      </c>
      <c r="T90" t="s">
        <v>230</v>
      </c>
      <c r="U90" s="95">
        <v>0</v>
      </c>
      <c r="V90" s="95" t="s">
        <v>231</v>
      </c>
      <c r="W90" s="95" t="s">
        <v>231</v>
      </c>
      <c r="X90" s="95" t="s">
        <v>73</v>
      </c>
      <c r="Y90" s="95">
        <v>0</v>
      </c>
      <c r="Z90" s="95">
        <v>0</v>
      </c>
      <c r="AA90" s="95">
        <v>1</v>
      </c>
      <c r="AB90" s="95">
        <v>0</v>
      </c>
      <c r="AC90" s="95">
        <v>0</v>
      </c>
      <c r="AD90" s="95">
        <v>0</v>
      </c>
      <c r="AE90" s="95">
        <v>0</v>
      </c>
      <c r="AF90" s="95">
        <v>0</v>
      </c>
      <c r="AG90" s="95" t="s">
        <v>73</v>
      </c>
      <c r="AH90" s="95">
        <v>0</v>
      </c>
      <c r="AI90" s="95">
        <v>0</v>
      </c>
      <c r="AJ90" s="95">
        <v>0</v>
      </c>
      <c r="AK90" s="95">
        <v>0</v>
      </c>
      <c r="AL90" s="95">
        <v>0</v>
      </c>
      <c r="AM90" s="95">
        <v>0</v>
      </c>
      <c r="AN90" s="95">
        <v>0</v>
      </c>
      <c r="AO90" s="95">
        <v>0</v>
      </c>
      <c r="AP90" s="95">
        <v>1</v>
      </c>
      <c r="AQ90" s="95" t="s">
        <v>353</v>
      </c>
      <c r="AR90" s="95" t="s">
        <v>233</v>
      </c>
      <c r="AS90" s="32" t="s">
        <v>295</v>
      </c>
      <c r="AT90" s="95" t="s">
        <v>235</v>
      </c>
      <c r="AU90" s="207" t="e">
        <f>LN(BB90-1)</f>
        <v>#NUM!</v>
      </c>
      <c r="AV90" s="139" t="s">
        <v>80</v>
      </c>
      <c r="AW90" s="95">
        <v>3.2</v>
      </c>
      <c r="AX90" s="140" t="s">
        <v>73</v>
      </c>
      <c r="AY90" s="140" t="s">
        <v>73</v>
      </c>
      <c r="AZ90" s="141" t="e">
        <f>TINV(AX90,CC90)</f>
        <v>#VALUE!</v>
      </c>
      <c r="BA90" s="141"/>
      <c r="BB90" s="142">
        <v>0.254</v>
      </c>
      <c r="BC90" s="95" t="s">
        <v>73</v>
      </c>
      <c r="BD90" s="95" t="s">
        <v>73</v>
      </c>
      <c r="BE90" s="95" t="s">
        <v>73</v>
      </c>
      <c r="BF90" s="95" t="s">
        <v>73</v>
      </c>
      <c r="BG90" s="95" t="s">
        <v>73</v>
      </c>
      <c r="BH90" s="95" t="s">
        <v>73</v>
      </c>
      <c r="BI90" s="143">
        <v>97</v>
      </c>
      <c r="BJ90" s="95">
        <v>1164</v>
      </c>
      <c r="BK90" s="95" t="s">
        <v>73</v>
      </c>
      <c r="BL90" s="95" t="s">
        <v>73</v>
      </c>
      <c r="BM90" s="95" t="s">
        <v>73</v>
      </c>
      <c r="BN90" s="95" t="s">
        <v>73</v>
      </c>
      <c r="BO90" s="95" t="s">
        <v>73</v>
      </c>
      <c r="BP90" s="95">
        <v>0</v>
      </c>
      <c r="BQ90" s="95" t="s">
        <v>73</v>
      </c>
      <c r="BR90" s="95">
        <v>0</v>
      </c>
      <c r="BS90" s="95" t="s">
        <v>73</v>
      </c>
      <c r="BT90" s="95" t="s">
        <v>354</v>
      </c>
      <c r="BU90" s="95">
        <v>0</v>
      </c>
      <c r="BV90" s="95">
        <v>0</v>
      </c>
      <c r="BW90" s="95">
        <v>0</v>
      </c>
      <c r="BX90" s="133">
        <f>CB90/((CB90^2+4)^(1/2))</f>
        <v>3.9656281030740814E-2</v>
      </c>
      <c r="BY90" s="133">
        <f>0.5*LN((1+BX90)/(1-BX90))</f>
        <v>3.9677088763029514E-2</v>
      </c>
      <c r="BZ90" s="133">
        <f>((1-(BY90^2)^2)/(BI90-1))</f>
        <v>1.0416640850725469E-2</v>
      </c>
      <c r="CA90" s="133">
        <f>1/(BI90-3)</f>
        <v>1.0638297872340425E-2</v>
      </c>
      <c r="CB90" s="112">
        <f>BB90/AW90</f>
        <v>7.9375000000000001E-2</v>
      </c>
      <c r="CC90" s="32">
        <f>BI90-1</f>
        <v>96</v>
      </c>
      <c r="CD90" s="92" t="s">
        <v>73</v>
      </c>
      <c r="CE90" s="30">
        <f>CB90/((CB90^2+4)^(1/2))</f>
        <v>3.9656281030740814E-2</v>
      </c>
      <c r="CF90" s="133">
        <f>0.5*LN((1+CE90)/(1-CE90))</f>
        <v>3.9677088763029514E-2</v>
      </c>
      <c r="CG90" s="30">
        <f>((1-(CF90^2)^2)/(BJ90-1))</f>
        <v>8.5984309687845665E-4</v>
      </c>
      <c r="CH90" s="30">
        <f>1/(BJ90-3)</f>
        <v>8.6132644272179156E-4</v>
      </c>
    </row>
    <row r="91" spans="1:87" s="92" customFormat="1" ht="16">
      <c r="A91" s="95" t="s">
        <v>68</v>
      </c>
      <c r="B91" s="95" t="s">
        <v>718</v>
      </c>
      <c r="C91" s="95">
        <v>1140</v>
      </c>
      <c r="D91" s="95">
        <v>129</v>
      </c>
      <c r="E91" s="95" t="s">
        <v>350</v>
      </c>
      <c r="F91" s="95">
        <v>2012</v>
      </c>
      <c r="G91" s="95" t="s">
        <v>351</v>
      </c>
      <c r="H91" s="95" t="s">
        <v>352</v>
      </c>
      <c r="I91" s="95">
        <v>2</v>
      </c>
      <c r="J91" s="95">
        <v>2009</v>
      </c>
      <c r="K91" s="95" t="s">
        <v>73</v>
      </c>
      <c r="L91" s="95">
        <v>68</v>
      </c>
      <c r="M91" s="185" t="s">
        <v>107</v>
      </c>
      <c r="N91" s="95" t="s">
        <v>112</v>
      </c>
      <c r="O91" s="95" t="s">
        <v>148</v>
      </c>
      <c r="P91" s="95" t="s">
        <v>293</v>
      </c>
      <c r="Q91" s="95" t="s">
        <v>306</v>
      </c>
      <c r="R91" s="95" t="s">
        <v>335</v>
      </c>
      <c r="S91" s="95">
        <v>1</v>
      </c>
      <c r="T91" t="s">
        <v>230</v>
      </c>
      <c r="U91" s="95">
        <v>0</v>
      </c>
      <c r="V91" s="95" t="s">
        <v>231</v>
      </c>
      <c r="W91" s="95" t="s">
        <v>231</v>
      </c>
      <c r="X91" s="95" t="s">
        <v>73</v>
      </c>
      <c r="Y91" s="95">
        <v>0</v>
      </c>
      <c r="Z91" s="95">
        <v>0</v>
      </c>
      <c r="AA91" s="95">
        <v>1</v>
      </c>
      <c r="AB91" s="95">
        <v>0</v>
      </c>
      <c r="AC91" s="95">
        <v>0</v>
      </c>
      <c r="AD91" s="95">
        <v>0</v>
      </c>
      <c r="AE91" s="95">
        <v>0</v>
      </c>
      <c r="AF91" s="95">
        <v>0</v>
      </c>
      <c r="AG91" s="95" t="s">
        <v>73</v>
      </c>
      <c r="AH91" s="95">
        <v>0</v>
      </c>
      <c r="AI91" s="95">
        <v>0</v>
      </c>
      <c r="AJ91" s="95">
        <v>0</v>
      </c>
      <c r="AK91" s="95">
        <v>0</v>
      </c>
      <c r="AL91" s="95">
        <v>0</v>
      </c>
      <c r="AM91" s="95">
        <v>0</v>
      </c>
      <c r="AN91" s="95">
        <v>0</v>
      </c>
      <c r="AO91" s="95">
        <v>0</v>
      </c>
      <c r="AP91" s="95">
        <v>1</v>
      </c>
      <c r="AQ91" s="95" t="s">
        <v>353</v>
      </c>
      <c r="AR91" s="95" t="s">
        <v>233</v>
      </c>
      <c r="AS91" s="32" t="s">
        <v>295</v>
      </c>
      <c r="AT91" s="95" t="s">
        <v>235</v>
      </c>
      <c r="AU91" s="207" t="e">
        <f>LN(BB91-1)</f>
        <v>#NUM!</v>
      </c>
      <c r="AV91" s="139" t="s">
        <v>80</v>
      </c>
      <c r="AW91" s="95">
        <v>4.0999999999999996</v>
      </c>
      <c r="AX91" s="140" t="s">
        <v>73</v>
      </c>
      <c r="AY91" s="140" t="s">
        <v>73</v>
      </c>
      <c r="AZ91" s="141" t="e">
        <f>TINV(AX91,CC91)</f>
        <v>#VALUE!</v>
      </c>
      <c r="BA91" s="141"/>
      <c r="BB91" s="142">
        <v>0.30880000000000002</v>
      </c>
      <c r="BC91" s="95" t="s">
        <v>73</v>
      </c>
      <c r="BD91" s="95" t="s">
        <v>73</v>
      </c>
      <c r="BE91" s="95" t="s">
        <v>73</v>
      </c>
      <c r="BF91" s="95" t="s">
        <v>73</v>
      </c>
      <c r="BG91" s="95" t="s">
        <v>73</v>
      </c>
      <c r="BH91" s="95" t="s">
        <v>73</v>
      </c>
      <c r="BI91" s="143">
        <v>90</v>
      </c>
      <c r="BJ91" s="95">
        <v>1080</v>
      </c>
      <c r="BK91" s="95" t="s">
        <v>73</v>
      </c>
      <c r="BL91" s="95" t="s">
        <v>73</v>
      </c>
      <c r="BM91" s="95" t="s">
        <v>73</v>
      </c>
      <c r="BN91" s="95" t="s">
        <v>73</v>
      </c>
      <c r="BO91" s="95" t="s">
        <v>73</v>
      </c>
      <c r="BP91" s="95">
        <v>0</v>
      </c>
      <c r="BQ91" s="95" t="s">
        <v>73</v>
      </c>
      <c r="BR91" s="95">
        <v>0</v>
      </c>
      <c r="BS91" s="95" t="s">
        <v>73</v>
      </c>
      <c r="BT91" s="95" t="s">
        <v>314</v>
      </c>
      <c r="BU91" s="95">
        <v>0</v>
      </c>
      <c r="BV91" s="95">
        <v>0</v>
      </c>
      <c r="BW91" s="95">
        <v>0</v>
      </c>
      <c r="BX91" s="133">
        <f>CB91/((CB91^2+4)^(1/2))</f>
        <v>3.7631861937430795E-2</v>
      </c>
      <c r="BY91" s="133">
        <f>0.5*LN((1+BX91)/(1-BX91))</f>
        <v>3.7649641255509014E-2</v>
      </c>
      <c r="BZ91" s="133">
        <f>((1-(BY91^2)^2)/(BI91-1))</f>
        <v>1.1235932479848823E-2</v>
      </c>
      <c r="CA91" s="133">
        <f>1/(BI91-3)</f>
        <v>1.1494252873563218E-2</v>
      </c>
      <c r="CB91" s="112">
        <f>BB91/AW91</f>
        <v>7.5317073170731719E-2</v>
      </c>
      <c r="CC91" s="32">
        <f>BI91-1</f>
        <v>89</v>
      </c>
      <c r="CD91" s="92" t="s">
        <v>73</v>
      </c>
      <c r="CE91" s="30">
        <f>CB91/((CB91^2+4)^(1/2))</f>
        <v>3.7631861937430795E-2</v>
      </c>
      <c r="CF91" s="133">
        <f>0.5*LN((1+CE91)/(1-CE91))</f>
        <v>3.7649641255509014E-2</v>
      </c>
      <c r="CG91" s="30">
        <f>((1-(CF91^2)^2)/(BJ91-1))</f>
        <v>9.267821971330355E-4</v>
      </c>
      <c r="CH91" s="30">
        <f>1/(BJ91-3)</f>
        <v>9.2850510677808728E-4</v>
      </c>
      <c r="CI91"/>
    </row>
    <row r="92" spans="1:87" s="92" customFormat="1" ht="16">
      <c r="A92" s="95" t="s">
        <v>68</v>
      </c>
      <c r="B92" s="95" t="s">
        <v>718</v>
      </c>
      <c r="C92" s="95">
        <v>1141</v>
      </c>
      <c r="D92" s="95">
        <v>129</v>
      </c>
      <c r="E92" s="95" t="s">
        <v>350</v>
      </c>
      <c r="F92" s="95">
        <v>2012</v>
      </c>
      <c r="G92" s="95" t="s">
        <v>351</v>
      </c>
      <c r="H92" s="95" t="s">
        <v>352</v>
      </c>
      <c r="I92" s="95">
        <v>2</v>
      </c>
      <c r="J92" s="95">
        <v>2009</v>
      </c>
      <c r="K92" s="95" t="s">
        <v>73</v>
      </c>
      <c r="L92" s="95">
        <v>68</v>
      </c>
      <c r="M92" s="185" t="s">
        <v>107</v>
      </c>
      <c r="N92" s="95" t="s">
        <v>112</v>
      </c>
      <c r="O92" s="95" t="s">
        <v>148</v>
      </c>
      <c r="P92" s="95" t="s">
        <v>293</v>
      </c>
      <c r="Q92" s="95" t="s">
        <v>306</v>
      </c>
      <c r="R92" s="95" t="s">
        <v>335</v>
      </c>
      <c r="S92" s="95">
        <v>1</v>
      </c>
      <c r="T92" t="s">
        <v>230</v>
      </c>
      <c r="U92" s="95">
        <v>0</v>
      </c>
      <c r="V92" s="95" t="s">
        <v>231</v>
      </c>
      <c r="W92" s="95" t="s">
        <v>231</v>
      </c>
      <c r="X92" s="95" t="s">
        <v>73</v>
      </c>
      <c r="Y92" s="95">
        <v>0</v>
      </c>
      <c r="Z92" s="95">
        <v>0</v>
      </c>
      <c r="AA92" s="95">
        <v>1</v>
      </c>
      <c r="AB92" s="95">
        <v>0</v>
      </c>
      <c r="AC92" s="95">
        <v>0</v>
      </c>
      <c r="AD92" s="95">
        <v>0</v>
      </c>
      <c r="AE92" s="95">
        <v>0</v>
      </c>
      <c r="AF92" s="95">
        <v>0</v>
      </c>
      <c r="AG92" s="95" t="s">
        <v>73</v>
      </c>
      <c r="AH92" s="95">
        <v>0</v>
      </c>
      <c r="AI92" s="95">
        <v>0</v>
      </c>
      <c r="AJ92" s="95">
        <v>0</v>
      </c>
      <c r="AK92" s="95">
        <v>0</v>
      </c>
      <c r="AL92" s="95">
        <v>0</v>
      </c>
      <c r="AM92" s="95">
        <v>0</v>
      </c>
      <c r="AN92" s="95">
        <v>0</v>
      </c>
      <c r="AO92" s="95">
        <v>0</v>
      </c>
      <c r="AP92" s="95">
        <v>1</v>
      </c>
      <c r="AQ92" s="95" t="s">
        <v>353</v>
      </c>
      <c r="AR92" s="95" t="s">
        <v>233</v>
      </c>
      <c r="AS92" s="32" t="s">
        <v>295</v>
      </c>
      <c r="AT92" s="95" t="s">
        <v>235</v>
      </c>
      <c r="AU92" s="207" t="e">
        <f>LN(BB92-1)</f>
        <v>#NUM!</v>
      </c>
      <c r="AV92" s="139" t="s">
        <v>80</v>
      </c>
      <c r="AW92" s="95">
        <v>4.3</v>
      </c>
      <c r="AX92" s="140" t="s">
        <v>73</v>
      </c>
      <c r="AY92" s="140" t="s">
        <v>73</v>
      </c>
      <c r="AZ92" s="141" t="e">
        <f>TINV(AX92,CC92)</f>
        <v>#VALUE!</v>
      </c>
      <c r="BA92" s="141"/>
      <c r="BB92" s="142">
        <v>0.45700000000000002</v>
      </c>
      <c r="BC92" s="95" t="s">
        <v>73</v>
      </c>
      <c r="BD92" s="95" t="s">
        <v>73</v>
      </c>
      <c r="BE92" s="95" t="s">
        <v>73</v>
      </c>
      <c r="BF92" s="95" t="s">
        <v>73</v>
      </c>
      <c r="BG92" s="95" t="s">
        <v>73</v>
      </c>
      <c r="BH92" s="95" t="s">
        <v>73</v>
      </c>
      <c r="BI92" s="143">
        <v>97</v>
      </c>
      <c r="BJ92" s="95">
        <v>1164</v>
      </c>
      <c r="BK92" s="95" t="s">
        <v>73</v>
      </c>
      <c r="BL92" s="95" t="s">
        <v>73</v>
      </c>
      <c r="BM92" s="95" t="s">
        <v>73</v>
      </c>
      <c r="BN92" s="95" t="s">
        <v>73</v>
      </c>
      <c r="BO92" s="95" t="s">
        <v>73</v>
      </c>
      <c r="BP92" s="95">
        <v>0</v>
      </c>
      <c r="BQ92" s="95" t="s">
        <v>73</v>
      </c>
      <c r="BR92" s="95">
        <v>0</v>
      </c>
      <c r="BS92" s="95" t="s">
        <v>73</v>
      </c>
      <c r="BT92" s="95" t="s">
        <v>354</v>
      </c>
      <c r="BU92" s="95">
        <v>0</v>
      </c>
      <c r="BV92" s="95">
        <v>0</v>
      </c>
      <c r="BW92" s="95">
        <v>0</v>
      </c>
      <c r="BX92" s="133">
        <f>CB92/((CB92^2+4)^(1/2))</f>
        <v>5.306466542985009E-2</v>
      </c>
      <c r="BY92" s="133">
        <f>0.5*LN((1+BX92)/(1-BX92))</f>
        <v>5.3114557283637655E-2</v>
      </c>
      <c r="BZ92" s="133">
        <f>((1-(BY92^2)^2)/(BI92-1))</f>
        <v>1.0416583761226261E-2</v>
      </c>
      <c r="CA92" s="133">
        <f>1/(BI92-3)</f>
        <v>1.0638297872340425E-2</v>
      </c>
      <c r="CB92" s="112">
        <f>BB92/AW92</f>
        <v>0.10627906976744186</v>
      </c>
      <c r="CC92" s="32">
        <f>BI92-1</f>
        <v>96</v>
      </c>
      <c r="CD92" s="92" t="s">
        <v>73</v>
      </c>
      <c r="CE92" s="30">
        <f>CB92/((CB92^2+4)^(1/2))</f>
        <v>5.306466542985009E-2</v>
      </c>
      <c r="CF92" s="133">
        <f>0.5*LN((1+CE92)/(1-CE92))</f>
        <v>5.3114557283637655E-2</v>
      </c>
      <c r="CG92" s="30">
        <f>((1-(CF92^2)^2)/(BJ92-1))</f>
        <v>8.5983838441764488E-4</v>
      </c>
      <c r="CH92" s="30">
        <f>1/(BJ92-3)</f>
        <v>8.6132644272179156E-4</v>
      </c>
      <c r="CI92"/>
    </row>
    <row r="93" spans="1:87" s="92" customFormat="1" ht="16">
      <c r="A93" s="108" t="s">
        <v>68</v>
      </c>
      <c r="B93" s="92" t="s">
        <v>719</v>
      </c>
      <c r="C93" s="108">
        <v>1147</v>
      </c>
      <c r="D93" s="135">
        <v>132</v>
      </c>
      <c r="E93" t="s">
        <v>356</v>
      </c>
      <c r="F93" s="108">
        <v>2020</v>
      </c>
      <c r="G93" t="s">
        <v>357</v>
      </c>
      <c r="H93" t="s">
        <v>358</v>
      </c>
      <c r="I93" s="135">
        <v>2</v>
      </c>
      <c r="J93">
        <v>2017</v>
      </c>
      <c r="K93" s="108" t="s">
        <v>73</v>
      </c>
      <c r="L93" s="135">
        <v>5</v>
      </c>
      <c r="M93" s="11" t="s">
        <v>260</v>
      </c>
      <c r="N93" t="s">
        <v>241</v>
      </c>
      <c r="O93" t="s">
        <v>274</v>
      </c>
      <c r="P93" t="s">
        <v>293</v>
      </c>
      <c r="Q93" t="s">
        <v>310</v>
      </c>
      <c r="R93" t="s">
        <v>335</v>
      </c>
      <c r="S93">
        <v>1</v>
      </c>
      <c r="T93" t="s">
        <v>230</v>
      </c>
      <c r="U93">
        <v>1</v>
      </c>
      <c r="V93" s="108" t="s">
        <v>231</v>
      </c>
      <c r="W93" s="108" t="s">
        <v>231</v>
      </c>
      <c r="X93" s="108" t="s">
        <v>73</v>
      </c>
      <c r="Y93" s="135">
        <v>0</v>
      </c>
      <c r="Z93" s="135">
        <v>0</v>
      </c>
      <c r="AA93" s="135">
        <v>1</v>
      </c>
      <c r="AB93" s="135">
        <v>0</v>
      </c>
      <c r="AC93" s="135">
        <v>0</v>
      </c>
      <c r="AD93" s="135">
        <v>0</v>
      </c>
      <c r="AE93" s="135">
        <v>0</v>
      </c>
      <c r="AF93" s="135">
        <v>0</v>
      </c>
      <c r="AG93" t="s">
        <v>359</v>
      </c>
      <c r="AH93" s="135">
        <v>0</v>
      </c>
      <c r="AI93" s="135">
        <v>0</v>
      </c>
      <c r="AJ93" s="135">
        <v>0</v>
      </c>
      <c r="AK93" s="135">
        <v>1</v>
      </c>
      <c r="AL93" s="135">
        <v>0</v>
      </c>
      <c r="AM93" s="135">
        <v>0</v>
      </c>
      <c r="AN93" s="135">
        <v>0</v>
      </c>
      <c r="AO93" s="135">
        <v>0</v>
      </c>
      <c r="AP93" s="135">
        <v>0</v>
      </c>
      <c r="AQ93" t="s">
        <v>73</v>
      </c>
      <c r="AR93" t="s">
        <v>233</v>
      </c>
      <c r="AS93" t="s">
        <v>360</v>
      </c>
      <c r="AT93" t="s">
        <v>235</v>
      </c>
      <c r="AU93" s="134">
        <v>0.34670000000000001</v>
      </c>
      <c r="AV93" s="7" t="s">
        <v>80</v>
      </c>
      <c r="AW93">
        <v>4.1000000000000002E-2</v>
      </c>
      <c r="AX93">
        <v>0.01</v>
      </c>
      <c r="AY93">
        <v>1</v>
      </c>
      <c r="AZ93">
        <f>AU93/AW93</f>
        <v>8.4560975609756088</v>
      </c>
      <c r="BA93" t="s">
        <v>73</v>
      </c>
      <c r="BB93" s="105">
        <f>EXP(AU93)/(1+EXP(AU93))</f>
        <v>0.58581710943557763</v>
      </c>
      <c r="BC93" t="s">
        <v>73</v>
      </c>
      <c r="BD93" t="s">
        <v>73</v>
      </c>
      <c r="BE93" t="s">
        <v>73</v>
      </c>
      <c r="BF93" t="s">
        <v>73</v>
      </c>
      <c r="BG93" t="s">
        <v>73</v>
      </c>
      <c r="BH93" t="s">
        <v>73</v>
      </c>
      <c r="BI93" s="135">
        <v>325</v>
      </c>
      <c r="BJ93" s="135">
        <v>5200</v>
      </c>
      <c r="BK93" s="135" t="s">
        <v>73</v>
      </c>
      <c r="BL93" s="135" t="s">
        <v>73</v>
      </c>
      <c r="BM93" s="135" t="s">
        <v>73</v>
      </c>
      <c r="BN93" s="135" t="s">
        <v>73</v>
      </c>
      <c r="BO93" s="135" t="s">
        <v>73</v>
      </c>
      <c r="BP93" s="135" t="s">
        <v>73</v>
      </c>
      <c r="BQ93" s="135" t="s">
        <v>73</v>
      </c>
      <c r="BR93" s="135" t="s">
        <v>73</v>
      </c>
      <c r="BS93" s="135" t="s">
        <v>73</v>
      </c>
      <c r="BT93" s="135" t="s">
        <v>73</v>
      </c>
      <c r="BU93" s="135">
        <v>0</v>
      </c>
      <c r="BV93" s="135">
        <v>1</v>
      </c>
      <c r="BW93" s="135">
        <v>1</v>
      </c>
      <c r="BX93" s="30">
        <f>((AZ93^2)/(AZ93^2+BI93))^(1/2)</f>
        <v>0.42466388635349994</v>
      </c>
      <c r="BY93" s="30">
        <f>0.5*LN((1+BX93)/(1-BX93))</f>
        <v>0.45336839008312346</v>
      </c>
      <c r="BZ93" s="30">
        <f>((1-(BY93^2)^2)/(BI93-1))</f>
        <v>2.9560250538296882E-3</v>
      </c>
      <c r="CA93" s="30">
        <f>1/(BI93-3)</f>
        <v>3.105590062111801E-3</v>
      </c>
      <c r="CB93" s="92" t="s">
        <v>73</v>
      </c>
      <c r="CC93">
        <f>BI93-2</f>
        <v>323</v>
      </c>
      <c r="CD93" s="92" t="s">
        <v>73</v>
      </c>
      <c r="CE93" s="30">
        <f>((AZ93^2)/(AZ93^2+BJ93))^(1/2)</f>
        <v>0.11646693577511889</v>
      </c>
      <c r="CF93" s="30">
        <f>0.5*LN((1+CE93)/(1-CE93))</f>
        <v>0.1169978707358736</v>
      </c>
      <c r="CG93" s="30">
        <f>((1-(CF93^2)^2)/(BJ93-1))</f>
        <v>1.9230864106937028E-4</v>
      </c>
      <c r="CH93" s="30">
        <f>1/(BJ93-3)</f>
        <v>1.9241870309794111E-4</v>
      </c>
      <c r="CI93"/>
    </row>
    <row r="94" spans="1:87" s="119" customFormat="1" ht="16">
      <c r="A94" s="108" t="s">
        <v>68</v>
      </c>
      <c r="B94" s="92" t="s">
        <v>719</v>
      </c>
      <c r="C94" s="108">
        <v>1148</v>
      </c>
      <c r="D94" s="135">
        <v>132</v>
      </c>
      <c r="E94" t="s">
        <v>356</v>
      </c>
      <c r="F94" s="108">
        <v>2020</v>
      </c>
      <c r="G94" t="s">
        <v>357</v>
      </c>
      <c r="H94" t="s">
        <v>358</v>
      </c>
      <c r="I94" s="135">
        <v>2</v>
      </c>
      <c r="J94">
        <v>2017</v>
      </c>
      <c r="K94" s="108" t="s">
        <v>73</v>
      </c>
      <c r="L94" s="135">
        <v>5</v>
      </c>
      <c r="M94" s="11" t="s">
        <v>260</v>
      </c>
      <c r="N94" t="s">
        <v>241</v>
      </c>
      <c r="O94" t="s">
        <v>274</v>
      </c>
      <c r="P94" t="s">
        <v>293</v>
      </c>
      <c r="Q94" t="s">
        <v>310</v>
      </c>
      <c r="R94" t="s">
        <v>335</v>
      </c>
      <c r="S94">
        <v>1</v>
      </c>
      <c r="T94" t="s">
        <v>230</v>
      </c>
      <c r="U94">
        <v>1</v>
      </c>
      <c r="V94" s="108" t="s">
        <v>231</v>
      </c>
      <c r="W94" s="108" t="s">
        <v>231</v>
      </c>
      <c r="X94" s="108" t="s">
        <v>73</v>
      </c>
      <c r="Y94" s="135">
        <v>0</v>
      </c>
      <c r="Z94" s="135">
        <v>0</v>
      </c>
      <c r="AA94" s="135">
        <v>1</v>
      </c>
      <c r="AB94" s="135">
        <v>0</v>
      </c>
      <c r="AC94" s="135">
        <v>0</v>
      </c>
      <c r="AD94" s="135">
        <v>0</v>
      </c>
      <c r="AE94" s="135">
        <v>0</v>
      </c>
      <c r="AF94" s="135">
        <v>0</v>
      </c>
      <c r="AG94" t="s">
        <v>359</v>
      </c>
      <c r="AH94" s="135">
        <v>1</v>
      </c>
      <c r="AI94" s="135">
        <v>0</v>
      </c>
      <c r="AJ94" s="135">
        <v>0</v>
      </c>
      <c r="AK94" s="135">
        <v>0</v>
      </c>
      <c r="AL94" s="135">
        <v>0</v>
      </c>
      <c r="AM94" s="135">
        <v>0</v>
      </c>
      <c r="AN94" s="135">
        <v>0</v>
      </c>
      <c r="AO94" s="135">
        <v>0</v>
      </c>
      <c r="AP94" s="135">
        <v>0</v>
      </c>
      <c r="AQ94" t="s">
        <v>73</v>
      </c>
      <c r="AR94" t="s">
        <v>233</v>
      </c>
      <c r="AS94" t="s">
        <v>360</v>
      </c>
      <c r="AT94" t="s">
        <v>235</v>
      </c>
      <c r="AU94" s="134">
        <v>0.35460000000000003</v>
      </c>
      <c r="AV94" s="7" t="s">
        <v>80</v>
      </c>
      <c r="AW94">
        <v>4.02E-2</v>
      </c>
      <c r="AX94">
        <v>0.01</v>
      </c>
      <c r="AY94">
        <v>1</v>
      </c>
      <c r="AZ94">
        <f>AU94/AW94</f>
        <v>8.8208955223880601</v>
      </c>
      <c r="BA94" t="s">
        <v>73</v>
      </c>
      <c r="BB94" s="105">
        <f>EXP(AU94)/(1+EXP(AU94))</f>
        <v>0.58773262069003773</v>
      </c>
      <c r="BC94" t="s">
        <v>73</v>
      </c>
      <c r="BD94" t="s">
        <v>73</v>
      </c>
      <c r="BE94" t="s">
        <v>73</v>
      </c>
      <c r="BF94" t="s">
        <v>73</v>
      </c>
      <c r="BG94" t="s">
        <v>73</v>
      </c>
      <c r="BH94" t="s">
        <v>73</v>
      </c>
      <c r="BI94" s="135">
        <v>325</v>
      </c>
      <c r="BJ94" s="135">
        <v>5200</v>
      </c>
      <c r="BK94" s="135" t="s">
        <v>73</v>
      </c>
      <c r="BL94" s="135" t="s">
        <v>73</v>
      </c>
      <c r="BM94" s="135" t="s">
        <v>73</v>
      </c>
      <c r="BN94" s="135" t="s">
        <v>73</v>
      </c>
      <c r="BO94" s="135" t="s">
        <v>73</v>
      </c>
      <c r="BP94" s="135" t="s">
        <v>73</v>
      </c>
      <c r="BQ94" s="135" t="s">
        <v>73</v>
      </c>
      <c r="BR94" s="135" t="s">
        <v>73</v>
      </c>
      <c r="BS94" s="135" t="s">
        <v>73</v>
      </c>
      <c r="BT94" s="135" t="s">
        <v>73</v>
      </c>
      <c r="BU94" s="135">
        <v>0</v>
      </c>
      <c r="BV94" s="135">
        <v>1</v>
      </c>
      <c r="BW94" s="135">
        <v>1</v>
      </c>
      <c r="BX94" s="30">
        <f>((AZ94^2)/(AZ94^2+BI94))^(1/2)</f>
        <v>0.43950470421982007</v>
      </c>
      <c r="BY94" s="30">
        <f>0.5*LN((1+BX94)/(1-BX94))</f>
        <v>0.47161676421139942</v>
      </c>
      <c r="BZ94" s="30">
        <f>((1-(BY94^2)^2)/(BI94-1))</f>
        <v>2.9337292848981796E-3</v>
      </c>
      <c r="CA94" s="30">
        <f>1/(BI94-3)</f>
        <v>3.105590062111801E-3</v>
      </c>
      <c r="CB94" s="92" t="s">
        <v>73</v>
      </c>
      <c r="CC94">
        <f>BI94-2</f>
        <v>323</v>
      </c>
      <c r="CD94" s="92" t="s">
        <v>73</v>
      </c>
      <c r="CE94" s="30">
        <f>((AZ94^2)/(AZ94^2+BJ94))^(1/2)</f>
        <v>0.12141878326375445</v>
      </c>
      <c r="CF94" s="30">
        <f>0.5*LN((1+CE94)/(1-CE94))</f>
        <v>0.12202079034970886</v>
      </c>
      <c r="CG94" s="30">
        <f>((1-(CF94^2)^2)/(BJ94-1))</f>
        <v>1.9230204183437875E-4</v>
      </c>
      <c r="CH94" s="30">
        <f>1/(BJ94-3)</f>
        <v>1.9241870309794111E-4</v>
      </c>
      <c r="CI94" s="32"/>
    </row>
    <row r="95" spans="1:87" s="119" customFormat="1" ht="16">
      <c r="A95" s="11" t="s">
        <v>68</v>
      </c>
      <c r="B95" s="11" t="s">
        <v>719</v>
      </c>
      <c r="C95" s="99">
        <v>1149</v>
      </c>
      <c r="D95" s="100">
        <v>133</v>
      </c>
      <c r="E95" t="s">
        <v>361</v>
      </c>
      <c r="F95" s="99">
        <v>2019</v>
      </c>
      <c r="G95" t="s">
        <v>362</v>
      </c>
      <c r="H95" t="s">
        <v>363</v>
      </c>
      <c r="I95" s="100">
        <v>2</v>
      </c>
      <c r="J95">
        <v>2016</v>
      </c>
      <c r="K95" s="99" t="s">
        <v>73</v>
      </c>
      <c r="L95" s="100">
        <v>31</v>
      </c>
      <c r="M95" s="99" t="s">
        <v>364</v>
      </c>
      <c r="N95" t="s">
        <v>226</v>
      </c>
      <c r="O95" t="s">
        <v>138</v>
      </c>
      <c r="P95" t="s">
        <v>293</v>
      </c>
      <c r="Q95" t="s">
        <v>306</v>
      </c>
      <c r="R95" t="s">
        <v>335</v>
      </c>
      <c r="S95">
        <v>1</v>
      </c>
      <c r="T95" t="s">
        <v>230</v>
      </c>
      <c r="U95">
        <v>1</v>
      </c>
      <c r="V95" s="99" t="s">
        <v>231</v>
      </c>
      <c r="W95" s="99" t="s">
        <v>231</v>
      </c>
      <c r="X95" s="99" t="s">
        <v>73</v>
      </c>
      <c r="Y95" s="100">
        <v>1</v>
      </c>
      <c r="Z95" s="100">
        <v>0</v>
      </c>
      <c r="AA95" s="100">
        <v>0</v>
      </c>
      <c r="AB95" s="100">
        <v>0</v>
      </c>
      <c r="AC95" s="100">
        <v>0</v>
      </c>
      <c r="AD95" s="100">
        <v>0</v>
      </c>
      <c r="AE95" s="100">
        <v>0</v>
      </c>
      <c r="AF95" s="100">
        <v>0</v>
      </c>
      <c r="AG95" s="100" t="s">
        <v>365</v>
      </c>
      <c r="AH95" s="100">
        <v>0</v>
      </c>
      <c r="AI95" s="100">
        <v>0</v>
      </c>
      <c r="AJ95" s="100">
        <v>0</v>
      </c>
      <c r="AK95" s="100">
        <v>0</v>
      </c>
      <c r="AL95" s="100">
        <v>1</v>
      </c>
      <c r="AM95" s="100">
        <v>0</v>
      </c>
      <c r="AN95" s="100">
        <v>0</v>
      </c>
      <c r="AO95" s="100">
        <v>0</v>
      </c>
      <c r="AP95" s="100">
        <v>0</v>
      </c>
      <c r="AQ95" t="s">
        <v>73</v>
      </c>
      <c r="AR95" t="s">
        <v>233</v>
      </c>
      <c r="AS95" t="s">
        <v>366</v>
      </c>
      <c r="AT95" t="s">
        <v>330</v>
      </c>
      <c r="AU95" s="201">
        <v>1.33</v>
      </c>
      <c r="AV95" s="7" t="s">
        <v>80</v>
      </c>
      <c r="AW95" t="s">
        <v>73</v>
      </c>
      <c r="AX95">
        <v>0.01</v>
      </c>
      <c r="AY95">
        <v>2</v>
      </c>
      <c r="AZ95" s="19">
        <f>TINV(AX95,CC95)</f>
        <v>2.5840895721013624</v>
      </c>
      <c r="BA95" s="19"/>
      <c r="BB95" s="208">
        <f>LN(AU95)</f>
        <v>0.28517894223366247</v>
      </c>
      <c r="BC95" s="102" t="s">
        <v>73</v>
      </c>
      <c r="BD95" s="102" t="s">
        <v>73</v>
      </c>
      <c r="BE95" s="102" t="s">
        <v>73</v>
      </c>
      <c r="BF95" s="102" t="s">
        <v>73</v>
      </c>
      <c r="BG95" s="102" t="s">
        <v>73</v>
      </c>
      <c r="BH95" s="102" t="s">
        <v>73</v>
      </c>
      <c r="BI95" s="100">
        <v>599</v>
      </c>
      <c r="BJ95" s="100">
        <v>599</v>
      </c>
      <c r="BK95" s="100" t="s">
        <v>73</v>
      </c>
      <c r="BL95" s="100" t="s">
        <v>73</v>
      </c>
      <c r="BM95" s="100" t="s">
        <v>73</v>
      </c>
      <c r="BN95" s="100" t="s">
        <v>73</v>
      </c>
      <c r="BO95" s="100" t="s">
        <v>73</v>
      </c>
      <c r="BP95" s="100" t="s">
        <v>73</v>
      </c>
      <c r="BQ95" s="100" t="s">
        <v>73</v>
      </c>
      <c r="BR95" s="100" t="s">
        <v>73</v>
      </c>
      <c r="BS95" s="100" t="s">
        <v>73</v>
      </c>
      <c r="BT95" s="100" t="s">
        <v>73</v>
      </c>
      <c r="BU95" s="100">
        <v>0</v>
      </c>
      <c r="BV95" s="100">
        <v>0</v>
      </c>
      <c r="BW95" s="100">
        <v>1</v>
      </c>
      <c r="BX95" s="30">
        <f>((AZ95^2)/(AZ95^2+BI95))^(1/2)</f>
        <v>0.10499940460515129</v>
      </c>
      <c r="BY95" s="30">
        <f>0.5*LN((1+BX95)/(1-BX95))</f>
        <v>0.10538784580628262</v>
      </c>
      <c r="BZ95" s="30">
        <f>((1-(BY95^2)^2)/(BI95-1))</f>
        <v>1.6720345208693912E-3</v>
      </c>
      <c r="CA95" s="30">
        <f>1/(BI95-3)</f>
        <v>1.6778523489932886E-3</v>
      </c>
      <c r="CB95" s="92" t="s">
        <v>73</v>
      </c>
      <c r="CC95">
        <f>BI95-2</f>
        <v>597</v>
      </c>
      <c r="CD95" s="92" t="s">
        <v>73</v>
      </c>
      <c r="CE95" s="30">
        <f>((AZ95^2)/(AZ95^2+BJ95))^(1/2)</f>
        <v>0.10499940460515129</v>
      </c>
      <c r="CF95" s="30">
        <f>0.5*LN((1+CE95)/(1-CE95))</f>
        <v>0.10538784580628262</v>
      </c>
      <c r="CG95" s="30">
        <f>((1-(CF95^2)^2)/(BJ95-1))</f>
        <v>1.6720345208693912E-3</v>
      </c>
      <c r="CH95" s="30">
        <f>1/(BJ95-3)</f>
        <v>1.6778523489932886E-3</v>
      </c>
      <c r="CI95"/>
    </row>
    <row r="96" spans="1:87" ht="16">
      <c r="A96" s="11" t="s">
        <v>68</v>
      </c>
      <c r="B96" s="11" t="s">
        <v>719</v>
      </c>
      <c r="C96" s="99">
        <v>1150</v>
      </c>
      <c r="D96" s="100">
        <v>133</v>
      </c>
      <c r="E96" t="s">
        <v>361</v>
      </c>
      <c r="F96" s="99">
        <v>2019</v>
      </c>
      <c r="G96" t="s">
        <v>362</v>
      </c>
      <c r="H96" t="s">
        <v>363</v>
      </c>
      <c r="I96" s="100">
        <v>2</v>
      </c>
      <c r="J96">
        <v>2016</v>
      </c>
      <c r="K96" s="99" t="s">
        <v>73</v>
      </c>
      <c r="L96" s="100">
        <v>31</v>
      </c>
      <c r="M96" s="99" t="s">
        <v>364</v>
      </c>
      <c r="N96" t="s">
        <v>226</v>
      </c>
      <c r="O96" t="s">
        <v>138</v>
      </c>
      <c r="P96" t="s">
        <v>293</v>
      </c>
      <c r="Q96" t="s">
        <v>306</v>
      </c>
      <c r="R96" t="s">
        <v>335</v>
      </c>
      <c r="S96">
        <v>1</v>
      </c>
      <c r="T96" t="s">
        <v>230</v>
      </c>
      <c r="U96">
        <v>1</v>
      </c>
      <c r="V96" s="99" t="s">
        <v>231</v>
      </c>
      <c r="W96" s="99" t="s">
        <v>231</v>
      </c>
      <c r="X96" s="99" t="s">
        <v>73</v>
      </c>
      <c r="Y96" s="100">
        <v>1</v>
      </c>
      <c r="Z96" s="100">
        <v>0</v>
      </c>
      <c r="AA96" s="100">
        <v>0</v>
      </c>
      <c r="AB96" s="100">
        <v>0</v>
      </c>
      <c r="AC96" s="100">
        <v>0</v>
      </c>
      <c r="AD96" s="100">
        <v>0</v>
      </c>
      <c r="AE96" s="100">
        <v>0</v>
      </c>
      <c r="AF96" s="100">
        <v>0</v>
      </c>
      <c r="AG96" s="100" t="s">
        <v>367</v>
      </c>
      <c r="AH96" s="100">
        <v>0</v>
      </c>
      <c r="AI96" s="100">
        <v>0</v>
      </c>
      <c r="AJ96" s="100">
        <v>0</v>
      </c>
      <c r="AK96" s="100">
        <v>0</v>
      </c>
      <c r="AL96" s="100">
        <v>1</v>
      </c>
      <c r="AM96" s="100">
        <v>0</v>
      </c>
      <c r="AN96" s="100">
        <v>0</v>
      </c>
      <c r="AO96" s="100">
        <v>0</v>
      </c>
      <c r="AP96" s="100">
        <v>0</v>
      </c>
      <c r="AQ96" t="s">
        <v>73</v>
      </c>
      <c r="AR96" t="s">
        <v>233</v>
      </c>
      <c r="AS96" t="s">
        <v>366</v>
      </c>
      <c r="AT96" t="s">
        <v>330</v>
      </c>
      <c r="AU96" s="201">
        <v>2.82</v>
      </c>
      <c r="AV96" s="7" t="s">
        <v>80</v>
      </c>
      <c r="AW96" t="s">
        <v>73</v>
      </c>
      <c r="AX96">
        <v>1E-3</v>
      </c>
      <c r="AY96">
        <v>1</v>
      </c>
      <c r="AZ96" s="19">
        <f>TINV(AX96,CC96)</f>
        <v>3.3068980114241935</v>
      </c>
      <c r="BA96" s="19"/>
      <c r="BB96" s="208">
        <f>LN(AU96)</f>
        <v>1.0367368849500223</v>
      </c>
      <c r="BC96" s="102" t="s">
        <v>73</v>
      </c>
      <c r="BD96" s="102" t="s">
        <v>73</v>
      </c>
      <c r="BE96" s="102" t="s">
        <v>73</v>
      </c>
      <c r="BF96" s="102" t="s">
        <v>73</v>
      </c>
      <c r="BG96" s="102" t="s">
        <v>73</v>
      </c>
      <c r="BH96" s="102" t="s">
        <v>73</v>
      </c>
      <c r="BI96" s="100">
        <v>599</v>
      </c>
      <c r="BJ96" s="100">
        <v>599</v>
      </c>
      <c r="BK96" s="100" t="s">
        <v>73</v>
      </c>
      <c r="BL96" s="100" t="s">
        <v>73</v>
      </c>
      <c r="BM96" s="100" t="s">
        <v>73</v>
      </c>
      <c r="BN96" s="100" t="s">
        <v>73</v>
      </c>
      <c r="BO96" s="100" t="s">
        <v>73</v>
      </c>
      <c r="BP96" s="100" t="s">
        <v>73</v>
      </c>
      <c r="BQ96" s="100" t="s">
        <v>73</v>
      </c>
      <c r="BR96" s="100" t="s">
        <v>73</v>
      </c>
      <c r="BS96" s="100" t="s">
        <v>73</v>
      </c>
      <c r="BT96" s="100" t="s">
        <v>73</v>
      </c>
      <c r="BU96" s="100">
        <v>0</v>
      </c>
      <c r="BV96" s="100">
        <v>0</v>
      </c>
      <c r="BW96" s="100">
        <v>1</v>
      </c>
      <c r="BX96" s="30">
        <f>((AZ96^2)/(AZ96^2+BI96))^(1/2)</f>
        <v>0.13389945792371422</v>
      </c>
      <c r="BY96" s="30">
        <f>0.5*LN((1+BX96)/(1-BX96))</f>
        <v>0.13470840884771776</v>
      </c>
      <c r="BZ96" s="30">
        <f>((1-(BY96^2)^2)/(BI96-1))</f>
        <v>1.6716901501424388E-3</v>
      </c>
      <c r="CA96" s="30">
        <f>1/(BI96-3)</f>
        <v>1.6778523489932886E-3</v>
      </c>
      <c r="CB96" s="92" t="s">
        <v>73</v>
      </c>
      <c r="CC96">
        <f>BI96-2</f>
        <v>597</v>
      </c>
      <c r="CD96" s="92" t="s">
        <v>73</v>
      </c>
      <c r="CE96" s="30">
        <f>((AZ96^2)/(AZ96^2+BJ96))^(1/2)</f>
        <v>0.13389945792371422</v>
      </c>
      <c r="CF96" s="30">
        <f>0.5*LN((1+CE96)/(1-CE96))</f>
        <v>0.13470840884771776</v>
      </c>
      <c r="CG96" s="30">
        <f>((1-(CF96^2)^2)/(BJ96-1))</f>
        <v>1.6716901501424388E-3</v>
      </c>
      <c r="CH96" s="30">
        <f>1/(BJ96-3)</f>
        <v>1.6778523489932886E-3</v>
      </c>
    </row>
    <row r="97" spans="1:87" ht="16">
      <c r="A97" s="11" t="s">
        <v>68</v>
      </c>
      <c r="B97" s="11" t="s">
        <v>719</v>
      </c>
      <c r="C97" s="99">
        <v>1151</v>
      </c>
      <c r="D97" s="100">
        <v>133</v>
      </c>
      <c r="E97" t="s">
        <v>361</v>
      </c>
      <c r="F97" s="99">
        <v>2019</v>
      </c>
      <c r="G97" t="s">
        <v>362</v>
      </c>
      <c r="H97" t="s">
        <v>363</v>
      </c>
      <c r="I97" s="100">
        <v>2</v>
      </c>
      <c r="J97">
        <v>2016</v>
      </c>
      <c r="K97" s="99" t="s">
        <v>73</v>
      </c>
      <c r="L97" s="100">
        <v>31</v>
      </c>
      <c r="M97" s="99" t="s">
        <v>364</v>
      </c>
      <c r="N97" t="s">
        <v>226</v>
      </c>
      <c r="O97" t="s">
        <v>138</v>
      </c>
      <c r="P97" t="s">
        <v>293</v>
      </c>
      <c r="Q97" t="s">
        <v>306</v>
      </c>
      <c r="R97" t="s">
        <v>335</v>
      </c>
      <c r="S97">
        <v>1</v>
      </c>
      <c r="T97" t="s">
        <v>230</v>
      </c>
      <c r="U97">
        <v>1</v>
      </c>
      <c r="V97" s="99" t="s">
        <v>231</v>
      </c>
      <c r="W97" s="99" t="s">
        <v>231</v>
      </c>
      <c r="X97" s="99" t="s">
        <v>73</v>
      </c>
      <c r="Y97" s="100">
        <v>1</v>
      </c>
      <c r="Z97" s="100">
        <v>1</v>
      </c>
      <c r="AA97" s="100">
        <v>0</v>
      </c>
      <c r="AB97" s="100">
        <v>0</v>
      </c>
      <c r="AC97" s="100">
        <v>0</v>
      </c>
      <c r="AD97" s="100">
        <v>0</v>
      </c>
      <c r="AE97" s="100">
        <v>0</v>
      </c>
      <c r="AF97" s="100">
        <v>0</v>
      </c>
      <c r="AG97" s="100" t="s">
        <v>368</v>
      </c>
      <c r="AH97" s="100">
        <v>0</v>
      </c>
      <c r="AI97" s="100">
        <v>0</v>
      </c>
      <c r="AJ97" s="100">
        <v>0</v>
      </c>
      <c r="AK97" s="100">
        <v>0</v>
      </c>
      <c r="AL97" s="100">
        <v>1</v>
      </c>
      <c r="AM97" s="100">
        <v>0</v>
      </c>
      <c r="AN97" s="100">
        <v>0</v>
      </c>
      <c r="AO97" s="100">
        <v>0</v>
      </c>
      <c r="AP97" s="100">
        <v>0</v>
      </c>
      <c r="AQ97" t="s">
        <v>73</v>
      </c>
      <c r="AR97" t="s">
        <v>233</v>
      </c>
      <c r="AS97" t="s">
        <v>366</v>
      </c>
      <c r="AT97" t="s">
        <v>330</v>
      </c>
      <c r="AU97" s="201">
        <v>3.09</v>
      </c>
      <c r="AV97" s="7" t="s">
        <v>80</v>
      </c>
      <c r="AW97" t="s">
        <v>73</v>
      </c>
      <c r="AX97">
        <v>1E-3</v>
      </c>
      <c r="AY97">
        <v>1</v>
      </c>
      <c r="AZ97" s="19">
        <f>TINV(AX97,CC97)</f>
        <v>3.3068980114241935</v>
      </c>
      <c r="BA97" s="19"/>
      <c r="BB97" s="208">
        <f>LN(AU97)</f>
        <v>1.1281710909096541</v>
      </c>
      <c r="BC97" s="102" t="s">
        <v>73</v>
      </c>
      <c r="BD97" s="102" t="s">
        <v>73</v>
      </c>
      <c r="BE97" s="102" t="s">
        <v>73</v>
      </c>
      <c r="BF97" s="102" t="s">
        <v>73</v>
      </c>
      <c r="BG97" s="102" t="s">
        <v>73</v>
      </c>
      <c r="BH97" s="102" t="s">
        <v>73</v>
      </c>
      <c r="BI97" s="100">
        <v>599</v>
      </c>
      <c r="BJ97" s="100">
        <v>599</v>
      </c>
      <c r="BK97" s="100" t="s">
        <v>73</v>
      </c>
      <c r="BL97" s="100" t="s">
        <v>73</v>
      </c>
      <c r="BM97" s="100" t="s">
        <v>73</v>
      </c>
      <c r="BN97" s="100" t="s">
        <v>73</v>
      </c>
      <c r="BO97" s="100" t="s">
        <v>73</v>
      </c>
      <c r="BP97" s="100" t="s">
        <v>73</v>
      </c>
      <c r="BQ97" s="100" t="s">
        <v>73</v>
      </c>
      <c r="BR97" s="100" t="s">
        <v>73</v>
      </c>
      <c r="BS97" s="100" t="s">
        <v>73</v>
      </c>
      <c r="BT97" s="100" t="s">
        <v>73</v>
      </c>
      <c r="BU97" s="100">
        <v>0</v>
      </c>
      <c r="BV97" s="100">
        <v>0</v>
      </c>
      <c r="BW97" s="100">
        <v>1</v>
      </c>
      <c r="BX97" s="30">
        <f>((AZ97^2)/(AZ97^2+BI97))^(1/2)</f>
        <v>0.13389945792371422</v>
      </c>
      <c r="BY97" s="30">
        <f>0.5*LN((1+BX97)/(1-BX97))</f>
        <v>0.13470840884771776</v>
      </c>
      <c r="BZ97" s="30">
        <f>((1-(BY97^2)^2)/(BI97-1))</f>
        <v>1.6716901501424388E-3</v>
      </c>
      <c r="CA97" s="30">
        <f>1/(BI97-3)</f>
        <v>1.6778523489932886E-3</v>
      </c>
      <c r="CB97" s="92" t="s">
        <v>73</v>
      </c>
      <c r="CC97">
        <f>BI97-2</f>
        <v>597</v>
      </c>
      <c r="CD97" s="92" t="s">
        <v>73</v>
      </c>
      <c r="CE97" s="30">
        <f>((AZ97^2)/(AZ97^2+BJ97))^(1/2)</f>
        <v>0.13389945792371422</v>
      </c>
      <c r="CF97" s="30">
        <f>0.5*LN((1+CE97)/(1-CE97))</f>
        <v>0.13470840884771776</v>
      </c>
      <c r="CG97" s="30">
        <f>((1-(CF97^2)^2)/(BJ97-1))</f>
        <v>1.6716901501424388E-3</v>
      </c>
      <c r="CH97" s="30">
        <f>1/(BJ97-3)</f>
        <v>1.6778523489932886E-3</v>
      </c>
    </row>
    <row r="98" spans="1:87" ht="16">
      <c r="A98" s="11" t="s">
        <v>68</v>
      </c>
      <c r="B98" s="11" t="s">
        <v>719</v>
      </c>
      <c r="C98" s="99">
        <v>1152</v>
      </c>
      <c r="D98" s="100">
        <v>133</v>
      </c>
      <c r="E98" t="s">
        <v>361</v>
      </c>
      <c r="F98" s="99">
        <v>2019</v>
      </c>
      <c r="G98" t="s">
        <v>362</v>
      </c>
      <c r="H98" t="s">
        <v>363</v>
      </c>
      <c r="I98" s="100">
        <v>2</v>
      </c>
      <c r="J98">
        <v>2016</v>
      </c>
      <c r="K98" s="99" t="s">
        <v>73</v>
      </c>
      <c r="L98" s="100">
        <v>31</v>
      </c>
      <c r="M98" s="99" t="s">
        <v>364</v>
      </c>
      <c r="N98" t="s">
        <v>226</v>
      </c>
      <c r="O98" t="s">
        <v>138</v>
      </c>
      <c r="P98" t="s">
        <v>293</v>
      </c>
      <c r="Q98" t="s">
        <v>306</v>
      </c>
      <c r="R98" t="s">
        <v>335</v>
      </c>
      <c r="S98">
        <v>1</v>
      </c>
      <c r="T98" t="s">
        <v>230</v>
      </c>
      <c r="U98">
        <v>1</v>
      </c>
      <c r="V98" s="99" t="s">
        <v>231</v>
      </c>
      <c r="W98" s="99" t="s">
        <v>231</v>
      </c>
      <c r="X98" s="99" t="s">
        <v>73</v>
      </c>
      <c r="Y98" s="100">
        <v>1</v>
      </c>
      <c r="Z98" s="100">
        <v>1</v>
      </c>
      <c r="AA98" s="100">
        <v>0</v>
      </c>
      <c r="AB98" s="100">
        <v>0</v>
      </c>
      <c r="AC98" s="100">
        <v>0</v>
      </c>
      <c r="AD98" s="100">
        <v>0</v>
      </c>
      <c r="AE98" s="100">
        <v>0</v>
      </c>
      <c r="AF98" s="100">
        <v>0</v>
      </c>
      <c r="AG98" s="100" t="s">
        <v>369</v>
      </c>
      <c r="AH98" s="100">
        <v>0</v>
      </c>
      <c r="AI98" s="100">
        <v>0</v>
      </c>
      <c r="AJ98" s="100">
        <v>0</v>
      </c>
      <c r="AK98" s="100">
        <v>0</v>
      </c>
      <c r="AL98" s="100">
        <v>1</v>
      </c>
      <c r="AM98" s="100">
        <v>0</v>
      </c>
      <c r="AN98" s="100">
        <v>0</v>
      </c>
      <c r="AO98" s="100">
        <v>0</v>
      </c>
      <c r="AP98" s="100">
        <v>0</v>
      </c>
      <c r="AQ98" t="s">
        <v>73</v>
      </c>
      <c r="AR98" t="s">
        <v>233</v>
      </c>
      <c r="AS98" t="s">
        <v>366</v>
      </c>
      <c r="AT98" t="s">
        <v>330</v>
      </c>
      <c r="AU98" s="201">
        <v>3.63</v>
      </c>
      <c r="AV98" s="7" t="s">
        <v>80</v>
      </c>
      <c r="AW98" t="s">
        <v>73</v>
      </c>
      <c r="AX98">
        <v>1E-3</v>
      </c>
      <c r="AY98">
        <v>1</v>
      </c>
      <c r="AZ98" s="19">
        <f>TINV(AX98,CC98)</f>
        <v>3.3068980114241935</v>
      </c>
      <c r="BA98" s="19"/>
      <c r="BB98" s="208">
        <f>LN(AU98)</f>
        <v>1.2892326482767593</v>
      </c>
      <c r="BC98" s="102" t="s">
        <v>73</v>
      </c>
      <c r="BD98" s="102" t="s">
        <v>73</v>
      </c>
      <c r="BE98" s="102" t="s">
        <v>73</v>
      </c>
      <c r="BF98" s="102" t="s">
        <v>73</v>
      </c>
      <c r="BG98" s="102" t="s">
        <v>73</v>
      </c>
      <c r="BH98" s="102" t="s">
        <v>73</v>
      </c>
      <c r="BI98" s="100">
        <v>599</v>
      </c>
      <c r="BJ98" s="100">
        <v>599</v>
      </c>
      <c r="BK98" s="100" t="s">
        <v>73</v>
      </c>
      <c r="BL98" s="100" t="s">
        <v>73</v>
      </c>
      <c r="BM98" s="100" t="s">
        <v>73</v>
      </c>
      <c r="BN98" s="100" t="s">
        <v>73</v>
      </c>
      <c r="BO98" s="100" t="s">
        <v>73</v>
      </c>
      <c r="BP98" s="100" t="s">
        <v>73</v>
      </c>
      <c r="BQ98" s="100" t="s">
        <v>73</v>
      </c>
      <c r="BR98" s="100" t="s">
        <v>73</v>
      </c>
      <c r="BS98" s="100" t="s">
        <v>73</v>
      </c>
      <c r="BT98" s="100" t="s">
        <v>73</v>
      </c>
      <c r="BU98" s="100">
        <v>0</v>
      </c>
      <c r="BV98" s="100">
        <v>0</v>
      </c>
      <c r="BW98" s="100">
        <v>1</v>
      </c>
      <c r="BX98" s="30">
        <f>((AZ98^2)/(AZ98^2+BI98))^(1/2)</f>
        <v>0.13389945792371422</v>
      </c>
      <c r="BY98" s="30">
        <f>0.5*LN((1+BX98)/(1-BX98))</f>
        <v>0.13470840884771776</v>
      </c>
      <c r="BZ98" s="30">
        <f>((1-(BY98^2)^2)/(BI98-1))</f>
        <v>1.6716901501424388E-3</v>
      </c>
      <c r="CA98" s="30">
        <f>1/(BI98-3)</f>
        <v>1.6778523489932886E-3</v>
      </c>
      <c r="CB98" s="92" t="s">
        <v>73</v>
      </c>
      <c r="CC98">
        <f>BI98-2</f>
        <v>597</v>
      </c>
      <c r="CD98" s="92" t="s">
        <v>73</v>
      </c>
      <c r="CE98" s="30">
        <f>((AZ98^2)/(AZ98^2+BJ98))^(1/2)</f>
        <v>0.13389945792371422</v>
      </c>
      <c r="CF98" s="30">
        <f>0.5*LN((1+CE98)/(1-CE98))</f>
        <v>0.13470840884771776</v>
      </c>
      <c r="CG98" s="30">
        <f>((1-(CF98^2)^2)/(BJ98-1))</f>
        <v>1.6716901501424388E-3</v>
      </c>
      <c r="CH98" s="30">
        <f>1/(BJ98-3)</f>
        <v>1.6778523489932886E-3</v>
      </c>
    </row>
    <row r="99" spans="1:87" ht="16">
      <c r="A99" s="108" t="s">
        <v>68</v>
      </c>
      <c r="B99" s="108" t="s">
        <v>719</v>
      </c>
      <c r="C99" s="108">
        <v>1153</v>
      </c>
      <c r="D99" s="135">
        <v>135</v>
      </c>
      <c r="E99" t="s">
        <v>370</v>
      </c>
      <c r="F99" s="108">
        <v>2014</v>
      </c>
      <c r="G99" t="s">
        <v>371</v>
      </c>
      <c r="H99" t="s">
        <v>372</v>
      </c>
      <c r="I99" s="135">
        <v>2</v>
      </c>
      <c r="J99">
        <v>2012</v>
      </c>
      <c r="K99" s="108" t="s">
        <v>73</v>
      </c>
      <c r="L99" s="135">
        <v>12</v>
      </c>
      <c r="M99" s="18" t="s">
        <v>273</v>
      </c>
      <c r="N99" t="s">
        <v>241</v>
      </c>
      <c r="O99" t="s">
        <v>373</v>
      </c>
      <c r="P99" t="s">
        <v>293</v>
      </c>
      <c r="Q99" t="s">
        <v>306</v>
      </c>
      <c r="R99" t="s">
        <v>335</v>
      </c>
      <c r="S99">
        <v>0</v>
      </c>
      <c r="T99" t="s">
        <v>230</v>
      </c>
      <c r="U99">
        <v>0</v>
      </c>
      <c r="V99" s="108" t="s">
        <v>231</v>
      </c>
      <c r="W99" s="108" t="s">
        <v>231</v>
      </c>
      <c r="X99" s="108" t="s">
        <v>73</v>
      </c>
      <c r="Y99" s="135">
        <v>0</v>
      </c>
      <c r="Z99" s="135">
        <v>0</v>
      </c>
      <c r="AA99" s="135">
        <v>1</v>
      </c>
      <c r="AB99" s="135">
        <v>0</v>
      </c>
      <c r="AC99" s="135">
        <v>0</v>
      </c>
      <c r="AD99" s="135">
        <v>0</v>
      </c>
      <c r="AE99" s="135">
        <v>0</v>
      </c>
      <c r="AF99" s="135">
        <v>0</v>
      </c>
      <c r="AG99" s="135" t="s">
        <v>374</v>
      </c>
      <c r="AH99" s="135">
        <v>0</v>
      </c>
      <c r="AI99" s="135">
        <v>0</v>
      </c>
      <c r="AJ99" s="135">
        <v>0</v>
      </c>
      <c r="AK99" s="135">
        <v>1</v>
      </c>
      <c r="AL99" s="135">
        <v>0</v>
      </c>
      <c r="AM99" s="135">
        <v>0</v>
      </c>
      <c r="AN99" s="135">
        <v>0</v>
      </c>
      <c r="AO99" s="135">
        <v>0</v>
      </c>
      <c r="AP99" s="135">
        <v>0</v>
      </c>
      <c r="AQ99" t="s">
        <v>73</v>
      </c>
      <c r="AR99" t="s">
        <v>233</v>
      </c>
      <c r="AS99" t="s">
        <v>375</v>
      </c>
      <c r="AT99" t="s">
        <v>235</v>
      </c>
      <c r="AU99" s="134">
        <v>0.30480000000000002</v>
      </c>
      <c r="AV99" s="7" t="s">
        <v>80</v>
      </c>
      <c r="AW99" t="s">
        <v>73</v>
      </c>
      <c r="AX99">
        <v>1.6999999999999999E-3</v>
      </c>
      <c r="AY99">
        <v>3</v>
      </c>
      <c r="AZ99" s="102">
        <f>TINV(AX99,CC99)</f>
        <v>3.1553563075360742</v>
      </c>
      <c r="BA99" s="102" t="s">
        <v>73</v>
      </c>
      <c r="BB99" s="105">
        <f>EXP(AU99)/(1+EXP(AU99))</f>
        <v>0.5756154953221887</v>
      </c>
      <c r="BC99" t="s">
        <v>73</v>
      </c>
      <c r="BD99" t="s">
        <v>73</v>
      </c>
      <c r="BE99" t="s">
        <v>73</v>
      </c>
      <c r="BF99" t="s">
        <v>73</v>
      </c>
      <c r="BG99" t="s">
        <v>73</v>
      </c>
      <c r="BH99" t="s">
        <v>73</v>
      </c>
      <c r="BI99" s="135">
        <v>500</v>
      </c>
      <c r="BJ99" s="135">
        <v>2000</v>
      </c>
      <c r="BK99" s="135" t="s">
        <v>73</v>
      </c>
      <c r="BL99" s="135" t="s">
        <v>73</v>
      </c>
      <c r="BM99" s="135" t="s">
        <v>73</v>
      </c>
      <c r="BN99" s="135" t="s">
        <v>73</v>
      </c>
      <c r="BO99" s="135" t="s">
        <v>73</v>
      </c>
      <c r="BP99">
        <v>0</v>
      </c>
      <c r="BQ99" s="135" t="s">
        <v>73</v>
      </c>
      <c r="BR99">
        <v>1</v>
      </c>
      <c r="BS99" s="144" t="s">
        <v>73</v>
      </c>
      <c r="BT99" t="s">
        <v>343</v>
      </c>
      <c r="BU99" s="135">
        <v>0</v>
      </c>
      <c r="BV99" s="135">
        <v>0</v>
      </c>
      <c r="BW99" s="135">
        <v>1</v>
      </c>
      <c r="BX99" s="30">
        <f>((AZ99^2)/(AZ99^2+BI99))^(1/2)</f>
        <v>0.13972751589048554</v>
      </c>
      <c r="BY99" s="30">
        <f>0.5*LN((1+BX99)/(1-BX99))</f>
        <v>0.14064765530909937</v>
      </c>
      <c r="BZ99" s="30">
        <f>((1-(BY99^2)^2)/(BI99-1))</f>
        <v>2.0032238113323235E-3</v>
      </c>
      <c r="CA99" s="30">
        <f>1/(BI99-3)</f>
        <v>2.012072434607646E-3</v>
      </c>
      <c r="CB99" s="92" t="s">
        <v>73</v>
      </c>
      <c r="CC99">
        <f>BI99-2</f>
        <v>498</v>
      </c>
      <c r="CD99" s="92" t="s">
        <v>73</v>
      </c>
      <c r="CE99" s="30">
        <f>((AZ99^2)/(AZ99^2+BJ99))^(1/2)</f>
        <v>7.0380946462294966E-2</v>
      </c>
      <c r="CF99" s="30">
        <f>0.5*LN((1+CE99)/(1-CE99))</f>
        <v>7.0497503223529642E-2</v>
      </c>
      <c r="CG99" s="30">
        <f>((1-(CF99^2)^2)/(BJ99-1))</f>
        <v>5.0023776894160066E-4</v>
      </c>
      <c r="CH99" s="30">
        <f>1/(BJ99-3)</f>
        <v>5.00751126690035E-4</v>
      </c>
      <c r="CI99" s="32"/>
    </row>
    <row r="100" spans="1:87" ht="16">
      <c r="A100" s="108" t="s">
        <v>68</v>
      </c>
      <c r="B100" s="108" t="s">
        <v>719</v>
      </c>
      <c r="C100" s="108">
        <v>1154</v>
      </c>
      <c r="D100" s="135">
        <v>135</v>
      </c>
      <c r="E100" t="s">
        <v>370</v>
      </c>
      <c r="F100" s="108">
        <v>2014</v>
      </c>
      <c r="G100" t="s">
        <v>371</v>
      </c>
      <c r="H100" t="s">
        <v>372</v>
      </c>
      <c r="I100" s="135">
        <v>2</v>
      </c>
      <c r="J100">
        <v>2012</v>
      </c>
      <c r="K100" s="108" t="s">
        <v>73</v>
      </c>
      <c r="L100" s="135">
        <v>12</v>
      </c>
      <c r="M100" s="18" t="s">
        <v>260</v>
      </c>
      <c r="N100" t="s">
        <v>241</v>
      </c>
      <c r="O100" t="s">
        <v>373</v>
      </c>
      <c r="P100" t="s">
        <v>293</v>
      </c>
      <c r="Q100" t="s">
        <v>306</v>
      </c>
      <c r="R100" t="s">
        <v>335</v>
      </c>
      <c r="S100">
        <v>0</v>
      </c>
      <c r="T100" t="s">
        <v>230</v>
      </c>
      <c r="U100">
        <v>0</v>
      </c>
      <c r="V100" s="108" t="s">
        <v>231</v>
      </c>
      <c r="W100" s="108" t="s">
        <v>231</v>
      </c>
      <c r="X100" s="108" t="s">
        <v>73</v>
      </c>
      <c r="Y100" s="135">
        <v>0</v>
      </c>
      <c r="Z100" s="135">
        <v>0</v>
      </c>
      <c r="AA100" s="135">
        <v>1</v>
      </c>
      <c r="AB100" s="135">
        <v>0</v>
      </c>
      <c r="AC100" s="135">
        <v>0</v>
      </c>
      <c r="AD100" s="135">
        <v>0</v>
      </c>
      <c r="AE100" s="135">
        <v>0</v>
      </c>
      <c r="AF100" s="135">
        <v>0</v>
      </c>
      <c r="AG100" s="135" t="s">
        <v>374</v>
      </c>
      <c r="AH100" s="135">
        <v>0</v>
      </c>
      <c r="AI100" s="135">
        <v>0</v>
      </c>
      <c r="AJ100" s="135">
        <v>0</v>
      </c>
      <c r="AK100" s="135">
        <v>1</v>
      </c>
      <c r="AL100" s="135">
        <v>0</v>
      </c>
      <c r="AM100" s="135">
        <v>0</v>
      </c>
      <c r="AN100" s="135">
        <v>0</v>
      </c>
      <c r="AO100" s="135">
        <v>0</v>
      </c>
      <c r="AP100" s="135">
        <v>0</v>
      </c>
      <c r="AQ100" t="s">
        <v>73</v>
      </c>
      <c r="AR100" t="s">
        <v>233</v>
      </c>
      <c r="AS100" t="s">
        <v>375</v>
      </c>
      <c r="AT100" t="s">
        <v>235</v>
      </c>
      <c r="AU100" s="134">
        <v>0.25530000000000003</v>
      </c>
      <c r="AV100" s="7" t="s">
        <v>80</v>
      </c>
      <c r="AW100" t="s">
        <v>73</v>
      </c>
      <c r="AX100">
        <v>1.23E-2</v>
      </c>
      <c r="AY100">
        <v>3</v>
      </c>
      <c r="AZ100" s="102">
        <f>TINV(AX100,CC100)</f>
        <v>2.5125829401851192</v>
      </c>
      <c r="BA100" s="102" t="s">
        <v>73</v>
      </c>
      <c r="BB100" s="105">
        <f>EXP(AU100)/(1+EXP(AU100))</f>
        <v>0.56348057873179402</v>
      </c>
      <c r="BC100" t="s">
        <v>73</v>
      </c>
      <c r="BD100" t="s">
        <v>73</v>
      </c>
      <c r="BE100" t="s">
        <v>73</v>
      </c>
      <c r="BF100" t="s">
        <v>73</v>
      </c>
      <c r="BG100" t="s">
        <v>73</v>
      </c>
      <c r="BH100" t="s">
        <v>73</v>
      </c>
      <c r="BI100" s="135">
        <v>500</v>
      </c>
      <c r="BJ100" s="135">
        <v>2000</v>
      </c>
      <c r="BK100" s="135" t="s">
        <v>73</v>
      </c>
      <c r="BL100" s="135" t="s">
        <v>73</v>
      </c>
      <c r="BM100" s="135" t="s">
        <v>73</v>
      </c>
      <c r="BN100" s="135" t="s">
        <v>73</v>
      </c>
      <c r="BO100" s="135" t="s">
        <v>73</v>
      </c>
      <c r="BP100">
        <v>0</v>
      </c>
      <c r="BQ100" s="135" t="s">
        <v>73</v>
      </c>
      <c r="BR100">
        <v>1</v>
      </c>
      <c r="BS100" s="144" t="s">
        <v>73</v>
      </c>
      <c r="BT100" t="s">
        <v>343</v>
      </c>
      <c r="BU100" s="135">
        <v>0</v>
      </c>
      <c r="BV100" s="135">
        <v>0</v>
      </c>
      <c r="BW100" s="135">
        <v>1</v>
      </c>
      <c r="BX100" s="30">
        <f>((AZ100^2)/(AZ100^2+BI100))^(1/2)</f>
        <v>0.11166339711480726</v>
      </c>
      <c r="BY100" s="30">
        <f>0.5*LN((1+BX100)/(1-BX100))</f>
        <v>0.11213100003996684</v>
      </c>
      <c r="BZ100" s="30">
        <f>((1-(BY100^2)^2)/(BI100-1))</f>
        <v>2.0036912035849494E-3</v>
      </c>
      <c r="CA100" s="30">
        <f>1/(BI100-3)</f>
        <v>2.012072434607646E-3</v>
      </c>
      <c r="CB100" s="92" t="s">
        <v>73</v>
      </c>
      <c r="CC100">
        <f>BI100-2</f>
        <v>498</v>
      </c>
      <c r="CD100" s="92" t="s">
        <v>73</v>
      </c>
      <c r="CE100" s="30">
        <f>((AZ100^2)/(AZ100^2+BJ100))^(1/2)</f>
        <v>5.6094599960881869E-2</v>
      </c>
      <c r="CF100" s="30">
        <f>0.5*LN((1+CE100)/(1-CE100))</f>
        <v>5.6153547124580094E-2</v>
      </c>
      <c r="CG100" s="30">
        <f>((1-(CF100^2)^2)/(BJ100-1))</f>
        <v>5.0024515117470813E-4</v>
      </c>
      <c r="CH100" s="30">
        <f>1/(BJ100-3)</f>
        <v>5.00751126690035E-4</v>
      </c>
    </row>
    <row r="101" spans="1:87" ht="16">
      <c r="A101" s="108" t="s">
        <v>68</v>
      </c>
      <c r="B101" s="108" t="s">
        <v>719</v>
      </c>
      <c r="C101" s="108">
        <v>1157</v>
      </c>
      <c r="D101" s="135">
        <v>136</v>
      </c>
      <c r="E101" t="s">
        <v>376</v>
      </c>
      <c r="F101" s="108">
        <v>2010</v>
      </c>
      <c r="G101" t="s">
        <v>377</v>
      </c>
      <c r="H101" t="s">
        <v>378</v>
      </c>
      <c r="I101" s="135">
        <v>2</v>
      </c>
      <c r="J101">
        <v>2006</v>
      </c>
      <c r="K101" s="108" t="s">
        <v>73</v>
      </c>
      <c r="L101" s="135">
        <v>313</v>
      </c>
      <c r="M101" s="18" t="s">
        <v>379</v>
      </c>
      <c r="N101" s="92" t="s">
        <v>226</v>
      </c>
      <c r="O101" t="s">
        <v>148</v>
      </c>
      <c r="P101" t="s">
        <v>293</v>
      </c>
      <c r="Q101" t="s">
        <v>306</v>
      </c>
      <c r="R101" t="s">
        <v>335</v>
      </c>
      <c r="S101">
        <v>0</v>
      </c>
      <c r="T101" t="s">
        <v>230</v>
      </c>
      <c r="U101">
        <v>1</v>
      </c>
      <c r="V101" s="108" t="s">
        <v>231</v>
      </c>
      <c r="W101" s="108" t="s">
        <v>231</v>
      </c>
      <c r="X101" s="108" t="s">
        <v>73</v>
      </c>
      <c r="Y101" s="135">
        <v>0</v>
      </c>
      <c r="Z101" s="135">
        <v>1</v>
      </c>
      <c r="AA101" s="135">
        <v>0</v>
      </c>
      <c r="AB101" s="135">
        <v>0</v>
      </c>
      <c r="AC101" s="135">
        <v>0</v>
      </c>
      <c r="AD101" s="135">
        <v>0</v>
      </c>
      <c r="AE101" s="135">
        <v>0</v>
      </c>
      <c r="AF101" s="135">
        <v>0</v>
      </c>
      <c r="AG101" s="135" t="s">
        <v>380</v>
      </c>
      <c r="AH101" s="135">
        <v>0</v>
      </c>
      <c r="AI101" s="135">
        <v>0</v>
      </c>
      <c r="AJ101" s="135">
        <v>0</v>
      </c>
      <c r="AK101" s="135">
        <v>1</v>
      </c>
      <c r="AL101" s="135">
        <v>0</v>
      </c>
      <c r="AM101" s="135">
        <v>0</v>
      </c>
      <c r="AN101" s="135">
        <v>0</v>
      </c>
      <c r="AO101" s="135">
        <v>0</v>
      </c>
      <c r="AP101" s="135">
        <v>0</v>
      </c>
      <c r="AQ101" t="s">
        <v>381</v>
      </c>
      <c r="AR101" t="s">
        <v>233</v>
      </c>
      <c r="AS101" t="s">
        <v>382</v>
      </c>
      <c r="AT101" t="s">
        <v>264</v>
      </c>
      <c r="AU101" s="134">
        <v>0.19</v>
      </c>
      <c r="AV101" s="7" t="s">
        <v>86</v>
      </c>
      <c r="AW101">
        <f>AU101/AZ101</f>
        <v>7.8512396694214878E-2</v>
      </c>
      <c r="AX101">
        <v>1.4999999999999999E-2</v>
      </c>
      <c r="AY101">
        <v>3</v>
      </c>
      <c r="AZ101">
        <v>2.42</v>
      </c>
      <c r="BB101" s="94">
        <f>AU101</f>
        <v>0.19</v>
      </c>
      <c r="BC101" t="s">
        <v>73</v>
      </c>
      <c r="BD101" t="s">
        <v>73</v>
      </c>
      <c r="BE101" t="s">
        <v>73</v>
      </c>
      <c r="BF101" t="s">
        <v>73</v>
      </c>
      <c r="BG101" t="s">
        <v>73</v>
      </c>
      <c r="BH101" t="s">
        <v>73</v>
      </c>
      <c r="BI101" s="103">
        <v>2910</v>
      </c>
      <c r="BJ101" s="135">
        <v>2910</v>
      </c>
      <c r="BK101" s="135" t="s">
        <v>73</v>
      </c>
      <c r="BL101" s="135" t="s">
        <v>73</v>
      </c>
      <c r="BM101" s="135" t="s">
        <v>73</v>
      </c>
      <c r="BN101" s="135" t="s">
        <v>73</v>
      </c>
      <c r="BO101" s="135" t="s">
        <v>73</v>
      </c>
      <c r="BP101" s="135" t="s">
        <v>73</v>
      </c>
      <c r="BQ101" s="135" t="s">
        <v>73</v>
      </c>
      <c r="BR101" s="135" t="s">
        <v>73</v>
      </c>
      <c r="BS101" s="135" t="s">
        <v>73</v>
      </c>
      <c r="BT101" s="135" t="s">
        <v>73</v>
      </c>
      <c r="BU101" s="135">
        <v>0</v>
      </c>
      <c r="BV101" s="135">
        <v>0</v>
      </c>
      <c r="BW101" s="135">
        <v>0</v>
      </c>
      <c r="BX101" s="30">
        <f>((AZ101^2)/(AZ101^2+BI101))^(1/2)</f>
        <v>4.4815918320490998E-2</v>
      </c>
      <c r="BY101" s="30">
        <f>0.5*LN((1+BX101)/(1-BX101))</f>
        <v>4.4845958286761807E-2</v>
      </c>
      <c r="BZ101" s="30">
        <f>((1-(BY101^2)^2)/(BI101-1))</f>
        <v>3.4375935209197533E-4</v>
      </c>
      <c r="CA101" s="30">
        <f>1/(BI101-3)</f>
        <v>3.4399724802201581E-4</v>
      </c>
      <c r="CB101" s="92" t="s">
        <v>73</v>
      </c>
      <c r="CC101">
        <f>BI101-2</f>
        <v>2908</v>
      </c>
      <c r="CD101" s="92" t="s">
        <v>73</v>
      </c>
      <c r="CE101" s="30">
        <f>((AZ101^2)/(AZ101^2+BJ101))^(1/2)</f>
        <v>4.4815918320490998E-2</v>
      </c>
      <c r="CF101" s="30">
        <f>0.5*LN((1+CE101)/(1-CE101))</f>
        <v>4.4845958286761807E-2</v>
      </c>
      <c r="CG101" s="30">
        <f>((1-(CF101^2)^2)/(BJ101-1))</f>
        <v>3.4375935209197533E-4</v>
      </c>
      <c r="CH101" s="30">
        <f>1/(BJ101-3)</f>
        <v>3.4399724802201581E-4</v>
      </c>
      <c r="CI101" s="92"/>
    </row>
    <row r="102" spans="1:87" ht="16">
      <c r="A102" s="108" t="s">
        <v>68</v>
      </c>
      <c r="B102" s="108" t="s">
        <v>719</v>
      </c>
      <c r="C102" s="108">
        <v>1158</v>
      </c>
      <c r="D102" s="135">
        <v>136</v>
      </c>
      <c r="E102" t="s">
        <v>376</v>
      </c>
      <c r="F102" s="108">
        <v>2010</v>
      </c>
      <c r="G102" t="s">
        <v>377</v>
      </c>
      <c r="H102" t="s">
        <v>378</v>
      </c>
      <c r="I102" s="135">
        <v>2</v>
      </c>
      <c r="J102">
        <v>2006</v>
      </c>
      <c r="K102" s="108" t="s">
        <v>73</v>
      </c>
      <c r="L102" s="135">
        <v>313</v>
      </c>
      <c r="M102" s="18" t="s">
        <v>379</v>
      </c>
      <c r="N102" s="92" t="s">
        <v>226</v>
      </c>
      <c r="O102" t="s">
        <v>148</v>
      </c>
      <c r="P102" t="s">
        <v>293</v>
      </c>
      <c r="Q102" t="s">
        <v>306</v>
      </c>
      <c r="R102" t="s">
        <v>335</v>
      </c>
      <c r="S102">
        <v>0</v>
      </c>
      <c r="T102" t="s">
        <v>230</v>
      </c>
      <c r="U102">
        <v>1</v>
      </c>
      <c r="V102" s="108" t="s">
        <v>231</v>
      </c>
      <c r="W102" s="108" t="s">
        <v>383</v>
      </c>
      <c r="X102" s="108" t="s">
        <v>73</v>
      </c>
      <c r="Y102" s="135">
        <v>0</v>
      </c>
      <c r="Z102" s="135">
        <v>1</v>
      </c>
      <c r="AA102" s="135">
        <v>0</v>
      </c>
      <c r="AB102" s="135">
        <v>0</v>
      </c>
      <c r="AC102" s="135">
        <v>0</v>
      </c>
      <c r="AD102" s="135">
        <v>0</v>
      </c>
      <c r="AE102" s="135">
        <v>0</v>
      </c>
      <c r="AF102" s="135">
        <v>0</v>
      </c>
      <c r="AG102" s="135" t="s">
        <v>380</v>
      </c>
      <c r="AH102" s="135">
        <v>0</v>
      </c>
      <c r="AI102" s="135">
        <v>0</v>
      </c>
      <c r="AJ102" s="135">
        <v>0</v>
      </c>
      <c r="AK102" s="135">
        <v>1</v>
      </c>
      <c r="AL102" s="135">
        <v>0</v>
      </c>
      <c r="AM102" s="135">
        <v>0</v>
      </c>
      <c r="AN102" s="135">
        <v>0</v>
      </c>
      <c r="AO102" s="135">
        <v>0</v>
      </c>
      <c r="AP102" s="135">
        <v>0</v>
      </c>
      <c r="AQ102" t="s">
        <v>381</v>
      </c>
      <c r="AR102" t="s">
        <v>233</v>
      </c>
      <c r="AS102" t="s">
        <v>382</v>
      </c>
      <c r="AT102" t="s">
        <v>264</v>
      </c>
      <c r="AU102" s="134">
        <v>0.21</v>
      </c>
      <c r="AV102" s="7" t="s">
        <v>86</v>
      </c>
      <c r="AW102">
        <f>AU102/AZ102</f>
        <v>7.6363636363636356E-2</v>
      </c>
      <c r="AX102">
        <v>6.0000000000000001E-3</v>
      </c>
      <c r="AY102">
        <v>3</v>
      </c>
      <c r="AZ102">
        <v>2.75</v>
      </c>
      <c r="BB102" s="94">
        <f>AU102</f>
        <v>0.21</v>
      </c>
      <c r="BC102" t="s">
        <v>73</v>
      </c>
      <c r="BD102" t="s">
        <v>73</v>
      </c>
      <c r="BE102" t="s">
        <v>73</v>
      </c>
      <c r="BF102" t="s">
        <v>73</v>
      </c>
      <c r="BG102" t="s">
        <v>73</v>
      </c>
      <c r="BH102" t="s">
        <v>73</v>
      </c>
      <c r="BI102" s="103">
        <v>2910</v>
      </c>
      <c r="BJ102" s="135">
        <v>2910</v>
      </c>
      <c r="BK102" s="135" t="s">
        <v>73</v>
      </c>
      <c r="BL102" s="135" t="s">
        <v>73</v>
      </c>
      <c r="BM102" s="135" t="s">
        <v>73</v>
      </c>
      <c r="BN102" s="135" t="s">
        <v>73</v>
      </c>
      <c r="BO102" s="135" t="s">
        <v>73</v>
      </c>
      <c r="BP102" s="135" t="s">
        <v>73</v>
      </c>
      <c r="BQ102" s="135" t="s">
        <v>73</v>
      </c>
      <c r="BR102" s="135" t="s">
        <v>73</v>
      </c>
      <c r="BS102" s="135" t="s">
        <v>73</v>
      </c>
      <c r="BT102" s="135" t="s">
        <v>73</v>
      </c>
      <c r="BU102" s="135">
        <v>0</v>
      </c>
      <c r="BV102" s="135">
        <v>0</v>
      </c>
      <c r="BW102" s="135">
        <v>0</v>
      </c>
      <c r="BX102" s="30">
        <f>((AZ102^2)/(AZ102^2+BI102))^(1/2)</f>
        <v>5.0912287415050349E-2</v>
      </c>
      <c r="BY102" s="30">
        <f>0.5*LN((1+BX102)/(1-BX102))</f>
        <v>5.0956345207376796E-2</v>
      </c>
      <c r="BZ102" s="30">
        <f>((1-(BY102^2)^2)/(BI102-1))</f>
        <v>3.4375842486513699E-4</v>
      </c>
      <c r="CA102" s="30">
        <f>1/(BI102-3)</f>
        <v>3.4399724802201581E-4</v>
      </c>
      <c r="CB102" s="92" t="s">
        <v>73</v>
      </c>
      <c r="CC102">
        <f>BI102-2</f>
        <v>2908</v>
      </c>
      <c r="CD102" s="92" t="s">
        <v>73</v>
      </c>
      <c r="CE102" s="30">
        <f>((AZ102^2)/(AZ102^2+BJ102))^(1/2)</f>
        <v>5.0912287415050349E-2</v>
      </c>
      <c r="CF102" s="30">
        <f>0.5*LN((1+CE102)/(1-CE102))</f>
        <v>5.0956345207376796E-2</v>
      </c>
      <c r="CG102" s="30">
        <f>((1-(CF102^2)^2)/(BJ102-1))</f>
        <v>3.4375842486513699E-4</v>
      </c>
      <c r="CH102" s="30">
        <f>1/(BJ102-3)</f>
        <v>3.4399724802201581E-4</v>
      </c>
      <c r="CI102" s="92"/>
    </row>
    <row r="103" spans="1:87" ht="16">
      <c r="A103" s="165" t="s">
        <v>68</v>
      </c>
      <c r="B103" s="95" t="s">
        <v>719</v>
      </c>
      <c r="C103" s="165">
        <v>1193</v>
      </c>
      <c r="D103" s="165">
        <v>145</v>
      </c>
      <c r="E103" s="165" t="s">
        <v>384</v>
      </c>
      <c r="F103" s="165">
        <v>2018</v>
      </c>
      <c r="G103" s="165" t="s">
        <v>385</v>
      </c>
      <c r="H103" s="165" t="s">
        <v>386</v>
      </c>
      <c r="I103" s="165">
        <v>1</v>
      </c>
      <c r="J103" s="165">
        <v>2015</v>
      </c>
      <c r="K103" s="165" t="s">
        <v>73</v>
      </c>
      <c r="L103" s="165">
        <v>122</v>
      </c>
      <c r="M103" s="189" t="s">
        <v>107</v>
      </c>
      <c r="N103" s="165" t="s">
        <v>112</v>
      </c>
      <c r="O103" s="165" t="s">
        <v>156</v>
      </c>
      <c r="P103" s="165" t="s">
        <v>227</v>
      </c>
      <c r="Q103" s="165" t="s">
        <v>306</v>
      </c>
      <c r="R103" s="165" t="s">
        <v>335</v>
      </c>
      <c r="S103" s="165">
        <v>0</v>
      </c>
      <c r="T103" s="165" t="s">
        <v>230</v>
      </c>
      <c r="U103" s="165">
        <v>0</v>
      </c>
      <c r="V103" s="165" t="s">
        <v>245</v>
      </c>
      <c r="W103" s="165" t="s">
        <v>245</v>
      </c>
      <c r="X103" s="165" t="s">
        <v>387</v>
      </c>
      <c r="Y103" s="165">
        <v>0</v>
      </c>
      <c r="Z103" s="165">
        <v>1</v>
      </c>
      <c r="AA103" s="165">
        <v>1</v>
      </c>
      <c r="AB103" s="165">
        <v>0</v>
      </c>
      <c r="AC103" s="165">
        <v>0</v>
      </c>
      <c r="AD103" s="165">
        <v>0</v>
      </c>
      <c r="AE103" s="165">
        <v>0</v>
      </c>
      <c r="AF103" s="165">
        <v>0</v>
      </c>
      <c r="AG103" s="165" t="s">
        <v>388</v>
      </c>
      <c r="AH103" s="165">
        <v>0</v>
      </c>
      <c r="AI103" s="165">
        <v>0</v>
      </c>
      <c r="AJ103" s="165">
        <v>0</v>
      </c>
      <c r="AK103" s="165">
        <v>1</v>
      </c>
      <c r="AL103" s="165">
        <v>0</v>
      </c>
      <c r="AM103" s="165">
        <v>0</v>
      </c>
      <c r="AN103" s="165">
        <v>0</v>
      </c>
      <c r="AO103" s="165">
        <v>0</v>
      </c>
      <c r="AP103" s="165">
        <v>0</v>
      </c>
      <c r="AQ103" s="165" t="s">
        <v>73</v>
      </c>
      <c r="AR103" s="165" t="s">
        <v>233</v>
      </c>
      <c r="AS103" s="165" t="s">
        <v>389</v>
      </c>
      <c r="AT103" s="165" t="s">
        <v>73</v>
      </c>
      <c r="AU103" s="202" t="s">
        <v>73</v>
      </c>
      <c r="AV103" s="166" t="s">
        <v>86</v>
      </c>
      <c r="AW103" s="165">
        <v>2.4</v>
      </c>
      <c r="AX103" s="167">
        <v>0.1</v>
      </c>
      <c r="AY103" s="165">
        <v>2</v>
      </c>
      <c r="AZ103" s="168">
        <f>TINV(AX103,CC103)</f>
        <v>1.6512273926074998</v>
      </c>
      <c r="BA103" s="168"/>
      <c r="BB103" s="123">
        <f>BK103/BC103</f>
        <v>0</v>
      </c>
      <c r="BC103" s="165">
        <v>199.5</v>
      </c>
      <c r="BD103" s="165">
        <v>100</v>
      </c>
      <c r="BE103" s="165">
        <v>2.1</v>
      </c>
      <c r="BF103" s="165">
        <v>199.5</v>
      </c>
      <c r="BG103" s="165">
        <v>141</v>
      </c>
      <c r="BH103" s="165">
        <v>1.4</v>
      </c>
      <c r="BI103" s="165">
        <f>BG103+BD103</f>
        <v>241</v>
      </c>
      <c r="BJ103" s="165">
        <v>241</v>
      </c>
      <c r="BK103" s="165">
        <f>ABS(BC103-BF103)</f>
        <v>0</v>
      </c>
      <c r="BL103" s="165" t="s">
        <v>73</v>
      </c>
      <c r="BM103" s="165" t="s">
        <v>73</v>
      </c>
      <c r="BN103" s="165" t="s">
        <v>73</v>
      </c>
      <c r="BO103" s="165" t="s">
        <v>73</v>
      </c>
      <c r="BP103" s="165">
        <v>0</v>
      </c>
      <c r="BQ103" s="165" t="s">
        <v>73</v>
      </c>
      <c r="BR103" s="165">
        <v>0</v>
      </c>
      <c r="BS103" s="169" t="s">
        <v>73</v>
      </c>
      <c r="BT103" s="165" t="s">
        <v>354</v>
      </c>
      <c r="BU103" s="165">
        <v>0</v>
      </c>
      <c r="BV103" s="165">
        <v>0</v>
      </c>
      <c r="BW103" s="165">
        <v>0</v>
      </c>
      <c r="BX103" s="124">
        <f>CB103/((CB103^2+4)^(1/2))</f>
        <v>0.10731503277134989</v>
      </c>
      <c r="BY103" s="96">
        <f>0.5*LN((1+BX103)/(1-BX103))</f>
        <v>0.10772986814808778</v>
      </c>
      <c r="BZ103" s="96">
        <f>((1-(BY103^2)^2)/(BI103-1))</f>
        <v>4.1661054464959763E-3</v>
      </c>
      <c r="CA103" s="96">
        <f>1/(BI103-3)</f>
        <v>4.2016806722689074E-3</v>
      </c>
      <c r="CB103" s="107">
        <f xml:space="preserve"> AZ103*(((BD103+BG103)/(BD103*BG103))^(1/2))</f>
        <v>0.21587673926011353</v>
      </c>
      <c r="CC103" s="32">
        <f>BI103-1</f>
        <v>240</v>
      </c>
      <c r="CD103" s="92" t="s">
        <v>73</v>
      </c>
      <c r="CE103" s="30">
        <f>((AZ103^2)/(AZ103^2+BJ103))^(1/2)</f>
        <v>0.10576828499163173</v>
      </c>
      <c r="CF103" s="96">
        <f>0.5*LN((1+CE103)/(1-CE103))</f>
        <v>0.10616536112725267</v>
      </c>
      <c r="CG103" s="30">
        <f>((1-(CF103^2)^2)/(BJ103-1))</f>
        <v>4.1661373444485221E-3</v>
      </c>
      <c r="CH103" s="30">
        <f>1/(BJ103-3)</f>
        <v>4.2016806722689074E-3</v>
      </c>
      <c r="CI103" s="125"/>
    </row>
    <row r="104" spans="1:87" ht="16">
      <c r="A104" s="130" t="s">
        <v>68</v>
      </c>
      <c r="B104" s="95" t="s">
        <v>719</v>
      </c>
      <c r="C104" s="130">
        <v>1194</v>
      </c>
      <c r="D104" s="130">
        <v>145</v>
      </c>
      <c r="E104" s="130" t="s">
        <v>384</v>
      </c>
      <c r="F104" s="130">
        <v>2018</v>
      </c>
      <c r="G104" s="130" t="s">
        <v>385</v>
      </c>
      <c r="H104" s="130" t="s">
        <v>386</v>
      </c>
      <c r="I104" s="130">
        <v>1</v>
      </c>
      <c r="J104" s="130">
        <v>2015</v>
      </c>
      <c r="K104" s="130" t="s">
        <v>73</v>
      </c>
      <c r="L104" s="130">
        <v>122</v>
      </c>
      <c r="M104" s="189" t="s">
        <v>107</v>
      </c>
      <c r="N104" s="130" t="s">
        <v>112</v>
      </c>
      <c r="O104" s="130" t="s">
        <v>156</v>
      </c>
      <c r="P104" s="130" t="s">
        <v>227</v>
      </c>
      <c r="Q104" s="130" t="s">
        <v>306</v>
      </c>
      <c r="R104" s="130" t="s">
        <v>335</v>
      </c>
      <c r="S104" s="130">
        <v>0</v>
      </c>
      <c r="T104" s="130" t="s">
        <v>230</v>
      </c>
      <c r="U104" s="130">
        <v>0</v>
      </c>
      <c r="V104" s="130" t="s">
        <v>245</v>
      </c>
      <c r="W104" s="130" t="s">
        <v>245</v>
      </c>
      <c r="X104" s="130" t="s">
        <v>387</v>
      </c>
      <c r="Y104" s="130">
        <v>0</v>
      </c>
      <c r="Z104" s="130">
        <v>1</v>
      </c>
      <c r="AA104" s="130">
        <v>1</v>
      </c>
      <c r="AB104" s="130">
        <v>0</v>
      </c>
      <c r="AC104" s="130">
        <v>0</v>
      </c>
      <c r="AD104" s="130">
        <v>0</v>
      </c>
      <c r="AE104" s="130">
        <v>0</v>
      </c>
      <c r="AF104" s="130">
        <v>0</v>
      </c>
      <c r="AG104" s="130" t="s">
        <v>388</v>
      </c>
      <c r="AH104" s="130">
        <v>0</v>
      </c>
      <c r="AI104" s="130">
        <v>0</v>
      </c>
      <c r="AJ104" s="130">
        <v>0</v>
      </c>
      <c r="AK104" s="130">
        <v>1</v>
      </c>
      <c r="AL104" s="130">
        <v>0</v>
      </c>
      <c r="AM104" s="130">
        <v>0</v>
      </c>
      <c r="AN104" s="130">
        <v>0</v>
      </c>
      <c r="AO104" s="130">
        <v>0</v>
      </c>
      <c r="AP104" s="130">
        <v>0</v>
      </c>
      <c r="AQ104" s="130" t="s">
        <v>73</v>
      </c>
      <c r="AR104" s="130" t="s">
        <v>233</v>
      </c>
      <c r="AS104" s="130" t="s">
        <v>389</v>
      </c>
      <c r="AT104" s="130" t="s">
        <v>73</v>
      </c>
      <c r="AU104" s="203" t="s">
        <v>73</v>
      </c>
      <c r="AV104" s="170" t="s">
        <v>80</v>
      </c>
      <c r="AW104" s="130">
        <v>2.8</v>
      </c>
      <c r="AX104" s="171">
        <v>0.1</v>
      </c>
      <c r="AY104" s="130">
        <v>2</v>
      </c>
      <c r="AZ104" s="19">
        <f>TINV(AX104,CC104)</f>
        <v>1.6521770093863108</v>
      </c>
      <c r="BA104" s="19"/>
      <c r="BB104" s="172">
        <f>BK104/BC104</f>
        <v>3.0075187969924528E-3</v>
      </c>
      <c r="BC104" s="130">
        <v>199.5</v>
      </c>
      <c r="BD104" s="130">
        <v>100</v>
      </c>
      <c r="BE104" s="130">
        <v>2.1</v>
      </c>
      <c r="BF104" s="130">
        <v>200.1</v>
      </c>
      <c r="BG104" s="130">
        <v>110</v>
      </c>
      <c r="BH104" s="130">
        <v>1.9</v>
      </c>
      <c r="BI104" s="130">
        <f>BG104+BD104</f>
        <v>210</v>
      </c>
      <c r="BJ104" s="130">
        <v>210</v>
      </c>
      <c r="BK104" s="130">
        <f>ABS(BC104-BF104)</f>
        <v>0.59999999999999432</v>
      </c>
      <c r="BL104" s="130" t="s">
        <v>73</v>
      </c>
      <c r="BM104" s="130" t="s">
        <v>73</v>
      </c>
      <c r="BN104" s="130" t="s">
        <v>73</v>
      </c>
      <c r="BO104" s="130" t="s">
        <v>73</v>
      </c>
      <c r="BP104" s="130">
        <v>0</v>
      </c>
      <c r="BQ104" s="130" t="s">
        <v>73</v>
      </c>
      <c r="BR104" s="130">
        <v>0</v>
      </c>
      <c r="BS104" s="161" t="s">
        <v>73</v>
      </c>
      <c r="BT104" s="130" t="s">
        <v>354</v>
      </c>
      <c r="BU104" s="130">
        <v>0</v>
      </c>
      <c r="BV104" s="130">
        <v>0</v>
      </c>
      <c r="BW104" s="130">
        <v>0</v>
      </c>
      <c r="BX104" s="118">
        <f>CB104/((CB104^2+4)^(1/2))</f>
        <v>0.11340420175731288</v>
      </c>
      <c r="BY104" s="30">
        <f>0.5*LN((1+BX104)/(1-BX104))</f>
        <v>0.11389413321523402</v>
      </c>
      <c r="BZ104" s="30">
        <f>((1-(BY104^2)^2)/(BI104-1))</f>
        <v>4.7838838779703467E-3</v>
      </c>
      <c r="CA104" s="30">
        <f>1/(BI104-3)</f>
        <v>4.830917874396135E-3</v>
      </c>
      <c r="CB104" s="107">
        <f xml:space="preserve"> AZ104*(((BD104+BG104)/(BD104*BG104))^(1/2))</f>
        <v>0.22828105937684992</v>
      </c>
      <c r="CC104">
        <f>BI104-1</f>
        <v>209</v>
      </c>
      <c r="CD104" s="92" t="s">
        <v>73</v>
      </c>
      <c r="CE104" s="30">
        <f>((AZ104^2)/(AZ104^2+BJ104))^(1/2)</f>
        <v>0.11327720430916202</v>
      </c>
      <c r="CF104" s="30">
        <f>0.5*LN((1+CE104)/(1-CE104))</f>
        <v>0.11376548311289642</v>
      </c>
      <c r="CG104" s="30">
        <f>((1-(CF104^2)^2)/(BJ104-1))</f>
        <v>4.783887509520043E-3</v>
      </c>
      <c r="CH104" s="30">
        <f>1/(BJ104-3)</f>
        <v>4.830917874396135E-3</v>
      </c>
    </row>
    <row r="105" spans="1:87" ht="16">
      <c r="A105" s="130" t="s">
        <v>68</v>
      </c>
      <c r="B105" s="95" t="s">
        <v>719</v>
      </c>
      <c r="C105" s="130">
        <v>1195</v>
      </c>
      <c r="D105" s="130">
        <v>145</v>
      </c>
      <c r="E105" s="130" t="s">
        <v>384</v>
      </c>
      <c r="F105" s="130">
        <v>2018</v>
      </c>
      <c r="G105" s="130" t="s">
        <v>385</v>
      </c>
      <c r="H105" s="130" t="s">
        <v>386</v>
      </c>
      <c r="I105" s="130">
        <v>1</v>
      </c>
      <c r="J105" s="130">
        <v>2015</v>
      </c>
      <c r="K105" s="130" t="s">
        <v>73</v>
      </c>
      <c r="L105" s="130">
        <v>122</v>
      </c>
      <c r="M105" s="189" t="s">
        <v>107</v>
      </c>
      <c r="N105" s="130" t="s">
        <v>112</v>
      </c>
      <c r="O105" s="130" t="s">
        <v>156</v>
      </c>
      <c r="P105" s="130" t="s">
        <v>227</v>
      </c>
      <c r="Q105" s="130" t="s">
        <v>306</v>
      </c>
      <c r="R105" s="130" t="s">
        <v>335</v>
      </c>
      <c r="S105" s="130">
        <v>0</v>
      </c>
      <c r="T105" s="130" t="s">
        <v>230</v>
      </c>
      <c r="U105" s="130">
        <v>0</v>
      </c>
      <c r="V105" s="130" t="s">
        <v>245</v>
      </c>
      <c r="W105" s="130" t="s">
        <v>245</v>
      </c>
      <c r="X105" s="130" t="s">
        <v>387</v>
      </c>
      <c r="Y105" s="130">
        <v>0</v>
      </c>
      <c r="Z105" s="130">
        <v>1</v>
      </c>
      <c r="AA105" s="130">
        <v>1</v>
      </c>
      <c r="AB105" s="130">
        <v>0</v>
      </c>
      <c r="AC105" s="130">
        <v>0</v>
      </c>
      <c r="AD105" s="130">
        <v>0</v>
      </c>
      <c r="AE105" s="130">
        <v>0</v>
      </c>
      <c r="AF105" s="130">
        <v>0</v>
      </c>
      <c r="AG105" s="130" t="s">
        <v>388</v>
      </c>
      <c r="AH105" s="130">
        <v>0</v>
      </c>
      <c r="AI105" s="130">
        <v>1</v>
      </c>
      <c r="AJ105" s="130">
        <v>0</v>
      </c>
      <c r="AK105" s="130">
        <v>0</v>
      </c>
      <c r="AL105" s="130">
        <v>0</v>
      </c>
      <c r="AM105" s="130">
        <v>0</v>
      </c>
      <c r="AN105" s="130">
        <v>0</v>
      </c>
      <c r="AO105" s="130">
        <v>0</v>
      </c>
      <c r="AP105" s="130">
        <v>0</v>
      </c>
      <c r="AQ105" s="130" t="s">
        <v>73</v>
      </c>
      <c r="AR105" s="130" t="s">
        <v>233</v>
      </c>
      <c r="AS105" s="130" t="s">
        <v>389</v>
      </c>
      <c r="AT105" s="130" t="s">
        <v>73</v>
      </c>
      <c r="AU105" s="203" t="s">
        <v>73</v>
      </c>
      <c r="AV105" s="170" t="s">
        <v>80</v>
      </c>
      <c r="AW105" s="130">
        <v>9.5</v>
      </c>
      <c r="AX105" s="171">
        <v>0.05</v>
      </c>
      <c r="AY105" s="130">
        <v>1</v>
      </c>
      <c r="AZ105" s="130">
        <v>1.9776</v>
      </c>
      <c r="BA105" s="130"/>
      <c r="BB105" s="172">
        <f>BK105/BC105</f>
        <v>8.0264791063301519E-2</v>
      </c>
      <c r="BC105" s="130">
        <v>241.7</v>
      </c>
      <c r="BD105" s="130">
        <v>66</v>
      </c>
      <c r="BE105" s="130">
        <v>7.5</v>
      </c>
      <c r="BF105" s="130">
        <v>222.3</v>
      </c>
      <c r="BG105" s="130">
        <v>70</v>
      </c>
      <c r="BH105" s="130">
        <v>5.8</v>
      </c>
      <c r="BI105" s="130">
        <f>BG105+BD105</f>
        <v>136</v>
      </c>
      <c r="BJ105" s="130">
        <v>136</v>
      </c>
      <c r="BK105" s="130">
        <f>ABS(BC105-BF105)</f>
        <v>19.399999999999977</v>
      </c>
      <c r="BL105" s="130" t="s">
        <v>73</v>
      </c>
      <c r="BM105" s="130" t="s">
        <v>73</v>
      </c>
      <c r="BN105" s="130" t="s">
        <v>73</v>
      </c>
      <c r="BO105" s="130" t="s">
        <v>73</v>
      </c>
      <c r="BP105" s="130">
        <v>0</v>
      </c>
      <c r="BQ105" s="130" t="s">
        <v>73</v>
      </c>
      <c r="BR105" s="130">
        <v>0</v>
      </c>
      <c r="BS105" s="161" t="s">
        <v>73</v>
      </c>
      <c r="BT105" s="130" t="s">
        <v>354</v>
      </c>
      <c r="BU105" s="130">
        <v>0</v>
      </c>
      <c r="BV105" s="130">
        <v>0</v>
      </c>
      <c r="BW105" s="130">
        <v>0</v>
      </c>
      <c r="BX105" s="118">
        <f>CB105/((CB105^2+4)^(1/2))</f>
        <v>0.16726125275016618</v>
      </c>
      <c r="BY105" s="133">
        <f>0.5*LN((1+BX105)/(1-BX105))</f>
        <v>0.16884775498772459</v>
      </c>
      <c r="BZ105" s="30">
        <f>((1-(BY105^2)^2)/(BI105-1))</f>
        <v>7.401386701775944E-3</v>
      </c>
      <c r="CA105" s="30">
        <f>1/(BI105-3)</f>
        <v>7.5187969924812026E-3</v>
      </c>
      <c r="CB105" s="107">
        <f xml:space="preserve"> AZ105*(((BD105+BG105)/(BD105*BG105))^(1/2))</f>
        <v>0.33930239081914004</v>
      </c>
      <c r="CC105">
        <f>BI105-1</f>
        <v>135</v>
      </c>
      <c r="CD105" s="92" t="s">
        <v>73</v>
      </c>
      <c r="CE105" s="30">
        <f>((AZ105^2)/(AZ105^2+BJ105))^(1/2)</f>
        <v>0.16719091536917316</v>
      </c>
      <c r="CF105" s="133">
        <f>0.5*LN((1+CE105)/(1-CE105))</f>
        <v>0.16877539406510517</v>
      </c>
      <c r="CG105" s="30">
        <f>((1-(CF105^2)^2)/(BJ105-1))</f>
        <v>7.4013970160104218E-3</v>
      </c>
      <c r="CH105" s="30">
        <f>1/(BJ105-3)</f>
        <v>7.5187969924812026E-3</v>
      </c>
      <c r="CI105" s="98"/>
    </row>
    <row r="106" spans="1:87" ht="16">
      <c r="A106" s="130" t="s">
        <v>68</v>
      </c>
      <c r="B106" s="95" t="s">
        <v>719</v>
      </c>
      <c r="C106" s="130">
        <v>1196</v>
      </c>
      <c r="D106" s="130">
        <v>145</v>
      </c>
      <c r="E106" s="130" t="s">
        <v>384</v>
      </c>
      <c r="F106" s="130">
        <v>2018</v>
      </c>
      <c r="G106" s="130" t="s">
        <v>385</v>
      </c>
      <c r="H106" s="130" t="s">
        <v>386</v>
      </c>
      <c r="I106" s="130">
        <v>1</v>
      </c>
      <c r="J106" s="130">
        <v>2015</v>
      </c>
      <c r="K106" s="130" t="s">
        <v>73</v>
      </c>
      <c r="L106" s="130">
        <v>122</v>
      </c>
      <c r="M106" s="189" t="s">
        <v>107</v>
      </c>
      <c r="N106" s="130" t="s">
        <v>112</v>
      </c>
      <c r="O106" s="130" t="s">
        <v>156</v>
      </c>
      <c r="P106" s="130" t="s">
        <v>227</v>
      </c>
      <c r="Q106" s="130" t="s">
        <v>306</v>
      </c>
      <c r="R106" s="130" t="s">
        <v>335</v>
      </c>
      <c r="S106" s="130">
        <v>0</v>
      </c>
      <c r="T106" s="130" t="s">
        <v>230</v>
      </c>
      <c r="U106" s="130">
        <v>0</v>
      </c>
      <c r="V106" s="130" t="s">
        <v>245</v>
      </c>
      <c r="W106" s="130" t="s">
        <v>245</v>
      </c>
      <c r="X106" s="130" t="s">
        <v>387</v>
      </c>
      <c r="Y106" s="130">
        <v>0</v>
      </c>
      <c r="Z106" s="130">
        <v>1</v>
      </c>
      <c r="AA106" s="130">
        <v>1</v>
      </c>
      <c r="AB106" s="130">
        <v>0</v>
      </c>
      <c r="AC106" s="130">
        <v>0</v>
      </c>
      <c r="AD106" s="130">
        <v>0</v>
      </c>
      <c r="AE106" s="130">
        <v>0</v>
      </c>
      <c r="AF106" s="130">
        <v>0</v>
      </c>
      <c r="AG106" s="130" t="s">
        <v>388</v>
      </c>
      <c r="AH106" s="130">
        <v>0</v>
      </c>
      <c r="AI106" s="130">
        <v>1</v>
      </c>
      <c r="AJ106" s="130">
        <v>0</v>
      </c>
      <c r="AK106" s="130">
        <v>0</v>
      </c>
      <c r="AL106" s="130">
        <v>0</v>
      </c>
      <c r="AM106" s="130">
        <v>0</v>
      </c>
      <c r="AN106" s="130">
        <v>0</v>
      </c>
      <c r="AO106" s="130">
        <v>0</v>
      </c>
      <c r="AP106" s="130">
        <v>0</v>
      </c>
      <c r="AQ106" s="130" t="s">
        <v>73</v>
      </c>
      <c r="AR106" s="130" t="s">
        <v>233</v>
      </c>
      <c r="AS106" s="130" t="s">
        <v>389</v>
      </c>
      <c r="AT106" s="130" t="s">
        <v>73</v>
      </c>
      <c r="AU106" s="203" t="s">
        <v>73</v>
      </c>
      <c r="AV106" s="170" t="s">
        <v>80</v>
      </c>
      <c r="AW106" s="130">
        <v>9.9</v>
      </c>
      <c r="AX106" s="171">
        <v>0.05</v>
      </c>
      <c r="AY106" s="130">
        <v>1</v>
      </c>
      <c r="AZ106" s="130">
        <v>1.9776</v>
      </c>
      <c r="BA106" s="130"/>
      <c r="BB106" s="172">
        <f>BK106/BC106</f>
        <v>9.6400496483243628E-2</v>
      </c>
      <c r="BC106" s="130">
        <v>241.7</v>
      </c>
      <c r="BD106" s="130">
        <v>66</v>
      </c>
      <c r="BE106" s="130">
        <v>7.5</v>
      </c>
      <c r="BF106" s="130">
        <v>218.4</v>
      </c>
      <c r="BG106" s="130">
        <v>58</v>
      </c>
      <c r="BH106" s="130">
        <v>6.2</v>
      </c>
      <c r="BI106" s="130">
        <f>BG106+BD106</f>
        <v>124</v>
      </c>
      <c r="BJ106" s="130">
        <v>124</v>
      </c>
      <c r="BK106" s="130">
        <f>ABS(BC106-BF106)</f>
        <v>23.299999999999983</v>
      </c>
      <c r="BL106" s="130" t="s">
        <v>73</v>
      </c>
      <c r="BM106" s="130" t="s">
        <v>73</v>
      </c>
      <c r="BN106" s="130" t="s">
        <v>73</v>
      </c>
      <c r="BO106" s="130" t="s">
        <v>73</v>
      </c>
      <c r="BP106" s="130">
        <v>0</v>
      </c>
      <c r="BQ106" s="130" t="s">
        <v>73</v>
      </c>
      <c r="BR106" s="130">
        <v>0</v>
      </c>
      <c r="BS106" s="161" t="s">
        <v>73</v>
      </c>
      <c r="BT106" s="130" t="s">
        <v>354</v>
      </c>
      <c r="BU106" s="130">
        <v>0</v>
      </c>
      <c r="BV106" s="130">
        <v>0</v>
      </c>
      <c r="BW106" s="130">
        <v>0</v>
      </c>
      <c r="BX106" s="118">
        <f>CB106/((CB106^2+4)^(1/2))</f>
        <v>0.17521151676685395</v>
      </c>
      <c r="BY106" s="133">
        <f>0.5*LN((1+BX106)/(1-BX106))</f>
        <v>0.17703822757221296</v>
      </c>
      <c r="BZ106" s="30">
        <f>((1-(BY106^2)^2)/(BI106-1))</f>
        <v>8.1220946793584183E-3</v>
      </c>
      <c r="CA106" s="30">
        <f>1/(BI106-3)</f>
        <v>8.2644628099173556E-3</v>
      </c>
      <c r="CB106" s="107">
        <f xml:space="preserve"> AZ106*(((BD106+BG106)/(BD106*BG106))^(1/2))</f>
        <v>0.35592896477019459</v>
      </c>
      <c r="CC106">
        <f>BI106-1</f>
        <v>123</v>
      </c>
      <c r="CD106" s="92" t="s">
        <v>73</v>
      </c>
      <c r="CE106" s="30">
        <f>((AZ106^2)/(AZ106^2+BJ106))^(1/2)</f>
        <v>0.17485766436492306</v>
      </c>
      <c r="CF106" s="133">
        <f>0.5*LN((1+CE106)/(1-CE106))</f>
        <v>0.17667319151698216</v>
      </c>
      <c r="CG106" s="30">
        <f>((1-(CF106^2)^2)/(BJ106-1))</f>
        <v>8.1221603465374409E-3</v>
      </c>
      <c r="CH106" s="30">
        <f>1/(BJ106-3)</f>
        <v>8.2644628099173556E-3</v>
      </c>
      <c r="CI106" s="92"/>
    </row>
    <row r="107" spans="1:87" ht="16">
      <c r="A107" s="145" t="s">
        <v>68</v>
      </c>
      <c r="B107" s="32" t="s">
        <v>719</v>
      </c>
      <c r="C107" s="146">
        <v>1209</v>
      </c>
      <c r="D107" s="145">
        <v>149</v>
      </c>
      <c r="E107" s="145" t="s">
        <v>390</v>
      </c>
      <c r="F107" s="145">
        <v>2013</v>
      </c>
      <c r="G107" s="145" t="s">
        <v>391</v>
      </c>
      <c r="H107" s="147" t="s">
        <v>392</v>
      </c>
      <c r="I107" s="145">
        <v>1</v>
      </c>
      <c r="J107" s="145">
        <v>2011</v>
      </c>
      <c r="K107" s="145" t="s">
        <v>73</v>
      </c>
      <c r="L107" s="145">
        <v>11</v>
      </c>
      <c r="M107" s="190" t="s">
        <v>93</v>
      </c>
      <c r="N107" s="136" t="s">
        <v>393</v>
      </c>
      <c r="O107" s="145" t="s">
        <v>174</v>
      </c>
      <c r="P107" s="145" t="s">
        <v>227</v>
      </c>
      <c r="Q107" s="145" t="s">
        <v>310</v>
      </c>
      <c r="R107" s="145" t="s">
        <v>311</v>
      </c>
      <c r="S107" s="145">
        <v>0</v>
      </c>
      <c r="T107" s="145" t="s">
        <v>230</v>
      </c>
      <c r="U107" s="145">
        <v>0</v>
      </c>
      <c r="V107" s="145" t="s">
        <v>231</v>
      </c>
      <c r="W107" s="145" t="s">
        <v>231</v>
      </c>
      <c r="X107" s="145" t="s">
        <v>73</v>
      </c>
      <c r="Y107" s="145">
        <v>0</v>
      </c>
      <c r="Z107" s="145">
        <v>0</v>
      </c>
      <c r="AA107" s="145">
        <v>1</v>
      </c>
      <c r="AB107" s="145">
        <v>0</v>
      </c>
      <c r="AC107" s="145">
        <v>0</v>
      </c>
      <c r="AD107" s="145">
        <v>0</v>
      </c>
      <c r="AE107" s="145">
        <v>0</v>
      </c>
      <c r="AF107" s="145">
        <v>0</v>
      </c>
      <c r="AG107" s="145" t="s">
        <v>394</v>
      </c>
      <c r="AH107" s="145">
        <v>0</v>
      </c>
      <c r="AI107" s="145">
        <v>1</v>
      </c>
      <c r="AJ107" s="145">
        <v>0</v>
      </c>
      <c r="AK107" s="145">
        <v>0</v>
      </c>
      <c r="AL107" s="145">
        <v>0</v>
      </c>
      <c r="AM107" s="145">
        <v>0</v>
      </c>
      <c r="AN107" s="145">
        <v>0</v>
      </c>
      <c r="AO107" s="145">
        <v>0</v>
      </c>
      <c r="AP107" s="145">
        <v>0</v>
      </c>
      <c r="AQ107" s="145" t="s">
        <v>73</v>
      </c>
      <c r="AR107" s="145" t="s">
        <v>233</v>
      </c>
      <c r="AS107" s="145" t="s">
        <v>395</v>
      </c>
      <c r="AT107" s="145" t="s">
        <v>73</v>
      </c>
      <c r="AU107" s="197">
        <v>2.3E-2</v>
      </c>
      <c r="AV107" s="148" t="s">
        <v>86</v>
      </c>
      <c r="AW107" s="145" t="s">
        <v>73</v>
      </c>
      <c r="AX107" s="145">
        <v>0.1</v>
      </c>
      <c r="AY107" s="145">
        <v>2</v>
      </c>
      <c r="AZ107" s="19">
        <f>TINV(AX107,CC107)</f>
        <v>1.6449332384326785</v>
      </c>
      <c r="BA107" s="19"/>
      <c r="BB107" s="149">
        <f>EXP(AU107)-1</f>
        <v>2.326653954721758E-2</v>
      </c>
      <c r="BC107" s="145" t="s">
        <v>73</v>
      </c>
      <c r="BD107" s="145">
        <v>13471</v>
      </c>
      <c r="BE107" s="145" t="s">
        <v>73</v>
      </c>
      <c r="BF107" s="145" t="s">
        <v>73</v>
      </c>
      <c r="BG107" s="145">
        <v>5672</v>
      </c>
      <c r="BH107" s="145" t="s">
        <v>73</v>
      </c>
      <c r="BI107" s="145">
        <v>19143</v>
      </c>
      <c r="BJ107" s="145">
        <v>19143</v>
      </c>
      <c r="BK107" s="145" t="s">
        <v>73</v>
      </c>
      <c r="BL107" s="145" t="s">
        <v>73</v>
      </c>
      <c r="BM107" s="145" t="s">
        <v>73</v>
      </c>
      <c r="BN107" s="145" t="s">
        <v>73</v>
      </c>
      <c r="BO107" s="145" t="s">
        <v>73</v>
      </c>
      <c r="BP107" s="145">
        <v>1</v>
      </c>
      <c r="BQ107" s="145">
        <f>2893*0.1283</f>
        <v>371.17189999999999</v>
      </c>
      <c r="BR107" s="145">
        <v>0</v>
      </c>
      <c r="BS107" s="145" t="s">
        <v>73</v>
      </c>
      <c r="BT107" s="145" t="s">
        <v>354</v>
      </c>
      <c r="BU107" s="145">
        <v>0</v>
      </c>
      <c r="BV107" s="145">
        <v>0</v>
      </c>
      <c r="BW107" s="145">
        <v>0</v>
      </c>
      <c r="BX107" s="150">
        <f>((AZ107^2)/(AZ107^2+BI107))^(1/2)</f>
        <v>1.1888103724369721E-2</v>
      </c>
      <c r="BY107" s="150">
        <f>0.5*LN((1+BX107)/(1-BX107))</f>
        <v>1.1888663808582136E-2</v>
      </c>
      <c r="BZ107" s="150">
        <f>((1-(BY107^2)^2)/(BI107-1))</f>
        <v>5.2241144082275201E-5</v>
      </c>
      <c r="CA107" s="150">
        <f>1/(BI107-3)</f>
        <v>5.2246603970741903E-5</v>
      </c>
      <c r="CB107" s="92" t="s">
        <v>73</v>
      </c>
      <c r="CC107">
        <f>BI107-2</f>
        <v>19141</v>
      </c>
      <c r="CD107" t="s">
        <v>396</v>
      </c>
      <c r="CE107" s="30">
        <f>((AZ107^2)/(AZ107^2+BJ107))^(1/2)</f>
        <v>1.1888103724369721E-2</v>
      </c>
      <c r="CF107" s="150">
        <f>0.5*LN((1+CE107)/(1-CE107))</f>
        <v>1.1888663808582136E-2</v>
      </c>
      <c r="CG107" s="30">
        <f>((1-(CF107^2)^2)/(BJ107-1))</f>
        <v>5.2241144082275201E-5</v>
      </c>
      <c r="CH107" s="30">
        <f>1/(BJ107-3)</f>
        <v>5.2246603970741903E-5</v>
      </c>
      <c r="CI107" s="112"/>
    </row>
    <row r="108" spans="1:87" ht="16">
      <c r="A108" s="107" t="s">
        <v>68</v>
      </c>
      <c r="B108" t="s">
        <v>718</v>
      </c>
      <c r="C108" s="130">
        <v>1210</v>
      </c>
      <c r="D108" s="107">
        <v>151</v>
      </c>
      <c r="E108" s="107" t="s">
        <v>397</v>
      </c>
      <c r="F108" s="107">
        <v>2014</v>
      </c>
      <c r="G108" s="107" t="s">
        <v>133</v>
      </c>
      <c r="H108" s="107" t="s">
        <v>134</v>
      </c>
      <c r="I108" s="107">
        <v>1</v>
      </c>
      <c r="J108" s="130" t="s">
        <v>135</v>
      </c>
      <c r="K108" s="130" t="s">
        <v>73</v>
      </c>
      <c r="L108" s="130">
        <v>25</v>
      </c>
      <c r="M108" s="191" t="s">
        <v>107</v>
      </c>
      <c r="N108" s="130" t="s">
        <v>226</v>
      </c>
      <c r="O108" s="107" t="s">
        <v>138</v>
      </c>
      <c r="P108" s="107" t="s">
        <v>227</v>
      </c>
      <c r="Q108" s="107" t="s">
        <v>310</v>
      </c>
      <c r="R108" s="107" t="s">
        <v>311</v>
      </c>
      <c r="S108" s="107">
        <v>0</v>
      </c>
      <c r="T108" s="107" t="s">
        <v>188</v>
      </c>
      <c r="U108" s="107">
        <v>1</v>
      </c>
      <c r="V108" s="130" t="s">
        <v>245</v>
      </c>
      <c r="W108" s="130" t="s">
        <v>231</v>
      </c>
      <c r="X108" s="130" t="s">
        <v>140</v>
      </c>
      <c r="Y108" s="107">
        <v>0</v>
      </c>
      <c r="Z108" s="107">
        <v>0</v>
      </c>
      <c r="AA108" s="107">
        <v>1</v>
      </c>
      <c r="AB108" s="107">
        <v>0</v>
      </c>
      <c r="AC108" s="107">
        <v>0</v>
      </c>
      <c r="AD108" s="107">
        <v>0</v>
      </c>
      <c r="AE108" s="107">
        <v>0</v>
      </c>
      <c r="AF108" s="107">
        <v>0</v>
      </c>
      <c r="AG108" s="107" t="s">
        <v>73</v>
      </c>
      <c r="AH108" s="107">
        <v>1</v>
      </c>
      <c r="AI108" s="107">
        <v>0</v>
      </c>
      <c r="AJ108" s="107">
        <v>0</v>
      </c>
      <c r="AK108" s="107">
        <v>0</v>
      </c>
      <c r="AL108" s="107">
        <v>0</v>
      </c>
      <c r="AM108" s="107">
        <v>0</v>
      </c>
      <c r="AN108" s="107">
        <v>0</v>
      </c>
      <c r="AO108" s="107">
        <v>0</v>
      </c>
      <c r="AP108" s="175">
        <v>0</v>
      </c>
      <c r="AQ108" s="107" t="s">
        <v>398</v>
      </c>
      <c r="AR108" s="107" t="s">
        <v>233</v>
      </c>
      <c r="AS108" s="176" t="s">
        <v>399</v>
      </c>
      <c r="AT108" s="107" t="s">
        <v>73</v>
      </c>
      <c r="AU108" s="203" t="s">
        <v>73</v>
      </c>
      <c r="AV108" s="170" t="s">
        <v>80</v>
      </c>
      <c r="AW108" s="107">
        <f>AZ108/ABS(_xlfn.T.INV.2T(AX108,CC108))</f>
        <v>1</v>
      </c>
      <c r="AX108" s="130">
        <v>0.1</v>
      </c>
      <c r="AY108" s="130">
        <v>2</v>
      </c>
      <c r="AZ108" s="177">
        <f>TINV(AX108,CC108)</f>
        <v>1.671552762454859</v>
      </c>
      <c r="BA108" s="177"/>
      <c r="BB108" s="178">
        <v>0.21</v>
      </c>
      <c r="BC108" s="130" t="s">
        <v>73</v>
      </c>
      <c r="BD108" s="130">
        <v>19</v>
      </c>
      <c r="BE108" s="130" t="s">
        <v>73</v>
      </c>
      <c r="BF108" s="130" t="s">
        <v>73</v>
      </c>
      <c r="BG108" s="130">
        <v>19</v>
      </c>
      <c r="BH108" s="130" t="s">
        <v>73</v>
      </c>
      <c r="BI108" s="130">
        <v>60</v>
      </c>
      <c r="BJ108" s="130">
        <v>51591</v>
      </c>
      <c r="BK108" s="130" t="s">
        <v>73</v>
      </c>
      <c r="BL108" s="130" t="s">
        <v>73</v>
      </c>
      <c r="BM108" s="107" t="s">
        <v>73</v>
      </c>
      <c r="BN108" s="107" t="s">
        <v>73</v>
      </c>
      <c r="BO108" s="107" t="s">
        <v>73</v>
      </c>
      <c r="BP108" s="107">
        <v>1</v>
      </c>
      <c r="BQ108" s="107">
        <v>185</v>
      </c>
      <c r="BR108" s="107" t="s">
        <v>73</v>
      </c>
      <c r="BS108" s="107" t="s">
        <v>73</v>
      </c>
      <c r="BT108" s="107" t="s">
        <v>73</v>
      </c>
      <c r="BU108" s="107">
        <v>0</v>
      </c>
      <c r="BV108" s="107">
        <v>0</v>
      </c>
      <c r="BW108" s="107">
        <v>0</v>
      </c>
      <c r="BX108" s="118">
        <f>CB108/((CB108^2+4)^(1/2))</f>
        <v>0.26171069575803479</v>
      </c>
      <c r="BY108" s="30">
        <f>0.5*LN((1+BX108)/(1-BX108))</f>
        <v>0.26794400760245057</v>
      </c>
      <c r="BZ108" s="30">
        <f>((1-(BY108^2)^2)/(BI108-1))</f>
        <v>1.6861790217392026E-2</v>
      </c>
      <c r="CA108" s="30">
        <f>1/(BI108-3)</f>
        <v>1.7543859649122806E-2</v>
      </c>
      <c r="CB108" s="107">
        <f xml:space="preserve"> AZ108*(((BD108+BG108)/(BD108*BG108))^(1/2))</f>
        <v>0.54232332924095827</v>
      </c>
      <c r="CC108">
        <f>BI108-2</f>
        <v>58</v>
      </c>
      <c r="CD108" t="s">
        <v>400</v>
      </c>
      <c r="CE108" s="30">
        <f>((AZ108^2)/(AZ108^2+BJ108))^(1/2)</f>
        <v>7.3590432712745445E-3</v>
      </c>
      <c r="CF108" s="30">
        <f>0.5*LN((1+CE108)/(1-CE108))</f>
        <v>7.3591761198577221E-3</v>
      </c>
      <c r="CG108" s="30">
        <f>((1-(CF108^2)^2)/(BJ108-1))</f>
        <v>1.9383601416300991E-5</v>
      </c>
      <c r="CH108" s="30">
        <f>1/(BJ108-3)</f>
        <v>1.9384352950298517E-5</v>
      </c>
    </row>
    <row r="109" spans="1:87" ht="16">
      <c r="A109" s="107" t="s">
        <v>68</v>
      </c>
      <c r="B109" t="s">
        <v>718</v>
      </c>
      <c r="C109" s="130">
        <v>1211</v>
      </c>
      <c r="D109" s="107">
        <v>151</v>
      </c>
      <c r="E109" s="107" t="s">
        <v>397</v>
      </c>
      <c r="F109" s="107">
        <v>2014</v>
      </c>
      <c r="G109" s="107" t="s">
        <v>133</v>
      </c>
      <c r="H109" s="107" t="s">
        <v>134</v>
      </c>
      <c r="I109" s="107">
        <v>1</v>
      </c>
      <c r="J109" s="130" t="s">
        <v>135</v>
      </c>
      <c r="K109" s="130" t="s">
        <v>73</v>
      </c>
      <c r="L109" s="130">
        <v>25</v>
      </c>
      <c r="M109" s="191" t="s">
        <v>107</v>
      </c>
      <c r="N109" s="130" t="s">
        <v>226</v>
      </c>
      <c r="O109" s="107" t="s">
        <v>138</v>
      </c>
      <c r="P109" s="107" t="s">
        <v>227</v>
      </c>
      <c r="Q109" s="107" t="s">
        <v>310</v>
      </c>
      <c r="R109" s="107" t="s">
        <v>311</v>
      </c>
      <c r="S109" s="107">
        <v>0</v>
      </c>
      <c r="T109" s="107" t="s">
        <v>188</v>
      </c>
      <c r="U109" s="107">
        <v>1</v>
      </c>
      <c r="V109" s="130" t="s">
        <v>245</v>
      </c>
      <c r="W109" s="130" t="s">
        <v>231</v>
      </c>
      <c r="X109" s="130" t="s">
        <v>140</v>
      </c>
      <c r="Y109" s="107">
        <v>0</v>
      </c>
      <c r="Z109" s="107">
        <v>0</v>
      </c>
      <c r="AA109" s="107">
        <v>1</v>
      </c>
      <c r="AB109" s="107">
        <v>0</v>
      </c>
      <c r="AC109" s="107">
        <v>0</v>
      </c>
      <c r="AD109" s="107">
        <v>0</v>
      </c>
      <c r="AE109" s="107">
        <v>0</v>
      </c>
      <c r="AF109" s="107">
        <v>0</v>
      </c>
      <c r="AG109" s="107" t="s">
        <v>73</v>
      </c>
      <c r="AH109" s="107">
        <v>0</v>
      </c>
      <c r="AI109" s="107">
        <v>1</v>
      </c>
      <c r="AJ109" s="107">
        <v>0</v>
      </c>
      <c r="AK109" s="107">
        <v>0</v>
      </c>
      <c r="AL109" s="107">
        <v>0</v>
      </c>
      <c r="AM109" s="107">
        <v>0</v>
      </c>
      <c r="AN109" s="107">
        <v>0</v>
      </c>
      <c r="AO109" s="107">
        <v>0</v>
      </c>
      <c r="AP109" s="175">
        <v>0</v>
      </c>
      <c r="AQ109" s="107" t="s">
        <v>398</v>
      </c>
      <c r="AR109" s="107" t="s">
        <v>233</v>
      </c>
      <c r="AS109" s="176" t="s">
        <v>399</v>
      </c>
      <c r="AT109" s="107" t="s">
        <v>73</v>
      </c>
      <c r="AU109" s="203" t="s">
        <v>73</v>
      </c>
      <c r="AV109" s="170" t="s">
        <v>80</v>
      </c>
      <c r="AW109" s="107">
        <f>AZ109/ABS(_xlfn.T.INV.2T(AX109,CC109))</f>
        <v>0.98275932949058287</v>
      </c>
      <c r="AX109" s="130">
        <v>0.06</v>
      </c>
      <c r="AY109" s="130">
        <v>1</v>
      </c>
      <c r="AZ109" s="130">
        <v>2.06</v>
      </c>
      <c r="BA109" s="130"/>
      <c r="BB109" s="178">
        <v>0.71</v>
      </c>
      <c r="BC109" s="130" t="s">
        <v>73</v>
      </c>
      <c r="BD109" s="130">
        <v>19</v>
      </c>
      <c r="BE109" s="130" t="s">
        <v>73</v>
      </c>
      <c r="BF109" s="130" t="s">
        <v>73</v>
      </c>
      <c r="BG109" s="130">
        <v>19</v>
      </c>
      <c r="BH109" s="130" t="s">
        <v>73</v>
      </c>
      <c r="BI109" s="130">
        <v>13</v>
      </c>
      <c r="BJ109" s="130">
        <v>51591</v>
      </c>
      <c r="BK109" s="130" t="s">
        <v>73</v>
      </c>
      <c r="BL109" s="130" t="s">
        <v>73</v>
      </c>
      <c r="BM109" s="107" t="s">
        <v>73</v>
      </c>
      <c r="BN109" s="107" t="s">
        <v>73</v>
      </c>
      <c r="BO109" s="107" t="s">
        <v>73</v>
      </c>
      <c r="BP109" s="107">
        <v>1</v>
      </c>
      <c r="BQ109" s="107">
        <v>185</v>
      </c>
      <c r="BR109" s="107" t="s">
        <v>73</v>
      </c>
      <c r="BS109" s="107" t="s">
        <v>73</v>
      </c>
      <c r="BT109" s="107" t="s">
        <v>73</v>
      </c>
      <c r="BU109" s="107">
        <v>0</v>
      </c>
      <c r="BV109" s="107">
        <v>0</v>
      </c>
      <c r="BW109" s="107">
        <v>0</v>
      </c>
      <c r="BX109" s="118">
        <f>CB109/((CB109^2+4)^(1/2))</f>
        <v>0.31694708329179128</v>
      </c>
      <c r="BY109" s="30">
        <f>0.5*LN((1+BX109)/(1-BX109))</f>
        <v>0.32824959387738756</v>
      </c>
      <c r="BZ109" s="30">
        <f>((1-(BY109^2)^2)/(BI109-1))</f>
        <v>8.2365867706904794E-2</v>
      </c>
      <c r="CA109" s="30">
        <f>1/(BI109-3)</f>
        <v>0.1</v>
      </c>
      <c r="CB109" s="107">
        <f xml:space="preserve"> AZ109*(((BD109+BG109)/(BD109*BG109))^(1/2))</f>
        <v>0.66835225505874174</v>
      </c>
      <c r="CC109">
        <f>BI109-2</f>
        <v>11</v>
      </c>
      <c r="CD109" t="s">
        <v>400</v>
      </c>
      <c r="CE109" s="30">
        <f>((AZ109^2)/(AZ109^2+BJ109))^(1/2)</f>
        <v>9.0690623301361503E-3</v>
      </c>
      <c r="CF109" s="30">
        <f>0.5*LN((1+CE109)/(1-CE109))</f>
        <v>9.0693109794918354E-3</v>
      </c>
      <c r="CG109" s="30">
        <f>((1-(CF109^2)^2)/(BJ109-1))</f>
        <v>1.9383601342014778E-5</v>
      </c>
      <c r="CH109" s="30">
        <f>1/(BJ109-3)</f>
        <v>1.9384352950298517E-5</v>
      </c>
    </row>
    <row r="110" spans="1:87" ht="16">
      <c r="A110" s="107" t="s">
        <v>68</v>
      </c>
      <c r="B110" t="s">
        <v>718</v>
      </c>
      <c r="C110" s="130">
        <v>1212</v>
      </c>
      <c r="D110" s="107">
        <v>151</v>
      </c>
      <c r="E110" s="107" t="s">
        <v>397</v>
      </c>
      <c r="F110" s="107">
        <v>2014</v>
      </c>
      <c r="G110" s="107" t="s">
        <v>133</v>
      </c>
      <c r="H110" s="107" t="s">
        <v>134</v>
      </c>
      <c r="I110" s="107">
        <v>1</v>
      </c>
      <c r="J110" s="130" t="s">
        <v>135</v>
      </c>
      <c r="K110" s="130" t="s">
        <v>73</v>
      </c>
      <c r="L110" s="130">
        <v>25</v>
      </c>
      <c r="M110" s="191" t="s">
        <v>107</v>
      </c>
      <c r="N110" s="130" t="s">
        <v>226</v>
      </c>
      <c r="O110" s="107" t="s">
        <v>138</v>
      </c>
      <c r="P110" s="107" t="s">
        <v>227</v>
      </c>
      <c r="Q110" s="107" t="s">
        <v>310</v>
      </c>
      <c r="R110" s="107" t="s">
        <v>311</v>
      </c>
      <c r="S110" s="107">
        <v>0</v>
      </c>
      <c r="T110" s="107" t="s">
        <v>188</v>
      </c>
      <c r="U110" s="107">
        <v>1</v>
      </c>
      <c r="V110" s="130" t="s">
        <v>245</v>
      </c>
      <c r="W110" s="130" t="s">
        <v>231</v>
      </c>
      <c r="X110" s="130" t="s">
        <v>140</v>
      </c>
      <c r="Y110" s="107">
        <v>0</v>
      </c>
      <c r="Z110" s="107">
        <v>0</v>
      </c>
      <c r="AA110" s="107">
        <v>1</v>
      </c>
      <c r="AB110" s="107">
        <v>0</v>
      </c>
      <c r="AC110" s="107">
        <v>0</v>
      </c>
      <c r="AD110" s="107">
        <v>0</v>
      </c>
      <c r="AE110" s="107">
        <v>0</v>
      </c>
      <c r="AF110" s="107">
        <v>0</v>
      </c>
      <c r="AG110" s="107" t="s">
        <v>73</v>
      </c>
      <c r="AH110" s="107">
        <v>0</v>
      </c>
      <c r="AI110" s="107">
        <v>1</v>
      </c>
      <c r="AJ110" s="107">
        <v>0</v>
      </c>
      <c r="AK110" s="107">
        <v>0</v>
      </c>
      <c r="AL110" s="107">
        <v>0</v>
      </c>
      <c r="AM110" s="107">
        <v>0</v>
      </c>
      <c r="AN110" s="107">
        <v>0</v>
      </c>
      <c r="AO110" s="107">
        <v>0</v>
      </c>
      <c r="AP110" s="175">
        <v>0</v>
      </c>
      <c r="AQ110" s="107" t="s">
        <v>398</v>
      </c>
      <c r="AR110" s="107" t="s">
        <v>233</v>
      </c>
      <c r="AS110" s="179" t="s">
        <v>399</v>
      </c>
      <c r="AT110" s="107" t="s">
        <v>73</v>
      </c>
      <c r="AU110" s="203" t="s">
        <v>73</v>
      </c>
      <c r="AV110" s="170" t="s">
        <v>86</v>
      </c>
      <c r="AW110" s="107">
        <f>AZ110/ABS(_xlfn.T.INV.2T(AX110,CC110))</f>
        <v>1</v>
      </c>
      <c r="AX110" s="130">
        <v>0.1</v>
      </c>
      <c r="AY110" s="130">
        <v>2</v>
      </c>
      <c r="AZ110" s="177">
        <f>TINV(AX110,CC110)</f>
        <v>1.6938887483837093</v>
      </c>
      <c r="BA110" s="177"/>
      <c r="BB110" s="178">
        <v>0.08</v>
      </c>
      <c r="BC110" s="130" t="s">
        <v>73</v>
      </c>
      <c r="BD110" s="130">
        <v>19</v>
      </c>
      <c r="BE110" s="130" t="s">
        <v>73</v>
      </c>
      <c r="BF110" s="130" t="s">
        <v>73</v>
      </c>
      <c r="BG110" s="130">
        <v>19</v>
      </c>
      <c r="BH110" s="130" t="s">
        <v>73</v>
      </c>
      <c r="BI110" s="130">
        <v>34</v>
      </c>
      <c r="BJ110" s="130">
        <v>51591</v>
      </c>
      <c r="BK110" s="130" t="s">
        <v>73</v>
      </c>
      <c r="BL110" s="130" t="s">
        <v>73</v>
      </c>
      <c r="BM110" s="107" t="s">
        <v>73</v>
      </c>
      <c r="BN110" s="107" t="s">
        <v>73</v>
      </c>
      <c r="BO110" s="107" t="s">
        <v>73</v>
      </c>
      <c r="BP110" s="107">
        <v>1</v>
      </c>
      <c r="BQ110" s="107">
        <v>185</v>
      </c>
      <c r="BR110" s="107" t="s">
        <v>73</v>
      </c>
      <c r="BS110" s="107" t="s">
        <v>73</v>
      </c>
      <c r="BT110" s="107" t="s">
        <v>73</v>
      </c>
      <c r="BU110" s="107">
        <v>0</v>
      </c>
      <c r="BV110" s="107">
        <v>0</v>
      </c>
      <c r="BW110" s="107">
        <v>0</v>
      </c>
      <c r="BX110" s="118">
        <f>CB110/((CB110^2+4)^(1/2))</f>
        <v>0.26496377396868748</v>
      </c>
      <c r="BY110" s="30">
        <f>0.5*LN((1+BX110)/(1-BX110))</f>
        <v>0.27143948922848343</v>
      </c>
      <c r="BZ110" s="30">
        <f>((1-(BY110^2)^2)/(BI110-1))</f>
        <v>3.0138525653303272E-2</v>
      </c>
      <c r="CA110" s="30">
        <f>1/(BI110-3)</f>
        <v>3.2258064516129031E-2</v>
      </c>
      <c r="CB110" s="107">
        <f xml:space="preserve"> AZ110*(((BD110+BG110)/(BD110*BG110))^(1/2))</f>
        <v>0.54957008000042795</v>
      </c>
      <c r="CC110">
        <f>BI110-2</f>
        <v>32</v>
      </c>
      <c r="CD110" t="s">
        <v>400</v>
      </c>
      <c r="CE110" s="30">
        <f>((AZ110^2)/(AZ110^2+BJ110))^(1/2)</f>
        <v>7.4573724474873322E-3</v>
      </c>
      <c r="CF110" s="30">
        <f>0.5*LN((1+CE110)/(1-CE110))</f>
        <v>7.4575106929029604E-3</v>
      </c>
      <c r="CG110" s="30">
        <f>((1-(CF110^2)^2)/(BJ110-1))</f>
        <v>1.9383601413200837E-5</v>
      </c>
      <c r="CH110" s="30">
        <f>1/(BJ110-3)</f>
        <v>1.9384352950298517E-5</v>
      </c>
    </row>
    <row r="111" spans="1:87" ht="17" customHeight="1">
      <c r="A111" s="107" t="s">
        <v>68</v>
      </c>
      <c r="B111" t="s">
        <v>718</v>
      </c>
      <c r="C111" s="130">
        <v>1214</v>
      </c>
      <c r="D111" s="107">
        <v>151</v>
      </c>
      <c r="E111" s="107" t="s">
        <v>397</v>
      </c>
      <c r="F111" s="107">
        <v>2014</v>
      </c>
      <c r="G111" s="107" t="s">
        <v>133</v>
      </c>
      <c r="H111" s="107" t="s">
        <v>134</v>
      </c>
      <c r="I111" s="107">
        <v>1</v>
      </c>
      <c r="J111" s="130" t="s">
        <v>135</v>
      </c>
      <c r="K111" s="130" t="s">
        <v>73</v>
      </c>
      <c r="L111" s="130">
        <v>25</v>
      </c>
      <c r="M111" s="191" t="s">
        <v>107</v>
      </c>
      <c r="N111" s="130" t="s">
        <v>226</v>
      </c>
      <c r="O111" s="107" t="s">
        <v>138</v>
      </c>
      <c r="P111" s="107" t="s">
        <v>227</v>
      </c>
      <c r="Q111" s="107" t="s">
        <v>310</v>
      </c>
      <c r="R111" s="107" t="s">
        <v>311</v>
      </c>
      <c r="S111" s="107">
        <v>0</v>
      </c>
      <c r="T111" s="107" t="s">
        <v>188</v>
      </c>
      <c r="U111" s="107">
        <v>1</v>
      </c>
      <c r="V111" s="130" t="s">
        <v>245</v>
      </c>
      <c r="W111" s="130" t="s">
        <v>231</v>
      </c>
      <c r="X111" s="130" t="s">
        <v>140</v>
      </c>
      <c r="Y111" s="107">
        <v>0</v>
      </c>
      <c r="Z111" s="107">
        <v>0</v>
      </c>
      <c r="AA111" s="107">
        <v>1</v>
      </c>
      <c r="AB111" s="107">
        <v>0</v>
      </c>
      <c r="AC111" s="107">
        <v>0</v>
      </c>
      <c r="AD111" s="107">
        <v>0</v>
      </c>
      <c r="AE111" s="107">
        <v>0</v>
      </c>
      <c r="AF111" s="107">
        <v>0</v>
      </c>
      <c r="AG111" s="107" t="s">
        <v>73</v>
      </c>
      <c r="AH111" s="107">
        <v>0</v>
      </c>
      <c r="AI111" s="107">
        <v>1</v>
      </c>
      <c r="AJ111" s="107">
        <v>0</v>
      </c>
      <c r="AK111" s="107">
        <v>0</v>
      </c>
      <c r="AL111" s="107">
        <v>0</v>
      </c>
      <c r="AM111" s="107">
        <v>0</v>
      </c>
      <c r="AN111" s="107">
        <v>0</v>
      </c>
      <c r="AO111" s="107">
        <v>0</v>
      </c>
      <c r="AP111" s="175">
        <v>0</v>
      </c>
      <c r="AQ111" s="107" t="s">
        <v>398</v>
      </c>
      <c r="AR111" s="107" t="s">
        <v>233</v>
      </c>
      <c r="AS111" s="179" t="s">
        <v>399</v>
      </c>
      <c r="AT111" s="107" t="s">
        <v>73</v>
      </c>
      <c r="AU111" s="203" t="s">
        <v>73</v>
      </c>
      <c r="AV111" s="170" t="s">
        <v>80</v>
      </c>
      <c r="AW111" s="107">
        <f>AZ111/ABS(_xlfn.T.INV.2T(AX111,CC111))</f>
        <v>1</v>
      </c>
      <c r="AX111" s="130">
        <v>0.1</v>
      </c>
      <c r="AY111" s="130">
        <v>2</v>
      </c>
      <c r="AZ111" s="177">
        <f>TINV(AX111,CC111)</f>
        <v>1.9431802805153031</v>
      </c>
      <c r="BA111" s="177"/>
      <c r="BB111" s="178">
        <v>0.08</v>
      </c>
      <c r="BC111" s="130" t="s">
        <v>73</v>
      </c>
      <c r="BD111" s="130">
        <v>19</v>
      </c>
      <c r="BE111" s="130" t="s">
        <v>73</v>
      </c>
      <c r="BF111" s="130" t="s">
        <v>73</v>
      </c>
      <c r="BG111" s="130">
        <v>19</v>
      </c>
      <c r="BH111" s="130" t="s">
        <v>73</v>
      </c>
      <c r="BI111" s="130">
        <v>8</v>
      </c>
      <c r="BJ111" s="130">
        <v>51591</v>
      </c>
      <c r="BK111" s="130" t="s">
        <v>73</v>
      </c>
      <c r="BL111" s="130" t="s">
        <v>73</v>
      </c>
      <c r="BM111" s="107" t="s">
        <v>73</v>
      </c>
      <c r="BN111" s="107" t="s">
        <v>73</v>
      </c>
      <c r="BO111" s="107" t="s">
        <v>73</v>
      </c>
      <c r="BP111" s="107">
        <v>1</v>
      </c>
      <c r="BQ111" s="107">
        <v>185</v>
      </c>
      <c r="BR111" s="107" t="s">
        <v>73</v>
      </c>
      <c r="BS111" s="107" t="s">
        <v>73</v>
      </c>
      <c r="BT111" s="107" t="s">
        <v>73</v>
      </c>
      <c r="BU111" s="107">
        <v>0</v>
      </c>
      <c r="BV111" s="107">
        <v>0</v>
      </c>
      <c r="BW111" s="107">
        <v>0</v>
      </c>
      <c r="BX111" s="118">
        <f>CB111/((CB111^2+4)^(1/2))</f>
        <v>0.30064219204505443</v>
      </c>
      <c r="BY111" s="30">
        <f>0.5*LN((1+BX111)/(1-BX111))</f>
        <v>0.31022545930208606</v>
      </c>
      <c r="BZ111" s="30">
        <f>((1-(BY111^2)^2)/(BI111-1))</f>
        <v>0.14153398486340582</v>
      </c>
      <c r="CA111" s="30">
        <f>1/(BI111-3)</f>
        <v>0.2</v>
      </c>
      <c r="CB111" s="107">
        <f xml:space="preserve"> AZ111*(((BD111+BG111)/(BD111*BG111))^(1/2))</f>
        <v>0.63045093323693258</v>
      </c>
      <c r="CC111">
        <f>BI111-2</f>
        <v>6</v>
      </c>
      <c r="CD111" t="s">
        <v>400</v>
      </c>
      <c r="CE111" s="30">
        <f>((AZ111^2)/(AZ111^2+BJ111))^(1/2)</f>
        <v>8.5548072564774428E-3</v>
      </c>
      <c r="CF111" s="30">
        <f>0.5*LN((1+CE111)/(1-CE111))</f>
        <v>8.5550159593868347E-3</v>
      </c>
      <c r="CG111" s="30">
        <f>((1-(CF111^2)^2)/(BJ111-1))</f>
        <v>1.9383601369324926E-5</v>
      </c>
      <c r="CH111" s="30">
        <f>1/(BJ111-3)</f>
        <v>1.9384352950298517E-5</v>
      </c>
    </row>
    <row r="112" spans="1:87" ht="17" customHeight="1">
      <c r="A112" s="11" t="s">
        <v>401</v>
      </c>
      <c r="B112" s="11" t="s">
        <v>719</v>
      </c>
      <c r="C112" s="92">
        <v>1215</v>
      </c>
      <c r="D112" s="100">
        <v>201</v>
      </c>
      <c r="E112" t="s">
        <v>402</v>
      </c>
      <c r="F112" s="99">
        <v>2021</v>
      </c>
      <c r="G112" t="s">
        <v>403</v>
      </c>
      <c r="H112" t="s">
        <v>404</v>
      </c>
      <c r="I112" s="100">
        <v>2</v>
      </c>
      <c r="J112">
        <v>2015</v>
      </c>
      <c r="K112" s="99" t="s">
        <v>73</v>
      </c>
      <c r="L112" s="100">
        <v>10</v>
      </c>
      <c r="M112" s="18" t="s">
        <v>155</v>
      </c>
      <c r="N112" t="s">
        <v>241</v>
      </c>
      <c r="O112" t="s">
        <v>274</v>
      </c>
      <c r="P112" s="110" t="s">
        <v>242</v>
      </c>
      <c r="Q112" t="s">
        <v>243</v>
      </c>
      <c r="R112" t="s">
        <v>254</v>
      </c>
      <c r="S112">
        <v>0</v>
      </c>
      <c r="T112" t="s">
        <v>230</v>
      </c>
      <c r="U112">
        <v>0</v>
      </c>
      <c r="V112" s="137" t="s">
        <v>245</v>
      </c>
      <c r="W112" s="137" t="s">
        <v>245</v>
      </c>
      <c r="X112" s="151" t="s">
        <v>405</v>
      </c>
      <c r="Y112" s="100">
        <v>0</v>
      </c>
      <c r="Z112" s="100">
        <v>0</v>
      </c>
      <c r="AA112" s="100">
        <v>1</v>
      </c>
      <c r="AB112" s="100">
        <v>0</v>
      </c>
      <c r="AC112" s="100">
        <v>0</v>
      </c>
      <c r="AD112" s="100">
        <v>0</v>
      </c>
      <c r="AE112" s="100">
        <v>0</v>
      </c>
      <c r="AF112" s="100">
        <v>0</v>
      </c>
      <c r="AG112" t="s">
        <v>73</v>
      </c>
      <c r="AH112" s="100">
        <v>0</v>
      </c>
      <c r="AI112" s="100">
        <v>0</v>
      </c>
      <c r="AJ112" s="100">
        <v>0</v>
      </c>
      <c r="AK112" s="100">
        <v>0</v>
      </c>
      <c r="AL112" s="100">
        <v>0</v>
      </c>
      <c r="AM112" s="100">
        <v>0</v>
      </c>
      <c r="AN112" s="100">
        <v>0</v>
      </c>
      <c r="AO112" s="100">
        <v>1</v>
      </c>
      <c r="AP112" s="100">
        <v>0</v>
      </c>
      <c r="AQ112" t="s">
        <v>73</v>
      </c>
      <c r="AR112" t="s">
        <v>233</v>
      </c>
      <c r="AS112" t="s">
        <v>406</v>
      </c>
      <c r="AT112" t="s">
        <v>235</v>
      </c>
      <c r="AU112" s="134">
        <v>0.39400000000000002</v>
      </c>
      <c r="AV112" s="7" t="s">
        <v>80</v>
      </c>
      <c r="AW112">
        <v>7.0999999999999994E-2</v>
      </c>
      <c r="AX112" s="16">
        <v>0</v>
      </c>
      <c r="AY112">
        <v>3</v>
      </c>
      <c r="AZ112" s="19">
        <f>TINV(0.001,CC112)</f>
        <v>3.2990742119196153</v>
      </c>
      <c r="BA112" s="19" t="s">
        <v>73</v>
      </c>
      <c r="BB112" s="105">
        <f>EXP(AU112)/(1+EXP(AU112))</f>
        <v>0.59724524587432648</v>
      </c>
      <c r="BC112" s="102" t="s">
        <v>73</v>
      </c>
      <c r="BD112" s="102" t="s">
        <v>73</v>
      </c>
      <c r="BE112" s="102" t="s">
        <v>73</v>
      </c>
      <c r="BF112" s="102" t="s">
        <v>73</v>
      </c>
      <c r="BG112" s="102" t="s">
        <v>73</v>
      </c>
      <c r="BH112" s="102" t="s">
        <v>73</v>
      </c>
      <c r="BI112" s="100">
        <v>1143</v>
      </c>
      <c r="BJ112">
        <f>BI112</f>
        <v>1143</v>
      </c>
      <c r="BK112" s="100" t="s">
        <v>73</v>
      </c>
      <c r="BL112" s="100" t="s">
        <v>73</v>
      </c>
      <c r="BM112" s="100" t="s">
        <v>73</v>
      </c>
      <c r="BN112" s="100" t="s">
        <v>73</v>
      </c>
      <c r="BO112" s="100" t="s">
        <v>73</v>
      </c>
      <c r="BP112" s="100" t="s">
        <v>73</v>
      </c>
      <c r="BQ112" s="100" t="s">
        <v>73</v>
      </c>
      <c r="BR112" s="100" t="s">
        <v>73</v>
      </c>
      <c r="BS112" s="100" t="s">
        <v>73</v>
      </c>
      <c r="BT112" s="100" t="s">
        <v>73</v>
      </c>
      <c r="BU112" s="100">
        <v>0</v>
      </c>
      <c r="BV112" s="100">
        <v>0</v>
      </c>
      <c r="BW112" s="100">
        <v>1</v>
      </c>
      <c r="BX112" s="30">
        <f>((AZ112^2)/(AZ112^2+BI112))^(1/2)</f>
        <v>9.712052690463481E-2</v>
      </c>
      <c r="BY112" s="30">
        <f>0.5*LN((1+BX112)/(1-BX112))</f>
        <v>9.7427626579518284E-2</v>
      </c>
      <c r="BZ112" s="30">
        <f>((1-(BY112^2)^2)/(BI112-1))</f>
        <v>8.7557784521213747E-4</v>
      </c>
      <c r="CA112" s="30">
        <f>1/(BI112-3)</f>
        <v>8.7719298245614037E-4</v>
      </c>
      <c r="CB112" s="92" t="s">
        <v>73</v>
      </c>
      <c r="CC112">
        <f>BI112-2</f>
        <v>1141</v>
      </c>
      <c r="CD112" s="92" t="s">
        <v>73</v>
      </c>
      <c r="CE112" s="30">
        <f>((AZ112^2)/(AZ112^2+BJ112))^(1/2)</f>
        <v>9.712052690463481E-2</v>
      </c>
      <c r="CF112" s="30">
        <f>0.5*LN((1+CE112)/(1-CE112))</f>
        <v>9.7427626579518284E-2</v>
      </c>
      <c r="CG112" s="30">
        <f>((1-(CF112^2)^2)/(BJ112-1))</f>
        <v>8.7557784521213747E-4</v>
      </c>
      <c r="CH112" s="30">
        <f>1/(BJ112-3)</f>
        <v>8.7719298245614037E-4</v>
      </c>
    </row>
    <row r="113" spans="1:87" ht="16">
      <c r="A113" s="11" t="s">
        <v>401</v>
      </c>
      <c r="B113" s="11" t="s">
        <v>719</v>
      </c>
      <c r="C113" s="92">
        <v>1216</v>
      </c>
      <c r="D113" s="100">
        <v>201</v>
      </c>
      <c r="E113" t="s">
        <v>402</v>
      </c>
      <c r="F113" s="99">
        <v>2021</v>
      </c>
      <c r="G113" t="s">
        <v>403</v>
      </c>
      <c r="H113" t="s">
        <v>404</v>
      </c>
      <c r="I113" s="100">
        <v>2</v>
      </c>
      <c r="J113">
        <v>2015</v>
      </c>
      <c r="K113" s="99" t="s">
        <v>73</v>
      </c>
      <c r="L113" s="100">
        <v>10</v>
      </c>
      <c r="M113" s="18" t="s">
        <v>155</v>
      </c>
      <c r="N113" t="s">
        <v>241</v>
      </c>
      <c r="O113" t="s">
        <v>274</v>
      </c>
      <c r="P113" s="110" t="s">
        <v>242</v>
      </c>
      <c r="Q113" t="s">
        <v>243</v>
      </c>
      <c r="R113" t="s">
        <v>254</v>
      </c>
      <c r="S113">
        <v>0</v>
      </c>
      <c r="T113" t="s">
        <v>230</v>
      </c>
      <c r="U113">
        <v>0</v>
      </c>
      <c r="V113" s="137" t="s">
        <v>245</v>
      </c>
      <c r="W113" s="137" t="s">
        <v>245</v>
      </c>
      <c r="X113" s="151" t="s">
        <v>407</v>
      </c>
      <c r="Y113" s="100">
        <v>0</v>
      </c>
      <c r="Z113" s="100">
        <v>0</v>
      </c>
      <c r="AA113" s="100">
        <v>0</v>
      </c>
      <c r="AB113" s="100">
        <v>0</v>
      </c>
      <c r="AC113" s="100">
        <v>0</v>
      </c>
      <c r="AD113" s="100">
        <v>1</v>
      </c>
      <c r="AE113" s="100">
        <v>0</v>
      </c>
      <c r="AF113" s="100">
        <v>0</v>
      </c>
      <c r="AG113" t="s">
        <v>73</v>
      </c>
      <c r="AH113" s="100">
        <v>0</v>
      </c>
      <c r="AI113" s="100">
        <v>0</v>
      </c>
      <c r="AJ113" s="100">
        <v>0</v>
      </c>
      <c r="AK113" s="100">
        <v>0</v>
      </c>
      <c r="AL113" s="100">
        <v>0</v>
      </c>
      <c r="AM113" s="100">
        <v>0</v>
      </c>
      <c r="AN113" s="100">
        <v>0</v>
      </c>
      <c r="AO113" s="100">
        <v>1</v>
      </c>
      <c r="AP113" s="100">
        <v>0</v>
      </c>
      <c r="AQ113" t="s">
        <v>73</v>
      </c>
      <c r="AR113" t="s">
        <v>233</v>
      </c>
      <c r="AS113" t="s">
        <v>406</v>
      </c>
      <c r="AT113" t="s">
        <v>235</v>
      </c>
      <c r="AU113" s="134">
        <v>0.45500000000000002</v>
      </c>
      <c r="AV113" s="7" t="s">
        <v>80</v>
      </c>
      <c r="AW113">
        <v>0.22</v>
      </c>
      <c r="AX113" s="16">
        <v>3.7999999999999999E-2</v>
      </c>
      <c r="AY113">
        <v>3</v>
      </c>
      <c r="AZ113" s="19">
        <f>TINV(AX113,CC113)</f>
        <v>2.0772692016703491</v>
      </c>
      <c r="BA113" s="19" t="s">
        <v>73</v>
      </c>
      <c r="BB113" s="105">
        <f>EXP(AU113)/(1+EXP(AU113))</f>
        <v>0.61182736900173718</v>
      </c>
      <c r="BC113" s="102" t="s">
        <v>73</v>
      </c>
      <c r="BD113" s="102" t="s">
        <v>73</v>
      </c>
      <c r="BE113" s="102" t="s">
        <v>73</v>
      </c>
      <c r="BF113" s="102" t="s">
        <v>73</v>
      </c>
      <c r="BG113" s="102" t="s">
        <v>73</v>
      </c>
      <c r="BH113" s="102" t="s">
        <v>73</v>
      </c>
      <c r="BI113" s="100">
        <v>1143</v>
      </c>
      <c r="BJ113">
        <f>BI113</f>
        <v>1143</v>
      </c>
      <c r="BK113" s="100" t="s">
        <v>73</v>
      </c>
      <c r="BL113" s="100" t="s">
        <v>73</v>
      </c>
      <c r="BM113" s="100" t="s">
        <v>73</v>
      </c>
      <c r="BN113" s="100" t="s">
        <v>73</v>
      </c>
      <c r="BO113" s="100" t="s">
        <v>73</v>
      </c>
      <c r="BP113" s="100" t="s">
        <v>73</v>
      </c>
      <c r="BQ113" s="100" t="s">
        <v>73</v>
      </c>
      <c r="BR113" s="100" t="s">
        <v>73</v>
      </c>
      <c r="BS113" s="100" t="s">
        <v>73</v>
      </c>
      <c r="BT113" s="100" t="s">
        <v>73</v>
      </c>
      <c r="BU113" s="100">
        <v>0</v>
      </c>
      <c r="BV113" s="100">
        <v>0</v>
      </c>
      <c r="BW113" s="100">
        <v>1</v>
      </c>
      <c r="BX113" s="30">
        <f>((AZ113^2)/(AZ113^2+BI113))^(1/2)</f>
        <v>6.1326960044274084E-2</v>
      </c>
      <c r="BY113" s="30">
        <f>0.5*LN((1+BX113)/(1-BX113))</f>
        <v>6.1404017491195166E-2</v>
      </c>
      <c r="BZ113" s="30">
        <f>((1-(BY113^2)^2)/(BI113-1))</f>
        <v>8.7564429394170699E-4</v>
      </c>
      <c r="CA113" s="30">
        <f>1/(BI113-3)</f>
        <v>8.7719298245614037E-4</v>
      </c>
      <c r="CB113" s="92" t="s">
        <v>73</v>
      </c>
      <c r="CC113">
        <f>BI113-2</f>
        <v>1141</v>
      </c>
      <c r="CD113" s="92" t="s">
        <v>73</v>
      </c>
      <c r="CE113" s="30">
        <f>((AZ113^2)/(AZ113^2+BJ113))^(1/2)</f>
        <v>6.1326960044274084E-2</v>
      </c>
      <c r="CF113" s="30">
        <f>0.5*LN((1+CE113)/(1-CE113))</f>
        <v>6.1404017491195166E-2</v>
      </c>
      <c r="CG113" s="30">
        <f>((1-(CF113^2)^2)/(BJ113-1))</f>
        <v>8.7564429394170699E-4</v>
      </c>
      <c r="CH113" s="30">
        <f>1/(BJ113-3)</f>
        <v>8.7719298245614037E-4</v>
      </c>
    </row>
    <row r="114" spans="1:87" ht="16">
      <c r="A114" s="11" t="s">
        <v>401</v>
      </c>
      <c r="B114" s="11" t="s">
        <v>719</v>
      </c>
      <c r="C114" s="92">
        <v>1217</v>
      </c>
      <c r="D114" s="100">
        <v>201</v>
      </c>
      <c r="E114" t="s">
        <v>402</v>
      </c>
      <c r="F114" s="99">
        <v>2021</v>
      </c>
      <c r="G114" t="s">
        <v>403</v>
      </c>
      <c r="H114" t="s">
        <v>404</v>
      </c>
      <c r="I114" s="100">
        <v>2</v>
      </c>
      <c r="J114">
        <v>2015</v>
      </c>
      <c r="K114" s="99" t="s">
        <v>73</v>
      </c>
      <c r="L114" s="100">
        <v>10</v>
      </c>
      <c r="M114" s="18" t="s">
        <v>155</v>
      </c>
      <c r="N114" t="s">
        <v>241</v>
      </c>
      <c r="O114" t="s">
        <v>274</v>
      </c>
      <c r="P114" s="110" t="s">
        <v>242</v>
      </c>
      <c r="Q114" t="s">
        <v>243</v>
      </c>
      <c r="R114" t="s">
        <v>254</v>
      </c>
      <c r="S114">
        <v>0</v>
      </c>
      <c r="T114" t="s">
        <v>230</v>
      </c>
      <c r="U114">
        <v>0</v>
      </c>
      <c r="V114" s="137" t="s">
        <v>245</v>
      </c>
      <c r="W114" s="137" t="s">
        <v>245</v>
      </c>
      <c r="X114" s="151" t="s">
        <v>405</v>
      </c>
      <c r="Y114" s="100">
        <v>0</v>
      </c>
      <c r="Z114" s="100">
        <v>0</v>
      </c>
      <c r="AA114" s="100">
        <v>1</v>
      </c>
      <c r="AB114" s="100">
        <v>0</v>
      </c>
      <c r="AC114" s="100">
        <v>0</v>
      </c>
      <c r="AD114" s="100">
        <v>0</v>
      </c>
      <c r="AE114" s="100">
        <v>0</v>
      </c>
      <c r="AF114" s="100">
        <v>0</v>
      </c>
      <c r="AG114" t="s">
        <v>73</v>
      </c>
      <c r="AH114" s="100">
        <v>1</v>
      </c>
      <c r="AI114" s="100">
        <v>0</v>
      </c>
      <c r="AJ114" s="100">
        <v>0</v>
      </c>
      <c r="AK114" s="100">
        <v>0</v>
      </c>
      <c r="AL114" s="100">
        <v>0</v>
      </c>
      <c r="AM114" s="100">
        <v>0</v>
      </c>
      <c r="AN114" s="100">
        <v>0</v>
      </c>
      <c r="AO114" s="100">
        <v>0</v>
      </c>
      <c r="AP114" s="100">
        <v>0</v>
      </c>
      <c r="AQ114" t="s">
        <v>73</v>
      </c>
      <c r="AR114" t="s">
        <v>233</v>
      </c>
      <c r="AS114" t="s">
        <v>406</v>
      </c>
      <c r="AT114" t="s">
        <v>235</v>
      </c>
      <c r="AU114" s="134">
        <v>0.35299999999999998</v>
      </c>
      <c r="AV114" s="7" t="s">
        <v>80</v>
      </c>
      <c r="AW114">
        <v>7.0999999999999994E-2</v>
      </c>
      <c r="AX114" s="16">
        <v>0</v>
      </c>
      <c r="AY114">
        <v>3</v>
      </c>
      <c r="AZ114" s="19">
        <f>TINV(0.001,CC114)</f>
        <v>3.2990742119196153</v>
      </c>
      <c r="BA114" s="19" t="s">
        <v>73</v>
      </c>
      <c r="BB114" s="105">
        <f>EXP(AU114)/(1+EXP(AU114))</f>
        <v>0.58734488156533704</v>
      </c>
      <c r="BC114" s="102" t="s">
        <v>73</v>
      </c>
      <c r="BD114" s="102" t="s">
        <v>73</v>
      </c>
      <c r="BE114" s="102" t="s">
        <v>73</v>
      </c>
      <c r="BF114" s="102" t="s">
        <v>73</v>
      </c>
      <c r="BG114" s="102" t="s">
        <v>73</v>
      </c>
      <c r="BH114" s="102" t="s">
        <v>73</v>
      </c>
      <c r="BI114" s="100">
        <v>1143</v>
      </c>
      <c r="BJ114">
        <f>BI114</f>
        <v>1143</v>
      </c>
      <c r="BK114" s="100" t="s">
        <v>73</v>
      </c>
      <c r="BL114" s="100" t="s">
        <v>73</v>
      </c>
      <c r="BM114" s="100" t="s">
        <v>73</v>
      </c>
      <c r="BN114" s="100" t="s">
        <v>73</v>
      </c>
      <c r="BO114" s="100" t="s">
        <v>73</v>
      </c>
      <c r="BP114" s="100" t="s">
        <v>73</v>
      </c>
      <c r="BQ114" s="100" t="s">
        <v>73</v>
      </c>
      <c r="BR114" s="100" t="s">
        <v>73</v>
      </c>
      <c r="BS114" s="100" t="s">
        <v>73</v>
      </c>
      <c r="BT114" s="100" t="s">
        <v>73</v>
      </c>
      <c r="BU114" s="100">
        <v>0</v>
      </c>
      <c r="BV114" s="100">
        <v>0</v>
      </c>
      <c r="BW114" s="100">
        <v>1</v>
      </c>
      <c r="BX114" s="30">
        <f>((AZ114^2)/(AZ114^2+BI114))^(1/2)</f>
        <v>9.712052690463481E-2</v>
      </c>
      <c r="BY114" s="30">
        <f>0.5*LN((1+BX114)/(1-BX114))</f>
        <v>9.7427626579518284E-2</v>
      </c>
      <c r="BZ114" s="30">
        <f>((1-(BY114^2)^2)/(BI114-1))</f>
        <v>8.7557784521213747E-4</v>
      </c>
      <c r="CA114" s="30">
        <f>1/(BI114-3)</f>
        <v>8.7719298245614037E-4</v>
      </c>
      <c r="CB114" s="92" t="s">
        <v>73</v>
      </c>
      <c r="CC114">
        <f>BI114-2</f>
        <v>1141</v>
      </c>
      <c r="CD114" s="92" t="s">
        <v>73</v>
      </c>
      <c r="CE114" s="30">
        <f>((AZ114^2)/(AZ114^2+BJ114))^(1/2)</f>
        <v>9.712052690463481E-2</v>
      </c>
      <c r="CF114" s="30">
        <f>0.5*LN((1+CE114)/(1-CE114))</f>
        <v>9.7427626579518284E-2</v>
      </c>
      <c r="CG114" s="30">
        <f>((1-(CF114^2)^2)/(BJ114-1))</f>
        <v>8.7557784521213747E-4</v>
      </c>
      <c r="CH114" s="30">
        <f>1/(BJ114-3)</f>
        <v>8.7719298245614037E-4</v>
      </c>
    </row>
    <row r="115" spans="1:87" ht="16">
      <c r="A115" s="11" t="s">
        <v>401</v>
      </c>
      <c r="B115" s="11" t="s">
        <v>719</v>
      </c>
      <c r="C115" s="92">
        <v>1218</v>
      </c>
      <c r="D115" s="100">
        <v>201</v>
      </c>
      <c r="E115" t="s">
        <v>402</v>
      </c>
      <c r="F115" s="99">
        <v>2021</v>
      </c>
      <c r="G115" t="s">
        <v>403</v>
      </c>
      <c r="H115" t="s">
        <v>404</v>
      </c>
      <c r="I115" s="100">
        <v>2</v>
      </c>
      <c r="J115">
        <v>2015</v>
      </c>
      <c r="K115" s="99" t="s">
        <v>73</v>
      </c>
      <c r="L115" s="100">
        <v>10</v>
      </c>
      <c r="M115" s="18" t="s">
        <v>155</v>
      </c>
      <c r="N115" t="s">
        <v>241</v>
      </c>
      <c r="O115" t="s">
        <v>274</v>
      </c>
      <c r="P115" s="110" t="s">
        <v>242</v>
      </c>
      <c r="Q115" t="s">
        <v>243</v>
      </c>
      <c r="R115" t="s">
        <v>254</v>
      </c>
      <c r="S115">
        <v>0</v>
      </c>
      <c r="T115" t="s">
        <v>230</v>
      </c>
      <c r="U115">
        <v>0</v>
      </c>
      <c r="V115" s="137" t="s">
        <v>245</v>
      </c>
      <c r="W115" s="137" t="s">
        <v>245</v>
      </c>
      <c r="X115" s="151" t="s">
        <v>407</v>
      </c>
      <c r="Y115" s="100">
        <v>0</v>
      </c>
      <c r="Z115" s="100">
        <v>0</v>
      </c>
      <c r="AA115" s="100">
        <v>0</v>
      </c>
      <c r="AB115" s="100">
        <v>0</v>
      </c>
      <c r="AC115" s="100">
        <v>0</v>
      </c>
      <c r="AD115" s="100">
        <v>1</v>
      </c>
      <c r="AE115" s="100">
        <v>0</v>
      </c>
      <c r="AF115" s="100">
        <v>0</v>
      </c>
      <c r="AG115" t="s">
        <v>73</v>
      </c>
      <c r="AH115" s="100">
        <v>1</v>
      </c>
      <c r="AI115" s="100">
        <v>0</v>
      </c>
      <c r="AJ115" s="100">
        <v>0</v>
      </c>
      <c r="AK115" s="100">
        <v>0</v>
      </c>
      <c r="AL115" s="100">
        <v>0</v>
      </c>
      <c r="AM115" s="100">
        <v>0</v>
      </c>
      <c r="AN115" s="100">
        <v>0</v>
      </c>
      <c r="AO115" s="100">
        <v>0</v>
      </c>
      <c r="AP115" s="100">
        <v>0</v>
      </c>
      <c r="AQ115" t="s">
        <v>73</v>
      </c>
      <c r="AR115" t="s">
        <v>233</v>
      </c>
      <c r="AS115" t="s">
        <v>406</v>
      </c>
      <c r="AT115" t="s">
        <v>235</v>
      </c>
      <c r="AU115" s="134">
        <v>0.64200000000000002</v>
      </c>
      <c r="AV115" s="7" t="s">
        <v>80</v>
      </c>
      <c r="AW115">
        <v>0.21199999999999999</v>
      </c>
      <c r="AX115" s="16">
        <v>2E-3</v>
      </c>
      <c r="AY115">
        <v>3</v>
      </c>
      <c r="AZ115" s="19">
        <f>TINV(AX115,CC115)</f>
        <v>3.0973904269614785</v>
      </c>
      <c r="BA115" s="19" t="s">
        <v>73</v>
      </c>
      <c r="BB115" s="105">
        <f>EXP(AU115)/(1+EXP(AU115))</f>
        <v>0.65520542330294296</v>
      </c>
      <c r="BC115" s="102" t="s">
        <v>73</v>
      </c>
      <c r="BD115" s="102" t="s">
        <v>73</v>
      </c>
      <c r="BE115" s="102" t="s">
        <v>73</v>
      </c>
      <c r="BF115" s="102" t="s">
        <v>73</v>
      </c>
      <c r="BG115" s="102" t="s">
        <v>73</v>
      </c>
      <c r="BH115" s="102" t="s">
        <v>73</v>
      </c>
      <c r="BI115" s="100">
        <v>1143</v>
      </c>
      <c r="BJ115">
        <f>BI115</f>
        <v>1143</v>
      </c>
      <c r="BK115" s="100" t="s">
        <v>73</v>
      </c>
      <c r="BL115" s="100" t="s">
        <v>73</v>
      </c>
      <c r="BM115" s="100" t="s">
        <v>73</v>
      </c>
      <c r="BN115" s="100" t="s">
        <v>73</v>
      </c>
      <c r="BO115" s="100" t="s">
        <v>73</v>
      </c>
      <c r="BP115" s="100" t="s">
        <v>73</v>
      </c>
      <c r="BQ115" s="100" t="s">
        <v>73</v>
      </c>
      <c r="BR115" s="100" t="s">
        <v>73</v>
      </c>
      <c r="BS115" s="100" t="s">
        <v>73</v>
      </c>
      <c r="BT115" s="100" t="s">
        <v>73</v>
      </c>
      <c r="BU115" s="100">
        <v>0</v>
      </c>
      <c r="BV115" s="100">
        <v>0</v>
      </c>
      <c r="BW115" s="100">
        <v>1</v>
      </c>
      <c r="BX115" s="30">
        <f>((AZ115^2)/(AZ115^2+BI115))^(1/2)</f>
        <v>9.1234229157469829E-2</v>
      </c>
      <c r="BY115" s="30">
        <f>0.5*LN((1+BX115)/(1-BX115))</f>
        <v>9.1488635914083044E-2</v>
      </c>
      <c r="BZ115" s="30">
        <f>((1-(BY115^2)^2)/(BI115-1))</f>
        <v>8.7559539426075063E-4</v>
      </c>
      <c r="CA115" s="30">
        <f>1/(BI115-3)</f>
        <v>8.7719298245614037E-4</v>
      </c>
      <c r="CB115" s="92" t="s">
        <v>73</v>
      </c>
      <c r="CC115">
        <f>BI115-2</f>
        <v>1141</v>
      </c>
      <c r="CD115" s="92" t="s">
        <v>73</v>
      </c>
      <c r="CE115" s="30">
        <f>((AZ115^2)/(AZ115^2+BJ115))^(1/2)</f>
        <v>9.1234229157469829E-2</v>
      </c>
      <c r="CF115" s="30">
        <f>0.5*LN((1+CE115)/(1-CE115))</f>
        <v>9.1488635914083044E-2</v>
      </c>
      <c r="CG115" s="30">
        <f>((1-(CF115^2)^2)/(BJ115-1))</f>
        <v>8.7559539426075063E-4</v>
      </c>
      <c r="CH115" s="30">
        <f>1/(BJ115-3)</f>
        <v>8.7719298245614037E-4</v>
      </c>
    </row>
    <row r="116" spans="1:87" ht="16">
      <c r="A116" s="108" t="s">
        <v>408</v>
      </c>
      <c r="B116" s="108" t="s">
        <v>719</v>
      </c>
      <c r="C116" s="92">
        <v>1219</v>
      </c>
      <c r="D116" s="108">
        <v>301</v>
      </c>
      <c r="E116" s="10" t="s">
        <v>409</v>
      </c>
      <c r="F116" s="108">
        <v>2019</v>
      </c>
      <c r="G116" t="s">
        <v>410</v>
      </c>
      <c r="H116" t="s">
        <v>411</v>
      </c>
      <c r="I116" s="10">
        <v>2</v>
      </c>
      <c r="J116" t="s">
        <v>412</v>
      </c>
      <c r="K116" s="108" t="s">
        <v>73</v>
      </c>
      <c r="L116" s="10">
        <v>163</v>
      </c>
      <c r="M116" s="18" t="s">
        <v>107</v>
      </c>
      <c r="N116" t="s">
        <v>393</v>
      </c>
      <c r="O116" s="10" t="s">
        <v>124</v>
      </c>
      <c r="P116" s="10" t="s">
        <v>227</v>
      </c>
      <c r="Q116" t="s">
        <v>413</v>
      </c>
      <c r="R116" s="10" t="s">
        <v>254</v>
      </c>
      <c r="S116">
        <v>0</v>
      </c>
      <c r="T116" s="10" t="s">
        <v>230</v>
      </c>
      <c r="U116">
        <v>0</v>
      </c>
      <c r="V116" s="10" t="s">
        <v>245</v>
      </c>
      <c r="W116" s="10" t="s">
        <v>245</v>
      </c>
      <c r="X116" s="10" t="s">
        <v>414</v>
      </c>
      <c r="Y116" s="10">
        <v>0</v>
      </c>
      <c r="Z116" s="10">
        <v>0</v>
      </c>
      <c r="AA116" s="10">
        <v>0</v>
      </c>
      <c r="AB116" s="10">
        <v>1</v>
      </c>
      <c r="AC116" s="10">
        <v>0</v>
      </c>
      <c r="AD116" s="10">
        <v>0</v>
      </c>
      <c r="AE116" s="108">
        <v>0</v>
      </c>
      <c r="AF116" s="108">
        <v>0</v>
      </c>
      <c r="AG116" s="10" t="s">
        <v>415</v>
      </c>
      <c r="AH116" s="10">
        <v>0</v>
      </c>
      <c r="AI116" s="10">
        <v>0</v>
      </c>
      <c r="AJ116" s="10">
        <v>0</v>
      </c>
      <c r="AK116" s="10">
        <v>0</v>
      </c>
      <c r="AL116" s="10">
        <v>0</v>
      </c>
      <c r="AM116" s="10">
        <v>0</v>
      </c>
      <c r="AN116" s="10">
        <v>0</v>
      </c>
      <c r="AO116" s="10">
        <v>1</v>
      </c>
      <c r="AP116" s="10">
        <v>0</v>
      </c>
      <c r="AQ116" s="135" t="s">
        <v>73</v>
      </c>
      <c r="AR116" t="s">
        <v>233</v>
      </c>
      <c r="AS116" t="s">
        <v>416</v>
      </c>
      <c r="AT116" s="10" t="s">
        <v>235</v>
      </c>
      <c r="AU116" s="134" t="s">
        <v>73</v>
      </c>
      <c r="AV116" s="7" t="s">
        <v>80</v>
      </c>
      <c r="AW116" s="10" t="s">
        <v>73</v>
      </c>
      <c r="AX116">
        <v>0.01</v>
      </c>
      <c r="AY116">
        <v>1</v>
      </c>
      <c r="AZ116">
        <f>TINV(AX116,CC116)</f>
        <v>2.5765924815279417</v>
      </c>
      <c r="BB116" s="158">
        <v>1.4999999999999999E-2</v>
      </c>
      <c r="BC116" s="10" t="s">
        <v>73</v>
      </c>
      <c r="BD116" s="10" t="s">
        <v>73</v>
      </c>
      <c r="BE116" s="10" t="s">
        <v>73</v>
      </c>
      <c r="BF116" s="10" t="s">
        <v>73</v>
      </c>
      <c r="BG116" s="10" t="s">
        <v>73</v>
      </c>
      <c r="BH116" s="10" t="s">
        <v>73</v>
      </c>
      <c r="BI116" s="10">
        <v>6445</v>
      </c>
      <c r="BJ116" s="10">
        <v>6445</v>
      </c>
      <c r="BK116" s="10" t="s">
        <v>73</v>
      </c>
      <c r="BL116" s="10" t="s">
        <v>73</v>
      </c>
      <c r="BM116" s="108">
        <v>10000</v>
      </c>
      <c r="BN116" s="108" t="s">
        <v>73</v>
      </c>
      <c r="BO116" s="108" t="s">
        <v>73</v>
      </c>
      <c r="BP116" s="108" t="s">
        <v>73</v>
      </c>
      <c r="BQ116" s="10" t="s">
        <v>73</v>
      </c>
      <c r="BR116" s="10" t="s">
        <v>73</v>
      </c>
      <c r="BS116" s="108" t="s">
        <v>73</v>
      </c>
      <c r="BT116" s="108" t="s">
        <v>73</v>
      </c>
      <c r="BU116" s="108">
        <v>1</v>
      </c>
      <c r="BV116" s="10">
        <v>0</v>
      </c>
      <c r="BW116" s="10">
        <v>0</v>
      </c>
      <c r="BX116" s="30">
        <f>((AZ116^2)/(AZ116^2+BI116))^(1/2)</f>
        <v>3.2078253247327888E-2</v>
      </c>
      <c r="BY116" s="30">
        <f>0.5*LN((1+BX116)/(1-BX116))</f>
        <v>3.2089263039774128E-2</v>
      </c>
      <c r="BZ116" s="30">
        <f>((1-(BY116^2)^2)/(BI116-1))</f>
        <v>1.5518295153244398E-4</v>
      </c>
      <c r="CA116" s="30">
        <f>1/(BI116-3)</f>
        <v>1.552312946289972E-4</v>
      </c>
      <c r="CB116" s="92" t="s">
        <v>73</v>
      </c>
      <c r="CC116">
        <f>BI116-1</f>
        <v>6444</v>
      </c>
      <c r="CD116" s="92" t="s">
        <v>73</v>
      </c>
      <c r="CE116" s="30">
        <f>((AZ116^2)/(AZ116^2+BJ116))^(1/2)</f>
        <v>3.2078253247327888E-2</v>
      </c>
      <c r="CF116" s="30">
        <f>0.5*LN((1+CE116)/(1-CE116))</f>
        <v>3.2089263039774128E-2</v>
      </c>
      <c r="CG116" s="30">
        <f>((1-(CF116^2)^2)/(BJ116-1))</f>
        <v>1.5518295153244398E-4</v>
      </c>
      <c r="CH116" s="30">
        <f>1/(BJ116-3)</f>
        <v>1.552312946289972E-4</v>
      </c>
    </row>
    <row r="117" spans="1:87" s="119" customFormat="1" ht="16">
      <c r="A117" s="108" t="s">
        <v>408</v>
      </c>
      <c r="B117" s="108" t="s">
        <v>719</v>
      </c>
      <c r="C117" s="92">
        <v>1220</v>
      </c>
      <c r="D117" s="108">
        <v>301</v>
      </c>
      <c r="E117" s="10" t="s">
        <v>409</v>
      </c>
      <c r="F117" s="108">
        <v>2019</v>
      </c>
      <c r="G117" t="s">
        <v>410</v>
      </c>
      <c r="H117" t="s">
        <v>411</v>
      </c>
      <c r="I117" s="10">
        <v>2</v>
      </c>
      <c r="J117" t="s">
        <v>412</v>
      </c>
      <c r="K117" s="108" t="s">
        <v>73</v>
      </c>
      <c r="L117" s="10">
        <v>163</v>
      </c>
      <c r="M117" s="18" t="s">
        <v>107</v>
      </c>
      <c r="N117" t="s">
        <v>393</v>
      </c>
      <c r="O117" s="10" t="s">
        <v>124</v>
      </c>
      <c r="P117" s="10" t="s">
        <v>227</v>
      </c>
      <c r="Q117" t="s">
        <v>413</v>
      </c>
      <c r="R117" s="10" t="s">
        <v>254</v>
      </c>
      <c r="S117">
        <v>0</v>
      </c>
      <c r="T117" s="10" t="s">
        <v>230</v>
      </c>
      <c r="U117">
        <v>0</v>
      </c>
      <c r="V117" s="10" t="s">
        <v>245</v>
      </c>
      <c r="W117" s="10" t="s">
        <v>245</v>
      </c>
      <c r="X117" s="10" t="s">
        <v>414</v>
      </c>
      <c r="Y117" s="10">
        <v>0</v>
      </c>
      <c r="Z117" s="10">
        <v>0</v>
      </c>
      <c r="AA117" s="10">
        <v>0</v>
      </c>
      <c r="AB117" s="10">
        <v>1</v>
      </c>
      <c r="AC117" s="10">
        <v>0</v>
      </c>
      <c r="AD117" s="10">
        <v>0</v>
      </c>
      <c r="AE117" s="108">
        <v>0</v>
      </c>
      <c r="AF117" s="108">
        <v>0</v>
      </c>
      <c r="AG117" s="10" t="s">
        <v>415</v>
      </c>
      <c r="AH117" s="10">
        <v>0</v>
      </c>
      <c r="AI117" s="10">
        <v>0</v>
      </c>
      <c r="AJ117" s="10">
        <v>0</v>
      </c>
      <c r="AK117" s="10">
        <v>0</v>
      </c>
      <c r="AL117" s="10">
        <v>0</v>
      </c>
      <c r="AM117" s="10">
        <v>0</v>
      </c>
      <c r="AN117" s="10">
        <v>0</v>
      </c>
      <c r="AO117" s="10">
        <v>1</v>
      </c>
      <c r="AP117" s="10">
        <v>0</v>
      </c>
      <c r="AQ117" s="135" t="s">
        <v>73</v>
      </c>
      <c r="AR117" t="s">
        <v>233</v>
      </c>
      <c r="AS117" t="s">
        <v>416</v>
      </c>
      <c r="AT117" s="10" t="s">
        <v>235</v>
      </c>
      <c r="AU117" s="134" t="s">
        <v>73</v>
      </c>
      <c r="AV117" s="7" t="s">
        <v>80</v>
      </c>
      <c r="AW117" s="10" t="s">
        <v>73</v>
      </c>
      <c r="AX117">
        <v>0.01</v>
      </c>
      <c r="AY117">
        <v>1</v>
      </c>
      <c r="AZ117">
        <f>TINV(AX117,CC117)</f>
        <v>2.5765924815279417</v>
      </c>
      <c r="BA117"/>
      <c r="BB117" s="158">
        <v>1.6E-2</v>
      </c>
      <c r="BC117" s="10" t="s">
        <v>73</v>
      </c>
      <c r="BD117" s="10" t="s">
        <v>73</v>
      </c>
      <c r="BE117" s="10" t="s">
        <v>73</v>
      </c>
      <c r="BF117" s="10" t="s">
        <v>73</v>
      </c>
      <c r="BG117" s="10" t="s">
        <v>73</v>
      </c>
      <c r="BH117" s="10" t="s">
        <v>73</v>
      </c>
      <c r="BI117" s="10">
        <v>6445</v>
      </c>
      <c r="BJ117" s="10">
        <v>6445</v>
      </c>
      <c r="BK117" s="10" t="s">
        <v>73</v>
      </c>
      <c r="BL117" s="10" t="s">
        <v>73</v>
      </c>
      <c r="BM117" s="108">
        <v>10000</v>
      </c>
      <c r="BN117" s="108" t="s">
        <v>73</v>
      </c>
      <c r="BO117" s="108" t="s">
        <v>73</v>
      </c>
      <c r="BP117" s="108" t="s">
        <v>73</v>
      </c>
      <c r="BQ117" s="10" t="s">
        <v>73</v>
      </c>
      <c r="BR117" s="10" t="s">
        <v>73</v>
      </c>
      <c r="BS117" s="108" t="s">
        <v>73</v>
      </c>
      <c r="BT117" s="108" t="s">
        <v>73</v>
      </c>
      <c r="BU117" s="108">
        <v>1</v>
      </c>
      <c r="BV117" s="10">
        <v>0</v>
      </c>
      <c r="BW117" s="10">
        <v>0</v>
      </c>
      <c r="BX117" s="30">
        <f>((AZ117^2)/(AZ117^2+BI117))^(1/2)</f>
        <v>3.2078253247327888E-2</v>
      </c>
      <c r="BY117" s="30">
        <f>0.5*LN((1+BX117)/(1-BX117))</f>
        <v>3.2089263039774128E-2</v>
      </c>
      <c r="BZ117" s="30">
        <f>((1-(BY117^2)^2)/(BI117-1))</f>
        <v>1.5518295153244398E-4</v>
      </c>
      <c r="CA117" s="30">
        <f>1/(BI117-3)</f>
        <v>1.552312946289972E-4</v>
      </c>
      <c r="CB117" s="92" t="s">
        <v>73</v>
      </c>
      <c r="CC117">
        <f>BI117-1</f>
        <v>6444</v>
      </c>
      <c r="CD117" s="92" t="s">
        <v>73</v>
      </c>
      <c r="CE117" s="30">
        <f>((AZ117^2)/(AZ117^2+BJ117))^(1/2)</f>
        <v>3.2078253247327888E-2</v>
      </c>
      <c r="CF117" s="30">
        <f>0.5*LN((1+CE117)/(1-CE117))</f>
        <v>3.2089263039774128E-2</v>
      </c>
      <c r="CG117" s="30">
        <f>((1-(CF117^2)^2)/(BJ117-1))</f>
        <v>1.5518295153244398E-4</v>
      </c>
      <c r="CH117" s="30">
        <f>1/(BJ117-3)</f>
        <v>1.552312946289972E-4</v>
      </c>
      <c r="CI117"/>
    </row>
    <row r="118" spans="1:87" ht="16">
      <c r="A118" s="108" t="s">
        <v>408</v>
      </c>
      <c r="B118" s="108" t="s">
        <v>719</v>
      </c>
      <c r="C118" s="92">
        <v>1221</v>
      </c>
      <c r="D118" s="108">
        <v>301</v>
      </c>
      <c r="E118" s="10" t="s">
        <v>409</v>
      </c>
      <c r="F118" s="108">
        <v>2019</v>
      </c>
      <c r="G118" t="s">
        <v>410</v>
      </c>
      <c r="H118" t="s">
        <v>411</v>
      </c>
      <c r="I118" s="10">
        <v>2</v>
      </c>
      <c r="J118" t="s">
        <v>412</v>
      </c>
      <c r="K118" s="108" t="s">
        <v>73</v>
      </c>
      <c r="L118" s="10">
        <v>163</v>
      </c>
      <c r="M118" s="18" t="s">
        <v>107</v>
      </c>
      <c r="N118" t="s">
        <v>393</v>
      </c>
      <c r="O118" s="10" t="s">
        <v>124</v>
      </c>
      <c r="P118" s="10" t="s">
        <v>227</v>
      </c>
      <c r="Q118" t="s">
        <v>413</v>
      </c>
      <c r="R118" s="10" t="s">
        <v>254</v>
      </c>
      <c r="S118">
        <v>0</v>
      </c>
      <c r="T118" s="10" t="s">
        <v>230</v>
      </c>
      <c r="U118">
        <v>0</v>
      </c>
      <c r="V118" s="10" t="s">
        <v>245</v>
      </c>
      <c r="W118" s="10" t="s">
        <v>245</v>
      </c>
      <c r="X118" s="10" t="s">
        <v>414</v>
      </c>
      <c r="Y118" s="10">
        <v>0</v>
      </c>
      <c r="Z118" s="10">
        <v>0</v>
      </c>
      <c r="AA118" s="10">
        <v>0</v>
      </c>
      <c r="AB118" s="10">
        <v>1</v>
      </c>
      <c r="AC118" s="10">
        <v>0</v>
      </c>
      <c r="AD118" s="10">
        <v>0</v>
      </c>
      <c r="AE118" s="108">
        <v>0</v>
      </c>
      <c r="AF118" s="108">
        <v>0</v>
      </c>
      <c r="AG118" s="10" t="s">
        <v>415</v>
      </c>
      <c r="AH118" s="10">
        <v>0</v>
      </c>
      <c r="AI118" s="10">
        <v>0</v>
      </c>
      <c r="AJ118" s="10">
        <v>0</v>
      </c>
      <c r="AK118" s="10">
        <v>0</v>
      </c>
      <c r="AL118" s="10">
        <v>0</v>
      </c>
      <c r="AM118" s="10">
        <v>0</v>
      </c>
      <c r="AN118" s="10">
        <v>0</v>
      </c>
      <c r="AO118" s="10">
        <v>1</v>
      </c>
      <c r="AP118" s="10">
        <v>0</v>
      </c>
      <c r="AQ118" s="135" t="s">
        <v>73</v>
      </c>
      <c r="AR118" t="s">
        <v>233</v>
      </c>
      <c r="AS118" t="s">
        <v>416</v>
      </c>
      <c r="AT118" s="10" t="s">
        <v>235</v>
      </c>
      <c r="AU118" s="134" t="s">
        <v>73</v>
      </c>
      <c r="AV118" s="7" t="s">
        <v>80</v>
      </c>
      <c r="AW118" s="10" t="s">
        <v>73</v>
      </c>
      <c r="AX118">
        <v>0.01</v>
      </c>
      <c r="AY118">
        <v>1</v>
      </c>
      <c r="AZ118">
        <f>TINV(AX118,CC118)</f>
        <v>2.5765924815279417</v>
      </c>
      <c r="BB118" s="158">
        <v>1.7000000000000001E-2</v>
      </c>
      <c r="BC118" s="10" t="s">
        <v>73</v>
      </c>
      <c r="BD118" s="10" t="s">
        <v>73</v>
      </c>
      <c r="BE118" s="10" t="s">
        <v>73</v>
      </c>
      <c r="BF118" s="10" t="s">
        <v>73</v>
      </c>
      <c r="BG118" s="10" t="s">
        <v>73</v>
      </c>
      <c r="BH118" s="10" t="s">
        <v>73</v>
      </c>
      <c r="BI118" s="10">
        <v>6445</v>
      </c>
      <c r="BJ118" s="10">
        <v>6445</v>
      </c>
      <c r="BK118" s="10" t="s">
        <v>73</v>
      </c>
      <c r="BL118" s="10" t="s">
        <v>73</v>
      </c>
      <c r="BM118" s="108">
        <v>10000</v>
      </c>
      <c r="BN118" s="108" t="s">
        <v>73</v>
      </c>
      <c r="BO118" s="108" t="s">
        <v>73</v>
      </c>
      <c r="BP118" s="108" t="s">
        <v>73</v>
      </c>
      <c r="BQ118" s="10" t="s">
        <v>73</v>
      </c>
      <c r="BR118" s="10" t="s">
        <v>73</v>
      </c>
      <c r="BS118" s="108" t="s">
        <v>73</v>
      </c>
      <c r="BT118" s="108" t="s">
        <v>73</v>
      </c>
      <c r="BU118" s="108">
        <v>1</v>
      </c>
      <c r="BV118" s="10">
        <v>0</v>
      </c>
      <c r="BW118" s="10">
        <v>0</v>
      </c>
      <c r="BX118" s="30">
        <f>((AZ118^2)/(AZ118^2+BI118))^(1/2)</f>
        <v>3.2078253247327888E-2</v>
      </c>
      <c r="BY118" s="30">
        <f>0.5*LN((1+BX118)/(1-BX118))</f>
        <v>3.2089263039774128E-2</v>
      </c>
      <c r="BZ118" s="30">
        <f>((1-(BY118^2)^2)/(BI118-1))</f>
        <v>1.5518295153244398E-4</v>
      </c>
      <c r="CA118" s="30">
        <f>1/(BI118-3)</f>
        <v>1.552312946289972E-4</v>
      </c>
      <c r="CB118" s="92" t="s">
        <v>73</v>
      </c>
      <c r="CC118">
        <f>BI118-1</f>
        <v>6444</v>
      </c>
      <c r="CD118" s="92" t="s">
        <v>73</v>
      </c>
      <c r="CE118" s="30">
        <f>((AZ118^2)/(AZ118^2+BJ118))^(1/2)</f>
        <v>3.2078253247327888E-2</v>
      </c>
      <c r="CF118" s="30">
        <f>0.5*LN((1+CE118)/(1-CE118))</f>
        <v>3.2089263039774128E-2</v>
      </c>
      <c r="CG118" s="30">
        <f>((1-(CF118^2)^2)/(BJ118-1))</f>
        <v>1.5518295153244398E-4</v>
      </c>
      <c r="CH118" s="30">
        <f>1/(BJ118-3)</f>
        <v>1.552312946289972E-4</v>
      </c>
      <c r="CI118" s="92"/>
    </row>
    <row r="119" spans="1:87" ht="16">
      <c r="A119" s="108" t="s">
        <v>408</v>
      </c>
      <c r="B119" s="108" t="s">
        <v>719</v>
      </c>
      <c r="C119" s="92">
        <v>1222</v>
      </c>
      <c r="D119" s="108">
        <v>301</v>
      </c>
      <c r="E119" s="10" t="s">
        <v>409</v>
      </c>
      <c r="F119" s="108">
        <v>2019</v>
      </c>
      <c r="G119" t="s">
        <v>410</v>
      </c>
      <c r="H119" t="s">
        <v>411</v>
      </c>
      <c r="I119" s="10">
        <v>2</v>
      </c>
      <c r="J119" t="s">
        <v>412</v>
      </c>
      <c r="K119" s="108" t="s">
        <v>73</v>
      </c>
      <c r="L119" s="10">
        <v>163</v>
      </c>
      <c r="M119" s="18" t="s">
        <v>107</v>
      </c>
      <c r="N119" t="s">
        <v>393</v>
      </c>
      <c r="O119" s="10" t="s">
        <v>124</v>
      </c>
      <c r="P119" s="10" t="s">
        <v>227</v>
      </c>
      <c r="Q119" t="s">
        <v>413</v>
      </c>
      <c r="R119" s="10" t="s">
        <v>254</v>
      </c>
      <c r="S119">
        <v>0</v>
      </c>
      <c r="T119" s="10" t="s">
        <v>230</v>
      </c>
      <c r="U119">
        <v>0</v>
      </c>
      <c r="V119" s="10" t="s">
        <v>245</v>
      </c>
      <c r="W119" s="10" t="s">
        <v>245</v>
      </c>
      <c r="X119" s="10" t="s">
        <v>414</v>
      </c>
      <c r="Y119" s="10">
        <v>0</v>
      </c>
      <c r="Z119" s="10">
        <v>0</v>
      </c>
      <c r="AA119" s="10">
        <v>0</v>
      </c>
      <c r="AB119" s="10">
        <v>1</v>
      </c>
      <c r="AC119" s="10">
        <v>0</v>
      </c>
      <c r="AD119" s="10">
        <v>0</v>
      </c>
      <c r="AE119" s="108">
        <v>0</v>
      </c>
      <c r="AF119" s="108">
        <v>0</v>
      </c>
      <c r="AG119" s="10" t="s">
        <v>415</v>
      </c>
      <c r="AH119" s="10">
        <v>0</v>
      </c>
      <c r="AI119" s="10">
        <v>0</v>
      </c>
      <c r="AJ119" s="10">
        <v>0</v>
      </c>
      <c r="AK119" s="10">
        <v>0</v>
      </c>
      <c r="AL119" s="10">
        <v>0</v>
      </c>
      <c r="AM119" s="10">
        <v>0</v>
      </c>
      <c r="AN119" s="10">
        <v>0</v>
      </c>
      <c r="AO119" s="10">
        <v>1</v>
      </c>
      <c r="AP119" s="10">
        <v>0</v>
      </c>
      <c r="AQ119" s="135" t="s">
        <v>73</v>
      </c>
      <c r="AR119" t="s">
        <v>233</v>
      </c>
      <c r="AS119" t="s">
        <v>416</v>
      </c>
      <c r="AT119" s="10" t="s">
        <v>235</v>
      </c>
      <c r="AU119" s="134" t="s">
        <v>73</v>
      </c>
      <c r="AV119" s="7" t="s">
        <v>80</v>
      </c>
      <c r="AW119" s="10" t="s">
        <v>73</v>
      </c>
      <c r="AX119">
        <v>0.01</v>
      </c>
      <c r="AY119">
        <v>1</v>
      </c>
      <c r="AZ119">
        <f>TINV(AX119,CC119)</f>
        <v>2.5765924815279417</v>
      </c>
      <c r="BB119" s="158">
        <v>1.7999999999999999E-2</v>
      </c>
      <c r="BC119" s="10" t="s">
        <v>73</v>
      </c>
      <c r="BD119" s="10" t="s">
        <v>73</v>
      </c>
      <c r="BE119" s="10" t="s">
        <v>73</v>
      </c>
      <c r="BF119" s="10" t="s">
        <v>73</v>
      </c>
      <c r="BG119" s="10" t="s">
        <v>73</v>
      </c>
      <c r="BH119" s="10" t="s">
        <v>73</v>
      </c>
      <c r="BI119" s="10">
        <v>6445</v>
      </c>
      <c r="BJ119" s="10">
        <v>6445</v>
      </c>
      <c r="BK119" s="10" t="s">
        <v>73</v>
      </c>
      <c r="BL119" s="10" t="s">
        <v>73</v>
      </c>
      <c r="BM119" s="108">
        <v>10000</v>
      </c>
      <c r="BN119" s="108" t="s">
        <v>73</v>
      </c>
      <c r="BO119" s="108" t="s">
        <v>73</v>
      </c>
      <c r="BP119" s="108" t="s">
        <v>73</v>
      </c>
      <c r="BQ119" s="10" t="s">
        <v>73</v>
      </c>
      <c r="BR119" s="10" t="s">
        <v>73</v>
      </c>
      <c r="BS119" s="108" t="s">
        <v>73</v>
      </c>
      <c r="BT119" s="108" t="s">
        <v>73</v>
      </c>
      <c r="BU119" s="108">
        <v>1</v>
      </c>
      <c r="BV119" s="10">
        <v>0</v>
      </c>
      <c r="BW119" s="10">
        <v>0</v>
      </c>
      <c r="BX119" s="30">
        <f>((AZ119^2)/(AZ119^2+BI119))^(1/2)</f>
        <v>3.2078253247327888E-2</v>
      </c>
      <c r="BY119" s="30">
        <f>0.5*LN((1+BX119)/(1-BX119))</f>
        <v>3.2089263039774128E-2</v>
      </c>
      <c r="BZ119" s="30">
        <f>((1-(BY119^2)^2)/(BI119-1))</f>
        <v>1.5518295153244398E-4</v>
      </c>
      <c r="CA119" s="30">
        <f>1/(BI119-3)</f>
        <v>1.552312946289972E-4</v>
      </c>
      <c r="CB119" s="92" t="s">
        <v>73</v>
      </c>
      <c r="CC119">
        <f>BI119-1</f>
        <v>6444</v>
      </c>
      <c r="CD119" s="92" t="s">
        <v>73</v>
      </c>
      <c r="CE119" s="30">
        <f>((AZ119^2)/(AZ119^2+BJ119))^(1/2)</f>
        <v>3.2078253247327888E-2</v>
      </c>
      <c r="CF119" s="30">
        <f>0.5*LN((1+CE119)/(1-CE119))</f>
        <v>3.2089263039774128E-2</v>
      </c>
      <c r="CG119" s="30">
        <f>((1-(CF119^2)^2)/(BJ119-1))</f>
        <v>1.5518295153244398E-4</v>
      </c>
      <c r="CH119" s="30">
        <f>1/(BJ119-3)</f>
        <v>1.552312946289972E-4</v>
      </c>
      <c r="CI119" s="92"/>
    </row>
    <row r="120" spans="1:87" ht="16">
      <c r="A120" s="108" t="s">
        <v>408</v>
      </c>
      <c r="B120" s="108" t="s">
        <v>719</v>
      </c>
      <c r="C120" s="92">
        <v>1223</v>
      </c>
      <c r="D120" s="108">
        <v>301</v>
      </c>
      <c r="E120" s="10" t="s">
        <v>409</v>
      </c>
      <c r="F120" s="108">
        <v>2019</v>
      </c>
      <c r="G120" t="s">
        <v>410</v>
      </c>
      <c r="H120" t="s">
        <v>411</v>
      </c>
      <c r="I120" s="10">
        <v>2</v>
      </c>
      <c r="J120" t="s">
        <v>412</v>
      </c>
      <c r="K120" s="108" t="s">
        <v>73</v>
      </c>
      <c r="L120" s="10">
        <v>163</v>
      </c>
      <c r="M120" s="18" t="s">
        <v>107</v>
      </c>
      <c r="N120" t="s">
        <v>393</v>
      </c>
      <c r="O120" s="10" t="s">
        <v>124</v>
      </c>
      <c r="P120" s="10" t="s">
        <v>227</v>
      </c>
      <c r="Q120" t="s">
        <v>413</v>
      </c>
      <c r="R120" s="10" t="s">
        <v>254</v>
      </c>
      <c r="S120">
        <v>0</v>
      </c>
      <c r="T120" s="10" t="s">
        <v>230</v>
      </c>
      <c r="U120">
        <v>0</v>
      </c>
      <c r="V120" s="10" t="s">
        <v>245</v>
      </c>
      <c r="W120" s="10" t="s">
        <v>245</v>
      </c>
      <c r="X120" s="10" t="s">
        <v>414</v>
      </c>
      <c r="Y120" s="10">
        <v>0</v>
      </c>
      <c r="Z120" s="10">
        <v>0</v>
      </c>
      <c r="AA120" s="10">
        <v>0</v>
      </c>
      <c r="AB120" s="10">
        <v>1</v>
      </c>
      <c r="AC120" s="10">
        <v>0</v>
      </c>
      <c r="AD120" s="10">
        <v>0</v>
      </c>
      <c r="AE120" s="108">
        <v>0</v>
      </c>
      <c r="AF120" s="108">
        <v>0</v>
      </c>
      <c r="AG120" s="10" t="s">
        <v>415</v>
      </c>
      <c r="AH120" s="10">
        <v>0</v>
      </c>
      <c r="AI120" s="10">
        <v>0</v>
      </c>
      <c r="AJ120" s="10">
        <v>0</v>
      </c>
      <c r="AK120" s="10">
        <v>0</v>
      </c>
      <c r="AL120" s="10">
        <v>0</v>
      </c>
      <c r="AM120" s="10">
        <v>0</v>
      </c>
      <c r="AN120" s="10">
        <v>0</v>
      </c>
      <c r="AO120" s="10">
        <v>1</v>
      </c>
      <c r="AP120" s="10">
        <v>0</v>
      </c>
      <c r="AQ120" s="135" t="s">
        <v>73</v>
      </c>
      <c r="AR120" t="s">
        <v>233</v>
      </c>
      <c r="AS120" t="s">
        <v>416</v>
      </c>
      <c r="AT120" s="10" t="s">
        <v>235</v>
      </c>
      <c r="AU120" s="134" t="s">
        <v>73</v>
      </c>
      <c r="AV120" s="7" t="s">
        <v>80</v>
      </c>
      <c r="AW120" s="10" t="s">
        <v>73</v>
      </c>
      <c r="AX120">
        <v>0.01</v>
      </c>
      <c r="AY120">
        <v>1</v>
      </c>
      <c r="AZ120">
        <f>TINV(AX120,CC120)</f>
        <v>2.5765924815279417</v>
      </c>
      <c r="BB120" s="158">
        <v>1.9E-2</v>
      </c>
      <c r="BC120" s="10" t="s">
        <v>73</v>
      </c>
      <c r="BD120" s="10" t="s">
        <v>73</v>
      </c>
      <c r="BE120" s="10" t="s">
        <v>73</v>
      </c>
      <c r="BF120" s="10" t="s">
        <v>73</v>
      </c>
      <c r="BG120" s="10" t="s">
        <v>73</v>
      </c>
      <c r="BH120" s="10" t="s">
        <v>73</v>
      </c>
      <c r="BI120" s="10">
        <v>6445</v>
      </c>
      <c r="BJ120" s="10">
        <v>6445</v>
      </c>
      <c r="BK120" s="10" t="s">
        <v>73</v>
      </c>
      <c r="BL120" s="10" t="s">
        <v>73</v>
      </c>
      <c r="BM120" s="108">
        <v>10000</v>
      </c>
      <c r="BN120" s="108" t="s">
        <v>73</v>
      </c>
      <c r="BO120" s="108" t="s">
        <v>73</v>
      </c>
      <c r="BP120" s="108" t="s">
        <v>73</v>
      </c>
      <c r="BQ120" s="10" t="s">
        <v>73</v>
      </c>
      <c r="BR120" s="10" t="s">
        <v>73</v>
      </c>
      <c r="BS120" s="108" t="s">
        <v>73</v>
      </c>
      <c r="BT120" s="108" t="s">
        <v>73</v>
      </c>
      <c r="BU120" s="108">
        <v>1</v>
      </c>
      <c r="BV120" s="10">
        <v>0</v>
      </c>
      <c r="BW120" s="10">
        <v>0</v>
      </c>
      <c r="BX120" s="30">
        <f>((AZ120^2)/(AZ120^2+BI120))^(1/2)</f>
        <v>3.2078253247327888E-2</v>
      </c>
      <c r="BY120" s="30">
        <f>0.5*LN((1+BX120)/(1-BX120))</f>
        <v>3.2089263039774128E-2</v>
      </c>
      <c r="BZ120" s="30">
        <f>((1-(BY120^2)^2)/(BI120-1))</f>
        <v>1.5518295153244398E-4</v>
      </c>
      <c r="CA120" s="30">
        <f>1/(BI120-3)</f>
        <v>1.552312946289972E-4</v>
      </c>
      <c r="CB120" s="92" t="s">
        <v>73</v>
      </c>
      <c r="CC120">
        <f>BI120-1</f>
        <v>6444</v>
      </c>
      <c r="CD120" s="92" t="s">
        <v>73</v>
      </c>
      <c r="CE120" s="30">
        <f>((AZ120^2)/(AZ120^2+BJ120))^(1/2)</f>
        <v>3.2078253247327888E-2</v>
      </c>
      <c r="CF120" s="30">
        <f>0.5*LN((1+CE120)/(1-CE120))</f>
        <v>3.2089263039774128E-2</v>
      </c>
      <c r="CG120" s="30">
        <f>((1-(CF120^2)^2)/(BJ120-1))</f>
        <v>1.5518295153244398E-4</v>
      </c>
      <c r="CH120" s="30">
        <f>1/(BJ120-3)</f>
        <v>1.552312946289972E-4</v>
      </c>
      <c r="CI120" s="92"/>
    </row>
    <row r="121" spans="1:87" ht="17" customHeight="1">
      <c r="A121" s="108" t="s">
        <v>408</v>
      </c>
      <c r="B121" s="108" t="s">
        <v>719</v>
      </c>
      <c r="C121" s="92">
        <v>1224</v>
      </c>
      <c r="D121" s="108">
        <v>301</v>
      </c>
      <c r="E121" s="10" t="s">
        <v>409</v>
      </c>
      <c r="F121" s="108">
        <v>2019</v>
      </c>
      <c r="G121" t="s">
        <v>410</v>
      </c>
      <c r="H121" t="s">
        <v>411</v>
      </c>
      <c r="I121" s="10">
        <v>2</v>
      </c>
      <c r="J121" t="s">
        <v>412</v>
      </c>
      <c r="K121" s="108" t="s">
        <v>73</v>
      </c>
      <c r="L121" s="10">
        <v>163</v>
      </c>
      <c r="M121" s="18" t="s">
        <v>107</v>
      </c>
      <c r="N121" t="s">
        <v>393</v>
      </c>
      <c r="O121" s="10" t="s">
        <v>124</v>
      </c>
      <c r="P121" s="10" t="s">
        <v>227</v>
      </c>
      <c r="Q121" t="s">
        <v>413</v>
      </c>
      <c r="R121" s="10" t="s">
        <v>254</v>
      </c>
      <c r="S121">
        <v>0</v>
      </c>
      <c r="T121" s="10" t="s">
        <v>230</v>
      </c>
      <c r="U121">
        <v>0</v>
      </c>
      <c r="V121" s="10" t="s">
        <v>245</v>
      </c>
      <c r="W121" s="10" t="s">
        <v>245</v>
      </c>
      <c r="X121" s="10" t="s">
        <v>414</v>
      </c>
      <c r="Y121" s="10">
        <v>0</v>
      </c>
      <c r="Z121" s="10">
        <v>0</v>
      </c>
      <c r="AA121" s="10">
        <v>0</v>
      </c>
      <c r="AB121" s="10">
        <v>1</v>
      </c>
      <c r="AC121" s="10">
        <v>0</v>
      </c>
      <c r="AD121" s="10">
        <v>0</v>
      </c>
      <c r="AE121" s="108">
        <v>0</v>
      </c>
      <c r="AF121" s="108">
        <v>0</v>
      </c>
      <c r="AG121" s="10" t="s">
        <v>415</v>
      </c>
      <c r="AH121" s="10">
        <v>0</v>
      </c>
      <c r="AI121" s="10">
        <v>0</v>
      </c>
      <c r="AJ121" s="10">
        <v>0</v>
      </c>
      <c r="AK121" s="10">
        <v>0</v>
      </c>
      <c r="AL121" s="10">
        <v>0</v>
      </c>
      <c r="AM121" s="10">
        <v>0</v>
      </c>
      <c r="AN121" s="10">
        <v>0</v>
      </c>
      <c r="AO121" s="10">
        <v>1</v>
      </c>
      <c r="AP121" s="10">
        <v>0</v>
      </c>
      <c r="AQ121" s="135" t="s">
        <v>73</v>
      </c>
      <c r="AR121" t="s">
        <v>233</v>
      </c>
      <c r="AS121" t="s">
        <v>416</v>
      </c>
      <c r="AT121" s="10" t="s">
        <v>235</v>
      </c>
      <c r="AU121" s="134" t="s">
        <v>73</v>
      </c>
      <c r="AV121" s="7" t="s">
        <v>86</v>
      </c>
      <c r="AW121" s="10" t="s">
        <v>73</v>
      </c>
      <c r="AX121">
        <v>0.01</v>
      </c>
      <c r="AY121">
        <v>1</v>
      </c>
      <c r="AZ121">
        <f>TINV(AX121,CC121)</f>
        <v>2.5765924815279417</v>
      </c>
      <c r="BB121" s="158">
        <v>1E-3</v>
      </c>
      <c r="BC121" s="10" t="s">
        <v>73</v>
      </c>
      <c r="BD121" s="10" t="s">
        <v>73</v>
      </c>
      <c r="BE121" s="10" t="s">
        <v>73</v>
      </c>
      <c r="BF121" s="10" t="s">
        <v>73</v>
      </c>
      <c r="BG121" s="10" t="s">
        <v>73</v>
      </c>
      <c r="BH121" s="10" t="s">
        <v>73</v>
      </c>
      <c r="BI121" s="10">
        <v>6445</v>
      </c>
      <c r="BJ121" s="10">
        <v>6445</v>
      </c>
      <c r="BK121" s="10" t="s">
        <v>73</v>
      </c>
      <c r="BL121" s="10" t="s">
        <v>73</v>
      </c>
      <c r="BM121" s="108">
        <v>4000</v>
      </c>
      <c r="BN121" s="108" t="s">
        <v>73</v>
      </c>
      <c r="BO121" s="108" t="s">
        <v>73</v>
      </c>
      <c r="BP121" s="108" t="s">
        <v>73</v>
      </c>
      <c r="BQ121" s="10" t="s">
        <v>73</v>
      </c>
      <c r="BR121" s="10" t="s">
        <v>73</v>
      </c>
      <c r="BS121" s="108" t="s">
        <v>73</v>
      </c>
      <c r="BT121" s="108" t="s">
        <v>73</v>
      </c>
      <c r="BU121" s="108">
        <v>1</v>
      </c>
      <c r="BV121" s="10">
        <v>0</v>
      </c>
      <c r="BW121" s="10">
        <v>0</v>
      </c>
      <c r="BX121" s="30">
        <f>((AZ121^2)/(AZ121^2+BI121))^(1/2)</f>
        <v>3.2078253247327888E-2</v>
      </c>
      <c r="BY121" s="30">
        <f>0.5*LN((1+BX121)/(1-BX121))</f>
        <v>3.2089263039774128E-2</v>
      </c>
      <c r="BZ121" s="30">
        <f>((1-(BY121^2)^2)/(BI121-1))</f>
        <v>1.5518295153244398E-4</v>
      </c>
      <c r="CA121" s="30">
        <f>1/(BI121-3)</f>
        <v>1.552312946289972E-4</v>
      </c>
      <c r="CB121" s="92" t="s">
        <v>73</v>
      </c>
      <c r="CC121">
        <f>BI121-1</f>
        <v>6444</v>
      </c>
      <c r="CD121" s="92" t="s">
        <v>73</v>
      </c>
      <c r="CE121" s="30">
        <f>((AZ121^2)/(AZ121^2+BJ121))^(1/2)</f>
        <v>3.2078253247327888E-2</v>
      </c>
      <c r="CF121" s="30">
        <f>0.5*LN((1+CE121)/(1-CE121))</f>
        <v>3.2089263039774128E-2</v>
      </c>
      <c r="CG121" s="30">
        <f>((1-(CF121^2)^2)/(BJ121-1))</f>
        <v>1.5518295153244398E-4</v>
      </c>
      <c r="CH121" s="30">
        <f>1/(BJ121-3)</f>
        <v>1.552312946289972E-4</v>
      </c>
      <c r="CI121" s="92"/>
    </row>
    <row r="122" spans="1:87" s="119" customFormat="1" ht="16">
      <c r="A122" s="108" t="s">
        <v>408</v>
      </c>
      <c r="B122" s="108" t="s">
        <v>719</v>
      </c>
      <c r="C122" s="92">
        <v>1225</v>
      </c>
      <c r="D122" s="108">
        <v>301</v>
      </c>
      <c r="E122" s="10" t="s">
        <v>409</v>
      </c>
      <c r="F122" s="108">
        <v>2019</v>
      </c>
      <c r="G122" t="s">
        <v>410</v>
      </c>
      <c r="H122" t="s">
        <v>411</v>
      </c>
      <c r="I122" s="10">
        <v>2</v>
      </c>
      <c r="J122" t="s">
        <v>412</v>
      </c>
      <c r="K122" s="108" t="s">
        <v>73</v>
      </c>
      <c r="L122" s="10">
        <v>163</v>
      </c>
      <c r="M122" s="18" t="s">
        <v>107</v>
      </c>
      <c r="N122" t="s">
        <v>393</v>
      </c>
      <c r="O122" s="10" t="s">
        <v>124</v>
      </c>
      <c r="P122" s="10" t="s">
        <v>227</v>
      </c>
      <c r="Q122" t="s">
        <v>413</v>
      </c>
      <c r="R122" s="10" t="s">
        <v>254</v>
      </c>
      <c r="S122">
        <v>0</v>
      </c>
      <c r="T122" s="10" t="s">
        <v>230</v>
      </c>
      <c r="U122">
        <v>0</v>
      </c>
      <c r="V122" s="10" t="s">
        <v>245</v>
      </c>
      <c r="W122" s="10" t="s">
        <v>245</v>
      </c>
      <c r="X122" s="10" t="s">
        <v>414</v>
      </c>
      <c r="Y122" s="10">
        <v>0</v>
      </c>
      <c r="Z122" s="10">
        <v>0</v>
      </c>
      <c r="AA122" s="10">
        <v>0</v>
      </c>
      <c r="AB122" s="10">
        <v>1</v>
      </c>
      <c r="AC122" s="10">
        <v>0</v>
      </c>
      <c r="AD122" s="10">
        <v>0</v>
      </c>
      <c r="AE122" s="108">
        <v>0</v>
      </c>
      <c r="AF122" s="108">
        <v>0</v>
      </c>
      <c r="AG122" s="10" t="s">
        <v>415</v>
      </c>
      <c r="AH122" s="10">
        <v>0</v>
      </c>
      <c r="AI122" s="10">
        <v>0</v>
      </c>
      <c r="AJ122" s="10">
        <v>0</v>
      </c>
      <c r="AK122" s="10">
        <v>0</v>
      </c>
      <c r="AL122" s="10">
        <v>0</v>
      </c>
      <c r="AM122" s="10">
        <v>0</v>
      </c>
      <c r="AN122" s="10">
        <v>0</v>
      </c>
      <c r="AO122" s="10">
        <v>1</v>
      </c>
      <c r="AP122" s="10">
        <v>0</v>
      </c>
      <c r="AQ122" s="135" t="s">
        <v>73</v>
      </c>
      <c r="AR122" t="s">
        <v>233</v>
      </c>
      <c r="AS122" t="s">
        <v>416</v>
      </c>
      <c r="AT122" s="10" t="s">
        <v>235</v>
      </c>
      <c r="AU122" s="134" t="s">
        <v>73</v>
      </c>
      <c r="AV122" s="7" t="s">
        <v>86</v>
      </c>
      <c r="AW122" s="10" t="s">
        <v>73</v>
      </c>
      <c r="AX122">
        <v>0.01</v>
      </c>
      <c r="AY122">
        <v>1</v>
      </c>
      <c r="AZ122">
        <f>TINV(AX122,CC122)</f>
        <v>2.5765924815279417</v>
      </c>
      <c r="BA122"/>
      <c r="BB122" s="158">
        <v>1E-4</v>
      </c>
      <c r="BC122" s="10" t="s">
        <v>73</v>
      </c>
      <c r="BD122" s="10" t="s">
        <v>73</v>
      </c>
      <c r="BE122" s="10" t="s">
        <v>73</v>
      </c>
      <c r="BF122" s="10" t="s">
        <v>73</v>
      </c>
      <c r="BG122" s="10" t="s">
        <v>73</v>
      </c>
      <c r="BH122" s="10" t="s">
        <v>73</v>
      </c>
      <c r="BI122" s="10">
        <v>6445</v>
      </c>
      <c r="BJ122" s="10">
        <v>6445</v>
      </c>
      <c r="BK122" s="10" t="s">
        <v>73</v>
      </c>
      <c r="BL122" s="10" t="s">
        <v>73</v>
      </c>
      <c r="BM122" s="108">
        <v>4000</v>
      </c>
      <c r="BN122" s="108" t="s">
        <v>73</v>
      </c>
      <c r="BO122" s="108" t="s">
        <v>73</v>
      </c>
      <c r="BP122" s="108" t="s">
        <v>73</v>
      </c>
      <c r="BQ122" s="10" t="s">
        <v>73</v>
      </c>
      <c r="BR122" s="10" t="s">
        <v>73</v>
      </c>
      <c r="BS122" s="108" t="s">
        <v>73</v>
      </c>
      <c r="BT122" s="108" t="s">
        <v>73</v>
      </c>
      <c r="BU122" s="108">
        <v>1</v>
      </c>
      <c r="BV122" s="10">
        <v>0</v>
      </c>
      <c r="BW122" s="10">
        <v>0</v>
      </c>
      <c r="BX122" s="30">
        <f>((AZ122^2)/(AZ122^2+BI122))^(1/2)</f>
        <v>3.2078253247327888E-2</v>
      </c>
      <c r="BY122" s="30">
        <f>0.5*LN((1+BX122)/(1-BX122))</f>
        <v>3.2089263039774128E-2</v>
      </c>
      <c r="BZ122" s="30">
        <f>((1-(BY122^2)^2)/(BI122-1))</f>
        <v>1.5518295153244398E-4</v>
      </c>
      <c r="CA122" s="30">
        <f>1/(BI122-3)</f>
        <v>1.552312946289972E-4</v>
      </c>
      <c r="CB122" s="92" t="s">
        <v>73</v>
      </c>
      <c r="CC122">
        <f>BI122-1</f>
        <v>6444</v>
      </c>
      <c r="CD122" s="92" t="s">
        <v>73</v>
      </c>
      <c r="CE122" s="30">
        <f>((AZ122^2)/(AZ122^2+BJ122))^(1/2)</f>
        <v>3.2078253247327888E-2</v>
      </c>
      <c r="CF122" s="30">
        <f>0.5*LN((1+CE122)/(1-CE122))</f>
        <v>3.2089263039774128E-2</v>
      </c>
      <c r="CG122" s="30">
        <f>((1-(CF122^2)^2)/(BJ122-1))</f>
        <v>1.5518295153244398E-4</v>
      </c>
      <c r="CH122" s="30">
        <f>1/(BJ122-3)</f>
        <v>1.552312946289972E-4</v>
      </c>
      <c r="CI122" s="92"/>
    </row>
    <row r="123" spans="1:87" ht="16">
      <c r="A123" s="108" t="s">
        <v>408</v>
      </c>
      <c r="B123" s="108" t="s">
        <v>719</v>
      </c>
      <c r="C123" s="92">
        <v>1226</v>
      </c>
      <c r="D123" s="108">
        <v>301</v>
      </c>
      <c r="E123" s="10" t="s">
        <v>409</v>
      </c>
      <c r="F123" s="108">
        <v>2019</v>
      </c>
      <c r="G123" t="s">
        <v>410</v>
      </c>
      <c r="H123" t="s">
        <v>411</v>
      </c>
      <c r="I123" s="10">
        <v>2</v>
      </c>
      <c r="J123" t="s">
        <v>412</v>
      </c>
      <c r="K123" s="108" t="s">
        <v>73</v>
      </c>
      <c r="L123" s="10">
        <v>163</v>
      </c>
      <c r="M123" s="18" t="s">
        <v>107</v>
      </c>
      <c r="N123" t="s">
        <v>393</v>
      </c>
      <c r="O123" s="10" t="s">
        <v>124</v>
      </c>
      <c r="P123" s="10" t="s">
        <v>227</v>
      </c>
      <c r="Q123" t="s">
        <v>413</v>
      </c>
      <c r="R123" s="10" t="s">
        <v>254</v>
      </c>
      <c r="S123">
        <v>0</v>
      </c>
      <c r="T123" s="10" t="s">
        <v>230</v>
      </c>
      <c r="U123">
        <v>0</v>
      </c>
      <c r="V123" s="10" t="s">
        <v>245</v>
      </c>
      <c r="W123" s="10" t="s">
        <v>245</v>
      </c>
      <c r="X123" s="10" t="s">
        <v>414</v>
      </c>
      <c r="Y123" s="10">
        <v>0</v>
      </c>
      <c r="Z123" s="10">
        <v>0</v>
      </c>
      <c r="AA123" s="10">
        <v>0</v>
      </c>
      <c r="AB123" s="10">
        <v>1</v>
      </c>
      <c r="AC123" s="10">
        <v>0</v>
      </c>
      <c r="AD123" s="10">
        <v>0</v>
      </c>
      <c r="AE123" s="108">
        <v>0</v>
      </c>
      <c r="AF123" s="108">
        <v>0</v>
      </c>
      <c r="AG123" s="10" t="s">
        <v>415</v>
      </c>
      <c r="AH123" s="10">
        <v>0</v>
      </c>
      <c r="AI123" s="10">
        <v>0</v>
      </c>
      <c r="AJ123" s="10">
        <v>0</v>
      </c>
      <c r="AK123" s="10">
        <v>0</v>
      </c>
      <c r="AL123" s="10">
        <v>0</v>
      </c>
      <c r="AM123" s="10">
        <v>0</v>
      </c>
      <c r="AN123" s="10">
        <v>0</v>
      </c>
      <c r="AO123" s="10">
        <v>1</v>
      </c>
      <c r="AP123" s="10">
        <v>0</v>
      </c>
      <c r="AQ123" s="135" t="s">
        <v>73</v>
      </c>
      <c r="AR123" t="s">
        <v>233</v>
      </c>
      <c r="AS123" t="s">
        <v>416</v>
      </c>
      <c r="AT123" s="10" t="s">
        <v>235</v>
      </c>
      <c r="AU123" s="134" t="s">
        <v>73</v>
      </c>
      <c r="AV123" s="7" t="s">
        <v>80</v>
      </c>
      <c r="AW123" s="10" t="s">
        <v>73</v>
      </c>
      <c r="AX123">
        <v>0.01</v>
      </c>
      <c r="AY123">
        <v>1</v>
      </c>
      <c r="AZ123">
        <f>TINV(AX123,CC123)</f>
        <v>2.5765924815279417</v>
      </c>
      <c r="BB123" s="158">
        <v>5.9999999999999995E-4</v>
      </c>
      <c r="BC123" s="10" t="s">
        <v>73</v>
      </c>
      <c r="BD123" s="10" t="s">
        <v>73</v>
      </c>
      <c r="BE123" s="10" t="s">
        <v>73</v>
      </c>
      <c r="BF123" s="10" t="s">
        <v>73</v>
      </c>
      <c r="BG123" s="10" t="s">
        <v>73</v>
      </c>
      <c r="BH123" s="10" t="s">
        <v>73</v>
      </c>
      <c r="BI123" s="10">
        <v>6445</v>
      </c>
      <c r="BJ123" s="10">
        <v>6445</v>
      </c>
      <c r="BK123" s="10" t="s">
        <v>73</v>
      </c>
      <c r="BL123" s="10" t="s">
        <v>73</v>
      </c>
      <c r="BM123" s="108">
        <v>4000</v>
      </c>
      <c r="BN123" s="108" t="s">
        <v>73</v>
      </c>
      <c r="BO123" s="108" t="s">
        <v>73</v>
      </c>
      <c r="BP123" s="108" t="s">
        <v>73</v>
      </c>
      <c r="BQ123" s="10" t="s">
        <v>73</v>
      </c>
      <c r="BR123" s="10" t="s">
        <v>73</v>
      </c>
      <c r="BS123" s="108" t="s">
        <v>73</v>
      </c>
      <c r="BT123" s="108" t="s">
        <v>73</v>
      </c>
      <c r="BU123" s="108">
        <v>1</v>
      </c>
      <c r="BV123" s="10">
        <v>0</v>
      </c>
      <c r="BW123" s="10">
        <v>0</v>
      </c>
      <c r="BX123" s="30">
        <f>((AZ123^2)/(AZ123^2+BI123))^(1/2)</f>
        <v>3.2078253247327888E-2</v>
      </c>
      <c r="BY123" s="30">
        <f>0.5*LN((1+BX123)/(1-BX123))</f>
        <v>3.2089263039774128E-2</v>
      </c>
      <c r="BZ123" s="30">
        <f>((1-(BY123^2)^2)/(BI123-1))</f>
        <v>1.5518295153244398E-4</v>
      </c>
      <c r="CA123" s="30">
        <f>1/(BI123-3)</f>
        <v>1.552312946289972E-4</v>
      </c>
      <c r="CB123" s="92" t="s">
        <v>73</v>
      </c>
      <c r="CC123">
        <f>BI123-1</f>
        <v>6444</v>
      </c>
      <c r="CD123" s="92" t="s">
        <v>73</v>
      </c>
      <c r="CE123" s="30">
        <f>((AZ123^2)/(AZ123^2+BJ123))^(1/2)</f>
        <v>3.2078253247327888E-2</v>
      </c>
      <c r="CF123" s="30">
        <f>0.5*LN((1+CE123)/(1-CE123))</f>
        <v>3.2089263039774128E-2</v>
      </c>
      <c r="CG123" s="30">
        <f>((1-(CF123^2)^2)/(BJ123-1))</f>
        <v>1.5518295153244398E-4</v>
      </c>
      <c r="CH123" s="30">
        <f>1/(BJ123-3)</f>
        <v>1.552312946289972E-4</v>
      </c>
      <c r="CI123" s="92"/>
    </row>
    <row r="124" spans="1:87" ht="16">
      <c r="A124" s="108" t="s">
        <v>408</v>
      </c>
      <c r="B124" s="108" t="s">
        <v>719</v>
      </c>
      <c r="C124" s="92">
        <v>1227</v>
      </c>
      <c r="D124" s="108">
        <v>301</v>
      </c>
      <c r="E124" s="10" t="s">
        <v>409</v>
      </c>
      <c r="F124" s="108">
        <v>2019</v>
      </c>
      <c r="G124" t="s">
        <v>410</v>
      </c>
      <c r="H124" t="s">
        <v>411</v>
      </c>
      <c r="I124" s="10">
        <v>2</v>
      </c>
      <c r="J124" t="s">
        <v>412</v>
      </c>
      <c r="K124" s="108" t="s">
        <v>73</v>
      </c>
      <c r="L124" s="10">
        <v>163</v>
      </c>
      <c r="M124" s="18" t="s">
        <v>107</v>
      </c>
      <c r="N124" t="s">
        <v>393</v>
      </c>
      <c r="O124" s="10" t="s">
        <v>124</v>
      </c>
      <c r="P124" s="10" t="s">
        <v>227</v>
      </c>
      <c r="Q124" t="s">
        <v>413</v>
      </c>
      <c r="R124" s="10" t="s">
        <v>254</v>
      </c>
      <c r="S124">
        <v>0</v>
      </c>
      <c r="T124" s="10" t="s">
        <v>230</v>
      </c>
      <c r="U124">
        <v>0</v>
      </c>
      <c r="V124" s="10" t="s">
        <v>245</v>
      </c>
      <c r="W124" s="10" t="s">
        <v>245</v>
      </c>
      <c r="X124" s="10" t="s">
        <v>414</v>
      </c>
      <c r="Y124" s="10">
        <v>0</v>
      </c>
      <c r="Z124" s="10">
        <v>0</v>
      </c>
      <c r="AA124" s="10">
        <v>0</v>
      </c>
      <c r="AB124" s="10">
        <v>1</v>
      </c>
      <c r="AC124" s="10">
        <v>0</v>
      </c>
      <c r="AD124" s="10">
        <v>0</v>
      </c>
      <c r="AE124" s="108">
        <v>0</v>
      </c>
      <c r="AF124" s="108">
        <v>0</v>
      </c>
      <c r="AG124" s="10" t="s">
        <v>415</v>
      </c>
      <c r="AH124" s="10">
        <v>0</v>
      </c>
      <c r="AI124" s="10">
        <v>0</v>
      </c>
      <c r="AJ124" s="10">
        <v>0</v>
      </c>
      <c r="AK124" s="10">
        <v>0</v>
      </c>
      <c r="AL124" s="10">
        <v>0</v>
      </c>
      <c r="AM124" s="10">
        <v>0</v>
      </c>
      <c r="AN124" s="10">
        <v>0</v>
      </c>
      <c r="AO124" s="10">
        <v>1</v>
      </c>
      <c r="AP124" s="10">
        <v>0</v>
      </c>
      <c r="AQ124" s="135" t="s">
        <v>73</v>
      </c>
      <c r="AR124" t="s">
        <v>233</v>
      </c>
      <c r="AS124" t="s">
        <v>416</v>
      </c>
      <c r="AT124" s="10" t="s">
        <v>235</v>
      </c>
      <c r="AU124" s="134" t="s">
        <v>73</v>
      </c>
      <c r="AV124" s="7" t="s">
        <v>80</v>
      </c>
      <c r="AW124" s="10" t="s">
        <v>73</v>
      </c>
      <c r="AX124">
        <v>0.01</v>
      </c>
      <c r="AY124">
        <v>1</v>
      </c>
      <c r="AZ124">
        <f>TINV(AX124,CC124)</f>
        <v>2.5765924815279417</v>
      </c>
      <c r="BB124" s="158">
        <v>1E-3</v>
      </c>
      <c r="BC124" s="10" t="s">
        <v>73</v>
      </c>
      <c r="BD124" s="10" t="s">
        <v>73</v>
      </c>
      <c r="BE124" s="10" t="s">
        <v>73</v>
      </c>
      <c r="BF124" s="10" t="s">
        <v>73</v>
      </c>
      <c r="BG124" s="10" t="s">
        <v>73</v>
      </c>
      <c r="BH124" s="10" t="s">
        <v>73</v>
      </c>
      <c r="BI124" s="10">
        <v>6445</v>
      </c>
      <c r="BJ124" s="10">
        <v>6445</v>
      </c>
      <c r="BK124" s="10" t="s">
        <v>73</v>
      </c>
      <c r="BL124" s="10" t="s">
        <v>73</v>
      </c>
      <c r="BM124" s="108">
        <v>4000</v>
      </c>
      <c r="BN124" s="108" t="s">
        <v>73</v>
      </c>
      <c r="BO124" s="108" t="s">
        <v>73</v>
      </c>
      <c r="BP124" s="108" t="s">
        <v>73</v>
      </c>
      <c r="BQ124" s="10" t="s">
        <v>73</v>
      </c>
      <c r="BR124" s="10" t="s">
        <v>73</v>
      </c>
      <c r="BS124" s="108" t="s">
        <v>73</v>
      </c>
      <c r="BT124" s="108" t="s">
        <v>73</v>
      </c>
      <c r="BU124" s="108">
        <v>1</v>
      </c>
      <c r="BV124" s="10">
        <v>0</v>
      </c>
      <c r="BW124" s="10">
        <v>0</v>
      </c>
      <c r="BX124" s="30">
        <f>((AZ124^2)/(AZ124^2+BI124))^(1/2)</f>
        <v>3.2078253247327888E-2</v>
      </c>
      <c r="BY124" s="30">
        <f>0.5*LN((1+BX124)/(1-BX124))</f>
        <v>3.2089263039774128E-2</v>
      </c>
      <c r="BZ124" s="30">
        <f>((1-(BY124^2)^2)/(BI124-1))</f>
        <v>1.5518295153244398E-4</v>
      </c>
      <c r="CA124" s="30">
        <f>1/(BI124-3)</f>
        <v>1.552312946289972E-4</v>
      </c>
      <c r="CB124" s="92" t="s">
        <v>73</v>
      </c>
      <c r="CC124">
        <f>BI124-1</f>
        <v>6444</v>
      </c>
      <c r="CD124" s="92" t="s">
        <v>73</v>
      </c>
      <c r="CE124" s="30">
        <f>((AZ124^2)/(AZ124^2+BJ124))^(1/2)</f>
        <v>3.2078253247327888E-2</v>
      </c>
      <c r="CF124" s="30">
        <f>0.5*LN((1+CE124)/(1-CE124))</f>
        <v>3.2089263039774128E-2</v>
      </c>
      <c r="CG124" s="30">
        <f>((1-(CF124^2)^2)/(BJ124-1))</f>
        <v>1.5518295153244398E-4</v>
      </c>
      <c r="CH124" s="30">
        <f>1/(BJ124-3)</f>
        <v>1.552312946289972E-4</v>
      </c>
      <c r="CI124" s="95"/>
    </row>
    <row r="125" spans="1:87" ht="16">
      <c r="A125" s="108" t="s">
        <v>408</v>
      </c>
      <c r="B125" s="108" t="s">
        <v>719</v>
      </c>
      <c r="C125" s="92">
        <v>1228</v>
      </c>
      <c r="D125" s="108">
        <v>301</v>
      </c>
      <c r="E125" s="10" t="s">
        <v>409</v>
      </c>
      <c r="F125" s="108">
        <v>2019</v>
      </c>
      <c r="G125" t="s">
        <v>410</v>
      </c>
      <c r="H125" t="s">
        <v>411</v>
      </c>
      <c r="I125" s="10">
        <v>2</v>
      </c>
      <c r="J125" t="s">
        <v>412</v>
      </c>
      <c r="K125" s="108" t="s">
        <v>73</v>
      </c>
      <c r="L125" s="10">
        <v>163</v>
      </c>
      <c r="M125" s="18" t="s">
        <v>107</v>
      </c>
      <c r="N125" t="s">
        <v>393</v>
      </c>
      <c r="O125" s="10" t="s">
        <v>124</v>
      </c>
      <c r="P125" s="10" t="s">
        <v>227</v>
      </c>
      <c r="Q125" t="s">
        <v>413</v>
      </c>
      <c r="R125" s="10" t="s">
        <v>254</v>
      </c>
      <c r="S125">
        <v>0</v>
      </c>
      <c r="T125" s="10" t="s">
        <v>230</v>
      </c>
      <c r="U125">
        <v>0</v>
      </c>
      <c r="V125" s="10" t="s">
        <v>245</v>
      </c>
      <c r="W125" s="10" t="s">
        <v>245</v>
      </c>
      <c r="X125" s="10" t="s">
        <v>414</v>
      </c>
      <c r="Y125" s="10">
        <v>0</v>
      </c>
      <c r="Z125" s="10">
        <v>0</v>
      </c>
      <c r="AA125" s="10">
        <v>0</v>
      </c>
      <c r="AB125" s="10">
        <v>1</v>
      </c>
      <c r="AC125" s="10">
        <v>0</v>
      </c>
      <c r="AD125" s="10">
        <v>0</v>
      </c>
      <c r="AE125" s="108">
        <v>0</v>
      </c>
      <c r="AF125" s="108">
        <v>0</v>
      </c>
      <c r="AG125" s="10" t="s">
        <v>415</v>
      </c>
      <c r="AH125" s="10">
        <v>0</v>
      </c>
      <c r="AI125" s="10">
        <v>0</v>
      </c>
      <c r="AJ125" s="10">
        <v>0</v>
      </c>
      <c r="AK125" s="10">
        <v>0</v>
      </c>
      <c r="AL125" s="10">
        <v>0</v>
      </c>
      <c r="AM125" s="10">
        <v>0</v>
      </c>
      <c r="AN125" s="10">
        <v>0</v>
      </c>
      <c r="AO125" s="10">
        <v>1</v>
      </c>
      <c r="AP125" s="10">
        <v>0</v>
      </c>
      <c r="AQ125" s="135" t="s">
        <v>73</v>
      </c>
      <c r="AR125" t="s">
        <v>233</v>
      </c>
      <c r="AS125" t="s">
        <v>416</v>
      </c>
      <c r="AT125" s="10" t="s">
        <v>235</v>
      </c>
      <c r="AU125" s="134" t="s">
        <v>73</v>
      </c>
      <c r="AV125" s="7" t="s">
        <v>80</v>
      </c>
      <c r="AW125" s="10" t="s">
        <v>73</v>
      </c>
      <c r="AX125">
        <v>0.01</v>
      </c>
      <c r="AY125">
        <v>1</v>
      </c>
      <c r="AZ125">
        <f>TINV(AX125,CC125)</f>
        <v>2.5765924815279417</v>
      </c>
      <c r="BB125" s="158">
        <v>2E-3</v>
      </c>
      <c r="BC125" s="10" t="s">
        <v>73</v>
      </c>
      <c r="BD125" s="10" t="s">
        <v>73</v>
      </c>
      <c r="BE125" s="10" t="s">
        <v>73</v>
      </c>
      <c r="BF125" s="10" t="s">
        <v>73</v>
      </c>
      <c r="BG125" s="10" t="s">
        <v>73</v>
      </c>
      <c r="BH125" s="10" t="s">
        <v>73</v>
      </c>
      <c r="BI125" s="10">
        <v>6445</v>
      </c>
      <c r="BJ125" s="10">
        <v>6445</v>
      </c>
      <c r="BK125" s="10" t="s">
        <v>73</v>
      </c>
      <c r="BL125" s="10" t="s">
        <v>73</v>
      </c>
      <c r="BM125" s="108">
        <v>4000</v>
      </c>
      <c r="BN125" s="108" t="s">
        <v>73</v>
      </c>
      <c r="BO125" s="108" t="s">
        <v>73</v>
      </c>
      <c r="BP125" s="108" t="s">
        <v>73</v>
      </c>
      <c r="BQ125" s="10" t="s">
        <v>73</v>
      </c>
      <c r="BR125" s="10" t="s">
        <v>73</v>
      </c>
      <c r="BS125" s="108" t="s">
        <v>73</v>
      </c>
      <c r="BT125" s="108" t="s">
        <v>73</v>
      </c>
      <c r="BU125" s="108">
        <v>1</v>
      </c>
      <c r="BV125" s="10">
        <v>0</v>
      </c>
      <c r="BW125" s="10">
        <v>0</v>
      </c>
      <c r="BX125" s="30">
        <f>((AZ125^2)/(AZ125^2+BI125))^(1/2)</f>
        <v>3.2078253247327888E-2</v>
      </c>
      <c r="BY125" s="30">
        <f>0.5*LN((1+BX125)/(1-BX125))</f>
        <v>3.2089263039774128E-2</v>
      </c>
      <c r="BZ125" s="30">
        <f>((1-(BY125^2)^2)/(BI125-1))</f>
        <v>1.5518295153244398E-4</v>
      </c>
      <c r="CA125" s="30">
        <f>1/(BI125-3)</f>
        <v>1.552312946289972E-4</v>
      </c>
      <c r="CB125" s="92" t="s">
        <v>73</v>
      </c>
      <c r="CC125">
        <f>BI125-1</f>
        <v>6444</v>
      </c>
      <c r="CD125" s="92" t="s">
        <v>73</v>
      </c>
      <c r="CE125" s="30">
        <f>((AZ125^2)/(AZ125^2+BJ125))^(1/2)</f>
        <v>3.2078253247327888E-2</v>
      </c>
      <c r="CF125" s="30">
        <f>0.5*LN((1+CE125)/(1-CE125))</f>
        <v>3.2089263039774128E-2</v>
      </c>
      <c r="CG125" s="30">
        <f>((1-(CF125^2)^2)/(BJ125-1))</f>
        <v>1.5518295153244398E-4</v>
      </c>
      <c r="CH125" s="30">
        <f>1/(BJ125-3)</f>
        <v>1.552312946289972E-4</v>
      </c>
      <c r="CI125" s="95"/>
    </row>
    <row r="126" spans="1:87" ht="16">
      <c r="A126" s="108" t="s">
        <v>408</v>
      </c>
      <c r="B126" s="108" t="s">
        <v>719</v>
      </c>
      <c r="C126" s="92">
        <v>1247</v>
      </c>
      <c r="D126" s="108">
        <v>302</v>
      </c>
      <c r="E126" s="10" t="s">
        <v>417</v>
      </c>
      <c r="F126" s="108">
        <v>2017</v>
      </c>
      <c r="G126" t="s">
        <v>418</v>
      </c>
      <c r="H126" t="s">
        <v>419</v>
      </c>
      <c r="I126" s="10">
        <v>2</v>
      </c>
      <c r="J126" s="10" t="s">
        <v>73</v>
      </c>
      <c r="K126" s="108" t="s">
        <v>73</v>
      </c>
      <c r="L126">
        <v>147</v>
      </c>
      <c r="M126" s="18" t="s">
        <v>420</v>
      </c>
      <c r="N126" t="s">
        <v>241</v>
      </c>
      <c r="O126" s="112" t="s">
        <v>421</v>
      </c>
      <c r="P126" s="10" t="s">
        <v>242</v>
      </c>
      <c r="Q126" t="s">
        <v>243</v>
      </c>
      <c r="R126" t="s">
        <v>254</v>
      </c>
      <c r="S126">
        <v>1</v>
      </c>
      <c r="T126" t="s">
        <v>188</v>
      </c>
      <c r="U126">
        <v>0</v>
      </c>
      <c r="V126" s="10" t="s">
        <v>231</v>
      </c>
      <c r="W126" s="10" t="s">
        <v>231</v>
      </c>
      <c r="X126" s="10" t="s">
        <v>73</v>
      </c>
      <c r="Y126" s="10">
        <v>0</v>
      </c>
      <c r="Z126" s="10">
        <v>0</v>
      </c>
      <c r="AA126" s="10">
        <v>1</v>
      </c>
      <c r="AB126" s="10">
        <v>0</v>
      </c>
      <c r="AC126" s="10">
        <v>0</v>
      </c>
      <c r="AD126" s="10">
        <v>0</v>
      </c>
      <c r="AE126" s="108">
        <v>0</v>
      </c>
      <c r="AF126" s="108">
        <v>0</v>
      </c>
      <c r="AG126" s="10" t="s">
        <v>422</v>
      </c>
      <c r="AH126" s="10">
        <v>1</v>
      </c>
      <c r="AI126" s="10">
        <v>0</v>
      </c>
      <c r="AJ126" s="10">
        <v>0</v>
      </c>
      <c r="AK126" s="10">
        <v>1</v>
      </c>
      <c r="AL126" s="10">
        <v>0</v>
      </c>
      <c r="AM126" s="10">
        <v>0</v>
      </c>
      <c r="AN126" s="10">
        <v>0</v>
      </c>
      <c r="AO126" s="10">
        <v>0</v>
      </c>
      <c r="AP126" s="10">
        <v>0</v>
      </c>
      <c r="AQ126" t="s">
        <v>423</v>
      </c>
      <c r="AR126" t="s">
        <v>233</v>
      </c>
      <c r="AS126" t="s">
        <v>424</v>
      </c>
      <c r="AT126" t="s">
        <v>235</v>
      </c>
      <c r="AU126" s="134">
        <v>7.4999999999999997E-2</v>
      </c>
      <c r="AV126" s="7" t="s">
        <v>80</v>
      </c>
      <c r="AW126" t="s">
        <v>73</v>
      </c>
      <c r="AX126">
        <v>0.01</v>
      </c>
      <c r="AY126">
        <v>1</v>
      </c>
      <c r="AZ126">
        <f>TINV(AX126,CC126)</f>
        <v>2.5764354463748322</v>
      </c>
      <c r="BA126" t="s">
        <v>73</v>
      </c>
      <c r="BB126" s="105">
        <f>EXP(AU126)/(1+EXP(AU126))</f>
        <v>0.51874121587853528</v>
      </c>
      <c r="BC126" s="10" t="s">
        <v>73</v>
      </c>
      <c r="BD126" s="10" t="s">
        <v>73</v>
      </c>
      <c r="BE126" s="10" t="s">
        <v>73</v>
      </c>
      <c r="BF126" s="10" t="s">
        <v>73</v>
      </c>
      <c r="BG126" s="10" t="s">
        <v>73</v>
      </c>
      <c r="BH126" s="10" t="s">
        <v>73</v>
      </c>
      <c r="BI126" s="10">
        <v>8115</v>
      </c>
      <c r="BJ126" s="10">
        <v>8115</v>
      </c>
      <c r="BK126" s="10" t="s">
        <v>73</v>
      </c>
      <c r="BL126" s="10" t="s">
        <v>73</v>
      </c>
      <c r="BM126" t="s">
        <v>73</v>
      </c>
      <c r="BN126" t="s">
        <v>73</v>
      </c>
      <c r="BO126" s="108" t="s">
        <v>73</v>
      </c>
      <c r="BP126" s="108" t="s">
        <v>73</v>
      </c>
      <c r="BQ126" s="108" t="s">
        <v>73</v>
      </c>
      <c r="BR126">
        <v>1</v>
      </c>
      <c r="BS126" s="108" t="s">
        <v>73</v>
      </c>
      <c r="BT126" s="108" t="s">
        <v>73</v>
      </c>
      <c r="BU126" s="10">
        <v>0</v>
      </c>
      <c r="BV126" s="10">
        <v>1</v>
      </c>
      <c r="BW126" s="10">
        <v>1</v>
      </c>
      <c r="BX126" s="30">
        <f>((AZ126^2)/(AZ126^2+BI126))^(1/2)</f>
        <v>2.8588900354369999E-2</v>
      </c>
      <c r="BY126" s="30">
        <f>0.5*LN((1+BX126)/(1-BX126))</f>
        <v>2.8596692985986098E-2</v>
      </c>
      <c r="BZ126" s="30">
        <f>((1-(BY126^2)^2)/(BI126-1))</f>
        <v>1.2324369377013031E-4</v>
      </c>
      <c r="CA126" s="30">
        <f>1/(BI126-3)</f>
        <v>1.232741617357002E-4</v>
      </c>
      <c r="CB126" s="92" t="s">
        <v>73</v>
      </c>
      <c r="CC126">
        <f>BI126-2</f>
        <v>8113</v>
      </c>
      <c r="CD126" s="92" t="s">
        <v>73</v>
      </c>
      <c r="CE126" s="30">
        <f>((AZ126^2)/(AZ126^2+BJ126))^(1/2)</f>
        <v>2.8588900354369999E-2</v>
      </c>
      <c r="CF126" s="30">
        <f>0.5*LN((1+CE126)/(1-CE126))</f>
        <v>2.8596692985986098E-2</v>
      </c>
      <c r="CG126" s="30">
        <f>((1-(CF126^2)^2)/(BJ126-1))</f>
        <v>1.2324369377013031E-4</v>
      </c>
      <c r="CH126" s="30">
        <f>1/(BJ126-3)</f>
        <v>1.232741617357002E-4</v>
      </c>
    </row>
    <row r="127" spans="1:87" ht="16">
      <c r="A127" s="108" t="s">
        <v>408</v>
      </c>
      <c r="B127" s="108" t="s">
        <v>719</v>
      </c>
      <c r="C127" s="92">
        <v>1248</v>
      </c>
      <c r="D127" s="108">
        <v>302</v>
      </c>
      <c r="E127" s="10" t="s">
        <v>417</v>
      </c>
      <c r="F127" s="108">
        <v>2017</v>
      </c>
      <c r="G127" t="s">
        <v>418</v>
      </c>
      <c r="H127" t="s">
        <v>419</v>
      </c>
      <c r="I127" s="10">
        <v>2</v>
      </c>
      <c r="J127" s="10" t="s">
        <v>73</v>
      </c>
      <c r="K127" s="108" t="s">
        <v>73</v>
      </c>
      <c r="L127">
        <v>147</v>
      </c>
      <c r="M127" s="18" t="s">
        <v>420</v>
      </c>
      <c r="N127" t="s">
        <v>241</v>
      </c>
      <c r="O127" s="112" t="s">
        <v>421</v>
      </c>
      <c r="P127" s="10" t="s">
        <v>242</v>
      </c>
      <c r="Q127" t="s">
        <v>243</v>
      </c>
      <c r="R127" t="s">
        <v>254</v>
      </c>
      <c r="S127">
        <v>1</v>
      </c>
      <c r="T127" t="s">
        <v>188</v>
      </c>
      <c r="U127">
        <v>0</v>
      </c>
      <c r="V127" s="10" t="s">
        <v>231</v>
      </c>
      <c r="W127" s="10" t="s">
        <v>245</v>
      </c>
      <c r="X127" s="10" t="s">
        <v>425</v>
      </c>
      <c r="Y127" s="10">
        <v>0</v>
      </c>
      <c r="Z127" s="10">
        <v>0</v>
      </c>
      <c r="AA127" s="10">
        <v>1</v>
      </c>
      <c r="AB127" s="10">
        <v>0</v>
      </c>
      <c r="AC127" s="10">
        <v>0</v>
      </c>
      <c r="AD127" s="10">
        <v>0</v>
      </c>
      <c r="AE127" s="108">
        <v>0</v>
      </c>
      <c r="AF127" s="108">
        <v>0</v>
      </c>
      <c r="AG127" s="10" t="s">
        <v>422</v>
      </c>
      <c r="AH127" s="10">
        <v>0</v>
      </c>
      <c r="AI127" s="10">
        <v>0</v>
      </c>
      <c r="AJ127" s="10">
        <v>0</v>
      </c>
      <c r="AK127" s="10">
        <v>0</v>
      </c>
      <c r="AL127" s="10">
        <v>0</v>
      </c>
      <c r="AM127" s="10">
        <v>1</v>
      </c>
      <c r="AN127" s="10">
        <v>0</v>
      </c>
      <c r="AO127" s="10">
        <v>0</v>
      </c>
      <c r="AP127" s="10">
        <v>0</v>
      </c>
      <c r="AQ127" t="s">
        <v>423</v>
      </c>
      <c r="AR127" t="s">
        <v>233</v>
      </c>
      <c r="AS127" t="s">
        <v>424</v>
      </c>
      <c r="AT127" t="s">
        <v>235</v>
      </c>
      <c r="AU127" s="134">
        <v>0.05</v>
      </c>
      <c r="AV127" s="7" t="s">
        <v>80</v>
      </c>
      <c r="AW127" t="s">
        <v>73</v>
      </c>
      <c r="AX127">
        <v>0.01</v>
      </c>
      <c r="AY127">
        <v>1</v>
      </c>
      <c r="AZ127">
        <f>TINV(AX127,CC127)</f>
        <v>2.5764354463748322</v>
      </c>
      <c r="BA127" t="s">
        <v>73</v>
      </c>
      <c r="BB127" s="105">
        <f>EXP(AU127)/(1+EXP(AU127))</f>
        <v>0.51249739648421033</v>
      </c>
      <c r="BC127" s="10" t="s">
        <v>73</v>
      </c>
      <c r="BD127" s="10" t="s">
        <v>73</v>
      </c>
      <c r="BE127" s="10" t="s">
        <v>73</v>
      </c>
      <c r="BF127" s="10" t="s">
        <v>73</v>
      </c>
      <c r="BG127" s="10" t="s">
        <v>73</v>
      </c>
      <c r="BH127" s="10" t="s">
        <v>73</v>
      </c>
      <c r="BI127" s="10">
        <v>8115</v>
      </c>
      <c r="BJ127" s="10">
        <v>8115</v>
      </c>
      <c r="BK127" s="10" t="s">
        <v>73</v>
      </c>
      <c r="BL127" s="10" t="s">
        <v>73</v>
      </c>
      <c r="BM127" t="s">
        <v>73</v>
      </c>
      <c r="BN127" t="s">
        <v>73</v>
      </c>
      <c r="BO127" s="108" t="s">
        <v>73</v>
      </c>
      <c r="BP127" s="108" t="s">
        <v>73</v>
      </c>
      <c r="BQ127" s="108" t="s">
        <v>73</v>
      </c>
      <c r="BR127">
        <v>1</v>
      </c>
      <c r="BS127" s="108" t="s">
        <v>73</v>
      </c>
      <c r="BT127" s="108" t="s">
        <v>73</v>
      </c>
      <c r="BU127" s="10">
        <v>0</v>
      </c>
      <c r="BV127" s="10">
        <v>1</v>
      </c>
      <c r="BW127" s="10">
        <v>1</v>
      </c>
      <c r="BX127" s="30">
        <f>((AZ127^2)/(AZ127^2+BI127))^(1/2)</f>
        <v>2.8588900354369999E-2</v>
      </c>
      <c r="BY127" s="30">
        <f>0.5*LN((1+BX127)/(1-BX127))</f>
        <v>2.8596692985986098E-2</v>
      </c>
      <c r="BZ127" s="30">
        <f>((1-(BY127^2)^2)/(BI127-1))</f>
        <v>1.2324369377013031E-4</v>
      </c>
      <c r="CA127" s="30">
        <f>1/(BI127-3)</f>
        <v>1.232741617357002E-4</v>
      </c>
      <c r="CB127" s="92" t="s">
        <v>73</v>
      </c>
      <c r="CC127">
        <f>BI127-2</f>
        <v>8113</v>
      </c>
      <c r="CD127" s="92" t="s">
        <v>73</v>
      </c>
      <c r="CE127" s="30">
        <f>((AZ127^2)/(AZ127^2+BJ127))^(1/2)</f>
        <v>2.8588900354369999E-2</v>
      </c>
      <c r="CF127" s="30">
        <f>0.5*LN((1+CE127)/(1-CE127))</f>
        <v>2.8596692985986098E-2</v>
      </c>
      <c r="CG127" s="30">
        <f>((1-(CF127^2)^2)/(BJ127-1))</f>
        <v>1.2324369377013031E-4</v>
      </c>
      <c r="CH127" s="30">
        <f>1/(BJ127-3)</f>
        <v>1.232741617357002E-4</v>
      </c>
    </row>
    <row r="128" spans="1:87" ht="16">
      <c r="A128" s="108" t="s">
        <v>408</v>
      </c>
      <c r="B128" s="108" t="s">
        <v>719</v>
      </c>
      <c r="C128" s="92">
        <v>1249</v>
      </c>
      <c r="D128" s="108">
        <v>302</v>
      </c>
      <c r="E128" s="10" t="s">
        <v>417</v>
      </c>
      <c r="F128" s="108">
        <v>2017</v>
      </c>
      <c r="G128" t="s">
        <v>418</v>
      </c>
      <c r="H128" t="s">
        <v>419</v>
      </c>
      <c r="I128" s="10">
        <v>2</v>
      </c>
      <c r="J128" s="10" t="s">
        <v>73</v>
      </c>
      <c r="K128" s="108" t="s">
        <v>73</v>
      </c>
      <c r="L128">
        <v>147</v>
      </c>
      <c r="M128" s="18" t="s">
        <v>420</v>
      </c>
      <c r="N128" t="s">
        <v>241</v>
      </c>
      <c r="O128" s="112" t="s">
        <v>421</v>
      </c>
      <c r="P128" s="10" t="s">
        <v>242</v>
      </c>
      <c r="Q128" t="s">
        <v>243</v>
      </c>
      <c r="R128" t="s">
        <v>254</v>
      </c>
      <c r="S128">
        <v>1</v>
      </c>
      <c r="T128" t="s">
        <v>188</v>
      </c>
      <c r="U128">
        <v>0</v>
      </c>
      <c r="V128" s="10" t="s">
        <v>231</v>
      </c>
      <c r="W128" s="10" t="s">
        <v>231</v>
      </c>
      <c r="X128" s="10" t="s">
        <v>73</v>
      </c>
      <c r="Y128" s="10">
        <v>0</v>
      </c>
      <c r="Z128" s="10">
        <v>0</v>
      </c>
      <c r="AA128" s="10">
        <v>1</v>
      </c>
      <c r="AB128" s="10">
        <v>0</v>
      </c>
      <c r="AC128" s="10">
        <v>0</v>
      </c>
      <c r="AD128" s="10">
        <v>0</v>
      </c>
      <c r="AE128" s="108">
        <v>0</v>
      </c>
      <c r="AF128" s="108">
        <v>0</v>
      </c>
      <c r="AG128" s="10" t="s">
        <v>426</v>
      </c>
      <c r="AH128" s="10">
        <v>1</v>
      </c>
      <c r="AI128" s="10">
        <v>0</v>
      </c>
      <c r="AJ128" s="10">
        <v>0</v>
      </c>
      <c r="AK128" s="10">
        <v>1</v>
      </c>
      <c r="AL128" s="10">
        <v>0</v>
      </c>
      <c r="AM128" s="10">
        <v>0</v>
      </c>
      <c r="AN128" s="10">
        <v>0</v>
      </c>
      <c r="AO128" s="10">
        <v>0</v>
      </c>
      <c r="AP128" s="10">
        <v>0</v>
      </c>
      <c r="AQ128" t="s">
        <v>423</v>
      </c>
      <c r="AR128" t="s">
        <v>233</v>
      </c>
      <c r="AS128" t="s">
        <v>424</v>
      </c>
      <c r="AT128" t="s">
        <v>235</v>
      </c>
      <c r="AU128" s="134">
        <v>8.6999999999999994E-2</v>
      </c>
      <c r="AV128" s="7" t="s">
        <v>80</v>
      </c>
      <c r="AW128" t="s">
        <v>73</v>
      </c>
      <c r="AX128">
        <v>0.01</v>
      </c>
      <c r="AY128">
        <v>1</v>
      </c>
      <c r="AZ128">
        <f>TINV(AX128,CC128)</f>
        <v>2.5776085962794295</v>
      </c>
      <c r="BA128" t="s">
        <v>73</v>
      </c>
      <c r="BB128" s="105">
        <f>EXP(AU128)/(1+EXP(AU128))</f>
        <v>0.52173629156332213</v>
      </c>
      <c r="BC128" s="10" t="s">
        <v>73</v>
      </c>
      <c r="BD128" s="10" t="s">
        <v>73</v>
      </c>
      <c r="BE128" s="10" t="s">
        <v>73</v>
      </c>
      <c r="BF128" s="10" t="s">
        <v>73</v>
      </c>
      <c r="BG128" s="10" t="s">
        <v>73</v>
      </c>
      <c r="BH128" s="10" t="s">
        <v>73</v>
      </c>
      <c r="BI128" s="10">
        <v>2767</v>
      </c>
      <c r="BJ128" s="10">
        <v>2767</v>
      </c>
      <c r="BK128" s="10" t="s">
        <v>73</v>
      </c>
      <c r="BL128" s="10" t="s">
        <v>73</v>
      </c>
      <c r="BM128" t="s">
        <v>73</v>
      </c>
      <c r="BN128" t="s">
        <v>73</v>
      </c>
      <c r="BO128" s="108" t="s">
        <v>73</v>
      </c>
      <c r="BP128" s="108" t="s">
        <v>73</v>
      </c>
      <c r="BQ128" s="108" t="s">
        <v>73</v>
      </c>
      <c r="BR128">
        <v>1</v>
      </c>
      <c r="BS128" s="108" t="s">
        <v>73</v>
      </c>
      <c r="BT128" s="108" t="s">
        <v>73</v>
      </c>
      <c r="BU128" s="10">
        <v>0</v>
      </c>
      <c r="BV128" s="10">
        <v>1</v>
      </c>
      <c r="BW128" s="10">
        <v>1</v>
      </c>
      <c r="BX128" s="30">
        <f>((AZ128^2)/(AZ128^2+BI128))^(1/2)</f>
        <v>4.8943115053431581E-2</v>
      </c>
      <c r="BY128" s="30">
        <f>0.5*LN((1+BX128)/(1-BX128))</f>
        <v>4.8982251228669553E-2</v>
      </c>
      <c r="BZ128" s="30">
        <f>((1-(BY128^2)^2)/(BI128-1))</f>
        <v>3.6153081834669693E-4</v>
      </c>
      <c r="CA128" s="30">
        <f>1/(BI128-3)</f>
        <v>3.6179450072358897E-4</v>
      </c>
      <c r="CB128" s="92" t="s">
        <v>73</v>
      </c>
      <c r="CC128">
        <f>BI128-2</f>
        <v>2765</v>
      </c>
      <c r="CD128" s="92" t="s">
        <v>73</v>
      </c>
      <c r="CE128" s="30">
        <f>((AZ128^2)/(AZ128^2+BJ128))^(1/2)</f>
        <v>4.8943115053431581E-2</v>
      </c>
      <c r="CF128" s="30">
        <f>0.5*LN((1+CE128)/(1-CE128))</f>
        <v>4.8982251228669553E-2</v>
      </c>
      <c r="CG128" s="30">
        <f>((1-(CF128^2)^2)/(BJ128-1))</f>
        <v>3.6153081834669693E-4</v>
      </c>
      <c r="CH128" s="30">
        <f>1/(BJ128-3)</f>
        <v>3.6179450072358897E-4</v>
      </c>
    </row>
    <row r="129" spans="1:87" ht="16">
      <c r="A129" s="127" t="s">
        <v>408</v>
      </c>
      <c r="B129" s="212" t="s">
        <v>718</v>
      </c>
      <c r="C129" s="126">
        <v>1251</v>
      </c>
      <c r="D129" s="127">
        <v>303</v>
      </c>
      <c r="E129" s="132" t="s">
        <v>427</v>
      </c>
      <c r="F129" s="127">
        <v>2015</v>
      </c>
      <c r="G129" s="125" t="s">
        <v>428</v>
      </c>
      <c r="H129" s="125" t="s">
        <v>429</v>
      </c>
      <c r="I129" s="132">
        <v>2</v>
      </c>
      <c r="J129" s="132">
        <v>2013</v>
      </c>
      <c r="K129" s="127" t="s">
        <v>73</v>
      </c>
      <c r="L129" s="125">
        <v>67</v>
      </c>
      <c r="M129" s="192" t="s">
        <v>107</v>
      </c>
      <c r="N129" s="130" t="s">
        <v>226</v>
      </c>
      <c r="O129" s="125" t="s">
        <v>81</v>
      </c>
      <c r="P129" s="132" t="s">
        <v>227</v>
      </c>
      <c r="Q129" s="125" t="s">
        <v>310</v>
      </c>
      <c r="R129" s="125" t="s">
        <v>311</v>
      </c>
      <c r="S129" s="125">
        <v>0</v>
      </c>
      <c r="T129" s="125" t="s">
        <v>188</v>
      </c>
      <c r="U129" s="125">
        <v>0</v>
      </c>
      <c r="V129" s="132" t="s">
        <v>245</v>
      </c>
      <c r="W129" s="132" t="s">
        <v>245</v>
      </c>
      <c r="X129" s="125" t="s">
        <v>430</v>
      </c>
      <c r="Y129" s="132">
        <v>0</v>
      </c>
      <c r="Z129" s="132">
        <v>1</v>
      </c>
      <c r="AA129" s="132">
        <v>1</v>
      </c>
      <c r="AB129" s="132">
        <v>1</v>
      </c>
      <c r="AC129" s="132">
        <v>0</v>
      </c>
      <c r="AD129" s="132">
        <v>0</v>
      </c>
      <c r="AE129" s="127">
        <v>0</v>
      </c>
      <c r="AF129" s="127">
        <v>0</v>
      </c>
      <c r="AG129" s="132" t="s">
        <v>73</v>
      </c>
      <c r="AH129" s="132">
        <v>0</v>
      </c>
      <c r="AI129" s="132">
        <v>0</v>
      </c>
      <c r="AJ129" s="132">
        <v>0</v>
      </c>
      <c r="AK129" s="132">
        <v>0</v>
      </c>
      <c r="AL129" s="132">
        <v>0</v>
      </c>
      <c r="AM129" s="132">
        <v>1</v>
      </c>
      <c r="AN129" s="132">
        <v>0</v>
      </c>
      <c r="AO129" s="132">
        <v>0</v>
      </c>
      <c r="AP129" s="132">
        <v>0</v>
      </c>
      <c r="AQ129" s="125" t="s">
        <v>431</v>
      </c>
      <c r="AR129" s="125" t="s">
        <v>233</v>
      </c>
      <c r="AS129" s="125" t="s">
        <v>431</v>
      </c>
      <c r="AT129" s="125" t="s">
        <v>73</v>
      </c>
      <c r="AU129" s="204" t="s">
        <v>73</v>
      </c>
      <c r="AV129" s="128" t="s">
        <v>80</v>
      </c>
      <c r="AW129" s="125">
        <f>AZ129/ABS(_xlfn.T.INV.2T(AX129,CC129))</f>
        <v>1</v>
      </c>
      <c r="AX129" s="125">
        <v>0.02</v>
      </c>
      <c r="AY129" s="125">
        <v>1</v>
      </c>
      <c r="AZ129" s="164">
        <f>TINV(AX129,CC129)</f>
        <v>3.7469473879791968</v>
      </c>
      <c r="BA129" s="164"/>
      <c r="BB129" s="162">
        <f>BK129/BC129</f>
        <v>34.655601659751035</v>
      </c>
      <c r="BC129" s="132">
        <v>241</v>
      </c>
      <c r="BD129" s="132">
        <v>3</v>
      </c>
      <c r="BE129" s="132" t="s">
        <v>73</v>
      </c>
      <c r="BF129" s="132">
        <v>8593</v>
      </c>
      <c r="BG129" s="132">
        <v>3</v>
      </c>
      <c r="BH129" s="132" t="s">
        <v>73</v>
      </c>
      <c r="BI129" s="132">
        <v>6</v>
      </c>
      <c r="BJ129" s="132">
        <v>6</v>
      </c>
      <c r="BK129" s="163">
        <v>8352</v>
      </c>
      <c r="BL129" s="132" t="s">
        <v>73</v>
      </c>
      <c r="BM129" s="132" t="s">
        <v>73</v>
      </c>
      <c r="BN129" s="125" t="s">
        <v>73</v>
      </c>
      <c r="BO129" s="127" t="s">
        <v>73</v>
      </c>
      <c r="BP129" s="127" t="s">
        <v>73</v>
      </c>
      <c r="BQ129" s="127" t="s">
        <v>73</v>
      </c>
      <c r="BR129" s="125">
        <v>1</v>
      </c>
      <c r="BS129" s="127" t="s">
        <v>73</v>
      </c>
      <c r="BT129" s="127" t="s">
        <v>73</v>
      </c>
      <c r="BU129" s="132">
        <v>0</v>
      </c>
      <c r="BV129" s="132">
        <v>0</v>
      </c>
      <c r="BW129" s="132">
        <v>0</v>
      </c>
      <c r="BX129" s="30">
        <f>((AZ129^2)/(AZ129^2+BI129))^(1/2)</f>
        <v>0.83701436442629074</v>
      </c>
      <c r="BY129" s="133">
        <f>0.5*LN((1+BX129)/(1-BX129))</f>
        <v>1.2111174165391649</v>
      </c>
      <c r="BZ129" s="30">
        <f>((1-(BY129^2)^2)/(BI129-1))</f>
        <v>-0.2303036143250865</v>
      </c>
      <c r="CA129" s="30">
        <f>1/(BI129-3)</f>
        <v>0.33333333333333331</v>
      </c>
      <c r="CB129" s="107">
        <f xml:space="preserve"> AZ129*(((BD129+BG129)/(BD129*BG129))^(1/2))</f>
        <v>3.0593697312010879</v>
      </c>
      <c r="CC129" s="112">
        <f>BI129-2</f>
        <v>4</v>
      </c>
      <c r="CD129" s="112" t="s">
        <v>432</v>
      </c>
      <c r="CE129" s="30">
        <f>((AZ129^2)/(AZ129^2+BJ129))^(1/2)</f>
        <v>0.83701436442629074</v>
      </c>
      <c r="CF129" s="133">
        <f>0.5*LN((1+CE129)/(1-CE129))</f>
        <v>1.2111174165391649</v>
      </c>
      <c r="CG129" s="30">
        <f>((1-(CF129^2)^2)/(BJ129-1))</f>
        <v>-0.2303036143250865</v>
      </c>
      <c r="CH129" s="30">
        <f>1/(BJ129-3)</f>
        <v>0.33333333333333331</v>
      </c>
    </row>
    <row r="130" spans="1:87" ht="16">
      <c r="A130" s="108" t="s">
        <v>408</v>
      </c>
      <c r="B130" s="108" t="s">
        <v>719</v>
      </c>
      <c r="C130" s="92">
        <v>1252</v>
      </c>
      <c r="D130" s="108">
        <v>313</v>
      </c>
      <c r="E130" t="s">
        <v>433</v>
      </c>
      <c r="F130">
        <v>2018</v>
      </c>
      <c r="G130" t="s">
        <v>434</v>
      </c>
      <c r="H130" t="s">
        <v>435</v>
      </c>
      <c r="I130" s="10">
        <v>2</v>
      </c>
      <c r="J130">
        <v>2015</v>
      </c>
      <c r="K130" t="s">
        <v>436</v>
      </c>
      <c r="L130">
        <v>13</v>
      </c>
      <c r="M130" s="18" t="s">
        <v>437</v>
      </c>
      <c r="N130" t="s">
        <v>438</v>
      </c>
      <c r="O130" t="s">
        <v>439</v>
      </c>
      <c r="P130" s="10" t="s">
        <v>293</v>
      </c>
      <c r="Q130" t="s">
        <v>243</v>
      </c>
      <c r="R130" t="s">
        <v>254</v>
      </c>
      <c r="S130">
        <v>1</v>
      </c>
      <c r="T130" t="s">
        <v>230</v>
      </c>
      <c r="U130">
        <v>0</v>
      </c>
      <c r="V130" t="s">
        <v>245</v>
      </c>
      <c r="W130" t="s">
        <v>231</v>
      </c>
      <c r="X130" t="s">
        <v>440</v>
      </c>
      <c r="Y130" s="10">
        <v>0</v>
      </c>
      <c r="Z130" s="10">
        <v>1</v>
      </c>
      <c r="AA130" s="10">
        <v>0</v>
      </c>
      <c r="AB130" s="10">
        <v>0</v>
      </c>
      <c r="AC130" s="10">
        <v>0</v>
      </c>
      <c r="AD130" s="10">
        <v>0</v>
      </c>
      <c r="AE130" s="108">
        <v>0</v>
      </c>
      <c r="AF130" s="10">
        <v>0</v>
      </c>
      <c r="AG130" s="10" t="s">
        <v>441</v>
      </c>
      <c r="AH130" s="10">
        <v>0</v>
      </c>
      <c r="AI130" s="10">
        <v>0</v>
      </c>
      <c r="AJ130" s="10">
        <v>0</v>
      </c>
      <c r="AK130" s="10">
        <v>0</v>
      </c>
      <c r="AL130" s="10">
        <v>0</v>
      </c>
      <c r="AM130" s="10">
        <v>1</v>
      </c>
      <c r="AN130" s="10">
        <v>0</v>
      </c>
      <c r="AO130" s="10">
        <v>0</v>
      </c>
      <c r="AP130" s="10">
        <v>0</v>
      </c>
      <c r="AQ130" t="s">
        <v>442</v>
      </c>
      <c r="AR130" t="s">
        <v>233</v>
      </c>
      <c r="AS130" t="s">
        <v>443</v>
      </c>
      <c r="AT130" s="108" t="s">
        <v>235</v>
      </c>
      <c r="AU130" s="134">
        <v>0.21</v>
      </c>
      <c r="AV130" s="7" t="s">
        <v>80</v>
      </c>
      <c r="AW130">
        <v>0.03</v>
      </c>
      <c r="AX130">
        <v>0.05</v>
      </c>
      <c r="AY130">
        <v>1</v>
      </c>
      <c r="AZ130">
        <f>TINV(AX130,CC130)</f>
        <v>1.9639388980555066</v>
      </c>
      <c r="BA130" t="s">
        <v>73</v>
      </c>
      <c r="BB130" s="105">
        <f>EXP(AU130)/(1+EXP(AU130))</f>
        <v>0.5523079095743253</v>
      </c>
      <c r="BC130" s="10" t="s">
        <v>73</v>
      </c>
      <c r="BD130" s="10" t="s">
        <v>73</v>
      </c>
      <c r="BE130" s="10" t="s">
        <v>73</v>
      </c>
      <c r="BF130" s="10" t="s">
        <v>73</v>
      </c>
      <c r="BG130" s="10" t="s">
        <v>73</v>
      </c>
      <c r="BH130" s="10" t="s">
        <v>73</v>
      </c>
      <c r="BI130">
        <v>600</v>
      </c>
      <c r="BJ130">
        <v>600</v>
      </c>
      <c r="BK130" s="10" t="s">
        <v>73</v>
      </c>
      <c r="BL130" s="10" t="s">
        <v>73</v>
      </c>
      <c r="BM130" t="s">
        <v>73</v>
      </c>
      <c r="BN130" t="s">
        <v>73</v>
      </c>
      <c r="BO130" s="108" t="s">
        <v>73</v>
      </c>
      <c r="BP130" s="10" t="s">
        <v>73</v>
      </c>
      <c r="BQ130" s="108" t="s">
        <v>73</v>
      </c>
      <c r="BR130" s="108" t="s">
        <v>73</v>
      </c>
      <c r="BS130" s="108" t="s">
        <v>73</v>
      </c>
      <c r="BT130" s="108" t="s">
        <v>73</v>
      </c>
      <c r="BU130">
        <v>0</v>
      </c>
      <c r="BV130">
        <v>1</v>
      </c>
      <c r="BW130">
        <v>1</v>
      </c>
      <c r="BX130" s="30">
        <f>((AZ130^2)/(AZ130^2+BI130))^(1/2)</f>
        <v>7.9920998150068992E-2</v>
      </c>
      <c r="BY130" s="30">
        <f>0.5*LN((1+BX130)/(1-BX130))</f>
        <v>8.0091814824645752E-2</v>
      </c>
      <c r="BZ130" s="30">
        <f>((1-(BY130^2)^2)/(BI130-1))</f>
        <v>1.6693803867099848E-3</v>
      </c>
      <c r="CA130" s="30">
        <f>1/(BI130-3)</f>
        <v>1.6750418760469012E-3</v>
      </c>
      <c r="CB130" s="92" t="s">
        <v>73</v>
      </c>
      <c r="CC130">
        <f>BI130-2</f>
        <v>598</v>
      </c>
      <c r="CD130" s="92" t="s">
        <v>73</v>
      </c>
      <c r="CE130" s="30">
        <f>((AZ130^2)/(AZ130^2+BJ130))^(1/2)</f>
        <v>7.9920998150068992E-2</v>
      </c>
      <c r="CF130" s="30">
        <f>0.5*LN((1+CE130)/(1-CE130))</f>
        <v>8.0091814824645752E-2</v>
      </c>
      <c r="CG130" s="30">
        <f>((1-(CF130^2)^2)/(BJ130-1))</f>
        <v>1.6693803867099848E-3</v>
      </c>
      <c r="CH130" s="30">
        <f>1/(BJ130-3)</f>
        <v>1.6750418760469012E-3</v>
      </c>
    </row>
    <row r="131" spans="1:87" ht="16">
      <c r="A131" s="108" t="s">
        <v>408</v>
      </c>
      <c r="B131" s="108" t="s">
        <v>719</v>
      </c>
      <c r="C131" s="92">
        <v>1253</v>
      </c>
      <c r="D131" s="108">
        <v>313</v>
      </c>
      <c r="E131" t="s">
        <v>433</v>
      </c>
      <c r="F131">
        <v>2018</v>
      </c>
      <c r="G131" t="s">
        <v>434</v>
      </c>
      <c r="H131" t="s">
        <v>435</v>
      </c>
      <c r="I131" s="10">
        <v>2</v>
      </c>
      <c r="J131">
        <v>2015</v>
      </c>
      <c r="K131" t="s">
        <v>436</v>
      </c>
      <c r="L131">
        <v>13</v>
      </c>
      <c r="M131" s="18" t="s">
        <v>437</v>
      </c>
      <c r="N131" t="s">
        <v>438</v>
      </c>
      <c r="O131" t="s">
        <v>439</v>
      </c>
      <c r="P131" s="10" t="s">
        <v>293</v>
      </c>
      <c r="Q131" t="s">
        <v>243</v>
      </c>
      <c r="R131" t="s">
        <v>254</v>
      </c>
      <c r="S131">
        <v>1</v>
      </c>
      <c r="T131" t="s">
        <v>230</v>
      </c>
      <c r="U131">
        <v>0</v>
      </c>
      <c r="V131" t="s">
        <v>245</v>
      </c>
      <c r="W131" t="s">
        <v>231</v>
      </c>
      <c r="X131" t="s">
        <v>440</v>
      </c>
      <c r="Y131" s="10">
        <v>0</v>
      </c>
      <c r="Z131" s="10">
        <v>1</v>
      </c>
      <c r="AA131" s="10">
        <v>0</v>
      </c>
      <c r="AB131" s="10">
        <v>0</v>
      </c>
      <c r="AC131" s="10">
        <v>0</v>
      </c>
      <c r="AD131" s="10">
        <v>0</v>
      </c>
      <c r="AE131" s="108">
        <v>0</v>
      </c>
      <c r="AF131" s="10">
        <v>0</v>
      </c>
      <c r="AG131" s="10" t="s">
        <v>441</v>
      </c>
      <c r="AH131" s="10">
        <v>0</v>
      </c>
      <c r="AI131" s="10">
        <v>0</v>
      </c>
      <c r="AJ131" s="10">
        <v>0</v>
      </c>
      <c r="AK131" s="10">
        <v>0</v>
      </c>
      <c r="AL131" s="10">
        <v>0</v>
      </c>
      <c r="AM131" s="10">
        <v>1</v>
      </c>
      <c r="AN131" s="10">
        <v>0</v>
      </c>
      <c r="AO131" s="10">
        <v>0</v>
      </c>
      <c r="AP131" s="10">
        <v>0</v>
      </c>
      <c r="AQ131" t="s">
        <v>442</v>
      </c>
      <c r="AR131" t="s">
        <v>233</v>
      </c>
      <c r="AS131" t="s">
        <v>443</v>
      </c>
      <c r="AT131" s="108" t="s">
        <v>235</v>
      </c>
      <c r="AU131" s="134">
        <v>0.27</v>
      </c>
      <c r="AV131" s="7" t="s">
        <v>80</v>
      </c>
      <c r="AW131">
        <v>0.05</v>
      </c>
      <c r="AX131">
        <v>0.05</v>
      </c>
      <c r="AY131">
        <v>1</v>
      </c>
      <c r="AZ131">
        <f>TINV(AX131,CC131)</f>
        <v>1.9639388980555066</v>
      </c>
      <c r="BA131" t="s">
        <v>73</v>
      </c>
      <c r="BB131" s="105">
        <f>EXP(AU131)/(1+EXP(AU131))</f>
        <v>0.56709290496545439</v>
      </c>
      <c r="BC131" s="10" t="s">
        <v>73</v>
      </c>
      <c r="BD131" s="10" t="s">
        <v>73</v>
      </c>
      <c r="BE131" s="10" t="s">
        <v>73</v>
      </c>
      <c r="BF131" s="10" t="s">
        <v>73</v>
      </c>
      <c r="BG131" s="10" t="s">
        <v>73</v>
      </c>
      <c r="BH131" s="10" t="s">
        <v>73</v>
      </c>
      <c r="BI131">
        <v>600</v>
      </c>
      <c r="BJ131">
        <v>600</v>
      </c>
      <c r="BK131" s="10" t="s">
        <v>73</v>
      </c>
      <c r="BL131" s="10" t="s">
        <v>73</v>
      </c>
      <c r="BM131" t="s">
        <v>73</v>
      </c>
      <c r="BN131" t="s">
        <v>73</v>
      </c>
      <c r="BO131" s="108" t="s">
        <v>73</v>
      </c>
      <c r="BP131" s="10" t="s">
        <v>73</v>
      </c>
      <c r="BQ131" s="108" t="s">
        <v>73</v>
      </c>
      <c r="BR131" s="108" t="s">
        <v>73</v>
      </c>
      <c r="BS131" s="108" t="s">
        <v>73</v>
      </c>
      <c r="BT131" s="108" t="s">
        <v>73</v>
      </c>
      <c r="BU131">
        <v>0</v>
      </c>
      <c r="BV131">
        <v>1</v>
      </c>
      <c r="BW131">
        <v>1</v>
      </c>
      <c r="BX131" s="30">
        <f>((AZ131^2)/(AZ131^2+BI131))^(1/2)</f>
        <v>7.9920998150068992E-2</v>
      </c>
      <c r="BY131" s="30">
        <f>0.5*LN((1+BX131)/(1-BX131))</f>
        <v>8.0091814824645752E-2</v>
      </c>
      <c r="BZ131" s="30">
        <f>((1-(BY131^2)^2)/(BI131-1))</f>
        <v>1.6693803867099848E-3</v>
      </c>
      <c r="CA131" s="30">
        <f>1/(BI131-3)</f>
        <v>1.6750418760469012E-3</v>
      </c>
      <c r="CB131" s="92" t="s">
        <v>73</v>
      </c>
      <c r="CC131">
        <f>BI131-2</f>
        <v>598</v>
      </c>
      <c r="CD131" s="92" t="s">
        <v>73</v>
      </c>
      <c r="CE131" s="30">
        <f>((AZ131^2)/(AZ131^2+BJ131))^(1/2)</f>
        <v>7.9920998150068992E-2</v>
      </c>
      <c r="CF131" s="30">
        <f>0.5*LN((1+CE131)/(1-CE131))</f>
        <v>8.0091814824645752E-2</v>
      </c>
      <c r="CG131" s="30">
        <f>((1-(CF131^2)^2)/(BJ131-1))</f>
        <v>1.6693803867099848E-3</v>
      </c>
      <c r="CH131" s="30">
        <f>1/(BJ131-3)</f>
        <v>1.6750418760469012E-3</v>
      </c>
    </row>
    <row r="132" spans="1:87" s="119" customFormat="1" ht="16">
      <c r="A132" s="108" t="s">
        <v>408</v>
      </c>
      <c r="B132" s="108" t="s">
        <v>719</v>
      </c>
      <c r="C132" s="92">
        <v>1270</v>
      </c>
      <c r="D132" s="108">
        <v>313</v>
      </c>
      <c r="E132" t="s">
        <v>433</v>
      </c>
      <c r="F132">
        <v>2018</v>
      </c>
      <c r="G132" t="s">
        <v>434</v>
      </c>
      <c r="H132" t="s">
        <v>435</v>
      </c>
      <c r="I132" s="10">
        <v>2</v>
      </c>
      <c r="J132">
        <v>2015</v>
      </c>
      <c r="K132" t="s">
        <v>436</v>
      </c>
      <c r="L132">
        <v>13</v>
      </c>
      <c r="M132" s="18" t="s">
        <v>437</v>
      </c>
      <c r="N132" t="s">
        <v>438</v>
      </c>
      <c r="O132" t="s">
        <v>439</v>
      </c>
      <c r="P132" s="10" t="s">
        <v>293</v>
      </c>
      <c r="Q132" t="s">
        <v>243</v>
      </c>
      <c r="R132" t="s">
        <v>254</v>
      </c>
      <c r="S132">
        <v>1</v>
      </c>
      <c r="T132" t="s">
        <v>230</v>
      </c>
      <c r="U132">
        <v>0</v>
      </c>
      <c r="V132" t="s">
        <v>245</v>
      </c>
      <c r="W132" t="s">
        <v>231</v>
      </c>
      <c r="X132" t="s">
        <v>440</v>
      </c>
      <c r="Y132" s="10">
        <v>0</v>
      </c>
      <c r="Z132" s="10">
        <v>1</v>
      </c>
      <c r="AA132" s="10">
        <v>0</v>
      </c>
      <c r="AB132" s="10">
        <v>0</v>
      </c>
      <c r="AC132" s="10">
        <v>0</v>
      </c>
      <c r="AD132" s="10">
        <v>0</v>
      </c>
      <c r="AE132" s="108">
        <v>0</v>
      </c>
      <c r="AF132" s="10">
        <v>0</v>
      </c>
      <c r="AG132" s="10" t="s">
        <v>441</v>
      </c>
      <c r="AH132" s="10">
        <v>0</v>
      </c>
      <c r="AI132" s="10">
        <v>0</v>
      </c>
      <c r="AJ132" s="10">
        <v>0</v>
      </c>
      <c r="AK132" s="10">
        <v>0</v>
      </c>
      <c r="AL132" s="10">
        <v>0</v>
      </c>
      <c r="AM132" s="10">
        <v>1</v>
      </c>
      <c r="AN132" s="10">
        <v>0</v>
      </c>
      <c r="AO132" s="10">
        <v>0</v>
      </c>
      <c r="AP132" s="10">
        <v>0</v>
      </c>
      <c r="AQ132" t="s">
        <v>442</v>
      </c>
      <c r="AR132" t="s">
        <v>233</v>
      </c>
      <c r="AS132" t="s">
        <v>443</v>
      </c>
      <c r="AT132" s="108" t="s">
        <v>235</v>
      </c>
      <c r="AU132" s="134">
        <v>0.09</v>
      </c>
      <c r="AV132" s="7" t="s">
        <v>80</v>
      </c>
      <c r="AW132">
        <v>0.12</v>
      </c>
      <c r="AX132">
        <v>0.05</v>
      </c>
      <c r="AY132">
        <v>2</v>
      </c>
      <c r="AZ132">
        <f>TINV(0.1,CC132)</f>
        <v>1.6474057119344734</v>
      </c>
      <c r="BA132" t="s">
        <v>73</v>
      </c>
      <c r="BB132" s="105">
        <f>EXP(AU132)/(1+EXP(AU132))</f>
        <v>0.52248482479180014</v>
      </c>
      <c r="BC132" s="10" t="s">
        <v>73</v>
      </c>
      <c r="BD132" s="10" t="s">
        <v>73</v>
      </c>
      <c r="BE132" s="10" t="s">
        <v>73</v>
      </c>
      <c r="BF132" s="10" t="s">
        <v>73</v>
      </c>
      <c r="BG132" s="10" t="s">
        <v>73</v>
      </c>
      <c r="BH132" s="10" t="s">
        <v>73</v>
      </c>
      <c r="BI132">
        <v>600</v>
      </c>
      <c r="BJ132">
        <v>600</v>
      </c>
      <c r="BK132" s="10" t="s">
        <v>73</v>
      </c>
      <c r="BL132" s="10" t="s">
        <v>73</v>
      </c>
      <c r="BM132" t="s">
        <v>73</v>
      </c>
      <c r="BN132" t="s">
        <v>73</v>
      </c>
      <c r="BO132" s="108" t="s">
        <v>73</v>
      </c>
      <c r="BP132" s="10" t="s">
        <v>73</v>
      </c>
      <c r="BQ132" s="108" t="s">
        <v>73</v>
      </c>
      <c r="BR132" s="108" t="s">
        <v>73</v>
      </c>
      <c r="BS132" s="108" t="s">
        <v>73</v>
      </c>
      <c r="BT132" s="108" t="s">
        <v>73</v>
      </c>
      <c r="BU132">
        <v>0</v>
      </c>
      <c r="BV132">
        <v>1</v>
      </c>
      <c r="BW132">
        <v>1</v>
      </c>
      <c r="BX132" s="30">
        <f>((AZ132^2)/(AZ132^2+BI132))^(1/2)</f>
        <v>6.7103465160314887E-2</v>
      </c>
      <c r="BY132" s="30">
        <f>0.5*LN((1+BX132)/(1-BX132))</f>
        <v>6.7204457661064573E-2</v>
      </c>
      <c r="BZ132" s="30">
        <f>((1-(BY132^2)^2)/(BI132-1))</f>
        <v>1.6694150280093312E-3</v>
      </c>
      <c r="CA132" s="30">
        <f>1/(BI132-3)</f>
        <v>1.6750418760469012E-3</v>
      </c>
      <c r="CB132" s="92" t="s">
        <v>73</v>
      </c>
      <c r="CC132">
        <f>BI132-2</f>
        <v>598</v>
      </c>
      <c r="CD132" s="92" t="s">
        <v>73</v>
      </c>
      <c r="CE132" s="30">
        <f>((AZ132^2)/(AZ132^2+BJ132))^(1/2)</f>
        <v>6.7103465160314887E-2</v>
      </c>
      <c r="CF132" s="30">
        <f>0.5*LN((1+CE132)/(1-CE132))</f>
        <v>6.7204457661064573E-2</v>
      </c>
      <c r="CG132" s="30">
        <f>((1-(CF132^2)^2)/(BJ132-1))</f>
        <v>1.6694150280093312E-3</v>
      </c>
      <c r="CH132" s="30">
        <f>1/(BJ132-3)</f>
        <v>1.6750418760469012E-3</v>
      </c>
    </row>
    <row r="133" spans="1:87" s="92" customFormat="1" ht="16">
      <c r="A133" s="108" t="s">
        <v>408</v>
      </c>
      <c r="B133" s="108" t="s">
        <v>719</v>
      </c>
      <c r="C133" s="92">
        <v>1271</v>
      </c>
      <c r="D133" s="108">
        <v>313</v>
      </c>
      <c r="E133" t="s">
        <v>433</v>
      </c>
      <c r="F133">
        <v>2018</v>
      </c>
      <c r="G133" t="s">
        <v>434</v>
      </c>
      <c r="H133" t="s">
        <v>435</v>
      </c>
      <c r="I133" s="10">
        <v>2</v>
      </c>
      <c r="J133">
        <v>2015</v>
      </c>
      <c r="K133" t="s">
        <v>436</v>
      </c>
      <c r="L133">
        <v>13</v>
      </c>
      <c r="M133" s="18" t="s">
        <v>437</v>
      </c>
      <c r="N133" t="s">
        <v>438</v>
      </c>
      <c r="O133" t="s">
        <v>439</v>
      </c>
      <c r="P133" s="10" t="s">
        <v>293</v>
      </c>
      <c r="Q133" t="s">
        <v>243</v>
      </c>
      <c r="R133" t="s">
        <v>254</v>
      </c>
      <c r="S133">
        <v>1</v>
      </c>
      <c r="T133" t="s">
        <v>230</v>
      </c>
      <c r="U133">
        <v>0</v>
      </c>
      <c r="V133" t="s">
        <v>245</v>
      </c>
      <c r="W133" t="s">
        <v>231</v>
      </c>
      <c r="X133" t="s">
        <v>440</v>
      </c>
      <c r="Y133" s="10">
        <v>0</v>
      </c>
      <c r="Z133" s="10">
        <v>1</v>
      </c>
      <c r="AA133" s="10">
        <v>0</v>
      </c>
      <c r="AB133" s="10">
        <v>0</v>
      </c>
      <c r="AC133" s="10">
        <v>0</v>
      </c>
      <c r="AD133" s="10">
        <v>0</v>
      </c>
      <c r="AE133" s="108">
        <v>0</v>
      </c>
      <c r="AF133" s="10">
        <v>0</v>
      </c>
      <c r="AG133" s="10" t="s">
        <v>441</v>
      </c>
      <c r="AH133" s="10">
        <v>0</v>
      </c>
      <c r="AI133" s="10">
        <v>0</v>
      </c>
      <c r="AJ133" s="10">
        <v>0</v>
      </c>
      <c r="AK133" s="10">
        <v>0</v>
      </c>
      <c r="AL133" s="10">
        <v>0</v>
      </c>
      <c r="AM133" s="10">
        <v>1</v>
      </c>
      <c r="AN133" s="10">
        <v>0</v>
      </c>
      <c r="AO133" s="10">
        <v>0</v>
      </c>
      <c r="AP133" s="10">
        <v>0</v>
      </c>
      <c r="AQ133" t="s">
        <v>442</v>
      </c>
      <c r="AR133" t="s">
        <v>233</v>
      </c>
      <c r="AS133" t="s">
        <v>443</v>
      </c>
      <c r="AT133" s="108" t="s">
        <v>235</v>
      </c>
      <c r="AU133" s="134">
        <v>0.1</v>
      </c>
      <c r="AV133" s="7" t="s">
        <v>80</v>
      </c>
      <c r="AW133">
        <v>0.11</v>
      </c>
      <c r="AX133">
        <v>0.05</v>
      </c>
      <c r="AY133">
        <v>2</v>
      </c>
      <c r="AZ133">
        <f>TINV(0.1,CC133)</f>
        <v>1.6474057119344734</v>
      </c>
      <c r="BA133" t="s">
        <v>73</v>
      </c>
      <c r="BB133" s="105">
        <f>EXP(AU133)/(1+EXP(AU133))</f>
        <v>0.52497918747894001</v>
      </c>
      <c r="BC133" s="10" t="s">
        <v>73</v>
      </c>
      <c r="BD133" s="10" t="s">
        <v>73</v>
      </c>
      <c r="BE133" s="10" t="s">
        <v>73</v>
      </c>
      <c r="BF133" s="10" t="s">
        <v>73</v>
      </c>
      <c r="BG133" s="10" t="s">
        <v>73</v>
      </c>
      <c r="BH133" s="10" t="s">
        <v>73</v>
      </c>
      <c r="BI133">
        <v>600</v>
      </c>
      <c r="BJ133">
        <v>600</v>
      </c>
      <c r="BK133" s="10" t="s">
        <v>73</v>
      </c>
      <c r="BL133" s="10" t="s">
        <v>73</v>
      </c>
      <c r="BM133" t="s">
        <v>73</v>
      </c>
      <c r="BN133" t="s">
        <v>73</v>
      </c>
      <c r="BO133" s="108" t="s">
        <v>73</v>
      </c>
      <c r="BP133" s="10" t="s">
        <v>73</v>
      </c>
      <c r="BQ133" s="108" t="s">
        <v>73</v>
      </c>
      <c r="BR133" s="108" t="s">
        <v>73</v>
      </c>
      <c r="BS133" s="108" t="s">
        <v>73</v>
      </c>
      <c r="BT133" s="108" t="s">
        <v>73</v>
      </c>
      <c r="BU133">
        <v>0</v>
      </c>
      <c r="BV133">
        <v>1</v>
      </c>
      <c r="BW133">
        <v>1</v>
      </c>
      <c r="BX133" s="30">
        <f>((AZ133^2)/(AZ133^2+BI133))^(1/2)</f>
        <v>6.7103465160314887E-2</v>
      </c>
      <c r="BY133" s="30">
        <f>0.5*LN((1+BX133)/(1-BX133))</f>
        <v>6.7204457661064573E-2</v>
      </c>
      <c r="BZ133" s="30">
        <f>((1-(BY133^2)^2)/(BI133-1))</f>
        <v>1.6694150280093312E-3</v>
      </c>
      <c r="CA133" s="30">
        <f>1/(BI133-3)</f>
        <v>1.6750418760469012E-3</v>
      </c>
      <c r="CB133" s="92" t="s">
        <v>73</v>
      </c>
      <c r="CC133">
        <f>BI133-2</f>
        <v>598</v>
      </c>
      <c r="CD133" s="92" t="s">
        <v>73</v>
      </c>
      <c r="CE133" s="30">
        <f>((AZ133^2)/(AZ133^2+BJ133))^(1/2)</f>
        <v>6.7103465160314887E-2</v>
      </c>
      <c r="CF133" s="30">
        <f>0.5*LN((1+CE133)/(1-CE133))</f>
        <v>6.7204457661064573E-2</v>
      </c>
      <c r="CG133" s="30">
        <f>((1-(CF133^2)^2)/(BJ133-1))</f>
        <v>1.6694150280093312E-3</v>
      </c>
      <c r="CH133" s="30">
        <f>1/(BJ133-3)</f>
        <v>1.6750418760469012E-3</v>
      </c>
      <c r="CI133"/>
    </row>
    <row r="134" spans="1:87" s="92" customFormat="1" ht="16">
      <c r="A134" s="108" t="s">
        <v>408</v>
      </c>
      <c r="B134" s="108" t="s">
        <v>719</v>
      </c>
      <c r="C134" s="92">
        <v>1272</v>
      </c>
      <c r="D134" s="108">
        <v>313</v>
      </c>
      <c r="E134" t="s">
        <v>433</v>
      </c>
      <c r="F134">
        <v>2018</v>
      </c>
      <c r="G134" t="s">
        <v>434</v>
      </c>
      <c r="H134" t="s">
        <v>435</v>
      </c>
      <c r="I134" s="10">
        <v>2</v>
      </c>
      <c r="J134">
        <v>2015</v>
      </c>
      <c r="K134" t="s">
        <v>436</v>
      </c>
      <c r="L134">
        <v>13</v>
      </c>
      <c r="M134" s="18" t="s">
        <v>437</v>
      </c>
      <c r="N134" t="s">
        <v>438</v>
      </c>
      <c r="O134" t="s">
        <v>439</v>
      </c>
      <c r="P134" s="10" t="s">
        <v>293</v>
      </c>
      <c r="Q134" t="s">
        <v>243</v>
      </c>
      <c r="R134" t="s">
        <v>254</v>
      </c>
      <c r="S134">
        <v>1</v>
      </c>
      <c r="T134" t="s">
        <v>230</v>
      </c>
      <c r="U134">
        <v>0</v>
      </c>
      <c r="V134" t="s">
        <v>245</v>
      </c>
      <c r="W134" t="s">
        <v>231</v>
      </c>
      <c r="X134" t="s">
        <v>440</v>
      </c>
      <c r="Y134" s="10">
        <v>0</v>
      </c>
      <c r="Z134" s="10">
        <v>1</v>
      </c>
      <c r="AA134" s="10">
        <v>1</v>
      </c>
      <c r="AB134" s="10">
        <v>0</v>
      </c>
      <c r="AC134" s="10">
        <v>0</v>
      </c>
      <c r="AD134" s="10">
        <v>0</v>
      </c>
      <c r="AE134" s="108">
        <v>0</v>
      </c>
      <c r="AF134" s="10">
        <v>0</v>
      </c>
      <c r="AG134" s="10" t="s">
        <v>441</v>
      </c>
      <c r="AH134" s="10">
        <v>0</v>
      </c>
      <c r="AI134" s="10">
        <v>0</v>
      </c>
      <c r="AJ134" s="10">
        <v>0</v>
      </c>
      <c r="AK134" s="10">
        <v>0</v>
      </c>
      <c r="AL134" s="10">
        <v>0</v>
      </c>
      <c r="AM134" s="10">
        <v>1</v>
      </c>
      <c r="AN134" s="10">
        <v>0</v>
      </c>
      <c r="AO134" s="10">
        <v>0</v>
      </c>
      <c r="AP134" s="10">
        <v>0</v>
      </c>
      <c r="AQ134" t="s">
        <v>442</v>
      </c>
      <c r="AR134" t="s">
        <v>233</v>
      </c>
      <c r="AS134" t="s">
        <v>443</v>
      </c>
      <c r="AT134" s="108" t="s">
        <v>235</v>
      </c>
      <c r="AU134" s="134">
        <v>0.87</v>
      </c>
      <c r="AV134" s="7" t="s">
        <v>80</v>
      </c>
      <c r="AW134">
        <v>0.1</v>
      </c>
      <c r="AX134">
        <v>0.05</v>
      </c>
      <c r="AY134">
        <v>1</v>
      </c>
      <c r="AZ134">
        <f>TINV(AX134,CC134)</f>
        <v>1.9639388980555066</v>
      </c>
      <c r="BA134" t="s">
        <v>73</v>
      </c>
      <c r="BB134" s="105">
        <f>EXP(AU134)/(1+EXP(AU134))</f>
        <v>0.70474569799809106</v>
      </c>
      <c r="BC134" s="10" t="s">
        <v>73</v>
      </c>
      <c r="BD134" s="10" t="s">
        <v>73</v>
      </c>
      <c r="BE134" s="10" t="s">
        <v>73</v>
      </c>
      <c r="BF134" s="10" t="s">
        <v>73</v>
      </c>
      <c r="BG134" s="10" t="s">
        <v>73</v>
      </c>
      <c r="BH134" s="10" t="s">
        <v>73</v>
      </c>
      <c r="BI134">
        <v>600</v>
      </c>
      <c r="BJ134">
        <v>600</v>
      </c>
      <c r="BK134" s="10" t="s">
        <v>73</v>
      </c>
      <c r="BL134" s="10" t="s">
        <v>73</v>
      </c>
      <c r="BM134" t="s">
        <v>73</v>
      </c>
      <c r="BN134" t="s">
        <v>73</v>
      </c>
      <c r="BO134" s="108" t="s">
        <v>73</v>
      </c>
      <c r="BP134" s="10" t="s">
        <v>73</v>
      </c>
      <c r="BQ134" s="108" t="s">
        <v>73</v>
      </c>
      <c r="BR134" s="108" t="s">
        <v>73</v>
      </c>
      <c r="BS134" s="108" t="s">
        <v>73</v>
      </c>
      <c r="BT134" s="108" t="s">
        <v>73</v>
      </c>
      <c r="BU134">
        <v>0</v>
      </c>
      <c r="BV134">
        <v>1</v>
      </c>
      <c r="BW134">
        <v>1</v>
      </c>
      <c r="BX134" s="30">
        <f>((AZ134^2)/(AZ134^2+BI134))^(1/2)</f>
        <v>7.9920998150068992E-2</v>
      </c>
      <c r="BY134" s="30">
        <f>0.5*LN((1+BX134)/(1-BX134))</f>
        <v>8.0091814824645752E-2</v>
      </c>
      <c r="BZ134" s="30">
        <f>((1-(BY134^2)^2)/(BI134-1))</f>
        <v>1.6693803867099848E-3</v>
      </c>
      <c r="CA134" s="30">
        <f>1/(BI134-3)</f>
        <v>1.6750418760469012E-3</v>
      </c>
      <c r="CB134" s="92" t="s">
        <v>73</v>
      </c>
      <c r="CC134">
        <f>BI134-2</f>
        <v>598</v>
      </c>
      <c r="CD134" s="92" t="s">
        <v>73</v>
      </c>
      <c r="CE134" s="30">
        <f>((AZ134^2)/(AZ134^2+BJ134))^(1/2)</f>
        <v>7.9920998150068992E-2</v>
      </c>
      <c r="CF134" s="30">
        <f>0.5*LN((1+CE134)/(1-CE134))</f>
        <v>8.0091814824645752E-2</v>
      </c>
      <c r="CG134" s="30">
        <f>((1-(CF134^2)^2)/(BJ134-1))</f>
        <v>1.6693803867099848E-3</v>
      </c>
      <c r="CH134" s="30">
        <f>1/(BJ134-3)</f>
        <v>1.6750418760469012E-3</v>
      </c>
      <c r="CI134" s="119"/>
    </row>
    <row r="135" spans="1:87" s="92" customFormat="1" ht="16">
      <c r="A135" s="108" t="s">
        <v>408</v>
      </c>
      <c r="B135" s="108" t="s">
        <v>719</v>
      </c>
      <c r="C135" s="92">
        <v>1273</v>
      </c>
      <c r="D135" s="108">
        <v>313</v>
      </c>
      <c r="E135" t="s">
        <v>433</v>
      </c>
      <c r="F135">
        <v>2018</v>
      </c>
      <c r="G135" t="s">
        <v>434</v>
      </c>
      <c r="H135" t="s">
        <v>435</v>
      </c>
      <c r="I135" s="10">
        <v>2</v>
      </c>
      <c r="J135">
        <v>2015</v>
      </c>
      <c r="K135" t="s">
        <v>436</v>
      </c>
      <c r="L135">
        <v>13</v>
      </c>
      <c r="M135" s="18" t="s">
        <v>437</v>
      </c>
      <c r="N135" t="s">
        <v>438</v>
      </c>
      <c r="O135" t="s">
        <v>439</v>
      </c>
      <c r="P135" s="10" t="s">
        <v>293</v>
      </c>
      <c r="Q135" t="s">
        <v>243</v>
      </c>
      <c r="R135" t="s">
        <v>254</v>
      </c>
      <c r="S135">
        <v>1</v>
      </c>
      <c r="T135" t="s">
        <v>230</v>
      </c>
      <c r="U135">
        <v>0</v>
      </c>
      <c r="V135" t="s">
        <v>245</v>
      </c>
      <c r="W135" t="s">
        <v>231</v>
      </c>
      <c r="X135" t="s">
        <v>440</v>
      </c>
      <c r="Y135" s="10">
        <v>0</v>
      </c>
      <c r="Z135" s="10">
        <v>1</v>
      </c>
      <c r="AA135" s="10">
        <v>1</v>
      </c>
      <c r="AB135" s="10">
        <v>0</v>
      </c>
      <c r="AC135" s="10">
        <v>0</v>
      </c>
      <c r="AD135" s="10">
        <v>0</v>
      </c>
      <c r="AE135" s="108">
        <v>0</v>
      </c>
      <c r="AF135" s="10">
        <v>0</v>
      </c>
      <c r="AG135" s="10" t="s">
        <v>441</v>
      </c>
      <c r="AH135" s="10">
        <v>0</v>
      </c>
      <c r="AI135" s="10">
        <v>0</v>
      </c>
      <c r="AJ135" s="10">
        <v>0</v>
      </c>
      <c r="AK135" s="10">
        <v>0</v>
      </c>
      <c r="AL135" s="10">
        <v>0</v>
      </c>
      <c r="AM135" s="10">
        <v>1</v>
      </c>
      <c r="AN135" s="10">
        <v>0</v>
      </c>
      <c r="AO135" s="10">
        <v>0</v>
      </c>
      <c r="AP135" s="10">
        <v>0</v>
      </c>
      <c r="AQ135" t="s">
        <v>442</v>
      </c>
      <c r="AR135" t="s">
        <v>233</v>
      </c>
      <c r="AS135" t="s">
        <v>443</v>
      </c>
      <c r="AT135" s="108" t="s">
        <v>235</v>
      </c>
      <c r="AU135" s="134">
        <v>0.85</v>
      </c>
      <c r="AV135" s="7" t="s">
        <v>80</v>
      </c>
      <c r="AW135">
        <v>0.11</v>
      </c>
      <c r="AX135">
        <v>0.05</v>
      </c>
      <c r="AY135">
        <v>1</v>
      </c>
      <c r="AZ135">
        <f>TINV(AX135,CC135)</f>
        <v>1.9639388980555066</v>
      </c>
      <c r="BA135" t="s">
        <v>73</v>
      </c>
      <c r="BB135" s="105">
        <f>EXP(AU135)/(1+EXP(AU135))</f>
        <v>0.70056714247397289</v>
      </c>
      <c r="BC135" s="10" t="s">
        <v>73</v>
      </c>
      <c r="BD135" s="10" t="s">
        <v>73</v>
      </c>
      <c r="BE135" s="10" t="s">
        <v>73</v>
      </c>
      <c r="BF135" s="10" t="s">
        <v>73</v>
      </c>
      <c r="BG135" s="10" t="s">
        <v>73</v>
      </c>
      <c r="BH135" s="10" t="s">
        <v>73</v>
      </c>
      <c r="BI135">
        <v>600</v>
      </c>
      <c r="BJ135">
        <v>600</v>
      </c>
      <c r="BK135" s="10" t="s">
        <v>73</v>
      </c>
      <c r="BL135" s="10" t="s">
        <v>73</v>
      </c>
      <c r="BM135" t="s">
        <v>73</v>
      </c>
      <c r="BN135" t="s">
        <v>73</v>
      </c>
      <c r="BO135" s="108" t="s">
        <v>73</v>
      </c>
      <c r="BP135" s="10" t="s">
        <v>73</v>
      </c>
      <c r="BQ135" s="108" t="s">
        <v>73</v>
      </c>
      <c r="BR135" s="108" t="s">
        <v>73</v>
      </c>
      <c r="BS135" s="108" t="s">
        <v>73</v>
      </c>
      <c r="BT135" s="108" t="s">
        <v>73</v>
      </c>
      <c r="BU135">
        <v>0</v>
      </c>
      <c r="BV135">
        <v>1</v>
      </c>
      <c r="BW135">
        <v>1</v>
      </c>
      <c r="BX135" s="30">
        <f>((AZ135^2)/(AZ135^2+BI135))^(1/2)</f>
        <v>7.9920998150068992E-2</v>
      </c>
      <c r="BY135" s="30">
        <f>0.5*LN((1+BX135)/(1-BX135))</f>
        <v>8.0091814824645752E-2</v>
      </c>
      <c r="BZ135" s="30">
        <f>((1-(BY135^2)^2)/(BI135-1))</f>
        <v>1.6693803867099848E-3</v>
      </c>
      <c r="CA135" s="30">
        <f>1/(BI135-3)</f>
        <v>1.6750418760469012E-3</v>
      </c>
      <c r="CB135" s="92" t="s">
        <v>73</v>
      </c>
      <c r="CC135">
        <f>BI135-2</f>
        <v>598</v>
      </c>
      <c r="CD135" s="92" t="s">
        <v>73</v>
      </c>
      <c r="CE135" s="30">
        <f>((AZ135^2)/(AZ135^2+BJ135))^(1/2)</f>
        <v>7.9920998150068992E-2</v>
      </c>
      <c r="CF135" s="30">
        <f>0.5*LN((1+CE135)/(1-CE135))</f>
        <v>8.0091814824645752E-2</v>
      </c>
      <c r="CG135" s="30">
        <f>((1-(CF135^2)^2)/(BJ135-1))</f>
        <v>1.6693803867099848E-3</v>
      </c>
      <c r="CH135" s="30">
        <f>1/(BJ135-3)</f>
        <v>1.6750418760469012E-3</v>
      </c>
      <c r="CI135"/>
    </row>
    <row r="136" spans="1:87" s="98" customFormat="1" ht="16">
      <c r="A136" s="107" t="s">
        <v>444</v>
      </c>
      <c r="B136" t="s">
        <v>718</v>
      </c>
      <c r="C136" s="130">
        <v>1274</v>
      </c>
      <c r="D136" s="180">
        <v>401</v>
      </c>
      <c r="E136" s="107" t="s">
        <v>445</v>
      </c>
      <c r="F136" s="180">
        <v>2019</v>
      </c>
      <c r="G136" s="107" t="s">
        <v>446</v>
      </c>
      <c r="H136" s="107" t="s">
        <v>447</v>
      </c>
      <c r="I136" s="161">
        <v>2</v>
      </c>
      <c r="J136" s="107" t="s">
        <v>73</v>
      </c>
      <c r="K136" s="107" t="s">
        <v>73</v>
      </c>
      <c r="L136" s="161">
        <v>4</v>
      </c>
      <c r="M136" s="192" t="s">
        <v>107</v>
      </c>
      <c r="N136" s="161" t="s">
        <v>226</v>
      </c>
      <c r="O136" s="107" t="s">
        <v>81</v>
      </c>
      <c r="P136" s="107" t="s">
        <v>242</v>
      </c>
      <c r="Q136" s="107" t="s">
        <v>243</v>
      </c>
      <c r="R136" s="107" t="s">
        <v>244</v>
      </c>
      <c r="S136" s="107">
        <v>0</v>
      </c>
      <c r="T136" s="107" t="s">
        <v>230</v>
      </c>
      <c r="U136" s="107">
        <v>0</v>
      </c>
      <c r="V136" s="107" t="s">
        <v>245</v>
      </c>
      <c r="W136" s="107" t="s">
        <v>231</v>
      </c>
      <c r="X136" s="180" t="s">
        <v>448</v>
      </c>
      <c r="Y136" s="161">
        <v>0</v>
      </c>
      <c r="Z136" s="161">
        <v>1</v>
      </c>
      <c r="AA136" s="161">
        <v>0</v>
      </c>
      <c r="AB136" s="161">
        <v>0</v>
      </c>
      <c r="AC136" s="161">
        <v>0</v>
      </c>
      <c r="AD136" s="161">
        <v>0</v>
      </c>
      <c r="AE136" s="161">
        <v>0</v>
      </c>
      <c r="AF136" s="161">
        <v>0</v>
      </c>
      <c r="AG136" s="161" t="s">
        <v>449</v>
      </c>
      <c r="AH136" s="161">
        <v>0</v>
      </c>
      <c r="AI136" s="161">
        <v>0</v>
      </c>
      <c r="AJ136" s="161">
        <v>0</v>
      </c>
      <c r="AK136" s="161">
        <v>0</v>
      </c>
      <c r="AL136" s="161">
        <v>0</v>
      </c>
      <c r="AM136" s="161">
        <v>1</v>
      </c>
      <c r="AN136" s="161">
        <v>0</v>
      </c>
      <c r="AO136" s="161">
        <v>0</v>
      </c>
      <c r="AP136" s="161">
        <v>0</v>
      </c>
      <c r="AQ136" s="107" t="s">
        <v>450</v>
      </c>
      <c r="AR136" s="107" t="s">
        <v>233</v>
      </c>
      <c r="AS136" s="107" t="s">
        <v>322</v>
      </c>
      <c r="AT136" s="107" t="s">
        <v>73</v>
      </c>
      <c r="AU136" s="205" t="s">
        <v>73</v>
      </c>
      <c r="AV136" s="181" t="s">
        <v>80</v>
      </c>
      <c r="AW136" s="107" t="s">
        <v>73</v>
      </c>
      <c r="AX136" s="107">
        <v>0.16600000000000001</v>
      </c>
      <c r="AY136" s="107" t="s">
        <v>73</v>
      </c>
      <c r="AZ136" s="177">
        <f>TINV(AX136,CC136)</f>
        <v>1.3948660961632151</v>
      </c>
      <c r="BA136" s="177"/>
      <c r="BB136" s="182">
        <v>0.18</v>
      </c>
      <c r="BC136" s="183" t="s">
        <v>73</v>
      </c>
      <c r="BD136" s="107">
        <v>54</v>
      </c>
      <c r="BE136" s="107" t="s">
        <v>73</v>
      </c>
      <c r="BF136" s="107" t="s">
        <v>73</v>
      </c>
      <c r="BG136" s="107">
        <v>53</v>
      </c>
      <c r="BH136" s="107" t="s">
        <v>73</v>
      </c>
      <c r="BI136" s="107">
        <v>107</v>
      </c>
      <c r="BJ136" s="107">
        <v>107</v>
      </c>
      <c r="BK136" s="107" t="s">
        <v>73</v>
      </c>
      <c r="BL136" s="107" t="s">
        <v>73</v>
      </c>
      <c r="BM136" s="107" t="s">
        <v>73</v>
      </c>
      <c r="BN136" s="107" t="s">
        <v>73</v>
      </c>
      <c r="BO136" s="107" t="s">
        <v>73</v>
      </c>
      <c r="BP136" s="107" t="s">
        <v>73</v>
      </c>
      <c r="BQ136" s="107" t="s">
        <v>73</v>
      </c>
      <c r="BR136" s="107" t="s">
        <v>73</v>
      </c>
      <c r="BS136" s="107" t="s">
        <v>73</v>
      </c>
      <c r="BT136" s="107" t="s">
        <v>73</v>
      </c>
      <c r="BU136" s="161">
        <v>0</v>
      </c>
      <c r="BV136" s="161">
        <v>0</v>
      </c>
      <c r="BW136" s="161">
        <v>0</v>
      </c>
      <c r="BX136" s="118">
        <f>CB136/((CB136^2+4)^(1/2))</f>
        <v>0.13364299410844882</v>
      </c>
      <c r="BY136" s="30">
        <f>0.5*LN((1+BX136)/(1-BX136))</f>
        <v>0.13444727205568113</v>
      </c>
      <c r="BZ136" s="30">
        <f>((1-(BY136^2)^2)/(BI136-1))</f>
        <v>9.4308797710456332E-3</v>
      </c>
      <c r="CA136" s="30">
        <f>1/(BI136-3)</f>
        <v>9.6153846153846159E-3</v>
      </c>
      <c r="CB136" s="107">
        <f xml:space="preserve"> AZ136*(((BD136+BG136)/(BD136*BG136))^(1/2))</f>
        <v>0.26970536931167793</v>
      </c>
      <c r="CC136">
        <f>BI136-2</f>
        <v>105</v>
      </c>
      <c r="CD136" t="s">
        <v>400</v>
      </c>
      <c r="CE136" s="30">
        <f>((AZ136^2)/(AZ136^2+BJ136))^(1/2)</f>
        <v>0.13363726176982035</v>
      </c>
      <c r="CF136" s="30">
        <f>0.5*LN((1+CE136)/(1-CE136))</f>
        <v>0.13444143547761389</v>
      </c>
      <c r="CG136" s="30">
        <f>((1-(CF136^2)^2)/(BJ136-1))</f>
        <v>9.4308803062752404E-3</v>
      </c>
      <c r="CH136" s="30">
        <f>1/(BJ136-3)</f>
        <v>9.6153846153846159E-3</v>
      </c>
      <c r="CI136" s="95"/>
    </row>
    <row r="137" spans="1:87" ht="16">
      <c r="A137" t="s">
        <v>444</v>
      </c>
      <c r="B137" t="s">
        <v>719</v>
      </c>
      <c r="C137" s="92">
        <v>1275</v>
      </c>
      <c r="D137">
        <v>407</v>
      </c>
      <c r="E137" t="s">
        <v>451</v>
      </c>
      <c r="F137">
        <v>2021</v>
      </c>
      <c r="G137" t="s">
        <v>452</v>
      </c>
      <c r="H137" t="s">
        <v>453</v>
      </c>
      <c r="I137">
        <v>2</v>
      </c>
      <c r="J137" t="s">
        <v>454</v>
      </c>
      <c r="K137" t="s">
        <v>73</v>
      </c>
      <c r="L137">
        <v>8</v>
      </c>
      <c r="M137" s="188" t="s">
        <v>93</v>
      </c>
      <c r="N137" t="s">
        <v>241</v>
      </c>
      <c r="O137" s="112" t="s">
        <v>455</v>
      </c>
      <c r="P137" t="s">
        <v>293</v>
      </c>
      <c r="Q137" t="s">
        <v>306</v>
      </c>
      <c r="R137" t="s">
        <v>335</v>
      </c>
      <c r="S137">
        <v>1</v>
      </c>
      <c r="T137" t="s">
        <v>230</v>
      </c>
      <c r="U137">
        <v>0</v>
      </c>
      <c r="V137" t="s">
        <v>231</v>
      </c>
      <c r="W137" t="s">
        <v>231</v>
      </c>
      <c r="X137" t="s">
        <v>73</v>
      </c>
      <c r="Y137">
        <v>0</v>
      </c>
      <c r="Z137">
        <v>0</v>
      </c>
      <c r="AA137">
        <v>1</v>
      </c>
      <c r="AB137">
        <v>0</v>
      </c>
      <c r="AC137">
        <v>0</v>
      </c>
      <c r="AD137">
        <v>0</v>
      </c>
      <c r="AE137">
        <v>0</v>
      </c>
      <c r="AF137">
        <v>0</v>
      </c>
      <c r="AG137" t="s">
        <v>73</v>
      </c>
      <c r="AH137">
        <v>0</v>
      </c>
      <c r="AI137">
        <v>0</v>
      </c>
      <c r="AJ137">
        <v>0</v>
      </c>
      <c r="AK137">
        <v>0</v>
      </c>
      <c r="AL137">
        <v>1</v>
      </c>
      <c r="AM137">
        <v>0</v>
      </c>
      <c r="AN137">
        <v>0</v>
      </c>
      <c r="AO137">
        <v>0</v>
      </c>
      <c r="AP137" s="10">
        <v>0</v>
      </c>
      <c r="AQ137" t="s">
        <v>456</v>
      </c>
      <c r="AR137" t="s">
        <v>233</v>
      </c>
      <c r="AS137" s="41" t="s">
        <v>457</v>
      </c>
      <c r="AT137" t="s">
        <v>264</v>
      </c>
      <c r="AU137" s="134">
        <v>6.4000000000000001E-2</v>
      </c>
      <c r="AV137" s="7" t="s">
        <v>86</v>
      </c>
      <c r="AW137" s="7" t="s">
        <v>73</v>
      </c>
      <c r="AX137">
        <v>0.05</v>
      </c>
      <c r="AY137">
        <v>1</v>
      </c>
      <c r="AZ137">
        <f>TINV(AX137,CC137)</f>
        <v>1.9614394515458273</v>
      </c>
      <c r="BB137" s="94">
        <f>AU137</f>
        <v>6.4000000000000001E-2</v>
      </c>
      <c r="BC137" t="s">
        <v>73</v>
      </c>
      <c r="BD137" t="s">
        <v>73</v>
      </c>
      <c r="BE137" s="10" t="s">
        <v>73</v>
      </c>
      <c r="BF137" t="s">
        <v>73</v>
      </c>
      <c r="BG137" t="s">
        <v>73</v>
      </c>
      <c r="BH137" t="s">
        <v>73</v>
      </c>
      <c r="BI137">
        <v>1611</v>
      </c>
      <c r="BJ137">
        <v>1611</v>
      </c>
      <c r="BK137" t="s">
        <v>73</v>
      </c>
      <c r="BL137" t="s">
        <v>73</v>
      </c>
      <c r="BM137" t="s">
        <v>73</v>
      </c>
      <c r="BN137" t="s">
        <v>73</v>
      </c>
      <c r="BO137" t="s">
        <v>73</v>
      </c>
      <c r="BP137" t="s">
        <v>73</v>
      </c>
      <c r="BQ137" t="s">
        <v>73</v>
      </c>
      <c r="BR137" t="s">
        <v>73</v>
      </c>
      <c r="BS137" t="s">
        <v>73</v>
      </c>
      <c r="BT137" t="s">
        <v>73</v>
      </c>
      <c r="BU137">
        <v>0</v>
      </c>
      <c r="BV137">
        <v>1</v>
      </c>
      <c r="BW137">
        <v>1</v>
      </c>
      <c r="BX137" s="30">
        <f>((AZ137^2)/(AZ137^2+BI137))^(1/2)</f>
        <v>4.8810042166661197E-2</v>
      </c>
      <c r="BY137" s="30">
        <f>0.5*LN((1+BX137)/(1-BX137))</f>
        <v>4.8848859679970422E-2</v>
      </c>
      <c r="BZ137" s="30">
        <f>((1-(BY137^2)^2)/(BI137-1))</f>
        <v>6.2111447577430079E-4</v>
      </c>
      <c r="CA137" s="30">
        <f>1/(BI137-3)</f>
        <v>6.2189054726368158E-4</v>
      </c>
      <c r="CB137" s="92" t="s">
        <v>73</v>
      </c>
      <c r="CC137">
        <f>BI137-2</f>
        <v>1609</v>
      </c>
      <c r="CD137" s="92" t="s">
        <v>73</v>
      </c>
      <c r="CE137" s="30">
        <f>((AZ137^2)/(AZ137^2+BJ137))^(1/2)</f>
        <v>4.8810042166661197E-2</v>
      </c>
      <c r="CF137" s="30">
        <f>0.5*LN((1+CE137)/(1-CE137))</f>
        <v>4.8848859679970422E-2</v>
      </c>
      <c r="CG137" s="30">
        <f>((1-(CF137^2)^2)/(BJ137-1))</f>
        <v>6.2111447577430079E-4</v>
      </c>
      <c r="CH137" s="30">
        <f>1/(BJ137-3)</f>
        <v>6.2189054726368158E-4</v>
      </c>
    </row>
    <row r="138" spans="1:87" ht="16">
      <c r="A138" t="s">
        <v>444</v>
      </c>
      <c r="B138" t="s">
        <v>719</v>
      </c>
      <c r="C138" s="92">
        <v>1275</v>
      </c>
      <c r="D138">
        <v>407</v>
      </c>
      <c r="E138" t="s">
        <v>451</v>
      </c>
      <c r="F138">
        <v>2021</v>
      </c>
      <c r="G138" t="s">
        <v>452</v>
      </c>
      <c r="H138" t="s">
        <v>453</v>
      </c>
      <c r="I138">
        <v>2</v>
      </c>
      <c r="J138" t="s">
        <v>454</v>
      </c>
      <c r="K138" t="s">
        <v>73</v>
      </c>
      <c r="L138">
        <v>8</v>
      </c>
      <c r="M138" s="188" t="s">
        <v>93</v>
      </c>
      <c r="N138" t="s">
        <v>241</v>
      </c>
      <c r="O138" s="112" t="s">
        <v>455</v>
      </c>
      <c r="P138" t="s">
        <v>293</v>
      </c>
      <c r="Q138" t="s">
        <v>306</v>
      </c>
      <c r="R138" t="s">
        <v>335</v>
      </c>
      <c r="S138">
        <v>1</v>
      </c>
      <c r="T138" t="s">
        <v>230</v>
      </c>
      <c r="U138">
        <v>0</v>
      </c>
      <c r="V138" t="s">
        <v>231</v>
      </c>
      <c r="W138" t="s">
        <v>231</v>
      </c>
      <c r="X138" t="s">
        <v>73</v>
      </c>
      <c r="Y138">
        <v>0</v>
      </c>
      <c r="Z138">
        <v>0</v>
      </c>
      <c r="AA138">
        <v>1</v>
      </c>
      <c r="AB138">
        <v>0</v>
      </c>
      <c r="AC138">
        <v>0</v>
      </c>
      <c r="AD138">
        <v>0</v>
      </c>
      <c r="AE138">
        <v>0</v>
      </c>
      <c r="AF138">
        <v>0</v>
      </c>
      <c r="AG138" t="s">
        <v>73</v>
      </c>
      <c r="AH138">
        <v>0</v>
      </c>
      <c r="AI138">
        <v>0</v>
      </c>
      <c r="AJ138">
        <v>0</v>
      </c>
      <c r="AK138">
        <v>0</v>
      </c>
      <c r="AL138">
        <v>1</v>
      </c>
      <c r="AM138">
        <v>0</v>
      </c>
      <c r="AN138">
        <v>0</v>
      </c>
      <c r="AO138">
        <v>0</v>
      </c>
      <c r="AP138" s="10">
        <v>0</v>
      </c>
      <c r="AQ138" t="s">
        <v>456</v>
      </c>
      <c r="AR138" t="s">
        <v>233</v>
      </c>
      <c r="AS138" s="41" t="s">
        <v>457</v>
      </c>
      <c r="AT138" t="s">
        <v>264</v>
      </c>
      <c r="AU138" s="134">
        <v>6.7000000000000004E-2</v>
      </c>
      <c r="AV138" s="7" t="s">
        <v>86</v>
      </c>
      <c r="AW138" s="7" t="s">
        <v>73</v>
      </c>
      <c r="AX138">
        <v>0.05</v>
      </c>
      <c r="AY138">
        <v>1</v>
      </c>
      <c r="AZ138">
        <f>TINV(AX138,CC138)</f>
        <v>1.9614394515458273</v>
      </c>
      <c r="BB138" s="94">
        <f>AU138</f>
        <v>6.7000000000000004E-2</v>
      </c>
      <c r="BC138" t="s">
        <v>73</v>
      </c>
      <c r="BD138" t="s">
        <v>73</v>
      </c>
      <c r="BE138" s="10" t="s">
        <v>73</v>
      </c>
      <c r="BF138" t="s">
        <v>73</v>
      </c>
      <c r="BG138" t="s">
        <v>73</v>
      </c>
      <c r="BH138" t="s">
        <v>73</v>
      </c>
      <c r="BI138">
        <v>1611</v>
      </c>
      <c r="BJ138">
        <v>1611</v>
      </c>
      <c r="BK138" t="s">
        <v>73</v>
      </c>
      <c r="BL138" t="s">
        <v>73</v>
      </c>
      <c r="BM138" t="s">
        <v>73</v>
      </c>
      <c r="BN138" t="s">
        <v>73</v>
      </c>
      <c r="BO138" t="s">
        <v>73</v>
      </c>
      <c r="BP138" t="s">
        <v>73</v>
      </c>
      <c r="BQ138" t="s">
        <v>73</v>
      </c>
      <c r="BR138" t="s">
        <v>73</v>
      </c>
      <c r="BS138" t="s">
        <v>73</v>
      </c>
      <c r="BT138" t="s">
        <v>73</v>
      </c>
      <c r="BU138">
        <v>0</v>
      </c>
      <c r="BV138">
        <v>1</v>
      </c>
      <c r="BW138">
        <v>1</v>
      </c>
      <c r="BX138" s="30">
        <f>((AZ138^2)/(AZ138^2+BI138))^(1/2)</f>
        <v>4.8810042166661197E-2</v>
      </c>
      <c r="BY138" s="30">
        <f>0.5*LN((1+BX138)/(1-BX138))</f>
        <v>4.8848859679970422E-2</v>
      </c>
      <c r="BZ138" s="30">
        <f>((1-(BY138^2)^2)/(BI138-1))</f>
        <v>6.2111447577430079E-4</v>
      </c>
      <c r="CA138" s="30">
        <f>1/(BI138-3)</f>
        <v>6.2189054726368158E-4</v>
      </c>
      <c r="CB138" s="92" t="s">
        <v>73</v>
      </c>
      <c r="CC138">
        <f>BI138-2</f>
        <v>1609</v>
      </c>
      <c r="CD138" s="92" t="s">
        <v>73</v>
      </c>
      <c r="CE138" s="30">
        <f>((AZ138^2)/(AZ138^2+BJ138))^(1/2)</f>
        <v>4.8810042166661197E-2</v>
      </c>
      <c r="CF138" s="30">
        <f>0.5*LN((1+CE138)/(1-CE138))</f>
        <v>4.8848859679970422E-2</v>
      </c>
      <c r="CG138" s="30">
        <f>((1-(CF138^2)^2)/(BJ138-1))</f>
        <v>6.2111447577430079E-4</v>
      </c>
      <c r="CH138" s="30">
        <f>1/(BJ138-3)</f>
        <v>6.2189054726368158E-4</v>
      </c>
    </row>
    <row r="139" spans="1:87" ht="16">
      <c r="A139" t="s">
        <v>444</v>
      </c>
      <c r="B139" t="s">
        <v>719</v>
      </c>
      <c r="C139" s="92">
        <v>1276</v>
      </c>
      <c r="D139">
        <v>407</v>
      </c>
      <c r="E139" t="s">
        <v>451</v>
      </c>
      <c r="F139">
        <v>2021</v>
      </c>
      <c r="G139" t="s">
        <v>452</v>
      </c>
      <c r="H139" t="s">
        <v>453</v>
      </c>
      <c r="I139">
        <v>2</v>
      </c>
      <c r="J139" t="s">
        <v>454</v>
      </c>
      <c r="K139" t="s">
        <v>73</v>
      </c>
      <c r="L139">
        <v>8</v>
      </c>
      <c r="M139" s="188" t="s">
        <v>93</v>
      </c>
      <c r="N139" t="s">
        <v>241</v>
      </c>
      <c r="O139" t="s">
        <v>458</v>
      </c>
      <c r="P139" t="s">
        <v>293</v>
      </c>
      <c r="Q139" t="s">
        <v>306</v>
      </c>
      <c r="R139" t="s">
        <v>335</v>
      </c>
      <c r="S139">
        <v>1</v>
      </c>
      <c r="T139" t="s">
        <v>230</v>
      </c>
      <c r="U139">
        <v>0</v>
      </c>
      <c r="V139" t="s">
        <v>231</v>
      </c>
      <c r="W139" t="s">
        <v>231</v>
      </c>
      <c r="X139" t="s">
        <v>73</v>
      </c>
      <c r="Y139">
        <v>0</v>
      </c>
      <c r="Z139">
        <v>0</v>
      </c>
      <c r="AA139">
        <v>1</v>
      </c>
      <c r="AB139">
        <v>0</v>
      </c>
      <c r="AC139">
        <v>0</v>
      </c>
      <c r="AD139">
        <v>0</v>
      </c>
      <c r="AE139">
        <v>0</v>
      </c>
      <c r="AF139">
        <v>0</v>
      </c>
      <c r="AG139" t="s">
        <v>73</v>
      </c>
      <c r="AH139">
        <v>0</v>
      </c>
      <c r="AI139">
        <v>0</v>
      </c>
      <c r="AJ139">
        <v>0</v>
      </c>
      <c r="AK139">
        <v>0</v>
      </c>
      <c r="AL139">
        <v>1</v>
      </c>
      <c r="AM139">
        <v>0</v>
      </c>
      <c r="AN139">
        <v>0</v>
      </c>
      <c r="AO139">
        <v>0</v>
      </c>
      <c r="AP139" s="10">
        <v>0</v>
      </c>
      <c r="AQ139" t="s">
        <v>459</v>
      </c>
      <c r="AR139" t="s">
        <v>233</v>
      </c>
      <c r="AS139" s="41" t="s">
        <v>457</v>
      </c>
      <c r="AT139" t="s">
        <v>264</v>
      </c>
      <c r="AU139" s="134">
        <v>0.161</v>
      </c>
      <c r="AV139" s="7" t="s">
        <v>86</v>
      </c>
      <c r="AW139" s="7" t="s">
        <v>73</v>
      </c>
      <c r="AX139">
        <v>0.01</v>
      </c>
      <c r="AY139">
        <v>1</v>
      </c>
      <c r="AZ139">
        <f>TINV(AX139,CC139)</f>
        <v>2.5788883732398911</v>
      </c>
      <c r="BB139" s="94">
        <f>AU139</f>
        <v>0.161</v>
      </c>
      <c r="BC139" t="s">
        <v>73</v>
      </c>
      <c r="BD139" t="s">
        <v>73</v>
      </c>
      <c r="BE139" s="10" t="s">
        <v>73</v>
      </c>
      <c r="BF139" t="s">
        <v>73</v>
      </c>
      <c r="BG139" t="s">
        <v>73</v>
      </c>
      <c r="BH139" t="s">
        <v>73</v>
      </c>
      <c r="BI139">
        <v>1611</v>
      </c>
      <c r="BJ139">
        <v>1611</v>
      </c>
      <c r="BK139" t="s">
        <v>73</v>
      </c>
      <c r="BL139" t="s">
        <v>73</v>
      </c>
      <c r="BM139" t="s">
        <v>73</v>
      </c>
      <c r="BN139" t="s">
        <v>73</v>
      </c>
      <c r="BO139" t="s">
        <v>73</v>
      </c>
      <c r="BP139" t="s">
        <v>73</v>
      </c>
      <c r="BQ139" t="s">
        <v>73</v>
      </c>
      <c r="BR139" t="s">
        <v>73</v>
      </c>
      <c r="BS139" t="s">
        <v>73</v>
      </c>
      <c r="BT139" t="s">
        <v>73</v>
      </c>
      <c r="BU139">
        <v>0</v>
      </c>
      <c r="BV139">
        <v>1</v>
      </c>
      <c r="BW139">
        <v>1</v>
      </c>
      <c r="BX139" s="30">
        <f>((AZ139^2)/(AZ139^2+BI139))^(1/2)</f>
        <v>6.411950690189884E-2</v>
      </c>
      <c r="BY139" s="30">
        <f>0.5*LN((1+BX139)/(1-BX139))</f>
        <v>6.4207596049565968E-2</v>
      </c>
      <c r="BZ139" s="30">
        <f>((1-(BY139^2)^2)/(BI139-1))</f>
        <v>6.2110745592692065E-4</v>
      </c>
      <c r="CA139" s="30">
        <f>1/(BI139-3)</f>
        <v>6.2189054726368158E-4</v>
      </c>
      <c r="CB139" s="92" t="s">
        <v>73</v>
      </c>
      <c r="CC139">
        <f>BI139-2</f>
        <v>1609</v>
      </c>
      <c r="CD139" s="92" t="s">
        <v>73</v>
      </c>
      <c r="CE139" s="30">
        <f>((AZ139^2)/(AZ139^2+BJ139))^(1/2)</f>
        <v>6.411950690189884E-2</v>
      </c>
      <c r="CF139" s="30">
        <f>0.5*LN((1+CE139)/(1-CE139))</f>
        <v>6.4207596049565968E-2</v>
      </c>
      <c r="CG139" s="30">
        <f>((1-(CF139^2)^2)/(BJ139-1))</f>
        <v>6.2110745592692065E-4</v>
      </c>
      <c r="CH139" s="30">
        <f>1/(BJ139-3)</f>
        <v>6.2189054726368158E-4</v>
      </c>
    </row>
    <row r="140" spans="1:87" s="41" customFormat="1" ht="16">
      <c r="A140" t="s">
        <v>444</v>
      </c>
      <c r="B140" t="s">
        <v>719</v>
      </c>
      <c r="C140" s="92">
        <v>1277</v>
      </c>
      <c r="D140">
        <v>407</v>
      </c>
      <c r="E140" t="s">
        <v>451</v>
      </c>
      <c r="F140">
        <v>2021</v>
      </c>
      <c r="G140" t="s">
        <v>452</v>
      </c>
      <c r="H140" t="s">
        <v>453</v>
      </c>
      <c r="I140">
        <v>2</v>
      </c>
      <c r="J140" t="s">
        <v>454</v>
      </c>
      <c r="K140" t="s">
        <v>73</v>
      </c>
      <c r="L140">
        <v>9</v>
      </c>
      <c r="M140" s="188" t="s">
        <v>93</v>
      </c>
      <c r="N140" t="s">
        <v>241</v>
      </c>
      <c r="O140" t="s">
        <v>458</v>
      </c>
      <c r="P140" t="s">
        <v>293</v>
      </c>
      <c r="Q140" t="s">
        <v>306</v>
      </c>
      <c r="R140" t="s">
        <v>335</v>
      </c>
      <c r="S140">
        <v>1</v>
      </c>
      <c r="T140" t="s">
        <v>230</v>
      </c>
      <c r="U140">
        <v>0</v>
      </c>
      <c r="V140" t="s">
        <v>231</v>
      </c>
      <c r="W140" t="s">
        <v>231</v>
      </c>
      <c r="X140" t="s">
        <v>73</v>
      </c>
      <c r="Y140">
        <v>0</v>
      </c>
      <c r="Z140">
        <v>0</v>
      </c>
      <c r="AA140">
        <v>1</v>
      </c>
      <c r="AB140">
        <v>0</v>
      </c>
      <c r="AC140">
        <v>0</v>
      </c>
      <c r="AD140">
        <v>0</v>
      </c>
      <c r="AE140">
        <v>0</v>
      </c>
      <c r="AF140">
        <v>0</v>
      </c>
      <c r="AG140" t="s">
        <v>73</v>
      </c>
      <c r="AH140">
        <v>0</v>
      </c>
      <c r="AI140">
        <v>0</v>
      </c>
      <c r="AJ140">
        <v>0</v>
      </c>
      <c r="AK140">
        <v>0</v>
      </c>
      <c r="AL140">
        <v>1</v>
      </c>
      <c r="AM140">
        <v>0</v>
      </c>
      <c r="AN140">
        <v>0</v>
      </c>
      <c r="AO140">
        <v>0</v>
      </c>
      <c r="AP140" s="10">
        <v>0</v>
      </c>
      <c r="AQ140" t="s">
        <v>456</v>
      </c>
      <c r="AR140" t="s">
        <v>233</v>
      </c>
      <c r="AS140" t="s">
        <v>459</v>
      </c>
      <c r="AT140" t="s">
        <v>264</v>
      </c>
      <c r="AU140" s="134">
        <v>9.9000000000000005E-2</v>
      </c>
      <c r="AV140" t="s">
        <v>80</v>
      </c>
      <c r="AW140" t="s">
        <v>73</v>
      </c>
      <c r="AX140">
        <v>0.05</v>
      </c>
      <c r="AY140">
        <v>1</v>
      </c>
      <c r="AZ140">
        <f>TINV(AX140,CC140)</f>
        <v>1.9614394515458273</v>
      </c>
      <c r="BA140"/>
      <c r="BB140" s="94">
        <f>AU140</f>
        <v>9.9000000000000005E-2</v>
      </c>
      <c r="BC140" t="s">
        <v>73</v>
      </c>
      <c r="BD140" t="s">
        <v>73</v>
      </c>
      <c r="BE140" s="10" t="s">
        <v>73</v>
      </c>
      <c r="BF140" t="s">
        <v>73</v>
      </c>
      <c r="BG140" t="s">
        <v>73</v>
      </c>
      <c r="BH140" t="s">
        <v>73</v>
      </c>
      <c r="BI140">
        <v>1611</v>
      </c>
      <c r="BJ140">
        <v>1611</v>
      </c>
      <c r="BK140" t="s">
        <v>73</v>
      </c>
      <c r="BL140" t="s">
        <v>73</v>
      </c>
      <c r="BM140" t="s">
        <v>73</v>
      </c>
      <c r="BN140" t="s">
        <v>73</v>
      </c>
      <c r="BO140" t="s">
        <v>73</v>
      </c>
      <c r="BP140" t="s">
        <v>73</v>
      </c>
      <c r="BQ140" t="s">
        <v>73</v>
      </c>
      <c r="BR140" t="s">
        <v>73</v>
      </c>
      <c r="BS140" t="s">
        <v>73</v>
      </c>
      <c r="BT140" t="s">
        <v>73</v>
      </c>
      <c r="BU140">
        <v>0</v>
      </c>
      <c r="BV140">
        <v>1</v>
      </c>
      <c r="BW140">
        <v>1</v>
      </c>
      <c r="BX140" s="30">
        <f>((AZ139^2)/(AZ139^2+BI140))^(1/2)</f>
        <v>6.411950690189884E-2</v>
      </c>
      <c r="BY140" s="30">
        <f>0.5*LN((1+BX140)/(1-BX140))</f>
        <v>6.4207596049565968E-2</v>
      </c>
      <c r="BZ140" s="30">
        <f>((1-(BY140^2)^2)/(BI140-1))</f>
        <v>6.2110745592692065E-4</v>
      </c>
      <c r="CA140" s="30">
        <f>1/(BI140-3)</f>
        <v>6.2189054726368158E-4</v>
      </c>
      <c r="CB140" s="92" t="s">
        <v>73</v>
      </c>
      <c r="CC140">
        <f>BI140-2</f>
        <v>1609</v>
      </c>
      <c r="CD140" s="92" t="s">
        <v>73</v>
      </c>
      <c r="CE140" s="30">
        <f>((AZ140^2)/(AZ140^2+BJ140))^(1/2)</f>
        <v>4.8810042166661197E-2</v>
      </c>
      <c r="CF140" s="30">
        <f>0.5*LN((1+CE140)/(1-CE140))</f>
        <v>4.8848859679970422E-2</v>
      </c>
      <c r="CG140" s="30">
        <f>((1-(CF140^2)^2)/(BJ140-1))</f>
        <v>6.2111447577430079E-4</v>
      </c>
      <c r="CH140" s="30">
        <f>1/(BJ140-3)</f>
        <v>6.2189054726368158E-4</v>
      </c>
      <c r="CI140"/>
    </row>
    <row r="141" spans="1:87" s="41" customFormat="1" ht="16">
      <c r="A141" t="s">
        <v>444</v>
      </c>
      <c r="B141" t="s">
        <v>719</v>
      </c>
      <c r="C141" s="92">
        <v>1278</v>
      </c>
      <c r="D141">
        <v>407</v>
      </c>
      <c r="E141" t="s">
        <v>451</v>
      </c>
      <c r="F141">
        <v>2021</v>
      </c>
      <c r="G141" t="s">
        <v>452</v>
      </c>
      <c r="H141" t="s">
        <v>453</v>
      </c>
      <c r="I141">
        <v>2</v>
      </c>
      <c r="J141" t="s">
        <v>454</v>
      </c>
      <c r="K141" t="s">
        <v>73</v>
      </c>
      <c r="L141">
        <v>9</v>
      </c>
      <c r="M141" s="188" t="s">
        <v>93</v>
      </c>
      <c r="N141" t="s">
        <v>241</v>
      </c>
      <c r="O141" t="s">
        <v>148</v>
      </c>
      <c r="P141" t="s">
        <v>293</v>
      </c>
      <c r="Q141" t="s">
        <v>306</v>
      </c>
      <c r="R141" t="s">
        <v>335</v>
      </c>
      <c r="S141">
        <v>1</v>
      </c>
      <c r="T141" t="s">
        <v>230</v>
      </c>
      <c r="U141">
        <v>0</v>
      </c>
      <c r="V141" t="s">
        <v>231</v>
      </c>
      <c r="W141" t="s">
        <v>231</v>
      </c>
      <c r="X141" t="s">
        <v>73</v>
      </c>
      <c r="Y141">
        <v>0</v>
      </c>
      <c r="Z141">
        <v>0</v>
      </c>
      <c r="AA141">
        <v>1</v>
      </c>
      <c r="AB141">
        <v>0</v>
      </c>
      <c r="AC141">
        <v>0</v>
      </c>
      <c r="AD141">
        <v>0</v>
      </c>
      <c r="AE141">
        <v>0</v>
      </c>
      <c r="AF141">
        <v>0</v>
      </c>
      <c r="AG141" t="s">
        <v>73</v>
      </c>
      <c r="AH141">
        <v>0</v>
      </c>
      <c r="AI141">
        <v>0</v>
      </c>
      <c r="AJ141">
        <v>0</v>
      </c>
      <c r="AK141">
        <v>0</v>
      </c>
      <c r="AL141">
        <v>1</v>
      </c>
      <c r="AM141">
        <v>0</v>
      </c>
      <c r="AN141">
        <v>0</v>
      </c>
      <c r="AO141">
        <v>0</v>
      </c>
      <c r="AP141" s="10">
        <v>0</v>
      </c>
      <c r="AQ141" t="s">
        <v>459</v>
      </c>
      <c r="AR141" t="s">
        <v>233</v>
      </c>
      <c r="AS141" s="41" t="s">
        <v>457</v>
      </c>
      <c r="AT141" t="s">
        <v>264</v>
      </c>
      <c r="AU141" s="134">
        <v>7.0000000000000001E-3</v>
      </c>
      <c r="AV141" s="7" t="s">
        <v>80</v>
      </c>
      <c r="AW141" s="7" t="s">
        <v>73</v>
      </c>
      <c r="AX141">
        <v>0.1</v>
      </c>
      <c r="AY141">
        <v>2</v>
      </c>
      <c r="AZ141">
        <f>TINV(0.1,CC141)</f>
        <v>1.6458012044463048</v>
      </c>
      <c r="BA141"/>
      <c r="BB141" s="94">
        <f>AU141</f>
        <v>7.0000000000000001E-3</v>
      </c>
      <c r="BC141" t="s">
        <v>73</v>
      </c>
      <c r="BD141" t="s">
        <v>73</v>
      </c>
      <c r="BE141" s="10" t="s">
        <v>73</v>
      </c>
      <c r="BF141" t="s">
        <v>73</v>
      </c>
      <c r="BG141" t="s">
        <v>73</v>
      </c>
      <c r="BH141" t="s">
        <v>73</v>
      </c>
      <c r="BI141">
        <v>1611</v>
      </c>
      <c r="BJ141">
        <v>1611</v>
      </c>
      <c r="BK141" t="s">
        <v>73</v>
      </c>
      <c r="BL141" t="s">
        <v>73</v>
      </c>
      <c r="BM141" t="s">
        <v>73</v>
      </c>
      <c r="BN141" t="s">
        <v>73</v>
      </c>
      <c r="BO141" t="s">
        <v>73</v>
      </c>
      <c r="BP141" t="s">
        <v>73</v>
      </c>
      <c r="BQ141" t="s">
        <v>73</v>
      </c>
      <c r="BR141" t="s">
        <v>73</v>
      </c>
      <c r="BS141" t="s">
        <v>73</v>
      </c>
      <c r="BT141" t="s">
        <v>73</v>
      </c>
      <c r="BU141">
        <v>0</v>
      </c>
      <c r="BV141">
        <v>1</v>
      </c>
      <c r="BW141">
        <v>1</v>
      </c>
      <c r="BX141" s="30">
        <f>((AZ141^2)/(AZ141^2+BI141))^(1/2)</f>
        <v>4.0969891212699401E-2</v>
      </c>
      <c r="BY141" s="30">
        <f>0.5*LN((1+BX141)/(1-BX141))</f>
        <v>4.0992837417654034E-2</v>
      </c>
      <c r="BZ141" s="30">
        <f>((1-(BY141^2)^2)/(BI141-1))</f>
        <v>6.2111625851744845E-4</v>
      </c>
      <c r="CA141" s="30">
        <f>1/(BI141-3)</f>
        <v>6.2189054726368158E-4</v>
      </c>
      <c r="CB141" s="92" t="s">
        <v>73</v>
      </c>
      <c r="CC141">
        <f>BI141-2</f>
        <v>1609</v>
      </c>
      <c r="CD141" s="92" t="s">
        <v>73</v>
      </c>
      <c r="CE141" s="30">
        <f>((AZ141^2)/(AZ141^2+BJ141))^(1/2)</f>
        <v>4.0969891212699401E-2</v>
      </c>
      <c r="CF141" s="30">
        <f>0.5*LN((1+CE141)/(1-CE141))</f>
        <v>4.0992837417654034E-2</v>
      </c>
      <c r="CG141" s="30">
        <f>((1-(CF141^2)^2)/(BJ141-1))</f>
        <v>6.2111625851744845E-4</v>
      </c>
      <c r="CH141" s="30">
        <f>1/(BJ141-3)</f>
        <v>6.2189054726368158E-4</v>
      </c>
      <c r="CI141"/>
    </row>
    <row r="142" spans="1:87" ht="16">
      <c r="A142" t="s">
        <v>444</v>
      </c>
      <c r="B142" t="s">
        <v>719</v>
      </c>
      <c r="C142" s="92">
        <v>1279</v>
      </c>
      <c r="D142">
        <v>407</v>
      </c>
      <c r="E142" t="s">
        <v>451</v>
      </c>
      <c r="F142">
        <v>2021</v>
      </c>
      <c r="G142" t="s">
        <v>452</v>
      </c>
      <c r="H142" t="s">
        <v>453</v>
      </c>
      <c r="I142">
        <v>2</v>
      </c>
      <c r="J142" t="s">
        <v>454</v>
      </c>
      <c r="K142" t="s">
        <v>73</v>
      </c>
      <c r="L142">
        <v>9</v>
      </c>
      <c r="M142" s="188" t="s">
        <v>93</v>
      </c>
      <c r="N142" t="s">
        <v>241</v>
      </c>
      <c r="O142" t="s">
        <v>148</v>
      </c>
      <c r="P142" t="s">
        <v>293</v>
      </c>
      <c r="Q142" t="s">
        <v>306</v>
      </c>
      <c r="R142" t="s">
        <v>335</v>
      </c>
      <c r="S142">
        <v>1</v>
      </c>
      <c r="T142" t="s">
        <v>230</v>
      </c>
      <c r="U142">
        <v>0</v>
      </c>
      <c r="V142" t="s">
        <v>231</v>
      </c>
      <c r="W142" t="s">
        <v>231</v>
      </c>
      <c r="X142" t="s">
        <v>73</v>
      </c>
      <c r="Y142">
        <v>0</v>
      </c>
      <c r="Z142">
        <v>0</v>
      </c>
      <c r="AA142">
        <v>1</v>
      </c>
      <c r="AB142">
        <v>0</v>
      </c>
      <c r="AC142">
        <v>0</v>
      </c>
      <c r="AD142">
        <v>0</v>
      </c>
      <c r="AE142">
        <v>0</v>
      </c>
      <c r="AF142">
        <v>0</v>
      </c>
      <c r="AG142" t="s">
        <v>73</v>
      </c>
      <c r="AH142">
        <v>0</v>
      </c>
      <c r="AI142">
        <v>0</v>
      </c>
      <c r="AJ142">
        <v>0</v>
      </c>
      <c r="AK142">
        <v>0</v>
      </c>
      <c r="AL142">
        <v>1</v>
      </c>
      <c r="AM142">
        <v>0</v>
      </c>
      <c r="AN142">
        <v>0</v>
      </c>
      <c r="AO142">
        <v>0</v>
      </c>
      <c r="AP142" s="10">
        <v>0</v>
      </c>
      <c r="AQ142" t="s">
        <v>456</v>
      </c>
      <c r="AR142" t="s">
        <v>233</v>
      </c>
      <c r="AS142" t="s">
        <v>459</v>
      </c>
      <c r="AT142" t="s">
        <v>264</v>
      </c>
      <c r="AU142" s="134">
        <v>1.4E-2</v>
      </c>
      <c r="AV142" s="7" t="s">
        <v>86</v>
      </c>
      <c r="AW142" s="7" t="s">
        <v>73</v>
      </c>
      <c r="AX142">
        <v>0.1</v>
      </c>
      <c r="AY142">
        <v>2</v>
      </c>
      <c r="AZ142">
        <f>TINV(0.1,CC142)</f>
        <v>1.6458012044463048</v>
      </c>
      <c r="BB142" s="94">
        <f>AU142</f>
        <v>1.4E-2</v>
      </c>
      <c r="BC142" t="s">
        <v>73</v>
      </c>
      <c r="BD142" t="s">
        <v>73</v>
      </c>
      <c r="BE142" s="10" t="s">
        <v>73</v>
      </c>
      <c r="BF142" t="s">
        <v>73</v>
      </c>
      <c r="BG142" t="s">
        <v>73</v>
      </c>
      <c r="BH142" t="s">
        <v>73</v>
      </c>
      <c r="BI142">
        <v>1611</v>
      </c>
      <c r="BJ142">
        <v>1611</v>
      </c>
      <c r="BK142" t="s">
        <v>73</v>
      </c>
      <c r="BL142" t="s">
        <v>73</v>
      </c>
      <c r="BM142" t="s">
        <v>73</v>
      </c>
      <c r="BN142" t="s">
        <v>73</v>
      </c>
      <c r="BO142" t="s">
        <v>73</v>
      </c>
      <c r="BP142" t="s">
        <v>73</v>
      </c>
      <c r="BQ142" t="s">
        <v>73</v>
      </c>
      <c r="BR142" t="s">
        <v>73</v>
      </c>
      <c r="BS142" t="s">
        <v>73</v>
      </c>
      <c r="BT142" t="s">
        <v>73</v>
      </c>
      <c r="BU142">
        <v>0</v>
      </c>
      <c r="BV142">
        <v>1</v>
      </c>
      <c r="BW142">
        <v>1</v>
      </c>
      <c r="BX142" s="30">
        <f>((AZ142^2)/(AZ142^2+BI142))^(1/2)</f>
        <v>4.0969891212699401E-2</v>
      </c>
      <c r="BY142" s="30">
        <f>0.5*LN((1+BX142)/(1-BX142))</f>
        <v>4.0992837417654034E-2</v>
      </c>
      <c r="BZ142" s="30">
        <f>((1-(BY142^2)^2)/(BI142-1))</f>
        <v>6.2111625851744845E-4</v>
      </c>
      <c r="CA142" s="30">
        <f>1/(BI142-3)</f>
        <v>6.2189054726368158E-4</v>
      </c>
      <c r="CB142" s="92" t="s">
        <v>73</v>
      </c>
      <c r="CC142">
        <f>BI142-2</f>
        <v>1609</v>
      </c>
      <c r="CD142" s="92" t="s">
        <v>73</v>
      </c>
      <c r="CE142" s="30">
        <f>((AZ142^2)/(AZ142^2+BJ142))^(1/2)</f>
        <v>4.0969891212699401E-2</v>
      </c>
      <c r="CF142" s="30">
        <f>0.5*LN((1+CE142)/(1-CE142))</f>
        <v>4.0992837417654034E-2</v>
      </c>
      <c r="CG142" s="30">
        <f>((1-(CF142^2)^2)/(BJ142-1))</f>
        <v>6.2111625851744845E-4</v>
      </c>
      <c r="CH142" s="30">
        <f>1/(BJ142-3)</f>
        <v>6.2189054726368158E-4</v>
      </c>
      <c r="CI142" s="102"/>
    </row>
    <row r="143" spans="1:87" ht="16">
      <c r="A143" t="s">
        <v>444</v>
      </c>
      <c r="B143" t="s">
        <v>719</v>
      </c>
      <c r="C143" s="92">
        <v>1280</v>
      </c>
      <c r="D143">
        <v>407</v>
      </c>
      <c r="E143" t="s">
        <v>451</v>
      </c>
      <c r="F143">
        <v>2021</v>
      </c>
      <c r="G143" t="s">
        <v>452</v>
      </c>
      <c r="H143" t="s">
        <v>453</v>
      </c>
      <c r="I143">
        <v>2</v>
      </c>
      <c r="J143" t="s">
        <v>454</v>
      </c>
      <c r="K143" t="s">
        <v>73</v>
      </c>
      <c r="L143">
        <v>9</v>
      </c>
      <c r="M143" s="188" t="s">
        <v>93</v>
      </c>
      <c r="N143" t="s">
        <v>241</v>
      </c>
      <c r="O143" t="s">
        <v>299</v>
      </c>
      <c r="P143" t="s">
        <v>293</v>
      </c>
      <c r="Q143" t="s">
        <v>306</v>
      </c>
      <c r="R143" t="s">
        <v>335</v>
      </c>
      <c r="S143">
        <v>1</v>
      </c>
      <c r="T143" t="s">
        <v>230</v>
      </c>
      <c r="U143">
        <v>0</v>
      </c>
      <c r="V143" t="s">
        <v>231</v>
      </c>
      <c r="W143" t="s">
        <v>231</v>
      </c>
      <c r="X143" t="s">
        <v>73</v>
      </c>
      <c r="Y143">
        <v>0</v>
      </c>
      <c r="Z143">
        <v>0</v>
      </c>
      <c r="AA143">
        <v>1</v>
      </c>
      <c r="AB143">
        <v>0</v>
      </c>
      <c r="AC143">
        <v>0</v>
      </c>
      <c r="AD143">
        <v>0</v>
      </c>
      <c r="AE143">
        <v>0</v>
      </c>
      <c r="AF143">
        <v>0</v>
      </c>
      <c r="AG143" t="s">
        <v>73</v>
      </c>
      <c r="AH143">
        <v>0</v>
      </c>
      <c r="AI143">
        <v>0</v>
      </c>
      <c r="AJ143">
        <v>0</v>
      </c>
      <c r="AK143">
        <v>0</v>
      </c>
      <c r="AL143">
        <v>1</v>
      </c>
      <c r="AM143">
        <v>0</v>
      </c>
      <c r="AN143">
        <v>0</v>
      </c>
      <c r="AO143">
        <v>0</v>
      </c>
      <c r="AP143" s="10">
        <v>0</v>
      </c>
      <c r="AQ143" t="s">
        <v>459</v>
      </c>
      <c r="AR143" t="s">
        <v>233</v>
      </c>
      <c r="AS143" s="41" t="s">
        <v>457</v>
      </c>
      <c r="AT143" t="s">
        <v>264</v>
      </c>
      <c r="AU143" s="134">
        <v>1.2999999999999999E-2</v>
      </c>
      <c r="AV143" s="7" t="s">
        <v>86</v>
      </c>
      <c r="AW143" s="7" t="s">
        <v>73</v>
      </c>
      <c r="AX143">
        <v>0.1</v>
      </c>
      <c r="AY143">
        <v>2</v>
      </c>
      <c r="AZ143">
        <f>TINV(0.1,CC143)</f>
        <v>1.6458012044463048</v>
      </c>
      <c r="BB143" s="94">
        <f>AU143</f>
        <v>1.2999999999999999E-2</v>
      </c>
      <c r="BC143" t="s">
        <v>73</v>
      </c>
      <c r="BD143" t="s">
        <v>73</v>
      </c>
      <c r="BE143" s="10" t="s">
        <v>73</v>
      </c>
      <c r="BF143" t="s">
        <v>73</v>
      </c>
      <c r="BG143" t="s">
        <v>73</v>
      </c>
      <c r="BH143" t="s">
        <v>73</v>
      </c>
      <c r="BI143">
        <v>1611</v>
      </c>
      <c r="BJ143">
        <v>1611</v>
      </c>
      <c r="BK143" t="s">
        <v>73</v>
      </c>
      <c r="BL143" t="s">
        <v>73</v>
      </c>
      <c r="BM143" t="s">
        <v>73</v>
      </c>
      <c r="BN143" t="s">
        <v>73</v>
      </c>
      <c r="BO143" t="s">
        <v>73</v>
      </c>
      <c r="BP143" t="s">
        <v>73</v>
      </c>
      <c r="BQ143" t="s">
        <v>73</v>
      </c>
      <c r="BR143" t="s">
        <v>73</v>
      </c>
      <c r="BS143" t="s">
        <v>73</v>
      </c>
      <c r="BT143" t="s">
        <v>73</v>
      </c>
      <c r="BU143">
        <v>0</v>
      </c>
      <c r="BV143">
        <v>1</v>
      </c>
      <c r="BW143">
        <v>1</v>
      </c>
      <c r="BX143" s="30">
        <f>((AZ143^2)/(AZ143^2+BI143))^(1/2)</f>
        <v>4.0969891212699401E-2</v>
      </c>
      <c r="BY143" s="30">
        <f>0.5*LN((1+BX143)/(1-BX143))</f>
        <v>4.0992837417654034E-2</v>
      </c>
      <c r="BZ143" s="30">
        <f>((1-(BY143^2)^2)/(BI143-1))</f>
        <v>6.2111625851744845E-4</v>
      </c>
      <c r="CA143" s="30">
        <f>1/(BI143-3)</f>
        <v>6.2189054726368158E-4</v>
      </c>
      <c r="CB143" s="92" t="s">
        <v>73</v>
      </c>
      <c r="CC143">
        <f>BI143-2</f>
        <v>1609</v>
      </c>
      <c r="CD143" s="92" t="s">
        <v>73</v>
      </c>
      <c r="CE143" s="30">
        <f>((AZ143^2)/(AZ143^2+BJ143))^(1/2)</f>
        <v>4.0969891212699401E-2</v>
      </c>
      <c r="CF143" s="30">
        <f>0.5*LN((1+CE143)/(1-CE143))</f>
        <v>4.0992837417654034E-2</v>
      </c>
      <c r="CG143" s="30">
        <f>((1-(CF143^2)^2)/(BJ143-1))</f>
        <v>6.2111625851744845E-4</v>
      </c>
      <c r="CH143" s="30">
        <f>1/(BJ143-3)</f>
        <v>6.2189054726368158E-4</v>
      </c>
      <c r="CI143" s="102"/>
    </row>
    <row r="144" spans="1:87" ht="17" customHeight="1">
      <c r="A144" t="s">
        <v>444</v>
      </c>
      <c r="B144" t="s">
        <v>719</v>
      </c>
      <c r="C144" s="92">
        <v>1291</v>
      </c>
      <c r="D144">
        <v>407</v>
      </c>
      <c r="E144" t="s">
        <v>451</v>
      </c>
      <c r="F144">
        <v>2021</v>
      </c>
      <c r="G144" t="s">
        <v>452</v>
      </c>
      <c r="H144" t="s">
        <v>453</v>
      </c>
      <c r="I144">
        <v>2</v>
      </c>
      <c r="J144" t="s">
        <v>454</v>
      </c>
      <c r="K144" t="s">
        <v>73</v>
      </c>
      <c r="L144">
        <v>9</v>
      </c>
      <c r="M144" s="188" t="s">
        <v>93</v>
      </c>
      <c r="N144" t="s">
        <v>241</v>
      </c>
      <c r="O144" t="s">
        <v>299</v>
      </c>
      <c r="P144" t="s">
        <v>293</v>
      </c>
      <c r="Q144" t="s">
        <v>306</v>
      </c>
      <c r="R144" t="s">
        <v>335</v>
      </c>
      <c r="S144">
        <v>1</v>
      </c>
      <c r="T144" t="s">
        <v>230</v>
      </c>
      <c r="U144">
        <v>0</v>
      </c>
      <c r="V144" t="s">
        <v>231</v>
      </c>
      <c r="W144" t="s">
        <v>231</v>
      </c>
      <c r="X144" t="s">
        <v>73</v>
      </c>
      <c r="Y144">
        <v>0</v>
      </c>
      <c r="Z144">
        <v>0</v>
      </c>
      <c r="AA144">
        <v>1</v>
      </c>
      <c r="AB144">
        <v>0</v>
      </c>
      <c r="AC144">
        <v>0</v>
      </c>
      <c r="AD144">
        <v>0</v>
      </c>
      <c r="AE144">
        <v>0</v>
      </c>
      <c r="AF144">
        <v>0</v>
      </c>
      <c r="AG144" t="s">
        <v>73</v>
      </c>
      <c r="AH144">
        <v>0</v>
      </c>
      <c r="AI144">
        <v>0</v>
      </c>
      <c r="AJ144">
        <v>0</v>
      </c>
      <c r="AK144">
        <v>0</v>
      </c>
      <c r="AL144">
        <v>1</v>
      </c>
      <c r="AM144">
        <v>0</v>
      </c>
      <c r="AN144">
        <v>0</v>
      </c>
      <c r="AO144">
        <v>0</v>
      </c>
      <c r="AP144" s="10">
        <v>0</v>
      </c>
      <c r="AQ144" t="s">
        <v>456</v>
      </c>
      <c r="AR144" t="s">
        <v>233</v>
      </c>
      <c r="AS144" t="s">
        <v>459</v>
      </c>
      <c r="AT144" t="s">
        <v>264</v>
      </c>
      <c r="AU144" s="134">
        <v>5.8999999999999997E-2</v>
      </c>
      <c r="AV144" s="7" t="s">
        <v>80</v>
      </c>
      <c r="AW144" s="7" t="s">
        <v>73</v>
      </c>
      <c r="AX144">
        <v>0.1</v>
      </c>
      <c r="AY144">
        <v>2</v>
      </c>
      <c r="AZ144">
        <f>TINV(0.1,CC144)</f>
        <v>1.6458012044463048</v>
      </c>
      <c r="BB144" s="94">
        <f>AU144</f>
        <v>5.8999999999999997E-2</v>
      </c>
      <c r="BC144" t="s">
        <v>73</v>
      </c>
      <c r="BD144" t="s">
        <v>73</v>
      </c>
      <c r="BE144" s="10" t="s">
        <v>73</v>
      </c>
      <c r="BF144" t="s">
        <v>73</v>
      </c>
      <c r="BG144" t="s">
        <v>73</v>
      </c>
      <c r="BH144" t="s">
        <v>73</v>
      </c>
      <c r="BI144">
        <v>1611</v>
      </c>
      <c r="BJ144">
        <v>1611</v>
      </c>
      <c r="BK144" t="s">
        <v>73</v>
      </c>
      <c r="BL144" t="s">
        <v>73</v>
      </c>
      <c r="BM144" t="s">
        <v>73</v>
      </c>
      <c r="BN144" t="s">
        <v>73</v>
      </c>
      <c r="BO144" t="s">
        <v>73</v>
      </c>
      <c r="BP144" t="s">
        <v>73</v>
      </c>
      <c r="BQ144" t="s">
        <v>73</v>
      </c>
      <c r="BR144" t="s">
        <v>73</v>
      </c>
      <c r="BS144" t="s">
        <v>73</v>
      </c>
      <c r="BT144" t="s">
        <v>73</v>
      </c>
      <c r="BU144">
        <v>0</v>
      </c>
      <c r="BV144">
        <v>1</v>
      </c>
      <c r="BW144">
        <v>1</v>
      </c>
      <c r="BX144" s="30">
        <f>((AZ144^2)/(AZ144^2+BI144))^(1/2)</f>
        <v>4.0969891212699401E-2</v>
      </c>
      <c r="BY144" s="30">
        <f>0.5*LN((1+BX144)/(1-BX144))</f>
        <v>4.0992837417654034E-2</v>
      </c>
      <c r="BZ144" s="30">
        <f>((1-(BY144^2)^2)/(BI144-1))</f>
        <v>6.2111625851744845E-4</v>
      </c>
      <c r="CA144" s="30">
        <f>1/(BI144-3)</f>
        <v>6.2189054726368158E-4</v>
      </c>
      <c r="CB144" s="92" t="s">
        <v>73</v>
      </c>
      <c r="CC144">
        <f>BI144-2</f>
        <v>1609</v>
      </c>
      <c r="CD144" s="92" t="s">
        <v>73</v>
      </c>
      <c r="CE144" s="30">
        <f>((AZ144^2)/(AZ144^2+BJ144))^(1/2)</f>
        <v>4.0969891212699401E-2</v>
      </c>
      <c r="CF144" s="30">
        <f>0.5*LN((1+CE144)/(1-CE144))</f>
        <v>4.0992837417654034E-2</v>
      </c>
      <c r="CG144" s="30">
        <f>((1-(CF144^2)^2)/(BJ144-1))</f>
        <v>6.2111625851744845E-4</v>
      </c>
      <c r="CH144" s="30">
        <f>1/(BJ144-3)</f>
        <v>6.2189054726368158E-4</v>
      </c>
      <c r="CI144" s="102"/>
    </row>
    <row r="145" spans="1:87" ht="16">
      <c r="A145" t="s">
        <v>444</v>
      </c>
      <c r="B145" t="s">
        <v>719</v>
      </c>
      <c r="C145" s="92">
        <v>1296</v>
      </c>
      <c r="D145">
        <v>407</v>
      </c>
      <c r="E145" t="s">
        <v>451</v>
      </c>
      <c r="F145">
        <v>2021</v>
      </c>
      <c r="G145" t="s">
        <v>452</v>
      </c>
      <c r="H145" t="s">
        <v>453</v>
      </c>
      <c r="I145">
        <v>2</v>
      </c>
      <c r="J145" t="s">
        <v>454</v>
      </c>
      <c r="K145" t="s">
        <v>73</v>
      </c>
      <c r="L145">
        <v>9</v>
      </c>
      <c r="M145" s="188" t="s">
        <v>93</v>
      </c>
      <c r="N145" t="s">
        <v>241</v>
      </c>
      <c r="O145" t="s">
        <v>460</v>
      </c>
      <c r="P145" t="s">
        <v>293</v>
      </c>
      <c r="Q145" t="s">
        <v>306</v>
      </c>
      <c r="R145" t="s">
        <v>335</v>
      </c>
      <c r="S145">
        <v>1</v>
      </c>
      <c r="T145" t="s">
        <v>230</v>
      </c>
      <c r="U145">
        <v>0</v>
      </c>
      <c r="V145" t="s">
        <v>231</v>
      </c>
      <c r="W145" t="s">
        <v>231</v>
      </c>
      <c r="X145" t="s">
        <v>73</v>
      </c>
      <c r="Y145">
        <v>0</v>
      </c>
      <c r="Z145">
        <v>0</v>
      </c>
      <c r="AA145">
        <v>1</v>
      </c>
      <c r="AB145">
        <v>0</v>
      </c>
      <c r="AC145">
        <v>0</v>
      </c>
      <c r="AD145">
        <v>0</v>
      </c>
      <c r="AE145">
        <v>0</v>
      </c>
      <c r="AF145">
        <v>0</v>
      </c>
      <c r="AG145" t="s">
        <v>73</v>
      </c>
      <c r="AH145">
        <v>0</v>
      </c>
      <c r="AI145">
        <v>0</v>
      </c>
      <c r="AJ145">
        <v>0</v>
      </c>
      <c r="AK145">
        <v>0</v>
      </c>
      <c r="AL145">
        <v>1</v>
      </c>
      <c r="AM145">
        <v>0</v>
      </c>
      <c r="AN145">
        <v>0</v>
      </c>
      <c r="AO145">
        <v>0</v>
      </c>
      <c r="AP145" s="10">
        <v>0</v>
      </c>
      <c r="AQ145" t="s">
        <v>459</v>
      </c>
      <c r="AR145" t="s">
        <v>233</v>
      </c>
      <c r="AS145" s="41" t="s">
        <v>457</v>
      </c>
      <c r="AT145" t="s">
        <v>264</v>
      </c>
      <c r="AU145" s="134">
        <v>7.2999999999999995E-2</v>
      </c>
      <c r="AV145" s="7" t="s">
        <v>86</v>
      </c>
      <c r="AW145" s="7" t="s">
        <v>73</v>
      </c>
      <c r="AX145">
        <v>0.1</v>
      </c>
      <c r="AY145">
        <v>2</v>
      </c>
      <c r="AZ145">
        <f>TINV(0.1,CC145)</f>
        <v>1.6458012044463048</v>
      </c>
      <c r="BB145" s="94">
        <f>AU145</f>
        <v>7.2999999999999995E-2</v>
      </c>
      <c r="BC145" t="s">
        <v>73</v>
      </c>
      <c r="BD145" t="s">
        <v>73</v>
      </c>
      <c r="BE145" s="10" t="s">
        <v>73</v>
      </c>
      <c r="BF145" t="s">
        <v>73</v>
      </c>
      <c r="BG145" t="s">
        <v>73</v>
      </c>
      <c r="BH145" t="s">
        <v>73</v>
      </c>
      <c r="BI145">
        <v>1611</v>
      </c>
      <c r="BJ145">
        <v>1611</v>
      </c>
      <c r="BK145" t="s">
        <v>73</v>
      </c>
      <c r="BL145" t="s">
        <v>73</v>
      </c>
      <c r="BM145" t="s">
        <v>73</v>
      </c>
      <c r="BN145" t="s">
        <v>73</v>
      </c>
      <c r="BO145" t="s">
        <v>73</v>
      </c>
      <c r="BP145" t="s">
        <v>73</v>
      </c>
      <c r="BQ145" t="s">
        <v>73</v>
      </c>
      <c r="BR145" t="s">
        <v>73</v>
      </c>
      <c r="BS145" t="s">
        <v>73</v>
      </c>
      <c r="BT145" t="s">
        <v>73</v>
      </c>
      <c r="BU145">
        <v>0</v>
      </c>
      <c r="BV145">
        <v>1</v>
      </c>
      <c r="BW145">
        <v>1</v>
      </c>
      <c r="BX145" s="30">
        <f>((AZ145^2)/(AZ145^2+BI145))^(1/2)</f>
        <v>4.0969891212699401E-2</v>
      </c>
      <c r="BY145" s="30">
        <f>0.5*LN((1+BX145)/(1-BX145))</f>
        <v>4.0992837417654034E-2</v>
      </c>
      <c r="BZ145" s="30">
        <f>((1-(BY145^2)^2)/(BI145-1))</f>
        <v>6.2111625851744845E-4</v>
      </c>
      <c r="CA145" s="30">
        <f>1/(BI145-3)</f>
        <v>6.2189054726368158E-4</v>
      </c>
      <c r="CB145" s="92" t="s">
        <v>73</v>
      </c>
      <c r="CC145">
        <f>BI145-2</f>
        <v>1609</v>
      </c>
      <c r="CD145" s="92" t="s">
        <v>73</v>
      </c>
      <c r="CE145" s="30">
        <f>((AZ145^2)/(AZ145^2+BJ145))^(1/2)</f>
        <v>4.0969891212699401E-2</v>
      </c>
      <c r="CF145" s="30">
        <f>0.5*LN((1+CE145)/(1-CE145))</f>
        <v>4.0992837417654034E-2</v>
      </c>
      <c r="CG145" s="30">
        <f>((1-(CF145^2)^2)/(BJ145-1))</f>
        <v>6.2111625851744845E-4</v>
      </c>
      <c r="CH145" s="30">
        <f>1/(BJ145-3)</f>
        <v>6.2189054726368158E-4</v>
      </c>
    </row>
    <row r="146" spans="1:87" ht="16">
      <c r="A146" t="s">
        <v>444</v>
      </c>
      <c r="B146" t="s">
        <v>719</v>
      </c>
      <c r="C146" s="92">
        <v>1297</v>
      </c>
      <c r="D146">
        <v>407</v>
      </c>
      <c r="E146" t="s">
        <v>451</v>
      </c>
      <c r="F146">
        <v>2021</v>
      </c>
      <c r="G146" t="s">
        <v>452</v>
      </c>
      <c r="H146" t="s">
        <v>453</v>
      </c>
      <c r="I146">
        <v>2</v>
      </c>
      <c r="J146" t="s">
        <v>454</v>
      </c>
      <c r="K146" t="s">
        <v>73</v>
      </c>
      <c r="L146">
        <v>9</v>
      </c>
      <c r="M146" s="188" t="s">
        <v>93</v>
      </c>
      <c r="N146" t="s">
        <v>241</v>
      </c>
      <c r="O146" t="s">
        <v>460</v>
      </c>
      <c r="P146" t="s">
        <v>293</v>
      </c>
      <c r="Q146" t="s">
        <v>306</v>
      </c>
      <c r="R146" t="s">
        <v>335</v>
      </c>
      <c r="S146">
        <v>1</v>
      </c>
      <c r="T146" t="s">
        <v>230</v>
      </c>
      <c r="U146">
        <v>0</v>
      </c>
      <c r="V146" t="s">
        <v>231</v>
      </c>
      <c r="W146" t="s">
        <v>231</v>
      </c>
      <c r="X146" t="s">
        <v>73</v>
      </c>
      <c r="Y146">
        <v>0</v>
      </c>
      <c r="Z146">
        <v>0</v>
      </c>
      <c r="AA146">
        <v>1</v>
      </c>
      <c r="AB146">
        <v>0</v>
      </c>
      <c r="AC146">
        <v>0</v>
      </c>
      <c r="AD146">
        <v>0</v>
      </c>
      <c r="AE146">
        <v>0</v>
      </c>
      <c r="AF146">
        <v>0</v>
      </c>
      <c r="AG146" t="s">
        <v>73</v>
      </c>
      <c r="AH146">
        <v>0</v>
      </c>
      <c r="AI146">
        <v>0</v>
      </c>
      <c r="AJ146">
        <v>0</v>
      </c>
      <c r="AK146">
        <v>0</v>
      </c>
      <c r="AL146">
        <v>1</v>
      </c>
      <c r="AM146">
        <v>0</v>
      </c>
      <c r="AN146">
        <v>0</v>
      </c>
      <c r="AO146">
        <v>0</v>
      </c>
      <c r="AP146" s="10">
        <v>0</v>
      </c>
      <c r="AQ146" t="s">
        <v>456</v>
      </c>
      <c r="AR146" t="s">
        <v>233</v>
      </c>
      <c r="AS146" t="s">
        <v>459</v>
      </c>
      <c r="AT146" t="s">
        <v>264</v>
      </c>
      <c r="AU146" s="134">
        <v>7.2999999999999995E-2</v>
      </c>
      <c r="AV146" s="7" t="s">
        <v>80</v>
      </c>
      <c r="AW146" s="7" t="s">
        <v>73</v>
      </c>
      <c r="AX146">
        <v>0.1</v>
      </c>
      <c r="AY146">
        <v>2</v>
      </c>
      <c r="AZ146">
        <f>TINV(0.1,CC146)</f>
        <v>1.6458012044463048</v>
      </c>
      <c r="BB146" s="94">
        <f>AU146</f>
        <v>7.2999999999999995E-2</v>
      </c>
      <c r="BC146" t="s">
        <v>73</v>
      </c>
      <c r="BD146" t="s">
        <v>73</v>
      </c>
      <c r="BE146" s="10" t="s">
        <v>73</v>
      </c>
      <c r="BF146" t="s">
        <v>73</v>
      </c>
      <c r="BG146" t="s">
        <v>73</v>
      </c>
      <c r="BH146" t="s">
        <v>73</v>
      </c>
      <c r="BI146">
        <v>1611</v>
      </c>
      <c r="BJ146">
        <v>1611</v>
      </c>
      <c r="BK146" t="s">
        <v>73</v>
      </c>
      <c r="BL146" t="s">
        <v>73</v>
      </c>
      <c r="BM146" t="s">
        <v>73</v>
      </c>
      <c r="BN146" t="s">
        <v>73</v>
      </c>
      <c r="BO146" t="s">
        <v>73</v>
      </c>
      <c r="BP146" t="s">
        <v>73</v>
      </c>
      <c r="BQ146" t="s">
        <v>73</v>
      </c>
      <c r="BR146" t="s">
        <v>73</v>
      </c>
      <c r="BS146" t="s">
        <v>73</v>
      </c>
      <c r="BT146" t="s">
        <v>73</v>
      </c>
      <c r="BU146">
        <v>0</v>
      </c>
      <c r="BV146">
        <v>1</v>
      </c>
      <c r="BW146">
        <v>1</v>
      </c>
      <c r="BX146" s="30">
        <f>((AZ146^2)/(AZ146^2+BI146))^(1/2)</f>
        <v>4.0969891212699401E-2</v>
      </c>
      <c r="BY146" s="30">
        <f>0.5*LN((1+BX146)/(1-BX146))</f>
        <v>4.0992837417654034E-2</v>
      </c>
      <c r="BZ146" s="30">
        <f>((1-(BY146^2)^2)/(BI146-1))</f>
        <v>6.2111625851744845E-4</v>
      </c>
      <c r="CA146" s="30">
        <f>1/(BI146-3)</f>
        <v>6.2189054726368158E-4</v>
      </c>
      <c r="CB146" s="92" t="s">
        <v>73</v>
      </c>
      <c r="CC146">
        <f>BI146-2</f>
        <v>1609</v>
      </c>
      <c r="CD146" s="92" t="s">
        <v>73</v>
      </c>
      <c r="CE146" s="30">
        <f>((AZ146^2)/(AZ146^2+BJ146))^(1/2)</f>
        <v>4.0969891212699401E-2</v>
      </c>
      <c r="CF146" s="30">
        <f>0.5*LN((1+CE146)/(1-CE146))</f>
        <v>4.0992837417654034E-2</v>
      </c>
      <c r="CG146" s="30">
        <f>((1-(CF146^2)^2)/(BJ146-1))</f>
        <v>6.2111625851744845E-4</v>
      </c>
      <c r="CH146" s="30">
        <f>1/(BJ146-3)</f>
        <v>6.2189054726368158E-4</v>
      </c>
    </row>
    <row r="147" spans="1:87" s="32" customFormat="1" ht="16">
      <c r="A147" t="s">
        <v>444</v>
      </c>
      <c r="B147" t="s">
        <v>719</v>
      </c>
      <c r="C147" s="92">
        <v>1298</v>
      </c>
      <c r="D147">
        <v>407</v>
      </c>
      <c r="E147" t="s">
        <v>451</v>
      </c>
      <c r="F147">
        <v>2021</v>
      </c>
      <c r="G147" t="s">
        <v>452</v>
      </c>
      <c r="H147" t="s">
        <v>453</v>
      </c>
      <c r="I147">
        <v>2</v>
      </c>
      <c r="J147" t="s">
        <v>454</v>
      </c>
      <c r="K147" t="s">
        <v>73</v>
      </c>
      <c r="L147">
        <v>9</v>
      </c>
      <c r="M147" s="188" t="s">
        <v>93</v>
      </c>
      <c r="N147" t="s">
        <v>241</v>
      </c>
      <c r="O147" t="s">
        <v>319</v>
      </c>
      <c r="P147" t="s">
        <v>293</v>
      </c>
      <c r="Q147" t="s">
        <v>306</v>
      </c>
      <c r="R147" t="s">
        <v>335</v>
      </c>
      <c r="S147">
        <v>1</v>
      </c>
      <c r="T147" t="s">
        <v>230</v>
      </c>
      <c r="U147">
        <v>0</v>
      </c>
      <c r="V147" t="s">
        <v>231</v>
      </c>
      <c r="W147" t="s">
        <v>231</v>
      </c>
      <c r="X147" t="s">
        <v>73</v>
      </c>
      <c r="Y147">
        <v>0</v>
      </c>
      <c r="Z147">
        <v>0</v>
      </c>
      <c r="AA147">
        <v>1</v>
      </c>
      <c r="AB147">
        <v>0</v>
      </c>
      <c r="AC147">
        <v>0</v>
      </c>
      <c r="AD147">
        <v>0</v>
      </c>
      <c r="AE147">
        <v>0</v>
      </c>
      <c r="AF147">
        <v>0</v>
      </c>
      <c r="AG147" t="s">
        <v>73</v>
      </c>
      <c r="AH147">
        <v>0</v>
      </c>
      <c r="AI147">
        <v>0</v>
      </c>
      <c r="AJ147">
        <v>0</v>
      </c>
      <c r="AK147">
        <v>0</v>
      </c>
      <c r="AL147">
        <v>1</v>
      </c>
      <c r="AM147">
        <v>0</v>
      </c>
      <c r="AN147">
        <v>0</v>
      </c>
      <c r="AO147">
        <v>0</v>
      </c>
      <c r="AP147" s="10">
        <v>0</v>
      </c>
      <c r="AQ147" t="s">
        <v>459</v>
      </c>
      <c r="AR147" t="s">
        <v>233</v>
      </c>
      <c r="AS147" s="41" t="s">
        <v>457</v>
      </c>
      <c r="AT147" t="s">
        <v>264</v>
      </c>
      <c r="AU147" s="134">
        <v>4.1000000000000002E-2</v>
      </c>
      <c r="AV147" s="7" t="s">
        <v>86</v>
      </c>
      <c r="AW147" s="7" t="s">
        <v>73</v>
      </c>
      <c r="AX147">
        <v>0.1</v>
      </c>
      <c r="AY147">
        <v>1</v>
      </c>
      <c r="AZ147">
        <f>TINV(AX147,CC147)</f>
        <v>1.6458012044463048</v>
      </c>
      <c r="BA147"/>
      <c r="BB147" s="94">
        <f>AU147</f>
        <v>4.1000000000000002E-2</v>
      </c>
      <c r="BC147" t="s">
        <v>73</v>
      </c>
      <c r="BD147" t="s">
        <v>73</v>
      </c>
      <c r="BE147" s="10" t="s">
        <v>73</v>
      </c>
      <c r="BF147" t="s">
        <v>73</v>
      </c>
      <c r="BG147" t="s">
        <v>73</v>
      </c>
      <c r="BH147" t="s">
        <v>73</v>
      </c>
      <c r="BI147">
        <v>1611</v>
      </c>
      <c r="BJ147">
        <v>1611</v>
      </c>
      <c r="BK147" t="s">
        <v>73</v>
      </c>
      <c r="BL147" t="s">
        <v>73</v>
      </c>
      <c r="BM147" t="s">
        <v>73</v>
      </c>
      <c r="BN147" t="s">
        <v>73</v>
      </c>
      <c r="BO147" t="s">
        <v>73</v>
      </c>
      <c r="BP147" t="s">
        <v>73</v>
      </c>
      <c r="BQ147" t="s">
        <v>73</v>
      </c>
      <c r="BR147" t="s">
        <v>73</v>
      </c>
      <c r="BS147" t="s">
        <v>73</v>
      </c>
      <c r="BT147" t="s">
        <v>73</v>
      </c>
      <c r="BU147">
        <v>0</v>
      </c>
      <c r="BV147">
        <v>1</v>
      </c>
      <c r="BW147">
        <v>1</v>
      </c>
      <c r="BX147" s="30">
        <f>((AZ147^2)/(AZ147^2+BI147))^(1/2)</f>
        <v>4.0969891212699401E-2</v>
      </c>
      <c r="BY147" s="30">
        <f>0.5*LN((1+BX147)/(1-BX147))</f>
        <v>4.0992837417654034E-2</v>
      </c>
      <c r="BZ147" s="30">
        <f>((1-(BY147^2)^2)/(BI147-1))</f>
        <v>6.2111625851744845E-4</v>
      </c>
      <c r="CA147" s="30">
        <f>1/(BI147-3)</f>
        <v>6.2189054726368158E-4</v>
      </c>
      <c r="CB147" s="92" t="s">
        <v>73</v>
      </c>
      <c r="CC147">
        <f>BI147-2</f>
        <v>1609</v>
      </c>
      <c r="CD147" s="92" t="s">
        <v>73</v>
      </c>
      <c r="CE147" s="30">
        <f>((AZ147^2)/(AZ147^2+BJ147))^(1/2)</f>
        <v>4.0969891212699401E-2</v>
      </c>
      <c r="CF147" s="30">
        <f>0.5*LN((1+CE147)/(1-CE147))</f>
        <v>4.0992837417654034E-2</v>
      </c>
      <c r="CG147" s="30">
        <f>((1-(CF147^2)^2)/(BJ147-1))</f>
        <v>6.2111625851744845E-4</v>
      </c>
      <c r="CH147" s="30">
        <f>1/(BJ147-3)</f>
        <v>6.2189054726368158E-4</v>
      </c>
      <c r="CI147" s="102"/>
    </row>
    <row r="148" spans="1:87" s="32" customFormat="1" ht="16">
      <c r="A148" t="s">
        <v>444</v>
      </c>
      <c r="B148" t="s">
        <v>719</v>
      </c>
      <c r="C148" s="92">
        <v>1299</v>
      </c>
      <c r="D148">
        <v>407</v>
      </c>
      <c r="E148" t="s">
        <v>451</v>
      </c>
      <c r="F148">
        <v>2021</v>
      </c>
      <c r="G148" t="s">
        <v>452</v>
      </c>
      <c r="H148" t="s">
        <v>453</v>
      </c>
      <c r="I148">
        <v>2</v>
      </c>
      <c r="J148" t="s">
        <v>454</v>
      </c>
      <c r="K148" t="s">
        <v>73</v>
      </c>
      <c r="L148">
        <v>9</v>
      </c>
      <c r="M148" s="188" t="s">
        <v>93</v>
      </c>
      <c r="N148" t="s">
        <v>241</v>
      </c>
      <c r="O148" t="s">
        <v>319</v>
      </c>
      <c r="P148" t="s">
        <v>293</v>
      </c>
      <c r="Q148" t="s">
        <v>306</v>
      </c>
      <c r="R148" t="s">
        <v>335</v>
      </c>
      <c r="S148">
        <v>1</v>
      </c>
      <c r="T148" t="s">
        <v>230</v>
      </c>
      <c r="U148">
        <v>0</v>
      </c>
      <c r="V148" t="s">
        <v>231</v>
      </c>
      <c r="W148" t="s">
        <v>231</v>
      </c>
      <c r="X148" t="s">
        <v>73</v>
      </c>
      <c r="Y148">
        <v>0</v>
      </c>
      <c r="Z148">
        <v>0</v>
      </c>
      <c r="AA148">
        <v>1</v>
      </c>
      <c r="AB148">
        <v>0</v>
      </c>
      <c r="AC148">
        <v>0</v>
      </c>
      <c r="AD148">
        <v>0</v>
      </c>
      <c r="AE148">
        <v>0</v>
      </c>
      <c r="AF148">
        <v>0</v>
      </c>
      <c r="AG148" t="s">
        <v>73</v>
      </c>
      <c r="AH148">
        <v>0</v>
      </c>
      <c r="AI148">
        <v>0</v>
      </c>
      <c r="AJ148">
        <v>0</v>
      </c>
      <c r="AK148">
        <v>0</v>
      </c>
      <c r="AL148">
        <v>1</v>
      </c>
      <c r="AM148">
        <v>0</v>
      </c>
      <c r="AN148">
        <v>0</v>
      </c>
      <c r="AO148">
        <v>0</v>
      </c>
      <c r="AP148" s="10">
        <v>0</v>
      </c>
      <c r="AQ148" t="s">
        <v>456</v>
      </c>
      <c r="AR148" t="s">
        <v>233</v>
      </c>
      <c r="AS148" t="s">
        <v>459</v>
      </c>
      <c r="AT148" t="s">
        <v>264</v>
      </c>
      <c r="AU148" s="134">
        <v>0.04</v>
      </c>
      <c r="AV148" s="7" t="s">
        <v>80</v>
      </c>
      <c r="AW148" s="7" t="s">
        <v>73</v>
      </c>
      <c r="AX148">
        <v>0.1</v>
      </c>
      <c r="AY148">
        <v>1</v>
      </c>
      <c r="AZ148">
        <f>TINV(AX148,CC148)</f>
        <v>1.6458012044463048</v>
      </c>
      <c r="BA148"/>
      <c r="BB148" s="94">
        <f>AU148</f>
        <v>0.04</v>
      </c>
      <c r="BC148" t="s">
        <v>73</v>
      </c>
      <c r="BD148" t="s">
        <v>73</v>
      </c>
      <c r="BE148" s="10" t="s">
        <v>73</v>
      </c>
      <c r="BF148" t="s">
        <v>73</v>
      </c>
      <c r="BG148" t="s">
        <v>73</v>
      </c>
      <c r="BH148" t="s">
        <v>73</v>
      </c>
      <c r="BI148">
        <v>1611</v>
      </c>
      <c r="BJ148">
        <v>1611</v>
      </c>
      <c r="BK148" t="s">
        <v>73</v>
      </c>
      <c r="BL148" t="s">
        <v>73</v>
      </c>
      <c r="BM148" t="s">
        <v>73</v>
      </c>
      <c r="BN148" t="s">
        <v>73</v>
      </c>
      <c r="BO148" t="s">
        <v>73</v>
      </c>
      <c r="BP148" t="s">
        <v>73</v>
      </c>
      <c r="BQ148" t="s">
        <v>73</v>
      </c>
      <c r="BR148" t="s">
        <v>73</v>
      </c>
      <c r="BS148" t="s">
        <v>73</v>
      </c>
      <c r="BT148" t="s">
        <v>73</v>
      </c>
      <c r="BU148">
        <v>0</v>
      </c>
      <c r="BV148">
        <v>1</v>
      </c>
      <c r="BW148">
        <v>1</v>
      </c>
      <c r="BX148" s="30">
        <f>((AZ148^2)/(AZ148^2+BI148))^(1/2)</f>
        <v>4.0969891212699401E-2</v>
      </c>
      <c r="BY148" s="30">
        <f>0.5*LN((1+BX148)/(1-BX148))</f>
        <v>4.0992837417654034E-2</v>
      </c>
      <c r="BZ148" s="30">
        <f>((1-(BY148^2)^2)/(BI148-1))</f>
        <v>6.2111625851744845E-4</v>
      </c>
      <c r="CA148" s="30">
        <f>1/(BI148-3)</f>
        <v>6.2189054726368158E-4</v>
      </c>
      <c r="CB148" s="92" t="s">
        <v>73</v>
      </c>
      <c r="CC148">
        <f>BI148-2</f>
        <v>1609</v>
      </c>
      <c r="CD148" s="92" t="s">
        <v>73</v>
      </c>
      <c r="CE148" s="30">
        <f>((AZ148^2)/(AZ148^2+BJ148))^(1/2)</f>
        <v>4.0969891212699401E-2</v>
      </c>
      <c r="CF148" s="30">
        <f>0.5*LN((1+CE148)/(1-CE148))</f>
        <v>4.0992837417654034E-2</v>
      </c>
      <c r="CG148" s="30">
        <f>((1-(CF148^2)^2)/(BJ148-1))</f>
        <v>6.2111625851744845E-4</v>
      </c>
      <c r="CH148" s="30">
        <f>1/(BJ148-3)</f>
        <v>6.2189054726368158E-4</v>
      </c>
      <c r="CI148" s="102"/>
    </row>
    <row r="149" spans="1:87" ht="16">
      <c r="A149" s="92" t="s">
        <v>68</v>
      </c>
      <c r="B149" s="92" t="s">
        <v>719</v>
      </c>
      <c r="C149" s="11">
        <v>1400</v>
      </c>
      <c r="D149" s="92">
        <v>123</v>
      </c>
      <c r="E149" s="92" t="s">
        <v>332</v>
      </c>
      <c r="F149" s="92">
        <v>1995</v>
      </c>
      <c r="G149" s="92" t="s">
        <v>333</v>
      </c>
      <c r="H149" s="92" t="s">
        <v>334</v>
      </c>
      <c r="I149" s="92">
        <v>2</v>
      </c>
      <c r="J149" s="92">
        <v>1995</v>
      </c>
      <c r="K149" s="92" t="s">
        <v>73</v>
      </c>
      <c r="L149" s="92">
        <v>64</v>
      </c>
      <c r="M149" s="188" t="s">
        <v>269</v>
      </c>
      <c r="N149" s="92" t="s">
        <v>241</v>
      </c>
      <c r="O149" s="92" t="s">
        <v>81</v>
      </c>
      <c r="P149" s="92" t="s">
        <v>227</v>
      </c>
      <c r="Q149" s="92" t="s">
        <v>243</v>
      </c>
      <c r="R149" s="92" t="s">
        <v>335</v>
      </c>
      <c r="S149" s="92">
        <v>0</v>
      </c>
      <c r="T149" s="135" t="s">
        <v>230</v>
      </c>
      <c r="U149" s="92">
        <v>0</v>
      </c>
      <c r="V149" s="92" t="s">
        <v>231</v>
      </c>
      <c r="W149" s="92" t="s">
        <v>231</v>
      </c>
      <c r="X149" s="92" t="s">
        <v>73</v>
      </c>
      <c r="Y149" s="92">
        <v>0</v>
      </c>
      <c r="Z149" s="92">
        <v>0</v>
      </c>
      <c r="AA149" s="92">
        <v>0</v>
      </c>
      <c r="AB149" s="92">
        <v>0</v>
      </c>
      <c r="AC149" s="92">
        <v>0</v>
      </c>
      <c r="AD149" s="92">
        <v>0</v>
      </c>
      <c r="AE149" s="92">
        <v>1</v>
      </c>
      <c r="AF149" s="92">
        <v>0</v>
      </c>
      <c r="AG149" s="92" t="s">
        <v>73</v>
      </c>
      <c r="AH149" s="92">
        <v>0</v>
      </c>
      <c r="AI149" s="92">
        <v>0</v>
      </c>
      <c r="AJ149" s="92">
        <v>0</v>
      </c>
      <c r="AK149" s="92">
        <v>1</v>
      </c>
      <c r="AL149" s="92">
        <v>0</v>
      </c>
      <c r="AM149" s="92">
        <v>0</v>
      </c>
      <c r="AN149" s="92">
        <v>0</v>
      </c>
      <c r="AO149" s="92">
        <v>0</v>
      </c>
      <c r="AP149" s="92">
        <v>0</v>
      </c>
      <c r="AQ149" s="92" t="s">
        <v>73</v>
      </c>
      <c r="AR149" s="92" t="s">
        <v>233</v>
      </c>
      <c r="AS149" s="92" t="s">
        <v>295</v>
      </c>
      <c r="AT149" s="92" t="s">
        <v>235</v>
      </c>
      <c r="AU149" s="195">
        <v>0.73799999999999999</v>
      </c>
      <c r="AV149" s="93" t="s">
        <v>86</v>
      </c>
      <c r="AW149" s="92">
        <f>AU149/AZ149</f>
        <v>0.28384615384615386</v>
      </c>
      <c r="AX149" s="92" t="s">
        <v>73</v>
      </c>
      <c r="AY149" s="92">
        <v>3</v>
      </c>
      <c r="AZ149" s="92">
        <v>2.6</v>
      </c>
      <c r="BA149" s="92"/>
      <c r="BB149" s="105">
        <f>EXP(AU149)/(1+EXP(AU149))</f>
        <v>0.67655835657935381</v>
      </c>
      <c r="BC149" s="92" t="s">
        <v>73</v>
      </c>
      <c r="BD149" s="92" t="s">
        <v>73</v>
      </c>
      <c r="BE149" s="92" t="s">
        <v>73</v>
      </c>
      <c r="BF149" s="92" t="s">
        <v>73</v>
      </c>
      <c r="BG149" s="92" t="s">
        <v>73</v>
      </c>
      <c r="BH149" s="92" t="s">
        <v>73</v>
      </c>
      <c r="BI149" s="92">
        <v>163</v>
      </c>
      <c r="BJ149" s="92">
        <v>163</v>
      </c>
      <c r="BK149" s="92" t="s">
        <v>73</v>
      </c>
      <c r="BL149" s="92" t="s">
        <v>73</v>
      </c>
      <c r="BM149" s="92" t="s">
        <v>73</v>
      </c>
      <c r="BN149" s="92" t="s">
        <v>73</v>
      </c>
      <c r="BO149" s="92" t="s">
        <v>236</v>
      </c>
      <c r="BP149" s="92">
        <v>0</v>
      </c>
      <c r="BQ149" s="92" t="s">
        <v>73</v>
      </c>
      <c r="BR149" s="92">
        <v>0</v>
      </c>
      <c r="BS149" s="92" t="s">
        <v>73</v>
      </c>
      <c r="BT149" s="92" t="s">
        <v>73</v>
      </c>
      <c r="BU149" s="92">
        <v>0</v>
      </c>
      <c r="BV149" s="92">
        <v>0</v>
      </c>
      <c r="BW149" s="92">
        <v>1</v>
      </c>
      <c r="BX149" s="30">
        <f>((AZ149^2)/(AZ149^2+BI149))^(1/2)</f>
        <v>0.19955180694979294</v>
      </c>
      <c r="BY149" s="30">
        <f>0.5*LN((1+BX149)/(1-BX149))</f>
        <v>0.20226572984857011</v>
      </c>
      <c r="BZ149" s="30">
        <f>((1-(BY149^2)^2)/(BI149-1))</f>
        <v>6.1625077485550402E-3</v>
      </c>
      <c r="CA149" s="30">
        <f>1/(BI149-3)</f>
        <v>6.2500000000000003E-3</v>
      </c>
      <c r="CB149" s="92" t="s">
        <v>73</v>
      </c>
      <c r="CC149">
        <f>BI149-2</f>
        <v>161</v>
      </c>
      <c r="CD149" s="92" t="s">
        <v>73</v>
      </c>
      <c r="CE149" s="30">
        <f>((AZ149^2)/(AZ149^2+BJ149))^(1/2)</f>
        <v>0.19955180694979294</v>
      </c>
      <c r="CF149" s="30">
        <f>0.5*LN((1+CE149)/(1-CE149))</f>
        <v>0.20226572984857011</v>
      </c>
      <c r="CG149" s="30">
        <f>((1-(CF149^2)^2)/(BJ149-1))</f>
        <v>6.1625077485550402E-3</v>
      </c>
      <c r="CH149" s="30">
        <f>1/(BJ149-3)</f>
        <v>6.2500000000000003E-3</v>
      </c>
      <c r="CI149" s="95"/>
    </row>
    <row r="150" spans="1:87" ht="16">
      <c r="A150" s="92" t="s">
        <v>68</v>
      </c>
      <c r="B150" s="92" t="s">
        <v>719</v>
      </c>
      <c r="C150" s="11">
        <v>1401</v>
      </c>
      <c r="D150" s="92">
        <v>123</v>
      </c>
      <c r="E150" s="92" t="s">
        <v>332</v>
      </c>
      <c r="F150" s="92">
        <v>1995</v>
      </c>
      <c r="G150" s="92" t="s">
        <v>333</v>
      </c>
      <c r="H150" s="92" t="s">
        <v>334</v>
      </c>
      <c r="I150" s="92">
        <v>2</v>
      </c>
      <c r="J150" s="92">
        <v>1995</v>
      </c>
      <c r="K150" s="92" t="s">
        <v>73</v>
      </c>
      <c r="L150" s="92">
        <v>64</v>
      </c>
      <c r="M150" s="188" t="s">
        <v>269</v>
      </c>
      <c r="N150" s="92" t="s">
        <v>241</v>
      </c>
      <c r="O150" s="92" t="s">
        <v>81</v>
      </c>
      <c r="P150" s="92" t="s">
        <v>227</v>
      </c>
      <c r="Q150" s="92" t="s">
        <v>243</v>
      </c>
      <c r="R150" s="92" t="s">
        <v>335</v>
      </c>
      <c r="S150" s="92">
        <v>0</v>
      </c>
      <c r="T150" s="135" t="s">
        <v>230</v>
      </c>
      <c r="U150" s="92">
        <v>0</v>
      </c>
      <c r="V150" s="92" t="s">
        <v>231</v>
      </c>
      <c r="W150" s="92" t="s">
        <v>231</v>
      </c>
      <c r="X150" s="92" t="s">
        <v>73</v>
      </c>
      <c r="Y150" s="92">
        <v>0</v>
      </c>
      <c r="Z150" s="92">
        <v>0</v>
      </c>
      <c r="AA150" s="92">
        <v>0</v>
      </c>
      <c r="AB150" s="92">
        <v>0</v>
      </c>
      <c r="AC150" s="92">
        <v>0</v>
      </c>
      <c r="AD150" s="92">
        <v>0</v>
      </c>
      <c r="AE150" s="92">
        <v>1</v>
      </c>
      <c r="AF150" s="92">
        <v>0</v>
      </c>
      <c r="AG150" s="92" t="s">
        <v>73</v>
      </c>
      <c r="AH150" s="92">
        <v>0</v>
      </c>
      <c r="AI150" s="92">
        <v>0</v>
      </c>
      <c r="AJ150" s="92">
        <v>0</v>
      </c>
      <c r="AK150" s="92">
        <v>0</v>
      </c>
      <c r="AL150" s="92">
        <v>0</v>
      </c>
      <c r="AM150" s="92">
        <v>0</v>
      </c>
      <c r="AN150" s="92">
        <v>0</v>
      </c>
      <c r="AO150" s="92">
        <v>1</v>
      </c>
      <c r="AP150" s="92">
        <v>0</v>
      </c>
      <c r="AQ150" s="92" t="s">
        <v>73</v>
      </c>
      <c r="AR150" s="92" t="s">
        <v>233</v>
      </c>
      <c r="AS150" t="s">
        <v>295</v>
      </c>
      <c r="AT150" t="s">
        <v>235</v>
      </c>
      <c r="AU150" s="195">
        <v>1.1519999999999999</v>
      </c>
      <c r="AV150" s="93" t="s">
        <v>86</v>
      </c>
      <c r="AW150" s="92">
        <f>AU150/AZ150</f>
        <v>0.38399999999999995</v>
      </c>
      <c r="AX150" s="92" t="s">
        <v>73</v>
      </c>
      <c r="AY150" s="92">
        <v>3</v>
      </c>
      <c r="AZ150" s="92">
        <v>3</v>
      </c>
      <c r="BA150" s="92"/>
      <c r="BB150" s="105">
        <f>EXP(AU150)/(1+EXP(AU150))</f>
        <v>0.75987603549087823</v>
      </c>
      <c r="BC150" s="92" t="s">
        <v>73</v>
      </c>
      <c r="BD150" s="92" t="s">
        <v>73</v>
      </c>
      <c r="BE150" s="92" t="s">
        <v>73</v>
      </c>
      <c r="BF150" s="92" t="s">
        <v>73</v>
      </c>
      <c r="BG150" s="92" t="s">
        <v>73</v>
      </c>
      <c r="BH150" s="92" t="s">
        <v>73</v>
      </c>
      <c r="BI150" s="92">
        <v>68</v>
      </c>
      <c r="BJ150" s="92">
        <v>68</v>
      </c>
      <c r="BK150" s="92" t="s">
        <v>73</v>
      </c>
      <c r="BL150" s="92" t="s">
        <v>73</v>
      </c>
      <c r="BM150" s="92" t="s">
        <v>73</v>
      </c>
      <c r="BN150" s="92" t="s">
        <v>73</v>
      </c>
      <c r="BO150" s="92" t="s">
        <v>236</v>
      </c>
      <c r="BP150" s="92">
        <v>0</v>
      </c>
      <c r="BQ150" s="92" t="s">
        <v>73</v>
      </c>
      <c r="BR150" s="92">
        <v>0</v>
      </c>
      <c r="BS150" s="92" t="s">
        <v>73</v>
      </c>
      <c r="BT150" s="92" t="s">
        <v>73</v>
      </c>
      <c r="BU150" s="92">
        <v>0</v>
      </c>
      <c r="BV150" s="92">
        <v>0</v>
      </c>
      <c r="BW150" s="92">
        <v>1</v>
      </c>
      <c r="BX150" s="30">
        <f>((AZ150^2)/(AZ150^2+BI150))^(1/2)</f>
        <v>0.34188172937891387</v>
      </c>
      <c r="BY150" s="30">
        <f>0.5*LN((1+BX150)/(1-BX150))</f>
        <v>0.35622176288455693</v>
      </c>
      <c r="BZ150" s="30">
        <f>((1-(BY150^2)^2)/(BI150-1))</f>
        <v>1.4685043684875282E-2</v>
      </c>
      <c r="CA150" s="30">
        <f>1/(BI150-3)</f>
        <v>1.5384615384615385E-2</v>
      </c>
      <c r="CB150" s="92" t="s">
        <v>73</v>
      </c>
      <c r="CC150">
        <f>BI150-2</f>
        <v>66</v>
      </c>
      <c r="CD150" s="92" t="s">
        <v>73</v>
      </c>
      <c r="CE150" s="30">
        <f>((AZ150^2)/(AZ150^2+BJ150))^(1/2)</f>
        <v>0.34188172937891387</v>
      </c>
      <c r="CF150" s="30">
        <f>0.5*LN((1+CE150)/(1-CE150))</f>
        <v>0.35622176288455693</v>
      </c>
      <c r="CG150" s="30">
        <f>((1-(CF150^2)^2)/(BJ150-1))</f>
        <v>1.4685043684875282E-2</v>
      </c>
      <c r="CH150" s="30">
        <f>1/(BJ150-3)</f>
        <v>1.5384615384615385E-2</v>
      </c>
      <c r="CI150" s="95"/>
    </row>
    <row r="151" spans="1:87" ht="16">
      <c r="A151" s="92" t="s">
        <v>68</v>
      </c>
      <c r="B151" s="92" t="s">
        <v>719</v>
      </c>
      <c r="C151" s="11">
        <v>1402</v>
      </c>
      <c r="D151" s="92">
        <v>123</v>
      </c>
      <c r="E151" s="112" t="s">
        <v>332</v>
      </c>
      <c r="F151" s="92">
        <v>1995</v>
      </c>
      <c r="G151" s="92" t="s">
        <v>333</v>
      </c>
      <c r="H151" s="92" t="s">
        <v>334</v>
      </c>
      <c r="I151" s="92">
        <v>2</v>
      </c>
      <c r="J151" s="92">
        <v>1995</v>
      </c>
      <c r="K151" s="92" t="s">
        <v>73</v>
      </c>
      <c r="L151" s="92">
        <v>58</v>
      </c>
      <c r="M151" s="188" t="s">
        <v>269</v>
      </c>
      <c r="N151" s="112" t="s">
        <v>241</v>
      </c>
      <c r="O151" s="92" t="s">
        <v>81</v>
      </c>
      <c r="P151" s="92" t="s">
        <v>293</v>
      </c>
      <c r="Q151" s="92" t="s">
        <v>243</v>
      </c>
      <c r="R151" s="92" t="s">
        <v>335</v>
      </c>
      <c r="S151" s="92">
        <v>1</v>
      </c>
      <c r="T151" s="135" t="s">
        <v>230</v>
      </c>
      <c r="U151" s="92">
        <v>0</v>
      </c>
      <c r="V151" s="92" t="s">
        <v>231</v>
      </c>
      <c r="W151" s="92" t="s">
        <v>231</v>
      </c>
      <c r="X151" s="92" t="s">
        <v>73</v>
      </c>
      <c r="Y151" s="92">
        <v>0</v>
      </c>
      <c r="Z151" s="92">
        <v>0</v>
      </c>
      <c r="AA151" s="92">
        <v>0</v>
      </c>
      <c r="AB151" s="92">
        <v>0</v>
      </c>
      <c r="AC151" s="92">
        <v>0</v>
      </c>
      <c r="AD151" s="92">
        <v>0</v>
      </c>
      <c r="AE151" s="92">
        <v>1</v>
      </c>
      <c r="AF151" s="92">
        <v>0</v>
      </c>
      <c r="AG151" s="92" t="s">
        <v>73</v>
      </c>
      <c r="AH151" s="92">
        <v>0</v>
      </c>
      <c r="AI151" s="92">
        <v>0</v>
      </c>
      <c r="AJ151" s="92">
        <v>0</v>
      </c>
      <c r="AK151" s="92">
        <v>1</v>
      </c>
      <c r="AL151" s="92">
        <v>0</v>
      </c>
      <c r="AM151" s="92">
        <v>0</v>
      </c>
      <c r="AN151" s="92">
        <v>0</v>
      </c>
      <c r="AO151" s="92">
        <v>0</v>
      </c>
      <c r="AP151" s="92">
        <v>0</v>
      </c>
      <c r="AQ151" s="92" t="s">
        <v>73</v>
      </c>
      <c r="AR151" s="92" t="s">
        <v>233</v>
      </c>
      <c r="AS151" s="92" t="s">
        <v>295</v>
      </c>
      <c r="AT151" s="92" t="s">
        <v>235</v>
      </c>
      <c r="AU151" s="200">
        <v>1.02</v>
      </c>
      <c r="AV151" s="93" t="s">
        <v>80</v>
      </c>
      <c r="AW151" s="92">
        <f>AU151/AZ151</f>
        <v>8.9473684210526316E-2</v>
      </c>
      <c r="AX151" s="92" t="s">
        <v>73</v>
      </c>
      <c r="AY151" s="92">
        <v>3</v>
      </c>
      <c r="AZ151" s="92">
        <v>11.4</v>
      </c>
      <c r="BA151" s="92"/>
      <c r="BB151" s="105">
        <f>EXP(AU151)/(1+EXP(AU151))</f>
        <v>0.73497259946651883</v>
      </c>
      <c r="BC151" s="92" t="s">
        <v>73</v>
      </c>
      <c r="BD151" s="92" t="s">
        <v>73</v>
      </c>
      <c r="BE151" s="92" t="s">
        <v>73</v>
      </c>
      <c r="BF151" s="92" t="s">
        <v>73</v>
      </c>
      <c r="BG151" s="92" t="s">
        <v>73</v>
      </c>
      <c r="BH151" s="92" t="s">
        <v>73</v>
      </c>
      <c r="BI151" s="92">
        <v>188</v>
      </c>
      <c r="BJ151" s="92">
        <v>188</v>
      </c>
      <c r="BK151" s="92" t="s">
        <v>73</v>
      </c>
      <c r="BL151" s="92" t="s">
        <v>73</v>
      </c>
      <c r="BM151" s="92" t="s">
        <v>73</v>
      </c>
      <c r="BN151" s="92" t="s">
        <v>73</v>
      </c>
      <c r="BO151" s="92" t="s">
        <v>236</v>
      </c>
      <c r="BP151" s="92">
        <v>0</v>
      </c>
      <c r="BQ151" s="92" t="s">
        <v>73</v>
      </c>
      <c r="BR151" s="92">
        <v>0</v>
      </c>
      <c r="BS151" s="92" t="s">
        <v>73</v>
      </c>
      <c r="BT151" s="92" t="s">
        <v>73</v>
      </c>
      <c r="BU151" s="92">
        <v>0</v>
      </c>
      <c r="BV151" s="92">
        <v>0</v>
      </c>
      <c r="BW151" s="92">
        <v>1</v>
      </c>
      <c r="BX151" s="30">
        <f>((AZ151^2)/(AZ151^2+BI151))^(1/2)</f>
        <v>0.63932046576376356</v>
      </c>
      <c r="BY151" s="30">
        <f>0.5*LN((1+BX151)/(1-BX151))</f>
        <v>0.75702361876280078</v>
      </c>
      <c r="BZ151" s="30">
        <f>((1-(BY151^2)^2)/(BI151-1))</f>
        <v>3.5913040565982552E-3</v>
      </c>
      <c r="CA151" s="30">
        <f>1/(BI151-3)</f>
        <v>5.4054054054054057E-3</v>
      </c>
      <c r="CB151" s="92" t="s">
        <v>73</v>
      </c>
      <c r="CC151">
        <f>BI151-2</f>
        <v>186</v>
      </c>
      <c r="CD151" s="92" t="s">
        <v>73</v>
      </c>
      <c r="CE151" s="30">
        <f>((AZ151^2)/(AZ151^2+BJ151))^(1/2)</f>
        <v>0.63932046576376356</v>
      </c>
      <c r="CF151" s="30">
        <f>0.5*LN((1+CE151)/(1-CE151))</f>
        <v>0.75702361876280078</v>
      </c>
      <c r="CG151" s="30">
        <f>((1-(CF151^2)^2)/(BJ151-1))</f>
        <v>3.5913040565982552E-3</v>
      </c>
      <c r="CH151" s="30">
        <f>1/(BJ151-3)</f>
        <v>5.4054054054054057E-3</v>
      </c>
      <c r="CI151" s="107"/>
    </row>
    <row r="152" spans="1:87" ht="16">
      <c r="A152" s="92" t="s">
        <v>68</v>
      </c>
      <c r="B152" s="92" t="s">
        <v>719</v>
      </c>
      <c r="C152" s="11">
        <v>1403</v>
      </c>
      <c r="D152" s="92">
        <v>123</v>
      </c>
      <c r="E152" s="112" t="s">
        <v>332</v>
      </c>
      <c r="F152" s="92">
        <v>1995</v>
      </c>
      <c r="G152" s="92" t="s">
        <v>333</v>
      </c>
      <c r="H152" s="92" t="s">
        <v>334</v>
      </c>
      <c r="I152" s="92">
        <v>2</v>
      </c>
      <c r="J152" s="92">
        <v>1995</v>
      </c>
      <c r="K152" s="92" t="s">
        <v>73</v>
      </c>
      <c r="L152" s="92">
        <v>58</v>
      </c>
      <c r="M152" s="188" t="s">
        <v>269</v>
      </c>
      <c r="N152" s="112" t="s">
        <v>241</v>
      </c>
      <c r="O152" s="92" t="s">
        <v>81</v>
      </c>
      <c r="P152" s="92" t="s">
        <v>293</v>
      </c>
      <c r="Q152" s="92" t="s">
        <v>243</v>
      </c>
      <c r="R152" s="92" t="s">
        <v>335</v>
      </c>
      <c r="S152" s="92">
        <v>1</v>
      </c>
      <c r="T152" s="135" t="s">
        <v>230</v>
      </c>
      <c r="U152" s="92">
        <v>0</v>
      </c>
      <c r="V152" s="92" t="s">
        <v>231</v>
      </c>
      <c r="W152" s="92" t="s">
        <v>231</v>
      </c>
      <c r="X152" s="92" t="s">
        <v>73</v>
      </c>
      <c r="Y152" s="92">
        <v>0</v>
      </c>
      <c r="Z152" s="92">
        <v>0</v>
      </c>
      <c r="AA152" s="92">
        <v>0</v>
      </c>
      <c r="AB152" s="92">
        <v>0</v>
      </c>
      <c r="AC152" s="92">
        <v>0</v>
      </c>
      <c r="AD152" s="92">
        <v>0</v>
      </c>
      <c r="AE152" s="92">
        <v>1</v>
      </c>
      <c r="AF152" s="92">
        <v>0</v>
      </c>
      <c r="AG152" s="92" t="s">
        <v>73</v>
      </c>
      <c r="AH152" s="92">
        <v>0</v>
      </c>
      <c r="AI152" s="92">
        <v>0</v>
      </c>
      <c r="AJ152" s="92">
        <v>0</v>
      </c>
      <c r="AK152" s="92">
        <v>0</v>
      </c>
      <c r="AL152" s="92">
        <v>0</v>
      </c>
      <c r="AM152" s="92">
        <v>0</v>
      </c>
      <c r="AN152" s="92">
        <v>0</v>
      </c>
      <c r="AO152" s="92">
        <v>1</v>
      </c>
      <c r="AP152" s="92">
        <v>0</v>
      </c>
      <c r="AQ152" s="92" t="s">
        <v>73</v>
      </c>
      <c r="AR152" s="92" t="s">
        <v>233</v>
      </c>
      <c r="AS152" s="92" t="s">
        <v>295</v>
      </c>
      <c r="AT152" s="92" t="s">
        <v>235</v>
      </c>
      <c r="AU152" s="200">
        <v>6.3700000000000007E-2</v>
      </c>
      <c r="AV152" s="93" t="s">
        <v>80</v>
      </c>
      <c r="AW152" s="92">
        <f>AU152/AZ152</f>
        <v>0.21233333333333337</v>
      </c>
      <c r="AX152" s="92" t="s">
        <v>73</v>
      </c>
      <c r="AY152" s="92">
        <v>3</v>
      </c>
      <c r="AZ152" s="92">
        <v>0.3</v>
      </c>
      <c r="BA152" s="92"/>
      <c r="BB152" s="105">
        <f>EXP(AU152)/(1+EXP(AU152))</f>
        <v>0.51591961729135494</v>
      </c>
      <c r="BC152" s="92" t="s">
        <v>73</v>
      </c>
      <c r="BD152" s="92" t="s">
        <v>73</v>
      </c>
      <c r="BE152" s="92" t="s">
        <v>73</v>
      </c>
      <c r="BF152" s="92" t="s">
        <v>73</v>
      </c>
      <c r="BG152" s="92" t="s">
        <v>73</v>
      </c>
      <c r="BH152" s="92" t="s">
        <v>73</v>
      </c>
      <c r="BI152" s="92">
        <v>400</v>
      </c>
      <c r="BJ152" s="92">
        <v>400</v>
      </c>
      <c r="BK152" s="92" t="s">
        <v>73</v>
      </c>
      <c r="BL152" s="92" t="s">
        <v>73</v>
      </c>
      <c r="BM152" s="92" t="s">
        <v>73</v>
      </c>
      <c r="BN152" s="92" t="s">
        <v>73</v>
      </c>
      <c r="BO152" s="92" t="s">
        <v>236</v>
      </c>
      <c r="BP152" s="92">
        <v>0</v>
      </c>
      <c r="BQ152" s="92" t="s">
        <v>73</v>
      </c>
      <c r="BR152" s="92">
        <v>0</v>
      </c>
      <c r="BS152" s="92" t="s">
        <v>73</v>
      </c>
      <c r="BT152" s="92" t="s">
        <v>73</v>
      </c>
      <c r="BU152" s="92">
        <v>0</v>
      </c>
      <c r="BV152" s="92">
        <v>0</v>
      </c>
      <c r="BW152" s="92">
        <v>1</v>
      </c>
      <c r="BX152" s="30">
        <f>((AZ152^2)/(AZ152^2+BI152))^(1/2)</f>
        <v>1.4998312784712243E-2</v>
      </c>
      <c r="BY152" s="133">
        <f>0.5*LN((1+BX152)/(1-BX152))</f>
        <v>1.49994375569454E-2</v>
      </c>
      <c r="BZ152" s="30">
        <f>((1-(BY152^2)^2)/(BI152-1))</f>
        <v>2.5062655372997305E-3</v>
      </c>
      <c r="CA152" s="30">
        <f>1/(BI152-3)</f>
        <v>2.5188916876574307E-3</v>
      </c>
      <c r="CB152" s="92" t="s">
        <v>73</v>
      </c>
      <c r="CC152">
        <f>BI152-2</f>
        <v>398</v>
      </c>
      <c r="CD152" s="92" t="s">
        <v>73</v>
      </c>
      <c r="CE152" s="30">
        <f>((AZ152^2)/(AZ152^2+BJ152))^(1/2)</f>
        <v>1.4998312784712243E-2</v>
      </c>
      <c r="CF152" s="133">
        <f>0.5*LN((1+CE152)/(1-CE152))</f>
        <v>1.49994375569454E-2</v>
      </c>
      <c r="CG152" s="30">
        <f>((1-(CF152^2)^2)/(BJ152-1))</f>
        <v>2.5062655372997305E-3</v>
      </c>
      <c r="CH152" s="30">
        <f>1/(BJ152-3)</f>
        <v>2.5188916876574307E-3</v>
      </c>
    </row>
    <row r="153" spans="1:87" ht="16">
      <c r="A153" s="215" t="s">
        <v>68</v>
      </c>
      <c r="B153" s="215" t="s">
        <v>719</v>
      </c>
      <c r="C153" s="54">
        <v>1404</v>
      </c>
      <c r="D153" s="215">
        <v>123</v>
      </c>
      <c r="E153" s="215" t="s">
        <v>332</v>
      </c>
      <c r="F153" s="215">
        <v>1995</v>
      </c>
      <c r="G153" s="215" t="s">
        <v>333</v>
      </c>
      <c r="H153" s="215" t="s">
        <v>334</v>
      </c>
      <c r="I153" s="215">
        <v>2</v>
      </c>
      <c r="J153" s="215">
        <v>1995</v>
      </c>
      <c r="K153" s="215" t="s">
        <v>73</v>
      </c>
      <c r="L153" s="215">
        <v>62</v>
      </c>
      <c r="M153" s="217" t="s">
        <v>269</v>
      </c>
      <c r="N153" s="215" t="s">
        <v>241</v>
      </c>
      <c r="O153" s="215" t="s">
        <v>81</v>
      </c>
      <c r="P153" s="215" t="s">
        <v>293</v>
      </c>
      <c r="Q153" s="215" t="s">
        <v>243</v>
      </c>
      <c r="R153" s="215" t="s">
        <v>335</v>
      </c>
      <c r="S153" s="215">
        <v>0</v>
      </c>
      <c r="T153" s="144" t="s">
        <v>230</v>
      </c>
      <c r="U153" s="215">
        <v>0</v>
      </c>
      <c r="V153" s="215" t="s">
        <v>231</v>
      </c>
      <c r="W153" s="215" t="s">
        <v>231</v>
      </c>
      <c r="X153" s="215" t="s">
        <v>73</v>
      </c>
      <c r="Y153" s="215">
        <v>0</v>
      </c>
      <c r="Z153" s="215">
        <v>0</v>
      </c>
      <c r="AA153" s="215">
        <v>0</v>
      </c>
      <c r="AB153" s="215">
        <v>1</v>
      </c>
      <c r="AC153" s="215">
        <v>0</v>
      </c>
      <c r="AD153" s="215">
        <v>0</v>
      </c>
      <c r="AE153" s="215">
        <v>0</v>
      </c>
      <c r="AF153" s="215">
        <v>0</v>
      </c>
      <c r="AG153" s="215" t="s">
        <v>73</v>
      </c>
      <c r="AH153" s="215">
        <v>0</v>
      </c>
      <c r="AI153" s="215">
        <v>0</v>
      </c>
      <c r="AJ153" s="215">
        <v>0</v>
      </c>
      <c r="AK153" s="215">
        <v>1</v>
      </c>
      <c r="AL153" s="215">
        <v>0</v>
      </c>
      <c r="AM153" s="215">
        <v>0</v>
      </c>
      <c r="AN153" s="215">
        <v>0</v>
      </c>
      <c r="AO153" s="215">
        <v>0</v>
      </c>
      <c r="AP153" s="215">
        <v>0</v>
      </c>
      <c r="AQ153" s="215" t="s">
        <v>73</v>
      </c>
      <c r="AR153" s="215" t="s">
        <v>233</v>
      </c>
      <c r="AS153" s="215" t="s">
        <v>295</v>
      </c>
      <c r="AT153" s="215" t="s">
        <v>235</v>
      </c>
      <c r="AU153" s="200">
        <v>1.61</v>
      </c>
      <c r="AV153" s="218" t="s">
        <v>80</v>
      </c>
      <c r="AW153" s="215">
        <f>AU153/AZ153</f>
        <v>7.351598173515983E-2</v>
      </c>
      <c r="AX153" s="215" t="s">
        <v>73</v>
      </c>
      <c r="AY153" s="215">
        <v>3</v>
      </c>
      <c r="AZ153" s="215">
        <v>21.9</v>
      </c>
      <c r="BA153" s="215"/>
      <c r="BB153" s="105">
        <f>EXP(AU153)/(1+EXP(AU153))</f>
        <v>0.83341138642454038</v>
      </c>
      <c r="BC153" s="215" t="s">
        <v>73</v>
      </c>
      <c r="BD153" s="215" t="s">
        <v>73</v>
      </c>
      <c r="BE153" s="215" t="s">
        <v>73</v>
      </c>
      <c r="BF153" s="215" t="s">
        <v>73</v>
      </c>
      <c r="BG153" s="215" t="s">
        <v>73</v>
      </c>
      <c r="BH153" s="215" t="s">
        <v>73</v>
      </c>
      <c r="BI153" s="215">
        <v>163</v>
      </c>
      <c r="BJ153" s="215">
        <v>163</v>
      </c>
      <c r="BK153" s="215" t="s">
        <v>73</v>
      </c>
      <c r="BL153" s="215" t="s">
        <v>73</v>
      </c>
      <c r="BM153" s="215" t="s">
        <v>73</v>
      </c>
      <c r="BN153" s="215" t="s">
        <v>73</v>
      </c>
      <c r="BO153" s="215" t="s">
        <v>236</v>
      </c>
      <c r="BP153" s="215">
        <v>0</v>
      </c>
      <c r="BQ153" s="215" t="s">
        <v>73</v>
      </c>
      <c r="BR153" s="215">
        <v>0</v>
      </c>
      <c r="BS153" s="215" t="s">
        <v>73</v>
      </c>
      <c r="BT153" s="215" t="s">
        <v>73</v>
      </c>
      <c r="BU153" s="215">
        <v>0</v>
      </c>
      <c r="BV153" s="215">
        <v>0</v>
      </c>
      <c r="BW153" s="215">
        <v>1</v>
      </c>
      <c r="BX153" s="51">
        <f>((AZ153^2)/(AZ153^2+BI153))^(1/2)</f>
        <v>0.86391372771270136</v>
      </c>
      <c r="BY153" s="51">
        <f>0.5*LN((1+BX153)/(1-BX153))</f>
        <v>1.3085723355434464</v>
      </c>
      <c r="BZ153" s="51">
        <f>((1-(BY153^2)^2)/(BI153-1))</f>
        <v>-1.192705001906698E-2</v>
      </c>
      <c r="CA153" s="51">
        <f>1/(BI153-3)</f>
        <v>6.2500000000000003E-3</v>
      </c>
      <c r="CB153" s="215" t="s">
        <v>73</v>
      </c>
      <c r="CC153" s="41">
        <f>BI153-2</f>
        <v>161</v>
      </c>
      <c r="CD153" s="215" t="s">
        <v>73</v>
      </c>
      <c r="CE153" s="51">
        <f>((AZ153^2)/(AZ153^2+BJ153))^(1/2)</f>
        <v>0.86391372771270136</v>
      </c>
      <c r="CF153" s="51">
        <f>0.5*LN((1+CE153)/(1-CE153))</f>
        <v>1.3085723355434464</v>
      </c>
      <c r="CG153" s="51">
        <f>((1-(CF153^2)^2)/(BJ153-1))</f>
        <v>-1.192705001906698E-2</v>
      </c>
      <c r="CH153" s="51">
        <f>1/(BJ153-3)</f>
        <v>6.2500000000000003E-3</v>
      </c>
      <c r="CI153" s="140"/>
    </row>
    <row r="154" spans="1:87" ht="16">
      <c r="A154" s="92" t="s">
        <v>68</v>
      </c>
      <c r="B154" s="92" t="s">
        <v>719</v>
      </c>
      <c r="C154" s="11">
        <v>1405</v>
      </c>
      <c r="D154" s="92">
        <v>123</v>
      </c>
      <c r="E154" s="92" t="s">
        <v>332</v>
      </c>
      <c r="F154" s="92">
        <v>1995</v>
      </c>
      <c r="G154" s="92" t="s">
        <v>333</v>
      </c>
      <c r="H154" s="92" t="s">
        <v>334</v>
      </c>
      <c r="I154" s="92">
        <v>2</v>
      </c>
      <c r="J154" s="92">
        <v>1995</v>
      </c>
      <c r="K154" s="92" t="s">
        <v>73</v>
      </c>
      <c r="L154" s="92">
        <v>62</v>
      </c>
      <c r="M154" s="188" t="s">
        <v>269</v>
      </c>
      <c r="N154" s="92" t="s">
        <v>241</v>
      </c>
      <c r="O154" s="92" t="s">
        <v>81</v>
      </c>
      <c r="P154" s="92" t="s">
        <v>293</v>
      </c>
      <c r="Q154" s="92" t="s">
        <v>243</v>
      </c>
      <c r="R154" s="92" t="s">
        <v>335</v>
      </c>
      <c r="S154" s="92">
        <v>0</v>
      </c>
      <c r="T154" s="135" t="s">
        <v>230</v>
      </c>
      <c r="U154" s="92">
        <v>0</v>
      </c>
      <c r="V154" s="92" t="s">
        <v>231</v>
      </c>
      <c r="W154" s="92" t="s">
        <v>231</v>
      </c>
      <c r="X154" s="92" t="s">
        <v>73</v>
      </c>
      <c r="Y154" s="92">
        <v>0</v>
      </c>
      <c r="Z154" s="92">
        <v>0</v>
      </c>
      <c r="AA154" s="92">
        <v>0</v>
      </c>
      <c r="AB154" s="92">
        <v>1</v>
      </c>
      <c r="AC154" s="92">
        <v>0</v>
      </c>
      <c r="AD154" s="92">
        <v>0</v>
      </c>
      <c r="AE154" s="92">
        <v>0</v>
      </c>
      <c r="AF154" s="92">
        <v>0</v>
      </c>
      <c r="AG154" s="92" t="s">
        <v>73</v>
      </c>
      <c r="AH154" s="92">
        <v>0</v>
      </c>
      <c r="AI154" s="92">
        <v>0</v>
      </c>
      <c r="AJ154" s="92">
        <v>0</v>
      </c>
      <c r="AK154" s="92">
        <v>0</v>
      </c>
      <c r="AL154" s="92">
        <v>0</v>
      </c>
      <c r="AM154" s="92">
        <v>0</v>
      </c>
      <c r="AN154" s="92">
        <v>0</v>
      </c>
      <c r="AO154" s="92">
        <v>1</v>
      </c>
      <c r="AP154" s="92">
        <v>0</v>
      </c>
      <c r="AQ154" s="92" t="s">
        <v>73</v>
      </c>
      <c r="AR154" s="92" t="s">
        <v>233</v>
      </c>
      <c r="AS154" t="s">
        <v>295</v>
      </c>
      <c r="AT154" t="s">
        <v>235</v>
      </c>
      <c r="AU154" s="195">
        <v>1.03</v>
      </c>
      <c r="AV154" s="93" t="s">
        <v>80</v>
      </c>
      <c r="AW154" s="92">
        <f>AU154/AZ154</f>
        <v>0.16349206349206349</v>
      </c>
      <c r="AX154" s="92" t="s">
        <v>73</v>
      </c>
      <c r="AY154" s="92">
        <v>3</v>
      </c>
      <c r="AZ154" s="92">
        <v>6.3</v>
      </c>
      <c r="BA154" s="92"/>
      <c r="BB154" s="105">
        <f>EXP(AU154)/(1+EXP(AU154))</f>
        <v>0.73691589583342021</v>
      </c>
      <c r="BC154" s="92" t="s">
        <v>73</v>
      </c>
      <c r="BD154" s="92" t="s">
        <v>73</v>
      </c>
      <c r="BE154" s="92" t="s">
        <v>73</v>
      </c>
      <c r="BF154" s="92" t="s">
        <v>73</v>
      </c>
      <c r="BG154" s="92" t="s">
        <v>73</v>
      </c>
      <c r="BH154" s="92" t="s">
        <v>73</v>
      </c>
      <c r="BI154" s="92">
        <v>68</v>
      </c>
      <c r="BJ154" s="92">
        <v>68</v>
      </c>
      <c r="BK154" s="92" t="s">
        <v>73</v>
      </c>
      <c r="BL154" s="92" t="s">
        <v>73</v>
      </c>
      <c r="BM154" s="92" t="s">
        <v>73</v>
      </c>
      <c r="BN154" s="92" t="s">
        <v>73</v>
      </c>
      <c r="BO154" s="92" t="s">
        <v>236</v>
      </c>
      <c r="BP154" s="92">
        <v>0</v>
      </c>
      <c r="BQ154" s="92" t="s">
        <v>73</v>
      </c>
      <c r="BR154" s="92">
        <v>0</v>
      </c>
      <c r="BS154" s="92" t="s">
        <v>73</v>
      </c>
      <c r="BT154" s="92" t="s">
        <v>73</v>
      </c>
      <c r="BU154" s="92">
        <v>0</v>
      </c>
      <c r="BV154" s="92">
        <v>0</v>
      </c>
      <c r="BW154" s="92">
        <v>1</v>
      </c>
      <c r="BX154" s="30">
        <f>((AZ154^2)/(AZ154^2+BI154))^(1/2)</f>
        <v>0.60708969491273346</v>
      </c>
      <c r="BY154" s="30">
        <f>0.5*LN((1+BX154)/(1-BX154))</f>
        <v>0.70429941240937843</v>
      </c>
      <c r="BZ154" s="30">
        <f>((1-(BY154^2)^2)/(BI154-1))</f>
        <v>1.1252934888953962E-2</v>
      </c>
      <c r="CA154" s="30">
        <f>1/(BI154-3)</f>
        <v>1.5384615384615385E-2</v>
      </c>
      <c r="CB154" s="92" t="s">
        <v>73</v>
      </c>
      <c r="CC154">
        <f>BI154-2</f>
        <v>66</v>
      </c>
      <c r="CD154" s="92" t="s">
        <v>73</v>
      </c>
      <c r="CE154" s="30">
        <f>((AZ154^2)/(AZ154^2+BJ154))^(1/2)</f>
        <v>0.60708969491273346</v>
      </c>
      <c r="CF154" s="30">
        <f>0.5*LN((1+CE154)/(1-CE154))</f>
        <v>0.70429941240937843</v>
      </c>
      <c r="CG154" s="30">
        <f>((1-(CF154^2)^2)/(BJ154-1))</f>
        <v>1.1252934888953962E-2</v>
      </c>
      <c r="CH154" s="30">
        <f>1/(BJ154-3)</f>
        <v>1.5384615384615385E-2</v>
      </c>
      <c r="CI154" s="95"/>
    </row>
    <row r="155" spans="1:87" ht="16">
      <c r="A155" s="92" t="s">
        <v>68</v>
      </c>
      <c r="B155" s="92" t="s">
        <v>719</v>
      </c>
      <c r="C155" s="11">
        <v>1406</v>
      </c>
      <c r="D155" s="92">
        <v>123</v>
      </c>
      <c r="E155" s="112" t="s">
        <v>332</v>
      </c>
      <c r="F155" s="92">
        <v>1995</v>
      </c>
      <c r="G155" s="92" t="s">
        <v>333</v>
      </c>
      <c r="H155" s="92" t="s">
        <v>334</v>
      </c>
      <c r="I155" s="92">
        <v>2</v>
      </c>
      <c r="J155" s="92">
        <v>1995</v>
      </c>
      <c r="K155" s="92" t="s">
        <v>73</v>
      </c>
      <c r="L155" s="92">
        <v>62</v>
      </c>
      <c r="M155" s="188" t="s">
        <v>269</v>
      </c>
      <c r="N155" s="112" t="s">
        <v>241</v>
      </c>
      <c r="O155" s="92" t="s">
        <v>81</v>
      </c>
      <c r="P155" s="92" t="s">
        <v>293</v>
      </c>
      <c r="Q155" s="92" t="s">
        <v>243</v>
      </c>
      <c r="R155" s="92" t="s">
        <v>335</v>
      </c>
      <c r="S155" s="92">
        <v>1</v>
      </c>
      <c r="T155" s="135" t="s">
        <v>230</v>
      </c>
      <c r="U155" s="92">
        <v>0</v>
      </c>
      <c r="V155" s="92" t="s">
        <v>231</v>
      </c>
      <c r="W155" s="92" t="s">
        <v>231</v>
      </c>
      <c r="X155" s="92" t="s">
        <v>73</v>
      </c>
      <c r="Y155" s="92">
        <v>0</v>
      </c>
      <c r="Z155" s="92">
        <v>0</v>
      </c>
      <c r="AA155" s="92">
        <v>0</v>
      </c>
      <c r="AB155" s="92">
        <v>0</v>
      </c>
      <c r="AC155" s="92">
        <v>0</v>
      </c>
      <c r="AD155" s="92">
        <v>0</v>
      </c>
      <c r="AE155" s="92">
        <v>1</v>
      </c>
      <c r="AF155" s="92">
        <v>0</v>
      </c>
      <c r="AG155" s="92" t="s">
        <v>73</v>
      </c>
      <c r="AH155" s="92">
        <v>0</v>
      </c>
      <c r="AI155" s="92">
        <v>0</v>
      </c>
      <c r="AJ155" s="92">
        <v>0</v>
      </c>
      <c r="AK155" s="92">
        <v>1</v>
      </c>
      <c r="AL155" s="92">
        <v>0</v>
      </c>
      <c r="AM155" s="92">
        <v>0</v>
      </c>
      <c r="AN155" s="92">
        <v>0</v>
      </c>
      <c r="AO155" s="92">
        <v>0</v>
      </c>
      <c r="AP155" s="92">
        <v>0</v>
      </c>
      <c r="AQ155" s="92" t="s">
        <v>73</v>
      </c>
      <c r="AR155" s="92" t="s">
        <v>233</v>
      </c>
      <c r="AS155" s="92" t="s">
        <v>295</v>
      </c>
      <c r="AT155" s="92" t="s">
        <v>235</v>
      </c>
      <c r="AU155" s="200">
        <v>0.9</v>
      </c>
      <c r="AV155" s="93" t="s">
        <v>80</v>
      </c>
      <c r="AW155" s="92">
        <f>AU155/AZ155</f>
        <v>9.7826086956521743E-2</v>
      </c>
      <c r="AX155" s="92" t="s">
        <v>73</v>
      </c>
      <c r="AY155" s="92">
        <v>3</v>
      </c>
      <c r="AZ155" s="92">
        <v>9.1999999999999993</v>
      </c>
      <c r="BA155" s="92"/>
      <c r="BB155" s="105">
        <f>EXP(AU155)/(1+EXP(AU155))</f>
        <v>0.710949502625004</v>
      </c>
      <c r="BC155" s="92" t="s">
        <v>73</v>
      </c>
      <c r="BD155" s="92" t="s">
        <v>73</v>
      </c>
      <c r="BE155" s="92" t="s">
        <v>73</v>
      </c>
      <c r="BF155" s="92" t="s">
        <v>73</v>
      </c>
      <c r="BG155" s="92" t="s">
        <v>73</v>
      </c>
      <c r="BH155" s="92" t="s">
        <v>73</v>
      </c>
      <c r="BI155" s="92">
        <v>188</v>
      </c>
      <c r="BJ155" s="92">
        <v>188</v>
      </c>
      <c r="BK155" s="92" t="s">
        <v>73</v>
      </c>
      <c r="BL155" s="92" t="s">
        <v>73</v>
      </c>
      <c r="BM155" s="92" t="s">
        <v>73</v>
      </c>
      <c r="BN155" s="92" t="s">
        <v>73</v>
      </c>
      <c r="BO155" s="92" t="s">
        <v>236</v>
      </c>
      <c r="BP155" s="92">
        <v>0</v>
      </c>
      <c r="BQ155" s="92" t="s">
        <v>73</v>
      </c>
      <c r="BR155" s="92">
        <v>0</v>
      </c>
      <c r="BS155" s="92" t="s">
        <v>73</v>
      </c>
      <c r="BT155" s="92" t="s">
        <v>73</v>
      </c>
      <c r="BU155" s="92">
        <v>0</v>
      </c>
      <c r="BV155" s="92">
        <v>0</v>
      </c>
      <c r="BW155" s="92">
        <v>1</v>
      </c>
      <c r="BX155" s="30">
        <f>((AZ155^2)/(AZ155^2+BI155))^(1/2)</f>
        <v>0.55717682057823559</v>
      </c>
      <c r="BY155" s="30">
        <f>0.5*LN((1+BX155)/(1-BX155))</f>
        <v>0.62872959172793907</v>
      </c>
      <c r="BZ155" s="30">
        <f>((1-(BY155^2)^2)/(BI155-1))</f>
        <v>4.5119636301771187E-3</v>
      </c>
      <c r="CA155" s="30">
        <f>1/(BI155-3)</f>
        <v>5.4054054054054057E-3</v>
      </c>
      <c r="CB155" s="92" t="s">
        <v>73</v>
      </c>
      <c r="CC155">
        <f>BI155-2</f>
        <v>186</v>
      </c>
      <c r="CD155" s="92" t="s">
        <v>73</v>
      </c>
      <c r="CE155" s="30">
        <f>((AZ155^2)/(AZ155^2+BJ155))^(1/2)</f>
        <v>0.55717682057823559</v>
      </c>
      <c r="CF155" s="30">
        <f>0.5*LN((1+CE155)/(1-CE155))</f>
        <v>0.62872959172793907</v>
      </c>
      <c r="CG155" s="30">
        <f>((1-(CF155^2)^2)/(BJ155-1))</f>
        <v>4.5119636301771187E-3</v>
      </c>
      <c r="CH155" s="30">
        <f>1/(BJ155-3)</f>
        <v>5.4054054054054057E-3</v>
      </c>
      <c r="CI155" s="107"/>
    </row>
    <row r="156" spans="1:87" ht="17" customHeight="1">
      <c r="A156" s="92" t="s">
        <v>68</v>
      </c>
      <c r="B156" s="92" t="s">
        <v>719</v>
      </c>
      <c r="C156" s="11">
        <v>1407</v>
      </c>
      <c r="D156" s="92">
        <v>123</v>
      </c>
      <c r="E156" s="112" t="s">
        <v>332</v>
      </c>
      <c r="F156" s="92">
        <v>1995</v>
      </c>
      <c r="G156" s="92" t="s">
        <v>333</v>
      </c>
      <c r="H156" s="92" t="s">
        <v>334</v>
      </c>
      <c r="I156" s="92">
        <v>2</v>
      </c>
      <c r="J156" s="92">
        <v>1995</v>
      </c>
      <c r="K156" s="92" t="s">
        <v>73</v>
      </c>
      <c r="L156" s="92">
        <v>62</v>
      </c>
      <c r="M156" s="188" t="s">
        <v>269</v>
      </c>
      <c r="N156" s="112" t="s">
        <v>241</v>
      </c>
      <c r="O156" s="92" t="s">
        <v>81</v>
      </c>
      <c r="P156" s="92" t="s">
        <v>293</v>
      </c>
      <c r="Q156" s="92" t="s">
        <v>243</v>
      </c>
      <c r="R156" s="92" t="s">
        <v>335</v>
      </c>
      <c r="S156" s="92">
        <v>1</v>
      </c>
      <c r="T156" s="135" t="s">
        <v>230</v>
      </c>
      <c r="U156" s="92">
        <v>0</v>
      </c>
      <c r="V156" s="92" t="s">
        <v>231</v>
      </c>
      <c r="W156" s="92" t="s">
        <v>231</v>
      </c>
      <c r="X156" s="92" t="s">
        <v>73</v>
      </c>
      <c r="Y156" s="92">
        <v>0</v>
      </c>
      <c r="Z156" s="92">
        <v>0</v>
      </c>
      <c r="AA156" s="92">
        <v>0</v>
      </c>
      <c r="AB156" s="92">
        <v>0</v>
      </c>
      <c r="AC156" s="92">
        <v>0</v>
      </c>
      <c r="AD156" s="92">
        <v>0</v>
      </c>
      <c r="AE156" s="92">
        <v>1</v>
      </c>
      <c r="AF156" s="92">
        <v>0</v>
      </c>
      <c r="AG156" s="92" t="s">
        <v>73</v>
      </c>
      <c r="AH156" s="92">
        <v>0</v>
      </c>
      <c r="AI156" s="92">
        <v>0</v>
      </c>
      <c r="AJ156" s="92">
        <v>0</v>
      </c>
      <c r="AK156" s="92">
        <v>0</v>
      </c>
      <c r="AL156" s="92">
        <v>0</v>
      </c>
      <c r="AM156" s="92">
        <v>0</v>
      </c>
      <c r="AN156" s="92">
        <v>0</v>
      </c>
      <c r="AO156" s="92">
        <v>1</v>
      </c>
      <c r="AP156" s="92">
        <v>0</v>
      </c>
      <c r="AQ156" s="92" t="s">
        <v>73</v>
      </c>
      <c r="AR156" s="92" t="s">
        <v>233</v>
      </c>
      <c r="AS156" s="92" t="s">
        <v>295</v>
      </c>
      <c r="AT156" s="92" t="s">
        <v>235</v>
      </c>
      <c r="AU156" s="200">
        <v>6.6699999999999995E-2</v>
      </c>
      <c r="AV156" s="93" t="s">
        <v>86</v>
      </c>
      <c r="AW156" s="92">
        <f>AU156/AZ156</f>
        <v>0.22233333333333333</v>
      </c>
      <c r="AX156" s="92" t="s">
        <v>73</v>
      </c>
      <c r="AY156" s="92">
        <v>3</v>
      </c>
      <c r="AZ156" s="92">
        <v>0.3</v>
      </c>
      <c r="BA156" s="92"/>
      <c r="BB156" s="105">
        <f>EXP(AU156)/(1+EXP(AU156))</f>
        <v>0.51666882064571629</v>
      </c>
      <c r="BC156" s="92" t="s">
        <v>73</v>
      </c>
      <c r="BD156" s="92" t="s">
        <v>73</v>
      </c>
      <c r="BE156" s="92" t="s">
        <v>73</v>
      </c>
      <c r="BF156" s="92" t="s">
        <v>73</v>
      </c>
      <c r="BG156" s="92" t="s">
        <v>73</v>
      </c>
      <c r="BH156" s="92" t="s">
        <v>73</v>
      </c>
      <c r="BI156" s="92">
        <v>400</v>
      </c>
      <c r="BJ156" s="92">
        <v>400</v>
      </c>
      <c r="BK156" s="92" t="s">
        <v>73</v>
      </c>
      <c r="BL156" s="92" t="s">
        <v>73</v>
      </c>
      <c r="BM156" s="92" t="s">
        <v>73</v>
      </c>
      <c r="BN156" s="92" t="s">
        <v>73</v>
      </c>
      <c r="BO156" s="92" t="s">
        <v>236</v>
      </c>
      <c r="BP156" s="92">
        <v>0</v>
      </c>
      <c r="BQ156" s="92" t="s">
        <v>73</v>
      </c>
      <c r="BR156" s="92">
        <v>0</v>
      </c>
      <c r="BS156" s="92" t="s">
        <v>73</v>
      </c>
      <c r="BT156" s="92" t="s">
        <v>73</v>
      </c>
      <c r="BU156" s="92">
        <v>0</v>
      </c>
      <c r="BV156" s="92">
        <v>0</v>
      </c>
      <c r="BW156" s="92">
        <v>1</v>
      </c>
      <c r="BX156" s="30">
        <f>((AZ156^2)/(AZ156^2+BI156))^(1/2)</f>
        <v>1.4998312784712243E-2</v>
      </c>
      <c r="BY156" s="133">
        <f>0.5*LN((1+BX156)/(1-BX156))</f>
        <v>1.49994375569454E-2</v>
      </c>
      <c r="BZ156" s="30">
        <f>((1-(BY156^2)^2)/(BI156-1))</f>
        <v>2.5062655372997305E-3</v>
      </c>
      <c r="CA156" s="30">
        <f>1/(BI156-3)</f>
        <v>2.5188916876574307E-3</v>
      </c>
      <c r="CB156" s="92" t="s">
        <v>73</v>
      </c>
      <c r="CC156">
        <f>BI156-2</f>
        <v>398</v>
      </c>
      <c r="CD156" s="92" t="s">
        <v>73</v>
      </c>
      <c r="CE156" s="30">
        <f>((AZ156^2)/(AZ156^2+BJ156))^(1/2)</f>
        <v>1.4998312784712243E-2</v>
      </c>
      <c r="CF156" s="133">
        <f>0.5*LN((1+CE156)/(1-CE156))</f>
        <v>1.49994375569454E-2</v>
      </c>
      <c r="CG156" s="30">
        <f>((1-(CF156^2)^2)/(BJ156-1))</f>
        <v>2.5062655372997305E-3</v>
      </c>
      <c r="CH156" s="30">
        <f>1/(BJ156-3)</f>
        <v>2.5188916876574307E-3</v>
      </c>
    </row>
    <row r="157" spans="1:87" ht="15.75" customHeight="1">
      <c r="A157" s="11" t="s">
        <v>68</v>
      </c>
      <c r="B157" t="s">
        <v>719</v>
      </c>
      <c r="C157" s="11">
        <v>1300</v>
      </c>
      <c r="D157">
        <v>152</v>
      </c>
      <c r="E157" t="s">
        <v>720</v>
      </c>
      <c r="F157" s="92">
        <v>2023</v>
      </c>
      <c r="G157" t="s">
        <v>721</v>
      </c>
      <c r="H157" s="26" t="s">
        <v>722</v>
      </c>
      <c r="I157" s="92">
        <v>2</v>
      </c>
      <c r="J157" s="92" t="s">
        <v>723</v>
      </c>
      <c r="K157" t="s">
        <v>73</v>
      </c>
      <c r="L157" s="92">
        <v>5</v>
      </c>
      <c r="M157" t="s">
        <v>724</v>
      </c>
      <c r="N157" t="s">
        <v>241</v>
      </c>
      <c r="O157" t="s">
        <v>725</v>
      </c>
      <c r="P157" s="92" t="s">
        <v>293</v>
      </c>
      <c r="Q157" t="s">
        <v>306</v>
      </c>
      <c r="R157" s="92" t="s">
        <v>335</v>
      </c>
      <c r="S157" s="92">
        <v>1</v>
      </c>
      <c r="T157" s="135" t="s">
        <v>230</v>
      </c>
      <c r="U157" s="92">
        <v>0</v>
      </c>
      <c r="V157" s="92" t="s">
        <v>231</v>
      </c>
      <c r="W157" s="92" t="s">
        <v>231</v>
      </c>
      <c r="X157" s="92" t="s">
        <v>73</v>
      </c>
      <c r="Y157" s="92">
        <v>0</v>
      </c>
      <c r="Z157" s="92">
        <v>0</v>
      </c>
      <c r="AA157" s="92">
        <v>0</v>
      </c>
      <c r="AB157" s="92">
        <v>0</v>
      </c>
      <c r="AC157" s="92">
        <v>0</v>
      </c>
      <c r="AD157" s="92">
        <v>0</v>
      </c>
      <c r="AE157" s="92">
        <v>0</v>
      </c>
      <c r="AF157" s="92">
        <v>1</v>
      </c>
      <c r="AG157" s="92" t="s">
        <v>73</v>
      </c>
      <c r="AH157" s="92">
        <v>1</v>
      </c>
      <c r="AI157" s="92">
        <v>0</v>
      </c>
      <c r="AJ157" s="92">
        <v>0</v>
      </c>
      <c r="AK157" s="92">
        <v>1</v>
      </c>
      <c r="AL157" s="92">
        <v>0</v>
      </c>
      <c r="AM157" s="92">
        <v>0</v>
      </c>
      <c r="AN157" s="92">
        <v>0</v>
      </c>
      <c r="AO157" s="92">
        <v>1</v>
      </c>
      <c r="AP157" s="92">
        <v>0</v>
      </c>
      <c r="AQ157" s="221" t="s">
        <v>726</v>
      </c>
      <c r="AR157" s="92" t="s">
        <v>233</v>
      </c>
      <c r="AS157" s="92" t="s">
        <v>295</v>
      </c>
      <c r="AT157" s="92" t="s">
        <v>235</v>
      </c>
      <c r="AU157" s="134">
        <v>0.52</v>
      </c>
      <c r="AV157" s="93" t="s">
        <v>80</v>
      </c>
      <c r="AW157" s="92">
        <f>AU157/AZ157</f>
        <v>0.15751437725494716</v>
      </c>
      <c r="AX157">
        <v>1E-3</v>
      </c>
      <c r="AY157" s="92">
        <v>1</v>
      </c>
      <c r="AZ157">
        <f>TINV(AX157,CC157)</f>
        <v>3.3012859464780573</v>
      </c>
      <c r="BB157" s="105">
        <f>EXP(AU157)/(1+EXP(AU157))</f>
        <v>0.62714776631319558</v>
      </c>
      <c r="BC157" s="92" t="s">
        <v>73</v>
      </c>
      <c r="BD157" s="92" t="s">
        <v>73</v>
      </c>
      <c r="BE157" s="92" t="s">
        <v>73</v>
      </c>
      <c r="BF157" s="92" t="s">
        <v>73</v>
      </c>
      <c r="BG157" s="92" t="s">
        <v>73</v>
      </c>
      <c r="BH157" s="92" t="s">
        <v>73</v>
      </c>
      <c r="BI157" s="92">
        <v>909</v>
      </c>
      <c r="BJ157" s="92">
        <v>909</v>
      </c>
      <c r="BK157" s="92" t="s">
        <v>73</v>
      </c>
      <c r="BL157" s="92" t="s">
        <v>73</v>
      </c>
      <c r="BM157" s="92" t="s">
        <v>73</v>
      </c>
      <c r="BN157" s="92" t="s">
        <v>73</v>
      </c>
      <c r="BO157" s="92" t="s">
        <v>73</v>
      </c>
      <c r="BP157" s="92" t="s">
        <v>73</v>
      </c>
      <c r="BQ157" s="92" t="s">
        <v>73</v>
      </c>
      <c r="BR157" s="92" t="s">
        <v>73</v>
      </c>
      <c r="BS157" s="92" t="s">
        <v>73</v>
      </c>
      <c r="BT157" s="92" t="s">
        <v>73</v>
      </c>
      <c r="BU157">
        <v>0</v>
      </c>
      <c r="BV157" s="92">
        <v>1</v>
      </c>
      <c r="BW157" s="92">
        <v>1</v>
      </c>
      <c r="BX157" s="30">
        <f t="shared" ref="BX157:BX158" si="0">((AZ157^2)/(AZ157^2+BI157))^(1/2)</f>
        <v>0.10884617961897143</v>
      </c>
      <c r="BY157" s="133">
        <f t="shared" ref="BY157:BY158" si="1">0.5*LN((1+BX157)/(1-BX157))</f>
        <v>0.10927911268483473</v>
      </c>
      <c r="BZ157" s="30">
        <f t="shared" ref="BZ157:BZ158" si="2">((1-(BY157^2)^2)/(BI157-1))</f>
        <v>1.101164526916269E-3</v>
      </c>
      <c r="CA157" s="30">
        <f>1/(BI157-3)</f>
        <v>1.1037527593818985E-3</v>
      </c>
      <c r="CB157" s="92" t="s">
        <v>73</v>
      </c>
      <c r="CC157">
        <f>BI157-2</f>
        <v>907</v>
      </c>
      <c r="CD157" s="92" t="s">
        <v>73</v>
      </c>
      <c r="CE157" s="30">
        <f t="shared" ref="CE157:CE158" si="3">((AZ157^2)/(AZ157^2+BJ157))^(1/2)</f>
        <v>0.10884617961897143</v>
      </c>
      <c r="CF157" s="133">
        <f t="shared" ref="CF157:CF158" si="4">0.5*LN((1+CE157)/(1-CE157))</f>
        <v>0.10927911268483473</v>
      </c>
      <c r="CG157" s="30">
        <f t="shared" ref="CG157:CG158" si="5">((1-(CF157^2)^2)/(BJ157-1))</f>
        <v>1.101164526916269E-3</v>
      </c>
      <c r="CH157" s="30">
        <f t="shared" ref="CH157:CH158" si="6">1/(BJ157-3)</f>
        <v>1.1037527593818985E-3</v>
      </c>
    </row>
    <row r="158" spans="1:87" ht="15.75" customHeight="1">
      <c r="A158" s="11" t="s">
        <v>68</v>
      </c>
      <c r="B158" t="s">
        <v>719</v>
      </c>
      <c r="C158" s="11">
        <v>1301</v>
      </c>
      <c r="D158">
        <v>152</v>
      </c>
      <c r="E158" t="s">
        <v>720</v>
      </c>
      <c r="F158" s="92">
        <v>2023</v>
      </c>
      <c r="G158" t="s">
        <v>721</v>
      </c>
      <c r="H158" s="26" t="s">
        <v>722</v>
      </c>
      <c r="I158" s="92">
        <v>2</v>
      </c>
      <c r="J158" s="92" t="s">
        <v>723</v>
      </c>
      <c r="K158" t="s">
        <v>73</v>
      </c>
      <c r="L158" s="92">
        <v>6</v>
      </c>
      <c r="M158" t="s">
        <v>724</v>
      </c>
      <c r="N158" t="s">
        <v>241</v>
      </c>
      <c r="O158" t="s">
        <v>81</v>
      </c>
      <c r="P158" s="92" t="s">
        <v>293</v>
      </c>
      <c r="Q158" t="s">
        <v>306</v>
      </c>
      <c r="R158" s="92" t="s">
        <v>335</v>
      </c>
      <c r="S158" s="92">
        <v>1</v>
      </c>
      <c r="T158" s="135" t="s">
        <v>230</v>
      </c>
      <c r="U158" s="92">
        <v>0</v>
      </c>
      <c r="V158" s="92" t="s">
        <v>231</v>
      </c>
      <c r="W158" s="92" t="s">
        <v>231</v>
      </c>
      <c r="X158" s="92" t="s">
        <v>73</v>
      </c>
      <c r="Y158" s="92">
        <v>0</v>
      </c>
      <c r="Z158" s="92">
        <v>0</v>
      </c>
      <c r="AA158" s="92">
        <v>0</v>
      </c>
      <c r="AB158" s="92">
        <v>0</v>
      </c>
      <c r="AC158" s="92">
        <v>0</v>
      </c>
      <c r="AD158" s="92">
        <v>0</v>
      </c>
      <c r="AE158" s="92">
        <v>0</v>
      </c>
      <c r="AF158" s="92">
        <v>1</v>
      </c>
      <c r="AG158" s="92" t="s">
        <v>73</v>
      </c>
      <c r="AH158" s="92">
        <v>1</v>
      </c>
      <c r="AI158" s="92">
        <v>0</v>
      </c>
      <c r="AJ158" s="92">
        <v>0</v>
      </c>
      <c r="AK158" s="92">
        <v>1</v>
      </c>
      <c r="AL158" s="92">
        <v>0</v>
      </c>
      <c r="AM158" s="92">
        <v>0</v>
      </c>
      <c r="AN158" s="92">
        <v>0</v>
      </c>
      <c r="AO158" s="92">
        <v>1</v>
      </c>
      <c r="AP158" s="92">
        <v>0</v>
      </c>
      <c r="AQ158" s="221" t="s">
        <v>726</v>
      </c>
      <c r="AR158" s="92" t="s">
        <v>233</v>
      </c>
      <c r="AS158" s="92" t="s">
        <v>295</v>
      </c>
      <c r="AT158" s="92" t="s">
        <v>235</v>
      </c>
      <c r="AU158" s="134">
        <v>0.51</v>
      </c>
      <c r="AV158" s="93" t="s">
        <v>80</v>
      </c>
      <c r="AW158" s="92">
        <f>AU158/AZ158</f>
        <v>0.15449400830581977</v>
      </c>
      <c r="AX158">
        <v>1E-3</v>
      </c>
      <c r="AY158" s="92">
        <v>1</v>
      </c>
      <c r="AZ158">
        <f>TINV(AX158,CC158)</f>
        <v>3.3010988943367865</v>
      </c>
      <c r="BB158" s="105">
        <f>EXP(AU158)/(1+EXP(AU158))</f>
        <v>0.6248064744684293</v>
      </c>
      <c r="BC158" s="92" t="s">
        <v>73</v>
      </c>
      <c r="BD158" s="92" t="s">
        <v>73</v>
      </c>
      <c r="BE158" s="92" t="s">
        <v>73</v>
      </c>
      <c r="BF158" s="92" t="s">
        <v>73</v>
      </c>
      <c r="BG158" s="92" t="s">
        <v>73</v>
      </c>
      <c r="BH158" s="92" t="s">
        <v>73</v>
      </c>
      <c r="BI158" s="92">
        <v>925</v>
      </c>
      <c r="BJ158" s="92">
        <v>925</v>
      </c>
      <c r="BK158" s="92" t="s">
        <v>73</v>
      </c>
      <c r="BL158" s="92" t="s">
        <v>73</v>
      </c>
      <c r="BM158" s="92" t="s">
        <v>73</v>
      </c>
      <c r="BN158" s="92" t="s">
        <v>73</v>
      </c>
      <c r="BO158" s="92" t="s">
        <v>73</v>
      </c>
      <c r="BP158" s="92" t="s">
        <v>73</v>
      </c>
      <c r="BQ158" s="92" t="s">
        <v>73</v>
      </c>
      <c r="BR158" s="92" t="s">
        <v>73</v>
      </c>
      <c r="BS158" s="92" t="s">
        <v>73</v>
      </c>
      <c r="BT158" s="92" t="s">
        <v>73</v>
      </c>
      <c r="BU158">
        <v>0</v>
      </c>
      <c r="BV158" s="92">
        <v>1</v>
      </c>
      <c r="BW158" s="92">
        <v>1</v>
      </c>
      <c r="BX158" s="30">
        <f t="shared" si="0"/>
        <v>0.10790571545773403</v>
      </c>
      <c r="BY158" s="133">
        <f t="shared" si="1"/>
        <v>0.1083274710903209</v>
      </c>
      <c r="BZ158" s="30">
        <f t="shared" si="2"/>
        <v>1.0821020492498628E-3</v>
      </c>
      <c r="CA158" s="30">
        <f>1/(BI158-3)</f>
        <v>1.0845986984815619E-3</v>
      </c>
      <c r="CB158" s="92" t="s">
        <v>73</v>
      </c>
      <c r="CC158">
        <f>BI158-2</f>
        <v>923</v>
      </c>
      <c r="CD158" s="92" t="s">
        <v>73</v>
      </c>
      <c r="CE158" s="30">
        <f t="shared" si="3"/>
        <v>0.10790571545773403</v>
      </c>
      <c r="CF158" s="133">
        <f t="shared" si="4"/>
        <v>0.1083274710903209</v>
      </c>
      <c r="CG158" s="30">
        <f t="shared" si="5"/>
        <v>1.0821020492498628E-3</v>
      </c>
      <c r="CH158" s="30">
        <f t="shared" si="6"/>
        <v>1.0845986984815619E-3</v>
      </c>
    </row>
    <row r="159" spans="1:87" ht="15.75" customHeight="1">
      <c r="AI159" s="92"/>
    </row>
  </sheetData>
  <autoFilter ref="T1:T156" xr:uid="{00000000-0009-0000-0000-000001000000}"/>
  <sortState xmlns:xlrd2="http://schemas.microsoft.com/office/spreadsheetml/2017/richdata2" ref="A2:CI158">
    <sortCondition ref="C1:C158"/>
  </sortState>
  <dataConsolidate/>
  <phoneticPr fontId="27" type="noConversion"/>
  <conditionalFormatting sqref="AU1:AU1048576">
    <cfRule type="cellIs" dxfId="0" priority="1" operator="between">
      <formula>1</formula>
      <formula>5</formula>
    </cfRule>
  </conditionalFormatting>
  <dataValidations xWindow="603" yWindow="1085" count="25">
    <dataValidation type="whole" allowBlank="1" showInputMessage="1" showErrorMessage="1" sqref="BR21:BR29 BP21:BP29 U1:U122 S1:S122 AH1:AI136 U132:U136 S132:S136 AJ2:AJ136 AK1:AP136 S159:S1048576 AH157:AP1048576 U159:U1048576" xr:uid="{00000000-0002-0000-0100-000000000000}">
      <formula1>0</formula1>
      <formula2>1</formula2>
    </dataValidation>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I136 I157:I1048576" xr:uid="{00000000-0002-0000-0100-000001000000}">
      <formula1>0</formula1>
      <formula2>2</formula2>
    </dataValidation>
    <dataValidation allowBlank="1" showInputMessage="1" showErrorMessage="1" errorTitle="int" error="Choose 1 or 0" promptTitle="Intervention" prompt="Yes - 1_x000a_No - 0" sqref="X30 AD1:AF1 AF61 AD66:AE86 AD91:AE117 AF66:AF117 AD2:AE61 AG1:AG136 AD118:AF136 AE157:AG1048576 AD159:AD1048576" xr:uid="{00000000-0002-0000-0100-000002000000}"/>
    <dataValidation type="whole" allowBlank="1" showInputMessage="1" showErrorMessage="1" errorTitle="int" error="Choose 1 or 0" promptTitle="Intervention" prompt="Yes - 1_x000a_No - 0" sqref="Y1:AC1 Z62:AF65 Z66:AC86 Z87:AE90 AF2:AF60 Z2:AC61 Y2:Y136 Z91:AC136 Y159:AC1048576" xr:uid="{00000000-0002-0000-0100-000003000000}">
      <formula1>0</formula1>
      <formula2>1</formula2>
    </dataValidation>
    <dataValidation errorStyle="warning" allowBlank="1" showInputMessage="1" showErrorMessage="1" sqref="BN30:BN35 BN61 BN66 BN80:BN86 BN115:BN117 BN122 BN132 BN1:BN16 BN159:BN1048576" xr:uid="{00000000-0002-0000-0100-000004000000}"/>
    <dataValidation type="whole" allowBlank="1" showInputMessage="1" showErrorMessage="1" prompt="1- lower bound_x000a_2 - upper bound_x000a_3- actual" sqref="AY38" xr:uid="{00000000-0002-0000-0100-000005000000}">
      <formula1>0</formula1>
      <formula2>3</formula2>
    </dataValidation>
    <dataValidation type="whole" allowBlank="1" showInputMessage="1" showErrorMessage="1" sqref="AY36:AY37" xr:uid="{00000000-0002-0000-0100-000006000000}">
      <formula1>1</formula1>
      <formula2>3</formula2>
    </dataValidation>
    <dataValidation type="list" allowBlank="1" showInputMessage="1" showErrorMessage="1" sqref="U133:U136 U159:U1048576" xr:uid="{00000000-0002-0000-0100-000007000000}">
      <formula1>$C$2:$C$4</formula1>
    </dataValidation>
    <dataValidation type="list" allowBlank="1" showInputMessage="1" showErrorMessage="1" sqref="BO61 BO66 BO80:BO86 BO115:BO117 BO1:BO16 BO159:BO1048576" xr:uid="{00000000-0002-0000-0100-000008000000}">
      <formula1>$D$2:$D$4</formula1>
    </dataValidation>
    <dataValidation type="list" allowBlank="1" showInputMessage="1" showErrorMessage="1" sqref="AV3:AV7 AV53:AV117 AV136 AV159:AV1048576" xr:uid="{00000000-0002-0000-0100-000009000000}">
      <formula1>$J$2:$J$3</formula1>
    </dataValidation>
    <dataValidation type="list" allowBlank="1" showInputMessage="1" showErrorMessage="1" sqref="U1:U117 S133:S136 U133:U136 S159:S1048576 U159:U1048576" xr:uid="{00000000-0002-0000-0100-00000A000000}">
      <formula1>$M$2:$M$9</formula1>
    </dataValidation>
    <dataValidation type="list" allowBlank="1" showInputMessage="1" showErrorMessage="1" sqref="S1:S117 U1:W117 U133:U136 S133:S136 S159:S1048576 U159:W1048576" xr:uid="{00000000-0002-0000-0100-00000B000000}">
      <formula1>$L$2:$L$3</formula1>
    </dataValidation>
    <dataValidation type="list" allowBlank="1" showInputMessage="1" showErrorMessage="1" sqref="S1:S117 U1:W117 U133:U136 S133:S136 S159:S1048576 U159:W1048576" xr:uid="{00000000-0002-0000-0100-00000C000000}">
      <formula1>$O$2:$O$7</formula1>
    </dataValidation>
    <dataValidation type="list" allowBlank="1" showInputMessage="1" showErrorMessage="1" sqref="K157:K1048576" xr:uid="{00000000-0002-0000-0100-00000D000000}">
      <formula1>$K$2:$K$12</formula1>
    </dataValidation>
    <dataValidation type="list" allowBlank="1" showInputMessage="1" showErrorMessage="1" sqref="R87:R110 R47:R77 R1:R44 R117:R135 R137:R1048576" xr:uid="{00000000-0002-0000-0100-000018000000}">
      <formula1>$M$2:$M$10</formula1>
    </dataValidation>
    <dataValidation type="list" allowBlank="1" showInputMessage="1" showErrorMessage="1" sqref="BT30:BT40 BT159:BT1048576 BT133:BT135 BT47:BT52 BT61 BT73:BT77 BT80 BT85:BT86 BT94:BT117" xr:uid="{00000000-0002-0000-0100-00000E000000}">
      <formula1>$P:$P</formula1>
    </dataValidation>
    <dataValidation type="list" allowBlank="1" showInputMessage="1" showErrorMessage="1" sqref="G1:G7 G159:G1048576 G133:G136" xr:uid="{00000000-0002-0000-0100-00000F000000}">
      <formula1>$T:$T</formula1>
    </dataValidation>
    <dataValidation type="list" allowBlank="1" showInputMessage="1" showErrorMessage="1" sqref="AR1:AR37 AR159:AR1048576 AR133:AR136" xr:uid="{00000000-0002-0000-0100-000010000000}">
      <formula1>$H:$H</formula1>
    </dataValidation>
    <dataValidation type="list" allowBlank="1" showInputMessage="1" showErrorMessage="1" sqref="AT1:AT34 AT159:AT1048576 AT36:AT117" xr:uid="{00000000-0002-0000-0100-000011000000}">
      <formula1>$Q:$Q</formula1>
    </dataValidation>
    <dataValidation type="list" allowBlank="1" showInputMessage="1" showErrorMessage="1" sqref="U1:W117 U159:W1048576 S159:S1048576 N159:N1048576 S133:S136 U133:U136 N1:N117 N133:N136 S1:S117" xr:uid="{00000000-0002-0000-0100-000012000000}">
      <formula1>$E:$E</formula1>
    </dataValidation>
    <dataValidation type="list" allowBlank="1" showInputMessage="1" showErrorMessage="1" sqref="O1:O117 O158:O1048576" xr:uid="{00000000-0002-0000-0100-000013000000}">
      <formula1>$O:$O</formula1>
    </dataValidation>
    <dataValidation type="list" allowBlank="1" showInputMessage="1" showErrorMessage="1" sqref="T86:T91 T159:T1048576 T1:T26 T133:T136 T111 T29:T52 T73" xr:uid="{00000000-0002-0000-0100-000014000000}">
      <formula1>$C:$C</formula1>
    </dataValidation>
    <dataValidation type="list" allowBlank="1" showInputMessage="1" showErrorMessage="1" sqref="E1:E117 E159:E1048576" xr:uid="{00000000-0002-0000-0100-000015000000}">
      <formula1>$S:$S</formula1>
    </dataValidation>
    <dataValidation type="list" allowBlank="1" showInputMessage="1" showErrorMessage="1" sqref="U1:U117 U159:U1048576 S159:S1048576 S133:S136 U133:U136" xr:uid="{00000000-0002-0000-0100-000016000000}">
      <formula1>$I:$I</formula1>
    </dataValidation>
    <dataValidation type="list" allowBlank="1" showInputMessage="1" showErrorMessage="1" sqref="S133:S136 U159:U1048576 S159:S1048576 P159:P1048576 U133:U136 P133:P136 P1:P117 S1:S117" xr:uid="{00000000-0002-0000-0100-000017000000}">
      <formula1>$N:$N</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5">
        <x14:dataValidation type="list" allowBlank="1" showInputMessage="1" showErrorMessage="1" xr:uid="{00000000-0002-0000-0100-000019000000}">
          <x14:formula1>
            <xm:f>'Lists for variables'!$C$2:$C$4</xm:f>
          </x14:formula1>
          <xm:sqref>U1:U117</xm:sqref>
        </x14:dataValidation>
        <x14:dataValidation type="list" allowBlank="1" showInputMessage="1" showErrorMessage="1" xr:uid="{00000000-0002-0000-0100-00001A000000}">
          <x14:formula1>
            <xm:f>'Lists for variables'!$A$2:$A$4</xm:f>
          </x14:formula1>
          <xm:sqref>BU2:BW117 BU133:BU135 BV133:BW136 BU157:BW1048576</xm:sqref>
        </x14:dataValidation>
        <x14:dataValidation type="list" allowBlank="1" showInputMessage="1" showErrorMessage="1" xr:uid="{00000000-0002-0000-0100-00001B000000}">
          <x14:formula1>
            <xm:f>'Lists for variables'!$D$2:$D$4</xm:f>
          </x14:formula1>
          <xm:sqref>BO30:BO35</xm:sqref>
        </x14:dataValidation>
        <x14:dataValidation type="list" allowBlank="1" showInputMessage="1" showErrorMessage="1" xr:uid="{00000000-0002-0000-0100-00001C000000}">
          <x14:formula1>
            <xm:f>'Lists for variables'!$J$2:$J$3</xm:f>
          </x14:formula1>
          <xm:sqref>AV1</xm:sqref>
        </x14:dataValidation>
        <x14:dataValidation type="list" allowBlank="1" showInputMessage="1" showErrorMessage="1" xr:uid="{00000000-0002-0000-0100-00001D000000}">
          <x14:formula1>
            <xm:f>'Lists for variables'!$M$2:$M$9</xm:f>
          </x14:formula1>
          <xm:sqref>S1:S117</xm:sqref>
        </x14:dataValidation>
        <x14:dataValidation type="list" allowBlank="1" showInputMessage="1" showErrorMessage="1" xr:uid="{00000000-0002-0000-0100-00001E000000}">
          <x14:formula1>
            <xm:f>'Lists for variables'!$L$2:$L$3</xm:f>
          </x14:formula1>
          <xm:sqref>V136:W136</xm:sqref>
        </x14:dataValidation>
        <x14:dataValidation type="list" allowBlank="1" showInputMessage="1" showErrorMessage="1" xr:uid="{00000000-0002-0000-0100-00001F000000}">
          <x14:formula1>
            <xm:f>'Lists for variables'!$O$2:$O$7</xm:f>
          </x14:formula1>
          <xm:sqref>V136:W136</xm:sqref>
        </x14:dataValidation>
        <x14:dataValidation type="list" allowBlank="1" showInputMessage="1" showErrorMessage="1" xr:uid="{00000000-0002-0000-0100-000020000000}">
          <x14:formula1>
            <xm:f>'https://d.docs.live.net/Users/dianadanilenko/Library/Containers/com.microsoft.Excel/Data/Documents/Users/dianadanilenko/Library/Containers/com.microsoft.Excel/Data/Documents/C:/Users/dianadanilenko/Downloads/[Coding_Appliances_v7.xlsx]Lists for variables'!#REF!</xm:f>
          </x14:formula1>
          <xm:sqref>AY30:AY35</xm:sqref>
        </x14:dataValidation>
        <x14:dataValidation type="list" allowBlank="1" showInputMessage="1" showErrorMessage="1" xr:uid="{00000000-0002-0000-0100-000021000000}">
          <x14:formula1>
            <xm:f>'Lists for variables'!$K$2:$K$12</xm:f>
          </x14:formula1>
          <xm:sqref>K1:K136</xm:sqref>
        </x14:dataValidation>
        <x14:dataValidation type="list" allowBlank="1" showInputMessage="1" showErrorMessage="1" xr:uid="{00000000-0002-0000-0100-000022000000}">
          <x14:formula1>
            <xm:f>'Lists for variables'!$M$2:$M$10</xm:f>
          </x14:formula1>
          <xm:sqref>R80:R84</xm:sqref>
        </x14:dataValidation>
        <x14:dataValidation type="list" allowBlank="1" showInputMessage="1" showErrorMessage="1" xr:uid="{00000000-0002-0000-0100-000023000000}">
          <x14:formula1>
            <xm:f>'Lists for variables'!$I$1:$I$7</xm:f>
          </x14:formula1>
          <xm:sqref>Q1:Q1048576</xm:sqref>
        </x14:dataValidation>
        <x14:dataValidation type="list" allowBlank="1" showInputMessage="1" showErrorMessage="1" xr:uid="{00000000-0002-0000-0100-000024000000}">
          <x14:formula1>
            <xm:f>'Lists for variables'!$P:$P</xm:f>
          </x14:formula1>
          <xm:sqref>BT1</xm:sqref>
        </x14:dataValidation>
        <x14:dataValidation type="list" allowBlank="1" showInputMessage="1" showErrorMessage="1" xr:uid="{00000000-0002-0000-0100-000025000000}">
          <x14:formula1>
            <xm:f>'Lists for variables'!$T:$T</xm:f>
          </x14:formula1>
          <xm:sqref>G17:G117 G157:G158</xm:sqref>
        </x14:dataValidation>
        <x14:dataValidation type="list" allowBlank="1" showInputMessage="1" showErrorMessage="1" xr:uid="{00000000-0002-0000-0100-000026000000}">
          <x14:formula1>
            <xm:f>'Lists for variables'!$H:$H</xm:f>
          </x14:formula1>
          <xm:sqref>AR39:AR117</xm:sqref>
        </x14:dataValidation>
        <x14:dataValidation type="list" allowBlank="1" showInputMessage="1" showErrorMessage="1" xr:uid="{00000000-0002-0000-0100-000027000000}">
          <x14:formula1>
            <xm:f>'Lists for variables'!$G:$G</xm:f>
          </x14:formula1>
          <xm:sqref>M157:M1048576</xm:sqref>
        </x14:dataValidation>
        <x14:dataValidation type="list" allowBlank="1" showInputMessage="1" showErrorMessage="1" xr:uid="{00000000-0002-0000-0100-000028000000}">
          <x14:formula1>
            <xm:f>'Lists for variables'!$Q:$Q</xm:f>
          </x14:formula1>
          <xm:sqref>AT133:AT136</xm:sqref>
        </x14:dataValidation>
        <x14:dataValidation type="list" allowBlank="1" showInputMessage="1" showErrorMessage="1" xr:uid="{00000000-0002-0000-0100-000029000000}">
          <x14:formula1>
            <xm:f>'Lists for variables'!$E:$E</xm:f>
          </x14:formula1>
          <xm:sqref>V136:W136</xm:sqref>
        </x14:dataValidation>
        <x14:dataValidation type="list" allowBlank="1" showInputMessage="1" showErrorMessage="1" xr:uid="{00000000-0002-0000-0100-00002A000000}">
          <x14:formula1>
            <xm:f>'Lists for variables'!$O:$O</xm:f>
          </x14:formula1>
          <xm:sqref>O133:O136 O157</xm:sqref>
        </x14:dataValidation>
        <x14:dataValidation type="list" allowBlank="1" showInputMessage="1" showErrorMessage="1" xr:uid="{00000000-0002-0000-0100-00002B000000}">
          <x14:formula1>
            <xm:f>'Lists for variables'!$C:$C</xm:f>
          </x14:formula1>
          <xm:sqref>T117</xm:sqref>
        </x14:dataValidation>
        <x14:dataValidation type="list" allowBlank="1" showInputMessage="1" showErrorMessage="1" xr:uid="{00000000-0002-0000-0100-00002C000000}">
          <x14:formula1>
            <xm:f>'Lists for variables'!$S:$S</xm:f>
          </x14:formula1>
          <xm:sqref>E136</xm:sqref>
        </x14:dataValidation>
        <x14:dataValidation type="list" allowBlank="1" showInputMessage="1" showErrorMessage="1" xr:uid="{00000000-0002-0000-0100-00002D000000}">
          <x14:formula1>
            <xm:f>'Lists for variables'!$I:$I</xm:f>
          </x14:formula1>
          <xm:sqref>S1:S117</xm:sqref>
        </x14:dataValidation>
        <x14:dataValidation type="list" allowBlank="1" showInputMessage="1" showErrorMessage="1" xr:uid="{00000000-0002-0000-0100-00002E000000}">
          <x14:formula1>
            <xm:f>'Lists for variables'!$N:$N</xm:f>
          </x14:formula1>
          <xm:sqref>U1:U117</xm:sqref>
        </x14:dataValidation>
        <x14:dataValidation type="list" allowBlank="1" showInputMessage="1" showErrorMessage="1" xr:uid="{00000000-0002-0000-0100-00002F000000}">
          <x14:formula1>
            <xm:f>'Lists for variables'!$B$2:$B$3</xm:f>
          </x14:formula1>
          <xm:sqref>B1:B1048576</xm:sqref>
        </x14:dataValidation>
        <x14:dataValidation type="list" allowBlank="1" showInputMessage="1" showErrorMessage="1" xr:uid="{FF21C565-6092-4645-8953-82F50BFA2E0A}">
          <x14:formula1>
            <xm:f>'Lists for variables'!$S$2:$S$100</xm:f>
          </x14:formula1>
          <xm:sqref>E157:E158</xm:sqref>
        </x14:dataValidation>
        <x14:dataValidation type="list" allowBlank="1" showInputMessage="1" showErrorMessage="1" xr:uid="{C0140C83-7051-CB42-8044-31F2142E5C49}">
          <x14:formula1>
            <xm:f>'Lists for variables'!$E$1:$E$7</xm:f>
          </x14:formula1>
          <xm:sqref>N157:N158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J18"/>
  <sheetViews>
    <sheetView zoomScale="120" zoomScaleNormal="120" workbookViewId="0">
      <selection activeCell="A7" sqref="A7"/>
    </sheetView>
  </sheetViews>
  <sheetFormatPr baseColWidth="10" defaultColWidth="11" defaultRowHeight="16"/>
  <cols>
    <col min="1" max="1" width="28.5" bestFit="1" customWidth="1"/>
    <col min="2" max="2" width="41" bestFit="1" customWidth="1"/>
    <col min="3" max="3" width="29.6640625" bestFit="1" customWidth="1"/>
    <col min="4" max="4" width="20.5" bestFit="1" customWidth="1"/>
    <col min="5" max="5" width="18.1640625" bestFit="1" customWidth="1"/>
    <col min="6" max="6" width="20.6640625" bestFit="1" customWidth="1"/>
    <col min="7" max="7" width="18.1640625" bestFit="1" customWidth="1"/>
    <col min="8" max="8" width="15.6640625" bestFit="1" customWidth="1"/>
    <col min="9" max="9" width="22.5" bestFit="1" customWidth="1"/>
    <col min="10" max="10" width="23" bestFit="1" customWidth="1"/>
    <col min="11" max="11" width="25.6640625" bestFit="1" customWidth="1"/>
    <col min="12" max="12" width="19.5" bestFit="1" customWidth="1"/>
    <col min="13" max="13" width="14.6640625" bestFit="1" customWidth="1"/>
    <col min="14" max="14" width="30" bestFit="1" customWidth="1"/>
    <col min="15" max="15" width="26.6640625" bestFit="1" customWidth="1"/>
    <col min="16" max="17" width="22.1640625" bestFit="1" customWidth="1"/>
    <col min="18" max="18" width="13.6640625" bestFit="1" customWidth="1"/>
    <col min="19" max="19" width="28.1640625" bestFit="1" customWidth="1"/>
    <col min="20" max="20" width="23.1640625" bestFit="1" customWidth="1"/>
    <col min="21" max="21" width="21.6640625" bestFit="1" customWidth="1"/>
    <col min="22" max="22" width="15" bestFit="1" customWidth="1"/>
    <col min="23" max="23" width="17.1640625" bestFit="1" customWidth="1"/>
    <col min="24" max="24" width="11.5" bestFit="1" customWidth="1"/>
    <col min="25" max="25" width="12.6640625" bestFit="1" customWidth="1"/>
    <col min="26" max="26" width="15.6640625" bestFit="1" customWidth="1"/>
    <col min="27" max="27" width="13.6640625" bestFit="1" customWidth="1"/>
    <col min="28" max="28" width="11" bestFit="1" customWidth="1"/>
    <col min="29" max="29" width="23.6640625" bestFit="1" customWidth="1"/>
    <col min="30" max="30" width="18.6640625" bestFit="1" customWidth="1"/>
    <col min="31" max="31" width="22.6640625" bestFit="1" customWidth="1"/>
    <col min="32" max="32" width="15.6640625" bestFit="1" customWidth="1"/>
    <col min="33" max="33" width="17.1640625" bestFit="1" customWidth="1"/>
    <col min="34" max="34" width="17" bestFit="1" customWidth="1"/>
    <col min="35" max="35" width="13.6640625" bestFit="1" customWidth="1"/>
    <col min="36" max="36" width="18.6640625" bestFit="1" customWidth="1"/>
    <col min="37" max="38" width="9.1640625" bestFit="1" customWidth="1"/>
    <col min="39" max="39" width="36.1640625" bestFit="1" customWidth="1"/>
    <col min="40" max="40" width="29" bestFit="1" customWidth="1"/>
    <col min="41" max="41" width="17.6640625" bestFit="1" customWidth="1"/>
    <col min="42" max="42" width="21.6640625" bestFit="1" customWidth="1"/>
    <col min="43" max="43" width="20.1640625" bestFit="1" customWidth="1"/>
    <col min="44" max="44" width="15" bestFit="1" customWidth="1"/>
    <col min="45" max="45" width="24.5" bestFit="1" customWidth="1"/>
    <col min="46" max="46" width="13.1640625" bestFit="1" customWidth="1"/>
    <col min="47" max="47" width="21.6640625" bestFit="1" customWidth="1"/>
    <col min="48" max="48" width="36.5" bestFit="1" customWidth="1"/>
    <col min="49" max="49" width="23.6640625" bestFit="1" customWidth="1"/>
    <col min="50" max="50" width="17.1640625" bestFit="1" customWidth="1"/>
    <col min="51" max="51" width="29.6640625" bestFit="1" customWidth="1"/>
    <col min="52" max="52" width="33" bestFit="1" customWidth="1"/>
    <col min="53" max="53" width="35.5" bestFit="1" customWidth="1"/>
    <col min="54" max="54" width="21.6640625" bestFit="1" customWidth="1"/>
    <col min="55" max="55" width="24.1640625" bestFit="1" customWidth="1"/>
    <col min="56" max="56" width="17.6640625" bestFit="1" customWidth="1"/>
    <col min="57" max="57" width="25.6640625" bestFit="1" customWidth="1"/>
    <col min="58" max="58" width="35" bestFit="1" customWidth="1"/>
    <col min="59" max="59" width="26.1640625" bestFit="1" customWidth="1"/>
    <col min="60" max="60" width="12.1640625" bestFit="1" customWidth="1"/>
    <col min="61" max="61" width="20.5" bestFit="1" customWidth="1"/>
    <col min="62" max="62" width="15.6640625" bestFit="1" customWidth="1"/>
    <col min="63" max="64" width="18.5" bestFit="1" customWidth="1"/>
  </cols>
  <sheetData>
    <row r="1" spans="1:62">
      <c r="A1" s="173" t="s">
        <v>7</v>
      </c>
      <c r="B1" t="s">
        <v>73</v>
      </c>
    </row>
    <row r="2" spans="1:62">
      <c r="A2" s="173" t="s">
        <v>198</v>
      </c>
      <c r="B2" t="s">
        <v>233</v>
      </c>
    </row>
    <row r="4" spans="1:62">
      <c r="A4" s="173" t="s">
        <v>461</v>
      </c>
      <c r="B4" t="s">
        <v>462</v>
      </c>
      <c r="C4" t="s">
        <v>463</v>
      </c>
      <c r="D4" t="s">
        <v>464</v>
      </c>
      <c r="E4" t="s">
        <v>465</v>
      </c>
      <c r="F4" t="s">
        <v>466</v>
      </c>
      <c r="G4" t="s">
        <v>467</v>
      </c>
      <c r="H4" t="s">
        <v>468</v>
      </c>
      <c r="I4" t="s">
        <v>469</v>
      </c>
      <c r="J4" t="s">
        <v>470</v>
      </c>
      <c r="K4" t="s">
        <v>471</v>
      </c>
      <c r="L4" t="s">
        <v>472</v>
      </c>
      <c r="M4" t="s">
        <v>473</v>
      </c>
      <c r="N4" t="s">
        <v>474</v>
      </c>
      <c r="O4" t="s">
        <v>475</v>
      </c>
      <c r="P4" t="s">
        <v>476</v>
      </c>
      <c r="Q4" t="s">
        <v>477</v>
      </c>
      <c r="R4" t="s">
        <v>478</v>
      </c>
      <c r="S4" t="s">
        <v>479</v>
      </c>
      <c r="T4" t="s">
        <v>480</v>
      </c>
      <c r="U4" t="s">
        <v>481</v>
      </c>
      <c r="V4" t="s">
        <v>482</v>
      </c>
      <c r="W4" t="s">
        <v>483</v>
      </c>
      <c r="X4" t="s">
        <v>484</v>
      </c>
      <c r="Y4" t="s">
        <v>485</v>
      </c>
      <c r="Z4" t="s">
        <v>486</v>
      </c>
      <c r="AA4" t="s">
        <v>487</v>
      </c>
      <c r="AB4" t="s">
        <v>488</v>
      </c>
      <c r="AC4" t="s">
        <v>489</v>
      </c>
      <c r="AD4" t="s">
        <v>490</v>
      </c>
      <c r="AE4" t="s">
        <v>491</v>
      </c>
      <c r="AF4" t="s">
        <v>492</v>
      </c>
      <c r="AG4" t="s">
        <v>493</v>
      </c>
      <c r="AH4" t="s">
        <v>494</v>
      </c>
      <c r="AI4" t="s">
        <v>495</v>
      </c>
      <c r="AJ4" t="s">
        <v>496</v>
      </c>
      <c r="AK4" t="s">
        <v>497</v>
      </c>
      <c r="AL4" t="s">
        <v>498</v>
      </c>
      <c r="AM4" t="s">
        <v>499</v>
      </c>
      <c r="AN4" t="s">
        <v>500</v>
      </c>
      <c r="AO4" t="s">
        <v>501</v>
      </c>
      <c r="AP4" t="s">
        <v>502</v>
      </c>
      <c r="AQ4" t="s">
        <v>503</v>
      </c>
      <c r="AR4" t="s">
        <v>504</v>
      </c>
      <c r="AS4" t="s">
        <v>505</v>
      </c>
      <c r="AT4" t="s">
        <v>506</v>
      </c>
      <c r="AU4" t="s">
        <v>507</v>
      </c>
      <c r="AV4" t="s">
        <v>508</v>
      </c>
      <c r="AW4" t="s">
        <v>509</v>
      </c>
      <c r="AX4" t="s">
        <v>510</v>
      </c>
      <c r="AY4" t="s">
        <v>511</v>
      </c>
      <c r="AZ4" t="s">
        <v>512</v>
      </c>
      <c r="BA4" t="s">
        <v>513</v>
      </c>
      <c r="BB4" t="s">
        <v>514</v>
      </c>
      <c r="BC4" t="s">
        <v>515</v>
      </c>
      <c r="BD4" t="s">
        <v>516</v>
      </c>
      <c r="BE4" t="s">
        <v>517</v>
      </c>
      <c r="BF4" t="s">
        <v>518</v>
      </c>
      <c r="BG4" t="s">
        <v>519</v>
      </c>
      <c r="BH4" t="s">
        <v>520</v>
      </c>
      <c r="BI4" t="s">
        <v>521</v>
      </c>
      <c r="BJ4" t="s">
        <v>522</v>
      </c>
    </row>
    <row r="5" spans="1:62">
      <c r="A5" s="174" t="s">
        <v>364</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74"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74" t="s">
        <v>225</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74"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74"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74" t="s">
        <v>260</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74" t="s">
        <v>273</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74" t="s">
        <v>379</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74" t="s">
        <v>269</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74" t="s">
        <v>240</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74" t="s">
        <v>420</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74" t="s">
        <v>523</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74"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74" t="s">
        <v>524</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T100"/>
  <sheetViews>
    <sheetView topLeftCell="J1" zoomScale="115" zoomScaleNormal="70" workbookViewId="0">
      <pane ySplit="1" topLeftCell="A2" activePane="bottomLeft" state="frozen"/>
      <selection pane="bottomLeft" activeCell="O34" sqref="O34"/>
    </sheetView>
  </sheetViews>
  <sheetFormatPr baseColWidth="10" defaultColWidth="11" defaultRowHeight="16"/>
  <cols>
    <col min="4" max="4" width="15.5" customWidth="1"/>
    <col min="6" max="6" width="19.6640625" customWidth="1"/>
    <col min="7" max="7" width="22" customWidth="1"/>
    <col min="8" max="8" width="18.1640625" style="26" customWidth="1"/>
    <col min="9" max="9" width="20.5" customWidth="1"/>
    <col min="10" max="10" width="14.1640625" customWidth="1"/>
    <col min="11" max="11" width="15.1640625" customWidth="1"/>
  </cols>
  <sheetData>
    <row r="1" spans="1:20" s="39" customFormat="1" ht="17">
      <c r="A1" s="39" t="s">
        <v>525</v>
      </c>
      <c r="B1" s="56" t="s">
        <v>714</v>
      </c>
      <c r="C1" s="39" t="s">
        <v>188</v>
      </c>
      <c r="D1" s="1" t="s">
        <v>526</v>
      </c>
      <c r="E1" s="39" t="s">
        <v>10</v>
      </c>
      <c r="F1" s="1" t="s">
        <v>40</v>
      </c>
      <c r="G1" s="2" t="s">
        <v>9</v>
      </c>
      <c r="H1" s="37" t="s">
        <v>527</v>
      </c>
      <c r="I1" s="38" t="s">
        <v>185</v>
      </c>
      <c r="J1" s="39" t="s">
        <v>28</v>
      </c>
      <c r="K1" s="39" t="s">
        <v>7</v>
      </c>
      <c r="L1" s="39" t="s">
        <v>528</v>
      </c>
      <c r="M1" s="39" t="s">
        <v>186</v>
      </c>
      <c r="N1" s="39" t="s">
        <v>184</v>
      </c>
      <c r="O1" s="39" t="s">
        <v>50</v>
      </c>
      <c r="P1" s="39" t="s">
        <v>210</v>
      </c>
      <c r="Q1" s="42" t="s">
        <v>200</v>
      </c>
      <c r="S1" s="39" t="s">
        <v>182</v>
      </c>
      <c r="T1" s="39" t="s">
        <v>4</v>
      </c>
    </row>
    <row r="2" spans="1:20" ht="34">
      <c r="A2">
        <v>0</v>
      </c>
      <c r="B2" t="s">
        <v>719</v>
      </c>
      <c r="C2" t="s">
        <v>188</v>
      </c>
      <c r="D2" t="s">
        <v>236</v>
      </c>
      <c r="E2" t="s">
        <v>112</v>
      </c>
      <c r="F2">
        <v>1</v>
      </c>
      <c r="G2" t="s">
        <v>93</v>
      </c>
      <c r="H2" s="26" t="s">
        <v>529</v>
      </c>
      <c r="I2" t="s">
        <v>310</v>
      </c>
      <c r="J2" t="s">
        <v>80</v>
      </c>
      <c r="K2" t="s">
        <v>530</v>
      </c>
      <c r="L2" t="s">
        <v>231</v>
      </c>
      <c r="M2" t="s">
        <v>531</v>
      </c>
      <c r="N2" t="s">
        <v>227</v>
      </c>
      <c r="O2" t="s">
        <v>81</v>
      </c>
      <c r="P2" t="s">
        <v>343</v>
      </c>
      <c r="Q2" s="41" t="s">
        <v>235</v>
      </c>
      <c r="S2" s="47" t="s">
        <v>715</v>
      </c>
      <c r="T2" s="47" t="s">
        <v>532</v>
      </c>
    </row>
    <row r="3" spans="1:20" ht="34">
      <c r="A3">
        <v>1</v>
      </c>
      <c r="B3" s="26" t="s">
        <v>718</v>
      </c>
      <c r="C3" t="s">
        <v>340</v>
      </c>
      <c r="D3" t="s">
        <v>301</v>
      </c>
      <c r="E3" t="s">
        <v>226</v>
      </c>
      <c r="F3">
        <v>2</v>
      </c>
      <c r="G3" t="s">
        <v>420</v>
      </c>
      <c r="H3" s="26" t="s">
        <v>533</v>
      </c>
      <c r="I3" t="s">
        <v>306</v>
      </c>
      <c r="J3" t="s">
        <v>86</v>
      </c>
      <c r="K3" t="s">
        <v>534</v>
      </c>
      <c r="L3" t="s">
        <v>245</v>
      </c>
      <c r="M3" t="s">
        <v>311</v>
      </c>
      <c r="N3" t="s">
        <v>293</v>
      </c>
      <c r="O3" t="s">
        <v>148</v>
      </c>
      <c r="P3" t="s">
        <v>314</v>
      </c>
      <c r="Q3" s="41" t="s">
        <v>264</v>
      </c>
      <c r="S3" s="46" t="s">
        <v>716</v>
      </c>
      <c r="T3" s="46" t="s">
        <v>535</v>
      </c>
    </row>
    <row r="4" spans="1:20" ht="51">
      <c r="A4" t="s">
        <v>73</v>
      </c>
      <c r="C4" t="s">
        <v>230</v>
      </c>
      <c r="D4" t="s">
        <v>73</v>
      </c>
      <c r="E4" t="s">
        <v>241</v>
      </c>
      <c r="F4">
        <v>3</v>
      </c>
      <c r="G4" t="s">
        <v>536</v>
      </c>
      <c r="H4" s="26" t="s">
        <v>233</v>
      </c>
      <c r="I4" t="s">
        <v>537</v>
      </c>
      <c r="K4" t="s">
        <v>538</v>
      </c>
      <c r="M4" t="s">
        <v>244</v>
      </c>
      <c r="N4" t="s">
        <v>242</v>
      </c>
      <c r="O4" t="s">
        <v>299</v>
      </c>
      <c r="P4" t="s">
        <v>354</v>
      </c>
      <c r="Q4" s="41" t="s">
        <v>330</v>
      </c>
      <c r="S4" s="44" t="s">
        <v>717</v>
      </c>
      <c r="T4" s="44" t="s">
        <v>539</v>
      </c>
    </row>
    <row r="5" spans="1:20" ht="51">
      <c r="E5" t="s">
        <v>282</v>
      </c>
      <c r="G5" t="s">
        <v>120</v>
      </c>
      <c r="H5" s="40" t="s">
        <v>540</v>
      </c>
      <c r="I5" t="s">
        <v>228</v>
      </c>
      <c r="K5" s="41" t="s">
        <v>541</v>
      </c>
      <c r="M5" t="s">
        <v>542</v>
      </c>
      <c r="N5" t="s">
        <v>73</v>
      </c>
      <c r="O5" t="s">
        <v>124</v>
      </c>
      <c r="P5" s="41" t="s">
        <v>543</v>
      </c>
      <c r="Q5" t="s">
        <v>73</v>
      </c>
      <c r="S5" s="46" t="s">
        <v>222</v>
      </c>
      <c r="T5" s="46" t="s">
        <v>544</v>
      </c>
    </row>
    <row r="6" spans="1:20">
      <c r="E6" s="41" t="s">
        <v>545</v>
      </c>
      <c r="G6" t="s">
        <v>546</v>
      </c>
      <c r="I6" t="s">
        <v>243</v>
      </c>
      <c r="K6" t="s">
        <v>547</v>
      </c>
      <c r="M6" t="s">
        <v>548</v>
      </c>
      <c r="O6" t="s">
        <v>274</v>
      </c>
      <c r="P6" t="s">
        <v>73</v>
      </c>
      <c r="S6" s="46" t="s">
        <v>302</v>
      </c>
      <c r="T6" s="46" t="s">
        <v>303</v>
      </c>
    </row>
    <row r="7" spans="1:20">
      <c r="E7" t="s">
        <v>393</v>
      </c>
      <c r="G7" t="s">
        <v>549</v>
      </c>
      <c r="I7" t="s">
        <v>413</v>
      </c>
      <c r="K7" s="41" t="s">
        <v>550</v>
      </c>
      <c r="M7" t="s">
        <v>254</v>
      </c>
      <c r="O7" t="s">
        <v>551</v>
      </c>
      <c r="P7" t="s">
        <v>331</v>
      </c>
      <c r="S7" s="46" t="s">
        <v>323</v>
      </c>
      <c r="T7" s="46" t="s">
        <v>324</v>
      </c>
    </row>
    <row r="8" spans="1:20">
      <c r="G8" t="s">
        <v>107</v>
      </c>
      <c r="K8" s="41" t="s">
        <v>552</v>
      </c>
      <c r="M8" t="s">
        <v>331</v>
      </c>
      <c r="O8" t="s">
        <v>339</v>
      </c>
      <c r="S8" s="46" t="s">
        <v>553</v>
      </c>
      <c r="T8" s="46" t="s">
        <v>554</v>
      </c>
    </row>
    <row r="9" spans="1:20">
      <c r="G9" t="s">
        <v>364</v>
      </c>
      <c r="K9" t="s">
        <v>331</v>
      </c>
      <c r="M9" t="s">
        <v>555</v>
      </c>
      <c r="O9" t="s">
        <v>556</v>
      </c>
      <c r="S9" s="44" t="s">
        <v>557</v>
      </c>
      <c r="T9" s="44" t="s">
        <v>558</v>
      </c>
    </row>
    <row r="10" spans="1:20">
      <c r="G10" t="s">
        <v>155</v>
      </c>
      <c r="K10" t="s">
        <v>559</v>
      </c>
      <c r="M10" t="s">
        <v>335</v>
      </c>
      <c r="O10" t="s">
        <v>319</v>
      </c>
      <c r="S10" s="44" t="s">
        <v>560</v>
      </c>
      <c r="T10" s="44" t="s">
        <v>561</v>
      </c>
    </row>
    <row r="11" spans="1:20">
      <c r="G11" t="s">
        <v>562</v>
      </c>
      <c r="K11" t="s">
        <v>563</v>
      </c>
      <c r="O11" t="s">
        <v>564</v>
      </c>
      <c r="S11" s="44" t="s">
        <v>565</v>
      </c>
      <c r="T11" s="44" t="s">
        <v>566</v>
      </c>
    </row>
    <row r="12" spans="1:20">
      <c r="G12" t="s">
        <v>567</v>
      </c>
      <c r="K12" t="s">
        <v>73</v>
      </c>
      <c r="O12" t="s">
        <v>253</v>
      </c>
      <c r="S12" s="44" t="s">
        <v>568</v>
      </c>
      <c r="T12" s="44" t="s">
        <v>569</v>
      </c>
    </row>
    <row r="13" spans="1:20">
      <c r="G13" t="s">
        <v>225</v>
      </c>
      <c r="O13" t="s">
        <v>96</v>
      </c>
      <c r="S13" s="46" t="s">
        <v>570</v>
      </c>
      <c r="T13" s="46" t="s">
        <v>571</v>
      </c>
    </row>
    <row r="14" spans="1:20">
      <c r="G14" s="41" t="s">
        <v>240</v>
      </c>
      <c r="O14" t="s">
        <v>572</v>
      </c>
      <c r="S14" s="44" t="s">
        <v>573</v>
      </c>
      <c r="T14" s="44" t="s">
        <v>574</v>
      </c>
    </row>
    <row r="15" spans="1:20">
      <c r="G15" s="41" t="s">
        <v>155</v>
      </c>
      <c r="O15" t="s">
        <v>283</v>
      </c>
      <c r="S15" s="46" t="s">
        <v>575</v>
      </c>
      <c r="T15" s="46" t="s">
        <v>576</v>
      </c>
    </row>
    <row r="16" spans="1:20">
      <c r="G16" s="41" t="s">
        <v>577</v>
      </c>
      <c r="O16" t="s">
        <v>156</v>
      </c>
      <c r="S16" s="46" t="s">
        <v>578</v>
      </c>
      <c r="T16" s="46" t="s">
        <v>579</v>
      </c>
    </row>
    <row r="17" spans="7:20">
      <c r="G17" s="41" t="s">
        <v>260</v>
      </c>
      <c r="O17" t="s">
        <v>326</v>
      </c>
      <c r="S17" s="44" t="s">
        <v>580</v>
      </c>
      <c r="T17" s="44" t="s">
        <v>581</v>
      </c>
    </row>
    <row r="18" spans="7:20">
      <c r="G18" s="41" t="s">
        <v>269</v>
      </c>
      <c r="O18" t="s">
        <v>582</v>
      </c>
      <c r="S18" s="46" t="s">
        <v>583</v>
      </c>
      <c r="T18" s="46" t="s">
        <v>127</v>
      </c>
    </row>
    <row r="19" spans="7:20">
      <c r="G19" s="41" t="s">
        <v>584</v>
      </c>
      <c r="O19" t="s">
        <v>585</v>
      </c>
      <c r="S19" s="44" t="s">
        <v>586</v>
      </c>
      <c r="T19" t="s">
        <v>587</v>
      </c>
    </row>
    <row r="20" spans="7:20">
      <c r="G20" s="41" t="s">
        <v>588</v>
      </c>
      <c r="O20" t="s">
        <v>589</v>
      </c>
      <c r="S20" s="46" t="s">
        <v>316</v>
      </c>
      <c r="T20" s="46" t="s">
        <v>317</v>
      </c>
    </row>
    <row r="21" spans="7:20">
      <c r="G21" s="41" t="s">
        <v>590</v>
      </c>
      <c r="O21" t="s">
        <v>421</v>
      </c>
      <c r="S21" s="44" t="s">
        <v>376</v>
      </c>
      <c r="T21" s="44" t="s">
        <v>377</v>
      </c>
    </row>
    <row r="22" spans="7:20">
      <c r="G22" s="41" t="s">
        <v>273</v>
      </c>
      <c r="O22" t="s">
        <v>138</v>
      </c>
      <c r="S22" s="46" t="s">
        <v>376</v>
      </c>
      <c r="T22" s="46" t="s">
        <v>591</v>
      </c>
    </row>
    <row r="23" spans="7:20">
      <c r="G23" s="41" t="s">
        <v>523</v>
      </c>
      <c r="O23" t="s">
        <v>592</v>
      </c>
      <c r="S23" s="44" t="s">
        <v>593</v>
      </c>
      <c r="T23" s="44" t="s">
        <v>418</v>
      </c>
    </row>
    <row r="24" spans="7:20">
      <c r="G24" s="41" t="s">
        <v>594</v>
      </c>
      <c r="O24" t="s">
        <v>373</v>
      </c>
      <c r="S24" s="44" t="s">
        <v>595</v>
      </c>
      <c r="T24" s="44" t="s">
        <v>596</v>
      </c>
    </row>
    <row r="25" spans="7:20">
      <c r="G25" s="41" t="s">
        <v>379</v>
      </c>
      <c r="O25" t="s">
        <v>597</v>
      </c>
      <c r="S25" s="44" t="s">
        <v>598</v>
      </c>
      <c r="T25" s="44" t="s">
        <v>599</v>
      </c>
    </row>
    <row r="26" spans="7:20">
      <c r="G26" s="41" t="s">
        <v>600</v>
      </c>
      <c r="O26" t="s">
        <v>601</v>
      </c>
      <c r="S26" s="44" t="s">
        <v>602</v>
      </c>
      <c r="T26" s="44" t="s">
        <v>603</v>
      </c>
    </row>
    <row r="27" spans="7:20">
      <c r="G27" s="41" t="s">
        <v>604</v>
      </c>
      <c r="O27" t="s">
        <v>458</v>
      </c>
      <c r="S27" s="44" t="s">
        <v>605</v>
      </c>
      <c r="T27" s="44" t="s">
        <v>606</v>
      </c>
    </row>
    <row r="28" spans="7:20">
      <c r="G28" s="41" t="s">
        <v>607</v>
      </c>
      <c r="O28" t="s">
        <v>608</v>
      </c>
      <c r="S28" s="44" t="s">
        <v>609</v>
      </c>
      <c r="T28" s="44" t="s">
        <v>610</v>
      </c>
    </row>
    <row r="29" spans="7:20">
      <c r="G29" s="41" t="s">
        <v>172</v>
      </c>
      <c r="O29" t="s">
        <v>611</v>
      </c>
      <c r="S29" s="44" t="s">
        <v>612</v>
      </c>
      <c r="T29" s="44" t="s">
        <v>613</v>
      </c>
    </row>
    <row r="30" spans="7:20">
      <c r="G30" s="41" t="s">
        <v>614</v>
      </c>
      <c r="O30" t="s">
        <v>615</v>
      </c>
      <c r="S30" s="44" t="s">
        <v>616</v>
      </c>
      <c r="T30" s="44" t="s">
        <v>617</v>
      </c>
    </row>
    <row r="31" spans="7:20">
      <c r="G31" s="41" t="s">
        <v>724</v>
      </c>
      <c r="O31" t="s">
        <v>174</v>
      </c>
      <c r="S31" s="44" t="s">
        <v>257</v>
      </c>
      <c r="T31" s="44" t="s">
        <v>258</v>
      </c>
    </row>
    <row r="32" spans="7:20">
      <c r="O32" t="s">
        <v>348</v>
      </c>
      <c r="S32" s="44" t="s">
        <v>618</v>
      </c>
      <c r="T32" s="44" t="s">
        <v>619</v>
      </c>
    </row>
    <row r="33" spans="15:20">
      <c r="O33" t="s">
        <v>131</v>
      </c>
      <c r="S33" s="44" t="s">
        <v>620</v>
      </c>
      <c r="T33" s="44" t="s">
        <v>621</v>
      </c>
    </row>
    <row r="34" spans="15:20">
      <c r="O34" t="s">
        <v>725</v>
      </c>
      <c r="S34" s="44" t="s">
        <v>361</v>
      </c>
      <c r="T34" s="44" t="s">
        <v>362</v>
      </c>
    </row>
    <row r="35" spans="15:20">
      <c r="S35" s="44" t="s">
        <v>622</v>
      </c>
      <c r="T35" s="44" t="s">
        <v>623</v>
      </c>
    </row>
    <row r="36" spans="15:20">
      <c r="S36" s="44" t="s">
        <v>624</v>
      </c>
      <c r="T36" s="44" t="s">
        <v>625</v>
      </c>
    </row>
    <row r="37" spans="15:20">
      <c r="S37" s="46" t="s">
        <v>626</v>
      </c>
      <c r="T37" s="46" t="s">
        <v>627</v>
      </c>
    </row>
    <row r="38" spans="15:20">
      <c r="S38" s="46" t="s">
        <v>350</v>
      </c>
      <c r="T38" s="46" t="s">
        <v>628</v>
      </c>
    </row>
    <row r="39" spans="15:20">
      <c r="S39" s="46" t="s">
        <v>350</v>
      </c>
      <c r="T39" s="46" t="s">
        <v>351</v>
      </c>
    </row>
    <row r="40" spans="15:20">
      <c r="S40" s="44" t="s">
        <v>629</v>
      </c>
      <c r="T40" s="44" t="s">
        <v>630</v>
      </c>
    </row>
    <row r="41" spans="15:20">
      <c r="S41" s="44" t="s">
        <v>631</v>
      </c>
      <c r="T41" s="44" t="s">
        <v>632</v>
      </c>
    </row>
    <row r="42" spans="15:20">
      <c r="S42" s="46" t="s">
        <v>633</v>
      </c>
      <c r="T42" s="46" t="s">
        <v>634</v>
      </c>
    </row>
    <row r="43" spans="15:20">
      <c r="S43" s="46" t="s">
        <v>633</v>
      </c>
      <c r="T43" s="46" t="s">
        <v>635</v>
      </c>
    </row>
    <row r="44" spans="15:20">
      <c r="S44" s="44" t="s">
        <v>636</v>
      </c>
      <c r="T44" s="17" t="s">
        <v>117</v>
      </c>
    </row>
    <row r="45" spans="15:20">
      <c r="S45" s="46" t="s">
        <v>336</v>
      </c>
      <c r="T45" s="46" t="s">
        <v>337</v>
      </c>
    </row>
    <row r="46" spans="15:20">
      <c r="S46" s="44" t="s">
        <v>370</v>
      </c>
      <c r="T46" s="44" t="s">
        <v>371</v>
      </c>
    </row>
    <row r="47" spans="15:20">
      <c r="S47" s="46" t="s">
        <v>390</v>
      </c>
      <c r="T47" s="46" t="s">
        <v>391</v>
      </c>
    </row>
    <row r="48" spans="15:20">
      <c r="S48" s="44" t="s">
        <v>637</v>
      </c>
      <c r="T48" s="44" t="s">
        <v>638</v>
      </c>
    </row>
    <row r="49" spans="19:20">
      <c r="S49" s="44" t="s">
        <v>402</v>
      </c>
      <c r="T49" s="44" t="s">
        <v>403</v>
      </c>
    </row>
    <row r="50" spans="19:20">
      <c r="S50" s="44" t="s">
        <v>639</v>
      </c>
      <c r="T50" s="44" t="s">
        <v>640</v>
      </c>
    </row>
    <row r="51" spans="19:20">
      <c r="S51" s="44" t="s">
        <v>641</v>
      </c>
      <c r="T51" s="44" t="s">
        <v>642</v>
      </c>
    </row>
    <row r="52" spans="19:20">
      <c r="S52" s="44" t="s">
        <v>237</v>
      </c>
      <c r="T52" s="44" t="s">
        <v>643</v>
      </c>
    </row>
    <row r="53" spans="19:20">
      <c r="S53" s="44" t="s">
        <v>345</v>
      </c>
      <c r="T53" s="17" t="s">
        <v>346</v>
      </c>
    </row>
    <row r="54" spans="19:20">
      <c r="S54" s="44" t="s">
        <v>270</v>
      </c>
      <c r="T54" s="44" t="s">
        <v>271</v>
      </c>
    </row>
    <row r="55" spans="19:20">
      <c r="S55" s="44" t="s">
        <v>644</v>
      </c>
      <c r="T55" s="44" t="s">
        <v>645</v>
      </c>
    </row>
    <row r="56" spans="19:20">
      <c r="S56" s="44" t="s">
        <v>646</v>
      </c>
      <c r="T56" s="44" t="s">
        <v>647</v>
      </c>
    </row>
    <row r="57" spans="19:20">
      <c r="S57" s="44" t="s">
        <v>648</v>
      </c>
      <c r="T57" s="44" t="s">
        <v>649</v>
      </c>
    </row>
    <row r="58" spans="19:20">
      <c r="S58" s="44" t="s">
        <v>650</v>
      </c>
      <c r="T58" s="44" t="s">
        <v>651</v>
      </c>
    </row>
    <row r="59" spans="19:20">
      <c r="S59" s="44" t="s">
        <v>652</v>
      </c>
      <c r="T59" s="44" t="s">
        <v>653</v>
      </c>
    </row>
    <row r="60" spans="19:20">
      <c r="S60" s="44" t="s">
        <v>654</v>
      </c>
      <c r="T60" s="44" t="s">
        <v>655</v>
      </c>
    </row>
    <row r="61" spans="19:20">
      <c r="S61" s="44" t="s">
        <v>433</v>
      </c>
      <c r="T61" s="44" t="s">
        <v>656</v>
      </c>
    </row>
    <row r="62" spans="19:20">
      <c r="S62" s="44" t="s">
        <v>451</v>
      </c>
      <c r="T62" s="44" t="s">
        <v>657</v>
      </c>
    </row>
    <row r="63" spans="19:20">
      <c r="S63" s="44" t="s">
        <v>409</v>
      </c>
      <c r="T63" s="44" t="s">
        <v>410</v>
      </c>
    </row>
    <row r="64" spans="19:20">
      <c r="S64" s="44" t="s">
        <v>658</v>
      </c>
      <c r="T64" s="44" t="s">
        <v>659</v>
      </c>
    </row>
    <row r="65" spans="19:20">
      <c r="S65" s="44" t="s">
        <v>660</v>
      </c>
      <c r="T65" s="44" t="s">
        <v>661</v>
      </c>
    </row>
    <row r="66" spans="19:20">
      <c r="S66" s="44" t="s">
        <v>662</v>
      </c>
      <c r="T66" s="44" t="s">
        <v>663</v>
      </c>
    </row>
    <row r="67" spans="19:20">
      <c r="S67" s="44" t="s">
        <v>664</v>
      </c>
      <c r="T67" s="44" t="s">
        <v>665</v>
      </c>
    </row>
    <row r="68" spans="19:20">
      <c r="S68" s="44" t="s">
        <v>666</v>
      </c>
      <c r="T68" s="44" t="s">
        <v>667</v>
      </c>
    </row>
    <row r="69" spans="19:20">
      <c r="S69" s="44" t="s">
        <v>668</v>
      </c>
      <c r="T69" s="44" t="s">
        <v>669</v>
      </c>
    </row>
    <row r="70" spans="19:20">
      <c r="S70" s="44" t="s">
        <v>670</v>
      </c>
      <c r="T70" s="44" t="s">
        <v>671</v>
      </c>
    </row>
    <row r="71" spans="19:20">
      <c r="S71" s="44" t="s">
        <v>672</v>
      </c>
      <c r="T71" s="44" t="s">
        <v>673</v>
      </c>
    </row>
    <row r="72" spans="19:20">
      <c r="S72" s="44" t="s">
        <v>290</v>
      </c>
      <c r="T72" t="s">
        <v>291</v>
      </c>
    </row>
    <row r="73" spans="19:20">
      <c r="S73" s="46" t="s">
        <v>290</v>
      </c>
      <c r="T73" s="46" t="s">
        <v>674</v>
      </c>
    </row>
    <row r="74" spans="19:20">
      <c r="S74" s="44" t="s">
        <v>675</v>
      </c>
      <c r="T74" s="44" t="s">
        <v>676</v>
      </c>
    </row>
    <row r="75" spans="19:20">
      <c r="S75" s="46" t="s">
        <v>308</v>
      </c>
      <c r="T75" s="46" t="s">
        <v>309</v>
      </c>
    </row>
    <row r="76" spans="19:20">
      <c r="S76" s="44" t="s">
        <v>677</v>
      </c>
      <c r="T76" s="44" t="s">
        <v>678</v>
      </c>
    </row>
    <row r="77" spans="19:20">
      <c r="S77" s="44" t="s">
        <v>427</v>
      </c>
      <c r="T77" s="44" t="s">
        <v>428</v>
      </c>
    </row>
    <row r="78" spans="19:20">
      <c r="S78" s="46" t="s">
        <v>679</v>
      </c>
      <c r="T78" s="46" t="s">
        <v>680</v>
      </c>
    </row>
    <row r="79" spans="19:20">
      <c r="S79" s="46" t="s">
        <v>384</v>
      </c>
      <c r="T79" s="46" t="s">
        <v>385</v>
      </c>
    </row>
    <row r="80" spans="19:20">
      <c r="S80" s="44" t="s">
        <v>681</v>
      </c>
      <c r="T80" s="44" t="s">
        <v>682</v>
      </c>
    </row>
    <row r="81" spans="19:20">
      <c r="S81" s="44" t="s">
        <v>683</v>
      </c>
      <c r="T81" s="44" t="s">
        <v>684</v>
      </c>
    </row>
    <row r="82" spans="19:20">
      <c r="S82" s="44" t="s">
        <v>685</v>
      </c>
      <c r="T82" s="44" t="s">
        <v>686</v>
      </c>
    </row>
    <row r="83" spans="19:20">
      <c r="S83" s="46" t="s">
        <v>332</v>
      </c>
      <c r="T83" s="46" t="s">
        <v>333</v>
      </c>
    </row>
    <row r="84" spans="19:20">
      <c r="S84" s="46" t="s">
        <v>332</v>
      </c>
      <c r="T84" s="46" t="s">
        <v>687</v>
      </c>
    </row>
    <row r="85" spans="19:20">
      <c r="S85" s="44" t="s">
        <v>688</v>
      </c>
      <c r="T85" s="44" t="s">
        <v>689</v>
      </c>
    </row>
    <row r="86" spans="19:20">
      <c r="S86" s="44" t="s">
        <v>690</v>
      </c>
      <c r="T86" s="44" t="s">
        <v>691</v>
      </c>
    </row>
    <row r="87" spans="19:20">
      <c r="S87" s="44" t="s">
        <v>692</v>
      </c>
      <c r="T87" s="44" t="s">
        <v>693</v>
      </c>
    </row>
    <row r="88" spans="19:20">
      <c r="S88" s="44" t="s">
        <v>279</v>
      </c>
      <c r="T88" s="44" t="s">
        <v>280</v>
      </c>
    </row>
    <row r="89" spans="19:20">
      <c r="S89" s="44" t="s">
        <v>694</v>
      </c>
      <c r="T89" s="44" t="s">
        <v>695</v>
      </c>
    </row>
    <row r="90" spans="19:20">
      <c r="S90" s="44" t="s">
        <v>696</v>
      </c>
      <c r="T90" s="44" t="s">
        <v>697</v>
      </c>
    </row>
    <row r="91" spans="19:20">
      <c r="S91" s="44" t="s">
        <v>356</v>
      </c>
      <c r="T91" s="44" t="s">
        <v>357</v>
      </c>
    </row>
    <row r="92" spans="19:20">
      <c r="S92" s="44" t="s">
        <v>698</v>
      </c>
      <c r="T92" s="44" t="s">
        <v>699</v>
      </c>
    </row>
    <row r="93" spans="19:20">
      <c r="S93" s="44" t="s">
        <v>700</v>
      </c>
      <c r="T93" t="s">
        <v>701</v>
      </c>
    </row>
    <row r="94" spans="19:20">
      <c r="S94" s="44" t="s">
        <v>702</v>
      </c>
      <c r="T94" s="44" t="s">
        <v>703</v>
      </c>
    </row>
    <row r="95" spans="19:20">
      <c r="S95" s="44" t="s">
        <v>704</v>
      </c>
      <c r="T95" s="44" t="s">
        <v>705</v>
      </c>
    </row>
    <row r="96" spans="19:20">
      <c r="S96" s="44" t="s">
        <v>706</v>
      </c>
      <c r="T96" t="s">
        <v>707</v>
      </c>
    </row>
    <row r="97" spans="19:20">
      <c r="S97" s="44" t="s">
        <v>708</v>
      </c>
      <c r="T97" s="57" t="s">
        <v>687</v>
      </c>
    </row>
    <row r="98" spans="19:20">
      <c r="S98" s="57" t="s">
        <v>397</v>
      </c>
      <c r="T98" s="32" t="s">
        <v>133</v>
      </c>
    </row>
    <row r="99" spans="19:20">
      <c r="S99" s="44" t="s">
        <v>709</v>
      </c>
      <c r="T99" t="s">
        <v>710</v>
      </c>
    </row>
    <row r="100" spans="19:20">
      <c r="S100" s="44" t="s">
        <v>720</v>
      </c>
      <c r="T100" s="220" t="s">
        <v>721</v>
      </c>
    </row>
  </sheetData>
  <sortState xmlns:xlrd2="http://schemas.microsoft.com/office/spreadsheetml/2017/richdata2" ref="S2:T91">
    <sortCondition ref="S2:S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Diana Danilenko</cp:lastModifiedBy>
  <cp:revision/>
  <dcterms:created xsi:type="dcterms:W3CDTF">2022-02-16T16:21:16Z</dcterms:created>
  <dcterms:modified xsi:type="dcterms:W3CDTF">2024-02-14T14:21:06Z</dcterms:modified>
  <cp:category/>
  <cp:contentStatus/>
</cp:coreProperties>
</file>